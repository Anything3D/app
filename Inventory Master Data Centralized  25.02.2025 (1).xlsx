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ustomProperty1.bin" ContentType="application/vnd.openxmlformats-officedocument.spreadsheetml.customProperty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fcometals-my.sharepoint.com/personal/teodor_oa_apt_global/Documents/Desktop/Desktop/New Warehouse/Master Data/Updated Master Data/"/>
    </mc:Choice>
  </mc:AlternateContent>
  <xr:revisionPtr revIDLastSave="99" documentId="13_ncr:1_{85F23DA3-9683-450D-A415-8E71B0864268}" xr6:coauthVersionLast="47" xr6:coauthVersionMax="47" xr10:uidLastSave="{EB785B52-2B3A-4255-AEAE-93DC3842F500}"/>
  <bookViews>
    <workbookView xWindow="28680" yWindow="1050" windowWidth="29040" windowHeight="15720" firstSheet="1" activeTab="3" xr2:uid="{B24DFFEE-FC53-40B6-A1B1-1CED4D63AB17}"/>
  </bookViews>
  <sheets>
    <sheet name="Maintenance" sheetId="2" state="hidden" r:id="rId1"/>
    <sheet name="Mapping code" sheetId="1" r:id="rId2"/>
    <sheet name="Search II codes" sheetId="4" r:id="rId3"/>
    <sheet name="Centralized store item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46" i="3" l="1"/>
  <c r="P946" i="3" s="1"/>
  <c r="O1079" i="3"/>
  <c r="P1079" i="3" s="1"/>
  <c r="O1447" i="3"/>
  <c r="P1447" i="3" s="1"/>
  <c r="I820" i="3"/>
  <c r="O820" i="3"/>
  <c r="P820" i="3" s="1"/>
  <c r="T820" i="3"/>
  <c r="U820" i="3"/>
  <c r="I1447" i="3"/>
  <c r="T1447" i="3"/>
  <c r="U1447" i="3"/>
  <c r="I1079" i="3"/>
  <c r="T1079" i="3"/>
  <c r="U1079" i="3"/>
  <c r="O143" i="3"/>
  <c r="P143" i="3" s="1"/>
  <c r="O144" i="3"/>
  <c r="P144" i="3" s="1"/>
  <c r="O145" i="3"/>
  <c r="P145" i="3" s="1"/>
  <c r="O146" i="3"/>
  <c r="O147" i="3"/>
  <c r="P147" i="3" s="1"/>
  <c r="O148" i="3"/>
  <c r="P148" i="3" s="1"/>
  <c r="O1216" i="3"/>
  <c r="P1216" i="3" s="1"/>
  <c r="O937" i="3"/>
  <c r="P937" i="3" s="1"/>
  <c r="O938" i="3"/>
  <c r="P938" i="3" s="1"/>
  <c r="O939" i="3"/>
  <c r="P939" i="3" s="1"/>
  <c r="O940" i="3"/>
  <c r="P940" i="3" s="1"/>
  <c r="O941" i="3"/>
  <c r="O527" i="3"/>
  <c r="P527" i="3" s="1"/>
  <c r="O903" i="3"/>
  <c r="P903" i="3" s="1"/>
  <c r="O942" i="3"/>
  <c r="P942" i="3" s="1"/>
  <c r="O943" i="3"/>
  <c r="P943" i="3" s="1"/>
  <c r="O944" i="3"/>
  <c r="P944" i="3" s="1"/>
  <c r="O1227" i="3"/>
  <c r="P1227" i="3" s="1"/>
  <c r="O1078" i="3"/>
  <c r="P1078" i="3" s="1"/>
  <c r="O813" i="3"/>
  <c r="P813" i="3" s="1"/>
  <c r="O1217" i="3"/>
  <c r="P1217" i="3" s="1"/>
  <c r="O1218" i="3"/>
  <c r="P1218" i="3" s="1"/>
  <c r="O945" i="3"/>
  <c r="P945" i="3" s="1"/>
  <c r="I946" i="3"/>
  <c r="I945" i="3"/>
  <c r="T946" i="3"/>
  <c r="U946" i="3"/>
  <c r="T945" i="3"/>
  <c r="U945" i="3"/>
  <c r="I1218" i="3"/>
  <c r="I1217" i="3"/>
  <c r="T1218" i="3"/>
  <c r="U1218" i="3"/>
  <c r="T1217" i="3"/>
  <c r="U1217" i="3"/>
  <c r="O812" i="3"/>
  <c r="P812" i="3" s="1"/>
  <c r="O811" i="3"/>
  <c r="P811" i="3" s="1"/>
  <c r="O810" i="3"/>
  <c r="P810" i="3" s="1"/>
  <c r="O809" i="3"/>
  <c r="P809" i="3" s="1"/>
  <c r="O808" i="3"/>
  <c r="P808" i="3" s="1"/>
  <c r="O807" i="3"/>
  <c r="P807" i="3" s="1"/>
  <c r="O806" i="3"/>
  <c r="P806" i="3" s="1"/>
  <c r="I813" i="3"/>
  <c r="T813" i="3"/>
  <c r="U813" i="3"/>
  <c r="O1077" i="3"/>
  <c r="P1077" i="3" s="1"/>
  <c r="O1076" i="3"/>
  <c r="P1076" i="3" s="1"/>
  <c r="O1075" i="3"/>
  <c r="P1075" i="3" s="1"/>
  <c r="O1074" i="3"/>
  <c r="P1074" i="3" s="1"/>
  <c r="I1078" i="3"/>
  <c r="T1078" i="3"/>
  <c r="U1078" i="3"/>
  <c r="I1227" i="3"/>
  <c r="T1227" i="3"/>
  <c r="U1227" i="3"/>
  <c r="P941" i="3"/>
  <c r="I944" i="3"/>
  <c r="I943" i="3"/>
  <c r="I942" i="3"/>
  <c r="T944" i="3"/>
  <c r="U944" i="3"/>
  <c r="T943" i="3"/>
  <c r="U943" i="3"/>
  <c r="T942" i="3"/>
  <c r="U942" i="3"/>
  <c r="I903" i="3"/>
  <c r="T903" i="3"/>
  <c r="U903" i="3"/>
  <c r="I527" i="3"/>
  <c r="T527" i="3"/>
  <c r="U527" i="3"/>
  <c r="I941" i="3"/>
  <c r="I940" i="3"/>
  <c r="I939" i="3"/>
  <c r="I938" i="3"/>
  <c r="I937" i="3"/>
  <c r="T941" i="3"/>
  <c r="U941" i="3"/>
  <c r="T940" i="3"/>
  <c r="U940" i="3"/>
  <c r="T939" i="3"/>
  <c r="U939" i="3"/>
  <c r="T938" i="3"/>
  <c r="U938" i="3"/>
  <c r="T937" i="3"/>
  <c r="U937" i="3"/>
  <c r="O1215" i="3"/>
  <c r="P1215" i="3" s="1"/>
  <c r="I1216" i="3"/>
  <c r="T1216" i="3"/>
  <c r="U1216" i="3"/>
  <c r="P146" i="3"/>
  <c r="O142" i="3"/>
  <c r="P142" i="3" s="1"/>
  <c r="O141" i="3"/>
  <c r="P141" i="3" s="1"/>
  <c r="O140" i="3"/>
  <c r="P140" i="3" s="1"/>
  <c r="I148" i="3"/>
  <c r="I147" i="3"/>
  <c r="I146" i="3"/>
  <c r="I145" i="3"/>
  <c r="I144" i="3"/>
  <c r="I143" i="3"/>
  <c r="I142" i="3"/>
  <c r="I141" i="3"/>
  <c r="I140" i="3"/>
  <c r="T148" i="3" l="1"/>
  <c r="U148" i="3"/>
  <c r="T147" i="3"/>
  <c r="U147" i="3"/>
  <c r="T146" i="3"/>
  <c r="U146" i="3"/>
  <c r="T145" i="3"/>
  <c r="U145" i="3"/>
  <c r="T144" i="3"/>
  <c r="U144" i="3"/>
  <c r="T143" i="3"/>
  <c r="U143" i="3"/>
  <c r="T142" i="3"/>
  <c r="U142" i="3"/>
  <c r="T141" i="3"/>
  <c r="U141" i="3"/>
  <c r="T140" i="3"/>
  <c r="U140" i="3"/>
  <c r="I1215" i="3"/>
  <c r="T1215" i="3"/>
  <c r="U1215" i="3"/>
  <c r="O1073" i="3"/>
  <c r="P1073" i="3" s="1"/>
  <c r="O1072" i="3"/>
  <c r="P1072" i="3" s="1"/>
  <c r="O1071" i="3"/>
  <c r="P1071" i="3" s="1"/>
  <c r="I1077" i="3"/>
  <c r="T1077" i="3"/>
  <c r="U1077" i="3"/>
  <c r="U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370" i="3"/>
  <c r="U371" i="3"/>
  <c r="U372" i="3"/>
  <c r="U373" i="3"/>
  <c r="U374" i="3"/>
  <c r="U375" i="3"/>
  <c r="U376" i="3"/>
  <c r="U377" i="3"/>
  <c r="U378" i="3"/>
  <c r="U379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392" i="3"/>
  <c r="U393" i="3"/>
  <c r="U394" i="3"/>
  <c r="U395" i="3"/>
  <c r="U396" i="3"/>
  <c r="U397" i="3"/>
  <c r="U398" i="3"/>
  <c r="U399" i="3"/>
  <c r="U400" i="3"/>
  <c r="U401" i="3"/>
  <c r="U402" i="3"/>
  <c r="U403" i="3"/>
  <c r="U404" i="3"/>
  <c r="U405" i="3"/>
  <c r="U406" i="3"/>
  <c r="U407" i="3"/>
  <c r="U408" i="3"/>
  <c r="U409" i="3"/>
  <c r="U410" i="3"/>
  <c r="U411" i="3"/>
  <c r="U412" i="3"/>
  <c r="U413" i="3"/>
  <c r="U414" i="3"/>
  <c r="U415" i="3"/>
  <c r="U416" i="3"/>
  <c r="U417" i="3"/>
  <c r="U418" i="3"/>
  <c r="U419" i="3"/>
  <c r="U420" i="3"/>
  <c r="U421" i="3"/>
  <c r="U422" i="3"/>
  <c r="U423" i="3"/>
  <c r="U424" i="3"/>
  <c r="U425" i="3"/>
  <c r="U426" i="3"/>
  <c r="U427" i="3"/>
  <c r="U428" i="3"/>
  <c r="U429" i="3"/>
  <c r="U430" i="3"/>
  <c r="U431" i="3"/>
  <c r="U432" i="3"/>
  <c r="U433" i="3"/>
  <c r="U434" i="3"/>
  <c r="U435" i="3"/>
  <c r="U436" i="3"/>
  <c r="U437" i="3"/>
  <c r="U438" i="3"/>
  <c r="U439" i="3"/>
  <c r="U440" i="3"/>
  <c r="U441" i="3"/>
  <c r="U442" i="3"/>
  <c r="U443" i="3"/>
  <c r="U444" i="3"/>
  <c r="U445" i="3"/>
  <c r="U446" i="3"/>
  <c r="U447" i="3"/>
  <c r="U448" i="3"/>
  <c r="U449" i="3"/>
  <c r="U450" i="3"/>
  <c r="U451" i="3"/>
  <c r="U452" i="3"/>
  <c r="U453" i="3"/>
  <c r="U454" i="3"/>
  <c r="U455" i="3"/>
  <c r="U456" i="3"/>
  <c r="U457" i="3"/>
  <c r="U458" i="3"/>
  <c r="U459" i="3"/>
  <c r="U460" i="3"/>
  <c r="U461" i="3"/>
  <c r="U462" i="3"/>
  <c r="U463" i="3"/>
  <c r="U464" i="3"/>
  <c r="U465" i="3"/>
  <c r="U466" i="3"/>
  <c r="U467" i="3"/>
  <c r="U468" i="3"/>
  <c r="U469" i="3"/>
  <c r="U470" i="3"/>
  <c r="U471" i="3"/>
  <c r="U472" i="3"/>
  <c r="U473" i="3"/>
  <c r="U474" i="3"/>
  <c r="U475" i="3"/>
  <c r="U476" i="3"/>
  <c r="U477" i="3"/>
  <c r="U478" i="3"/>
  <c r="U479" i="3"/>
  <c r="U480" i="3"/>
  <c r="U481" i="3"/>
  <c r="U482" i="3"/>
  <c r="U483" i="3"/>
  <c r="U484" i="3"/>
  <c r="U485" i="3"/>
  <c r="U486" i="3"/>
  <c r="U487" i="3"/>
  <c r="U488" i="3"/>
  <c r="U489" i="3"/>
  <c r="U490" i="3"/>
  <c r="U491" i="3"/>
  <c r="U492" i="3"/>
  <c r="U493" i="3"/>
  <c r="U494" i="3"/>
  <c r="U495" i="3"/>
  <c r="U496" i="3"/>
  <c r="U497" i="3"/>
  <c r="U498" i="3"/>
  <c r="U499" i="3"/>
  <c r="U500" i="3"/>
  <c r="U501" i="3"/>
  <c r="U502" i="3"/>
  <c r="U503" i="3"/>
  <c r="U504" i="3"/>
  <c r="U505" i="3"/>
  <c r="U506" i="3"/>
  <c r="U507" i="3"/>
  <c r="U508" i="3"/>
  <c r="U509" i="3"/>
  <c r="U510" i="3"/>
  <c r="U511" i="3"/>
  <c r="U512" i="3"/>
  <c r="U513" i="3"/>
  <c r="U514" i="3"/>
  <c r="U515" i="3"/>
  <c r="U516" i="3"/>
  <c r="U517" i="3"/>
  <c r="U518" i="3"/>
  <c r="U519" i="3"/>
  <c r="U520" i="3"/>
  <c r="U521" i="3"/>
  <c r="U522" i="3"/>
  <c r="U523" i="3"/>
  <c r="U524" i="3"/>
  <c r="U525" i="3"/>
  <c r="U526" i="3"/>
  <c r="U528" i="3"/>
  <c r="U529" i="3"/>
  <c r="U530" i="3"/>
  <c r="U531" i="3"/>
  <c r="U532" i="3"/>
  <c r="U533" i="3"/>
  <c r="U534" i="3"/>
  <c r="U535" i="3"/>
  <c r="U536" i="3"/>
  <c r="U537" i="3"/>
  <c r="U538" i="3"/>
  <c r="U539" i="3"/>
  <c r="U540" i="3"/>
  <c r="U541" i="3"/>
  <c r="U542" i="3"/>
  <c r="U543" i="3"/>
  <c r="U544" i="3"/>
  <c r="U545" i="3"/>
  <c r="U546" i="3"/>
  <c r="U547" i="3"/>
  <c r="U548" i="3"/>
  <c r="U549" i="3"/>
  <c r="U550" i="3"/>
  <c r="U551" i="3"/>
  <c r="U552" i="3"/>
  <c r="U553" i="3"/>
  <c r="U554" i="3"/>
  <c r="U555" i="3"/>
  <c r="U556" i="3"/>
  <c r="U557" i="3"/>
  <c r="U558" i="3"/>
  <c r="U559" i="3"/>
  <c r="U560" i="3"/>
  <c r="U561" i="3"/>
  <c r="U562" i="3"/>
  <c r="U563" i="3"/>
  <c r="U564" i="3"/>
  <c r="U565" i="3"/>
  <c r="U566" i="3"/>
  <c r="U567" i="3"/>
  <c r="U568" i="3"/>
  <c r="U569" i="3"/>
  <c r="U570" i="3"/>
  <c r="U571" i="3"/>
  <c r="U572" i="3"/>
  <c r="U573" i="3"/>
  <c r="U574" i="3"/>
  <c r="U575" i="3"/>
  <c r="U576" i="3"/>
  <c r="U577" i="3"/>
  <c r="U578" i="3"/>
  <c r="U579" i="3"/>
  <c r="U580" i="3"/>
  <c r="U581" i="3"/>
  <c r="U582" i="3"/>
  <c r="U583" i="3"/>
  <c r="U584" i="3"/>
  <c r="U585" i="3"/>
  <c r="U586" i="3"/>
  <c r="U587" i="3"/>
  <c r="U588" i="3"/>
  <c r="U589" i="3"/>
  <c r="U590" i="3"/>
  <c r="U591" i="3"/>
  <c r="U592" i="3"/>
  <c r="U593" i="3"/>
  <c r="U594" i="3"/>
  <c r="U595" i="3"/>
  <c r="U596" i="3"/>
  <c r="U597" i="3"/>
  <c r="U598" i="3"/>
  <c r="U599" i="3"/>
  <c r="U600" i="3"/>
  <c r="U601" i="3"/>
  <c r="U602" i="3"/>
  <c r="U603" i="3"/>
  <c r="U604" i="3"/>
  <c r="U605" i="3"/>
  <c r="U606" i="3"/>
  <c r="U607" i="3"/>
  <c r="U608" i="3"/>
  <c r="U609" i="3"/>
  <c r="U610" i="3"/>
  <c r="U611" i="3"/>
  <c r="U612" i="3"/>
  <c r="U613" i="3"/>
  <c r="U614" i="3"/>
  <c r="U615" i="3"/>
  <c r="U616" i="3"/>
  <c r="U617" i="3"/>
  <c r="U618" i="3"/>
  <c r="U619" i="3"/>
  <c r="U620" i="3"/>
  <c r="U621" i="3"/>
  <c r="U622" i="3"/>
  <c r="U623" i="3"/>
  <c r="U624" i="3"/>
  <c r="U625" i="3"/>
  <c r="U626" i="3"/>
  <c r="U627" i="3"/>
  <c r="U628" i="3"/>
  <c r="U629" i="3"/>
  <c r="U630" i="3"/>
  <c r="U631" i="3"/>
  <c r="U632" i="3"/>
  <c r="U633" i="3"/>
  <c r="U634" i="3"/>
  <c r="U635" i="3"/>
  <c r="U636" i="3"/>
  <c r="U637" i="3"/>
  <c r="U638" i="3"/>
  <c r="U639" i="3"/>
  <c r="U640" i="3"/>
  <c r="U641" i="3"/>
  <c r="U642" i="3"/>
  <c r="U643" i="3"/>
  <c r="U644" i="3"/>
  <c r="U645" i="3"/>
  <c r="U646" i="3"/>
  <c r="U647" i="3"/>
  <c r="U648" i="3"/>
  <c r="U649" i="3"/>
  <c r="U650" i="3"/>
  <c r="U651" i="3"/>
  <c r="U652" i="3"/>
  <c r="U653" i="3"/>
  <c r="U654" i="3"/>
  <c r="U655" i="3"/>
  <c r="U656" i="3"/>
  <c r="U657" i="3"/>
  <c r="U658" i="3"/>
  <c r="U659" i="3"/>
  <c r="U660" i="3"/>
  <c r="U661" i="3"/>
  <c r="U662" i="3"/>
  <c r="U663" i="3"/>
  <c r="U664" i="3"/>
  <c r="U665" i="3"/>
  <c r="U666" i="3"/>
  <c r="U667" i="3"/>
  <c r="U668" i="3"/>
  <c r="U669" i="3"/>
  <c r="U670" i="3"/>
  <c r="U671" i="3"/>
  <c r="U672" i="3"/>
  <c r="U673" i="3"/>
  <c r="U674" i="3"/>
  <c r="U675" i="3"/>
  <c r="U676" i="3"/>
  <c r="U677" i="3"/>
  <c r="U678" i="3"/>
  <c r="U679" i="3"/>
  <c r="U680" i="3"/>
  <c r="U681" i="3"/>
  <c r="U682" i="3"/>
  <c r="U683" i="3"/>
  <c r="U684" i="3"/>
  <c r="U685" i="3"/>
  <c r="U686" i="3"/>
  <c r="U687" i="3"/>
  <c r="U688" i="3"/>
  <c r="U689" i="3"/>
  <c r="U690" i="3"/>
  <c r="U691" i="3"/>
  <c r="U692" i="3"/>
  <c r="U693" i="3"/>
  <c r="U694" i="3"/>
  <c r="U695" i="3"/>
  <c r="U696" i="3"/>
  <c r="U697" i="3"/>
  <c r="U698" i="3"/>
  <c r="U699" i="3"/>
  <c r="U700" i="3"/>
  <c r="U701" i="3"/>
  <c r="U702" i="3"/>
  <c r="U703" i="3"/>
  <c r="U704" i="3"/>
  <c r="U705" i="3"/>
  <c r="U706" i="3"/>
  <c r="U707" i="3"/>
  <c r="U708" i="3"/>
  <c r="U709" i="3"/>
  <c r="U710" i="3"/>
  <c r="U711" i="3"/>
  <c r="U712" i="3"/>
  <c r="U713" i="3"/>
  <c r="U714" i="3"/>
  <c r="U715" i="3"/>
  <c r="U716" i="3"/>
  <c r="U717" i="3"/>
  <c r="U718" i="3"/>
  <c r="U719" i="3"/>
  <c r="U720" i="3"/>
  <c r="U721" i="3"/>
  <c r="U722" i="3"/>
  <c r="U723" i="3"/>
  <c r="U724" i="3"/>
  <c r="U725" i="3"/>
  <c r="U726" i="3"/>
  <c r="U727" i="3"/>
  <c r="U728" i="3"/>
  <c r="U729" i="3"/>
  <c r="U730" i="3"/>
  <c r="U731" i="3"/>
  <c r="U732" i="3"/>
  <c r="U733" i="3"/>
  <c r="U734" i="3"/>
  <c r="U735" i="3"/>
  <c r="U736" i="3"/>
  <c r="U737" i="3"/>
  <c r="U738" i="3"/>
  <c r="U739" i="3"/>
  <c r="U740" i="3"/>
  <c r="U741" i="3"/>
  <c r="U742" i="3"/>
  <c r="U743" i="3"/>
  <c r="U744" i="3"/>
  <c r="U745" i="3"/>
  <c r="U746" i="3"/>
  <c r="U747" i="3"/>
  <c r="U748" i="3"/>
  <c r="U749" i="3"/>
  <c r="U750" i="3"/>
  <c r="U751" i="3"/>
  <c r="U752" i="3"/>
  <c r="U753" i="3"/>
  <c r="U754" i="3"/>
  <c r="U755" i="3"/>
  <c r="U756" i="3"/>
  <c r="U757" i="3"/>
  <c r="U758" i="3"/>
  <c r="U759" i="3"/>
  <c r="U760" i="3"/>
  <c r="U761" i="3"/>
  <c r="U762" i="3"/>
  <c r="U763" i="3"/>
  <c r="U764" i="3"/>
  <c r="U765" i="3"/>
  <c r="U766" i="3"/>
  <c r="U767" i="3"/>
  <c r="U768" i="3"/>
  <c r="U769" i="3"/>
  <c r="U770" i="3"/>
  <c r="U771" i="3"/>
  <c r="U772" i="3"/>
  <c r="U773" i="3"/>
  <c r="U774" i="3"/>
  <c r="U775" i="3"/>
  <c r="U776" i="3"/>
  <c r="U777" i="3"/>
  <c r="U778" i="3"/>
  <c r="U779" i="3"/>
  <c r="U780" i="3"/>
  <c r="U781" i="3"/>
  <c r="U782" i="3"/>
  <c r="U783" i="3"/>
  <c r="U784" i="3"/>
  <c r="U785" i="3"/>
  <c r="U786" i="3"/>
  <c r="U787" i="3"/>
  <c r="U788" i="3"/>
  <c r="U789" i="3"/>
  <c r="U790" i="3"/>
  <c r="U791" i="3"/>
  <c r="U792" i="3"/>
  <c r="U793" i="3"/>
  <c r="U794" i="3"/>
  <c r="U795" i="3"/>
  <c r="U796" i="3"/>
  <c r="U797" i="3"/>
  <c r="U798" i="3"/>
  <c r="U799" i="3"/>
  <c r="U800" i="3"/>
  <c r="U801" i="3"/>
  <c r="U802" i="3"/>
  <c r="U803" i="3"/>
  <c r="U804" i="3"/>
  <c r="U805" i="3"/>
  <c r="U806" i="3"/>
  <c r="U807" i="3"/>
  <c r="U808" i="3"/>
  <c r="U809" i="3"/>
  <c r="U810" i="3"/>
  <c r="U811" i="3"/>
  <c r="U812" i="3"/>
  <c r="U814" i="3"/>
  <c r="U815" i="3"/>
  <c r="U816" i="3"/>
  <c r="U817" i="3"/>
  <c r="U818" i="3"/>
  <c r="U819" i="3"/>
  <c r="U830" i="3"/>
  <c r="U831" i="3"/>
  <c r="U832" i="3"/>
  <c r="U821" i="3"/>
  <c r="U822" i="3"/>
  <c r="U823" i="3"/>
  <c r="U824" i="3"/>
  <c r="U825" i="3"/>
  <c r="U826" i="3"/>
  <c r="U827" i="3"/>
  <c r="U828" i="3"/>
  <c r="U829" i="3"/>
  <c r="U833" i="3"/>
  <c r="U834" i="3"/>
  <c r="U835" i="3"/>
  <c r="U836" i="3"/>
  <c r="U837" i="3"/>
  <c r="U838" i="3"/>
  <c r="U839" i="3"/>
  <c r="U840" i="3"/>
  <c r="U841" i="3"/>
  <c r="U842" i="3"/>
  <c r="U843" i="3"/>
  <c r="U844" i="3"/>
  <c r="U845" i="3"/>
  <c r="U846" i="3"/>
  <c r="U847" i="3"/>
  <c r="U848" i="3"/>
  <c r="U849" i="3"/>
  <c r="U850" i="3"/>
  <c r="U851" i="3"/>
  <c r="U852" i="3"/>
  <c r="U853" i="3"/>
  <c r="U854" i="3"/>
  <c r="U855" i="3"/>
  <c r="U856" i="3"/>
  <c r="U857" i="3"/>
  <c r="U858" i="3"/>
  <c r="U859" i="3"/>
  <c r="U860" i="3"/>
  <c r="U861" i="3"/>
  <c r="U862" i="3"/>
  <c r="U863" i="3"/>
  <c r="U864" i="3"/>
  <c r="U865" i="3"/>
  <c r="U866" i="3"/>
  <c r="U867" i="3"/>
  <c r="U868" i="3"/>
  <c r="U869" i="3"/>
  <c r="U870" i="3"/>
  <c r="U871" i="3"/>
  <c r="U872" i="3"/>
  <c r="U873" i="3"/>
  <c r="U874" i="3"/>
  <c r="U875" i="3"/>
  <c r="U876" i="3"/>
  <c r="U877" i="3"/>
  <c r="U878" i="3"/>
  <c r="U879" i="3"/>
  <c r="U880" i="3"/>
  <c r="U881" i="3"/>
  <c r="U882" i="3"/>
  <c r="U883" i="3"/>
  <c r="U884" i="3"/>
  <c r="U885" i="3"/>
  <c r="U886" i="3"/>
  <c r="U887" i="3"/>
  <c r="U888" i="3"/>
  <c r="U889" i="3"/>
  <c r="U890" i="3"/>
  <c r="U891" i="3"/>
  <c r="U892" i="3"/>
  <c r="U893" i="3"/>
  <c r="U894" i="3"/>
  <c r="U895" i="3"/>
  <c r="U896" i="3"/>
  <c r="U897" i="3"/>
  <c r="U898" i="3"/>
  <c r="U899" i="3"/>
  <c r="U900" i="3"/>
  <c r="U901" i="3"/>
  <c r="U902" i="3"/>
  <c r="U904" i="3"/>
  <c r="U905" i="3"/>
  <c r="U906" i="3"/>
  <c r="U907" i="3"/>
  <c r="U908" i="3"/>
  <c r="U909" i="3"/>
  <c r="U910" i="3"/>
  <c r="U911" i="3"/>
  <c r="U912" i="3"/>
  <c r="U913" i="3"/>
  <c r="U914" i="3"/>
  <c r="U915" i="3"/>
  <c r="U916" i="3"/>
  <c r="U917" i="3"/>
  <c r="U918" i="3"/>
  <c r="U919" i="3"/>
  <c r="U920" i="3"/>
  <c r="U921" i="3"/>
  <c r="U922" i="3"/>
  <c r="U923" i="3"/>
  <c r="U924" i="3"/>
  <c r="U925" i="3"/>
  <c r="U926" i="3"/>
  <c r="U927" i="3"/>
  <c r="U928" i="3"/>
  <c r="U929" i="3"/>
  <c r="U930" i="3"/>
  <c r="U931" i="3"/>
  <c r="U932" i="3"/>
  <c r="U933" i="3"/>
  <c r="U934" i="3"/>
  <c r="U935" i="3"/>
  <c r="U936" i="3"/>
  <c r="U947" i="3"/>
  <c r="U948" i="3"/>
  <c r="U949" i="3"/>
  <c r="U950" i="3"/>
  <c r="U951" i="3"/>
  <c r="U952" i="3"/>
  <c r="U953" i="3"/>
  <c r="U954" i="3"/>
  <c r="U955" i="3"/>
  <c r="U956" i="3"/>
  <c r="U957" i="3"/>
  <c r="U958" i="3"/>
  <c r="U959" i="3"/>
  <c r="U960" i="3"/>
  <c r="U961" i="3"/>
  <c r="U962" i="3"/>
  <c r="U963" i="3"/>
  <c r="U964" i="3"/>
  <c r="U965" i="3"/>
  <c r="U966" i="3"/>
  <c r="U967" i="3"/>
  <c r="U968" i="3"/>
  <c r="U969" i="3"/>
  <c r="U970" i="3"/>
  <c r="U971" i="3"/>
  <c r="U972" i="3"/>
  <c r="U973" i="3"/>
  <c r="U974" i="3"/>
  <c r="U975" i="3"/>
  <c r="U976" i="3"/>
  <c r="U977" i="3"/>
  <c r="U978" i="3"/>
  <c r="U979" i="3"/>
  <c r="U980" i="3"/>
  <c r="U981" i="3"/>
  <c r="U982" i="3"/>
  <c r="U983" i="3"/>
  <c r="U984" i="3"/>
  <c r="U985" i="3"/>
  <c r="U986" i="3"/>
  <c r="U987" i="3"/>
  <c r="U988" i="3"/>
  <c r="U989" i="3"/>
  <c r="U990" i="3"/>
  <c r="U991" i="3"/>
  <c r="U992" i="3"/>
  <c r="U993" i="3"/>
  <c r="U994" i="3"/>
  <c r="U995" i="3"/>
  <c r="U996" i="3"/>
  <c r="U997" i="3"/>
  <c r="U998" i="3"/>
  <c r="U999" i="3"/>
  <c r="U1000" i="3"/>
  <c r="U1001" i="3"/>
  <c r="U1002" i="3"/>
  <c r="U1003" i="3"/>
  <c r="U1004" i="3"/>
  <c r="U1005" i="3"/>
  <c r="U1006" i="3"/>
  <c r="U1007" i="3"/>
  <c r="U1008" i="3"/>
  <c r="U1009" i="3"/>
  <c r="U1010" i="3"/>
  <c r="U1011" i="3"/>
  <c r="U1012" i="3"/>
  <c r="U1013" i="3"/>
  <c r="U1014" i="3"/>
  <c r="U1015" i="3"/>
  <c r="U1016" i="3"/>
  <c r="U1017" i="3"/>
  <c r="U1018" i="3"/>
  <c r="U1019" i="3"/>
  <c r="U1020" i="3"/>
  <c r="U1021" i="3"/>
  <c r="U1022" i="3"/>
  <c r="U1023" i="3"/>
  <c r="U1024" i="3"/>
  <c r="U1025" i="3"/>
  <c r="U1026" i="3"/>
  <c r="U1027" i="3"/>
  <c r="U1028" i="3"/>
  <c r="U1029" i="3"/>
  <c r="U1030" i="3"/>
  <c r="U1031" i="3"/>
  <c r="U1032" i="3"/>
  <c r="U1033" i="3"/>
  <c r="U1034" i="3"/>
  <c r="U1035" i="3"/>
  <c r="U1036" i="3"/>
  <c r="U1037" i="3"/>
  <c r="U1038" i="3"/>
  <c r="U1039" i="3"/>
  <c r="U1040" i="3"/>
  <c r="U1041" i="3"/>
  <c r="U1042" i="3"/>
  <c r="U1043" i="3"/>
  <c r="U1044" i="3"/>
  <c r="U1045" i="3"/>
  <c r="U1046" i="3"/>
  <c r="U1047" i="3"/>
  <c r="U1048" i="3"/>
  <c r="U1049" i="3"/>
  <c r="U1050" i="3"/>
  <c r="U1051" i="3"/>
  <c r="U1052" i="3"/>
  <c r="U1053" i="3"/>
  <c r="U1054" i="3"/>
  <c r="U1055" i="3"/>
  <c r="U1056" i="3"/>
  <c r="U1057" i="3"/>
  <c r="U1058" i="3"/>
  <c r="U1059" i="3"/>
  <c r="U1060" i="3"/>
  <c r="U1061" i="3"/>
  <c r="U1062" i="3"/>
  <c r="U1063" i="3"/>
  <c r="U1064" i="3"/>
  <c r="U1065" i="3"/>
  <c r="U1066" i="3"/>
  <c r="U1067" i="3"/>
  <c r="U1068" i="3"/>
  <c r="U1069" i="3"/>
  <c r="U1070" i="3"/>
  <c r="U1071" i="3"/>
  <c r="U1072" i="3"/>
  <c r="U1073" i="3"/>
  <c r="U1074" i="3"/>
  <c r="U1075" i="3"/>
  <c r="U1076" i="3"/>
  <c r="U1080" i="3"/>
  <c r="U1081" i="3"/>
  <c r="U1082" i="3"/>
  <c r="U1083" i="3"/>
  <c r="U1084" i="3"/>
  <c r="U1085" i="3"/>
  <c r="U1086" i="3"/>
  <c r="U1087" i="3"/>
  <c r="U1088" i="3"/>
  <c r="U1089" i="3"/>
  <c r="U1090" i="3"/>
  <c r="U1091" i="3"/>
  <c r="U1092" i="3"/>
  <c r="U1093" i="3"/>
  <c r="U1094" i="3"/>
  <c r="U1095" i="3"/>
  <c r="U1096" i="3"/>
  <c r="U1097" i="3"/>
  <c r="U1098" i="3"/>
  <c r="U1099" i="3"/>
  <c r="U1100" i="3"/>
  <c r="U1101" i="3"/>
  <c r="U1102" i="3"/>
  <c r="U1103" i="3"/>
  <c r="U1104" i="3"/>
  <c r="U1105" i="3"/>
  <c r="U1106" i="3"/>
  <c r="U1107" i="3"/>
  <c r="U1108" i="3"/>
  <c r="U1109" i="3"/>
  <c r="U1110" i="3"/>
  <c r="U1111" i="3"/>
  <c r="U1112" i="3"/>
  <c r="U1113" i="3"/>
  <c r="U1114" i="3"/>
  <c r="U1115" i="3"/>
  <c r="U1116" i="3"/>
  <c r="U1117" i="3"/>
  <c r="U1118" i="3"/>
  <c r="U1119" i="3"/>
  <c r="U1120" i="3"/>
  <c r="U1121" i="3"/>
  <c r="U1122" i="3"/>
  <c r="U1123" i="3"/>
  <c r="U1124" i="3"/>
  <c r="U1125" i="3"/>
  <c r="U1126" i="3"/>
  <c r="U1127" i="3"/>
  <c r="U1128" i="3"/>
  <c r="U1129" i="3"/>
  <c r="U1130" i="3"/>
  <c r="U1131" i="3"/>
  <c r="U1132" i="3"/>
  <c r="U1133" i="3"/>
  <c r="U1134" i="3"/>
  <c r="U1135" i="3"/>
  <c r="U1136" i="3"/>
  <c r="U1137" i="3"/>
  <c r="U1138" i="3"/>
  <c r="U1139" i="3"/>
  <c r="U1140" i="3"/>
  <c r="U1141" i="3"/>
  <c r="U1142" i="3"/>
  <c r="U1143" i="3"/>
  <c r="U1144" i="3"/>
  <c r="U1145" i="3"/>
  <c r="U1146" i="3"/>
  <c r="U1147" i="3"/>
  <c r="U1148" i="3"/>
  <c r="U1149" i="3"/>
  <c r="U1150" i="3"/>
  <c r="U1151" i="3"/>
  <c r="U1152" i="3"/>
  <c r="U1153" i="3"/>
  <c r="U1154" i="3"/>
  <c r="U1155" i="3"/>
  <c r="U1156" i="3"/>
  <c r="U1157" i="3"/>
  <c r="U1158" i="3"/>
  <c r="U1159" i="3"/>
  <c r="U1160" i="3"/>
  <c r="U1161" i="3"/>
  <c r="U1162" i="3"/>
  <c r="U1163" i="3"/>
  <c r="U1164" i="3"/>
  <c r="U1165" i="3"/>
  <c r="U1166" i="3"/>
  <c r="U1167" i="3"/>
  <c r="U1168" i="3"/>
  <c r="U1169" i="3"/>
  <c r="U1170" i="3"/>
  <c r="U1171" i="3"/>
  <c r="U1172" i="3"/>
  <c r="U1173" i="3"/>
  <c r="U1174" i="3"/>
  <c r="U1175" i="3"/>
  <c r="U1176" i="3"/>
  <c r="U1177" i="3"/>
  <c r="U1178" i="3"/>
  <c r="U1179" i="3"/>
  <c r="U1180" i="3"/>
  <c r="U1181" i="3"/>
  <c r="U1182" i="3"/>
  <c r="U1183" i="3"/>
  <c r="U1184" i="3"/>
  <c r="U1185" i="3"/>
  <c r="U1186" i="3"/>
  <c r="U1187" i="3"/>
  <c r="U1188" i="3"/>
  <c r="U1189" i="3"/>
  <c r="U1190" i="3"/>
  <c r="U1191" i="3"/>
  <c r="U1192" i="3"/>
  <c r="U1193" i="3"/>
  <c r="U1194" i="3"/>
  <c r="U1195" i="3"/>
  <c r="U1196" i="3"/>
  <c r="U1197" i="3"/>
  <c r="U1198" i="3"/>
  <c r="U1199" i="3"/>
  <c r="U1200" i="3"/>
  <c r="U1201" i="3"/>
  <c r="U1202" i="3"/>
  <c r="U1203" i="3"/>
  <c r="U1204" i="3"/>
  <c r="U1205" i="3"/>
  <c r="U1206" i="3"/>
  <c r="U1207" i="3"/>
  <c r="U1208" i="3"/>
  <c r="U1209" i="3"/>
  <c r="U1210" i="3"/>
  <c r="U1211" i="3"/>
  <c r="U1212" i="3"/>
  <c r="U1213" i="3"/>
  <c r="U1214" i="3"/>
  <c r="U1219" i="3"/>
  <c r="U1220" i="3"/>
  <c r="U1221" i="3"/>
  <c r="U1222" i="3"/>
  <c r="U1223" i="3"/>
  <c r="U1224" i="3"/>
  <c r="U1225" i="3"/>
  <c r="U1226" i="3"/>
  <c r="U1228" i="3"/>
  <c r="U1229" i="3"/>
  <c r="U1230" i="3"/>
  <c r="U1231" i="3"/>
  <c r="U1232" i="3"/>
  <c r="U1233" i="3"/>
  <c r="U1234" i="3"/>
  <c r="U1235" i="3"/>
  <c r="U1236" i="3"/>
  <c r="U1237" i="3"/>
  <c r="U1238" i="3"/>
  <c r="U1239" i="3"/>
  <c r="U1240" i="3"/>
  <c r="U1241" i="3"/>
  <c r="U1242" i="3"/>
  <c r="U1243" i="3"/>
  <c r="U1244" i="3"/>
  <c r="U1245" i="3"/>
  <c r="U1246" i="3"/>
  <c r="U1247" i="3"/>
  <c r="U1248" i="3"/>
  <c r="U1249" i="3"/>
  <c r="U1250" i="3"/>
  <c r="U1251" i="3"/>
  <c r="U1252" i="3"/>
  <c r="U1253" i="3"/>
  <c r="U1254" i="3"/>
  <c r="U1255" i="3"/>
  <c r="U1256" i="3"/>
  <c r="U1257" i="3"/>
  <c r="U1258" i="3"/>
  <c r="U1259" i="3"/>
  <c r="U1260" i="3"/>
  <c r="U1261" i="3"/>
  <c r="U1262" i="3"/>
  <c r="U1263" i="3"/>
  <c r="U1264" i="3"/>
  <c r="U1265" i="3"/>
  <c r="U1266" i="3"/>
  <c r="U1267" i="3"/>
  <c r="U1268" i="3"/>
  <c r="U1269" i="3"/>
  <c r="U1270" i="3"/>
  <c r="U1271" i="3"/>
  <c r="U1272" i="3"/>
  <c r="U1273" i="3"/>
  <c r="U1274" i="3"/>
  <c r="U1275" i="3"/>
  <c r="U1276" i="3"/>
  <c r="U1277" i="3"/>
  <c r="U1278" i="3"/>
  <c r="U1279" i="3"/>
  <c r="U1280" i="3"/>
  <c r="U1281" i="3"/>
  <c r="U1282" i="3"/>
  <c r="U1283" i="3"/>
  <c r="U1284" i="3"/>
  <c r="U1285" i="3"/>
  <c r="U1286" i="3"/>
  <c r="U1287" i="3"/>
  <c r="U1288" i="3"/>
  <c r="U1289" i="3"/>
  <c r="U1290" i="3"/>
  <c r="U1291" i="3"/>
  <c r="U1292" i="3"/>
  <c r="U1293" i="3"/>
  <c r="U1294" i="3"/>
  <c r="U1295" i="3"/>
  <c r="U1296" i="3"/>
  <c r="U1297" i="3"/>
  <c r="U1298" i="3"/>
  <c r="U1299" i="3"/>
  <c r="U1300" i="3"/>
  <c r="U1301" i="3"/>
  <c r="U1302" i="3"/>
  <c r="U1303" i="3"/>
  <c r="U1304" i="3"/>
  <c r="U1305" i="3"/>
  <c r="U1306" i="3"/>
  <c r="U1307" i="3"/>
  <c r="U1308" i="3"/>
  <c r="U1309" i="3"/>
  <c r="U1310" i="3"/>
  <c r="U1311" i="3"/>
  <c r="U1312" i="3"/>
  <c r="U1313" i="3"/>
  <c r="U1314" i="3"/>
  <c r="U1315" i="3"/>
  <c r="U1316" i="3"/>
  <c r="U1317" i="3"/>
  <c r="U1318" i="3"/>
  <c r="U1319" i="3"/>
  <c r="U1320" i="3"/>
  <c r="U1321" i="3"/>
  <c r="U1322" i="3"/>
  <c r="U1323" i="3"/>
  <c r="U1324" i="3"/>
  <c r="U1325" i="3"/>
  <c r="U1326" i="3"/>
  <c r="U1327" i="3"/>
  <c r="U1328" i="3"/>
  <c r="U1329" i="3"/>
  <c r="U1330" i="3"/>
  <c r="U1331" i="3"/>
  <c r="U1332" i="3"/>
  <c r="U1333" i="3"/>
  <c r="U1334" i="3"/>
  <c r="U1335" i="3"/>
  <c r="U1336" i="3"/>
  <c r="U1337" i="3"/>
  <c r="U1338" i="3"/>
  <c r="U1339" i="3"/>
  <c r="U1340" i="3"/>
  <c r="U1341" i="3"/>
  <c r="U1342" i="3"/>
  <c r="U1343" i="3"/>
  <c r="U1344" i="3"/>
  <c r="U1345" i="3"/>
  <c r="U1346" i="3"/>
  <c r="U1347" i="3"/>
  <c r="U1348" i="3"/>
  <c r="U1349" i="3"/>
  <c r="U1350" i="3"/>
  <c r="U1351" i="3"/>
  <c r="U1352" i="3"/>
  <c r="U1353" i="3"/>
  <c r="U1354" i="3"/>
  <c r="U1355" i="3"/>
  <c r="U1356" i="3"/>
  <c r="U1357" i="3"/>
  <c r="U1358" i="3"/>
  <c r="U1359" i="3"/>
  <c r="U1360" i="3"/>
  <c r="U1361" i="3"/>
  <c r="U1362" i="3"/>
  <c r="U1363" i="3"/>
  <c r="U1364" i="3"/>
  <c r="U1365" i="3"/>
  <c r="U1366" i="3"/>
  <c r="U1367" i="3"/>
  <c r="U1368" i="3"/>
  <c r="U1369" i="3"/>
  <c r="U1370" i="3"/>
  <c r="U1371" i="3"/>
  <c r="U1372" i="3"/>
  <c r="U1373" i="3"/>
  <c r="U1374" i="3"/>
  <c r="U1375" i="3"/>
  <c r="U1376" i="3"/>
  <c r="U1377" i="3"/>
  <c r="U1378" i="3"/>
  <c r="U1379" i="3"/>
  <c r="U1380" i="3"/>
  <c r="U1381" i="3"/>
  <c r="U1382" i="3"/>
  <c r="U1383" i="3"/>
  <c r="U1384" i="3"/>
  <c r="U1385" i="3"/>
  <c r="U1386" i="3"/>
  <c r="U1387" i="3"/>
  <c r="U1388" i="3"/>
  <c r="U1389" i="3"/>
  <c r="U1390" i="3"/>
  <c r="U1391" i="3"/>
  <c r="U1392" i="3"/>
  <c r="U1393" i="3"/>
  <c r="U1394" i="3"/>
  <c r="U1395" i="3"/>
  <c r="U1396" i="3"/>
  <c r="U1397" i="3"/>
  <c r="U1398" i="3"/>
  <c r="U1399" i="3"/>
  <c r="U1400" i="3"/>
  <c r="U1401" i="3"/>
  <c r="U1402" i="3"/>
  <c r="U1403" i="3"/>
  <c r="U1404" i="3"/>
  <c r="U1405" i="3"/>
  <c r="U1406" i="3"/>
  <c r="U1407" i="3"/>
  <c r="U1408" i="3"/>
  <c r="U1409" i="3"/>
  <c r="U1410" i="3"/>
  <c r="U1411" i="3"/>
  <c r="U1412" i="3"/>
  <c r="U1413" i="3"/>
  <c r="U1414" i="3"/>
  <c r="U1415" i="3"/>
  <c r="U1416" i="3"/>
  <c r="U1417" i="3"/>
  <c r="U1418" i="3"/>
  <c r="U1419" i="3"/>
  <c r="U1420" i="3"/>
  <c r="U1421" i="3"/>
  <c r="U1422" i="3"/>
  <c r="U1423" i="3"/>
  <c r="U1424" i="3"/>
  <c r="U1425" i="3"/>
  <c r="U1426" i="3"/>
  <c r="U1427" i="3"/>
  <c r="U1428" i="3"/>
  <c r="U1429" i="3"/>
  <c r="U1430" i="3"/>
  <c r="U1431" i="3"/>
  <c r="U1432" i="3"/>
  <c r="U1433" i="3"/>
  <c r="U1434" i="3"/>
  <c r="U1435" i="3"/>
  <c r="U1436" i="3"/>
  <c r="U1437" i="3"/>
  <c r="U1438" i="3"/>
  <c r="U1439" i="3"/>
  <c r="U1440" i="3"/>
  <c r="U1441" i="3"/>
  <c r="U1442" i="3"/>
  <c r="U1443" i="3"/>
  <c r="U1444" i="3"/>
  <c r="U1445" i="3"/>
  <c r="U1446" i="3"/>
  <c r="U1448" i="3"/>
  <c r="U1449" i="3"/>
  <c r="U1450" i="3"/>
  <c r="U1451" i="3"/>
  <c r="U1452" i="3"/>
  <c r="U1453" i="3"/>
  <c r="U1454" i="3"/>
  <c r="U1455" i="3"/>
  <c r="U1456" i="3"/>
  <c r="U1457" i="3"/>
  <c r="U1458" i="3"/>
  <c r="U1459" i="3"/>
  <c r="U1460" i="3"/>
  <c r="U1461" i="3"/>
  <c r="U1462" i="3"/>
  <c r="U1463" i="3"/>
  <c r="U1464" i="3"/>
  <c r="U1465" i="3"/>
  <c r="U1466" i="3"/>
  <c r="U1467" i="3"/>
  <c r="U1468" i="3"/>
  <c r="U1469" i="3"/>
  <c r="U1470" i="3"/>
  <c r="U1471" i="3"/>
  <c r="U1472" i="3"/>
  <c r="U1473" i="3"/>
  <c r="U1474" i="3"/>
  <c r="U1475" i="3"/>
  <c r="U1476" i="3"/>
  <c r="U1477" i="3"/>
  <c r="U1478" i="3"/>
  <c r="U1479" i="3"/>
  <c r="U1480" i="3"/>
  <c r="U1481" i="3"/>
  <c r="U1482" i="3"/>
  <c r="U1483" i="3"/>
  <c r="U1484" i="3"/>
  <c r="U1485" i="3"/>
  <c r="U1486" i="3"/>
  <c r="U1487" i="3"/>
  <c r="U1488" i="3"/>
  <c r="U1489" i="3"/>
  <c r="U1490" i="3"/>
  <c r="U1491" i="3"/>
  <c r="U1492" i="3"/>
  <c r="U1493" i="3"/>
  <c r="U1494" i="3"/>
  <c r="U1495" i="3"/>
  <c r="U1496" i="3"/>
  <c r="U1497" i="3"/>
  <c r="U1498" i="3"/>
  <c r="U1499" i="3"/>
  <c r="U1500" i="3"/>
  <c r="U1501" i="3"/>
  <c r="U1502" i="3"/>
  <c r="U1503" i="3"/>
  <c r="U1504" i="3"/>
  <c r="U1505" i="3"/>
  <c r="U1506" i="3"/>
  <c r="U1507" i="3"/>
  <c r="U1508" i="3"/>
  <c r="U1509" i="3"/>
  <c r="U1510" i="3"/>
  <c r="U1511" i="3"/>
  <c r="U1512" i="3"/>
  <c r="U1513" i="3"/>
  <c r="U1514" i="3"/>
  <c r="U1515" i="3"/>
  <c r="U1516" i="3"/>
  <c r="U1517" i="3"/>
  <c r="U1518" i="3"/>
  <c r="U1519" i="3"/>
  <c r="U1520" i="3"/>
  <c r="U1521" i="3"/>
  <c r="U1522" i="3"/>
  <c r="U1523" i="3"/>
  <c r="U1524" i="3"/>
  <c r="U1525" i="3"/>
  <c r="U1526" i="3"/>
  <c r="U1527" i="3"/>
  <c r="U1528" i="3"/>
  <c r="U1529" i="3"/>
  <c r="U1530" i="3"/>
  <c r="U1531" i="3"/>
  <c r="U1532" i="3"/>
  <c r="U1533" i="3"/>
  <c r="U1534" i="3"/>
  <c r="U1535" i="3"/>
  <c r="U1536" i="3"/>
  <c r="U1537" i="3"/>
  <c r="U1538" i="3"/>
  <c r="U1539" i="3"/>
  <c r="U1540" i="3"/>
  <c r="U1541" i="3"/>
  <c r="U1542" i="3"/>
  <c r="U1543" i="3"/>
  <c r="U1544" i="3"/>
  <c r="U1545" i="3"/>
  <c r="U1546" i="3"/>
  <c r="U1547" i="3"/>
  <c r="U1548" i="3"/>
  <c r="U1549" i="3"/>
  <c r="U1550" i="3"/>
  <c r="U1551" i="3"/>
  <c r="U1552" i="3"/>
  <c r="U1553" i="3"/>
  <c r="U1554" i="3"/>
  <c r="U1555" i="3"/>
  <c r="U1556" i="3"/>
  <c r="U1557" i="3"/>
  <c r="U1558" i="3"/>
  <c r="U1559" i="3"/>
  <c r="U1560" i="3"/>
  <c r="U1561" i="3"/>
  <c r="U1562" i="3"/>
  <c r="U1563" i="3"/>
  <c r="U1564" i="3"/>
  <c r="U1565" i="3"/>
  <c r="U1566" i="3"/>
  <c r="U1567" i="3"/>
  <c r="U1568" i="3"/>
  <c r="U1569" i="3"/>
  <c r="U1570" i="3"/>
  <c r="U1571" i="3"/>
  <c r="U1572" i="3"/>
  <c r="U1573" i="3"/>
  <c r="U1574" i="3"/>
  <c r="U1575" i="3"/>
  <c r="U1576" i="3"/>
  <c r="U1577" i="3"/>
  <c r="U1578" i="3"/>
  <c r="U1579" i="3"/>
  <c r="U1580" i="3"/>
  <c r="U1581" i="3"/>
  <c r="U1582" i="3"/>
  <c r="U1583" i="3"/>
  <c r="U1584" i="3"/>
  <c r="U1585" i="3"/>
  <c r="U1586" i="3"/>
  <c r="U1587" i="3"/>
  <c r="U1588" i="3"/>
  <c r="U1589" i="3"/>
  <c r="U1590" i="3"/>
  <c r="U1591" i="3"/>
  <c r="U1592" i="3"/>
  <c r="U1593" i="3"/>
  <c r="U1594" i="3"/>
  <c r="U1595" i="3"/>
  <c r="U1596" i="3"/>
  <c r="U1597" i="3"/>
  <c r="U1598" i="3"/>
  <c r="U1599" i="3"/>
  <c r="U1600" i="3"/>
  <c r="U1601" i="3"/>
  <c r="U1602" i="3"/>
  <c r="U1603" i="3"/>
  <c r="U1604" i="3"/>
  <c r="U1605" i="3"/>
  <c r="U1606" i="3"/>
  <c r="U1607" i="3"/>
  <c r="U1608" i="3"/>
  <c r="U1609" i="3"/>
  <c r="U1610" i="3"/>
  <c r="U1611" i="3"/>
  <c r="U1612" i="3"/>
  <c r="U1613" i="3"/>
  <c r="U1614" i="3"/>
  <c r="U1615" i="3"/>
  <c r="U1616" i="3"/>
  <c r="U1617" i="3"/>
  <c r="U1618" i="3"/>
  <c r="U1619" i="3"/>
  <c r="U1620" i="3"/>
  <c r="U1621" i="3"/>
  <c r="U1622" i="3"/>
  <c r="U1623" i="3"/>
  <c r="U1624" i="3"/>
  <c r="U1625" i="3"/>
  <c r="U1626" i="3"/>
  <c r="U1627" i="3"/>
  <c r="U1628" i="3"/>
  <c r="U1629" i="3"/>
  <c r="U1630" i="3"/>
  <c r="U1631" i="3"/>
  <c r="U1632" i="3"/>
  <c r="U1633" i="3"/>
  <c r="U1634" i="3"/>
  <c r="U1635" i="3"/>
  <c r="U1636" i="3"/>
  <c r="U1637" i="3"/>
  <c r="U1638" i="3"/>
  <c r="U1639" i="3"/>
  <c r="U1640" i="3"/>
  <c r="U1641" i="3"/>
  <c r="U1642" i="3"/>
  <c r="U1643" i="3"/>
  <c r="U1644" i="3"/>
  <c r="U1645" i="3"/>
  <c r="U1646" i="3"/>
  <c r="U1647" i="3"/>
  <c r="U1648" i="3"/>
  <c r="U1649" i="3"/>
  <c r="U1650" i="3"/>
  <c r="U1651" i="3"/>
  <c r="U1652" i="3"/>
  <c r="U1653" i="3"/>
  <c r="U1654" i="3"/>
  <c r="U1655" i="3"/>
  <c r="U1656" i="3"/>
  <c r="U1657" i="3"/>
  <c r="U1658" i="3"/>
  <c r="U1659" i="3"/>
  <c r="U1660" i="3"/>
  <c r="U1661" i="3"/>
  <c r="U1662" i="3"/>
  <c r="U1663" i="3"/>
  <c r="U1664" i="3"/>
  <c r="U1665" i="3"/>
  <c r="U1666" i="3"/>
  <c r="U1667" i="3"/>
  <c r="U1668" i="3"/>
  <c r="U1669" i="3"/>
  <c r="U1670" i="3"/>
  <c r="T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0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5" i="3"/>
  <c r="T706" i="3"/>
  <c r="T707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1" i="3"/>
  <c r="T722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7" i="3"/>
  <c r="T738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69" i="3"/>
  <c r="T770" i="3"/>
  <c r="T771" i="3"/>
  <c r="T772" i="3"/>
  <c r="T773" i="3"/>
  <c r="T774" i="3"/>
  <c r="T775" i="3"/>
  <c r="T776" i="3"/>
  <c r="T777" i="3"/>
  <c r="T778" i="3"/>
  <c r="T779" i="3"/>
  <c r="T780" i="3"/>
  <c r="T781" i="3"/>
  <c r="T782" i="3"/>
  <c r="T783" i="3"/>
  <c r="T784" i="3"/>
  <c r="T785" i="3"/>
  <c r="T786" i="3"/>
  <c r="T787" i="3"/>
  <c r="T788" i="3"/>
  <c r="T789" i="3"/>
  <c r="T790" i="3"/>
  <c r="T791" i="3"/>
  <c r="T792" i="3"/>
  <c r="T793" i="3"/>
  <c r="T794" i="3"/>
  <c r="T795" i="3"/>
  <c r="T796" i="3"/>
  <c r="T797" i="3"/>
  <c r="T798" i="3"/>
  <c r="T799" i="3"/>
  <c r="T800" i="3"/>
  <c r="T801" i="3"/>
  <c r="T802" i="3"/>
  <c r="T803" i="3"/>
  <c r="T804" i="3"/>
  <c r="T805" i="3"/>
  <c r="T806" i="3"/>
  <c r="T807" i="3"/>
  <c r="T808" i="3"/>
  <c r="T809" i="3"/>
  <c r="T810" i="3"/>
  <c r="T811" i="3"/>
  <c r="T812" i="3"/>
  <c r="T814" i="3"/>
  <c r="T815" i="3"/>
  <c r="T816" i="3"/>
  <c r="T817" i="3"/>
  <c r="T818" i="3"/>
  <c r="T819" i="3"/>
  <c r="T830" i="3"/>
  <c r="T831" i="3"/>
  <c r="T832" i="3"/>
  <c r="T821" i="3"/>
  <c r="T822" i="3"/>
  <c r="T823" i="3"/>
  <c r="T824" i="3"/>
  <c r="T825" i="3"/>
  <c r="T826" i="3"/>
  <c r="T827" i="3"/>
  <c r="T828" i="3"/>
  <c r="T829" i="3"/>
  <c r="T833" i="3"/>
  <c r="T834" i="3"/>
  <c r="T835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49" i="3"/>
  <c r="T850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883" i="3"/>
  <c r="T884" i="3"/>
  <c r="T885" i="3"/>
  <c r="T886" i="3"/>
  <c r="T887" i="3"/>
  <c r="T888" i="3"/>
  <c r="T889" i="3"/>
  <c r="T890" i="3"/>
  <c r="T891" i="3"/>
  <c r="T892" i="3"/>
  <c r="T893" i="3"/>
  <c r="T894" i="3"/>
  <c r="T895" i="3"/>
  <c r="T896" i="3"/>
  <c r="T897" i="3"/>
  <c r="T898" i="3"/>
  <c r="T899" i="3"/>
  <c r="T900" i="3"/>
  <c r="T901" i="3"/>
  <c r="T902" i="3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29" i="3"/>
  <c r="T930" i="3"/>
  <c r="T931" i="3"/>
  <c r="T932" i="3"/>
  <c r="T933" i="3"/>
  <c r="T934" i="3"/>
  <c r="T935" i="3"/>
  <c r="T936" i="3"/>
  <c r="T947" i="3"/>
  <c r="T948" i="3"/>
  <c r="T949" i="3"/>
  <c r="T950" i="3"/>
  <c r="T951" i="3"/>
  <c r="T952" i="3"/>
  <c r="T953" i="3"/>
  <c r="T954" i="3"/>
  <c r="T955" i="3"/>
  <c r="T956" i="3"/>
  <c r="T957" i="3"/>
  <c r="T958" i="3"/>
  <c r="T959" i="3"/>
  <c r="T960" i="3"/>
  <c r="T961" i="3"/>
  <c r="T962" i="3"/>
  <c r="T963" i="3"/>
  <c r="T964" i="3"/>
  <c r="T965" i="3"/>
  <c r="T966" i="3"/>
  <c r="T967" i="3"/>
  <c r="T968" i="3"/>
  <c r="T969" i="3"/>
  <c r="T970" i="3"/>
  <c r="T971" i="3"/>
  <c r="T972" i="3"/>
  <c r="T973" i="3"/>
  <c r="T974" i="3"/>
  <c r="T975" i="3"/>
  <c r="T976" i="3"/>
  <c r="T977" i="3"/>
  <c r="T978" i="3"/>
  <c r="T979" i="3"/>
  <c r="T980" i="3"/>
  <c r="T981" i="3"/>
  <c r="T982" i="3"/>
  <c r="T983" i="3"/>
  <c r="T984" i="3"/>
  <c r="T985" i="3"/>
  <c r="T986" i="3"/>
  <c r="T987" i="3"/>
  <c r="T988" i="3"/>
  <c r="T989" i="3"/>
  <c r="T990" i="3"/>
  <c r="T991" i="3"/>
  <c r="T992" i="3"/>
  <c r="T993" i="3"/>
  <c r="T994" i="3"/>
  <c r="T995" i="3"/>
  <c r="T996" i="3"/>
  <c r="T997" i="3"/>
  <c r="T998" i="3"/>
  <c r="T999" i="3"/>
  <c r="T1000" i="3"/>
  <c r="T1001" i="3"/>
  <c r="T1002" i="3"/>
  <c r="T1003" i="3"/>
  <c r="T1004" i="3"/>
  <c r="T1005" i="3"/>
  <c r="T1006" i="3"/>
  <c r="T1007" i="3"/>
  <c r="T1008" i="3"/>
  <c r="T1009" i="3"/>
  <c r="T1010" i="3"/>
  <c r="T1011" i="3"/>
  <c r="T1012" i="3"/>
  <c r="T1013" i="3"/>
  <c r="T1014" i="3"/>
  <c r="T1015" i="3"/>
  <c r="T1016" i="3"/>
  <c r="T1017" i="3"/>
  <c r="T1018" i="3"/>
  <c r="T1019" i="3"/>
  <c r="T1020" i="3"/>
  <c r="T1021" i="3"/>
  <c r="T1022" i="3"/>
  <c r="T1023" i="3"/>
  <c r="T1024" i="3"/>
  <c r="T1025" i="3"/>
  <c r="T1026" i="3"/>
  <c r="T1027" i="3"/>
  <c r="T1028" i="3"/>
  <c r="T1029" i="3"/>
  <c r="T1030" i="3"/>
  <c r="T1031" i="3"/>
  <c r="T1032" i="3"/>
  <c r="T1033" i="3"/>
  <c r="T1034" i="3"/>
  <c r="T1035" i="3"/>
  <c r="T1036" i="3"/>
  <c r="T1037" i="3"/>
  <c r="T1038" i="3"/>
  <c r="T1039" i="3"/>
  <c r="T1040" i="3"/>
  <c r="T1041" i="3"/>
  <c r="T1042" i="3"/>
  <c r="T1043" i="3"/>
  <c r="T1044" i="3"/>
  <c r="T1045" i="3"/>
  <c r="T1046" i="3"/>
  <c r="T1047" i="3"/>
  <c r="T1048" i="3"/>
  <c r="T1049" i="3"/>
  <c r="T1050" i="3"/>
  <c r="T1051" i="3"/>
  <c r="T1052" i="3"/>
  <c r="T1053" i="3"/>
  <c r="T1054" i="3"/>
  <c r="T1055" i="3"/>
  <c r="T1056" i="3"/>
  <c r="T1057" i="3"/>
  <c r="T1058" i="3"/>
  <c r="T1059" i="3"/>
  <c r="T1060" i="3"/>
  <c r="T1061" i="3"/>
  <c r="T1062" i="3"/>
  <c r="T1063" i="3"/>
  <c r="T1064" i="3"/>
  <c r="T1065" i="3"/>
  <c r="T1066" i="3"/>
  <c r="T1067" i="3"/>
  <c r="T1068" i="3"/>
  <c r="T1069" i="3"/>
  <c r="T1070" i="3"/>
  <c r="T1071" i="3"/>
  <c r="T1072" i="3"/>
  <c r="T1073" i="3"/>
  <c r="T1074" i="3"/>
  <c r="T1075" i="3"/>
  <c r="T1076" i="3"/>
  <c r="T1080" i="3"/>
  <c r="T1081" i="3"/>
  <c r="T1082" i="3"/>
  <c r="T1083" i="3"/>
  <c r="T1084" i="3"/>
  <c r="T1085" i="3"/>
  <c r="T1086" i="3"/>
  <c r="T1087" i="3"/>
  <c r="T1088" i="3"/>
  <c r="T1089" i="3"/>
  <c r="T1090" i="3"/>
  <c r="T1091" i="3"/>
  <c r="T1092" i="3"/>
  <c r="T1093" i="3"/>
  <c r="T1094" i="3"/>
  <c r="T1095" i="3"/>
  <c r="T1096" i="3"/>
  <c r="T1097" i="3"/>
  <c r="T1098" i="3"/>
  <c r="T1099" i="3"/>
  <c r="T1100" i="3"/>
  <c r="T1101" i="3"/>
  <c r="T1102" i="3"/>
  <c r="T1103" i="3"/>
  <c r="T1104" i="3"/>
  <c r="T1105" i="3"/>
  <c r="T1106" i="3"/>
  <c r="T1107" i="3"/>
  <c r="T1108" i="3"/>
  <c r="T1109" i="3"/>
  <c r="T1110" i="3"/>
  <c r="T1111" i="3"/>
  <c r="T1112" i="3"/>
  <c r="T1113" i="3"/>
  <c r="T1114" i="3"/>
  <c r="T1115" i="3"/>
  <c r="T1116" i="3"/>
  <c r="T1117" i="3"/>
  <c r="T1118" i="3"/>
  <c r="T1119" i="3"/>
  <c r="T1120" i="3"/>
  <c r="T1121" i="3"/>
  <c r="T1122" i="3"/>
  <c r="T1123" i="3"/>
  <c r="T1124" i="3"/>
  <c r="T1125" i="3"/>
  <c r="T1126" i="3"/>
  <c r="T1127" i="3"/>
  <c r="T1128" i="3"/>
  <c r="T1129" i="3"/>
  <c r="T1130" i="3"/>
  <c r="T1131" i="3"/>
  <c r="T1132" i="3"/>
  <c r="T1133" i="3"/>
  <c r="T1134" i="3"/>
  <c r="T1135" i="3"/>
  <c r="T1136" i="3"/>
  <c r="T1137" i="3"/>
  <c r="T1138" i="3"/>
  <c r="T1139" i="3"/>
  <c r="T1140" i="3"/>
  <c r="T1141" i="3"/>
  <c r="T1142" i="3"/>
  <c r="T1143" i="3"/>
  <c r="T1144" i="3"/>
  <c r="T1145" i="3"/>
  <c r="T1146" i="3"/>
  <c r="T1147" i="3"/>
  <c r="T1148" i="3"/>
  <c r="T1149" i="3"/>
  <c r="T1150" i="3"/>
  <c r="T1151" i="3"/>
  <c r="T1152" i="3"/>
  <c r="T1153" i="3"/>
  <c r="T1154" i="3"/>
  <c r="T1155" i="3"/>
  <c r="T1156" i="3"/>
  <c r="T1157" i="3"/>
  <c r="T1158" i="3"/>
  <c r="T1159" i="3"/>
  <c r="T1160" i="3"/>
  <c r="T1161" i="3"/>
  <c r="T1162" i="3"/>
  <c r="T1163" i="3"/>
  <c r="T1164" i="3"/>
  <c r="T1165" i="3"/>
  <c r="T1166" i="3"/>
  <c r="T1167" i="3"/>
  <c r="T1168" i="3"/>
  <c r="T1169" i="3"/>
  <c r="T1170" i="3"/>
  <c r="T1171" i="3"/>
  <c r="T1172" i="3"/>
  <c r="T1173" i="3"/>
  <c r="T1174" i="3"/>
  <c r="T1175" i="3"/>
  <c r="T1176" i="3"/>
  <c r="T1177" i="3"/>
  <c r="T1178" i="3"/>
  <c r="T1179" i="3"/>
  <c r="T1180" i="3"/>
  <c r="T1181" i="3"/>
  <c r="T1182" i="3"/>
  <c r="T1183" i="3"/>
  <c r="T1184" i="3"/>
  <c r="T1185" i="3"/>
  <c r="T1186" i="3"/>
  <c r="T1187" i="3"/>
  <c r="T1188" i="3"/>
  <c r="T1189" i="3"/>
  <c r="T1190" i="3"/>
  <c r="T1191" i="3"/>
  <c r="T1192" i="3"/>
  <c r="T1193" i="3"/>
  <c r="T1194" i="3"/>
  <c r="T1195" i="3"/>
  <c r="T1196" i="3"/>
  <c r="T1197" i="3"/>
  <c r="T1198" i="3"/>
  <c r="T1199" i="3"/>
  <c r="T1200" i="3"/>
  <c r="T1201" i="3"/>
  <c r="T1202" i="3"/>
  <c r="T1203" i="3"/>
  <c r="T1204" i="3"/>
  <c r="T1205" i="3"/>
  <c r="T1206" i="3"/>
  <c r="T1207" i="3"/>
  <c r="T1208" i="3"/>
  <c r="T1209" i="3"/>
  <c r="T1210" i="3"/>
  <c r="T1211" i="3"/>
  <c r="T1212" i="3"/>
  <c r="T1213" i="3"/>
  <c r="T1214" i="3"/>
  <c r="T1219" i="3"/>
  <c r="T1220" i="3"/>
  <c r="T1221" i="3"/>
  <c r="T1222" i="3"/>
  <c r="T1223" i="3"/>
  <c r="T1224" i="3"/>
  <c r="T1225" i="3"/>
  <c r="T1226" i="3"/>
  <c r="T1228" i="3"/>
  <c r="T1229" i="3"/>
  <c r="T1230" i="3"/>
  <c r="T1231" i="3"/>
  <c r="T1232" i="3"/>
  <c r="T1233" i="3"/>
  <c r="T1234" i="3"/>
  <c r="T1235" i="3"/>
  <c r="T1236" i="3"/>
  <c r="T1237" i="3"/>
  <c r="T1238" i="3"/>
  <c r="T1239" i="3"/>
  <c r="T1240" i="3"/>
  <c r="T1241" i="3"/>
  <c r="T1242" i="3"/>
  <c r="T1243" i="3"/>
  <c r="T1244" i="3"/>
  <c r="T1245" i="3"/>
  <c r="T1246" i="3"/>
  <c r="T1247" i="3"/>
  <c r="T1248" i="3"/>
  <c r="T1249" i="3"/>
  <c r="T1250" i="3"/>
  <c r="T1251" i="3"/>
  <c r="T1252" i="3"/>
  <c r="T1253" i="3"/>
  <c r="T1254" i="3"/>
  <c r="T1255" i="3"/>
  <c r="T1256" i="3"/>
  <c r="T1257" i="3"/>
  <c r="T1258" i="3"/>
  <c r="T1259" i="3"/>
  <c r="T1260" i="3"/>
  <c r="T1261" i="3"/>
  <c r="T1262" i="3"/>
  <c r="T1263" i="3"/>
  <c r="T1264" i="3"/>
  <c r="T1265" i="3"/>
  <c r="T1266" i="3"/>
  <c r="T1267" i="3"/>
  <c r="T1268" i="3"/>
  <c r="T1269" i="3"/>
  <c r="T1270" i="3"/>
  <c r="T1271" i="3"/>
  <c r="T1272" i="3"/>
  <c r="T1273" i="3"/>
  <c r="T1274" i="3"/>
  <c r="T1275" i="3"/>
  <c r="T1276" i="3"/>
  <c r="T1277" i="3"/>
  <c r="T1278" i="3"/>
  <c r="T1279" i="3"/>
  <c r="T1280" i="3"/>
  <c r="T1281" i="3"/>
  <c r="T1282" i="3"/>
  <c r="T1283" i="3"/>
  <c r="T1284" i="3"/>
  <c r="T1285" i="3"/>
  <c r="T1286" i="3"/>
  <c r="T1287" i="3"/>
  <c r="T1288" i="3"/>
  <c r="T1289" i="3"/>
  <c r="T1290" i="3"/>
  <c r="T1291" i="3"/>
  <c r="T1292" i="3"/>
  <c r="T1293" i="3"/>
  <c r="T1294" i="3"/>
  <c r="T1295" i="3"/>
  <c r="T1296" i="3"/>
  <c r="T1297" i="3"/>
  <c r="T1298" i="3"/>
  <c r="T1299" i="3"/>
  <c r="T1300" i="3"/>
  <c r="T1301" i="3"/>
  <c r="T1302" i="3"/>
  <c r="T1303" i="3"/>
  <c r="T1304" i="3"/>
  <c r="T1305" i="3"/>
  <c r="T1306" i="3"/>
  <c r="T1307" i="3"/>
  <c r="T1308" i="3"/>
  <c r="T1309" i="3"/>
  <c r="T1310" i="3"/>
  <c r="T1311" i="3"/>
  <c r="T1312" i="3"/>
  <c r="T1313" i="3"/>
  <c r="T1314" i="3"/>
  <c r="T1315" i="3"/>
  <c r="T1316" i="3"/>
  <c r="T1317" i="3"/>
  <c r="T1318" i="3"/>
  <c r="T1319" i="3"/>
  <c r="T1320" i="3"/>
  <c r="T1321" i="3"/>
  <c r="T1322" i="3"/>
  <c r="T1323" i="3"/>
  <c r="T1324" i="3"/>
  <c r="T1325" i="3"/>
  <c r="T1326" i="3"/>
  <c r="T1327" i="3"/>
  <c r="T1328" i="3"/>
  <c r="T1329" i="3"/>
  <c r="T1330" i="3"/>
  <c r="T1331" i="3"/>
  <c r="T1332" i="3"/>
  <c r="T1333" i="3"/>
  <c r="T1334" i="3"/>
  <c r="T1335" i="3"/>
  <c r="T1336" i="3"/>
  <c r="T1337" i="3"/>
  <c r="T1338" i="3"/>
  <c r="T1339" i="3"/>
  <c r="T1340" i="3"/>
  <c r="T1341" i="3"/>
  <c r="T1342" i="3"/>
  <c r="T1343" i="3"/>
  <c r="T1344" i="3"/>
  <c r="T1345" i="3"/>
  <c r="T1346" i="3"/>
  <c r="T1347" i="3"/>
  <c r="T1348" i="3"/>
  <c r="T1349" i="3"/>
  <c r="T1350" i="3"/>
  <c r="T1351" i="3"/>
  <c r="T1352" i="3"/>
  <c r="T1353" i="3"/>
  <c r="T1354" i="3"/>
  <c r="T1355" i="3"/>
  <c r="T1356" i="3"/>
  <c r="T1357" i="3"/>
  <c r="T1358" i="3"/>
  <c r="T1359" i="3"/>
  <c r="T1360" i="3"/>
  <c r="T1361" i="3"/>
  <c r="T1362" i="3"/>
  <c r="T1363" i="3"/>
  <c r="T1364" i="3"/>
  <c r="T1365" i="3"/>
  <c r="T1366" i="3"/>
  <c r="T1367" i="3"/>
  <c r="T1368" i="3"/>
  <c r="T1369" i="3"/>
  <c r="T1370" i="3"/>
  <c r="T1371" i="3"/>
  <c r="T1372" i="3"/>
  <c r="T1373" i="3"/>
  <c r="T1374" i="3"/>
  <c r="T1375" i="3"/>
  <c r="T1376" i="3"/>
  <c r="T1377" i="3"/>
  <c r="T1378" i="3"/>
  <c r="T1379" i="3"/>
  <c r="T1380" i="3"/>
  <c r="T1381" i="3"/>
  <c r="T1382" i="3"/>
  <c r="T1383" i="3"/>
  <c r="T1384" i="3"/>
  <c r="T1385" i="3"/>
  <c r="T1386" i="3"/>
  <c r="T1387" i="3"/>
  <c r="T1388" i="3"/>
  <c r="T1389" i="3"/>
  <c r="T1390" i="3"/>
  <c r="T1391" i="3"/>
  <c r="T1392" i="3"/>
  <c r="T1393" i="3"/>
  <c r="T1394" i="3"/>
  <c r="T1395" i="3"/>
  <c r="T1396" i="3"/>
  <c r="T1397" i="3"/>
  <c r="T1398" i="3"/>
  <c r="T1399" i="3"/>
  <c r="T1400" i="3"/>
  <c r="T1401" i="3"/>
  <c r="T1402" i="3"/>
  <c r="T1403" i="3"/>
  <c r="T1404" i="3"/>
  <c r="T1405" i="3"/>
  <c r="T1406" i="3"/>
  <c r="T1407" i="3"/>
  <c r="T1408" i="3"/>
  <c r="T1409" i="3"/>
  <c r="T1410" i="3"/>
  <c r="T1411" i="3"/>
  <c r="T1412" i="3"/>
  <c r="T1413" i="3"/>
  <c r="T1414" i="3"/>
  <c r="T1415" i="3"/>
  <c r="T1416" i="3"/>
  <c r="T1417" i="3"/>
  <c r="T1418" i="3"/>
  <c r="T1419" i="3"/>
  <c r="T1420" i="3"/>
  <c r="T1421" i="3"/>
  <c r="T1422" i="3"/>
  <c r="T1423" i="3"/>
  <c r="T1424" i="3"/>
  <c r="T1425" i="3"/>
  <c r="T1426" i="3"/>
  <c r="T1427" i="3"/>
  <c r="T1428" i="3"/>
  <c r="T1429" i="3"/>
  <c r="T1430" i="3"/>
  <c r="T1431" i="3"/>
  <c r="T1432" i="3"/>
  <c r="T1433" i="3"/>
  <c r="T1434" i="3"/>
  <c r="T1435" i="3"/>
  <c r="T1436" i="3"/>
  <c r="T1437" i="3"/>
  <c r="T1438" i="3"/>
  <c r="T1439" i="3"/>
  <c r="T1440" i="3"/>
  <c r="T1441" i="3"/>
  <c r="T1442" i="3"/>
  <c r="T1443" i="3"/>
  <c r="T1444" i="3"/>
  <c r="T1445" i="3"/>
  <c r="T1446" i="3"/>
  <c r="T1448" i="3"/>
  <c r="T1449" i="3"/>
  <c r="T1450" i="3"/>
  <c r="T1451" i="3"/>
  <c r="T1452" i="3"/>
  <c r="T1453" i="3"/>
  <c r="T1454" i="3"/>
  <c r="T1455" i="3"/>
  <c r="T1456" i="3"/>
  <c r="T1457" i="3"/>
  <c r="T1458" i="3"/>
  <c r="T1459" i="3"/>
  <c r="T1460" i="3"/>
  <c r="T1461" i="3"/>
  <c r="T1462" i="3"/>
  <c r="T1463" i="3"/>
  <c r="T1464" i="3"/>
  <c r="T1465" i="3"/>
  <c r="T1466" i="3"/>
  <c r="T1467" i="3"/>
  <c r="T1468" i="3"/>
  <c r="T1469" i="3"/>
  <c r="T1470" i="3"/>
  <c r="T1471" i="3"/>
  <c r="T1472" i="3"/>
  <c r="T1473" i="3"/>
  <c r="T1474" i="3"/>
  <c r="T1475" i="3"/>
  <c r="T1476" i="3"/>
  <c r="T1477" i="3"/>
  <c r="T1478" i="3"/>
  <c r="T1479" i="3"/>
  <c r="T1480" i="3"/>
  <c r="T1481" i="3"/>
  <c r="T1482" i="3"/>
  <c r="T1483" i="3"/>
  <c r="T1484" i="3"/>
  <c r="T1485" i="3"/>
  <c r="T1486" i="3"/>
  <c r="T1487" i="3"/>
  <c r="T1488" i="3"/>
  <c r="T1489" i="3"/>
  <c r="T1490" i="3"/>
  <c r="T1491" i="3"/>
  <c r="T1492" i="3"/>
  <c r="T1493" i="3"/>
  <c r="T1494" i="3"/>
  <c r="T1495" i="3"/>
  <c r="T1496" i="3"/>
  <c r="T1497" i="3"/>
  <c r="T1498" i="3"/>
  <c r="T1499" i="3"/>
  <c r="T1500" i="3"/>
  <c r="T1501" i="3"/>
  <c r="T1502" i="3"/>
  <c r="T1503" i="3"/>
  <c r="T1504" i="3"/>
  <c r="T1505" i="3"/>
  <c r="T1506" i="3"/>
  <c r="T1507" i="3"/>
  <c r="T1508" i="3"/>
  <c r="T1509" i="3"/>
  <c r="T1510" i="3"/>
  <c r="T1511" i="3"/>
  <c r="T1512" i="3"/>
  <c r="T1513" i="3"/>
  <c r="T1514" i="3"/>
  <c r="T1515" i="3"/>
  <c r="T1516" i="3"/>
  <c r="T1517" i="3"/>
  <c r="T1518" i="3"/>
  <c r="T1519" i="3"/>
  <c r="T1520" i="3"/>
  <c r="T1521" i="3"/>
  <c r="T1522" i="3"/>
  <c r="T1523" i="3"/>
  <c r="T1524" i="3"/>
  <c r="T1525" i="3"/>
  <c r="T1526" i="3"/>
  <c r="T1527" i="3"/>
  <c r="T1528" i="3"/>
  <c r="T1529" i="3"/>
  <c r="T1530" i="3"/>
  <c r="T1531" i="3"/>
  <c r="T1532" i="3"/>
  <c r="T1533" i="3"/>
  <c r="T1534" i="3"/>
  <c r="T1535" i="3"/>
  <c r="T1536" i="3"/>
  <c r="T1537" i="3"/>
  <c r="T1538" i="3"/>
  <c r="T1539" i="3"/>
  <c r="T1540" i="3"/>
  <c r="T1541" i="3"/>
  <c r="T1542" i="3"/>
  <c r="T1543" i="3"/>
  <c r="T1544" i="3"/>
  <c r="T1545" i="3"/>
  <c r="T1546" i="3"/>
  <c r="T1547" i="3"/>
  <c r="T1548" i="3"/>
  <c r="T1549" i="3"/>
  <c r="T1550" i="3"/>
  <c r="T1551" i="3"/>
  <c r="T1552" i="3"/>
  <c r="T1553" i="3"/>
  <c r="T1554" i="3"/>
  <c r="T1555" i="3"/>
  <c r="T1556" i="3"/>
  <c r="T1557" i="3"/>
  <c r="T1558" i="3"/>
  <c r="T1559" i="3"/>
  <c r="T1560" i="3"/>
  <c r="T1561" i="3"/>
  <c r="T1562" i="3"/>
  <c r="T1563" i="3"/>
  <c r="T1564" i="3"/>
  <c r="T1565" i="3"/>
  <c r="T1566" i="3"/>
  <c r="T1567" i="3"/>
  <c r="T1568" i="3"/>
  <c r="T1569" i="3"/>
  <c r="T1570" i="3"/>
  <c r="T1571" i="3"/>
  <c r="T1572" i="3"/>
  <c r="T1573" i="3"/>
  <c r="T1574" i="3"/>
  <c r="T1575" i="3"/>
  <c r="T1576" i="3"/>
  <c r="T1577" i="3"/>
  <c r="T1578" i="3"/>
  <c r="T1579" i="3"/>
  <c r="T1580" i="3"/>
  <c r="T1581" i="3"/>
  <c r="T1582" i="3"/>
  <c r="T1583" i="3"/>
  <c r="T1584" i="3"/>
  <c r="T1585" i="3"/>
  <c r="T1586" i="3"/>
  <c r="T1587" i="3"/>
  <c r="T1588" i="3"/>
  <c r="T1589" i="3"/>
  <c r="T1590" i="3"/>
  <c r="T1591" i="3"/>
  <c r="T1592" i="3"/>
  <c r="T1593" i="3"/>
  <c r="T1594" i="3"/>
  <c r="T1595" i="3"/>
  <c r="T1596" i="3"/>
  <c r="T1597" i="3"/>
  <c r="T1598" i="3"/>
  <c r="T1599" i="3"/>
  <c r="T1600" i="3"/>
  <c r="T1601" i="3"/>
  <c r="T1602" i="3"/>
  <c r="T1603" i="3"/>
  <c r="T1604" i="3"/>
  <c r="T1605" i="3"/>
  <c r="T1606" i="3"/>
  <c r="T1607" i="3"/>
  <c r="T1608" i="3"/>
  <c r="T1609" i="3"/>
  <c r="T1610" i="3"/>
  <c r="T1611" i="3"/>
  <c r="T1612" i="3"/>
  <c r="T1613" i="3"/>
  <c r="T1614" i="3"/>
  <c r="T1615" i="3"/>
  <c r="T1616" i="3"/>
  <c r="T1617" i="3"/>
  <c r="T1618" i="3"/>
  <c r="T1619" i="3"/>
  <c r="T1620" i="3"/>
  <c r="T1621" i="3"/>
  <c r="T1622" i="3"/>
  <c r="T1623" i="3"/>
  <c r="T1624" i="3"/>
  <c r="T1625" i="3"/>
  <c r="T1626" i="3"/>
  <c r="T1627" i="3"/>
  <c r="T1628" i="3"/>
  <c r="T1629" i="3"/>
  <c r="T1630" i="3"/>
  <c r="T1631" i="3"/>
  <c r="T1632" i="3"/>
  <c r="T1633" i="3"/>
  <c r="T1634" i="3"/>
  <c r="T1635" i="3"/>
  <c r="T1636" i="3"/>
  <c r="T1637" i="3"/>
  <c r="T1638" i="3"/>
  <c r="T1639" i="3"/>
  <c r="T1640" i="3"/>
  <c r="T1641" i="3"/>
  <c r="T1642" i="3"/>
  <c r="T1643" i="3"/>
  <c r="T1644" i="3"/>
  <c r="T1645" i="3"/>
  <c r="T1646" i="3"/>
  <c r="T1647" i="3"/>
  <c r="T1648" i="3"/>
  <c r="T1649" i="3"/>
  <c r="T1650" i="3"/>
  <c r="T1651" i="3"/>
  <c r="T1652" i="3"/>
  <c r="T1653" i="3"/>
  <c r="T1654" i="3"/>
  <c r="T1655" i="3"/>
  <c r="T1656" i="3"/>
  <c r="T1657" i="3"/>
  <c r="T1658" i="3"/>
  <c r="T1659" i="3"/>
  <c r="T1660" i="3"/>
  <c r="T1661" i="3"/>
  <c r="T1662" i="3"/>
  <c r="T1663" i="3"/>
  <c r="T1664" i="3"/>
  <c r="T1665" i="3"/>
  <c r="T1666" i="3"/>
  <c r="T1667" i="3"/>
  <c r="T1668" i="3"/>
  <c r="T1669" i="3"/>
  <c r="T1670" i="3"/>
  <c r="I1602" i="3"/>
  <c r="O1602" i="3"/>
  <c r="P1602" i="3" s="1"/>
  <c r="I351" i="3"/>
  <c r="I350" i="3"/>
  <c r="O350" i="3"/>
  <c r="P350" i="3" s="1"/>
  <c r="O351" i="3"/>
  <c r="P351" i="3" s="1"/>
  <c r="I352" i="3"/>
  <c r="O352" i="3"/>
  <c r="P352" i="3" s="1"/>
  <c r="O1226" i="3"/>
  <c r="P1226" i="3" s="1"/>
  <c r="O936" i="3"/>
  <c r="P936" i="3" s="1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O904" i="3"/>
  <c r="P904" i="3" s="1"/>
  <c r="O905" i="3"/>
  <c r="P905" i="3" s="1"/>
  <c r="O906" i="3"/>
  <c r="P906" i="3" s="1"/>
  <c r="O907" i="3"/>
  <c r="P907" i="3" s="1"/>
  <c r="O908" i="3"/>
  <c r="P908" i="3" s="1"/>
  <c r="O909" i="3"/>
  <c r="P909" i="3" s="1"/>
  <c r="O910" i="3"/>
  <c r="P910" i="3" s="1"/>
  <c r="O911" i="3"/>
  <c r="P911" i="3" s="1"/>
  <c r="O912" i="3"/>
  <c r="P912" i="3" s="1"/>
  <c r="O913" i="3"/>
  <c r="P913" i="3" s="1"/>
  <c r="O914" i="3"/>
  <c r="P914" i="3" s="1"/>
  <c r="O915" i="3"/>
  <c r="P915" i="3" s="1"/>
  <c r="O916" i="3"/>
  <c r="P916" i="3" s="1"/>
  <c r="O917" i="3"/>
  <c r="P917" i="3" s="1"/>
  <c r="O918" i="3"/>
  <c r="P918" i="3" s="1"/>
  <c r="O919" i="3"/>
  <c r="P919" i="3" s="1"/>
  <c r="O920" i="3"/>
  <c r="P920" i="3" s="1"/>
  <c r="O921" i="3"/>
  <c r="P921" i="3" s="1"/>
  <c r="O922" i="3"/>
  <c r="P922" i="3" s="1"/>
  <c r="O923" i="3"/>
  <c r="P923" i="3" s="1"/>
  <c r="O924" i="3"/>
  <c r="P924" i="3" s="1"/>
  <c r="O925" i="3"/>
  <c r="P925" i="3" s="1"/>
  <c r="O926" i="3"/>
  <c r="P926" i="3" s="1"/>
  <c r="O927" i="3"/>
  <c r="P927" i="3" s="1"/>
  <c r="O928" i="3"/>
  <c r="P928" i="3" s="1"/>
  <c r="O929" i="3"/>
  <c r="P929" i="3" s="1"/>
  <c r="O930" i="3"/>
  <c r="P930" i="3" s="1"/>
  <c r="O931" i="3"/>
  <c r="P931" i="3" s="1"/>
  <c r="O932" i="3"/>
  <c r="P932" i="3" s="1"/>
  <c r="O933" i="3"/>
  <c r="P933" i="3" s="1"/>
  <c r="O934" i="3"/>
  <c r="P934" i="3" s="1"/>
  <c r="O935" i="3"/>
  <c r="P935" i="3" s="1"/>
  <c r="O1219" i="3"/>
  <c r="P1219" i="3" s="1"/>
  <c r="I1220" i="3"/>
  <c r="I1221" i="3"/>
  <c r="I1222" i="3"/>
  <c r="I1223" i="3"/>
  <c r="I1224" i="3"/>
  <c r="I1225" i="3"/>
  <c r="I1226" i="3"/>
  <c r="O1220" i="3"/>
  <c r="P1220" i="3" s="1"/>
  <c r="O1221" i="3"/>
  <c r="P1221" i="3" s="1"/>
  <c r="O1222" i="3"/>
  <c r="P1222" i="3" s="1"/>
  <c r="O1223" i="3"/>
  <c r="P1223" i="3" s="1"/>
  <c r="O1224" i="3"/>
  <c r="P1224" i="3" s="1"/>
  <c r="O1225" i="3"/>
  <c r="P1225" i="3" s="1"/>
  <c r="I121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O1010" i="3"/>
  <c r="P1010" i="3" s="1"/>
  <c r="O1011" i="3"/>
  <c r="P1011" i="3" s="1"/>
  <c r="O1012" i="3"/>
  <c r="P1012" i="3" s="1"/>
  <c r="O1013" i="3"/>
  <c r="P1013" i="3" s="1"/>
  <c r="O1014" i="3"/>
  <c r="P1014" i="3" s="1"/>
  <c r="O1015" i="3"/>
  <c r="P1015" i="3" s="1"/>
  <c r="O1016" i="3"/>
  <c r="P1016" i="3" s="1"/>
  <c r="O1017" i="3"/>
  <c r="P1017" i="3" s="1"/>
  <c r="O1018" i="3"/>
  <c r="P1018" i="3" s="1"/>
  <c r="O1019" i="3"/>
  <c r="P1019" i="3" s="1"/>
  <c r="O1020" i="3"/>
  <c r="P1020" i="3" s="1"/>
  <c r="O1021" i="3"/>
  <c r="P1021" i="3" s="1"/>
  <c r="O1022" i="3"/>
  <c r="P1022" i="3" s="1"/>
  <c r="O1023" i="3"/>
  <c r="P1023" i="3" s="1"/>
  <c r="O1024" i="3"/>
  <c r="P1024" i="3" s="1"/>
  <c r="O1025" i="3"/>
  <c r="P1025" i="3" s="1"/>
  <c r="O1026" i="3"/>
  <c r="P1026" i="3" s="1"/>
  <c r="O1027" i="3"/>
  <c r="P1027" i="3" s="1"/>
  <c r="O1028" i="3"/>
  <c r="P1028" i="3" s="1"/>
  <c r="O1029" i="3"/>
  <c r="P1029" i="3" s="1"/>
  <c r="O1030" i="3"/>
  <c r="P1030" i="3" s="1"/>
  <c r="O1031" i="3"/>
  <c r="P1031" i="3" s="1"/>
  <c r="O1032" i="3"/>
  <c r="P1032" i="3" s="1"/>
  <c r="O1033" i="3"/>
  <c r="P1033" i="3" s="1"/>
  <c r="O1034" i="3"/>
  <c r="P1034" i="3" s="1"/>
  <c r="O1035" i="3"/>
  <c r="P1035" i="3" s="1"/>
  <c r="O1036" i="3"/>
  <c r="P1036" i="3" s="1"/>
  <c r="O1037" i="3"/>
  <c r="P1037" i="3" s="1"/>
  <c r="O1038" i="3"/>
  <c r="P1038" i="3" s="1"/>
  <c r="O1039" i="3"/>
  <c r="P1039" i="3" s="1"/>
  <c r="O1040" i="3"/>
  <c r="P1040" i="3" s="1"/>
  <c r="O1041" i="3"/>
  <c r="P1041" i="3" s="1"/>
  <c r="O1042" i="3"/>
  <c r="P1042" i="3" s="1"/>
  <c r="O1043" i="3"/>
  <c r="P1043" i="3" s="1"/>
  <c r="O1044" i="3"/>
  <c r="P1044" i="3" s="1"/>
  <c r="O1045" i="3"/>
  <c r="P1045" i="3" s="1"/>
  <c r="O1046" i="3"/>
  <c r="P1046" i="3" s="1"/>
  <c r="O1047" i="3"/>
  <c r="P1047" i="3" s="1"/>
  <c r="O1048" i="3"/>
  <c r="P1048" i="3" s="1"/>
  <c r="O1049" i="3"/>
  <c r="P1049" i="3" s="1"/>
  <c r="O1050" i="3"/>
  <c r="P1050" i="3" s="1"/>
  <c r="O1051" i="3"/>
  <c r="P1051" i="3" s="1"/>
  <c r="O1052" i="3"/>
  <c r="P1052" i="3" s="1"/>
  <c r="O1053" i="3"/>
  <c r="P1053" i="3" s="1"/>
  <c r="O1054" i="3"/>
  <c r="P1054" i="3" s="1"/>
  <c r="O1055" i="3"/>
  <c r="P1055" i="3" s="1"/>
  <c r="O1056" i="3"/>
  <c r="P1056" i="3" s="1"/>
  <c r="O1057" i="3"/>
  <c r="P1057" i="3" s="1"/>
  <c r="O1058" i="3"/>
  <c r="P1058" i="3" s="1"/>
  <c r="O1059" i="3"/>
  <c r="P1059" i="3" s="1"/>
  <c r="O1060" i="3"/>
  <c r="P1060" i="3" s="1"/>
  <c r="O1061" i="3"/>
  <c r="P1061" i="3" s="1"/>
  <c r="O1062" i="3"/>
  <c r="P1062" i="3" s="1"/>
  <c r="O1063" i="3"/>
  <c r="P1063" i="3" s="1"/>
  <c r="O1064" i="3"/>
  <c r="P1064" i="3" s="1"/>
  <c r="O1065" i="3"/>
  <c r="P1065" i="3" s="1"/>
  <c r="O1066" i="3"/>
  <c r="P1066" i="3" s="1"/>
  <c r="O1067" i="3"/>
  <c r="P1067" i="3" s="1"/>
  <c r="O1068" i="3"/>
  <c r="P1068" i="3" s="1"/>
  <c r="O1069" i="3"/>
  <c r="P1069" i="3" s="1"/>
  <c r="O1070" i="3"/>
  <c r="P1070" i="3" s="1"/>
  <c r="O1670" i="3"/>
  <c r="P1670" i="3" s="1"/>
  <c r="O819" i="3"/>
  <c r="P819" i="3" s="1"/>
  <c r="O124" i="3"/>
  <c r="P124" i="3" s="1"/>
  <c r="I523" i="3"/>
  <c r="I524" i="3"/>
  <c r="I1445" i="3"/>
  <c r="O523" i="3"/>
  <c r="P523" i="3" s="1"/>
  <c r="O524" i="3"/>
  <c r="P524" i="3" s="1"/>
  <c r="O1445" i="3"/>
  <c r="P1445" i="3" s="1"/>
  <c r="I1131" i="3"/>
  <c r="I1133" i="3"/>
  <c r="I1135" i="3"/>
  <c r="I1137" i="3"/>
  <c r="I1139" i="3"/>
  <c r="I518" i="3"/>
  <c r="I1444" i="3"/>
  <c r="I1145" i="3"/>
  <c r="I519" i="3"/>
  <c r="I520" i="3"/>
  <c r="I1446" i="3"/>
  <c r="I521" i="3"/>
  <c r="I1148" i="3"/>
  <c r="I1150" i="3"/>
  <c r="I1152" i="3"/>
  <c r="I1154" i="3"/>
  <c r="I1156" i="3"/>
  <c r="I1158" i="3"/>
  <c r="I1160" i="3"/>
  <c r="I1162" i="3"/>
  <c r="I1164" i="3"/>
  <c r="I1166" i="3"/>
  <c r="I1167" i="3"/>
  <c r="I522" i="3"/>
  <c r="I1228" i="3"/>
  <c r="I1229" i="3"/>
  <c r="I1230" i="3"/>
  <c r="I1231" i="3"/>
  <c r="I1232" i="3"/>
  <c r="I1233" i="3"/>
  <c r="I1234" i="3"/>
  <c r="I1235" i="3"/>
  <c r="I525" i="3"/>
  <c r="I526" i="3"/>
  <c r="I123" i="3"/>
  <c r="I124" i="3"/>
  <c r="O1131" i="3"/>
  <c r="P1131" i="3" s="1"/>
  <c r="O1133" i="3"/>
  <c r="P1133" i="3" s="1"/>
  <c r="O1135" i="3"/>
  <c r="P1135" i="3" s="1"/>
  <c r="O1137" i="3"/>
  <c r="P1137" i="3" s="1"/>
  <c r="O1139" i="3"/>
  <c r="P1139" i="3" s="1"/>
  <c r="O518" i="3"/>
  <c r="P518" i="3" s="1"/>
  <c r="O1444" i="3"/>
  <c r="P1444" i="3" s="1"/>
  <c r="O1145" i="3"/>
  <c r="P1145" i="3" s="1"/>
  <c r="O519" i="3"/>
  <c r="P519" i="3" s="1"/>
  <c r="O520" i="3"/>
  <c r="P520" i="3" s="1"/>
  <c r="O1446" i="3"/>
  <c r="P1446" i="3" s="1"/>
  <c r="O521" i="3"/>
  <c r="P521" i="3" s="1"/>
  <c r="O1148" i="3"/>
  <c r="P1148" i="3" s="1"/>
  <c r="O1150" i="3"/>
  <c r="P1150" i="3" s="1"/>
  <c r="O1152" i="3"/>
  <c r="P1152" i="3" s="1"/>
  <c r="O1154" i="3"/>
  <c r="P1154" i="3" s="1"/>
  <c r="O1156" i="3"/>
  <c r="P1156" i="3" s="1"/>
  <c r="O1158" i="3"/>
  <c r="P1158" i="3" s="1"/>
  <c r="O1160" i="3"/>
  <c r="P1160" i="3" s="1"/>
  <c r="O1162" i="3"/>
  <c r="P1162" i="3" s="1"/>
  <c r="O1164" i="3"/>
  <c r="P1164" i="3" s="1"/>
  <c r="O1166" i="3"/>
  <c r="P1166" i="3" s="1"/>
  <c r="O1167" i="3"/>
  <c r="P1167" i="3" s="1"/>
  <c r="O522" i="3"/>
  <c r="P522" i="3" s="1"/>
  <c r="O1228" i="3"/>
  <c r="P1228" i="3" s="1"/>
  <c r="O1229" i="3"/>
  <c r="P1229" i="3" s="1"/>
  <c r="O1230" i="3"/>
  <c r="P1230" i="3" s="1"/>
  <c r="O1231" i="3"/>
  <c r="P1231" i="3" s="1"/>
  <c r="O1232" i="3"/>
  <c r="P1232" i="3" s="1"/>
  <c r="O1233" i="3"/>
  <c r="P1233" i="3" s="1"/>
  <c r="O1234" i="3"/>
  <c r="P1234" i="3" s="1"/>
  <c r="O1235" i="3"/>
  <c r="P1235" i="3" s="1"/>
  <c r="O525" i="3"/>
  <c r="P525" i="3" s="1"/>
  <c r="O526" i="3"/>
  <c r="P526" i="3" s="1"/>
  <c r="O123" i="3"/>
  <c r="P123" i="3" s="1"/>
  <c r="O1665" i="3"/>
  <c r="P1665" i="3" s="1"/>
  <c r="O1664" i="3"/>
  <c r="P1664" i="3" s="1"/>
  <c r="O1659" i="3"/>
  <c r="P1659" i="3" s="1"/>
  <c r="O1658" i="3"/>
  <c r="P1658" i="3" s="1"/>
  <c r="O1657" i="3"/>
  <c r="P1657" i="3" s="1"/>
  <c r="O1656" i="3"/>
  <c r="P1656" i="3" s="1"/>
  <c r="I819" i="3"/>
  <c r="O1584" i="3"/>
  <c r="P1584" i="3" s="1"/>
  <c r="I1584" i="3"/>
  <c r="O1442" i="3"/>
  <c r="P1442" i="3" s="1"/>
  <c r="I1442" i="3"/>
  <c r="O1441" i="3"/>
  <c r="P1441" i="3" s="1"/>
  <c r="I1441" i="3"/>
  <c r="O1440" i="3"/>
  <c r="P1440" i="3" s="1"/>
  <c r="I1440" i="3"/>
  <c r="O349" i="3"/>
  <c r="P349" i="3" s="1"/>
  <c r="I349" i="3"/>
  <c r="O1669" i="3"/>
  <c r="P1669" i="3" s="1"/>
  <c r="O1668" i="3"/>
  <c r="P1668" i="3" s="1"/>
  <c r="O1667" i="3"/>
  <c r="P1667" i="3" s="1"/>
  <c r="O1666" i="3"/>
  <c r="P1666" i="3" s="1"/>
  <c r="O1663" i="3"/>
  <c r="P1663" i="3" s="1"/>
  <c r="O1662" i="3"/>
  <c r="P1662" i="3" s="1"/>
  <c r="O1661" i="3"/>
  <c r="P1661" i="3" s="1"/>
  <c r="O1660" i="3"/>
  <c r="P1660" i="3" s="1"/>
  <c r="O1655" i="3"/>
  <c r="P1655" i="3" s="1"/>
  <c r="O1654" i="3"/>
  <c r="P1654" i="3" s="1"/>
  <c r="O1653" i="3"/>
  <c r="P1653" i="3" s="1"/>
  <c r="O1652" i="3"/>
  <c r="P1652" i="3" s="1"/>
  <c r="O1651" i="3"/>
  <c r="P1651" i="3" s="1"/>
  <c r="O1650" i="3"/>
  <c r="P1650" i="3" s="1"/>
  <c r="O1649" i="3"/>
  <c r="P1649" i="3" s="1"/>
  <c r="O1648" i="3"/>
  <c r="P1648" i="3" s="1"/>
  <c r="O1647" i="3"/>
  <c r="P1647" i="3" s="1"/>
  <c r="O1646" i="3"/>
  <c r="P1646" i="3" s="1"/>
  <c r="O1645" i="3"/>
  <c r="P1645" i="3" s="1"/>
  <c r="O1644" i="3"/>
  <c r="P1644" i="3" s="1"/>
  <c r="O1643" i="3"/>
  <c r="P1643" i="3" s="1"/>
  <c r="O1642" i="3"/>
  <c r="P1642" i="3" s="1"/>
  <c r="O1641" i="3"/>
  <c r="P1641" i="3" s="1"/>
  <c r="O1640" i="3"/>
  <c r="P1640" i="3" s="1"/>
  <c r="O1639" i="3"/>
  <c r="P1639" i="3" s="1"/>
  <c r="O1638" i="3"/>
  <c r="P1638" i="3" s="1"/>
  <c r="O1637" i="3"/>
  <c r="P1637" i="3" s="1"/>
  <c r="O1636" i="3"/>
  <c r="P1636" i="3" s="1"/>
  <c r="O1635" i="3"/>
  <c r="P1635" i="3" s="1"/>
  <c r="O1634" i="3"/>
  <c r="P1634" i="3" s="1"/>
  <c r="O1633" i="3"/>
  <c r="P1633" i="3" s="1"/>
  <c r="O1632" i="3"/>
  <c r="P1632" i="3" s="1"/>
  <c r="O1631" i="3"/>
  <c r="P1631" i="3" s="1"/>
  <c r="O1630" i="3"/>
  <c r="P1630" i="3" s="1"/>
  <c r="O1629" i="3"/>
  <c r="P1629" i="3" s="1"/>
  <c r="O1628" i="3"/>
  <c r="P1628" i="3" s="1"/>
  <c r="O1627" i="3"/>
  <c r="P1627" i="3" s="1"/>
  <c r="O1626" i="3"/>
  <c r="P1626" i="3" s="1"/>
  <c r="O1625" i="3"/>
  <c r="P1625" i="3" s="1"/>
  <c r="O1624" i="3"/>
  <c r="P1624" i="3" s="1"/>
  <c r="O1623" i="3"/>
  <c r="P1623" i="3" s="1"/>
  <c r="O1622" i="3"/>
  <c r="P1622" i="3" s="1"/>
  <c r="O1621" i="3"/>
  <c r="P1621" i="3" s="1"/>
  <c r="O1620" i="3"/>
  <c r="P1620" i="3" s="1"/>
  <c r="O1619" i="3"/>
  <c r="P1619" i="3" s="1"/>
  <c r="O1618" i="3"/>
  <c r="P1618" i="3" s="1"/>
  <c r="O1617" i="3"/>
  <c r="P1617" i="3" s="1"/>
  <c r="O1616" i="3"/>
  <c r="P1616" i="3" s="1"/>
  <c r="O1615" i="3"/>
  <c r="P1615" i="3" s="1"/>
  <c r="O1614" i="3"/>
  <c r="P1614" i="3" s="1"/>
  <c r="O1613" i="3"/>
  <c r="P1613" i="3" s="1"/>
  <c r="O1612" i="3"/>
  <c r="P1612" i="3" s="1"/>
  <c r="O1611" i="3"/>
  <c r="P1611" i="3" s="1"/>
  <c r="O1610" i="3"/>
  <c r="P1610" i="3" s="1"/>
  <c r="O1609" i="3"/>
  <c r="P1609" i="3" s="1"/>
  <c r="O1608" i="3"/>
  <c r="P1608" i="3" s="1"/>
  <c r="O1607" i="3"/>
  <c r="P1607" i="3" s="1"/>
  <c r="O1606" i="3"/>
  <c r="P1606" i="3" s="1"/>
  <c r="O1605" i="3"/>
  <c r="P1605" i="3" s="1"/>
  <c r="O1604" i="3"/>
  <c r="P1604" i="3" s="1"/>
  <c r="O1603" i="3"/>
  <c r="P1603" i="3" s="1"/>
  <c r="O1601" i="3"/>
  <c r="P1601" i="3" s="1"/>
  <c r="O1600" i="3"/>
  <c r="P1600" i="3" s="1"/>
  <c r="O1599" i="3"/>
  <c r="P1599" i="3" s="1"/>
  <c r="O1598" i="3"/>
  <c r="P1598" i="3" s="1"/>
  <c r="O1597" i="3"/>
  <c r="P1597" i="3" s="1"/>
  <c r="O1596" i="3"/>
  <c r="P1596" i="3" s="1"/>
  <c r="O1595" i="3"/>
  <c r="P1595" i="3" s="1"/>
  <c r="O1594" i="3"/>
  <c r="P1594" i="3" s="1"/>
  <c r="O1593" i="3"/>
  <c r="P1593" i="3" s="1"/>
  <c r="O1592" i="3"/>
  <c r="P1592" i="3" s="1"/>
  <c r="O1591" i="3"/>
  <c r="P1591" i="3" s="1"/>
  <c r="O1590" i="3"/>
  <c r="P1590" i="3" s="1"/>
  <c r="O1589" i="3"/>
  <c r="P1589" i="3" s="1"/>
  <c r="O1588" i="3"/>
  <c r="P1588" i="3" s="1"/>
  <c r="O1587" i="3"/>
  <c r="P1587" i="3" s="1"/>
  <c r="O1586" i="3"/>
  <c r="P1586" i="3" s="1"/>
  <c r="O1585" i="3"/>
  <c r="P1585" i="3" s="1"/>
  <c r="O1583" i="3"/>
  <c r="P1583" i="3" s="1"/>
  <c r="O1582" i="3"/>
  <c r="P1582" i="3" s="1"/>
  <c r="O1581" i="3"/>
  <c r="P1581" i="3" s="1"/>
  <c r="O1580" i="3"/>
  <c r="P1580" i="3" s="1"/>
  <c r="O1579" i="3"/>
  <c r="P1579" i="3" s="1"/>
  <c r="O1578" i="3"/>
  <c r="P1578" i="3" s="1"/>
  <c r="O1577" i="3"/>
  <c r="P1577" i="3" s="1"/>
  <c r="O1576" i="3"/>
  <c r="P1576" i="3" s="1"/>
  <c r="O1575" i="3"/>
  <c r="P1575" i="3" s="1"/>
  <c r="O1574" i="3"/>
  <c r="P1574" i="3" s="1"/>
  <c r="O1573" i="3"/>
  <c r="P1573" i="3" s="1"/>
  <c r="O1572" i="3"/>
  <c r="P1572" i="3" s="1"/>
  <c r="O1571" i="3"/>
  <c r="P1571" i="3" s="1"/>
  <c r="O1570" i="3"/>
  <c r="P1570" i="3" s="1"/>
  <c r="O1569" i="3"/>
  <c r="P1569" i="3" s="1"/>
  <c r="O1568" i="3"/>
  <c r="P1568" i="3" s="1"/>
  <c r="O1567" i="3"/>
  <c r="P1567" i="3" s="1"/>
  <c r="O1566" i="3"/>
  <c r="P1566" i="3" s="1"/>
  <c r="O1565" i="3"/>
  <c r="P1565" i="3" s="1"/>
  <c r="O1564" i="3"/>
  <c r="P1564" i="3" s="1"/>
  <c r="O1563" i="3"/>
  <c r="P1563" i="3" s="1"/>
  <c r="O1562" i="3"/>
  <c r="P1562" i="3" s="1"/>
  <c r="O1561" i="3"/>
  <c r="P1561" i="3" s="1"/>
  <c r="O1560" i="3"/>
  <c r="P1560" i="3" s="1"/>
  <c r="O1559" i="3"/>
  <c r="P1559" i="3" s="1"/>
  <c r="O1558" i="3"/>
  <c r="P1558" i="3" s="1"/>
  <c r="O1557" i="3"/>
  <c r="P1557" i="3" s="1"/>
  <c r="O1556" i="3"/>
  <c r="P1556" i="3" s="1"/>
  <c r="O1555" i="3"/>
  <c r="P1555" i="3" s="1"/>
  <c r="O1554" i="3"/>
  <c r="P1554" i="3" s="1"/>
  <c r="O1553" i="3"/>
  <c r="P1553" i="3" s="1"/>
  <c r="O1552" i="3"/>
  <c r="P1552" i="3" s="1"/>
  <c r="O1551" i="3"/>
  <c r="P1551" i="3" s="1"/>
  <c r="O1550" i="3"/>
  <c r="P1550" i="3" s="1"/>
  <c r="O1549" i="3"/>
  <c r="P1549" i="3" s="1"/>
  <c r="O1548" i="3"/>
  <c r="P1548" i="3" s="1"/>
  <c r="O1547" i="3"/>
  <c r="P1547" i="3" s="1"/>
  <c r="O1546" i="3"/>
  <c r="P1546" i="3" s="1"/>
  <c r="O1545" i="3"/>
  <c r="P1545" i="3" s="1"/>
  <c r="O1544" i="3"/>
  <c r="P1544" i="3" s="1"/>
  <c r="O1543" i="3"/>
  <c r="P1543" i="3" s="1"/>
  <c r="O1542" i="3"/>
  <c r="P1542" i="3" s="1"/>
  <c r="O1541" i="3"/>
  <c r="P1541" i="3" s="1"/>
  <c r="O1540" i="3"/>
  <c r="P1540" i="3" s="1"/>
  <c r="O1539" i="3"/>
  <c r="P1539" i="3" s="1"/>
  <c r="O1538" i="3"/>
  <c r="P1538" i="3" s="1"/>
  <c r="O1537" i="3"/>
  <c r="P1537" i="3" s="1"/>
  <c r="O1536" i="3"/>
  <c r="P1536" i="3" s="1"/>
  <c r="O1535" i="3"/>
  <c r="P1535" i="3" s="1"/>
  <c r="O1534" i="3"/>
  <c r="P1534" i="3" s="1"/>
  <c r="O1533" i="3"/>
  <c r="P1533" i="3" s="1"/>
  <c r="O1532" i="3"/>
  <c r="P1532" i="3" s="1"/>
  <c r="O1531" i="3"/>
  <c r="P1531" i="3" s="1"/>
  <c r="O1530" i="3"/>
  <c r="P1530" i="3" s="1"/>
  <c r="O1529" i="3"/>
  <c r="P1529" i="3" s="1"/>
  <c r="O1528" i="3"/>
  <c r="P1528" i="3" s="1"/>
  <c r="O1527" i="3"/>
  <c r="P1527" i="3" s="1"/>
  <c r="O1526" i="3"/>
  <c r="P1526" i="3" s="1"/>
  <c r="O1525" i="3"/>
  <c r="P1525" i="3" s="1"/>
  <c r="O1524" i="3"/>
  <c r="P1524" i="3" s="1"/>
  <c r="O1523" i="3"/>
  <c r="P1523" i="3" s="1"/>
  <c r="O1522" i="3"/>
  <c r="P1522" i="3" s="1"/>
  <c r="O1521" i="3"/>
  <c r="P1521" i="3" s="1"/>
  <c r="O1520" i="3"/>
  <c r="P1520" i="3" s="1"/>
  <c r="O1519" i="3"/>
  <c r="P1519" i="3" s="1"/>
  <c r="O1518" i="3"/>
  <c r="P1518" i="3" s="1"/>
  <c r="O1517" i="3"/>
  <c r="P1517" i="3" s="1"/>
  <c r="O1516" i="3"/>
  <c r="P1516" i="3" s="1"/>
  <c r="O1515" i="3"/>
  <c r="P1515" i="3" s="1"/>
  <c r="O1514" i="3"/>
  <c r="P1514" i="3" s="1"/>
  <c r="O1513" i="3"/>
  <c r="P1513" i="3" s="1"/>
  <c r="O1512" i="3"/>
  <c r="P1512" i="3" s="1"/>
  <c r="O1511" i="3"/>
  <c r="P1511" i="3" s="1"/>
  <c r="O1510" i="3"/>
  <c r="P1510" i="3" s="1"/>
  <c r="O1509" i="3"/>
  <c r="P1509" i="3" s="1"/>
  <c r="O1508" i="3"/>
  <c r="P1508" i="3" s="1"/>
  <c r="O1507" i="3"/>
  <c r="P1507" i="3" s="1"/>
  <c r="O1506" i="3"/>
  <c r="P1506" i="3" s="1"/>
  <c r="O1505" i="3"/>
  <c r="P1505" i="3" s="1"/>
  <c r="O1504" i="3"/>
  <c r="P1504" i="3" s="1"/>
  <c r="O1503" i="3"/>
  <c r="P1503" i="3" s="1"/>
  <c r="O1502" i="3"/>
  <c r="P1502" i="3" s="1"/>
  <c r="O1501" i="3"/>
  <c r="P1501" i="3" s="1"/>
  <c r="O1500" i="3"/>
  <c r="P1500" i="3" s="1"/>
  <c r="O1499" i="3"/>
  <c r="P1499" i="3" s="1"/>
  <c r="O1498" i="3"/>
  <c r="P1498" i="3" s="1"/>
  <c r="O1497" i="3"/>
  <c r="P1497" i="3" s="1"/>
  <c r="O1496" i="3"/>
  <c r="P1496" i="3" s="1"/>
  <c r="O1495" i="3"/>
  <c r="P1495" i="3" s="1"/>
  <c r="O1494" i="3"/>
  <c r="P1494" i="3" s="1"/>
  <c r="O1493" i="3"/>
  <c r="P1493" i="3" s="1"/>
  <c r="O1492" i="3"/>
  <c r="P1492" i="3" s="1"/>
  <c r="O1491" i="3"/>
  <c r="P1491" i="3" s="1"/>
  <c r="O1490" i="3"/>
  <c r="P1490" i="3" s="1"/>
  <c r="O1489" i="3"/>
  <c r="P1489" i="3" s="1"/>
  <c r="O1488" i="3"/>
  <c r="P1488" i="3" s="1"/>
  <c r="O1487" i="3"/>
  <c r="P1487" i="3" s="1"/>
  <c r="O1486" i="3"/>
  <c r="P1486" i="3" s="1"/>
  <c r="O1485" i="3"/>
  <c r="P1485" i="3" s="1"/>
  <c r="O1484" i="3"/>
  <c r="P1484" i="3" s="1"/>
  <c r="O1483" i="3"/>
  <c r="P1483" i="3" s="1"/>
  <c r="O1482" i="3"/>
  <c r="P1482" i="3" s="1"/>
  <c r="O1481" i="3"/>
  <c r="P1481" i="3" s="1"/>
  <c r="O1480" i="3"/>
  <c r="P1480" i="3" s="1"/>
  <c r="O1479" i="3"/>
  <c r="P1479" i="3" s="1"/>
  <c r="O1478" i="3"/>
  <c r="P1478" i="3" s="1"/>
  <c r="O1477" i="3"/>
  <c r="P1477" i="3" s="1"/>
  <c r="O1476" i="3"/>
  <c r="P1476" i="3" s="1"/>
  <c r="O1475" i="3"/>
  <c r="P1475" i="3" s="1"/>
  <c r="O1474" i="3"/>
  <c r="P1474" i="3" s="1"/>
  <c r="O1473" i="3"/>
  <c r="P1473" i="3" s="1"/>
  <c r="O1472" i="3"/>
  <c r="P1472" i="3" s="1"/>
  <c r="O1471" i="3"/>
  <c r="P1471" i="3" s="1"/>
  <c r="O1470" i="3"/>
  <c r="P1470" i="3" s="1"/>
  <c r="O1469" i="3"/>
  <c r="P1469" i="3" s="1"/>
  <c r="O1468" i="3"/>
  <c r="P1468" i="3" s="1"/>
  <c r="O1467" i="3"/>
  <c r="P1467" i="3" s="1"/>
  <c r="O1466" i="3"/>
  <c r="P1466" i="3" s="1"/>
  <c r="O1465" i="3"/>
  <c r="P1465" i="3" s="1"/>
  <c r="O1464" i="3"/>
  <c r="P1464" i="3" s="1"/>
  <c r="O1463" i="3"/>
  <c r="P1463" i="3" s="1"/>
  <c r="O1462" i="3"/>
  <c r="P1462" i="3" s="1"/>
  <c r="O1461" i="3"/>
  <c r="P1461" i="3" s="1"/>
  <c r="O1460" i="3"/>
  <c r="P1460" i="3" s="1"/>
  <c r="O1459" i="3"/>
  <c r="P1459" i="3" s="1"/>
  <c r="O1458" i="3"/>
  <c r="P1458" i="3" s="1"/>
  <c r="O1457" i="3"/>
  <c r="P1457" i="3" s="1"/>
  <c r="O1456" i="3"/>
  <c r="P1456" i="3" s="1"/>
  <c r="O1455" i="3"/>
  <c r="P1455" i="3" s="1"/>
  <c r="O1454" i="3"/>
  <c r="P1454" i="3" s="1"/>
  <c r="O1453" i="3"/>
  <c r="P1453" i="3" s="1"/>
  <c r="O1452" i="3"/>
  <c r="P1452" i="3" s="1"/>
  <c r="O1451" i="3"/>
  <c r="P1451" i="3" s="1"/>
  <c r="O1450" i="3"/>
  <c r="P1450" i="3" s="1"/>
  <c r="O1449" i="3"/>
  <c r="P1449" i="3" s="1"/>
  <c r="O1448" i="3"/>
  <c r="P1448" i="3" s="1"/>
  <c r="O1443" i="3"/>
  <c r="P1443" i="3" s="1"/>
  <c r="O1439" i="3"/>
  <c r="P1439" i="3" s="1"/>
  <c r="O1438" i="3"/>
  <c r="P1438" i="3" s="1"/>
  <c r="O1437" i="3"/>
  <c r="P1437" i="3" s="1"/>
  <c r="O1436" i="3"/>
  <c r="P1436" i="3" s="1"/>
  <c r="O1435" i="3"/>
  <c r="P1435" i="3" s="1"/>
  <c r="O1434" i="3"/>
  <c r="P1434" i="3" s="1"/>
  <c r="O1433" i="3"/>
  <c r="P1433" i="3" s="1"/>
  <c r="O1432" i="3"/>
  <c r="P1432" i="3" s="1"/>
  <c r="O1431" i="3"/>
  <c r="P1431" i="3" s="1"/>
  <c r="O1430" i="3"/>
  <c r="P1430" i="3" s="1"/>
  <c r="O1429" i="3"/>
  <c r="P1429" i="3" s="1"/>
  <c r="O1428" i="3"/>
  <c r="P1428" i="3" s="1"/>
  <c r="O1427" i="3"/>
  <c r="P1427" i="3" s="1"/>
  <c r="O1426" i="3"/>
  <c r="P1426" i="3" s="1"/>
  <c r="O1425" i="3"/>
  <c r="P1425" i="3" s="1"/>
  <c r="O1424" i="3"/>
  <c r="P1424" i="3" s="1"/>
  <c r="O1423" i="3"/>
  <c r="P1423" i="3" s="1"/>
  <c r="O1422" i="3"/>
  <c r="P1422" i="3" s="1"/>
  <c r="O1421" i="3"/>
  <c r="P1421" i="3" s="1"/>
  <c r="O1420" i="3"/>
  <c r="P1420" i="3" s="1"/>
  <c r="O1419" i="3"/>
  <c r="P1419" i="3" s="1"/>
  <c r="O1418" i="3"/>
  <c r="P1418" i="3" s="1"/>
  <c r="O1417" i="3"/>
  <c r="P1417" i="3" s="1"/>
  <c r="O1416" i="3"/>
  <c r="P1416" i="3" s="1"/>
  <c r="O1415" i="3"/>
  <c r="P1415" i="3" s="1"/>
  <c r="O1414" i="3"/>
  <c r="P1414" i="3" s="1"/>
  <c r="O1413" i="3"/>
  <c r="P1413" i="3" s="1"/>
  <c r="O1412" i="3"/>
  <c r="P1412" i="3" s="1"/>
  <c r="O1411" i="3"/>
  <c r="P1411" i="3" s="1"/>
  <c r="O1410" i="3"/>
  <c r="P1410" i="3" s="1"/>
  <c r="O1409" i="3"/>
  <c r="P1409" i="3" s="1"/>
  <c r="O1408" i="3"/>
  <c r="P1408" i="3" s="1"/>
  <c r="O1407" i="3"/>
  <c r="P1407" i="3" s="1"/>
  <c r="O1406" i="3"/>
  <c r="P1406" i="3" s="1"/>
  <c r="O1405" i="3"/>
  <c r="P1405" i="3" s="1"/>
  <c r="O1404" i="3"/>
  <c r="P1404" i="3" s="1"/>
  <c r="O1403" i="3"/>
  <c r="P1403" i="3" s="1"/>
  <c r="O1402" i="3"/>
  <c r="P1402" i="3" s="1"/>
  <c r="O1401" i="3"/>
  <c r="P1401" i="3" s="1"/>
  <c r="O1400" i="3"/>
  <c r="P1400" i="3" s="1"/>
  <c r="O1399" i="3"/>
  <c r="P1399" i="3" s="1"/>
  <c r="O1398" i="3"/>
  <c r="P1398" i="3" s="1"/>
  <c r="O1397" i="3"/>
  <c r="P1397" i="3" s="1"/>
  <c r="O1396" i="3"/>
  <c r="P1396" i="3" s="1"/>
  <c r="O1395" i="3"/>
  <c r="P1395" i="3" s="1"/>
  <c r="O1394" i="3"/>
  <c r="P1394" i="3" s="1"/>
  <c r="O1393" i="3"/>
  <c r="P1393" i="3" s="1"/>
  <c r="O1392" i="3"/>
  <c r="P1392" i="3" s="1"/>
  <c r="O1391" i="3"/>
  <c r="P1391" i="3" s="1"/>
  <c r="O1390" i="3"/>
  <c r="P1390" i="3" s="1"/>
  <c r="O1389" i="3"/>
  <c r="P1389" i="3" s="1"/>
  <c r="O1388" i="3"/>
  <c r="P1388" i="3" s="1"/>
  <c r="O1387" i="3"/>
  <c r="P1387" i="3" s="1"/>
  <c r="O1386" i="3"/>
  <c r="P1386" i="3" s="1"/>
  <c r="O1385" i="3"/>
  <c r="P1385" i="3" s="1"/>
  <c r="O1384" i="3"/>
  <c r="P1384" i="3" s="1"/>
  <c r="O1383" i="3"/>
  <c r="P1383" i="3" s="1"/>
  <c r="O1382" i="3"/>
  <c r="P1382" i="3" s="1"/>
  <c r="O1381" i="3"/>
  <c r="P1381" i="3" s="1"/>
  <c r="O1380" i="3"/>
  <c r="P1380" i="3" s="1"/>
  <c r="O1379" i="3"/>
  <c r="P1379" i="3" s="1"/>
  <c r="O1378" i="3"/>
  <c r="P1378" i="3" s="1"/>
  <c r="O1377" i="3"/>
  <c r="P1377" i="3" s="1"/>
  <c r="O1376" i="3"/>
  <c r="P1376" i="3" s="1"/>
  <c r="O1375" i="3"/>
  <c r="P1375" i="3" s="1"/>
  <c r="O1374" i="3"/>
  <c r="P1374" i="3" s="1"/>
  <c r="O1373" i="3"/>
  <c r="P1373" i="3" s="1"/>
  <c r="O1372" i="3"/>
  <c r="P1372" i="3" s="1"/>
  <c r="O1371" i="3"/>
  <c r="P1371" i="3" s="1"/>
  <c r="O1370" i="3"/>
  <c r="P1370" i="3" s="1"/>
  <c r="O1369" i="3"/>
  <c r="P1369" i="3" s="1"/>
  <c r="O1368" i="3"/>
  <c r="P1368" i="3" s="1"/>
  <c r="O1367" i="3"/>
  <c r="P1367" i="3" s="1"/>
  <c r="O1366" i="3"/>
  <c r="P1366" i="3" s="1"/>
  <c r="O1365" i="3"/>
  <c r="P1365" i="3" s="1"/>
  <c r="O1364" i="3"/>
  <c r="P1364" i="3" s="1"/>
  <c r="O1363" i="3"/>
  <c r="P1363" i="3" s="1"/>
  <c r="O1362" i="3"/>
  <c r="P1362" i="3" s="1"/>
  <c r="O1361" i="3"/>
  <c r="P1361" i="3" s="1"/>
  <c r="O1360" i="3"/>
  <c r="P1360" i="3" s="1"/>
  <c r="O1359" i="3"/>
  <c r="P1359" i="3" s="1"/>
  <c r="O1358" i="3"/>
  <c r="P1358" i="3" s="1"/>
  <c r="O1357" i="3"/>
  <c r="P1357" i="3" s="1"/>
  <c r="O1356" i="3"/>
  <c r="P1356" i="3" s="1"/>
  <c r="O1355" i="3"/>
  <c r="P1355" i="3" s="1"/>
  <c r="O1354" i="3"/>
  <c r="P1354" i="3" s="1"/>
  <c r="O1353" i="3"/>
  <c r="P1353" i="3" s="1"/>
  <c r="O1352" i="3"/>
  <c r="P1352" i="3" s="1"/>
  <c r="O1351" i="3"/>
  <c r="P1351" i="3" s="1"/>
  <c r="O1350" i="3"/>
  <c r="P1350" i="3" s="1"/>
  <c r="O1349" i="3"/>
  <c r="P1349" i="3" s="1"/>
  <c r="O1348" i="3"/>
  <c r="P1348" i="3" s="1"/>
  <c r="O1347" i="3"/>
  <c r="P1347" i="3" s="1"/>
  <c r="O1346" i="3"/>
  <c r="P1346" i="3" s="1"/>
  <c r="O1345" i="3"/>
  <c r="P1345" i="3" s="1"/>
  <c r="O1344" i="3"/>
  <c r="P1344" i="3" s="1"/>
  <c r="O1343" i="3"/>
  <c r="P1343" i="3" s="1"/>
  <c r="O1342" i="3"/>
  <c r="P1342" i="3" s="1"/>
  <c r="O1341" i="3"/>
  <c r="P1341" i="3" s="1"/>
  <c r="O1340" i="3"/>
  <c r="P1340" i="3" s="1"/>
  <c r="O1339" i="3"/>
  <c r="P1339" i="3" s="1"/>
  <c r="O1338" i="3"/>
  <c r="P1338" i="3" s="1"/>
  <c r="O1337" i="3"/>
  <c r="P1337" i="3" s="1"/>
  <c r="O1336" i="3"/>
  <c r="P1336" i="3" s="1"/>
  <c r="O1335" i="3"/>
  <c r="P1335" i="3" s="1"/>
  <c r="O1334" i="3"/>
  <c r="P1334" i="3" s="1"/>
  <c r="O1333" i="3"/>
  <c r="P1333" i="3" s="1"/>
  <c r="O1332" i="3"/>
  <c r="P1332" i="3" s="1"/>
  <c r="O1331" i="3"/>
  <c r="P1331" i="3" s="1"/>
  <c r="O1330" i="3"/>
  <c r="P1330" i="3" s="1"/>
  <c r="O1329" i="3"/>
  <c r="P1329" i="3" s="1"/>
  <c r="O1328" i="3"/>
  <c r="P1328" i="3" s="1"/>
  <c r="O1327" i="3"/>
  <c r="P1327" i="3" s="1"/>
  <c r="O1326" i="3"/>
  <c r="P1326" i="3" s="1"/>
  <c r="O1325" i="3"/>
  <c r="P1325" i="3" s="1"/>
  <c r="O1324" i="3"/>
  <c r="P1324" i="3" s="1"/>
  <c r="O1323" i="3"/>
  <c r="P1323" i="3" s="1"/>
  <c r="O1322" i="3"/>
  <c r="P1322" i="3" s="1"/>
  <c r="O1321" i="3"/>
  <c r="P1321" i="3" s="1"/>
  <c r="O1320" i="3"/>
  <c r="P1320" i="3" s="1"/>
  <c r="O1319" i="3"/>
  <c r="P1319" i="3" s="1"/>
  <c r="O1318" i="3"/>
  <c r="P1318" i="3" s="1"/>
  <c r="O1317" i="3"/>
  <c r="P1317" i="3" s="1"/>
  <c r="O1316" i="3"/>
  <c r="P1316" i="3" s="1"/>
  <c r="O1315" i="3"/>
  <c r="P1315" i="3" s="1"/>
  <c r="O1314" i="3"/>
  <c r="P1314" i="3" s="1"/>
  <c r="O1313" i="3"/>
  <c r="P1313" i="3" s="1"/>
  <c r="O1312" i="3"/>
  <c r="P1312" i="3" s="1"/>
  <c r="O1311" i="3"/>
  <c r="P1311" i="3" s="1"/>
  <c r="O1310" i="3"/>
  <c r="P1310" i="3" s="1"/>
  <c r="O1309" i="3"/>
  <c r="P1309" i="3" s="1"/>
  <c r="O1308" i="3"/>
  <c r="P1308" i="3" s="1"/>
  <c r="O1307" i="3"/>
  <c r="P1307" i="3" s="1"/>
  <c r="O1306" i="3"/>
  <c r="P1306" i="3" s="1"/>
  <c r="O1305" i="3"/>
  <c r="P1305" i="3" s="1"/>
  <c r="O1304" i="3"/>
  <c r="P1304" i="3" s="1"/>
  <c r="O1303" i="3"/>
  <c r="P1303" i="3" s="1"/>
  <c r="O1302" i="3"/>
  <c r="P1302" i="3" s="1"/>
  <c r="O1301" i="3"/>
  <c r="P1301" i="3" s="1"/>
  <c r="O1300" i="3"/>
  <c r="P1300" i="3" s="1"/>
  <c r="O1299" i="3"/>
  <c r="P1299" i="3" s="1"/>
  <c r="O1298" i="3"/>
  <c r="P1298" i="3" s="1"/>
  <c r="O1297" i="3"/>
  <c r="P1297" i="3" s="1"/>
  <c r="O1296" i="3"/>
  <c r="P1296" i="3" s="1"/>
  <c r="O1295" i="3"/>
  <c r="P1295" i="3" s="1"/>
  <c r="O1294" i="3"/>
  <c r="P1294" i="3" s="1"/>
  <c r="O1293" i="3"/>
  <c r="P1293" i="3" s="1"/>
  <c r="O1292" i="3"/>
  <c r="P1292" i="3" s="1"/>
  <c r="O1291" i="3"/>
  <c r="P1291" i="3" s="1"/>
  <c r="O1290" i="3"/>
  <c r="P1290" i="3" s="1"/>
  <c r="O1289" i="3"/>
  <c r="P1289" i="3" s="1"/>
  <c r="O1288" i="3"/>
  <c r="P1288" i="3" s="1"/>
  <c r="O1287" i="3"/>
  <c r="P1287" i="3" s="1"/>
  <c r="O1286" i="3"/>
  <c r="P1286" i="3" s="1"/>
  <c r="O1285" i="3"/>
  <c r="P1285" i="3" s="1"/>
  <c r="O1284" i="3"/>
  <c r="P1284" i="3" s="1"/>
  <c r="O1283" i="3"/>
  <c r="P1283" i="3" s="1"/>
  <c r="O1282" i="3"/>
  <c r="P1282" i="3" s="1"/>
  <c r="O1281" i="3"/>
  <c r="P1281" i="3" s="1"/>
  <c r="O1280" i="3"/>
  <c r="P1280" i="3" s="1"/>
  <c r="O1279" i="3"/>
  <c r="P1279" i="3" s="1"/>
  <c r="O1278" i="3"/>
  <c r="P1278" i="3" s="1"/>
  <c r="O1277" i="3"/>
  <c r="P1277" i="3" s="1"/>
  <c r="O1276" i="3"/>
  <c r="P1276" i="3" s="1"/>
  <c r="O1275" i="3"/>
  <c r="P1275" i="3" s="1"/>
  <c r="O1274" i="3"/>
  <c r="P1274" i="3" s="1"/>
  <c r="O1273" i="3"/>
  <c r="P1273" i="3" s="1"/>
  <c r="O1272" i="3"/>
  <c r="P1272" i="3" s="1"/>
  <c r="O1271" i="3"/>
  <c r="P1271" i="3" s="1"/>
  <c r="O1270" i="3"/>
  <c r="P1270" i="3" s="1"/>
  <c r="O1269" i="3"/>
  <c r="P1269" i="3" s="1"/>
  <c r="O1268" i="3"/>
  <c r="P1268" i="3" s="1"/>
  <c r="O1267" i="3"/>
  <c r="P1267" i="3" s="1"/>
  <c r="O1266" i="3"/>
  <c r="P1266" i="3" s="1"/>
  <c r="O1265" i="3"/>
  <c r="P1265" i="3" s="1"/>
  <c r="O1264" i="3"/>
  <c r="P1264" i="3" s="1"/>
  <c r="O1263" i="3"/>
  <c r="P1263" i="3" s="1"/>
  <c r="O1262" i="3"/>
  <c r="P1262" i="3" s="1"/>
  <c r="O1261" i="3"/>
  <c r="P1261" i="3" s="1"/>
  <c r="O1260" i="3"/>
  <c r="P1260" i="3" s="1"/>
  <c r="O1259" i="3"/>
  <c r="P1259" i="3" s="1"/>
  <c r="O1258" i="3"/>
  <c r="P1258" i="3" s="1"/>
  <c r="O1257" i="3"/>
  <c r="P1257" i="3" s="1"/>
  <c r="O1256" i="3"/>
  <c r="P1256" i="3" s="1"/>
  <c r="O1255" i="3"/>
  <c r="P1255" i="3" s="1"/>
  <c r="O1254" i="3"/>
  <c r="P1254" i="3" s="1"/>
  <c r="O1253" i="3"/>
  <c r="P1253" i="3" s="1"/>
  <c r="O1252" i="3"/>
  <c r="P1252" i="3" s="1"/>
  <c r="O1251" i="3"/>
  <c r="P1251" i="3" s="1"/>
  <c r="O1250" i="3"/>
  <c r="P1250" i="3" s="1"/>
  <c r="O1249" i="3"/>
  <c r="P1249" i="3" s="1"/>
  <c r="O1248" i="3"/>
  <c r="P1248" i="3" s="1"/>
  <c r="O1247" i="3"/>
  <c r="P1247" i="3" s="1"/>
  <c r="O1246" i="3"/>
  <c r="P1246" i="3" s="1"/>
  <c r="O1245" i="3"/>
  <c r="P1245" i="3" s="1"/>
  <c r="O1244" i="3"/>
  <c r="P1244" i="3" s="1"/>
  <c r="O1243" i="3"/>
  <c r="P1243" i="3" s="1"/>
  <c r="O1242" i="3"/>
  <c r="P1242" i="3" s="1"/>
  <c r="O1241" i="3"/>
  <c r="P1241" i="3" s="1"/>
  <c r="O1240" i="3"/>
  <c r="P1240" i="3" s="1"/>
  <c r="O1239" i="3"/>
  <c r="P1239" i="3" s="1"/>
  <c r="O1238" i="3"/>
  <c r="P1238" i="3" s="1"/>
  <c r="O1237" i="3"/>
  <c r="P1237" i="3" s="1"/>
  <c r="O1236" i="3"/>
  <c r="P1236" i="3" s="1"/>
  <c r="O1214" i="3"/>
  <c r="P1214" i="3" s="1"/>
  <c r="O1213" i="3"/>
  <c r="P1213" i="3" s="1"/>
  <c r="O1212" i="3"/>
  <c r="P1212" i="3" s="1"/>
  <c r="O1211" i="3"/>
  <c r="P1211" i="3" s="1"/>
  <c r="O1210" i="3"/>
  <c r="P1210" i="3" s="1"/>
  <c r="O1209" i="3"/>
  <c r="P1209" i="3" s="1"/>
  <c r="O1208" i="3"/>
  <c r="P1208" i="3" s="1"/>
  <c r="O1207" i="3"/>
  <c r="P1207" i="3" s="1"/>
  <c r="O1206" i="3"/>
  <c r="P1206" i="3" s="1"/>
  <c r="O1205" i="3"/>
  <c r="P1205" i="3" s="1"/>
  <c r="O1204" i="3"/>
  <c r="P1204" i="3" s="1"/>
  <c r="O1203" i="3"/>
  <c r="P1203" i="3" s="1"/>
  <c r="O1202" i="3"/>
  <c r="P1202" i="3" s="1"/>
  <c r="O1201" i="3"/>
  <c r="P1201" i="3" s="1"/>
  <c r="O1200" i="3"/>
  <c r="P1200" i="3" s="1"/>
  <c r="O1199" i="3"/>
  <c r="P1199" i="3" s="1"/>
  <c r="O1198" i="3"/>
  <c r="P1198" i="3" s="1"/>
  <c r="O1197" i="3"/>
  <c r="P1197" i="3" s="1"/>
  <c r="O1196" i="3"/>
  <c r="P1196" i="3" s="1"/>
  <c r="O1195" i="3"/>
  <c r="P1195" i="3" s="1"/>
  <c r="O1194" i="3"/>
  <c r="P1194" i="3" s="1"/>
  <c r="O1193" i="3"/>
  <c r="P1193" i="3" s="1"/>
  <c r="O1192" i="3"/>
  <c r="P1192" i="3" s="1"/>
  <c r="O1191" i="3"/>
  <c r="P1191" i="3" s="1"/>
  <c r="O1190" i="3"/>
  <c r="P1190" i="3" s="1"/>
  <c r="O1189" i="3"/>
  <c r="P1189" i="3" s="1"/>
  <c r="O1188" i="3"/>
  <c r="P1188" i="3" s="1"/>
  <c r="O1187" i="3"/>
  <c r="P1187" i="3" s="1"/>
  <c r="O1186" i="3"/>
  <c r="P1186" i="3" s="1"/>
  <c r="O1185" i="3"/>
  <c r="P1185" i="3" s="1"/>
  <c r="O1184" i="3"/>
  <c r="P1184" i="3" s="1"/>
  <c r="O1183" i="3"/>
  <c r="P1183" i="3" s="1"/>
  <c r="O1182" i="3"/>
  <c r="P1182" i="3" s="1"/>
  <c r="O1181" i="3"/>
  <c r="P1181" i="3" s="1"/>
  <c r="O1180" i="3"/>
  <c r="P1180" i="3" s="1"/>
  <c r="O1179" i="3"/>
  <c r="P1179" i="3" s="1"/>
  <c r="O1178" i="3"/>
  <c r="P1178" i="3" s="1"/>
  <c r="O1177" i="3"/>
  <c r="P1177" i="3" s="1"/>
  <c r="O1176" i="3"/>
  <c r="P1176" i="3" s="1"/>
  <c r="O1175" i="3"/>
  <c r="P1175" i="3" s="1"/>
  <c r="O1174" i="3"/>
  <c r="P1174" i="3" s="1"/>
  <c r="O1173" i="3"/>
  <c r="P1173" i="3" s="1"/>
  <c r="O1172" i="3"/>
  <c r="P1172" i="3" s="1"/>
  <c r="O1171" i="3"/>
  <c r="P1171" i="3" s="1"/>
  <c r="O1170" i="3"/>
  <c r="P1170" i="3" s="1"/>
  <c r="O1169" i="3"/>
  <c r="P1169" i="3" s="1"/>
  <c r="O1168" i="3"/>
  <c r="P1168" i="3" s="1"/>
  <c r="O1165" i="3"/>
  <c r="P1165" i="3" s="1"/>
  <c r="O1163" i="3"/>
  <c r="P1163" i="3" s="1"/>
  <c r="O1161" i="3"/>
  <c r="P1161" i="3" s="1"/>
  <c r="O1159" i="3"/>
  <c r="P1159" i="3" s="1"/>
  <c r="O1157" i="3"/>
  <c r="P1157" i="3" s="1"/>
  <c r="O1155" i="3"/>
  <c r="P1155" i="3" s="1"/>
  <c r="O1153" i="3"/>
  <c r="P1153" i="3" s="1"/>
  <c r="O1151" i="3"/>
  <c r="P1151" i="3" s="1"/>
  <c r="O1149" i="3"/>
  <c r="P1149" i="3" s="1"/>
  <c r="O1147" i="3"/>
  <c r="P1147" i="3" s="1"/>
  <c r="O1146" i="3"/>
  <c r="P1146" i="3" s="1"/>
  <c r="O1144" i="3"/>
  <c r="P1144" i="3" s="1"/>
  <c r="O1143" i="3"/>
  <c r="P1143" i="3" s="1"/>
  <c r="O1142" i="3"/>
  <c r="P1142" i="3" s="1"/>
  <c r="O1141" i="3"/>
  <c r="P1141" i="3" s="1"/>
  <c r="O1140" i="3"/>
  <c r="P1140" i="3" s="1"/>
  <c r="O1138" i="3"/>
  <c r="P1138" i="3" s="1"/>
  <c r="O1136" i="3"/>
  <c r="P1136" i="3" s="1"/>
  <c r="O1134" i="3"/>
  <c r="P1134" i="3" s="1"/>
  <c r="O1132" i="3"/>
  <c r="P1132" i="3" s="1"/>
  <c r="O1130" i="3"/>
  <c r="P1130" i="3" s="1"/>
  <c r="O1129" i="3"/>
  <c r="P1129" i="3" s="1"/>
  <c r="O1128" i="3"/>
  <c r="P1128" i="3" s="1"/>
  <c r="O1127" i="3"/>
  <c r="P1127" i="3" s="1"/>
  <c r="O1126" i="3"/>
  <c r="P1126" i="3" s="1"/>
  <c r="O1125" i="3"/>
  <c r="P1125" i="3" s="1"/>
  <c r="O1124" i="3"/>
  <c r="P1124" i="3" s="1"/>
  <c r="O1123" i="3"/>
  <c r="P1123" i="3" s="1"/>
  <c r="O1122" i="3"/>
  <c r="P1122" i="3" s="1"/>
  <c r="O1121" i="3"/>
  <c r="P1121" i="3" s="1"/>
  <c r="O1120" i="3"/>
  <c r="P1120" i="3" s="1"/>
  <c r="O1119" i="3"/>
  <c r="P1119" i="3" s="1"/>
  <c r="O1118" i="3"/>
  <c r="P1118" i="3" s="1"/>
  <c r="O1117" i="3"/>
  <c r="P1117" i="3" s="1"/>
  <c r="O1116" i="3"/>
  <c r="P1116" i="3" s="1"/>
  <c r="O1115" i="3"/>
  <c r="P1115" i="3" s="1"/>
  <c r="O1114" i="3"/>
  <c r="P1114" i="3" s="1"/>
  <c r="O1113" i="3"/>
  <c r="P1113" i="3" s="1"/>
  <c r="O1112" i="3"/>
  <c r="P1112" i="3" s="1"/>
  <c r="O1111" i="3"/>
  <c r="P1111" i="3" s="1"/>
  <c r="O1110" i="3"/>
  <c r="P1110" i="3" s="1"/>
  <c r="O1109" i="3"/>
  <c r="P1109" i="3" s="1"/>
  <c r="O1108" i="3"/>
  <c r="P1108" i="3" s="1"/>
  <c r="O1107" i="3"/>
  <c r="P1107" i="3" s="1"/>
  <c r="O1106" i="3"/>
  <c r="P1106" i="3" s="1"/>
  <c r="O1105" i="3"/>
  <c r="P1105" i="3" s="1"/>
  <c r="O1104" i="3"/>
  <c r="P1104" i="3" s="1"/>
  <c r="O1103" i="3"/>
  <c r="P1103" i="3" s="1"/>
  <c r="O1102" i="3"/>
  <c r="P1102" i="3" s="1"/>
  <c r="O1101" i="3"/>
  <c r="P1101" i="3" s="1"/>
  <c r="O1100" i="3"/>
  <c r="P1100" i="3" s="1"/>
  <c r="O1099" i="3"/>
  <c r="P1099" i="3" s="1"/>
  <c r="O1098" i="3"/>
  <c r="P1098" i="3" s="1"/>
  <c r="O1097" i="3"/>
  <c r="P1097" i="3" s="1"/>
  <c r="O1096" i="3"/>
  <c r="P1096" i="3" s="1"/>
  <c r="O1095" i="3"/>
  <c r="P1095" i="3" s="1"/>
  <c r="O1094" i="3"/>
  <c r="P1094" i="3" s="1"/>
  <c r="O1093" i="3"/>
  <c r="P1093" i="3" s="1"/>
  <c r="O1092" i="3"/>
  <c r="P1092" i="3" s="1"/>
  <c r="O1091" i="3"/>
  <c r="P1091" i="3" s="1"/>
  <c r="O1090" i="3"/>
  <c r="P1090" i="3" s="1"/>
  <c r="O1089" i="3"/>
  <c r="P1089" i="3" s="1"/>
  <c r="O1088" i="3"/>
  <c r="P1088" i="3" s="1"/>
  <c r="O1087" i="3"/>
  <c r="P1087" i="3" s="1"/>
  <c r="O1086" i="3"/>
  <c r="P1086" i="3" s="1"/>
  <c r="O1085" i="3"/>
  <c r="P1085" i="3" s="1"/>
  <c r="O1084" i="3"/>
  <c r="P1084" i="3" s="1"/>
  <c r="O1083" i="3"/>
  <c r="P1083" i="3" s="1"/>
  <c r="O1082" i="3"/>
  <c r="P1082" i="3" s="1"/>
  <c r="O1081" i="3"/>
  <c r="P1081" i="3" s="1"/>
  <c r="O1080" i="3"/>
  <c r="P1080" i="3" s="1"/>
  <c r="O1009" i="3"/>
  <c r="P1009" i="3" s="1"/>
  <c r="O1008" i="3"/>
  <c r="P1008" i="3" s="1"/>
  <c r="O1007" i="3"/>
  <c r="P1007" i="3" s="1"/>
  <c r="O1006" i="3"/>
  <c r="P1006" i="3" s="1"/>
  <c r="O1005" i="3"/>
  <c r="P1005" i="3" s="1"/>
  <c r="O1004" i="3"/>
  <c r="P1004" i="3" s="1"/>
  <c r="O1003" i="3"/>
  <c r="P1003" i="3" s="1"/>
  <c r="O1002" i="3"/>
  <c r="P1002" i="3" s="1"/>
  <c r="O1001" i="3"/>
  <c r="P1001" i="3" s="1"/>
  <c r="O1000" i="3"/>
  <c r="P1000" i="3" s="1"/>
  <c r="O999" i="3"/>
  <c r="P999" i="3" s="1"/>
  <c r="O998" i="3"/>
  <c r="P998" i="3" s="1"/>
  <c r="O997" i="3"/>
  <c r="P997" i="3" s="1"/>
  <c r="O996" i="3"/>
  <c r="P996" i="3" s="1"/>
  <c r="O995" i="3"/>
  <c r="P995" i="3" s="1"/>
  <c r="O994" i="3"/>
  <c r="P994" i="3" s="1"/>
  <c r="O993" i="3"/>
  <c r="P993" i="3" s="1"/>
  <c r="O992" i="3"/>
  <c r="P992" i="3" s="1"/>
  <c r="O991" i="3"/>
  <c r="P991" i="3" s="1"/>
  <c r="O990" i="3"/>
  <c r="P990" i="3" s="1"/>
  <c r="O989" i="3"/>
  <c r="P989" i="3" s="1"/>
  <c r="O988" i="3"/>
  <c r="P988" i="3" s="1"/>
  <c r="O987" i="3"/>
  <c r="P987" i="3" s="1"/>
  <c r="O986" i="3"/>
  <c r="P986" i="3" s="1"/>
  <c r="O985" i="3"/>
  <c r="P985" i="3" s="1"/>
  <c r="O984" i="3"/>
  <c r="P984" i="3" s="1"/>
  <c r="O983" i="3"/>
  <c r="P983" i="3" s="1"/>
  <c r="O982" i="3"/>
  <c r="P982" i="3" s="1"/>
  <c r="O981" i="3"/>
  <c r="P981" i="3" s="1"/>
  <c r="O980" i="3"/>
  <c r="P980" i="3" s="1"/>
  <c r="O979" i="3"/>
  <c r="P979" i="3" s="1"/>
  <c r="O978" i="3"/>
  <c r="P978" i="3" s="1"/>
  <c r="O977" i="3"/>
  <c r="P977" i="3" s="1"/>
  <c r="O976" i="3"/>
  <c r="P976" i="3" s="1"/>
  <c r="O975" i="3"/>
  <c r="P975" i="3" s="1"/>
  <c r="O974" i="3"/>
  <c r="P974" i="3" s="1"/>
  <c r="O973" i="3"/>
  <c r="P973" i="3" s="1"/>
  <c r="O972" i="3"/>
  <c r="P972" i="3" s="1"/>
  <c r="O971" i="3"/>
  <c r="P971" i="3" s="1"/>
  <c r="O970" i="3"/>
  <c r="P970" i="3" s="1"/>
  <c r="O969" i="3"/>
  <c r="P969" i="3" s="1"/>
  <c r="O968" i="3"/>
  <c r="P968" i="3" s="1"/>
  <c r="O967" i="3"/>
  <c r="P967" i="3" s="1"/>
  <c r="O966" i="3"/>
  <c r="P966" i="3" s="1"/>
  <c r="O965" i="3"/>
  <c r="P965" i="3" s="1"/>
  <c r="O964" i="3"/>
  <c r="P964" i="3" s="1"/>
  <c r="O963" i="3"/>
  <c r="P963" i="3" s="1"/>
  <c r="O962" i="3"/>
  <c r="P962" i="3" s="1"/>
  <c r="O961" i="3"/>
  <c r="P961" i="3" s="1"/>
  <c r="O960" i="3"/>
  <c r="P960" i="3" s="1"/>
  <c r="O959" i="3"/>
  <c r="P959" i="3" s="1"/>
  <c r="O958" i="3"/>
  <c r="P958" i="3" s="1"/>
  <c r="O957" i="3"/>
  <c r="P957" i="3" s="1"/>
  <c r="O956" i="3"/>
  <c r="P956" i="3" s="1"/>
  <c r="O955" i="3"/>
  <c r="P955" i="3" s="1"/>
  <c r="O954" i="3"/>
  <c r="P954" i="3" s="1"/>
  <c r="O953" i="3"/>
  <c r="P953" i="3" s="1"/>
  <c r="O952" i="3"/>
  <c r="P952" i="3" s="1"/>
  <c r="O951" i="3"/>
  <c r="P951" i="3" s="1"/>
  <c r="O950" i="3"/>
  <c r="P950" i="3" s="1"/>
  <c r="O949" i="3"/>
  <c r="P949" i="3" s="1"/>
  <c r="O948" i="3"/>
  <c r="P948" i="3" s="1"/>
  <c r="O947" i="3"/>
  <c r="P947" i="3" s="1"/>
  <c r="O902" i="3"/>
  <c r="P902" i="3" s="1"/>
  <c r="O901" i="3"/>
  <c r="P901" i="3" s="1"/>
  <c r="O900" i="3"/>
  <c r="P900" i="3" s="1"/>
  <c r="O899" i="3"/>
  <c r="P899" i="3" s="1"/>
  <c r="O898" i="3"/>
  <c r="P898" i="3" s="1"/>
  <c r="O897" i="3"/>
  <c r="P897" i="3" s="1"/>
  <c r="O896" i="3"/>
  <c r="P896" i="3" s="1"/>
  <c r="O895" i="3"/>
  <c r="P895" i="3" s="1"/>
  <c r="O894" i="3"/>
  <c r="P894" i="3" s="1"/>
  <c r="O893" i="3"/>
  <c r="P893" i="3" s="1"/>
  <c r="O892" i="3"/>
  <c r="P892" i="3" s="1"/>
  <c r="O891" i="3"/>
  <c r="P891" i="3" s="1"/>
  <c r="O890" i="3"/>
  <c r="P890" i="3" s="1"/>
  <c r="O889" i="3"/>
  <c r="P889" i="3" s="1"/>
  <c r="O888" i="3"/>
  <c r="P888" i="3" s="1"/>
  <c r="O887" i="3"/>
  <c r="P887" i="3" s="1"/>
  <c r="O886" i="3"/>
  <c r="P886" i="3" s="1"/>
  <c r="O885" i="3"/>
  <c r="P885" i="3" s="1"/>
  <c r="O884" i="3"/>
  <c r="P884" i="3" s="1"/>
  <c r="O883" i="3"/>
  <c r="P883" i="3" s="1"/>
  <c r="O882" i="3"/>
  <c r="P882" i="3" s="1"/>
  <c r="O881" i="3"/>
  <c r="P881" i="3" s="1"/>
  <c r="O880" i="3"/>
  <c r="P880" i="3" s="1"/>
  <c r="O879" i="3"/>
  <c r="P879" i="3" s="1"/>
  <c r="O878" i="3"/>
  <c r="P878" i="3" s="1"/>
  <c r="O877" i="3"/>
  <c r="P877" i="3" s="1"/>
  <c r="O876" i="3"/>
  <c r="P876" i="3" s="1"/>
  <c r="O875" i="3"/>
  <c r="P875" i="3" s="1"/>
  <c r="O874" i="3"/>
  <c r="P874" i="3" s="1"/>
  <c r="O873" i="3"/>
  <c r="P873" i="3" s="1"/>
  <c r="O872" i="3"/>
  <c r="P872" i="3" s="1"/>
  <c r="O871" i="3"/>
  <c r="P871" i="3" s="1"/>
  <c r="O870" i="3"/>
  <c r="P870" i="3" s="1"/>
  <c r="O869" i="3"/>
  <c r="P869" i="3" s="1"/>
  <c r="O868" i="3"/>
  <c r="P868" i="3" s="1"/>
  <c r="O867" i="3"/>
  <c r="P867" i="3" s="1"/>
  <c r="O866" i="3"/>
  <c r="P866" i="3" s="1"/>
  <c r="O865" i="3"/>
  <c r="P865" i="3" s="1"/>
  <c r="O864" i="3"/>
  <c r="P864" i="3" s="1"/>
  <c r="O863" i="3"/>
  <c r="P863" i="3" s="1"/>
  <c r="O862" i="3"/>
  <c r="P862" i="3" s="1"/>
  <c r="O861" i="3"/>
  <c r="P861" i="3" s="1"/>
  <c r="O860" i="3"/>
  <c r="P860" i="3" s="1"/>
  <c r="O859" i="3"/>
  <c r="P859" i="3" s="1"/>
  <c r="O858" i="3"/>
  <c r="P858" i="3" s="1"/>
  <c r="O857" i="3"/>
  <c r="P857" i="3" s="1"/>
  <c r="O856" i="3"/>
  <c r="P856" i="3" s="1"/>
  <c r="O855" i="3"/>
  <c r="P855" i="3" s="1"/>
  <c r="O854" i="3"/>
  <c r="P854" i="3" s="1"/>
  <c r="O853" i="3"/>
  <c r="P853" i="3" s="1"/>
  <c r="O852" i="3"/>
  <c r="P852" i="3" s="1"/>
  <c r="O851" i="3"/>
  <c r="P851" i="3" s="1"/>
  <c r="O850" i="3"/>
  <c r="P850" i="3" s="1"/>
  <c r="O849" i="3"/>
  <c r="P849" i="3" s="1"/>
  <c r="O848" i="3"/>
  <c r="P848" i="3" s="1"/>
  <c r="O847" i="3"/>
  <c r="P847" i="3" s="1"/>
  <c r="O846" i="3"/>
  <c r="P846" i="3" s="1"/>
  <c r="O845" i="3"/>
  <c r="P845" i="3" s="1"/>
  <c r="O844" i="3"/>
  <c r="P844" i="3" s="1"/>
  <c r="O843" i="3"/>
  <c r="P843" i="3" s="1"/>
  <c r="O842" i="3"/>
  <c r="P842" i="3" s="1"/>
  <c r="O841" i="3"/>
  <c r="P841" i="3" s="1"/>
  <c r="O840" i="3"/>
  <c r="P840" i="3" s="1"/>
  <c r="O839" i="3"/>
  <c r="P839" i="3" s="1"/>
  <c r="O838" i="3"/>
  <c r="P838" i="3" s="1"/>
  <c r="O837" i="3"/>
  <c r="P837" i="3" s="1"/>
  <c r="O836" i="3"/>
  <c r="P836" i="3" s="1"/>
  <c r="O835" i="3"/>
  <c r="P835" i="3" s="1"/>
  <c r="O834" i="3"/>
  <c r="P834" i="3" s="1"/>
  <c r="O833" i="3"/>
  <c r="P833" i="3" s="1"/>
  <c r="O829" i="3"/>
  <c r="P829" i="3" s="1"/>
  <c r="O828" i="3"/>
  <c r="P828" i="3" s="1"/>
  <c r="O827" i="3"/>
  <c r="P827" i="3" s="1"/>
  <c r="O826" i="3"/>
  <c r="P826" i="3" s="1"/>
  <c r="O825" i="3"/>
  <c r="P825" i="3" s="1"/>
  <c r="O824" i="3"/>
  <c r="P824" i="3" s="1"/>
  <c r="O823" i="3"/>
  <c r="P823" i="3" s="1"/>
  <c r="O822" i="3"/>
  <c r="P822" i="3" s="1"/>
  <c r="O821" i="3"/>
  <c r="P821" i="3" s="1"/>
  <c r="O832" i="3"/>
  <c r="P832" i="3" s="1"/>
  <c r="O831" i="3"/>
  <c r="P831" i="3" s="1"/>
  <c r="O818" i="3"/>
  <c r="P818" i="3" s="1"/>
  <c r="O817" i="3"/>
  <c r="P817" i="3" s="1"/>
  <c r="O816" i="3"/>
  <c r="P816" i="3" s="1"/>
  <c r="O815" i="3"/>
  <c r="P815" i="3" s="1"/>
  <c r="O814" i="3"/>
  <c r="P814" i="3" s="1"/>
  <c r="O805" i="3"/>
  <c r="P805" i="3" s="1"/>
  <c r="O830" i="3"/>
  <c r="P830" i="3" s="1"/>
  <c r="O804" i="3"/>
  <c r="P804" i="3" s="1"/>
  <c r="O803" i="3"/>
  <c r="P803" i="3" s="1"/>
  <c r="O802" i="3"/>
  <c r="P802" i="3" s="1"/>
  <c r="O801" i="3"/>
  <c r="P801" i="3" s="1"/>
  <c r="O800" i="3"/>
  <c r="P800" i="3" s="1"/>
  <c r="O799" i="3"/>
  <c r="P799" i="3" s="1"/>
  <c r="O798" i="3"/>
  <c r="P798" i="3" s="1"/>
  <c r="O797" i="3"/>
  <c r="P797" i="3" s="1"/>
  <c r="O796" i="3"/>
  <c r="P796" i="3" s="1"/>
  <c r="O795" i="3"/>
  <c r="P795" i="3" s="1"/>
  <c r="O794" i="3"/>
  <c r="P794" i="3" s="1"/>
  <c r="O793" i="3"/>
  <c r="P793" i="3" s="1"/>
  <c r="O792" i="3"/>
  <c r="P792" i="3" s="1"/>
  <c r="O791" i="3"/>
  <c r="P791" i="3" s="1"/>
  <c r="O790" i="3"/>
  <c r="P790" i="3" s="1"/>
  <c r="O789" i="3"/>
  <c r="P789" i="3" s="1"/>
  <c r="O788" i="3"/>
  <c r="P788" i="3" s="1"/>
  <c r="O787" i="3"/>
  <c r="P787" i="3" s="1"/>
  <c r="O786" i="3"/>
  <c r="P786" i="3" s="1"/>
  <c r="O785" i="3"/>
  <c r="P785" i="3" s="1"/>
  <c r="O784" i="3"/>
  <c r="P784" i="3" s="1"/>
  <c r="O783" i="3"/>
  <c r="P783" i="3" s="1"/>
  <c r="O782" i="3"/>
  <c r="P782" i="3" s="1"/>
  <c r="O781" i="3"/>
  <c r="P781" i="3" s="1"/>
  <c r="O780" i="3"/>
  <c r="P780" i="3" s="1"/>
  <c r="O779" i="3"/>
  <c r="P779" i="3" s="1"/>
  <c r="O778" i="3"/>
  <c r="P778" i="3" s="1"/>
  <c r="O777" i="3"/>
  <c r="P777" i="3" s="1"/>
  <c r="O776" i="3"/>
  <c r="P776" i="3" s="1"/>
  <c r="O775" i="3"/>
  <c r="P775" i="3" s="1"/>
  <c r="O774" i="3"/>
  <c r="P774" i="3" s="1"/>
  <c r="O773" i="3"/>
  <c r="P773" i="3" s="1"/>
  <c r="O772" i="3"/>
  <c r="P772" i="3" s="1"/>
  <c r="O771" i="3"/>
  <c r="P771" i="3" s="1"/>
  <c r="O770" i="3"/>
  <c r="P770" i="3" s="1"/>
  <c r="O769" i="3"/>
  <c r="P769" i="3" s="1"/>
  <c r="O768" i="3"/>
  <c r="P768" i="3" s="1"/>
  <c r="O767" i="3"/>
  <c r="P767" i="3" s="1"/>
  <c r="O766" i="3"/>
  <c r="P766" i="3" s="1"/>
  <c r="O765" i="3"/>
  <c r="P765" i="3" s="1"/>
  <c r="O764" i="3"/>
  <c r="P764" i="3" s="1"/>
  <c r="O763" i="3"/>
  <c r="P763" i="3" s="1"/>
  <c r="O762" i="3"/>
  <c r="P762" i="3" s="1"/>
  <c r="O761" i="3"/>
  <c r="P761" i="3" s="1"/>
  <c r="O760" i="3"/>
  <c r="P760" i="3" s="1"/>
  <c r="O759" i="3"/>
  <c r="P759" i="3" s="1"/>
  <c r="O758" i="3"/>
  <c r="P758" i="3" s="1"/>
  <c r="O757" i="3"/>
  <c r="P757" i="3" s="1"/>
  <c r="O756" i="3"/>
  <c r="P756" i="3" s="1"/>
  <c r="O755" i="3"/>
  <c r="P755" i="3" s="1"/>
  <c r="O754" i="3"/>
  <c r="P754" i="3" s="1"/>
  <c r="O753" i="3"/>
  <c r="P753" i="3" s="1"/>
  <c r="O752" i="3"/>
  <c r="P752" i="3" s="1"/>
  <c r="O751" i="3"/>
  <c r="P751" i="3" s="1"/>
  <c r="O750" i="3"/>
  <c r="P750" i="3" s="1"/>
  <c r="O749" i="3"/>
  <c r="P749" i="3" s="1"/>
  <c r="O748" i="3"/>
  <c r="P748" i="3" s="1"/>
  <c r="O747" i="3"/>
  <c r="P747" i="3" s="1"/>
  <c r="O746" i="3"/>
  <c r="P746" i="3" s="1"/>
  <c r="O745" i="3"/>
  <c r="P745" i="3" s="1"/>
  <c r="O744" i="3"/>
  <c r="P744" i="3" s="1"/>
  <c r="O743" i="3"/>
  <c r="P743" i="3" s="1"/>
  <c r="O742" i="3"/>
  <c r="P742" i="3" s="1"/>
  <c r="O741" i="3"/>
  <c r="P741" i="3" s="1"/>
  <c r="O740" i="3"/>
  <c r="P740" i="3" s="1"/>
  <c r="O739" i="3"/>
  <c r="P739" i="3" s="1"/>
  <c r="O738" i="3"/>
  <c r="P738" i="3" s="1"/>
  <c r="O737" i="3"/>
  <c r="P737" i="3" s="1"/>
  <c r="O736" i="3"/>
  <c r="P736" i="3" s="1"/>
  <c r="O735" i="3"/>
  <c r="P735" i="3" s="1"/>
  <c r="O734" i="3"/>
  <c r="P734" i="3" s="1"/>
  <c r="O733" i="3"/>
  <c r="P733" i="3" s="1"/>
  <c r="O732" i="3"/>
  <c r="P732" i="3" s="1"/>
  <c r="O731" i="3"/>
  <c r="P731" i="3" s="1"/>
  <c r="O730" i="3"/>
  <c r="P730" i="3" s="1"/>
  <c r="O729" i="3"/>
  <c r="P729" i="3" s="1"/>
  <c r="O728" i="3"/>
  <c r="P728" i="3" s="1"/>
  <c r="O727" i="3"/>
  <c r="P727" i="3" s="1"/>
  <c r="O726" i="3"/>
  <c r="P726" i="3" s="1"/>
  <c r="O725" i="3"/>
  <c r="P725" i="3" s="1"/>
  <c r="O724" i="3"/>
  <c r="P724" i="3" s="1"/>
  <c r="O723" i="3"/>
  <c r="P723" i="3" s="1"/>
  <c r="O722" i="3"/>
  <c r="P722" i="3" s="1"/>
  <c r="O721" i="3"/>
  <c r="P721" i="3" s="1"/>
  <c r="O720" i="3"/>
  <c r="P720" i="3" s="1"/>
  <c r="O719" i="3"/>
  <c r="P719" i="3" s="1"/>
  <c r="O718" i="3"/>
  <c r="P718" i="3" s="1"/>
  <c r="O717" i="3"/>
  <c r="P717" i="3" s="1"/>
  <c r="O716" i="3"/>
  <c r="P716" i="3" s="1"/>
  <c r="O715" i="3"/>
  <c r="P715" i="3" s="1"/>
  <c r="O714" i="3"/>
  <c r="P714" i="3" s="1"/>
  <c r="O713" i="3"/>
  <c r="P713" i="3" s="1"/>
  <c r="O712" i="3"/>
  <c r="P712" i="3" s="1"/>
  <c r="O711" i="3"/>
  <c r="P711" i="3" s="1"/>
  <c r="O710" i="3"/>
  <c r="P710" i="3" s="1"/>
  <c r="O709" i="3"/>
  <c r="P709" i="3" s="1"/>
  <c r="O708" i="3"/>
  <c r="P708" i="3" s="1"/>
  <c r="O707" i="3"/>
  <c r="P707" i="3" s="1"/>
  <c r="O706" i="3"/>
  <c r="P706" i="3" s="1"/>
  <c r="O705" i="3"/>
  <c r="P705" i="3" s="1"/>
  <c r="O704" i="3"/>
  <c r="P704" i="3" s="1"/>
  <c r="O703" i="3"/>
  <c r="P703" i="3" s="1"/>
  <c r="O702" i="3"/>
  <c r="P702" i="3" s="1"/>
  <c r="O701" i="3"/>
  <c r="P701" i="3" s="1"/>
  <c r="O700" i="3"/>
  <c r="P700" i="3" s="1"/>
  <c r="O699" i="3"/>
  <c r="P699" i="3" s="1"/>
  <c r="O698" i="3"/>
  <c r="P698" i="3" s="1"/>
  <c r="O697" i="3"/>
  <c r="P697" i="3" s="1"/>
  <c r="O696" i="3"/>
  <c r="P696" i="3" s="1"/>
  <c r="O695" i="3"/>
  <c r="P695" i="3" s="1"/>
  <c r="O694" i="3"/>
  <c r="P694" i="3" s="1"/>
  <c r="O693" i="3"/>
  <c r="P693" i="3" s="1"/>
  <c r="O692" i="3"/>
  <c r="P692" i="3" s="1"/>
  <c r="O691" i="3"/>
  <c r="P691" i="3" s="1"/>
  <c r="O690" i="3"/>
  <c r="P690" i="3" s="1"/>
  <c r="O689" i="3"/>
  <c r="P689" i="3" s="1"/>
  <c r="O688" i="3"/>
  <c r="P688" i="3" s="1"/>
  <c r="O687" i="3"/>
  <c r="P687" i="3" s="1"/>
  <c r="O686" i="3"/>
  <c r="P686" i="3" s="1"/>
  <c r="O685" i="3"/>
  <c r="P685" i="3" s="1"/>
  <c r="O684" i="3"/>
  <c r="P684" i="3" s="1"/>
  <c r="O683" i="3"/>
  <c r="P683" i="3" s="1"/>
  <c r="O682" i="3"/>
  <c r="P682" i="3" s="1"/>
  <c r="O681" i="3"/>
  <c r="P681" i="3" s="1"/>
  <c r="O680" i="3"/>
  <c r="P680" i="3" s="1"/>
  <c r="O679" i="3"/>
  <c r="P679" i="3" s="1"/>
  <c r="O678" i="3"/>
  <c r="P678" i="3" s="1"/>
  <c r="O677" i="3"/>
  <c r="P677" i="3" s="1"/>
  <c r="O676" i="3"/>
  <c r="P676" i="3" s="1"/>
  <c r="O675" i="3"/>
  <c r="P675" i="3" s="1"/>
  <c r="O674" i="3"/>
  <c r="P674" i="3" s="1"/>
  <c r="O673" i="3"/>
  <c r="P673" i="3" s="1"/>
  <c r="O672" i="3"/>
  <c r="P672" i="3" s="1"/>
  <c r="O671" i="3"/>
  <c r="P671" i="3" s="1"/>
  <c r="O670" i="3"/>
  <c r="P670" i="3" s="1"/>
  <c r="O669" i="3"/>
  <c r="P669" i="3" s="1"/>
  <c r="O668" i="3"/>
  <c r="P668" i="3" s="1"/>
  <c r="O667" i="3"/>
  <c r="P667" i="3" s="1"/>
  <c r="O666" i="3"/>
  <c r="P666" i="3" s="1"/>
  <c r="O665" i="3"/>
  <c r="P665" i="3" s="1"/>
  <c r="O664" i="3"/>
  <c r="P664" i="3" s="1"/>
  <c r="O663" i="3"/>
  <c r="P663" i="3" s="1"/>
  <c r="O662" i="3"/>
  <c r="P662" i="3" s="1"/>
  <c r="O661" i="3"/>
  <c r="P661" i="3" s="1"/>
  <c r="O660" i="3"/>
  <c r="P660" i="3" s="1"/>
  <c r="O659" i="3"/>
  <c r="P659" i="3" s="1"/>
  <c r="O658" i="3"/>
  <c r="P658" i="3" s="1"/>
  <c r="O657" i="3"/>
  <c r="P657" i="3" s="1"/>
  <c r="O656" i="3"/>
  <c r="P656" i="3" s="1"/>
  <c r="O655" i="3"/>
  <c r="P655" i="3" s="1"/>
  <c r="O654" i="3"/>
  <c r="P654" i="3" s="1"/>
  <c r="O653" i="3"/>
  <c r="P653" i="3" s="1"/>
  <c r="O652" i="3"/>
  <c r="P652" i="3" s="1"/>
  <c r="O651" i="3"/>
  <c r="P651" i="3" s="1"/>
  <c r="O650" i="3"/>
  <c r="P650" i="3" s="1"/>
  <c r="O649" i="3"/>
  <c r="P649" i="3" s="1"/>
  <c r="O648" i="3"/>
  <c r="P648" i="3" s="1"/>
  <c r="O647" i="3"/>
  <c r="P647" i="3" s="1"/>
  <c r="O646" i="3"/>
  <c r="P646" i="3" s="1"/>
  <c r="O645" i="3"/>
  <c r="P645" i="3" s="1"/>
  <c r="O644" i="3"/>
  <c r="P644" i="3" s="1"/>
  <c r="O643" i="3"/>
  <c r="P643" i="3" s="1"/>
  <c r="O642" i="3"/>
  <c r="P642" i="3" s="1"/>
  <c r="O641" i="3"/>
  <c r="P641" i="3" s="1"/>
  <c r="O640" i="3"/>
  <c r="P640" i="3" s="1"/>
  <c r="O639" i="3"/>
  <c r="P639" i="3" s="1"/>
  <c r="O638" i="3"/>
  <c r="P638" i="3" s="1"/>
  <c r="O637" i="3"/>
  <c r="P637" i="3" s="1"/>
  <c r="O636" i="3"/>
  <c r="P636" i="3" s="1"/>
  <c r="O635" i="3"/>
  <c r="P635" i="3" s="1"/>
  <c r="O634" i="3"/>
  <c r="P634" i="3" s="1"/>
  <c r="O633" i="3"/>
  <c r="P633" i="3" s="1"/>
  <c r="O632" i="3"/>
  <c r="P632" i="3" s="1"/>
  <c r="O631" i="3"/>
  <c r="P631" i="3" s="1"/>
  <c r="O630" i="3"/>
  <c r="P630" i="3" s="1"/>
  <c r="O629" i="3"/>
  <c r="P629" i="3" s="1"/>
  <c r="O628" i="3"/>
  <c r="P628" i="3" s="1"/>
  <c r="O627" i="3"/>
  <c r="P627" i="3" s="1"/>
  <c r="O626" i="3"/>
  <c r="P626" i="3" s="1"/>
  <c r="O625" i="3"/>
  <c r="P625" i="3" s="1"/>
  <c r="O624" i="3"/>
  <c r="P624" i="3" s="1"/>
  <c r="O623" i="3"/>
  <c r="P623" i="3" s="1"/>
  <c r="O622" i="3"/>
  <c r="P622" i="3" s="1"/>
  <c r="O621" i="3"/>
  <c r="P621" i="3" s="1"/>
  <c r="O620" i="3"/>
  <c r="P620" i="3" s="1"/>
  <c r="O619" i="3"/>
  <c r="P619" i="3" s="1"/>
  <c r="O618" i="3"/>
  <c r="P618" i="3" s="1"/>
  <c r="O617" i="3"/>
  <c r="P617" i="3" s="1"/>
  <c r="O616" i="3"/>
  <c r="P616" i="3" s="1"/>
  <c r="O615" i="3"/>
  <c r="P615" i="3" s="1"/>
  <c r="O614" i="3"/>
  <c r="P614" i="3" s="1"/>
  <c r="O613" i="3"/>
  <c r="P613" i="3" s="1"/>
  <c r="O612" i="3"/>
  <c r="P612" i="3" s="1"/>
  <c r="O611" i="3"/>
  <c r="P611" i="3" s="1"/>
  <c r="O610" i="3"/>
  <c r="P610" i="3" s="1"/>
  <c r="O609" i="3"/>
  <c r="P609" i="3" s="1"/>
  <c r="O608" i="3"/>
  <c r="P608" i="3" s="1"/>
  <c r="O607" i="3"/>
  <c r="P607" i="3" s="1"/>
  <c r="O606" i="3"/>
  <c r="P606" i="3" s="1"/>
  <c r="O605" i="3"/>
  <c r="P605" i="3" s="1"/>
  <c r="O604" i="3"/>
  <c r="P604" i="3" s="1"/>
  <c r="O603" i="3"/>
  <c r="P603" i="3" s="1"/>
  <c r="O602" i="3"/>
  <c r="P602" i="3" s="1"/>
  <c r="O601" i="3"/>
  <c r="P601" i="3" s="1"/>
  <c r="O600" i="3"/>
  <c r="P600" i="3" s="1"/>
  <c r="O599" i="3"/>
  <c r="P599" i="3" s="1"/>
  <c r="O598" i="3"/>
  <c r="P598" i="3" s="1"/>
  <c r="O597" i="3"/>
  <c r="P597" i="3" s="1"/>
  <c r="O596" i="3"/>
  <c r="P596" i="3" s="1"/>
  <c r="O595" i="3"/>
  <c r="P595" i="3" s="1"/>
  <c r="O594" i="3"/>
  <c r="P594" i="3" s="1"/>
  <c r="O593" i="3"/>
  <c r="P593" i="3" s="1"/>
  <c r="O592" i="3"/>
  <c r="P592" i="3" s="1"/>
  <c r="O591" i="3"/>
  <c r="P591" i="3" s="1"/>
  <c r="O590" i="3"/>
  <c r="P590" i="3" s="1"/>
  <c r="O589" i="3"/>
  <c r="P589" i="3" s="1"/>
  <c r="O588" i="3"/>
  <c r="P588" i="3" s="1"/>
  <c r="O587" i="3"/>
  <c r="P587" i="3" s="1"/>
  <c r="O586" i="3"/>
  <c r="P586" i="3" s="1"/>
  <c r="O585" i="3"/>
  <c r="P585" i="3" s="1"/>
  <c r="O584" i="3"/>
  <c r="P584" i="3" s="1"/>
  <c r="O583" i="3"/>
  <c r="P583" i="3" s="1"/>
  <c r="O582" i="3"/>
  <c r="P582" i="3" s="1"/>
  <c r="O581" i="3"/>
  <c r="P581" i="3" s="1"/>
  <c r="O580" i="3"/>
  <c r="P580" i="3" s="1"/>
  <c r="O579" i="3"/>
  <c r="P579" i="3" s="1"/>
  <c r="O578" i="3"/>
  <c r="P578" i="3" s="1"/>
  <c r="O577" i="3"/>
  <c r="P577" i="3" s="1"/>
  <c r="O576" i="3"/>
  <c r="P576" i="3" s="1"/>
  <c r="O575" i="3"/>
  <c r="P575" i="3" s="1"/>
  <c r="O574" i="3"/>
  <c r="P574" i="3" s="1"/>
  <c r="O573" i="3"/>
  <c r="P573" i="3" s="1"/>
  <c r="O572" i="3"/>
  <c r="P572" i="3" s="1"/>
  <c r="O571" i="3"/>
  <c r="P571" i="3" s="1"/>
  <c r="O570" i="3"/>
  <c r="P570" i="3" s="1"/>
  <c r="O569" i="3"/>
  <c r="P569" i="3" s="1"/>
  <c r="O568" i="3"/>
  <c r="P568" i="3" s="1"/>
  <c r="O567" i="3"/>
  <c r="P567" i="3" s="1"/>
  <c r="O566" i="3"/>
  <c r="P566" i="3" s="1"/>
  <c r="O565" i="3"/>
  <c r="P565" i="3" s="1"/>
  <c r="O564" i="3"/>
  <c r="P564" i="3" s="1"/>
  <c r="O563" i="3"/>
  <c r="P563" i="3" s="1"/>
  <c r="O562" i="3"/>
  <c r="P562" i="3" s="1"/>
  <c r="O561" i="3"/>
  <c r="P561" i="3" s="1"/>
  <c r="O560" i="3"/>
  <c r="P560" i="3" s="1"/>
  <c r="O559" i="3"/>
  <c r="P559" i="3" s="1"/>
  <c r="O558" i="3"/>
  <c r="P558" i="3" s="1"/>
  <c r="O557" i="3"/>
  <c r="P557" i="3" s="1"/>
  <c r="O556" i="3"/>
  <c r="P556" i="3" s="1"/>
  <c r="O555" i="3"/>
  <c r="P555" i="3" s="1"/>
  <c r="O554" i="3"/>
  <c r="P554" i="3" s="1"/>
  <c r="O553" i="3"/>
  <c r="P553" i="3" s="1"/>
  <c r="O552" i="3"/>
  <c r="P552" i="3" s="1"/>
  <c r="O551" i="3"/>
  <c r="P551" i="3" s="1"/>
  <c r="O550" i="3"/>
  <c r="P550" i="3" s="1"/>
  <c r="O549" i="3"/>
  <c r="P549" i="3" s="1"/>
  <c r="O548" i="3"/>
  <c r="P548" i="3" s="1"/>
  <c r="O547" i="3"/>
  <c r="P547" i="3" s="1"/>
  <c r="O546" i="3"/>
  <c r="P546" i="3" s="1"/>
  <c r="O545" i="3"/>
  <c r="P545" i="3" s="1"/>
  <c r="O544" i="3"/>
  <c r="P544" i="3" s="1"/>
  <c r="O543" i="3"/>
  <c r="P543" i="3" s="1"/>
  <c r="O542" i="3"/>
  <c r="P542" i="3" s="1"/>
  <c r="O541" i="3"/>
  <c r="P541" i="3" s="1"/>
  <c r="O540" i="3"/>
  <c r="P540" i="3" s="1"/>
  <c r="O539" i="3"/>
  <c r="P539" i="3" s="1"/>
  <c r="O538" i="3"/>
  <c r="P538" i="3" s="1"/>
  <c r="O537" i="3"/>
  <c r="P537" i="3" s="1"/>
  <c r="O536" i="3"/>
  <c r="P536" i="3" s="1"/>
  <c r="O535" i="3"/>
  <c r="P535" i="3" s="1"/>
  <c r="O534" i="3"/>
  <c r="P534" i="3" s="1"/>
  <c r="O533" i="3"/>
  <c r="P533" i="3" s="1"/>
  <c r="O532" i="3"/>
  <c r="P532" i="3" s="1"/>
  <c r="O531" i="3"/>
  <c r="P531" i="3" s="1"/>
  <c r="O530" i="3"/>
  <c r="P530" i="3" s="1"/>
  <c r="O529" i="3"/>
  <c r="P529" i="3" s="1"/>
  <c r="O528" i="3"/>
  <c r="P528" i="3" s="1"/>
  <c r="O517" i="3"/>
  <c r="P517" i="3" s="1"/>
  <c r="O516" i="3"/>
  <c r="P516" i="3" s="1"/>
  <c r="O515" i="3"/>
  <c r="P515" i="3" s="1"/>
  <c r="O514" i="3"/>
  <c r="P514" i="3" s="1"/>
  <c r="O513" i="3"/>
  <c r="P513" i="3" s="1"/>
  <c r="O512" i="3"/>
  <c r="P512" i="3" s="1"/>
  <c r="O511" i="3"/>
  <c r="P511" i="3" s="1"/>
  <c r="O510" i="3"/>
  <c r="P510" i="3" s="1"/>
  <c r="O509" i="3"/>
  <c r="P509" i="3" s="1"/>
  <c r="O508" i="3"/>
  <c r="P508" i="3" s="1"/>
  <c r="O507" i="3"/>
  <c r="P507" i="3" s="1"/>
  <c r="O506" i="3"/>
  <c r="P506" i="3" s="1"/>
  <c r="O505" i="3"/>
  <c r="P505" i="3" s="1"/>
  <c r="O504" i="3"/>
  <c r="P504" i="3" s="1"/>
  <c r="O503" i="3"/>
  <c r="P503" i="3" s="1"/>
  <c r="O502" i="3"/>
  <c r="P502" i="3" s="1"/>
  <c r="O501" i="3"/>
  <c r="P501" i="3" s="1"/>
  <c r="O500" i="3"/>
  <c r="P500" i="3" s="1"/>
  <c r="O499" i="3"/>
  <c r="P499" i="3" s="1"/>
  <c r="O498" i="3"/>
  <c r="P498" i="3" s="1"/>
  <c r="O497" i="3"/>
  <c r="P497" i="3" s="1"/>
  <c r="O496" i="3"/>
  <c r="P496" i="3" s="1"/>
  <c r="O495" i="3"/>
  <c r="P495" i="3" s="1"/>
  <c r="O494" i="3"/>
  <c r="P494" i="3" s="1"/>
  <c r="O493" i="3"/>
  <c r="P493" i="3" s="1"/>
  <c r="O492" i="3"/>
  <c r="P492" i="3" s="1"/>
  <c r="O491" i="3"/>
  <c r="P491" i="3" s="1"/>
  <c r="O490" i="3"/>
  <c r="P490" i="3" s="1"/>
  <c r="O489" i="3"/>
  <c r="P489" i="3" s="1"/>
  <c r="O488" i="3"/>
  <c r="P488" i="3" s="1"/>
  <c r="O487" i="3"/>
  <c r="P487" i="3" s="1"/>
  <c r="O486" i="3"/>
  <c r="P486" i="3" s="1"/>
  <c r="O485" i="3"/>
  <c r="P485" i="3" s="1"/>
  <c r="O484" i="3"/>
  <c r="P484" i="3" s="1"/>
  <c r="O483" i="3"/>
  <c r="P483" i="3" s="1"/>
  <c r="O482" i="3"/>
  <c r="P482" i="3" s="1"/>
  <c r="O481" i="3"/>
  <c r="P481" i="3" s="1"/>
  <c r="O480" i="3"/>
  <c r="P480" i="3" s="1"/>
  <c r="O479" i="3"/>
  <c r="P479" i="3" s="1"/>
  <c r="O478" i="3"/>
  <c r="P478" i="3" s="1"/>
  <c r="O477" i="3"/>
  <c r="P477" i="3" s="1"/>
  <c r="O476" i="3"/>
  <c r="P476" i="3" s="1"/>
  <c r="O475" i="3"/>
  <c r="P475" i="3" s="1"/>
  <c r="O474" i="3"/>
  <c r="P474" i="3" s="1"/>
  <c r="O473" i="3"/>
  <c r="P473" i="3" s="1"/>
  <c r="O472" i="3"/>
  <c r="P472" i="3" s="1"/>
  <c r="O471" i="3"/>
  <c r="P471" i="3" s="1"/>
  <c r="O470" i="3"/>
  <c r="P470" i="3" s="1"/>
  <c r="O469" i="3"/>
  <c r="P469" i="3" s="1"/>
  <c r="O468" i="3"/>
  <c r="P468" i="3" s="1"/>
  <c r="O467" i="3"/>
  <c r="P467" i="3" s="1"/>
  <c r="O466" i="3"/>
  <c r="P466" i="3" s="1"/>
  <c r="O465" i="3"/>
  <c r="P465" i="3" s="1"/>
  <c r="O464" i="3"/>
  <c r="P464" i="3" s="1"/>
  <c r="O463" i="3"/>
  <c r="P463" i="3" s="1"/>
  <c r="O462" i="3"/>
  <c r="P462" i="3" s="1"/>
  <c r="O461" i="3"/>
  <c r="P461" i="3" s="1"/>
  <c r="O460" i="3"/>
  <c r="P460" i="3" s="1"/>
  <c r="O459" i="3"/>
  <c r="P459" i="3" s="1"/>
  <c r="O458" i="3"/>
  <c r="P458" i="3" s="1"/>
  <c r="O457" i="3"/>
  <c r="P457" i="3" s="1"/>
  <c r="O456" i="3"/>
  <c r="P456" i="3" s="1"/>
  <c r="O455" i="3"/>
  <c r="P455" i="3" s="1"/>
  <c r="O454" i="3"/>
  <c r="P454" i="3" s="1"/>
  <c r="O453" i="3"/>
  <c r="P453" i="3" s="1"/>
  <c r="O452" i="3"/>
  <c r="P452" i="3" s="1"/>
  <c r="O451" i="3"/>
  <c r="P451" i="3" s="1"/>
  <c r="O450" i="3"/>
  <c r="P450" i="3" s="1"/>
  <c r="O449" i="3"/>
  <c r="P449" i="3" s="1"/>
  <c r="O448" i="3"/>
  <c r="P448" i="3" s="1"/>
  <c r="O447" i="3"/>
  <c r="P447" i="3" s="1"/>
  <c r="O446" i="3"/>
  <c r="P446" i="3" s="1"/>
  <c r="O445" i="3"/>
  <c r="P445" i="3" s="1"/>
  <c r="O444" i="3"/>
  <c r="P444" i="3" s="1"/>
  <c r="O443" i="3"/>
  <c r="P443" i="3" s="1"/>
  <c r="O442" i="3"/>
  <c r="P442" i="3" s="1"/>
  <c r="O441" i="3"/>
  <c r="P441" i="3" s="1"/>
  <c r="O440" i="3"/>
  <c r="P440" i="3" s="1"/>
  <c r="O439" i="3"/>
  <c r="P439" i="3" s="1"/>
  <c r="O438" i="3"/>
  <c r="P438" i="3" s="1"/>
  <c r="O437" i="3"/>
  <c r="P437" i="3" s="1"/>
  <c r="O436" i="3"/>
  <c r="P436" i="3" s="1"/>
  <c r="O435" i="3"/>
  <c r="P435" i="3" s="1"/>
  <c r="O434" i="3"/>
  <c r="P434" i="3" s="1"/>
  <c r="O433" i="3"/>
  <c r="P433" i="3" s="1"/>
  <c r="O432" i="3"/>
  <c r="P432" i="3" s="1"/>
  <c r="O431" i="3"/>
  <c r="P431" i="3" s="1"/>
  <c r="O430" i="3"/>
  <c r="P430" i="3" s="1"/>
  <c r="O429" i="3"/>
  <c r="P429" i="3" s="1"/>
  <c r="O428" i="3"/>
  <c r="P428" i="3" s="1"/>
  <c r="O427" i="3"/>
  <c r="P427" i="3" s="1"/>
  <c r="O426" i="3"/>
  <c r="P426" i="3" s="1"/>
  <c r="O425" i="3"/>
  <c r="P425" i="3" s="1"/>
  <c r="O424" i="3"/>
  <c r="P424" i="3" s="1"/>
  <c r="O423" i="3"/>
  <c r="P423" i="3" s="1"/>
  <c r="O422" i="3"/>
  <c r="P422" i="3" s="1"/>
  <c r="O421" i="3"/>
  <c r="P421" i="3" s="1"/>
  <c r="O420" i="3"/>
  <c r="P420" i="3" s="1"/>
  <c r="O419" i="3"/>
  <c r="P419" i="3" s="1"/>
  <c r="O418" i="3"/>
  <c r="P418" i="3" s="1"/>
  <c r="O417" i="3"/>
  <c r="P417" i="3" s="1"/>
  <c r="O416" i="3"/>
  <c r="P416" i="3" s="1"/>
  <c r="O415" i="3"/>
  <c r="P415" i="3" s="1"/>
  <c r="O414" i="3"/>
  <c r="P414" i="3" s="1"/>
  <c r="O413" i="3"/>
  <c r="P413" i="3" s="1"/>
  <c r="O412" i="3"/>
  <c r="P412" i="3" s="1"/>
  <c r="O411" i="3"/>
  <c r="P411" i="3" s="1"/>
  <c r="O410" i="3"/>
  <c r="P410" i="3" s="1"/>
  <c r="O409" i="3"/>
  <c r="P409" i="3" s="1"/>
  <c r="O408" i="3"/>
  <c r="P408" i="3" s="1"/>
  <c r="O407" i="3"/>
  <c r="P407" i="3" s="1"/>
  <c r="O406" i="3"/>
  <c r="P406" i="3" s="1"/>
  <c r="O405" i="3"/>
  <c r="P405" i="3" s="1"/>
  <c r="O404" i="3"/>
  <c r="P404" i="3" s="1"/>
  <c r="O403" i="3"/>
  <c r="P403" i="3" s="1"/>
  <c r="O402" i="3"/>
  <c r="P402" i="3" s="1"/>
  <c r="O401" i="3"/>
  <c r="P401" i="3" s="1"/>
  <c r="O400" i="3"/>
  <c r="P400" i="3" s="1"/>
  <c r="O399" i="3"/>
  <c r="P399" i="3" s="1"/>
  <c r="O398" i="3"/>
  <c r="P398" i="3" s="1"/>
  <c r="O397" i="3"/>
  <c r="P397" i="3" s="1"/>
  <c r="O396" i="3"/>
  <c r="P396" i="3" s="1"/>
  <c r="O395" i="3"/>
  <c r="P395" i="3" s="1"/>
  <c r="O394" i="3"/>
  <c r="P394" i="3" s="1"/>
  <c r="O393" i="3"/>
  <c r="P393" i="3" s="1"/>
  <c r="O392" i="3"/>
  <c r="P392" i="3" s="1"/>
  <c r="O391" i="3"/>
  <c r="P391" i="3" s="1"/>
  <c r="O390" i="3"/>
  <c r="P390" i="3" s="1"/>
  <c r="O389" i="3"/>
  <c r="P389" i="3" s="1"/>
  <c r="O388" i="3"/>
  <c r="P388" i="3" s="1"/>
  <c r="O387" i="3"/>
  <c r="P387" i="3" s="1"/>
  <c r="O386" i="3"/>
  <c r="P386" i="3" s="1"/>
  <c r="O385" i="3"/>
  <c r="P385" i="3" s="1"/>
  <c r="O384" i="3"/>
  <c r="P384" i="3" s="1"/>
  <c r="O383" i="3"/>
  <c r="P383" i="3" s="1"/>
  <c r="O382" i="3"/>
  <c r="P382" i="3" s="1"/>
  <c r="O381" i="3"/>
  <c r="P381" i="3" s="1"/>
  <c r="O380" i="3"/>
  <c r="P380" i="3" s="1"/>
  <c r="O379" i="3"/>
  <c r="P379" i="3" s="1"/>
  <c r="O378" i="3"/>
  <c r="P378" i="3" s="1"/>
  <c r="O377" i="3"/>
  <c r="P377" i="3" s="1"/>
  <c r="O376" i="3"/>
  <c r="P376" i="3" s="1"/>
  <c r="O375" i="3"/>
  <c r="P375" i="3" s="1"/>
  <c r="O374" i="3"/>
  <c r="P374" i="3" s="1"/>
  <c r="O373" i="3"/>
  <c r="P373" i="3" s="1"/>
  <c r="O372" i="3"/>
  <c r="P372" i="3" s="1"/>
  <c r="O371" i="3"/>
  <c r="P371" i="3" s="1"/>
  <c r="O370" i="3"/>
  <c r="P370" i="3" s="1"/>
  <c r="O369" i="3"/>
  <c r="P369" i="3" s="1"/>
  <c r="O368" i="3"/>
  <c r="P368" i="3" s="1"/>
  <c r="O367" i="3"/>
  <c r="P367" i="3" s="1"/>
  <c r="O366" i="3"/>
  <c r="P366" i="3" s="1"/>
  <c r="O365" i="3"/>
  <c r="P365" i="3" s="1"/>
  <c r="O364" i="3"/>
  <c r="P364" i="3" s="1"/>
  <c r="O363" i="3"/>
  <c r="P363" i="3" s="1"/>
  <c r="O362" i="3"/>
  <c r="P362" i="3" s="1"/>
  <c r="O361" i="3"/>
  <c r="P361" i="3" s="1"/>
  <c r="O360" i="3"/>
  <c r="P360" i="3" s="1"/>
  <c r="O359" i="3"/>
  <c r="P359" i="3" s="1"/>
  <c r="O358" i="3"/>
  <c r="P358" i="3" s="1"/>
  <c r="O357" i="3"/>
  <c r="P357" i="3" s="1"/>
  <c r="O356" i="3"/>
  <c r="P356" i="3" s="1"/>
  <c r="O355" i="3"/>
  <c r="P355" i="3" s="1"/>
  <c r="O354" i="3"/>
  <c r="P354" i="3" s="1"/>
  <c r="O353" i="3"/>
  <c r="P353" i="3" s="1"/>
  <c r="O348" i="3"/>
  <c r="P348" i="3" s="1"/>
  <c r="O347" i="3"/>
  <c r="P347" i="3" s="1"/>
  <c r="O346" i="3"/>
  <c r="P346" i="3" s="1"/>
  <c r="O345" i="3"/>
  <c r="P345" i="3" s="1"/>
  <c r="O344" i="3"/>
  <c r="P344" i="3" s="1"/>
  <c r="O343" i="3"/>
  <c r="P343" i="3" s="1"/>
  <c r="O342" i="3"/>
  <c r="P342" i="3" s="1"/>
  <c r="O341" i="3"/>
  <c r="P341" i="3" s="1"/>
  <c r="O340" i="3"/>
  <c r="P340" i="3" s="1"/>
  <c r="O339" i="3"/>
  <c r="P339" i="3" s="1"/>
  <c r="O338" i="3"/>
  <c r="P338" i="3" s="1"/>
  <c r="O337" i="3"/>
  <c r="P337" i="3" s="1"/>
  <c r="O336" i="3"/>
  <c r="P336" i="3" s="1"/>
  <c r="O335" i="3"/>
  <c r="P335" i="3" s="1"/>
  <c r="O334" i="3"/>
  <c r="P334" i="3" s="1"/>
  <c r="O333" i="3"/>
  <c r="P333" i="3" s="1"/>
  <c r="O332" i="3"/>
  <c r="P332" i="3" s="1"/>
  <c r="O331" i="3"/>
  <c r="P331" i="3" s="1"/>
  <c r="O330" i="3"/>
  <c r="P330" i="3" s="1"/>
  <c r="O329" i="3"/>
  <c r="P329" i="3" s="1"/>
  <c r="O328" i="3"/>
  <c r="P328" i="3" s="1"/>
  <c r="O327" i="3"/>
  <c r="P327" i="3" s="1"/>
  <c r="O326" i="3"/>
  <c r="P326" i="3" s="1"/>
  <c r="O325" i="3"/>
  <c r="P325" i="3" s="1"/>
  <c r="O324" i="3"/>
  <c r="P324" i="3" s="1"/>
  <c r="O323" i="3"/>
  <c r="P323" i="3" s="1"/>
  <c r="O322" i="3"/>
  <c r="P322" i="3" s="1"/>
  <c r="O321" i="3"/>
  <c r="P321" i="3" s="1"/>
  <c r="O320" i="3"/>
  <c r="P320" i="3" s="1"/>
  <c r="O319" i="3"/>
  <c r="P319" i="3" s="1"/>
  <c r="O318" i="3"/>
  <c r="P318" i="3" s="1"/>
  <c r="O317" i="3"/>
  <c r="P317" i="3" s="1"/>
  <c r="O316" i="3"/>
  <c r="P316" i="3" s="1"/>
  <c r="O315" i="3"/>
  <c r="P315" i="3" s="1"/>
  <c r="O314" i="3"/>
  <c r="P314" i="3" s="1"/>
  <c r="O313" i="3"/>
  <c r="P313" i="3" s="1"/>
  <c r="O312" i="3"/>
  <c r="P312" i="3" s="1"/>
  <c r="O311" i="3"/>
  <c r="P311" i="3" s="1"/>
  <c r="O310" i="3"/>
  <c r="P310" i="3" s="1"/>
  <c r="O309" i="3"/>
  <c r="P309" i="3" s="1"/>
  <c r="O308" i="3"/>
  <c r="P308" i="3" s="1"/>
  <c r="O307" i="3"/>
  <c r="P307" i="3" s="1"/>
  <c r="O306" i="3"/>
  <c r="P306" i="3" s="1"/>
  <c r="O305" i="3"/>
  <c r="P305" i="3" s="1"/>
  <c r="O304" i="3"/>
  <c r="P304" i="3" s="1"/>
  <c r="O303" i="3"/>
  <c r="P303" i="3" s="1"/>
  <c r="O302" i="3"/>
  <c r="P302" i="3" s="1"/>
  <c r="O301" i="3"/>
  <c r="P301" i="3" s="1"/>
  <c r="O300" i="3"/>
  <c r="P300" i="3" s="1"/>
  <c r="O299" i="3"/>
  <c r="P299" i="3" s="1"/>
  <c r="O298" i="3"/>
  <c r="P298" i="3" s="1"/>
  <c r="O297" i="3"/>
  <c r="P297" i="3" s="1"/>
  <c r="O296" i="3"/>
  <c r="P296" i="3" s="1"/>
  <c r="O295" i="3"/>
  <c r="P295" i="3" s="1"/>
  <c r="O294" i="3"/>
  <c r="P294" i="3" s="1"/>
  <c r="O293" i="3"/>
  <c r="P293" i="3" s="1"/>
  <c r="O292" i="3"/>
  <c r="P292" i="3" s="1"/>
  <c r="O291" i="3"/>
  <c r="P291" i="3" s="1"/>
  <c r="O290" i="3"/>
  <c r="P290" i="3" s="1"/>
  <c r="O289" i="3"/>
  <c r="P289" i="3" s="1"/>
  <c r="O288" i="3"/>
  <c r="P288" i="3" s="1"/>
  <c r="O287" i="3"/>
  <c r="P287" i="3" s="1"/>
  <c r="O286" i="3"/>
  <c r="P286" i="3" s="1"/>
  <c r="O285" i="3"/>
  <c r="P285" i="3" s="1"/>
  <c r="O284" i="3"/>
  <c r="P284" i="3" s="1"/>
  <c r="O283" i="3"/>
  <c r="P283" i="3" s="1"/>
  <c r="O282" i="3"/>
  <c r="P282" i="3" s="1"/>
  <c r="O281" i="3"/>
  <c r="P281" i="3" s="1"/>
  <c r="O280" i="3"/>
  <c r="P280" i="3" s="1"/>
  <c r="O279" i="3"/>
  <c r="P279" i="3" s="1"/>
  <c r="O278" i="3"/>
  <c r="P278" i="3" s="1"/>
  <c r="O277" i="3"/>
  <c r="P277" i="3" s="1"/>
  <c r="O276" i="3"/>
  <c r="P276" i="3" s="1"/>
  <c r="O275" i="3"/>
  <c r="P275" i="3" s="1"/>
  <c r="O274" i="3"/>
  <c r="P274" i="3" s="1"/>
  <c r="O273" i="3"/>
  <c r="P273" i="3" s="1"/>
  <c r="O272" i="3"/>
  <c r="P272" i="3" s="1"/>
  <c r="O271" i="3"/>
  <c r="P271" i="3" s="1"/>
  <c r="O270" i="3"/>
  <c r="P270" i="3" s="1"/>
  <c r="O269" i="3"/>
  <c r="P269" i="3" s="1"/>
  <c r="O268" i="3"/>
  <c r="P268" i="3" s="1"/>
  <c r="O267" i="3"/>
  <c r="P267" i="3" s="1"/>
  <c r="O266" i="3"/>
  <c r="P266" i="3" s="1"/>
  <c r="O265" i="3"/>
  <c r="P265" i="3" s="1"/>
  <c r="O264" i="3"/>
  <c r="P264" i="3" s="1"/>
  <c r="O263" i="3"/>
  <c r="P263" i="3" s="1"/>
  <c r="O262" i="3"/>
  <c r="P262" i="3" s="1"/>
  <c r="O261" i="3"/>
  <c r="P261" i="3" s="1"/>
  <c r="O260" i="3"/>
  <c r="P260" i="3" s="1"/>
  <c r="O259" i="3"/>
  <c r="P259" i="3" s="1"/>
  <c r="O258" i="3"/>
  <c r="P258" i="3" s="1"/>
  <c r="O257" i="3"/>
  <c r="P257" i="3" s="1"/>
  <c r="O256" i="3"/>
  <c r="P256" i="3" s="1"/>
  <c r="O255" i="3"/>
  <c r="P255" i="3" s="1"/>
  <c r="O254" i="3"/>
  <c r="P254" i="3" s="1"/>
  <c r="O253" i="3"/>
  <c r="P253" i="3" s="1"/>
  <c r="O252" i="3"/>
  <c r="P252" i="3" s="1"/>
  <c r="O251" i="3"/>
  <c r="P251" i="3" s="1"/>
  <c r="O250" i="3"/>
  <c r="P250" i="3" s="1"/>
  <c r="O249" i="3"/>
  <c r="P249" i="3" s="1"/>
  <c r="O248" i="3"/>
  <c r="P248" i="3" s="1"/>
  <c r="O247" i="3"/>
  <c r="P247" i="3" s="1"/>
  <c r="O246" i="3"/>
  <c r="P246" i="3" s="1"/>
  <c r="O245" i="3"/>
  <c r="P245" i="3" s="1"/>
  <c r="O244" i="3"/>
  <c r="P244" i="3" s="1"/>
  <c r="O243" i="3"/>
  <c r="P243" i="3" s="1"/>
  <c r="O242" i="3"/>
  <c r="P242" i="3" s="1"/>
  <c r="O241" i="3"/>
  <c r="P241" i="3" s="1"/>
  <c r="O240" i="3"/>
  <c r="P240" i="3" s="1"/>
  <c r="O239" i="3"/>
  <c r="P239" i="3" s="1"/>
  <c r="O238" i="3"/>
  <c r="P238" i="3" s="1"/>
  <c r="O237" i="3"/>
  <c r="P237" i="3" s="1"/>
  <c r="O236" i="3"/>
  <c r="P236" i="3" s="1"/>
  <c r="O235" i="3"/>
  <c r="P235" i="3" s="1"/>
  <c r="O234" i="3"/>
  <c r="P234" i="3" s="1"/>
  <c r="O233" i="3"/>
  <c r="P233" i="3" s="1"/>
  <c r="O232" i="3"/>
  <c r="P232" i="3" s="1"/>
  <c r="O231" i="3"/>
  <c r="P231" i="3" s="1"/>
  <c r="O230" i="3"/>
  <c r="P230" i="3" s="1"/>
  <c r="O229" i="3"/>
  <c r="P229" i="3" s="1"/>
  <c r="O228" i="3"/>
  <c r="P228" i="3" s="1"/>
  <c r="O227" i="3"/>
  <c r="P227" i="3" s="1"/>
  <c r="O226" i="3"/>
  <c r="P226" i="3" s="1"/>
  <c r="O225" i="3"/>
  <c r="P225" i="3" s="1"/>
  <c r="O224" i="3"/>
  <c r="P224" i="3" s="1"/>
  <c r="O223" i="3"/>
  <c r="P223" i="3" s="1"/>
  <c r="O222" i="3"/>
  <c r="P222" i="3" s="1"/>
  <c r="O221" i="3"/>
  <c r="P221" i="3" s="1"/>
  <c r="O220" i="3"/>
  <c r="P220" i="3" s="1"/>
  <c r="O219" i="3"/>
  <c r="P219" i="3" s="1"/>
  <c r="O218" i="3"/>
  <c r="P218" i="3" s="1"/>
  <c r="O217" i="3"/>
  <c r="P217" i="3" s="1"/>
  <c r="O216" i="3"/>
  <c r="P216" i="3" s="1"/>
  <c r="O215" i="3"/>
  <c r="P215" i="3" s="1"/>
  <c r="O214" i="3"/>
  <c r="P214" i="3" s="1"/>
  <c r="O213" i="3"/>
  <c r="P213" i="3" s="1"/>
  <c r="O212" i="3"/>
  <c r="P212" i="3" s="1"/>
  <c r="O211" i="3"/>
  <c r="P211" i="3" s="1"/>
  <c r="O210" i="3"/>
  <c r="P210" i="3" s="1"/>
  <c r="O209" i="3"/>
  <c r="P209" i="3" s="1"/>
  <c r="O208" i="3"/>
  <c r="P208" i="3" s="1"/>
  <c r="O207" i="3"/>
  <c r="P207" i="3" s="1"/>
  <c r="O206" i="3"/>
  <c r="P206" i="3" s="1"/>
  <c r="O205" i="3"/>
  <c r="P205" i="3" s="1"/>
  <c r="O204" i="3"/>
  <c r="P204" i="3" s="1"/>
  <c r="O203" i="3"/>
  <c r="P203" i="3" s="1"/>
  <c r="O202" i="3"/>
  <c r="P202" i="3" s="1"/>
  <c r="O201" i="3"/>
  <c r="P201" i="3" s="1"/>
  <c r="O200" i="3"/>
  <c r="P200" i="3" s="1"/>
  <c r="O199" i="3"/>
  <c r="P199" i="3" s="1"/>
  <c r="O198" i="3"/>
  <c r="P198" i="3" s="1"/>
  <c r="O197" i="3"/>
  <c r="P197" i="3" s="1"/>
  <c r="O196" i="3"/>
  <c r="P196" i="3" s="1"/>
  <c r="O195" i="3"/>
  <c r="P195" i="3" s="1"/>
  <c r="O194" i="3"/>
  <c r="P194" i="3" s="1"/>
  <c r="O193" i="3"/>
  <c r="P193" i="3" s="1"/>
  <c r="O192" i="3"/>
  <c r="P192" i="3" s="1"/>
  <c r="O191" i="3"/>
  <c r="P191" i="3" s="1"/>
  <c r="O190" i="3"/>
  <c r="P190" i="3" s="1"/>
  <c r="O189" i="3"/>
  <c r="P189" i="3" s="1"/>
  <c r="O188" i="3"/>
  <c r="P188" i="3" s="1"/>
  <c r="O187" i="3"/>
  <c r="P187" i="3" s="1"/>
  <c r="O186" i="3"/>
  <c r="P186" i="3" s="1"/>
  <c r="O185" i="3"/>
  <c r="P185" i="3" s="1"/>
  <c r="O184" i="3"/>
  <c r="P184" i="3" s="1"/>
  <c r="O183" i="3"/>
  <c r="P183" i="3" s="1"/>
  <c r="O182" i="3"/>
  <c r="P182" i="3" s="1"/>
  <c r="O181" i="3"/>
  <c r="P181" i="3" s="1"/>
  <c r="O180" i="3"/>
  <c r="P180" i="3" s="1"/>
  <c r="O179" i="3"/>
  <c r="P179" i="3" s="1"/>
  <c r="O178" i="3"/>
  <c r="P178" i="3" s="1"/>
  <c r="O177" i="3"/>
  <c r="P177" i="3" s="1"/>
  <c r="O176" i="3"/>
  <c r="P176" i="3" s="1"/>
  <c r="O175" i="3"/>
  <c r="P175" i="3" s="1"/>
  <c r="O174" i="3"/>
  <c r="P174" i="3" s="1"/>
  <c r="O173" i="3"/>
  <c r="P173" i="3" s="1"/>
  <c r="O172" i="3"/>
  <c r="P172" i="3" s="1"/>
  <c r="O171" i="3"/>
  <c r="P171" i="3" s="1"/>
  <c r="O170" i="3"/>
  <c r="P170" i="3" s="1"/>
  <c r="O169" i="3"/>
  <c r="P169" i="3" s="1"/>
  <c r="O168" i="3"/>
  <c r="P168" i="3" s="1"/>
  <c r="O167" i="3"/>
  <c r="P167" i="3" s="1"/>
  <c r="O166" i="3"/>
  <c r="P166" i="3" s="1"/>
  <c r="O165" i="3"/>
  <c r="P165" i="3" s="1"/>
  <c r="O164" i="3"/>
  <c r="P164" i="3" s="1"/>
  <c r="O163" i="3"/>
  <c r="P163" i="3" s="1"/>
  <c r="O162" i="3"/>
  <c r="P162" i="3" s="1"/>
  <c r="O161" i="3"/>
  <c r="P161" i="3" s="1"/>
  <c r="O160" i="3"/>
  <c r="P160" i="3" s="1"/>
  <c r="O159" i="3"/>
  <c r="P159" i="3" s="1"/>
  <c r="O158" i="3"/>
  <c r="P158" i="3" s="1"/>
  <c r="O157" i="3"/>
  <c r="P157" i="3" s="1"/>
  <c r="O156" i="3"/>
  <c r="P156" i="3" s="1"/>
  <c r="O155" i="3"/>
  <c r="P155" i="3" s="1"/>
  <c r="O154" i="3"/>
  <c r="P154" i="3" s="1"/>
  <c r="O153" i="3"/>
  <c r="P153" i="3" s="1"/>
  <c r="O152" i="3"/>
  <c r="P152" i="3" s="1"/>
  <c r="O151" i="3"/>
  <c r="P151" i="3" s="1"/>
  <c r="O150" i="3"/>
  <c r="P150" i="3" s="1"/>
  <c r="O149" i="3"/>
  <c r="P149" i="3" s="1"/>
  <c r="O139" i="3"/>
  <c r="P139" i="3" s="1"/>
  <c r="O138" i="3"/>
  <c r="P138" i="3" s="1"/>
  <c r="O137" i="3"/>
  <c r="P137" i="3" s="1"/>
  <c r="O136" i="3"/>
  <c r="P136" i="3" s="1"/>
  <c r="O135" i="3"/>
  <c r="P135" i="3" s="1"/>
  <c r="O134" i="3"/>
  <c r="P134" i="3" s="1"/>
  <c r="O133" i="3"/>
  <c r="P133" i="3" s="1"/>
  <c r="O132" i="3"/>
  <c r="P132" i="3" s="1"/>
  <c r="O131" i="3"/>
  <c r="P131" i="3" s="1"/>
  <c r="O130" i="3"/>
  <c r="P130" i="3" s="1"/>
  <c r="O129" i="3"/>
  <c r="P129" i="3" s="1"/>
  <c r="O128" i="3"/>
  <c r="P128" i="3" s="1"/>
  <c r="O127" i="3"/>
  <c r="P127" i="3" s="1"/>
  <c r="O126" i="3"/>
  <c r="P126" i="3" s="1"/>
  <c r="O125" i="3"/>
  <c r="P125" i="3" s="1"/>
  <c r="O122" i="3"/>
  <c r="P122" i="3" s="1"/>
  <c r="O121" i="3"/>
  <c r="P121" i="3" s="1"/>
  <c r="O120" i="3"/>
  <c r="P120" i="3" s="1"/>
  <c r="O119" i="3"/>
  <c r="P119" i="3" s="1"/>
  <c r="O118" i="3"/>
  <c r="P118" i="3" s="1"/>
  <c r="O117" i="3"/>
  <c r="P117" i="3" s="1"/>
  <c r="O116" i="3"/>
  <c r="P116" i="3" s="1"/>
  <c r="O115" i="3"/>
  <c r="P115" i="3" s="1"/>
  <c r="O114" i="3"/>
  <c r="P114" i="3" s="1"/>
  <c r="O113" i="3"/>
  <c r="P113" i="3" s="1"/>
  <c r="O112" i="3"/>
  <c r="P112" i="3" s="1"/>
  <c r="O111" i="3"/>
  <c r="P111" i="3" s="1"/>
  <c r="O110" i="3"/>
  <c r="P110" i="3" s="1"/>
  <c r="O109" i="3"/>
  <c r="P109" i="3" s="1"/>
  <c r="O108" i="3"/>
  <c r="P108" i="3" s="1"/>
  <c r="O107" i="3"/>
  <c r="P107" i="3" s="1"/>
  <c r="O106" i="3"/>
  <c r="P106" i="3" s="1"/>
  <c r="O105" i="3"/>
  <c r="P105" i="3" s="1"/>
  <c r="O104" i="3"/>
  <c r="P104" i="3" s="1"/>
  <c r="O103" i="3"/>
  <c r="P103" i="3" s="1"/>
  <c r="O102" i="3"/>
  <c r="P102" i="3" s="1"/>
  <c r="O101" i="3"/>
  <c r="P101" i="3" s="1"/>
  <c r="O100" i="3"/>
  <c r="P100" i="3" s="1"/>
  <c r="O99" i="3"/>
  <c r="P99" i="3" s="1"/>
  <c r="O98" i="3"/>
  <c r="P98" i="3" s="1"/>
  <c r="O97" i="3"/>
  <c r="P97" i="3" s="1"/>
  <c r="O96" i="3"/>
  <c r="P96" i="3" s="1"/>
  <c r="O95" i="3"/>
  <c r="P95" i="3" s="1"/>
  <c r="O94" i="3"/>
  <c r="P94" i="3" s="1"/>
  <c r="O93" i="3"/>
  <c r="P93" i="3" s="1"/>
  <c r="O92" i="3"/>
  <c r="P92" i="3" s="1"/>
  <c r="O91" i="3"/>
  <c r="P91" i="3" s="1"/>
  <c r="O90" i="3"/>
  <c r="P90" i="3" s="1"/>
  <c r="O89" i="3"/>
  <c r="P89" i="3" s="1"/>
  <c r="O88" i="3"/>
  <c r="P88" i="3" s="1"/>
  <c r="O87" i="3"/>
  <c r="P87" i="3" s="1"/>
  <c r="O86" i="3"/>
  <c r="P86" i="3" s="1"/>
  <c r="O85" i="3"/>
  <c r="P85" i="3" s="1"/>
  <c r="O84" i="3"/>
  <c r="P84" i="3" s="1"/>
  <c r="O83" i="3"/>
  <c r="P83" i="3" s="1"/>
  <c r="O82" i="3"/>
  <c r="P82" i="3" s="1"/>
  <c r="O81" i="3"/>
  <c r="P81" i="3" s="1"/>
  <c r="O80" i="3"/>
  <c r="P80" i="3" s="1"/>
  <c r="O79" i="3"/>
  <c r="P79" i="3" s="1"/>
  <c r="O78" i="3"/>
  <c r="P78" i="3" s="1"/>
  <c r="O77" i="3"/>
  <c r="P77" i="3" s="1"/>
  <c r="O76" i="3"/>
  <c r="P76" i="3" s="1"/>
  <c r="O75" i="3"/>
  <c r="P75" i="3" s="1"/>
  <c r="O74" i="3"/>
  <c r="P74" i="3" s="1"/>
  <c r="O73" i="3"/>
  <c r="P73" i="3" s="1"/>
  <c r="O72" i="3"/>
  <c r="P72" i="3" s="1"/>
  <c r="O71" i="3"/>
  <c r="P71" i="3" s="1"/>
  <c r="O70" i="3"/>
  <c r="P70" i="3" s="1"/>
  <c r="O69" i="3"/>
  <c r="P69" i="3" s="1"/>
  <c r="O68" i="3"/>
  <c r="P68" i="3" s="1"/>
  <c r="O67" i="3"/>
  <c r="P67" i="3" s="1"/>
  <c r="O66" i="3"/>
  <c r="P66" i="3" s="1"/>
  <c r="O65" i="3"/>
  <c r="P65" i="3" s="1"/>
  <c r="O64" i="3"/>
  <c r="P64" i="3" s="1"/>
  <c r="O63" i="3"/>
  <c r="P63" i="3" s="1"/>
  <c r="O62" i="3"/>
  <c r="P62" i="3" s="1"/>
  <c r="O61" i="3"/>
  <c r="P61" i="3" s="1"/>
  <c r="O60" i="3"/>
  <c r="P60" i="3" s="1"/>
  <c r="O59" i="3"/>
  <c r="P59" i="3" s="1"/>
  <c r="O58" i="3"/>
  <c r="P58" i="3" s="1"/>
  <c r="O57" i="3"/>
  <c r="P57" i="3" s="1"/>
  <c r="O56" i="3"/>
  <c r="P56" i="3" s="1"/>
  <c r="O55" i="3"/>
  <c r="P55" i="3" s="1"/>
  <c r="O54" i="3"/>
  <c r="P54" i="3" s="1"/>
  <c r="O53" i="3"/>
  <c r="P53" i="3" s="1"/>
  <c r="O52" i="3"/>
  <c r="P52" i="3" s="1"/>
  <c r="O51" i="3"/>
  <c r="P51" i="3" s="1"/>
  <c r="O50" i="3"/>
  <c r="P50" i="3" s="1"/>
  <c r="O49" i="3"/>
  <c r="P49" i="3" s="1"/>
  <c r="O48" i="3"/>
  <c r="P48" i="3" s="1"/>
  <c r="O47" i="3"/>
  <c r="P47" i="3" s="1"/>
  <c r="O46" i="3"/>
  <c r="P46" i="3" s="1"/>
  <c r="O45" i="3"/>
  <c r="P45" i="3" s="1"/>
  <c r="O44" i="3"/>
  <c r="P44" i="3" s="1"/>
  <c r="O43" i="3"/>
  <c r="P43" i="3" s="1"/>
  <c r="O42" i="3"/>
  <c r="P42" i="3" s="1"/>
  <c r="O41" i="3"/>
  <c r="P41" i="3" s="1"/>
  <c r="O40" i="3"/>
  <c r="P40" i="3" s="1"/>
  <c r="O39" i="3"/>
  <c r="P39" i="3" s="1"/>
  <c r="O38" i="3"/>
  <c r="P38" i="3" s="1"/>
  <c r="O37" i="3"/>
  <c r="P37" i="3" s="1"/>
  <c r="O36" i="3"/>
  <c r="P36" i="3" s="1"/>
  <c r="O35" i="3"/>
  <c r="P35" i="3" s="1"/>
  <c r="O34" i="3"/>
  <c r="P34" i="3" s="1"/>
  <c r="O33" i="3"/>
  <c r="P33" i="3" s="1"/>
  <c r="O32" i="3"/>
  <c r="P32" i="3" s="1"/>
  <c r="O31" i="3"/>
  <c r="P31" i="3" s="1"/>
  <c r="O30" i="3"/>
  <c r="P30" i="3" s="1"/>
  <c r="O29" i="3"/>
  <c r="P29" i="3" s="1"/>
  <c r="O28" i="3"/>
  <c r="P28" i="3" s="1"/>
  <c r="O27" i="3"/>
  <c r="P27" i="3" s="1"/>
  <c r="O26" i="3"/>
  <c r="P26" i="3" s="1"/>
  <c r="O25" i="3"/>
  <c r="P25" i="3" s="1"/>
  <c r="O24" i="3"/>
  <c r="P24" i="3" s="1"/>
  <c r="O23" i="3"/>
  <c r="P23" i="3" s="1"/>
  <c r="O22" i="3"/>
  <c r="P22" i="3" s="1"/>
  <c r="O21" i="3"/>
  <c r="P21" i="3" s="1"/>
  <c r="O20" i="3"/>
  <c r="P20" i="3" s="1"/>
  <c r="O19" i="3"/>
  <c r="P19" i="3" s="1"/>
  <c r="O18" i="3"/>
  <c r="P18" i="3" s="1"/>
  <c r="O17" i="3"/>
  <c r="P17" i="3" s="1"/>
  <c r="O16" i="3"/>
  <c r="P16" i="3" s="1"/>
  <c r="O15" i="3"/>
  <c r="P15" i="3" s="1"/>
  <c r="O14" i="3"/>
  <c r="P14" i="3" s="1"/>
  <c r="O13" i="3"/>
  <c r="P13" i="3" s="1"/>
  <c r="O12" i="3"/>
  <c r="P12" i="3" s="1"/>
  <c r="O11" i="3"/>
  <c r="P11" i="3" s="1"/>
  <c r="O10" i="3"/>
  <c r="P10" i="3" s="1"/>
  <c r="O9" i="3"/>
  <c r="P9" i="3" s="1"/>
  <c r="O8" i="3"/>
  <c r="P8" i="3" s="1"/>
  <c r="O7" i="3"/>
  <c r="P7" i="3" s="1"/>
  <c r="O6" i="3"/>
  <c r="P6" i="3" s="1"/>
  <c r="O5" i="3"/>
  <c r="P5" i="3" s="1"/>
  <c r="O4" i="3"/>
  <c r="P4" i="3" s="1"/>
  <c r="O3" i="3"/>
  <c r="P3" i="3" s="1"/>
  <c r="I539" i="3"/>
  <c r="I540" i="3"/>
  <c r="O2" i="3"/>
  <c r="P2" i="3" s="1"/>
  <c r="I1670" i="3"/>
  <c r="I1669" i="3"/>
  <c r="I1668" i="3"/>
  <c r="I1667" i="3"/>
  <c r="I1666" i="3"/>
  <c r="I1665" i="3"/>
  <c r="I1664" i="3"/>
  <c r="I1663" i="3"/>
  <c r="I1662" i="3"/>
  <c r="I1661" i="3"/>
  <c r="I1660" i="3"/>
  <c r="I1659" i="3"/>
  <c r="I1658" i="3"/>
  <c r="I1657" i="3"/>
  <c r="I1656" i="3"/>
  <c r="I1655" i="3"/>
  <c r="I1654" i="3"/>
  <c r="I1653" i="3"/>
  <c r="I1652" i="3"/>
  <c r="I1651" i="3"/>
  <c r="I1650" i="3"/>
  <c r="I1649" i="3"/>
  <c r="I1648" i="3"/>
  <c r="I1647" i="3"/>
  <c r="I1646" i="3"/>
  <c r="I1645" i="3"/>
  <c r="I1644" i="3"/>
  <c r="I1643" i="3"/>
  <c r="I1642" i="3"/>
  <c r="I1641" i="3"/>
  <c r="I1640" i="3"/>
  <c r="I1639" i="3"/>
  <c r="I1638" i="3"/>
  <c r="I1637" i="3"/>
  <c r="I1636" i="3"/>
  <c r="I1635" i="3"/>
  <c r="I1634" i="3"/>
  <c r="I1633" i="3"/>
  <c r="I1632" i="3"/>
  <c r="I1631" i="3"/>
  <c r="I1630" i="3"/>
  <c r="I1629" i="3"/>
  <c r="I1628" i="3"/>
  <c r="I1627" i="3"/>
  <c r="I1626" i="3"/>
  <c r="I1625" i="3"/>
  <c r="I1624" i="3"/>
  <c r="I1623" i="3"/>
  <c r="I1622" i="3"/>
  <c r="I1621" i="3"/>
  <c r="I1620" i="3"/>
  <c r="I1619" i="3"/>
  <c r="I1618" i="3"/>
  <c r="I1617" i="3"/>
  <c r="I1616" i="3"/>
  <c r="I1615" i="3"/>
  <c r="I1614" i="3"/>
  <c r="I1613" i="3"/>
  <c r="I1612" i="3"/>
  <c r="I1611" i="3"/>
  <c r="I1610" i="3"/>
  <c r="I1609" i="3"/>
  <c r="I1608" i="3"/>
  <c r="I1607" i="3"/>
  <c r="I1606" i="3"/>
  <c r="I1605" i="3"/>
  <c r="I1604" i="3"/>
  <c r="I1603" i="3"/>
  <c r="I1601" i="3"/>
  <c r="I1600" i="3"/>
  <c r="I1599" i="3"/>
  <c r="I1598" i="3"/>
  <c r="I1597" i="3"/>
  <c r="I1596" i="3"/>
  <c r="I1595" i="3"/>
  <c r="I1594" i="3"/>
  <c r="I1593" i="3"/>
  <c r="I1592" i="3"/>
  <c r="I1591" i="3"/>
  <c r="I1590" i="3"/>
  <c r="I1589" i="3"/>
  <c r="I1588" i="3"/>
  <c r="I1587" i="3"/>
  <c r="I1586" i="3"/>
  <c r="I1585" i="3"/>
  <c r="I1583" i="3"/>
  <c r="I1582" i="3"/>
  <c r="I1581" i="3"/>
  <c r="I1580" i="3"/>
  <c r="I1579" i="3"/>
  <c r="I1578" i="3"/>
  <c r="I1577" i="3"/>
  <c r="I1576" i="3"/>
  <c r="I1575" i="3"/>
  <c r="I1574" i="3"/>
  <c r="I1573" i="3"/>
  <c r="I1572" i="3"/>
  <c r="I1571" i="3"/>
  <c r="I1570" i="3"/>
  <c r="I1569" i="3"/>
  <c r="I1568" i="3"/>
  <c r="I1567" i="3"/>
  <c r="I1566" i="3"/>
  <c r="I1565" i="3"/>
  <c r="I1564" i="3"/>
  <c r="I1563" i="3"/>
  <c r="I1562" i="3"/>
  <c r="I1561" i="3"/>
  <c r="I1560" i="3"/>
  <c r="I1559" i="3"/>
  <c r="I1558" i="3"/>
  <c r="I1557" i="3"/>
  <c r="I1556" i="3"/>
  <c r="I1555" i="3"/>
  <c r="I1554" i="3"/>
  <c r="I1553" i="3"/>
  <c r="I1552" i="3"/>
  <c r="I1551" i="3"/>
  <c r="I1550" i="3"/>
  <c r="I1549" i="3"/>
  <c r="I1548" i="3"/>
  <c r="I1547" i="3"/>
  <c r="I1546" i="3"/>
  <c r="I1545" i="3"/>
  <c r="I1544" i="3"/>
  <c r="I1543" i="3"/>
  <c r="I1542" i="3"/>
  <c r="I1541" i="3"/>
  <c r="I1540" i="3"/>
  <c r="I1539" i="3"/>
  <c r="I1538" i="3"/>
  <c r="I1537" i="3"/>
  <c r="I1536" i="3"/>
  <c r="I1535" i="3"/>
  <c r="I1534" i="3"/>
  <c r="I1533" i="3"/>
  <c r="I1532" i="3"/>
  <c r="I1531" i="3"/>
  <c r="I1530" i="3"/>
  <c r="I1529" i="3"/>
  <c r="I1528" i="3"/>
  <c r="I1527" i="3"/>
  <c r="I1526" i="3"/>
  <c r="I1525" i="3"/>
  <c r="I1524" i="3"/>
  <c r="I1523" i="3"/>
  <c r="I1522" i="3"/>
  <c r="I1521" i="3"/>
  <c r="I1520" i="3"/>
  <c r="I1519" i="3"/>
  <c r="I1518" i="3"/>
  <c r="I1517" i="3"/>
  <c r="I1516" i="3"/>
  <c r="I1515" i="3"/>
  <c r="I1514" i="3"/>
  <c r="I1513" i="3"/>
  <c r="I1512" i="3"/>
  <c r="I1511" i="3"/>
  <c r="I1510" i="3"/>
  <c r="I1509" i="3"/>
  <c r="I1508" i="3"/>
  <c r="I1507" i="3"/>
  <c r="I1506" i="3"/>
  <c r="I1505" i="3"/>
  <c r="I1504" i="3"/>
  <c r="I1503" i="3"/>
  <c r="I1502" i="3"/>
  <c r="I1501" i="3"/>
  <c r="I1500" i="3"/>
  <c r="I1499" i="3"/>
  <c r="I1498" i="3"/>
  <c r="I1497" i="3"/>
  <c r="I1496" i="3"/>
  <c r="I1495" i="3"/>
  <c r="I1494" i="3"/>
  <c r="I1493" i="3"/>
  <c r="I1492" i="3"/>
  <c r="I1491" i="3"/>
  <c r="I1490" i="3"/>
  <c r="I1489" i="3"/>
  <c r="I1488" i="3"/>
  <c r="I1487" i="3"/>
  <c r="I1486" i="3"/>
  <c r="I1485" i="3"/>
  <c r="I1484" i="3"/>
  <c r="I1483" i="3"/>
  <c r="I1482" i="3"/>
  <c r="I1481" i="3"/>
  <c r="I1480" i="3"/>
  <c r="I1479" i="3"/>
  <c r="I1478" i="3"/>
  <c r="I1477" i="3"/>
  <c r="I1476" i="3"/>
  <c r="I1475" i="3"/>
  <c r="I1474" i="3"/>
  <c r="I1473" i="3"/>
  <c r="I1472" i="3"/>
  <c r="I1471" i="3"/>
  <c r="I1470" i="3"/>
  <c r="I1469" i="3"/>
  <c r="I1468" i="3"/>
  <c r="I1467" i="3"/>
  <c r="I1466" i="3"/>
  <c r="I1465" i="3"/>
  <c r="I1464" i="3"/>
  <c r="I1463" i="3"/>
  <c r="I1462" i="3"/>
  <c r="I1461" i="3"/>
  <c r="I1460" i="3"/>
  <c r="I1459" i="3"/>
  <c r="I1458" i="3"/>
  <c r="I1457" i="3"/>
  <c r="I1456" i="3"/>
  <c r="I1455" i="3"/>
  <c r="I1454" i="3"/>
  <c r="I1453" i="3"/>
  <c r="I1452" i="3"/>
  <c r="I1451" i="3"/>
  <c r="I1450" i="3"/>
  <c r="I1449" i="3"/>
  <c r="I1448" i="3"/>
  <c r="I1443" i="3"/>
  <c r="I1439" i="3"/>
  <c r="I1438" i="3"/>
  <c r="I1437" i="3"/>
  <c r="I1436" i="3"/>
  <c r="I1435" i="3"/>
  <c r="I1434" i="3"/>
  <c r="I1433" i="3"/>
  <c r="I1432" i="3"/>
  <c r="I1431" i="3"/>
  <c r="I1430" i="3"/>
  <c r="I1429" i="3"/>
  <c r="I1428" i="3"/>
  <c r="I1427" i="3"/>
  <c r="I1426" i="3"/>
  <c r="I1425" i="3"/>
  <c r="I1424" i="3"/>
  <c r="I1423" i="3"/>
  <c r="I1422" i="3"/>
  <c r="I1421" i="3"/>
  <c r="I1420" i="3"/>
  <c r="I1419" i="3"/>
  <c r="I1418" i="3"/>
  <c r="I1417" i="3"/>
  <c r="I1416" i="3"/>
  <c r="I1415" i="3"/>
  <c r="I1414" i="3"/>
  <c r="I1413" i="3"/>
  <c r="I1412" i="3"/>
  <c r="I1411" i="3"/>
  <c r="I1410" i="3"/>
  <c r="I1409" i="3"/>
  <c r="I1408" i="3"/>
  <c r="I1407" i="3"/>
  <c r="I1406" i="3"/>
  <c r="I1405" i="3"/>
  <c r="I1404" i="3"/>
  <c r="I1403" i="3"/>
  <c r="I1402" i="3"/>
  <c r="I1401" i="3"/>
  <c r="I1400" i="3"/>
  <c r="I1399" i="3"/>
  <c r="I1398" i="3"/>
  <c r="I1397" i="3"/>
  <c r="I1396" i="3"/>
  <c r="I1395" i="3"/>
  <c r="I1394" i="3"/>
  <c r="I1393" i="3"/>
  <c r="I1392" i="3"/>
  <c r="I1391" i="3"/>
  <c r="I1390" i="3"/>
  <c r="I1389" i="3"/>
  <c r="I1388" i="3"/>
  <c r="I1387" i="3"/>
  <c r="I1386" i="3"/>
  <c r="I1385" i="3"/>
  <c r="I1384" i="3"/>
  <c r="I1383" i="3"/>
  <c r="I1382" i="3"/>
  <c r="I1381" i="3"/>
  <c r="I1380" i="3"/>
  <c r="I1379" i="3"/>
  <c r="I1378" i="3"/>
  <c r="I1377" i="3"/>
  <c r="I1376" i="3"/>
  <c r="I1375" i="3"/>
  <c r="I1374" i="3"/>
  <c r="I1373" i="3"/>
  <c r="I1372" i="3"/>
  <c r="I1371" i="3"/>
  <c r="I1370" i="3"/>
  <c r="I1369" i="3"/>
  <c r="I1368" i="3"/>
  <c r="I1367" i="3"/>
  <c r="I1366" i="3"/>
  <c r="I1365" i="3"/>
  <c r="I1364" i="3"/>
  <c r="I1363" i="3"/>
  <c r="I1362" i="3"/>
  <c r="I1361" i="3"/>
  <c r="I1360" i="3"/>
  <c r="I1359" i="3"/>
  <c r="I1358" i="3"/>
  <c r="I1357" i="3"/>
  <c r="I1356" i="3"/>
  <c r="I1355" i="3"/>
  <c r="I1354" i="3"/>
  <c r="I1353" i="3"/>
  <c r="I1352" i="3"/>
  <c r="I1351" i="3"/>
  <c r="I1350" i="3"/>
  <c r="I1349" i="3"/>
  <c r="I1348" i="3"/>
  <c r="I1347" i="3"/>
  <c r="I1346" i="3"/>
  <c r="I1345" i="3"/>
  <c r="I1344" i="3"/>
  <c r="I1343" i="3"/>
  <c r="I1342" i="3"/>
  <c r="I1341" i="3"/>
  <c r="I1340" i="3"/>
  <c r="I1339" i="3"/>
  <c r="I1338" i="3"/>
  <c r="I1337" i="3"/>
  <c r="I1336" i="3"/>
  <c r="I1335" i="3"/>
  <c r="I1334" i="3"/>
  <c r="I1333" i="3"/>
  <c r="I1332" i="3"/>
  <c r="I1331" i="3"/>
  <c r="I1330" i="3"/>
  <c r="I1329" i="3"/>
  <c r="I1328" i="3"/>
  <c r="I1327" i="3"/>
  <c r="I1326" i="3"/>
  <c r="I1325" i="3"/>
  <c r="I1324" i="3"/>
  <c r="I1323" i="3"/>
  <c r="I1322" i="3"/>
  <c r="I1321" i="3"/>
  <c r="I1320" i="3"/>
  <c r="I1319" i="3"/>
  <c r="I1318" i="3"/>
  <c r="I1317" i="3"/>
  <c r="I1316" i="3"/>
  <c r="I1315" i="3"/>
  <c r="I1314" i="3"/>
  <c r="I1313" i="3"/>
  <c r="I1312" i="3"/>
  <c r="I1311" i="3"/>
  <c r="I1310" i="3"/>
  <c r="I1309" i="3"/>
  <c r="I1308" i="3"/>
  <c r="I1307" i="3"/>
  <c r="I1306" i="3"/>
  <c r="I1305" i="3"/>
  <c r="I1304" i="3"/>
  <c r="I1303" i="3"/>
  <c r="I1302" i="3"/>
  <c r="I1301" i="3"/>
  <c r="I1300" i="3"/>
  <c r="I1299" i="3"/>
  <c r="I1298" i="3"/>
  <c r="I1297" i="3"/>
  <c r="I1296" i="3"/>
  <c r="I1295" i="3"/>
  <c r="I1294" i="3"/>
  <c r="I1293" i="3"/>
  <c r="I1292" i="3"/>
  <c r="I1291" i="3"/>
  <c r="I1290" i="3"/>
  <c r="I1289" i="3"/>
  <c r="I1288" i="3"/>
  <c r="I1287" i="3"/>
  <c r="I1286" i="3"/>
  <c r="I1285" i="3"/>
  <c r="I1284" i="3"/>
  <c r="I1283" i="3"/>
  <c r="I1282" i="3"/>
  <c r="I1281" i="3"/>
  <c r="I1280" i="3"/>
  <c r="I1279" i="3"/>
  <c r="I1278" i="3"/>
  <c r="I1277" i="3"/>
  <c r="I1276" i="3"/>
  <c r="I1275" i="3"/>
  <c r="I1274" i="3"/>
  <c r="I1273" i="3"/>
  <c r="I1272" i="3"/>
  <c r="I1271" i="3"/>
  <c r="I1270" i="3"/>
  <c r="I1269" i="3"/>
  <c r="I1268" i="3"/>
  <c r="I1267" i="3"/>
  <c r="I1266" i="3"/>
  <c r="I1265" i="3"/>
  <c r="I1264" i="3"/>
  <c r="I1263" i="3"/>
  <c r="I1262" i="3"/>
  <c r="I1261" i="3"/>
  <c r="I1260" i="3"/>
  <c r="I1259" i="3"/>
  <c r="I1258" i="3"/>
  <c r="I1257" i="3"/>
  <c r="I1256" i="3"/>
  <c r="I1255" i="3"/>
  <c r="I1254" i="3"/>
  <c r="I1253" i="3"/>
  <c r="I1252" i="3"/>
  <c r="I1251" i="3"/>
  <c r="I1250" i="3"/>
  <c r="I1249" i="3"/>
  <c r="I1248" i="3"/>
  <c r="I1247" i="3"/>
  <c r="I1246" i="3"/>
  <c r="I1245" i="3"/>
  <c r="I1244" i="3"/>
  <c r="I1243" i="3"/>
  <c r="I1242" i="3"/>
  <c r="I1241" i="3"/>
  <c r="I1240" i="3"/>
  <c r="I1239" i="3"/>
  <c r="I1238" i="3"/>
  <c r="I1237" i="3"/>
  <c r="I1236" i="3"/>
  <c r="I1214" i="3"/>
  <c r="I1213" i="3"/>
  <c r="I1212" i="3"/>
  <c r="I1211" i="3"/>
  <c r="I1210" i="3"/>
  <c r="I1209" i="3"/>
  <c r="I1208" i="3"/>
  <c r="I1207" i="3"/>
  <c r="I1206" i="3"/>
  <c r="I1205" i="3"/>
  <c r="I1204" i="3"/>
  <c r="I1203" i="3"/>
  <c r="I1202" i="3"/>
  <c r="I1201" i="3"/>
  <c r="I1200" i="3"/>
  <c r="I1199" i="3"/>
  <c r="I1198" i="3"/>
  <c r="I1197" i="3"/>
  <c r="I1196" i="3"/>
  <c r="I1195" i="3"/>
  <c r="I1194" i="3"/>
  <c r="I1193" i="3"/>
  <c r="I1192" i="3"/>
  <c r="I1191" i="3"/>
  <c r="I1190" i="3"/>
  <c r="I1189" i="3"/>
  <c r="I1188" i="3"/>
  <c r="I1187" i="3"/>
  <c r="I1186" i="3"/>
  <c r="I1185" i="3"/>
  <c r="I1184" i="3"/>
  <c r="I1183" i="3"/>
  <c r="I1182" i="3"/>
  <c r="I1181" i="3"/>
  <c r="I1180" i="3"/>
  <c r="I1179" i="3"/>
  <c r="I1178" i="3"/>
  <c r="I1177" i="3"/>
  <c r="I1176" i="3"/>
  <c r="I1175" i="3"/>
  <c r="I1174" i="3"/>
  <c r="I1173" i="3"/>
  <c r="I1172" i="3"/>
  <c r="I1171" i="3"/>
  <c r="I1170" i="3"/>
  <c r="I1169" i="3"/>
  <c r="I1168" i="3"/>
  <c r="I1165" i="3"/>
  <c r="I1163" i="3"/>
  <c r="I1161" i="3"/>
  <c r="I1159" i="3"/>
  <c r="I1157" i="3"/>
  <c r="I1155" i="3"/>
  <c r="I1153" i="3"/>
  <c r="I1151" i="3"/>
  <c r="I1149" i="3"/>
  <c r="I1147" i="3"/>
  <c r="I1146" i="3"/>
  <c r="I1144" i="3"/>
  <c r="I1143" i="3"/>
  <c r="I1142" i="3"/>
  <c r="I1141" i="3"/>
  <c r="I1140" i="3"/>
  <c r="I1138" i="3"/>
  <c r="I1136" i="3"/>
  <c r="I1134" i="3"/>
  <c r="I1132" i="3"/>
  <c r="I1130" i="3"/>
  <c r="I1129" i="3"/>
  <c r="I1128" i="3"/>
  <c r="I1127" i="3"/>
  <c r="I1126" i="3"/>
  <c r="I1125" i="3"/>
  <c r="I1124" i="3"/>
  <c r="I1123" i="3"/>
  <c r="I1122" i="3"/>
  <c r="I1121" i="3"/>
  <c r="I1120" i="3"/>
  <c r="I1119" i="3"/>
  <c r="I1118" i="3"/>
  <c r="I1117" i="3"/>
  <c r="I1116" i="3"/>
  <c r="I1115" i="3"/>
  <c r="I1114" i="3"/>
  <c r="I1113" i="3"/>
  <c r="I1112" i="3"/>
  <c r="I1111" i="3"/>
  <c r="I1110" i="3"/>
  <c r="I1109" i="3"/>
  <c r="I1108" i="3"/>
  <c r="I1107" i="3"/>
  <c r="I1106" i="3"/>
  <c r="I1105" i="3"/>
  <c r="I1104" i="3"/>
  <c r="I1103" i="3"/>
  <c r="I1102" i="3"/>
  <c r="I1101" i="3"/>
  <c r="I1100" i="3"/>
  <c r="I1099" i="3"/>
  <c r="I1098" i="3"/>
  <c r="I1097" i="3"/>
  <c r="I1096" i="3"/>
  <c r="I1095" i="3"/>
  <c r="I1094" i="3"/>
  <c r="I1093" i="3"/>
  <c r="I1092" i="3"/>
  <c r="I1091" i="3"/>
  <c r="I1090" i="3"/>
  <c r="I1089" i="3"/>
  <c r="I1088" i="3"/>
  <c r="I1087" i="3"/>
  <c r="I1086" i="3"/>
  <c r="I1085" i="3"/>
  <c r="I1084" i="3"/>
  <c r="I1083" i="3"/>
  <c r="I1082" i="3"/>
  <c r="I1081" i="3"/>
  <c r="I1080" i="3"/>
  <c r="I1009" i="3"/>
  <c r="I1008" i="3"/>
  <c r="I1007" i="3"/>
  <c r="I1006" i="3"/>
  <c r="I1005" i="3"/>
  <c r="I1004" i="3"/>
  <c r="I1003" i="3"/>
  <c r="I1002" i="3"/>
  <c r="I1001" i="3"/>
  <c r="I1000" i="3"/>
  <c r="I999" i="3"/>
  <c r="I998" i="3"/>
  <c r="I997" i="3"/>
  <c r="I996" i="3"/>
  <c r="I995" i="3"/>
  <c r="I994" i="3"/>
  <c r="I993" i="3"/>
  <c r="I992" i="3"/>
  <c r="I991" i="3"/>
  <c r="I990" i="3"/>
  <c r="I989" i="3"/>
  <c r="I988" i="3"/>
  <c r="I987" i="3"/>
  <c r="I986" i="3"/>
  <c r="I985" i="3"/>
  <c r="I984" i="3"/>
  <c r="I983" i="3"/>
  <c r="I982" i="3"/>
  <c r="I981" i="3"/>
  <c r="I980" i="3"/>
  <c r="I979" i="3"/>
  <c r="I978" i="3"/>
  <c r="I977" i="3"/>
  <c r="I976" i="3"/>
  <c r="I975" i="3"/>
  <c r="I974" i="3"/>
  <c r="I973" i="3"/>
  <c r="I972" i="3"/>
  <c r="I971" i="3"/>
  <c r="I970" i="3"/>
  <c r="I969" i="3"/>
  <c r="I968" i="3"/>
  <c r="I967" i="3"/>
  <c r="I966" i="3"/>
  <c r="I965" i="3"/>
  <c r="I964" i="3"/>
  <c r="I963" i="3"/>
  <c r="I962" i="3"/>
  <c r="I961" i="3"/>
  <c r="I960" i="3"/>
  <c r="I959" i="3"/>
  <c r="I958" i="3"/>
  <c r="I957" i="3"/>
  <c r="I956" i="3"/>
  <c r="I955" i="3"/>
  <c r="I954" i="3"/>
  <c r="I953" i="3"/>
  <c r="I952" i="3"/>
  <c r="I951" i="3"/>
  <c r="I950" i="3"/>
  <c r="I949" i="3"/>
  <c r="I948" i="3"/>
  <c r="I947" i="3"/>
  <c r="I902" i="3"/>
  <c r="I901" i="3"/>
  <c r="I900" i="3"/>
  <c r="I899" i="3"/>
  <c r="I898" i="3"/>
  <c r="I897" i="3"/>
  <c r="I896" i="3"/>
  <c r="I895" i="3"/>
  <c r="I894" i="3"/>
  <c r="I893" i="3"/>
  <c r="I892" i="3"/>
  <c r="I891" i="3"/>
  <c r="I890" i="3"/>
  <c r="I889" i="3"/>
  <c r="I888" i="3"/>
  <c r="I887" i="3"/>
  <c r="I886" i="3"/>
  <c r="I885" i="3"/>
  <c r="I884" i="3"/>
  <c r="I883" i="3"/>
  <c r="I882" i="3"/>
  <c r="I881" i="3"/>
  <c r="I880" i="3"/>
  <c r="I879" i="3"/>
  <c r="I878" i="3"/>
  <c r="I877" i="3"/>
  <c r="I876" i="3"/>
  <c r="I875" i="3"/>
  <c r="I874" i="3"/>
  <c r="I873" i="3"/>
  <c r="I872" i="3"/>
  <c r="I871" i="3"/>
  <c r="I870" i="3"/>
  <c r="I869" i="3"/>
  <c r="I868" i="3"/>
  <c r="I867" i="3"/>
  <c r="I866" i="3"/>
  <c r="I865" i="3"/>
  <c r="I864" i="3"/>
  <c r="I863" i="3"/>
  <c r="I862" i="3"/>
  <c r="I861" i="3"/>
  <c r="I860" i="3"/>
  <c r="I859" i="3"/>
  <c r="I858" i="3"/>
  <c r="I857" i="3"/>
  <c r="I856" i="3"/>
  <c r="I855" i="3"/>
  <c r="I854" i="3"/>
  <c r="I853" i="3"/>
  <c r="I852" i="3"/>
  <c r="I851" i="3"/>
  <c r="I850" i="3"/>
  <c r="I849" i="3"/>
  <c r="I848" i="3"/>
  <c r="I847" i="3"/>
  <c r="I846" i="3"/>
  <c r="I845" i="3"/>
  <c r="I844" i="3"/>
  <c r="I843" i="3"/>
  <c r="I842" i="3"/>
  <c r="I841" i="3"/>
  <c r="I840" i="3"/>
  <c r="I839" i="3"/>
  <c r="I838" i="3"/>
  <c r="I837" i="3"/>
  <c r="I836" i="3"/>
  <c r="I835" i="3"/>
  <c r="I834" i="3"/>
  <c r="I833" i="3"/>
  <c r="I829" i="3"/>
  <c r="I828" i="3"/>
  <c r="I827" i="3"/>
  <c r="I826" i="3"/>
  <c r="I825" i="3"/>
  <c r="I824" i="3"/>
  <c r="I823" i="3"/>
  <c r="I822" i="3"/>
  <c r="I821" i="3"/>
  <c r="I832" i="3"/>
  <c r="I831" i="3"/>
  <c r="I818" i="3"/>
  <c r="I817" i="3"/>
  <c r="I816" i="3"/>
  <c r="I815" i="3"/>
  <c r="I814" i="3"/>
  <c r="I812" i="3"/>
  <c r="I811" i="3"/>
  <c r="I810" i="3"/>
  <c r="I809" i="3"/>
  <c r="I808" i="3"/>
  <c r="I807" i="3"/>
  <c r="I806" i="3"/>
  <c r="I805" i="3"/>
  <c r="I830" i="3"/>
  <c r="I804" i="3"/>
  <c r="I803" i="3"/>
  <c r="I802" i="3"/>
  <c r="I801" i="3"/>
  <c r="I800" i="3"/>
  <c r="I799" i="3"/>
  <c r="I798" i="3"/>
  <c r="I797" i="3"/>
  <c r="I796" i="3"/>
  <c r="I795" i="3"/>
  <c r="I794" i="3"/>
  <c r="I793" i="3"/>
  <c r="I792" i="3"/>
  <c r="I791" i="3"/>
  <c r="I790" i="3"/>
  <c r="I789" i="3"/>
  <c r="I788" i="3"/>
  <c r="I787" i="3"/>
  <c r="I786" i="3"/>
  <c r="I785" i="3"/>
  <c r="I784" i="3"/>
  <c r="I783" i="3"/>
  <c r="I782" i="3"/>
  <c r="I781" i="3"/>
  <c r="I780" i="3"/>
  <c r="I779" i="3"/>
  <c r="I778" i="3"/>
  <c r="I777" i="3"/>
  <c r="I776" i="3"/>
  <c r="I775" i="3"/>
  <c r="I774" i="3"/>
  <c r="I773" i="3"/>
  <c r="I772" i="3"/>
  <c r="I771" i="3"/>
  <c r="I770" i="3"/>
  <c r="I769" i="3"/>
  <c r="I768" i="3"/>
  <c r="I767" i="3"/>
  <c r="I766" i="3"/>
  <c r="I765" i="3"/>
  <c r="I764" i="3"/>
  <c r="I763" i="3"/>
  <c r="I762" i="3"/>
  <c r="I761" i="3"/>
  <c r="I760" i="3"/>
  <c r="I759" i="3"/>
  <c r="I758" i="3"/>
  <c r="I757" i="3"/>
  <c r="I756" i="3"/>
  <c r="I755" i="3"/>
  <c r="I754" i="3"/>
  <c r="I753" i="3"/>
  <c r="I752" i="3"/>
  <c r="I751" i="3"/>
  <c r="I750" i="3"/>
  <c r="I749" i="3"/>
  <c r="I748" i="3"/>
  <c r="I747" i="3"/>
  <c r="I746" i="3"/>
  <c r="I745" i="3"/>
  <c r="I744" i="3"/>
  <c r="I743" i="3"/>
  <c r="I742" i="3"/>
  <c r="I741" i="3"/>
  <c r="I740" i="3"/>
  <c r="I739" i="3"/>
  <c r="I738" i="3"/>
  <c r="I737" i="3"/>
  <c r="I736" i="3"/>
  <c r="I735" i="3"/>
  <c r="I734" i="3"/>
  <c r="I733" i="3"/>
  <c r="I732" i="3"/>
  <c r="I731" i="3"/>
  <c r="I730" i="3"/>
  <c r="I729" i="3"/>
  <c r="I728" i="3"/>
  <c r="I727" i="3"/>
  <c r="I726" i="3"/>
  <c r="I725" i="3"/>
  <c r="I724" i="3"/>
  <c r="I723" i="3"/>
  <c r="I722" i="3"/>
  <c r="I721" i="3"/>
  <c r="I720" i="3"/>
  <c r="I719" i="3"/>
  <c r="I718" i="3"/>
  <c r="I717" i="3"/>
  <c r="I716" i="3"/>
  <c r="I715" i="3"/>
  <c r="I714" i="3"/>
  <c r="I713" i="3"/>
  <c r="I712" i="3"/>
  <c r="I711" i="3"/>
  <c r="I710" i="3"/>
  <c r="I709" i="3"/>
  <c r="I708" i="3"/>
  <c r="I707" i="3"/>
  <c r="I706" i="3"/>
  <c r="I705" i="3"/>
  <c r="I704" i="3"/>
  <c r="I703" i="3"/>
  <c r="I702" i="3"/>
  <c r="I701" i="3"/>
  <c r="I700" i="3"/>
  <c r="I699" i="3"/>
  <c r="I698" i="3"/>
  <c r="I697" i="3"/>
  <c r="I696" i="3"/>
  <c r="I695" i="3"/>
  <c r="I694" i="3"/>
  <c r="I693" i="3"/>
  <c r="I692" i="3"/>
  <c r="I691" i="3"/>
  <c r="I690" i="3"/>
  <c r="I689" i="3"/>
  <c r="I688" i="3"/>
  <c r="I687" i="3"/>
  <c r="I686" i="3"/>
  <c r="I685" i="3"/>
  <c r="I684" i="3"/>
  <c r="I683" i="3"/>
  <c r="I682" i="3"/>
  <c r="I681" i="3"/>
  <c r="I680" i="3"/>
  <c r="I679" i="3"/>
  <c r="I678" i="3"/>
  <c r="I677" i="3"/>
  <c r="I676" i="3"/>
  <c r="I675" i="3"/>
  <c r="I674" i="3"/>
  <c r="I673" i="3"/>
  <c r="I672" i="3"/>
  <c r="I671" i="3"/>
  <c r="I670" i="3"/>
  <c r="I669" i="3"/>
  <c r="I668" i="3"/>
  <c r="I667" i="3"/>
  <c r="I666" i="3"/>
  <c r="I665" i="3"/>
  <c r="I664" i="3"/>
  <c r="I663" i="3"/>
  <c r="I662" i="3"/>
  <c r="I661" i="3"/>
  <c r="I660" i="3"/>
  <c r="I659" i="3"/>
  <c r="I658" i="3"/>
  <c r="I657" i="3"/>
  <c r="I656" i="3"/>
  <c r="I655" i="3"/>
  <c r="I654" i="3"/>
  <c r="I653" i="3"/>
  <c r="I652" i="3"/>
  <c r="I651" i="3"/>
  <c r="I650" i="3"/>
  <c r="I649" i="3"/>
  <c r="I648" i="3"/>
  <c r="I647" i="3"/>
  <c r="I646" i="3"/>
  <c r="I645" i="3"/>
  <c r="I644" i="3"/>
  <c r="I643" i="3"/>
  <c r="I642" i="3"/>
  <c r="I641" i="3"/>
  <c r="I640" i="3"/>
  <c r="I639" i="3"/>
  <c r="I638" i="3"/>
  <c r="I637" i="3"/>
  <c r="I636" i="3"/>
  <c r="I635" i="3"/>
  <c r="I634" i="3"/>
  <c r="I633" i="3"/>
  <c r="I632" i="3"/>
  <c r="I631" i="3"/>
  <c r="I630" i="3"/>
  <c r="I629" i="3"/>
  <c r="I628" i="3"/>
  <c r="I627" i="3"/>
  <c r="I626" i="3"/>
  <c r="I625" i="3"/>
  <c r="I624" i="3"/>
  <c r="I623" i="3"/>
  <c r="I622" i="3"/>
  <c r="I621" i="3"/>
  <c r="I620" i="3"/>
  <c r="I619" i="3"/>
  <c r="I618" i="3"/>
  <c r="I617" i="3"/>
  <c r="I616" i="3"/>
  <c r="I615" i="3"/>
  <c r="I614" i="3"/>
  <c r="I613" i="3"/>
  <c r="I612" i="3"/>
  <c r="I611" i="3"/>
  <c r="I610" i="3"/>
  <c r="I609" i="3"/>
  <c r="I608" i="3"/>
  <c r="I607" i="3"/>
  <c r="I606" i="3"/>
  <c r="I605" i="3"/>
  <c r="I604" i="3"/>
  <c r="I603" i="3"/>
  <c r="I602" i="3"/>
  <c r="I601" i="3"/>
  <c r="I600" i="3"/>
  <c r="I599" i="3"/>
  <c r="I598" i="3"/>
  <c r="I597" i="3"/>
  <c r="I596" i="3"/>
  <c r="I595" i="3"/>
  <c r="I594" i="3"/>
  <c r="I593" i="3"/>
  <c r="I592" i="3"/>
  <c r="I591" i="3"/>
  <c r="I590" i="3"/>
  <c r="I589" i="3"/>
  <c r="I588" i="3"/>
  <c r="I587" i="3"/>
  <c r="I586" i="3"/>
  <c r="I585" i="3"/>
  <c r="I584" i="3"/>
  <c r="I583" i="3"/>
  <c r="I582" i="3"/>
  <c r="I581" i="3"/>
  <c r="I580" i="3"/>
  <c r="I579" i="3"/>
  <c r="I578" i="3"/>
  <c r="I577" i="3"/>
  <c r="I576" i="3"/>
  <c r="I575" i="3"/>
  <c r="I574" i="3"/>
  <c r="I573" i="3"/>
  <c r="I572" i="3"/>
  <c r="I571" i="3"/>
  <c r="I570" i="3"/>
  <c r="I569" i="3"/>
  <c r="I568" i="3"/>
  <c r="I567" i="3"/>
  <c r="I566" i="3"/>
  <c r="I565" i="3"/>
  <c r="I564" i="3"/>
  <c r="I563" i="3"/>
  <c r="I562" i="3"/>
  <c r="I561" i="3"/>
  <c r="I560" i="3"/>
  <c r="I559" i="3"/>
  <c r="I558" i="3"/>
  <c r="I557" i="3"/>
  <c r="I556" i="3"/>
  <c r="I555" i="3"/>
  <c r="I554" i="3"/>
  <c r="I553" i="3"/>
  <c r="I552" i="3"/>
  <c r="I551" i="3"/>
  <c r="I550" i="3"/>
  <c r="I549" i="3"/>
  <c r="I548" i="3"/>
  <c r="I547" i="3"/>
  <c r="I546" i="3"/>
  <c r="I545" i="3"/>
  <c r="I544" i="3"/>
  <c r="I543" i="3"/>
  <c r="I542" i="3"/>
  <c r="I541" i="3"/>
  <c r="I538" i="3"/>
  <c r="I537" i="3"/>
  <c r="I536" i="3"/>
  <c r="I535" i="3"/>
  <c r="I534" i="3"/>
  <c r="I533" i="3"/>
  <c r="I532" i="3"/>
  <c r="I531" i="3"/>
  <c r="I530" i="3"/>
  <c r="I529" i="3"/>
  <c r="I528" i="3"/>
  <c r="I517" i="3"/>
  <c r="I516" i="3"/>
  <c r="I515" i="3"/>
  <c r="I514" i="3"/>
  <c r="I513" i="3"/>
  <c r="I512" i="3"/>
  <c r="I511" i="3"/>
  <c r="I510" i="3"/>
  <c r="I509" i="3"/>
  <c r="I508" i="3"/>
  <c r="I507" i="3"/>
  <c r="I506" i="3"/>
  <c r="I505" i="3"/>
  <c r="I504" i="3"/>
  <c r="I503" i="3"/>
  <c r="I502" i="3"/>
  <c r="I501" i="3"/>
  <c r="I500" i="3"/>
  <c r="I499" i="3"/>
  <c r="I498" i="3"/>
  <c r="I497" i="3"/>
  <c r="I496" i="3"/>
  <c r="I495" i="3"/>
  <c r="I494" i="3"/>
  <c r="I493" i="3"/>
  <c r="I492" i="3"/>
  <c r="I491" i="3"/>
  <c r="I490" i="3"/>
  <c r="I489" i="3"/>
  <c r="I488" i="3"/>
  <c r="I487" i="3"/>
  <c r="I486" i="3"/>
  <c r="I485" i="3"/>
  <c r="I484" i="3"/>
  <c r="I483" i="3"/>
  <c r="I482" i="3"/>
  <c r="I481" i="3"/>
  <c r="I480" i="3"/>
  <c r="I479" i="3"/>
  <c r="I478" i="3"/>
  <c r="I477" i="3"/>
  <c r="I476" i="3"/>
  <c r="I475" i="3"/>
  <c r="I474" i="3"/>
  <c r="I473" i="3"/>
  <c r="I472" i="3"/>
  <c r="I471" i="3"/>
  <c r="I470" i="3"/>
  <c r="I469" i="3"/>
  <c r="I468" i="3"/>
  <c r="I467" i="3"/>
  <c r="I466" i="3"/>
  <c r="I465" i="3"/>
  <c r="I464" i="3"/>
  <c r="I463" i="3"/>
  <c r="I462" i="3"/>
  <c r="I461" i="3"/>
  <c r="I460" i="3"/>
  <c r="I459" i="3"/>
  <c r="I458" i="3"/>
  <c r="I457" i="3"/>
  <c r="I456" i="3"/>
  <c r="I455" i="3"/>
  <c r="I454" i="3"/>
  <c r="I453" i="3"/>
  <c r="I452" i="3"/>
  <c r="I451" i="3"/>
  <c r="I450" i="3"/>
  <c r="I449" i="3"/>
  <c r="I448" i="3"/>
  <c r="I447" i="3"/>
  <c r="I446" i="3"/>
  <c r="I445" i="3"/>
  <c r="I444" i="3"/>
  <c r="I443" i="3"/>
  <c r="I442" i="3"/>
  <c r="I441" i="3"/>
  <c r="I440" i="3"/>
  <c r="I439" i="3"/>
  <c r="I438" i="3"/>
  <c r="I437" i="3"/>
  <c r="I436" i="3"/>
  <c r="I435" i="3"/>
  <c r="I434" i="3"/>
  <c r="I433" i="3"/>
  <c r="I432" i="3"/>
  <c r="I431" i="3"/>
  <c r="I430" i="3"/>
  <c r="I429" i="3"/>
  <c r="I428" i="3"/>
  <c r="I427" i="3"/>
  <c r="I426" i="3"/>
  <c r="I425" i="3"/>
  <c r="I424" i="3"/>
  <c r="I423" i="3"/>
  <c r="I422" i="3"/>
  <c r="I421" i="3"/>
  <c r="I420" i="3"/>
  <c r="I419" i="3"/>
  <c r="I418" i="3"/>
  <c r="I417" i="3"/>
  <c r="I416" i="3"/>
  <c r="I415" i="3"/>
  <c r="I414" i="3"/>
  <c r="I413" i="3"/>
  <c r="I412" i="3"/>
  <c r="I411" i="3"/>
  <c r="I410" i="3"/>
  <c r="I409" i="3"/>
  <c r="I408" i="3"/>
  <c r="I407" i="3"/>
  <c r="I406" i="3"/>
  <c r="I405" i="3"/>
  <c r="I404" i="3"/>
  <c r="I403" i="3"/>
  <c r="I402" i="3"/>
  <c r="I401" i="3"/>
  <c r="I400" i="3"/>
  <c r="I399" i="3"/>
  <c r="I398" i="3"/>
  <c r="I397" i="3"/>
  <c r="I396" i="3"/>
  <c r="I395" i="3"/>
  <c r="I394" i="3"/>
  <c r="I393" i="3"/>
  <c r="I392" i="3"/>
  <c r="I391" i="3"/>
  <c r="I390" i="3"/>
  <c r="I389" i="3"/>
  <c r="I388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I370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" i="2"/>
  <c r="G2362" i="2" l="1"/>
  <c r="G2361" i="2"/>
  <c r="G2360" i="2"/>
  <c r="G2359" i="2"/>
  <c r="G2358" i="2"/>
  <c r="G2357" i="2"/>
  <c r="G2356" i="2"/>
  <c r="G2355" i="2"/>
  <c r="G2354" i="2"/>
  <c r="G2353" i="2"/>
  <c r="G2352" i="2"/>
  <c r="G2351" i="2"/>
  <c r="G2350" i="2"/>
  <c r="G2349" i="2"/>
  <c r="G2348" i="2"/>
  <c r="G2347" i="2"/>
  <c r="G2346" i="2"/>
  <c r="G2345" i="2"/>
  <c r="G2344" i="2"/>
  <c r="G2343" i="2"/>
  <c r="G2342" i="2"/>
  <c r="G2341" i="2"/>
  <c r="G2340" i="2"/>
  <c r="G2339" i="2"/>
  <c r="G2338" i="2"/>
  <c r="G2337" i="2"/>
  <c r="G2336" i="2"/>
  <c r="G2335" i="2"/>
  <c r="G2334" i="2"/>
  <c r="G2333" i="2"/>
  <c r="G2332" i="2"/>
  <c r="G2331" i="2"/>
  <c r="G2330" i="2"/>
  <c r="G2329" i="2"/>
  <c r="G2328" i="2"/>
  <c r="G2327" i="2"/>
  <c r="G2326" i="2"/>
  <c r="G2325" i="2"/>
  <c r="G2324" i="2"/>
  <c r="G2323" i="2"/>
  <c r="G2322" i="2"/>
  <c r="G2321" i="2"/>
  <c r="G2320" i="2"/>
  <c r="G2319" i="2"/>
  <c r="G2318" i="2"/>
  <c r="G2317" i="2"/>
  <c r="G2316" i="2"/>
  <c r="G2315" i="2"/>
  <c r="G2314" i="2"/>
  <c r="G2313" i="2"/>
  <c r="G2312" i="2"/>
  <c r="G2311" i="2"/>
  <c r="G2310" i="2"/>
  <c r="G2309" i="2"/>
  <c r="G2308" i="2"/>
  <c r="G2307" i="2"/>
  <c r="G2306" i="2"/>
  <c r="G2305" i="2"/>
  <c r="G2304" i="2"/>
  <c r="G2303" i="2"/>
  <c r="G2302" i="2"/>
  <c r="G2301" i="2"/>
  <c r="G2300" i="2"/>
  <c r="G2299" i="2"/>
  <c r="G2298" i="2"/>
  <c r="G2297" i="2"/>
  <c r="G2296" i="2"/>
  <c r="G2295" i="2"/>
  <c r="G2294" i="2"/>
  <c r="G2293" i="2"/>
  <c r="G2292" i="2"/>
  <c r="G2291" i="2"/>
  <c r="G2290" i="2"/>
  <c r="G2289" i="2"/>
  <c r="G2288" i="2"/>
  <c r="G2287" i="2"/>
  <c r="G2286" i="2"/>
  <c r="G2285" i="2"/>
  <c r="G2284" i="2"/>
  <c r="G2283" i="2"/>
  <c r="G2282" i="2"/>
  <c r="G2281" i="2"/>
  <c r="G2280" i="2"/>
  <c r="G2279" i="2"/>
  <c r="G2278" i="2"/>
  <c r="G2277" i="2"/>
  <c r="G2276" i="2"/>
  <c r="G2275" i="2"/>
  <c r="G2274" i="2"/>
  <c r="G2273" i="2"/>
  <c r="G2272" i="2"/>
  <c r="G2271" i="2"/>
  <c r="G2270" i="2"/>
  <c r="G2269" i="2"/>
  <c r="G2268" i="2"/>
  <c r="G2267" i="2"/>
  <c r="G2266" i="2"/>
  <c r="G2265" i="2"/>
  <c r="G2264" i="2"/>
  <c r="G2263" i="2"/>
  <c r="G2262" i="2"/>
  <c r="G2261" i="2"/>
  <c r="G2260" i="2"/>
  <c r="G2259" i="2"/>
  <c r="G2258" i="2"/>
  <c r="G2257" i="2"/>
  <c r="G2256" i="2"/>
  <c r="G2255" i="2"/>
  <c r="G2254" i="2"/>
  <c r="G2253" i="2"/>
  <c r="G2252" i="2"/>
  <c r="G2251" i="2"/>
  <c r="G2250" i="2"/>
  <c r="G2249" i="2"/>
  <c r="G2248" i="2"/>
  <c r="G2247" i="2"/>
  <c r="G2246" i="2"/>
  <c r="G2245" i="2"/>
  <c r="G2244" i="2"/>
  <c r="G2243" i="2"/>
  <c r="G2242" i="2"/>
  <c r="G2241" i="2"/>
  <c r="G2240" i="2"/>
  <c r="G2239" i="2"/>
  <c r="G2238" i="2"/>
  <c r="G2237" i="2"/>
  <c r="G2236" i="2"/>
  <c r="G2235" i="2"/>
  <c r="G2234" i="2"/>
  <c r="G2233" i="2"/>
  <c r="G2232" i="2"/>
  <c r="G2231" i="2"/>
  <c r="G2230" i="2"/>
  <c r="G2229" i="2"/>
  <c r="G2228" i="2"/>
  <c r="G2227" i="2"/>
  <c r="G2226" i="2"/>
  <c r="G2225" i="2"/>
  <c r="G2224" i="2"/>
  <c r="G2223" i="2"/>
  <c r="G2222" i="2"/>
  <c r="G2221" i="2"/>
  <c r="G2220" i="2"/>
  <c r="G2219" i="2"/>
  <c r="G2218" i="2"/>
  <c r="G2217" i="2"/>
  <c r="G2216" i="2"/>
  <c r="G2215" i="2"/>
  <c r="G2214" i="2"/>
  <c r="G2213" i="2"/>
  <c r="G2212" i="2"/>
  <c r="G2211" i="2"/>
  <c r="G2210" i="2"/>
  <c r="G2209" i="2"/>
  <c r="G2208" i="2"/>
  <c r="G2207" i="2"/>
  <c r="G2206" i="2"/>
  <c r="G2205" i="2"/>
  <c r="G2204" i="2"/>
  <c r="G2203" i="2"/>
  <c r="G2202" i="2"/>
  <c r="G2201" i="2"/>
  <c r="G2200" i="2"/>
  <c r="G2199" i="2"/>
  <c r="G2198" i="2"/>
  <c r="G2197" i="2"/>
  <c r="G2196" i="2"/>
  <c r="G2195" i="2"/>
  <c r="G2194" i="2"/>
  <c r="G2193" i="2"/>
  <c r="G2192" i="2"/>
  <c r="G2191" i="2"/>
  <c r="G2190" i="2"/>
  <c r="G2189" i="2"/>
  <c r="G2188" i="2"/>
  <c r="G2187" i="2"/>
  <c r="G2186" i="2"/>
  <c r="G2185" i="2"/>
  <c r="G2184" i="2"/>
  <c r="G2183" i="2"/>
  <c r="G2182" i="2"/>
  <c r="G2181" i="2"/>
  <c r="G2180" i="2"/>
  <c r="G2179" i="2"/>
  <c r="G2178" i="2"/>
  <c r="G2177" i="2"/>
  <c r="G2176" i="2"/>
  <c r="G2175" i="2"/>
  <c r="G2174" i="2"/>
  <c r="G2173" i="2"/>
  <c r="G2172" i="2"/>
  <c r="G2171" i="2"/>
  <c r="G2170" i="2"/>
  <c r="G2169" i="2"/>
  <c r="G2168" i="2"/>
  <c r="G2167" i="2"/>
  <c r="G2166" i="2"/>
  <c r="G2165" i="2"/>
  <c r="G2164" i="2"/>
  <c r="G2163" i="2"/>
  <c r="G2162" i="2"/>
  <c r="G2161" i="2"/>
  <c r="G2160" i="2"/>
  <c r="G2159" i="2"/>
  <c r="G2158" i="2"/>
  <c r="G2157" i="2"/>
  <c r="G2156" i="2"/>
  <c r="G2155" i="2"/>
  <c r="G2154" i="2"/>
  <c r="G2153" i="2"/>
  <c r="G2152" i="2"/>
  <c r="G2151" i="2"/>
  <c r="G2150" i="2"/>
  <c r="G2149" i="2"/>
  <c r="G2148" i="2"/>
  <c r="G2147" i="2"/>
  <c r="G2146" i="2"/>
  <c r="G2145" i="2"/>
  <c r="G2144" i="2"/>
  <c r="G2143" i="2"/>
  <c r="G2142" i="2"/>
  <c r="G2141" i="2"/>
  <c r="G2140" i="2"/>
  <c r="G2139" i="2"/>
  <c r="G2138" i="2"/>
  <c r="G2137" i="2"/>
  <c r="G2136" i="2"/>
  <c r="G2135" i="2"/>
  <c r="G2134" i="2"/>
  <c r="G2133" i="2"/>
  <c r="G2132" i="2"/>
  <c r="G2131" i="2"/>
  <c r="G2130" i="2"/>
  <c r="G2129" i="2"/>
  <c r="G2128" i="2"/>
  <c r="G2127" i="2"/>
  <c r="G2126" i="2"/>
  <c r="G2125" i="2"/>
  <c r="G2124" i="2"/>
  <c r="G2123" i="2"/>
  <c r="G2122" i="2"/>
  <c r="G2121" i="2"/>
  <c r="G2120" i="2"/>
  <c r="G2119" i="2"/>
  <c r="G2118" i="2"/>
  <c r="G2117" i="2"/>
  <c r="G2116" i="2"/>
  <c r="G2115" i="2"/>
  <c r="G2114" i="2"/>
  <c r="G2113" i="2"/>
  <c r="G2112" i="2"/>
  <c r="G2111" i="2"/>
  <c r="G2110" i="2"/>
  <c r="G2109" i="2"/>
  <c r="G2108" i="2"/>
  <c r="G2107" i="2"/>
  <c r="G2106" i="2"/>
  <c r="G2105" i="2"/>
  <c r="G2104" i="2"/>
  <c r="G2103" i="2"/>
  <c r="G2102" i="2"/>
  <c r="G2101" i="2"/>
  <c r="G2100" i="2"/>
  <c r="G2099" i="2"/>
  <c r="G2098" i="2"/>
  <c r="G2097" i="2"/>
  <c r="G2096" i="2"/>
  <c r="G2095" i="2"/>
  <c r="G2094" i="2"/>
  <c r="G2093" i="2"/>
  <c r="G2092" i="2"/>
  <c r="G2091" i="2"/>
  <c r="G2090" i="2"/>
  <c r="G2089" i="2"/>
  <c r="G2088" i="2"/>
  <c r="G2087" i="2"/>
  <c r="G2086" i="2"/>
  <c r="G2085" i="2"/>
  <c r="G2084" i="2"/>
  <c r="G2083" i="2"/>
  <c r="G2082" i="2"/>
  <c r="G2081" i="2"/>
  <c r="G2080" i="2"/>
  <c r="G2079" i="2"/>
  <c r="G2078" i="2"/>
  <c r="G2077" i="2"/>
  <c r="G2076" i="2"/>
  <c r="G2075" i="2"/>
  <c r="G2074" i="2"/>
  <c r="G2073" i="2"/>
  <c r="G2072" i="2"/>
  <c r="G2071" i="2"/>
  <c r="G2070" i="2"/>
  <c r="G2069" i="2"/>
  <c r="G2068" i="2"/>
  <c r="G2067" i="2"/>
  <c r="G2066" i="2"/>
  <c r="G2065" i="2"/>
  <c r="G2064" i="2"/>
  <c r="G2063" i="2"/>
  <c r="G2062" i="2"/>
  <c r="G2061" i="2"/>
  <c r="G2060" i="2"/>
  <c r="G2059" i="2"/>
  <c r="G2058" i="2"/>
  <c r="G2057" i="2"/>
  <c r="G2056" i="2"/>
  <c r="G2055" i="2"/>
  <c r="G2054" i="2"/>
  <c r="G2053" i="2"/>
  <c r="G2052" i="2"/>
  <c r="G2051" i="2"/>
  <c r="G2050" i="2"/>
  <c r="G2049" i="2"/>
  <c r="G2048" i="2"/>
  <c r="G2047" i="2"/>
  <c r="G2046" i="2"/>
  <c r="G2045" i="2"/>
  <c r="G2044" i="2"/>
  <c r="G2043" i="2"/>
  <c r="G2042" i="2"/>
  <c r="G2041" i="2"/>
  <c r="G2040" i="2"/>
  <c r="G2039" i="2"/>
  <c r="G2038" i="2"/>
  <c r="G2037" i="2"/>
  <c r="G2036" i="2"/>
  <c r="G2035" i="2"/>
  <c r="G2034" i="2"/>
  <c r="G2033" i="2"/>
  <c r="G2032" i="2"/>
  <c r="G2031" i="2"/>
  <c r="G2030" i="2"/>
  <c r="G2029" i="2"/>
  <c r="G2028" i="2"/>
  <c r="G2027" i="2"/>
  <c r="G2026" i="2"/>
  <c r="G2025" i="2"/>
  <c r="G2024" i="2"/>
  <c r="G2023" i="2"/>
  <c r="G2022" i="2"/>
  <c r="G2021" i="2"/>
  <c r="G2020" i="2"/>
  <c r="G2019" i="2"/>
  <c r="G2018" i="2"/>
  <c r="G2017" i="2"/>
  <c r="G2016" i="2"/>
  <c r="G2015" i="2"/>
  <c r="G2014" i="2"/>
  <c r="G2013" i="2"/>
  <c r="G2012" i="2"/>
  <c r="G2011" i="2"/>
  <c r="G2010" i="2"/>
  <c r="G2009" i="2"/>
  <c r="G2008" i="2"/>
  <c r="G2007" i="2"/>
  <c r="G2006" i="2"/>
  <c r="G2005" i="2"/>
  <c r="G2004" i="2"/>
  <c r="G2003" i="2"/>
  <c r="G2002" i="2"/>
  <c r="G2001" i="2"/>
  <c r="G2000" i="2"/>
  <c r="G1999" i="2"/>
  <c r="G1998" i="2"/>
  <c r="G1997" i="2"/>
  <c r="G1996" i="2"/>
  <c r="G1995" i="2"/>
  <c r="G1994" i="2"/>
  <c r="G1993" i="2"/>
  <c r="G1992" i="2"/>
  <c r="G1991" i="2"/>
  <c r="G1990" i="2"/>
  <c r="G1989" i="2"/>
  <c r="G1988" i="2"/>
  <c r="G1987" i="2"/>
  <c r="G1986" i="2"/>
  <c r="G1985" i="2"/>
  <c r="G1984" i="2"/>
  <c r="G1983" i="2"/>
  <c r="G1982" i="2"/>
  <c r="G1981" i="2"/>
  <c r="G1980" i="2"/>
  <c r="G1979" i="2"/>
  <c r="G1978" i="2"/>
  <c r="G1977" i="2"/>
  <c r="G1976" i="2"/>
  <c r="G1975" i="2"/>
  <c r="G1974" i="2"/>
  <c r="G1973" i="2"/>
  <c r="G1972" i="2"/>
  <c r="G1971" i="2"/>
  <c r="G1970" i="2"/>
  <c r="G1969" i="2"/>
  <c r="G1968" i="2"/>
  <c r="G1967" i="2"/>
  <c r="G1966" i="2"/>
  <c r="G1965" i="2"/>
  <c r="G1964" i="2"/>
  <c r="G1963" i="2"/>
  <c r="G1962" i="2"/>
  <c r="G1961" i="2"/>
  <c r="G1960" i="2"/>
  <c r="G1959" i="2"/>
  <c r="G1958" i="2"/>
  <c r="G1957" i="2"/>
  <c r="G1956" i="2"/>
  <c r="G1955" i="2"/>
  <c r="G1954" i="2"/>
  <c r="G1953" i="2"/>
  <c r="G1952" i="2"/>
  <c r="G1951" i="2"/>
  <c r="G1950" i="2"/>
  <c r="G1949" i="2"/>
  <c r="G1948" i="2"/>
  <c r="G1947" i="2"/>
  <c r="G1946" i="2"/>
  <c r="G1945" i="2"/>
  <c r="G1944" i="2"/>
  <c r="G1943" i="2"/>
  <c r="G1942" i="2"/>
  <c r="G1941" i="2"/>
  <c r="G1940" i="2"/>
  <c r="G1939" i="2"/>
  <c r="G1938" i="2"/>
  <c r="G1937" i="2"/>
  <c r="G1936" i="2"/>
  <c r="G1935" i="2"/>
  <c r="G1934" i="2"/>
  <c r="G1933" i="2"/>
  <c r="G1932" i="2"/>
  <c r="G1931" i="2"/>
  <c r="G1930" i="2"/>
  <c r="G1929" i="2"/>
  <c r="G1928" i="2"/>
  <c r="G1927" i="2"/>
  <c r="G1926" i="2"/>
  <c r="G1925" i="2"/>
  <c r="G1924" i="2"/>
  <c r="G1923" i="2"/>
  <c r="G1922" i="2"/>
  <c r="G1921" i="2"/>
  <c r="G1920" i="2"/>
  <c r="G1919" i="2"/>
  <c r="G1918" i="2"/>
  <c r="G1917" i="2"/>
  <c r="G1916" i="2"/>
  <c r="G1915" i="2"/>
  <c r="G1914" i="2"/>
  <c r="G1913" i="2"/>
  <c r="G1912" i="2"/>
  <c r="G1911" i="2"/>
  <c r="G1910" i="2"/>
  <c r="G1909" i="2"/>
  <c r="G1908" i="2"/>
  <c r="G1907" i="2"/>
  <c r="G1906" i="2"/>
  <c r="G1905" i="2"/>
  <c r="G1904" i="2"/>
  <c r="G1903" i="2"/>
  <c r="G1902" i="2"/>
  <c r="G1901" i="2"/>
  <c r="G1900" i="2"/>
  <c r="G1899" i="2"/>
  <c r="G1898" i="2"/>
  <c r="G1897" i="2"/>
  <c r="G1896" i="2"/>
  <c r="G1895" i="2"/>
  <c r="G1894" i="2"/>
  <c r="G1893" i="2"/>
  <c r="G1892" i="2"/>
  <c r="G1891" i="2"/>
  <c r="G1890" i="2"/>
  <c r="G1889" i="2"/>
  <c r="G1888" i="2"/>
  <c r="G1887" i="2"/>
  <c r="G1886" i="2"/>
  <c r="G1885" i="2"/>
  <c r="G1884" i="2"/>
  <c r="G1883" i="2"/>
  <c r="G1882" i="2"/>
  <c r="G1881" i="2"/>
  <c r="G1880" i="2"/>
  <c r="G1879" i="2"/>
  <c r="G1878" i="2"/>
  <c r="G1877" i="2"/>
  <c r="G1876" i="2"/>
  <c r="G1875" i="2"/>
  <c r="G1874" i="2"/>
  <c r="G1873" i="2"/>
  <c r="G1872" i="2"/>
  <c r="G1871" i="2"/>
  <c r="G1870" i="2"/>
  <c r="G1869" i="2"/>
  <c r="G1868" i="2"/>
  <c r="G1867" i="2"/>
  <c r="G1866" i="2"/>
  <c r="G1865" i="2"/>
  <c r="G1864" i="2"/>
  <c r="G1863" i="2"/>
  <c r="G1862" i="2"/>
  <c r="G1861" i="2"/>
  <c r="G1860" i="2"/>
  <c r="G1859" i="2"/>
  <c r="G1858" i="2"/>
  <c r="G1857" i="2"/>
  <c r="G1856" i="2"/>
  <c r="G1855" i="2"/>
  <c r="G1854" i="2"/>
  <c r="G1853" i="2"/>
  <c r="G1852" i="2"/>
  <c r="G1851" i="2"/>
  <c r="G1850" i="2"/>
  <c r="G1849" i="2"/>
  <c r="G1848" i="2"/>
  <c r="G1847" i="2"/>
  <c r="G1846" i="2"/>
  <c r="G1845" i="2"/>
  <c r="G1844" i="2"/>
  <c r="G1843" i="2"/>
  <c r="G1842" i="2"/>
  <c r="G1841" i="2"/>
  <c r="G1840" i="2"/>
  <c r="G1839" i="2"/>
  <c r="G1838" i="2"/>
  <c r="G1837" i="2"/>
  <c r="G1836" i="2"/>
  <c r="G1835" i="2"/>
  <c r="G1834" i="2"/>
  <c r="G1833" i="2"/>
  <c r="G1832" i="2"/>
  <c r="G1831" i="2"/>
  <c r="G1830" i="2"/>
  <c r="G1829" i="2"/>
  <c r="G1828" i="2"/>
  <c r="G1827" i="2"/>
  <c r="G1826" i="2"/>
  <c r="G1825" i="2"/>
  <c r="G1824" i="2"/>
  <c r="G1823" i="2"/>
  <c r="G1822" i="2"/>
  <c r="G1821" i="2"/>
  <c r="G1820" i="2"/>
  <c r="G1819" i="2"/>
  <c r="G1818" i="2"/>
  <c r="G1817" i="2"/>
  <c r="G1816" i="2"/>
  <c r="G1815" i="2"/>
  <c r="G1814" i="2"/>
  <c r="G1813" i="2"/>
  <c r="G1812" i="2"/>
  <c r="G1811" i="2"/>
  <c r="G1810" i="2"/>
  <c r="G1809" i="2"/>
  <c r="G1808" i="2"/>
  <c r="G1807" i="2"/>
  <c r="G1806" i="2"/>
  <c r="G1805" i="2"/>
  <c r="G1804" i="2"/>
  <c r="G1803" i="2"/>
  <c r="G1802" i="2"/>
  <c r="G1801" i="2"/>
  <c r="G1800" i="2"/>
  <c r="G1799" i="2"/>
  <c r="G1798" i="2"/>
  <c r="G1797" i="2"/>
  <c r="G1796" i="2"/>
  <c r="G1795" i="2"/>
  <c r="G1794" i="2"/>
  <c r="G1793" i="2"/>
  <c r="G1792" i="2"/>
  <c r="G1791" i="2"/>
  <c r="G1790" i="2"/>
  <c r="G1789" i="2"/>
  <c r="G1788" i="2"/>
  <c r="G1787" i="2"/>
  <c r="G1786" i="2"/>
  <c r="G1785" i="2"/>
  <c r="G1784" i="2"/>
  <c r="G1783" i="2"/>
  <c r="G1782" i="2"/>
  <c r="G1781" i="2"/>
  <c r="G1780" i="2"/>
  <c r="G1779" i="2"/>
  <c r="G1778" i="2"/>
  <c r="G1777" i="2"/>
  <c r="G1776" i="2"/>
  <c r="G1775" i="2"/>
  <c r="G1774" i="2"/>
  <c r="G1773" i="2"/>
  <c r="G1772" i="2"/>
  <c r="G1771" i="2"/>
  <c r="G1770" i="2"/>
  <c r="G1769" i="2"/>
  <c r="G1768" i="2"/>
  <c r="G1767" i="2"/>
  <c r="G1766" i="2"/>
  <c r="G1765" i="2"/>
  <c r="G1764" i="2"/>
  <c r="G1763" i="2"/>
  <c r="G1762" i="2"/>
  <c r="G1761" i="2"/>
  <c r="G1760" i="2"/>
  <c r="G1759" i="2"/>
  <c r="G1758" i="2"/>
  <c r="G1757" i="2"/>
  <c r="G1756" i="2"/>
  <c r="G1755" i="2"/>
  <c r="G1754" i="2"/>
  <c r="G1753" i="2"/>
  <c r="G1752" i="2"/>
  <c r="G1751" i="2"/>
  <c r="G1750" i="2"/>
  <c r="G1749" i="2"/>
  <c r="G1748" i="2"/>
  <c r="G1747" i="2"/>
  <c r="G1746" i="2"/>
  <c r="G1745" i="2"/>
  <c r="G1744" i="2"/>
  <c r="G1743" i="2"/>
  <c r="G1742" i="2"/>
  <c r="G1741" i="2"/>
  <c r="G1740" i="2"/>
  <c r="G1739" i="2"/>
  <c r="G1738" i="2"/>
  <c r="G1737" i="2"/>
  <c r="G1736" i="2"/>
  <c r="G1735" i="2"/>
  <c r="G1734" i="2"/>
  <c r="G1733" i="2"/>
  <c r="G1732" i="2"/>
  <c r="G1731" i="2"/>
  <c r="G1730" i="2"/>
  <c r="G1729" i="2"/>
  <c r="G1728" i="2"/>
  <c r="G1727" i="2"/>
  <c r="G1726" i="2"/>
  <c r="G1725" i="2"/>
  <c r="G1724" i="2"/>
  <c r="G1723" i="2"/>
  <c r="G1722" i="2"/>
  <c r="G1721" i="2"/>
  <c r="G1720" i="2"/>
  <c r="G1719" i="2"/>
  <c r="G1718" i="2"/>
  <c r="G1717" i="2"/>
  <c r="G1716" i="2"/>
  <c r="G1715" i="2"/>
  <c r="G1714" i="2"/>
  <c r="G1713" i="2"/>
  <c r="G1712" i="2"/>
  <c r="G1711" i="2"/>
  <c r="G1710" i="2"/>
  <c r="G1709" i="2"/>
  <c r="G1708" i="2"/>
  <c r="G1707" i="2"/>
  <c r="G1706" i="2"/>
  <c r="G1705" i="2"/>
  <c r="G1704" i="2"/>
  <c r="G1703" i="2"/>
  <c r="G1702" i="2"/>
  <c r="G1701" i="2"/>
  <c r="G1700" i="2"/>
  <c r="G1699" i="2"/>
  <c r="G1698" i="2"/>
  <c r="G1697" i="2"/>
  <c r="G1696" i="2"/>
  <c r="G1695" i="2"/>
  <c r="G1694" i="2"/>
  <c r="G1693" i="2"/>
  <c r="G1692" i="2"/>
  <c r="G1691" i="2"/>
  <c r="G1690" i="2"/>
  <c r="G1689" i="2"/>
  <c r="G1688" i="2"/>
  <c r="G1687" i="2"/>
  <c r="G1686" i="2"/>
  <c r="G1685" i="2"/>
  <c r="G1684" i="2"/>
  <c r="G1683" i="2"/>
  <c r="G1682" i="2"/>
  <c r="G1681" i="2"/>
  <c r="G1680" i="2"/>
  <c r="G1679" i="2"/>
  <c r="G1678" i="2"/>
  <c r="G1677" i="2"/>
  <c r="G1676" i="2"/>
  <c r="G1675" i="2"/>
  <c r="G1674" i="2"/>
  <c r="G1673" i="2"/>
  <c r="G1672" i="2"/>
  <c r="G1671" i="2"/>
  <c r="G1670" i="2"/>
  <c r="G1669" i="2"/>
  <c r="G1668" i="2"/>
  <c r="G1667" i="2"/>
  <c r="G1666" i="2"/>
  <c r="G1665" i="2"/>
  <c r="G1664" i="2"/>
  <c r="G1663" i="2"/>
  <c r="G1662" i="2"/>
  <c r="G1661" i="2"/>
  <c r="G1660" i="2"/>
  <c r="G1659" i="2"/>
  <c r="G1658" i="2"/>
  <c r="G1657" i="2"/>
  <c r="G1656" i="2"/>
  <c r="G1655" i="2"/>
  <c r="G1654" i="2"/>
  <c r="G1653" i="2"/>
  <c r="G1652" i="2"/>
  <c r="G1651" i="2"/>
  <c r="G1650" i="2"/>
  <c r="G1649" i="2"/>
  <c r="G1648" i="2"/>
  <c r="G1647" i="2"/>
  <c r="G1646" i="2"/>
  <c r="G1645" i="2"/>
  <c r="G1644" i="2"/>
  <c r="G1643" i="2"/>
  <c r="G1642" i="2"/>
  <c r="G1641" i="2"/>
  <c r="G1640" i="2"/>
  <c r="G1639" i="2"/>
  <c r="G1638" i="2"/>
  <c r="G1637" i="2"/>
  <c r="G1636" i="2"/>
  <c r="G1635" i="2"/>
  <c r="G1634" i="2"/>
  <c r="G1633" i="2"/>
  <c r="G1632" i="2"/>
  <c r="G1631" i="2"/>
  <c r="G1630" i="2"/>
  <c r="G1629" i="2"/>
  <c r="G1628" i="2"/>
  <c r="G1627" i="2"/>
  <c r="G1626" i="2"/>
  <c r="G1625" i="2"/>
  <c r="G1624" i="2"/>
  <c r="G1623" i="2"/>
  <c r="G1622" i="2"/>
  <c r="G1621" i="2"/>
  <c r="G1620" i="2"/>
  <c r="G1619" i="2"/>
  <c r="G1618" i="2"/>
  <c r="G1617" i="2"/>
  <c r="G1616" i="2"/>
  <c r="G1615" i="2"/>
  <c r="G1614" i="2"/>
  <c r="G1613" i="2"/>
  <c r="G1612" i="2"/>
  <c r="G1611" i="2"/>
  <c r="G1610" i="2"/>
  <c r="G1609" i="2"/>
  <c r="G1608" i="2"/>
  <c r="G1607" i="2"/>
  <c r="G1606" i="2"/>
  <c r="G1605" i="2"/>
  <c r="G1604" i="2"/>
  <c r="G1603" i="2"/>
  <c r="G1602" i="2"/>
  <c r="G1601" i="2"/>
  <c r="G1600" i="2"/>
  <c r="G1599" i="2"/>
  <c r="G1598" i="2"/>
  <c r="G1597" i="2"/>
  <c r="G1596" i="2"/>
  <c r="G1595" i="2"/>
  <c r="G1594" i="2"/>
  <c r="G1593" i="2"/>
  <c r="G1592" i="2"/>
  <c r="G1591" i="2"/>
  <c r="G1590" i="2"/>
  <c r="G1589" i="2"/>
  <c r="G1588" i="2"/>
  <c r="G1587" i="2"/>
  <c r="G1586" i="2"/>
  <c r="G1585" i="2"/>
  <c r="G1584" i="2"/>
  <c r="G1583" i="2"/>
  <c r="G1582" i="2"/>
  <c r="G1581" i="2"/>
  <c r="G1580" i="2"/>
  <c r="G1579" i="2"/>
  <c r="G1578" i="2"/>
  <c r="G1577" i="2"/>
  <c r="G1576" i="2"/>
  <c r="G1575" i="2"/>
  <c r="G1574" i="2"/>
  <c r="G1573" i="2"/>
  <c r="G1572" i="2"/>
  <c r="G1571" i="2"/>
  <c r="G1570" i="2"/>
  <c r="G1569" i="2"/>
  <c r="G1568" i="2"/>
  <c r="G1567" i="2"/>
  <c r="G1566" i="2"/>
  <c r="G1565" i="2"/>
  <c r="G1564" i="2"/>
  <c r="G1563" i="2"/>
  <c r="G1562" i="2"/>
  <c r="G1561" i="2"/>
  <c r="G1560" i="2"/>
  <c r="G1559" i="2"/>
  <c r="G1558" i="2"/>
  <c r="G1557" i="2"/>
  <c r="G1556" i="2"/>
  <c r="G1555" i="2"/>
  <c r="G1554" i="2"/>
  <c r="G1553" i="2"/>
  <c r="G1552" i="2"/>
  <c r="G1551" i="2"/>
  <c r="G1550" i="2"/>
  <c r="G1549" i="2"/>
  <c r="G1548" i="2"/>
  <c r="G1547" i="2"/>
  <c r="G1546" i="2"/>
  <c r="G1545" i="2"/>
  <c r="G1544" i="2"/>
  <c r="G1543" i="2"/>
  <c r="G1542" i="2"/>
  <c r="G1541" i="2"/>
  <c r="G1540" i="2"/>
  <c r="G1539" i="2"/>
  <c r="G1538" i="2"/>
  <c r="G1537" i="2"/>
  <c r="G1536" i="2"/>
  <c r="G1535" i="2"/>
  <c r="G1534" i="2"/>
  <c r="G1533" i="2"/>
  <c r="G1532" i="2"/>
  <c r="G1531" i="2"/>
  <c r="G1530" i="2"/>
  <c r="G1529" i="2"/>
  <c r="G1528" i="2"/>
  <c r="G1527" i="2"/>
  <c r="G1526" i="2"/>
  <c r="G1525" i="2"/>
  <c r="G1524" i="2"/>
  <c r="G1523" i="2"/>
  <c r="G1522" i="2"/>
  <c r="G1521" i="2"/>
  <c r="G1520" i="2"/>
  <c r="G1519" i="2"/>
  <c r="G1518" i="2"/>
  <c r="G1517" i="2"/>
  <c r="G1516" i="2"/>
  <c r="G1515" i="2"/>
  <c r="G1514" i="2"/>
  <c r="G1513" i="2"/>
  <c r="G1512" i="2"/>
  <c r="G1511" i="2"/>
  <c r="G1510" i="2"/>
  <c r="G1509" i="2"/>
  <c r="G1508" i="2"/>
  <c r="G1507" i="2"/>
  <c r="G1506" i="2"/>
  <c r="G1505" i="2"/>
  <c r="G1504" i="2"/>
  <c r="G1503" i="2"/>
  <c r="G1502" i="2"/>
  <c r="G1501" i="2"/>
  <c r="G1500" i="2"/>
  <c r="G1499" i="2"/>
  <c r="G1498" i="2"/>
  <c r="G1497" i="2"/>
  <c r="G1496" i="2"/>
  <c r="G1495" i="2"/>
  <c r="G1494" i="2"/>
  <c r="G1493" i="2"/>
  <c r="G1492" i="2"/>
  <c r="G1491" i="2"/>
  <c r="G1490" i="2"/>
  <c r="G1489" i="2"/>
  <c r="G1488" i="2"/>
  <c r="G1487" i="2"/>
  <c r="G1486" i="2"/>
  <c r="G1485" i="2"/>
  <c r="G1484" i="2"/>
  <c r="G1483" i="2"/>
  <c r="G1482" i="2"/>
  <c r="G1481" i="2"/>
  <c r="G1480" i="2"/>
  <c r="G1479" i="2"/>
  <c r="G1478" i="2"/>
  <c r="G1477" i="2"/>
  <c r="G1476" i="2"/>
  <c r="G1475" i="2"/>
  <c r="G1474" i="2"/>
  <c r="G1473" i="2"/>
  <c r="G1472" i="2"/>
  <c r="G1471" i="2"/>
  <c r="G1470" i="2"/>
  <c r="G1469" i="2"/>
  <c r="G1468" i="2"/>
  <c r="G1467" i="2"/>
  <c r="G1466" i="2"/>
  <c r="G1465" i="2"/>
  <c r="G1464" i="2"/>
  <c r="G1463" i="2"/>
  <c r="G1462" i="2"/>
  <c r="G1461" i="2"/>
  <c r="G1460" i="2"/>
  <c r="G1459" i="2"/>
  <c r="G1458" i="2"/>
  <c r="G1457" i="2"/>
  <c r="G1456" i="2"/>
  <c r="G1455" i="2"/>
  <c r="G1454" i="2"/>
  <c r="G1453" i="2"/>
  <c r="G1452" i="2"/>
  <c r="G1451" i="2"/>
  <c r="G1450" i="2"/>
  <c r="G1449" i="2"/>
  <c r="G1448" i="2"/>
  <c r="G1447" i="2"/>
  <c r="G1446" i="2"/>
  <c r="G1445" i="2"/>
  <c r="G1444" i="2"/>
  <c r="G1443" i="2"/>
  <c r="G1442" i="2"/>
  <c r="G1441" i="2"/>
  <c r="G1440" i="2"/>
  <c r="G1439" i="2"/>
  <c r="G1438" i="2"/>
  <c r="G1437" i="2"/>
  <c r="G1436" i="2"/>
  <c r="G1435" i="2"/>
  <c r="G1434" i="2"/>
  <c r="G1433" i="2"/>
  <c r="G1432" i="2"/>
  <c r="G1431" i="2"/>
  <c r="G1430" i="2"/>
  <c r="G1429" i="2"/>
  <c r="G1428" i="2"/>
  <c r="G1427" i="2"/>
  <c r="G1426" i="2"/>
  <c r="G1425" i="2"/>
  <c r="G1424" i="2"/>
  <c r="G1423" i="2"/>
  <c r="G1422" i="2"/>
  <c r="G1421" i="2"/>
  <c r="G1420" i="2"/>
  <c r="G1419" i="2"/>
  <c r="G1418" i="2"/>
  <c r="G1417" i="2"/>
  <c r="G1416" i="2"/>
  <c r="G1415" i="2"/>
  <c r="G1414" i="2"/>
  <c r="G1413" i="2"/>
  <c r="G1412" i="2"/>
  <c r="G1411" i="2"/>
  <c r="G1410" i="2"/>
  <c r="G1409" i="2"/>
  <c r="G1408" i="2"/>
  <c r="G1407" i="2"/>
  <c r="G1406" i="2"/>
  <c r="G1405" i="2"/>
  <c r="G1404" i="2"/>
  <c r="G1403" i="2"/>
  <c r="G1402" i="2"/>
  <c r="G1401" i="2"/>
  <c r="G1400" i="2"/>
  <c r="G1399" i="2"/>
  <c r="G1398" i="2"/>
  <c r="G1397" i="2"/>
  <c r="G1396" i="2"/>
  <c r="G1395" i="2"/>
  <c r="G1394" i="2"/>
  <c r="G1393" i="2"/>
  <c r="G1392" i="2"/>
  <c r="G1391" i="2"/>
  <c r="G1390" i="2"/>
  <c r="G1389" i="2"/>
  <c r="G1388" i="2"/>
  <c r="G1387" i="2"/>
  <c r="G1386" i="2"/>
  <c r="G1385" i="2"/>
  <c r="G1384" i="2"/>
  <c r="G1383" i="2"/>
  <c r="G1382" i="2"/>
  <c r="G1381" i="2"/>
  <c r="G1380" i="2"/>
  <c r="G1379" i="2"/>
  <c r="G1378" i="2"/>
  <c r="G1377" i="2"/>
  <c r="G1376" i="2"/>
  <c r="G1375" i="2"/>
  <c r="G1374" i="2"/>
  <c r="G1373" i="2"/>
  <c r="G1372" i="2"/>
  <c r="G1371" i="2"/>
  <c r="G1370" i="2"/>
  <c r="G1369" i="2"/>
  <c r="G1368" i="2"/>
  <c r="G1367" i="2"/>
  <c r="G1366" i="2"/>
  <c r="G1365" i="2"/>
  <c r="G1364" i="2"/>
  <c r="G1363" i="2"/>
  <c r="G1362" i="2"/>
  <c r="G1361" i="2"/>
  <c r="G1360" i="2"/>
  <c r="G1359" i="2"/>
  <c r="G1358" i="2"/>
  <c r="G1357" i="2"/>
  <c r="G1356" i="2"/>
  <c r="G1355" i="2"/>
  <c r="G1354" i="2"/>
  <c r="G1353" i="2"/>
  <c r="G1352" i="2"/>
  <c r="G1351" i="2"/>
  <c r="G1350" i="2"/>
  <c r="G1349" i="2"/>
  <c r="G1348" i="2"/>
  <c r="G1347" i="2"/>
  <c r="G1346" i="2"/>
  <c r="G1345" i="2"/>
  <c r="G1344" i="2"/>
  <c r="G1343" i="2"/>
  <c r="G1342" i="2"/>
  <c r="G1341" i="2"/>
  <c r="G1340" i="2"/>
  <c r="G1339" i="2"/>
  <c r="G1338" i="2"/>
  <c r="G1337" i="2"/>
  <c r="G1336" i="2"/>
  <c r="G1335" i="2"/>
  <c r="G1334" i="2"/>
  <c r="G1333" i="2"/>
  <c r="G1332" i="2"/>
  <c r="G1331" i="2"/>
  <c r="G1330" i="2"/>
  <c r="G1329" i="2"/>
  <c r="G1328" i="2"/>
  <c r="G1327" i="2"/>
  <c r="G1326" i="2"/>
  <c r="G1325" i="2"/>
  <c r="G1324" i="2"/>
  <c r="G1323" i="2"/>
  <c r="G1322" i="2"/>
  <c r="G1321" i="2"/>
  <c r="G1320" i="2"/>
  <c r="G1319" i="2"/>
  <c r="G1318" i="2"/>
  <c r="G1317" i="2"/>
  <c r="G1316" i="2"/>
  <c r="G1315" i="2"/>
  <c r="G1314" i="2"/>
  <c r="G1313" i="2"/>
  <c r="G1312" i="2"/>
  <c r="G1311" i="2"/>
  <c r="G1310" i="2"/>
  <c r="G1309" i="2"/>
  <c r="G1308" i="2"/>
  <c r="G1307" i="2"/>
  <c r="G1306" i="2"/>
  <c r="G1305" i="2"/>
  <c r="G1304" i="2"/>
  <c r="G1303" i="2"/>
  <c r="G1302" i="2"/>
  <c r="G1301" i="2"/>
  <c r="G1300" i="2"/>
  <c r="G1299" i="2"/>
  <c r="G1298" i="2"/>
  <c r="G1297" i="2"/>
  <c r="G1296" i="2"/>
  <c r="G1295" i="2"/>
  <c r="G1294" i="2"/>
  <c r="G1293" i="2"/>
  <c r="G1292" i="2"/>
  <c r="G1291" i="2"/>
  <c r="G1290" i="2"/>
  <c r="G1289" i="2"/>
  <c r="G1288" i="2"/>
  <c r="G1287" i="2"/>
  <c r="G1286" i="2"/>
  <c r="G1285" i="2"/>
  <c r="G1284" i="2"/>
  <c r="G1283" i="2"/>
  <c r="G1282" i="2"/>
  <c r="G1281" i="2"/>
  <c r="G1280" i="2"/>
  <c r="G1279" i="2"/>
  <c r="G1278" i="2"/>
  <c r="G1277" i="2"/>
  <c r="G1276" i="2"/>
  <c r="G1275" i="2"/>
  <c r="G1274" i="2"/>
  <c r="G1273" i="2"/>
  <c r="G1272" i="2"/>
  <c r="G1271" i="2"/>
  <c r="G1270" i="2"/>
  <c r="G1269" i="2"/>
  <c r="G1268" i="2"/>
  <c r="G1267" i="2"/>
  <c r="G1266" i="2"/>
  <c r="G1265" i="2"/>
  <c r="G1264" i="2"/>
  <c r="G1263" i="2"/>
  <c r="G1262" i="2"/>
  <c r="G1261" i="2"/>
  <c r="G1260" i="2"/>
  <c r="G1259" i="2"/>
  <c r="G1258" i="2"/>
  <c r="G1257" i="2"/>
  <c r="G1256" i="2"/>
  <c r="G1255" i="2"/>
  <c r="G1254" i="2"/>
  <c r="G1253" i="2"/>
  <c r="G1252" i="2"/>
  <c r="G1251" i="2"/>
  <c r="G1250" i="2"/>
  <c r="G1249" i="2"/>
  <c r="G1248" i="2"/>
  <c r="G1247" i="2"/>
  <c r="G1246" i="2"/>
  <c r="G1245" i="2"/>
  <c r="G1244" i="2"/>
  <c r="G1243" i="2"/>
  <c r="G1242" i="2"/>
  <c r="G1241" i="2"/>
  <c r="G1240" i="2"/>
  <c r="G1239" i="2"/>
  <c r="G1238" i="2"/>
  <c r="G1237" i="2"/>
  <c r="G1236" i="2"/>
  <c r="G1235" i="2"/>
  <c r="G1234" i="2"/>
  <c r="G1233" i="2"/>
  <c r="G1232" i="2"/>
  <c r="G1231" i="2"/>
  <c r="G1230" i="2"/>
  <c r="G1229" i="2"/>
  <c r="G1228" i="2"/>
  <c r="G1227" i="2"/>
  <c r="G1226" i="2"/>
  <c r="G1225" i="2"/>
  <c r="G1224" i="2"/>
  <c r="G1223" i="2"/>
  <c r="G1222" i="2"/>
  <c r="G1221" i="2"/>
  <c r="G1220" i="2"/>
  <c r="G1219" i="2"/>
  <c r="G1218" i="2"/>
  <c r="G1217" i="2"/>
  <c r="G1216" i="2"/>
  <c r="G1215" i="2"/>
  <c r="G1214" i="2"/>
  <c r="G1213" i="2"/>
  <c r="G1212" i="2"/>
  <c r="G1211" i="2"/>
  <c r="G1210" i="2"/>
  <c r="G1209" i="2"/>
  <c r="G1208" i="2"/>
  <c r="G1207" i="2"/>
  <c r="G1206" i="2"/>
  <c r="G1205" i="2"/>
  <c r="G1204" i="2"/>
  <c r="G1203" i="2"/>
  <c r="G1202" i="2"/>
  <c r="G1201" i="2"/>
  <c r="G1200" i="2"/>
  <c r="G1199" i="2"/>
  <c r="G1198" i="2"/>
  <c r="G1197" i="2"/>
  <c r="G1196" i="2"/>
  <c r="G1195" i="2"/>
  <c r="G1194" i="2"/>
  <c r="G1193" i="2"/>
  <c r="G1192" i="2"/>
  <c r="G1191" i="2"/>
  <c r="G1190" i="2"/>
  <c r="G1189" i="2"/>
  <c r="G1188" i="2"/>
  <c r="G1187" i="2"/>
  <c r="G1186" i="2"/>
  <c r="G1185" i="2"/>
  <c r="G1184" i="2"/>
  <c r="G1183" i="2"/>
  <c r="G1182" i="2"/>
  <c r="G1181" i="2"/>
  <c r="G1180" i="2"/>
  <c r="G1179" i="2"/>
  <c r="G1178" i="2"/>
  <c r="G1177" i="2"/>
  <c r="G1176" i="2"/>
  <c r="G1175" i="2"/>
  <c r="G1174" i="2"/>
  <c r="G1173" i="2"/>
  <c r="G1172" i="2"/>
  <c r="G1171" i="2"/>
  <c r="G1170" i="2"/>
  <c r="G1169" i="2"/>
  <c r="G1168" i="2"/>
  <c r="G1167" i="2"/>
  <c r="G1166" i="2"/>
  <c r="G1165" i="2"/>
  <c r="G1164" i="2"/>
  <c r="G1163" i="2"/>
  <c r="G1162" i="2"/>
  <c r="G1161" i="2"/>
  <c r="G1160" i="2"/>
  <c r="G1159" i="2"/>
  <c r="G1158" i="2"/>
  <c r="G1157" i="2"/>
  <c r="G1156" i="2"/>
  <c r="G1155" i="2"/>
  <c r="G1154" i="2"/>
  <c r="G1153" i="2"/>
  <c r="G1152" i="2"/>
  <c r="G1151" i="2"/>
  <c r="G1150" i="2"/>
  <c r="G1149" i="2"/>
  <c r="G1148" i="2"/>
  <c r="G1147" i="2"/>
  <c r="G1146" i="2"/>
  <c r="G1145" i="2"/>
  <c r="G1144" i="2"/>
  <c r="G1143" i="2"/>
  <c r="G1142" i="2"/>
  <c r="G1141" i="2"/>
  <c r="G1140" i="2"/>
  <c r="G1139" i="2"/>
  <c r="G1138" i="2"/>
  <c r="G1137" i="2"/>
  <c r="G1136" i="2"/>
  <c r="G1135" i="2"/>
  <c r="G1134" i="2"/>
  <c r="G1133" i="2"/>
  <c r="G1132" i="2"/>
  <c r="G1131" i="2"/>
  <c r="G1130" i="2"/>
  <c r="G1129" i="2"/>
  <c r="G1128" i="2"/>
  <c r="G1127" i="2"/>
  <c r="G1126" i="2"/>
  <c r="G1125" i="2"/>
  <c r="G1124" i="2"/>
  <c r="G1123" i="2"/>
  <c r="G1122" i="2"/>
  <c r="G1121" i="2"/>
  <c r="G1120" i="2"/>
  <c r="G1119" i="2"/>
  <c r="G1118" i="2"/>
  <c r="G1117" i="2"/>
  <c r="G1116" i="2"/>
  <c r="G1115" i="2"/>
  <c r="G1114" i="2"/>
  <c r="G1113" i="2"/>
  <c r="G1112" i="2"/>
  <c r="G1111" i="2"/>
  <c r="G1110" i="2"/>
  <c r="G1109" i="2"/>
  <c r="G1108" i="2"/>
  <c r="G1107" i="2"/>
  <c r="G1106" i="2"/>
  <c r="G1105" i="2"/>
  <c r="G1104" i="2"/>
  <c r="G1103" i="2"/>
  <c r="G1102" i="2"/>
  <c r="G1101" i="2"/>
  <c r="G1100" i="2"/>
  <c r="G1099" i="2"/>
  <c r="G1098" i="2"/>
  <c r="G1097" i="2"/>
  <c r="G1096" i="2"/>
  <c r="G1095" i="2"/>
  <c r="G1094" i="2"/>
  <c r="G1093" i="2"/>
  <c r="G1092" i="2"/>
  <c r="G1091" i="2"/>
  <c r="G1090" i="2"/>
  <c r="G1089" i="2"/>
  <c r="G1088" i="2"/>
  <c r="G1087" i="2"/>
  <c r="G1086" i="2"/>
  <c r="G1085" i="2"/>
  <c r="G1084" i="2"/>
  <c r="G1083" i="2"/>
  <c r="G1082" i="2"/>
  <c r="G1081" i="2"/>
  <c r="G1080" i="2"/>
  <c r="G1079" i="2"/>
  <c r="G1078" i="2"/>
  <c r="G1077" i="2"/>
  <c r="G1076" i="2"/>
  <c r="G1075" i="2"/>
  <c r="G1074" i="2"/>
  <c r="G1073" i="2"/>
  <c r="G1072" i="2"/>
  <c r="G1071" i="2"/>
  <c r="G1070" i="2"/>
  <c r="G1069" i="2"/>
  <c r="G1068" i="2"/>
  <c r="G1067" i="2"/>
  <c r="G1066" i="2"/>
  <c r="G1065" i="2"/>
  <c r="G1064" i="2"/>
  <c r="G1063" i="2"/>
  <c r="G1062" i="2"/>
  <c r="G1061" i="2"/>
  <c r="G1060" i="2"/>
  <c r="G1059" i="2"/>
  <c r="G1058" i="2"/>
  <c r="G1057" i="2"/>
  <c r="G1056" i="2"/>
  <c r="G1055" i="2"/>
  <c r="G1054" i="2"/>
  <c r="G1053" i="2"/>
  <c r="G1052" i="2"/>
  <c r="G1051" i="2"/>
  <c r="G1050" i="2"/>
  <c r="G1049" i="2"/>
  <c r="G1048" i="2"/>
  <c r="G1047" i="2"/>
  <c r="G1046" i="2"/>
  <c r="G1045" i="2"/>
  <c r="G1044" i="2"/>
  <c r="G1043" i="2"/>
  <c r="G1042" i="2"/>
  <c r="G1041" i="2"/>
  <c r="G1040" i="2"/>
  <c r="G1039" i="2"/>
  <c r="G1038" i="2"/>
  <c r="G1037" i="2"/>
  <c r="G1036" i="2"/>
  <c r="G1035" i="2"/>
  <c r="G1034" i="2"/>
  <c r="G1033" i="2"/>
  <c r="G1032" i="2"/>
  <c r="G1031" i="2"/>
  <c r="G1030" i="2"/>
  <c r="G1029" i="2"/>
  <c r="G1028" i="2"/>
  <c r="G1027" i="2"/>
  <c r="G1026" i="2"/>
  <c r="G1025" i="2"/>
  <c r="G1024" i="2"/>
  <c r="G1023" i="2"/>
  <c r="G1022" i="2"/>
  <c r="G1021" i="2"/>
  <c r="G1020" i="2"/>
  <c r="G1019" i="2"/>
  <c r="G1018" i="2"/>
  <c r="G1017" i="2"/>
  <c r="G1016" i="2"/>
  <c r="G1015" i="2"/>
  <c r="G1014" i="2"/>
  <c r="G1013" i="2"/>
  <c r="G1012" i="2"/>
  <c r="G1011" i="2"/>
  <c r="G1010" i="2"/>
  <c r="G1009" i="2"/>
  <c r="G1008" i="2"/>
  <c r="G1007" i="2"/>
  <c r="G1006" i="2"/>
  <c r="G1005" i="2"/>
  <c r="G1004" i="2"/>
  <c r="G1003" i="2"/>
  <c r="G1002" i="2"/>
  <c r="G1001" i="2"/>
  <c r="G1000" i="2"/>
  <c r="G999" i="2"/>
  <c r="G998" i="2"/>
  <c r="G997" i="2"/>
  <c r="G996" i="2"/>
  <c r="G995" i="2"/>
  <c r="G994" i="2"/>
  <c r="G993" i="2"/>
  <c r="G992" i="2"/>
  <c r="G991" i="2"/>
  <c r="G990" i="2"/>
  <c r="G989" i="2"/>
  <c r="G988" i="2"/>
  <c r="G987" i="2"/>
  <c r="G986" i="2"/>
  <c r="G985" i="2"/>
  <c r="G984" i="2"/>
  <c r="G983" i="2"/>
  <c r="G982" i="2"/>
  <c r="G981" i="2"/>
  <c r="G980" i="2"/>
  <c r="G979" i="2"/>
  <c r="G978" i="2"/>
  <c r="G977" i="2"/>
  <c r="G976" i="2"/>
  <c r="G975" i="2"/>
  <c r="G974" i="2"/>
  <c r="G973" i="2"/>
  <c r="G972" i="2"/>
  <c r="G971" i="2"/>
  <c r="G970" i="2"/>
  <c r="G969" i="2"/>
  <c r="G968" i="2"/>
  <c r="G967" i="2"/>
  <c r="G966" i="2"/>
  <c r="G965" i="2"/>
  <c r="G964" i="2"/>
  <c r="G963" i="2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947" i="2"/>
  <c r="G946" i="2"/>
  <c r="G945" i="2"/>
  <c r="G944" i="2"/>
  <c r="G943" i="2"/>
  <c r="G942" i="2"/>
  <c r="G941" i="2"/>
  <c r="G940" i="2"/>
  <c r="G939" i="2"/>
  <c r="G938" i="2"/>
  <c r="G937" i="2"/>
  <c r="G936" i="2"/>
  <c r="G935" i="2"/>
  <c r="G934" i="2"/>
  <c r="G933" i="2"/>
  <c r="G932" i="2"/>
  <c r="G931" i="2"/>
  <c r="G930" i="2"/>
  <c r="G929" i="2"/>
  <c r="G928" i="2"/>
  <c r="G927" i="2"/>
  <c r="G926" i="2"/>
  <c r="G925" i="2"/>
  <c r="G924" i="2"/>
  <c r="G923" i="2"/>
  <c r="G922" i="2"/>
  <c r="G921" i="2"/>
  <c r="G920" i="2"/>
  <c r="G919" i="2"/>
  <c r="G918" i="2"/>
  <c r="G917" i="2"/>
  <c r="G916" i="2"/>
  <c r="G915" i="2"/>
  <c r="G914" i="2"/>
  <c r="G913" i="2"/>
  <c r="G912" i="2"/>
  <c r="G911" i="2"/>
  <c r="G910" i="2"/>
  <c r="G909" i="2"/>
  <c r="G908" i="2"/>
  <c r="G907" i="2"/>
  <c r="G906" i="2"/>
  <c r="G905" i="2"/>
  <c r="G904" i="2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O14" i="2"/>
  <c r="O19" i="2"/>
  <c r="O5" i="2"/>
  <c r="O17" i="2"/>
  <c r="O44" i="2"/>
  <c r="O112" i="2"/>
  <c r="O135" i="2"/>
  <c r="O163" i="2"/>
  <c r="O68" i="2"/>
  <c r="O155" i="2"/>
  <c r="O152" i="2"/>
  <c r="O51" i="2"/>
  <c r="O33" i="2"/>
  <c r="O144" i="2"/>
  <c r="O36" i="2"/>
  <c r="O130" i="2"/>
  <c r="O48" i="2"/>
  <c r="O15" i="2"/>
  <c r="O85" i="2"/>
  <c r="O116" i="2"/>
  <c r="O82" i="2"/>
  <c r="O38" i="2"/>
  <c r="O168" i="2"/>
  <c r="O46" i="2"/>
  <c r="O57" i="2"/>
  <c r="O6" i="2"/>
  <c r="O10" i="2"/>
  <c r="O84" i="2"/>
  <c r="O18" i="2"/>
  <c r="O22" i="2"/>
  <c r="O21" i="2"/>
  <c r="O9" i="2"/>
  <c r="O2" i="2"/>
  <c r="O54" i="2"/>
  <c r="O151" i="2"/>
  <c r="O74" i="2"/>
  <c r="O106" i="2"/>
  <c r="O134" i="2"/>
  <c r="O58" i="2"/>
  <c r="O125" i="2"/>
  <c r="O129" i="2"/>
  <c r="O170" i="2"/>
  <c r="O13" i="2"/>
  <c r="O16" i="2"/>
  <c r="O47" i="2"/>
  <c r="O8" i="2"/>
  <c r="O25" i="2"/>
  <c r="O132" i="2"/>
  <c r="O88" i="2"/>
  <c r="O12" i="2"/>
  <c r="O164" i="2"/>
  <c r="O115" i="2"/>
  <c r="O4" i="2"/>
  <c r="O20" i="2"/>
  <c r="O7" i="2"/>
  <c r="O11" i="2"/>
  <c r="O3" i="2"/>
  <c r="O161" i="2"/>
  <c r="O156" i="2"/>
  <c r="O114" i="2"/>
  <c r="O39" i="2"/>
  <c r="O142" i="2"/>
  <c r="O43" i="2"/>
  <c r="O79" i="2"/>
  <c r="O30" i="2"/>
  <c r="O133" i="2"/>
  <c r="O141" i="2"/>
  <c r="O81" i="2"/>
  <c r="O138" i="2"/>
  <c r="O154" i="2"/>
  <c r="O95" i="2"/>
  <c r="O23" i="2"/>
  <c r="O52" i="2"/>
  <c r="O140" i="2"/>
  <c r="O31" i="2"/>
  <c r="O41" i="2"/>
  <c r="O65" i="2"/>
  <c r="O63" i="2"/>
  <c r="O67" i="2"/>
  <c r="O123" i="2"/>
  <c r="O162" i="2"/>
  <c r="O120" i="2"/>
  <c r="O89" i="2"/>
  <c r="O2182" i="2"/>
  <c r="O1852" i="2"/>
  <c r="O1742" i="2"/>
  <c r="O1646" i="2"/>
  <c r="O1580" i="2"/>
  <c r="O1518" i="2"/>
  <c r="O1475" i="2"/>
  <c r="O1412" i="2"/>
  <c r="O1374" i="2"/>
  <c r="O1323" i="2"/>
  <c r="O1237" i="2"/>
  <c r="O1158" i="2"/>
  <c r="O1086" i="2"/>
  <c r="O1019" i="2"/>
  <c r="O963" i="2"/>
  <c r="O862" i="2"/>
  <c r="O806" i="2"/>
  <c r="O742" i="2"/>
  <c r="O699" i="2"/>
  <c r="O628" i="2"/>
  <c r="O556" i="2"/>
  <c r="O502" i="2"/>
  <c r="O437" i="2"/>
  <c r="O396" i="2"/>
  <c r="O363" i="2"/>
  <c r="O339" i="2"/>
  <c r="O318" i="2"/>
  <c r="O299" i="2"/>
  <c r="O284" i="2"/>
  <c r="O269" i="2"/>
  <c r="O253" i="2"/>
  <c r="O237" i="2"/>
  <c r="O220" i="2"/>
  <c r="O204" i="2"/>
  <c r="O187" i="2"/>
  <c r="O171" i="2"/>
  <c r="O1990" i="2"/>
  <c r="O1363" i="2"/>
  <c r="O2006" i="2"/>
  <c r="O1510" i="2"/>
  <c r="O1078" i="2"/>
  <c r="O510" i="2"/>
  <c r="O1654" i="2"/>
  <c r="O1118" i="2"/>
  <c r="O748" i="2"/>
  <c r="O239" i="2"/>
  <c r="O1380" i="2"/>
  <c r="O755" i="2"/>
  <c r="O407" i="2"/>
  <c r="O2126" i="2"/>
  <c r="O1812" i="2"/>
  <c r="O1604" i="2"/>
  <c r="O1420" i="2"/>
  <c r="O1190" i="2"/>
  <c r="O974" i="2"/>
  <c r="O811" i="2"/>
  <c r="O662" i="2"/>
  <c r="O543" i="2"/>
  <c r="O451" i="2"/>
  <c r="O223" i="2"/>
  <c r="O2120" i="2"/>
  <c r="O1832" i="2"/>
  <c r="O1605" i="2"/>
  <c r="O1400" i="2"/>
  <c r="O1240" i="2"/>
  <c r="O1016" i="2"/>
  <c r="O736" i="2"/>
  <c r="O528" i="2"/>
  <c r="O217" i="2"/>
  <c r="O2056" i="2"/>
  <c r="O1854" i="2"/>
  <c r="O1555" i="2"/>
  <c r="O1341" i="2"/>
  <c r="O1149" i="2"/>
  <c r="O918" i="2"/>
  <c r="O760" i="2"/>
  <c r="O549" i="2"/>
  <c r="O296" i="2"/>
  <c r="O2140" i="2"/>
  <c r="O1816" i="2"/>
  <c r="O1741" i="2"/>
  <c r="O1644" i="2"/>
  <c r="O1573" i="2"/>
  <c r="O1508" i="2"/>
  <c r="O1467" i="2"/>
  <c r="O1411" i="2"/>
  <c r="O1372" i="2"/>
  <c r="O1307" i="2"/>
  <c r="O1220" i="2"/>
  <c r="O1156" i="2"/>
  <c r="O1084" i="2"/>
  <c r="O999" i="2"/>
  <c r="O958" i="2"/>
  <c r="O852" i="2"/>
  <c r="O803" i="2"/>
  <c r="O739" i="2"/>
  <c r="O686" i="2"/>
  <c r="O622" i="2"/>
  <c r="O551" i="2"/>
  <c r="O479" i="2"/>
  <c r="O430" i="2"/>
  <c r="O390" i="2"/>
  <c r="O358" i="2"/>
  <c r="O334" i="2"/>
  <c r="O317" i="2"/>
  <c r="O295" i="2"/>
  <c r="O283" i="2"/>
  <c r="O268" i="2"/>
  <c r="O252" i="2"/>
  <c r="O235" i="2"/>
  <c r="O219" i="2"/>
  <c r="O203" i="2"/>
  <c r="O182" i="2"/>
  <c r="O320" i="2"/>
  <c r="O1950" i="2"/>
  <c r="O1262" i="2"/>
  <c r="O1927" i="2"/>
  <c r="O1347" i="2"/>
  <c r="O1038" i="2"/>
  <c r="O422" i="2"/>
  <c r="O1574" i="2"/>
  <c r="O1092" i="2"/>
  <c r="O638" i="2"/>
  <c r="O215" i="2"/>
  <c r="O1284" i="2"/>
  <c r="O723" i="2"/>
  <c r="O387" i="2"/>
  <c r="O2062" i="2"/>
  <c r="O1774" i="2"/>
  <c r="O1582" i="2"/>
  <c r="O1316" i="2"/>
  <c r="O1174" i="2"/>
  <c r="O966" i="2"/>
  <c r="O782" i="2"/>
  <c r="O646" i="2"/>
  <c r="O534" i="2"/>
  <c r="O416" i="2"/>
  <c r="O2340" i="2"/>
  <c r="O2084" i="2"/>
  <c r="O1805" i="2"/>
  <c r="O1592" i="2"/>
  <c r="O1384" i="2"/>
  <c r="O1184" i="2"/>
  <c r="O1008" i="2"/>
  <c r="O712" i="2"/>
  <c r="O464" i="2"/>
  <c r="O200" i="2"/>
  <c r="O2054" i="2"/>
  <c r="O1760" i="2"/>
  <c r="O1531" i="2"/>
  <c r="O1326" i="2"/>
  <c r="O1134" i="2"/>
  <c r="O891" i="2"/>
  <c r="O729" i="2"/>
  <c r="O515" i="2"/>
  <c r="O273" i="2"/>
  <c r="O1996" i="2"/>
  <c r="O1806" i="2"/>
  <c r="O1732" i="2"/>
  <c r="O1638" i="2"/>
  <c r="O1571" i="2"/>
  <c r="O1507" i="2"/>
  <c r="O1460" i="2"/>
  <c r="O1406" i="2"/>
  <c r="O1358" i="2"/>
  <c r="O1286" i="2"/>
  <c r="O1198" i="2"/>
  <c r="O1150" i="2"/>
  <c r="O1076" i="2"/>
  <c r="O996" i="2"/>
  <c r="O948" i="2"/>
  <c r="O846" i="2"/>
  <c r="O790" i="2"/>
  <c r="O734" i="2"/>
  <c r="O675" i="2"/>
  <c r="O598" i="2"/>
  <c r="O550" i="2"/>
  <c r="O476" i="2"/>
  <c r="O427" i="2"/>
  <c r="O380" i="2"/>
  <c r="O357" i="2"/>
  <c r="O332" i="2"/>
  <c r="O316" i="2"/>
  <c r="O294" i="2"/>
  <c r="O278" i="2"/>
  <c r="O267" i="2"/>
  <c r="O251" i="2"/>
  <c r="O230" i="2"/>
  <c r="O214" i="2"/>
  <c r="O198" i="2"/>
  <c r="O181" i="2"/>
  <c r="O280" i="2"/>
  <c r="O1875" i="2"/>
  <c r="O1182" i="2"/>
  <c r="O1918" i="2"/>
  <c r="O1342" i="2"/>
  <c r="O1030" i="2"/>
  <c r="O2342" i="2"/>
  <c r="O1436" i="2"/>
  <c r="O1052" i="2"/>
  <c r="O604" i="2"/>
  <c r="O199" i="2"/>
  <c r="O1180" i="2"/>
  <c r="O716" i="2"/>
  <c r="O356" i="2"/>
  <c r="O2038" i="2"/>
  <c r="O1718" i="2"/>
  <c r="O1558" i="2"/>
  <c r="O1315" i="2"/>
  <c r="O1140" i="2"/>
  <c r="O934" i="2"/>
  <c r="O775" i="2"/>
  <c r="O631" i="2"/>
  <c r="O524" i="2"/>
  <c r="O406" i="2"/>
  <c r="O2300" i="2"/>
  <c r="O2061" i="2"/>
  <c r="O1787" i="2"/>
  <c r="O1576" i="2"/>
  <c r="O1373" i="2"/>
  <c r="O1152" i="2"/>
  <c r="O925" i="2"/>
  <c r="O696" i="2"/>
  <c r="O445" i="2"/>
  <c r="O2247" i="2"/>
  <c r="O2046" i="2"/>
  <c r="O1752" i="2"/>
  <c r="O1472" i="2"/>
  <c r="O1320" i="2"/>
  <c r="O1072" i="2"/>
  <c r="O877" i="2"/>
  <c r="O704" i="2"/>
  <c r="O491" i="2"/>
  <c r="O233" i="2"/>
  <c r="O1948" i="2"/>
  <c r="O1803" i="2"/>
  <c r="O1708" i="2"/>
  <c r="O1635" i="2"/>
  <c r="O1550" i="2"/>
  <c r="O1499" i="2"/>
  <c r="O1446" i="2"/>
  <c r="O1396" i="2"/>
  <c r="O1356" i="2"/>
  <c r="O1283" i="2"/>
  <c r="O1197" i="2"/>
  <c r="O1131" i="2"/>
  <c r="O1070" i="2"/>
  <c r="O995" i="2"/>
  <c r="O947" i="2"/>
  <c r="O838" i="2"/>
  <c r="O781" i="2"/>
  <c r="O726" i="2"/>
  <c r="O659" i="2"/>
  <c r="O596" i="2"/>
  <c r="O547" i="2"/>
  <c r="O470" i="2"/>
  <c r="O419" i="2"/>
  <c r="O379" i="2"/>
  <c r="O355" i="2"/>
  <c r="O326" i="2"/>
  <c r="O310" i="2"/>
  <c r="O293" i="2"/>
  <c r="O277" i="2"/>
  <c r="O262" i="2"/>
  <c r="O246" i="2"/>
  <c r="O229" i="2"/>
  <c r="O213" i="2"/>
  <c r="O196" i="2"/>
  <c r="O180" i="2"/>
  <c r="O240" i="2"/>
  <c r="O1827" i="2"/>
  <c r="O1117" i="2"/>
  <c r="O1798" i="2"/>
  <c r="O1310" i="2"/>
  <c r="O1011" i="2"/>
  <c r="O2117" i="2"/>
  <c r="O1294" i="2"/>
  <c r="O1004" i="2"/>
  <c r="O599" i="2"/>
  <c r="O2091" i="2"/>
  <c r="O1091" i="2"/>
  <c r="O679" i="2"/>
  <c r="O327" i="2"/>
  <c r="O1987" i="2"/>
  <c r="O1702" i="2"/>
  <c r="O1515" i="2"/>
  <c r="O1308" i="2"/>
  <c r="O1127" i="2"/>
  <c r="O928" i="2"/>
  <c r="O747" i="2"/>
  <c r="O627" i="2"/>
  <c r="O509" i="2"/>
  <c r="O392" i="2"/>
  <c r="O2213" i="2"/>
  <c r="O1997" i="2"/>
  <c r="O1765" i="2"/>
  <c r="O1509" i="2"/>
  <c r="O1344" i="2"/>
  <c r="O1133" i="2"/>
  <c r="O920" i="2"/>
  <c r="O656" i="2"/>
  <c r="O429" i="2"/>
  <c r="O2229" i="2"/>
  <c r="O2030" i="2"/>
  <c r="O1731" i="2"/>
  <c r="O1454" i="2"/>
  <c r="O1280" i="2"/>
  <c r="O1067" i="2"/>
  <c r="O863" i="2"/>
  <c r="O694" i="2"/>
  <c r="O456" i="2"/>
  <c r="O193" i="2"/>
  <c r="O2356" i="2"/>
  <c r="O1934" i="2"/>
  <c r="O1782" i="2"/>
  <c r="O1695" i="2"/>
  <c r="O1630" i="2"/>
  <c r="O1548" i="2"/>
  <c r="O1486" i="2"/>
  <c r="O1430" i="2"/>
  <c r="O1395" i="2"/>
  <c r="O1348" i="2"/>
  <c r="O1278" i="2"/>
  <c r="O1195" i="2"/>
  <c r="O1124" i="2"/>
  <c r="O1060" i="2"/>
  <c r="O988" i="2"/>
  <c r="O899" i="2"/>
  <c r="O831" i="2"/>
  <c r="O772" i="2"/>
  <c r="O725" i="2"/>
  <c r="O651" i="2"/>
  <c r="O588" i="2"/>
  <c r="O542" i="2"/>
  <c r="O468" i="2"/>
  <c r="O415" i="2"/>
  <c r="O374" i="2"/>
  <c r="O350" i="2"/>
  <c r="O325" i="2"/>
  <c r="O308" i="2"/>
  <c r="O291" i="2"/>
  <c r="O276" i="2"/>
  <c r="O261" i="2"/>
  <c r="O245" i="2"/>
  <c r="O228" i="2"/>
  <c r="O212" i="2"/>
  <c r="O195" i="2"/>
  <c r="O179" i="2"/>
  <c r="O232" i="2"/>
  <c r="O1694" i="2"/>
  <c r="O1029" i="2"/>
  <c r="O1763" i="2"/>
  <c r="O1270" i="2"/>
  <c r="O955" i="2"/>
  <c r="O2102" i="2"/>
  <c r="O1271" i="2"/>
  <c r="O910" i="2"/>
  <c r="O590" i="2"/>
  <c r="O2077" i="2"/>
  <c r="O941" i="2"/>
  <c r="O668" i="2"/>
  <c r="O231" i="2"/>
  <c r="O1894" i="2"/>
  <c r="O1692" i="2"/>
  <c r="O1502" i="2"/>
  <c r="O1267" i="2"/>
  <c r="O1102" i="2"/>
  <c r="O902" i="2"/>
  <c r="O719" i="2"/>
  <c r="O606" i="2"/>
  <c r="O499" i="2"/>
  <c r="O359" i="2"/>
  <c r="O2212" i="2"/>
  <c r="O1992" i="2"/>
  <c r="O1728" i="2"/>
  <c r="O1485" i="2"/>
  <c r="O1312" i="2"/>
  <c r="O1120" i="2"/>
  <c r="O856" i="2"/>
  <c r="O605" i="2"/>
  <c r="O341" i="2"/>
  <c r="O2227" i="2"/>
  <c r="O1965" i="2"/>
  <c r="O1648" i="2"/>
  <c r="O1438" i="2"/>
  <c r="O1277" i="2"/>
  <c r="O1039" i="2"/>
  <c r="O827" i="2"/>
  <c r="O654" i="2"/>
  <c r="O455" i="2"/>
  <c r="O185" i="2"/>
  <c r="O2286" i="2"/>
  <c r="O1923" i="2"/>
  <c r="O1764" i="2"/>
  <c r="O1691" i="2"/>
  <c r="O1620" i="2"/>
  <c r="O1534" i="2"/>
  <c r="O1484" i="2"/>
  <c r="O1429" i="2"/>
  <c r="O1388" i="2"/>
  <c r="O1340" i="2"/>
  <c r="O1275" i="2"/>
  <c r="O1187" i="2"/>
  <c r="O1123" i="2"/>
  <c r="O1046" i="2"/>
  <c r="O982" i="2"/>
  <c r="O894" i="2"/>
  <c r="O822" i="2"/>
  <c r="O764" i="2"/>
  <c r="O711" i="2"/>
  <c r="O647" i="2"/>
  <c r="O587" i="2"/>
  <c r="O526" i="2"/>
  <c r="O467" i="2"/>
  <c r="O414" i="2"/>
  <c r="O372" i="2"/>
  <c r="O347" i="2"/>
  <c r="O324" i="2"/>
  <c r="O307" i="2"/>
  <c r="O287" i="2"/>
  <c r="O275" i="2"/>
  <c r="O260" i="2"/>
  <c r="O244" i="2"/>
  <c r="O227" i="2"/>
  <c r="O211" i="2"/>
  <c r="O190" i="2"/>
  <c r="O174" i="2"/>
  <c r="O2310" i="2"/>
  <c r="O1494" i="2"/>
  <c r="O805" i="2"/>
  <c r="O1734" i="2"/>
  <c r="O1214" i="2"/>
  <c r="O931" i="2"/>
  <c r="O1822" i="2"/>
  <c r="O1268" i="2"/>
  <c r="O855" i="2"/>
  <c r="O438" i="2"/>
  <c r="O1924" i="2"/>
  <c r="O935" i="2"/>
  <c r="O619" i="2"/>
  <c r="O191" i="2"/>
  <c r="O1879" i="2"/>
  <c r="O1678" i="2"/>
  <c r="O1455" i="2"/>
  <c r="O1238" i="2"/>
  <c r="O1054" i="2"/>
  <c r="O900" i="2"/>
  <c r="O718" i="2"/>
  <c r="O582" i="2"/>
  <c r="O486" i="2"/>
  <c r="O311" i="2"/>
  <c r="O2176" i="2"/>
  <c r="O1952" i="2"/>
  <c r="O1712" i="2"/>
  <c r="O1477" i="2"/>
  <c r="O1301" i="2"/>
  <c r="O1093" i="2"/>
  <c r="O824" i="2"/>
  <c r="O592" i="2"/>
  <c r="O333" i="2"/>
  <c r="O2150" i="2"/>
  <c r="O1958" i="2"/>
  <c r="O1637" i="2"/>
  <c r="O1431" i="2"/>
  <c r="O1230" i="2"/>
  <c r="O985" i="2"/>
  <c r="O823" i="2"/>
  <c r="O640" i="2"/>
  <c r="O413" i="2"/>
  <c r="O2203" i="2"/>
  <c r="O1916" i="2"/>
  <c r="O1755" i="2"/>
  <c r="O1668" i="2"/>
  <c r="O1596" i="2"/>
  <c r="O1526" i="2"/>
  <c r="O1478" i="2"/>
  <c r="O1422" i="2"/>
  <c r="O1387" i="2"/>
  <c r="O1331" i="2"/>
  <c r="O1252" i="2"/>
  <c r="O1181" i="2"/>
  <c r="O1116" i="2"/>
  <c r="O1022" i="2"/>
  <c r="O972" i="2"/>
  <c r="O892" i="2"/>
  <c r="O820" i="2"/>
  <c r="O758" i="2"/>
  <c r="O707" i="2"/>
  <c r="O635" i="2"/>
  <c r="O574" i="2"/>
  <c r="O523" i="2"/>
  <c r="O460" i="2"/>
  <c r="O404" i="2"/>
  <c r="O366" i="2"/>
  <c r="O342" i="2"/>
  <c r="O323" i="2"/>
  <c r="O302" i="2"/>
  <c r="O286" i="2"/>
  <c r="O271" i="2"/>
  <c r="O259" i="2"/>
  <c r="O243" i="2"/>
  <c r="O222" i="2"/>
  <c r="O206" i="2"/>
  <c r="O189" i="2"/>
  <c r="O173" i="2"/>
  <c r="O2270" i="2"/>
  <c r="O1451" i="2"/>
  <c r="O741" i="2"/>
  <c r="O1710" i="2"/>
  <c r="O1206" i="2"/>
  <c r="O854" i="2"/>
  <c r="O1807" i="2"/>
  <c r="O1157" i="2"/>
  <c r="O814" i="2"/>
  <c r="O367" i="2"/>
  <c r="O1780" i="2"/>
  <c r="O839" i="2"/>
  <c r="O607" i="2"/>
  <c r="O2190" i="2"/>
  <c r="O1836" i="2"/>
  <c r="O1652" i="2"/>
  <c r="O1435" i="2"/>
  <c r="O1204" i="2"/>
  <c r="O1014" i="2"/>
  <c r="O837" i="2"/>
  <c r="O710" i="2"/>
  <c r="O579" i="2"/>
  <c r="O454" i="2"/>
  <c r="O292" i="2"/>
  <c r="O2173" i="2"/>
  <c r="O1877" i="2"/>
  <c r="O1684" i="2"/>
  <c r="O1445" i="2"/>
  <c r="O1272" i="2"/>
  <c r="O1069" i="2"/>
  <c r="O800" i="2"/>
  <c r="O576" i="2"/>
  <c r="O304" i="2"/>
  <c r="O2142" i="2"/>
  <c r="O1872" i="2"/>
  <c r="O1589" i="2"/>
  <c r="O1376" i="2"/>
  <c r="O1211" i="2"/>
  <c r="O983" i="2"/>
  <c r="O821" i="2"/>
  <c r="O603" i="2"/>
  <c r="O344" i="2"/>
  <c r="O2188" i="2"/>
  <c r="O1867" i="2"/>
  <c r="O1750" i="2"/>
  <c r="O1662" i="2"/>
  <c r="O1587" i="2"/>
  <c r="O1523" i="2"/>
  <c r="O1476" i="2"/>
  <c r="O1414" i="2"/>
  <c r="O1379" i="2"/>
  <c r="O1324" i="2"/>
  <c r="O1246" i="2"/>
  <c r="O1171" i="2"/>
  <c r="O1094" i="2"/>
  <c r="O1021" i="2"/>
  <c r="O971" i="2"/>
  <c r="O870" i="2"/>
  <c r="O819" i="2"/>
  <c r="O756" i="2"/>
  <c r="O700" i="2"/>
  <c r="O630" i="2"/>
  <c r="O566" i="2"/>
  <c r="O511" i="2"/>
  <c r="O443" i="2"/>
  <c r="O398" i="2"/>
  <c r="O364" i="2"/>
  <c r="O340" i="2"/>
  <c r="O319" i="2"/>
  <c r="O300" i="2"/>
  <c r="O285" i="2"/>
  <c r="O270" i="2"/>
  <c r="O254" i="2"/>
  <c r="O238" i="2"/>
  <c r="O221" i="2"/>
  <c r="O205" i="2"/>
  <c r="O188" i="2"/>
  <c r="O172" i="2"/>
  <c r="O2075" i="2"/>
  <c r="O1382" i="2"/>
  <c r="O435" i="2"/>
  <c r="O1670" i="2"/>
  <c r="O1173" i="2"/>
  <c r="O667" i="2"/>
  <c r="O1758" i="2"/>
  <c r="O1142" i="2"/>
  <c r="O759" i="2"/>
  <c r="O335" i="2"/>
  <c r="O1676" i="2"/>
  <c r="O767" i="2"/>
  <c r="O597" i="2"/>
  <c r="O2158" i="2"/>
  <c r="O1814" i="2"/>
  <c r="O1647" i="2"/>
  <c r="O1423" i="2"/>
  <c r="O1191" i="2"/>
  <c r="O1007" i="2"/>
  <c r="O836" i="2"/>
  <c r="O671" i="2"/>
  <c r="O563" i="2"/>
  <c r="O452" i="2"/>
  <c r="O236" i="2"/>
  <c r="O2149" i="2"/>
  <c r="O1868" i="2"/>
  <c r="O1608" i="2"/>
  <c r="O1437" i="2"/>
  <c r="O1248" i="2"/>
  <c r="O1056" i="2"/>
  <c r="O757" i="2"/>
  <c r="O568" i="2"/>
  <c r="O256" i="2"/>
  <c r="O2107" i="2"/>
  <c r="O1870" i="2"/>
  <c r="O1563" i="2"/>
  <c r="O1365" i="2"/>
  <c r="O1205" i="2"/>
  <c r="O926" i="2"/>
  <c r="O773" i="2"/>
  <c r="O557" i="2"/>
  <c r="O328" i="2"/>
  <c r="O411" i="2"/>
  <c r="O1686" i="2"/>
  <c r="O1223" i="2"/>
  <c r="O924" i="2"/>
  <c r="O629" i="2"/>
  <c r="O255" i="2"/>
  <c r="O1903" i="2"/>
  <c r="O1012" i="2"/>
  <c r="O717" i="2"/>
  <c r="O595" i="2"/>
  <c r="O175" i="2"/>
  <c r="O1926" i="2"/>
  <c r="O1740" i="2"/>
  <c r="O1636" i="2"/>
  <c r="O1444" i="2"/>
  <c r="O1299" i="2"/>
  <c r="O1155" i="2"/>
  <c r="O997" i="2"/>
  <c r="O876" i="2"/>
  <c r="O732" i="2"/>
  <c r="O643" i="2"/>
  <c r="O558" i="2"/>
  <c r="O480" i="2"/>
  <c r="O382" i="2"/>
  <c r="O2331" i="2"/>
  <c r="O2141" i="2"/>
  <c r="O1885" i="2"/>
  <c r="O1733" i="2"/>
  <c r="O1584" i="2"/>
  <c r="O1416" i="2"/>
  <c r="O1296" i="2"/>
  <c r="O1125" i="2"/>
  <c r="O1000" i="2"/>
  <c r="O744" i="2"/>
  <c r="O581" i="2"/>
  <c r="O368" i="2"/>
  <c r="O192" i="2"/>
  <c r="O2064" i="2"/>
  <c r="O1944" i="2"/>
  <c r="O1672" i="2"/>
  <c r="O1549" i="2"/>
  <c r="O1427" i="2"/>
  <c r="O1317" i="2"/>
  <c r="O1201" i="2"/>
  <c r="O1005" i="2"/>
  <c r="O889" i="2"/>
  <c r="O791" i="2"/>
  <c r="O691" i="2"/>
  <c r="O545" i="2"/>
  <c r="O383" i="2"/>
  <c r="O209" i="2"/>
  <c r="O1661" i="2"/>
  <c r="O1547" i="2"/>
  <c r="O1405" i="2"/>
  <c r="O1289" i="2"/>
  <c r="O1176" i="2"/>
  <c r="O998" i="2"/>
  <c r="O886" i="2"/>
  <c r="O784" i="2"/>
  <c r="O678" i="2"/>
  <c r="O536" i="2"/>
  <c r="O381" i="2"/>
  <c r="O201" i="2"/>
  <c r="O830" i="2"/>
  <c r="O1846" i="2"/>
  <c r="O1407" i="2"/>
  <c r="O1095" i="2"/>
  <c r="O799" i="2"/>
  <c r="O573" i="2"/>
  <c r="O183" i="2"/>
  <c r="O1332" i="2"/>
  <c r="O779" i="2"/>
  <c r="O636" i="2"/>
  <c r="O351" i="2"/>
  <c r="O2118" i="2"/>
  <c r="O1830" i="2"/>
  <c r="O1683" i="2"/>
  <c r="O1556" i="2"/>
  <c r="O1359" i="2"/>
  <c r="O1196" i="2"/>
  <c r="O1068" i="2"/>
  <c r="O932" i="2"/>
  <c r="O804" i="2"/>
  <c r="O687" i="2"/>
  <c r="O589" i="2"/>
  <c r="O518" i="2"/>
  <c r="O446" i="2"/>
  <c r="O263" i="2"/>
  <c r="O2211" i="2"/>
  <c r="O2004" i="2"/>
  <c r="O1808" i="2"/>
  <c r="O1664" i="2"/>
  <c r="O1480" i="2"/>
  <c r="O1349" i="2"/>
  <c r="O1216" i="2"/>
  <c r="O1064" i="2"/>
  <c r="O832" i="2"/>
  <c r="O664" i="2"/>
  <c r="O517" i="2"/>
  <c r="O264" i="2"/>
  <c r="O2198" i="2"/>
  <c r="O2032" i="2"/>
  <c r="O1851" i="2"/>
  <c r="O1590" i="2"/>
  <c r="O1464" i="2"/>
  <c r="O1350" i="2"/>
  <c r="O1235" i="2"/>
  <c r="O1075" i="2"/>
  <c r="O949" i="2"/>
  <c r="O835" i="2"/>
  <c r="O750" i="2"/>
  <c r="O639" i="2"/>
  <c r="O462" i="2"/>
  <c r="O303" i="2"/>
  <c r="O177" i="2"/>
  <c r="O2325" i="2"/>
  <c r="O2261" i="2"/>
  <c r="O2197" i="2"/>
  <c r="O2133" i="2"/>
  <c r="O2069" i="2"/>
  <c r="O2317" i="2"/>
  <c r="O2253" i="2"/>
  <c r="O2189" i="2"/>
  <c r="O2125" i="2"/>
  <c r="O2309" i="2"/>
  <c r="O2245" i="2"/>
  <c r="O2181" i="2"/>
  <c r="O2053" i="2"/>
  <c r="O2301" i="2"/>
  <c r="O2237" i="2"/>
  <c r="O2109" i="2"/>
  <c r="O2045" i="2"/>
  <c r="O2357" i="2"/>
  <c r="O2293" i="2"/>
  <c r="O2165" i="2"/>
  <c r="O2101" i="2"/>
  <c r="O2037" i="2"/>
  <c r="O2349" i="2"/>
  <c r="O2285" i="2"/>
  <c r="O2221" i="2"/>
  <c r="O2157" i="2"/>
  <c r="O2093" i="2"/>
  <c r="O2029" i="2"/>
  <c r="O2341" i="2"/>
  <c r="O2277" i="2"/>
  <c r="O2085" i="2"/>
  <c r="O2021" i="2"/>
  <c r="O2333" i="2"/>
  <c r="O2269" i="2"/>
  <c r="O2205" i="2"/>
  <c r="O2013" i="2"/>
  <c r="O2005" i="2"/>
  <c r="O1989" i="2"/>
  <c r="O1981" i="2"/>
  <c r="O1973" i="2"/>
  <c r="O1957" i="2"/>
  <c r="O1949" i="2"/>
  <c r="O1941" i="2"/>
  <c r="O1933" i="2"/>
  <c r="O1925" i="2"/>
  <c r="O1917" i="2"/>
  <c r="O1909" i="2"/>
  <c r="O1901" i="2"/>
  <c r="O1893" i="2"/>
  <c r="O1869" i="2"/>
  <c r="O1861" i="2"/>
  <c r="O1853" i="2"/>
  <c r="O1845" i="2"/>
  <c r="O1837" i="2"/>
  <c r="O1829" i="2"/>
  <c r="O1821" i="2"/>
  <c r="O1813" i="2"/>
  <c r="O1797" i="2"/>
  <c r="O1789" i="2"/>
  <c r="O1781" i="2"/>
  <c r="O1773" i="2"/>
  <c r="O1757" i="2"/>
  <c r="O1749" i="2"/>
  <c r="O1725" i="2"/>
  <c r="O1717" i="2"/>
  <c r="O1709" i="2"/>
  <c r="O1701" i="2"/>
  <c r="O1693" i="2"/>
  <c r="O1685" i="2"/>
  <c r="O1677" i="2"/>
  <c r="O1669" i="2"/>
  <c r="O1653" i="2"/>
  <c r="O1645" i="2"/>
  <c r="O1629" i="2"/>
  <c r="O1621" i="2"/>
  <c r="O1613" i="2"/>
  <c r="O1597" i="2"/>
  <c r="O1581" i="2"/>
  <c r="O1565" i="2"/>
  <c r="O1557" i="2"/>
  <c r="O1530" i="2"/>
  <c r="O1489" i="2"/>
  <c r="O1466" i="2"/>
  <c r="O1443" i="2"/>
  <c r="O1425" i="2"/>
  <c r="O1402" i="2"/>
  <c r="O1361" i="2"/>
  <c r="O1338" i="2"/>
  <c r="O1297" i="2"/>
  <c r="O1274" i="2"/>
  <c r="O1251" i="2"/>
  <c r="O1233" i="2"/>
  <c r="O1210" i="2"/>
  <c r="O1169" i="2"/>
  <c r="O1146" i="2"/>
  <c r="O1115" i="2"/>
  <c r="O1083" i="2"/>
  <c r="O1051" i="2"/>
  <c r="O977" i="2"/>
  <c r="O2348" i="2"/>
  <c r="O2332" i="2"/>
  <c r="O2324" i="2"/>
  <c r="O2316" i="2"/>
  <c r="O2308" i="2"/>
  <c r="O2292" i="2"/>
  <c r="O2284" i="2"/>
  <c r="O2276" i="2"/>
  <c r="O2268" i="2"/>
  <c r="O2260" i="2"/>
  <c r="O2252" i="2"/>
  <c r="O2244" i="2"/>
  <c r="O2236" i="2"/>
  <c r="O2228" i="2"/>
  <c r="O2220" i="2"/>
  <c r="O2204" i="2"/>
  <c r="O2196" i="2"/>
  <c r="O2180" i="2"/>
  <c r="O2172" i="2"/>
  <c r="O2164" i="2"/>
  <c r="O2156" i="2"/>
  <c r="O2148" i="2"/>
  <c r="O2132" i="2"/>
  <c r="O2124" i="2"/>
  <c r="O2116" i="2"/>
  <c r="O2108" i="2"/>
  <c r="O2100" i="2"/>
  <c r="O2092" i="2"/>
  <c r="O2076" i="2"/>
  <c r="O2068" i="2"/>
  <c r="O2060" i="2"/>
  <c r="O2052" i="2"/>
  <c r="O2044" i="2"/>
  <c r="O2036" i="2"/>
  <c r="O2028" i="2"/>
  <c r="O2020" i="2"/>
  <c r="O2012" i="2"/>
  <c r="O1988" i="2"/>
  <c r="O1980" i="2"/>
  <c r="O1972" i="2"/>
  <c r="O1964" i="2"/>
  <c r="O1956" i="2"/>
  <c r="O1940" i="2"/>
  <c r="O1932" i="2"/>
  <c r="O1908" i="2"/>
  <c r="O1900" i="2"/>
  <c r="O1892" i="2"/>
  <c r="O1884" i="2"/>
  <c r="O1876" i="2"/>
  <c r="O1860" i="2"/>
  <c r="O1844" i="2"/>
  <c r="O1828" i="2"/>
  <c r="O1820" i="2"/>
  <c r="O1804" i="2"/>
  <c r="O1796" i="2"/>
  <c r="O1788" i="2"/>
  <c r="O1772" i="2"/>
  <c r="O1756" i="2"/>
  <c r="O1748" i="2"/>
  <c r="O1724" i="2"/>
  <c r="O1716" i="2"/>
  <c r="O1700" i="2"/>
  <c r="O1660" i="2"/>
  <c r="O1628" i="2"/>
  <c r="O1612" i="2"/>
  <c r="O1588" i="2"/>
  <c r="O1572" i="2"/>
  <c r="O1564" i="2"/>
  <c r="O1546" i="2"/>
  <c r="O1529" i="2"/>
  <c r="O1506" i="2"/>
  <c r="O1483" i="2"/>
  <c r="O1465" i="2"/>
  <c r="O1442" i="2"/>
  <c r="O1419" i="2"/>
  <c r="O1401" i="2"/>
  <c r="O1378" i="2"/>
  <c r="O1355" i="2"/>
  <c r="O1337" i="2"/>
  <c r="O1314" i="2"/>
  <c r="O1291" i="2"/>
  <c r="O1273" i="2"/>
  <c r="O1250" i="2"/>
  <c r="O1227" i="2"/>
  <c r="O1209" i="2"/>
  <c r="O1186" i="2"/>
  <c r="O1163" i="2"/>
  <c r="O1145" i="2"/>
  <c r="O1114" i="2"/>
  <c r="O1082" i="2"/>
  <c r="O1050" i="2"/>
  <c r="O875" i="2"/>
  <c r="O580" i="2"/>
  <c r="O338" i="2"/>
  <c r="O2355" i="2"/>
  <c r="O2347" i="2"/>
  <c r="O2339" i="2"/>
  <c r="O2323" i="2"/>
  <c r="O2315" i="2"/>
  <c r="O2307" i="2"/>
  <c r="O2299" i="2"/>
  <c r="O2291" i="2"/>
  <c r="O2283" i="2"/>
  <c r="O2275" i="2"/>
  <c r="O2267" i="2"/>
  <c r="O2259" i="2"/>
  <c r="O2251" i="2"/>
  <c r="O2243" i="2"/>
  <c r="O2235" i="2"/>
  <c r="O2219" i="2"/>
  <c r="O2195" i="2"/>
  <c r="O2187" i="2"/>
  <c r="O2179" i="2"/>
  <c r="O2171" i="2"/>
  <c r="O2163" i="2"/>
  <c r="O2155" i="2"/>
  <c r="O2147" i="2"/>
  <c r="O2139" i="2"/>
  <c r="O2131" i="2"/>
  <c r="O2123" i="2"/>
  <c r="O2115" i="2"/>
  <c r="O2099" i="2"/>
  <c r="O2083" i="2"/>
  <c r="O2067" i="2"/>
  <c r="O2059" i="2"/>
  <c r="O2051" i="2"/>
  <c r="O2043" i="2"/>
  <c r="O2035" i="2"/>
  <c r="O2027" i="2"/>
  <c r="O2019" i="2"/>
  <c r="O2011" i="2"/>
  <c r="O2003" i="2"/>
  <c r="O1995" i="2"/>
  <c r="O1979" i="2"/>
  <c r="O1971" i="2"/>
  <c r="O1963" i="2"/>
  <c r="O1955" i="2"/>
  <c r="O1947" i="2"/>
  <c r="O1939" i="2"/>
  <c r="O1931" i="2"/>
  <c r="O1915" i="2"/>
  <c r="O1907" i="2"/>
  <c r="O1899" i="2"/>
  <c r="O1891" i="2"/>
  <c r="O1883" i="2"/>
  <c r="O1859" i="2"/>
  <c r="O1843" i="2"/>
  <c r="O1835" i="2"/>
  <c r="O1819" i="2"/>
  <c r="O1811" i="2"/>
  <c r="O1795" i="2"/>
  <c r="O1779" i="2"/>
  <c r="O1771" i="2"/>
  <c r="O1747" i="2"/>
  <c r="O1739" i="2"/>
  <c r="O1723" i="2"/>
  <c r="O1715" i="2"/>
  <c r="O1707" i="2"/>
  <c r="O1699" i="2"/>
  <c r="O1675" i="2"/>
  <c r="O1667" i="2"/>
  <c r="O1659" i="2"/>
  <c r="O1651" i="2"/>
  <c r="O1643" i="2"/>
  <c r="O1627" i="2"/>
  <c r="O1619" i="2"/>
  <c r="O1611" i="2"/>
  <c r="O1603" i="2"/>
  <c r="O1595" i="2"/>
  <c r="O1579" i="2"/>
  <c r="O1545" i="2"/>
  <c r="O1505" i="2"/>
  <c r="O1482" i="2"/>
  <c r="O1459" i="2"/>
  <c r="O1441" i="2"/>
  <c r="O1418" i="2"/>
  <c r="O1377" i="2"/>
  <c r="O1354" i="2"/>
  <c r="O1313" i="2"/>
  <c r="O1290" i="2"/>
  <c r="O1249" i="2"/>
  <c r="O1226" i="2"/>
  <c r="O1203" i="2"/>
  <c r="O1185" i="2"/>
  <c r="O1162" i="2"/>
  <c r="O1139" i="2"/>
  <c r="O1107" i="2"/>
  <c r="O1041" i="2"/>
  <c r="O844" i="2"/>
  <c r="O531" i="2"/>
  <c r="O2362" i="2"/>
  <c r="O2354" i="2"/>
  <c r="O2346" i="2"/>
  <c r="O2338" i="2"/>
  <c r="O2330" i="2"/>
  <c r="O2322" i="2"/>
  <c r="O2314" i="2"/>
  <c r="O2306" i="2"/>
  <c r="O2298" i="2"/>
  <c r="O2290" i="2"/>
  <c r="O2282" i="2"/>
  <c r="O2274" i="2"/>
  <c r="O2266" i="2"/>
  <c r="O2258" i="2"/>
  <c r="O2250" i="2"/>
  <c r="O2242" i="2"/>
  <c r="O2234" i="2"/>
  <c r="O2226" i="2"/>
  <c r="O2218" i="2"/>
  <c r="O2210" i="2"/>
  <c r="O2202" i="2"/>
  <c r="O2194" i="2"/>
  <c r="O2186" i="2"/>
  <c r="O2178" i="2"/>
  <c r="O2170" i="2"/>
  <c r="O2162" i="2"/>
  <c r="O2154" i="2"/>
  <c r="O2146" i="2"/>
  <c r="O2138" i="2"/>
  <c r="O2130" i="2"/>
  <c r="O2122" i="2"/>
  <c r="O2114" i="2"/>
  <c r="O2106" i="2"/>
  <c r="O2098" i="2"/>
  <c r="O2090" i="2"/>
  <c r="O2082" i="2"/>
  <c r="O2074" i="2"/>
  <c r="O2066" i="2"/>
  <c r="O2058" i="2"/>
  <c r="O2050" i="2"/>
  <c r="O2042" i="2"/>
  <c r="O2034" i="2"/>
  <c r="O2026" i="2"/>
  <c r="O2018" i="2"/>
  <c r="O2010" i="2"/>
  <c r="O2002" i="2"/>
  <c r="O1994" i="2"/>
  <c r="O1986" i="2"/>
  <c r="O1978" i="2"/>
  <c r="O1970" i="2"/>
  <c r="O1962" i="2"/>
  <c r="O1954" i="2"/>
  <c r="O1946" i="2"/>
  <c r="O1938" i="2"/>
  <c r="O1930" i="2"/>
  <c r="O1922" i="2"/>
  <c r="O1914" i="2"/>
  <c r="O1906" i="2"/>
  <c r="O1898" i="2"/>
  <c r="O1890" i="2"/>
  <c r="O1882" i="2"/>
  <c r="O1874" i="2"/>
  <c r="O1866" i="2"/>
  <c r="O1858" i="2"/>
  <c r="O1850" i="2"/>
  <c r="O1842" i="2"/>
  <c r="O1834" i="2"/>
  <c r="O1826" i="2"/>
  <c r="O1818" i="2"/>
  <c r="O1810" i="2"/>
  <c r="O1802" i="2"/>
  <c r="O1794" i="2"/>
  <c r="O1786" i="2"/>
  <c r="O1778" i="2"/>
  <c r="O1770" i="2"/>
  <c r="O1762" i="2"/>
  <c r="O1754" i="2"/>
  <c r="O1746" i="2"/>
  <c r="O1738" i="2"/>
  <c r="O1730" i="2"/>
  <c r="O1722" i="2"/>
  <c r="O1714" i="2"/>
  <c r="O1706" i="2"/>
  <c r="O1698" i="2"/>
  <c r="O1690" i="2"/>
  <c r="O1682" i="2"/>
  <c r="O1674" i="2"/>
  <c r="O1666" i="2"/>
  <c r="O1658" i="2"/>
  <c r="O1650" i="2"/>
  <c r="O1642" i="2"/>
  <c r="O1634" i="2"/>
  <c r="O1626" i="2"/>
  <c r="O1618" i="2"/>
  <c r="O1610" i="2"/>
  <c r="O1602" i="2"/>
  <c r="O1594" i="2"/>
  <c r="O1586" i="2"/>
  <c r="O1578" i="2"/>
  <c r="O1570" i="2"/>
  <c r="O1562" i="2"/>
  <c r="O1554" i="2"/>
  <c r="O1544" i="2"/>
  <c r="O1522" i="2"/>
  <c r="O1481" i="2"/>
  <c r="O1458" i="2"/>
  <c r="O1417" i="2"/>
  <c r="O1394" i="2"/>
  <c r="O1371" i="2"/>
  <c r="O1353" i="2"/>
  <c r="O1330" i="2"/>
  <c r="O1266" i="2"/>
  <c r="O1243" i="2"/>
  <c r="O1225" i="2"/>
  <c r="O1202" i="2"/>
  <c r="O1179" i="2"/>
  <c r="O1161" i="2"/>
  <c r="O1138" i="2"/>
  <c r="O1106" i="2"/>
  <c r="O1074" i="2"/>
  <c r="O1036" i="2"/>
  <c r="O953" i="2"/>
  <c r="O843" i="2"/>
  <c r="O715" i="2"/>
  <c r="O530" i="2"/>
  <c r="O257" i="2"/>
  <c r="O2361" i="2"/>
  <c r="O2353" i="2"/>
  <c r="O2345" i="2"/>
  <c r="O2337" i="2"/>
  <c r="O2329" i="2"/>
  <c r="O2321" i="2"/>
  <c r="O2313" i="2"/>
  <c r="O2305" i="2"/>
  <c r="O2297" i="2"/>
  <c r="O2289" i="2"/>
  <c r="O2281" i="2"/>
  <c r="O2273" i="2"/>
  <c r="O2265" i="2"/>
  <c r="O2257" i="2"/>
  <c r="O2249" i="2"/>
  <c r="O2241" i="2"/>
  <c r="O2233" i="2"/>
  <c r="O2225" i="2"/>
  <c r="O2217" i="2"/>
  <c r="O2209" i="2"/>
  <c r="O2201" i="2"/>
  <c r="O2193" i="2"/>
  <c r="O2185" i="2"/>
  <c r="O2177" i="2"/>
  <c r="O2169" i="2"/>
  <c r="O2161" i="2"/>
  <c r="O2153" i="2"/>
  <c r="O2145" i="2"/>
  <c r="O2137" i="2"/>
  <c r="O2129" i="2"/>
  <c r="O2121" i="2"/>
  <c r="O2113" i="2"/>
  <c r="O2105" i="2"/>
  <c r="O2097" i="2"/>
  <c r="O2089" i="2"/>
  <c r="O2081" i="2"/>
  <c r="O2073" i="2"/>
  <c r="O2065" i="2"/>
  <c r="O2057" i="2"/>
  <c r="O2049" i="2"/>
  <c r="O2041" i="2"/>
  <c r="O2033" i="2"/>
  <c r="O2025" i="2"/>
  <c r="O2017" i="2"/>
  <c r="O2009" i="2"/>
  <c r="O2001" i="2"/>
  <c r="O1993" i="2"/>
  <c r="O1985" i="2"/>
  <c r="O1977" i="2"/>
  <c r="O1969" i="2"/>
  <c r="O1961" i="2"/>
  <c r="O1953" i="2"/>
  <c r="O1945" i="2"/>
  <c r="O1937" i="2"/>
  <c r="O1929" i="2"/>
  <c r="O1921" i="2"/>
  <c r="O1913" i="2"/>
  <c r="O1905" i="2"/>
  <c r="O1897" i="2"/>
  <c r="O1889" i="2"/>
  <c r="O1881" i="2"/>
  <c r="O1873" i="2"/>
  <c r="O1865" i="2"/>
  <c r="O1857" i="2"/>
  <c r="O1849" i="2"/>
  <c r="O1841" i="2"/>
  <c r="O1833" i="2"/>
  <c r="O1825" i="2"/>
  <c r="O1817" i="2"/>
  <c r="O1809" i="2"/>
  <c r="O1801" i="2"/>
  <c r="O1793" i="2"/>
  <c r="O1785" i="2"/>
  <c r="O1777" i="2"/>
  <c r="O1769" i="2"/>
  <c r="O1761" i="2"/>
  <c r="O1753" i="2"/>
  <c r="O1745" i="2"/>
  <c r="O1737" i="2"/>
  <c r="O1729" i="2"/>
  <c r="O1721" i="2"/>
  <c r="O1713" i="2"/>
  <c r="O1705" i="2"/>
  <c r="O1697" i="2"/>
  <c r="O1689" i="2"/>
  <c r="O1681" i="2"/>
  <c r="O1673" i="2"/>
  <c r="O1665" i="2"/>
  <c r="O1657" i="2"/>
  <c r="O1649" i="2"/>
  <c r="O1641" i="2"/>
  <c r="O1633" i="2"/>
  <c r="O1625" i="2"/>
  <c r="O1617" i="2"/>
  <c r="O1609" i="2"/>
  <c r="O1601" i="2"/>
  <c r="O1593" i="2"/>
  <c r="O1585" i="2"/>
  <c r="O1577" i="2"/>
  <c r="O1569" i="2"/>
  <c r="O1561" i="2"/>
  <c r="O1553" i="2"/>
  <c r="O1539" i="2"/>
  <c r="O1521" i="2"/>
  <c r="O1498" i="2"/>
  <c r="O1457" i="2"/>
  <c r="O1434" i="2"/>
  <c r="O1393" i="2"/>
  <c r="O1370" i="2"/>
  <c r="O1329" i="2"/>
  <c r="O1306" i="2"/>
  <c r="O1265" i="2"/>
  <c r="O1242" i="2"/>
  <c r="O1219" i="2"/>
  <c r="O1178" i="2"/>
  <c r="O1099" i="2"/>
  <c r="O812" i="2"/>
  <c r="O684" i="2"/>
  <c r="O481" i="2"/>
  <c r="O2360" i="2"/>
  <c r="O2352" i="2"/>
  <c r="O2344" i="2"/>
  <c r="O2336" i="2"/>
  <c r="O2328" i="2"/>
  <c r="O2320" i="2"/>
  <c r="O2312" i="2"/>
  <c r="O2304" i="2"/>
  <c r="O2296" i="2"/>
  <c r="O2288" i="2"/>
  <c r="O2280" i="2"/>
  <c r="O2272" i="2"/>
  <c r="O2264" i="2"/>
  <c r="O2256" i="2"/>
  <c r="O2248" i="2"/>
  <c r="O2240" i="2"/>
  <c r="O2232" i="2"/>
  <c r="O2224" i="2"/>
  <c r="O2216" i="2"/>
  <c r="O2208" i="2"/>
  <c r="O2200" i="2"/>
  <c r="O2192" i="2"/>
  <c r="O2184" i="2"/>
  <c r="O2168" i="2"/>
  <c r="O2160" i="2"/>
  <c r="O2152" i="2"/>
  <c r="O2144" i="2"/>
  <c r="O2136" i="2"/>
  <c r="O2128" i="2"/>
  <c r="O2112" i="2"/>
  <c r="O2104" i="2"/>
  <c r="O2096" i="2"/>
  <c r="O2088" i="2"/>
  <c r="O2080" i="2"/>
  <c r="O2072" i="2"/>
  <c r="O2048" i="2"/>
  <c r="O2040" i="2"/>
  <c r="O2024" i="2"/>
  <c r="O2016" i="2"/>
  <c r="O2008" i="2"/>
  <c r="O2000" i="2"/>
  <c r="O1984" i="2"/>
  <c r="O1976" i="2"/>
  <c r="O1968" i="2"/>
  <c r="O1960" i="2"/>
  <c r="O1936" i="2"/>
  <c r="O1928" i="2"/>
  <c r="O1920" i="2"/>
  <c r="O1912" i="2"/>
  <c r="O1904" i="2"/>
  <c r="O1896" i="2"/>
  <c r="O1888" i="2"/>
  <c r="O1880" i="2"/>
  <c r="O1864" i="2"/>
  <c r="O1856" i="2"/>
  <c r="O1848" i="2"/>
  <c r="O1840" i="2"/>
  <c r="O1824" i="2"/>
  <c r="O1800" i="2"/>
  <c r="O1792" i="2"/>
  <c r="O1784" i="2"/>
  <c r="O1776" i="2"/>
  <c r="O1768" i="2"/>
  <c r="O1744" i="2"/>
  <c r="O1736" i="2"/>
  <c r="O1720" i="2"/>
  <c r="O1704" i="2"/>
  <c r="O1696" i="2"/>
  <c r="O1688" i="2"/>
  <c r="O1680" i="2"/>
  <c r="O1656" i="2"/>
  <c r="O1640" i="2"/>
  <c r="O1632" i="2"/>
  <c r="O1624" i="2"/>
  <c r="O1616" i="2"/>
  <c r="O1600" i="2"/>
  <c r="O1568" i="2"/>
  <c r="O1560" i="2"/>
  <c r="O1552" i="2"/>
  <c r="O1538" i="2"/>
  <c r="O1497" i="2"/>
  <c r="O1474" i="2"/>
  <c r="O1433" i="2"/>
  <c r="O1410" i="2"/>
  <c r="O1369" i="2"/>
  <c r="O1346" i="2"/>
  <c r="O1305" i="2"/>
  <c r="O1282" i="2"/>
  <c r="O1259" i="2"/>
  <c r="O1241" i="2"/>
  <c r="O1218" i="2"/>
  <c r="O1177" i="2"/>
  <c r="O1154" i="2"/>
  <c r="O1130" i="2"/>
  <c r="O1098" i="2"/>
  <c r="O1066" i="2"/>
  <c r="O1017" i="2"/>
  <c r="O683" i="2"/>
  <c r="O478" i="2"/>
  <c r="O169" i="2"/>
  <c r="O2359" i="2"/>
  <c r="O2351" i="2"/>
  <c r="O2343" i="2"/>
  <c r="O2335" i="2"/>
  <c r="O2327" i="2"/>
  <c r="O2319" i="2"/>
  <c r="O2311" i="2"/>
  <c r="O2303" i="2"/>
  <c r="O2295" i="2"/>
  <c r="O2287" i="2"/>
  <c r="O2279" i="2"/>
  <c r="O2271" i="2"/>
  <c r="O2263" i="2"/>
  <c r="O2255" i="2"/>
  <c r="O2239" i="2"/>
  <c r="O2231" i="2"/>
  <c r="O2223" i="2"/>
  <c r="O2215" i="2"/>
  <c r="O2207" i="2"/>
  <c r="O2199" i="2"/>
  <c r="O2191" i="2"/>
  <c r="O2183" i="2"/>
  <c r="O2175" i="2"/>
  <c r="O2167" i="2"/>
  <c r="O2159" i="2"/>
  <c r="O2151" i="2"/>
  <c r="O2143" i="2"/>
  <c r="O2135" i="2"/>
  <c r="O2127" i="2"/>
  <c r="O2119" i="2"/>
  <c r="O2111" i="2"/>
  <c r="O2103" i="2"/>
  <c r="O2095" i="2"/>
  <c r="O2087" i="2"/>
  <c r="O2079" i="2"/>
  <c r="O2071" i="2"/>
  <c r="O2063" i="2"/>
  <c r="O2055" i="2"/>
  <c r="O2047" i="2"/>
  <c r="O2039" i="2"/>
  <c r="O2031" i="2"/>
  <c r="O2023" i="2"/>
  <c r="O2015" i="2"/>
  <c r="O2007" i="2"/>
  <c r="O1999" i="2"/>
  <c r="O1991" i="2"/>
  <c r="O1983" i="2"/>
  <c r="O1975" i="2"/>
  <c r="O1967" i="2"/>
  <c r="O1959" i="2"/>
  <c r="O1951" i="2"/>
  <c r="O1943" i="2"/>
  <c r="O1935" i="2"/>
  <c r="O1919" i="2"/>
  <c r="O1911" i="2"/>
  <c r="O1895" i="2"/>
  <c r="O1887" i="2"/>
  <c r="O1871" i="2"/>
  <c r="O1863" i="2"/>
  <c r="O1855" i="2"/>
  <c r="O1847" i="2"/>
  <c r="O1839" i="2"/>
  <c r="O1831" i="2"/>
  <c r="O1823" i="2"/>
  <c r="O1815" i="2"/>
  <c r="O1799" i="2"/>
  <c r="O1791" i="2"/>
  <c r="O1783" i="2"/>
  <c r="O1775" i="2"/>
  <c r="O1767" i="2"/>
  <c r="O1759" i="2"/>
  <c r="O1751" i="2"/>
  <c r="O1743" i="2"/>
  <c r="O1735" i="2"/>
  <c r="O1727" i="2"/>
  <c r="O1719" i="2"/>
  <c r="O1711" i="2"/>
  <c r="O1703" i="2"/>
  <c r="O1687" i="2"/>
  <c r="O1679" i="2"/>
  <c r="O1671" i="2"/>
  <c r="O1663" i="2"/>
  <c r="O1655" i="2"/>
  <c r="O1639" i="2"/>
  <c r="O1631" i="2"/>
  <c r="O1623" i="2"/>
  <c r="O1615" i="2"/>
  <c r="O1607" i="2"/>
  <c r="O1599" i="2"/>
  <c r="O1591" i="2"/>
  <c r="O1583" i="2"/>
  <c r="O1575" i="2"/>
  <c r="O1567" i="2"/>
  <c r="O1559" i="2"/>
  <c r="O1551" i="2"/>
  <c r="O1537" i="2"/>
  <c r="O1514" i="2"/>
  <c r="O1491" i="2"/>
  <c r="O1473" i="2"/>
  <c r="O1450" i="2"/>
  <c r="O1409" i="2"/>
  <c r="O1386" i="2"/>
  <c r="O1345" i="2"/>
  <c r="O1322" i="2"/>
  <c r="O1281" i="2"/>
  <c r="O1258" i="2"/>
  <c r="O1217" i="2"/>
  <c r="O1194" i="2"/>
  <c r="O1153" i="2"/>
  <c r="O1059" i="2"/>
  <c r="O908" i="2"/>
  <c r="O780" i="2"/>
  <c r="O634" i="2"/>
  <c r="O426" i="2"/>
  <c r="O86" i="2"/>
  <c r="O2358" i="2"/>
  <c r="O2350" i="2"/>
  <c r="O2334" i="2"/>
  <c r="O2326" i="2"/>
  <c r="O2318" i="2"/>
  <c r="O2302" i="2"/>
  <c r="O2294" i="2"/>
  <c r="O2278" i="2"/>
  <c r="O2262" i="2"/>
  <c r="O2254" i="2"/>
  <c r="O2246" i="2"/>
  <c r="O2238" i="2"/>
  <c r="O2230" i="2"/>
  <c r="O2222" i="2"/>
  <c r="O2214" i="2"/>
  <c r="O2206" i="2"/>
  <c r="O2174" i="2"/>
  <c r="O2166" i="2"/>
  <c r="O2134" i="2"/>
  <c r="O2110" i="2"/>
  <c r="O2094" i="2"/>
  <c r="O2086" i="2"/>
  <c r="O2078" i="2"/>
  <c r="O2070" i="2"/>
  <c r="O2022" i="2"/>
  <c r="O2014" i="2"/>
  <c r="O1998" i="2"/>
  <c r="O1982" i="2"/>
  <c r="O1974" i="2"/>
  <c r="O1966" i="2"/>
  <c r="O1942" i="2"/>
  <c r="O1910" i="2"/>
  <c r="O1902" i="2"/>
  <c r="O1886" i="2"/>
  <c r="O1878" i="2"/>
  <c r="O1862" i="2"/>
  <c r="O1838" i="2"/>
  <c r="O1790" i="2"/>
  <c r="O1766" i="2"/>
  <c r="O1726" i="2"/>
  <c r="O1622" i="2"/>
  <c r="O1614" i="2"/>
  <c r="O1606" i="2"/>
  <c r="O1598" i="2"/>
  <c r="O1566" i="2"/>
  <c r="O1513" i="2"/>
  <c r="O1490" i="2"/>
  <c r="O1449" i="2"/>
  <c r="O1426" i="2"/>
  <c r="O1403" i="2"/>
  <c r="O1385" i="2"/>
  <c r="O1362" i="2"/>
  <c r="O1339" i="2"/>
  <c r="O1321" i="2"/>
  <c r="O1298" i="2"/>
  <c r="O1257" i="2"/>
  <c r="O1234" i="2"/>
  <c r="O1193" i="2"/>
  <c r="O1170" i="2"/>
  <c r="O1147" i="2"/>
  <c r="O1122" i="2"/>
  <c r="O1090" i="2"/>
  <c r="O1058" i="2"/>
  <c r="O907" i="2"/>
  <c r="O633" i="2"/>
  <c r="O425" i="2"/>
  <c r="O1137" i="2"/>
  <c r="O1129" i="2"/>
  <c r="O1121" i="2"/>
  <c r="O1113" i="2"/>
  <c r="O1105" i="2"/>
  <c r="O1097" i="2"/>
  <c r="O1089" i="2"/>
  <c r="O1081" i="2"/>
  <c r="O1073" i="2"/>
  <c r="O1065" i="2"/>
  <c r="O1057" i="2"/>
  <c r="O1049" i="2"/>
  <c r="O1035" i="2"/>
  <c r="O993" i="2"/>
  <c r="O929" i="2"/>
  <c r="O868" i="2"/>
  <c r="O740" i="2"/>
  <c r="O708" i="2"/>
  <c r="O673" i="2"/>
  <c r="O620" i="2"/>
  <c r="O570" i="2"/>
  <c r="O321" i="2"/>
  <c r="O234" i="2"/>
  <c r="O150" i="2"/>
  <c r="O1536" i="2"/>
  <c r="O1528" i="2"/>
  <c r="O1520" i="2"/>
  <c r="O1512" i="2"/>
  <c r="O1504" i="2"/>
  <c r="O1496" i="2"/>
  <c r="O1488" i="2"/>
  <c r="O1456" i="2"/>
  <c r="O1448" i="2"/>
  <c r="O1440" i="2"/>
  <c r="O1432" i="2"/>
  <c r="O1424" i="2"/>
  <c r="O1408" i="2"/>
  <c r="O1392" i="2"/>
  <c r="O1368" i="2"/>
  <c r="O1360" i="2"/>
  <c r="O1352" i="2"/>
  <c r="O1336" i="2"/>
  <c r="O1328" i="2"/>
  <c r="O1304" i="2"/>
  <c r="O1288" i="2"/>
  <c r="O1264" i="2"/>
  <c r="O1256" i="2"/>
  <c r="O1232" i="2"/>
  <c r="O1224" i="2"/>
  <c r="O1208" i="2"/>
  <c r="O1200" i="2"/>
  <c r="O1192" i="2"/>
  <c r="O1168" i="2"/>
  <c r="O1160" i="2"/>
  <c r="O1144" i="2"/>
  <c r="O1136" i="2"/>
  <c r="O1128" i="2"/>
  <c r="O1112" i="2"/>
  <c r="O1104" i="2"/>
  <c r="O1096" i="2"/>
  <c r="O1088" i="2"/>
  <c r="O1080" i="2"/>
  <c r="O1047" i="2"/>
  <c r="O1033" i="2"/>
  <c r="O969" i="2"/>
  <c r="O867" i="2"/>
  <c r="O771" i="2"/>
  <c r="O670" i="2"/>
  <c r="O569" i="2"/>
  <c r="O516" i="2"/>
  <c r="O466" i="2"/>
  <c r="O402" i="2"/>
  <c r="O146" i="2"/>
  <c r="O62" i="2"/>
  <c r="O1543" i="2"/>
  <c r="O1535" i="2"/>
  <c r="O1527" i="2"/>
  <c r="O1519" i="2"/>
  <c r="O1511" i="2"/>
  <c r="O1503" i="2"/>
  <c r="O1495" i="2"/>
  <c r="O1487" i="2"/>
  <c r="O1479" i="2"/>
  <c r="O1471" i="2"/>
  <c r="O1463" i="2"/>
  <c r="O1447" i="2"/>
  <c r="O1439" i="2"/>
  <c r="O1415" i="2"/>
  <c r="O1399" i="2"/>
  <c r="O1391" i="2"/>
  <c r="O1383" i="2"/>
  <c r="O1375" i="2"/>
  <c r="O1367" i="2"/>
  <c r="O1351" i="2"/>
  <c r="O1343" i="2"/>
  <c r="O1335" i="2"/>
  <c r="O1327" i="2"/>
  <c r="O1319" i="2"/>
  <c r="O1311" i="2"/>
  <c r="O1303" i="2"/>
  <c r="O1295" i="2"/>
  <c r="O1287" i="2"/>
  <c r="O1279" i="2"/>
  <c r="O1263" i="2"/>
  <c r="O1255" i="2"/>
  <c r="O1247" i="2"/>
  <c r="O1239" i="2"/>
  <c r="O1231" i="2"/>
  <c r="O1215" i="2"/>
  <c r="O1207" i="2"/>
  <c r="O1199" i="2"/>
  <c r="O1183" i="2"/>
  <c r="O1175" i="2"/>
  <c r="O1167" i="2"/>
  <c r="O1159" i="2"/>
  <c r="O1151" i="2"/>
  <c r="O1143" i="2"/>
  <c r="O1135" i="2"/>
  <c r="O1119" i="2"/>
  <c r="O1111" i="2"/>
  <c r="O1103" i="2"/>
  <c r="O1087" i="2"/>
  <c r="O1079" i="2"/>
  <c r="O1071" i="2"/>
  <c r="O1063" i="2"/>
  <c r="O1055" i="2"/>
  <c r="O1028" i="2"/>
  <c r="O1009" i="2"/>
  <c r="O987" i="2"/>
  <c r="O964" i="2"/>
  <c r="O945" i="2"/>
  <c r="O923" i="2"/>
  <c r="O860" i="2"/>
  <c r="O828" i="2"/>
  <c r="O796" i="2"/>
  <c r="O609" i="2"/>
  <c r="O506" i="2"/>
  <c r="O385" i="2"/>
  <c r="O298" i="2"/>
  <c r="O42" i="2"/>
  <c r="O1542" i="2"/>
  <c r="O1470" i="2"/>
  <c r="O1462" i="2"/>
  <c r="O1398" i="2"/>
  <c r="O1390" i="2"/>
  <c r="O1366" i="2"/>
  <c r="O1334" i="2"/>
  <c r="O1318" i="2"/>
  <c r="O1302" i="2"/>
  <c r="O1254" i="2"/>
  <c r="O1222" i="2"/>
  <c r="O1166" i="2"/>
  <c r="O1126" i="2"/>
  <c r="O1110" i="2"/>
  <c r="O1062" i="2"/>
  <c r="O1045" i="2"/>
  <c r="O1027" i="2"/>
  <c r="O940" i="2"/>
  <c r="O921" i="2"/>
  <c r="O859" i="2"/>
  <c r="O795" i="2"/>
  <c r="O763" i="2"/>
  <c r="O731" i="2"/>
  <c r="O658" i="2"/>
  <c r="O555" i="2"/>
  <c r="O505" i="2"/>
  <c r="O297" i="2"/>
  <c r="O210" i="2"/>
  <c r="O126" i="2"/>
  <c r="O1541" i="2"/>
  <c r="O1533" i="2"/>
  <c r="O1525" i="2"/>
  <c r="O1517" i="2"/>
  <c r="O1501" i="2"/>
  <c r="O1493" i="2"/>
  <c r="O1469" i="2"/>
  <c r="O1461" i="2"/>
  <c r="O1453" i="2"/>
  <c r="O1421" i="2"/>
  <c r="O1413" i="2"/>
  <c r="O1397" i="2"/>
  <c r="O1389" i="2"/>
  <c r="O1381" i="2"/>
  <c r="O1357" i="2"/>
  <c r="O1333" i="2"/>
  <c r="O1325" i="2"/>
  <c r="O1309" i="2"/>
  <c r="O1293" i="2"/>
  <c r="O1285" i="2"/>
  <c r="O1269" i="2"/>
  <c r="O1261" i="2"/>
  <c r="O1253" i="2"/>
  <c r="O1245" i="2"/>
  <c r="O1229" i="2"/>
  <c r="O1221" i="2"/>
  <c r="O1213" i="2"/>
  <c r="O1189" i="2"/>
  <c r="O1165" i="2"/>
  <c r="O1141" i="2"/>
  <c r="O1109" i="2"/>
  <c r="O1101" i="2"/>
  <c r="O1085" i="2"/>
  <c r="O1077" i="2"/>
  <c r="O1061" i="2"/>
  <c r="O1053" i="2"/>
  <c r="O1044" i="2"/>
  <c r="O1025" i="2"/>
  <c r="O1003" i="2"/>
  <c r="O980" i="2"/>
  <c r="O961" i="2"/>
  <c r="O939" i="2"/>
  <c r="O916" i="2"/>
  <c r="O884" i="2"/>
  <c r="O788" i="2"/>
  <c r="O724" i="2"/>
  <c r="O692" i="2"/>
  <c r="O492" i="2"/>
  <c r="O442" i="2"/>
  <c r="O362" i="2"/>
  <c r="O1540" i="2"/>
  <c r="O1532" i="2"/>
  <c r="O1524" i="2"/>
  <c r="O1516" i="2"/>
  <c r="O1500" i="2"/>
  <c r="O1492" i="2"/>
  <c r="O1468" i="2"/>
  <c r="O1452" i="2"/>
  <c r="O1428" i="2"/>
  <c r="O1404" i="2"/>
  <c r="O1364" i="2"/>
  <c r="O1300" i="2"/>
  <c r="O1292" i="2"/>
  <c r="O1276" i="2"/>
  <c r="O1260" i="2"/>
  <c r="O1244" i="2"/>
  <c r="O1236" i="2"/>
  <c r="O1228" i="2"/>
  <c r="O1212" i="2"/>
  <c r="O1188" i="2"/>
  <c r="O1172" i="2"/>
  <c r="O1164" i="2"/>
  <c r="O1148" i="2"/>
  <c r="O1132" i="2"/>
  <c r="O1108" i="2"/>
  <c r="O1100" i="2"/>
  <c r="O1043" i="2"/>
  <c r="O1020" i="2"/>
  <c r="O1001" i="2"/>
  <c r="O979" i="2"/>
  <c r="O956" i="2"/>
  <c r="O937" i="2"/>
  <c r="O915" i="2"/>
  <c r="O883" i="2"/>
  <c r="O851" i="2"/>
  <c r="O787" i="2"/>
  <c r="O644" i="2"/>
  <c r="O594" i="2"/>
  <c r="O441" i="2"/>
  <c r="O361" i="2"/>
  <c r="O274" i="2"/>
  <c r="O105" i="2"/>
  <c r="O1042" i="2"/>
  <c r="O1034" i="2"/>
  <c r="O1026" i="2"/>
  <c r="O1018" i="2"/>
  <c r="O1010" i="2"/>
  <c r="O1002" i="2"/>
  <c r="O994" i="2"/>
  <c r="O986" i="2"/>
  <c r="O978" i="2"/>
  <c r="O970" i="2"/>
  <c r="O962" i="2"/>
  <c r="O954" i="2"/>
  <c r="O946" i="2"/>
  <c r="O938" i="2"/>
  <c r="O930" i="2"/>
  <c r="O922" i="2"/>
  <c r="O914" i="2"/>
  <c r="O906" i="2"/>
  <c r="O898" i="2"/>
  <c r="O890" i="2"/>
  <c r="O882" i="2"/>
  <c r="O874" i="2"/>
  <c r="O866" i="2"/>
  <c r="O858" i="2"/>
  <c r="O850" i="2"/>
  <c r="O842" i="2"/>
  <c r="O834" i="2"/>
  <c r="O826" i="2"/>
  <c r="O818" i="2"/>
  <c r="O810" i="2"/>
  <c r="O802" i="2"/>
  <c r="O794" i="2"/>
  <c r="O786" i="2"/>
  <c r="O778" i="2"/>
  <c r="O770" i="2"/>
  <c r="O762" i="2"/>
  <c r="O754" i="2"/>
  <c r="O746" i="2"/>
  <c r="O738" i="2"/>
  <c r="O730" i="2"/>
  <c r="O722" i="2"/>
  <c r="O714" i="2"/>
  <c r="O706" i="2"/>
  <c r="O698" i="2"/>
  <c r="O690" i="2"/>
  <c r="O682" i="2"/>
  <c r="O657" i="2"/>
  <c r="O618" i="2"/>
  <c r="O593" i="2"/>
  <c r="O554" i="2"/>
  <c r="O540" i="2"/>
  <c r="O529" i="2"/>
  <c r="O490" i="2"/>
  <c r="O465" i="2"/>
  <c r="O401" i="2"/>
  <c r="O378" i="2"/>
  <c r="O337" i="2"/>
  <c r="O314" i="2"/>
  <c r="O250" i="2"/>
  <c r="O186" i="2"/>
  <c r="O166" i="2"/>
  <c r="O145" i="2"/>
  <c r="O122" i="2"/>
  <c r="O102" i="2"/>
  <c r="O913" i="2"/>
  <c r="O905" i="2"/>
  <c r="O897" i="2"/>
  <c r="O881" i="2"/>
  <c r="O873" i="2"/>
  <c r="O865" i="2"/>
  <c r="O857" i="2"/>
  <c r="O849" i="2"/>
  <c r="O841" i="2"/>
  <c r="O833" i="2"/>
  <c r="O825" i="2"/>
  <c r="O817" i="2"/>
  <c r="O809" i="2"/>
  <c r="O801" i="2"/>
  <c r="O793" i="2"/>
  <c r="O785" i="2"/>
  <c r="O777" i="2"/>
  <c r="O769" i="2"/>
  <c r="O761" i="2"/>
  <c r="O753" i="2"/>
  <c r="O745" i="2"/>
  <c r="O737" i="2"/>
  <c r="O721" i="2"/>
  <c r="O713" i="2"/>
  <c r="O705" i="2"/>
  <c r="O697" i="2"/>
  <c r="O689" i="2"/>
  <c r="O681" i="2"/>
  <c r="O642" i="2"/>
  <c r="O617" i="2"/>
  <c r="O578" i="2"/>
  <c r="O564" i="2"/>
  <c r="O553" i="2"/>
  <c r="O539" i="2"/>
  <c r="O514" i="2"/>
  <c r="O500" i="2"/>
  <c r="O489" i="2"/>
  <c r="O475" i="2"/>
  <c r="O450" i="2"/>
  <c r="O436" i="2"/>
  <c r="O418" i="2"/>
  <c r="O377" i="2"/>
  <c r="O354" i="2"/>
  <c r="O313" i="2"/>
  <c r="O290" i="2"/>
  <c r="O249" i="2"/>
  <c r="O226" i="2"/>
  <c r="O121" i="2"/>
  <c r="O98" i="2"/>
  <c r="O78" i="2"/>
  <c r="O34" i="2"/>
  <c r="O1048" i="2"/>
  <c r="O1040" i="2"/>
  <c r="O1032" i="2"/>
  <c r="O1024" i="2"/>
  <c r="O992" i="2"/>
  <c r="O984" i="2"/>
  <c r="O976" i="2"/>
  <c r="O968" i="2"/>
  <c r="O960" i="2"/>
  <c r="O952" i="2"/>
  <c r="O944" i="2"/>
  <c r="O936" i="2"/>
  <c r="O912" i="2"/>
  <c r="O904" i="2"/>
  <c r="O896" i="2"/>
  <c r="O888" i="2"/>
  <c r="O880" i="2"/>
  <c r="O872" i="2"/>
  <c r="O864" i="2"/>
  <c r="O848" i="2"/>
  <c r="O840" i="2"/>
  <c r="O816" i="2"/>
  <c r="O808" i="2"/>
  <c r="O792" i="2"/>
  <c r="O776" i="2"/>
  <c r="O768" i="2"/>
  <c r="O752" i="2"/>
  <c r="O728" i="2"/>
  <c r="O720" i="2"/>
  <c r="O688" i="2"/>
  <c r="O666" i="2"/>
  <c r="O652" i="2"/>
  <c r="O641" i="2"/>
  <c r="O614" i="2"/>
  <c r="O602" i="2"/>
  <c r="O577" i="2"/>
  <c r="O538" i="2"/>
  <c r="O513" i="2"/>
  <c r="O474" i="2"/>
  <c r="O449" i="2"/>
  <c r="O417" i="2"/>
  <c r="O394" i="2"/>
  <c r="O353" i="2"/>
  <c r="O330" i="2"/>
  <c r="O289" i="2"/>
  <c r="O266" i="2"/>
  <c r="O225" i="2"/>
  <c r="O202" i="2"/>
  <c r="O118" i="2"/>
  <c r="O97" i="2"/>
  <c r="O1031" i="2"/>
  <c r="O1023" i="2"/>
  <c r="O1015" i="2"/>
  <c r="O991" i="2"/>
  <c r="O975" i="2"/>
  <c r="O967" i="2"/>
  <c r="O959" i="2"/>
  <c r="O951" i="2"/>
  <c r="O943" i="2"/>
  <c r="O927" i="2"/>
  <c r="O919" i="2"/>
  <c r="O911" i="2"/>
  <c r="O903" i="2"/>
  <c r="O895" i="2"/>
  <c r="O887" i="2"/>
  <c r="O879" i="2"/>
  <c r="O871" i="2"/>
  <c r="O847" i="2"/>
  <c r="O815" i="2"/>
  <c r="O807" i="2"/>
  <c r="O783" i="2"/>
  <c r="O751" i="2"/>
  <c r="O743" i="2"/>
  <c r="O735" i="2"/>
  <c r="O727" i="2"/>
  <c r="O703" i="2"/>
  <c r="O695" i="2"/>
  <c r="O676" i="2"/>
  <c r="O665" i="2"/>
  <c r="O626" i="2"/>
  <c r="O612" i="2"/>
  <c r="O601" i="2"/>
  <c r="O562" i="2"/>
  <c r="O548" i="2"/>
  <c r="O537" i="2"/>
  <c r="O498" i="2"/>
  <c r="O484" i="2"/>
  <c r="O473" i="2"/>
  <c r="O459" i="2"/>
  <c r="O434" i="2"/>
  <c r="O393" i="2"/>
  <c r="O370" i="2"/>
  <c r="O329" i="2"/>
  <c r="O306" i="2"/>
  <c r="O265" i="2"/>
  <c r="O242" i="2"/>
  <c r="O178" i="2"/>
  <c r="O158" i="2"/>
  <c r="O137" i="2"/>
  <c r="O94" i="2"/>
  <c r="O73" i="2"/>
  <c r="O50" i="2"/>
  <c r="O1006" i="2"/>
  <c r="O990" i="2"/>
  <c r="O950" i="2"/>
  <c r="O942" i="2"/>
  <c r="O878" i="2"/>
  <c r="O798" i="2"/>
  <c r="O774" i="2"/>
  <c r="O766" i="2"/>
  <c r="O702" i="2"/>
  <c r="O650" i="2"/>
  <c r="O625" i="2"/>
  <c r="O611" i="2"/>
  <c r="O586" i="2"/>
  <c r="O572" i="2"/>
  <c r="O561" i="2"/>
  <c r="O522" i="2"/>
  <c r="O508" i="2"/>
  <c r="O497" i="2"/>
  <c r="O483" i="2"/>
  <c r="O458" i="2"/>
  <c r="O444" i="2"/>
  <c r="O433" i="2"/>
  <c r="O410" i="2"/>
  <c r="O369" i="2"/>
  <c r="O346" i="2"/>
  <c r="O305" i="2"/>
  <c r="O282" i="2"/>
  <c r="O241" i="2"/>
  <c r="O218" i="2"/>
  <c r="O113" i="2"/>
  <c r="O90" i="2"/>
  <c r="O70" i="2"/>
  <c r="O49" i="2"/>
  <c r="O26" i="2"/>
  <c r="O1037" i="2"/>
  <c r="O1013" i="2"/>
  <c r="O989" i="2"/>
  <c r="O981" i="2"/>
  <c r="O973" i="2"/>
  <c r="O965" i="2"/>
  <c r="O957" i="2"/>
  <c r="O933" i="2"/>
  <c r="O917" i="2"/>
  <c r="O909" i="2"/>
  <c r="O901" i="2"/>
  <c r="O893" i="2"/>
  <c r="O885" i="2"/>
  <c r="O869" i="2"/>
  <c r="O861" i="2"/>
  <c r="O853" i="2"/>
  <c r="O845" i="2"/>
  <c r="O829" i="2"/>
  <c r="O813" i="2"/>
  <c r="O797" i="2"/>
  <c r="O789" i="2"/>
  <c r="O765" i="2"/>
  <c r="O749" i="2"/>
  <c r="O733" i="2"/>
  <c r="O709" i="2"/>
  <c r="O701" i="2"/>
  <c r="O693" i="2"/>
  <c r="O685" i="2"/>
  <c r="O674" i="2"/>
  <c r="O660" i="2"/>
  <c r="O649" i="2"/>
  <c r="O610" i="2"/>
  <c r="O585" i="2"/>
  <c r="O571" i="2"/>
  <c r="O546" i="2"/>
  <c r="O532" i="2"/>
  <c r="O521" i="2"/>
  <c r="O507" i="2"/>
  <c r="O494" i="2"/>
  <c r="O482" i="2"/>
  <c r="O457" i="2"/>
  <c r="O409" i="2"/>
  <c r="O386" i="2"/>
  <c r="O345" i="2"/>
  <c r="O322" i="2"/>
  <c r="O281" i="2"/>
  <c r="O258" i="2"/>
  <c r="O194" i="2"/>
  <c r="O153" i="2"/>
  <c r="O110" i="2"/>
  <c r="O66" i="2"/>
  <c r="O680" i="2"/>
  <c r="O672" i="2"/>
  <c r="O648" i="2"/>
  <c r="O632" i="2"/>
  <c r="O624" i="2"/>
  <c r="O616" i="2"/>
  <c r="O608" i="2"/>
  <c r="O600" i="2"/>
  <c r="O584" i="2"/>
  <c r="O560" i="2"/>
  <c r="O552" i="2"/>
  <c r="O544" i="2"/>
  <c r="O520" i="2"/>
  <c r="O512" i="2"/>
  <c r="O504" i="2"/>
  <c r="O496" i="2"/>
  <c r="O488" i="2"/>
  <c r="O472" i="2"/>
  <c r="O448" i="2"/>
  <c r="O440" i="2"/>
  <c r="O432" i="2"/>
  <c r="O424" i="2"/>
  <c r="O408" i="2"/>
  <c r="O400" i="2"/>
  <c r="O384" i="2"/>
  <c r="O376" i="2"/>
  <c r="O360" i="2"/>
  <c r="O352" i="2"/>
  <c r="O336" i="2"/>
  <c r="O312" i="2"/>
  <c r="O288" i="2"/>
  <c r="O272" i="2"/>
  <c r="O248" i="2"/>
  <c r="O224" i="2"/>
  <c r="O216" i="2"/>
  <c r="O208" i="2"/>
  <c r="O184" i="2"/>
  <c r="O176" i="2"/>
  <c r="O160" i="2"/>
  <c r="O136" i="2"/>
  <c r="O128" i="2"/>
  <c r="O104" i="2"/>
  <c r="O96" i="2"/>
  <c r="O80" i="2"/>
  <c r="O72" i="2"/>
  <c r="O64" i="2"/>
  <c r="O56" i="2"/>
  <c r="O40" i="2"/>
  <c r="O32" i="2"/>
  <c r="O24" i="2"/>
  <c r="O663" i="2"/>
  <c r="O655" i="2"/>
  <c r="O623" i="2"/>
  <c r="O615" i="2"/>
  <c r="O591" i="2"/>
  <c r="O583" i="2"/>
  <c r="O575" i="2"/>
  <c r="O567" i="2"/>
  <c r="O559" i="2"/>
  <c r="O535" i="2"/>
  <c r="O527" i="2"/>
  <c r="O519" i="2"/>
  <c r="O503" i="2"/>
  <c r="O495" i="2"/>
  <c r="O487" i="2"/>
  <c r="O471" i="2"/>
  <c r="O463" i="2"/>
  <c r="O447" i="2"/>
  <c r="O439" i="2"/>
  <c r="O431" i="2"/>
  <c r="O423" i="2"/>
  <c r="O399" i="2"/>
  <c r="O391" i="2"/>
  <c r="O375" i="2"/>
  <c r="O343" i="2"/>
  <c r="O279" i="2"/>
  <c r="O247" i="2"/>
  <c r="O207" i="2"/>
  <c r="O167" i="2"/>
  <c r="O159" i="2"/>
  <c r="O143" i="2"/>
  <c r="O127" i="2"/>
  <c r="O119" i="2"/>
  <c r="O111" i="2"/>
  <c r="O103" i="2"/>
  <c r="O87" i="2"/>
  <c r="O71" i="2"/>
  <c r="O55" i="2"/>
  <c r="O677" i="2"/>
  <c r="O669" i="2"/>
  <c r="O661" i="2"/>
  <c r="O653" i="2"/>
  <c r="O645" i="2"/>
  <c r="O637" i="2"/>
  <c r="O621" i="2"/>
  <c r="O613" i="2"/>
  <c r="O565" i="2"/>
  <c r="O541" i="2"/>
  <c r="O533" i="2"/>
  <c r="O525" i="2"/>
  <c r="O501" i="2"/>
  <c r="O493" i="2"/>
  <c r="O485" i="2"/>
  <c r="O477" i="2"/>
  <c r="O469" i="2"/>
  <c r="O461" i="2"/>
  <c r="O453" i="2"/>
  <c r="O421" i="2"/>
  <c r="O405" i="2"/>
  <c r="O397" i="2"/>
  <c r="O389" i="2"/>
  <c r="O373" i="2"/>
  <c r="O365" i="2"/>
  <c r="O349" i="2"/>
  <c r="O309" i="2"/>
  <c r="O301" i="2"/>
  <c r="O197" i="2"/>
  <c r="O165" i="2"/>
  <c r="O157" i="2"/>
  <c r="O149" i="2"/>
  <c r="O117" i="2"/>
  <c r="O109" i="2"/>
  <c r="O101" i="2"/>
  <c r="O93" i="2"/>
  <c r="O77" i="2"/>
  <c r="O69" i="2"/>
  <c r="O61" i="2"/>
  <c r="O53" i="2"/>
  <c r="O45" i="2"/>
  <c r="O37" i="2"/>
  <c r="O29" i="2"/>
  <c r="O428" i="2"/>
  <c r="O420" i="2"/>
  <c r="O412" i="2"/>
  <c r="O388" i="2"/>
  <c r="O348" i="2"/>
  <c r="O148" i="2"/>
  <c r="O124" i="2"/>
  <c r="O108" i="2"/>
  <c r="O100" i="2"/>
  <c r="O92" i="2"/>
  <c r="O76" i="2"/>
  <c r="O60" i="2"/>
  <c r="O28" i="2"/>
  <c r="O403" i="2"/>
  <c r="O395" i="2"/>
  <c r="O371" i="2"/>
  <c r="O331" i="2"/>
  <c r="O315" i="2"/>
  <c r="O147" i="2"/>
  <c r="O139" i="2"/>
  <c r="O131" i="2"/>
  <c r="O107" i="2"/>
  <c r="O99" i="2"/>
  <c r="O91" i="2"/>
  <c r="O83" i="2"/>
  <c r="O75" i="2"/>
  <c r="O59" i="2"/>
  <c r="O35" i="2"/>
  <c r="O27" i="2"/>
</calcChain>
</file>

<file path=xl/sharedStrings.xml><?xml version="1.0" encoding="utf-8"?>
<sst xmlns="http://schemas.openxmlformats.org/spreadsheetml/2006/main" count="46737" uniqueCount="7401">
  <si>
    <t>Item no</t>
  </si>
  <si>
    <t>New Item Description</t>
  </si>
  <si>
    <t>New Item Group</t>
  </si>
  <si>
    <t>Item Cost</t>
  </si>
  <si>
    <t>New Inventory</t>
  </si>
  <si>
    <t>In Stock</t>
  </si>
  <si>
    <t>Total Cost</t>
  </si>
  <si>
    <t>ABB-0001</t>
  </si>
  <si>
    <t>Package wires on the robot - signal 25463 - ROBOFLEX 2001 12G0,5 QMM  300/500V,</t>
  </si>
  <si>
    <t>Critical Spares-CS</t>
  </si>
  <si>
    <t>Yes</t>
  </si>
  <si>
    <t>ABB-0002</t>
  </si>
  <si>
    <t>Package wires on the robot - power supply 29692 - ÖLFLEX® ROBOT F1 ( C )  4 G 2,5 + (2 x 1,0</t>
  </si>
  <si>
    <t>ABB-0003</t>
  </si>
  <si>
    <t>Electrospindle ES350L - H6161H0485 - New</t>
  </si>
  <si>
    <t>Normal Spares-NS</t>
  </si>
  <si>
    <t>ABB-0006</t>
  </si>
  <si>
    <t>OMRON Resistance brake A1000-REV00K6050-IE</t>
  </si>
  <si>
    <t>ABB-0007</t>
  </si>
  <si>
    <t>Pluto B20 v2 2TLA020070R4600</t>
  </si>
  <si>
    <t>ABB-0008</t>
  </si>
  <si>
    <t>Pluto B46 v2 2TLA020070R1700</t>
  </si>
  <si>
    <t>ABB-0009</t>
  </si>
  <si>
    <t>Pluto gate 2TLA020071R9300</t>
  </si>
  <si>
    <t>ABB-0010</t>
  </si>
  <si>
    <t>ET200 head 6ES7155-6AA01-0BN0</t>
  </si>
  <si>
    <t>ABB-0011</t>
  </si>
  <si>
    <t>ABB-0012</t>
  </si>
  <si>
    <t>ABB-0013</t>
  </si>
  <si>
    <t>ET200 insulated base 6ES7193-6BP20-0DA0</t>
  </si>
  <si>
    <t>ABB-0014</t>
  </si>
  <si>
    <t>Smile 11 EA Tina 2TLA030050R0000</t>
  </si>
  <si>
    <t>ABB-0015</t>
  </si>
  <si>
    <t>M12-C02PT6RB-Receiver cable Blanking O1E 2TLA022315R0200</t>
  </si>
  <si>
    <t>ABB-0016</t>
  </si>
  <si>
    <t>M12-C02PT2T - Transmitter cable for O1E 2TLA022315R0100</t>
  </si>
  <si>
    <t>ABB-0017</t>
  </si>
  <si>
    <t>Orion1-4-30-105-E Transmitter+ Receiver Orion1-4-30-105-E</t>
  </si>
  <si>
    <t>ABB-0018</t>
  </si>
  <si>
    <t>Orion1-4-30-120-B Transmitter+ Receiver Orion1-4-30-120-B</t>
  </si>
  <si>
    <t>ABB-0019</t>
  </si>
  <si>
    <t>PT-C005PT -Cascade cable for O1E, 0.05 m 2TLA022315R1200</t>
  </si>
  <si>
    <t>ABB-0020</t>
  </si>
  <si>
    <t>Adam DYN-Info M12-5 connnector 2TLA020051R5100</t>
  </si>
  <si>
    <t>ABB-0021</t>
  </si>
  <si>
    <t>Eva General code 2TLA020046R0800</t>
  </si>
  <si>
    <t>ABB-0022</t>
  </si>
  <si>
    <t>CIMR-VC4A0031FAA, YASKAWA Inverter V1000</t>
  </si>
  <si>
    <t>ABB-0023</t>
  </si>
  <si>
    <t>SI-EP3/V, YASKAWA Communication Interface V1000 ProfiNet</t>
  </si>
  <si>
    <t>ABB-0024</t>
  </si>
  <si>
    <t>ROBOT MILLING DRESS PACK new</t>
  </si>
  <si>
    <t>ABB-0025</t>
  </si>
  <si>
    <t>Refurbished - ROBOT MILLING DRESS PACK</t>
  </si>
  <si>
    <t>ABB-0026</t>
  </si>
  <si>
    <t>O-ring 25x1.8mm</t>
  </si>
  <si>
    <t>Maintenance Consumables-MC</t>
  </si>
  <si>
    <t>No</t>
  </si>
  <si>
    <t>ABB-0027</t>
  </si>
  <si>
    <t>O-ring 13x1.5mm</t>
  </si>
  <si>
    <t>ABB-0028</t>
  </si>
  <si>
    <t>Connector M/M AGR1/4"-WD CEL06</t>
  </si>
  <si>
    <t>ABB-0029</t>
  </si>
  <si>
    <t>Connector stud 90° DKOL06 CEL06</t>
  </si>
  <si>
    <t>ABB-0030</t>
  </si>
  <si>
    <t>Connector stud TEE CEL06</t>
  </si>
  <si>
    <t>ABB-0031</t>
  </si>
  <si>
    <t>Union nut L06 M12x1.5</t>
  </si>
  <si>
    <t>ABB-0032</t>
  </si>
  <si>
    <t>Cutting ring L06 S06</t>
  </si>
  <si>
    <t>ABB-0033</t>
  </si>
  <si>
    <t>Connector M/M AGR1/4"-WD CEL08</t>
  </si>
  <si>
    <t>ABB-0034</t>
  </si>
  <si>
    <t>Connector stud 90° DKOL08 CEL08</t>
  </si>
  <si>
    <t>ABB-0035</t>
  </si>
  <si>
    <t>Connector stud TEE CEL08</t>
  </si>
  <si>
    <t>ABB-0036</t>
  </si>
  <si>
    <t>Union nut L08 M14x1.5</t>
  </si>
  <si>
    <t>ABB-0037</t>
  </si>
  <si>
    <t>Cutting ring L08 S08</t>
  </si>
  <si>
    <t>ABB-0038</t>
  </si>
  <si>
    <t>Hydraulic tube 6x1.5 ST37.4 NBK</t>
  </si>
  <si>
    <t>ABB-0039</t>
  </si>
  <si>
    <t>Hydraulic tube 8x1.5 ST37.4 NBK gv.</t>
  </si>
  <si>
    <t>ABB-0040</t>
  </si>
  <si>
    <t>Connector M/M AGR1/8"-WD CEL06</t>
  </si>
  <si>
    <t>ABB-0041</t>
  </si>
  <si>
    <t>Connector M/M AGR1/8"-WD CEL08</t>
  </si>
  <si>
    <t>ABB-0042</t>
  </si>
  <si>
    <t>Connector M/M AGR1/8" CEL08</t>
  </si>
  <si>
    <t>ABB-0043</t>
  </si>
  <si>
    <t>Bonded seal cent. 13.74x20.57x2.1 NBR</t>
  </si>
  <si>
    <t>ABB-0044</t>
  </si>
  <si>
    <t>Hydraulic Seal 3 parts 20mm</t>
  </si>
  <si>
    <t>ABB-0045</t>
  </si>
  <si>
    <t>PAKMB-68/70 Combi Middle Jaw - Dresspack</t>
  </si>
  <si>
    <t>ABB-0046</t>
  </si>
  <si>
    <t>POKGB-70 Jaws for "Ball Joint" Assembly - Dresspack</t>
  </si>
  <si>
    <t>ABB-0047</t>
  </si>
  <si>
    <t>PAPRB-68 Protector; NW 68; Black - Dresspack</t>
  </si>
  <si>
    <t>ABB-0048</t>
  </si>
  <si>
    <t>Festo SDE5-D10-C-Q6E-P-M8 542894 Pressure Switch</t>
  </si>
  <si>
    <t>ABB-0049</t>
  </si>
  <si>
    <t>Festo NEBU-M8W3-K-5-LE3 541341 Cable</t>
  </si>
  <si>
    <t>ABB-0051</t>
  </si>
  <si>
    <t>ETHERLINE TORSION P CAT5 AWM 2X2XAWG22/19, Color-Green Lappkabel</t>
  </si>
  <si>
    <t>ABB-0052</t>
  </si>
  <si>
    <t>ADNGF-40-20-P-A FESTO Compact Cylinder</t>
  </si>
  <si>
    <t>ABB-0053</t>
  </si>
  <si>
    <t>AMF 554790 Seat Valve</t>
  </si>
  <si>
    <t>ABB-0054</t>
  </si>
  <si>
    <t>Blades holder ( TOOLS): 2J1P050R00 3027508</t>
  </si>
  <si>
    <t>ABB-0055</t>
  </si>
  <si>
    <t>Hydraulic Pressure Switch</t>
  </si>
  <si>
    <t>ABB-0056</t>
  </si>
  <si>
    <t>Spindle Chiller Cooling Unit</t>
  </si>
  <si>
    <t>ABB-0057</t>
  </si>
  <si>
    <t>Omron E2E-X8B1TL18-M1</t>
  </si>
  <si>
    <t>ABB-0058</t>
  </si>
  <si>
    <t>Refurbished - Electrospindle</t>
  </si>
  <si>
    <t>ABBFX-001</t>
  </si>
  <si>
    <t>BI2-EG08K-AP6X-V1131 Inductive sensor TURCK M8x1</t>
  </si>
  <si>
    <t>ABBFX-002</t>
  </si>
  <si>
    <t>SWKP3-2 P00 TURCK M8x1 cable with LED</t>
  </si>
  <si>
    <t>ABBFX-003</t>
  </si>
  <si>
    <t>TBEN-S2-8DXP Hub</t>
  </si>
  <si>
    <t>ABBFX-004</t>
  </si>
  <si>
    <t>BI4-M12-AP6X-H1141 Inductive TURCK sensor M12x1</t>
  </si>
  <si>
    <t>ABBFX-005</t>
  </si>
  <si>
    <t>6814076 TURCK TBEN-S2-8DXP 2A</t>
  </si>
  <si>
    <t>ABBFX-006</t>
  </si>
  <si>
    <t>0471153 SPC 40 Positioning pin SCHUNK</t>
  </si>
  <si>
    <t>ABBFX-007</t>
  </si>
  <si>
    <t>471153 SPC 40RF Fastening pin</t>
  </si>
  <si>
    <t>ABBFX-008</t>
  </si>
  <si>
    <t>471152 SPB 40RF Alignment pin</t>
  </si>
  <si>
    <t>ABBFX-009</t>
  </si>
  <si>
    <t>0471151 SPA 40 Positioning pin SCHUNK</t>
  </si>
  <si>
    <t>ABBFX-010</t>
  </si>
  <si>
    <t>0471152 SPB 40 Positioning pin SCHUNK</t>
  </si>
  <si>
    <t>ABBFX-011</t>
  </si>
  <si>
    <t>471151 SPA 40RF Retaining pin</t>
  </si>
  <si>
    <t>ABBFX-012</t>
  </si>
  <si>
    <t>1674901 Clamped contact CK1 6-ED-0 37ST</t>
  </si>
  <si>
    <t>ABBFX-013</t>
  </si>
  <si>
    <t>1411321 Case - HC-STA-B10-BWSC-ELC-AL</t>
  </si>
  <si>
    <t>ABBFX-014</t>
  </si>
  <si>
    <t>1417374 Contact insert module HC-M-02-EMC-M</t>
  </si>
  <si>
    <t>ABBFX-015</t>
  </si>
  <si>
    <t>1424246 Contact insert module HC-M-12-PT-M</t>
  </si>
  <si>
    <t>ABBFX-016</t>
  </si>
  <si>
    <t>1412606 Obudowa HC-STA-B10-HHFS-1TTP21-EL-AL.</t>
  </si>
  <si>
    <t>ABBFX-017</t>
  </si>
  <si>
    <t>1419903 Enclosure HC-STA-B10-HHFS-BLANK-EL-AL</t>
  </si>
  <si>
    <t>ABBFX-018</t>
  </si>
  <si>
    <t>1182088 Frame for modules HC-M-B10-MFH-B</t>
  </si>
  <si>
    <t>ABBFX-019</t>
  </si>
  <si>
    <t>1648173 Contact insert HC-B 10-I-UT-M</t>
  </si>
  <si>
    <t>ABBFX-020</t>
  </si>
  <si>
    <t>1636088 Plug connector HC-M-EMV-ST/3-9 5</t>
  </si>
  <si>
    <t>ABBFX-021</t>
  </si>
  <si>
    <t>EDE6 Oleoweb Solenoid valve 2/2</t>
  </si>
  <si>
    <t>ABBFX-022</t>
  </si>
  <si>
    <t>Lesjofors spring 6063</t>
  </si>
  <si>
    <t>ABBFX-023</t>
  </si>
  <si>
    <t>Coil 22W  24V EC36024DC</t>
  </si>
  <si>
    <t>ABBFX-024</t>
  </si>
  <si>
    <t>Solenoid valve 2/2 normally closed EDE6</t>
  </si>
  <si>
    <t>ABBFX-025</t>
  </si>
  <si>
    <t>K1164.1060 K1164-Self-aligning pads self-righting</t>
  </si>
  <si>
    <t>ABBFX-026</t>
  </si>
  <si>
    <t>Oscillating stand Kipp K0286.105_0</t>
  </si>
  <si>
    <t>ABBFX-027</t>
  </si>
  <si>
    <t>Support pin Kipp K0292.10</t>
  </si>
  <si>
    <t>ABBFX-028</t>
  </si>
  <si>
    <t>Special washers DIN 6372 K0730.12</t>
  </si>
  <si>
    <t>ABBFX-029</t>
  </si>
  <si>
    <t>Support pin KIPP K0298.410</t>
  </si>
  <si>
    <t>ABBFX-030</t>
  </si>
  <si>
    <t>Kipp positioning leg K0299.110020</t>
  </si>
  <si>
    <t>ABBFX-031</t>
  </si>
  <si>
    <t>Oscillating stand Kipp K0283.106_C</t>
  </si>
  <si>
    <t>ABBFX-032</t>
  </si>
  <si>
    <t>Spring pins with twist protection K0977.2112</t>
  </si>
  <si>
    <t>ABBFX-033</t>
  </si>
  <si>
    <t>AMF556960 - 6941KP-03-21 Right torsional hydraulic pressure</t>
  </si>
  <si>
    <t>ABBFX-034</t>
  </si>
  <si>
    <t>AMF552201 Hydraulic threaded support</t>
  </si>
  <si>
    <t>ABBFX-035</t>
  </si>
  <si>
    <t>AMF326389 1/8" cork</t>
  </si>
  <si>
    <t>ABBFX-036</t>
  </si>
  <si>
    <t>AMF556960Right rotary actuator</t>
  </si>
  <si>
    <t>ABBFX-037</t>
  </si>
  <si>
    <t>AMF552205 Hydraulic support with flange</t>
  </si>
  <si>
    <t>ABBFX-038</t>
  </si>
  <si>
    <t>AMF69245 Actuator arm</t>
  </si>
  <si>
    <t>ABBFX-039</t>
  </si>
  <si>
    <t>AMF556961 - 6941KP-03-22 Right torsional hydraulic pressure</t>
  </si>
  <si>
    <t>ABBFX-040</t>
  </si>
  <si>
    <t>AMF68023 Hydra actuator. AMF pressing</t>
  </si>
  <si>
    <t>ABBFX-041</t>
  </si>
  <si>
    <t>AMF556961 Left rotary actuator</t>
  </si>
  <si>
    <t>ABBFX-042</t>
  </si>
  <si>
    <t>AMF69039 - AMF 6990-G1/4 S Quick connector</t>
  </si>
  <si>
    <t>ABBFX-043</t>
  </si>
  <si>
    <t>AMF68528 hose 800mm</t>
  </si>
  <si>
    <t>ABBFX-044</t>
  </si>
  <si>
    <t>AMF288225 Safety valve</t>
  </si>
  <si>
    <t>ABBFX-045</t>
  </si>
  <si>
    <t>AMF67637 Accumulator</t>
  </si>
  <si>
    <t>ABBFX-046</t>
  </si>
  <si>
    <t>AMF322065 Solenoid valve 4/3</t>
  </si>
  <si>
    <t>ABBFX-047</t>
  </si>
  <si>
    <t>AMF320051 Filter</t>
  </si>
  <si>
    <t>ABBFX-048</t>
  </si>
  <si>
    <t>AMF68155 Linear actuator</t>
  </si>
  <si>
    <t>ABBFX-049</t>
  </si>
  <si>
    <t>AMF69039 Quick coupler</t>
  </si>
  <si>
    <t>ABBFX-050</t>
  </si>
  <si>
    <t>AMF69179 Pressure reducing valve</t>
  </si>
  <si>
    <t>ABBFX-051</t>
  </si>
  <si>
    <t>Bolt fitted  SPN08045</t>
  </si>
  <si>
    <t>ABBFX-052</t>
  </si>
  <si>
    <t>Valve block ES 06-08-38 (A B P T )</t>
  </si>
  <si>
    <t>ALV-0001</t>
  </si>
  <si>
    <t>OW46719</t>
  </si>
  <si>
    <t>ALV-0002</t>
  </si>
  <si>
    <t>OW46718</t>
  </si>
  <si>
    <t>ALV-0003</t>
  </si>
  <si>
    <t>CLAMPING CYLINDER</t>
  </si>
  <si>
    <t>ALV-0004</t>
  </si>
  <si>
    <t>ALV-0005</t>
  </si>
  <si>
    <t>HOOD STRIPS</t>
  </si>
  <si>
    <t>ALV-0006</t>
  </si>
  <si>
    <t>LIMIT SWITCH FM 515-M2</t>
  </si>
  <si>
    <t>ALV-0007</t>
  </si>
  <si>
    <t>BREAKER AA74393</t>
  </si>
  <si>
    <t>ALV-0008</t>
  </si>
  <si>
    <t>FITTINGS REGULATOR BT 711975</t>
  </si>
  <si>
    <t>ALV-0009</t>
  </si>
  <si>
    <t>FITTINGS REGULATOR BT 711974</t>
  </si>
  <si>
    <t>ALV-0010</t>
  </si>
  <si>
    <t>BREAKER AA74142</t>
  </si>
  <si>
    <t>ALV-0011</t>
  </si>
  <si>
    <t>HEAD MOTOR BK29146</t>
  </si>
  <si>
    <t>ALV-0012</t>
  </si>
  <si>
    <t>BLADE UNIT BK28869</t>
  </si>
  <si>
    <t>ALV-0013</t>
  </si>
  <si>
    <t>OW 300695</t>
  </si>
  <si>
    <t>ALV-0014</t>
  </si>
  <si>
    <t>BT74028</t>
  </si>
  <si>
    <t>ALV-0015</t>
  </si>
  <si>
    <t>CH70357</t>
  </si>
  <si>
    <t>ALV-0016</t>
  </si>
  <si>
    <t>BT710567</t>
  </si>
  <si>
    <t>ALV-0017</t>
  </si>
  <si>
    <t>BLADE PUSHER CYLINDER</t>
  </si>
  <si>
    <t>ALV-0018</t>
  </si>
  <si>
    <t>BLADE LIFTER CYLINDER</t>
  </si>
  <si>
    <t>ALV-0019</t>
  </si>
  <si>
    <t>MOTOR BK28870</t>
  </si>
  <si>
    <t>ALV-0020</t>
  </si>
  <si>
    <t>BR711456</t>
  </si>
  <si>
    <t>ALV-0021</t>
  </si>
  <si>
    <t>BLADE 500 X 32</t>
  </si>
  <si>
    <t>AW-0001</t>
  </si>
  <si>
    <t>Heater Element</t>
  </si>
  <si>
    <t>AW-0002</t>
  </si>
  <si>
    <t>Temperature controller</t>
  </si>
  <si>
    <t>AW-0003</t>
  </si>
  <si>
    <t>Thermostat</t>
  </si>
  <si>
    <t>AW-0004</t>
  </si>
  <si>
    <t>Solinoid valve</t>
  </si>
  <si>
    <t>AW-0005</t>
  </si>
  <si>
    <t>Sensor</t>
  </si>
  <si>
    <t>AW-0006</t>
  </si>
  <si>
    <t>Interlock door switch</t>
  </si>
  <si>
    <t>AW-0007</t>
  </si>
  <si>
    <t>Drain motor pump</t>
  </si>
  <si>
    <t>AW-0008</t>
  </si>
  <si>
    <t>Tank motor pump</t>
  </si>
  <si>
    <t>AW-0009</t>
  </si>
  <si>
    <t>Conveyor motor</t>
  </si>
  <si>
    <t>AW-0010</t>
  </si>
  <si>
    <t>Conveyor chain belt</t>
  </si>
  <si>
    <t>AW-0011</t>
  </si>
  <si>
    <t>Water sprinkler tube</t>
  </si>
  <si>
    <t>AW-0012</t>
  </si>
  <si>
    <t>Water tank filter</t>
  </si>
  <si>
    <t>BEA-0001</t>
  </si>
  <si>
    <t>Skates Bearing</t>
  </si>
  <si>
    <t>BEA-0002</t>
  </si>
  <si>
    <t>Bearing 6305 ZRSR</t>
  </si>
  <si>
    <t>BEA-0003</t>
  </si>
  <si>
    <t>Bearing 6304 2R</t>
  </si>
  <si>
    <t>BEA-0004</t>
  </si>
  <si>
    <t>Bearing 6205 2RSCM</t>
  </si>
  <si>
    <t>BEA-0005</t>
  </si>
  <si>
    <t>Bearing 6207</t>
  </si>
  <si>
    <t>BEA-0006</t>
  </si>
  <si>
    <t>Bearing 6004</t>
  </si>
  <si>
    <t>BEA-0007</t>
  </si>
  <si>
    <t>Bearing 6204LLB</t>
  </si>
  <si>
    <t>BEA-0008</t>
  </si>
  <si>
    <t>Bearing HSR-35LB</t>
  </si>
  <si>
    <t>BEA-0009</t>
  </si>
  <si>
    <t>Bearing 6203</t>
  </si>
  <si>
    <t>BEA-0010</t>
  </si>
  <si>
    <t>Bearing 6004LU</t>
  </si>
  <si>
    <t>BEA-0011</t>
  </si>
  <si>
    <t>Bearing 7205 cm</t>
  </si>
  <si>
    <t>BEA-0012</t>
  </si>
  <si>
    <t>Bearing 7205 e</t>
  </si>
  <si>
    <t>BEA-0013</t>
  </si>
  <si>
    <t>Bearing 1204</t>
  </si>
  <si>
    <t>BEA-0014</t>
  </si>
  <si>
    <t>Bearing BSB093SUHP3</t>
  </si>
  <si>
    <t>BEA-0015</t>
  </si>
  <si>
    <t>Bearing 6012 2rs</t>
  </si>
  <si>
    <t>BEA-0016</t>
  </si>
  <si>
    <t>Bearing 608</t>
  </si>
  <si>
    <t>BEA-0017</t>
  </si>
  <si>
    <t>Bearing SKF 6003 2 RS</t>
  </si>
  <si>
    <t>BEN-0001</t>
  </si>
  <si>
    <t>SMC 2 hand control</t>
  </si>
  <si>
    <t>BEN-0002</t>
  </si>
  <si>
    <t>MITUTOYO LINEAR GAUGE 575-303</t>
  </si>
  <si>
    <t>BEN-0003</t>
  </si>
  <si>
    <t>MITUTOYO DISPLAY 542-007</t>
  </si>
  <si>
    <t>BEN-0004</t>
  </si>
  <si>
    <t>CYLINDER CDQ2BN63/40DC2</t>
  </si>
  <si>
    <t>BEN-0005</t>
  </si>
  <si>
    <t>CYLINDER CD95SD880-250</t>
  </si>
  <si>
    <t>BEN-0006</t>
  </si>
  <si>
    <t>CYLINDER CP96SDB80-250</t>
  </si>
  <si>
    <t>BEN-0007</t>
  </si>
  <si>
    <t>AIR RESERVOIR</t>
  </si>
  <si>
    <t>BEN-0008</t>
  </si>
  <si>
    <t>CYLINDER CP965BD63-100C</t>
  </si>
  <si>
    <t>BEN-0009</t>
  </si>
  <si>
    <t>SMC VR2110-01 valve, time delay</t>
  </si>
  <si>
    <t>BEN-0010</t>
  </si>
  <si>
    <t>EXTENSION CABLE 50MTR 4WAY</t>
  </si>
  <si>
    <t>BEN-0011</t>
  </si>
  <si>
    <t>XFB Insert set 3pcs</t>
  </si>
  <si>
    <t>BEN-0012</t>
  </si>
  <si>
    <t>L538 insert set 2pcs</t>
  </si>
  <si>
    <t>BEN-0013</t>
  </si>
  <si>
    <t>RM043 Insert set 2pcs</t>
  </si>
  <si>
    <t>BEN-0014</t>
  </si>
  <si>
    <t>RM070 Insert set 8pcs</t>
  </si>
  <si>
    <t>BEN-0015</t>
  </si>
  <si>
    <t>VS20 Insert 1pc</t>
  </si>
  <si>
    <t>BOL-00001</t>
  </si>
  <si>
    <t>M10X10 Cap Screw</t>
  </si>
  <si>
    <t>BOL-00002</t>
  </si>
  <si>
    <t>M10X15 Cap Screw</t>
  </si>
  <si>
    <t>BOL-00003</t>
  </si>
  <si>
    <t>M10X20 Cap Screw</t>
  </si>
  <si>
    <t>BOL-00004</t>
  </si>
  <si>
    <t>M10X25 Cap Screw</t>
  </si>
  <si>
    <t>BOL-00005</t>
  </si>
  <si>
    <t>M10X30 Cap Screw</t>
  </si>
  <si>
    <t>BOL-00006</t>
  </si>
  <si>
    <t>M10X35 Cap Screw</t>
  </si>
  <si>
    <t>BOL-00007</t>
  </si>
  <si>
    <t>M10X40 Cap Screw</t>
  </si>
  <si>
    <t>BOL-00008</t>
  </si>
  <si>
    <t>M10X50 Cap Screw</t>
  </si>
  <si>
    <t>BOL-00009</t>
  </si>
  <si>
    <t>M10X130 Cap Screw</t>
  </si>
  <si>
    <t>BOL-00010</t>
  </si>
  <si>
    <t>M10X75 Cap Screw</t>
  </si>
  <si>
    <t>BOL-00011</t>
  </si>
  <si>
    <t>M10X60Cap Screw</t>
  </si>
  <si>
    <t>BOL-00012</t>
  </si>
  <si>
    <t>M16X45Cap Screw</t>
  </si>
  <si>
    <t>BOL-00013</t>
  </si>
  <si>
    <t>M8X10 Cap Screw</t>
  </si>
  <si>
    <t>BOL-00014</t>
  </si>
  <si>
    <t>M8X15 Cap Screw</t>
  </si>
  <si>
    <t>BOL-00015</t>
  </si>
  <si>
    <t>M8X20 Cap Screw</t>
  </si>
  <si>
    <t>BOL-00016</t>
  </si>
  <si>
    <t>M8X25 Cap Screw</t>
  </si>
  <si>
    <t>BOL-00017</t>
  </si>
  <si>
    <t>M8X30 Cap Screw</t>
  </si>
  <si>
    <t>BOL-00018</t>
  </si>
  <si>
    <t>M8X35 Cap Screw</t>
  </si>
  <si>
    <t>BOL-00019</t>
  </si>
  <si>
    <t>M8X45 Cap Screw</t>
  </si>
  <si>
    <t>BOL-00020</t>
  </si>
  <si>
    <t>M8X50 Cap Screw</t>
  </si>
  <si>
    <t>BOL-00021</t>
  </si>
  <si>
    <t>M8X60Cap Screw</t>
  </si>
  <si>
    <t>BOL-00022</t>
  </si>
  <si>
    <t>M8X130 Cap Screw</t>
  </si>
  <si>
    <t>BOL-00023</t>
  </si>
  <si>
    <t>M10X90 Cap Screw</t>
  </si>
  <si>
    <t>BOL-00024</t>
  </si>
  <si>
    <t>M6X10 Cap Screw</t>
  </si>
  <si>
    <t>BOL-00025</t>
  </si>
  <si>
    <t>M6X20 Cap Screw</t>
  </si>
  <si>
    <t>BOL-00026</t>
  </si>
  <si>
    <t>M6X25 Cap Screw</t>
  </si>
  <si>
    <t>BOL-00027</t>
  </si>
  <si>
    <t>M6X30 Cap Screw</t>
  </si>
  <si>
    <t>BOL-00028</t>
  </si>
  <si>
    <t>M6X35 Cap Screw</t>
  </si>
  <si>
    <t>BOL-00029</t>
  </si>
  <si>
    <t>M6X40 Cap Screw</t>
  </si>
  <si>
    <t>BOL-00030</t>
  </si>
  <si>
    <t>M6X50 Cap Screw</t>
  </si>
  <si>
    <t>BOL-00031</t>
  </si>
  <si>
    <t>M6X80 Cap Screw</t>
  </si>
  <si>
    <t>BOL-00032</t>
  </si>
  <si>
    <t>M5X10 Cap Screw</t>
  </si>
  <si>
    <t>BOL-00033</t>
  </si>
  <si>
    <t>M5X12 Cap Screw</t>
  </si>
  <si>
    <t>BOL-00034</t>
  </si>
  <si>
    <t>M5X15 Cap Screw</t>
  </si>
  <si>
    <t>BOL-00035</t>
  </si>
  <si>
    <t>M5X20 Cap Screw</t>
  </si>
  <si>
    <t>BOL-00036</t>
  </si>
  <si>
    <t>M5X25 Cap Screw</t>
  </si>
  <si>
    <t>BOL-00037</t>
  </si>
  <si>
    <t>M5X30 Cap Screw</t>
  </si>
  <si>
    <t>BOL-00038</t>
  </si>
  <si>
    <t>M5X35 Cap Screw</t>
  </si>
  <si>
    <t>BOL-00039</t>
  </si>
  <si>
    <t>M5X40 Cap Screw</t>
  </si>
  <si>
    <t>BOL-00040</t>
  </si>
  <si>
    <t>M5X50 Cap Screw</t>
  </si>
  <si>
    <t>BOL-00041</t>
  </si>
  <si>
    <t>M5X90 Cap Screw</t>
  </si>
  <si>
    <t>BOL-00042</t>
  </si>
  <si>
    <t>M5X120 Cap Screw</t>
  </si>
  <si>
    <t>BOL-00043</t>
  </si>
  <si>
    <t>M3X15 Cap Screw</t>
  </si>
  <si>
    <t>BOL-00044</t>
  </si>
  <si>
    <t>M3X35 Cap Screw</t>
  </si>
  <si>
    <t>BOL-00045</t>
  </si>
  <si>
    <t>M4X15 Cap Screw</t>
  </si>
  <si>
    <t>BOL-00046</t>
  </si>
  <si>
    <t>M4X20 Cap Screw</t>
  </si>
  <si>
    <t>BOL-00047</t>
  </si>
  <si>
    <t>M4X25 Cap Screw</t>
  </si>
  <si>
    <t>BOL-00048</t>
  </si>
  <si>
    <t>M4X30 Cap Screw</t>
  </si>
  <si>
    <t>BOL-00049</t>
  </si>
  <si>
    <t>M4X35 Cap Screw</t>
  </si>
  <si>
    <t>BOL-00050</t>
  </si>
  <si>
    <t>M4X40 Cap Screw</t>
  </si>
  <si>
    <t>BOL-00051</t>
  </si>
  <si>
    <t>M4X50 Cap Screw</t>
  </si>
  <si>
    <t>BOL-00052</t>
  </si>
  <si>
    <t>M3X50 Cap Screw</t>
  </si>
  <si>
    <t>BOL-00053</t>
  </si>
  <si>
    <t>Roofing Bolt M6x12</t>
  </si>
  <si>
    <t>BOL-00054</t>
  </si>
  <si>
    <t>Red Double Sided Tape</t>
  </si>
  <si>
    <t>BOL-00055</t>
  </si>
  <si>
    <t>Nut M3</t>
  </si>
  <si>
    <t>BOL-00056</t>
  </si>
  <si>
    <t>Nut M4</t>
  </si>
  <si>
    <t>BOL-00057</t>
  </si>
  <si>
    <t>Nut M5</t>
  </si>
  <si>
    <t>BOL-00058</t>
  </si>
  <si>
    <t>Nut M6</t>
  </si>
  <si>
    <t>BOL-00059</t>
  </si>
  <si>
    <t>Nut M8</t>
  </si>
  <si>
    <t>BOL-00060</t>
  </si>
  <si>
    <t>Nut M10</t>
  </si>
  <si>
    <t>BOL-00061</t>
  </si>
  <si>
    <t>Washer 4mm</t>
  </si>
  <si>
    <t>BOL-00062</t>
  </si>
  <si>
    <t>Washer 5mm</t>
  </si>
  <si>
    <t>BOL-00063</t>
  </si>
  <si>
    <t>Washer 6mm</t>
  </si>
  <si>
    <t>BOL-00064</t>
  </si>
  <si>
    <t>Washer 8mm</t>
  </si>
  <si>
    <t>BOL-00065</t>
  </si>
  <si>
    <t>Washer 10mm</t>
  </si>
  <si>
    <t>BOL-00066</t>
  </si>
  <si>
    <t>M10x15 Flat Head</t>
  </si>
  <si>
    <t>BOL-00067</t>
  </si>
  <si>
    <t>M10x20 Flat Head</t>
  </si>
  <si>
    <t>BOL-00068</t>
  </si>
  <si>
    <t>M10x25 Flat Head</t>
  </si>
  <si>
    <t>BOL-00069</t>
  </si>
  <si>
    <t>M10x35 Flat Head</t>
  </si>
  <si>
    <t>BOL-00070</t>
  </si>
  <si>
    <t>M6x25 Flat Head</t>
  </si>
  <si>
    <t>BOL-00071</t>
  </si>
  <si>
    <t>M10x60 Flat Head</t>
  </si>
  <si>
    <t>BOL-00072</t>
  </si>
  <si>
    <t>M10x30 Flat Head</t>
  </si>
  <si>
    <t>BOL-00073</t>
  </si>
  <si>
    <t>M10x150 Cap Screw</t>
  </si>
  <si>
    <t>BOL-00074</t>
  </si>
  <si>
    <t>M5x10 Flat Head</t>
  </si>
  <si>
    <t>BOL-00075</t>
  </si>
  <si>
    <t>M5x25 Flat Head</t>
  </si>
  <si>
    <t>BOL-00076</t>
  </si>
  <si>
    <t>M4x60 Cap Screw</t>
  </si>
  <si>
    <t>BOL-00077</t>
  </si>
  <si>
    <t>M8x25 Flat Head</t>
  </si>
  <si>
    <t>BOL-00078</t>
  </si>
  <si>
    <t>M8x12 Flat Head</t>
  </si>
  <si>
    <t>BOL-00079</t>
  </si>
  <si>
    <t>M12x30 Flat Head</t>
  </si>
  <si>
    <t>BOL-00080</t>
  </si>
  <si>
    <t>M8x50 Flat Head</t>
  </si>
  <si>
    <t>BOL-00081</t>
  </si>
  <si>
    <t>M12x35 Cap Screw</t>
  </si>
  <si>
    <t>BOL-00082</t>
  </si>
  <si>
    <t>M12x40 Cap Screw</t>
  </si>
  <si>
    <t>BOL-00083</t>
  </si>
  <si>
    <t>M12x80 Cap Screw</t>
  </si>
  <si>
    <t>BOL-00084</t>
  </si>
  <si>
    <t>M12x60 Cap Screw</t>
  </si>
  <si>
    <t>BOL-00085</t>
  </si>
  <si>
    <t>M12x90 Shoulder Bolt</t>
  </si>
  <si>
    <t>BOL-00086</t>
  </si>
  <si>
    <t>M12x100 Cap Screw</t>
  </si>
  <si>
    <t>BOL-00087</t>
  </si>
  <si>
    <t>M12x120 Cap Screw</t>
  </si>
  <si>
    <t>BOL-00088</t>
  </si>
  <si>
    <t>Shoulder bolt M12x85</t>
  </si>
  <si>
    <t>BOL-00089</t>
  </si>
  <si>
    <t>Shoulder bolt M5X35</t>
  </si>
  <si>
    <t>BOL-00090</t>
  </si>
  <si>
    <t>Shoulder bolt M6X60</t>
  </si>
  <si>
    <t>BOL-00091</t>
  </si>
  <si>
    <t>Nut M12</t>
  </si>
  <si>
    <t>BOL-00092</t>
  </si>
  <si>
    <t>Nut M20</t>
  </si>
  <si>
    <t>BOL-00093</t>
  </si>
  <si>
    <t>Stud M6</t>
  </si>
  <si>
    <t>BOL-00094</t>
  </si>
  <si>
    <t>Stud M8</t>
  </si>
  <si>
    <t>BOL-00095</t>
  </si>
  <si>
    <t>Stud M10</t>
  </si>
  <si>
    <t>BOL-00096</t>
  </si>
  <si>
    <t>Stud M12</t>
  </si>
  <si>
    <t>BOL-00098</t>
  </si>
  <si>
    <t>LOCK NUT M5</t>
  </si>
  <si>
    <t>BOL-00099</t>
  </si>
  <si>
    <t>LOCK NUT M6</t>
  </si>
  <si>
    <t>BOL-00100</t>
  </si>
  <si>
    <t>LOCK NUT M8</t>
  </si>
  <si>
    <t>BOL-00101</t>
  </si>
  <si>
    <t>LOCK NUT M10</t>
  </si>
  <si>
    <t>BOL-00102</t>
  </si>
  <si>
    <t>LOCK NUT M12</t>
  </si>
  <si>
    <t>BOL-00103</t>
  </si>
  <si>
    <t>Lock Washer 6mm</t>
  </si>
  <si>
    <t>BOL-00104</t>
  </si>
  <si>
    <t>Lock Washer 8mm</t>
  </si>
  <si>
    <t>BOL-00105</t>
  </si>
  <si>
    <t>Lock Washer 10mm</t>
  </si>
  <si>
    <t>BOL-00106</t>
  </si>
  <si>
    <t>Lock Washer 12mm</t>
  </si>
  <si>
    <t>BOL-00107</t>
  </si>
  <si>
    <t>Lock Washer 16mm</t>
  </si>
  <si>
    <t>BOL-00108</t>
  </si>
  <si>
    <t>Internal Tooth Washer 6mm</t>
  </si>
  <si>
    <t>BOL-00109</t>
  </si>
  <si>
    <t>Internal Tooth Washer 8mm</t>
  </si>
  <si>
    <t>BOL-00110</t>
  </si>
  <si>
    <t>Internal Tooth Washer 10mm</t>
  </si>
  <si>
    <t>BOL-00111</t>
  </si>
  <si>
    <t>Internal Tooth Washer 12mm</t>
  </si>
  <si>
    <t>BOL-00112</t>
  </si>
  <si>
    <t>Internal Tooth Washer 16mm</t>
  </si>
  <si>
    <t>BOL-00113</t>
  </si>
  <si>
    <t>DOWEL PIN 3MMX40MM</t>
  </si>
  <si>
    <t>BOL-00114</t>
  </si>
  <si>
    <t>DOWEL PIN 4MMX20MM</t>
  </si>
  <si>
    <t>BOL-00115</t>
  </si>
  <si>
    <t>DOWEL PIN 4MMX50MM</t>
  </si>
  <si>
    <t>BOL-00116</t>
  </si>
  <si>
    <t>DOWEL PIN 6MMX25MM</t>
  </si>
  <si>
    <t>BOL-00117</t>
  </si>
  <si>
    <t>DOWEL PIN 8MMX25MM</t>
  </si>
  <si>
    <t>BOL-00118</t>
  </si>
  <si>
    <t>DOWEL PIN 8MMX30MM</t>
  </si>
  <si>
    <t>BOL-00119</t>
  </si>
  <si>
    <t>DOWEL PIN 10MMX20MM</t>
  </si>
  <si>
    <t>BOL-00120</t>
  </si>
  <si>
    <t>DOWEL PIN10MMX30MM</t>
  </si>
  <si>
    <t>BOL-00121</t>
  </si>
  <si>
    <t>DOWEL PIN 10MMX40MM</t>
  </si>
  <si>
    <t>BOL-00122</t>
  </si>
  <si>
    <t>DOWEL PIN10MMX50MM</t>
  </si>
  <si>
    <t>BOL-00123</t>
  </si>
  <si>
    <t>DOWEL PIN 12MMX25MM</t>
  </si>
  <si>
    <t>BOL-00124</t>
  </si>
  <si>
    <t>DOWEL PIN 12MMX50MM</t>
  </si>
  <si>
    <t>BOL-00125</t>
  </si>
  <si>
    <t>Unistrut Spring Nut M6</t>
  </si>
  <si>
    <t>BOL-00126</t>
  </si>
  <si>
    <t>Grub Screw Set</t>
  </si>
  <si>
    <t>BOL-00127</t>
  </si>
  <si>
    <t>DOWEL PIN 5MMX20MM</t>
  </si>
  <si>
    <t>BOL-0200</t>
  </si>
  <si>
    <t>Cable Tray 100x50mm</t>
  </si>
  <si>
    <t>BOL-0201</t>
  </si>
  <si>
    <t>90 deg bend 100mm</t>
  </si>
  <si>
    <t>BOL-0202</t>
  </si>
  <si>
    <t>Slotted channel</t>
  </si>
  <si>
    <t>BOL-0203</t>
  </si>
  <si>
    <t>Straight coupler</t>
  </si>
  <si>
    <t>BOL-0204</t>
  </si>
  <si>
    <t>HDG base plate</t>
  </si>
  <si>
    <t>BOL-0205</t>
  </si>
  <si>
    <t>Washer M12</t>
  </si>
  <si>
    <t>BOL-0206</t>
  </si>
  <si>
    <t>Self Tapping Screw</t>
  </si>
  <si>
    <t>BOL-0207</t>
  </si>
  <si>
    <t>GI BOLT 4MMX15</t>
  </si>
  <si>
    <t>BOL-0208</t>
  </si>
  <si>
    <t>GI BOLT 4MMX20</t>
  </si>
  <si>
    <t>BOL-0209</t>
  </si>
  <si>
    <t>GI BOLT 4MMX30</t>
  </si>
  <si>
    <t>BOL-0210</t>
  </si>
  <si>
    <t>GI BOLT 4X40</t>
  </si>
  <si>
    <t>BOL-0211</t>
  </si>
  <si>
    <t>GI BOLT 4X50</t>
  </si>
  <si>
    <t>BOL-0212</t>
  </si>
  <si>
    <t>GI BOLT 5X15</t>
  </si>
  <si>
    <t>BOL-0213</t>
  </si>
  <si>
    <t>GI BOLT 5X30</t>
  </si>
  <si>
    <t>BOL-0214</t>
  </si>
  <si>
    <t>GI BOLT 5X40</t>
  </si>
  <si>
    <t>BOL-0215</t>
  </si>
  <si>
    <t>GI BOLT 6X15</t>
  </si>
  <si>
    <t>BOL-0216</t>
  </si>
  <si>
    <t>GI BOLT 6X20</t>
  </si>
  <si>
    <t>BOL-0217</t>
  </si>
  <si>
    <t>GI BOLT 6X30</t>
  </si>
  <si>
    <t>BOL-0218</t>
  </si>
  <si>
    <t>GI BOLT 6X50</t>
  </si>
  <si>
    <t>BOL-0219</t>
  </si>
  <si>
    <t>GI BOLT 6X60</t>
  </si>
  <si>
    <t>BOL-0220</t>
  </si>
  <si>
    <t>GI BOLT 8X15</t>
  </si>
  <si>
    <t>BOL-0221</t>
  </si>
  <si>
    <t>GI BOLT 8X20</t>
  </si>
  <si>
    <t>BOL-0222</t>
  </si>
  <si>
    <t>GI BOLT 8X30</t>
  </si>
  <si>
    <t>BOL-0223</t>
  </si>
  <si>
    <t>GI BOLT 8X50</t>
  </si>
  <si>
    <t>BOL-0224</t>
  </si>
  <si>
    <t>GI BOLT 8X60</t>
  </si>
  <si>
    <t>BOL-0225</t>
  </si>
  <si>
    <t>GI BOLT 10X15</t>
  </si>
  <si>
    <t>BOL-0226</t>
  </si>
  <si>
    <t>GI BOLT 10X20</t>
  </si>
  <si>
    <t>BOL-0227</t>
  </si>
  <si>
    <t>GI BOLT 10X30</t>
  </si>
  <si>
    <t>BOL-0228</t>
  </si>
  <si>
    <t>GI BOLT 10X50</t>
  </si>
  <si>
    <t>BOL-0229</t>
  </si>
  <si>
    <t>GI BOLT 10X60</t>
  </si>
  <si>
    <t>BOL-0230</t>
  </si>
  <si>
    <t>GI BOLT 12X20</t>
  </si>
  <si>
    <t>BOL-0231</t>
  </si>
  <si>
    <t>GI BOLT 12X30</t>
  </si>
  <si>
    <t>BOL-0232</t>
  </si>
  <si>
    <t>GI BOLT 12X50</t>
  </si>
  <si>
    <t>BOL-0233</t>
  </si>
  <si>
    <t>GI BOLT 12X60</t>
  </si>
  <si>
    <t>BOL-0234</t>
  </si>
  <si>
    <t>MS ALLEN BOLT 6X15</t>
  </si>
  <si>
    <t>BOL-0235</t>
  </si>
  <si>
    <t>MS ALLEN BOLT 6X60</t>
  </si>
  <si>
    <t>BOL-0236</t>
  </si>
  <si>
    <t>MS ALLENBOLT 12X20</t>
  </si>
  <si>
    <t>BOL-0237</t>
  </si>
  <si>
    <t>MS ALLEN BOLT 12X30</t>
  </si>
  <si>
    <t>BOL-0238</t>
  </si>
  <si>
    <t>MS ALLEN BOLT 12X50</t>
  </si>
  <si>
    <t>BOL-0239</t>
  </si>
  <si>
    <t>MS GRUB SCREW 3X10</t>
  </si>
  <si>
    <t>BOL-0240</t>
  </si>
  <si>
    <t>MS GRUB SCREW 3X15</t>
  </si>
  <si>
    <t>BOL-0241</t>
  </si>
  <si>
    <t>MS GRUB SCREW 3X20</t>
  </si>
  <si>
    <t>BOL-0242</t>
  </si>
  <si>
    <t>MS GRUB SCREW 3X30</t>
  </si>
  <si>
    <t>BOL-0243</t>
  </si>
  <si>
    <t>MS GRUB SCREW 4X10</t>
  </si>
  <si>
    <t>BOL-0244</t>
  </si>
  <si>
    <t>MS GRUB SCREW 4X15</t>
  </si>
  <si>
    <t>BOL-0245</t>
  </si>
  <si>
    <t>MS GRUB SCREW 4X20</t>
  </si>
  <si>
    <t>BOL-0246</t>
  </si>
  <si>
    <t>MS GRUB SCREW 4X30</t>
  </si>
  <si>
    <t>BOL-0247</t>
  </si>
  <si>
    <t>MS GRUB SCREW 4X40</t>
  </si>
  <si>
    <t>BOL-0248</t>
  </si>
  <si>
    <t>MS GRUB SCREW 5X10</t>
  </si>
  <si>
    <t>BOL-0249</t>
  </si>
  <si>
    <t>MS GRUB SCREW 5X15</t>
  </si>
  <si>
    <t>BOL-0250</t>
  </si>
  <si>
    <t>MS GRUB SCREW 5X20</t>
  </si>
  <si>
    <t>BOL-0251</t>
  </si>
  <si>
    <t>MS GRUB SCREW 5X30</t>
  </si>
  <si>
    <t>BOL-0252</t>
  </si>
  <si>
    <t>MS GRUB SCREW 5X40</t>
  </si>
  <si>
    <t>BOL-0253</t>
  </si>
  <si>
    <t>MS GRUB SCREW 6X10</t>
  </si>
  <si>
    <t>BOL-0254</t>
  </si>
  <si>
    <t>MS GRUB SCREW 6X15</t>
  </si>
  <si>
    <t>BOL-0255</t>
  </si>
  <si>
    <t>MS GRUB SCREW 6X20</t>
  </si>
  <si>
    <t>BOL-0256</t>
  </si>
  <si>
    <t>MS GRUB SCREW 6X30</t>
  </si>
  <si>
    <t>BOL-0257</t>
  </si>
  <si>
    <t>MS GRUB SCREW 6X40</t>
  </si>
  <si>
    <t>BOL-0258</t>
  </si>
  <si>
    <t>MS GRUB SCREW 8X10</t>
  </si>
  <si>
    <t>BOL-0259</t>
  </si>
  <si>
    <t>MS GRUB SCREW8X15</t>
  </si>
  <si>
    <t>BOL-0260</t>
  </si>
  <si>
    <t>MS GRUB SCREW 8X20</t>
  </si>
  <si>
    <t>BOL-0261</t>
  </si>
  <si>
    <t>MS GRUB SCREW 8X30</t>
  </si>
  <si>
    <t>BOL-0262</t>
  </si>
  <si>
    <t>MS GRUB SCREW 8X40</t>
  </si>
  <si>
    <t>BOL-0263</t>
  </si>
  <si>
    <t>Lock Washer 5mm</t>
  </si>
  <si>
    <t>BOL-0264</t>
  </si>
  <si>
    <t>SELF TAP SCREW 15MM</t>
  </si>
  <si>
    <t>BOL-0265</t>
  </si>
  <si>
    <t>SELF TAP SCREW 25MM</t>
  </si>
  <si>
    <t>BOL-0266</t>
  </si>
  <si>
    <t>SELF TAP SCREW 40MM</t>
  </si>
  <si>
    <t>BOL-0267</t>
  </si>
  <si>
    <t>SELF TAP SCREW 50MM</t>
  </si>
  <si>
    <t>BOL-0268</t>
  </si>
  <si>
    <t>SELF DRILL SCREW 16MMX6</t>
  </si>
  <si>
    <t>BOL-0269</t>
  </si>
  <si>
    <t>SELF DRILL SCREW 25MMX6</t>
  </si>
  <si>
    <t>BOL-0270</t>
  </si>
  <si>
    <t>SELF DRILL SCREW 40MMX6</t>
  </si>
  <si>
    <t>BOL-0271</t>
  </si>
  <si>
    <t>SELF DRILL SCREW 50MMX6</t>
  </si>
  <si>
    <t>BOL-0272</t>
  </si>
  <si>
    <t>SELF DRILL SCREW 16MMX8</t>
  </si>
  <si>
    <t>BOL-0273</t>
  </si>
  <si>
    <t>SELF DRILL SCREW 25MMX8</t>
  </si>
  <si>
    <t>BOL-0274</t>
  </si>
  <si>
    <t>SELF DRILL SCREW 40MMX8</t>
  </si>
  <si>
    <t>BOL-0275</t>
  </si>
  <si>
    <t>SELF DRILL SCREW 50MMX8</t>
  </si>
  <si>
    <t>BOL-0276</t>
  </si>
  <si>
    <t>M8x70 Cap Screw</t>
  </si>
  <si>
    <t>BOL-0277</t>
  </si>
  <si>
    <t>M3x10 Cap Screw</t>
  </si>
  <si>
    <t>BOL-0278</t>
  </si>
  <si>
    <t>M4x10 Cap Screw</t>
  </si>
  <si>
    <t>BU-0001</t>
  </si>
  <si>
    <t>M12x12 Cap Screw</t>
  </si>
  <si>
    <t>CB-0001</t>
  </si>
  <si>
    <t>L538 COUNTER BORE MOTOR DRIVE</t>
  </si>
  <si>
    <t>COM-0001</t>
  </si>
  <si>
    <t>COMPRESSOR DISPLAY</t>
  </si>
  <si>
    <t>COM-0004</t>
  </si>
  <si>
    <t>Battery CR2450</t>
  </si>
  <si>
    <t>COM-0005</t>
  </si>
  <si>
    <t>Compressor oil 4000H</t>
  </si>
  <si>
    <t>COM-0006</t>
  </si>
  <si>
    <t>Lubrication Unit</t>
  </si>
  <si>
    <t>COM-0007</t>
  </si>
  <si>
    <t>Auto Drain Unit</t>
  </si>
  <si>
    <t>COM-0008</t>
  </si>
  <si>
    <t>AIR END BEARING KIT</t>
  </si>
  <si>
    <t>COM-0009</t>
  </si>
  <si>
    <t>COMPAIR (GMBH)- AIR END SHAFT SEAL KIT EK175NK</t>
  </si>
  <si>
    <t>CTE-0001</t>
  </si>
  <si>
    <t>6EP1334-2BA20 SIEMENS</t>
  </si>
  <si>
    <t>CTE-0002</t>
  </si>
  <si>
    <t>6GK5005-0BA00-1AB2 SIEMENS</t>
  </si>
  <si>
    <t>CTE-0003</t>
  </si>
  <si>
    <t>6ES72141AG400XB0 SIEMENS</t>
  </si>
  <si>
    <t>CTE-0004</t>
  </si>
  <si>
    <t>6ES72231BL320XB0 SIEMENS</t>
  </si>
  <si>
    <t>CTE-0005</t>
  </si>
  <si>
    <t>SE-P40-1250 SCHMERSAL</t>
  </si>
  <si>
    <t>CTE-0006</t>
  </si>
  <si>
    <t>SE-AL10-1250 SCHMERSAL</t>
  </si>
  <si>
    <t>CTE-0007</t>
  </si>
  <si>
    <t>SE-SET VER.2.0 10,5M/20M SCHMERSAL</t>
  </si>
  <si>
    <t>CTE-0008</t>
  </si>
  <si>
    <t>SE-T40 SCHMERSAL</t>
  </si>
  <si>
    <t>CTE-0009</t>
  </si>
  <si>
    <t>SE-400 C SCHMERSAL</t>
  </si>
  <si>
    <t>CTE-0010</t>
  </si>
  <si>
    <t>PNOZ 777303 PILZ</t>
  </si>
  <si>
    <t>CTE-0011</t>
  </si>
  <si>
    <t>PNOZ 787310 PILZ</t>
  </si>
  <si>
    <t>CTE-0012</t>
  </si>
  <si>
    <t>777304 PILZ</t>
  </si>
  <si>
    <t>CTE-0013</t>
  </si>
  <si>
    <t>6AV21232DB030AX0 SIEMENS</t>
  </si>
  <si>
    <t>CTE-0014</t>
  </si>
  <si>
    <t>99314 EUCHNER</t>
  </si>
  <si>
    <t>CTE-0015</t>
  </si>
  <si>
    <t>115073 EUCHNER</t>
  </si>
  <si>
    <t>CTE-0016</t>
  </si>
  <si>
    <t>PL6-C4/1 EATON</t>
  </si>
  <si>
    <t>CTE-0017</t>
  </si>
  <si>
    <t>PL6-C6/1 EATON</t>
  </si>
  <si>
    <t>CTE-0018</t>
  </si>
  <si>
    <t>PL6-C16/3 EATON</t>
  </si>
  <si>
    <t>CTE-0019</t>
  </si>
  <si>
    <t>HNB-C6/1N/003 EATON</t>
  </si>
  <si>
    <t>CTE-0020</t>
  </si>
  <si>
    <t>G2RV-SL700-24V AC/DC OMRON</t>
  </si>
  <si>
    <t>CTE-0021</t>
  </si>
  <si>
    <t>MY4-24VDC OMRON</t>
  </si>
  <si>
    <t>CTE-0022</t>
  </si>
  <si>
    <t>PNOZ X2 24VAC/DC 2n/o PILZ</t>
  </si>
  <si>
    <t>CTE-0023</t>
  </si>
  <si>
    <t>6814009 TURCK</t>
  </si>
  <si>
    <t>CTE-0024</t>
  </si>
  <si>
    <t>M22-WRS/K1 EATON</t>
  </si>
  <si>
    <t>CTE-0025</t>
  </si>
  <si>
    <t>M22-DL-G-X1/-A/-LED-G/-K10 EATOFA_23_030</t>
  </si>
  <si>
    <t>CTE-0026</t>
  </si>
  <si>
    <t>M22-DL-R-X0/-A/-LED-R/-K01 EATON</t>
  </si>
  <si>
    <t>CTE-0027</t>
  </si>
  <si>
    <t>M22-DL-B/-A/-LED-B/-K10 EATON</t>
  </si>
  <si>
    <t>CTE-0028</t>
  </si>
  <si>
    <t>M22-DL-W/-A/-LED-W/-K10 EATON</t>
  </si>
  <si>
    <t>CTE-0029</t>
  </si>
  <si>
    <t>M22-DL-Y/-A/-LED-W/-K10 EATON</t>
  </si>
  <si>
    <t>CTE-0030</t>
  </si>
  <si>
    <t>DSM-12-270-CC-A-B FESTO</t>
  </si>
  <si>
    <t>CTE-0031</t>
  </si>
  <si>
    <t>34P-CX-U15AU-14EK 50E- F43GCQS-L FESTO</t>
  </si>
  <si>
    <t>CTE-0032</t>
  </si>
  <si>
    <t>531030 FESTO</t>
  </si>
  <si>
    <t>CTE-0033</t>
  </si>
  <si>
    <t>536805 FESTO</t>
  </si>
  <si>
    <t>CTE-0034</t>
  </si>
  <si>
    <t>2316 FESTO</t>
  </si>
  <si>
    <t>CTE-0035</t>
  </si>
  <si>
    <t>551373 FESTO</t>
  </si>
  <si>
    <t>CTE-0036</t>
  </si>
  <si>
    <t>574335 FESTO</t>
  </si>
  <si>
    <t>CTE-0037</t>
  </si>
  <si>
    <t>DSNU-S-12-125-P-A-mq FESTO</t>
  </si>
  <si>
    <t>CTE-0038</t>
  </si>
  <si>
    <t>DSBC-40-160-PPVA-N3 FESTO</t>
  </si>
  <si>
    <t>CTE-0039</t>
  </si>
  <si>
    <t>DGTZ-GF-16-50-P-A FESTO</t>
  </si>
  <si>
    <t>CTE-0040</t>
  </si>
  <si>
    <t>GRLA-M5-QS-4-D FESTO</t>
  </si>
  <si>
    <t>CTE-0041</t>
  </si>
  <si>
    <t>GRLA-1_4-QS-8-D FESTO</t>
  </si>
  <si>
    <t>CTE-0042</t>
  </si>
  <si>
    <t>GRLA-1_8-QS-6-D FESTO</t>
  </si>
  <si>
    <t>CTE-0043</t>
  </si>
  <si>
    <t>GR-QS-6 FESTO</t>
  </si>
  <si>
    <t>CTE-0044</t>
  </si>
  <si>
    <t>ADN-63-60-A-P-A FESTO</t>
  </si>
  <si>
    <t>CTE-0045</t>
  </si>
  <si>
    <t>DSBC-32-700-PPVA-N3 FESTO</t>
  </si>
  <si>
    <t>CTE-0046</t>
  </si>
  <si>
    <t>DSNU-S-20-20-P-A-MX FESTO</t>
  </si>
  <si>
    <t>CTE-0047</t>
  </si>
  <si>
    <t>VUVS-L30-P53C-MD-G38-F8- 1B2 FESTO</t>
  </si>
  <si>
    <t>CTE-0048</t>
  </si>
  <si>
    <t>VUVS-L25-M52-MD-G14-F8-1B2 FESTO</t>
  </si>
  <si>
    <t>CTE-0049</t>
  </si>
  <si>
    <t>VUVS-L25-M32C-MD-G14-F8- 1B2 FESTO</t>
  </si>
  <si>
    <t>CTE-0050</t>
  </si>
  <si>
    <t>LRPS-1/4-10 FESTO</t>
  </si>
  <si>
    <t>CTE-0051</t>
  </si>
  <si>
    <t>Part positioning cube 23143-20-02</t>
  </si>
  <si>
    <t>CTE-0052</t>
  </si>
  <si>
    <t>Positioning pin 1 23143-020-03</t>
  </si>
  <si>
    <t>CTE-0053</t>
  </si>
  <si>
    <t>Positionig pin 2 23143-020-11</t>
  </si>
  <si>
    <t>CTE-0054</t>
  </si>
  <si>
    <t>Bottom compression element 23143-10-13</t>
  </si>
  <si>
    <t>CTE-0055</t>
  </si>
  <si>
    <t>Upper compression element 23143-10-04</t>
  </si>
  <si>
    <t>CTE-0056</t>
  </si>
  <si>
    <t>Lower positioning element (left) 23143-40-01</t>
  </si>
  <si>
    <t>CTE-0057</t>
  </si>
  <si>
    <t>Upper positioning element (left) 23143-40-02</t>
  </si>
  <si>
    <t>CTE-0058</t>
  </si>
  <si>
    <t>Lower positioning element (right) 23143-45-01</t>
  </si>
  <si>
    <t>CTE-0059</t>
  </si>
  <si>
    <t>Upper positioning element (right) 23143-45-02</t>
  </si>
  <si>
    <t>CTE-0060</t>
  </si>
  <si>
    <t>Sleeve positioning pin 23143-10-10</t>
  </si>
  <si>
    <t>CTE-0061</t>
  </si>
  <si>
    <t>Sleeve pusher 23143-40-03</t>
  </si>
  <si>
    <t>DRS-0001</t>
  </si>
  <si>
    <t>Single acting electric solenoid valve</t>
  </si>
  <si>
    <t>DRS-0002</t>
  </si>
  <si>
    <t>Double acting electric solenoid valve</t>
  </si>
  <si>
    <t>DRS-0003</t>
  </si>
  <si>
    <t>Proximity sensor</t>
  </si>
  <si>
    <t>DRS-0004</t>
  </si>
  <si>
    <t>Inductive sensor</t>
  </si>
  <si>
    <t>DRS-0005</t>
  </si>
  <si>
    <t>Pneumatic valve plug</t>
  </si>
  <si>
    <t>DRS-0006</t>
  </si>
  <si>
    <t>Sensor plug</t>
  </si>
  <si>
    <t>DRS-0007</t>
  </si>
  <si>
    <t>Pneumatic fittings</t>
  </si>
  <si>
    <t>DRS-0008</t>
  </si>
  <si>
    <t>Pneumatic connector</t>
  </si>
  <si>
    <t>DRS-0009</t>
  </si>
  <si>
    <t>Z axis clamp cylinder</t>
  </si>
  <si>
    <t>DRS-0010</t>
  </si>
  <si>
    <t>Y axis clamp cylinder</t>
  </si>
  <si>
    <t>DRS-0011</t>
  </si>
  <si>
    <t>Z axis hydraupneumatic cylinder</t>
  </si>
  <si>
    <t>DRS-0012</t>
  </si>
  <si>
    <t>Module</t>
  </si>
  <si>
    <t>DRS-0013</t>
  </si>
  <si>
    <t>Motor drill chuck spindle</t>
  </si>
  <si>
    <t>DRS-0014</t>
  </si>
  <si>
    <t>Damper</t>
  </si>
  <si>
    <t>DRS-0015</t>
  </si>
  <si>
    <t>X axis desroutter motor ( big )</t>
  </si>
  <si>
    <t>DRS-0016</t>
  </si>
  <si>
    <t>Z axis desroutter motor ( Small )</t>
  </si>
  <si>
    <t>DRS-0017</t>
  </si>
  <si>
    <t>DESOUTTER DAMPER</t>
  </si>
  <si>
    <t>DRS-0018</t>
  </si>
  <si>
    <t>MA900EUM</t>
  </si>
  <si>
    <t>DRS-0019</t>
  </si>
  <si>
    <t>MA600EUM</t>
  </si>
  <si>
    <t>DRS-0020</t>
  </si>
  <si>
    <t>MC75EUM</t>
  </si>
  <si>
    <t>DRS-0021</t>
  </si>
  <si>
    <t>DESOUTTER DRILL AFDE 400</t>
  </si>
  <si>
    <t>DRS-0022</t>
  </si>
  <si>
    <t>DESOUTTER DRILL AFD 400</t>
  </si>
  <si>
    <t>DRS-0023</t>
  </si>
  <si>
    <t>Desoutter AFDE200-3750(2051480254) with control block(436313)</t>
  </si>
  <si>
    <t>DRS-0024</t>
  </si>
  <si>
    <t>DESOUTTER DRILL AFD 200</t>
  </si>
  <si>
    <t>DRS-0025</t>
  </si>
  <si>
    <t>Desoutter Output Spindle for AFD400 (389273)</t>
  </si>
  <si>
    <t>DRS-0026</t>
  </si>
  <si>
    <t>Desoutter Output Spindle for AFD200 K2(Y) (357183)</t>
  </si>
  <si>
    <t>DUG-0001</t>
  </si>
  <si>
    <t>Spindle 1600E,1350E,1000E NEW</t>
  </si>
  <si>
    <t>DUG-0002</t>
  </si>
  <si>
    <t xml:space="preserve">Refurbished - Spindle 1600E,1350E,1000E </t>
  </si>
  <si>
    <t>DUG-0003</t>
  </si>
  <si>
    <t>Spindle 760E NEW</t>
  </si>
  <si>
    <t>DUG-0004</t>
  </si>
  <si>
    <t>Drawbar All</t>
  </si>
  <si>
    <t>DUG-0005</t>
  </si>
  <si>
    <t>Unclamp cylinder 307003 760E</t>
  </si>
  <si>
    <t>DUG-0006</t>
  </si>
  <si>
    <t>Orientation proximity sensor E2E-X2F1</t>
  </si>
  <si>
    <t>DUG-0007</t>
  </si>
  <si>
    <t>Spindle collet/ Spindle gripper</t>
  </si>
  <si>
    <t>DUG-0008</t>
  </si>
  <si>
    <t>Belt 770-5GT</t>
  </si>
  <si>
    <t>DUG-0009</t>
  </si>
  <si>
    <t>Belt 1330-5GT</t>
  </si>
  <si>
    <t>DUG-0010</t>
  </si>
  <si>
    <t>Belt 810-5GT</t>
  </si>
  <si>
    <t>DUG-0011</t>
  </si>
  <si>
    <t>Belt 1400-5GT</t>
  </si>
  <si>
    <t>DUG-0012</t>
  </si>
  <si>
    <t>Belt 860-5GT</t>
  </si>
  <si>
    <t>DUG-0013</t>
  </si>
  <si>
    <t>Axis bearings 1000 E, 1350 E, 1600 E</t>
  </si>
  <si>
    <t>DUG-0014</t>
  </si>
  <si>
    <t>Axis bearings 760 E</t>
  </si>
  <si>
    <t>DUG-0015</t>
  </si>
  <si>
    <t>Arm motor</t>
  </si>
  <si>
    <t>DUG-0016</t>
  </si>
  <si>
    <t>Magazine motor</t>
  </si>
  <si>
    <t>DUG-0017</t>
  </si>
  <si>
    <t>Pilot check valve</t>
  </si>
  <si>
    <t>DUG-0018</t>
  </si>
  <si>
    <t>Arm unit</t>
  </si>
  <si>
    <t>DUG-0019</t>
  </si>
  <si>
    <t>Arm position proximity sensor</t>
  </si>
  <si>
    <t>DUG-0020</t>
  </si>
  <si>
    <t>Chain</t>
  </si>
  <si>
    <t>DUG-0021</t>
  </si>
  <si>
    <t>Pulley of counterbalance chain</t>
  </si>
  <si>
    <t>DUG-0022</t>
  </si>
  <si>
    <t>Pulley bearing</t>
  </si>
  <si>
    <t>DUG-0023</t>
  </si>
  <si>
    <t>X,Y, and Z axis feedback cable</t>
  </si>
  <si>
    <t>DUG-0024</t>
  </si>
  <si>
    <t>X,Y, and Z axis power cable</t>
  </si>
  <si>
    <t>DUG-0026</t>
  </si>
  <si>
    <t>X axis ball screw new</t>
  </si>
  <si>
    <t>DUG-0027</t>
  </si>
  <si>
    <t>Y axis ball screw new</t>
  </si>
  <si>
    <t>DUG-0028</t>
  </si>
  <si>
    <t>Z axis ball screw new</t>
  </si>
  <si>
    <t>DUG-0029</t>
  </si>
  <si>
    <t>Refurbished - X axis ball screw</t>
  </si>
  <si>
    <t>DUG-0030</t>
  </si>
  <si>
    <t>Refurbished - Y axis ball screw</t>
  </si>
  <si>
    <t>DUG-0031</t>
  </si>
  <si>
    <t>Refurbished - Z axis ball screw</t>
  </si>
  <si>
    <t>DUG-0032</t>
  </si>
  <si>
    <t>Pulley shaft Part</t>
  </si>
  <si>
    <t>DUG-0033</t>
  </si>
  <si>
    <t>Guide block Part</t>
  </si>
  <si>
    <t>DUG-0034</t>
  </si>
  <si>
    <t>Guide rail Part</t>
  </si>
  <si>
    <t>DUG-0035</t>
  </si>
  <si>
    <t>Spacer part</t>
  </si>
  <si>
    <t>DUG-0036</t>
  </si>
  <si>
    <t>Tapered rod for Tool Arm</t>
  </si>
  <si>
    <t>DUG-0037</t>
  </si>
  <si>
    <t>6SL3131-6TE23-6AA3 Smart Line Module</t>
  </si>
  <si>
    <t>DUG-0038</t>
  </si>
  <si>
    <t>6SL3121-2TE21-8AA3 Double Motor Module</t>
  </si>
  <si>
    <t>DUG-0039</t>
  </si>
  <si>
    <t>6SL3121-1TE23-0AA3 Single Motor Module</t>
  </si>
  <si>
    <t>DUG-0040</t>
  </si>
  <si>
    <t>6SL3121-1TE21-0AA4 Single Motor Module</t>
  </si>
  <si>
    <t>DUG-0041</t>
  </si>
  <si>
    <t>1FK7083-2AC71-1RH1 Z AXIS MOTOR</t>
  </si>
  <si>
    <t>DUG-0042</t>
  </si>
  <si>
    <t>6FC5835-2GY40-2YA0 Memory Card</t>
  </si>
  <si>
    <t>DUG-0043</t>
  </si>
  <si>
    <t>6FC5370-3AA30-0AA1 Monitor</t>
  </si>
  <si>
    <t>DUG-0044</t>
  </si>
  <si>
    <t>6FC5303-0AF22-0AA1 Keyboard</t>
  </si>
  <si>
    <t>DUG-0045</t>
  </si>
  <si>
    <t>Power Supply Unit SL 20</t>
  </si>
  <si>
    <t>DUG-0046</t>
  </si>
  <si>
    <t>Angle Head Full</t>
  </si>
  <si>
    <t>DUG-0048</t>
  </si>
  <si>
    <t>Spindle Motor Encoder 1600/1350/1000 Id: 749147-02</t>
  </si>
  <si>
    <t>DUG-0049</t>
  </si>
  <si>
    <t>1FK70842AC7 11RG1 X-Axis Motor</t>
  </si>
  <si>
    <t>DUG-0200</t>
  </si>
  <si>
    <t>Axial Fan</t>
  </si>
  <si>
    <t>DUG-0202</t>
  </si>
  <si>
    <t>FRL- Unit</t>
  </si>
  <si>
    <t>DUG-0203</t>
  </si>
  <si>
    <t>1000 E Y AXIS COVER</t>
  </si>
  <si>
    <t>DUG-0204</t>
  </si>
  <si>
    <t>Tool Holder CNC Mounting Pin</t>
  </si>
  <si>
    <t>DUG-0205</t>
  </si>
  <si>
    <t>Tool Pocket Dugard</t>
  </si>
  <si>
    <t>DUG-0206</t>
  </si>
  <si>
    <t>Drawbar spring washers/ Spindle disk spring KIT</t>
  </si>
  <si>
    <t>DUG-0207</t>
  </si>
  <si>
    <t>Unclamp cylinder repairing kit</t>
  </si>
  <si>
    <t>DUG-0209</t>
  </si>
  <si>
    <t>Pot up-down cylinder</t>
  </si>
  <si>
    <t>DUG-0211</t>
  </si>
  <si>
    <t>Tapered rod</t>
  </si>
  <si>
    <t>DUG-0212</t>
  </si>
  <si>
    <t>Bar claw</t>
  </si>
  <si>
    <t>DUG-0213</t>
  </si>
  <si>
    <t>Spring</t>
  </si>
  <si>
    <t>DUG-0214</t>
  </si>
  <si>
    <t>Inserted pin for chain</t>
  </si>
  <si>
    <t>DUG-0215</t>
  </si>
  <si>
    <t>Retaining Rings E- type</t>
  </si>
  <si>
    <t>DUG-0216</t>
  </si>
  <si>
    <t>Pressure regulating valve for counter balance cylinder/ Compressor</t>
  </si>
  <si>
    <t>DUG-0217</t>
  </si>
  <si>
    <t>DUG-0218</t>
  </si>
  <si>
    <t>Work lights internal</t>
  </si>
  <si>
    <t>DUG-0220</t>
  </si>
  <si>
    <t>Safety door interlock omron</t>
  </si>
  <si>
    <t>DUG-0221</t>
  </si>
  <si>
    <t>Safety door interlock euchner</t>
  </si>
  <si>
    <t>DUG-0222</t>
  </si>
  <si>
    <t>Side door interlock</t>
  </si>
  <si>
    <t>DUG-0223</t>
  </si>
  <si>
    <t>Maintenance key switch</t>
  </si>
  <si>
    <t>DUG-0224</t>
  </si>
  <si>
    <t>Fan of heat exchanger for Electrical cabinet</t>
  </si>
  <si>
    <t>DUG-0225</t>
  </si>
  <si>
    <t>Striker Cylinder Repair Kit</t>
  </si>
  <si>
    <t>DUG-0226</t>
  </si>
  <si>
    <t>Compressor for oil chiller</t>
  </si>
  <si>
    <t>DUG-0227</t>
  </si>
  <si>
    <t>MPG</t>
  </si>
  <si>
    <t>DUG-0228</t>
  </si>
  <si>
    <t>Electric Lubricator</t>
  </si>
  <si>
    <t>DUG-0229</t>
  </si>
  <si>
    <t>Spindle positioning key</t>
  </si>
  <si>
    <t>DUG-0230</t>
  </si>
  <si>
    <t>Indicator Light External</t>
  </si>
  <si>
    <t>DUG-0231</t>
  </si>
  <si>
    <t>Lubricating Pipe</t>
  </si>
  <si>
    <t>DUG-0232</t>
  </si>
  <si>
    <t>Angle Head Bearing 3000-2Rs</t>
  </si>
  <si>
    <t>DUG-0233</t>
  </si>
  <si>
    <t>Angle Head Bearing 71904-C-T-P1A-UL</t>
  </si>
  <si>
    <t>DUG-0234</t>
  </si>
  <si>
    <t>Angle Head Bearing B7006-C-T-P4S-UM</t>
  </si>
  <si>
    <t>DUG-0235</t>
  </si>
  <si>
    <t>Angle Head  Seal R40X62X10AIN</t>
  </si>
  <si>
    <t>DUG-0236</t>
  </si>
  <si>
    <t>Angle Head  Seal R30X37X4AIN</t>
  </si>
  <si>
    <t>DUG-0237</t>
  </si>
  <si>
    <t>Angle Head  Seal R45-52-ASN</t>
  </si>
  <si>
    <t>DUG-0238</t>
  </si>
  <si>
    <t>Drawbar for Dugard Complete Set With Gripper</t>
  </si>
  <si>
    <t>DUG-0239</t>
  </si>
  <si>
    <t>6SL3120-1TE24-5AA3 Single Motor Module</t>
  </si>
  <si>
    <t>DUG-0240</t>
  </si>
  <si>
    <t>Gate Roller Wheel</t>
  </si>
  <si>
    <t>DUG-0241</t>
  </si>
  <si>
    <t>EBM PAPST W2D155-EB08-01 Spindle Motor Fan</t>
  </si>
  <si>
    <t>DUG-0242</t>
  </si>
  <si>
    <t>1000E  X Axis Left Telescopic Cover</t>
  </si>
  <si>
    <t>DUG-0243</t>
  </si>
  <si>
    <t>1000E X Axis Right Telescopic Cover</t>
  </si>
  <si>
    <t>DUG-0244</t>
  </si>
  <si>
    <t>1350E  X Axis Left Telescopic Cover</t>
  </si>
  <si>
    <t>DUG-0245</t>
  </si>
  <si>
    <t>1350E X Axis Right Telescopic Cover</t>
  </si>
  <si>
    <t>DUG-0246</t>
  </si>
  <si>
    <t>1350E  Y Axis Left Telescopic Cover</t>
  </si>
  <si>
    <t>DUG-0247</t>
  </si>
  <si>
    <t>1350E Y Axis Right Telescopic Cover</t>
  </si>
  <si>
    <t>DUG-0248</t>
  </si>
  <si>
    <t>1350E Z Axis Right Telescopic Cover</t>
  </si>
  <si>
    <t>DUG-0249</t>
  </si>
  <si>
    <t>Pressure Switch KP35 Danfoss</t>
  </si>
  <si>
    <t>DUG-0250</t>
  </si>
  <si>
    <t xml:space="preserve">Refurbished -  Siemens Double Motor Module </t>
  </si>
  <si>
    <t>DUG-0251</t>
  </si>
  <si>
    <t>Z-axis Seal</t>
  </si>
  <si>
    <t>DUG-0252</t>
  </si>
  <si>
    <t xml:space="preserve">Refurbished -  Keyboard </t>
  </si>
  <si>
    <t>DUG-0253</t>
  </si>
  <si>
    <t xml:space="preserve">Refurbished -  1FK7083-2AC71-1RH1 Motor </t>
  </si>
  <si>
    <t>DUG-0254</t>
  </si>
  <si>
    <t xml:space="preserve">Refurbished -  1FK7084-2AC71-1RG1 Motor </t>
  </si>
  <si>
    <t>DUG-0255</t>
  </si>
  <si>
    <t xml:space="preserve">Refurbished -  Seimens RHE 7697 Motor </t>
  </si>
  <si>
    <t>DUG-0256</t>
  </si>
  <si>
    <t>AMF 427971 Clamp Module K20</t>
  </si>
  <si>
    <t>DUG-0257</t>
  </si>
  <si>
    <t>AMF 303149 Clamping Pull-Stud K20</t>
  </si>
  <si>
    <t>DUG-0258</t>
  </si>
  <si>
    <t>AMF 303222 Engagement Screw K20</t>
  </si>
  <si>
    <t>DUG-0259</t>
  </si>
  <si>
    <t>Repair of Siemens Sinumerik 828D</t>
  </si>
  <si>
    <t>DUG-0260</t>
  </si>
  <si>
    <t>Chiller CO4PTS-3417D-XXX</t>
  </si>
  <si>
    <t>DUG-0261</t>
  </si>
  <si>
    <t>Chiller PC Board WB-04-220380</t>
  </si>
  <si>
    <t>DUG-0262</t>
  </si>
  <si>
    <t xml:space="preserve">Refurbished -  Single Motor Module </t>
  </si>
  <si>
    <t>DUG-0263</t>
  </si>
  <si>
    <t xml:space="preserve">Refurbished -  Conveyor Motor </t>
  </si>
  <si>
    <t>DUG-0264</t>
  </si>
  <si>
    <t xml:space="preserve">Refurbished -  Arm Motor </t>
  </si>
  <si>
    <t>DUG-0265</t>
  </si>
  <si>
    <t>Unclamp cylinder 307037</t>
  </si>
  <si>
    <t>DUG-0266</t>
  </si>
  <si>
    <t>Refurbished - SPINDLE 760E</t>
  </si>
  <si>
    <t>EGF-001</t>
  </si>
  <si>
    <t>WHE2500-2ARD High Power Pneumatic Swing Clamp</t>
  </si>
  <si>
    <t>EGF-002</t>
  </si>
  <si>
    <t>WHE1600-2ARD High Power Pneumatic Swing Clamp</t>
  </si>
  <si>
    <t>EGF-003</t>
  </si>
  <si>
    <t>WNC3003-L-E High Power Pneumatic Work Support</t>
  </si>
  <si>
    <t>EGF-004</t>
  </si>
  <si>
    <t>WHZ1600-T Material for Taper Lock Swing Lever Type WHA/WHE</t>
  </si>
  <si>
    <t>EGF-005</t>
  </si>
  <si>
    <t>BZW0100-A Air Flow Control Valve</t>
  </si>
  <si>
    <t>EGF-006</t>
  </si>
  <si>
    <t>WCE2502-2ACD High Power Pneumatic Link Clamp</t>
  </si>
  <si>
    <t>EGF-007</t>
  </si>
  <si>
    <t>BZW0100-B Air Flow Control Valve</t>
  </si>
  <si>
    <t>EGF-008</t>
  </si>
  <si>
    <t>SMC KQ2L06-M5A</t>
  </si>
  <si>
    <t>EGF-009</t>
  </si>
  <si>
    <t>SMC MGPM40-25Z-M9PL</t>
  </si>
  <si>
    <t>EGF-010</t>
  </si>
  <si>
    <t>SMC KQ2L06-01NS1</t>
  </si>
  <si>
    <t>EGF-011</t>
  </si>
  <si>
    <t>E2E-X7D112 2M Omron</t>
  </si>
  <si>
    <t>EGF-012</t>
  </si>
  <si>
    <t>E2EX4B3DL12-M1 Omron</t>
  </si>
  <si>
    <t>EGF-013</t>
  </si>
  <si>
    <t>D4B-4171N Limit Switch</t>
  </si>
  <si>
    <t>EGF-014</t>
  </si>
  <si>
    <t>OP10 WHZ2500-T_arm</t>
  </si>
  <si>
    <t>EGF-015</t>
  </si>
  <si>
    <t>OP10 bj811-12015-f</t>
  </si>
  <si>
    <t>EGF-016</t>
  </si>
  <si>
    <t>OP10 WHE2500_Sensor Washer</t>
  </si>
  <si>
    <t>EGF-017</t>
  </si>
  <si>
    <t>OP10 Clamp Manifold OP10_2</t>
  </si>
  <si>
    <t>EGF-018</t>
  </si>
  <si>
    <t>OP10 WNC_Pad</t>
  </si>
  <si>
    <t>EGF-019</t>
  </si>
  <si>
    <t>OP10 42A Nest2</t>
  </si>
  <si>
    <t>EGF-020</t>
  </si>
  <si>
    <t>OP10 MGPM40-25_PAD</t>
  </si>
  <si>
    <t>EGF-021</t>
  </si>
  <si>
    <t>OP10 MGPM40_Stand2</t>
  </si>
  <si>
    <t>EGF-022</t>
  </si>
  <si>
    <t>OP10 Clamp Manifold Base1</t>
  </si>
  <si>
    <t>EGF-023</t>
  </si>
  <si>
    <t>OP10 Clamp Manifold Base2</t>
  </si>
  <si>
    <t>EGF-024</t>
  </si>
  <si>
    <t>OP10 Clamp Manifold Base3</t>
  </si>
  <si>
    <t>EGF-025</t>
  </si>
  <si>
    <t>OP10 Datum Stand</t>
  </si>
  <si>
    <t>EGF-026</t>
  </si>
  <si>
    <t>OP10 Clamp Manifold Base5</t>
  </si>
  <si>
    <t>EGF-027</t>
  </si>
  <si>
    <t>OP10 WHZ2500-T_arm4</t>
  </si>
  <si>
    <t>EGF-028</t>
  </si>
  <si>
    <t>OP10 Clamp Manifold OP10_4</t>
  </si>
  <si>
    <t>EGF-029</t>
  </si>
  <si>
    <t>OP10 Y_Datum OP10</t>
  </si>
  <si>
    <t>EGF-030</t>
  </si>
  <si>
    <t>OP10 Clamp Manifold Base6</t>
  </si>
  <si>
    <t>EGF-031</t>
  </si>
  <si>
    <t>OP10 Clamp Manifold OP10_5</t>
  </si>
  <si>
    <t>EGF-032</t>
  </si>
  <si>
    <t>OP10 WHZ1600-T_Rocker2</t>
  </si>
  <si>
    <t>EGF-033</t>
  </si>
  <si>
    <t>OP10 L460_Contact Bolt</t>
  </si>
  <si>
    <t>EGF-034</t>
  </si>
  <si>
    <t>OP10 L460 Datum Pin</t>
  </si>
  <si>
    <t>EGF-035</t>
  </si>
  <si>
    <t>OP10 L 460 Clamping Screw_OP10</t>
  </si>
  <si>
    <t>EGF-036</t>
  </si>
  <si>
    <t>OP20 WCZ0500-L2</t>
  </si>
  <si>
    <t>EGF-037</t>
  </si>
  <si>
    <t>OP20 Datum Pin</t>
  </si>
  <si>
    <t>EGF-038</t>
  </si>
  <si>
    <t>OP20 Datum Pin housing</t>
  </si>
  <si>
    <t>EGF-039</t>
  </si>
  <si>
    <t>OP20 ring_fystwn17</t>
  </si>
  <si>
    <t>EGF-040</t>
  </si>
  <si>
    <t>OP20 datum Spring dia18</t>
  </si>
  <si>
    <t>EGF-041</t>
  </si>
  <si>
    <t>OP20 WHZ2500-T_arm_OP20</t>
  </si>
  <si>
    <t>EGF-042</t>
  </si>
  <si>
    <t>OP20 bj811-12015-f</t>
  </si>
  <si>
    <t>EGF-043</t>
  </si>
  <si>
    <t>OP20 L 460 Clamping Screw_OP20</t>
  </si>
  <si>
    <t>EGF-044</t>
  </si>
  <si>
    <t>OP20 L 460 Clamping Screw_OP20_2</t>
  </si>
  <si>
    <t>EGF-045</t>
  </si>
  <si>
    <t>OP20 L 460 Clamping Screw_OP20_3</t>
  </si>
  <si>
    <t>EL-00001</t>
  </si>
  <si>
    <t>BS4808 Part 2 (0.5sqmm) Red Color (P/N: RG1870) wire</t>
  </si>
  <si>
    <t>EL-00002</t>
  </si>
  <si>
    <t>3924 (0.5sqmm) Blu Color wire</t>
  </si>
  <si>
    <t>EL-00003</t>
  </si>
  <si>
    <t>RG1888 (0.5sqmm) Orange Color wire</t>
  </si>
  <si>
    <t>EL-000036</t>
  </si>
  <si>
    <t>ABB CPE24/10A</t>
  </si>
  <si>
    <t>EL-00004</t>
  </si>
  <si>
    <t>RG1870 (0.5sqmm) White Color wire</t>
  </si>
  <si>
    <t>EL-00005</t>
  </si>
  <si>
    <t>1SQMM wire</t>
  </si>
  <si>
    <t>EL-00006</t>
  </si>
  <si>
    <t>Glass Fuse 2A</t>
  </si>
  <si>
    <t>EL-00007</t>
  </si>
  <si>
    <t>Soldering Lead</t>
  </si>
  <si>
    <t>EL-00008</t>
  </si>
  <si>
    <t>Butane Gas</t>
  </si>
  <si>
    <t>EL-00009</t>
  </si>
  <si>
    <t>Terminal Block 16sqmm</t>
  </si>
  <si>
    <t>EL-00010</t>
  </si>
  <si>
    <t>Terminal Block 10sqmm</t>
  </si>
  <si>
    <t>EL-00011</t>
  </si>
  <si>
    <t>Terminal Block 6sqmm</t>
  </si>
  <si>
    <t>EL-00012</t>
  </si>
  <si>
    <t>Cable Tie 300x4.8mm</t>
  </si>
  <si>
    <t>EL-00013</t>
  </si>
  <si>
    <t>Electrical Tape .5in</t>
  </si>
  <si>
    <t>EL-00016</t>
  </si>
  <si>
    <t>GI CONDUIT ELBOW</t>
  </si>
  <si>
    <t>EL-00017</t>
  </si>
  <si>
    <t>GI JUNCTION BOXES</t>
  </si>
  <si>
    <t>EL-00018</t>
  </si>
  <si>
    <t>CONDUIT PLASTIC ELBOW</t>
  </si>
  <si>
    <t>EL-00019</t>
  </si>
  <si>
    <t>CONDUIT PLASTIC CONDUIT CLIPS</t>
  </si>
  <si>
    <t>EL-00020</t>
  </si>
  <si>
    <t>GI CABLE TRAY 100X50 X 0.6MM THICK WITH COVER</t>
  </si>
  <si>
    <t>EL-00021</t>
  </si>
  <si>
    <t>GI CONNECTING BRACKET</t>
  </si>
  <si>
    <t>EL-00022</t>
  </si>
  <si>
    <t>BOLTS FOR CABLE TRAY</t>
  </si>
  <si>
    <t>EL-00023</t>
  </si>
  <si>
    <t>PG GLAND 13.5</t>
  </si>
  <si>
    <t>EL-00024</t>
  </si>
  <si>
    <t xml:space="preserve">WIRE CONNECTOR 4MM </t>
  </si>
  <si>
    <t>EL-00025</t>
  </si>
  <si>
    <t xml:space="preserve">WIRE CONNECTOR 6MM </t>
  </si>
  <si>
    <t>EL-00026</t>
  </si>
  <si>
    <t>Terminal Block 4sqmm</t>
  </si>
  <si>
    <t>EL-00027</t>
  </si>
  <si>
    <t>Industrial Male Plug 16A 3POL</t>
  </si>
  <si>
    <t>EL-00028</t>
  </si>
  <si>
    <t>Industrial Male Plug 32A 3POL</t>
  </si>
  <si>
    <t>EL-00029</t>
  </si>
  <si>
    <t>TERMINAL BLOCK 0.5MM</t>
  </si>
  <si>
    <t>EL-00030</t>
  </si>
  <si>
    <t>Flexible Cable 2.5x5</t>
  </si>
  <si>
    <t>EL-00031</t>
  </si>
  <si>
    <t>INDUSTRIAL PLUG 5 PIN 16A WALL MOUNTED MALE</t>
  </si>
  <si>
    <t>EL-00032</t>
  </si>
  <si>
    <t>INDUSTRIAL PLUG 5 PIN 16A WALL MOUNTED FEMALE</t>
  </si>
  <si>
    <t>EL-00033</t>
  </si>
  <si>
    <t>DIGITAL TIME SWITCH H5F-KB</t>
  </si>
  <si>
    <t>EL-00034</t>
  </si>
  <si>
    <t>PVC FLEXIBLE CONDUIT 50mm</t>
  </si>
  <si>
    <t>EL-00035</t>
  </si>
  <si>
    <t>CONTROL CABLE 0.5MMX10 CORE</t>
  </si>
  <si>
    <t>EL-00036</t>
  </si>
  <si>
    <t>Cable Tray 225mm</t>
  </si>
  <si>
    <t>EL-00037</t>
  </si>
  <si>
    <t>Glass Fuse 4A</t>
  </si>
  <si>
    <t>EL-00038</t>
  </si>
  <si>
    <t>Cable lugs 4mm</t>
  </si>
  <si>
    <t>EL-00039</t>
  </si>
  <si>
    <t>Cable lugs 10mm</t>
  </si>
  <si>
    <t>EL-00040</t>
  </si>
  <si>
    <t>Cable lugs 6mm</t>
  </si>
  <si>
    <t>EL-0200</t>
  </si>
  <si>
    <t>FESTO NEBU-M8G3-K2.5-LE3</t>
  </si>
  <si>
    <t>EL-0201</t>
  </si>
  <si>
    <t>FESTO Pressure Sensor SDE5-D10-O-Q6-P-M8 527464</t>
  </si>
  <si>
    <t>EL-0202</t>
  </si>
  <si>
    <t>Sick -  IM08-02BPS-ZW1 INDUCT. PROXIMITY SENSOR  - with cord</t>
  </si>
  <si>
    <t>EL-0203</t>
  </si>
  <si>
    <t>Sick -  IM08-02BNS-ZT1 INDUCT. PROXIMITY SENSOR</t>
  </si>
  <si>
    <t>EL-0204</t>
  </si>
  <si>
    <t>Omron E2E-X2B1T8- M5 INDUCT. PROXIMITY SENSOR</t>
  </si>
  <si>
    <t>EL-0205</t>
  </si>
  <si>
    <t>SMC D-M9BL</t>
  </si>
  <si>
    <t>EL-0206</t>
  </si>
  <si>
    <t>SMC D-M9PL</t>
  </si>
  <si>
    <t>EL-0207</t>
  </si>
  <si>
    <t>Festo SME-8-K5-LED-24</t>
  </si>
  <si>
    <t>EL-0208</t>
  </si>
  <si>
    <t>Omron E2E-S05S12-WC-B2</t>
  </si>
  <si>
    <t>EL-0209</t>
  </si>
  <si>
    <t>Sick YF8U13-020VA1XLEAX Accessories Plugconnectors and cables</t>
  </si>
  <si>
    <t>EL-0210</t>
  </si>
  <si>
    <t>Sick DOL-0803-602MC</t>
  </si>
  <si>
    <t>EL-0211</t>
  </si>
  <si>
    <t>FESTO KMYZ-9-24-5-LED-pur-b</t>
  </si>
  <si>
    <t>EL-0216</t>
  </si>
  <si>
    <t>Werma Signal Tower</t>
  </si>
  <si>
    <t>EL-0217</t>
  </si>
  <si>
    <t>TELEMECANIQUE XCSZ13</t>
  </si>
  <si>
    <t>EL-0218</t>
  </si>
  <si>
    <t>EATON Surface Mounting Enclosure M22-I3</t>
  </si>
  <si>
    <t>EL-0219</t>
  </si>
  <si>
    <t>Schneider XCSTE7312</t>
  </si>
  <si>
    <t>EL-0220</t>
  </si>
  <si>
    <t>Schneider XCSZ03</t>
  </si>
  <si>
    <t>EL-0221</t>
  </si>
  <si>
    <t>Sick YF2A14-030VB3XLEAXX CABLE 2109405</t>
  </si>
  <si>
    <t>EL-0222</t>
  </si>
  <si>
    <t>Schneider XS618B1PAL2</t>
  </si>
  <si>
    <t>EL-0223</t>
  </si>
  <si>
    <t>Sick IM12-06BPS-VC1 Inductive Proximity Sensor 6068718</t>
  </si>
  <si>
    <t>EL-0224</t>
  </si>
  <si>
    <t>Allen Bradley 440K-A21006</t>
  </si>
  <si>
    <t>EL-0225</t>
  </si>
  <si>
    <t>Honeywell Limit Switch GLAW6A2B</t>
  </si>
  <si>
    <t>EL-0226</t>
  </si>
  <si>
    <t>Omron Limit Switch WLCA2</t>
  </si>
  <si>
    <t>EL-0227</t>
  </si>
  <si>
    <t>LED Round 8in</t>
  </si>
  <si>
    <t>EL-0228</t>
  </si>
  <si>
    <t>LED Set</t>
  </si>
  <si>
    <t>EL-0229</t>
  </si>
  <si>
    <t>Schmersal Limit Switch AZ 335-112K-M20</t>
  </si>
  <si>
    <t>EL-0233</t>
  </si>
  <si>
    <t>ABB Switch Disconnector  1SCA022383R3450 (OTP63B3M)  63 A</t>
  </si>
  <si>
    <t>EL-0234</t>
  </si>
  <si>
    <t>ABB BW 340 M/TPN</t>
  </si>
  <si>
    <t>EL-0235</t>
  </si>
  <si>
    <t>F3SJ-E0545P25 Omron F3SJ Light Curtain</t>
  </si>
  <si>
    <t>EL-0236</t>
  </si>
  <si>
    <t>P1-25/V/SVB Eaton  Mainswitch</t>
  </si>
  <si>
    <t>EL-0237</t>
  </si>
  <si>
    <t>Omron DPDT Non-latching Relay Plug In, 24V dc coil, 5A G2R-2-SNDI 25DC(S)</t>
  </si>
  <si>
    <t>EL-0238</t>
  </si>
  <si>
    <t>Omron P2RF-OB-E</t>
  </si>
  <si>
    <t>EL-0239</t>
  </si>
  <si>
    <t>OMRON H3YN-2</t>
  </si>
  <si>
    <t>EL-0240</t>
  </si>
  <si>
    <t>OMRON H3CR</t>
  </si>
  <si>
    <t>EL-0241</t>
  </si>
  <si>
    <t>Safety Relay PILZ PNOX X2</t>
  </si>
  <si>
    <t>EL-0242</t>
  </si>
  <si>
    <t>Fan 6 inches</t>
  </si>
  <si>
    <t>EL-0243</t>
  </si>
  <si>
    <t>Fan 4 inches</t>
  </si>
  <si>
    <t>EL-0244</t>
  </si>
  <si>
    <t>Crouzet Single module sub base Mfr Part No. 81532001</t>
  </si>
  <si>
    <t>EL-0245</t>
  </si>
  <si>
    <t>Crouzet 0.1 30s Pneumatic Timer Mfr Part No. 81507720</t>
  </si>
  <si>
    <t>EL-0246</t>
  </si>
  <si>
    <t>Crouzet 0.1 15s Time Delay Module Mfr Part No. 81503710</t>
  </si>
  <si>
    <t>EL-0247</t>
  </si>
  <si>
    <t>Single Pole Breakers 20A</t>
  </si>
  <si>
    <t>EL-0248</t>
  </si>
  <si>
    <t>Single Pole Breakers 32A</t>
  </si>
  <si>
    <t>EL-0249</t>
  </si>
  <si>
    <t>Single Pole Breakers 16A</t>
  </si>
  <si>
    <t>EL-0250</t>
  </si>
  <si>
    <t>3 phase connectors 32A</t>
  </si>
  <si>
    <t>EL-0251</t>
  </si>
  <si>
    <t>3 phase connectors 16A</t>
  </si>
  <si>
    <t>EL-0252</t>
  </si>
  <si>
    <t>ABB Power Supply 5A</t>
  </si>
  <si>
    <t>EL-0253</t>
  </si>
  <si>
    <t>ABB Power Supply 2.5A</t>
  </si>
  <si>
    <t>EL-0254</t>
  </si>
  <si>
    <t>ELCB Breaker 40A</t>
  </si>
  <si>
    <t>EL-0255</t>
  </si>
  <si>
    <t>ELCB Breaker 100A</t>
  </si>
  <si>
    <t>EL-0256</t>
  </si>
  <si>
    <t>ELCB Breaker 63A</t>
  </si>
  <si>
    <t>EL-0257</t>
  </si>
  <si>
    <t>Fuse Holder 10X38</t>
  </si>
  <si>
    <t>EL-0258</t>
  </si>
  <si>
    <t>DOUBLE FUSE HOLDER 10X38</t>
  </si>
  <si>
    <t>EL-0259</t>
  </si>
  <si>
    <t>TRIPLE FUSE HOLDER 10X38</t>
  </si>
  <si>
    <t>EL-0260</t>
  </si>
  <si>
    <t>Genius USB Mouse</t>
  </si>
  <si>
    <t>EL-0261</t>
  </si>
  <si>
    <t>3 phase breaker 20A</t>
  </si>
  <si>
    <t>EL-0262</t>
  </si>
  <si>
    <t>3 phase breaker 100A</t>
  </si>
  <si>
    <t>EL-0263</t>
  </si>
  <si>
    <t>3 phase breaker 25A</t>
  </si>
  <si>
    <t>EL-0264</t>
  </si>
  <si>
    <t>3 phase breaker 40A</t>
  </si>
  <si>
    <t>EL-0265</t>
  </si>
  <si>
    <t>3 phase breaker</t>
  </si>
  <si>
    <t>EL-0266</t>
  </si>
  <si>
    <t>EL-0267</t>
  </si>
  <si>
    <t>Metal Enclosure 250 x 200 x 150</t>
  </si>
  <si>
    <t>EL-0268</t>
  </si>
  <si>
    <t>Metal Enclosure 400x300x200</t>
  </si>
  <si>
    <t>EL-0269</t>
  </si>
  <si>
    <t>D40 Emergency Stop TTR Head XB4BS8442</t>
  </si>
  <si>
    <t>EL-0270</t>
  </si>
  <si>
    <t>Eaton 3 Hole Enclosure</t>
  </si>
  <si>
    <t>EL-0271</t>
  </si>
  <si>
    <t>Plug Socket w/cable Nebu-M863-E-10-LE3</t>
  </si>
  <si>
    <t>EL-0274</t>
  </si>
  <si>
    <t>Push Button White XB5AW31B5</t>
  </si>
  <si>
    <t>EL-0275</t>
  </si>
  <si>
    <t>Push Button Yellow</t>
  </si>
  <si>
    <t>EL-0276</t>
  </si>
  <si>
    <t>Push Button Green XB5AW33B5</t>
  </si>
  <si>
    <t>EL-0277</t>
  </si>
  <si>
    <t>Push Button Blue XB5AW36B5</t>
  </si>
  <si>
    <t>EL-0278</t>
  </si>
  <si>
    <t>22mm illuminated push button green latching NLB22L11G1</t>
  </si>
  <si>
    <t>EL-0279</t>
  </si>
  <si>
    <t>22mm illuminated push button Red latching NLB22L11R1</t>
  </si>
  <si>
    <t>EL-0280</t>
  </si>
  <si>
    <t>armoured cable 4x4</t>
  </si>
  <si>
    <t>EL-0281</t>
  </si>
  <si>
    <t>armoured cable 4x10</t>
  </si>
  <si>
    <t>EL-0282</t>
  </si>
  <si>
    <t>ground cable y/g 4mm</t>
  </si>
  <si>
    <t>EL-0283</t>
  </si>
  <si>
    <t>ground cable y/g 6mm</t>
  </si>
  <si>
    <t>EL-0285</t>
  </si>
  <si>
    <t>Push button Switch Schneider Electric - XY2-SB</t>
  </si>
  <si>
    <t>EL-0286</t>
  </si>
  <si>
    <t>Metal Cable Gland 32</t>
  </si>
  <si>
    <t>EL-0287</t>
  </si>
  <si>
    <t>Plastic Cable Gland 32</t>
  </si>
  <si>
    <t>EL-0288</t>
  </si>
  <si>
    <t>Plastic Cable Gland 13.5</t>
  </si>
  <si>
    <t>EL-0289</t>
  </si>
  <si>
    <t>PLUG 13A</t>
  </si>
  <si>
    <t>EL-0290</t>
  </si>
  <si>
    <t>Metallic 2 Gang Socket</t>
  </si>
  <si>
    <t>EL-0291</t>
  </si>
  <si>
    <t>Klemsan Grey 4mm Grey</t>
  </si>
  <si>
    <t>EL-0292</t>
  </si>
  <si>
    <t>Klemsan Grey 4mm Blue</t>
  </si>
  <si>
    <t>EL-0293</t>
  </si>
  <si>
    <t>ABB FH204 AC 40A  RCD</t>
  </si>
  <si>
    <t>EL-0294</t>
  </si>
  <si>
    <t>ABB FH204 AC 63A RCD</t>
  </si>
  <si>
    <t>EL-0295</t>
  </si>
  <si>
    <t>ABB FH204 AC 100A RCD</t>
  </si>
  <si>
    <t>EL-0296</t>
  </si>
  <si>
    <t>RELAY ESB 40-20</t>
  </si>
  <si>
    <t>EL-0297</t>
  </si>
  <si>
    <t>SIEMENS MOTOR RELAY 3RV1011-0KA20</t>
  </si>
  <si>
    <t>EL-0298</t>
  </si>
  <si>
    <t>Relay CA2KN</t>
  </si>
  <si>
    <t>EL-0299</t>
  </si>
  <si>
    <t>RELAY LC1K</t>
  </si>
  <si>
    <t>EL-0300</t>
  </si>
  <si>
    <t>RELAY 3RT1015-2BB41</t>
  </si>
  <si>
    <t>EL-0301</t>
  </si>
  <si>
    <t>RELAY MOELLER DIL A-22</t>
  </si>
  <si>
    <t>EL-0302</t>
  </si>
  <si>
    <t>RELAY LC1D09</t>
  </si>
  <si>
    <t>EL-0303</t>
  </si>
  <si>
    <t>RELAY LC1D50</t>
  </si>
  <si>
    <t>EL-0304</t>
  </si>
  <si>
    <t>MOTOR OVERLOAD SWITCH LRD14</t>
  </si>
  <si>
    <t>EL-0305</t>
  </si>
  <si>
    <t>RELAY 3RT2024-2BB40</t>
  </si>
  <si>
    <t>EL-0306</t>
  </si>
  <si>
    <t>2 HOLE ENCLOSURE</t>
  </si>
  <si>
    <t>EL-0307</t>
  </si>
  <si>
    <t>230V SOCKET WITH SWITCH WALL MOUNTED</t>
  </si>
  <si>
    <t>EL-0308</t>
  </si>
  <si>
    <t>MOTOR O/LOAD SWITCH 16A 3PH</t>
  </si>
  <si>
    <t>EL-0309</t>
  </si>
  <si>
    <t>MOTOR O/LOAD SWITCH 9A 3PH</t>
  </si>
  <si>
    <t>EL-0310</t>
  </si>
  <si>
    <t>MOTOR O/LOAD SWITCH 1A 3PH</t>
  </si>
  <si>
    <t>EL-0311</t>
  </si>
  <si>
    <t>MOTOR O/LOAD SWITCH 12.5A 3PH</t>
  </si>
  <si>
    <t>EL-0312</t>
  </si>
  <si>
    <t>SINGLE HOLE ENCLOUSURE</t>
  </si>
  <si>
    <t>EL-0313</t>
  </si>
  <si>
    <t>3 WAY SELECTOR SWITCH</t>
  </si>
  <si>
    <t>EL-0314</t>
  </si>
  <si>
    <t>5P 16A 3 PHASE SOCKET WALL MOUNTED</t>
  </si>
  <si>
    <t>EL-0315</t>
  </si>
  <si>
    <t>3 PHASE ISOLATOR 50A</t>
  </si>
  <si>
    <t>EL-0316</t>
  </si>
  <si>
    <t>SINGLE  CLADDING BOX</t>
  </si>
  <si>
    <t>EL-0317</t>
  </si>
  <si>
    <t>SINGLE SWITCH/ ISOLATOR 230V</t>
  </si>
  <si>
    <t>EL-0318</t>
  </si>
  <si>
    <t>DOUBLE CLADDING SOCKET 230V</t>
  </si>
  <si>
    <t>EL-0319</t>
  </si>
  <si>
    <t>13 A PLUG</t>
  </si>
  <si>
    <t>EL-0320</t>
  </si>
  <si>
    <t>SINGLE SWITCH WITH BOX</t>
  </si>
  <si>
    <t>EL-0321</t>
  </si>
  <si>
    <t>4 WAY HARTING KIT 396-1699</t>
  </si>
  <si>
    <t>EL-0322</t>
  </si>
  <si>
    <t>ISOLATING ELECTRICAL TAPE</t>
  </si>
  <si>
    <t>EL-0323</t>
  </si>
  <si>
    <t>PG 11 PLASTIC GLAND</t>
  </si>
  <si>
    <t>EL-0324</t>
  </si>
  <si>
    <t>PG29 PLASTIC GLAND</t>
  </si>
  <si>
    <t>EL-0325</t>
  </si>
  <si>
    <t>PG 21 PLASTIC GLAND</t>
  </si>
  <si>
    <t>EL-0326</t>
  </si>
  <si>
    <t>Allen Bradley 440K E33040</t>
  </si>
  <si>
    <t>EL-0327</t>
  </si>
  <si>
    <t>Allen Bradley 440K B04025</t>
  </si>
  <si>
    <t>EL-0328</t>
  </si>
  <si>
    <t>PLASTIC JUNCTION BOX 100X100</t>
  </si>
  <si>
    <t>EL-0329</t>
  </si>
  <si>
    <t>SAFETY RELAY PHOENIX PSR-TS-SD18-SDIO4</t>
  </si>
  <si>
    <t>EL-0330</t>
  </si>
  <si>
    <t>SAFETY RELAY PHOENIX PSR-SPP-24DC/TS/M</t>
  </si>
  <si>
    <t>EL-0331</t>
  </si>
  <si>
    <t>PEDAL FOOT SWITCH XPEM511</t>
  </si>
  <si>
    <t>EL-0332</t>
  </si>
  <si>
    <t>ZCP21 TELEMAQANICUE SWITCH</t>
  </si>
  <si>
    <t>EL-0333</t>
  </si>
  <si>
    <t>ENCLOUSURE 250 X 200 X 150 METAL BOX</t>
  </si>
  <si>
    <t>EL-0334</t>
  </si>
  <si>
    <t>ENCLOUSURE 250 X 200 X 150 WITH ISOLATOR</t>
  </si>
  <si>
    <t>EL-0335</t>
  </si>
  <si>
    <t>4 IN COOLING FAN A2123-HBL</t>
  </si>
  <si>
    <t>EL-0336</t>
  </si>
  <si>
    <t>RELAY MY4IN-24VAC</t>
  </si>
  <si>
    <t>EL-0337</t>
  </si>
  <si>
    <t>TELEMECANIQUE XZCP196512</t>
  </si>
  <si>
    <t>EL-0338</t>
  </si>
  <si>
    <t>PEPPER FUCHS NBB5-186MEO-E2</t>
  </si>
  <si>
    <t>EL-0339</t>
  </si>
  <si>
    <t>Capacitor 80uf</t>
  </si>
  <si>
    <t>EL-0340</t>
  </si>
  <si>
    <t>Capacitor 2uf</t>
  </si>
  <si>
    <t>EL-0341</t>
  </si>
  <si>
    <t>Foot Pedal Switch</t>
  </si>
  <si>
    <t>EL-0342</t>
  </si>
  <si>
    <t>Push Button Limit Switch</t>
  </si>
  <si>
    <t>EL-0343</t>
  </si>
  <si>
    <t>Telemecanique Xcs-Z13</t>
  </si>
  <si>
    <t>EL-0344</t>
  </si>
  <si>
    <t>Bernstain 601-6419-059</t>
  </si>
  <si>
    <t>EL-0345</t>
  </si>
  <si>
    <t>Magnetic Sensor Switch</t>
  </si>
  <si>
    <t>EL-0346</t>
  </si>
  <si>
    <t>Junction Box 80X75X55</t>
  </si>
  <si>
    <t>EL-0347</t>
  </si>
  <si>
    <t>Flexible Cable 2.5X3 Core</t>
  </si>
  <si>
    <t>EL-0348</t>
  </si>
  <si>
    <t>FLEXIBLE CABLE 2.5X4CORE</t>
  </si>
  <si>
    <t>EL-0349</t>
  </si>
  <si>
    <t>FLEXIBLE CABLE 1.5X 3CORE BLACK</t>
  </si>
  <si>
    <t>EL-0350</t>
  </si>
  <si>
    <t>PVC TRUNKING 20MMX40MM</t>
  </si>
  <si>
    <t>EL-0351</t>
  </si>
  <si>
    <t>Abb Switch Disconectore 25Amp</t>
  </si>
  <si>
    <t>EL-0352</t>
  </si>
  <si>
    <t>2 Way Selector Switch</t>
  </si>
  <si>
    <t>EL-0353</t>
  </si>
  <si>
    <t>PYFZ-14-E-Socket, DIN rail/surface mounting, 14-pin, screw terminals (standard)</t>
  </si>
  <si>
    <t>EL-0354</t>
  </si>
  <si>
    <t>Pushbutton Switch Momentary A22NZ-BGMTGA</t>
  </si>
  <si>
    <t>EL-0356</t>
  </si>
  <si>
    <t>Safety Switch RE27-SA68L</t>
  </si>
  <si>
    <t>EL-0357</t>
  </si>
  <si>
    <t>D4DS-K5 Omron Actuator</t>
  </si>
  <si>
    <t>EL-0358</t>
  </si>
  <si>
    <t>Euchner 070038</t>
  </si>
  <si>
    <t>EL-0359</t>
  </si>
  <si>
    <t>LED Light 60x60</t>
  </si>
  <si>
    <t>EL-0360</t>
  </si>
  <si>
    <t>Pressure Switch</t>
  </si>
  <si>
    <t>EL-0361</t>
  </si>
  <si>
    <t>DOUBLE METAL SOCKET 15AMP WITH BOX</t>
  </si>
  <si>
    <t>EL-0362</t>
  </si>
  <si>
    <t>Isolator Switch 63A 400V</t>
  </si>
  <si>
    <t>EL-0365</t>
  </si>
  <si>
    <t>3Position Switch 32Amp</t>
  </si>
  <si>
    <t>EL-0400</t>
  </si>
  <si>
    <t>ABB MCCB 63 AMP</t>
  </si>
  <si>
    <t>EL-0401</t>
  </si>
  <si>
    <t>Terminal Bridge</t>
  </si>
  <si>
    <t>EL-0402</t>
  </si>
  <si>
    <t>Relay Switch Withbase 14 Pin</t>
  </si>
  <si>
    <t>EL-0403</t>
  </si>
  <si>
    <t>Relay Switch Withbase 8 Pin</t>
  </si>
  <si>
    <t>EL-0404</t>
  </si>
  <si>
    <t>Terminal Clip Cat6 Rj45</t>
  </si>
  <si>
    <t>EL-0405</t>
  </si>
  <si>
    <t>Rotary Switch DPP03007N20R</t>
  </si>
  <si>
    <t>EL-0406</t>
  </si>
  <si>
    <t>Metal Gland size CW-25S</t>
  </si>
  <si>
    <t>EL-0407</t>
  </si>
  <si>
    <t>Metal Gland size CW-25</t>
  </si>
  <si>
    <t>EL-0408</t>
  </si>
  <si>
    <t>PG 9 PLASTIC GLAND</t>
  </si>
  <si>
    <t>EL-0409</t>
  </si>
  <si>
    <t>LED Round 6in</t>
  </si>
  <si>
    <t>EL-0410</t>
  </si>
  <si>
    <t>Flexible Conduit 25mm</t>
  </si>
  <si>
    <t>EL-0411</t>
  </si>
  <si>
    <t>Flexible Conduit Clip</t>
  </si>
  <si>
    <t>EL-0412</t>
  </si>
  <si>
    <t>Flexible Conduit End Fitting 25mm</t>
  </si>
  <si>
    <t>EL-0413</t>
  </si>
  <si>
    <t>Metal Gland CW20S</t>
  </si>
  <si>
    <t>EL-0414</t>
  </si>
  <si>
    <t>Bar Code Scanner for Scanning Machines</t>
  </si>
  <si>
    <t>EL-0415</t>
  </si>
  <si>
    <t>Omron E3V3-T81-L</t>
  </si>
  <si>
    <t>EL-0416</t>
  </si>
  <si>
    <t>Brushless DC Pump 50w P2450</t>
  </si>
  <si>
    <t>EL-0417</t>
  </si>
  <si>
    <t>CAT6A Cable</t>
  </si>
  <si>
    <t>EL-0418</t>
  </si>
  <si>
    <t>CAT6A Coupler</t>
  </si>
  <si>
    <t>EMG-0001</t>
  </si>
  <si>
    <t>HSD Spindle</t>
  </si>
  <si>
    <t>EMG-0002</t>
  </si>
  <si>
    <t>Spindle Rotor New</t>
  </si>
  <si>
    <t>EMG-0003</t>
  </si>
  <si>
    <t>Refurbished - Spindle rotor</t>
  </si>
  <si>
    <t>EMG-0004</t>
  </si>
  <si>
    <t>Spindle head sensors</t>
  </si>
  <si>
    <t>EMG-0005</t>
  </si>
  <si>
    <t>Spindle head sensor cable</t>
  </si>
  <si>
    <t>EMG-0006</t>
  </si>
  <si>
    <t>Spindle chiller pump motor</t>
  </si>
  <si>
    <t>EMG-0007</t>
  </si>
  <si>
    <t>Spindle chiller cooling fan</t>
  </si>
  <si>
    <t>EMG-0008</t>
  </si>
  <si>
    <t>Spindle chiller temperature controler</t>
  </si>
  <si>
    <t>EMG-0009</t>
  </si>
  <si>
    <t>Ac cooling fan</t>
  </si>
  <si>
    <t>EMG-0010</t>
  </si>
  <si>
    <t>Ac blower</t>
  </si>
  <si>
    <t>EMG-0011</t>
  </si>
  <si>
    <t>Power cable x,y,z,c and b axis</t>
  </si>
  <si>
    <t>EMG-0019</t>
  </si>
  <si>
    <t>Linear bearings axis y</t>
  </si>
  <si>
    <t>EMG-0020</t>
  </si>
  <si>
    <t>Linear bearings axis z</t>
  </si>
  <si>
    <t>EMG-0021</t>
  </si>
  <si>
    <t>Ball screw bearings axis x</t>
  </si>
  <si>
    <t>EMG-0022</t>
  </si>
  <si>
    <t>Ball screw bearings axis y</t>
  </si>
  <si>
    <t>EMG-0023</t>
  </si>
  <si>
    <t>Ball screw bearings axis z</t>
  </si>
  <si>
    <t>EMG-0024</t>
  </si>
  <si>
    <t>Tool magazine single acting solenoid valve</t>
  </si>
  <si>
    <t>EMG-0025</t>
  </si>
  <si>
    <t>Tool magazine double acting solenoid valve</t>
  </si>
  <si>
    <t>EMG-0026</t>
  </si>
  <si>
    <t>Tool holder pocket sensor E2E-S05S12-WC-B2 2M</t>
  </si>
  <si>
    <t>EMG-0027</t>
  </si>
  <si>
    <t>Tool magazine sensor</t>
  </si>
  <si>
    <t>EMG-0028</t>
  </si>
  <si>
    <t>Tool magazine cylinder</t>
  </si>
  <si>
    <t>EMG-0029</t>
  </si>
  <si>
    <t>Oil lubrication pump</t>
  </si>
  <si>
    <t>EMG-0030</t>
  </si>
  <si>
    <t>MPG Handwheel</t>
  </si>
  <si>
    <t>EMG-0031</t>
  </si>
  <si>
    <t>Axis Linear bearing</t>
  </si>
  <si>
    <t>EMG-0032</t>
  </si>
  <si>
    <t>115678 X-AXIS Bearings plate</t>
  </si>
  <si>
    <t>EMG-0033</t>
  </si>
  <si>
    <t>115542 X-AXIS Bearings plate</t>
  </si>
  <si>
    <t>EMG-0034</t>
  </si>
  <si>
    <t>278520 Encoder Cable</t>
  </si>
  <si>
    <t>EMG-0035</t>
  </si>
  <si>
    <t>273486 Encoder Cable</t>
  </si>
  <si>
    <t>EMG-0036</t>
  </si>
  <si>
    <t>279033 Encoder Cable</t>
  </si>
  <si>
    <t>EMG-0037</t>
  </si>
  <si>
    <t>Block Mechanical 24V</t>
  </si>
  <si>
    <t>EMG-0038</t>
  </si>
  <si>
    <t>Pizzato FA 4115-2DG B AXIS LIMIT SWITCH</t>
  </si>
  <si>
    <t>EMG-0039</t>
  </si>
  <si>
    <t>Balluff BNS 813-D04-L12-62-12-04</t>
  </si>
  <si>
    <t>EMG-0040</t>
  </si>
  <si>
    <t>277361 Fan</t>
  </si>
  <si>
    <t>EMG-0041</t>
  </si>
  <si>
    <t>275977 Output Board</t>
  </si>
  <si>
    <t>EMG-0042</t>
  </si>
  <si>
    <t>266854 Input Board</t>
  </si>
  <si>
    <t>EMG-0043</t>
  </si>
  <si>
    <t>Electronic Card  - Digital Drive</t>
  </si>
  <si>
    <t>EMG-0044</t>
  </si>
  <si>
    <t>266936 Electronic Card</t>
  </si>
  <si>
    <t>EMG-0045</t>
  </si>
  <si>
    <t>262020 X-axis Linear Bearing</t>
  </si>
  <si>
    <t>EMG-0046</t>
  </si>
  <si>
    <t>Bearing SKF BSA 204/DBB</t>
  </si>
  <si>
    <t>EMG-0047</t>
  </si>
  <si>
    <t>276220 Hub</t>
  </si>
  <si>
    <t>EMG-0048</t>
  </si>
  <si>
    <t>Refurbished - B axis motor</t>
  </si>
  <si>
    <t>EMG-0049</t>
  </si>
  <si>
    <t>B axis motor new</t>
  </si>
  <si>
    <t>EMG-0050</t>
  </si>
  <si>
    <t>New Liquid Pump Motor Single Phase 230V</t>
  </si>
  <si>
    <t>EMG-0051</t>
  </si>
  <si>
    <t>X Axis Servo Motor</t>
  </si>
  <si>
    <t>EMG-0052</t>
  </si>
  <si>
    <t>Losma Extractor Unit</t>
  </si>
  <si>
    <t>EMG-0053</t>
  </si>
  <si>
    <t>Chiller Fan Motor</t>
  </si>
  <si>
    <t>EMG-0054</t>
  </si>
  <si>
    <t>Spindle Inverter Drive</t>
  </si>
  <si>
    <t>EMG-0055</t>
  </si>
  <si>
    <t>Emmegi 2 X Axis Feedback Cable</t>
  </si>
  <si>
    <t>EMG-0056</t>
  </si>
  <si>
    <t>Ac Units Controll Cabinets</t>
  </si>
  <si>
    <t>EMG-0057</t>
  </si>
  <si>
    <t>X Axis Limit Switch</t>
  </si>
  <si>
    <t>EMG-0058</t>
  </si>
  <si>
    <t>Z Axis Drive</t>
  </si>
  <si>
    <t>EMG-0059</t>
  </si>
  <si>
    <t>Y Axis Drive</t>
  </si>
  <si>
    <t>EMG-0060</t>
  </si>
  <si>
    <t>AUXILARY 3RT2926-3AB31</t>
  </si>
  <si>
    <t>EMG-0061</t>
  </si>
  <si>
    <t>Chiller Controller</t>
  </si>
  <si>
    <t>EMG-0062</t>
  </si>
  <si>
    <t>X Axis Gearbox</t>
  </si>
  <si>
    <t>EMG-0063</t>
  </si>
  <si>
    <t>Communication Cable</t>
  </si>
  <si>
    <t>EMG-0064</t>
  </si>
  <si>
    <t>Emmegi 2 Electronic Card</t>
  </si>
  <si>
    <t>EMG-0065</t>
  </si>
  <si>
    <t>263379 Selector</t>
  </si>
  <si>
    <t>EMG-0066</t>
  </si>
  <si>
    <t>EMG-0067</t>
  </si>
  <si>
    <t>266851 Electronic Card</t>
  </si>
  <si>
    <t>EMG-0068</t>
  </si>
  <si>
    <t>267151 Electronic Card</t>
  </si>
  <si>
    <t>EMG-0069</t>
  </si>
  <si>
    <t>266853 Electronic Card</t>
  </si>
  <si>
    <t>EMG-0070</t>
  </si>
  <si>
    <t>LED FLOOD LIGHT50W</t>
  </si>
  <si>
    <t>EMG-0071</t>
  </si>
  <si>
    <t>Rubber Wheel With Bolt With Brake</t>
  </si>
  <si>
    <t>EMG-0072</t>
  </si>
  <si>
    <t>252095 Barrier Cylinder</t>
  </si>
  <si>
    <t>EMG-0073</t>
  </si>
  <si>
    <t>255440 Air Cylinder CP96SDB40-320C</t>
  </si>
  <si>
    <t>EMG-0074</t>
  </si>
  <si>
    <t>122477 X – Axis Linear Rack _Cremagliera Destra</t>
  </si>
  <si>
    <t>EMG-0075</t>
  </si>
  <si>
    <t>118709 X - Axis Pinion_Pignone Denti Inclinati SX</t>
  </si>
  <si>
    <t>EMG-0076</t>
  </si>
  <si>
    <t>Brushless Motor Z Axis</t>
  </si>
  <si>
    <t>EMG-0077</t>
  </si>
  <si>
    <t>Ballscrew For Z Axis</t>
  </si>
  <si>
    <t>EMG-0078</t>
  </si>
  <si>
    <t>Belt C Axis</t>
  </si>
  <si>
    <t>EMG-0079</t>
  </si>
  <si>
    <t>Belt B Axis</t>
  </si>
  <si>
    <t>EMG-0080</t>
  </si>
  <si>
    <t>Spiralspring</t>
  </si>
  <si>
    <t>EMG-0081</t>
  </si>
  <si>
    <t xml:space="preserve">120366 B Axis Upper Pulley </t>
  </si>
  <si>
    <t>EMG-0082</t>
  </si>
  <si>
    <t>120369 B Axis Lower Pulley</t>
  </si>
  <si>
    <t>EMG-0083</t>
  </si>
  <si>
    <t>111893 B Axis Track Shoe</t>
  </si>
  <si>
    <t>EMG-0084</t>
  </si>
  <si>
    <t>266170 Push Button Panel</t>
  </si>
  <si>
    <t>EMG-0085</t>
  </si>
  <si>
    <t>255480 Belt</t>
  </si>
  <si>
    <t>EMG-0086</t>
  </si>
  <si>
    <t>F3SG-4RA0800-14 Safety Sensor 800mm</t>
  </si>
  <si>
    <t>EMG-0087</t>
  </si>
  <si>
    <t>F39-JG7A-D Safety Sensor Cable M12 8-pin</t>
  </si>
  <si>
    <t>EMG-0088</t>
  </si>
  <si>
    <t>F39-JG7A-L Safety Sensor Cable M12 5-pin</t>
  </si>
  <si>
    <t>EMG-0200</t>
  </si>
  <si>
    <t>LOSMA EXTRACT SEAL 8005.156.01 22</t>
  </si>
  <si>
    <t>EMG-0201</t>
  </si>
  <si>
    <t>Work Lamp</t>
  </si>
  <si>
    <t>EMG-0202</t>
  </si>
  <si>
    <t>Spindle o-ring</t>
  </si>
  <si>
    <t>EMG-0203</t>
  </si>
  <si>
    <t>Drawbar cylinder o-ring</t>
  </si>
  <si>
    <t>EMG-0205</t>
  </si>
  <si>
    <t xml:space="preserve">252093 Tool magazine cover cylinder </t>
  </si>
  <si>
    <t>EMG-0206</t>
  </si>
  <si>
    <t>Pressure switch</t>
  </si>
  <si>
    <t>EMG-0207</t>
  </si>
  <si>
    <t>Light guard Reer Vision safety light curtains VX 1355</t>
  </si>
  <si>
    <t>EMG-0208</t>
  </si>
  <si>
    <t>Door interlock switch</t>
  </si>
  <si>
    <t>EMG-0209</t>
  </si>
  <si>
    <t>Mechanical limit switch</t>
  </si>
  <si>
    <t>EMG-0210</t>
  </si>
  <si>
    <t>Axis Autolub Grease Dispenser</t>
  </si>
  <si>
    <t>EMG-0211</t>
  </si>
  <si>
    <t>Machine lamp</t>
  </si>
  <si>
    <t>EMG-0212</t>
  </si>
  <si>
    <t>Mouse</t>
  </si>
  <si>
    <t>EMG-0215</t>
  </si>
  <si>
    <t>Air prep unit assembly</t>
  </si>
  <si>
    <t>EMG-0216</t>
  </si>
  <si>
    <t>X,Y and Z ballscrew cover</t>
  </si>
  <si>
    <t>EMG-0217</t>
  </si>
  <si>
    <t xml:space="preserve">118930 Emmegi Clips Tool Holder </t>
  </si>
  <si>
    <t>EMG-0218</t>
  </si>
  <si>
    <t xml:space="preserve">118931 Emmegi Clips Tool Holder </t>
  </si>
  <si>
    <t>EMG-0219</t>
  </si>
  <si>
    <t xml:space="preserve">255506 Tool Holder Spring </t>
  </si>
  <si>
    <t>EMG-0220</t>
  </si>
  <si>
    <t>277140 Cable Mechatrolink 2 Conn. Cnc-Azion</t>
  </si>
  <si>
    <t>EMG-0221</t>
  </si>
  <si>
    <t>Losma Filter</t>
  </si>
  <si>
    <t>EMG-0222</t>
  </si>
  <si>
    <t>Chainflex¿ Cf270Ul.D Pur Motor/Servo Cable,</t>
  </si>
  <si>
    <t>EMG-0223</t>
  </si>
  <si>
    <t>Chainflex¿ Cf77.Ul.D Control Cable Pur</t>
  </si>
  <si>
    <t>EMG-0224</t>
  </si>
  <si>
    <t>REER MakeCD10-M12 str. 5 poles, 10 m cab</t>
  </si>
  <si>
    <t>EMG-0225</t>
  </si>
  <si>
    <t>REER MakeC8D10-M12 str. 8 poles,10 m cab</t>
  </si>
  <si>
    <t>EMG-0226</t>
  </si>
  <si>
    <t>Emmegi Drag Chain</t>
  </si>
  <si>
    <t>EMG-0227</t>
  </si>
  <si>
    <t>Z Axis bearings ball nut FBSA 204/DBB</t>
  </si>
  <si>
    <t>EMG-0229</t>
  </si>
  <si>
    <t>Industrial Water Chiller Unit</t>
  </si>
  <si>
    <t>EMG-0230</t>
  </si>
  <si>
    <t>SPRIAL HOSE 6'' X20MTR HEAVYDUTY</t>
  </si>
  <si>
    <t>EMG-0231</t>
  </si>
  <si>
    <t>HOSECLIPS FOR 6'' HOSE</t>
  </si>
  <si>
    <t>EMG-0232</t>
  </si>
  <si>
    <t>SKF Bearing,BSA204C/DBBGMM</t>
  </si>
  <si>
    <t>EMG-0233</t>
  </si>
  <si>
    <t>SPIRAL HOSE 6''X10MTR SOFT QUALITY</t>
  </si>
  <si>
    <t>EMG-0234</t>
  </si>
  <si>
    <t xml:space="preserve">122721 Reducer Shaft </t>
  </si>
  <si>
    <t>EMG-0235</t>
  </si>
  <si>
    <t xml:space="preserve">257825 Cylinder CD75E32-125C-B </t>
  </si>
  <si>
    <t>EMG-0236</t>
  </si>
  <si>
    <t>Reed switch bracket BM2-032</t>
  </si>
  <si>
    <t>EMG-0237</t>
  </si>
  <si>
    <t>Reed switch D-C73L</t>
  </si>
  <si>
    <t>EMG-0238</t>
  </si>
  <si>
    <t>255608 Joint - B-Axis</t>
  </si>
  <si>
    <t>EMG-0239</t>
  </si>
  <si>
    <t>110754 Spacer - B-Axis</t>
  </si>
  <si>
    <t>EMG-0240</t>
  </si>
  <si>
    <t>255380 Gearbox - B-Axis</t>
  </si>
  <si>
    <t>EMG-0241</t>
  </si>
  <si>
    <t>111890 Brake Disc - B-Axis</t>
  </si>
  <si>
    <t>EMG-0242</t>
  </si>
  <si>
    <t>111980 Flange - B-Axis</t>
  </si>
  <si>
    <t>EMG-0243</t>
  </si>
  <si>
    <t>250147 Radial Bearing - B-Axis</t>
  </si>
  <si>
    <t>EMG-0244</t>
  </si>
  <si>
    <t>112792 Washer - B-Axis</t>
  </si>
  <si>
    <t>EMG-0245</t>
  </si>
  <si>
    <t>255777 Self-locking Nut - B-Axis</t>
  </si>
  <si>
    <t>EMG-0246</t>
  </si>
  <si>
    <t>111888 Flange - B-Axis</t>
  </si>
  <si>
    <t>EMG-0247</t>
  </si>
  <si>
    <t>111893 Track Shoe - B-Axis</t>
  </si>
  <si>
    <t>EMG-0248</t>
  </si>
  <si>
    <t>255561 Ring Seal OR 3021 - B-Axis</t>
  </si>
  <si>
    <t>EMG-0249</t>
  </si>
  <si>
    <t>255560 Ring Seal OR 3075 - B-Axis</t>
  </si>
  <si>
    <t>EMG-0250</t>
  </si>
  <si>
    <t>111891 Satellite Piston - B-Axis</t>
  </si>
  <si>
    <t>EMG-0251</t>
  </si>
  <si>
    <t>255479 Compression Spring P=211,8N L=21,5 - B-Axis</t>
  </si>
  <si>
    <t>EMG-0252</t>
  </si>
  <si>
    <t>111897 Flange - B-Axis</t>
  </si>
  <si>
    <t>EMG-0253</t>
  </si>
  <si>
    <t>111370 Left Data Plate Axis-B - B-Axis</t>
  </si>
  <si>
    <t>EMG-0254</t>
  </si>
  <si>
    <t>259438 Silencer - B-Axis</t>
  </si>
  <si>
    <t>EMG-0255</t>
  </si>
  <si>
    <t>255421 Clamping Collar/Taper Bush</t>
  </si>
  <si>
    <t>EMG-0256</t>
  </si>
  <si>
    <t>277407 PSR-SPP-24DC/TS/M</t>
  </si>
  <si>
    <t>EMG-0257</t>
  </si>
  <si>
    <t>E5004152 PSR-SPP-24DC/TS/SDI8</t>
  </si>
  <si>
    <t>EMG-0258</t>
  </si>
  <si>
    <t>253698 Precision Dial Ans M20X1</t>
  </si>
  <si>
    <t>EMG-0259</t>
  </si>
  <si>
    <t>118558 Cylindric Spacer Ø20.5 Ø30 H5</t>
  </si>
  <si>
    <t>EMG-0260</t>
  </si>
  <si>
    <t>Refurbished - X-axis Gearbox</t>
  </si>
  <si>
    <t>EMG-0261</t>
  </si>
  <si>
    <t>Refurbished - ISAC - CANOpen Slave - 55A1</t>
  </si>
  <si>
    <t>EMG-0262</t>
  </si>
  <si>
    <t>275976 Electronic Card</t>
  </si>
  <si>
    <t>EMG-0263</t>
  </si>
  <si>
    <t>Weidmuller Relay Module 1122770000</t>
  </si>
  <si>
    <t>EMG-0264</t>
  </si>
  <si>
    <t>115512 ANODIZED PBS SENSOR BLOCK</t>
  </si>
  <si>
    <t>EMG-0265</t>
  </si>
  <si>
    <t>255521 SCREW TCEI RECTIFIED STEM M6 Ø8x12 UNBRAKO</t>
  </si>
  <si>
    <t>EMG-0266</t>
  </si>
  <si>
    <t>144495 CIRC. BLADE Ï340X3.6/3 F=32 Z=96</t>
  </si>
  <si>
    <t>EMG-0267</t>
  </si>
  <si>
    <t>273883 PNEUMATIC CONTROLLED PUMP. PLU320R.S PORT.REG. 3-30mmC</t>
  </si>
  <si>
    <t>EMG-0268</t>
  </si>
  <si>
    <t>116683 STOP ANTICOLLIS DEVICE. (SAT)</t>
  </si>
  <si>
    <t>EMG-0269</t>
  </si>
  <si>
    <t>PX0842/B Bulgin Straight, Panel Mount, Socket Type B 2.0 IP68 USB Connector</t>
  </si>
  <si>
    <t>EMG-0270</t>
  </si>
  <si>
    <t xml:space="preserve">275418 Spindle Black Cover </t>
  </si>
  <si>
    <t>EMG-0271</t>
  </si>
  <si>
    <t>Drawbar with gripper set</t>
  </si>
  <si>
    <t>EMG-0272</t>
  </si>
  <si>
    <t>Spindle Locknut Cover</t>
  </si>
  <si>
    <t>EMG-0273</t>
  </si>
  <si>
    <t>111667 Flange Locking Unit</t>
  </si>
  <si>
    <t>EMG-0274</t>
  </si>
  <si>
    <t>262438 Joint X-axis</t>
  </si>
  <si>
    <t>EMG-0275</t>
  </si>
  <si>
    <t>Pheonix Power Supply 2866394</t>
  </si>
  <si>
    <t>EMG-0276</t>
  </si>
  <si>
    <t>Refurbished - X-Axis Motor</t>
  </si>
  <si>
    <t>EMG-0277</t>
  </si>
  <si>
    <t>Refurbished - Z-Axis Motor</t>
  </si>
  <si>
    <t>EMG-0278</t>
  </si>
  <si>
    <t>Refurbished - Emmegi Inverter</t>
  </si>
  <si>
    <t>EMG-0279</t>
  </si>
  <si>
    <t>Siemens 3RT2016-2BB42</t>
  </si>
  <si>
    <t>EMG-0280</t>
  </si>
  <si>
    <t>Siemens 3RT2916-1DG00</t>
  </si>
  <si>
    <t>EXE-0001</t>
  </si>
  <si>
    <t>Spindle Motor</t>
  </si>
  <si>
    <t>EXE-0002</t>
  </si>
  <si>
    <t>Axes Motors</t>
  </si>
  <si>
    <t>EXE-0003</t>
  </si>
  <si>
    <t>Linear Table Motor</t>
  </si>
  <si>
    <t>EXE-0004</t>
  </si>
  <si>
    <t>Spindle Head Sensors</t>
  </si>
  <si>
    <t>EXE-0005</t>
  </si>
  <si>
    <t>Clamping Sensor</t>
  </si>
  <si>
    <t>EXE-0006</t>
  </si>
  <si>
    <t>Tool Release Sensor</t>
  </si>
  <si>
    <t>EXE-0007</t>
  </si>
  <si>
    <t>Spindle Rotation Sensor</t>
  </si>
  <si>
    <t>EXE-0008</t>
  </si>
  <si>
    <t>Cabin AC Unit</t>
  </si>
  <si>
    <t>EXE-0009</t>
  </si>
  <si>
    <t>Klƒberplex BEM34-132</t>
  </si>
  <si>
    <t>EXE-0010</t>
  </si>
  <si>
    <t>Isoflex NBU1</t>
  </si>
  <si>
    <t>EXE-0011</t>
  </si>
  <si>
    <t>GEARBOX ROTARY TABLE</t>
  </si>
  <si>
    <t>EXE-0012</t>
  </si>
  <si>
    <t>PSEN opII4HS-30-090 PILZ Safety Light Curtain</t>
  </si>
  <si>
    <t>EXE-0013</t>
  </si>
  <si>
    <t>Renishaw TRS2 Unit</t>
  </si>
  <si>
    <t>EXE-0014</t>
  </si>
  <si>
    <t>Flexible Strip Bush nylon backing 30 mm</t>
  </si>
  <si>
    <t>EXE-0016</t>
  </si>
  <si>
    <t>Garant Tool Holder</t>
  </si>
  <si>
    <t>EXE-0017</t>
  </si>
  <si>
    <t>X-mini Dress pack for JM1/JM2/JM3</t>
  </si>
  <si>
    <t>EXE-0018</t>
  </si>
  <si>
    <t>X-mini Dress pack for C1/A1</t>
  </si>
  <si>
    <t>EXE-0019</t>
  </si>
  <si>
    <t>X-mini Dress pack for TA/TX</t>
  </si>
  <si>
    <t>EXE-0020</t>
  </si>
  <si>
    <t>X-mini Dress pack for Spindle</t>
  </si>
  <si>
    <t>EXE-0021</t>
  </si>
  <si>
    <t>SOH-106959 RENISHAW- M4 D3mm ruby ball A-5003-3680</t>
  </si>
  <si>
    <t>EXE-0022</t>
  </si>
  <si>
    <t>SOH-106960 RENISHAW- M4 ceramic extension</t>
  </si>
  <si>
    <t>EXE-0023</t>
  </si>
  <si>
    <t>Renishaw ACS-1 Set incl training</t>
  </si>
  <si>
    <t>EXE-0024</t>
  </si>
  <si>
    <t>Renishaw RMP40 Kit</t>
  </si>
  <si>
    <t>EXE-0200</t>
  </si>
  <si>
    <t>EXECHON GREASE ACE FLEX F11J10</t>
  </si>
  <si>
    <t>FBF-0001</t>
  </si>
  <si>
    <t>X-Axis pusher  Block Cylinder 62067</t>
  </si>
  <si>
    <t>FBF-0002</t>
  </si>
  <si>
    <t>Z-Axis  Swing Clamp (L) 327957</t>
  </si>
  <si>
    <t>FBF-0003</t>
  </si>
  <si>
    <t>Y-Axis  Pull Cylinder 66480</t>
  </si>
  <si>
    <t>FBF-0004</t>
  </si>
  <si>
    <t>Pull clamp arm Modified 69229</t>
  </si>
  <si>
    <t>FBF-0005</t>
  </si>
  <si>
    <t>Z-Axis  Swing Clamp(R) 327932</t>
  </si>
  <si>
    <t>FBF-0006</t>
  </si>
  <si>
    <t>Swing clamp arm Modified 69245</t>
  </si>
  <si>
    <t>FBF-0007</t>
  </si>
  <si>
    <t>6994-11 Tube male Stud Coupling 112714</t>
  </si>
  <si>
    <t>FBF-0008</t>
  </si>
  <si>
    <t>SPRING-LOADED WORK LOCATORS IMAO CP710-08020B</t>
  </si>
  <si>
    <t>FBF-0009</t>
  </si>
  <si>
    <t>SCREW REST BUTTONS IMAO BJ811-12015-F</t>
  </si>
  <si>
    <t>FBF-0010</t>
  </si>
  <si>
    <t>SWIVEL SCREW CLAMPS  Type B IMAO BJ736-16050B</t>
  </si>
  <si>
    <t>FBF-0011</t>
  </si>
  <si>
    <t>OMRON E2E_X6B1TL12_M1</t>
  </si>
  <si>
    <t>FBF-0012</t>
  </si>
  <si>
    <t>Miniature Guide Rod Cylinder MGJ10-12-F8B</t>
  </si>
  <si>
    <t>FBF-0013</t>
  </si>
  <si>
    <t>O ring set MM</t>
  </si>
  <si>
    <t>FBF-0014</t>
  </si>
  <si>
    <t>O ring set INCH</t>
  </si>
  <si>
    <t>FBF-0015</t>
  </si>
  <si>
    <t>Frunk Beam Fixture Nut</t>
  </si>
  <si>
    <t>FBF-0016</t>
  </si>
  <si>
    <t>X-Axis Stopper FrunkBeam</t>
  </si>
  <si>
    <t>FSM-0001</t>
  </si>
  <si>
    <t>ABB Robot IRB 4400/60-3-P3-01</t>
  </si>
  <si>
    <t>FSM-0002</t>
  </si>
  <si>
    <t>AMF Hydraulic Station 322214</t>
  </si>
  <si>
    <t>FSM-0003</t>
  </si>
  <si>
    <t>AMF Hydraulic Swing Clamp 556960</t>
  </si>
  <si>
    <t>FSM-0004</t>
  </si>
  <si>
    <t>AMF Hydraulic Swing Clamp 556961</t>
  </si>
  <si>
    <t>FSM-0005</t>
  </si>
  <si>
    <t>AMF HydraulicLinkClamp 327486</t>
  </si>
  <si>
    <t>FSM-0006</t>
  </si>
  <si>
    <t>AMF Rotating Union 334185</t>
  </si>
  <si>
    <t>FSM-0007</t>
  </si>
  <si>
    <t>AMF Support Element 552201</t>
  </si>
  <si>
    <t>FSM-0008</t>
  </si>
  <si>
    <t>CEJN Quick Coupling Socket 101151252</t>
  </si>
  <si>
    <t>FSM-0009</t>
  </si>
  <si>
    <t>FESTO One-Way Flow Control Valve GRLA-1/8-QS-6-D</t>
  </si>
  <si>
    <t>FSM-0010</t>
  </si>
  <si>
    <t>FESTO One-Way Flow Control Valve GR-QS-4</t>
  </si>
  <si>
    <t>FSM-0011</t>
  </si>
  <si>
    <t>FESTO Piloted Non-Return Valve HGL-1/8-B</t>
  </si>
  <si>
    <t>FSM-0012</t>
  </si>
  <si>
    <t>FESTO Pneumatic Cylinder ADN-32-30-I-P-A</t>
  </si>
  <si>
    <t>FSM-0013</t>
  </si>
  <si>
    <t>FESTO Pneumatic Cylinder ADN-32-60-I-PPS-A</t>
  </si>
  <si>
    <t>FSM-0014</t>
  </si>
  <si>
    <t>FESTO Pneumatic Cylinder DFSP-32-20-D-S-PA</t>
  </si>
  <si>
    <t>FSM-0015</t>
  </si>
  <si>
    <t>FESTO Pneumatic Cylinder ADN-32-20-I-P-A</t>
  </si>
  <si>
    <t>FSM-0016</t>
  </si>
  <si>
    <t>FSM-0017</t>
  </si>
  <si>
    <t>FESTO Pressure Sensor SPAE-P10R-S4-PNLK-2.5K</t>
  </si>
  <si>
    <t>FSM-0018</t>
  </si>
  <si>
    <t>FESTO Quick Coupling Plug KS4-1/2-I</t>
  </si>
  <si>
    <t>FSM-0019</t>
  </si>
  <si>
    <t>FESTO Quick Coupling Plug KS4-3/8-I</t>
  </si>
  <si>
    <t>FSM-0020</t>
  </si>
  <si>
    <t>FESTO Quick Coupling Socket KD4-1/2-I</t>
  </si>
  <si>
    <t>FSM-0021</t>
  </si>
  <si>
    <t>FESTO Quick Coupling Socket KD4-3/8-A</t>
  </si>
  <si>
    <t>FSM-0022</t>
  </si>
  <si>
    <t>FESTO Seal VABD-L1-14X-S-G18</t>
  </si>
  <si>
    <t>FSM-0023</t>
  </si>
  <si>
    <t>FESTO Solenoid Coil MSFG-24/42-50/60-OD</t>
  </si>
  <si>
    <t>FSM-0024</t>
  </si>
  <si>
    <t>FESTO Solenoid Valve MFH-3-1/2</t>
  </si>
  <si>
    <t>FSM-0025</t>
  </si>
  <si>
    <t>FESTO Solenoid Valve VUVG-L14-B52-T-G18-1P3</t>
  </si>
  <si>
    <t>FSM-0026</t>
  </si>
  <si>
    <t>FESTO Solenoid Valve VUVG-L14-M52-AT-G18-1P3</t>
  </si>
  <si>
    <t>FSM-0027</t>
  </si>
  <si>
    <t>FESTO Solenoid Valve VUVG-L18-M52-RT-G14-1P3</t>
  </si>
  <si>
    <t>FSM-0028</t>
  </si>
  <si>
    <t>Bearing UCP328</t>
  </si>
  <si>
    <t>FSM-0029</t>
  </si>
  <si>
    <t>IFM AS-i Classicline Module AC505S</t>
  </si>
  <si>
    <t>FSM-0030</t>
  </si>
  <si>
    <t>IFM AS-i Classicline Module AC508S</t>
  </si>
  <si>
    <t>FSM-0031</t>
  </si>
  <si>
    <t>IFM AS-i Power Supply AC1253</t>
  </si>
  <si>
    <t>FSM-0032</t>
  </si>
  <si>
    <t>IFM AS-i Safety PCB AC015S</t>
  </si>
  <si>
    <t>FSM-0033</t>
  </si>
  <si>
    <t>IFM Control Station AC010S</t>
  </si>
  <si>
    <t>FSM-0034</t>
  </si>
  <si>
    <t>IFM Control Station AC012S</t>
  </si>
  <si>
    <t>FSM-0035</t>
  </si>
  <si>
    <t>IFM Inductive Sensor IE5338</t>
  </si>
  <si>
    <t>FSM-0036</t>
  </si>
  <si>
    <t>IFM Inductive Sensor IFC263</t>
  </si>
  <si>
    <t>FSM-0037</t>
  </si>
  <si>
    <t>IFM Inductive Sensor IFS204</t>
  </si>
  <si>
    <t>FSM-0038</t>
  </si>
  <si>
    <t>IFM Inductive Sensor IGC249</t>
  </si>
  <si>
    <t>FSM-0039</t>
  </si>
  <si>
    <t>Menzel Coaxial Spraying Head INDUTEC MS SD4</t>
  </si>
  <si>
    <t>FSM-0040</t>
  </si>
  <si>
    <t>OMRON Braking Resistor REM00K6035-IE</t>
  </si>
  <si>
    <t>FSM-0041</t>
  </si>
  <si>
    <t>OMRON Chokes AX-FER2815-RE</t>
  </si>
  <si>
    <t>FSM-0042</t>
  </si>
  <si>
    <t>OMRON Cm-Profinet SI-EP3/V</t>
  </si>
  <si>
    <t>FSM-0043</t>
  </si>
  <si>
    <t>OMRON EMC Filter AX-FIM3050-SE-V1</t>
  </si>
  <si>
    <t>FSM-0044</t>
  </si>
  <si>
    <t>OMRON Frequency Converter VZA4011FAA-S5030</t>
  </si>
  <si>
    <t>FSM-0045</t>
  </si>
  <si>
    <t>PILZ Connecting Cable PSEN Kabel Gerade/cable straightplug 10m</t>
  </si>
  <si>
    <t>FSM-0046</t>
  </si>
  <si>
    <t>PILZ Magnetic Safety Switch PSEN 1.1p-20/PSEN1.1-20/8mm/1unit</t>
  </si>
  <si>
    <t>FSM-0047</t>
  </si>
  <si>
    <t>Rittal Enclosure Cooling Unit SK 3305.540</t>
  </si>
  <si>
    <t>FSM-0048</t>
  </si>
  <si>
    <t>Rittal Passive Connection Module ASSB-4P-1M12-V1</t>
  </si>
  <si>
    <t>FSM-0049</t>
  </si>
  <si>
    <t>Rittal Solenoid Interlock Asi AZM201BZ-ST-T-AS-P-DU</t>
  </si>
  <si>
    <t>FSM-0050</t>
  </si>
  <si>
    <t>SCHUNK Clamping Module NSE3 99(1440333)</t>
  </si>
  <si>
    <t>FSM-0051</t>
  </si>
  <si>
    <t>SICK Safety Light Curtain C4C-EA12030A10000</t>
  </si>
  <si>
    <t>FSM-0052</t>
  </si>
  <si>
    <t>SICK Safety Light Curtain C4C-EA16530A10000</t>
  </si>
  <si>
    <t>FSM-0053</t>
  </si>
  <si>
    <t>SICK Safety Light Curtain C4C-SA12030A10000</t>
  </si>
  <si>
    <t>FSM-0054</t>
  </si>
  <si>
    <t>SICK Safety Light Curtain C4C-SA16530A10000</t>
  </si>
  <si>
    <t>FSM-0055</t>
  </si>
  <si>
    <t>SIEMENS Auxiliary Switch Block 3RH2911-1FA40</t>
  </si>
  <si>
    <t>FSM-0056</t>
  </si>
  <si>
    <t>SIEMENS Baseunit 6ES7193-6BP00-0DA0</t>
  </si>
  <si>
    <t>FSM-0057</t>
  </si>
  <si>
    <t>SIEMENS Baseunit 6ES7193-6BP20-0BC1</t>
  </si>
  <si>
    <t>FSM-0058</t>
  </si>
  <si>
    <t>SIEMENS Baseunit 6ES7193-6BP20-0DC0</t>
  </si>
  <si>
    <t>FSM-0059</t>
  </si>
  <si>
    <t>SIEMENS Busadapter 6ES7193-6AR00-0AA0</t>
  </si>
  <si>
    <t>FSM-0060</t>
  </si>
  <si>
    <t>SIEMENS Communication Module 3RK7137-6SA00-0BC1</t>
  </si>
  <si>
    <t>FSM-0061</t>
  </si>
  <si>
    <t>SIEMENS Connection Module 3RA2921-1BA00</t>
  </si>
  <si>
    <t>FSM-0062</t>
  </si>
  <si>
    <t>SIEMENS Controller 6ES7512-1SK01-0AB0</t>
  </si>
  <si>
    <t>FSM-0063</t>
  </si>
  <si>
    <t>SIEMENS Digital Input Module 6ES7131-6BH01-0BA0</t>
  </si>
  <si>
    <t>FSM-0064</t>
  </si>
  <si>
    <t>SIEMENS Digital Output Module 6ES7132-6BH01-0BA0</t>
  </si>
  <si>
    <t>FSM-0065</t>
  </si>
  <si>
    <t>SIEMENS Digital Safety Output Module 6ES7136-6DC00-0CA0</t>
  </si>
  <si>
    <t>FSM-0066</t>
  </si>
  <si>
    <t>SIEMENS Ethernet Switch 6GK5008-0BA10-1AB2</t>
  </si>
  <si>
    <t>FSM-0067</t>
  </si>
  <si>
    <t>SIEMENS HMI 6AV2124-0MC01-0AX0</t>
  </si>
  <si>
    <t>FSM-0068</t>
  </si>
  <si>
    <t>SIEMENS Interface Module 6ES7155-6AA01-0BN0</t>
  </si>
  <si>
    <t>FSM-0069</t>
  </si>
  <si>
    <t>SIEMENS Leakage Protector 5SU1354-0KK16</t>
  </si>
  <si>
    <t>FSM-0070</t>
  </si>
  <si>
    <t>SIEMENS Memory Card 6ES7954-8LE03-0AA0</t>
  </si>
  <si>
    <t>FSM-0071</t>
  </si>
  <si>
    <t>SIEMENS Power Supply 6EP1437-2BA20</t>
  </si>
  <si>
    <t>FSM-0072</t>
  </si>
  <si>
    <t>SIEMENS Safety Communication Module 3RK7136-6SC00-0BC1</t>
  </si>
  <si>
    <t>FSM-0073</t>
  </si>
  <si>
    <t>SMC Flow Switch PF3W704S-03-BT-MR</t>
  </si>
  <si>
    <t>FSM-0074</t>
  </si>
  <si>
    <t>SMC Pressure Sensor ISE20-P-01-LA1</t>
  </si>
  <si>
    <t>FSM-0075</t>
  </si>
  <si>
    <t>SMC Speed Control Valve AS4002F-12</t>
  </si>
  <si>
    <t>FSM-0076</t>
  </si>
  <si>
    <t>TURCK I/O Module TBEN-S2-8DXP</t>
  </si>
  <si>
    <t>FSM-0077</t>
  </si>
  <si>
    <t>WAGO Intermediate Relay 857-304</t>
  </si>
  <si>
    <t>FSM-0078</t>
  </si>
  <si>
    <t>Tool Holder</t>
  </si>
  <si>
    <t>FSM-0079</t>
  </si>
  <si>
    <t>Tool Holder Screw</t>
  </si>
  <si>
    <t>FSM-0080</t>
  </si>
  <si>
    <t>Tool Insert</t>
  </si>
  <si>
    <t>FSM-0081</t>
  </si>
  <si>
    <t>A6200H0050 HSD Power Signal Connector Kit</t>
  </si>
  <si>
    <t>FSM-0082</t>
  </si>
  <si>
    <t>Pheonix Contact HC-STA-B06-HHFS-1TTM25-EL-AL</t>
  </si>
  <si>
    <t>FSM-0083</t>
  </si>
  <si>
    <t>Pheonix Contact HC-M-B06-MFH-B</t>
  </si>
  <si>
    <t>FSM-0084</t>
  </si>
  <si>
    <t>Pheonix Contact HC-M-04-CT-M</t>
  </si>
  <si>
    <t>FSM-0085</t>
  </si>
  <si>
    <t>Pheonix Contact CK4,0-ED-2,50ST AG</t>
  </si>
  <si>
    <t>FSM-0086</t>
  </si>
  <si>
    <t>Pheonix Contact HC-M-12-CT-M</t>
  </si>
  <si>
    <t>FSM-0087</t>
  </si>
  <si>
    <t>Pheonix Contact CK1,5-ED1,00ST AG</t>
  </si>
  <si>
    <t>FSM-0088</t>
  </si>
  <si>
    <t>Pheonix Contact HC-CST-MOD</t>
  </si>
  <si>
    <t>FSU-0001</t>
  </si>
  <si>
    <t>FLOOR SCRUBBER  1200383 SQUEZZE</t>
  </si>
  <si>
    <t>FSU-0002</t>
  </si>
  <si>
    <t>FLOOR SCRUBBER 1200430 SQUEZEE</t>
  </si>
  <si>
    <t>GLM-0001</t>
  </si>
  <si>
    <t>Laser engraving machine SLG-60W</t>
  </si>
  <si>
    <t>GLM-0002</t>
  </si>
  <si>
    <t>Lens 200mm x 200mm marking area.</t>
  </si>
  <si>
    <t>GS-0001</t>
  </si>
  <si>
    <t>RV170-80A Gas Spring</t>
  </si>
  <si>
    <t>GS-0002</t>
  </si>
  <si>
    <t>RV170-075B Gas Spring</t>
  </si>
  <si>
    <t>GS-0003</t>
  </si>
  <si>
    <t>M90-080AYW Gas Spring</t>
  </si>
  <si>
    <t>GS-0004</t>
  </si>
  <si>
    <t>M90-125AYW Gas Spring</t>
  </si>
  <si>
    <t>GS-0005</t>
  </si>
  <si>
    <t>SCF250-100D Gas Spring</t>
  </si>
  <si>
    <t>GS-0006</t>
  </si>
  <si>
    <t>SCF250-125D Gas Spring</t>
  </si>
  <si>
    <t>GS-0007</t>
  </si>
  <si>
    <t>M90-100AYW Gas Spring</t>
  </si>
  <si>
    <t>GS-0008</t>
  </si>
  <si>
    <t>M200-100AYW Gas Spring</t>
  </si>
  <si>
    <t>HAC-0001</t>
  </si>
  <si>
    <t>MAIN PRESS CYLINDER LH</t>
  </si>
  <si>
    <t>HAC-0002</t>
  </si>
  <si>
    <t>MAIN PRESS CYLINDER RH</t>
  </si>
  <si>
    <t>HAC-0003</t>
  </si>
  <si>
    <t>INDUCTIVE SENSOR BALLUFF BES M12MI-PSC40B-BV03</t>
  </si>
  <si>
    <t>HAC-0004</t>
  </si>
  <si>
    <t>SAFETY LIGHT GUARD SOLUTIONS</t>
  </si>
  <si>
    <t>HAC-0005</t>
  </si>
  <si>
    <t>Refurbished - Motherboard</t>
  </si>
  <si>
    <t>KTL-0101</t>
  </si>
  <si>
    <t>Hoist drive crane</t>
  </si>
  <si>
    <t>KTL-0102</t>
  </si>
  <si>
    <t>Traverse drive crane</t>
  </si>
  <si>
    <t>KTL-0103</t>
  </si>
  <si>
    <t>Hoist motor with gearbox crane</t>
  </si>
  <si>
    <t>KTL-0104</t>
  </si>
  <si>
    <t>Traverse motor with gearbox crane</t>
  </si>
  <si>
    <t>KTL-0105</t>
  </si>
  <si>
    <t>Crane wheels</t>
  </si>
  <si>
    <t>KTL-0106</t>
  </si>
  <si>
    <t>Crane guide for traverse</t>
  </si>
  <si>
    <t>KTL-0107</t>
  </si>
  <si>
    <t>Hoist chain</t>
  </si>
  <si>
    <t>KTL-0108</t>
  </si>
  <si>
    <t>Hoist linear bearings</t>
  </si>
  <si>
    <t>KTL-0109</t>
  </si>
  <si>
    <t>FB tank sensors</t>
  </si>
  <si>
    <t>KTL-0110</t>
  </si>
  <si>
    <t>Hoist position sensors</t>
  </si>
  <si>
    <t>KTL-0111</t>
  </si>
  <si>
    <t>Bridge loading motor</t>
  </si>
  <si>
    <t>KTL-0112</t>
  </si>
  <si>
    <t>Drive chain  hoist</t>
  </si>
  <si>
    <t>KTL-0113</t>
  </si>
  <si>
    <t>Manual controller remote</t>
  </si>
  <si>
    <t>KTL-0114</t>
  </si>
  <si>
    <t>Shaft coupling hoist</t>
  </si>
  <si>
    <t>KTL-0115</t>
  </si>
  <si>
    <t>Shaft for travers wheels</t>
  </si>
  <si>
    <t>KTL-0116</t>
  </si>
  <si>
    <t>Tank steam motorized valves</t>
  </si>
  <si>
    <t>KTL-0117</t>
  </si>
  <si>
    <t>Temperature probes PT 500</t>
  </si>
  <si>
    <t>KTL-0118</t>
  </si>
  <si>
    <t>Tank lids mechanizm</t>
  </si>
  <si>
    <t>KTL-0119</t>
  </si>
  <si>
    <t>Steam coil</t>
  </si>
  <si>
    <t>KTL-0120</t>
  </si>
  <si>
    <t>Steam traps</t>
  </si>
  <si>
    <t>KTL-0121</t>
  </si>
  <si>
    <t>Clamping cylinder for ecoat</t>
  </si>
  <si>
    <t>KTL-0122</t>
  </si>
  <si>
    <t>Di plant regeneration head for HCL</t>
  </si>
  <si>
    <t>KTL-0123</t>
  </si>
  <si>
    <t>Di plant regeneration head for stage NaOH</t>
  </si>
  <si>
    <t>KTL-0124</t>
  </si>
  <si>
    <t>Extraction motor</t>
  </si>
  <si>
    <t>KTL-0125</t>
  </si>
  <si>
    <t>Extraction pump</t>
  </si>
  <si>
    <t>KTL-0126</t>
  </si>
  <si>
    <t>Extraction fan drive belts</t>
  </si>
  <si>
    <t>KTL-0127</t>
  </si>
  <si>
    <t>Extraction bearings</t>
  </si>
  <si>
    <t>KTL-0128</t>
  </si>
  <si>
    <t>Extraction pulleys</t>
  </si>
  <si>
    <t>KTL-0129</t>
  </si>
  <si>
    <t>Condensate recovery service kit</t>
  </si>
  <si>
    <t>KTL-0130</t>
  </si>
  <si>
    <t>Bridge loading sensors</t>
  </si>
  <si>
    <t>KTL-0131</t>
  </si>
  <si>
    <t>buffer position sensors</t>
  </si>
  <si>
    <t>KTL-0132</t>
  </si>
  <si>
    <t>Shuttle trolley drive motor</t>
  </si>
  <si>
    <t>KTL-0133</t>
  </si>
  <si>
    <t>Shuttle trolley drive drive</t>
  </si>
  <si>
    <t>KTL-0134</t>
  </si>
  <si>
    <t>Air blower motor</t>
  </si>
  <si>
    <t>KTL-0135</t>
  </si>
  <si>
    <t>Air blower belts</t>
  </si>
  <si>
    <t>KTL-0136</t>
  </si>
  <si>
    <t>Chiller fan</t>
  </si>
  <si>
    <t>KTL-0137</t>
  </si>
  <si>
    <t>Chiller motor</t>
  </si>
  <si>
    <t>KTL-0138</t>
  </si>
  <si>
    <t>Di water pump</t>
  </si>
  <si>
    <t>KTL-0139</t>
  </si>
  <si>
    <t>DP 27 repair service kit</t>
  </si>
  <si>
    <t>KTL-0140</t>
  </si>
  <si>
    <t>Spare dosing pump</t>
  </si>
  <si>
    <t>KTL-0141</t>
  </si>
  <si>
    <t>Paint recirculation pump service kit</t>
  </si>
  <si>
    <t>KTL-0142</t>
  </si>
  <si>
    <t>Ph probe</t>
  </si>
  <si>
    <t>KTL-0143</t>
  </si>
  <si>
    <t>Effluent mixer motor</t>
  </si>
  <si>
    <t>KTL-0144</t>
  </si>
  <si>
    <t>Spray nozzles</t>
  </si>
  <si>
    <t>KTL-0145</t>
  </si>
  <si>
    <t>Steam filter SS</t>
  </si>
  <si>
    <t>KTL-0146</t>
  </si>
  <si>
    <t>Water softner</t>
  </si>
  <si>
    <t>KTL-0147</t>
  </si>
  <si>
    <t>Degreasing pump service kit</t>
  </si>
  <si>
    <t>KTL-0148</t>
  </si>
  <si>
    <t>Raw water pump service kit</t>
  </si>
  <si>
    <t>KTL-0149</t>
  </si>
  <si>
    <t>Electrodes E coat</t>
  </si>
  <si>
    <t>KTL-0150</t>
  </si>
  <si>
    <t>Rectifier tyrystors</t>
  </si>
  <si>
    <t>KTL-0151</t>
  </si>
  <si>
    <t>FB position pins</t>
  </si>
  <si>
    <t>KTL-0152</t>
  </si>
  <si>
    <t>Degreasing filters</t>
  </si>
  <si>
    <t>KTL-0153</t>
  </si>
  <si>
    <t>Etip sludge bags</t>
  </si>
  <si>
    <t>KTL-0154</t>
  </si>
  <si>
    <t>Grease for chains and bearings</t>
  </si>
  <si>
    <t>KTL-0155</t>
  </si>
  <si>
    <t>Paint recirculation filters</t>
  </si>
  <si>
    <t>KTL-0156</t>
  </si>
  <si>
    <t>PVC back sheet roll</t>
  </si>
  <si>
    <t>KTL-0157</t>
  </si>
  <si>
    <t>Plastic welding materials rod</t>
  </si>
  <si>
    <t>KTL-0158</t>
  </si>
  <si>
    <t>Light barriers</t>
  </si>
  <si>
    <t>KTL-0159</t>
  </si>
  <si>
    <t>Teflon tubes</t>
  </si>
  <si>
    <t>KTL-0160</t>
  </si>
  <si>
    <t>PVC pipe 3"</t>
  </si>
  <si>
    <t>KTL-0161</t>
  </si>
  <si>
    <t>PVC pipe 2"</t>
  </si>
  <si>
    <t>KTL-0162</t>
  </si>
  <si>
    <t>PVC pipe 1"</t>
  </si>
  <si>
    <t>KTL-0163</t>
  </si>
  <si>
    <t>PVC tee 3" to 2"</t>
  </si>
  <si>
    <t>KTL-0164</t>
  </si>
  <si>
    <t>PVC elbow 90 2"</t>
  </si>
  <si>
    <t>KTL-0165</t>
  </si>
  <si>
    <t>PVC elbow 90 3"</t>
  </si>
  <si>
    <t>KTL-0166</t>
  </si>
  <si>
    <t>PVC 2" valve</t>
  </si>
  <si>
    <t>KTL-0167</t>
  </si>
  <si>
    <t>PVC 3" valve</t>
  </si>
  <si>
    <t>KTL-0168</t>
  </si>
  <si>
    <t>PVC 1" valve</t>
  </si>
  <si>
    <t>KTL-0169</t>
  </si>
  <si>
    <t>PVC 1" elbow 90</t>
  </si>
  <si>
    <t>KTL-0170</t>
  </si>
  <si>
    <t>PVC 1" socket</t>
  </si>
  <si>
    <t>KTL-0171</t>
  </si>
  <si>
    <t>PVC 3" cap</t>
  </si>
  <si>
    <t>KTL-0172</t>
  </si>
  <si>
    <t>PVC glue</t>
  </si>
  <si>
    <t>KTL-0173</t>
  </si>
  <si>
    <t>PVC cleaner</t>
  </si>
  <si>
    <t>KTL-0174</t>
  </si>
  <si>
    <t>PVC sheet 120x240</t>
  </si>
  <si>
    <t>KTL-0175</t>
  </si>
  <si>
    <t>2" pvc check valve</t>
  </si>
  <si>
    <t>KTL-0176</t>
  </si>
  <si>
    <t>2" pvc strainer</t>
  </si>
  <si>
    <t>KTL-0177</t>
  </si>
  <si>
    <t>2" pvc flange</t>
  </si>
  <si>
    <t>KTL-0178</t>
  </si>
  <si>
    <t>2" pvc clips</t>
  </si>
  <si>
    <t>KTL-0179</t>
  </si>
  <si>
    <t>3" pvc clips</t>
  </si>
  <si>
    <t>KTL-0180</t>
  </si>
  <si>
    <t>1" pvc clips</t>
  </si>
  <si>
    <t>LAS-0001</t>
  </si>
  <si>
    <t>tbc</t>
  </si>
  <si>
    <t>LM200W-0001</t>
  </si>
  <si>
    <t>Laser engraving machine 200W</t>
  </si>
  <si>
    <t>LM200W-0002</t>
  </si>
  <si>
    <t>LMM-0001</t>
  </si>
  <si>
    <t>OriginalEzcad control card - LMC V4 YES</t>
  </si>
  <si>
    <t>LMM-0002</t>
  </si>
  <si>
    <t>CK galvo head – CK customized YES</t>
  </si>
  <si>
    <t>LMM-0003</t>
  </si>
  <si>
    <t>Focus Lens – CK customized YES</t>
  </si>
  <si>
    <t>LMM-0004</t>
  </si>
  <si>
    <t>Emergency Switch – Standard YES</t>
  </si>
  <si>
    <t>LMM-0005</t>
  </si>
  <si>
    <t>Preview Red Light – Standard YES</t>
  </si>
  <si>
    <t>LMM-0006</t>
  </si>
  <si>
    <t>500W Power Supply – HF500W-QV-A YES</t>
  </si>
  <si>
    <t>LMM-0007</t>
  </si>
  <si>
    <t>On and Off key switch YES</t>
  </si>
  <si>
    <t>LMM-0008</t>
  </si>
  <si>
    <t>QS30LDQ BANNER PHOTOELECTRIC SENSOR</t>
  </si>
  <si>
    <t>LMM-0009</t>
  </si>
  <si>
    <t>MQDC1-515RA BANNER CONNECTOR AND CABLE 5 PIN R/A 5M</t>
  </si>
  <si>
    <t>LN-0001</t>
  </si>
  <si>
    <t>Lock Nut M5</t>
  </si>
  <si>
    <t>LN-0002</t>
  </si>
  <si>
    <t>Lock Nut M6</t>
  </si>
  <si>
    <t>LN-0003</t>
  </si>
  <si>
    <t>Lock Nut  M8</t>
  </si>
  <si>
    <t>LN-0004</t>
  </si>
  <si>
    <t>Lock Nut  M10</t>
  </si>
  <si>
    <t>LN-0005</t>
  </si>
  <si>
    <t>Lock Nut  M12</t>
  </si>
  <si>
    <t>LTA-0001</t>
  </si>
  <si>
    <t>6EP1334- 2BA20 SIEMENS</t>
  </si>
  <si>
    <t>LTA-0002</t>
  </si>
  <si>
    <t>3NC1093 SIEMENS</t>
  </si>
  <si>
    <t>LTA-0003</t>
  </si>
  <si>
    <t>5SL6106-6 SIEMENS</t>
  </si>
  <si>
    <t>LTA-0004</t>
  </si>
  <si>
    <t>LTA-0005</t>
  </si>
  <si>
    <t>LTA-0006</t>
  </si>
  <si>
    <t>5SV4311-0 SIEMENS</t>
  </si>
  <si>
    <t>LTA-0007</t>
  </si>
  <si>
    <t>5SL6110-6 SIEMENS</t>
  </si>
  <si>
    <t>LTA-0008</t>
  </si>
  <si>
    <t>5SL6104-7 SIEMENS</t>
  </si>
  <si>
    <t>LTA-0009</t>
  </si>
  <si>
    <t>5SL6116-6 SIEMENS</t>
  </si>
  <si>
    <t>LTA-0010</t>
  </si>
  <si>
    <t>PHILIPS PHILIPS</t>
  </si>
  <si>
    <t>LTA-0011</t>
  </si>
  <si>
    <t>3RH2122- 1BB40 SIEMENS</t>
  </si>
  <si>
    <t>LTA-0012</t>
  </si>
  <si>
    <t>LTA-0013</t>
  </si>
  <si>
    <t>XCKN2121P20 SCHNEIDER ELECTRIC</t>
  </si>
  <si>
    <t>LTA-0014</t>
  </si>
  <si>
    <t>612-2 KUKAMET</t>
  </si>
  <si>
    <t>LTA-0015</t>
  </si>
  <si>
    <t>8042542 FESTO</t>
  </si>
  <si>
    <t>LTA-0016</t>
  </si>
  <si>
    <t>534502 FESTO</t>
  </si>
  <si>
    <t>LTA-0017</t>
  </si>
  <si>
    <t>LTA-0018</t>
  </si>
  <si>
    <t>LTA-0019</t>
  </si>
  <si>
    <t>Positioning pin 1 23125.200.08</t>
  </si>
  <si>
    <t>LTA-0020</t>
  </si>
  <si>
    <t>Positioning pin 1 23125.200.05</t>
  </si>
  <si>
    <t>LTA-0021</t>
  </si>
  <si>
    <t>Part positioning cube (middle) 23125.200.01</t>
  </si>
  <si>
    <t>LTA-0022</t>
  </si>
  <si>
    <t>Part positioning cube (left) (for RH station) 23125.200.04</t>
  </si>
  <si>
    <t>LTA-0023</t>
  </si>
  <si>
    <t>Part positioning cube (right) (for RH station) 23125.200.20</t>
  </si>
  <si>
    <t>LTA-0024</t>
  </si>
  <si>
    <t>Part positioning cube (left) (for LH station) 23125.200.20_mirror</t>
  </si>
  <si>
    <t>LTA-0025</t>
  </si>
  <si>
    <t>Part positioning cube (right) (for LH station) 23125.200.04_mirror</t>
  </si>
  <si>
    <t>LTA-0026</t>
  </si>
  <si>
    <t>OPEN TIG RK M 5 STD / 1 NITOWNICA P2001 T MONT M5  23611305020/00</t>
  </si>
  <si>
    <t>LTA-0027</t>
  </si>
  <si>
    <t>OPEN ENC RK D5 STD / 1 NITOWNICA P2001 NA MONT M5  23611305030/00</t>
  </si>
  <si>
    <t>LTA-0028</t>
  </si>
  <si>
    <t>EPK C Vertical (TSV5) for M4 to M8 formats 5m</t>
  </si>
  <si>
    <t>LTA-0029</t>
  </si>
  <si>
    <t>Tooling EPK C Tool kit RIVKLE® blind rivet nuts (TOCT)</t>
  </si>
  <si>
    <t>LTA-0030</t>
  </si>
  <si>
    <t>Zebra Print head, 8 dots/mm (203 dpi) Part#P1123335-056</t>
  </si>
  <si>
    <t>LW-0001</t>
  </si>
  <si>
    <t>LW-0002</t>
  </si>
  <si>
    <t>LW-0003</t>
  </si>
  <si>
    <t>LW-0004</t>
  </si>
  <si>
    <t>LW-0005</t>
  </si>
  <si>
    <t>LW-0006</t>
  </si>
  <si>
    <t>LW-0007</t>
  </si>
  <si>
    <t>LW-0008</t>
  </si>
  <si>
    <t>LW-0009</t>
  </si>
  <si>
    <t>LW-0010</t>
  </si>
  <si>
    <t>MC-0001</t>
  </si>
  <si>
    <t>PLASTIC CHAIN YELLOW BLACK 5M REEL</t>
  </si>
  <si>
    <t>MC-0002</t>
  </si>
  <si>
    <t>RETRACTABLE HOSE REEL</t>
  </si>
  <si>
    <t>MC-0003</t>
  </si>
  <si>
    <t>Energizer Battery AAA</t>
  </si>
  <si>
    <t>MC-0004</t>
  </si>
  <si>
    <t>Energizer Battery AA</t>
  </si>
  <si>
    <t>MC-0005</t>
  </si>
  <si>
    <t>Energizer Battery 9V</t>
  </si>
  <si>
    <t>MC-0006</t>
  </si>
  <si>
    <t>Brother Tape TZE FX 241</t>
  </si>
  <si>
    <t>MC-0007</t>
  </si>
  <si>
    <t>Dymo Label D1 19mm Black on White</t>
  </si>
  <si>
    <t>MC-0008</t>
  </si>
  <si>
    <t>Dymo Label D1 12mm Black on White</t>
  </si>
  <si>
    <t>MC-0009</t>
  </si>
  <si>
    <t>Rubber matt coin type</t>
  </si>
  <si>
    <t>MC-0010</t>
  </si>
  <si>
    <t>Swarfega Jizzer</t>
  </si>
  <si>
    <t>MC-0011</t>
  </si>
  <si>
    <t>Lubex Anti Freeze Coolant</t>
  </si>
  <si>
    <t>MC-0012</t>
  </si>
  <si>
    <t>CLEAR PVC STRIP 10M X 200MM</t>
  </si>
  <si>
    <t>MC-0013</t>
  </si>
  <si>
    <t>A4 Frame Black Strong Fiber Wood Material</t>
  </si>
  <si>
    <t>MC-0014</t>
  </si>
  <si>
    <t>A3 Frame Black Strong Fiber Wood Material</t>
  </si>
  <si>
    <t>MCN-0001</t>
  </si>
  <si>
    <t>513-404-10E dial clock</t>
  </si>
  <si>
    <t>MCN-0002</t>
  </si>
  <si>
    <t>Single Brochure Holder</t>
  </si>
  <si>
    <t>MCN-0003</t>
  </si>
  <si>
    <t>Battery Saft LS 14250</t>
  </si>
  <si>
    <t>MCN-0004</t>
  </si>
  <si>
    <t>Sheet Protector A4 Thick (1x100)</t>
  </si>
  <si>
    <t>MCN-0005</t>
  </si>
  <si>
    <t>Durable A4 Magnetic Single Sheet Holder (1x2)</t>
  </si>
  <si>
    <t>MCN-0006</t>
  </si>
  <si>
    <t>Silhouette Printing A4 Paper (1x4)</t>
  </si>
  <si>
    <t>MCN-0007</t>
  </si>
  <si>
    <t>PRECISION LEVEL</t>
  </si>
  <si>
    <t>MCN-0008</t>
  </si>
  <si>
    <t>Power_Sonic SPE- Battery Charger for Electric Forklift.</t>
  </si>
  <si>
    <t>MCN-0009</t>
  </si>
  <si>
    <t>LINE MARKER UNIT</t>
  </si>
  <si>
    <t>MCN-0010</t>
  </si>
  <si>
    <t>HYDRAULIC OIL 46 - Pack of 205L</t>
  </si>
  <si>
    <t>MCN-0011</t>
  </si>
  <si>
    <t>HYDRAULIC OIL - 68 - Pack of 205L</t>
  </si>
  <si>
    <t>MCN-0012</t>
  </si>
  <si>
    <t>DUST MASK FACE</t>
  </si>
  <si>
    <t>MCN-0013</t>
  </si>
  <si>
    <t>HIVIS VEST - ORANGE/green</t>
  </si>
  <si>
    <t>MCN-0014</t>
  </si>
  <si>
    <t>EAR DEFENDERS</t>
  </si>
  <si>
    <t>MCN-0015</t>
  </si>
  <si>
    <t>APRON BLUE</t>
  </si>
  <si>
    <t>MCN-0016</t>
  </si>
  <si>
    <t>SAFETY SHOES</t>
  </si>
  <si>
    <t>MCN-0017</t>
  </si>
  <si>
    <t>GLOVES</t>
  </si>
  <si>
    <t>MCN-0018</t>
  </si>
  <si>
    <t>Glue Stick</t>
  </si>
  <si>
    <t>MCN-0019</t>
  </si>
  <si>
    <t>Steel Brush</t>
  </si>
  <si>
    <t>MCN-0020</t>
  </si>
  <si>
    <t>Cap Brush</t>
  </si>
  <si>
    <t>MCN-0021</t>
  </si>
  <si>
    <t>Oil Stone 200N</t>
  </si>
  <si>
    <t>MCN-0022</t>
  </si>
  <si>
    <t>Flap Disc 115x22.26</t>
  </si>
  <si>
    <t>MCN-0023</t>
  </si>
  <si>
    <t>Hack Saw Blade BS1224 300mm(12")24T</t>
  </si>
  <si>
    <t>MCN-0024</t>
  </si>
  <si>
    <t>Jig Saw Blade</t>
  </si>
  <si>
    <t>MCN-0025</t>
  </si>
  <si>
    <t>Cutting Disc 115x1x22.23</t>
  </si>
  <si>
    <t>MCN-0026</t>
  </si>
  <si>
    <t>Wedge Anchor M10x100</t>
  </si>
  <si>
    <t>MCN-0027</t>
  </si>
  <si>
    <t>Wedge Anchor M8x100</t>
  </si>
  <si>
    <t>MCN-0028</t>
  </si>
  <si>
    <t>Wedge Anchor M16x150</t>
  </si>
  <si>
    <t>MCN-0029</t>
  </si>
  <si>
    <t>Eye Bolt M12</t>
  </si>
  <si>
    <t>MCN-0030</t>
  </si>
  <si>
    <t>Heavy Duty Double Sided Tape 1in</t>
  </si>
  <si>
    <t>MCN-0031</t>
  </si>
  <si>
    <t>W44T Multi Spray</t>
  </si>
  <si>
    <t>MCN-0032</t>
  </si>
  <si>
    <t>Cleaner Spray S</t>
  </si>
  <si>
    <t>MCN-0033</t>
  </si>
  <si>
    <t>Loctite 222</t>
  </si>
  <si>
    <t>MCN-0034</t>
  </si>
  <si>
    <t>SLOTTED ANGLES HEAVYDUTY 8'</t>
  </si>
  <si>
    <t>MCN-0035</t>
  </si>
  <si>
    <t>SLOTTED TRAY 1.5 FT X 3FT HEAVY DUTY</t>
  </si>
  <si>
    <t>MCN-0036</t>
  </si>
  <si>
    <t>GI NUT BOLT WASHER 8X16</t>
  </si>
  <si>
    <t>MCN-0037</t>
  </si>
  <si>
    <t>ACRYLIC SHEET CLEAR 4X8X5MM</t>
  </si>
  <si>
    <t>MCN-0038</t>
  </si>
  <si>
    <t>CARBON BRUSH FOR DEWALT GRINDER</t>
  </si>
  <si>
    <t>MCN-0039</t>
  </si>
  <si>
    <t>WEICON ELECTRO CONTACT CLEANR</t>
  </si>
  <si>
    <t>MCN-0040</t>
  </si>
  <si>
    <t>WEICON EPOXY ADHESIVE</t>
  </si>
  <si>
    <t>MCN-0041</t>
  </si>
  <si>
    <t>WD40 Spray</t>
  </si>
  <si>
    <t>MCN-0042</t>
  </si>
  <si>
    <t>SS Shim 0.05</t>
  </si>
  <si>
    <t>MCN-0043</t>
  </si>
  <si>
    <t>SS Shim 0.1</t>
  </si>
  <si>
    <t>MCN-0044</t>
  </si>
  <si>
    <t>SS Shim 0.2</t>
  </si>
  <si>
    <t>MCN-0045</t>
  </si>
  <si>
    <t>SS Shim 0.38</t>
  </si>
  <si>
    <t>MCN-0046</t>
  </si>
  <si>
    <t>SS Shim 0.5</t>
  </si>
  <si>
    <t>MCN-0047</t>
  </si>
  <si>
    <t>HYDRAULIC OIL 32 - Pack of 205L</t>
  </si>
  <si>
    <t>MCN-0048</t>
  </si>
  <si>
    <t>Loctite 401</t>
  </si>
  <si>
    <t>MCN-0049</t>
  </si>
  <si>
    <t>SOLDERING WIRE 1MM</t>
  </si>
  <si>
    <t>MCN-0050</t>
  </si>
  <si>
    <t>ALLEN KEY SET BAL END</t>
  </si>
  <si>
    <t>MCN-0051</t>
  </si>
  <si>
    <t>HEAT SHRINK SET</t>
  </si>
  <si>
    <t>MCN-0052</t>
  </si>
  <si>
    <t>PIPE WRENCH 10''</t>
  </si>
  <si>
    <t>MCN-0053</t>
  </si>
  <si>
    <t>ALUM LADDER 5 STEP</t>
  </si>
  <si>
    <t>MCN-0054</t>
  </si>
  <si>
    <t>ALUM LADDER 8 STEP</t>
  </si>
  <si>
    <t>MCN-0055</t>
  </si>
  <si>
    <t>ALUM LADDER 3 SECTION 12 MTR</t>
  </si>
  <si>
    <t>MCN-0056</t>
  </si>
  <si>
    <t>SCREWDRIVER PRECISION</t>
  </si>
  <si>
    <t>MCN-0057</t>
  </si>
  <si>
    <t>WIRE STRIPPER</t>
  </si>
  <si>
    <t>MCN-0058</t>
  </si>
  <si>
    <t>CUTTING PLIER</t>
  </si>
  <si>
    <t>MCN-0059</t>
  </si>
  <si>
    <t>COMBINATION PLIER</t>
  </si>
  <si>
    <t>MCN-0060</t>
  </si>
  <si>
    <t>LONG NOSE PLIER</t>
  </si>
  <si>
    <t>MCN-0061</t>
  </si>
  <si>
    <t>SCREW DRIVER SET</t>
  </si>
  <si>
    <t>MCN-0062</t>
  </si>
  <si>
    <t>NUMERICAL LOCK 50MM</t>
  </si>
  <si>
    <t>MCN-0063</t>
  </si>
  <si>
    <t>ALUM LADDER 2 SECTION 8MTR</t>
  </si>
  <si>
    <t>MCN-0064</t>
  </si>
  <si>
    <t>BIT SET</t>
  </si>
  <si>
    <t>MCN-0065</t>
  </si>
  <si>
    <t>STARTER</t>
  </si>
  <si>
    <t>MCN-0066</t>
  </si>
  <si>
    <t>TUBE LIGHT</t>
  </si>
  <si>
    <t>MCN-0067</t>
  </si>
  <si>
    <t>BROOM BRUSH</t>
  </si>
  <si>
    <t>MCN-0068</t>
  </si>
  <si>
    <t>DUST TRAY WITH HANDLE</t>
  </si>
  <si>
    <t>MCN-0069</t>
  </si>
  <si>
    <t>BEARING 6202 DDUC</t>
  </si>
  <si>
    <t>MCN-0070</t>
  </si>
  <si>
    <t>BEARING PULLER 4'' 3 LEG</t>
  </si>
  <si>
    <t>MCN-0071</t>
  </si>
  <si>
    <t>MEASURING TAPE 5MTR STANELY</t>
  </si>
  <si>
    <t>MCN-0072</t>
  </si>
  <si>
    <t>STANLEY KNIFE CUTTER</t>
  </si>
  <si>
    <t>MCN-0073</t>
  </si>
  <si>
    <t>TOOL BIT SS</t>
  </si>
  <si>
    <t>MCN-0074</t>
  </si>
  <si>
    <t>Soldering liquid</t>
  </si>
  <si>
    <t>MCN-0075</t>
  </si>
  <si>
    <t>SDS Bit 6mmx260</t>
  </si>
  <si>
    <t>MCN-0076</t>
  </si>
  <si>
    <t>SDS Bit 16mmx260</t>
  </si>
  <si>
    <t>MCN-0077</t>
  </si>
  <si>
    <t>SDS Bit 18mmx260</t>
  </si>
  <si>
    <t>MCN-0078</t>
  </si>
  <si>
    <t>SDS Bit 20mmx260</t>
  </si>
  <si>
    <t>MCN-0079</t>
  </si>
  <si>
    <t>Soldering Paste</t>
  </si>
  <si>
    <t>MCN-0080</t>
  </si>
  <si>
    <t>Ceramic Fuse</t>
  </si>
  <si>
    <t>MCN-0081</t>
  </si>
  <si>
    <t>Metal Cutting Disc 125x1mm</t>
  </si>
  <si>
    <t>MCN-0082</t>
  </si>
  <si>
    <t>Soldering Iron</t>
  </si>
  <si>
    <t>MCN-0083</t>
  </si>
  <si>
    <t>Fluke Meter 179</t>
  </si>
  <si>
    <t>MCN-0084</t>
  </si>
  <si>
    <t>Wedge Anchor M6x100</t>
  </si>
  <si>
    <t>MCN-0085</t>
  </si>
  <si>
    <t>O RING X TYPE OD140MMX7MM</t>
  </si>
  <si>
    <t>MCN-0086</t>
  </si>
  <si>
    <t>O RING X TYPE OD50MMX3.8MM</t>
  </si>
  <si>
    <t>MCN-0087</t>
  </si>
  <si>
    <t>SS BOLT 6X16</t>
  </si>
  <si>
    <t>MCN-0088</t>
  </si>
  <si>
    <t>LOCTITE 574</t>
  </si>
  <si>
    <t>MCN-0089</t>
  </si>
  <si>
    <t>LOCTITE 406</t>
  </si>
  <si>
    <t>MCN-0090</t>
  </si>
  <si>
    <t>O RING X TYPE ID40.8MMX3.8MM</t>
  </si>
  <si>
    <t>MCN-0091</t>
  </si>
  <si>
    <t>Ethernet Cable Tester</t>
  </si>
  <si>
    <t>MCN-0092</t>
  </si>
  <si>
    <t>TORX ALLEN KEY SET</t>
  </si>
  <si>
    <t>MCN-0093</t>
  </si>
  <si>
    <t>SAFETY HARNESS WITH LANDYARD</t>
  </si>
  <si>
    <t>MCN-0094</t>
  </si>
  <si>
    <t>KEY BOX 48KEY</t>
  </si>
  <si>
    <t>MCN-0095</t>
  </si>
  <si>
    <t>Gypsum Wall Plug</t>
  </si>
  <si>
    <t>MCN-0096</t>
  </si>
  <si>
    <t>Silicon Sealant</t>
  </si>
  <si>
    <t>MCN-0097</t>
  </si>
  <si>
    <t>High Temp Sealant</t>
  </si>
  <si>
    <t>MCN-0098</t>
  </si>
  <si>
    <t>Machine Oiler</t>
  </si>
  <si>
    <t>MCN-0099</t>
  </si>
  <si>
    <t>Tool Trolley</t>
  </si>
  <si>
    <t>MCN-0100</t>
  </si>
  <si>
    <t>Round Lifting Belt</t>
  </si>
  <si>
    <t>MCN-0101</t>
  </si>
  <si>
    <t>Battery LR23A</t>
  </si>
  <si>
    <t>MCN-0102</t>
  </si>
  <si>
    <t>Adjustable Wrench</t>
  </si>
  <si>
    <t>MCN-0103</t>
  </si>
  <si>
    <t>Vice Grip</t>
  </si>
  <si>
    <t>MCN-0104</t>
  </si>
  <si>
    <t>Manual Riveter</t>
  </si>
  <si>
    <t>MCN-0105</t>
  </si>
  <si>
    <t>Crimping Tool</t>
  </si>
  <si>
    <t>MCN-0106</t>
  </si>
  <si>
    <t>Circlip Plier Set</t>
  </si>
  <si>
    <t>MCN-0107</t>
  </si>
  <si>
    <t>Step Drill Bit</t>
  </si>
  <si>
    <t>MCN-0108</t>
  </si>
  <si>
    <t>Dewalt Angle Grinder corded 125mm</t>
  </si>
  <si>
    <t>MCN-0109</t>
  </si>
  <si>
    <t>Dewalt DCD794D1 Drill</t>
  </si>
  <si>
    <t>MCN-0110</t>
  </si>
  <si>
    <t>Dewalt Battery 20V 5AH</t>
  </si>
  <si>
    <t>MCN-0111</t>
  </si>
  <si>
    <t>Hand Tap Handle M3-m8</t>
  </si>
  <si>
    <t>MCN-0112</t>
  </si>
  <si>
    <t>Hand Tap Handle M5-M12</t>
  </si>
  <si>
    <t>MCN-0113</t>
  </si>
  <si>
    <t>Tap bit M3 HSS</t>
  </si>
  <si>
    <t>MCN-0114</t>
  </si>
  <si>
    <t>Tap bit M4 HSS</t>
  </si>
  <si>
    <t>MCN-0115</t>
  </si>
  <si>
    <t>Tap bit M5 HSS</t>
  </si>
  <si>
    <t>MCN-0116</t>
  </si>
  <si>
    <t>Tap bit M6 HSS</t>
  </si>
  <si>
    <t>MCN-0117</t>
  </si>
  <si>
    <t>Tap Bit M8 HSS</t>
  </si>
  <si>
    <t>MCN-0118</t>
  </si>
  <si>
    <t>Tap Bit M10 HSS</t>
  </si>
  <si>
    <t>MCN-0119</t>
  </si>
  <si>
    <t>Carbide Drill Bit M3</t>
  </si>
  <si>
    <t>MCN-0120</t>
  </si>
  <si>
    <t>Carbide Drill Bit M4</t>
  </si>
  <si>
    <t>MCN-0121</t>
  </si>
  <si>
    <t>Carbide Drill Bit M5</t>
  </si>
  <si>
    <t>MCN-0122</t>
  </si>
  <si>
    <t>Carbide Drill Bit M6</t>
  </si>
  <si>
    <t>MCN-0123</t>
  </si>
  <si>
    <t>Carbide Drill Bit M8</t>
  </si>
  <si>
    <t>MCN-0124</t>
  </si>
  <si>
    <t>Carbide Drill Bit M10</t>
  </si>
  <si>
    <t>MCN-0125</t>
  </si>
  <si>
    <t>Carbide Drill Bit M12</t>
  </si>
  <si>
    <t>MCN-0126</t>
  </si>
  <si>
    <t>Copper/Hide Hammer #2</t>
  </si>
  <si>
    <t>MCN-0127</t>
  </si>
  <si>
    <t>MCN-0128</t>
  </si>
  <si>
    <t>Black Ballpen</t>
  </si>
  <si>
    <t>MCN-0129</t>
  </si>
  <si>
    <t>Gas Detector</t>
  </si>
  <si>
    <t>MCN-0130</t>
  </si>
  <si>
    <t>Acrylic Sheet Black</t>
  </si>
  <si>
    <t>MCN-0131</t>
  </si>
  <si>
    <t>Concrete Disc</t>
  </si>
  <si>
    <t>MCN-0132</t>
  </si>
  <si>
    <t>Roofing Bolt M6x25</t>
  </si>
  <si>
    <t>MCN-0133</t>
  </si>
  <si>
    <t>Hacksaw Frame</t>
  </si>
  <si>
    <t>MCN-0134</t>
  </si>
  <si>
    <t>Silicone Gun</t>
  </si>
  <si>
    <t>MCN-0135</t>
  </si>
  <si>
    <t>Dustbin 50Ltr</t>
  </si>
  <si>
    <t>MCN-0136</t>
  </si>
  <si>
    <t>Mechanical Hammer</t>
  </si>
  <si>
    <t>MCN-0137</t>
  </si>
  <si>
    <t>Insulated Pin 0.5mm</t>
  </si>
  <si>
    <t>MCN-0138</t>
  </si>
  <si>
    <t>Floor Drain</t>
  </si>
  <si>
    <t>MCN-0139</t>
  </si>
  <si>
    <t>Vaccum Hose 50mm</t>
  </si>
  <si>
    <t>MCN-0140</t>
  </si>
  <si>
    <t>Custom Made A4 Acrylic Sign Display Board Clear Landscape Model</t>
  </si>
  <si>
    <t>MCN-0141</t>
  </si>
  <si>
    <t>Custom Made A3 Acrylic Sign Display Board Clear Protrait Model</t>
  </si>
  <si>
    <t>MCN-0142</t>
  </si>
  <si>
    <t>FLT Grounding</t>
  </si>
  <si>
    <t>MCN-0143</t>
  </si>
  <si>
    <t>Door Latch</t>
  </si>
  <si>
    <t>MCN-0144</t>
  </si>
  <si>
    <t>SSD</t>
  </si>
  <si>
    <t>MCN-0145</t>
  </si>
  <si>
    <t>PARKING CORNER RUBBER GUARD</t>
  </si>
  <si>
    <t>MCN-0146</t>
  </si>
  <si>
    <t>HEAT SHRINK TUBE 15MM RED</t>
  </si>
  <si>
    <t>MCN-0147</t>
  </si>
  <si>
    <t>HEAT SHRINK TUBE BLACK 15MM</t>
  </si>
  <si>
    <t>MCN-0148</t>
  </si>
  <si>
    <t>Battery CR123</t>
  </si>
  <si>
    <t>MCN-0149</t>
  </si>
  <si>
    <t>Bidet</t>
  </si>
  <si>
    <t>MCN-0150</t>
  </si>
  <si>
    <t>RED Ligh 24V</t>
  </si>
  <si>
    <t>MCN-0151</t>
  </si>
  <si>
    <t>Green Light, 24V</t>
  </si>
  <si>
    <t>MCN-0152</t>
  </si>
  <si>
    <t>Pressure Plus FSG-2</t>
  </si>
  <si>
    <t>MCN-0153</t>
  </si>
  <si>
    <t>Bench Grinder 8"</t>
  </si>
  <si>
    <t>MCN-0154</t>
  </si>
  <si>
    <t>Portable Worklight</t>
  </si>
  <si>
    <t>MCN-0155</t>
  </si>
  <si>
    <t>Lever Block 0.5T</t>
  </si>
  <si>
    <t>MCN-0156</t>
  </si>
  <si>
    <t>Lever Block 1T</t>
  </si>
  <si>
    <t>MCN-0157</t>
  </si>
  <si>
    <t>Foldable shop Crane 2T</t>
  </si>
  <si>
    <t>MCN-0158</t>
  </si>
  <si>
    <t>Metal Mallet Hammer 5KG</t>
  </si>
  <si>
    <t>MCN-0159</t>
  </si>
  <si>
    <t>Bronze Mallet Hammer 5KG</t>
  </si>
  <si>
    <t>MCN-0160</t>
  </si>
  <si>
    <t>Pipe Wrench 18"</t>
  </si>
  <si>
    <t>MCN-0161</t>
  </si>
  <si>
    <t>T-Handle Allen Key Set 2-10mm</t>
  </si>
  <si>
    <t>MCN-0162</t>
  </si>
  <si>
    <t>Spindle Allen Socket 17mm-24mm</t>
  </si>
  <si>
    <t>MCN-0163</t>
  </si>
  <si>
    <t>C-clamps Heavy Duty 12"</t>
  </si>
  <si>
    <t>MCN-0164</t>
  </si>
  <si>
    <t>Ratchet Spanner Set 8-19mm</t>
  </si>
  <si>
    <t>MCN-0165</t>
  </si>
  <si>
    <t>Metal Enclosure 400x300x150</t>
  </si>
  <si>
    <t>MCN-0166</t>
  </si>
  <si>
    <t>Cable RS232 Male 2mtr</t>
  </si>
  <si>
    <t>MCN-0167</t>
  </si>
  <si>
    <t>Wall Mount Bracket Swing Type</t>
  </si>
  <si>
    <t>MCN-0168</t>
  </si>
  <si>
    <t>Jigsaw</t>
  </si>
  <si>
    <t>MCN-0169</t>
  </si>
  <si>
    <t>Jigsaw Blade</t>
  </si>
  <si>
    <t>MCN-0170</t>
  </si>
  <si>
    <t>Flexible Cable 1.5x5</t>
  </si>
  <si>
    <t>MCN-0171</t>
  </si>
  <si>
    <t>Magnetic Door Stopper</t>
  </si>
  <si>
    <t>MCN-0172</t>
  </si>
  <si>
    <t>Nail Gun</t>
  </si>
  <si>
    <t>MCN-0173</t>
  </si>
  <si>
    <t>Battery 2032</t>
  </si>
  <si>
    <t>MCN-0174</t>
  </si>
  <si>
    <t>Heatshrink 25mm</t>
  </si>
  <si>
    <t>MCN-0175</t>
  </si>
  <si>
    <t>Heatshrink 35mm</t>
  </si>
  <si>
    <t>MCN-0176</t>
  </si>
  <si>
    <t>Heatshrink 100mm</t>
  </si>
  <si>
    <t>MCN-0177</t>
  </si>
  <si>
    <t>CHAIN BLOCK 1 TON 3MTR</t>
  </si>
  <si>
    <t>MCN-0178</t>
  </si>
  <si>
    <t>CHAIN BLOCK 5TONX3MTR</t>
  </si>
  <si>
    <t>MCN-0179</t>
  </si>
  <si>
    <t>BEAM CLAMP 1 TON</t>
  </si>
  <si>
    <t>MCN-0180</t>
  </si>
  <si>
    <t>BEAM CLAMP 5 TON</t>
  </si>
  <si>
    <t>MCN-0181</t>
  </si>
  <si>
    <t>METAL CLIP RJ45</t>
  </si>
  <si>
    <t>MCN-0182</t>
  </si>
  <si>
    <t>Network Cable Boots</t>
  </si>
  <si>
    <t>MCN-0183</t>
  </si>
  <si>
    <t>Edge Finder Tip</t>
  </si>
  <si>
    <t>MCN-0184</t>
  </si>
  <si>
    <t>Toilet Seat Cover</t>
  </si>
  <si>
    <t>MCN-0185</t>
  </si>
  <si>
    <t>Wash Basin Tap</t>
  </si>
  <si>
    <t>MCN-0186</t>
  </si>
  <si>
    <t>Helicoil Thread Kit 4mm</t>
  </si>
  <si>
    <t>MCN-0187</t>
  </si>
  <si>
    <t>Helicoil Thread Kit 5mm</t>
  </si>
  <si>
    <t>MCN-0188</t>
  </si>
  <si>
    <t>Helicoil Thread Kit 6mm</t>
  </si>
  <si>
    <t>MCN-0189</t>
  </si>
  <si>
    <t>MCN-0190</t>
  </si>
  <si>
    <t>ACRYLIC SHEET CLEAR 4X8X8MM</t>
  </si>
  <si>
    <t>MCN-0191</t>
  </si>
  <si>
    <t>ACRYLIC SHEET CLEAR 4X8X10MM</t>
  </si>
  <si>
    <t>MCN-0192</t>
  </si>
  <si>
    <t>Tachometer</t>
  </si>
  <si>
    <t>MCN-0193</t>
  </si>
  <si>
    <t>Keyboard</t>
  </si>
  <si>
    <t>MCN-0194</t>
  </si>
  <si>
    <t>MAKITA CARBON BRUSH</t>
  </si>
  <si>
    <t>MCN-0195</t>
  </si>
  <si>
    <t>BOSH CARBON BRUSH</t>
  </si>
  <si>
    <t>MCN-0196</t>
  </si>
  <si>
    <t>FALL ARESTOR</t>
  </si>
  <si>
    <t>MCN-0197</t>
  </si>
  <si>
    <t>SPRAY PAINT BLACK</t>
  </si>
  <si>
    <t>MCN-0198</t>
  </si>
  <si>
    <t>SPRAY PAINT BLUE</t>
  </si>
  <si>
    <t>MCN-0199</t>
  </si>
  <si>
    <t>Laser Meter</t>
  </si>
  <si>
    <t>MCN-0200</t>
  </si>
  <si>
    <t>Laser Level</t>
  </si>
  <si>
    <t>MCN-0201</t>
  </si>
  <si>
    <t>Cable Carrier Chain</t>
  </si>
  <si>
    <t>MCN-0202</t>
  </si>
  <si>
    <t>Hydaulic Fitting M8</t>
  </si>
  <si>
    <t>MCN-0203</t>
  </si>
  <si>
    <t>PAT Stickers Pass/Fail</t>
  </si>
  <si>
    <t>MCN-0204</t>
  </si>
  <si>
    <t>Continuity Tester</t>
  </si>
  <si>
    <t>MCN-0205</t>
  </si>
  <si>
    <t>Hole Saw Set</t>
  </si>
  <si>
    <t>MCN-0206</t>
  </si>
  <si>
    <t>Tension Gauge</t>
  </si>
  <si>
    <t>MCN-0207</t>
  </si>
  <si>
    <t>Claw wrench 21 mm</t>
  </si>
  <si>
    <t>MCN-0208</t>
  </si>
  <si>
    <t>BASIN WRENCH TELESOPIC 17"</t>
  </si>
  <si>
    <t>MCN-0209</t>
  </si>
  <si>
    <t>Hydraulic gear puller set</t>
  </si>
  <si>
    <t>MCN-0210</t>
  </si>
  <si>
    <t>Cable Cover Spiral</t>
  </si>
  <si>
    <t>MCN-0211</t>
  </si>
  <si>
    <t>Impact Wrench</t>
  </si>
  <si>
    <t>MCN-0212</t>
  </si>
  <si>
    <t>Impact Socket Set</t>
  </si>
  <si>
    <t>MCN-0213</t>
  </si>
  <si>
    <t>Hex Bit Socket Set</t>
  </si>
  <si>
    <t>MCN-0214</t>
  </si>
  <si>
    <t>Hex Key 14mm</t>
  </si>
  <si>
    <t>MCN-0215</t>
  </si>
  <si>
    <t>Hex Key 17mm</t>
  </si>
  <si>
    <t>MCN-0216</t>
  </si>
  <si>
    <t>Hex Key 19mm</t>
  </si>
  <si>
    <t>MCN-0217</t>
  </si>
  <si>
    <t>Repair of Hydraulic Jack</t>
  </si>
  <si>
    <t>MCN-0218</t>
  </si>
  <si>
    <t>Magnetic Drill Machine Repair</t>
  </si>
  <si>
    <t>MCN-0219</t>
  </si>
  <si>
    <t>Multipurpose Grease EP0</t>
  </si>
  <si>
    <t>MCN-0220</t>
  </si>
  <si>
    <t>Helicoil Thread KIt for M14-2</t>
  </si>
  <si>
    <t>MCN-0221</t>
  </si>
  <si>
    <t>M14-2.0x70 10.9 High tensile bolt</t>
  </si>
  <si>
    <t>MEC-0001</t>
  </si>
  <si>
    <t>MECHANICAL POSITION SWITCH BNS-819-99-R-10 90513901</t>
  </si>
  <si>
    <t>MEC-0002</t>
  </si>
  <si>
    <t>5218500015 GEARBOX NP -025 -S -M -A -2 -16 -1 -E -1</t>
  </si>
  <si>
    <t>MEC-0003</t>
  </si>
  <si>
    <t>905131 LIMIT SWITCH FMV4R 12.100</t>
  </si>
  <si>
    <t>MEC-0004</t>
  </si>
  <si>
    <t>905903 SERVOMOTOR 750W +FR IP65 BCH2LF0733CF5C – mobile head</t>
  </si>
  <si>
    <t>MEC-0005</t>
  </si>
  <si>
    <t>2960000386 MOTORE 90L S6 5KW 4P 230-400V 50Hz</t>
  </si>
  <si>
    <t>MEC-0006</t>
  </si>
  <si>
    <t>2960000162 GEARBOX ALPHA TPK+025S-MA3-220-0C1 – Rotation TF / TM</t>
  </si>
  <si>
    <t>MEC-0007</t>
  </si>
  <si>
    <t>2960000357 US - 063 100 [TM] HYDRO-PNEUMATIC UNIT – FIXED HEAD</t>
  </si>
  <si>
    <t>MEC-0008</t>
  </si>
  <si>
    <t>905904 ROTATION MOTOR TF / TM 400W +FR IP65 BCH2LD0433CF5C</t>
  </si>
  <si>
    <t>MEC-0009</t>
  </si>
  <si>
    <t>2960000270 US - 063 100 [TF] HYDRO-PNEUMATIC UNIT – MOBILE HEAD</t>
  </si>
  <si>
    <t>MEC-0010</t>
  </si>
  <si>
    <t>904360 CLAMPING CYLINDER D. 35x115</t>
  </si>
  <si>
    <t>MEC-0011</t>
  </si>
  <si>
    <t>904161 MINIMUM QUANTITY LUBRO-REFRIGERATION UNIT [2P] (ALU</t>
  </si>
  <si>
    <t>MEC-0012</t>
  </si>
  <si>
    <t>90511017 MODULE 1 SOLID STATE SLIM RELAY [24-60 VDC 3A]</t>
  </si>
  <si>
    <t>MEC-0013</t>
  </si>
  <si>
    <t>90540417 FILTER 3PH+N 42A ET-RF 4042 MHU</t>
  </si>
  <si>
    <t>MEC-0014</t>
  </si>
  <si>
    <t>90511007 MODULE 1 RELAY 24 VAC-DC</t>
  </si>
  <si>
    <t>MEC-0015</t>
  </si>
  <si>
    <t>90590310 DRIVER 750W 1x230 V LXM28AU07M3X</t>
  </si>
  <si>
    <t>MEC-0016</t>
  </si>
  <si>
    <t>90590410 DRIVER 400W 1x230/3z230 V LXM28AU04M3X</t>
  </si>
  <si>
    <t>MEC-0017</t>
  </si>
  <si>
    <t>905918 PLC MODULE M241 TM241CEC24T</t>
  </si>
  <si>
    <t>MEC-0018</t>
  </si>
  <si>
    <t>90591801 EXPANSION MODULE (16 INPUT) [TM3DI16]</t>
  </si>
  <si>
    <t>MEC-0019</t>
  </si>
  <si>
    <t>90590810 INVERTER [ATV 320] [5.5kW] [ATV320U55N4B]</t>
  </si>
  <si>
    <t>MEC-0020</t>
  </si>
  <si>
    <t>904087 PRESSURE SWITCH 1/8" NA + HOOD</t>
  </si>
  <si>
    <t>MEC-0021</t>
  </si>
  <si>
    <t>90419901 LOW PRESSURE DEVICE HIGH PRESSURE</t>
  </si>
  <si>
    <t>MEC-0022</t>
  </si>
  <si>
    <t>90419902 COIL 24VDC 5W</t>
  </si>
  <si>
    <t>MEC-0023</t>
  </si>
  <si>
    <t>90498901 GR. SOLENOID VALVES 12 POS. [VTUG-14-VRPT-B1T-Q10-DQQ6S- 3JMMLTS3JMML]</t>
  </si>
  <si>
    <t>MEC-0024</t>
  </si>
  <si>
    <t>90498910 VALVE 5/2 MON. FESTO VUVG-B14-M52-AZT-F-1T1L</t>
  </si>
  <si>
    <t>MEC-0025</t>
  </si>
  <si>
    <t>906300 INDUSTRIAL PC [HMI PC CS2 GNA D44S0 NN00]</t>
  </si>
  <si>
    <t>MEC-0026</t>
  </si>
  <si>
    <t>MECAL SAW BLADE</t>
  </si>
  <si>
    <t>MEC-0027</t>
  </si>
  <si>
    <t>MECAL DRIVE BELT 1092J</t>
  </si>
  <si>
    <t>MEC-0028</t>
  </si>
  <si>
    <t>CYLINDER BLADE PUSHER 2900630230CP</t>
  </si>
  <si>
    <t>MEC-0029</t>
  </si>
  <si>
    <t>2971551 Pheonix Contact UMK- 4 OM-R/PF - Optocoupler module</t>
  </si>
  <si>
    <t>MEC-0030</t>
  </si>
  <si>
    <t>2982647 Phoenix Contact OV-24DC/ 60DC/4 PCB Mount Solid State Relay</t>
  </si>
  <si>
    <t>MEC-0031</t>
  </si>
  <si>
    <t>Refurbished -  Servo Drive</t>
  </si>
  <si>
    <t>MEC-0032</t>
  </si>
  <si>
    <t>Belt 5M 340</t>
  </si>
  <si>
    <t>MEC-0033</t>
  </si>
  <si>
    <t>Refurbished - Motor</t>
  </si>
  <si>
    <t>MMS-0001</t>
  </si>
  <si>
    <t>MACHINE MOUNT SKATES</t>
  </si>
  <si>
    <t>MNS-0001</t>
  </si>
  <si>
    <t>ROTARY BARREL PUMP MANUAL</t>
  </si>
  <si>
    <t>MNS-0002</t>
  </si>
  <si>
    <t>WELDING MIG MACHINE SET MAINTENANCE WORKSHOP</t>
  </si>
  <si>
    <t>MNS-0003</t>
  </si>
  <si>
    <t>EYEBOLTS 36MM SWL 2.3T</t>
  </si>
  <si>
    <t>MNS-0004</t>
  </si>
  <si>
    <t>X AXIS WORTHWARD CYLINDER</t>
  </si>
  <si>
    <t>MNS-0005</t>
  </si>
  <si>
    <t>MIRA MACHINECNC 5 AXIS Y AXIS BALLSCREW</t>
  </si>
  <si>
    <t>MNS-0006</t>
  </si>
  <si>
    <t>LOGISTIC AC CONDENSATE PUMP DIAPHRAGM</t>
  </si>
  <si>
    <t>MNS-0007</t>
  </si>
  <si>
    <t>WHEEL CHAIR</t>
  </si>
  <si>
    <t>MNS-0008</t>
  </si>
  <si>
    <t>STRECHER</t>
  </si>
  <si>
    <t>MNS-0009</t>
  </si>
  <si>
    <t>BELT 58M376</t>
  </si>
  <si>
    <t>MY25CT-0001</t>
  </si>
  <si>
    <t>Sensor Keyence GT2-PA12</t>
  </si>
  <si>
    <t>MY25CT-0002</t>
  </si>
  <si>
    <t>Multi Head Controler Main Keyence GT2_500</t>
  </si>
  <si>
    <t>MY25CT-0003</t>
  </si>
  <si>
    <t>Multi Head Controler Expansion Keyence GT2-550</t>
  </si>
  <si>
    <t>MY25CT-0004</t>
  </si>
  <si>
    <t>Sensor Head Cable for GT2-CH2M Keyence</t>
  </si>
  <si>
    <t>MY25CT-0005</t>
  </si>
  <si>
    <t>Comunication Unit Keyence DL-RS1A</t>
  </si>
  <si>
    <t>MY25CT-0006</t>
  </si>
  <si>
    <t>Proximity sensor E2E</t>
  </si>
  <si>
    <t>MY25CT-0007</t>
  </si>
  <si>
    <t>Serial adapter RS 232</t>
  </si>
  <si>
    <t>MY25CT-0008</t>
  </si>
  <si>
    <t>Pneumatic valve two sides 9V7/9V8, 9V1/9V2</t>
  </si>
  <si>
    <t>MY25CT-0009</t>
  </si>
  <si>
    <t>Pneumatic valve one side 9V3-9V6,9V9</t>
  </si>
  <si>
    <t>MY25CT-0010</t>
  </si>
  <si>
    <t>Moving cylinder 50x250</t>
  </si>
  <si>
    <t>MY25CT-0011</t>
  </si>
  <si>
    <t>Cylinder X axes 25X50</t>
  </si>
  <si>
    <t>MY25CT-0012</t>
  </si>
  <si>
    <t>Cylinder Y axes double 20x50</t>
  </si>
  <si>
    <t>MY25CT-0013</t>
  </si>
  <si>
    <t>Cylinder Z axes 50CDA</t>
  </si>
  <si>
    <t>MY25CT-0014</t>
  </si>
  <si>
    <t>Safety bariers 500mm</t>
  </si>
  <si>
    <t>MY25CT-0015</t>
  </si>
  <si>
    <t>Time relay Abb 24DC</t>
  </si>
  <si>
    <t>MY25CT-0016</t>
  </si>
  <si>
    <t>Limit switch NC-NO</t>
  </si>
  <si>
    <t>NOR-0001</t>
  </si>
  <si>
    <t>Multi head, 4 spindle fixed centre – 20.0 mm dia Scallops CEQ – PP- 4</t>
  </si>
  <si>
    <t>NOR-0002</t>
  </si>
  <si>
    <t>Single spindle drill unit – 20.0 mm dia  Scallop DXP18/100/H 28.0 mm DIN55058</t>
  </si>
  <si>
    <t>NOR-0003</t>
  </si>
  <si>
    <t>Single spindle drill unit – 20.0 mm through bores DXP18/100/N ER32 spindle</t>
  </si>
  <si>
    <t>NOR-0004</t>
  </si>
  <si>
    <t>Toolholder – for single spindle drill unit – item 2AS28 – ER 32</t>
  </si>
  <si>
    <t>NOR-0005</t>
  </si>
  <si>
    <t>Toolholder – for 4 spindle multi heads - item 1TR36 – ER 32</t>
  </si>
  <si>
    <t>NOR-0006</t>
  </si>
  <si>
    <t>4 stop rotary indexer SX60HD</t>
  </si>
  <si>
    <t>NOR-0007</t>
  </si>
  <si>
    <t>Fixture complete APT003-G-200</t>
  </si>
  <si>
    <t>NOR-0008</t>
  </si>
  <si>
    <t>20 mm collets ER32</t>
  </si>
  <si>
    <t>NOR-0009</t>
  </si>
  <si>
    <t>Slide for multi head APT003-G-300</t>
  </si>
  <si>
    <t>NOR-0010</t>
  </si>
  <si>
    <t>20.0 mm Drill bushes RD42L2550</t>
  </si>
  <si>
    <t>NOR-0011</t>
  </si>
  <si>
    <t>Fixture index lift cylinders (set of 2) APT003-G-400</t>
  </si>
  <si>
    <t>NOR-0012</t>
  </si>
  <si>
    <t>Fixture Datuming devices APT003-datum</t>
  </si>
  <si>
    <t>NOR-0013</t>
  </si>
  <si>
    <t>Rotary coupling for pneumatic and electrical control signals APT003-coupling</t>
  </si>
  <si>
    <t>NOR-0014</t>
  </si>
  <si>
    <t>Guard door switch Door switch gen</t>
  </si>
  <si>
    <t>NOR-0015</t>
  </si>
  <si>
    <t>Pneumatic valves (set of 2) Valves gen</t>
  </si>
  <si>
    <t>NOR-0016</t>
  </si>
  <si>
    <t>Cylinder reed Switches gen</t>
  </si>
  <si>
    <t>NOR-0017</t>
  </si>
  <si>
    <t>Bespoke brazed tip cutters for Scallops used with items 1 and 2 APT003-BTC</t>
  </si>
  <si>
    <t>OV-0001</t>
  </si>
  <si>
    <t>Heat motor blower</t>
  </si>
  <si>
    <t>OV-0002</t>
  </si>
  <si>
    <t>Exhaust motor</t>
  </si>
  <si>
    <t>OV-0003</t>
  </si>
  <si>
    <t>Gas valve</t>
  </si>
  <si>
    <t>OV-0004</t>
  </si>
  <si>
    <t>Ignition cable</t>
  </si>
  <si>
    <t>OV-0005</t>
  </si>
  <si>
    <t>Ignition transformer</t>
  </si>
  <si>
    <t>OV-0006</t>
  </si>
  <si>
    <t>Spark plug</t>
  </si>
  <si>
    <t>OV-0007</t>
  </si>
  <si>
    <t>Dungs pressure switch</t>
  </si>
  <si>
    <t>OV-0008</t>
  </si>
  <si>
    <t>OV-0009</t>
  </si>
  <si>
    <t>Thermostat TSIKIV26150</t>
  </si>
  <si>
    <t>OV-0010</t>
  </si>
  <si>
    <t>Honeywell Module DMG970 Control Box</t>
  </si>
  <si>
    <t>OV-0011</t>
  </si>
  <si>
    <t>Gas Multibloc MBZRDLE405 B01 AS 240V</t>
  </si>
  <si>
    <t>OV-0012</t>
  </si>
  <si>
    <t>Ignition Electrode Plug PC/ZT</t>
  </si>
  <si>
    <t>OV-0013</t>
  </si>
  <si>
    <t>Ignition Electrode Cord (Red)</t>
  </si>
  <si>
    <t>OV-0014</t>
  </si>
  <si>
    <t>Lower Door Seal -20 m?</t>
  </si>
  <si>
    <t>OV-0015</t>
  </si>
  <si>
    <t>MINIATURE PLUG IN TIMER</t>
  </si>
  <si>
    <t>OV-0016</t>
  </si>
  <si>
    <t>DOOR SEALS</t>
  </si>
  <si>
    <t>OV-0017</t>
  </si>
  <si>
    <t>20081251 Capacitor 6.3mf</t>
  </si>
  <si>
    <t>OV-0018</t>
  </si>
  <si>
    <t>3005453 Connector</t>
  </si>
  <si>
    <t>OV-0019</t>
  </si>
  <si>
    <t>3008972 Motor</t>
  </si>
  <si>
    <t>OV-0020</t>
  </si>
  <si>
    <t>3006706 Electrode</t>
  </si>
  <si>
    <t>OV-0021</t>
  </si>
  <si>
    <t>3006709 Probe</t>
  </si>
  <si>
    <t>PER0001</t>
  </si>
  <si>
    <t>X axis loading cylinder</t>
  </si>
  <si>
    <t>PER0002</t>
  </si>
  <si>
    <t>X axis side clamp</t>
  </si>
  <si>
    <t>PER0003</t>
  </si>
  <si>
    <t>Y axis pusher cylinder</t>
  </si>
  <si>
    <t>PER0004</t>
  </si>
  <si>
    <t>Y axis datum cylinder</t>
  </si>
  <si>
    <t>PER0005</t>
  </si>
  <si>
    <t>Z axis cylinder</t>
  </si>
  <si>
    <t>PER0006</t>
  </si>
  <si>
    <t>PER0007</t>
  </si>
  <si>
    <t>PER0008</t>
  </si>
  <si>
    <t>Gas spring</t>
  </si>
  <si>
    <t>PER0009</t>
  </si>
  <si>
    <t>Datum limit switch</t>
  </si>
  <si>
    <t>PER0010</t>
  </si>
  <si>
    <t>PER0011</t>
  </si>
  <si>
    <t>Pneumatic connectors</t>
  </si>
  <si>
    <t>PER0012</t>
  </si>
  <si>
    <t>Air flow control</t>
  </si>
  <si>
    <t>PER0013</t>
  </si>
  <si>
    <t>Terminal connection box</t>
  </si>
  <si>
    <t>PER0014</t>
  </si>
  <si>
    <t>STEM TOOL KIT</t>
  </si>
  <si>
    <t>PER0015</t>
  </si>
  <si>
    <t>BMW F39 OP2 PressTool Block</t>
  </si>
  <si>
    <t>PL-0001</t>
  </si>
  <si>
    <t>Hose Clamp 1/2"-3/4"</t>
  </si>
  <si>
    <t>PL-0002</t>
  </si>
  <si>
    <t>GI Tee 1in</t>
  </si>
  <si>
    <t>PL-0003</t>
  </si>
  <si>
    <t>GI Reducer 3/4in to 1/2in</t>
  </si>
  <si>
    <t>PL-0004</t>
  </si>
  <si>
    <t>Ball Valve 1in</t>
  </si>
  <si>
    <t>PL-0005</t>
  </si>
  <si>
    <t>GI Tee 1/2in</t>
  </si>
  <si>
    <t>PL-0006</t>
  </si>
  <si>
    <t>GI Plug 1/2in</t>
  </si>
  <si>
    <t>PL-0007</t>
  </si>
  <si>
    <t>Ball Valve 1/2in</t>
  </si>
  <si>
    <t>PL-0008</t>
  </si>
  <si>
    <t>GI Elbow 1/2in</t>
  </si>
  <si>
    <t>PL-0009</t>
  </si>
  <si>
    <t>GI Plug 3/4in</t>
  </si>
  <si>
    <t>PL-0010</t>
  </si>
  <si>
    <t>GI Hose Nipple 1/2in thread to 1/2in hose</t>
  </si>
  <si>
    <t>PL-0011</t>
  </si>
  <si>
    <t>GI Female Connector 1/2in</t>
  </si>
  <si>
    <t>PL-0012</t>
  </si>
  <si>
    <t>GI Male Connector 1/2in</t>
  </si>
  <si>
    <t>PL-0013</t>
  </si>
  <si>
    <t>Adaptor 1in to 1/2in</t>
  </si>
  <si>
    <t>PL-0014</t>
  </si>
  <si>
    <t>Adaptor 1in to 3/4in</t>
  </si>
  <si>
    <t>PL-0015</t>
  </si>
  <si>
    <t>GI End Cap 2 in</t>
  </si>
  <si>
    <t>PN-0001</t>
  </si>
  <si>
    <t>PN-0002</t>
  </si>
  <si>
    <t>PN-0003</t>
  </si>
  <si>
    <t>PN-0004</t>
  </si>
  <si>
    <t>PN-0005</t>
  </si>
  <si>
    <t>PN-0006</t>
  </si>
  <si>
    <t>PN-0007</t>
  </si>
  <si>
    <t>PN-0008</t>
  </si>
  <si>
    <t>PN-0009</t>
  </si>
  <si>
    <t>PN-0010</t>
  </si>
  <si>
    <t>PN-0011</t>
  </si>
  <si>
    <t>PN-0012</t>
  </si>
  <si>
    <t>PN-0013</t>
  </si>
  <si>
    <t>PN-0014</t>
  </si>
  <si>
    <t>PN-0015</t>
  </si>
  <si>
    <t>Plug-in Reducer KQ2R08-10A</t>
  </si>
  <si>
    <t>PN-0016</t>
  </si>
  <si>
    <t>Reducer 4mm-6mm KQ2H04-06A</t>
  </si>
  <si>
    <t>PN-0017</t>
  </si>
  <si>
    <t>Reducer 6mm-8mm KQ2H06-08A</t>
  </si>
  <si>
    <t>PN-0018</t>
  </si>
  <si>
    <t>Tube Cap KQ2C04-00A</t>
  </si>
  <si>
    <t>PN-0019</t>
  </si>
  <si>
    <t>Tube Cap KQ2C06-00A</t>
  </si>
  <si>
    <t>PN-0020</t>
  </si>
  <si>
    <t>Tube Cap KQ2C08-00A</t>
  </si>
  <si>
    <t>PN-0021</t>
  </si>
  <si>
    <t>Tube Cap KQ2C10-00A</t>
  </si>
  <si>
    <t>PN-0022</t>
  </si>
  <si>
    <t>Bulkhead Union KQ2E04-00A</t>
  </si>
  <si>
    <t>PN-0023</t>
  </si>
  <si>
    <t>Bulkhead Union KQ2E06-00A</t>
  </si>
  <si>
    <t>PN-0024</t>
  </si>
  <si>
    <t>Bulkhead Union KQ2E08-00A</t>
  </si>
  <si>
    <t>PN-0025</t>
  </si>
  <si>
    <t>Bulkhead Union KQ2E10-00A</t>
  </si>
  <si>
    <t>PN-0026</t>
  </si>
  <si>
    <t>Bulkhead Union KQ2E012-00A</t>
  </si>
  <si>
    <t>PN-0027</t>
  </si>
  <si>
    <t>Cross KQ2TW04-00A</t>
  </si>
  <si>
    <t>PN-0028</t>
  </si>
  <si>
    <t>Cross KQ2TW06-00A</t>
  </si>
  <si>
    <t>PN-0029</t>
  </si>
  <si>
    <t>Cross KQ2TW08-00A</t>
  </si>
  <si>
    <t>PN-0030</t>
  </si>
  <si>
    <t>Cross KQ2TW10-00A</t>
  </si>
  <si>
    <t>PN-0031</t>
  </si>
  <si>
    <t>Cross KQ2TW12-00A</t>
  </si>
  <si>
    <t>PN-0032</t>
  </si>
  <si>
    <t>Union Elbow KQ2L04-00A</t>
  </si>
  <si>
    <t>PN-0033</t>
  </si>
  <si>
    <t>Union Elbow KQ2L06-00A</t>
  </si>
  <si>
    <t>PN-0034</t>
  </si>
  <si>
    <t>Union Elbow KQ2L08-00A</t>
  </si>
  <si>
    <t>PN-0035</t>
  </si>
  <si>
    <t>Union Elbow KQ2L10-00A</t>
  </si>
  <si>
    <t>PN-0036</t>
  </si>
  <si>
    <t>Union Elbow KQ2L12-00A</t>
  </si>
  <si>
    <t>PN-0037</t>
  </si>
  <si>
    <t>Union Elbow KQ2L16-00A</t>
  </si>
  <si>
    <t>PN-0038</t>
  </si>
  <si>
    <t>Straight Union KQ2H04-00A</t>
  </si>
  <si>
    <t>PN-0039</t>
  </si>
  <si>
    <t>Straight Union KQ2H06-00A</t>
  </si>
  <si>
    <t>PN-0040</t>
  </si>
  <si>
    <t>Straight Union KQ2H08-00A</t>
  </si>
  <si>
    <t>PN-0041</t>
  </si>
  <si>
    <t>Straight Union KQ2H10-00A</t>
  </si>
  <si>
    <t>PN-0042</t>
  </si>
  <si>
    <t>Straight Union KQ2H12-00A</t>
  </si>
  <si>
    <t>PN-0043</t>
  </si>
  <si>
    <t>Straight Union KQ2H16-00A</t>
  </si>
  <si>
    <t>PN-0044</t>
  </si>
  <si>
    <t>Union Tee KQ2T04-00A</t>
  </si>
  <si>
    <t>PN-0045</t>
  </si>
  <si>
    <t>Union Tee KQ2T06-00A</t>
  </si>
  <si>
    <t>PN-0046</t>
  </si>
  <si>
    <t>Union Tee KQ2T08-00A</t>
  </si>
  <si>
    <t>PN-0047</t>
  </si>
  <si>
    <t>Union Tee KQ2T10-00A</t>
  </si>
  <si>
    <t>PN-0048</t>
  </si>
  <si>
    <t>Union Tee KQ2T12-00A</t>
  </si>
  <si>
    <t>PN-0049</t>
  </si>
  <si>
    <t>Union Tee KQ2T16-00A</t>
  </si>
  <si>
    <t>PN-0050</t>
  </si>
  <si>
    <t>Union Y KQ2U04-00A</t>
  </si>
  <si>
    <t>PN-0051</t>
  </si>
  <si>
    <t>Union Y KQ2U06-00A</t>
  </si>
  <si>
    <t>PN-0052</t>
  </si>
  <si>
    <t>Union Y KQ2U08-00A</t>
  </si>
  <si>
    <t>PN-0053</t>
  </si>
  <si>
    <t>Union Y KQ2U10-00A</t>
  </si>
  <si>
    <t>PN-0054</t>
  </si>
  <si>
    <t>Union Y KQ2U12-00A</t>
  </si>
  <si>
    <t>PN-0055</t>
  </si>
  <si>
    <t>Union Y KQ2U16-00A</t>
  </si>
  <si>
    <t>PN-0056</t>
  </si>
  <si>
    <t>Male Connector R 3/8 x 6mm KQ2H06-03AS</t>
  </si>
  <si>
    <t>PN-0057</t>
  </si>
  <si>
    <t>Male Connector R 3/8 x 8mm KQ2H08-03AS</t>
  </si>
  <si>
    <t>PN-0058</t>
  </si>
  <si>
    <t>Male Connector R 3/8 x 10mm KQ2H10-03AS</t>
  </si>
  <si>
    <t>PN-0059</t>
  </si>
  <si>
    <t>Male Branch Tee R 1/8 x 6mm KQ2T06-01AS</t>
  </si>
  <si>
    <t>PN-0060</t>
  </si>
  <si>
    <t>Male Connector R 1/2 x 10mm KQ2H10-04AS</t>
  </si>
  <si>
    <t>PN-0061</t>
  </si>
  <si>
    <t>Male Connector R 1/4 x 10mm KQ2H10-02AS</t>
  </si>
  <si>
    <t>PN-0062</t>
  </si>
  <si>
    <t>Male Connector R 1/4 x 8mm KQ2H08-02AS</t>
  </si>
  <si>
    <t>PN-0063</t>
  </si>
  <si>
    <t>Male Connector R 1/4 x 6mm KQ2H06-02AS</t>
  </si>
  <si>
    <t>PN-0064</t>
  </si>
  <si>
    <t>Male Connector R 1/4 x 4mm KQ2H04-02AS</t>
  </si>
  <si>
    <t>PN-0065</t>
  </si>
  <si>
    <t>Male Connector R 1/8 x 6mm KQ2H06-01AS</t>
  </si>
  <si>
    <t>PN-0066</t>
  </si>
  <si>
    <t>Male Connector R 1/8 x 8mm KQ2H08-01AS</t>
  </si>
  <si>
    <t>PN-0067</t>
  </si>
  <si>
    <t>Male Connector R 1/8 x 10m KQ2H10-01AS</t>
  </si>
  <si>
    <t>PN-0068</t>
  </si>
  <si>
    <t>Male Elbow R1/8 x 4mm KQ2L04-01AS</t>
  </si>
  <si>
    <t>PN-0069</t>
  </si>
  <si>
    <t>Male Elbow R1/8 x 6mm KQ2L06-01AS</t>
  </si>
  <si>
    <t>PN-0070</t>
  </si>
  <si>
    <t>Male Elbow R1/4 x 6mm KQ2L06-02AS</t>
  </si>
  <si>
    <t>PN-0071</t>
  </si>
  <si>
    <t>Male Elbow R1/4 x 4mm KQ2L04-02AS</t>
  </si>
  <si>
    <t>PN-0072</t>
  </si>
  <si>
    <t>Male Elbow M5x4mm KQ2L04-M5</t>
  </si>
  <si>
    <t>PN-0073</t>
  </si>
  <si>
    <t>Male Elbow M5x6mm KQ2L06-M5</t>
  </si>
  <si>
    <t>PN-0074</t>
  </si>
  <si>
    <t>Compact Cylinder ADN-16-15-A-P-A 536221</t>
  </si>
  <si>
    <t>PN-0075</t>
  </si>
  <si>
    <t>Blow Gun VMG11BU-02</t>
  </si>
  <si>
    <t>PN-0076</t>
  </si>
  <si>
    <t>Hose Clamp 6in</t>
  </si>
  <si>
    <t>PN-0077</t>
  </si>
  <si>
    <t>Spiral Hose 8mm</t>
  </si>
  <si>
    <t>PN-0078</t>
  </si>
  <si>
    <t>GI FEMALE CONNECTOR 1 IN</t>
  </si>
  <si>
    <t>PN-0079</t>
  </si>
  <si>
    <t>GI FEMALE CONNECTOR 3/4 IN</t>
  </si>
  <si>
    <t>PN-0080</t>
  </si>
  <si>
    <t>GI MALE CONNECTOR 1 IN</t>
  </si>
  <si>
    <t>PN-0081</t>
  </si>
  <si>
    <t>GI REDUCER 1 TO 1/2 IN</t>
  </si>
  <si>
    <t>PN-0082</t>
  </si>
  <si>
    <t>GI ELBOW 1 IN</t>
  </si>
  <si>
    <t>PN-0083</t>
  </si>
  <si>
    <t>GI ELBOW 3/4 IN</t>
  </si>
  <si>
    <t>PN-0084</t>
  </si>
  <si>
    <t>PN-0085</t>
  </si>
  <si>
    <t>GI TEE 1 IN</t>
  </si>
  <si>
    <t>PN-0086</t>
  </si>
  <si>
    <t>GI END CAP 1 IN</t>
  </si>
  <si>
    <t>PN-0087</t>
  </si>
  <si>
    <t>GI PLUG 1 IN</t>
  </si>
  <si>
    <t>PN-0088</t>
  </si>
  <si>
    <t>elbow m3 x 3mm hose</t>
  </si>
  <si>
    <t>PN-0089</t>
  </si>
  <si>
    <t>Reducer 10-8mm</t>
  </si>
  <si>
    <t>PN-0090</t>
  </si>
  <si>
    <t>Elbow connector 1/8 x 8mm</t>
  </si>
  <si>
    <t>PN-0091</t>
  </si>
  <si>
    <t>Elbow connector 1/4 x 10mm</t>
  </si>
  <si>
    <t>PN-0092</t>
  </si>
  <si>
    <t>Elbow connector 1/8 x 10mm</t>
  </si>
  <si>
    <t>PN-0093</t>
  </si>
  <si>
    <t>Elbow connector 3/8 x 12mm</t>
  </si>
  <si>
    <t>PN-0094</t>
  </si>
  <si>
    <t>Straight connector 3/8 x 16mm</t>
  </si>
  <si>
    <t>PN-0095</t>
  </si>
  <si>
    <t>Union tee 1/8 x 6mm</t>
  </si>
  <si>
    <t>PN-0096</t>
  </si>
  <si>
    <t>Elbow connector 3/8 x 6mm</t>
  </si>
  <si>
    <t>PN-0097</t>
  </si>
  <si>
    <t>Reducer 12mm-10mm</t>
  </si>
  <si>
    <t>PN-0098</t>
  </si>
  <si>
    <t>Elbow connector 4mm</t>
  </si>
  <si>
    <t>PN-0099</t>
  </si>
  <si>
    <t>Elbow connector 16mm</t>
  </si>
  <si>
    <t>PN-0100</t>
  </si>
  <si>
    <t>Elbow connector 10mm</t>
  </si>
  <si>
    <t>PN-0101</t>
  </si>
  <si>
    <t>Elbow connector 1/8x 8mm</t>
  </si>
  <si>
    <t>PN-0102</t>
  </si>
  <si>
    <t>Elbow connector 1/8x 10mm</t>
  </si>
  <si>
    <t>PN-0103</t>
  </si>
  <si>
    <t>Elbow connector 1/8x 12mm</t>
  </si>
  <si>
    <t>PN-0104</t>
  </si>
  <si>
    <t>Elbow connector 1/4x 8mm</t>
  </si>
  <si>
    <t>PN-0105</t>
  </si>
  <si>
    <t>Elbow connector 1/4x 10mm</t>
  </si>
  <si>
    <t>PN-0106</t>
  </si>
  <si>
    <t>Elbow connector 1/4x12mm</t>
  </si>
  <si>
    <t>PN-0107</t>
  </si>
  <si>
    <t>Elbow connector 3/8x4mm</t>
  </si>
  <si>
    <t>PN-0108</t>
  </si>
  <si>
    <t>Elbow connector 3/8x6mm</t>
  </si>
  <si>
    <t>PN-0109</t>
  </si>
  <si>
    <t>Elbow connector 3/8x8mm</t>
  </si>
  <si>
    <t>PN-0110</t>
  </si>
  <si>
    <t>Elbow connector 3/8x10mm</t>
  </si>
  <si>
    <t>PN-0111</t>
  </si>
  <si>
    <t>Elbow connector 3/8x12mm</t>
  </si>
  <si>
    <t>PN-0112</t>
  </si>
  <si>
    <t>Elbow connector 1/2x12mm</t>
  </si>
  <si>
    <t>PN-0113</t>
  </si>
  <si>
    <t>TEE Connector1/8x4mm</t>
  </si>
  <si>
    <t>PN-0114</t>
  </si>
  <si>
    <t>TEE Connector1/8x6mm</t>
  </si>
  <si>
    <t>PN-0115</t>
  </si>
  <si>
    <t>TEE Connector1/8x8mm</t>
  </si>
  <si>
    <t>PN-0116</t>
  </si>
  <si>
    <t>TEE Connector1/8x10mm</t>
  </si>
  <si>
    <t>PN-0117</t>
  </si>
  <si>
    <t>TEE Connector1/8x12mm</t>
  </si>
  <si>
    <t>PN-0118</t>
  </si>
  <si>
    <t>TEE Connector1/4x4mm</t>
  </si>
  <si>
    <t>PN-0119</t>
  </si>
  <si>
    <t>TEE Connector1/4x6mm</t>
  </si>
  <si>
    <t>PN-0120</t>
  </si>
  <si>
    <t>TEE Connector1/4x8mm</t>
  </si>
  <si>
    <t>PN-0121</t>
  </si>
  <si>
    <t>TEE Connector1/4x10mm</t>
  </si>
  <si>
    <t>PN-0122</t>
  </si>
  <si>
    <t>TEE Connector1/4x12mm</t>
  </si>
  <si>
    <t>PN-0123</t>
  </si>
  <si>
    <t>TEE Connector3/8x8mm</t>
  </si>
  <si>
    <t>PN-0124</t>
  </si>
  <si>
    <t>TEE Connector3/8x10mm</t>
  </si>
  <si>
    <t>PN-0125</t>
  </si>
  <si>
    <t>TEE Connector3/8x12mm</t>
  </si>
  <si>
    <t>PN-0126</t>
  </si>
  <si>
    <t>TEE Connector1/2x12mm</t>
  </si>
  <si>
    <t>PN-0127</t>
  </si>
  <si>
    <t>Plug 4mm</t>
  </si>
  <si>
    <t>PN-0128</t>
  </si>
  <si>
    <t>Plug 6mm</t>
  </si>
  <si>
    <t>PN-0129</t>
  </si>
  <si>
    <t>Plug 8mm</t>
  </si>
  <si>
    <t>PN-0130</t>
  </si>
  <si>
    <t>Plug 10mm</t>
  </si>
  <si>
    <t>PN-0131</t>
  </si>
  <si>
    <t>Plug 12mm</t>
  </si>
  <si>
    <t>PN-0132</t>
  </si>
  <si>
    <t>Tube Reducer connector 6mm</t>
  </si>
  <si>
    <t>PN-0133</t>
  </si>
  <si>
    <t>Tube Reducer connector 8mm</t>
  </si>
  <si>
    <t>PN-0134</t>
  </si>
  <si>
    <t>Tube Reducer connector 10mm</t>
  </si>
  <si>
    <t>PN-0135</t>
  </si>
  <si>
    <t>Tube Reducer connector 12mm</t>
  </si>
  <si>
    <t>PN-0136</t>
  </si>
  <si>
    <t>Speed flow controller6mmX1/8 MV19 06 18/C</t>
  </si>
  <si>
    <t>PN-0137</t>
  </si>
  <si>
    <t>Speed flow controller8mmX1/8 MV19 08 18/C</t>
  </si>
  <si>
    <t>PN-0138</t>
  </si>
  <si>
    <t>Speed flow controller 6mmX1/4 MV19 06 14/C</t>
  </si>
  <si>
    <t>PN-0139</t>
  </si>
  <si>
    <t>Speed flow controller8mmX1/4 MV19 08 14/C</t>
  </si>
  <si>
    <t>PN-0140</t>
  </si>
  <si>
    <t>Tube Reducer straight 10x12mm</t>
  </si>
  <si>
    <t>PN-0141</t>
  </si>
  <si>
    <t>Tube Reducer straight 08x10mm</t>
  </si>
  <si>
    <t>PN-0142</t>
  </si>
  <si>
    <t>Tee connector 3/8x 6mm</t>
  </si>
  <si>
    <t>PN-0143</t>
  </si>
  <si>
    <t>Tee Connector 1/2'' 10mm</t>
  </si>
  <si>
    <t>PN-0144</t>
  </si>
  <si>
    <t>Speed flow controller 1/8''x 10mm</t>
  </si>
  <si>
    <t>PN-0145</t>
  </si>
  <si>
    <t>Speed flow controller 1/4''x 10mm</t>
  </si>
  <si>
    <t>PN-0146</t>
  </si>
  <si>
    <t>Speed flow controller 1/4'x 12mm</t>
  </si>
  <si>
    <t>PN-0147</t>
  </si>
  <si>
    <t>Tee Push fitting 10-10-12</t>
  </si>
  <si>
    <t>PN-0148</t>
  </si>
  <si>
    <t>Tee Push fitting 08-08-10</t>
  </si>
  <si>
    <t>PN-0149</t>
  </si>
  <si>
    <t>Tee Push fitting 06-06-08</t>
  </si>
  <si>
    <t>PN-0200</t>
  </si>
  <si>
    <t>Teflon .5in</t>
  </si>
  <si>
    <t>PN-0201</t>
  </si>
  <si>
    <t>PU Tubing 4mm</t>
  </si>
  <si>
    <t>PN-0202</t>
  </si>
  <si>
    <t>PU Tubing 6mm</t>
  </si>
  <si>
    <t>PN-0203</t>
  </si>
  <si>
    <t>PU Tubing 8mm</t>
  </si>
  <si>
    <t>PN-0204</t>
  </si>
  <si>
    <t>PU Tubing 10mm</t>
  </si>
  <si>
    <t>PN-0205</t>
  </si>
  <si>
    <t>PU Tubing 12mm</t>
  </si>
  <si>
    <t>PN-0206</t>
  </si>
  <si>
    <t>Duo Tubing 4mm</t>
  </si>
  <si>
    <t>PN-0207</t>
  </si>
  <si>
    <t>Duo Tubing 6mm</t>
  </si>
  <si>
    <t>PN-0208</t>
  </si>
  <si>
    <t>Clear Braided Hose 1/2in</t>
  </si>
  <si>
    <t>PN-0300</t>
  </si>
  <si>
    <t>In-line Flow Controller AS2002F-06</t>
  </si>
  <si>
    <t>PN-0301</t>
  </si>
  <si>
    <t>Flow Controller AS3201F-01-06SA</t>
  </si>
  <si>
    <t>PN-0302</t>
  </si>
  <si>
    <t>Festo ADN-16-25-A-P-A 536223</t>
  </si>
  <si>
    <t>PN-0303</t>
  </si>
  <si>
    <t>Festo ADN-16-10-A-P-A</t>
  </si>
  <si>
    <t>PN-0304</t>
  </si>
  <si>
    <t>Festo ADVU-16-10-A-P-A</t>
  </si>
  <si>
    <t>PN-0305</t>
  </si>
  <si>
    <t>Festo ADVU-16-15-A-P-A</t>
  </si>
  <si>
    <t>PN-0306</t>
  </si>
  <si>
    <t>Guide Drive DFM-20-25-B-PPV-A-GF 532317</t>
  </si>
  <si>
    <t>PN-0307</t>
  </si>
  <si>
    <t>Compact Cylinder ADN-16-20-A-P-A 536223</t>
  </si>
  <si>
    <t>PN-0308</t>
  </si>
  <si>
    <t>Compact Cylinder ADN-50-50-I-PPS-A 572688</t>
  </si>
  <si>
    <t>PN-0309</t>
  </si>
  <si>
    <t>Compact Cylinder ADN-50-35-I-PPS-A 536309</t>
  </si>
  <si>
    <t>PN-0310</t>
  </si>
  <si>
    <t>Compact Cylinder ADN-50-40-I-PPS-A 572687</t>
  </si>
  <si>
    <t>PN-0311</t>
  </si>
  <si>
    <t>Compact Cylinder ADN-50-20-I-PPS-A 572684</t>
  </si>
  <si>
    <t>PN-0312</t>
  </si>
  <si>
    <t>Compact Cylinder ADN-50-25-I-PPS-A 572685</t>
  </si>
  <si>
    <t>PN-0313</t>
  </si>
  <si>
    <t>Compact Cylinder ADN-25-25-A-P-A</t>
  </si>
  <si>
    <t>PN-0314</t>
  </si>
  <si>
    <t>Compact Cylinder ADVUL-25-50-P-A</t>
  </si>
  <si>
    <t>PN-0315</t>
  </si>
  <si>
    <t>Valve air pilot SMC VSA7-8-FG-D-2M</t>
  </si>
  <si>
    <t>PN-0316</t>
  </si>
  <si>
    <t>Solenoid Valve CPE14-M1BH-5L-1/8 196941</t>
  </si>
  <si>
    <t>PN-0317</t>
  </si>
  <si>
    <t>Single Acting Valve SYA5120-01</t>
  </si>
  <si>
    <t>PN-0318</t>
  </si>
  <si>
    <t>Double Acting Valve SYA5220-01</t>
  </si>
  <si>
    <t>PN-0319</t>
  </si>
  <si>
    <t>AZ Pneumatics DP 2005</t>
  </si>
  <si>
    <t>PN-0320</t>
  </si>
  <si>
    <t>AR40-04B-A-X2729 - Water Separator</t>
  </si>
  <si>
    <t>PN-0322</t>
  </si>
  <si>
    <t>Festo SVS-3 1/8</t>
  </si>
  <si>
    <t>PN-0323</t>
  </si>
  <si>
    <t>SMC VMT30-01</t>
  </si>
  <si>
    <t>PN-0325</t>
  </si>
  <si>
    <t>SMC KBE3-10</t>
  </si>
  <si>
    <t>PN-0328</t>
  </si>
  <si>
    <t>SMC VH202-N02</t>
  </si>
  <si>
    <t>PN-0329</t>
  </si>
  <si>
    <t>SMC AW20-02-A</t>
  </si>
  <si>
    <t>PN-0331</t>
  </si>
  <si>
    <t>SMC Silencer AN30-03</t>
  </si>
  <si>
    <t>PN-0332</t>
  </si>
  <si>
    <t>FESTO Linear drive DGPL-18-300 -PPV-A-KF-B 161977</t>
  </si>
  <si>
    <t>PN-0333</t>
  </si>
  <si>
    <t>FESTO Linear Drive DGC-18-415-G-PPV-A 532446</t>
  </si>
  <si>
    <t>PN-0334</t>
  </si>
  <si>
    <t>SMC GS50-10-01</t>
  </si>
  <si>
    <t>PN-0335</t>
  </si>
  <si>
    <t>MB24 ( 24 liter air tank )</t>
  </si>
  <si>
    <t>PN-0336</t>
  </si>
  <si>
    <t>FESTO ADNGF32-20-PPSA</t>
  </si>
  <si>
    <t>PN-0337</t>
  </si>
  <si>
    <t>FESTO DFM-25-20-PAGF</t>
  </si>
  <si>
    <t>PN-0338</t>
  </si>
  <si>
    <t>FESTO AND-32-25-APA</t>
  </si>
  <si>
    <t>PN-0339</t>
  </si>
  <si>
    <t>SMC AIR LINE WATER SEPARATOR AD600-06</t>
  </si>
  <si>
    <t>PN-0340</t>
  </si>
  <si>
    <t>SMC SYA5220-01</t>
  </si>
  <si>
    <t>PN-0341</t>
  </si>
  <si>
    <t>SMC DM9B</t>
  </si>
  <si>
    <t>PN-0342</t>
  </si>
  <si>
    <t>SMC SY7120-5DZD-02</t>
  </si>
  <si>
    <t>PN-0343</t>
  </si>
  <si>
    <t>SMC VM22</t>
  </si>
  <si>
    <t>PN-0344</t>
  </si>
  <si>
    <t>SMC AIR GUN NOZZLE</t>
  </si>
  <si>
    <t>PN-0345</t>
  </si>
  <si>
    <t>FESTO SUS-3-1/8</t>
  </si>
  <si>
    <t>PN-0346</t>
  </si>
  <si>
    <t>SMC VM220-02</t>
  </si>
  <si>
    <t>PN-0347</t>
  </si>
  <si>
    <t>Straight Fitting 12mm x 1/2in</t>
  </si>
  <si>
    <t>PN-0348</t>
  </si>
  <si>
    <t>Reducer Brass M3/8in x F1/4in</t>
  </si>
  <si>
    <t>PN-0349</t>
  </si>
  <si>
    <t>Elbow Brass Fitting, M1/4in x F1/4in</t>
  </si>
  <si>
    <t>PN-0350</t>
  </si>
  <si>
    <t xml:space="preserve">2in Pressure Gauge, 0-10bar, 1/4in Bottom </t>
  </si>
  <si>
    <t>PN-0351</t>
  </si>
  <si>
    <t>Brass Reducer 1/2in x 1/4in</t>
  </si>
  <si>
    <t>PN-0352</t>
  </si>
  <si>
    <t>PTFE 4MM TUBING,4MM OD X 2MM ID</t>
  </si>
  <si>
    <t>PN-0353</t>
  </si>
  <si>
    <t>WCE1602-2ACD High Power Pneumatic Link Clamp Kosmek,Japan</t>
  </si>
  <si>
    <t>PN-0354</t>
  </si>
  <si>
    <t>WCZ1600-L2 Link Lever Material Kosmek,Japan</t>
  </si>
  <si>
    <t>PN-0355</t>
  </si>
  <si>
    <t>SMC CDQ2KB20-50DZ Air Cylinder</t>
  </si>
  <si>
    <t>PN-0356</t>
  </si>
  <si>
    <t>SMC CDQ2KB32-25DZ Air Cylinder</t>
  </si>
  <si>
    <t>PN-0357</t>
  </si>
  <si>
    <t>SPIRAL HOSE 4''X10MTR SOFT QUALITY</t>
  </si>
  <si>
    <t>PN-0358</t>
  </si>
  <si>
    <t>SPIRAL HOSE 5''X10 MTR SOFT QUALITY</t>
  </si>
  <si>
    <t>PN-0359</t>
  </si>
  <si>
    <t>HOSE CLIPS 4''</t>
  </si>
  <si>
    <t>PN-0360</t>
  </si>
  <si>
    <t>HOSECLIPS 5''</t>
  </si>
  <si>
    <t>PN-0362</t>
  </si>
  <si>
    <t>1/4 x6mm Flow control</t>
  </si>
  <si>
    <t>PN-0363</t>
  </si>
  <si>
    <t>Guide Cylinder, MGPM12-20Z</t>
  </si>
  <si>
    <t>PN-0364</t>
  </si>
  <si>
    <t>FESTO ADVU-12-15-A-P-A</t>
  </si>
  <si>
    <t>PN-0365</t>
  </si>
  <si>
    <t>Festo DGO-25-1600-PPV-A-B</t>
  </si>
  <si>
    <t>PN-0366</t>
  </si>
  <si>
    <t>Festo MS6-LFR-1/2-D7-ERV-AS</t>
  </si>
  <si>
    <t>PN-0367</t>
  </si>
  <si>
    <t>Festo MS6-LOE-1/2-R</t>
  </si>
  <si>
    <t>PN-0368</t>
  </si>
  <si>
    <t>Festo MS6-WP-EX</t>
  </si>
  <si>
    <t>PN-0369</t>
  </si>
  <si>
    <t>Nylon Tubing 6mm OD</t>
  </si>
  <si>
    <t>PN-0370</t>
  </si>
  <si>
    <t>Nylon Tubing 4mm OD</t>
  </si>
  <si>
    <t>PN-0371</t>
  </si>
  <si>
    <t>Nylon Tubing 1.5mm ID</t>
  </si>
  <si>
    <t>PN-0372</t>
  </si>
  <si>
    <t>Festo Compact cylinder ADVU-32-20-A-P-A</t>
  </si>
  <si>
    <t>PN-0373</t>
  </si>
  <si>
    <t>HOSECLIPS 1''</t>
  </si>
  <si>
    <t>PN-0374</t>
  </si>
  <si>
    <t>SMC MGPM12-15Z</t>
  </si>
  <si>
    <t>PN-0375</t>
  </si>
  <si>
    <t>SMC MGPM12-10Z</t>
  </si>
  <si>
    <t>PN-0377</t>
  </si>
  <si>
    <t>Polyamide Tubing 4 mm x 100 MTRS</t>
  </si>
  <si>
    <t>PN-0379</t>
  </si>
  <si>
    <t>In-Line flow Controller 8mm</t>
  </si>
  <si>
    <t>PN-0380</t>
  </si>
  <si>
    <t>In-Line flow Controller 10mm</t>
  </si>
  <si>
    <t>PN-0381</t>
  </si>
  <si>
    <t>FESTO MS6-WS-1/2-U</t>
  </si>
  <si>
    <t>PN-0382</t>
  </si>
  <si>
    <t>FESTO  VRPA-CM-Q6-E</t>
  </si>
  <si>
    <t>PN-0383</t>
  </si>
  <si>
    <t>FESTO  VRPA-CM-Q8-E</t>
  </si>
  <si>
    <t>PN-0384</t>
  </si>
  <si>
    <t>FESTO Linear Drive DGC-18-350-G-PPV-A 532446 F308</t>
  </si>
  <si>
    <t>PN-0385</t>
  </si>
  <si>
    <t>FESTO MA-40-10-1/8</t>
  </si>
  <si>
    <t>PRESS - 0001</t>
  </si>
  <si>
    <t>PRESS - 0002</t>
  </si>
  <si>
    <t>PRESS - 0003</t>
  </si>
  <si>
    <t>PRESS - 0004</t>
  </si>
  <si>
    <t>PRESS - 0005</t>
  </si>
  <si>
    <t>PRESS - 0006</t>
  </si>
  <si>
    <t>PRESS - 0007</t>
  </si>
  <si>
    <t>PRESS - 0008</t>
  </si>
  <si>
    <t>PRESS - 0009</t>
  </si>
  <si>
    <t>RAL-0001</t>
  </si>
  <si>
    <t>HSD Spindle ROTOR unit</t>
  </si>
  <si>
    <t>RAL-0002</t>
  </si>
  <si>
    <t>Spindle head sensor R1</t>
  </si>
  <si>
    <t>RAL-0003</t>
  </si>
  <si>
    <t>Spindle head sensor R2</t>
  </si>
  <si>
    <t>RAL-0004</t>
  </si>
  <si>
    <t>Spindle head sensor R3</t>
  </si>
  <si>
    <t>RAL-0005</t>
  </si>
  <si>
    <t>Spindle head sensor R4</t>
  </si>
  <si>
    <t>RAL-0006</t>
  </si>
  <si>
    <t>Spindle head sensors cable</t>
  </si>
  <si>
    <t>RAL-0007</t>
  </si>
  <si>
    <t>Z axis belt and pulley</t>
  </si>
  <si>
    <t>RAL-0008</t>
  </si>
  <si>
    <t>RAL-0009</t>
  </si>
  <si>
    <t>RAL-0010</t>
  </si>
  <si>
    <t>RAL-0011</t>
  </si>
  <si>
    <t>RAL-0012</t>
  </si>
  <si>
    <t>Auto air prep Module unit</t>
  </si>
  <si>
    <t>RAL-0013</t>
  </si>
  <si>
    <t>Pressure Booster cylinder</t>
  </si>
  <si>
    <t>RAL-0014</t>
  </si>
  <si>
    <t>Light guard</t>
  </si>
  <si>
    <t>RAL-0015</t>
  </si>
  <si>
    <t>RAL-0016</t>
  </si>
  <si>
    <t>Axis linear bearing</t>
  </si>
  <si>
    <t>RAL-0017</t>
  </si>
  <si>
    <t>Control cabinet AC</t>
  </si>
  <si>
    <t>RAL-0018</t>
  </si>
  <si>
    <t>Shaft Kit for Electrospindle ES779</t>
  </si>
  <si>
    <t>RAL-0019</t>
  </si>
  <si>
    <t>Sinamiq double motor module 6SL3120-2TE21-0AA4</t>
  </si>
  <si>
    <t>RAL-0020</t>
  </si>
  <si>
    <t>Sinamiq single motor module 6SL3120-1TE23-0AA4</t>
  </si>
  <si>
    <t>RAL-0021</t>
  </si>
  <si>
    <t>Admiral Reer Sensor</t>
  </si>
  <si>
    <t>RAL-0022</t>
  </si>
  <si>
    <t>Chiller Pump Motor Refurbishment</t>
  </si>
  <si>
    <t>RAL-0023</t>
  </si>
  <si>
    <t>HDM K6 man. bistable valve Metalwork</t>
  </si>
  <si>
    <t>RAL-0024</t>
  </si>
  <si>
    <t>HDM V6 man. monost. Valve Metalwork</t>
  </si>
  <si>
    <t>RAL-0025</t>
  </si>
  <si>
    <t>Intermediate blind HDM Metalwork</t>
  </si>
  <si>
    <t>RAL-0026</t>
  </si>
  <si>
    <t>HDM I6 man. monost. Valve Metalwork</t>
  </si>
  <si>
    <t>RAL-0027</t>
  </si>
  <si>
    <t>Z AXIS bearings 1 62052RS</t>
  </si>
  <si>
    <t>RAL-0028</t>
  </si>
  <si>
    <t>Z AXIS bearings 2 7205ZZ</t>
  </si>
  <si>
    <t>RAL-0029</t>
  </si>
  <si>
    <t>Z AXIS guide</t>
  </si>
  <si>
    <t>RAL-0030</t>
  </si>
  <si>
    <t>Z AXIS Ballscrew</t>
  </si>
  <si>
    <t>RAL-0031</t>
  </si>
  <si>
    <t>X RUNNER GUIDE</t>
  </si>
  <si>
    <t>RAL-0032</t>
  </si>
  <si>
    <t>Y RUNNER GUIDE</t>
  </si>
  <si>
    <t>RAL-0033</t>
  </si>
  <si>
    <t>SNAIL</t>
  </si>
  <si>
    <t>RAL-0034</t>
  </si>
  <si>
    <t>Y AXIS SCREW</t>
  </si>
  <si>
    <t>RAL-0035</t>
  </si>
  <si>
    <t>BEARING KEY BLOCK</t>
  </si>
  <si>
    <t>RAL-0036</t>
  </si>
  <si>
    <t>Y AXIS MOTOR PULLEY</t>
  </si>
  <si>
    <t>RAL-0037</t>
  </si>
  <si>
    <t>Y AXIS PULLEY</t>
  </si>
  <si>
    <t>RAL-0038</t>
  </si>
  <si>
    <t>TIMING BELT FOR Y AXLE</t>
  </si>
  <si>
    <t>RAL-0039</t>
  </si>
  <si>
    <t>Z RUNNER GUIDE</t>
  </si>
  <si>
    <t>RAL-0040</t>
  </si>
  <si>
    <t>FERRULE</t>
  </si>
  <si>
    <t>RAL-0041</t>
  </si>
  <si>
    <t>Z AXIS MOTOR PULLEY</t>
  </si>
  <si>
    <t>RAL-0042</t>
  </si>
  <si>
    <t>Z AXIS PULLEY</t>
  </si>
  <si>
    <t>RAL-0043</t>
  </si>
  <si>
    <t>TIMING BELT FOR Z AXLE</t>
  </si>
  <si>
    <t>RAL-0044</t>
  </si>
  <si>
    <t>PRESETTING TOOL</t>
  </si>
  <si>
    <t>RAL-0045</t>
  </si>
  <si>
    <t>W6 VALVE</t>
  </si>
  <si>
    <t>RAL-0046</t>
  </si>
  <si>
    <t>I6 VALVE</t>
  </si>
  <si>
    <t>RAL-0047</t>
  </si>
  <si>
    <t>NEW LIQUID PUMP MOTOR THREE PHASE 400V</t>
  </si>
  <si>
    <t>RAL-0048</t>
  </si>
  <si>
    <t>rotating distributor H0813H0021</t>
  </si>
  <si>
    <t>RAL-0049</t>
  </si>
  <si>
    <t>FIXED DISTRIBUTOR H6355H0090</t>
  </si>
  <si>
    <t>RAL-0050</t>
  </si>
  <si>
    <t>RALC SAW BLADE</t>
  </si>
  <si>
    <t>RAL-0051</t>
  </si>
  <si>
    <t>TABLE BREAKS MK 250 2K</t>
  </si>
  <si>
    <t>RAL-0052</t>
  </si>
  <si>
    <t>Z AXIS GEARBOX</t>
  </si>
  <si>
    <t>RAL-0053</t>
  </si>
  <si>
    <t>X AXIS MOTOR</t>
  </si>
  <si>
    <t>RAL-0054</t>
  </si>
  <si>
    <t>B AXIS LIMIT SENSOR</t>
  </si>
  <si>
    <t>RAL-0055</t>
  </si>
  <si>
    <t>DRAWBAR CYLINDER</t>
  </si>
  <si>
    <t>RAL-0056</t>
  </si>
  <si>
    <t>PNEUMATIC MODULE</t>
  </si>
  <si>
    <t>RAL-0057</t>
  </si>
  <si>
    <t>X Axis RUNNER GUIDE-20 00.031.0313</t>
  </si>
  <si>
    <t>RAL-0058</t>
  </si>
  <si>
    <t>Y Axis RUNNER GUIDE-20 00.031.0316</t>
  </si>
  <si>
    <t>RAL-0059</t>
  </si>
  <si>
    <t>SNAIL-50 00.035.0054</t>
  </si>
  <si>
    <t>RAL-0060</t>
  </si>
  <si>
    <t>Y AXIS SCREW-60 70.002.5185</t>
  </si>
  <si>
    <t>RAL-0061</t>
  </si>
  <si>
    <t>BEARING KEY BLOCK-70 00.068.0043</t>
  </si>
  <si>
    <t>RAL-0062</t>
  </si>
  <si>
    <t>Y AXIS MOTOR PULLEY-80 72.000.0025</t>
  </si>
  <si>
    <t>RAL-0063</t>
  </si>
  <si>
    <t>Y AXIS PULLEY-90 70.002.5186</t>
  </si>
  <si>
    <t>RAL-0064</t>
  </si>
  <si>
    <t>TIMING BELT FOR Y AXLE-10 000.033.0275</t>
  </si>
  <si>
    <t>RAL-0065</t>
  </si>
  <si>
    <t>Z Axis RUNNER GUIDE-120 00.031.0317</t>
  </si>
  <si>
    <t>RAL-0066</t>
  </si>
  <si>
    <t>SNAIL-130 00.035.0055</t>
  </si>
  <si>
    <t>RAL-0067</t>
  </si>
  <si>
    <t>BEARING-140 00.061.0082</t>
  </si>
  <si>
    <t>RAL-0068</t>
  </si>
  <si>
    <t>BEARING KEY BLOCK-150 00.068.0044</t>
  </si>
  <si>
    <t>RAL-0069</t>
  </si>
  <si>
    <t>FERRULE-160 00.130.0044</t>
  </si>
  <si>
    <t>RAL-0070</t>
  </si>
  <si>
    <t>Z AXIS SCREW-170 70.002.5236</t>
  </si>
  <si>
    <t>RAL-0071</t>
  </si>
  <si>
    <t>PRESETTING TOOL-220 00.161.0002</t>
  </si>
  <si>
    <t>RAL-0072</t>
  </si>
  <si>
    <t>PRESSURE SWITCH-230 00.019.0079</t>
  </si>
  <si>
    <t>RAL-0073</t>
  </si>
  <si>
    <t>V8 VALVE-240 00.017.0612</t>
  </si>
  <si>
    <t>RAL-0074</t>
  </si>
  <si>
    <t>K6 VALVE-250 00.017.0613</t>
  </si>
  <si>
    <t>RAL-0075</t>
  </si>
  <si>
    <t>W6 VALVE-260 00.017.0676</t>
  </si>
  <si>
    <t>RAL-0076</t>
  </si>
  <si>
    <t>I6 VALVE-270 00.017.0614</t>
  </si>
  <si>
    <t>RAL-0077</t>
  </si>
  <si>
    <t>NYLON WHEEL WITH BOLT</t>
  </si>
  <si>
    <t>RAL-0078</t>
  </si>
  <si>
    <t>MGM Brake Motor BA71B4 for Tool Arm</t>
  </si>
  <si>
    <t>RAL-0079</t>
  </si>
  <si>
    <t>NEW GEARBOX FOR TOOL ARM</t>
  </si>
  <si>
    <t>RAL-0080</t>
  </si>
  <si>
    <t>NEW TOOL ARM</t>
  </si>
  <si>
    <t>RAL-0081</t>
  </si>
  <si>
    <t>NEW TOOL HOLDER</t>
  </si>
  <si>
    <t>RAL-0082</t>
  </si>
  <si>
    <t>ARM BODY</t>
  </si>
  <si>
    <t>RAL-0083</t>
  </si>
  <si>
    <t>CLAMP</t>
  </si>
  <si>
    <t>RAL-0084</t>
  </si>
  <si>
    <t>STUD</t>
  </si>
  <si>
    <t>RAL-0085</t>
  </si>
  <si>
    <t>GASKET 1</t>
  </si>
  <si>
    <t>RAL-0086</t>
  </si>
  <si>
    <t>GASKET 2</t>
  </si>
  <si>
    <t>RAL-0087</t>
  </si>
  <si>
    <t>FORK SPRING</t>
  </si>
  <si>
    <t>RAL-0088</t>
  </si>
  <si>
    <t>SHUTTER SPRING</t>
  </si>
  <si>
    <t>RAL-0089</t>
  </si>
  <si>
    <t>LOCKING DIAL</t>
  </si>
  <si>
    <t>RAL-0090</t>
  </si>
  <si>
    <t>SHUTTER FLANGE</t>
  </si>
  <si>
    <t>RAL-0200</t>
  </si>
  <si>
    <t>Front door slide bearing</t>
  </si>
  <si>
    <t>RAL-0201</t>
  </si>
  <si>
    <t>RAL-0202</t>
  </si>
  <si>
    <t>RAL-0203</t>
  </si>
  <si>
    <t>Spindle Head Cover H1408H0048</t>
  </si>
  <si>
    <t>RAL-0204</t>
  </si>
  <si>
    <t>Blanking plate 1/8 Metalwork</t>
  </si>
  <si>
    <t>RAL-0205</t>
  </si>
  <si>
    <t>DISTRIBUTOR SEAL KIT</t>
  </si>
  <si>
    <t>RAL-0206</t>
  </si>
  <si>
    <t>DISTRIBUTOR BEARING R16013UWCC0P5</t>
  </si>
  <si>
    <t>RAL-0207</t>
  </si>
  <si>
    <t>RAL-0208</t>
  </si>
  <si>
    <t>SPINDLE COVER</t>
  </si>
  <si>
    <t>RAL-0209</t>
  </si>
  <si>
    <t>GUIDE BLOCKS MK2502K</t>
  </si>
  <si>
    <t>RAL-0210</t>
  </si>
  <si>
    <t>DRAWBAR CYLINDER SEAL KIT</t>
  </si>
  <si>
    <t>RAL-0211</t>
  </si>
  <si>
    <t>Refurbished Rotor</t>
  </si>
  <si>
    <t>RAL-0212</t>
  </si>
  <si>
    <t>Spindle Gripper</t>
  </si>
  <si>
    <t>RAL-0213</t>
  </si>
  <si>
    <t>Repair of Motor Type BA 71 B4, MGM</t>
  </si>
  <si>
    <t>RAL-0214</t>
  </si>
  <si>
    <t>Regulated Switching Power DC/DC</t>
  </si>
  <si>
    <t>SAW-0001</t>
  </si>
  <si>
    <t>Main cylinder</t>
  </si>
  <si>
    <t>SAW-0002</t>
  </si>
  <si>
    <t>Clamp cylinder</t>
  </si>
  <si>
    <t>SAW-0003</t>
  </si>
  <si>
    <t>Single acting solinoid valve</t>
  </si>
  <si>
    <t>SAW-0004</t>
  </si>
  <si>
    <t>Double acting solinoid valve</t>
  </si>
  <si>
    <t>SAW-0005</t>
  </si>
  <si>
    <t>SAW-0006</t>
  </si>
  <si>
    <t>SAW-0007</t>
  </si>
  <si>
    <t>SAW-0008</t>
  </si>
  <si>
    <t>Motor elumatec 2 HEAD ASSEMBLY</t>
  </si>
  <si>
    <t>SAW-0009</t>
  </si>
  <si>
    <t>Blade cover</t>
  </si>
  <si>
    <t>SAW-0010</t>
  </si>
  <si>
    <t>SAW-0011</t>
  </si>
  <si>
    <t>Bearings</t>
  </si>
  <si>
    <t>SAW-0012</t>
  </si>
  <si>
    <t>Bearings housing</t>
  </si>
  <si>
    <t>SAW-0013</t>
  </si>
  <si>
    <t>Linear bearing</t>
  </si>
  <si>
    <t>SAW-0014</t>
  </si>
  <si>
    <t>Belt ELUMATEC 1 PJ 1356/5345</t>
  </si>
  <si>
    <t>SAW-0015</t>
  </si>
  <si>
    <t>Pulley elumatec 2</t>
  </si>
  <si>
    <t>SAW-0016</t>
  </si>
  <si>
    <t>SAW-0017</t>
  </si>
  <si>
    <t>500X30 - Elumatec Up-cut</t>
  </si>
  <si>
    <t>SAW-0018</t>
  </si>
  <si>
    <t>380X32 - Pertici-Trim Saw</t>
  </si>
  <si>
    <t>SAW-0019</t>
  </si>
  <si>
    <t>400X32 - Emmegi Saw</t>
  </si>
  <si>
    <t>SAW-0020</t>
  </si>
  <si>
    <t>400X30 - Elumatec Down-Cut</t>
  </si>
  <si>
    <t>SAW-0021</t>
  </si>
  <si>
    <t>455X25.4 - Fong Ho</t>
  </si>
  <si>
    <t>SAW-0022</t>
  </si>
  <si>
    <t>400x4x35+2x Z.96 - Ralc</t>
  </si>
  <si>
    <t>SAW-0023</t>
  </si>
  <si>
    <t>Power Saw Blade</t>
  </si>
  <si>
    <t>SAW-0024</t>
  </si>
  <si>
    <t>Band Saw Blade</t>
  </si>
  <si>
    <t>SAW-0025</t>
  </si>
  <si>
    <t>Pulley 277085</t>
  </si>
  <si>
    <t>SAW-0026</t>
  </si>
  <si>
    <t>Spacer 276911</t>
  </si>
  <si>
    <t>SAW-0027</t>
  </si>
  <si>
    <t>Sleeve 277084</t>
  </si>
  <si>
    <t>SAW-0028</t>
  </si>
  <si>
    <t>Shaft 276908</t>
  </si>
  <si>
    <t>SAW-0029</t>
  </si>
  <si>
    <t>Emmegi Gas Spring 276667</t>
  </si>
  <si>
    <t>SAW-0030</t>
  </si>
  <si>
    <t>Emmegi Cylinder 300605</t>
  </si>
  <si>
    <t>SAW-0031</t>
  </si>
  <si>
    <t>Rubber Clamp Big</t>
  </si>
  <si>
    <t>SAW-0032</t>
  </si>
  <si>
    <t>Rubber Stopper</t>
  </si>
  <si>
    <t>SAW-0033</t>
  </si>
  <si>
    <t>PJ1355</t>
  </si>
  <si>
    <t>SAW-0034</t>
  </si>
  <si>
    <t>PJ723 ELUMATEC 2</t>
  </si>
  <si>
    <t>SAW-0035</t>
  </si>
  <si>
    <t>Optibelt-vb 2887 ld/10x865 li z34</t>
  </si>
  <si>
    <t>SAW-0036</t>
  </si>
  <si>
    <t>micr-v 310J</t>
  </si>
  <si>
    <t>SAW-0037</t>
  </si>
  <si>
    <t>500X32 BLADE ALVA BLITZ</t>
  </si>
  <si>
    <t>SAW-0038</t>
  </si>
  <si>
    <t>ELUMATEC SHAFT SAW AND BEARING</t>
  </si>
  <si>
    <t>SAW-0039</t>
  </si>
  <si>
    <t>SAW LUBRICATING VALVE</t>
  </si>
  <si>
    <t>SAW-0040</t>
  </si>
  <si>
    <t>light curtain sick 2073156</t>
  </si>
  <si>
    <t>SAW-0041</t>
  </si>
  <si>
    <t>FongHo Saw HMI – Fuji-Monitouch- type TS1070 Including Programming</t>
  </si>
  <si>
    <t>SAW-0042</t>
  </si>
  <si>
    <t>450X32 - Fong Ho Saw</t>
  </si>
  <si>
    <t>SAW-0043</t>
  </si>
  <si>
    <t>VICE LEAD SCREW 0013A02010</t>
  </si>
  <si>
    <t>SAW-0044</t>
  </si>
  <si>
    <t>ROUND END KEY 281-02-102</t>
  </si>
  <si>
    <t>SAW-0045</t>
  </si>
  <si>
    <t>BEARING 271-01-51104</t>
  </si>
  <si>
    <t>SAW-0046</t>
  </si>
  <si>
    <t>HYDRAULIC CYLINDER 22CA-80x12</t>
  </si>
  <si>
    <t>SAW-0047</t>
  </si>
  <si>
    <t>TUBE CONNECTOR 281-01-THH-000000 (3/8''Tx14H)</t>
  </si>
  <si>
    <t>SAW-0048</t>
  </si>
  <si>
    <t>HYDRAULIC PIPE 281-01-R100-00000 (1/4"x1Wx1300L)</t>
  </si>
  <si>
    <t>SAW-0049</t>
  </si>
  <si>
    <t>HYDRAULIC CYLINDER 22CA-63x12</t>
  </si>
  <si>
    <t>SAW-0050</t>
  </si>
  <si>
    <t>HYDRAULIC CYLINDER 22BE-FUE50x200FA</t>
  </si>
  <si>
    <t>SAW-0051</t>
  </si>
  <si>
    <t>OIL SEAL TC 281-03-207  (TC-50*62*7)</t>
  </si>
  <si>
    <t>SAW-0052</t>
  </si>
  <si>
    <t>BEARING (SAMIK)271-01-LM50UU</t>
  </si>
  <si>
    <t>SAW-0053</t>
  </si>
  <si>
    <t>SERVER MOTOR (MITSUBISHI) J424EK9-HG-SR102K-1000W 2000RPM</t>
  </si>
  <si>
    <t>SAW-0054</t>
  </si>
  <si>
    <t>BALL SCREW OO12C02017-LENGTH 1162L</t>
  </si>
  <si>
    <t>SAW-0055</t>
  </si>
  <si>
    <t>BALL SCREW COVER OO12C02008-SS41(STANDARD)</t>
  </si>
  <si>
    <t>SAW-0056</t>
  </si>
  <si>
    <t>BALL SCREW COVER OO12C02009</t>
  </si>
  <si>
    <t>SAW-0057</t>
  </si>
  <si>
    <t>BEARING 271-01-1204</t>
  </si>
  <si>
    <t>SAW-0058</t>
  </si>
  <si>
    <t>SPINDLE OO15A02001-610-?25.4</t>
  </si>
  <si>
    <t>SAW-0059</t>
  </si>
  <si>
    <t>ROUND END KEY 281-02-102, 12 X 8 X 40</t>
  </si>
  <si>
    <t>SAW-0060</t>
  </si>
  <si>
    <t>BEARING 271-01-7208CP5</t>
  </si>
  <si>
    <t>SAW-0061</t>
  </si>
  <si>
    <t>BEARING 271-01-6208ZZ</t>
  </si>
  <si>
    <t>SAW-0062</t>
  </si>
  <si>
    <t>SPINDLE PULLEY OO15A02009, P32 V40 8YU-S33F*50*39.5mm PCS</t>
  </si>
  <si>
    <t>SAW-0063</t>
  </si>
  <si>
    <t>MOTOR 24AD2081-7R5004-62405, 7.5HP 4P/3B 200~480V 50/60HZ</t>
  </si>
  <si>
    <t>SAW-0064</t>
  </si>
  <si>
    <t>SAW-0065</t>
  </si>
  <si>
    <t>PULLY FOR MOTOR OO16A01010</t>
  </si>
  <si>
    <t>SAW-0066</t>
  </si>
  <si>
    <t>BELT 271-02-8YU LENGTH 1392mm*WIDTH 50mm</t>
  </si>
  <si>
    <t>SAW-0067</t>
  </si>
  <si>
    <t>HYDRAULIC CYLINDER FOR HEAD 22CA-?63x360ST</t>
  </si>
  <si>
    <t>SAW-0068</t>
  </si>
  <si>
    <t>HYDRAULIC PIPE 281-01-R100-00000 (1/2"x1Wx2400L)</t>
  </si>
  <si>
    <t>SAW-0069</t>
  </si>
  <si>
    <t>SPEED REGULATOR VALVE 20Y-TVC-04</t>
  </si>
  <si>
    <t>SAW-0070</t>
  </si>
  <si>
    <t>HYDRAULIC PIPE 281-01-R100-00000 (1/2"x1Wx2800L)</t>
  </si>
  <si>
    <t>SAW-0071</t>
  </si>
  <si>
    <t>BANKING SERVICE CHARGE 31103301</t>
  </si>
  <si>
    <t>SAW-0072</t>
  </si>
  <si>
    <t>RAIL ACCORDION COVER SIZE 1.8X0.95MTR</t>
  </si>
  <si>
    <t>SAW-0073</t>
  </si>
  <si>
    <t>Position display E111 7 digit 24Vdc</t>
  </si>
  <si>
    <t>SCR-00001</t>
  </si>
  <si>
    <t>SCREW M3X25</t>
  </si>
  <si>
    <t>SCR-00002</t>
  </si>
  <si>
    <t>SCREW M3X80</t>
  </si>
  <si>
    <t>SCR-00003</t>
  </si>
  <si>
    <t>SCREW M5X80</t>
  </si>
  <si>
    <t>SCR-00004</t>
  </si>
  <si>
    <t>SCREWM5X100</t>
  </si>
  <si>
    <t>SCR-00005</t>
  </si>
  <si>
    <t>SCREW M6X55</t>
  </si>
  <si>
    <t>SCR-00006</t>
  </si>
  <si>
    <t>SCREWM6X70</t>
  </si>
  <si>
    <t>SCR-00007</t>
  </si>
  <si>
    <t>SCREW M10X80</t>
  </si>
  <si>
    <t>SCR-00008</t>
  </si>
  <si>
    <t>SCREW M12X130</t>
  </si>
  <si>
    <t>SCR-00009</t>
  </si>
  <si>
    <t>SCREWM8X30</t>
  </si>
  <si>
    <t>SCR-00010</t>
  </si>
  <si>
    <t>SCREW M10X30</t>
  </si>
  <si>
    <t>SCR-00011</t>
  </si>
  <si>
    <t>SCREWM8X15</t>
  </si>
  <si>
    <t>SCR-00012</t>
  </si>
  <si>
    <t>SCREW M10X55</t>
  </si>
  <si>
    <t>SCR-00013</t>
  </si>
  <si>
    <t>SCREW M4X10</t>
  </si>
  <si>
    <t>SCR-00014</t>
  </si>
  <si>
    <t>SCREW M6X15</t>
  </si>
  <si>
    <t>SCR-00015</t>
  </si>
  <si>
    <t>SCREW M8X8</t>
  </si>
  <si>
    <t>SCR-00016</t>
  </si>
  <si>
    <t>SCREW M12X12</t>
  </si>
  <si>
    <t>SCR-00017</t>
  </si>
  <si>
    <t>SCREW M18X16</t>
  </si>
  <si>
    <t>SL-0001</t>
  </si>
  <si>
    <t>SL-0002</t>
  </si>
  <si>
    <t>SL-0003</t>
  </si>
  <si>
    <t>SL-0004</t>
  </si>
  <si>
    <t>SL-0005</t>
  </si>
  <si>
    <t>SL-0006</t>
  </si>
  <si>
    <t>Hydraulic Oil 68 208L</t>
  </si>
  <si>
    <t>SL-0007</t>
  </si>
  <si>
    <t>Hydraulic Oil 10</t>
  </si>
  <si>
    <t>SL-0008</t>
  </si>
  <si>
    <t>ABB Coolant Antifrogen N Clariant</t>
  </si>
  <si>
    <t>SL-0009</t>
  </si>
  <si>
    <t>Pemserter Machine ATF</t>
  </si>
  <si>
    <t>STA-0001</t>
  </si>
  <si>
    <t>STA-0002</t>
  </si>
  <si>
    <t>STA-0003</t>
  </si>
  <si>
    <t>STA-0004</t>
  </si>
  <si>
    <t>STA-0005</t>
  </si>
  <si>
    <t>Inductive Proximity Sensor M8 NPN</t>
  </si>
  <si>
    <t>STA-0006</t>
  </si>
  <si>
    <t>Inductive Proximity Sensor M8 PNP</t>
  </si>
  <si>
    <t>STA-0007</t>
  </si>
  <si>
    <t>Sensor cable plug</t>
  </si>
  <si>
    <t>STA-0008</t>
  </si>
  <si>
    <t>Pneumatic timer off delay</t>
  </si>
  <si>
    <t>STA-0009</t>
  </si>
  <si>
    <t>Pneumatic timer on delay</t>
  </si>
  <si>
    <t>STA-0010</t>
  </si>
  <si>
    <t>STA-0011</t>
  </si>
  <si>
    <t>Hydraulic motor pump</t>
  </si>
  <si>
    <t>STA-0012</t>
  </si>
  <si>
    <t>Hydraulic pump block</t>
  </si>
  <si>
    <t>STA-0014</t>
  </si>
  <si>
    <t>OP 3 BMW F39 HYDRAULIC CYLINDER</t>
  </si>
  <si>
    <t>STA-0015</t>
  </si>
  <si>
    <t>XFB OP1 Press Tool Punch</t>
  </si>
  <si>
    <t>STA-0016</t>
  </si>
  <si>
    <t>Stripper Block for B479 Front</t>
  </si>
  <si>
    <t>STA-0017</t>
  </si>
  <si>
    <t>XFB Punch Dia 5MM</t>
  </si>
  <si>
    <t>STA-0018</t>
  </si>
  <si>
    <t>VS20 Part Mark Block</t>
  </si>
  <si>
    <t>STA-0019</t>
  </si>
  <si>
    <t>Gestamp Laser Table Datum Pin</t>
  </si>
  <si>
    <t>STA-0020</t>
  </si>
  <si>
    <t>Pemserter Clinch Nut Loader</t>
  </si>
  <si>
    <t>STA-0021</t>
  </si>
  <si>
    <t>B479 Front Presstool Die</t>
  </si>
  <si>
    <t>STA-0022</t>
  </si>
  <si>
    <t>Pemserter 8003840 Jaw Bracket RH</t>
  </si>
  <si>
    <t>STA-0023</t>
  </si>
  <si>
    <t>Pemserter 8003841 Jaw Bracket LH</t>
  </si>
  <si>
    <t>STA-0024</t>
  </si>
  <si>
    <t>Pemserter 8006256 Slide Gripper Assembly</t>
  </si>
  <si>
    <t>STA-0025</t>
  </si>
  <si>
    <t>Pemserter 8000374 Captivated Thumb Screw</t>
  </si>
  <si>
    <t>STA-0026</t>
  </si>
  <si>
    <t>Pemserter 8000690 Nut</t>
  </si>
  <si>
    <t>STA-0027</t>
  </si>
  <si>
    <t>Pemserter 9800392094 SHCS M3X8MM</t>
  </si>
  <si>
    <t>STA-0028</t>
  </si>
  <si>
    <t>Pemserter 8004460 SSS #10-38x1/8” LG</t>
  </si>
  <si>
    <t>STA-0029</t>
  </si>
  <si>
    <t>Pemserter 8006257 Gripper</t>
  </si>
  <si>
    <t>STA-0030</t>
  </si>
  <si>
    <t>Pemserter 8006258 Linear Slide</t>
  </si>
  <si>
    <t>STA-0031</t>
  </si>
  <si>
    <t>Pemserter Fabco Air FSS-570</t>
  </si>
  <si>
    <t>STA-0032</t>
  </si>
  <si>
    <t>XFB Press Tool Punch 3mm</t>
  </si>
  <si>
    <t>STA-0033</t>
  </si>
  <si>
    <t>XFB Press Tool Insert 3mm</t>
  </si>
  <si>
    <t>STA-0034</t>
  </si>
  <si>
    <t>TOX Punch 10.208.239588</t>
  </si>
  <si>
    <t>STA-0035</t>
  </si>
  <si>
    <t>TOX Die  14.25.257981</t>
  </si>
  <si>
    <t>STA-0036</t>
  </si>
  <si>
    <t>TOX Holding flange type CZW 020.024.008.000 (CZW 25.00)</t>
  </si>
  <si>
    <t>STA-0037</t>
  </si>
  <si>
    <t>TOX Tool holder CAG 24.14.056.000</t>
  </si>
  <si>
    <t>STA-0200</t>
  </si>
  <si>
    <t>LUBRICATING UNIT TANK</t>
  </si>
  <si>
    <t>TAB-0001</t>
  </si>
  <si>
    <t>Baumer O200.GP-GW1J.72CV/H006 Sensor</t>
  </si>
  <si>
    <t>TAB-0002</t>
  </si>
  <si>
    <t>Elock-600L(UL), Electromagnet</t>
  </si>
  <si>
    <t>TAB-0003</t>
  </si>
  <si>
    <t>Euchner 084310, Safety Lock Switch</t>
  </si>
  <si>
    <t>TAB-0004</t>
  </si>
  <si>
    <t>Green LED</t>
  </si>
  <si>
    <t>TAB-0005</t>
  </si>
  <si>
    <t>Red LED</t>
  </si>
  <si>
    <t>TAB-0006</t>
  </si>
  <si>
    <t>ABB XB5 AW33B5, Button 1NO with green indicator</t>
  </si>
  <si>
    <t>TAB-0007</t>
  </si>
  <si>
    <t>O200_GP_GW1J_72CV_H006, Optical Sensor Baumer</t>
  </si>
  <si>
    <t>TAB-0008</t>
  </si>
  <si>
    <t>Baumer IR08.P06S 11148768, Proximity Sensor with Connector</t>
  </si>
  <si>
    <t>TAB-0009</t>
  </si>
  <si>
    <t>Baumer IR08.P06S 11148770, Proximity Sensor without</t>
  </si>
  <si>
    <t>TAB-0010</t>
  </si>
  <si>
    <t>SMC SY5420-5DZ-01, Pneumatic valve</t>
  </si>
  <si>
    <t>TAB-0011</t>
  </si>
  <si>
    <t>SMC CJPB10-10-B, Pneumatic Pin Positioner</t>
  </si>
  <si>
    <t>TAB-0012</t>
  </si>
  <si>
    <t>SMC AS1201F-M5-06A, Flow Controller</t>
  </si>
  <si>
    <t>TAB-0013</t>
  </si>
  <si>
    <t>SMC CJPB10-15, Pneumatic Nut Pusher</t>
  </si>
  <si>
    <t>TAB-0014</t>
  </si>
  <si>
    <t>SMC MGPM20-20Z-M9BWL, Pneumatic Guided actuator</t>
  </si>
  <si>
    <t>TAB-0015</t>
  </si>
  <si>
    <t>SMC MGPM20-40Z-M9BWL, Pneumatic Guided actuator</t>
  </si>
  <si>
    <t>TAB-0016</t>
  </si>
  <si>
    <t>SMC MY1B32-600SLZ M9BWL, Pneumatic rodless actuator</t>
  </si>
  <si>
    <t>TAB-0017</t>
  </si>
  <si>
    <t>Tunkers V-V2-40-LW-A00- T12, Cover Gripper</t>
  </si>
  <si>
    <t>TAB-0018</t>
  </si>
  <si>
    <t>SMC AS2201F-01-06SA, Flow Controller</t>
  </si>
  <si>
    <t>TAB-0019</t>
  </si>
  <si>
    <t>Delta DRP024V120W1AA, Power Supply Unit</t>
  </si>
  <si>
    <t>TAB-0020</t>
  </si>
  <si>
    <t>Delta DVP-12SE11R, PLC CPU</t>
  </si>
  <si>
    <t>TAB-0021</t>
  </si>
  <si>
    <t>Delta DVP-16SP, PLC I/O extension</t>
  </si>
  <si>
    <t>TAB-0022</t>
  </si>
  <si>
    <t>Delta DVP-08SM, PLC O extension</t>
  </si>
  <si>
    <t>TAB-0023</t>
  </si>
  <si>
    <t>HiWin HGH20CAZ0C, Linear Bearing</t>
  </si>
  <si>
    <t>TAB-0024</t>
  </si>
  <si>
    <t>Halcon RFC.RIV.029 REV2, Corner Teflon Protector</t>
  </si>
  <si>
    <t>TAB-0025</t>
  </si>
  <si>
    <t>START SWITCH KOLVER</t>
  </si>
  <si>
    <t>TAB-0026</t>
  </si>
  <si>
    <t>LEVER SPRING KOLVER</t>
  </si>
  <si>
    <t>TAB-0027</t>
  </si>
  <si>
    <t>ESD LEVER  KOLVER</t>
  </si>
  <si>
    <t>TAB-0028</t>
  </si>
  <si>
    <t>REVERSE SWITCH  KOLVER</t>
  </si>
  <si>
    <t>TAB-0029</t>
  </si>
  <si>
    <t>2,5MT CABLE 5 PIN  KOLVER</t>
  </si>
  <si>
    <t>TAB-0030</t>
  </si>
  <si>
    <t>Main board (EDU2AE)  KOLVER</t>
  </si>
  <si>
    <t>TAB-0031</t>
  </si>
  <si>
    <t>Display Board  KOLVER</t>
  </si>
  <si>
    <t>TAB-0032</t>
  </si>
  <si>
    <t>Switching  KOLVER</t>
  </si>
  <si>
    <t>TAB-0033</t>
  </si>
  <si>
    <t>M6 nosekit for 742 RIVNUT</t>
  </si>
  <si>
    <t>TAB-0034</t>
  </si>
  <si>
    <t>17/24 nosetip RIVNUT</t>
  </si>
  <si>
    <t>TAB-0035</t>
  </si>
  <si>
    <t>17/27 nosetip RIVNUT</t>
  </si>
  <si>
    <t>TAB-0036</t>
  </si>
  <si>
    <t>NEW KOVLER GUN UNIT</t>
  </si>
  <si>
    <t>TAB-0037</t>
  </si>
  <si>
    <t>CONTROLLER EDU 2AE</t>
  </si>
  <si>
    <t>TAB-0038</t>
  </si>
  <si>
    <t>GESIPA PNEUMATIC RIVET GUN</t>
  </si>
  <si>
    <t>TAB-0039</t>
  </si>
  <si>
    <t>Lock Nut 07555-00901</t>
  </si>
  <si>
    <t>TAB-0075</t>
  </si>
  <si>
    <t>Lip Seal 742-02058</t>
  </si>
  <si>
    <t>TAB-0092</t>
  </si>
  <si>
    <t>Lip Seal 07265-02004</t>
  </si>
  <si>
    <t>TAB-0093</t>
  </si>
  <si>
    <t>Ball (Rubber) 74200-12079</t>
  </si>
  <si>
    <t>TAB-0094</t>
  </si>
  <si>
    <t>74202-00001 XTN 20 Including M4-M8 Equipment</t>
  </si>
  <si>
    <t>TAB-0095</t>
  </si>
  <si>
    <t>Prosert XTN Seal Kit</t>
  </si>
  <si>
    <t>TAD-0001</t>
  </si>
  <si>
    <t>Servo motor- Fanuc b8isc/2000</t>
  </si>
  <si>
    <t>TAD-0002</t>
  </si>
  <si>
    <t>Induction Motor -( Drilling Unit)  Siemens (1.5 kW 2Pole)</t>
  </si>
  <si>
    <t>TAD-0004</t>
  </si>
  <si>
    <t>Induction Motor/Equivalent ( Champfering Unit) Oriental/Equivalent (0.25 kW 4 Pole)</t>
  </si>
  <si>
    <t>TAD-0005</t>
  </si>
  <si>
    <t>Hydraulic Cylinder (Fixture) - Classy (0401 (0105 product code) (40bore 25stroke)475-005)</t>
  </si>
  <si>
    <t>TAD-0006</t>
  </si>
  <si>
    <t>BALL SCREW (DRILLING AND TAPING UNIT)- HIWIN/EQUIVALENT (R32-5T6-FSIFW-379-475-0.05)</t>
  </si>
  <si>
    <t>TAD-0007</t>
  </si>
  <si>
    <t>PNEUMATIC CYLINDER- SLIDING DOOR - SMC- MDBL32-400Z-M9PL</t>
  </si>
  <si>
    <t>TAD-0008</t>
  </si>
  <si>
    <t>HYDRAULIC CYLINDER (CHAMFERING UNIT) - CLASSYS (0405 (0105 PRODUCT CODE ( 40 BORE 75 STROKE)</t>
  </si>
  <si>
    <t>TAD-0009</t>
  </si>
  <si>
    <t>PNEUMATIC CYLINDER (COUNTER BALANCE UNIT)- SMC- MDBF80-200Z-M9PL</t>
  </si>
  <si>
    <t>TAD-0010</t>
  </si>
  <si>
    <t>FLOAT JOINT  (COUNTER BALANCE UNIT)- SMC- JA80-22-150</t>
  </si>
  <si>
    <t>TAD-0011</t>
  </si>
  <si>
    <t>LM RAIL (DRILLING AND TAPPING UNIT) - HIWIN - HGR30R550 C</t>
  </si>
  <si>
    <t>TAD-0012</t>
  </si>
  <si>
    <t>LM BLOCK (DRILLING AND TAPPING UNIT)- HIWIN- HGH30CAZ0CE2</t>
  </si>
  <si>
    <t>TAD-0013</t>
  </si>
  <si>
    <t>LM RAIL (CHAMFERING UNIT)- HIWIN- HGR20R300C</t>
  </si>
  <si>
    <t>TAD-0014</t>
  </si>
  <si>
    <t>LM BLOCK (CHAMFERING UNIT)- HIWIN - HGH20CAZ0C</t>
  </si>
  <si>
    <t>TAD-0015</t>
  </si>
  <si>
    <t>COUPLING (DRILLING AND TAPPING UNIT) - KTR - 720200202003</t>
  </si>
  <si>
    <t>TAD-0016</t>
  </si>
  <si>
    <t>ANGULAR CONTACT BEARING - SKF/ RHP - 7305-AW</t>
  </si>
  <si>
    <t>TAD-0017</t>
  </si>
  <si>
    <t>ANGULAR CONTACT BEARING - SKF/ RHP - 3205 A-2Z</t>
  </si>
  <si>
    <t>TAD-0018</t>
  </si>
  <si>
    <t>LUBRICSTION TANK - CENLUB (3LTR)</t>
  </si>
  <si>
    <t>TAD-0019</t>
  </si>
  <si>
    <t>COUPLING (CHAMPFERING UNIT)- KTR- 720150201405 RADEX-NC 15</t>
  </si>
  <si>
    <t>TAD-0020</t>
  </si>
  <si>
    <t>ANGULAR CONTACT BEARING (CHAMFERING UNIT)- SKF/RHP- 7206-ACCBM</t>
  </si>
  <si>
    <t>TAD-0021</t>
  </si>
  <si>
    <t>LOCK NUT (CHAMFERING UNIT)- SKF/RHP- KMK 525</t>
  </si>
  <si>
    <t>TAD-0022</t>
  </si>
  <si>
    <t>OIL SEAL (CHAMFERING UNIT) - MISUMI MUEN50</t>
  </si>
  <si>
    <t>TAD-0023</t>
  </si>
  <si>
    <t>LOCK NUT (SPINDLE ASSEMBLY)- SKF/RHP- KMK 630</t>
  </si>
  <si>
    <t>TAD-0024</t>
  </si>
  <si>
    <t>FLOAT JOINT - SLIDING DOOR - SMC- JA30-10-125</t>
  </si>
  <si>
    <t>TAD-0025</t>
  </si>
  <si>
    <t>LINEAR BUSHING (FIXTURE ASSEMBLY)- THK/EQUIVALENT - LMF 16</t>
  </si>
  <si>
    <t>TAD-0026</t>
  </si>
  <si>
    <t>DRIVER PULLEY 8M 32z- MISUMI</t>
  </si>
  <si>
    <t>TAD-0027</t>
  </si>
  <si>
    <t>DRIVER PULLEY 8M 38z- MISUMI</t>
  </si>
  <si>
    <t>TAD-0028</t>
  </si>
  <si>
    <t>DRIVER PULLEY 8M 64z- MISUMI</t>
  </si>
  <si>
    <t>TAD-0029</t>
  </si>
  <si>
    <t>TIMER BELT- MISUMI- PTBN840P8M350</t>
  </si>
  <si>
    <t>TAD-0030</t>
  </si>
  <si>
    <t>LINEAR BUSHING (MISUMI) SBR20UU</t>
  </si>
  <si>
    <t>TAD-0031</t>
  </si>
  <si>
    <t>SUPPORT BRACKET- MISUMI- SK40</t>
  </si>
  <si>
    <t>TAD-0032</t>
  </si>
  <si>
    <t>MONITOR CONTROLLER FANUC A02B-0348-B500</t>
  </si>
  <si>
    <t>TAD-0033</t>
  </si>
  <si>
    <t>Schneider VFD ATV320U15N4C</t>
  </si>
  <si>
    <t>TAD-0034</t>
  </si>
  <si>
    <t>TIMING BELT 30MM</t>
  </si>
  <si>
    <t>TAD-0035</t>
  </si>
  <si>
    <t>TIMING BELT 8M - UPPER</t>
  </si>
  <si>
    <t>TAD-0036</t>
  </si>
  <si>
    <t>Repair of Siemens Motor 1LE75010CB223FA4</t>
  </si>
  <si>
    <t>TAD-0037</t>
  </si>
  <si>
    <t>Siemens Induction Motor 1LE75010EA023FAA</t>
  </si>
  <si>
    <t>TAD-0038</t>
  </si>
  <si>
    <t>Stoper long-short round fixture</t>
  </si>
  <si>
    <t>TAD-0039</t>
  </si>
  <si>
    <t>Y axis clamp long-short round fixture</t>
  </si>
  <si>
    <t>TAD-0040</t>
  </si>
  <si>
    <t>Rotary Union</t>
  </si>
  <si>
    <t>TAP-0001</t>
  </si>
  <si>
    <t>M3 ISO2 (6H) 2F SP B DIN 371 HSS-E TiCN</t>
  </si>
  <si>
    <t>TAP-0002</t>
  </si>
  <si>
    <t>M4 ISO2 (6H) 2F SP B DIN 371 HSS-E TiCN</t>
  </si>
  <si>
    <t>TAP-0003</t>
  </si>
  <si>
    <t>M5 ISO2 (6H) 2F SP B DIN 371 HSS-E TiCN</t>
  </si>
  <si>
    <t>TAP-0004</t>
  </si>
  <si>
    <t>M6 ISO2 (6H) 3F SP B DIN371 HSS-E TiCN</t>
  </si>
  <si>
    <t>TAP-0005</t>
  </si>
  <si>
    <t>M8 ISO2 (6H) 3F SP B DIN371 HSS-E TiCN</t>
  </si>
  <si>
    <t>TAP-0006</t>
  </si>
  <si>
    <t>M10 ISO2 (6H) 3F SP B DIN371 HSS-E TiCN</t>
  </si>
  <si>
    <t>TAP-0007</t>
  </si>
  <si>
    <t>M12 ISO2 (6H) 3F SP B DIN376 HSS-E TiCN</t>
  </si>
  <si>
    <t>TCH-0001</t>
  </si>
  <si>
    <t>P015-8151 #PROBE T6BZ(MCX STD HSG P 3M)</t>
  </si>
  <si>
    <t>TCH-0002</t>
  </si>
  <si>
    <t>SH-08 Crash Guard for M6 Aluminum Thread</t>
  </si>
  <si>
    <t>TCH-0003</t>
  </si>
  <si>
    <t>ECL 101 Controller for Thread Checking Sensor Probe</t>
  </si>
  <si>
    <t>TCH-0004</t>
  </si>
  <si>
    <t>WSE12-3P2431 SICK PHOTOELECTRIC SENSOR</t>
  </si>
  <si>
    <t>TCH-0005</t>
  </si>
  <si>
    <t>YF2A14-050VB3XLEAX SICK CONNECTOR CABLE</t>
  </si>
  <si>
    <t>TCH-0006</t>
  </si>
  <si>
    <t>KTM-LP55181P SICK 1109749 Contrast sensors</t>
  </si>
  <si>
    <t>TCH-0007</t>
  </si>
  <si>
    <t>YF8U14-050VA3XLEAX SICK CONNECTOR CABLE</t>
  </si>
  <si>
    <t>TCH-0008</t>
  </si>
  <si>
    <t>SY5120-5LZ-C6 SY5000 Series SMC 5 Port Valve  Single Acting</t>
  </si>
  <si>
    <t>TCH-0009</t>
  </si>
  <si>
    <t>SY5220-5LZ-C6 SY5000 Series SMC 5 Port Valve  Double Acting</t>
  </si>
  <si>
    <t>TCH-0010</t>
  </si>
  <si>
    <t>AS1201F-M5-06D Flow Control Valve Fitting</t>
  </si>
  <si>
    <t>TCH-0011</t>
  </si>
  <si>
    <t>AS2201F-01-06SD Flow Control Valve Fitting</t>
  </si>
  <si>
    <t>TCH-0012</t>
  </si>
  <si>
    <t>E2B-M12LS04-M1-B1 Proximity Sensor</t>
  </si>
  <si>
    <t>TCH-0013</t>
  </si>
  <si>
    <t>K30APT2RGF2Q PICK TO LIGHT PLACEMENT SENSOR</t>
  </si>
  <si>
    <t>TCH-0014</t>
  </si>
  <si>
    <t>SSA-EB1PLGR-12ECQ8 Mount Emergency Stop Push Button;</t>
  </si>
  <si>
    <t>TCH-0015</t>
  </si>
  <si>
    <t>SMC Cylinder MHY2-20D</t>
  </si>
  <si>
    <t>TCH-0016</t>
  </si>
  <si>
    <t>Acrylic Sheet Black 80x30</t>
  </si>
  <si>
    <t>TEL-0001</t>
  </si>
  <si>
    <t>MARKING MACHINE BM 320 Controller FULL SET</t>
  </si>
  <si>
    <t>TEL-0002</t>
  </si>
  <si>
    <t>X Axis Timing belt</t>
  </si>
  <si>
    <t>TEL-0003</t>
  </si>
  <si>
    <t>Y Axis Timing belt</t>
  </si>
  <si>
    <t>TEL-0004</t>
  </si>
  <si>
    <t>drive belt</t>
  </si>
  <si>
    <t>TEL-0005</t>
  </si>
  <si>
    <t>AXIS MOTOR</t>
  </si>
  <si>
    <t>TEL-0006</t>
  </si>
  <si>
    <t>SPRING, COMPRESSION, TAPERED, .156 X .281 X .38</t>
  </si>
  <si>
    <t>TEL-0007</t>
  </si>
  <si>
    <t>PIN IMPACT, 25XLE, 450 DEGREE, CARBIDE, STRIKER</t>
  </si>
  <si>
    <t>TEL-0008</t>
  </si>
  <si>
    <t>CONTROLLER TELESIS</t>
  </si>
  <si>
    <t>TEL-0009</t>
  </si>
  <si>
    <t>TELESIS STAND UNIT</t>
  </si>
  <si>
    <t>TEL-0010</t>
  </si>
  <si>
    <t>SOLENOID VALVE BM 320 (41211)</t>
  </si>
  <si>
    <t>TEL-0011</t>
  </si>
  <si>
    <t>CARTRIDGE, BOLT -ON, FOR 25XLE PINS</t>
  </si>
  <si>
    <t>TTM-0001</t>
  </si>
  <si>
    <t>TIGER TAPPING MACHINE SET</t>
  </si>
  <si>
    <t>WEL-0001</t>
  </si>
  <si>
    <t>4,047,959 MHP 500IRD</t>
  </si>
  <si>
    <t>WEL-0003</t>
  </si>
  <si>
    <t>42,0405,0470 MID SECTION WIRE BUFFER</t>
  </si>
  <si>
    <t>WEL-0004</t>
  </si>
  <si>
    <t>44,0450,1966 PNEUMATIC MOTOR VALVE JT1536</t>
  </si>
  <si>
    <t>WEL-0005</t>
  </si>
  <si>
    <t>4,036,390 WF 60i Robacta Drive CMT/W</t>
  </si>
  <si>
    <t>WEL-0006</t>
  </si>
  <si>
    <t>MTB 500i W R/36°/L224/H86</t>
  </si>
  <si>
    <t>WEL-0007</t>
  </si>
  <si>
    <t>SICK IM12-06BPS-VC1 (sensor Clamping)     &amp;   Omron E2E-X4B1TL12-MI</t>
  </si>
  <si>
    <t>WEL-0008</t>
  </si>
  <si>
    <t>Pressure roller 1.2 CMT</t>
  </si>
  <si>
    <t>WEL-0009</t>
  </si>
  <si>
    <t>Inlet nozzle M5-4R</t>
  </si>
  <si>
    <t>WEL-0010</t>
  </si>
  <si>
    <t>Wire guide insert wire buffer .8-1.4 mm</t>
  </si>
  <si>
    <t>WEL-0011</t>
  </si>
  <si>
    <t>Rear Line Guide Tube</t>
  </si>
  <si>
    <t>WEL-0012</t>
  </si>
  <si>
    <t>Feeding driver roller 1,2 CMT</t>
  </si>
  <si>
    <t>WEL-0013</t>
  </si>
  <si>
    <t>SLIM RELAY 24VDC NORMAL RELAY - OMRON G2RV-SR700DC24</t>
  </si>
  <si>
    <t>WEL-0014</t>
  </si>
  <si>
    <t>SLIM RELAY 24 VDC SSR RELAY- OMRON G3RV-SL700-D-DC24</t>
  </si>
  <si>
    <t>WEL-0015</t>
  </si>
  <si>
    <t>Position limit switch NG. VS adjustable - EUCHNER NG1VS-510-M</t>
  </si>
  <si>
    <t>WEL-0016</t>
  </si>
  <si>
    <t>SAFETY DOOR INTERLOCK SWITH - EUCHNER TP3-213A024M</t>
  </si>
  <si>
    <t>WEL-0017</t>
  </si>
  <si>
    <t>MKB40-10RZ SMC (side clamping)</t>
  </si>
  <si>
    <t>WEL-0018</t>
  </si>
  <si>
    <t>MKB40-10LZ SMC (side clamping)</t>
  </si>
  <si>
    <t>WEL-0019</t>
  </si>
  <si>
    <t>CDQ2A-40-25 DZ SMC (pressing asembly)</t>
  </si>
  <si>
    <t>WEL-0020</t>
  </si>
  <si>
    <t>Actuator- Euchner 70050</t>
  </si>
  <si>
    <t>WEL-0021</t>
  </si>
  <si>
    <t>VFS FR-D740-036 (MISTUBISHI)</t>
  </si>
  <si>
    <t>WEL-0022</t>
  </si>
  <si>
    <t>Wire Guide insert wire buffer Robot</t>
  </si>
  <si>
    <t>WEL-0023</t>
  </si>
  <si>
    <t>Wire Guide insert wire buffer Manual</t>
  </si>
  <si>
    <t>WEL-0024</t>
  </si>
  <si>
    <t>42,0001,5724 Slide Piece Wire Buffer</t>
  </si>
  <si>
    <t>WEL-0025</t>
  </si>
  <si>
    <t>42,0001,5735 Triebrolle</t>
  </si>
  <si>
    <t>WEL-0026</t>
  </si>
  <si>
    <t>42,0001,5412 Graphite Liner Clamping Collet</t>
  </si>
  <si>
    <t>WEL-0027</t>
  </si>
  <si>
    <t>42,0400,1024 Graphite Liner Clamping Nut</t>
  </si>
  <si>
    <t>WEL-0030</t>
  </si>
  <si>
    <t>4,205,100,109 Pressure Regulator</t>
  </si>
  <si>
    <t>WEL-0031</t>
  </si>
  <si>
    <t>3,403,501,858 Torch Neck Multilock (Manual)</t>
  </si>
  <si>
    <t>WEL-0032</t>
  </si>
  <si>
    <t>4,049,041 WF 25i REEL R/4R/G/W</t>
  </si>
  <si>
    <t>WEL-0033</t>
  </si>
  <si>
    <t>4,403,502,369 Wire buffer CMT</t>
  </si>
  <si>
    <t>WEL-0034</t>
  </si>
  <si>
    <t>4,404,050,474 Wire buffer cover</t>
  </si>
  <si>
    <t>WEL-0035</t>
  </si>
  <si>
    <t>4,000,090,084 Coolant For Fronius Cooling Unit 5 Ltrs Packing</t>
  </si>
  <si>
    <t>WEL-0036</t>
  </si>
  <si>
    <t xml:space="preserve">44,0450,0098 Disc brush ø15x56mm </t>
  </si>
  <si>
    <t>WEL-0037</t>
  </si>
  <si>
    <t xml:space="preserve">40,0001,0527 Wire feed hose ID5,7/OD10mm 1m </t>
  </si>
  <si>
    <t>WEL-0200</t>
  </si>
  <si>
    <t xml:space="preserve">40, 0001, 0533 Graphite inner liner 2.0mm </t>
  </si>
  <si>
    <t>WEL-0201</t>
  </si>
  <si>
    <t>40, 0001, 0531Graphite inner liner 1.8mm (for 1.2mm wire)</t>
  </si>
  <si>
    <t>WEL-0202</t>
  </si>
  <si>
    <t xml:space="preserve">42, 0100, 1003 Guide nozzle ø1,2 red </t>
  </si>
  <si>
    <t>WEL-0203</t>
  </si>
  <si>
    <t>42, 0405, 2050Gas saving nozzle front ø1,2</t>
  </si>
  <si>
    <t>WEL-0204</t>
  </si>
  <si>
    <t xml:space="preserve">42, 0405, 0854 Spatter guard ø10 / ø20,8x24mm </t>
  </si>
  <si>
    <t>WEL-0205</t>
  </si>
  <si>
    <t xml:space="preserve">42, 0100, 1329 Insulation ring W ø20,8 / 14x7,3 </t>
  </si>
  <si>
    <t>WEL-0206</t>
  </si>
  <si>
    <t xml:space="preserve">42, 0001, 4037 Nozzle Stock </t>
  </si>
  <si>
    <t>WEL-0207</t>
  </si>
  <si>
    <t xml:space="preserve">42,0001,4050 Gas Nozzle </t>
  </si>
  <si>
    <t>WEL-0208</t>
  </si>
  <si>
    <t xml:space="preserve"> 4201001471Front liner guide tube</t>
  </si>
  <si>
    <t>WEL-0210</t>
  </si>
  <si>
    <t>4,044,032 TPS/i Key Card</t>
  </si>
  <si>
    <t>WEL-0211</t>
  </si>
  <si>
    <t>Spring for Laser Machine</t>
  </si>
  <si>
    <t>WEN-0001</t>
  </si>
  <si>
    <t>81110-TV (Ina) Axial - Roller Bearings</t>
  </si>
  <si>
    <t>WEN-0002</t>
  </si>
  <si>
    <t>81116-TV Axial - Roller Bearings</t>
  </si>
  <si>
    <t>WEN-0003</t>
  </si>
  <si>
    <t>NA 6913-ZW-XL - inner ring</t>
  </si>
  <si>
    <t>WEN-0004</t>
  </si>
  <si>
    <t>SFCP-20 - Joint Head With Internal Thread</t>
  </si>
  <si>
    <t>WEN-0005</t>
  </si>
  <si>
    <t>040223 Bearing Block</t>
  </si>
  <si>
    <t>WEN-0006</t>
  </si>
  <si>
    <t>2023.062.05.0003 - Pressure Piece</t>
  </si>
  <si>
    <t>WEN-0007</t>
  </si>
  <si>
    <t>2023.062.06.0004 - Pusher Outside PA</t>
  </si>
  <si>
    <t>WEN-0008</t>
  </si>
  <si>
    <t>2023.062.08.0005 - Messer</t>
  </si>
  <si>
    <t>WEN-0009</t>
  </si>
  <si>
    <t>2023.062.08.0011 - Matrix</t>
  </si>
  <si>
    <t>WEN-0010</t>
  </si>
  <si>
    <t>2023.062.01.1000 - Mandrel Insert</t>
  </si>
  <si>
    <t>WEN-0011</t>
  </si>
  <si>
    <t>2023.062.01.0004P1 - Metal Core</t>
  </si>
  <si>
    <t>WEN-0012</t>
  </si>
  <si>
    <t>K-K1250/N480-G25_2547-M27 80 kN 0,5 % - force pressure sensor</t>
  </si>
  <si>
    <t>WEN-0013</t>
  </si>
  <si>
    <t>O6H317 - Reflex Sensor</t>
  </si>
  <si>
    <t>WEN-0014</t>
  </si>
  <si>
    <t>6FC5348-0AA30-3AA0 - Double Fan Module</t>
  </si>
  <si>
    <t>WEN-0015</t>
  </si>
  <si>
    <t>6FX8002-2CH00-1CF0 - Absolute Encoder Signal Line</t>
  </si>
  <si>
    <t>WEN-0016</t>
  </si>
  <si>
    <t>6FX8002-2BA00-1CF0 - Signal Cable</t>
  </si>
  <si>
    <t>WEN-0017</t>
  </si>
  <si>
    <t>574334 Proximity Switch SMT-8M-A--PS-24V-E-0,3-M8D</t>
  </si>
  <si>
    <t>WEN-0018</t>
  </si>
  <si>
    <t>IFS240 ifm IFS240 24VDC PNP Schließer - sensor</t>
  </si>
  <si>
    <t>WEN-0019</t>
  </si>
  <si>
    <t>IES200 ifm IES200 24VDC PNP Schließer - sensor</t>
  </si>
  <si>
    <t>WEN-0020</t>
  </si>
  <si>
    <t>221722 - Gasket set BZ 250.130/110</t>
  </si>
  <si>
    <t>WEN-0021</t>
  </si>
  <si>
    <t>2019.022.03.0200 Cylinder 40/25x400 - core pull cylinder incl. BTL5-S163-M0525-K-SR32</t>
  </si>
  <si>
    <t>WEN-0022</t>
  </si>
  <si>
    <t>10062 - Gasket set HZ/ZB/ZC 250.40/25/25 201-208</t>
  </si>
  <si>
    <t>WEN-0023</t>
  </si>
  <si>
    <t>13963 - Gasket set BZ/RZ/FZ 500.80/50</t>
  </si>
  <si>
    <t>WEN-0024</t>
  </si>
  <si>
    <t>KTR 28 Stahl ROTEX - ring gear inkl. Sprocket and hub</t>
  </si>
  <si>
    <t>WEN-0025</t>
  </si>
  <si>
    <t>KTR 19 Stahl ROTEX - ring gear inkl. Sprocket and hub</t>
  </si>
  <si>
    <t>WEN-0026</t>
  </si>
  <si>
    <t>R901146041 Gr. 32 - ring gear SMT16B- 75 L</t>
  </si>
  <si>
    <t>WEN-0027</t>
  </si>
  <si>
    <t>R910948472 A A10VSO - Axial Piston Pump 18 DRG / 31R-VPA 12N00</t>
  </si>
  <si>
    <t>WEN-0028</t>
  </si>
  <si>
    <t>852519MIC - Filter</t>
  </si>
  <si>
    <t>WEN-0029</t>
  </si>
  <si>
    <t>R928006646 - Pressure Filter</t>
  </si>
  <si>
    <t>WEN-0030</t>
  </si>
  <si>
    <t>R928005926 - Return Filter</t>
  </si>
  <si>
    <t>WEN-0031</t>
  </si>
  <si>
    <t>PN7070 Druckschalter PN 7070 - pressure switch PN-400-Ser14-QFRKG/US</t>
  </si>
  <si>
    <t>WEN-0032</t>
  </si>
  <si>
    <t>E122032 WS08W-01-C-N-0 - directional seat valve 2/2</t>
  </si>
  <si>
    <t>WEN-0033</t>
  </si>
  <si>
    <t>R901382315 - directional valve 4WRPEH6C3B40L-3X/M/24A1</t>
  </si>
  <si>
    <t>WEN-0034</t>
  </si>
  <si>
    <t>E117848 - pressure reducing valve PRV2-10-S-0-35</t>
  </si>
  <si>
    <t>WEN-0035</t>
  </si>
  <si>
    <t>E122034  - solenoid coil Coil 24DG-40</t>
  </si>
  <si>
    <t>WEN-0036</t>
  </si>
  <si>
    <t>E109754 FR50-28C-0-N - flow control valve Gr. 10</t>
  </si>
  <si>
    <t>WEN-0037</t>
  </si>
  <si>
    <t>R901372986  4WRPEH 6 C3 - road vent B24L-3X/V/24A1</t>
  </si>
  <si>
    <t>WEN-0038</t>
  </si>
  <si>
    <t>E119003 RV5-16-S-0-60/ XPR - pressure relief valve</t>
  </si>
  <si>
    <t>WEN-0039</t>
  </si>
  <si>
    <t>E117352 PPHBLWN - reducing valve SUN Hydraulics</t>
  </si>
  <si>
    <t>WEN-0040</t>
  </si>
  <si>
    <t>E117360 2/2 - 2 way seat valve NC WSM12120W-01E-C-N-24 DG</t>
  </si>
  <si>
    <t>WEN-0041</t>
  </si>
  <si>
    <t>BSE 250.32.20.31.2.208.100 - hydraulic slide unit</t>
  </si>
  <si>
    <t>WEN-0042</t>
  </si>
  <si>
    <t>HZ 250.63.40.06.208.150.M - hydraulic cylinder</t>
  </si>
  <si>
    <t>WEN-0043</t>
  </si>
  <si>
    <t>BZ 500.32.20.02.201.010 - hydraulic cylinder</t>
  </si>
  <si>
    <t>WEN-0044</t>
  </si>
  <si>
    <t>BRFS filter, elements code 1002674B, former Rexroth code R928006646</t>
  </si>
  <si>
    <t>WEN-0045</t>
  </si>
  <si>
    <t>1002345B Hengst Size 0250,Filter element R928005926,1.0250 PWR6-A00-0-M</t>
  </si>
  <si>
    <t>WEN-0046</t>
  </si>
  <si>
    <t>Synthetic Fiber Blank</t>
  </si>
  <si>
    <t>WEN-0047</t>
  </si>
  <si>
    <t>IES201 ifm IES200 24VDC PNP Schließer - sensor</t>
  </si>
  <si>
    <t>WEN-0048</t>
  </si>
  <si>
    <t>Connecting Cable With Socket IFM EVC142</t>
  </si>
  <si>
    <t>WEN-0049</t>
  </si>
  <si>
    <t>Connecting cable with socket IFM EVC103</t>
  </si>
  <si>
    <t>WEN-0050</t>
  </si>
  <si>
    <t>O-Ring 75x2.5 NBR 70SH</t>
  </si>
  <si>
    <t>YIL-0001</t>
  </si>
  <si>
    <t>Safety cover switch 1EL020000-0005</t>
  </si>
  <si>
    <t>YIL-0002</t>
  </si>
  <si>
    <t>Clamp mounting bracket 2TU012610-0044</t>
  </si>
  <si>
    <t>YIL-0003</t>
  </si>
  <si>
    <t>Pneumatic cylinder 1PN020000-0308</t>
  </si>
  <si>
    <t>YIL-0004</t>
  </si>
  <si>
    <t>Pneumatic clamp 3UA060030-0004</t>
  </si>
  <si>
    <t>YIL-0005</t>
  </si>
  <si>
    <t>Clamp feet 1PL010000-0033</t>
  </si>
  <si>
    <t>YIL-0006</t>
  </si>
  <si>
    <t>Piston PNY-AY 50x160  1PN020000-0007</t>
  </si>
  <si>
    <t>YIL-0007</t>
  </si>
  <si>
    <t>Hydraulic unit 3UA050030-0001</t>
  </si>
  <si>
    <t>YIL-0008</t>
  </si>
  <si>
    <t>Shock absorber 1YY030000-0013</t>
  </si>
  <si>
    <t>YIL-0009</t>
  </si>
  <si>
    <t>Water spray valve 1PN010000-0012</t>
  </si>
  <si>
    <t>YIL-0010</t>
  </si>
  <si>
    <t>Motor 1EL070001-0110  400V 3PH</t>
  </si>
  <si>
    <t>YIL-0011</t>
  </si>
  <si>
    <t>Motor belt 1SR070000-0015</t>
  </si>
  <si>
    <t>YIL-0012</t>
  </si>
  <si>
    <t>HMI Screen DOP-107EV  107EV006W21491030</t>
  </si>
  <si>
    <t>YIL-0013</t>
  </si>
  <si>
    <t>Safety relay Omron G9SE-201</t>
  </si>
  <si>
    <t>YIL-0014</t>
  </si>
  <si>
    <t>Power supply Omron S8VK-T12024</t>
  </si>
  <si>
    <t>YIL-0015</t>
  </si>
  <si>
    <t>Air valve VUVG-LK14-M52-AT-G18-1R8L-S</t>
  </si>
  <si>
    <t>YIL-0016</t>
  </si>
  <si>
    <t>Safety Cover cylinder 32x100</t>
  </si>
  <si>
    <t>YIL-0017</t>
  </si>
  <si>
    <t>Blade Cylinder Sensor RZT7</t>
  </si>
  <si>
    <t>YIL-0018</t>
  </si>
  <si>
    <t>Stopper</t>
  </si>
  <si>
    <t>YIL-0019</t>
  </si>
  <si>
    <t>Hood Cylinder SMC CP96SDD40-100C</t>
  </si>
  <si>
    <t>YIL-0020</t>
  </si>
  <si>
    <t>Hood Cylinder SMC E5040.step_Clevis Pivot Bracket_5040</t>
  </si>
  <si>
    <t>YIL-0021</t>
  </si>
  <si>
    <t>Hood Cylinder SMC KJ12D</t>
  </si>
  <si>
    <t>ET200 INPUT 6ES7131-6BF01-0BA0</t>
  </si>
  <si>
    <t>ET200 OUTPUT 6ES7132-6BF01-0BA0</t>
  </si>
  <si>
    <t>Column1</t>
  </si>
  <si>
    <t>Type</t>
  </si>
  <si>
    <t>Spare Parts</t>
  </si>
  <si>
    <t>Description</t>
  </si>
  <si>
    <t>Coding</t>
  </si>
  <si>
    <t>Critical Spares</t>
  </si>
  <si>
    <t>01</t>
  </si>
  <si>
    <t>Normal Spares</t>
  </si>
  <si>
    <t>02</t>
  </si>
  <si>
    <t>Consumables</t>
  </si>
  <si>
    <t>001</t>
  </si>
  <si>
    <t>002</t>
  </si>
  <si>
    <t>003</t>
  </si>
  <si>
    <t>Common</t>
  </si>
  <si>
    <t>Dugard</t>
  </si>
  <si>
    <t>Emmegi</t>
  </si>
  <si>
    <t>Ralc</t>
  </si>
  <si>
    <t>004</t>
  </si>
  <si>
    <t>ABB</t>
  </si>
  <si>
    <t>005</t>
  </si>
  <si>
    <t>Saw</t>
  </si>
  <si>
    <t>006</t>
  </si>
  <si>
    <t>Bender</t>
  </si>
  <si>
    <t>007</t>
  </si>
  <si>
    <t>Drill</t>
  </si>
  <si>
    <t>008</t>
  </si>
  <si>
    <t>Air Compressor</t>
  </si>
  <si>
    <t>009</t>
  </si>
  <si>
    <t>Crimping</t>
  </si>
  <si>
    <t>010</t>
  </si>
  <si>
    <t>Desoutter</t>
  </si>
  <si>
    <t>011</t>
  </si>
  <si>
    <t>Emmegi fixtures</t>
  </si>
  <si>
    <t>012</t>
  </si>
  <si>
    <t>Electrical components</t>
  </si>
  <si>
    <t>013</t>
  </si>
  <si>
    <t>Exechon</t>
  </si>
  <si>
    <t>014</t>
  </si>
  <si>
    <t>Frunk beam fixtures</t>
  </si>
  <si>
    <t>015</t>
  </si>
  <si>
    <t>FSM</t>
  </si>
  <si>
    <t>016</t>
  </si>
  <si>
    <t>Floor Scrubber</t>
  </si>
  <si>
    <t>017</t>
  </si>
  <si>
    <t>Laser Mark</t>
  </si>
  <si>
    <t>018</t>
  </si>
  <si>
    <t>Haco</t>
  </si>
  <si>
    <t>019</t>
  </si>
  <si>
    <t>L track Assembly</t>
  </si>
  <si>
    <t>020</t>
  </si>
  <si>
    <t>Mecal</t>
  </si>
  <si>
    <t>021</t>
  </si>
  <si>
    <t>Nortech</t>
  </si>
  <si>
    <t>022</t>
  </si>
  <si>
    <t>Oven</t>
  </si>
  <si>
    <t>023</t>
  </si>
  <si>
    <t>permsetter</t>
  </si>
  <si>
    <t>024</t>
  </si>
  <si>
    <t>pneumatic</t>
  </si>
  <si>
    <t>025</t>
  </si>
  <si>
    <t>Press</t>
  </si>
  <si>
    <t>026</t>
  </si>
  <si>
    <t>STA</t>
  </si>
  <si>
    <t>027</t>
  </si>
  <si>
    <t>Tesla Assembly</t>
  </si>
  <si>
    <t>028</t>
  </si>
  <si>
    <t>Tap and Drill</t>
  </si>
  <si>
    <t>029</t>
  </si>
  <si>
    <t>Thread Check</t>
  </si>
  <si>
    <t>030</t>
  </si>
  <si>
    <t>Wensing</t>
  </si>
  <si>
    <t>031</t>
  </si>
  <si>
    <t>4head saw</t>
  </si>
  <si>
    <t xml:space="preserve">Category </t>
  </si>
  <si>
    <t>Drive</t>
  </si>
  <si>
    <t>Spindle</t>
  </si>
  <si>
    <t>00</t>
  </si>
  <si>
    <t>000</t>
  </si>
  <si>
    <t>Department</t>
  </si>
  <si>
    <t>Category</t>
  </si>
  <si>
    <t>Machine</t>
  </si>
  <si>
    <t>Product Nature</t>
  </si>
  <si>
    <t>Category2</t>
  </si>
  <si>
    <t>New Item Code</t>
  </si>
  <si>
    <t>len</t>
  </si>
  <si>
    <t>Seq</t>
  </si>
  <si>
    <t xml:space="preserve">Item Group </t>
  </si>
  <si>
    <t>Product group</t>
  </si>
  <si>
    <t>MP0100</t>
  </si>
  <si>
    <t>Item Group Name</t>
  </si>
  <si>
    <t>Spare parts</t>
  </si>
  <si>
    <t>Product group Description</t>
  </si>
  <si>
    <t>Spare parts ABB</t>
  </si>
  <si>
    <t>KTL Spares</t>
  </si>
  <si>
    <t>Pneumatic</t>
  </si>
  <si>
    <t>Assembly</t>
  </si>
  <si>
    <t>Fixtures</t>
  </si>
  <si>
    <t>03</t>
  </si>
  <si>
    <t>04</t>
  </si>
  <si>
    <t>Screw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</si>
  <si>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</si>
  <si>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</si>
  <si>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</si>
  <si>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</si>
  <si>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</si>
  <si>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</si>
  <si>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</si>
  <si>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</si>
  <si>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</si>
  <si>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</si>
  <si>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</si>
  <si>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Cylinder</t>
  </si>
  <si>
    <t>Belt</t>
  </si>
  <si>
    <t>Motor</t>
  </si>
  <si>
    <t>Piston</t>
  </si>
  <si>
    <t>Clamp</t>
  </si>
  <si>
    <t>Switch</t>
  </si>
  <si>
    <t>valve</t>
  </si>
  <si>
    <t>Relay</t>
  </si>
  <si>
    <t>wires</t>
  </si>
  <si>
    <t>Enclosure</t>
  </si>
  <si>
    <t>Orion</t>
  </si>
  <si>
    <t>Pluto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</si>
  <si>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</si>
  <si>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</si>
  <si>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</si>
  <si>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</si>
  <si>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</si>
  <si>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</si>
  <si>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</si>
  <si>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</si>
  <si>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</si>
  <si>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</si>
  <si>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</si>
  <si>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Connector</t>
  </si>
  <si>
    <t>Actuator</t>
  </si>
  <si>
    <t>Pulley</t>
  </si>
  <si>
    <t>Accumulator</t>
  </si>
  <si>
    <t>Spindle Acc.</t>
  </si>
  <si>
    <t>bearings</t>
  </si>
  <si>
    <t>bearing Acc.</t>
  </si>
  <si>
    <t>Nuts</t>
  </si>
  <si>
    <t>BOLT</t>
  </si>
  <si>
    <t>27</t>
  </si>
  <si>
    <t>28</t>
  </si>
  <si>
    <t>29</t>
  </si>
  <si>
    <t>30</t>
  </si>
  <si>
    <t>31</t>
  </si>
  <si>
    <t>32</t>
  </si>
  <si>
    <t>CS</t>
  </si>
  <si>
    <t>NS</t>
  </si>
  <si>
    <t>MARINO SHORE POWER 15MTR 16A 250V (Y), YELLOW</t>
  </si>
  <si>
    <t>EMG-0012</t>
  </si>
  <si>
    <t>Feedback cable ,y,z,c and b axis</t>
  </si>
  <si>
    <t>EMG-0013</t>
  </si>
  <si>
    <t>X,Y,B,A and C drives cable</t>
  </si>
  <si>
    <t>STA-0038</t>
  </si>
  <si>
    <t>Pemserter 8002738 M4 Ram Pin</t>
  </si>
  <si>
    <t>STA-0039</t>
  </si>
  <si>
    <t>Pemserter 8002735 M5 Ram Pin</t>
  </si>
  <si>
    <t>STA-0040</t>
  </si>
  <si>
    <t>Pemserter 8002736 M6 Ram Pin</t>
  </si>
  <si>
    <t>WEL-0029</t>
  </si>
  <si>
    <t>Pneumatic motor valve JT1536</t>
  </si>
  <si>
    <t>Tox</t>
  </si>
  <si>
    <t>Part Mark</t>
  </si>
  <si>
    <t>Hand tools</t>
  </si>
  <si>
    <t>032</t>
  </si>
  <si>
    <t>Valve</t>
  </si>
  <si>
    <t>Cable</t>
  </si>
  <si>
    <t>Nuts and bolts</t>
  </si>
  <si>
    <t>Permsetter</t>
  </si>
  <si>
    <t xml:space="preserve">Axis </t>
  </si>
  <si>
    <t>Pump</t>
  </si>
  <si>
    <t>Safety module</t>
  </si>
  <si>
    <t>Air fittings</t>
  </si>
  <si>
    <t>O'rings and seals</t>
  </si>
  <si>
    <t>Pipes</t>
  </si>
  <si>
    <t>Mechanical components</t>
  </si>
  <si>
    <t>Hydraulic components</t>
  </si>
  <si>
    <t>Safety interlock</t>
  </si>
  <si>
    <t xml:space="preserve">Safety Light barrier </t>
  </si>
  <si>
    <t>Repair kit</t>
  </si>
  <si>
    <t>033</t>
  </si>
  <si>
    <t>Maint Equipment</t>
  </si>
  <si>
    <t>Fixtures blocks</t>
  </si>
  <si>
    <t>FSFCM/ FSRCM</t>
  </si>
  <si>
    <t>Frunk Beam</t>
  </si>
  <si>
    <t>L-track</t>
  </si>
  <si>
    <t>Tube Ex</t>
  </si>
  <si>
    <t>F39</t>
  </si>
  <si>
    <t>XFB</t>
  </si>
  <si>
    <t>Jeep</t>
  </si>
  <si>
    <t>VS 20</t>
  </si>
  <si>
    <t>L462</t>
  </si>
  <si>
    <t>L538</t>
  </si>
  <si>
    <t>Gestamp</t>
  </si>
  <si>
    <t>B479</t>
  </si>
  <si>
    <t>Centre Ski</t>
  </si>
  <si>
    <t>Mega Pack</t>
  </si>
  <si>
    <t>Pneumatic components</t>
  </si>
  <si>
    <t>Steam</t>
  </si>
  <si>
    <t>034</t>
  </si>
  <si>
    <t>Min</t>
  </si>
  <si>
    <t>Max</t>
  </si>
  <si>
    <t>Spindle head sensors EMG</t>
  </si>
  <si>
    <t>Spindle chiller pump motor EMG</t>
  </si>
  <si>
    <t>Spindle chiller cooling fan EMG</t>
  </si>
  <si>
    <t>Spindle chiller temperature controler EMG</t>
  </si>
  <si>
    <t>574335 FESTO CTE</t>
  </si>
  <si>
    <t>Pneumatic fittings DRS</t>
  </si>
  <si>
    <t>Pneumatic connector DRS</t>
  </si>
  <si>
    <t>Oil lubrication pump EMG</t>
  </si>
  <si>
    <t>Axis Linear bearing EMG</t>
  </si>
  <si>
    <t>Pressure Switch EMG</t>
  </si>
  <si>
    <t>Door interlock switch EMG</t>
  </si>
  <si>
    <t>Mechanical limit switch EMG</t>
  </si>
  <si>
    <t>Machine lamp EMG</t>
  </si>
  <si>
    <t>3NC1093 SIEMENS - 1</t>
  </si>
  <si>
    <t>5SL6106-6 SIEMENS -1</t>
  </si>
  <si>
    <t>Festo Multi plug KSV-32-B 7560</t>
  </si>
  <si>
    <t>Festo Multi Socket KDVF-32-B 7565</t>
  </si>
  <si>
    <t>Festo Terminal Plug KSV-PK-4 7127</t>
  </si>
  <si>
    <t>Festo Terminal Socket KDV-PK-4 208380</t>
  </si>
  <si>
    <t>Festo PUN-H DUO 6mm x 50mtr 197397</t>
  </si>
  <si>
    <t>Oven relay solid state SSR90A</t>
  </si>
  <si>
    <t>OP30 BMW press tool punch and die</t>
  </si>
  <si>
    <t>Air presure regulator with gauge 1/2''</t>
  </si>
  <si>
    <t>SMC SY5320-5Y0-01F-Q  Double acting valve Emmegi</t>
  </si>
  <si>
    <t>SMC SY5120-5Y0-01F-Q  Single Acting Valve Emmegi</t>
  </si>
  <si>
    <t>Light Stream collar assembly ((Part number:8003248)Permserte</t>
  </si>
  <si>
    <t>LED flood light VT-4954 SKU-6751</t>
  </si>
  <si>
    <t>3/8 thread x 10mm Straight KQ2H10-03NS</t>
  </si>
  <si>
    <t>3/8 thread x 8mm Straight KQ2H08-03NS</t>
  </si>
  <si>
    <t>1/4 thread x 10 mm Elbow KQ2L10-02NS</t>
  </si>
  <si>
    <t>1/4 thread x 8mm Elbow KQ2L08-02NS</t>
  </si>
  <si>
    <t>1/4 thread x 8mm Straight KQ2H08-02NS</t>
  </si>
  <si>
    <t>1/4 thread x 6mm straight KQ2H06-02NS</t>
  </si>
  <si>
    <t>1/4 thread x 8mm reducing valve AS2201F-02-08SA</t>
  </si>
  <si>
    <t>1/8 thread x 6mm Straight KQ2H06-01NS</t>
  </si>
  <si>
    <t>1/8 thread x 6mm Elbow</t>
  </si>
  <si>
    <t>Reducer 8mm - 6mm KQ2H06-08A</t>
  </si>
  <si>
    <t>Reducer 6mm - 4mm KQ2H04-06A</t>
  </si>
  <si>
    <t>Solenoid valve, stainless steel, ½ inch in/out.24 VDC</t>
  </si>
  <si>
    <t>½ inch PVC pipe</t>
  </si>
  <si>
    <t>PVC valve ½ inch, flanged</t>
  </si>
  <si>
    <t>PVC ½ inch union</t>
  </si>
  <si>
    <t>PVC ½ inch 90 deg elbow</t>
  </si>
  <si>
    <t>PVC reducing bush 1” to ½ inch</t>
  </si>
  <si>
    <t>PVC bulk head fitting ½ inch</t>
  </si>
  <si>
    <t>PVC socket, one side internal thread and other plain</t>
  </si>
  <si>
    <t>PVC socket, one side external thread and other plain</t>
  </si>
  <si>
    <t>RLY3OSSD200 – safety relay Sick</t>
  </si>
  <si>
    <t>BEF-1SHAHBKU2 – mounting bracket for Sick barriers</t>
  </si>
  <si>
    <t>Bearing SKF 7307 BEP</t>
  </si>
  <si>
    <t>Bearing SKF 7208 BEP</t>
  </si>
  <si>
    <t>Gland 4 x 70mm2 – 40S</t>
  </si>
  <si>
    <t>Gland 4 x 35mm2 – 32L</t>
  </si>
  <si>
    <t>OP 20 BMW press tool dies</t>
  </si>
  <si>
    <t>PVC-0002</t>
  </si>
  <si>
    <t>PVC-0003</t>
  </si>
  <si>
    <t>PVC-0004</t>
  </si>
  <si>
    <t>PVC-0005</t>
  </si>
  <si>
    <t>PVC-0006</t>
  </si>
  <si>
    <t>PVC-0007</t>
  </si>
  <si>
    <t>PVC-0008</t>
  </si>
  <si>
    <t>BEA-0018</t>
  </si>
  <si>
    <t>BEA-0019</t>
  </si>
  <si>
    <t>Store Location</t>
  </si>
  <si>
    <t>Inserts</t>
  </si>
  <si>
    <t>NE 42</t>
  </si>
  <si>
    <t>Ceer</t>
  </si>
  <si>
    <t>Daimler</t>
  </si>
  <si>
    <t>Engineering Section</t>
  </si>
  <si>
    <t>Industrialization Section</t>
  </si>
  <si>
    <t>Production Section</t>
  </si>
  <si>
    <t>IS</t>
  </si>
  <si>
    <t>ES</t>
  </si>
  <si>
    <t>PS</t>
  </si>
  <si>
    <t>Cleaning</t>
  </si>
  <si>
    <t>Facility Section</t>
  </si>
  <si>
    <t>FS</t>
  </si>
  <si>
    <t>Maintenance Section</t>
  </si>
  <si>
    <t>MS</t>
  </si>
  <si>
    <t>KS</t>
  </si>
  <si>
    <t>KTL Section</t>
  </si>
  <si>
    <t>ABBFX</t>
  </si>
  <si>
    <t>BEA</t>
  </si>
  <si>
    <t>BEN</t>
  </si>
  <si>
    <t>COM</t>
  </si>
  <si>
    <t>CTE</t>
  </si>
  <si>
    <t>DRS</t>
  </si>
  <si>
    <t>DUG</t>
  </si>
  <si>
    <t>EMG</t>
  </si>
  <si>
    <t>EXE</t>
  </si>
  <si>
    <t>FBF</t>
  </si>
  <si>
    <t>GS</t>
  </si>
  <si>
    <t>HAC</t>
  </si>
  <si>
    <t>LMM</t>
  </si>
  <si>
    <t>LTA</t>
  </si>
  <si>
    <t>MEC</t>
  </si>
  <si>
    <t>MMS</t>
  </si>
  <si>
    <t>MNS</t>
  </si>
  <si>
    <t>MY25CT</t>
  </si>
  <si>
    <t>NOR</t>
  </si>
  <si>
    <t>OV</t>
  </si>
  <si>
    <t>PER</t>
  </si>
  <si>
    <t>RAL</t>
  </si>
  <si>
    <t>SAW</t>
  </si>
  <si>
    <t>TAB</t>
  </si>
  <si>
    <t>TAD</t>
  </si>
  <si>
    <t>TCH</t>
  </si>
  <si>
    <t>TEL</t>
  </si>
  <si>
    <t>TTM</t>
  </si>
  <si>
    <t>WEL</t>
  </si>
  <si>
    <t>WEN</t>
  </si>
  <si>
    <t>KTL</t>
  </si>
  <si>
    <t>Code</t>
  </si>
  <si>
    <t>Abb milling cells</t>
  </si>
  <si>
    <t>Abb milling cells fixture</t>
  </si>
  <si>
    <t>Benders</t>
  </si>
  <si>
    <t>Compressor</t>
  </si>
  <si>
    <t>Crimping tube extrusion</t>
  </si>
  <si>
    <t>Desrouters</t>
  </si>
  <si>
    <t>Frunk beam fixture</t>
  </si>
  <si>
    <t>FSm milling cells</t>
  </si>
  <si>
    <t>Gas springs</t>
  </si>
  <si>
    <t>L-track assembly</t>
  </si>
  <si>
    <t>Permserter</t>
  </si>
  <si>
    <t>Tesla assembly bench</t>
  </si>
  <si>
    <t>Telesis marking</t>
  </si>
  <si>
    <t>Wensing bender</t>
  </si>
  <si>
    <t>KTL surface treatment</t>
  </si>
  <si>
    <t>YIL</t>
  </si>
  <si>
    <t>Tiger tapping machine</t>
  </si>
  <si>
    <t>Machine mount skates</t>
  </si>
  <si>
    <t>PVC</t>
  </si>
  <si>
    <t>Maintenance normal old parts</t>
  </si>
  <si>
    <t>EGF</t>
  </si>
  <si>
    <t>Emmegi Gestamp fixtures</t>
  </si>
  <si>
    <t>SOH-106400- D3 / CL9 / 1 teeth shank D4 / GL50</t>
  </si>
  <si>
    <t>SOH-106401-D4 / CL11 / 1 teeth reduced neck D3 8x18mm shank</t>
  </si>
  <si>
    <t>SOH-106402-D6 / CL18 / 1 teeth reduced neck D5 7x28mm shank</t>
  </si>
  <si>
    <t>SOH-106403-D8 / CL19 / 1 teeth reduced neck D7 7x26mm shank</t>
  </si>
  <si>
    <t>SOH-106404-D8 / CL32 / 1 teeth UC=39mm / with bigger core di</t>
  </si>
  <si>
    <t>SOH-106412-carbide endmill D2 / CL7 / 1 teeth reduced neck 1</t>
  </si>
  <si>
    <t>SOH-106413-D3 / CL7 / 1 teeth reduced neck 11mm shank D3 / O</t>
  </si>
  <si>
    <t>SOH-106414-D4 / CL8 / 1 teeth reduced neck 22mm shank D4 / O</t>
  </si>
  <si>
    <t>SOH-106415-D5 / CL15 / 1 teeth reduced neck D4 8x19 4mm shan</t>
  </si>
  <si>
    <t>SOH-106416-D6 / CL25 / 1 teeth shank D6 / OAL100</t>
  </si>
  <si>
    <t>SOH-106417-D10 / CL30 / 1 teeth UC=38 -D9 5 shank D10 / HL80</t>
  </si>
  <si>
    <t>SOH-106418-D10 / CL40 / 1 teeth reduced neck 60mm shank D10</t>
  </si>
  <si>
    <t>SOH-106419-D12 / CL26 / 1 teeth UC D11 5x36mm / balanced / b</t>
  </si>
  <si>
    <t>SOH-106421-1-D16 / CL48 / 1 teeth UC D15 5x58mm / balanced /</t>
  </si>
  <si>
    <t>SOH-106422-2-D6 /CL20 2 teeth shank D6 / HL57 carbide ballno</t>
  </si>
  <si>
    <t>SOH-106423-1-D12-CR1 5 / CL26 1 teeth UC=36 - D11 5 - balanc</t>
  </si>
  <si>
    <t>SOH-106440-RM005 R1-D0 25/60°-1 teeth- without coolant  flut</t>
  </si>
  <si>
    <t>SOH-106441-RM009 R1-D1 25/10°-1 teeth- without coolant  flut</t>
  </si>
  <si>
    <t>SOH-106442-1-RM011 R1-D1/D4 3/10-30°-1 teeth R9 9 -   flute</t>
  </si>
  <si>
    <t>SOH-106444-1-RM014-R1 D4 6/R45-1 teeth- without coolant flut</t>
  </si>
  <si>
    <t>SOH-106446-RM016-R1 D2 3/7 2-1 teeth- without coolant flute</t>
  </si>
  <si>
    <t>SOH-106447-3-RM018-R1 D1 6/D4 3-30°- 1 teeth -without coolan</t>
  </si>
  <si>
    <t>SOH-106448-1-RM019-R1 D4 5/D4 1- 1 teeth without coolant flu</t>
  </si>
  <si>
    <t>SOH-106449-RM020-R1 D0 25/60°-1 teeth  without coolant flute</t>
  </si>
  <si>
    <t>SOH-106450-RM021 R1 D0 5/45°-1 teeth  without coolant flute</t>
  </si>
  <si>
    <t>SOH-106453-RM034-R1 D1 987/10°/R4 -1 teeth  without coolant</t>
  </si>
  <si>
    <t>SOH-106498-1-D16/CL80/1teeth-l3=102 balanced G6 3-12000U/min</t>
  </si>
  <si>
    <t>SOH-106526-1-D4 85 / D3 85 / CL15 2 teeth  without cooling s</t>
  </si>
  <si>
    <t>SOH-106527-1-D6 4 / D5 4 / CL15 2 teeth  without cooling sha</t>
  </si>
  <si>
    <t>SOH-106528-1-D7 1 / D6 1 / CL15 2 teeth  without cooling sha</t>
  </si>
  <si>
    <t>SOH-106529-1-D8 1/D7 1 - L3=15 2 teeth  without cooling shan</t>
  </si>
  <si>
    <t>SOH-106546-1-D9 13/D8 13 - L3=15 2 teeth  without cooling sh</t>
  </si>
  <si>
    <t>SOH-106548-D4/5/60° 2 teeth  without cooling shank D10 / HL5</t>
  </si>
  <si>
    <t>SOH-106679-RM0028-R1 D10/12-1 teeth-UC=27  without coolant f</t>
  </si>
  <si>
    <t>SOH-107029-IC-D8 5/D7 5 - L3=29 2 teeth  with cooling holes</t>
  </si>
  <si>
    <t>SOH-107030-IC-D8 5/D7 5 - L3=62 2 teeth  without cooling  ch</t>
  </si>
  <si>
    <t>SOH-107033-PM-HSS tap M10X1 5 straight fluted - AP=75mm shan</t>
  </si>
  <si>
    <t>SOH-219050-D5 0 / 2teeth prehole diameter for M6 shank D 6 /</t>
  </si>
  <si>
    <t>SOH-309060-PM-HSS tap M6 X 1</t>
  </si>
  <si>
    <t>SOH-309100-PM-HSS tap M10X1 5 straight fluted shank D 10X8 /</t>
  </si>
  <si>
    <t>SOW.790006-DCGT11T304FN DC200 Insert</t>
  </si>
  <si>
    <t>201735 5-Dia 5mm GARANT s/carb. aluminium endmill DLC</t>
  </si>
  <si>
    <t>201735 8-Dia 8mm GARANT s/carb. aluminium endmill DLC</t>
  </si>
  <si>
    <t>202270 3-Dia 3mm Carbide slot drill DLC yellow</t>
  </si>
  <si>
    <t>208065 5-Dia 5mm S/carb. chamfering cutter 60- HA</t>
  </si>
  <si>
    <t>307526 5-Hydraulic-chuck  slim 3-¦  HSK-E40 A=85</t>
  </si>
  <si>
    <t>307526 6-Hydraulic-chuck  slim 3-¦  HSK-E40 A=85</t>
  </si>
  <si>
    <t>307526 8-Hydraulic-chuck  slim 3-¦  HSK-E40 A=85</t>
  </si>
  <si>
    <t>SOH-108157-D5,0mm drill</t>
  </si>
  <si>
    <t>SOH-108158-D6,5mm drill</t>
  </si>
  <si>
    <t>SOH-108587 D5 / 30° 2 flutes / spiralised / type WN  shank D</t>
  </si>
  <si>
    <t>SOH-108644 - D7.65 Carbide drill dia 7.65</t>
  </si>
  <si>
    <t>SOH-108737 - D10 2 Flute custom tool ChamferTool</t>
  </si>
  <si>
    <t>RM011-R1 CounterBore Tool L538 GuideRail</t>
  </si>
  <si>
    <t>RM014-R1 CounterBore Tool Nissan P12C GuideRail</t>
  </si>
  <si>
    <t>RM015-R1 CounterBore Tool Jeep Front</t>
  </si>
  <si>
    <t>RM019-R1 CounterBore Tool  VS20 Machined/Rollo Guide</t>
  </si>
  <si>
    <t>SDC-600005 CL55 2 flute / spiralised / Type WN shank D12 / O</t>
  </si>
  <si>
    <t>DC-600012  CL24 /UC=D15,5x58 2 flute / spiralised / type WN</t>
  </si>
  <si>
    <t>AIR010HSS-25 DIA HIGH SPEED STEEL 3 FLUTED SLOT MILL -20.1mm</t>
  </si>
  <si>
    <t>APT003-P-621-QTG-19.5mm HSS SPECIAL CHISEL POINT DRILL 135mm</t>
  </si>
  <si>
    <t>SOH-129050 CL55 2 flute D5mm Exechon Tool</t>
  </si>
  <si>
    <t>SOH-600369 D12/53,13̊ Chamfer Tool</t>
  </si>
  <si>
    <t>SPC0060-0480-ALU VHM/DCL Ф6mm DRILL</t>
  </si>
  <si>
    <t>SOW.1128 SDHT 100402FN-ALU DC200 HM-WSP INSERT</t>
  </si>
  <si>
    <t>SOE-110776 D40 Massdown Insert Tool</t>
  </si>
  <si>
    <t>SOE-110791 D45 Massdown Insert Tool</t>
  </si>
  <si>
    <t>PET</t>
  </si>
  <si>
    <t>PET-0001</t>
  </si>
  <si>
    <t>PET-0002</t>
  </si>
  <si>
    <t>PET-0003</t>
  </si>
  <si>
    <t>PET-0004</t>
  </si>
  <si>
    <t>PET-0005</t>
  </si>
  <si>
    <t>PET-0006</t>
  </si>
  <si>
    <t>PET-0007</t>
  </si>
  <si>
    <t>PET-0008</t>
  </si>
  <si>
    <t>PET-0009</t>
  </si>
  <si>
    <t>PET-0010</t>
  </si>
  <si>
    <t>PET-0011</t>
  </si>
  <si>
    <t>PET-0012</t>
  </si>
  <si>
    <t>PET-0013</t>
  </si>
  <si>
    <t>PET-0014</t>
  </si>
  <si>
    <t>PET-0015</t>
  </si>
  <si>
    <t>PET-0016</t>
  </si>
  <si>
    <t>PET-0017</t>
  </si>
  <si>
    <t>PET-0018</t>
  </si>
  <si>
    <t>PET-0019</t>
  </si>
  <si>
    <t>PET-0020</t>
  </si>
  <si>
    <t>PET-0021</t>
  </si>
  <si>
    <t>PET-0022</t>
  </si>
  <si>
    <t>PET-0023</t>
  </si>
  <si>
    <t>PET-0024</t>
  </si>
  <si>
    <t>PET-0025</t>
  </si>
  <si>
    <t>PET-0026</t>
  </si>
  <si>
    <t>PET-0027</t>
  </si>
  <si>
    <t>PET-0028</t>
  </si>
  <si>
    <t>PET-0029</t>
  </si>
  <si>
    <t>PET-0030</t>
  </si>
  <si>
    <t>PET-0031</t>
  </si>
  <si>
    <t>PET-0032</t>
  </si>
  <si>
    <t>PET-0033</t>
  </si>
  <si>
    <t>PET-0034</t>
  </si>
  <si>
    <t>PET-0035</t>
  </si>
  <si>
    <t>PET-0036</t>
  </si>
  <si>
    <t>PET-0037</t>
  </si>
  <si>
    <t>PET-0038</t>
  </si>
  <si>
    <t>PET-0039</t>
  </si>
  <si>
    <t>PET-0040</t>
  </si>
  <si>
    <t>PET-0041</t>
  </si>
  <si>
    <t>PET-0042</t>
  </si>
  <si>
    <t>PET-0043</t>
  </si>
  <si>
    <t>PET-0044</t>
  </si>
  <si>
    <t>PET-0045</t>
  </si>
  <si>
    <t>PET-0046</t>
  </si>
  <si>
    <t>PET-0047</t>
  </si>
  <si>
    <t>PET-0048</t>
  </si>
  <si>
    <t>PET-0049</t>
  </si>
  <si>
    <t>PET-0050</t>
  </si>
  <si>
    <t>PET-0051</t>
  </si>
  <si>
    <t>PET-0052</t>
  </si>
  <si>
    <t>PET-0053</t>
  </si>
  <si>
    <t>PET-0054</t>
  </si>
  <si>
    <t>PET-0055</t>
  </si>
  <si>
    <t>PET-0056</t>
  </si>
  <si>
    <t>PET-0057</t>
  </si>
  <si>
    <t>PET-0058</t>
  </si>
  <si>
    <t>PET-0059</t>
  </si>
  <si>
    <t>PET-0060</t>
  </si>
  <si>
    <t>PET-0061</t>
  </si>
  <si>
    <t>PET-0062</t>
  </si>
  <si>
    <t>PET-0063</t>
  </si>
  <si>
    <t>PET-0064</t>
  </si>
  <si>
    <t>PET-0065</t>
  </si>
  <si>
    <t>PET-0066</t>
  </si>
  <si>
    <t>PET-0067</t>
  </si>
  <si>
    <t>PSB-0001</t>
  </si>
  <si>
    <t>PSB</t>
  </si>
  <si>
    <t>Production saw blades</t>
  </si>
  <si>
    <t>450 x 32 Fong Ho saw Blade</t>
  </si>
  <si>
    <t xml:space="preserve">400 X 32 - Emmegi Saw Blade </t>
  </si>
  <si>
    <t>500 X 30 - Elumatec Up-cut</t>
  </si>
  <si>
    <t>600 x 4,2/3,5 x 32 Mecal saw Blade</t>
  </si>
  <si>
    <t>420 x 32 x 108 Four Head Saw Blade</t>
  </si>
  <si>
    <t>400 x4 x 35 + 2x Z.96 - Ralc Cnc Blade</t>
  </si>
  <si>
    <t>380 X 32  - Pertici-Gestamp Angle Saw</t>
  </si>
  <si>
    <t>340 x 32 Emmegi Cnc blade</t>
  </si>
  <si>
    <t>PSB-0002</t>
  </si>
  <si>
    <t>PSB-0003</t>
  </si>
  <si>
    <t>PSB-0004</t>
  </si>
  <si>
    <t>PSB-0005</t>
  </si>
  <si>
    <t>PSB-0006</t>
  </si>
  <si>
    <t>PSB-0007</t>
  </si>
  <si>
    <t>PSB-0008</t>
  </si>
  <si>
    <t>Cutters</t>
  </si>
  <si>
    <t>Blades</t>
  </si>
  <si>
    <t>33</t>
  </si>
  <si>
    <t>34</t>
  </si>
  <si>
    <t>Deburring Brush Rasamat</t>
  </si>
  <si>
    <t>Esab Eprx 1.1 RAPR</t>
  </si>
  <si>
    <t>Black, Blue Welding Sacket XL</t>
  </si>
  <si>
    <t>Wooden Tool Welding Solution</t>
  </si>
  <si>
    <t>Heat Shirnk Sleeve</t>
  </si>
  <si>
    <t>Contact Tip Robot</t>
  </si>
  <si>
    <t>Contact Tip Robot 1.4 MM</t>
  </si>
  <si>
    <t>Contact Tip Manual 1.2xM10</t>
  </si>
  <si>
    <t>Nozzles Stock</t>
  </si>
  <si>
    <r>
      <t xml:space="preserve">Spatter Guard </t>
    </r>
    <r>
      <rPr>
        <sz val="11"/>
        <color theme="1"/>
        <rFont val="Aptos Narrow"/>
        <family val="2"/>
      </rPr>
      <t>ф10/ф20.8x24MM</t>
    </r>
  </si>
  <si>
    <t>Gas Nozzle</t>
  </si>
  <si>
    <t>Torch Cleaning Station Brush</t>
  </si>
  <si>
    <t>Gas Saving Nozzles Front 1.2MM</t>
  </si>
  <si>
    <t>Insulation Ring w ф20.8x14x7,3</t>
  </si>
  <si>
    <t>Front Liner Guide Tube</t>
  </si>
  <si>
    <t>Guide Nozzle 1.5MM Red</t>
  </si>
  <si>
    <t>Deburring Blade</t>
  </si>
  <si>
    <t>CS M6x55</t>
  </si>
  <si>
    <t>Graphite Inner Line 1.8/.45"</t>
  </si>
  <si>
    <t>Graphite Inner Line 3.0, 4.7/3.0</t>
  </si>
  <si>
    <t>Graphite Inner Line 3.0/.5/64"</t>
  </si>
  <si>
    <t>Graphite Inner Line 1.2(4.7)(1.8)</t>
  </si>
  <si>
    <t>Graphite Inner Line Robotic</t>
  </si>
  <si>
    <t>Wire Feed Hose</t>
  </si>
  <si>
    <t>Welding Wire</t>
  </si>
  <si>
    <t>Graphite Inner Liner 2.0MM</t>
  </si>
  <si>
    <t>Contact Tip Robot Welding 102xM8</t>
  </si>
  <si>
    <t>Brush on the Manual Cleaning Station</t>
  </si>
  <si>
    <t>Guide Nozzle 1.2MM Red</t>
  </si>
  <si>
    <t>End Brush for Robot Welding</t>
  </si>
  <si>
    <t>Argon Gas Cylinder(for Robot)</t>
  </si>
  <si>
    <t>Argon Gas Cylinder(for Hand Welding)</t>
  </si>
  <si>
    <t>Rasamat Brushes</t>
  </si>
  <si>
    <t>Drawbar assembly</t>
  </si>
  <si>
    <t>Counter balance cylinder 125x780</t>
  </si>
  <si>
    <t>Strike booster cylinder</t>
  </si>
  <si>
    <t>valve lever switch 4242-R-011</t>
  </si>
  <si>
    <t>electrical components</t>
  </si>
  <si>
    <t>CBO-0001</t>
  </si>
  <si>
    <t>CBO</t>
  </si>
  <si>
    <t>counter bore machine</t>
  </si>
  <si>
    <t>ELE</t>
  </si>
  <si>
    <t>PNE</t>
  </si>
  <si>
    <t>ABB-0004</t>
  </si>
  <si>
    <t>ABB-0005</t>
  </si>
  <si>
    <t>ABB-0050</t>
  </si>
  <si>
    <t>COM-0002</t>
  </si>
  <si>
    <t>COM-0003</t>
  </si>
  <si>
    <t>DUG-0025</t>
  </si>
  <si>
    <t>DUG-0047</t>
  </si>
  <si>
    <t>DUG-0050</t>
  </si>
  <si>
    <t>DUG-0051</t>
  </si>
  <si>
    <t>DUG-0052</t>
  </si>
  <si>
    <t>DUG-0053</t>
  </si>
  <si>
    <t>DUG-0054</t>
  </si>
  <si>
    <t>DUG-0055</t>
  </si>
  <si>
    <t>DUG-0056</t>
  </si>
  <si>
    <t>DUG-0057</t>
  </si>
  <si>
    <t>DUG-0058</t>
  </si>
  <si>
    <t>DUG-0059</t>
  </si>
  <si>
    <t>DUG-0060</t>
  </si>
  <si>
    <t>DUG-0061</t>
  </si>
  <si>
    <t>DUG-0062</t>
  </si>
  <si>
    <t>DUG-0063</t>
  </si>
  <si>
    <t>DUG-0064</t>
  </si>
  <si>
    <t>DUG-0065</t>
  </si>
  <si>
    <t>DUG-0066</t>
  </si>
  <si>
    <t>DUG-0067</t>
  </si>
  <si>
    <t>DUG-0068</t>
  </si>
  <si>
    <t>DUG-0069</t>
  </si>
  <si>
    <t>DUG-0070</t>
  </si>
  <si>
    <t>DUG-0071</t>
  </si>
  <si>
    <t>DUG-0072</t>
  </si>
  <si>
    <t>DUG-0073</t>
  </si>
  <si>
    <t>DUG-0074</t>
  </si>
  <si>
    <t>DUG-0075</t>
  </si>
  <si>
    <t>DUG-0076</t>
  </si>
  <si>
    <t>DUG-0077</t>
  </si>
  <si>
    <t>DUG-0078</t>
  </si>
  <si>
    <t>DUG-0079</t>
  </si>
  <si>
    <t>DUG-0080</t>
  </si>
  <si>
    <t>DUG-0081</t>
  </si>
  <si>
    <t>DUG-0082</t>
  </si>
  <si>
    <t>DUG-0083</t>
  </si>
  <si>
    <t>DUG-0084</t>
  </si>
  <si>
    <t>DUG-0085</t>
  </si>
  <si>
    <t>DUG-0086</t>
  </si>
  <si>
    <t>DUG-0087</t>
  </si>
  <si>
    <t>DUG-0088</t>
  </si>
  <si>
    <t>DUG-0089</t>
  </si>
  <si>
    <t>DUG-0090</t>
  </si>
  <si>
    <t>DUG-0091</t>
  </si>
  <si>
    <t>DUG-0092</t>
  </si>
  <si>
    <t>DUG-0093</t>
  </si>
  <si>
    <t>DUG-0094</t>
  </si>
  <si>
    <t>DUG-0095</t>
  </si>
  <si>
    <t>DUG-0096</t>
  </si>
  <si>
    <t>DUG-0097</t>
  </si>
  <si>
    <t>DUG-0098</t>
  </si>
  <si>
    <t>DUG-0099</t>
  </si>
  <si>
    <t>DUG-0100</t>
  </si>
  <si>
    <t>DUG-0101</t>
  </si>
  <si>
    <t>DUG-0102</t>
  </si>
  <si>
    <t>DUG-0103</t>
  </si>
  <si>
    <t>DUG-0104</t>
  </si>
  <si>
    <t>DUG-0105</t>
  </si>
  <si>
    <t>DUG-0106</t>
  </si>
  <si>
    <t>DUG-0107</t>
  </si>
  <si>
    <t>DUG-0108</t>
  </si>
  <si>
    <t>DUG-0109</t>
  </si>
  <si>
    <t>DUG-0110</t>
  </si>
  <si>
    <t>DUG-0111</t>
  </si>
  <si>
    <t>DUG-0112</t>
  </si>
  <si>
    <t>DUG-0113</t>
  </si>
  <si>
    <t>ELE-0001</t>
  </si>
  <si>
    <t>ELE-0002</t>
  </si>
  <si>
    <t>ELE-0003</t>
  </si>
  <si>
    <t>ELE-0004</t>
  </si>
  <si>
    <t>ELE-0005</t>
  </si>
  <si>
    <t>ELE-0006</t>
  </si>
  <si>
    <t>ELE-0007</t>
  </si>
  <si>
    <t>ELE-0008</t>
  </si>
  <si>
    <t>ELE-0009</t>
  </si>
  <si>
    <t>ELE-0010</t>
  </si>
  <si>
    <t>ELE-0011</t>
  </si>
  <si>
    <t>ELE-0012</t>
  </si>
  <si>
    <t>ELE-0013</t>
  </si>
  <si>
    <t>ELE-0014</t>
  </si>
  <si>
    <t>ELE-0015</t>
  </si>
  <si>
    <t>ELE-0016</t>
  </si>
  <si>
    <t>ELE-0017</t>
  </si>
  <si>
    <t>ELE-0018</t>
  </si>
  <si>
    <t>ELE-0019</t>
  </si>
  <si>
    <t>ELE-0020</t>
  </si>
  <si>
    <t>ELE-0021</t>
  </si>
  <si>
    <t>ELE-0022</t>
  </si>
  <si>
    <t>ELE-0023</t>
  </si>
  <si>
    <t>ELE-0024</t>
  </si>
  <si>
    <t>ELE-0025</t>
  </si>
  <si>
    <t>ELE-0026</t>
  </si>
  <si>
    <t>ELE-0027</t>
  </si>
  <si>
    <t>ELE-0028</t>
  </si>
  <si>
    <t>ELE-0029</t>
  </si>
  <si>
    <t>ELE-0030</t>
  </si>
  <si>
    <t>ELE-0031</t>
  </si>
  <si>
    <t>ELE-0032</t>
  </si>
  <si>
    <t>ELE-0033</t>
  </si>
  <si>
    <t>ELE-0034</t>
  </si>
  <si>
    <t>ELE-0035</t>
  </si>
  <si>
    <t>ELE-0036</t>
  </si>
  <si>
    <t>ELE-0037</t>
  </si>
  <si>
    <t>ELE-0038</t>
  </si>
  <si>
    <t>ELE-0039</t>
  </si>
  <si>
    <t>ELE-0040</t>
  </si>
  <si>
    <t>ELE-0041</t>
  </si>
  <si>
    <t>ELE-0042</t>
  </si>
  <si>
    <t>ELE-0043</t>
  </si>
  <si>
    <t>ELE-0044</t>
  </si>
  <si>
    <t>ELE-0045</t>
  </si>
  <si>
    <t>ELE-0046</t>
  </si>
  <si>
    <t>ELE-0047</t>
  </si>
  <si>
    <t>ELE-0048</t>
  </si>
  <si>
    <t>ELE-0049</t>
  </si>
  <si>
    <t>ELE-0050</t>
  </si>
  <si>
    <t>ELE-0051</t>
  </si>
  <si>
    <t>ELE-0052</t>
  </si>
  <si>
    <t>ELE-0053</t>
  </si>
  <si>
    <t>ELE-0054</t>
  </si>
  <si>
    <t>ELE-0055</t>
  </si>
  <si>
    <t>ELE-0056</t>
  </si>
  <si>
    <t>ELE-0057</t>
  </si>
  <si>
    <t>ELE-0058</t>
  </si>
  <si>
    <t>ELE-0059</t>
  </si>
  <si>
    <t>ELE-0060</t>
  </si>
  <si>
    <t>ELE-0061</t>
  </si>
  <si>
    <t>ELE-0062</t>
  </si>
  <si>
    <t>ELE-0063</t>
  </si>
  <si>
    <t>ELE-0064</t>
  </si>
  <si>
    <t>ELE-0065</t>
  </si>
  <si>
    <t>ELE-0066</t>
  </si>
  <si>
    <t>ELE-0067</t>
  </si>
  <si>
    <t>ELE-0068</t>
  </si>
  <si>
    <t>ELE-0069</t>
  </si>
  <si>
    <t>ELE-0070</t>
  </si>
  <si>
    <t>ELE-0071</t>
  </si>
  <si>
    <t>ELE-0072</t>
  </si>
  <si>
    <t>ELE-0073</t>
  </si>
  <si>
    <t>ELE-0074</t>
  </si>
  <si>
    <t>ELE-0075</t>
  </si>
  <si>
    <t>ELE-0076</t>
  </si>
  <si>
    <t>ELE-0077</t>
  </si>
  <si>
    <t>ELE-0078</t>
  </si>
  <si>
    <t>ELE-0079</t>
  </si>
  <si>
    <t>ELE-0080</t>
  </si>
  <si>
    <t>ELE-0081</t>
  </si>
  <si>
    <t>ELE-0082</t>
  </si>
  <si>
    <t>ELE-0083</t>
  </si>
  <si>
    <t>ELE-0084</t>
  </si>
  <si>
    <t>ELE-0085</t>
  </si>
  <si>
    <t>ELE-0086</t>
  </si>
  <si>
    <t>ELE-0087</t>
  </si>
  <si>
    <t>ELE-0088</t>
  </si>
  <si>
    <t>ELE-0089</t>
  </si>
  <si>
    <t>ELE-0090</t>
  </si>
  <si>
    <t>ELE-0091</t>
  </si>
  <si>
    <t>ELE-0092</t>
  </si>
  <si>
    <t>ELE-0093</t>
  </si>
  <si>
    <t>ELE-0094</t>
  </si>
  <si>
    <t>ELE-0095</t>
  </si>
  <si>
    <t>ELE-0096</t>
  </si>
  <si>
    <t>ELE-0097</t>
  </si>
  <si>
    <t>ELE-0098</t>
  </si>
  <si>
    <t>ELE-0099</t>
  </si>
  <si>
    <t>ELE-0100</t>
  </si>
  <si>
    <t>ELE-0101</t>
  </si>
  <si>
    <t>ELE-0102</t>
  </si>
  <si>
    <t>ELE-0103</t>
  </si>
  <si>
    <t>ELE-0104</t>
  </si>
  <si>
    <t>ELE-0105</t>
  </si>
  <si>
    <t>ELE-0106</t>
  </si>
  <si>
    <t>ELE-0107</t>
  </si>
  <si>
    <t>ELE-0108</t>
  </si>
  <si>
    <t>ELE-0109</t>
  </si>
  <si>
    <t>ELE-0110</t>
  </si>
  <si>
    <t>ELE-0111</t>
  </si>
  <si>
    <t>ELE-0112</t>
  </si>
  <si>
    <t>ELE-0113</t>
  </si>
  <si>
    <t>ELE-0114</t>
  </si>
  <si>
    <t>ELE-0115</t>
  </si>
  <si>
    <t>ELE-0116</t>
  </si>
  <si>
    <t>ELE-0117</t>
  </si>
  <si>
    <t>ELE-0118</t>
  </si>
  <si>
    <t>ELE-0119</t>
  </si>
  <si>
    <t>ELE-0120</t>
  </si>
  <si>
    <t>ELE-0121</t>
  </si>
  <si>
    <t>ELE-0122</t>
  </si>
  <si>
    <t>ELE-0123</t>
  </si>
  <si>
    <t>ELE-0124</t>
  </si>
  <si>
    <t>ELE-0125</t>
  </si>
  <si>
    <t>ELE-0126</t>
  </si>
  <si>
    <t>ELE-0127</t>
  </si>
  <si>
    <t>ELE-0128</t>
  </si>
  <si>
    <t>ELE-0129</t>
  </si>
  <si>
    <t>EMG-0014</t>
  </si>
  <si>
    <t>EMG-0015</t>
  </si>
  <si>
    <t>EMG-0016</t>
  </si>
  <si>
    <t>EMG-0017</t>
  </si>
  <si>
    <t>EMG-0018</t>
  </si>
  <si>
    <t>EMG-0089</t>
  </si>
  <si>
    <t>EMG-0090</t>
  </si>
  <si>
    <t>EMG-0091</t>
  </si>
  <si>
    <t>EMG-0092</t>
  </si>
  <si>
    <t>EMG-0093</t>
  </si>
  <si>
    <t>EMG-0094</t>
  </si>
  <si>
    <t>EMG-0095</t>
  </si>
  <si>
    <t>EMG-0096</t>
  </si>
  <si>
    <t>EMG-0097</t>
  </si>
  <si>
    <t>EMG-0098</t>
  </si>
  <si>
    <t>EMG-0099</t>
  </si>
  <si>
    <t>EMG-0100</t>
  </si>
  <si>
    <t>EMG-0101</t>
  </si>
  <si>
    <t>EMG-0102</t>
  </si>
  <si>
    <t>EMG-0103</t>
  </si>
  <si>
    <t>EMG-0104</t>
  </si>
  <si>
    <t>EMG-0105</t>
  </si>
  <si>
    <t>EMG-0106</t>
  </si>
  <si>
    <t>EMG-0107</t>
  </si>
  <si>
    <t>EMG-0108</t>
  </si>
  <si>
    <t>EMG-0109</t>
  </si>
  <si>
    <t>EMG-0110</t>
  </si>
  <si>
    <t>EMG-0111</t>
  </si>
  <si>
    <t>EMG-0112</t>
  </si>
  <si>
    <t>EMG-0113</t>
  </si>
  <si>
    <t>EMG-0114</t>
  </si>
  <si>
    <t>EMG-0115</t>
  </si>
  <si>
    <t>EMG-0116</t>
  </si>
  <si>
    <t>EMG-0117</t>
  </si>
  <si>
    <t>EMG-0118</t>
  </si>
  <si>
    <t>EMG-0119</t>
  </si>
  <si>
    <t>EMG-0120</t>
  </si>
  <si>
    <t>EMG-0121</t>
  </si>
  <si>
    <t>EMG-0122</t>
  </si>
  <si>
    <t>EMG-0123</t>
  </si>
  <si>
    <t>EMG-0124</t>
  </si>
  <si>
    <t>EMG-0125</t>
  </si>
  <si>
    <t>EMG-0126</t>
  </si>
  <si>
    <t>EMG-0127</t>
  </si>
  <si>
    <t>EMG-0128</t>
  </si>
  <si>
    <t>EMG-0129</t>
  </si>
  <si>
    <t>EMG-0130</t>
  </si>
  <si>
    <t>EMG-0131</t>
  </si>
  <si>
    <t>EMG-0132</t>
  </si>
  <si>
    <t>EMG-0133</t>
  </si>
  <si>
    <t>EMG-0134</t>
  </si>
  <si>
    <t>EMG-0135</t>
  </si>
  <si>
    <t>EMG-0136</t>
  </si>
  <si>
    <t>EMG-0137</t>
  </si>
  <si>
    <t>EMG-0138</t>
  </si>
  <si>
    <t>EMG-0139</t>
  </si>
  <si>
    <t>EMG-0140</t>
  </si>
  <si>
    <t>EMG-0141</t>
  </si>
  <si>
    <t>EMG-0142</t>
  </si>
  <si>
    <t>EMG-0143</t>
  </si>
  <si>
    <t>EMG-0144</t>
  </si>
  <si>
    <t>EMG-0145</t>
  </si>
  <si>
    <t>EMG-0146</t>
  </si>
  <si>
    <t>EMG-0147</t>
  </si>
  <si>
    <t>EMG-0148</t>
  </si>
  <si>
    <t>EMG-0149</t>
  </si>
  <si>
    <t>EMG-0150</t>
  </si>
  <si>
    <t>EMG-0151</t>
  </si>
  <si>
    <t>EMG-0152</t>
  </si>
  <si>
    <t>EXE-0015</t>
  </si>
  <si>
    <t>KTL-0001</t>
  </si>
  <si>
    <t>Production Spares-PS</t>
  </si>
  <si>
    <t>PNE-0001</t>
  </si>
  <si>
    <t>PNE-0002</t>
  </si>
  <si>
    <t>PNE-0003</t>
  </si>
  <si>
    <t>PNE-0004</t>
  </si>
  <si>
    <t>PNE-0005</t>
  </si>
  <si>
    <t>PNE-0006</t>
  </si>
  <si>
    <t>PNE-0007</t>
  </si>
  <si>
    <t>PNE-0008</t>
  </si>
  <si>
    <t>PNE-0009</t>
  </si>
  <si>
    <t>PNE-0010</t>
  </si>
  <si>
    <t>PNE-0011</t>
  </si>
  <si>
    <t>PNE-0012</t>
  </si>
  <si>
    <t>PNE-0013</t>
  </si>
  <si>
    <t>PNE-0014</t>
  </si>
  <si>
    <t>PNE-0015</t>
  </si>
  <si>
    <t>PNE-0016</t>
  </si>
  <si>
    <t>PNE-0017</t>
  </si>
  <si>
    <t>PNE-0018</t>
  </si>
  <si>
    <t>PNE-0019</t>
  </si>
  <si>
    <t>PNE-0020</t>
  </si>
  <si>
    <t>PNE-0021</t>
  </si>
  <si>
    <t>PNE-0022</t>
  </si>
  <si>
    <t>PNE-0023</t>
  </si>
  <si>
    <t>PNE-0024</t>
  </si>
  <si>
    <t>PNE-0025</t>
  </si>
  <si>
    <t>PNE-0026</t>
  </si>
  <si>
    <t>PNE-0027</t>
  </si>
  <si>
    <t>PNE-0028</t>
  </si>
  <si>
    <t>PNE-0029</t>
  </si>
  <si>
    <t>PNE-0030</t>
  </si>
  <si>
    <t>PNE-0031</t>
  </si>
  <si>
    <t>PNE-0032</t>
  </si>
  <si>
    <t>PNE-0033</t>
  </si>
  <si>
    <t>PNE-0034</t>
  </si>
  <si>
    <t>PNE-0035</t>
  </si>
  <si>
    <t>PNE-0036</t>
  </si>
  <si>
    <t>PNE-0037</t>
  </si>
  <si>
    <t>PNE-0038</t>
  </si>
  <si>
    <t>PNE-0039</t>
  </si>
  <si>
    <t>PNE-0040</t>
  </si>
  <si>
    <t>PNE-0041</t>
  </si>
  <si>
    <t>PNE-0042</t>
  </si>
  <si>
    <t>PNE-0043</t>
  </si>
  <si>
    <t>PNE-0044</t>
  </si>
  <si>
    <t>PNE-0045</t>
  </si>
  <si>
    <t>PNE-0046</t>
  </si>
  <si>
    <t>PNE-0047</t>
  </si>
  <si>
    <t>PNE-0048</t>
  </si>
  <si>
    <t>PNE-0049</t>
  </si>
  <si>
    <t>PNE-0050</t>
  </si>
  <si>
    <t>PNE-0051</t>
  </si>
  <si>
    <t>PNE-0052</t>
  </si>
  <si>
    <t>PNE-0053</t>
  </si>
  <si>
    <t>PNE-0054</t>
  </si>
  <si>
    <t>PNE-0055</t>
  </si>
  <si>
    <t>PNE-0056</t>
  </si>
  <si>
    <t>PNE-0057</t>
  </si>
  <si>
    <t>PNE-0058</t>
  </si>
  <si>
    <t>PNE-0059</t>
  </si>
  <si>
    <t>PNE-0060</t>
  </si>
  <si>
    <t>PNE-0061</t>
  </si>
  <si>
    <t>PNE-0062</t>
  </si>
  <si>
    <t>PNE-0063</t>
  </si>
  <si>
    <t>PNE-0064</t>
  </si>
  <si>
    <t>PNE-0065</t>
  </si>
  <si>
    <t>PNE-0066</t>
  </si>
  <si>
    <t>PNE-0067</t>
  </si>
  <si>
    <t>PNE-0068</t>
  </si>
  <si>
    <t>PNE-0069</t>
  </si>
  <si>
    <t>PNE-0070</t>
  </si>
  <si>
    <t>PNE-0071</t>
  </si>
  <si>
    <t>PNE-0072</t>
  </si>
  <si>
    <t>PNE-0073</t>
  </si>
  <si>
    <t>PNE-0074</t>
  </si>
  <si>
    <t>PNE-0075</t>
  </si>
  <si>
    <t>PNE-0076</t>
  </si>
  <si>
    <t>PNE-0077</t>
  </si>
  <si>
    <t>PNE-0078</t>
  </si>
  <si>
    <t>PNE-0079</t>
  </si>
  <si>
    <t>PNE-0080</t>
  </si>
  <si>
    <t>PNE-0081</t>
  </si>
  <si>
    <t>PNE-0082</t>
  </si>
  <si>
    <t>PNE-0083</t>
  </si>
  <si>
    <t>PNE-0084</t>
  </si>
  <si>
    <t>PNE-0085</t>
  </si>
  <si>
    <t>PNE-0086</t>
  </si>
  <si>
    <t>PNE-0087</t>
  </si>
  <si>
    <t>PNE-0088</t>
  </si>
  <si>
    <t>PNE-0089</t>
  </si>
  <si>
    <t>PNE-0090</t>
  </si>
  <si>
    <t>PNE-0091</t>
  </si>
  <si>
    <t>PNE-0092</t>
  </si>
  <si>
    <t>PNE-0093</t>
  </si>
  <si>
    <t>PNE-0094</t>
  </si>
  <si>
    <t>PNE-0095</t>
  </si>
  <si>
    <t>PNE-0096</t>
  </si>
  <si>
    <t>PNE-0097</t>
  </si>
  <si>
    <t>PNE-0098</t>
  </si>
  <si>
    <t>PNE-0099</t>
  </si>
  <si>
    <t>PNE-0100</t>
  </si>
  <si>
    <t>PNE-0101</t>
  </si>
  <si>
    <t>PNE-0102</t>
  </si>
  <si>
    <t>PNE-0103</t>
  </si>
  <si>
    <t>PNE-0104</t>
  </si>
  <si>
    <t>PNE-0105</t>
  </si>
  <si>
    <t>PNE-0106</t>
  </si>
  <si>
    <t>PNE-0107</t>
  </si>
  <si>
    <t>PNE-0108</t>
  </si>
  <si>
    <t>PNE-0109</t>
  </si>
  <si>
    <t>PNE-0110</t>
  </si>
  <si>
    <t>PNE-0111</t>
  </si>
  <si>
    <t>PNE-0112</t>
  </si>
  <si>
    <t>PNE-0113</t>
  </si>
  <si>
    <t>PNE-0114</t>
  </si>
  <si>
    <t>PNE-0115</t>
  </si>
  <si>
    <t>PNE-0116</t>
  </si>
  <si>
    <t>PNE-0117</t>
  </si>
  <si>
    <t>PNE-0118</t>
  </si>
  <si>
    <t>PNE-0119</t>
  </si>
  <si>
    <t>PNE-0120</t>
  </si>
  <si>
    <t>PNE-0121</t>
  </si>
  <si>
    <t>PNE-0122</t>
  </si>
  <si>
    <t>PNE-0123</t>
  </si>
  <si>
    <t>PNE-0124</t>
  </si>
  <si>
    <t>PNE-0125</t>
  </si>
  <si>
    <t>PNE-0126</t>
  </si>
  <si>
    <t>PNE-0127</t>
  </si>
  <si>
    <t>PNE-0128</t>
  </si>
  <si>
    <t>PNE-0129</t>
  </si>
  <si>
    <t>PNE-0130</t>
  </si>
  <si>
    <t>PNE-0131</t>
  </si>
  <si>
    <t>PNE-0132</t>
  </si>
  <si>
    <t>PNE-0133</t>
  </si>
  <si>
    <t>PNE-0134</t>
  </si>
  <si>
    <t>PNE-0135</t>
  </si>
  <si>
    <t>Engineerig Spares-ES</t>
  </si>
  <si>
    <t>PVC-0001</t>
  </si>
  <si>
    <t>RAL-0091</t>
  </si>
  <si>
    <t>RAL-0092</t>
  </si>
  <si>
    <t>RAL-0093</t>
  </si>
  <si>
    <t>RAL-0094</t>
  </si>
  <si>
    <t>RAL-0095</t>
  </si>
  <si>
    <t>RAL-0096</t>
  </si>
  <si>
    <t>RAL-0097</t>
  </si>
  <si>
    <t>RAL-0098</t>
  </si>
  <si>
    <t>RAL-0099</t>
  </si>
  <si>
    <t>RAL-0100</t>
  </si>
  <si>
    <t>RAL-0101</t>
  </si>
  <si>
    <t>RAL-0102</t>
  </si>
  <si>
    <t>RAL-0103</t>
  </si>
  <si>
    <t>RAL-0104</t>
  </si>
  <si>
    <t>RAL-0105</t>
  </si>
  <si>
    <t>STA-0013</t>
  </si>
  <si>
    <t>STA-0041</t>
  </si>
  <si>
    <t>TAB-0040</t>
  </si>
  <si>
    <t>TAB-0041</t>
  </si>
  <si>
    <t>TAB-0042</t>
  </si>
  <si>
    <t>TAB-0043</t>
  </si>
  <si>
    <t>TAB-0044</t>
  </si>
  <si>
    <t>TAD-0003</t>
  </si>
  <si>
    <t>WEL-0002</t>
  </si>
  <si>
    <t>WEL-0028</t>
  </si>
  <si>
    <t>WEL-0038</t>
  </si>
  <si>
    <t>WEL-0039</t>
  </si>
  <si>
    <t>WEL-0040</t>
  </si>
  <si>
    <t>WEL-0041</t>
  </si>
  <si>
    <t>WEL-0042</t>
  </si>
  <si>
    <t>WEL-0043</t>
  </si>
  <si>
    <t>WEL-0044</t>
  </si>
  <si>
    <t>WEL-0045</t>
  </si>
  <si>
    <t>FSU</t>
  </si>
  <si>
    <t>Floor scrubber unit</t>
  </si>
  <si>
    <t>LMM-0010</t>
  </si>
  <si>
    <t xml:space="preserve">Laser marking machine </t>
  </si>
  <si>
    <t>LMM-0011</t>
  </si>
  <si>
    <t>LMM-0012</t>
  </si>
  <si>
    <t>Machine production parts</t>
  </si>
  <si>
    <t>MPP</t>
  </si>
  <si>
    <t>MPP-001</t>
  </si>
  <si>
    <t>MPP-002</t>
  </si>
  <si>
    <t>MPP-003</t>
  </si>
  <si>
    <t>MPP-004</t>
  </si>
  <si>
    <t>MPP-005</t>
  </si>
  <si>
    <t>MPP-006</t>
  </si>
  <si>
    <t>MPP-007</t>
  </si>
  <si>
    <t>MPP-008</t>
  </si>
  <si>
    <t>MPP-009</t>
  </si>
  <si>
    <t>MPP-010</t>
  </si>
  <si>
    <t>MPP-011</t>
  </si>
  <si>
    <t>MPP-012</t>
  </si>
  <si>
    <t>MPP-013</t>
  </si>
  <si>
    <t>MPP-014</t>
  </si>
  <si>
    <t>MPP-015</t>
  </si>
  <si>
    <t>MPP-016</t>
  </si>
  <si>
    <t>MPP-017</t>
  </si>
  <si>
    <t>MPP-018</t>
  </si>
  <si>
    <t>MPP-019</t>
  </si>
  <si>
    <t>MPP-020</t>
  </si>
  <si>
    <t>MPP-021</t>
  </si>
  <si>
    <t>MPP-022</t>
  </si>
  <si>
    <t>MPP-023</t>
  </si>
  <si>
    <t>MPP-024</t>
  </si>
  <si>
    <t>MPP-025</t>
  </si>
  <si>
    <t>MPP-026</t>
  </si>
  <si>
    <t>MPP-027</t>
  </si>
  <si>
    <t>MPP-028</t>
  </si>
  <si>
    <t>MPP-029</t>
  </si>
  <si>
    <t>MPP-030</t>
  </si>
  <si>
    <t>MPP-031</t>
  </si>
  <si>
    <t>MPP-032</t>
  </si>
  <si>
    <t>MPP-033</t>
  </si>
  <si>
    <t>MY25 check table</t>
  </si>
  <si>
    <t>Production engineering tool</t>
  </si>
  <si>
    <t>Pneumatics</t>
  </si>
  <si>
    <t>PVC fitting</t>
  </si>
  <si>
    <t>Saws</t>
  </si>
  <si>
    <t>Stand alone presses</t>
  </si>
  <si>
    <t>Tap and drill</t>
  </si>
  <si>
    <t>Tesla thread check</t>
  </si>
  <si>
    <t>Welding cells</t>
  </si>
  <si>
    <t>4 head saw</t>
  </si>
  <si>
    <t>Column2</t>
  </si>
  <si>
    <t>Package wires on the robot - signal 25463 - ROBOFLEX 2001 12G0,5 QMM  300/500V</t>
  </si>
  <si>
    <t>MP-CS-002-00-00040</t>
  </si>
  <si>
    <t>MP-NS-002-00-00042</t>
  </si>
  <si>
    <t>MP-CS-014-00-00043</t>
  </si>
  <si>
    <t>MP-CS-014-00-00044</t>
  </si>
  <si>
    <t>MP-CS-005-00-00018</t>
  </si>
  <si>
    <t>MP-NS-026-00-00004</t>
  </si>
  <si>
    <t>MP-NS-026-00-00005</t>
  </si>
  <si>
    <t>MP-NS-026-00-00019</t>
  </si>
  <si>
    <t>MP-NS-012-00-00148</t>
  </si>
  <si>
    <t>MP-NS-012-00-00157</t>
  </si>
  <si>
    <t>MP-NS-012-00-00158</t>
  </si>
  <si>
    <t>MP-NS-012-00-00160</t>
  </si>
  <si>
    <t>MP-NS-010-00-00007</t>
  </si>
  <si>
    <t>MP-NS-010-00-00023</t>
  </si>
  <si>
    <t>MP-NS-026-00-00007</t>
  </si>
  <si>
    <t>MP-NS-026-00-00008</t>
  </si>
  <si>
    <t>4head Saw</t>
  </si>
  <si>
    <t>Package wires on the robot - signal 25463 - ROBOFLEX 2001 12</t>
  </si>
  <si>
    <t>Package wires on the robot - power supply 29692 - ÖLFLEX® RO</t>
  </si>
  <si>
    <t>Desoutter AFDE200-3750(2051480254) with control block(436313</t>
  </si>
  <si>
    <t>Refurbished - Spindle 1600E,1350E,1000E</t>
  </si>
  <si>
    <t>120366 B Axis Upper Pulley</t>
  </si>
  <si>
    <t>252093 Tool magazine cover cylinder</t>
  </si>
  <si>
    <t>PILZ Connecting Cable PSEN Kabel Gerade/cable straightplug 1</t>
  </si>
  <si>
    <t>PILZ Magnetic Safety Switch PSEN 1.1p-20/PSEN1.1-20/8mm/1uni</t>
  </si>
  <si>
    <t>Part positioning cube (left) (for LH station) 23125.200.20_m</t>
  </si>
  <si>
    <t>Part positioning cube (right) (for LH station) 23125.200.04_</t>
  </si>
  <si>
    <t>OPEN TIG RK M 5 STD / 1 NITOWNICA P2001 T MONT M5  236113050</t>
  </si>
  <si>
    <t>OPEN ENC RK D5 STD / 1 NITOWNICA P2001 NA MONT M5  236113050</t>
  </si>
  <si>
    <t>2960000162 GEARBOX ALPHA TPK+025S-MA3-220-0C1 – Rotation TF</t>
  </si>
  <si>
    <t>2960000357 US - 063 100 [TM] HYDRO-PNEUMATIC UNIT – FIXED HE</t>
  </si>
  <si>
    <t>2960000270 US - 063 100 [TF] HYDRO-PNEUMATIC UNIT – MOBILE H</t>
  </si>
  <si>
    <t>90498901 GR. SOLENOID VALVES 12 POS. [VTUG-14-VRPT-B1T-Q10-D</t>
  </si>
  <si>
    <t>2982647 Phoenix Contact OV-24DC/ 60DC/4 PCB Mount Solid Stat</t>
  </si>
  <si>
    <t>Front liner guide tube</t>
  </si>
  <si>
    <t>Welding wire</t>
  </si>
  <si>
    <t>Graphite inner liner 2.0mm</t>
  </si>
  <si>
    <t>Contact tip Robot welding 102xM8</t>
  </si>
  <si>
    <t>Brush on the manual cleaning station</t>
  </si>
  <si>
    <t>Multi head, 4 spindle fixed centre – 20.0 mm dia Scallops CE</t>
  </si>
  <si>
    <t>Single spindle drill unit – 20.0 mm dia  Scallop DXP18/100/H</t>
  </si>
  <si>
    <t>Single spindle drill unit – 20.0 mm through bores DXP18/100/</t>
  </si>
  <si>
    <t>Toolholder – for single spindle drill unit – item 2AS28 – ER</t>
  </si>
  <si>
    <t>Rotary coupling for pneumatic and electrical control signals</t>
  </si>
  <si>
    <t>Bespoke brazed tip cutters for Scallops used with items 1 an</t>
  </si>
  <si>
    <t>FongHo Saw HMI – Fuji-Monitouch- type TS1070 Including Progr</t>
  </si>
  <si>
    <t>Hydraulic Cylinder (Fixture) - Classy (0401 (0105 product co</t>
  </si>
  <si>
    <t>BALL SCREW (DRILLING AND TAPING UNIT)- HIWIN/EQUIVALENT (R32</t>
  </si>
  <si>
    <t>HYDRAULIC CYLINDER (CHAMFERING UNIT) - CLASSYS (0405 (0105 P</t>
  </si>
  <si>
    <t>PNEUMATIC CYLINDER (COUNTER BALANCE UNIT)- SMC- MDBF80-200Z-</t>
  </si>
  <si>
    <t>ANGULAR CONTACT BEARING (CHAMFERING UNIT)- SKF/RHP- 7206-ACC</t>
  </si>
  <si>
    <t>Position limit switch NG. VS adjustable - EUCHNER NG1VS-510-</t>
  </si>
  <si>
    <t>44,0450,0098 Disc brush ø15x56mm</t>
  </si>
  <si>
    <t>40, 0001, 0533 Graphite inner liner 2.0mm</t>
  </si>
  <si>
    <t>42, 0100, 1003 Guide nozzle ø1,2 red</t>
  </si>
  <si>
    <t>K-K1250/N480-G25_2547-M27 80 kN 0,5 % - force pressure senso</t>
  </si>
  <si>
    <t>2019.022.03.0200 Cylinder 40/25x400 - core pull cylinder inc</t>
  </si>
  <si>
    <t>R910948472 A A10VSO - Axial Piston Pump 18 DRG / 31R-VPA 12N</t>
  </si>
  <si>
    <t>PN7070 Druckschalter PN 7070 - pressure switch PN-400-Ser14-</t>
  </si>
  <si>
    <t>BRFS filter, elements code 1002674B, former Rexroth code R92</t>
  </si>
  <si>
    <t>1002345B Hengst Size 0250,Filter element R928005926,1.0250 P</t>
  </si>
  <si>
    <t>MP-NS-026-00-00020</t>
  </si>
  <si>
    <t>MP-NS-026-00-00021</t>
  </si>
  <si>
    <t>MP-NS-026-00-00022</t>
  </si>
  <si>
    <t>MP-NS-026-00-00023</t>
  </si>
  <si>
    <t>MP-NS-026-00-00024</t>
  </si>
  <si>
    <t>MP-NS-026-00-00025</t>
  </si>
  <si>
    <t>MP-NS-026-00-00026</t>
  </si>
  <si>
    <t>MP-NS-026-00-00027</t>
  </si>
  <si>
    <t>MP-CS-026-00-00001</t>
  </si>
  <si>
    <t>MP-NS-026-00-00028</t>
  </si>
  <si>
    <t>MP-NS-026-00-00029</t>
  </si>
  <si>
    <t>MP-NS-026-00-00030</t>
  </si>
  <si>
    <t>MP-CS-026-00-00002</t>
  </si>
  <si>
    <t>MP-NS-026-00-00031</t>
  </si>
  <si>
    <t>MP-NS-026-00-00032</t>
  </si>
  <si>
    <t>MP-CS-026-00-00003</t>
  </si>
  <si>
    <t>MP-CS-026-00-00004</t>
  </si>
  <si>
    <t>MP-CS-026-00-00005</t>
  </si>
  <si>
    <t>MP-CS-026-00-00006</t>
  </si>
  <si>
    <t>MP-NS-026-00-00033</t>
  </si>
  <si>
    <t>MP-CS-027-00-00001</t>
  </si>
  <si>
    <t>MP-CS-027-00-00002</t>
  </si>
  <si>
    <t>MP-CS-027-00-00003</t>
  </si>
  <si>
    <t>MP-CS-027-00-00004</t>
  </si>
  <si>
    <t>MP-NS-027-00-00001</t>
  </si>
  <si>
    <t>MP-CS-027-00-00005</t>
  </si>
  <si>
    <t>MP-NS-027-00-00002</t>
  </si>
  <si>
    <t>MP-CS-027-00-00006</t>
  </si>
  <si>
    <t>MP-CS-027-00-00007</t>
  </si>
  <si>
    <t>MP-CS-027-00-00008</t>
  </si>
  <si>
    <t>MP-CS-027-00-00009</t>
  </si>
  <si>
    <t>MP-CS-027-00-00010</t>
  </si>
  <si>
    <t>MP-CS-027-00-00011</t>
  </si>
  <si>
    <t>MP-CS-027-00-00012</t>
  </si>
  <si>
    <t>MP-CS-027-00-00013</t>
  </si>
  <si>
    <t>MP-NS-012-00-00131</t>
  </si>
  <si>
    <t>MP-NS-012-00-00132</t>
  </si>
  <si>
    <t>MP-NS-012-00-00133</t>
  </si>
  <si>
    <t>MP-NS-012-00-00134</t>
  </si>
  <si>
    <t>MP-NS-012-00-00135</t>
  </si>
  <si>
    <t>MP-NS-012-00-00136</t>
  </si>
  <si>
    <t>MP-NS-012-00-00137</t>
  </si>
  <si>
    <t>MP-NS-012-00-00138</t>
  </si>
  <si>
    <t>MP-NS-012-00-00139</t>
  </si>
  <si>
    <t>MP-NS-012-00-00140</t>
  </si>
  <si>
    <t>MP-NS-012-00-00141</t>
  </si>
  <si>
    <t>MP-CS-026-00-00007</t>
  </si>
  <si>
    <t>MP-CS-012-00-00002</t>
  </si>
  <si>
    <t>MP-NS-012-00-00142</t>
  </si>
  <si>
    <t>MP-NS-012-00-00143</t>
  </si>
  <si>
    <t>MP-CS-012-00-00003</t>
  </si>
  <si>
    <t>MP-NS-012-00-00144</t>
  </si>
  <si>
    <t>MP-NS-029-00-00005</t>
  </si>
  <si>
    <t>MP-CS-029-00-00005</t>
  </si>
  <si>
    <t>MP-NS-029-00-00006</t>
  </si>
  <si>
    <t>MP-NS-029-00-00007</t>
  </si>
  <si>
    <t>MP-NS-029-00-00008</t>
  </si>
  <si>
    <t>MP-NS-012-00-00149</t>
  </si>
  <si>
    <t>MP-NS-012-00-00150</t>
  </si>
  <si>
    <t>MP-NS-012-00-00151</t>
  </si>
  <si>
    <t>MP-NS-012-00-00152</t>
  </si>
  <si>
    <t>MP-NS-012-00-00153</t>
  </si>
  <si>
    <t>MP-CS-012-00-00009</t>
  </si>
  <si>
    <t>MP-NS-012-00-00154</t>
  </si>
  <si>
    <t>MP-CS-012-00-00010</t>
  </si>
  <si>
    <t>MP-CS-012-00-00011</t>
  </si>
  <si>
    <t>MP-CS-012-00-00012</t>
  </si>
  <si>
    <t>MP-CS-012-00-00013</t>
  </si>
  <si>
    <t>MP-CS-012-00-00014</t>
  </si>
  <si>
    <t>MP-CS-012-00-00015</t>
  </si>
  <si>
    <t>MP-CS-012-00-00016</t>
  </si>
  <si>
    <t>MP-NS-012-00-00155</t>
  </si>
  <si>
    <t>MP-NS-012-00-00156</t>
  </si>
  <si>
    <t>MP-CS-012-00-00017</t>
  </si>
  <si>
    <t>MP-CS-012-00-00018</t>
  </si>
  <si>
    <t>MP-NS-028-00-00001</t>
  </si>
  <si>
    <t>MP-NS-028-00-00002</t>
  </si>
  <si>
    <t>MP-NS-028-00-00003</t>
  </si>
  <si>
    <t>MP-NS-028-00-00004</t>
  </si>
  <si>
    <t>MP-CS-029-00-00001</t>
  </si>
  <si>
    <t>MP-CS-029-00-00002</t>
  </si>
  <si>
    <t>MP-NS-029-00-00001</t>
  </si>
  <si>
    <t>MP-NS-029-00-00002</t>
  </si>
  <si>
    <t>MP-CS-029-00-00003</t>
  </si>
  <si>
    <t>MP-NS-029-00-00003</t>
  </si>
  <si>
    <t>MP-CS-029-00-00004</t>
  </si>
  <si>
    <t>MP-NS-029-00-00004</t>
  </si>
  <si>
    <t>MP-NS-002-00-00044</t>
  </si>
  <si>
    <t>MP-CS-004-00-00003</t>
  </si>
  <si>
    <t>MP-CS-004-00-00004</t>
  </si>
  <si>
    <t>MP-CS-004-00-00005</t>
  </si>
  <si>
    <t>MP-CS-004-00-00006</t>
  </si>
  <si>
    <t>MP-CS-004-00-00007</t>
  </si>
  <si>
    <t>MP-CS-004-00-00008</t>
  </si>
  <si>
    <t>MP-CS-004-00-00009</t>
  </si>
  <si>
    <t>MP-CS-004-00-00010</t>
  </si>
  <si>
    <t>MP-CS-004-00-00011</t>
  </si>
  <si>
    <t>MP-CS-004-00-00012</t>
  </si>
  <si>
    <t>MP-CS-004-00-00013</t>
  </si>
  <si>
    <t>MP-CS-004-00-00014</t>
  </si>
  <si>
    <t>MP-CS-004-00-00015</t>
  </si>
  <si>
    <t>MP-CS-004-00-00016</t>
  </si>
  <si>
    <t>MP-CS-004-00-00017</t>
  </si>
  <si>
    <t>MP-CS-004-00-00018</t>
  </si>
  <si>
    <t>MP-CS-004-00-00019</t>
  </si>
  <si>
    <t>MP-CS-004-00-00020</t>
  </si>
  <si>
    <t>MP-CS-004-00-00021</t>
  </si>
  <si>
    <t>MP-CS-004-00-00022</t>
  </si>
  <si>
    <t>MP-NS-004-00-00001</t>
  </si>
  <si>
    <t>MP-NS-004-00-00002</t>
  </si>
  <si>
    <t>MP-NS-004-00-00003</t>
  </si>
  <si>
    <t>MP-NS-004-00-00004</t>
  </si>
  <si>
    <t>MP-NS-004-00-00005</t>
  </si>
  <si>
    <t>MP-NS-004-00-00006</t>
  </si>
  <si>
    <t>MP-NS-004-00-00007</t>
  </si>
  <si>
    <t>MP-NS-004-00-00008</t>
  </si>
  <si>
    <t>MP-NS-004-00-00009</t>
  </si>
  <si>
    <t>MP-NS-004-00-00010</t>
  </si>
  <si>
    <t>MP-NS-004-00-00011</t>
  </si>
  <si>
    <t>MP-NS-004-00-00012</t>
  </si>
  <si>
    <t>MP-NS-004-00-00013</t>
  </si>
  <si>
    <t>MP-NS-004-00-00014</t>
  </si>
  <si>
    <t>MP-NS-004-00-00015</t>
  </si>
  <si>
    <t>MP-NS-004-00-00016</t>
  </si>
  <si>
    <t>MP-NS-004-00-00017</t>
  </si>
  <si>
    <t>MP-NS-004-00-00018</t>
  </si>
  <si>
    <t>MP-NS-004-00-00019</t>
  </si>
  <si>
    <t>MP-NS-004-00-00020</t>
  </si>
  <si>
    <t>MP-NS-004-00-00021</t>
  </si>
  <si>
    <t>MP-CS-004-00-00023</t>
  </si>
  <si>
    <t>MP-CS-004-00-00024</t>
  </si>
  <si>
    <t>MP-NS-004-00-00022</t>
  </si>
  <si>
    <t>MP-CS-004-00-00025</t>
  </si>
  <si>
    <t>MP-CS-004-00-00026</t>
  </si>
  <si>
    <t>MP-NS-004-00-00023</t>
  </si>
  <si>
    <t>MP-NS-004-00-00024</t>
  </si>
  <si>
    <t>MP-NS-004-00-00025</t>
  </si>
  <si>
    <t>MP-NS-004-00-00026</t>
  </si>
  <si>
    <t>MP-NS-004-00-00027</t>
  </si>
  <si>
    <t>MP-NS-004-00-00028</t>
  </si>
  <si>
    <t>MP-NS-004-00-00029</t>
  </si>
  <si>
    <t>MP-NS-004-00-00030</t>
  </si>
  <si>
    <t>MP-NS-004-00-00031</t>
  </si>
  <si>
    <t>MP-NS-004-00-00032</t>
  </si>
  <si>
    <t>MP-NS-004-00-00033</t>
  </si>
  <si>
    <t>MP-NS-004-00-00034</t>
  </si>
  <si>
    <t>MP-NS-004-00-00035</t>
  </si>
  <si>
    <t>MP-NS-004-00-00036</t>
  </si>
  <si>
    <t>MP-NS-004-00-00037</t>
  </si>
  <si>
    <t>MP-NS-004-00-00038</t>
  </si>
  <si>
    <t>MP-NS-004-00-00039</t>
  </si>
  <si>
    <t>MP-NS-004-00-00040</t>
  </si>
  <si>
    <t>MP-NS-004-00-00041</t>
  </si>
  <si>
    <t>MP-NS-004-00-00042</t>
  </si>
  <si>
    <t>MP-NS-004-00-00043</t>
  </si>
  <si>
    <t>MP-NS-004-00-00044</t>
  </si>
  <si>
    <t>MP-NS-004-00-00045</t>
  </si>
  <si>
    <t>MP-NS-004-00-00046</t>
  </si>
  <si>
    <t>MP-NS-004-00-00047</t>
  </si>
  <si>
    <t>MP-NS-004-00-00048</t>
  </si>
  <si>
    <t>MP-NS-004-00-00049</t>
  </si>
  <si>
    <t>MP-NS-004-00-00050</t>
  </si>
  <si>
    <t>MP-NS-004-00-00051</t>
  </si>
  <si>
    <t>MP-NS-004-00-00052</t>
  </si>
  <si>
    <t>MP-NS-004-00-00053</t>
  </si>
  <si>
    <t>MP-NS-004-00-00054</t>
  </si>
  <si>
    <t>MP-NS-004-00-00055</t>
  </si>
  <si>
    <t>MP-NS-004-00-00056</t>
  </si>
  <si>
    <t>MP-NS-004-00-00057</t>
  </si>
  <si>
    <t>MP-NS-004-00-00058</t>
  </si>
  <si>
    <t>MP-NS-004-00-00059</t>
  </si>
  <si>
    <t>MP-NS-004-00-00060</t>
  </si>
  <si>
    <t>MP-NS-004-00-00061</t>
  </si>
  <si>
    <t>MP-NS-004-00-00062</t>
  </si>
  <si>
    <t>MP-NS-004-00-00063</t>
  </si>
  <si>
    <t>MP-NS-004-00-00064</t>
  </si>
  <si>
    <t>MP-NS-004-00-00065</t>
  </si>
  <si>
    <t>MP-NS-004-00-00066</t>
  </si>
  <si>
    <t>MP-NS-004-00-00067</t>
  </si>
  <si>
    <t>MP-NS-004-00-00068</t>
  </si>
  <si>
    <t>MP-NS-004-00-00069</t>
  </si>
  <si>
    <t>MP-NS-004-00-00070</t>
  </si>
  <si>
    <t>MP-NS-004-00-00071</t>
  </si>
  <si>
    <t>MP-NS-004-00-00072</t>
  </si>
  <si>
    <t>MP-NS-004-00-00073</t>
  </si>
  <si>
    <t>MP-NS-004-00-00074</t>
  </si>
  <si>
    <t>MP-NS-004-00-00075</t>
  </si>
  <si>
    <t>MP-NS-004-00-00076</t>
  </si>
  <si>
    <t>MP-NS-004-00-00077</t>
  </si>
  <si>
    <t>MP-NS-004-00-00078</t>
  </si>
  <si>
    <t>MP-NS-000-22-00002</t>
  </si>
  <si>
    <t>MP-NS-000-22-00003</t>
  </si>
  <si>
    <t>MP-NS-000-22-00004</t>
  </si>
  <si>
    <t>MP-NS-000-22-00005</t>
  </si>
  <si>
    <t>MP-NS-000-22-00006</t>
  </si>
  <si>
    <t>MP-NS-000-22-00007</t>
  </si>
  <si>
    <t>MP-NS-000-22-00010</t>
  </si>
  <si>
    <t>MP-NS-000-22-00011</t>
  </si>
  <si>
    <t>MP-NS-000-22-00012</t>
  </si>
  <si>
    <t>MP-NS-000-22-00013</t>
  </si>
  <si>
    <t>MP-NS-000-22-00014</t>
  </si>
  <si>
    <t>MP-NS-000-22-00015</t>
  </si>
  <si>
    <t>MP-NS-000-22-00016</t>
  </si>
  <si>
    <t>CO012-00000123</t>
  </si>
  <si>
    <t>CO012-00000124</t>
  </si>
  <si>
    <t>MP-NS-006-00-00001</t>
  </si>
  <si>
    <t>MP-NS-006-00-00002</t>
  </si>
  <si>
    <t>MP-NS-006-00-00003</t>
  </si>
  <si>
    <t>MP-NS-006-00-00004</t>
  </si>
  <si>
    <t>MP-NS-006-00-00005</t>
  </si>
  <si>
    <t>MP-NS-006-00-00006</t>
  </si>
  <si>
    <t>MP-NS-006-00-00007</t>
  </si>
  <si>
    <t>MP-NS-006-00-00008</t>
  </si>
  <si>
    <t>MP-NS-006-00-00009</t>
  </si>
  <si>
    <t>MP-NS-006-00-00010</t>
  </si>
  <si>
    <t>MP-NS-006-00-00011</t>
  </si>
  <si>
    <t>MP-NS-006-00-00012</t>
  </si>
  <si>
    <t>MP-NS-006-00-00013</t>
  </si>
  <si>
    <t>MP-NS-006-00-00014</t>
  </si>
  <si>
    <t>MP-NS-006-00-00015</t>
  </si>
  <si>
    <t>MP-NS-007-00-00001</t>
  </si>
  <si>
    <t>MP-NS-008-00-00002</t>
  </si>
  <si>
    <t>MP-CS-008-00-00001</t>
  </si>
  <si>
    <t>MP-CS-009-00-00001</t>
  </si>
  <si>
    <t>MP-CS-009-00-00002</t>
  </si>
  <si>
    <t>MP-CS-009-00-00003</t>
  </si>
  <si>
    <t>MP-CS-009-00-00004</t>
  </si>
  <si>
    <t>MP-CS-009-00-00005</t>
  </si>
  <si>
    <t>MP-CS-009-00-00006</t>
  </si>
  <si>
    <t>MP-CS-009-00-00007</t>
  </si>
  <si>
    <t>MP-CS-009-00-00008</t>
  </si>
  <si>
    <t>MP-CS-009-00-00009</t>
  </si>
  <si>
    <t>MP-CS-009-00-00010</t>
  </si>
  <si>
    <t>MP-CS-009-00-00011</t>
  </si>
  <si>
    <t>MP-CS-009-00-00012</t>
  </si>
  <si>
    <t>MP-CS-009-00-00013</t>
  </si>
  <si>
    <t>MP-NS-009-00-00001</t>
  </si>
  <si>
    <t>MP-NS-009-00-00002</t>
  </si>
  <si>
    <t>MP-NS-009-00-00003</t>
  </si>
  <si>
    <t>MP-NS-009-00-00004</t>
  </si>
  <si>
    <t>MP-NS-009-00-00005</t>
  </si>
  <si>
    <t>MP-NS-009-00-00006</t>
  </si>
  <si>
    <t>MP-CS-009-00-00014</t>
  </si>
  <si>
    <t>MP-CS-009-00-00015</t>
  </si>
  <si>
    <t>MP-CS-009-00-00017</t>
  </si>
  <si>
    <t>MP-NS-009-00-00007</t>
  </si>
  <si>
    <t>MP-NS-009-00-00008</t>
  </si>
  <si>
    <t>MP-NS-009-00-00009</t>
  </si>
  <si>
    <t>MP-NS-009-00-00010</t>
  </si>
  <si>
    <t>MP-NS-009-00-00011</t>
  </si>
  <si>
    <t>MP-NS-009-00-00012</t>
  </si>
  <si>
    <t>MP-CS-009-00-00018</t>
  </si>
  <si>
    <t>MP-CS-009-00-00019</t>
  </si>
  <si>
    <t>MP-CS-009-00-00020</t>
  </si>
  <si>
    <t>MP-CS-009-00-00021</t>
  </si>
  <si>
    <t>MP-CS-009-00-00023</t>
  </si>
  <si>
    <t>MP-CS-009-00-00025</t>
  </si>
  <si>
    <t>MP-CS-009-00-00026</t>
  </si>
  <si>
    <t>MP-CS-009-00-00027</t>
  </si>
  <si>
    <t>MP-CS-009-00-00028</t>
  </si>
  <si>
    <t>MP-CS-009-00-00029</t>
  </si>
  <si>
    <t>MP-CS-009-00-00030</t>
  </si>
  <si>
    <t>MP-CS-009-00-00031</t>
  </si>
  <si>
    <t>MP-CS-009-00-00032</t>
  </si>
  <si>
    <t>MP-CS-009-00-00033</t>
  </si>
  <si>
    <t>MP-CS-009-00-00034</t>
  </si>
  <si>
    <t>MP-CS-009-00-00035</t>
  </si>
  <si>
    <t>MP-CS-009-00-00036</t>
  </si>
  <si>
    <t>MP-CS-009-00-00037</t>
  </si>
  <si>
    <t>MP-CS-009-00-00038</t>
  </si>
  <si>
    <t>MP-CS-009-00-00039</t>
  </si>
  <si>
    <t>MP-CS-009-00-00040</t>
  </si>
  <si>
    <t>MP-CS-009-00-00041</t>
  </si>
  <si>
    <t>MP-CS-009-00-00042</t>
  </si>
  <si>
    <t>MP-CS-009-00-00043</t>
  </si>
  <si>
    <t>MP-CS-009-00-00044</t>
  </si>
  <si>
    <t>MP-CS-009-00-00045</t>
  </si>
  <si>
    <t>MP-CS-009-00-00046</t>
  </si>
  <si>
    <t>MP-CS-009-00-00047</t>
  </si>
  <si>
    <t>MP-CS-009-00-00048</t>
  </si>
  <si>
    <t>MP-CS-009-00-00049</t>
  </si>
  <si>
    <t>MP-NS-010-00-00001</t>
  </si>
  <si>
    <t>MP-NS-010-00-00002</t>
  </si>
  <si>
    <t>MP-NS-010-00-00005</t>
  </si>
  <si>
    <t>MP-NS-010-00-00006</t>
  </si>
  <si>
    <t>MP-NS-010-00-00009</t>
  </si>
  <si>
    <t>MP-NS-010-00-00010</t>
  </si>
  <si>
    <t>MP-NS-010-00-00011</t>
  </si>
  <si>
    <t>MP-NS-010-00-00012</t>
  </si>
  <si>
    <t>MP-NS-010-00-00013</t>
  </si>
  <si>
    <t>MP-NS-010-00-00014</t>
  </si>
  <si>
    <t>MP-NS-010-00-00015</t>
  </si>
  <si>
    <t>MP-NS-010-00-00016</t>
  </si>
  <si>
    <t>MP-NS-010-00-00017</t>
  </si>
  <si>
    <t>MP-NS-010-00-00018</t>
  </si>
  <si>
    <t>MP-NS-010-00-00019</t>
  </si>
  <si>
    <t>MP-NS-010-00-00020</t>
  </si>
  <si>
    <t>MP-NS-010-00-00021</t>
  </si>
  <si>
    <t>MP-NS-010-00-00022</t>
  </si>
  <si>
    <t>MP-NS-010-00-00024</t>
  </si>
  <si>
    <t>MP-NS-010-00-00025</t>
  </si>
  <si>
    <t>MP-NS-010-00-00026</t>
  </si>
  <si>
    <t>MP-NS-001-00-00001</t>
  </si>
  <si>
    <t>MP-NS-001-00-00003</t>
  </si>
  <si>
    <t>MP-CS-001-00-00001</t>
  </si>
  <si>
    <t>MP-NS-001-00-00004</t>
  </si>
  <si>
    <t>MP-NS-001-00-00005</t>
  </si>
  <si>
    <t>MP-NS-001-00-00006</t>
  </si>
  <si>
    <t>MP-CS-001-00-00002</t>
  </si>
  <si>
    <t>MP-CS-001-00-00003</t>
  </si>
  <si>
    <t>MP-CS-001-00-00004</t>
  </si>
  <si>
    <t>MP-CS-001-00-00005</t>
  </si>
  <si>
    <t>MP-CS-001-00-00006</t>
  </si>
  <si>
    <t>MP-CS-001-00-00007</t>
  </si>
  <si>
    <t>MP-CS-001-00-00008</t>
  </si>
  <si>
    <t>MP-NS-001-00-00007</t>
  </si>
  <si>
    <t>MP-NS-001-00-00008</t>
  </si>
  <si>
    <t>MP-CS-001-00-00009</t>
  </si>
  <si>
    <t>MP-CS-001-00-00010</t>
  </si>
  <si>
    <t>MP-CS-001-00-00011</t>
  </si>
  <si>
    <t>MP-CS-001-00-00012</t>
  </si>
  <si>
    <t>MP-CS-001-00-00013</t>
  </si>
  <si>
    <t>MP-NS-001-00-00009</t>
  </si>
  <si>
    <t>MP-CS-001-00-00014</t>
  </si>
  <si>
    <t>MP-NS-001-00-00010</t>
  </si>
  <si>
    <t>MP-NS-001-00-00011</t>
  </si>
  <si>
    <t>MP-CS-001-00-00015</t>
  </si>
  <si>
    <t>MP-NS-001-00-00012</t>
  </si>
  <si>
    <t>MP-NS-001-00-00013</t>
  </si>
  <si>
    <t>MP-NS-001-00-00014</t>
  </si>
  <si>
    <t>MP-NS-001-00-00015</t>
  </si>
  <si>
    <t>MP-CS-001-00-00016</t>
  </si>
  <si>
    <t>MP-CS-001-00-00017</t>
  </si>
  <si>
    <t>MP-CS-001-00-00018</t>
  </si>
  <si>
    <t>MP-CS-001-00-00019</t>
  </si>
  <si>
    <t>MP-CS-001-00-00020</t>
  </si>
  <si>
    <t>MP-CS-001-00-00021</t>
  </si>
  <si>
    <t>MP-NS-001-00-00016</t>
  </si>
  <si>
    <t>MP-NS-001-00-00017</t>
  </si>
  <si>
    <t>MP-NS-001-00-00018</t>
  </si>
  <si>
    <t>MP-NS-001-00-00019</t>
  </si>
  <si>
    <t>MP-NS-001-00-00020</t>
  </si>
  <si>
    <t>MP-CS-001-00-00022</t>
  </si>
  <si>
    <t>MP-NS-001-00-00021</t>
  </si>
  <si>
    <t>MP-CS-001-00-00023</t>
  </si>
  <si>
    <t>MP-CS-001-00-00024</t>
  </si>
  <si>
    <t>MP-CS-001-00-00025</t>
  </si>
  <si>
    <t>MP-CS-001-00-00026</t>
  </si>
  <si>
    <t>MP-NS-001-00-00022</t>
  </si>
  <si>
    <t>MP-NS-001-00-00023</t>
  </si>
  <si>
    <t>MP-NS-001-00-00024</t>
  </si>
  <si>
    <t>MP-NS-001-00-00025</t>
  </si>
  <si>
    <t>MP-NS-001-00-00026</t>
  </si>
  <si>
    <t>MP-NS-001-00-00027</t>
  </si>
  <si>
    <t>MP-NS-001-00-00028</t>
  </si>
  <si>
    <t>MP-NS-001-00-00029</t>
  </si>
  <si>
    <t>MP-NS-001-00-00030</t>
  </si>
  <si>
    <t>MP-NS-001-00-00031</t>
  </si>
  <si>
    <t>MP-NS-001-00-00032</t>
  </si>
  <si>
    <t>MP-NS-001-00-00033</t>
  </si>
  <si>
    <t>MP-NS-001-00-00034</t>
  </si>
  <si>
    <t>MP-NS-001-00-00036</t>
  </si>
  <si>
    <t>MP-NS-001-00-00037</t>
  </si>
  <si>
    <t>MP-NS-001-00-00038</t>
  </si>
  <si>
    <t>MP-NS-001-00-00039</t>
  </si>
  <si>
    <t>MP-NS-001-00-00040</t>
  </si>
  <si>
    <t>MP-NS-001-00-00041</t>
  </si>
  <si>
    <t>MP-NS-001-00-00042</t>
  </si>
  <si>
    <t>MP-NS-001-00-00043</t>
  </si>
  <si>
    <t>MP-NS-001-00-00044</t>
  </si>
  <si>
    <t>MP-NS-001-00-00045</t>
  </si>
  <si>
    <t>MP-NS-001-00-00046</t>
  </si>
  <si>
    <t>MP-NS-001-00-00047</t>
  </si>
  <si>
    <t>MP-NS-001-00-00048</t>
  </si>
  <si>
    <t>MP-NS-001-00-00049</t>
  </si>
  <si>
    <t>MP-NS-001-00-00050</t>
  </si>
  <si>
    <t>MP-NS-001-00-00051</t>
  </si>
  <si>
    <t>MP-NS-001-00-00052</t>
  </si>
  <si>
    <t>MP-NS-001-00-00053</t>
  </si>
  <si>
    <t>MP-NS-001-00-00054</t>
  </si>
  <si>
    <t>MP-NS-001-00-00055</t>
  </si>
  <si>
    <t>MP-NS-001-00-00056</t>
  </si>
  <si>
    <t>MP-CS-001-00-00027</t>
  </si>
  <si>
    <t>MP-NS-001-00-00057</t>
  </si>
  <si>
    <t>MP-CS-001-00-00028</t>
  </si>
  <si>
    <t>MP-NS-001-00-00058</t>
  </si>
  <si>
    <t>MP-NS-001-00-00060</t>
  </si>
  <si>
    <t>MP-NS-001-00-00062</t>
  </si>
  <si>
    <t>MP-NS-001-00-00063</t>
  </si>
  <si>
    <t>MP-NS-001-00-00064</t>
  </si>
  <si>
    <t>MP-NS-001-00-00065</t>
  </si>
  <si>
    <t>MP-NS-001-00-00066</t>
  </si>
  <si>
    <t>MP-CS-001-00-00033</t>
  </si>
  <si>
    <t>MP-CS-001-00-00034</t>
  </si>
  <si>
    <t>MP-CS-001-00-00035</t>
  </si>
  <si>
    <t>MP-NS-011-00-01001</t>
  </si>
  <si>
    <t>MP-NS-011-00-01002</t>
  </si>
  <si>
    <t>MP-NS-011-00-01003</t>
  </si>
  <si>
    <t>MP-NS-011-00-01004</t>
  </si>
  <si>
    <t>MP-NS-011-00-01005</t>
  </si>
  <si>
    <t>MP-NS-011-00-01006</t>
  </si>
  <si>
    <t>MP-NS-011-00-01007</t>
  </si>
  <si>
    <t>MP-NS-011-00-01008</t>
  </si>
  <si>
    <t>MP-NS-011-00-01009</t>
  </si>
  <si>
    <t>MP-NS-011-00-01010</t>
  </si>
  <si>
    <t>MP-NS-011-00-01011</t>
  </si>
  <si>
    <t>MP-NS-011-00-01012</t>
  </si>
  <si>
    <t>MP-NS-011-00-01013</t>
  </si>
  <si>
    <t>MP-NS-011-00-01014</t>
  </si>
  <si>
    <t>MP-NS-011-00-01015</t>
  </si>
  <si>
    <t>MP-NS-011-00-01016</t>
  </si>
  <si>
    <t>MP-NS-011-00-01017</t>
  </si>
  <si>
    <t>MP-NS-011-00-01018</t>
  </si>
  <si>
    <t>MP-NS-011-00-01019</t>
  </si>
  <si>
    <t>MP-NS-011-00-01020</t>
  </si>
  <si>
    <t>MP-NS-011-00-01021</t>
  </si>
  <si>
    <t>MP-NS-011-00-01022</t>
  </si>
  <si>
    <t>MP-NS-011-00-01023</t>
  </si>
  <si>
    <t>MP-NS-011-00-01024</t>
  </si>
  <si>
    <t>MP-NS-011-00-01025</t>
  </si>
  <si>
    <t>MP-NS-011-00-01026</t>
  </si>
  <si>
    <t>MP-NS-011-00-01027</t>
  </si>
  <si>
    <t>MP-NS-011-00-01028</t>
  </si>
  <si>
    <t>MP-NS-011-00-01029</t>
  </si>
  <si>
    <t>MP-NS-011-00-01030</t>
  </si>
  <si>
    <t>MP-NS-011-00-01031</t>
  </si>
  <si>
    <t>MP-NS-011-00-01032</t>
  </si>
  <si>
    <t>MP-NS-011-00-01033</t>
  </si>
  <si>
    <t>MP-NS-011-00-01034</t>
  </si>
  <si>
    <t>MP-NS-011-00-01035</t>
  </si>
  <si>
    <t>MP-NS-011-00-01036</t>
  </si>
  <si>
    <t>MP-NS-011-00-01037</t>
  </si>
  <si>
    <t>MP-NS-011-00-01038</t>
  </si>
  <si>
    <t>MP-NS-011-00-01039</t>
  </si>
  <si>
    <t>MP-NS-011-00-01040</t>
  </si>
  <si>
    <t>MP-NS-011-00-01041</t>
  </si>
  <si>
    <t>MP-NS-011-00-01042</t>
  </si>
  <si>
    <t>MP-NS-011-00-01043</t>
  </si>
  <si>
    <t>MP-NS-011-00-01044</t>
  </si>
  <si>
    <t>MP-NS-011-00-01045</t>
  </si>
  <si>
    <t>MP-NS-012-00-00005</t>
  </si>
  <si>
    <t>MP-NS-012-00-00006</t>
  </si>
  <si>
    <t>MP-NS-012-00-00007</t>
  </si>
  <si>
    <t>MP-NS-012-00-00008</t>
  </si>
  <si>
    <t>MP-NS-012-00-00009</t>
  </si>
  <si>
    <t>MP-NS-012-00-00010</t>
  </si>
  <si>
    <t>MP-NS-012-00-00011</t>
  </si>
  <si>
    <t>MP-NS-012-00-00012</t>
  </si>
  <si>
    <t>MP-NS-012-00-00013</t>
  </si>
  <si>
    <t>MP-NS-012-00-00015</t>
  </si>
  <si>
    <t>MP-NS-012-00-00016</t>
  </si>
  <si>
    <t>MP-NS-012-00-00017</t>
  </si>
  <si>
    <t>MP-NS-012-00-00018</t>
  </si>
  <si>
    <t>MP-NS-012-00-00019</t>
  </si>
  <si>
    <t>MP-NS-012-00-00020</t>
  </si>
  <si>
    <t>MP-NS-012-00-00021</t>
  </si>
  <si>
    <t>MP-NS-012-00-00022</t>
  </si>
  <si>
    <t>MP-NS-012-00-00023</t>
  </si>
  <si>
    <t>MP-NS-012-00-00024</t>
  </si>
  <si>
    <t>MP-NS-012-00-00025</t>
  </si>
  <si>
    <t>MP-NS-012-00-00026</t>
  </si>
  <si>
    <t>MP-NS-012-00-00027</t>
  </si>
  <si>
    <t>MP-NS-012-00-00028</t>
  </si>
  <si>
    <t>MP-NS-012-00-00029</t>
  </si>
  <si>
    <t>MP-NS-012-00-00030</t>
  </si>
  <si>
    <t>MP-NS-012-00-00031</t>
  </si>
  <si>
    <t>MP-NS-012-00-00032</t>
  </si>
  <si>
    <t>MP-NS-012-00-00033</t>
  </si>
  <si>
    <t>MP-NS-012-00-00034</t>
  </si>
  <si>
    <t>MP-NS-012-00-00036</t>
  </si>
  <si>
    <t>MP-NS-012-00-00037</t>
  </si>
  <si>
    <t>MP-NS-012-00-00038</t>
  </si>
  <si>
    <t>MP-NS-012-00-00039</t>
  </si>
  <si>
    <t>MP-NS-012-00-00040</t>
  </si>
  <si>
    <t>MP-NS-012-00-00041</t>
  </si>
  <si>
    <t>MP-NS-012-00-00042</t>
  </si>
  <si>
    <t>MP-NS-012-00-00043</t>
  </si>
  <si>
    <t>MP-NS-012-00-00044</t>
  </si>
  <si>
    <t>MP-NS-012-00-00045</t>
  </si>
  <si>
    <t>MP-NS-012-00-00046</t>
  </si>
  <si>
    <t>MP-NS-012-00-00047</t>
  </si>
  <si>
    <t>MP-NS-012-00-00048</t>
  </si>
  <si>
    <t>MP-NS-012-00-00049</t>
  </si>
  <si>
    <t>MP-NS-012-00-00050</t>
  </si>
  <si>
    <t>MP-NS-012-00-00051</t>
  </si>
  <si>
    <t>MP-NS-012-00-00052</t>
  </si>
  <si>
    <t>MP-NS-012-00-00053</t>
  </si>
  <si>
    <t>MP-NS-012-00-00054</t>
  </si>
  <si>
    <t>MP-NS-012-00-00055</t>
  </si>
  <si>
    <t>MP-NS-012-00-00056</t>
  </si>
  <si>
    <t>MP-NS-012-00-00057</t>
  </si>
  <si>
    <t>MP-NS-012-00-00058</t>
  </si>
  <si>
    <t>MP-NS-012-00-00059</t>
  </si>
  <si>
    <t>MP-NS-012-00-00060</t>
  </si>
  <si>
    <t>MP-NS-012-00-00061</t>
  </si>
  <si>
    <t>MP-NS-012-00-00062</t>
  </si>
  <si>
    <t>MP-NS-012-00-00065</t>
  </si>
  <si>
    <t>MP-NS-012-00-00066</t>
  </si>
  <si>
    <t>MP-NS-012-00-00067</t>
  </si>
  <si>
    <t>MP-NS-012-00-00068</t>
  </si>
  <si>
    <t>MP-NS-012-00-00069</t>
  </si>
  <si>
    <t>MP-NS-012-00-00070</t>
  </si>
  <si>
    <t>MP-NS-012-00-00071</t>
  </si>
  <si>
    <t>MP-NS-012-00-00074</t>
  </si>
  <si>
    <t>MP-NS-012-00-00075</t>
  </si>
  <si>
    <t>MP-NS-012-00-00076</t>
  </si>
  <si>
    <t>MP-NS-012-00-00077</t>
  </si>
  <si>
    <t>MP-NS-012-00-00078</t>
  </si>
  <si>
    <t>MP-NS-012-00-00079</t>
  </si>
  <si>
    <t>MP-NS-012-00-00080</t>
  </si>
  <si>
    <t>MP-NS-012-00-00081</t>
  </si>
  <si>
    <t>MP-NS-012-00-00082</t>
  </si>
  <si>
    <t>MP-NS-012-00-00083</t>
  </si>
  <si>
    <t>MP-NS-012-00-00084</t>
  </si>
  <si>
    <t>MP-NS-012-00-00085</t>
  </si>
  <si>
    <t>MP-NS-012-00-00086</t>
  </si>
  <si>
    <t>MP-NS-012-00-00087</t>
  </si>
  <si>
    <t>MP-NS-012-00-00088</t>
  </si>
  <si>
    <t>MP-NS-012-00-00089</t>
  </si>
  <si>
    <t>MP-NS-012-00-00090</t>
  </si>
  <si>
    <t>MP-NS-012-00-00091</t>
  </si>
  <si>
    <t>MP-NS-012-00-00092</t>
  </si>
  <si>
    <t>MP-NS-012-00-00093</t>
  </si>
  <si>
    <t>MP-NS-012-00-00094</t>
  </si>
  <si>
    <t>MP-NS-012-00-00095</t>
  </si>
  <si>
    <t>MP-NS-012-00-00096</t>
  </si>
  <si>
    <t>MP-NS-012-00-00097</t>
  </si>
  <si>
    <t>MP-NS-012-00-00098</t>
  </si>
  <si>
    <t>MP-NS-012-00-00099</t>
  </si>
  <si>
    <t>MP-NS-012-00-00100</t>
  </si>
  <si>
    <t>MP-NS-012-00-00101</t>
  </si>
  <si>
    <t>MP-NS-012-00-00102</t>
  </si>
  <si>
    <t>MP-NS-012-00-00103</t>
  </si>
  <si>
    <t>MP-NS-012-00-00104</t>
  </si>
  <si>
    <t>MP-NS-012-00-00105</t>
  </si>
  <si>
    <t>MP-NS-012-00-00106</t>
  </si>
  <si>
    <t>MP-NS-012-00-00107</t>
  </si>
  <si>
    <t>MP-NS-012-00-00108</t>
  </si>
  <si>
    <t>MP-NS-012-00-00109</t>
  </si>
  <si>
    <t>MP-NS-012-00-00110</t>
  </si>
  <si>
    <t>MP-NS-012-00-00111</t>
  </si>
  <si>
    <t>MP-NS-012-00-00112</t>
  </si>
  <si>
    <t>MP-NS-012-00-00113</t>
  </si>
  <si>
    <t>MP-NS-012-00-00114</t>
  </si>
  <si>
    <t>MP-NS-012-00-00115</t>
  </si>
  <si>
    <t>MP-NS-012-00-00116</t>
  </si>
  <si>
    <t>MP-NS-012-00-00117</t>
  </si>
  <si>
    <t>MP-NS-012-00-00118</t>
  </si>
  <si>
    <t>MP-NS-012-00-00122</t>
  </si>
  <si>
    <t>MP-NS-012-00-00123</t>
  </si>
  <si>
    <t>MP-NS-012-00-00124</t>
  </si>
  <si>
    <t>MP-NS-012-00-00125</t>
  </si>
  <si>
    <t>MP-NS-012-00-00126</t>
  </si>
  <si>
    <t>MP-NS-012-00-00127</t>
  </si>
  <si>
    <t>MP-NS-012-00-00128</t>
  </si>
  <si>
    <t>MP-NS-012-00-00129</t>
  </si>
  <si>
    <t>MP-CS-012-00-00001</t>
  </si>
  <si>
    <t>MP-NS-012-00-00130</t>
  </si>
  <si>
    <t>CO012-00000026</t>
  </si>
  <si>
    <t>CO012-00000071</t>
  </si>
  <si>
    <t>CO012-00000072</t>
  </si>
  <si>
    <t>CO012-00000077</t>
  </si>
  <si>
    <t>CO012-00000099</t>
  </si>
  <si>
    <t>CO012-00000159</t>
  </si>
  <si>
    <t>CO012-00000160</t>
  </si>
  <si>
    <t>CO012-00000121</t>
  </si>
  <si>
    <t>CO012-00000122</t>
  </si>
  <si>
    <t>MP-NS-002-00-00001</t>
  </si>
  <si>
    <t>MP-NS-002-00-00002</t>
  </si>
  <si>
    <t>MP-NS-002-00-00003</t>
  </si>
  <si>
    <t>MP-CS-002-00-00002</t>
  </si>
  <si>
    <t>MP-NS-002-00-00005</t>
  </si>
  <si>
    <t>MP-NS-002-00-00006</t>
  </si>
  <si>
    <t>MP-NS-002-00-00007</t>
  </si>
  <si>
    <t>MP-NS-002-00-00008</t>
  </si>
  <si>
    <t>MP-NS-002-00-00009</t>
  </si>
  <si>
    <t>MP-NS-002-00-00010</t>
  </si>
  <si>
    <t>MP-NS-002-00-00011</t>
  </si>
  <si>
    <t>MP-NS-002-00-00012</t>
  </si>
  <si>
    <t>MP-CS-002-00-00005</t>
  </si>
  <si>
    <t>MP-CS-002-00-00006</t>
  </si>
  <si>
    <t>MP-NS-002-00-00013</t>
  </si>
  <si>
    <t>MP-CS-002-00-00007</t>
  </si>
  <si>
    <t>MP-CS-002-00-00008</t>
  </si>
  <si>
    <t>MP-NS-002-00-00014</t>
  </si>
  <si>
    <t>MP-NS-002-00-00015</t>
  </si>
  <si>
    <t>MP-CS-002-00-00010</t>
  </si>
  <si>
    <t>MP-NS-002-00-00017</t>
  </si>
  <si>
    <t>MP-NS-002-00-00018</t>
  </si>
  <si>
    <t>MP-CS-002-00-00011</t>
  </si>
  <si>
    <t>MP-CS-002-00-00012</t>
  </si>
  <si>
    <t>MP-CS-002-00-00013</t>
  </si>
  <si>
    <t>MP-NS-002-00-00019</t>
  </si>
  <si>
    <t>MP-CS-002-00-00014</t>
  </si>
  <si>
    <t>MP-CS-002-00-00015</t>
  </si>
  <si>
    <t>MP-NS-002-00-00020</t>
  </si>
  <si>
    <t>MP-CS-002-00-00016</t>
  </si>
  <si>
    <t>MP-NS-002-00-00021</t>
  </si>
  <si>
    <t>MP-NS-002-00-00022</t>
  </si>
  <si>
    <t>MP-NS-002-00-00024</t>
  </si>
  <si>
    <t>MP-NS-002-00-00025</t>
  </si>
  <si>
    <t>MP-CS-002-00-00017</t>
  </si>
  <si>
    <t>MP-CS-002-00-00018</t>
  </si>
  <si>
    <t>MP-NS-002-00-00026</t>
  </si>
  <si>
    <t>MP-NS-002-00-00027</t>
  </si>
  <si>
    <t>MP-CS-002-00-00019</t>
  </si>
  <si>
    <t>MP-NS-002-00-00028</t>
  </si>
  <si>
    <t>MP-NS-002-00-00029</t>
  </si>
  <si>
    <t>MP-CS-002-00-00020</t>
  </si>
  <si>
    <t>MP-CS-002-00-00021</t>
  </si>
  <si>
    <t>MP-CS-002-00-00022</t>
  </si>
  <si>
    <t>MP-CS-002-00-00023</t>
  </si>
  <si>
    <t>MP-NS-002-00-00030</t>
  </si>
  <si>
    <t>MP-CS-002-00-00024</t>
  </si>
  <si>
    <t>MP-CS-002-00-00025</t>
  </si>
  <si>
    <t>MP-CS-002-00-00026</t>
  </si>
  <si>
    <t>MP-CS-002-00-00027</t>
  </si>
  <si>
    <t>MP-CS-002-00-00028</t>
  </si>
  <si>
    <t>MP-CS-002-00-00029</t>
  </si>
  <si>
    <t>MP-CS-002-00-00030</t>
  </si>
  <si>
    <t>MP-CS-002-00-00031</t>
  </si>
  <si>
    <t>MP-NS-002-00-00031</t>
  </si>
  <si>
    <t>MP-CS-002-00-00032</t>
  </si>
  <si>
    <t>MP-NS-002-00-00032</t>
  </si>
  <si>
    <t>MP-NS-002-00-00033</t>
  </si>
  <si>
    <t>MP-CS-002-00-00033</t>
  </si>
  <si>
    <t>MP-CS-002-00-00034</t>
  </si>
  <si>
    <t>MP-CS-002-00-00035</t>
  </si>
  <si>
    <t>MP-CS-002-00-00036</t>
  </si>
  <si>
    <t>MP-NS-002-00-00034</t>
  </si>
  <si>
    <t>MP-CS-002-00-00037</t>
  </si>
  <si>
    <t>MP-CS-002-00-00038</t>
  </si>
  <si>
    <t>MP-CS-002-00-00039</t>
  </si>
  <si>
    <t>MP-CS-002-00-00041</t>
  </si>
  <si>
    <t>MP-CS-002-00-00042</t>
  </si>
  <si>
    <t>MP-CS-002-00-00043</t>
  </si>
  <si>
    <t>MP-CS-002-00-00044</t>
  </si>
  <si>
    <t>MP-NS-002-00-00035</t>
  </si>
  <si>
    <t>MP-NS-002-00-00036</t>
  </si>
  <si>
    <t>MP-NS-002-00-00037</t>
  </si>
  <si>
    <t>MP-NS-002-00-00038</t>
  </si>
  <si>
    <t>MP-NS-002-00-00039</t>
  </si>
  <si>
    <t>MP-NS-002-00-00040</t>
  </si>
  <si>
    <t>MP-NS-002-00-00041</t>
  </si>
  <si>
    <t>MP-NS-002-00-00047</t>
  </si>
  <si>
    <t>MP-NS-002-00-00049</t>
  </si>
  <si>
    <t>MP-NS-002-00-00050</t>
  </si>
  <si>
    <t>MP-NS-002-00-00054</t>
  </si>
  <si>
    <t>MP-NS-002-00-00055</t>
  </si>
  <si>
    <t>MP-NS-002-00-00056</t>
  </si>
  <si>
    <t>MP-NS-002-00-00057</t>
  </si>
  <si>
    <t>MP-NS-002-00-00058</t>
  </si>
  <si>
    <t>MP-NS-002-00-00059</t>
  </si>
  <si>
    <t>MP-NS-002-00-00060</t>
  </si>
  <si>
    <t>MP-NS-002-00-00061</t>
  </si>
  <si>
    <t>MP-CS-002-00-00045</t>
  </si>
  <si>
    <t>MP-NS-002-00-00062</t>
  </si>
  <si>
    <t>MP-NS-002-00-00064</t>
  </si>
  <si>
    <t>MP-NS-002-00-00065</t>
  </si>
  <si>
    <t>MP-CS-002-00-00048</t>
  </si>
  <si>
    <t>MP-CS-002-00-00049</t>
  </si>
  <si>
    <t>MP-CS-002-00-00050</t>
  </si>
  <si>
    <t>MP-CS-002-00-00051</t>
  </si>
  <si>
    <t>MP-CS-002-00-00052</t>
  </si>
  <si>
    <t>MP-CS-002-00-00053</t>
  </si>
  <si>
    <t>MP-CS-002-00-00054</t>
  </si>
  <si>
    <t>MP-CS-002-00-00055</t>
  </si>
  <si>
    <t>MP-CS-002-00-00056</t>
  </si>
  <si>
    <t>MP-CS-002-00-00057</t>
  </si>
  <si>
    <t>MP-CS-002-00-00058</t>
  </si>
  <si>
    <t>MP-CS-002-00-00059</t>
  </si>
  <si>
    <t>MP-CS-002-00-00060</t>
  </si>
  <si>
    <t>MP-CS-002-00-00061</t>
  </si>
  <si>
    <t>MP-CS-002-00-00062</t>
  </si>
  <si>
    <t>MP-CS-002-00-00063</t>
  </si>
  <si>
    <t>MP-CS-002-00-00064</t>
  </si>
  <si>
    <t>MP-CS-002-00-00065</t>
  </si>
  <si>
    <t>MP-CS-002-00-00066</t>
  </si>
  <si>
    <t>MP-CS-002-00-00067</t>
  </si>
  <si>
    <t>MP-CS-002-00-00068</t>
  </si>
  <si>
    <t>MP-CS-002-00-00069</t>
  </si>
  <si>
    <t>MP-CS-002-00-00070</t>
  </si>
  <si>
    <t>MP-CS-002-00-00071</t>
  </si>
  <si>
    <t>MP-CS-002-00-00072</t>
  </si>
  <si>
    <t>MP-CS-002-00-00073</t>
  </si>
  <si>
    <t>MP-CS-002-00-00074</t>
  </si>
  <si>
    <t>MP-NS-002-00-00066</t>
  </si>
  <si>
    <t>MP-NS-002-00-00068</t>
  </si>
  <si>
    <t>MP-CS-002-00-00076</t>
  </si>
  <si>
    <t>MP-NS-002-00-00070</t>
  </si>
  <si>
    <t>MP-CS-002-00-00077</t>
  </si>
  <si>
    <t>MP-CS-002-00-00078</t>
  </si>
  <si>
    <t>MP-NS-002-00-00071</t>
  </si>
  <si>
    <t>MP-CS-002-00-00079</t>
  </si>
  <si>
    <t>MP-CS-002-00-00080</t>
  </si>
  <si>
    <t>MP-NS-002-00-00072</t>
  </si>
  <si>
    <t>MP-NS-002-00-00073</t>
  </si>
  <si>
    <t>MP-NS-002-00-00074</t>
  </si>
  <si>
    <t>MP-NS-013-06-13001</t>
  </si>
  <si>
    <t>MP-NS-013-00-00002</t>
  </si>
  <si>
    <t>MP-NS-013-00-00003</t>
  </si>
  <si>
    <t>MP-NS-013-00-00004</t>
  </si>
  <si>
    <t>MP-NS-013-00-00005</t>
  </si>
  <si>
    <t>MP-NS-013-00-00006</t>
  </si>
  <si>
    <t>MP-NS-013-00-00007</t>
  </si>
  <si>
    <t>MP-NS-013-00-00008</t>
  </si>
  <si>
    <t>MP-NS-013-00-00009</t>
  </si>
  <si>
    <t>MP-NS-013-00-00010</t>
  </si>
  <si>
    <t>MP-NS-013-00-00011</t>
  </si>
  <si>
    <t>MP-CS-013-00-00001</t>
  </si>
  <si>
    <t>MP-NS-013-00-00012</t>
  </si>
  <si>
    <t>MP-NS-013-00-00013</t>
  </si>
  <si>
    <t>MP-NS-013-00-00014</t>
  </si>
  <si>
    <t>MP-NS-013-00-00015</t>
  </si>
  <si>
    <t>MP-NS-013-00-00016</t>
  </si>
  <si>
    <t>MP-NS-013-00-00017</t>
  </si>
  <si>
    <t>MP-NS-013-00-00018</t>
  </si>
  <si>
    <t>MP-NS-013-00-00019</t>
  </si>
  <si>
    <t>MP-NS-013-00-00020</t>
  </si>
  <si>
    <t>MP-NS-013-00-00001</t>
  </si>
  <si>
    <t>MP-CS-011-00-02001</t>
  </si>
  <si>
    <t>MP-CS-011-00-02002</t>
  </si>
  <si>
    <t>MP-CS-011-00-02003</t>
  </si>
  <si>
    <t>MP-CS-011-00-02004</t>
  </si>
  <si>
    <t>MP-CS-011-00-02005</t>
  </si>
  <si>
    <t>MP-CS-011-00-02006</t>
  </si>
  <si>
    <t>MP-CS-011-00-02007</t>
  </si>
  <si>
    <t>MP-CS-011-00-02008</t>
  </si>
  <si>
    <t>MP-CS-011-00-02009</t>
  </si>
  <si>
    <t>MP-CS-011-00-02010</t>
  </si>
  <si>
    <t>MP-CS-011-00-02011</t>
  </si>
  <si>
    <t>MP-CS-011-00-02012</t>
  </si>
  <si>
    <t>MP-NS-011-00-02001</t>
  </si>
  <si>
    <t>MP-NS-011-00-02002</t>
  </si>
  <si>
    <t>MP-NS-014-00-00001</t>
  </si>
  <si>
    <t>MP-CS-014-00-00001</t>
  </si>
  <si>
    <t>MP-CS-014-00-00002</t>
  </si>
  <si>
    <t>MP-CS-014-00-00003</t>
  </si>
  <si>
    <t>MP-CS-014-00-00004</t>
  </si>
  <si>
    <t>MP-CS-014-00-00005</t>
  </si>
  <si>
    <t>MP-CS-014-00-00006</t>
  </si>
  <si>
    <t>MP-NS-014-00-00002</t>
  </si>
  <si>
    <t>MP-CS-014-00-00007</t>
  </si>
  <si>
    <t>MP-CS-014-00-00008</t>
  </si>
  <si>
    <t>MP-CS-014-00-00009</t>
  </si>
  <si>
    <t>MP-CS-014-00-00011</t>
  </si>
  <si>
    <t>MP-CS-014-00-00012</t>
  </si>
  <si>
    <t>MP-CS-014-00-00013</t>
  </si>
  <si>
    <t>MP-CS-014-00-00010</t>
  </si>
  <si>
    <t>MP-CS-014-00-00015</t>
  </si>
  <si>
    <t>MP-CS-014-00-00016</t>
  </si>
  <si>
    <t>MP-CS-014-00-00017</t>
  </si>
  <si>
    <t>MP-CS-014-00-00018</t>
  </si>
  <si>
    <t>MP-CS-014-00-00019</t>
  </si>
  <si>
    <t>MP-CS-014-00-00020</t>
  </si>
  <si>
    <t>MP-CS-014-00-00021</t>
  </si>
  <si>
    <t>MP-CS-014-00-00022</t>
  </si>
  <si>
    <t>MP-CS-014-00-00023</t>
  </si>
  <si>
    <t>MP-CS-014-00-00024</t>
  </si>
  <si>
    <t>MP-CS-014-00-00025</t>
  </si>
  <si>
    <t>MP-CS-014-00-00026</t>
  </si>
  <si>
    <t>MP-CS-014-00-00027</t>
  </si>
  <si>
    <t>MP-CS-014-00-00028</t>
  </si>
  <si>
    <t>MP-CS-014-00-00029</t>
  </si>
  <si>
    <t>MP-CS-014-00-00030</t>
  </si>
  <si>
    <t>MP-CS-014-00-00031</t>
  </si>
  <si>
    <t>MP-CS-014-00-00032</t>
  </si>
  <si>
    <t>MP-CS-014-00-00033</t>
  </si>
  <si>
    <t>MP-CS-014-00-00034</t>
  </si>
  <si>
    <t>MP-CS-014-00-00035</t>
  </si>
  <si>
    <t>MP-CS-014-00-00036</t>
  </si>
  <si>
    <t>MP-CS-014-00-00037</t>
  </si>
  <si>
    <t>MP-CS-014-00-00038</t>
  </si>
  <si>
    <t>MP-CS-014-00-00039</t>
  </si>
  <si>
    <t>MP-CS-014-00-00040</t>
  </si>
  <si>
    <t>MP-CS-014-00-00041</t>
  </si>
  <si>
    <t>MP-CS-014-00-00042</t>
  </si>
  <si>
    <t>MP-CS-014-00-00045</t>
  </si>
  <si>
    <t>MP-CS-014-00-00046</t>
  </si>
  <si>
    <t>MP-CS-014-00-00047</t>
  </si>
  <si>
    <t>MP-CS-014-00-00048</t>
  </si>
  <si>
    <t>MP-CS-014-00-00049</t>
  </si>
  <si>
    <t>MP-CS-014-00-00050</t>
  </si>
  <si>
    <t>MP-CS-014-00-00051</t>
  </si>
  <si>
    <t>MP-CS-014-00-00052</t>
  </si>
  <si>
    <t>MP-CS-014-00-00053</t>
  </si>
  <si>
    <t>MP-CS-014-00-00054</t>
  </si>
  <si>
    <t>MP-CS-014-00-00055</t>
  </si>
  <si>
    <t>MP-CS-014-00-00056</t>
  </si>
  <si>
    <t>MP-CS-014-00-00057</t>
  </si>
  <si>
    <t>MP-CS-014-00-00058</t>
  </si>
  <si>
    <t>MP-CS-014-00-00059</t>
  </si>
  <si>
    <t>MP-CS-014-00-00060</t>
  </si>
  <si>
    <t>MP-CS-014-00-00061</t>
  </si>
  <si>
    <t>MP-CS-014-00-00062</t>
  </si>
  <si>
    <t>MP-CS-014-00-00063</t>
  </si>
  <si>
    <t>MP-CS-014-00-00064</t>
  </si>
  <si>
    <t>MP-CS-014-00-00065</t>
  </si>
  <si>
    <t>MP-CS-014-00-00066</t>
  </si>
  <si>
    <t>MP-CS-014-00-00067</t>
  </si>
  <si>
    <t>MP-CS-014-00-00068</t>
  </si>
  <si>
    <t>MP-CS-014-00-00069</t>
  </si>
  <si>
    <t>MP-CS-014-00-00070</t>
  </si>
  <si>
    <t>MP-CS-014-00-00071</t>
  </si>
  <si>
    <t>MP-CS-014-00-00072</t>
  </si>
  <si>
    <t>MP-CS-014-00-00073</t>
  </si>
  <si>
    <t>MP-CS-014-00-00074</t>
  </si>
  <si>
    <t>MP-CS-014-00-00075</t>
  </si>
  <si>
    <t>MP-NS-014-00-00003</t>
  </si>
  <si>
    <t>MP-NS-014-00-00004</t>
  </si>
  <si>
    <t>MP-NS-014-00-00005</t>
  </si>
  <si>
    <t>MP-NS-014-00-00006</t>
  </si>
  <si>
    <t>MP-NS-014-00-00007</t>
  </si>
  <si>
    <t>MP-NS-014-00-00008</t>
  </si>
  <si>
    <t>MP-NS-014-00-00009</t>
  </si>
  <si>
    <t>MP-NS-014-00-00010</t>
  </si>
  <si>
    <t>MP-NS-014-00-00011</t>
  </si>
  <si>
    <t>MP-NS-014-00-00012</t>
  </si>
  <si>
    <t>MP-NS-014-00-00013</t>
  </si>
  <si>
    <t>MP-NS-015-00-00001</t>
  </si>
  <si>
    <t>MP-NS-015-00-00002</t>
  </si>
  <si>
    <t>MP-NS-000-26-00001</t>
  </si>
  <si>
    <t>MP-NS-000-26-00002</t>
  </si>
  <si>
    <t>MP-NS-000-26-00003</t>
  </si>
  <si>
    <t>MP-NS-000-26-00004</t>
  </si>
  <si>
    <t>MP-NS-000-26-00005</t>
  </si>
  <si>
    <t>MP-NS-000-26-00006</t>
  </si>
  <si>
    <t>MP-NS-000-26-00007</t>
  </si>
  <si>
    <t>MP-NS-000-26-00008</t>
  </si>
  <si>
    <t>MP-NS-017-00-00001</t>
  </si>
  <si>
    <t>MP-NS-017-00-00002</t>
  </si>
  <si>
    <t>MP-NS-017-00-00003</t>
  </si>
  <si>
    <t>MP-NS-017-00-00004</t>
  </si>
  <si>
    <t>MK-CS-034-07-00001</t>
  </si>
  <si>
    <t>MP-CS-016-00-00001</t>
  </si>
  <si>
    <t>MP-CS-016-00-00003</t>
  </si>
  <si>
    <t>MP-CS-016-00-00002</t>
  </si>
  <si>
    <t>MP-CS-016-00-00005</t>
  </si>
  <si>
    <t>MP-NS-016-00-00001</t>
  </si>
  <si>
    <t>MP-NS-016-00-00002</t>
  </si>
  <si>
    <t>MP-NS-016-00-00003</t>
  </si>
  <si>
    <t>MP-CS-016-00-00006</t>
  </si>
  <si>
    <t>MP-CS-016-00-00007</t>
  </si>
  <si>
    <t>MP-NS-016-00-00004</t>
  </si>
  <si>
    <t>MP-NS-016-00-00005</t>
  </si>
  <si>
    <t>MP-NS-016-00-00006</t>
  </si>
  <si>
    <t>MP-CS-018-00-03001</t>
  </si>
  <si>
    <t>MP-CS-018-00-03004</t>
  </si>
  <si>
    <t>MP-CS-018-00-03005</t>
  </si>
  <si>
    <t>MP-CS-018-00-03006</t>
  </si>
  <si>
    <t>MP-CS-018-00-03007</t>
  </si>
  <si>
    <t>MP-CS-018-00-03008</t>
  </si>
  <si>
    <t>MP-CS-018-00-03009</t>
  </si>
  <si>
    <t>MP-CS-018-00-03010</t>
  </si>
  <si>
    <t>MP-CS-018-00-03011</t>
  </si>
  <si>
    <t>MP-CS-018-00-03012</t>
  </si>
  <si>
    <t>MP-CS-018-00-03013</t>
  </si>
  <si>
    <t>MP-CS-018-00-03014</t>
  </si>
  <si>
    <t>MP-CS-018-00-03015</t>
  </si>
  <si>
    <t>MP-CS-018-00-03016</t>
  </si>
  <si>
    <t>MP-CS-018-00-03017</t>
  </si>
  <si>
    <t>MP-CS-018-00-03018</t>
  </si>
  <si>
    <t>MP-CS-018-00-03019</t>
  </si>
  <si>
    <t>MP-CS-018-00-03020</t>
  </si>
  <si>
    <t>MP-CS-018-00-03021</t>
  </si>
  <si>
    <t>MP-CS-018-00-03022</t>
  </si>
  <si>
    <t>MP-CS-018-00-03023</t>
  </si>
  <si>
    <t>MP-NS-018-00-03002</t>
  </si>
  <si>
    <t>MP-NS-018-00-03003</t>
  </si>
  <si>
    <t>MP-NS-018-00-00001</t>
  </si>
  <si>
    <t>MP-CS-019-00-00001</t>
  </si>
  <si>
    <t>MP-CS-019-00-00002</t>
  </si>
  <si>
    <t>MP-CS-019-00-00003</t>
  </si>
  <si>
    <t>MP-NS-019-00-00001</t>
  </si>
  <si>
    <t>MP-CS-019-00-00004</t>
  </si>
  <si>
    <t>MP-CS-019-00-00007</t>
  </si>
  <si>
    <t>MP-CS-019-00-00009</t>
  </si>
  <si>
    <t>MP-CS-019-00-00010</t>
  </si>
  <si>
    <t>MP-CS-019-00-00011</t>
  </si>
  <si>
    <t>MP-CS-019-00-00012</t>
  </si>
  <si>
    <t>MP-CS-019-00-00013</t>
  </si>
  <si>
    <t>MP-CS-019-00-00014</t>
  </si>
  <si>
    <t>MP-CS-019-00-00015</t>
  </si>
  <si>
    <t>MP-CS-019-00-00016</t>
  </si>
  <si>
    <t>MP-CS-019-00-00017</t>
  </si>
  <si>
    <t>MP-CS-019-00-00018</t>
  </si>
  <si>
    <t>MP-CS-019-00-00019</t>
  </si>
  <si>
    <t>MP-CS-019-00-00020</t>
  </si>
  <si>
    <t>MP-CS-019-00-00021</t>
  </si>
  <si>
    <t>MP-CS-019-00-00023</t>
  </si>
  <si>
    <t>MP-CS-019-00-00024</t>
  </si>
  <si>
    <t>MP-CS-019-00-00025</t>
  </si>
  <si>
    <t>MP-CS-019-00-00026</t>
  </si>
  <si>
    <t>MP-CS-019-00-00027</t>
  </si>
  <si>
    <t>MP-CS-019-00-00028</t>
  </si>
  <si>
    <t>MP-CS-019-00-00030</t>
  </si>
  <si>
    <t>MP-CS-019-00-00031</t>
  </si>
  <si>
    <t>MP-NS-019-00-00002</t>
  </si>
  <si>
    <t>MP-NS-000-00-00064</t>
  </si>
  <si>
    <t>MP-NS-000-00-00065</t>
  </si>
  <si>
    <t>MP-NS-000-00-00066</t>
  </si>
  <si>
    <t>MP-NS-000-00-00067</t>
  </si>
  <si>
    <t>MP-NS-000-00-00068</t>
  </si>
  <si>
    <t>MP-NS-000-00-00069</t>
  </si>
  <si>
    <t>MP-NS-000-00-00070</t>
  </si>
  <si>
    <t>PC-01-008-00-00011</t>
  </si>
  <si>
    <t>PC-01-008-00-00013</t>
  </si>
  <si>
    <t>PC-01-006-00-00001</t>
  </si>
  <si>
    <t>PC-01-008-00-00002</t>
  </si>
  <si>
    <t>PC-01-008-00-00004</t>
  </si>
  <si>
    <t>PC-01-008-00-00006</t>
  </si>
  <si>
    <t>PC-01-008-00-00014</t>
  </si>
  <si>
    <t>MP-CS-016-00-00008</t>
  </si>
  <si>
    <t>MP-NS-016-00-00007</t>
  </si>
  <si>
    <t>MP-NS-016-00-00008</t>
  </si>
  <si>
    <t>MP-CS-016-00-00009</t>
  </si>
  <si>
    <t>MP-NS-016-00-00009</t>
  </si>
  <si>
    <t>MP-CS-016-00-00010</t>
  </si>
  <si>
    <t>MP-CS-016-00-00011</t>
  </si>
  <si>
    <t>MP-CS-016-00-00012</t>
  </si>
  <si>
    <t>MP-CS-016-00-00013</t>
  </si>
  <si>
    <t>MP-CS-016-00-00014</t>
  </si>
  <si>
    <t>MP-CS-016-00-00015</t>
  </si>
  <si>
    <t>MP-CS-016-00-00016</t>
  </si>
  <si>
    <t>MP-CS-016-00-00017</t>
  </si>
  <si>
    <t>MP-CS-016-00-00018</t>
  </si>
  <si>
    <t>MP-NS-016-00-00010</t>
  </si>
  <si>
    <t>MP-NS-016-00-00011</t>
  </si>
  <si>
    <t>MP-NS-020-00-00005</t>
  </si>
  <si>
    <t>MP-NS-020-00-00006</t>
  </si>
  <si>
    <t>MP-NS-020-00-00007</t>
  </si>
  <si>
    <t>MP-NS-020-00-00008</t>
  </si>
  <si>
    <t>MP-NS-020-00-00009</t>
  </si>
  <si>
    <t>MP-NS-020-00-00010</t>
  </si>
  <si>
    <t>MP-NS-020-00-00011</t>
  </si>
  <si>
    <t>MP-NS-020-00-00012</t>
  </si>
  <si>
    <t>MP-NS-020-00-00014</t>
  </si>
  <si>
    <t>MP-NS-020-00-00015</t>
  </si>
  <si>
    <t>MP-NS-020-00-00016</t>
  </si>
  <si>
    <t>MP-CS-021-00-00001</t>
  </si>
  <si>
    <t>MP-CS-021-00-00002</t>
  </si>
  <si>
    <t>MP-CB-021-00-00013</t>
  </si>
  <si>
    <t>MP-NS-021-00-00013</t>
  </si>
  <si>
    <t>MP-NS-021-00-00014</t>
  </si>
  <si>
    <t>MP-NS-021-00-00015</t>
  </si>
  <si>
    <t>MP-NS-021-00-00016</t>
  </si>
  <si>
    <t>MP-NS-010-00-00004</t>
  </si>
  <si>
    <t>MP-CB-022-00-00014</t>
  </si>
  <si>
    <t>MP-CS-022-00-00001</t>
  </si>
  <si>
    <t>PC-01-007-00-00001</t>
  </si>
  <si>
    <t>PC-01-007-00-00002</t>
  </si>
  <si>
    <t>PC-01-007-00-00003</t>
  </si>
  <si>
    <t>PC-01-007-00-00004</t>
  </si>
  <si>
    <t>PC-01-007-00-00005</t>
  </si>
  <si>
    <t>PC-01-007-00-00006</t>
  </si>
  <si>
    <t>PC-01-007-00-00007</t>
  </si>
  <si>
    <t>PC-01-007-00-00008</t>
  </si>
  <si>
    <t>PC-01-007-00-00009</t>
  </si>
  <si>
    <t>PC-01-007-00-00010</t>
  </si>
  <si>
    <t>PC-01-007-00-00011</t>
  </si>
  <si>
    <t>PC-01-007-00-00012</t>
  </si>
  <si>
    <t>PC-01-007-00-00013</t>
  </si>
  <si>
    <t>PC-01-007-00-00015</t>
  </si>
  <si>
    <t>PC-01-007-00-00016</t>
  </si>
  <si>
    <t>PC-01-007-00-00017</t>
  </si>
  <si>
    <t>PC-01-007-00-00018</t>
  </si>
  <si>
    <t>PC-01-007-00-00019</t>
  </si>
  <si>
    <t>PC-01-007-00-00020</t>
  </si>
  <si>
    <t>PC-01-007-00-00021</t>
  </si>
  <si>
    <t>PC-01-007-00-00023</t>
  </si>
  <si>
    <t>PC-01-007-00-00024</t>
  </si>
  <si>
    <t>PC-01-007-00-00025</t>
  </si>
  <si>
    <t>PC-01-007-00-00026</t>
  </si>
  <si>
    <t>PC-01-007-00-00029</t>
  </si>
  <si>
    <t>PC-01-007-00-00030</t>
  </si>
  <si>
    <t>PC-01-007-00-00031</t>
  </si>
  <si>
    <t>PC-01-007-00-00032</t>
  </si>
  <si>
    <t>PC-01-007-00-00033</t>
  </si>
  <si>
    <t>PC-01-007-00-00034</t>
  </si>
  <si>
    <t>PC-01-007-00-00035</t>
  </si>
  <si>
    <t>PC-01-007-00-00037</t>
  </si>
  <si>
    <t>PC-01-007-00-00040</t>
  </si>
  <si>
    <t>PC-01-007-00-00041</t>
  </si>
  <si>
    <t>PC-01-007-00-00042</t>
  </si>
  <si>
    <t>PC-01-007-00-00043</t>
  </si>
  <si>
    <t>PC-01-007-00-00044</t>
  </si>
  <si>
    <t>PC-01-007-00-00045</t>
  </si>
  <si>
    <t>PC-01-007-00-00046</t>
  </si>
  <si>
    <t>PC-01-007-00-00047</t>
  </si>
  <si>
    <t>PC-01-007-00-00053</t>
  </si>
  <si>
    <t>PC-01-007-00-00054</t>
  </si>
  <si>
    <t>PC-01-007-00-00055</t>
  </si>
  <si>
    <t>PC-01-007-00-00056</t>
  </si>
  <si>
    <t>PC-01-007-00-00063</t>
  </si>
  <si>
    <t>PC-01-007-00-00064</t>
  </si>
  <si>
    <t>PC-01-007-00-00065</t>
  </si>
  <si>
    <t>PC-01-007-00-00068</t>
  </si>
  <si>
    <t>PC-01-007-00-00069</t>
  </si>
  <si>
    <t>PC-01-007-00-00071</t>
  </si>
  <si>
    <t>PC-01-007-00-00073</t>
  </si>
  <si>
    <t>PC-01-007-00-00074</t>
  </si>
  <si>
    <t>PC-01-007-00-00075</t>
  </si>
  <si>
    <t>PC-01-007-00-00076</t>
  </si>
  <si>
    <t>PC-01-007-00-00077</t>
  </si>
  <si>
    <t>PC-01-007-00-00078</t>
  </si>
  <si>
    <t>PC-01-007-00-00079</t>
  </si>
  <si>
    <t>PC-01-007-00-00080</t>
  </si>
  <si>
    <t>PC-01-007-00-00082</t>
  </si>
  <si>
    <t>PC-01-007-00-00083</t>
  </si>
  <si>
    <t>PC-01-007-00-00085</t>
  </si>
  <si>
    <t>PC-01-007-00-00087</t>
  </si>
  <si>
    <t>PC-01-007-00-00088</t>
  </si>
  <si>
    <t>PC-01-007-00-00089</t>
  </si>
  <si>
    <t>MP-NS-023-00-00001</t>
  </si>
  <si>
    <t>MP-NS-023-00-00002</t>
  </si>
  <si>
    <t>MP-NS-023-00-00003</t>
  </si>
  <si>
    <t>MP-NS-023-00-00004</t>
  </si>
  <si>
    <t>MP-NS-023-00-00005</t>
  </si>
  <si>
    <t>MP-NS-023-00-00006</t>
  </si>
  <si>
    <t>MP-NS-023-00-00007</t>
  </si>
  <si>
    <t>MP-NS-023-00-00008</t>
  </si>
  <si>
    <t>MP-NS-023-00-00009</t>
  </si>
  <si>
    <t>MP-NS-023-00-00010</t>
  </si>
  <si>
    <t>MP-NS-023-00-00011</t>
  </si>
  <si>
    <t>MP-NS-023-00-00012</t>
  </si>
  <si>
    <t>MP-NS-023-00-00013</t>
  </si>
  <si>
    <t>MP-NS-023-00-00014</t>
  </si>
  <si>
    <t>MP-NS-023-00-00015</t>
  </si>
  <si>
    <t>MP-NS-023-00-00016</t>
  </si>
  <si>
    <t>MP-NS-023-00-00017</t>
  </si>
  <si>
    <t>MP-NS-023-00-00018</t>
  </si>
  <si>
    <t>MP-NS-023-00-00019</t>
  </si>
  <si>
    <t>MP-NS-023-00-00020</t>
  </si>
  <si>
    <t>MP-NS-023-00-00021</t>
  </si>
  <si>
    <t>MP-NS-023-00-00022</t>
  </si>
  <si>
    <t>MP-NS-023-00-00023</t>
  </si>
  <si>
    <t>MP-NS-023-00-00024</t>
  </si>
  <si>
    <t>MP-NS-023-00-00025</t>
  </si>
  <si>
    <t>MP-NS-023-00-00026</t>
  </si>
  <si>
    <t>MP-NS-023-00-00027</t>
  </si>
  <si>
    <t>MP-NS-023-00-00028</t>
  </si>
  <si>
    <t>MP-NS-023-00-00029</t>
  </si>
  <si>
    <t>MP-NS-023-00-00030</t>
  </si>
  <si>
    <t>MP-NS-023-00-00031</t>
  </si>
  <si>
    <t>MP-NS-023-00-00032</t>
  </si>
  <si>
    <t>MP-NS-023-00-00033</t>
  </si>
  <si>
    <t>MP-NS-023-00-00034</t>
  </si>
  <si>
    <t>MP-NS-023-00-00035</t>
  </si>
  <si>
    <t>MP-NS-023-00-00036</t>
  </si>
  <si>
    <t>MP-NS-023-00-00037</t>
  </si>
  <si>
    <t>MP-NS-023-00-00038</t>
  </si>
  <si>
    <t>MP-NS-023-00-00039</t>
  </si>
  <si>
    <t>MP-NS-023-00-00040</t>
  </si>
  <si>
    <t>MP-NS-023-00-00041</t>
  </si>
  <si>
    <t>MP-NS-023-00-00042</t>
  </si>
  <si>
    <t>MP-NS-023-00-00043</t>
  </si>
  <si>
    <t>MP-NS-023-00-00044</t>
  </si>
  <si>
    <t>MP-NS-023-00-00045</t>
  </si>
  <si>
    <t>MP-NS-023-00-00046</t>
  </si>
  <si>
    <t>MP-NS-023-00-00047</t>
  </si>
  <si>
    <t>MP-NS-023-00-00048</t>
  </si>
  <si>
    <t>MP-NS-023-00-00049</t>
  </si>
  <si>
    <t>MP-NS-023-00-00050</t>
  </si>
  <si>
    <t>CO012-00000001</t>
  </si>
  <si>
    <t>MP-NS-023-00-00051</t>
  </si>
  <si>
    <t>CO012-00000002</t>
  </si>
  <si>
    <t>MP-NS-023-00-00052</t>
  </si>
  <si>
    <t>CO012-00000003</t>
  </si>
  <si>
    <t>MP-NS-023-00-00053</t>
  </si>
  <si>
    <t>CO012-00000004</t>
  </si>
  <si>
    <t>MP-NS-023-00-00054</t>
  </si>
  <si>
    <t>CO012-00000005</t>
  </si>
  <si>
    <t>MP-NS-023-00-00055</t>
  </si>
  <si>
    <t>MP-NS-023-00-00056</t>
  </si>
  <si>
    <t>MP-NS-023-00-00057</t>
  </si>
  <si>
    <t>MP-NS-023-00-00058</t>
  </si>
  <si>
    <t>MP-NS-023-00-00059</t>
  </si>
  <si>
    <t>CO012-00000070</t>
  </si>
  <si>
    <t>MP-NS-023-00-00060</t>
  </si>
  <si>
    <t>MP-NS-023-00-00061</t>
  </si>
  <si>
    <t>CO012-00000084</t>
  </si>
  <si>
    <t>MP-NS-023-00-00062</t>
  </si>
  <si>
    <t>CO012-00000085</t>
  </si>
  <si>
    <t>MP-NS-023-00-00063</t>
  </si>
  <si>
    <t>CO012-00000086</t>
  </si>
  <si>
    <t>MP-NS-023-00-00064</t>
  </si>
  <si>
    <t>CO012-00000087</t>
  </si>
  <si>
    <t>MP-NS-023-00-00065</t>
  </si>
  <si>
    <t>CO012-00000089</t>
  </si>
  <si>
    <t>MP-NS-023-00-00066</t>
  </si>
  <si>
    <t>CO012-00000090</t>
  </si>
  <si>
    <t>MP-NS-023-00-00067</t>
  </si>
  <si>
    <t>CO012-00000091</t>
  </si>
  <si>
    <t>MP-NS-023-00-00068</t>
  </si>
  <si>
    <t>CO012-00000092</t>
  </si>
  <si>
    <t>MP-NS-023-00-00069</t>
  </si>
  <si>
    <t>CO012-00000093</t>
  </si>
  <si>
    <t>MP-NS-023-00-00070</t>
  </si>
  <si>
    <t>CO012-00000094</t>
  </si>
  <si>
    <t>CO012-00000095</t>
  </si>
  <si>
    <t>MP-NS-023-00-00071</t>
  </si>
  <si>
    <t>MP-NS-023-00-00072</t>
  </si>
  <si>
    <t>MP-NS-023-00-00073</t>
  </si>
  <si>
    <t>MP-NS-023-00-00074</t>
  </si>
  <si>
    <t>MP-NS-023-00-00075</t>
  </si>
  <si>
    <t>MP-NS-023-00-00076</t>
  </si>
  <si>
    <t>MP-NS-023-00-00077</t>
  </si>
  <si>
    <t>MP-NS-023-00-00078</t>
  </si>
  <si>
    <t>MP-NS-023-00-00079</t>
  </si>
  <si>
    <t>MP-NS-023-00-00080</t>
  </si>
  <si>
    <t>MP-NS-023-00-00081</t>
  </si>
  <si>
    <t>MP-NS-023-00-00082</t>
  </si>
  <si>
    <t>MP-NS-023-00-00083</t>
  </si>
  <si>
    <t>MP-NS-023-00-00084</t>
  </si>
  <si>
    <t>MP-NS-023-00-00085</t>
  </si>
  <si>
    <t>MP-NS-023-00-00086</t>
  </si>
  <si>
    <t>MP-NS-023-00-00087</t>
  </si>
  <si>
    <t>MP-NS-023-00-00088</t>
  </si>
  <si>
    <t>MP-NS-023-00-00089</t>
  </si>
  <si>
    <t>MP-NS-023-00-00090</t>
  </si>
  <si>
    <t>MP-NS-023-00-00091</t>
  </si>
  <si>
    <t>MP-NS-023-00-00092</t>
  </si>
  <si>
    <t>MP-NS-023-00-00093</t>
  </si>
  <si>
    <t>MP-NS-023-00-00094</t>
  </si>
  <si>
    <t>MP-NS-023-00-00096</t>
  </si>
  <si>
    <t>MP-NS-023-00-00097</t>
  </si>
  <si>
    <t>MP-NS-023-00-00098</t>
  </si>
  <si>
    <t>MP-NS-023-00-00099</t>
  </si>
  <si>
    <t>MP-NS-023-00-00100</t>
  </si>
  <si>
    <t>MP-NS-023-00-00101</t>
  </si>
  <si>
    <t>MP-NS-023-00-00102</t>
  </si>
  <si>
    <t>MP-NS-023-00-00105</t>
  </si>
  <si>
    <t>MP-NS-023-00-00106</t>
  </si>
  <si>
    <t>MP-NS-023-00-00107</t>
  </si>
  <si>
    <t>MP-NS-023-00-00108</t>
  </si>
  <si>
    <t>MP-NS-023-00-00109</t>
  </si>
  <si>
    <t>MP-NS-023-00-00110</t>
  </si>
  <si>
    <t>MP-NS-023-00-00111</t>
  </si>
  <si>
    <t>MP-NS-023-00-00113</t>
  </si>
  <si>
    <t>MP-NS-023-00-00115</t>
  </si>
  <si>
    <t>MP-NS-023-00-00116</t>
  </si>
  <si>
    <t>MP-NS-023-00-00117</t>
  </si>
  <si>
    <t>MP-NS-023-00-00118</t>
  </si>
  <si>
    <t>MP-NS-023-00-00119</t>
  </si>
  <si>
    <t>MP-NS-023-00-00120</t>
  </si>
  <si>
    <t>PC-01-005-03-00001</t>
  </si>
  <si>
    <t>PC-01-005-05-00001</t>
  </si>
  <si>
    <t>PC-01-005-01-00001</t>
  </si>
  <si>
    <t>PC-01-005-06-00001</t>
  </si>
  <si>
    <t>PC-01-005-04-00002</t>
  </si>
  <si>
    <t>CO012-00000100</t>
  </si>
  <si>
    <t>CO012-00000101</t>
  </si>
  <si>
    <t>CO012-00000102</t>
  </si>
  <si>
    <t>CO012-00000103</t>
  </si>
  <si>
    <t>CO012-00000104</t>
  </si>
  <si>
    <t>CO012-00000105</t>
  </si>
  <si>
    <t>CO012-00000106</t>
  </si>
  <si>
    <t>CO012-00000107</t>
  </si>
  <si>
    <t>MP-CS-003-00-00001</t>
  </si>
  <si>
    <t>MP-CS-003-00-00002</t>
  </si>
  <si>
    <t>MP-CS-003-00-00003</t>
  </si>
  <si>
    <t>MP-NS-003-00-00001</t>
  </si>
  <si>
    <t>MP-NS-003-00-00002</t>
  </si>
  <si>
    <t>MP-NS-003-00-00003</t>
  </si>
  <si>
    <t>MP-CS-003-00-00004</t>
  </si>
  <si>
    <t>MP-NS-003-00-00004</t>
  </si>
  <si>
    <t>MP-CS-003-00-00005</t>
  </si>
  <si>
    <t>MP-CS-003-00-00006</t>
  </si>
  <si>
    <t>MP-NS-003-00-00005</t>
  </si>
  <si>
    <t>MP-CS-003-00-00007</t>
  </si>
  <si>
    <t>MP-NS-003-00-00006</t>
  </si>
  <si>
    <t>MP-NS-003-00-00007</t>
  </si>
  <si>
    <t>MP-NS-003-00-00008</t>
  </si>
  <si>
    <t>MP-NS-003-00-00009</t>
  </si>
  <si>
    <t>MP-NS-003-00-00010</t>
  </si>
  <si>
    <t>MP-CS-003-00-00008</t>
  </si>
  <si>
    <t>MP-NS-003-00-00011</t>
  </si>
  <si>
    <t>MP-NS-003-00-00012</t>
  </si>
  <si>
    <t>MP-NS-003-00-00013</t>
  </si>
  <si>
    <t>MP-NS-003-00-00014</t>
  </si>
  <si>
    <t>MP-NS-003-00-00015</t>
  </si>
  <si>
    <t>MP-NS-003-00-00016</t>
  </si>
  <si>
    <t>MP-NS-003-00-00017</t>
  </si>
  <si>
    <t>MP-NS-003-00-00018</t>
  </si>
  <si>
    <t>MP-NS-003-00-00019</t>
  </si>
  <si>
    <t>MP-NS-003-00-00020</t>
  </si>
  <si>
    <t>MP-CS-003-00-00009</t>
  </si>
  <si>
    <t>MP-NS-003-00-00021</t>
  </si>
  <si>
    <t>MP-NS-003-00-00022</t>
  </si>
  <si>
    <t>MP-NS-003-00-00023</t>
  </si>
  <si>
    <t>MP-NS-003-00-00024</t>
  </si>
  <si>
    <t>MP-NS-003-00-00025</t>
  </si>
  <si>
    <t>MP-NS-003-00-00026</t>
  </si>
  <si>
    <t>MP-NS-003-00-00027</t>
  </si>
  <si>
    <t>MP-NS-003-00-00028</t>
  </si>
  <si>
    <t>MP-NS-003-00-00029</t>
  </si>
  <si>
    <t>MP-NS-003-00-00030</t>
  </si>
  <si>
    <t>MP-CS-003-00-00010</t>
  </si>
  <si>
    <t>MP-CS-003-00-00011</t>
  </si>
  <si>
    <t>MP-CS-003-00-00012</t>
  </si>
  <si>
    <t>MP-NS-003-00-00031</t>
  </si>
  <si>
    <t>MP-NS-003-00-00032</t>
  </si>
  <si>
    <t>MP-NS-003-00-00033</t>
  </si>
  <si>
    <t>MP-CS-003-00-00013</t>
  </si>
  <si>
    <t>MP-CS-003-00-00014</t>
  </si>
  <si>
    <t>MP-CS-003-00-00015</t>
  </si>
  <si>
    <t>MP-CS-003-00-00016</t>
  </si>
  <si>
    <t>MP-CS-003-00-00017</t>
  </si>
  <si>
    <t>MP-CS-003-00-00018</t>
  </si>
  <si>
    <t>MP-CS-003-00-00019</t>
  </si>
  <si>
    <t>MP-CS-003-00-00020</t>
  </si>
  <si>
    <t>MP-CS-003-00-00021</t>
  </si>
  <si>
    <t>MP-CS-003-00-00022</t>
  </si>
  <si>
    <t>MP-CS-003-00-00023</t>
  </si>
  <si>
    <t>MP-CS-003-00-00024</t>
  </si>
  <si>
    <t>MP-CS-003-00-00025</t>
  </si>
  <si>
    <t>MP-CS-003-00-00026</t>
  </si>
  <si>
    <t>MP-CS-003-00-00027</t>
  </si>
  <si>
    <t>MP-CS-003-00-00028</t>
  </si>
  <si>
    <t>MP-CS-003-00-00029</t>
  </si>
  <si>
    <t>MP-CS-003-00-00030</t>
  </si>
  <si>
    <t>MP-CS-003-00-00031</t>
  </si>
  <si>
    <t>MP-CS-003-00-00032</t>
  </si>
  <si>
    <t>MP-CS-003-00-00033</t>
  </si>
  <si>
    <t>MP-CS-003-00-00034</t>
  </si>
  <si>
    <t>MP-CS-003-00-00035</t>
  </si>
  <si>
    <t>MP-CS-003-00-00036</t>
  </si>
  <si>
    <t>MP-CS-003-00-00037</t>
  </si>
  <si>
    <t>MP-CS-003-00-00038</t>
  </si>
  <si>
    <t>MP-CS-003-00-00039</t>
  </si>
  <si>
    <t>MP-CS-003-00-00040</t>
  </si>
  <si>
    <t>MP-CS-003-00-00041</t>
  </si>
  <si>
    <t>MP-CS-003-00-00042</t>
  </si>
  <si>
    <t>MP-CS-003-00-00043</t>
  </si>
  <si>
    <t>MP-CS-003-00-00044</t>
  </si>
  <si>
    <t>MP-CS-003-00-00045</t>
  </si>
  <si>
    <t>MP-CS-003-00-00046</t>
  </si>
  <si>
    <t>MP-CS-003-00-00047</t>
  </si>
  <si>
    <t>MP-CS-003-00-00048</t>
  </si>
  <si>
    <t>MP-CS-003-00-00049</t>
  </si>
  <si>
    <t>MP-CS-003-00-00050</t>
  </si>
  <si>
    <t>MP-CS-003-00-00051</t>
  </si>
  <si>
    <t>MP-CS-003-00-00052</t>
  </si>
  <si>
    <t>MP-CS-003-00-00053</t>
  </si>
  <si>
    <t>MP-CS-003-00-00054</t>
  </si>
  <si>
    <t>MP-CS-003-00-00055</t>
  </si>
  <si>
    <t>MP-CS-003-00-00056</t>
  </si>
  <si>
    <t>MP-NS-003-00-00034</t>
  </si>
  <si>
    <t>MP-NS-002-00-00045</t>
  </si>
  <si>
    <t>MP-NS-002-00-00048</t>
  </si>
  <si>
    <t>MP-NS-003-00-00037</t>
  </si>
  <si>
    <t>MP-NS-003-00-00038</t>
  </si>
  <si>
    <t>MP-NS-003-00-00039</t>
  </si>
  <si>
    <t>MP-NS-003-00-00040</t>
  </si>
  <si>
    <t>MP-NS-003-00-00042</t>
  </si>
  <si>
    <t>MP-NS-003-00-00043</t>
  </si>
  <si>
    <t>MP-NS-003-00-00044</t>
  </si>
  <si>
    <t>MP-CS-003-00-00057</t>
  </si>
  <si>
    <t>MP-NS-003-00-00045</t>
  </si>
  <si>
    <t>MP-CS-003-00-00058</t>
  </si>
  <si>
    <t>MP-NS-003-00-00046</t>
  </si>
  <si>
    <t>MP-NS-005-00-00022</t>
  </si>
  <si>
    <t>MP-NS-005-00-00023</t>
  </si>
  <si>
    <t>MP-NS-005-00-00027</t>
  </si>
  <si>
    <t>MP-CS-005-00-00001</t>
  </si>
  <si>
    <t>MP-CS-005-00-00002</t>
  </si>
  <si>
    <t>MP-NS-005-00-00028</t>
  </si>
  <si>
    <t>MP-NS-005-00-00029</t>
  </si>
  <si>
    <t>MP-NS-005-00-00030</t>
  </si>
  <si>
    <t>MP-NS-005-00-00031</t>
  </si>
  <si>
    <t>MP-NS-005-00-00032</t>
  </si>
  <si>
    <t>MP-CS-005-00-00003</t>
  </si>
  <si>
    <t>MP-CS-005-00-00004</t>
  </si>
  <si>
    <t>MP-NS-005-00-00033</t>
  </si>
  <si>
    <t>MP-CS-005-00-00005</t>
  </si>
  <si>
    <t>MP-NS-005-00-00034</t>
  </si>
  <si>
    <t>MP-CS-005-00-00006</t>
  </si>
  <si>
    <t>MP-CS-005-00-00007</t>
  </si>
  <si>
    <t>MP-CS-005-00-00008</t>
  </si>
  <si>
    <t>MP-NS-005-00-00035</t>
  </si>
  <si>
    <t>MP-NS-005-00-00036</t>
  </si>
  <si>
    <t>MP-NS-005-00-00037</t>
  </si>
  <si>
    <t>MP-NS-005-00-00038</t>
  </si>
  <si>
    <t>MP-NS-005-00-00039</t>
  </si>
  <si>
    <t>MP-NS-005-00-00040</t>
  </si>
  <si>
    <t>MP-NS-005-00-00041</t>
  </si>
  <si>
    <t>MP-NS-005-00-00042</t>
  </si>
  <si>
    <t>MP-NS-005-00-00043</t>
  </si>
  <si>
    <t>MP-CS-005-00-00009</t>
  </si>
  <si>
    <t>MP-NS-005-00-00044</t>
  </si>
  <si>
    <t>MP-CS-005-00-00010</t>
  </si>
  <si>
    <t>MP-CS-005-00-00011</t>
  </si>
  <si>
    <t>MP-CS-005-00-00012</t>
  </si>
  <si>
    <t>MP-CS-005-00-00013</t>
  </si>
  <si>
    <t>MP-CS-005-00-00014</t>
  </si>
  <si>
    <t>MP-CS-005-00-00015</t>
  </si>
  <si>
    <t>MP-CS-005-00-00016</t>
  </si>
  <si>
    <t>MP-CS-005-00-00017</t>
  </si>
  <si>
    <t>MP-CS-005-00-00019</t>
  </si>
  <si>
    <t>MP-CS-005-00-00021</t>
  </si>
  <si>
    <t>MP-CS-005-00-00022</t>
  </si>
  <si>
    <t>MP-CS-005-00-00023</t>
  </si>
  <si>
    <t>MP-CS-005-00-00024</t>
  </si>
  <si>
    <t>MP-CS-005-00-00025</t>
  </si>
  <si>
    <t>MP-CS-005-00-00026</t>
  </si>
  <si>
    <t>MP-CS-005-00-00027</t>
  </si>
  <si>
    <t>MP-CS-005-00-00028</t>
  </si>
  <si>
    <t>MP-CS-005-00-00029</t>
  </si>
  <si>
    <t>MP-CS-005-00-00030</t>
  </si>
  <si>
    <t>MP-CS-005-00-00031</t>
  </si>
  <si>
    <t>MP-CS-005-00-00032</t>
  </si>
  <si>
    <t>MP-CS-005-00-00033</t>
  </si>
  <si>
    <t>MP-CS-005-00-00034</t>
  </si>
  <si>
    <t>MP-CS-005-00-00035</t>
  </si>
  <si>
    <t>MP-CS-005-00-00036</t>
  </si>
  <si>
    <t>MP-CS-005-00-00037</t>
  </si>
  <si>
    <t>MP-CS-005-00-00038</t>
  </si>
  <si>
    <t>MP-CS-005-00-00039</t>
  </si>
  <si>
    <t>MP-CS-005-00-00020</t>
  </si>
  <si>
    <t>MP-CS-005-00-00041</t>
  </si>
  <si>
    <t>MP-CS-005-00-00042</t>
  </si>
  <si>
    <t>MP-CS-005-00-00043</t>
  </si>
  <si>
    <t>MP-CS-005-00-00044</t>
  </si>
  <si>
    <t>MP-CS-005-00-00045</t>
  </si>
  <si>
    <t>MP-CS-005-00-00046</t>
  </si>
  <si>
    <t>MP-NS-025-00-00001</t>
  </si>
  <si>
    <t>MP-NS-025-00-00002</t>
  </si>
  <si>
    <t>MP-NS-023-00-00121</t>
  </si>
  <si>
    <t>MP-CS-023-00-00001</t>
  </si>
  <si>
    <t>MP-NS-025-00-00003</t>
  </si>
  <si>
    <t>MP-NS-025-00-00004</t>
  </si>
  <si>
    <t>MP-CS-025-00-00001</t>
  </si>
  <si>
    <t>MP-NS-023-00-00122</t>
  </si>
  <si>
    <t>MP-NS-023-00-00123</t>
  </si>
  <si>
    <t>MP-CS-025-00-00002</t>
  </si>
  <si>
    <t>MP-CS-025-00-00003</t>
  </si>
  <si>
    <t>MP-NS-025-00-00005</t>
  </si>
  <si>
    <t>MP-CS-025-00-00004</t>
  </si>
  <si>
    <t>MP-CS-025-00-00005</t>
  </si>
  <si>
    <t>MP-NS-025-00-00006</t>
  </si>
  <si>
    <t>MP-NS-031-00-00001</t>
  </si>
  <si>
    <t>MP-NS-016-00-00012</t>
  </si>
  <si>
    <t>MP-NS-025-00-00007</t>
  </si>
  <si>
    <t>MP-NS-022-00-00001</t>
  </si>
  <si>
    <t>MP-NS-022-00-00002</t>
  </si>
  <si>
    <t>MP-NS-022-00-00003</t>
  </si>
  <si>
    <t>MP-NS-022-00-00004</t>
  </si>
  <si>
    <t>MP-NS-022-00-00005</t>
  </si>
  <si>
    <t>MP-NS-022-00-00006</t>
  </si>
  <si>
    <t>MP-NS-022-00-00007</t>
  </si>
  <si>
    <t>MP-NS-022-00-00008</t>
  </si>
  <si>
    <t>MP-NS-022-00-00009</t>
  </si>
  <si>
    <t>MP-NS-022-00-00010</t>
  </si>
  <si>
    <t>MP-NS-025-00-00008</t>
  </si>
  <si>
    <t>MP-NS-025-00-00009</t>
  </si>
  <si>
    <t>MP-NS-030-00-00001</t>
  </si>
  <si>
    <t>MP-NS-030-00-00002</t>
  </si>
  <si>
    <t>MP-NS-030-00-00003</t>
  </si>
  <si>
    <t>MP-NS-030-00-00004</t>
  </si>
  <si>
    <t>MP-NS-022-00-00011</t>
  </si>
  <si>
    <t>MP-NS-022-00-00012</t>
  </si>
  <si>
    <t>MP-NS-022-00-00013</t>
  </si>
  <si>
    <t>MP-NS-025-00-00010</t>
  </si>
  <si>
    <t>CO012-00000051</t>
  </si>
  <si>
    <t>CO012-00000161</t>
  </si>
  <si>
    <t>CO012-00000074</t>
  </si>
  <si>
    <t>MP-NS-018-00-04001</t>
  </si>
  <si>
    <t>MP-NS-018-00-04002</t>
  </si>
  <si>
    <t>MP-NS-018-00-04003</t>
  </si>
  <si>
    <t>MP-CS-018-00-04001</t>
  </si>
  <si>
    <t>MP-CS-018-00-04002</t>
  </si>
  <si>
    <t>MP-NS-018-00-04004</t>
  </si>
  <si>
    <t>MP-NS-018-00-04005</t>
  </si>
  <si>
    <t>MP-NS-018-00-04006</t>
  </si>
  <si>
    <t>MP-NS-018-00-04007</t>
  </si>
  <si>
    <t>MP-NS-018-00-04008</t>
  </si>
  <si>
    <t>MP-NS-018-00-04009</t>
  </si>
  <si>
    <t>MP-NS-018-00-04010</t>
  </si>
  <si>
    <t>MP-NS-018-00-04011</t>
  </si>
  <si>
    <t>MP-NS-018-00-04012</t>
  </si>
  <si>
    <t>MP-NS-018-00-04013</t>
  </si>
  <si>
    <t>MP-NS-018-00-04014</t>
  </si>
  <si>
    <t>MP-NS-018-00-04015</t>
  </si>
  <si>
    <t>MP-CS-018-00-04003</t>
  </si>
  <si>
    <t>MP-NS-018-00-04016</t>
  </si>
  <si>
    <t>MP-NS-018-00-04017</t>
  </si>
  <si>
    <t>MP-NS-018-00-04018</t>
  </si>
  <si>
    <t>MP-NS-018-00-04019</t>
  </si>
  <si>
    <t>MP-NS-018-00-04020</t>
  </si>
  <si>
    <t>MP-NS-018-00-04021</t>
  </si>
  <si>
    <t>MP-NS-018-00-04022</t>
  </si>
  <si>
    <t>MP-NS-018-00-04023</t>
  </si>
  <si>
    <t>MP-CS-018-00-04004</t>
  </si>
  <si>
    <t>MP-CS-018-00-04005</t>
  </si>
  <si>
    <t>MP-NS-018-00-04024</t>
  </si>
  <si>
    <t>MP-CS-018-00-04006</t>
  </si>
  <si>
    <t>MP-CS-018-00-04007</t>
  </si>
  <si>
    <t>MP-CS-018-00-04008</t>
  </si>
  <si>
    <t>MP-NS-018-00-04025</t>
  </si>
  <si>
    <t>MP-NS-018-00-04026</t>
  </si>
  <si>
    <t>MP-NS-018-00-04027</t>
  </si>
  <si>
    <t>MP-NS-018-00-04028</t>
  </si>
  <si>
    <t>MP-CS-018-00-04009</t>
  </si>
  <si>
    <t>MP-CS-018-00-04010</t>
  </si>
  <si>
    <t>MP-NS-018-00-04029</t>
  </si>
  <si>
    <t>MP-CS-018-00-04011</t>
  </si>
  <si>
    <t>MP-CS-018-00-04012</t>
  </si>
  <si>
    <t>MP-NS-018-00-04030</t>
  </si>
  <si>
    <t>MP-CS-018-00-04013</t>
  </si>
  <si>
    <t>MP-NS-018-00-04031</t>
  </si>
  <si>
    <t>MP-NS-026-00-00001</t>
  </si>
  <si>
    <t>MP-NS-026-00-00002</t>
  </si>
  <si>
    <t>MP-NS-026-00-00006</t>
  </si>
  <si>
    <t>MP-NS-026-00-00009</t>
  </si>
  <si>
    <t>MP-NS-026-00-00010</t>
  </si>
  <si>
    <t>MP-NS-026-00-00011</t>
  </si>
  <si>
    <t>MP-NS-026-00-00012</t>
  </si>
  <si>
    <t>MP-NS-026-00-00013</t>
  </si>
  <si>
    <t>MP-NS-026-00-00014</t>
  </si>
  <si>
    <t>MP-NS-026-00-00015</t>
  </si>
  <si>
    <t>MP-NS-026-00-00016</t>
  </si>
  <si>
    <t>MP-NS-026-00-00017</t>
  </si>
  <si>
    <t>MP-NS-026-00-00018</t>
  </si>
  <si>
    <t>MP-CS-012-00-00004</t>
  </si>
  <si>
    <t>MP-CS-012-00-00005</t>
  </si>
  <si>
    <t>MP-CS-012-00-00006</t>
  </si>
  <si>
    <t>MP-CS-012-00-00007</t>
  </si>
  <si>
    <t>MP-CS-012-00-00008</t>
  </si>
  <si>
    <t>MP-NS-012-00-00146</t>
  </si>
  <si>
    <t>MP-NS-012-00-00147</t>
  </si>
  <si>
    <t>MP-NS-012-00-00159</t>
  </si>
  <si>
    <t>MP-NS-012-00-00161</t>
  </si>
  <si>
    <t>MP-NS-012-00-00167</t>
  </si>
  <si>
    <t>MP-CS-028-00-00001</t>
  </si>
  <si>
    <t>MP-CS-028-00-00002</t>
  </si>
  <si>
    <t>MP-CS-028-00-00003</t>
  </si>
  <si>
    <t>MP-CS-028-00-00004</t>
  </si>
  <si>
    <t>MP-CS-028-00-00005</t>
  </si>
  <si>
    <t>MP-CS-028-00-00006</t>
  </si>
  <si>
    <t>MP-CS-028-00-00007</t>
  </si>
  <si>
    <t>MP-CS-028-00-00008</t>
  </si>
  <si>
    <t>MP-CS-028-00-00009</t>
  </si>
  <si>
    <t>MP-CS-028-00-00010</t>
  </si>
  <si>
    <t>MP-CS-028-00-00011</t>
  </si>
  <si>
    <t>MP-CS-028-00-00013</t>
  </si>
  <si>
    <t>MP-CS-028-00-00014</t>
  </si>
  <si>
    <t>MP-CS-028-00-00015</t>
  </si>
  <si>
    <t>MP-CS-028-00-00016</t>
  </si>
  <si>
    <t>MP-CS-028-00-00017</t>
  </si>
  <si>
    <t>MP-CS-028-00-00018</t>
  </si>
  <si>
    <t>MP-CS-028-00-00019</t>
  </si>
  <si>
    <t>MP-CS-028-00-00020</t>
  </si>
  <si>
    <t>MP-CS-028-00-00022</t>
  </si>
  <si>
    <t>MP-CS-028-00-00023</t>
  </si>
  <si>
    <t>MP-CS-028-00-00024</t>
  </si>
  <si>
    <t>MP-CS-028-00-00025</t>
  </si>
  <si>
    <t>MP-CS-028-00-00026</t>
  </si>
  <si>
    <t>MP-CS-028-00-00028</t>
  </si>
  <si>
    <t>MP-CS-028-00-00029</t>
  </si>
  <si>
    <t>MP-CS-028-00-00030</t>
  </si>
  <si>
    <t>MP-CS-028-00-00032</t>
  </si>
  <si>
    <t>MP-CS-028-00-00033</t>
  </si>
  <si>
    <t>MP-CS-028-00-00034</t>
  </si>
  <si>
    <t>MP-CS-028-00-00035</t>
  </si>
  <si>
    <t>MP-CS-028-00-00036</t>
  </si>
  <si>
    <t>MP-CS-028-00-00037</t>
  </si>
  <si>
    <t>MP-CS-028-00-00038</t>
  </si>
  <si>
    <t>MP-CS-028-00-00039</t>
  </si>
  <si>
    <t>MP-CS-028-00-00040</t>
  </si>
  <si>
    <t>MP-CS-028-00-00041</t>
  </si>
  <si>
    <t>MP-CS-028-00-00042</t>
  </si>
  <si>
    <t>MP-CS-028-00-00043</t>
  </si>
  <si>
    <t>MP-CS-004-00-00001</t>
  </si>
  <si>
    <t>MP-CS-004-00-00002</t>
  </si>
  <si>
    <t>MP-CS-009-00-00022</t>
  </si>
  <si>
    <t>MP-NS-001-00-00002</t>
  </si>
  <si>
    <t>MP-CS-002-00-00001</t>
  </si>
  <si>
    <t>MP-CS-002-00-00003</t>
  </si>
  <si>
    <t>MP-NS-002-00-00004</t>
  </si>
  <si>
    <t>MP-CS-002-00-00004</t>
  </si>
  <si>
    <t>MP-CS-018-00-03002</t>
  </si>
  <si>
    <t>MP-CS-018-00-03003</t>
  </si>
  <si>
    <t>MP-CS-018-00-03024</t>
  </si>
  <si>
    <t>MP-CS-018-00-03025</t>
  </si>
  <si>
    <t>MP-CS-018-00-03026</t>
  </si>
  <si>
    <t>MP-NS-018-00-03001</t>
  </si>
  <si>
    <t>MP-CS-019-00-00005</t>
  </si>
  <si>
    <t>MP-CS-019-00-00006</t>
  </si>
  <si>
    <t>MP-CS-019-00-00008</t>
  </si>
  <si>
    <t>MP-CS-019-00-00022</t>
  </si>
  <si>
    <t>MP-CS-019-00-00029</t>
  </si>
  <si>
    <t>MP-NS-020-00-00001</t>
  </si>
  <si>
    <t>MP-NS-020-00-00002</t>
  </si>
  <si>
    <t>MP-NS-020-00-00003</t>
  </si>
  <si>
    <t>MP-NS-020-00-00004</t>
  </si>
  <si>
    <t>MP-NS-020-00-00013</t>
  </si>
  <si>
    <t>MP-NS-020-00-00017</t>
  </si>
  <si>
    <t>MP-CS-028-00-00012</t>
  </si>
  <si>
    <t>MP-CS-028-00-00021</t>
  </si>
  <si>
    <t>MP-CS-028-00-00027</t>
  </si>
  <si>
    <t>MP-CS-028-00-00031</t>
  </si>
  <si>
    <t>MP-CS-028-00-00044</t>
  </si>
  <si>
    <t>MP-CS-028-00-00045</t>
  </si>
  <si>
    <t>Invnetory in Qty</t>
  </si>
  <si>
    <t>Invnetory in Value</t>
  </si>
  <si>
    <t>GF-14-100-750 Gas Spring</t>
  </si>
  <si>
    <t>FESTO VUVG-L10-B52-T-M7-1R8L</t>
  </si>
  <si>
    <t>B47972023-01-112</t>
  </si>
  <si>
    <t>B47972023-01-113</t>
  </si>
  <si>
    <t>B47972023-01-173</t>
  </si>
  <si>
    <t>B47972023-01-187</t>
  </si>
  <si>
    <t>B47972023-01-190</t>
  </si>
  <si>
    <t>B47972023-01-276</t>
  </si>
  <si>
    <t>B47972023-01-285</t>
  </si>
  <si>
    <t>B47972023-01-288</t>
  </si>
  <si>
    <t>Jeep Rear OP1 Die 3mm - Proposal 1</t>
  </si>
  <si>
    <t>Jeep Rear OP1 Die 3mm - Proposal 2</t>
  </si>
  <si>
    <t>BMW F39 Press Tool Punch 5.6mm</t>
  </si>
  <si>
    <t>TOX 0821 401 203 Rexroth</t>
  </si>
  <si>
    <t>Anvil M5</t>
  </si>
  <si>
    <t>Mandrel M5</t>
  </si>
  <si>
    <t>KTL-0002</t>
  </si>
  <si>
    <t>B479 72023-01-111</t>
  </si>
  <si>
    <t>PET-0068</t>
  </si>
  <si>
    <t>SOH-106557-1- D6 7/D5 7-L3=15 2 teeth  without cooling shank</t>
  </si>
  <si>
    <t>PNE-0136</t>
  </si>
  <si>
    <t>BEN-0016</t>
  </si>
  <si>
    <t>BEN-0017</t>
  </si>
  <si>
    <t>BEN-0018</t>
  </si>
  <si>
    <t>BEN-0019</t>
  </si>
  <si>
    <t>BEN-0020</t>
  </si>
  <si>
    <t>BEN-0021</t>
  </si>
  <si>
    <t>BEN-0022</t>
  </si>
  <si>
    <t>BEN-0023</t>
  </si>
  <si>
    <t>PNE-0137</t>
  </si>
  <si>
    <t>FESTO AND-32-15-A-P-A</t>
  </si>
  <si>
    <t>Jeep Rear OP1 Punch 3mm</t>
  </si>
  <si>
    <t>MPP-034</t>
  </si>
  <si>
    <t>MPP-035</t>
  </si>
  <si>
    <t>MPP-036</t>
  </si>
  <si>
    <t>MPP-037</t>
  </si>
  <si>
    <t>MPP-038</t>
  </si>
  <si>
    <t>BMW F39 Press Tool Insert 5.6mm</t>
  </si>
  <si>
    <t>Maintenance Spares-MS</t>
  </si>
  <si>
    <t>ELE-0130</t>
  </si>
  <si>
    <t>CBMC E4 24DC/1-10A S-R 3.00 1065729, PHOENIX CONTACT</t>
  </si>
  <si>
    <t>MPP-039</t>
  </si>
  <si>
    <t>MPP-040</t>
  </si>
  <si>
    <t>MPP-041</t>
  </si>
  <si>
    <t>PSB-0009</t>
  </si>
  <si>
    <t>600 x 4.0/4.4 x 32 circular saw blade (Mecal saw machine)</t>
  </si>
  <si>
    <t>PET-0069</t>
  </si>
  <si>
    <t>HSK40E tool holder clamp claw</t>
  </si>
  <si>
    <t>GS-0009</t>
  </si>
  <si>
    <t>PNE-0138</t>
  </si>
  <si>
    <t>PNE-0139</t>
  </si>
  <si>
    <t>MPP-042</t>
  </si>
  <si>
    <t>MPP-043</t>
  </si>
  <si>
    <r>
      <t>L462 Guide Rail OP 2 Die drawing (</t>
    </r>
    <r>
      <rPr>
        <sz val="9.5"/>
        <color rgb="FF212121"/>
        <rFont val="Aptos"/>
        <family val="2"/>
      </rPr>
      <t>70987-02-106)</t>
    </r>
  </si>
  <si>
    <r>
      <t>L462 Guide Rail OP 2 Die drawing  (</t>
    </r>
    <r>
      <rPr>
        <sz val="9.5"/>
        <color rgb="FF212121"/>
        <rFont val="Aptos"/>
        <family val="2"/>
      </rPr>
      <t>70987-02-108)</t>
    </r>
  </si>
  <si>
    <t>Search I code</t>
  </si>
  <si>
    <t>PET-0070</t>
  </si>
  <si>
    <t>ETL-SS 1111 Torx-Schraube 400-440 HV10</t>
  </si>
  <si>
    <t>STA-0042</t>
  </si>
  <si>
    <t>Lever valve RS-3-1/8 2272 JO43 festo</t>
  </si>
  <si>
    <t>Proximity sensor loading bay M12 trolley present</t>
  </si>
  <si>
    <t>Quality Section</t>
  </si>
  <si>
    <t>QS</t>
  </si>
  <si>
    <t>Stock Count February</t>
  </si>
  <si>
    <t>ABB D</t>
  </si>
  <si>
    <t>ABB B</t>
  </si>
  <si>
    <t>ABB A</t>
  </si>
  <si>
    <t>DRILL &amp; TAP A</t>
  </si>
  <si>
    <t>ABB C</t>
  </si>
  <si>
    <t>FSM D</t>
  </si>
  <si>
    <t>FSM B</t>
  </si>
  <si>
    <t>ABB-A</t>
  </si>
  <si>
    <t>ABB D / FSM D</t>
  </si>
  <si>
    <t>FSM C</t>
  </si>
  <si>
    <t>DUGARD C</t>
  </si>
  <si>
    <t>PRESS A</t>
  </si>
  <si>
    <t>ASSEMBLY-B</t>
  </si>
  <si>
    <t>CRIMPING A</t>
  </si>
  <si>
    <t>SAW A</t>
  </si>
  <si>
    <t>DRILL&amp; TAP</t>
  </si>
  <si>
    <t>DUGARD A</t>
  </si>
  <si>
    <t>DUGARD D</t>
  </si>
  <si>
    <t>DUGARD B / DUGARD D</t>
  </si>
  <si>
    <t>DUGARD B</t>
  </si>
  <si>
    <t>DUAGRD B</t>
  </si>
  <si>
    <t>DUGARD-C</t>
  </si>
  <si>
    <t>ASSEMBLY-A</t>
  </si>
  <si>
    <t>EMMEGI -D</t>
  </si>
  <si>
    <t>EMMEGI - D</t>
  </si>
  <si>
    <t>EMMEGI- D</t>
  </si>
  <si>
    <t>RALC A</t>
  </si>
  <si>
    <t>ELECTRICAL-H</t>
  </si>
  <si>
    <t>EMMEGI B</t>
  </si>
  <si>
    <t>ELECTRICAL-A</t>
  </si>
  <si>
    <t>ELECTIRCAL-A</t>
  </si>
  <si>
    <t>MECAL A</t>
  </si>
  <si>
    <t>WELDING-A</t>
  </si>
  <si>
    <t xml:space="preserve"> EMMEGI C</t>
  </si>
  <si>
    <t>EMMEGI D</t>
  </si>
  <si>
    <t>EMMEG I D</t>
  </si>
  <si>
    <t>EMMEGI-C</t>
  </si>
  <si>
    <t>EMMEGI   D</t>
  </si>
  <si>
    <t>EMMEGI A</t>
  </si>
  <si>
    <t>EMMEGI C</t>
  </si>
  <si>
    <t>EMMEGI  C</t>
  </si>
  <si>
    <t>EMMEDI-C</t>
  </si>
  <si>
    <t>EMMEGI  D</t>
  </si>
  <si>
    <t>WELDING A</t>
  </si>
  <si>
    <t xml:space="preserve">EMMEGI -D </t>
  </si>
  <si>
    <t>EMMEGI -C</t>
  </si>
  <si>
    <t>ASSEMBLY   A</t>
  </si>
  <si>
    <t>ASSEMBLY A</t>
  </si>
  <si>
    <t>ASSEMBLY  -B</t>
  </si>
  <si>
    <t>FSM A</t>
  </si>
  <si>
    <t xml:space="preserve">FSM A </t>
  </si>
  <si>
    <t>ASSEMBLY</t>
  </si>
  <si>
    <t>ASSEMBLY   B</t>
  </si>
  <si>
    <t>ELECTRICAL -H</t>
  </si>
  <si>
    <t>MECAL A / SAW A</t>
  </si>
  <si>
    <t>PRODUCTION -B</t>
  </si>
  <si>
    <t>PNUEMATIC -E</t>
  </si>
  <si>
    <t>PNEUMATIC -F</t>
  </si>
  <si>
    <t>PNEUMATIC-E</t>
  </si>
  <si>
    <t>PNEUMATIC-F</t>
  </si>
  <si>
    <t>PNEUMATIC -E</t>
  </si>
  <si>
    <t>PNEUMATIC- E</t>
  </si>
  <si>
    <t>PNEUMATIC-G</t>
  </si>
  <si>
    <t>ASSEMBLY B</t>
  </si>
  <si>
    <t>ABB- C</t>
  </si>
  <si>
    <t>SAW CABINET</t>
  </si>
  <si>
    <t>RALC B</t>
  </si>
  <si>
    <t xml:space="preserve">RALC A </t>
  </si>
  <si>
    <t>RALC -A</t>
  </si>
  <si>
    <t>SAW  A</t>
  </si>
  <si>
    <t>DUGARD D / SAW A</t>
  </si>
  <si>
    <t>WENSING A</t>
  </si>
  <si>
    <t>ASSEMBLY- B</t>
  </si>
  <si>
    <t>DUGARD-B</t>
  </si>
  <si>
    <t>DRILL AND TAP A</t>
  </si>
  <si>
    <t>WELDING -A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</si>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</sst>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8"/>
      <name val="Aptos Narrow"/>
      <family val="2"/>
      <scheme val="minor"/>
    </font>
    <font>
      <b/>
      <sz val="11"/>
      <color theme="1"/>
      <name val="Aptos"/>
      <family val="2"/>
    </font>
    <font>
      <sz val="11"/>
      <color rgb="FF000000"/>
      <name val="Aptos Narrow"/>
      <family val="2"/>
    </font>
    <font>
      <sz val="11"/>
      <color indexed="8"/>
      <name val="Aptos Narrow"/>
      <family val="2"/>
      <scheme val="minor"/>
    </font>
    <font>
      <sz val="11"/>
      <color theme="1"/>
      <name val="Aptos Narrow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.5"/>
      <color theme="1"/>
      <name val="Aptos"/>
      <family val="2"/>
    </font>
    <font>
      <sz val="9.5"/>
      <color rgb="FF212121"/>
      <name val="Aptos"/>
      <family val="2"/>
    </font>
    <font>
      <sz val="11"/>
      <color rgb="FF000000"/>
      <name val="Aptos"/>
      <family val="2"/>
    </font>
  </fonts>
  <fills count="4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theme="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rgb="FF44B3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rgb="FF44B3E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44B3E1"/>
      </right>
      <top style="thin">
        <color indexed="64"/>
      </top>
      <bottom style="thin">
        <color rgb="FF44B3E1"/>
      </bottom>
      <diagonal/>
    </border>
  </borders>
  <cellStyleXfs count="44">
    <xf numFmtId="0" fontId="0" fillId="0" borderId="0"/>
    <xf numFmtId="43" fontId="2" fillId="0" borderId="0" applyFont="0" applyFill="0" applyBorder="0" applyAlignment="0" applyProtection="0"/>
    <xf numFmtId="0" fontId="8" fillId="0" borderId="0"/>
    <xf numFmtId="0" fontId="10" fillId="0" borderId="0" applyNumberFormat="0" applyFill="0" applyBorder="0" applyAlignment="0" applyProtection="0"/>
    <xf numFmtId="0" fontId="11" fillId="0" borderId="7" applyNumberFormat="0" applyFill="0" applyAlignment="0" applyProtection="0"/>
    <xf numFmtId="0" fontId="12" fillId="0" borderId="8" applyNumberFormat="0" applyFill="0" applyAlignment="0" applyProtection="0"/>
    <xf numFmtId="0" fontId="13" fillId="0" borderId="9" applyNumberFormat="0" applyFill="0" applyAlignment="0" applyProtection="0"/>
    <xf numFmtId="0" fontId="13" fillId="0" borderId="0" applyNumberFormat="0" applyFill="0" applyBorder="0" applyAlignment="0" applyProtection="0"/>
    <xf numFmtId="0" fontId="14" fillId="11" borderId="0" applyNumberFormat="0" applyBorder="0" applyAlignment="0" applyProtection="0"/>
    <xf numFmtId="0" fontId="15" fillId="12" borderId="0" applyNumberFormat="0" applyBorder="0" applyAlignment="0" applyProtection="0"/>
    <xf numFmtId="0" fontId="16" fillId="13" borderId="0" applyNumberFormat="0" applyBorder="0" applyAlignment="0" applyProtection="0"/>
    <xf numFmtId="0" fontId="17" fillId="14" borderId="10" applyNumberFormat="0" applyAlignment="0" applyProtection="0"/>
    <xf numFmtId="0" fontId="18" fillId="15" borderId="11" applyNumberFormat="0" applyAlignment="0" applyProtection="0"/>
    <xf numFmtId="0" fontId="19" fillId="15" borderId="10" applyNumberFormat="0" applyAlignment="0" applyProtection="0"/>
    <xf numFmtId="0" fontId="20" fillId="0" borderId="12" applyNumberFormat="0" applyFill="0" applyAlignment="0" applyProtection="0"/>
    <xf numFmtId="0" fontId="1" fillId="16" borderId="13" applyNumberFormat="0" applyAlignment="0" applyProtection="0"/>
    <xf numFmtId="0" fontId="21" fillId="0" borderId="0" applyNumberFormat="0" applyFill="0" applyBorder="0" applyAlignment="0" applyProtection="0"/>
    <xf numFmtId="0" fontId="2" fillId="17" borderId="14" applyNumberFormat="0" applyFont="0" applyAlignment="0" applyProtection="0"/>
    <xf numFmtId="0" fontId="22" fillId="0" borderId="0" applyNumberFormat="0" applyFill="0" applyBorder="0" applyAlignment="0" applyProtection="0"/>
    <xf numFmtId="0" fontId="3" fillId="0" borderId="15" applyNumberFormat="0" applyFill="0" applyAlignment="0" applyProtection="0"/>
    <xf numFmtId="0" fontId="23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3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3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3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3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3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</cellStyleXfs>
  <cellXfs count="61">
    <xf numFmtId="0" fontId="0" fillId="0" borderId="0" xfId="0"/>
    <xf numFmtId="0" fontId="1" fillId="2" borderId="1" xfId="0" applyFont="1" applyFill="1" applyBorder="1"/>
    <xf numFmtId="0" fontId="0" fillId="3" borderId="2" xfId="0" applyFill="1" applyBorder="1"/>
    <xf numFmtId="0" fontId="0" fillId="4" borderId="2" xfId="0" applyFill="1" applyBorder="1"/>
    <xf numFmtId="4" fontId="0" fillId="3" borderId="2" xfId="0" applyNumberFormat="1" applyFill="1" applyBorder="1"/>
    <xf numFmtId="4" fontId="0" fillId="4" borderId="2" xfId="0" applyNumberFormat="1" applyFill="1" applyBorder="1"/>
    <xf numFmtId="0" fontId="0" fillId="4" borderId="3" xfId="0" applyFill="1" applyBorder="1"/>
    <xf numFmtId="0" fontId="4" fillId="0" borderId="0" xfId="0" applyFont="1"/>
    <xf numFmtId="0" fontId="3" fillId="0" borderId="0" xfId="0" applyFont="1"/>
    <xf numFmtId="0" fontId="0" fillId="0" borderId="0" xfId="0" quotePrefix="1"/>
    <xf numFmtId="49" fontId="0" fillId="0" borderId="0" xfId="0" applyNumberFormat="1"/>
    <xf numFmtId="49" fontId="0" fillId="0" borderId="0" xfId="0" quotePrefix="1" applyNumberFormat="1"/>
    <xf numFmtId="0" fontId="0" fillId="4" borderId="1" xfId="0" applyFill="1" applyBorder="1"/>
    <xf numFmtId="0" fontId="0" fillId="3" borderId="1" xfId="0" applyFill="1" applyBorder="1"/>
    <xf numFmtId="0" fontId="0" fillId="3" borderId="0" xfId="0" applyFill="1"/>
    <xf numFmtId="0" fontId="0" fillId="4" borderId="0" xfId="0" applyFill="1"/>
    <xf numFmtId="0" fontId="1" fillId="2" borderId="1" xfId="1" applyNumberFormat="1" applyFont="1" applyFill="1" applyBorder="1" applyAlignment="1">
      <alignment horizontal="center"/>
    </xf>
    <xf numFmtId="0" fontId="0" fillId="4" borderId="1" xfId="1" applyNumberFormat="1" applyFont="1" applyFill="1" applyBorder="1" applyAlignment="1">
      <alignment horizontal="center"/>
    </xf>
    <xf numFmtId="0" fontId="0" fillId="0" borderId="0" xfId="1" applyNumberFormat="1" applyFont="1" applyAlignment="1">
      <alignment horizontal="center"/>
    </xf>
    <xf numFmtId="0" fontId="3" fillId="5" borderId="0" xfId="0" applyFont="1" applyFill="1"/>
    <xf numFmtId="0" fontId="1" fillId="6" borderId="1" xfId="0" applyFont="1" applyFill="1" applyBorder="1"/>
    <xf numFmtId="43" fontId="0" fillId="4" borderId="2" xfId="1" applyFont="1" applyFill="1" applyBorder="1"/>
    <xf numFmtId="43" fontId="0" fillId="3" borderId="2" xfId="1" applyFont="1" applyFill="1" applyBorder="1"/>
    <xf numFmtId="43" fontId="1" fillId="2" borderId="1" xfId="1" applyFont="1" applyFill="1" applyBorder="1"/>
    <xf numFmtId="43" fontId="0" fillId="0" borderId="0" xfId="1" applyFont="1"/>
    <xf numFmtId="43" fontId="0" fillId="4" borderId="3" xfId="1" applyFont="1" applyFill="1" applyBorder="1"/>
    <xf numFmtId="0" fontId="0" fillId="3" borderId="3" xfId="0" applyFill="1" applyBorder="1"/>
    <xf numFmtId="4" fontId="0" fillId="4" borderId="3" xfId="0" applyNumberFormat="1" applyFill="1" applyBorder="1"/>
    <xf numFmtId="43" fontId="0" fillId="3" borderId="3" xfId="1" applyFont="1" applyFill="1" applyBorder="1"/>
    <xf numFmtId="0" fontId="0" fillId="7" borderId="0" xfId="0" applyFill="1"/>
    <xf numFmtId="49" fontId="3" fillId="0" borderId="0" xfId="0" applyNumberFormat="1" applyFont="1"/>
    <xf numFmtId="0" fontId="6" fillId="0" borderId="0" xfId="0" applyFont="1"/>
    <xf numFmtId="0" fontId="0" fillId="4" borderId="0" xfId="1" applyNumberFormat="1" applyFont="1" applyFill="1" applyBorder="1" applyAlignment="1">
      <alignment horizontal="center"/>
    </xf>
    <xf numFmtId="0" fontId="0" fillId="4" borderId="2" xfId="0" applyFill="1" applyBorder="1" applyAlignment="1">
      <alignment horizontal="left" vertical="center" indent="1"/>
    </xf>
    <xf numFmtId="0" fontId="7" fillId="8" borderId="0" xfId="0" applyFont="1" applyFill="1"/>
    <xf numFmtId="0" fontId="1" fillId="2" borderId="4" xfId="0" applyFont="1" applyFill="1" applyBorder="1"/>
    <xf numFmtId="0" fontId="0" fillId="3" borderId="2" xfId="0" applyFill="1" applyBorder="1" applyAlignment="1">
      <alignment horizontal="left"/>
    </xf>
    <xf numFmtId="0" fontId="3" fillId="9" borderId="0" xfId="0" applyFont="1" applyFill="1"/>
    <xf numFmtId="0" fontId="3" fillId="9" borderId="0" xfId="0" applyFont="1" applyFill="1" applyAlignment="1">
      <alignment horizontal="center" vertical="center"/>
    </xf>
    <xf numFmtId="0" fontId="0" fillId="0" borderId="5" xfId="0" applyBorder="1"/>
    <xf numFmtId="0" fontId="3" fillId="0" borderId="5" xfId="0" applyFont="1" applyBorder="1"/>
    <xf numFmtId="4" fontId="0" fillId="3" borderId="3" xfId="0" applyNumberFormat="1" applyFill="1" applyBorder="1"/>
    <xf numFmtId="0" fontId="0" fillId="4" borderId="2" xfId="2" applyFont="1" applyFill="1" applyBorder="1"/>
    <xf numFmtId="17" fontId="0" fillId="4" borderId="2" xfId="2" applyNumberFormat="1" applyFont="1" applyFill="1" applyBorder="1"/>
    <xf numFmtId="0" fontId="0" fillId="4" borderId="2" xfId="0" applyFill="1" applyBorder="1" applyAlignment="1">
      <alignment vertical="center"/>
    </xf>
    <xf numFmtId="0" fontId="3" fillId="7" borderId="5" xfId="0" applyFont="1" applyFill="1" applyBorder="1"/>
    <xf numFmtId="0" fontId="0" fillId="7" borderId="5" xfId="0" applyFill="1" applyBorder="1"/>
    <xf numFmtId="0" fontId="0" fillId="0" borderId="6" xfId="0" applyBorder="1"/>
    <xf numFmtId="0" fontId="3" fillId="10" borderId="5" xfId="0" applyFont="1" applyFill="1" applyBorder="1"/>
    <xf numFmtId="0" fontId="0" fillId="42" borderId="0" xfId="0" applyFill="1"/>
    <xf numFmtId="43" fontId="7" fillId="8" borderId="0" xfId="1" applyFont="1" applyFill="1"/>
    <xf numFmtId="43" fontId="7" fillId="8" borderId="0" xfId="1" applyFont="1" applyFill="1" applyBorder="1"/>
    <xf numFmtId="0" fontId="26" fillId="4" borderId="2" xfId="0" applyFont="1" applyFill="1" applyBorder="1"/>
    <xf numFmtId="0" fontId="24" fillId="43" borderId="2" xfId="0" applyFont="1" applyFill="1" applyBorder="1"/>
    <xf numFmtId="0" fontId="24" fillId="43" borderId="2" xfId="0" applyFont="1" applyFill="1" applyBorder="1" applyAlignment="1">
      <alignment horizontal="left" vertical="center" indent="1"/>
    </xf>
    <xf numFmtId="0" fontId="0" fillId="0" borderId="1" xfId="0" applyBorder="1"/>
    <xf numFmtId="0" fontId="1" fillId="2" borderId="5" xfId="0" applyFont="1" applyFill="1" applyBorder="1" applyAlignment="1">
      <alignment horizontal="center" vertical="center" wrapText="1"/>
    </xf>
    <xf numFmtId="0" fontId="7" fillId="8" borderId="16" xfId="0" applyFont="1" applyFill="1" applyBorder="1"/>
    <xf numFmtId="0" fontId="7" fillId="8" borderId="17" xfId="0" applyFont="1" applyFill="1" applyBorder="1"/>
    <xf numFmtId="0" fontId="7" fillId="8" borderId="5" xfId="0" applyFont="1" applyFill="1" applyBorder="1"/>
    <xf numFmtId="0" fontId="7" fillId="44" borderId="5" xfId="0" applyFont="1" applyFill="1" applyBorder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5" xfId="2" xr:uid="{779DFA24-48C8-44A0-9443-4E4D6BB017DE}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5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  <fill>
        <patternFill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  <fill>
        <patternFill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  <fill>
        <patternFill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>
          <bgColor theme="0" tint="-0.1499984740745262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>
          <bgColor theme="0" tint="-0.1499984740745262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0" tint="-0.14999847407452621"/>
        </patternFill>
      </fill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0" tint="-0.14999847407452621"/>
        </patternFill>
      </fill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0" tint="-0.14999847407452621"/>
        </patternFill>
      </fill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>
          <bgColor theme="0" tint="-0.1499984740745262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>
          <bgColor theme="0" tint="-0.1499984740745262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>
          <bgColor theme="0" tint="-0.1499984740745262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0" tint="-0.1499984740745262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0" tint="-0.1499984740745262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>
          <bgColor theme="0" tint="-0.1499984740745262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>
          <bgColor theme="0" tint="-0.1499984740745262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>
          <bgColor theme="0" tint="-0.1499984740745262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>
          <bgColor theme="0" tint="-0.1499984740745262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>
          <bgColor theme="0" tint="-0.1499984740745262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>
          <bgColor rgb="FFD9D9D9"/>
        </patternFill>
      </fill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0" tint="-0.14999847407452621"/>
        </patternFill>
      </fill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>
          <bgColor theme="0" tint="-0.1499984740745262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>
          <bgColor theme="0" tint="-0.1499984740745262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0" tint="-0.14999847407452621"/>
        </patternFill>
      </fill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0" tint="-0.14999847407452621"/>
        </patternFill>
      </fill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0" tint="-0.14999847407452621"/>
        </patternFill>
      </fill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>
          <bgColor theme="0" tint="-0.1499984740745262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>
          <bgColor theme="0" tint="-0.1499984740745262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>
          <bgColor theme="0" tint="-0.1499984740745262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>
          <bgColor theme="0" tint="-0.1499984740745262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>
          <bgColor theme="0" tint="-0.1499984740745262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>
          <bgColor theme="0" tint="-0.1499984740745262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>
          <bgColor theme="0" tint="-0.1499984740745262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>
          <bgColor theme="0" tint="-0.1499984740745262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>
          <bgColor theme="0" tint="-0.1499984740745262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70B921-0A82-42FB-8AA1-2F94EC107E01}" name="Table4" displayName="Table4" ref="A1:T2362" totalsRowShown="0" headerRowDxfId="56" dataDxfId="54" headerRowBorderDxfId="55" tableBorderDxfId="53" totalsRowBorderDxfId="52">
  <autoFilter ref="A1:T2362" xr:uid="{A7D38369-0BD2-4C0E-938F-87D1CF99B0EA}"/>
  <tableColumns count="20">
    <tableColumn id="1" xr3:uid="{0B00DA79-06E1-4695-ACD7-7C0C1B5F5B23}" name="Item no" dataDxfId="51"/>
    <tableColumn id="7" xr3:uid="{E5E8F244-E4C7-41F8-8DCB-D47DEF5ED78F}" name="New Item Description" dataDxfId="50"/>
    <tableColumn id="12" xr3:uid="{41B41287-4413-48E6-A4D9-05685DE33F8E}" name="New Item Group" dataDxfId="49"/>
    <tableColumn id="4" xr3:uid="{147928D1-57D3-49F6-9639-40A726192F1D}" name="Item Cost" dataDxfId="48"/>
    <tableColumn id="10" xr3:uid="{CFC05D63-2B2B-4C78-A97D-7725B5ED45A6}" name="New Inventory" dataDxfId="47"/>
    <tableColumn id="5" xr3:uid="{D8784995-F2C0-4A6F-9198-556F9C8A851C}" name="In Stock" dataDxfId="46"/>
    <tableColumn id="15" xr3:uid="{748C96EC-100F-4D8B-A32F-FC3CDC070532}" name="Total Cost" dataDxfId="45" dataCellStyle="Comma">
      <calculatedColumnFormula>Table4[[#This Row],[Item Cost]]*Table4[[#This Row],[In Stock]]</calculatedColumnFormula>
    </tableColumn>
    <tableColumn id="3" xr3:uid="{FABE9540-1B5C-4190-AE8F-1C326FC8B989}" name="Department" dataDxfId="44"/>
    <tableColumn id="6" xr3:uid="{6347A05E-18F5-4FD9-95B9-A632F0343DB0}" name="Category" dataDxfId="43"/>
    <tableColumn id="8" xr3:uid="{B8B9760F-E3F2-43AE-9BD8-74C268AD0226}" name="Machine" dataDxfId="42"/>
    <tableColumn id="9" xr3:uid="{696A701E-922E-4925-BABE-8BB87313ABD9}" name="Product Nature" dataDxfId="41"/>
    <tableColumn id="11" xr3:uid="{1FBCF079-9A3E-4331-9C00-7998E6D25FC3}" name="Category2" dataDxfId="40"/>
    <tableColumn id="16" xr3:uid="{420C64F0-1E51-4199-9425-40383F267D0A}" name="Seq" dataDxfId="39" dataCellStyle="Comma">
      <calculatedColumnFormula>IF(LEN(COUNTIFS($H$1:H2,$H2,$I$1:I2,$I2,$J$1:J2,$J2,$K$1:K2,K2,$L$1:L2,L2))=1,"00"&amp;COUNTIFS($H$1:H2,$H2,$I$1:I2,$I2,$J$1:J2,$J2,$K$1:K2,K2,$L$1:L2,L2),IF(LEN(COUNTIFS($H$1:H2,$H2,$I$1:I2,$I2,$J$1:J2,$J2,$K$1:K2,K2,$L$1:L2,L2))=2,"0"&amp;COUNTIFS($H$1:H2,$H2,$I$1:I2,$I2,$J$1:J2,$J2,$K$1:K2,K2,$L$1:L2,L2),COUNTIFS($H$1:H2,$H2,$I$1:I2,$I2,$J$1:J2,$J2,$K$1:K2,K2,$L$1:L2,L2)))</calculatedColumnFormula>
    </tableColumn>
    <tableColumn id="13" xr3:uid="{8AE8D844-79CD-4332-9879-D6715AB6004B}" name="New Item Code" dataDxfId="38">
      <calculatedColumnFormula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calculatedColumnFormula>
    </tableColumn>
    <tableColumn id="14" xr3:uid="{59E50A75-7017-4594-9DA1-AC6102A5F186}" name="len" dataDxfId="37">
      <calculatedColumnFormula>+LEN(Table4[[#This Row],[New Item Code]])</calculatedColumnFormula>
    </tableColumn>
    <tableColumn id="17" xr3:uid="{FA02AD67-FD1E-473B-B0FE-7C929D60D13D}" name="Item Group " dataDxfId="36"/>
    <tableColumn id="19" xr3:uid="{8D7D74E1-8D09-4278-B224-50437273AFEB}" name="Item Group Name" dataDxfId="35"/>
    <tableColumn id="18" xr3:uid="{A568A184-119C-4A9B-8279-F623976DFDA5}" name="Product group" dataDxfId="34"/>
    <tableColumn id="20" xr3:uid="{2A241856-8178-40CF-98B1-D8A2219B2B03}" name="Product group Description" dataDxfId="33"/>
    <tableColumn id="21" xr3:uid="{BEB3A7C4-213C-4005-A52F-8F20EDE3ACB5}" name="Column1" dataDxfId="3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9171FB-12A8-41EB-8F57-CA1B6473EF2F}" name="Table43" displayName="Table43" ref="A1:U1670" totalsRowShown="0" headerRowDxfId="31" dataDxfId="29" headerRowBorderDxfId="30" tableBorderDxfId="28" totalsRowBorderDxfId="27">
  <autoFilter ref="A1:U1670" xr:uid="{419171FB-12A8-41EB-8F57-CA1B6473EF2F}"/>
  <sortState xmlns:xlrd2="http://schemas.microsoft.com/office/spreadsheetml/2017/richdata2" ref="A528:U679">
    <sortCondition ref="A1:A1670"/>
  </sortState>
  <tableColumns count="21">
    <tableColumn id="1" xr3:uid="{94E4E3B2-A22E-46E5-89C0-D9C7BDCC8E7A}" name="Search I code" dataDxfId="26"/>
    <tableColumn id="7" xr3:uid="{4016F37B-48A1-417B-9CC4-ADD9DFA0171C}" name="New Item Description" dataDxfId="25"/>
    <tableColumn id="12" xr3:uid="{7EB7B9F0-0BB0-4D9C-9454-2D9B80FFE221}" name="New Item Group" dataDxfId="24"/>
    <tableColumn id="4" xr3:uid="{A5FA4436-525D-46AB-927B-B88D10708E76}" name="Item Cost" dataDxfId="23"/>
    <tableColumn id="10" xr3:uid="{036BA6B2-C452-439A-953D-C003E8142F85}" name="New Inventory" dataDxfId="22"/>
    <tableColumn id="22" xr3:uid="{E4ED5336-0A34-4F22-9B8D-C525527886FE}" name="Min" dataDxfId="21"/>
    <tableColumn id="2" xr3:uid="{1AB0597E-C813-4EBA-B78F-386E3507CFA2}" name="Max" dataDxfId="20"/>
    <tableColumn id="5" xr3:uid="{1CBFC9FE-9DE1-40BA-8D9C-6DD7303C6E7D}" name="In Stock" dataDxfId="19"/>
    <tableColumn id="15" xr3:uid="{BE651E9C-90C7-4A4D-8521-C6071866C07B}" name="Total Cost" dataDxfId="18" dataCellStyle="Comma">
      <calculatedColumnFormula>Table43[[#This Row],[Item Cost]]*Table43[[#This Row],[In Stock]]</calculatedColumnFormula>
    </tableColumn>
    <tableColumn id="3" xr3:uid="{F156868C-281F-4A40-B0FD-A80F2D9F7BC9}" name="Department" dataDxfId="17"/>
    <tableColumn id="6" xr3:uid="{6055BE60-29DE-4C9B-A87F-878059BBC470}" name="Category" dataDxfId="16"/>
    <tableColumn id="8" xr3:uid="{55C78C55-683C-4D3B-A9A8-F9A69399FB76}" name="Machine" dataDxfId="15"/>
    <tableColumn id="9" xr3:uid="{7466A658-AC29-4B27-A617-C7D419AB79CD}" name="Product Nature" dataDxfId="14"/>
    <tableColumn id="11" xr3:uid="{E7CF7EFB-ED9C-4936-BFC5-93B797EE3FF7}" name="Category2" dataDxfId="13"/>
    <tableColumn id="16" xr3:uid="{CDE05480-96A9-49D6-BD7D-D37496156F96}" name="Seq" dataDxfId="12" dataCellStyle="Comma">
      <calculatedColumnFormula>IF(LEN(COUNTIFS($J$1:J2,$J2,$K$1:K2,$K2,$L$1:L2,$L2,$M$1:M2,M2,$N$1:N2,N2))=1,"00"&amp;COUNTIFS($J$1:J2,$J2,$K$1:K2,$K2,$L$1:L2,$L2,$M$1:M2,M2,$N$1:N2,N2),IF(LEN(COUNTIFS($J$1:J2,$J2,$K$1:K2,$K2,$L$1:L2,$L2,$M$1:M2,M2,$N$1:N2,N2))=2,"0"&amp;COUNTIFS($J$1:J2,$J2,$K$1:K2,$K2,$L$1:L2,$L2,$M$1:M2,M2,$N$1:N2,N2),COUNTIFS($J$1:J2,$J2,$K$1:K2,$K2,$L$1:L2,$L2,$M$1:M2,M2,$N$1:N2,N2)))</calculatedColumnFormula>
    </tableColumn>
    <tableColumn id="13" xr3:uid="{FF67C81D-C830-4766-ABE9-3FD37F6E278E}" name="New Item Code" dataDxfId="11">
      <calculatedColumnFormula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calculatedColumnFormula>
    </tableColumn>
    <tableColumn id="18" xr3:uid="{6414F898-3468-4561-A343-5089C644258B}" name="Store Location" dataDxfId="10"/>
    <tableColumn id="14" xr3:uid="{FCED68FA-0F6A-4EC4-86ED-C6C703F211F3}" name="Column1" dataDxfId="9"/>
    <tableColumn id="17" xr3:uid="{38D66B1B-A1CD-46FF-83E8-33CDC5EC424A}" name="Column2" dataDxfId="8"/>
    <tableColumn id="19" xr3:uid="{DB91F11A-5D72-4076-9B8C-83B434B9A48B}" name="Invnetory in Qty" dataDxfId="7">
      <calculatedColumnFormula>+IFERROR(_xlfn.XLOOKUP(Table43[[#This Row],[Column1]],#REF!,#REF!),0)</calculatedColumnFormula>
    </tableColumn>
    <tableColumn id="20" xr3:uid="{DC7B9098-8818-49DC-A69B-2F793FFBC6EF}" name="Invnetory in Value" dataDxfId="6" dataCellStyle="Comma">
      <calculatedColumnFormula>IFERROR(_xlfn.XLOOKUP(Table43[[#This Row],[Column1]],#REF!,#REF!),0)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264E0-D199-408A-83E6-98371EB0AE81}">
  <dimension ref="A1:T2362"/>
  <sheetViews>
    <sheetView topLeftCell="A266" zoomScale="70" zoomScaleNormal="70" workbookViewId="0">
      <selection activeCell="J297" sqref="J297"/>
    </sheetView>
  </sheetViews>
  <sheetFormatPr defaultRowHeight="14.5" x14ac:dyDescent="0.35"/>
  <cols>
    <col min="1" max="1" width="13.54296875" customWidth="1"/>
    <col min="2" max="2" width="54.36328125" customWidth="1"/>
    <col min="3" max="3" width="26.54296875" customWidth="1"/>
    <col min="4" max="4" width="10.90625" customWidth="1"/>
    <col min="5" max="5" width="14.6328125" customWidth="1"/>
    <col min="7" max="7" width="13.36328125" style="24" customWidth="1"/>
    <col min="8" max="8" width="13.36328125" bestFit="1" customWidth="1"/>
    <col min="9" max="9" width="13.08984375" bestFit="1" customWidth="1"/>
    <col min="10" max="10" width="20" bestFit="1" customWidth="1"/>
    <col min="11" max="11" width="15.90625" bestFit="1" customWidth="1"/>
    <col min="12" max="12" width="17.453125" bestFit="1" customWidth="1"/>
    <col min="13" max="13" width="11.54296875" style="18" bestFit="1" customWidth="1"/>
    <col min="14" max="14" width="20.453125" bestFit="1" customWidth="1"/>
    <col min="16" max="16" width="12.90625" bestFit="1" customWidth="1"/>
    <col min="17" max="17" width="12.90625" customWidth="1"/>
    <col min="18" max="18" width="14.6328125" bestFit="1" customWidth="1"/>
    <col min="19" max="19" width="25.08984375" bestFit="1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3" t="s">
        <v>6</v>
      </c>
      <c r="H1" s="19" t="s">
        <v>4737</v>
      </c>
      <c r="I1" s="20" t="s">
        <v>4738</v>
      </c>
      <c r="J1" s="20" t="s">
        <v>4739</v>
      </c>
      <c r="K1" s="20" t="s">
        <v>4740</v>
      </c>
      <c r="L1" s="20" t="s">
        <v>4741</v>
      </c>
      <c r="M1" s="16" t="s">
        <v>4744</v>
      </c>
      <c r="N1" s="1" t="s">
        <v>4742</v>
      </c>
      <c r="O1" s="1" t="s">
        <v>4743</v>
      </c>
      <c r="P1" s="1" t="s">
        <v>4745</v>
      </c>
      <c r="Q1" s="1" t="s">
        <v>4748</v>
      </c>
      <c r="R1" s="1" t="s">
        <v>4746</v>
      </c>
      <c r="S1" s="1" t="s">
        <v>4750</v>
      </c>
      <c r="T1" s="1" t="s">
        <v>4659</v>
      </c>
    </row>
    <row r="2" spans="1:20" x14ac:dyDescent="0.35">
      <c r="A2" s="2" t="s">
        <v>7</v>
      </c>
      <c r="B2" s="2" t="s">
        <v>8</v>
      </c>
      <c r="C2" s="2" t="s">
        <v>9</v>
      </c>
      <c r="D2" s="2">
        <v>84.213999999999999</v>
      </c>
      <c r="E2" s="2" t="s">
        <v>10</v>
      </c>
      <c r="F2" s="2">
        <v>20</v>
      </c>
      <c r="G2" s="22">
        <f>Table4[[#This Row],[Item Cost]]*Table4[[#This Row],[In Stock]]</f>
        <v>1684.28</v>
      </c>
      <c r="H2" s="12" t="s">
        <v>4661</v>
      </c>
      <c r="I2" s="13" t="s">
        <v>4664</v>
      </c>
      <c r="J2" s="13" t="s">
        <v>4677</v>
      </c>
      <c r="K2" t="s">
        <v>4778</v>
      </c>
      <c r="L2" s="12" t="s">
        <v>4672</v>
      </c>
      <c r="M2" s="17" t="str">
        <f>IF(LEN(COUNTIFS($H$1:H2,$H2,$I$1:I2,$I2,$J$1:J2,$J2,$K$1:K2,K2,$L$1:L2,L2))=1,"00"&amp;COUNTIFS($H$1:H2,$H2,$I$1:I2,$I2,$J$1:J2,$J2,$K$1:K2,K2,$L$1:L2,L2),IF(LEN(COUNTIFS($H$1:H2,$H2,$I$1:I2,$I2,$J$1:J2,$J2,$K$1:K2,K2,$L$1:L2,L2))=2,"0"&amp;COUNTIFS($H$1:H2,$H2,$I$1:I2,$I2,$J$1:J2,$J2,$K$1:K2,K2,$L$1:L2,L2),COUNTIFS($H$1:H2,$H2,$I$1:I2,$I2,$J$1:J2,$J2,$K$1:K2,K2,$L$1:L2,L2)))</f>
        <v>001</v>
      </c>
      <c r="N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" s="14" t="e">
        <f>+LEN(Table4[[#This Row],[New Item Code]])</f>
        <v>#N/A</v>
      </c>
      <c r="P2" s="15" t="s">
        <v>4747</v>
      </c>
      <c r="Q2" s="15" t="s">
        <v>4749</v>
      </c>
      <c r="R2" s="15"/>
      <c r="S2" s="15" t="s">
        <v>4751</v>
      </c>
      <c r="T2" s="15" t="s">
        <v>4677</v>
      </c>
    </row>
    <row r="3" spans="1:20" x14ac:dyDescent="0.35">
      <c r="A3" s="3" t="s">
        <v>11</v>
      </c>
      <c r="B3" s="3" t="s">
        <v>12</v>
      </c>
      <c r="C3" s="3" t="s">
        <v>9</v>
      </c>
      <c r="D3" s="3">
        <v>76.194000000000003</v>
      </c>
      <c r="E3" s="3" t="s">
        <v>10</v>
      </c>
      <c r="F3" s="3">
        <v>20</v>
      </c>
      <c r="G3" s="21">
        <f>Table4[[#This Row],[Item Cost]]*Table4[[#This Row],[In Stock]]</f>
        <v>1523.88</v>
      </c>
      <c r="H3" s="12" t="s">
        <v>4661</v>
      </c>
      <c r="I3" s="13" t="s">
        <v>4664</v>
      </c>
      <c r="J3" s="13" t="s">
        <v>4677</v>
      </c>
      <c r="K3" t="s">
        <v>4778</v>
      </c>
      <c r="L3" s="12" t="s">
        <v>4672</v>
      </c>
      <c r="M3" s="17" t="str">
        <f>IF(LEN(COUNTIFS($H$1:H3,$H3,$I$1:I3,$I3,$J$1:J3,$J3,$K$1:K3,K3,$L$1:L3,L3))=1,"00"&amp;COUNTIFS($H$1:H3,$H3,$I$1:I3,$I3,$J$1:J3,$J3,$K$1:K3,K3,$L$1:L3,L3),IF(LEN(COUNTIFS($H$1:H3,$H3,$I$1:I3,$I3,$J$1:J3,$J3,$K$1:K3,K3,$L$1:L3,L3))=2,"0"&amp;COUNTIFS($H$1:H3,$H3,$I$1:I3,$I3,$J$1:J3,$J3,$K$1:K3,K3,$L$1:L3,L3),COUNTIFS($H$1:H3,$H3,$I$1:I3,$I3,$J$1:J3,$J3,$K$1:K3,K3,$L$1:L3,L3)))</f>
        <v>002</v>
      </c>
      <c r="N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" s="14" t="e">
        <f>+LEN(Table4[[#This Row],[New Item Code]])</f>
        <v>#N/A</v>
      </c>
      <c r="P3" s="15" t="s">
        <v>4747</v>
      </c>
      <c r="Q3" s="15" t="s">
        <v>4749</v>
      </c>
      <c r="R3" s="15"/>
      <c r="S3" s="15" t="s">
        <v>4751</v>
      </c>
      <c r="T3" s="15" t="s">
        <v>4677</v>
      </c>
    </row>
    <row r="4" spans="1:20" x14ac:dyDescent="0.35">
      <c r="A4" s="2" t="s">
        <v>13</v>
      </c>
      <c r="B4" s="2" t="s">
        <v>14</v>
      </c>
      <c r="C4" s="2" t="s">
        <v>9</v>
      </c>
      <c r="D4" s="4">
        <v>33284.660000000003</v>
      </c>
      <c r="E4" s="2" t="s">
        <v>10</v>
      </c>
      <c r="F4" s="2">
        <v>1</v>
      </c>
      <c r="G4" s="22">
        <f>Table4[[#This Row],[Item Cost]]*Table4[[#This Row],[In Stock]]</f>
        <v>33284.660000000003</v>
      </c>
      <c r="H4" s="12" t="s">
        <v>4661</v>
      </c>
      <c r="I4" s="13" t="s">
        <v>4664</v>
      </c>
      <c r="J4" s="13" t="s">
        <v>4677</v>
      </c>
      <c r="K4" s="13" t="s">
        <v>4734</v>
      </c>
      <c r="L4" s="12" t="s">
        <v>4672</v>
      </c>
      <c r="M4" s="17" t="str">
        <f>IF(LEN(COUNTIFS($H$1:H4,$H4,$I$1:I4,$I4,$J$1:J4,$J4,$K$1:K4,K4,$L$1:L4,L4))=1,"00"&amp;COUNTIFS($H$1:H4,$H4,$I$1:I4,$I4,$J$1:J4,$J4,$K$1:K4,K4,$L$1:L4,L4),IF(LEN(COUNTIFS($H$1:H4,$H4,$I$1:I4,$I4,$J$1:J4,$J4,$K$1:K4,K4,$L$1:L4,L4))=2,"0"&amp;COUNTIFS($H$1:H4,$H4,$I$1:I4,$I4,$J$1:J4,$J4,$K$1:K4,K4,$L$1:L4,L4),COUNTIFS($H$1:H4,$H4,$I$1:I4,$I4,$J$1:J4,$J4,$K$1:K4,K4,$L$1:L4,L4)))</f>
        <v>001</v>
      </c>
      <c r="N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" s="14" t="e">
        <f>+LEN(Table4[[#This Row],[New Item Code]])</f>
        <v>#N/A</v>
      </c>
      <c r="P4" s="15" t="s">
        <v>4747</v>
      </c>
      <c r="Q4" s="15" t="s">
        <v>4749</v>
      </c>
      <c r="R4" s="15"/>
      <c r="S4" s="15" t="s">
        <v>4751</v>
      </c>
      <c r="T4" s="15" t="s">
        <v>4677</v>
      </c>
    </row>
    <row r="5" spans="1:20" x14ac:dyDescent="0.35">
      <c r="A5" s="3" t="s">
        <v>16</v>
      </c>
      <c r="B5" s="3" t="s">
        <v>17</v>
      </c>
      <c r="C5" s="3" t="s">
        <v>9</v>
      </c>
      <c r="D5" s="3">
        <v>200.51</v>
      </c>
      <c r="E5" s="3" t="s">
        <v>10</v>
      </c>
      <c r="F5" s="3">
        <v>1</v>
      </c>
      <c r="G5" s="21">
        <f>Table4[[#This Row],[Item Cost]]*Table4[[#This Row],[In Stock]]</f>
        <v>200.51</v>
      </c>
      <c r="H5" s="12" t="s">
        <v>4661</v>
      </c>
      <c r="I5" s="13" t="s">
        <v>4664</v>
      </c>
      <c r="J5" s="13" t="s">
        <v>4677</v>
      </c>
      <c r="K5" s="13" t="s">
        <v>4672</v>
      </c>
      <c r="L5" s="12" t="s">
        <v>4672</v>
      </c>
      <c r="M5" s="17" t="str">
        <f>IF(LEN(COUNTIFS($H$1:H5,$H5,$I$1:I5,$I5,$J$1:J5,$J5,$K$1:K5,K5,$L$1:L5,L5))=1,"00"&amp;COUNTIFS($H$1:H5,$H5,$I$1:I5,$I5,$J$1:J5,$J5,$K$1:K5,K5,$L$1:L5,L5),IF(LEN(COUNTIFS($H$1:H5,$H5,$I$1:I5,$I5,$J$1:J5,$J5,$K$1:K5,K5,$L$1:L5,L5))=2,"0"&amp;COUNTIFS($H$1:H5,$H5,$I$1:I5,$I5,$J$1:J5,$J5,$K$1:K5,K5,$L$1:L5,L5),COUNTIFS($H$1:H5,$H5,$I$1:I5,$I5,$J$1:J5,$J5,$K$1:K5,K5,$L$1:L5,L5)))</f>
        <v>001</v>
      </c>
      <c r="N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" s="14" t="e">
        <f>+LEN(Table4[[#This Row],[New Item Code]])</f>
        <v>#N/A</v>
      </c>
      <c r="P5" s="15" t="s">
        <v>4747</v>
      </c>
      <c r="Q5" s="15" t="s">
        <v>4749</v>
      </c>
      <c r="R5" s="15"/>
      <c r="S5" s="15" t="s">
        <v>4751</v>
      </c>
      <c r="T5" s="15" t="s">
        <v>4677</v>
      </c>
    </row>
    <row r="6" spans="1:20" x14ac:dyDescent="0.35">
      <c r="A6" s="2" t="s">
        <v>18</v>
      </c>
      <c r="B6" s="2" t="s">
        <v>19</v>
      </c>
      <c r="C6" s="2" t="s">
        <v>9</v>
      </c>
      <c r="D6" s="4">
        <v>2726.94</v>
      </c>
      <c r="E6" s="2" t="s">
        <v>10</v>
      </c>
      <c r="F6" s="2">
        <v>1</v>
      </c>
      <c r="G6" s="22">
        <f>Table4[[#This Row],[Item Cost]]*Table4[[#This Row],[In Stock]]</f>
        <v>2726.94</v>
      </c>
      <c r="H6" s="12" t="s">
        <v>4661</v>
      </c>
      <c r="I6" s="13" t="s">
        <v>4664</v>
      </c>
      <c r="J6" s="13" t="s">
        <v>4677</v>
      </c>
      <c r="K6" t="s">
        <v>4781</v>
      </c>
      <c r="L6" s="12" t="s">
        <v>4672</v>
      </c>
      <c r="M6" s="17" t="str">
        <f>IF(LEN(COUNTIFS($H$1:H6,$H6,$I$1:I6,$I6,$J$1:J6,$J6,$K$1:K6,K6,$L$1:L6,L6))=1,"00"&amp;COUNTIFS($H$1:H6,$H6,$I$1:I6,$I6,$J$1:J6,$J6,$K$1:K6,K6,$L$1:L6,L6),IF(LEN(COUNTIFS($H$1:H6,$H6,$I$1:I6,$I6,$J$1:J6,$J6,$K$1:K6,K6,$L$1:L6,L6))=2,"0"&amp;COUNTIFS($H$1:H6,$H6,$I$1:I6,$I6,$J$1:J6,$J6,$K$1:K6,K6,$L$1:L6,L6),COUNTIFS($H$1:H6,$H6,$I$1:I6,$I6,$J$1:J6,$J6,$K$1:K6,K6,$L$1:L6,L6)))</f>
        <v>001</v>
      </c>
      <c r="N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" s="14" t="e">
        <f>+LEN(Table4[[#This Row],[New Item Code]])</f>
        <v>#N/A</v>
      </c>
      <c r="P6" s="15" t="s">
        <v>4747</v>
      </c>
      <c r="Q6" s="15" t="s">
        <v>4749</v>
      </c>
      <c r="R6" s="15"/>
      <c r="S6" s="15" t="s">
        <v>4751</v>
      </c>
      <c r="T6" s="15" t="s">
        <v>4677</v>
      </c>
    </row>
    <row r="7" spans="1:20" x14ac:dyDescent="0.35">
      <c r="A7" s="3" t="s">
        <v>20</v>
      </c>
      <c r="B7" s="3" t="s">
        <v>21</v>
      </c>
      <c r="C7" s="3" t="s">
        <v>9</v>
      </c>
      <c r="D7" s="5">
        <v>5072.01</v>
      </c>
      <c r="E7" s="3" t="s">
        <v>10</v>
      </c>
      <c r="F7" s="3">
        <v>1</v>
      </c>
      <c r="G7" s="21">
        <f>Table4[[#This Row],[Item Cost]]*Table4[[#This Row],[In Stock]]</f>
        <v>5072.01</v>
      </c>
      <c r="H7" s="12" t="s">
        <v>4661</v>
      </c>
      <c r="I7" s="13" t="s">
        <v>4664</v>
      </c>
      <c r="J7" s="13" t="s">
        <v>4677</v>
      </c>
      <c r="K7" t="s">
        <v>4781</v>
      </c>
      <c r="L7" s="12" t="s">
        <v>4672</v>
      </c>
      <c r="M7" s="17" t="str">
        <f>IF(LEN(COUNTIFS($H$1:H7,$H7,$I$1:I7,$I7,$J$1:J7,$J7,$K$1:K7,K7,$L$1:L7,L7))=1,"00"&amp;COUNTIFS($H$1:H7,$H7,$I$1:I7,$I7,$J$1:J7,$J7,$K$1:K7,K7,$L$1:L7,L7),IF(LEN(COUNTIFS($H$1:H7,$H7,$I$1:I7,$I7,$J$1:J7,$J7,$K$1:K7,K7,$L$1:L7,L7))=2,"0"&amp;COUNTIFS($H$1:H7,$H7,$I$1:I7,$I7,$J$1:J7,$J7,$K$1:K7,K7,$L$1:L7,L7),COUNTIFS($H$1:H7,$H7,$I$1:I7,$I7,$J$1:J7,$J7,$K$1:K7,K7,$L$1:L7,L7)))</f>
        <v>002</v>
      </c>
      <c r="N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" s="14" t="e">
        <f>+LEN(Table4[[#This Row],[New Item Code]])</f>
        <v>#N/A</v>
      </c>
      <c r="P7" s="15" t="s">
        <v>4747</v>
      </c>
      <c r="Q7" s="15" t="s">
        <v>4749</v>
      </c>
      <c r="R7" s="15"/>
      <c r="S7" s="15" t="s">
        <v>4751</v>
      </c>
      <c r="T7" s="15" t="s">
        <v>4677</v>
      </c>
    </row>
    <row r="8" spans="1:20" x14ac:dyDescent="0.35">
      <c r="A8" s="2" t="s">
        <v>22</v>
      </c>
      <c r="B8" s="2" t="s">
        <v>23</v>
      </c>
      <c r="C8" s="2" t="s">
        <v>9</v>
      </c>
      <c r="D8" s="4">
        <v>1403.57</v>
      </c>
      <c r="E8" s="2" t="s">
        <v>10</v>
      </c>
      <c r="F8" s="2">
        <v>1</v>
      </c>
      <c r="G8" s="22">
        <f>Table4[[#This Row],[Item Cost]]*Table4[[#This Row],[In Stock]]</f>
        <v>1403.57</v>
      </c>
      <c r="H8" s="12" t="s">
        <v>4661</v>
      </c>
      <c r="I8" s="13" t="s">
        <v>4664</v>
      </c>
      <c r="J8" s="13" t="s">
        <v>4677</v>
      </c>
      <c r="K8" t="s">
        <v>4781</v>
      </c>
      <c r="L8" s="12" t="s">
        <v>4672</v>
      </c>
      <c r="M8" s="17" t="str">
        <f>IF(LEN(COUNTIFS($H$1:H8,$H8,$I$1:I8,$I8,$J$1:J8,$J8,$K$1:K8,K8,$L$1:L8,L8))=1,"00"&amp;COUNTIFS($H$1:H8,$H8,$I$1:I8,$I8,$J$1:J8,$J8,$K$1:K8,K8,$L$1:L8,L8),IF(LEN(COUNTIFS($H$1:H8,$H8,$I$1:I8,$I8,$J$1:J8,$J8,$K$1:K8,K8,$L$1:L8,L8))=2,"0"&amp;COUNTIFS($H$1:H8,$H8,$I$1:I8,$I8,$J$1:J8,$J8,$K$1:K8,K8,$L$1:L8,L8),COUNTIFS($H$1:H8,$H8,$I$1:I8,$I8,$J$1:J8,$J8,$K$1:K8,K8,$L$1:L8,L8)))</f>
        <v>003</v>
      </c>
      <c r="N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" s="14" t="e">
        <f>+LEN(Table4[[#This Row],[New Item Code]])</f>
        <v>#N/A</v>
      </c>
      <c r="P8" s="15" t="s">
        <v>4747</v>
      </c>
      <c r="Q8" s="15" t="s">
        <v>4749</v>
      </c>
      <c r="R8" s="15"/>
      <c r="S8" s="15" t="s">
        <v>4751</v>
      </c>
      <c r="T8" s="15" t="s">
        <v>4677</v>
      </c>
    </row>
    <row r="9" spans="1:20" x14ac:dyDescent="0.35">
      <c r="A9" s="3" t="s">
        <v>24</v>
      </c>
      <c r="B9" s="3" t="s">
        <v>25</v>
      </c>
      <c r="C9" s="3" t="s">
        <v>9</v>
      </c>
      <c r="D9" s="5">
        <v>3448.77</v>
      </c>
      <c r="E9" s="3" t="s">
        <v>10</v>
      </c>
      <c r="F9" s="3">
        <v>1</v>
      </c>
      <c r="G9" s="21">
        <f>Table4[[#This Row],[Item Cost]]*Table4[[#This Row],[In Stock]]</f>
        <v>3448.77</v>
      </c>
      <c r="H9" s="12" t="s">
        <v>4661</v>
      </c>
      <c r="I9" s="13" t="s">
        <v>4664</v>
      </c>
      <c r="J9" s="13" t="s">
        <v>4677</v>
      </c>
      <c r="K9" s="13" t="s">
        <v>4672</v>
      </c>
      <c r="L9" s="12" t="s">
        <v>4672</v>
      </c>
      <c r="M9" s="17" t="str">
        <f>IF(LEN(COUNTIFS($H$1:H9,$H9,$I$1:I9,$I9,$J$1:J9,$J9,$K$1:K9,K9,$L$1:L9,L9))=1,"00"&amp;COUNTIFS($H$1:H9,$H9,$I$1:I9,$I9,$J$1:J9,$J9,$K$1:K9,K9,$L$1:L9,L9),IF(LEN(COUNTIFS($H$1:H9,$H9,$I$1:I9,$I9,$J$1:J9,$J9,$K$1:K9,K9,$L$1:L9,L9))=2,"0"&amp;COUNTIFS($H$1:H9,$H9,$I$1:I9,$I9,$J$1:J9,$J9,$K$1:K9,K9,$L$1:L9,L9),COUNTIFS($H$1:H9,$H9,$I$1:I9,$I9,$J$1:J9,$J9,$K$1:K9,K9,$L$1:L9,L9)))</f>
        <v>002</v>
      </c>
      <c r="N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" s="14" t="e">
        <f>+LEN(Table4[[#This Row],[New Item Code]])</f>
        <v>#N/A</v>
      </c>
      <c r="P9" s="15" t="s">
        <v>4747</v>
      </c>
      <c r="Q9" s="15" t="s">
        <v>4749</v>
      </c>
      <c r="R9" s="15"/>
      <c r="S9" s="15" t="s">
        <v>4751</v>
      </c>
      <c r="T9" s="15" t="s">
        <v>4677</v>
      </c>
    </row>
    <row r="10" spans="1:20" x14ac:dyDescent="0.35">
      <c r="A10" s="2" t="s">
        <v>26</v>
      </c>
      <c r="B10" s="2" t="s">
        <v>4657</v>
      </c>
      <c r="C10" s="2" t="s">
        <v>9</v>
      </c>
      <c r="D10" s="4">
        <v>1022.6</v>
      </c>
      <c r="E10" s="2" t="s">
        <v>10</v>
      </c>
      <c r="F10" s="2">
        <v>1</v>
      </c>
      <c r="G10" s="22">
        <f>Table4[[#This Row],[Item Cost]]*Table4[[#This Row],[In Stock]]</f>
        <v>1022.6</v>
      </c>
      <c r="H10" s="12" t="s">
        <v>4661</v>
      </c>
      <c r="I10" s="13" t="s">
        <v>4664</v>
      </c>
      <c r="J10" s="13" t="s">
        <v>4677</v>
      </c>
      <c r="K10" s="13" t="s">
        <v>4672</v>
      </c>
      <c r="L10" s="12" t="s">
        <v>4672</v>
      </c>
      <c r="M10" s="17" t="str">
        <f>IF(LEN(COUNTIFS($H$1:H10,$H10,$I$1:I10,$I10,$J$1:J10,$J10,$K$1:K10,K10,$L$1:L10,L10))=1,"00"&amp;COUNTIFS($H$1:H10,$H10,$I$1:I10,$I10,$J$1:J10,$J10,$K$1:K10,K10,$L$1:L10,L10),IF(LEN(COUNTIFS($H$1:H10,$H10,$I$1:I10,$I10,$J$1:J10,$J10,$K$1:K10,K10,$L$1:L10,L10))=2,"0"&amp;COUNTIFS($H$1:H10,$H10,$I$1:I10,$I10,$J$1:J10,$J10,$K$1:K10,K10,$L$1:L10,L10),COUNTIFS($H$1:H10,$H10,$I$1:I10,$I10,$J$1:J10,$J10,$K$1:K10,K10,$L$1:L10,L10)))</f>
        <v>003</v>
      </c>
      <c r="N1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" s="14" t="e">
        <f>+LEN(Table4[[#This Row],[New Item Code]])</f>
        <v>#N/A</v>
      </c>
      <c r="P10" s="15" t="s">
        <v>4747</v>
      </c>
      <c r="Q10" s="15" t="s">
        <v>4749</v>
      </c>
      <c r="R10" s="15"/>
      <c r="S10" s="15" t="s">
        <v>4751</v>
      </c>
      <c r="T10" s="15" t="s">
        <v>4677</v>
      </c>
    </row>
    <row r="11" spans="1:20" x14ac:dyDescent="0.35">
      <c r="A11" s="3" t="s">
        <v>27</v>
      </c>
      <c r="B11" s="3" t="s">
        <v>4658</v>
      </c>
      <c r="C11" s="3" t="s">
        <v>9</v>
      </c>
      <c r="D11" s="5">
        <v>1423.62</v>
      </c>
      <c r="E11" s="3" t="s">
        <v>10</v>
      </c>
      <c r="F11" s="3">
        <v>1</v>
      </c>
      <c r="G11" s="21">
        <f>Table4[[#This Row],[Item Cost]]*Table4[[#This Row],[In Stock]]</f>
        <v>1423.62</v>
      </c>
      <c r="H11" s="12" t="s">
        <v>4661</v>
      </c>
      <c r="I11" s="13" t="s">
        <v>4664</v>
      </c>
      <c r="J11" s="13" t="s">
        <v>4677</v>
      </c>
      <c r="K11" s="13" t="s">
        <v>4672</v>
      </c>
      <c r="L11" s="12" t="s">
        <v>4672</v>
      </c>
      <c r="M11" s="17" t="str">
        <f>IF(LEN(COUNTIFS($H$1:H11,$H11,$I$1:I11,$I11,$J$1:J11,$J11,$K$1:K11,K11,$L$1:L11,L11))=1,"00"&amp;COUNTIFS($H$1:H11,$H11,$I$1:I11,$I11,$J$1:J11,$J11,$K$1:K11,K11,$L$1:L11,L11),IF(LEN(COUNTIFS($H$1:H11,$H11,$I$1:I11,$I11,$J$1:J11,$J11,$K$1:K11,K11,$L$1:L11,L11))=2,"0"&amp;COUNTIFS($H$1:H11,$H11,$I$1:I11,$I11,$J$1:J11,$J11,$K$1:K11,K11,$L$1:L11,L11),COUNTIFS($H$1:H11,$H11,$I$1:I11,$I11,$J$1:J11,$J11,$K$1:K11,K11,$L$1:L11,L11)))</f>
        <v>004</v>
      </c>
      <c r="N1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" s="14" t="e">
        <f>+LEN(Table4[[#This Row],[New Item Code]])</f>
        <v>#N/A</v>
      </c>
      <c r="P11" s="15" t="s">
        <v>4747</v>
      </c>
      <c r="Q11" s="15" t="s">
        <v>4749</v>
      </c>
      <c r="R11" s="15"/>
      <c r="S11" s="15" t="s">
        <v>4751</v>
      </c>
      <c r="T11" s="15" t="s">
        <v>4677</v>
      </c>
    </row>
    <row r="12" spans="1:20" x14ac:dyDescent="0.35">
      <c r="A12" s="2" t="s">
        <v>28</v>
      </c>
      <c r="B12" s="2" t="s">
        <v>29</v>
      </c>
      <c r="C12" s="2" t="s">
        <v>9</v>
      </c>
      <c r="D12" s="2">
        <v>962.45</v>
      </c>
      <c r="E12" s="2" t="s">
        <v>10</v>
      </c>
      <c r="F12" s="2">
        <v>1</v>
      </c>
      <c r="G12" s="22">
        <f>Table4[[#This Row],[Item Cost]]*Table4[[#This Row],[In Stock]]</f>
        <v>962.45</v>
      </c>
      <c r="H12" s="12" t="s">
        <v>4661</v>
      </c>
      <c r="I12" t="s">
        <v>4793</v>
      </c>
      <c r="J12" s="13" t="s">
        <v>4677</v>
      </c>
      <c r="K12" s="13" t="s">
        <v>4672</v>
      </c>
      <c r="L12" s="12" t="s">
        <v>4672</v>
      </c>
      <c r="M12" s="17" t="str">
        <f>IF(LEN(COUNTIFS($H$1:H12,$H12,$I$1:I12,$I12,$J$1:J12,$J12,$K$1:K12,K12,$L$1:L12,L12))=1,"00"&amp;COUNTIFS($H$1:H12,$H12,$I$1:I12,$I12,$J$1:J12,$J12,$K$1:K12,K12,$L$1:L12,L12),IF(LEN(COUNTIFS($H$1:H12,$H12,$I$1:I12,$I12,$J$1:J12,$J12,$K$1:K12,K12,$L$1:L12,L12))=2,"0"&amp;COUNTIFS($H$1:H12,$H12,$I$1:I12,$I12,$J$1:J12,$J12,$K$1:K12,K12,$L$1:L12,L12),COUNTIFS($H$1:H12,$H12,$I$1:I12,$I12,$J$1:J12,$J12,$K$1:K12,K12,$L$1:L12,L12)))</f>
        <v>001</v>
      </c>
      <c r="N1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" s="14" t="e">
        <f>+LEN(Table4[[#This Row],[New Item Code]])</f>
        <v>#N/A</v>
      </c>
      <c r="P12" s="15" t="s">
        <v>4747</v>
      </c>
      <c r="Q12" s="15" t="s">
        <v>4749</v>
      </c>
      <c r="R12" s="15"/>
      <c r="S12" s="15" t="s">
        <v>4751</v>
      </c>
      <c r="T12" s="15" t="s">
        <v>4677</v>
      </c>
    </row>
    <row r="13" spans="1:20" x14ac:dyDescent="0.35">
      <c r="A13" s="3" t="s">
        <v>30</v>
      </c>
      <c r="B13" s="3" t="s">
        <v>31</v>
      </c>
      <c r="C13" s="3" t="s">
        <v>9</v>
      </c>
      <c r="D13" s="3">
        <v>320.82</v>
      </c>
      <c r="E13" s="3" t="s">
        <v>10</v>
      </c>
      <c r="F13" s="3">
        <v>1</v>
      </c>
      <c r="G13" s="21">
        <f>Table4[[#This Row],[Item Cost]]*Table4[[#This Row],[In Stock]]</f>
        <v>320.82</v>
      </c>
      <c r="H13" s="12" t="s">
        <v>4661</v>
      </c>
      <c r="I13" s="13" t="s">
        <v>4664</v>
      </c>
      <c r="J13" s="13" t="s">
        <v>4677</v>
      </c>
      <c r="K13" s="13" t="s">
        <v>4672</v>
      </c>
      <c r="L13" s="12" t="s">
        <v>4672</v>
      </c>
      <c r="M13" s="17" t="str">
        <f>IF(LEN(COUNTIFS($H$1:H13,$H13,$I$1:I13,$I13,$J$1:J13,$J13,$K$1:K13,K13,$L$1:L13,L13))=1,"00"&amp;COUNTIFS($H$1:H13,$H13,$I$1:I13,$I13,$J$1:J13,$J13,$K$1:K13,K13,$L$1:L13,L13),IF(LEN(COUNTIFS($H$1:H13,$H13,$I$1:I13,$I13,$J$1:J13,$J13,$K$1:K13,K13,$L$1:L13,L13))=2,"0"&amp;COUNTIFS($H$1:H13,$H13,$I$1:I13,$I13,$J$1:J13,$J13,$K$1:K13,K13,$L$1:L13,L13),COUNTIFS($H$1:H13,$H13,$I$1:I13,$I13,$J$1:J13,$J13,$K$1:K13,K13,$L$1:L13,L13)))</f>
        <v>005</v>
      </c>
      <c r="N1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" s="14" t="e">
        <f>+LEN(Table4[[#This Row],[New Item Code]])</f>
        <v>#N/A</v>
      </c>
      <c r="P13" s="15" t="s">
        <v>4747</v>
      </c>
      <c r="Q13" s="15" t="s">
        <v>4749</v>
      </c>
      <c r="R13" s="15"/>
      <c r="S13" s="15" t="s">
        <v>4751</v>
      </c>
      <c r="T13" s="15" t="s">
        <v>4677</v>
      </c>
    </row>
    <row r="14" spans="1:20" x14ac:dyDescent="0.35">
      <c r="A14" s="2" t="s">
        <v>32</v>
      </c>
      <c r="B14" s="2" t="s">
        <v>33</v>
      </c>
      <c r="C14" s="2" t="s">
        <v>9</v>
      </c>
      <c r="D14" s="2">
        <v>160.41</v>
      </c>
      <c r="E14" s="2" t="s">
        <v>10</v>
      </c>
      <c r="F14" s="2">
        <v>1</v>
      </c>
      <c r="G14" s="22">
        <f>Table4[[#This Row],[Item Cost]]*Table4[[#This Row],[In Stock]]</f>
        <v>160.41</v>
      </c>
      <c r="H14" s="12" t="s">
        <v>4661</v>
      </c>
      <c r="I14" s="13" t="s">
        <v>4664</v>
      </c>
      <c r="J14" s="13" t="s">
        <v>4677</v>
      </c>
      <c r="K14" s="13" t="s">
        <v>4672</v>
      </c>
      <c r="L14" s="12" t="s">
        <v>4672</v>
      </c>
      <c r="M14" s="17" t="str">
        <f>IF(LEN(COUNTIFS($H$1:H14,$H14,$I$1:I14,$I14,$J$1:J14,$J14,$K$1:K14,K14,$L$1:L14,L14))=1,"00"&amp;COUNTIFS($H$1:H14,$H14,$I$1:I14,$I14,$J$1:J14,$J14,$K$1:K14,K14,$L$1:L14,L14),IF(LEN(COUNTIFS($H$1:H14,$H14,$I$1:I14,$I14,$J$1:J14,$J14,$K$1:K14,K14,$L$1:L14,L14))=2,"0"&amp;COUNTIFS($H$1:H14,$H14,$I$1:I14,$I14,$J$1:J14,$J14,$K$1:K14,K14,$L$1:L14,L14),COUNTIFS($H$1:H14,$H14,$I$1:I14,$I14,$J$1:J14,$J14,$K$1:K14,K14,$L$1:L14,L14)))</f>
        <v>006</v>
      </c>
      <c r="N1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" s="14" t="e">
        <f>+LEN(Table4[[#This Row],[New Item Code]])</f>
        <v>#N/A</v>
      </c>
      <c r="P14" s="15" t="s">
        <v>4747</v>
      </c>
      <c r="Q14" s="15" t="s">
        <v>4749</v>
      </c>
      <c r="R14" s="15"/>
      <c r="S14" s="15" t="s">
        <v>4751</v>
      </c>
      <c r="T14" s="15" t="s">
        <v>4677</v>
      </c>
    </row>
    <row r="15" spans="1:20" x14ac:dyDescent="0.35">
      <c r="A15" s="3" t="s">
        <v>34</v>
      </c>
      <c r="B15" s="3" t="s">
        <v>35</v>
      </c>
      <c r="C15" s="3" t="s">
        <v>9</v>
      </c>
      <c r="D15" s="3">
        <v>140.36000000000001</v>
      </c>
      <c r="E15" s="3" t="s">
        <v>10</v>
      </c>
      <c r="F15" s="3">
        <v>1</v>
      </c>
      <c r="G15" s="21">
        <f>Table4[[#This Row],[Item Cost]]*Table4[[#This Row],[In Stock]]</f>
        <v>140.36000000000001</v>
      </c>
      <c r="H15" s="12" t="s">
        <v>4661</v>
      </c>
      <c r="I15" s="13" t="s">
        <v>4664</v>
      </c>
      <c r="J15" s="13" t="s">
        <v>4677</v>
      </c>
      <c r="K15" t="s">
        <v>4778</v>
      </c>
      <c r="L15" s="12" t="s">
        <v>4672</v>
      </c>
      <c r="M15" s="17" t="str">
        <f>IF(LEN(COUNTIFS($H$1:H15,$H15,$I$1:I15,$I15,$J$1:J15,$J15,$K$1:K15,K15,$L$1:L15,L15))=1,"00"&amp;COUNTIFS($H$1:H15,$H15,$I$1:I15,$I15,$J$1:J15,$J15,$K$1:K15,K15,$L$1:L15,L15),IF(LEN(COUNTIFS($H$1:H15,$H15,$I$1:I15,$I15,$J$1:J15,$J15,$K$1:K15,K15,$L$1:L15,L15))=2,"0"&amp;COUNTIFS($H$1:H15,$H15,$I$1:I15,$I15,$J$1:J15,$J15,$K$1:K15,K15,$L$1:L15,L15),COUNTIFS($H$1:H15,$H15,$I$1:I15,$I15,$J$1:J15,$J15,$K$1:K15,K15,$L$1:L15,L15)))</f>
        <v>003</v>
      </c>
      <c r="N1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" s="14" t="e">
        <f>+LEN(Table4[[#This Row],[New Item Code]])</f>
        <v>#N/A</v>
      </c>
      <c r="P15" s="15" t="s">
        <v>4747</v>
      </c>
      <c r="Q15" s="15" t="s">
        <v>4749</v>
      </c>
      <c r="R15" s="15"/>
      <c r="S15" s="15" t="s">
        <v>4751</v>
      </c>
      <c r="T15" s="15" t="s">
        <v>4677</v>
      </c>
    </row>
    <row r="16" spans="1:20" x14ac:dyDescent="0.35">
      <c r="A16" s="2" t="s">
        <v>36</v>
      </c>
      <c r="B16" s="2" t="s">
        <v>37</v>
      </c>
      <c r="C16" s="2" t="s">
        <v>9</v>
      </c>
      <c r="D16" s="4">
        <v>6215.81</v>
      </c>
      <c r="E16" s="2" t="s">
        <v>10</v>
      </c>
      <c r="F16" s="2">
        <v>2</v>
      </c>
      <c r="G16" s="22">
        <f>Table4[[#This Row],[Item Cost]]*Table4[[#This Row],[In Stock]]</f>
        <v>12431.62</v>
      </c>
      <c r="H16" s="12" t="s">
        <v>4661</v>
      </c>
      <c r="I16" s="13" t="s">
        <v>4664</v>
      </c>
      <c r="J16" s="13" t="s">
        <v>4677</v>
      </c>
      <c r="K16" t="s">
        <v>4780</v>
      </c>
      <c r="L16" s="12" t="s">
        <v>4672</v>
      </c>
      <c r="M16" s="17" t="str">
        <f>IF(LEN(COUNTIFS($H$1:H16,$H16,$I$1:I16,$I16,$J$1:J16,$J16,$K$1:K16,K16,$L$1:L16,L16))=1,"00"&amp;COUNTIFS($H$1:H16,$H16,$I$1:I16,$I16,$J$1:J16,$J16,$K$1:K16,K16,$L$1:L16,L16),IF(LEN(COUNTIFS($H$1:H16,$H16,$I$1:I16,$I16,$J$1:J16,$J16,$K$1:K16,K16,$L$1:L16,L16))=2,"0"&amp;COUNTIFS($H$1:H16,$H16,$I$1:I16,$I16,$J$1:J16,$J16,$K$1:K16,K16,$L$1:L16,L16),COUNTIFS($H$1:H16,$H16,$I$1:I16,$I16,$J$1:J16,$J16,$K$1:K16,K16,$L$1:L16,L16)))</f>
        <v>001</v>
      </c>
      <c r="N1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" s="14" t="e">
        <f>+LEN(Table4[[#This Row],[New Item Code]])</f>
        <v>#N/A</v>
      </c>
      <c r="P16" s="15" t="s">
        <v>4747</v>
      </c>
      <c r="Q16" s="15" t="s">
        <v>4749</v>
      </c>
      <c r="R16" s="15"/>
      <c r="S16" s="15" t="s">
        <v>4751</v>
      </c>
      <c r="T16" s="15" t="s">
        <v>4677</v>
      </c>
    </row>
    <row r="17" spans="1:20" x14ac:dyDescent="0.35">
      <c r="A17" s="3" t="s">
        <v>38</v>
      </c>
      <c r="B17" s="3" t="s">
        <v>39</v>
      </c>
      <c r="C17" s="3" t="s">
        <v>9</v>
      </c>
      <c r="D17" s="5">
        <v>5213.26</v>
      </c>
      <c r="E17" s="3" t="s">
        <v>10</v>
      </c>
      <c r="F17" s="3">
        <v>1</v>
      </c>
      <c r="G17" s="21">
        <f>Table4[[#This Row],[Item Cost]]*Table4[[#This Row],[In Stock]]</f>
        <v>5213.26</v>
      </c>
      <c r="H17" s="12" t="s">
        <v>4661</v>
      </c>
      <c r="I17" s="13" t="s">
        <v>4664</v>
      </c>
      <c r="J17" s="13" t="s">
        <v>4677</v>
      </c>
      <c r="K17" t="s">
        <v>4780</v>
      </c>
      <c r="L17" s="12" t="s">
        <v>4672</v>
      </c>
      <c r="M17" s="17" t="str">
        <f>IF(LEN(COUNTIFS($H$1:H17,$H17,$I$1:I17,$I17,$J$1:J17,$J17,$K$1:K17,K17,$L$1:L17,L17))=1,"00"&amp;COUNTIFS($H$1:H17,$H17,$I$1:I17,$I17,$J$1:J17,$J17,$K$1:K17,K17,$L$1:L17,L17),IF(LEN(COUNTIFS($H$1:H17,$H17,$I$1:I17,$I17,$J$1:J17,$J17,$K$1:K17,K17,$L$1:L17,L17))=2,"0"&amp;COUNTIFS($H$1:H17,$H17,$I$1:I17,$I17,$J$1:J17,$J17,$K$1:K17,K17,$L$1:L17,L17),COUNTIFS($H$1:H17,$H17,$I$1:I17,$I17,$J$1:J17,$J17,$K$1:K17,K17,$L$1:L17,L17)))</f>
        <v>002</v>
      </c>
      <c r="N1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" s="14" t="e">
        <f>+LEN(Table4[[#This Row],[New Item Code]])</f>
        <v>#N/A</v>
      </c>
      <c r="P17" s="15" t="s">
        <v>4747</v>
      </c>
      <c r="Q17" s="15" t="s">
        <v>4749</v>
      </c>
      <c r="R17" s="15"/>
      <c r="S17" s="15" t="s">
        <v>4751</v>
      </c>
      <c r="T17" s="15" t="s">
        <v>4677</v>
      </c>
    </row>
    <row r="18" spans="1:20" x14ac:dyDescent="0.35">
      <c r="A18" s="2" t="s">
        <v>40</v>
      </c>
      <c r="B18" s="2" t="s">
        <v>41</v>
      </c>
      <c r="C18" s="2" t="s">
        <v>9</v>
      </c>
      <c r="D18" s="2">
        <v>120.30500000000001</v>
      </c>
      <c r="E18" s="2" t="s">
        <v>10</v>
      </c>
      <c r="F18" s="2">
        <v>2</v>
      </c>
      <c r="G18" s="22">
        <f>Table4[[#This Row],[Item Cost]]*Table4[[#This Row],[In Stock]]</f>
        <v>240.61</v>
      </c>
      <c r="H18" s="12" t="s">
        <v>4661</v>
      </c>
      <c r="I18" s="13" t="s">
        <v>4664</v>
      </c>
      <c r="J18" s="13" t="s">
        <v>4677</v>
      </c>
      <c r="K18" s="13" t="s">
        <v>4672</v>
      </c>
      <c r="L18" s="12" t="s">
        <v>4672</v>
      </c>
      <c r="M18" s="17" t="str">
        <f>IF(LEN(COUNTIFS($H$1:H18,$H18,$I$1:I18,$I18,$J$1:J18,$J18,$K$1:K18,K18,$L$1:L18,L18))=1,"00"&amp;COUNTIFS($H$1:H18,$H18,$I$1:I18,$I18,$J$1:J18,$J18,$K$1:K18,K18,$L$1:L18,L18),IF(LEN(COUNTIFS($H$1:H18,$H18,$I$1:I18,$I18,$J$1:J18,$J18,$K$1:K18,K18,$L$1:L18,L18))=2,"0"&amp;COUNTIFS($H$1:H18,$H18,$I$1:I18,$I18,$J$1:J18,$J18,$K$1:K18,K18,$L$1:L18,L18),COUNTIFS($H$1:H18,$H18,$I$1:I18,$I18,$J$1:J18,$J18,$K$1:K18,K18,$L$1:L18,L18)))</f>
        <v>007</v>
      </c>
      <c r="N1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" s="14" t="e">
        <f>+LEN(Table4[[#This Row],[New Item Code]])</f>
        <v>#N/A</v>
      </c>
      <c r="P18" s="15" t="s">
        <v>4747</v>
      </c>
      <c r="Q18" s="15" t="s">
        <v>4749</v>
      </c>
      <c r="R18" s="15"/>
      <c r="S18" s="15" t="s">
        <v>4751</v>
      </c>
      <c r="T18" s="15" t="s">
        <v>4677</v>
      </c>
    </row>
    <row r="19" spans="1:20" x14ac:dyDescent="0.35">
      <c r="A19" s="3" t="s">
        <v>42</v>
      </c>
      <c r="B19" s="3" t="s">
        <v>43</v>
      </c>
      <c r="C19" s="3" t="s">
        <v>9</v>
      </c>
      <c r="D19" s="3">
        <v>379</v>
      </c>
      <c r="E19" s="3" t="s">
        <v>10</v>
      </c>
      <c r="F19" s="3">
        <v>6</v>
      </c>
      <c r="G19" s="21">
        <f>Table4[[#This Row],[Item Cost]]*Table4[[#This Row],[In Stock]]</f>
        <v>2274</v>
      </c>
      <c r="H19" s="12" t="s">
        <v>4661</v>
      </c>
      <c r="I19" s="13" t="s">
        <v>4664</v>
      </c>
      <c r="J19" s="13" t="s">
        <v>4677</v>
      </c>
      <c r="K19" t="s">
        <v>4793</v>
      </c>
      <c r="L19" s="12" t="s">
        <v>4672</v>
      </c>
      <c r="M19" s="17" t="str">
        <f>IF(LEN(COUNTIFS($H$1:H19,$H19,$I$1:I19,$I19,$J$1:J19,$J19,$K$1:K19,K19,$L$1:L19,L19))=1,"00"&amp;COUNTIFS($H$1:H19,$H19,$I$1:I19,$I19,$J$1:J19,$J19,$K$1:K19,K19,$L$1:L19,L19),IF(LEN(COUNTIFS($H$1:H19,$H19,$I$1:I19,$I19,$J$1:J19,$J19,$K$1:K19,K19,$L$1:L19,L19))=2,"0"&amp;COUNTIFS($H$1:H19,$H19,$I$1:I19,$I19,$J$1:J19,$J19,$K$1:K19,K19,$L$1:L19,L19),COUNTIFS($H$1:H19,$H19,$I$1:I19,$I19,$J$1:J19,$J19,$K$1:K19,K19,$L$1:L19,L19)))</f>
        <v>001</v>
      </c>
      <c r="N1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" s="14" t="e">
        <f>+LEN(Table4[[#This Row],[New Item Code]])</f>
        <v>#N/A</v>
      </c>
      <c r="P19" s="15" t="s">
        <v>4747</v>
      </c>
      <c r="Q19" s="15" t="s">
        <v>4749</v>
      </c>
      <c r="R19" s="15"/>
      <c r="S19" s="15" t="s">
        <v>4751</v>
      </c>
      <c r="T19" s="15" t="s">
        <v>4677</v>
      </c>
    </row>
    <row r="20" spans="1:20" x14ac:dyDescent="0.35">
      <c r="A20" s="2" t="s">
        <v>44</v>
      </c>
      <c r="B20" s="2" t="s">
        <v>45</v>
      </c>
      <c r="C20" s="2" t="s">
        <v>9</v>
      </c>
      <c r="D20" s="2">
        <v>124</v>
      </c>
      <c r="E20" s="2" t="s">
        <v>10</v>
      </c>
      <c r="F20" s="2">
        <v>7</v>
      </c>
      <c r="G20" s="22">
        <f>Table4[[#This Row],[Item Cost]]*Table4[[#This Row],[In Stock]]</f>
        <v>868</v>
      </c>
      <c r="H20" s="12" t="s">
        <v>4661</v>
      </c>
      <c r="I20" s="13" t="s">
        <v>4664</v>
      </c>
      <c r="J20" s="13" t="s">
        <v>4677</v>
      </c>
      <c r="K20" s="13" t="s">
        <v>4672</v>
      </c>
      <c r="L20" s="12" t="s">
        <v>4672</v>
      </c>
      <c r="M20" s="17" t="str">
        <f>IF(LEN(COUNTIFS($H$1:H20,$H20,$I$1:I20,$I20,$J$1:J20,$J20,$K$1:K20,K20,$L$1:L20,L20))=1,"00"&amp;COUNTIFS($H$1:H20,$H20,$I$1:I20,$I20,$J$1:J20,$J20,$K$1:K20,K20,$L$1:L20,L20),IF(LEN(COUNTIFS($H$1:H20,$H20,$I$1:I20,$I20,$J$1:J20,$J20,$K$1:K20,K20,$L$1:L20,L20))=2,"0"&amp;COUNTIFS($H$1:H20,$H20,$I$1:I20,$I20,$J$1:J20,$J20,$K$1:K20,K20,$L$1:L20,L20),COUNTIFS($H$1:H20,$H20,$I$1:I20,$I20,$J$1:J20,$J20,$K$1:K20,K20,$L$1:L20,L20)))</f>
        <v>008</v>
      </c>
      <c r="N2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" s="14" t="e">
        <f>+LEN(Table4[[#This Row],[New Item Code]])</f>
        <v>#N/A</v>
      </c>
      <c r="P20" s="15" t="s">
        <v>4747</v>
      </c>
      <c r="Q20" s="15" t="s">
        <v>4749</v>
      </c>
      <c r="R20" s="15"/>
      <c r="S20" s="15" t="s">
        <v>4751</v>
      </c>
      <c r="T20" s="15" t="s">
        <v>4677</v>
      </c>
    </row>
    <row r="21" spans="1:20" x14ac:dyDescent="0.35">
      <c r="A21" s="3" t="s">
        <v>46</v>
      </c>
      <c r="B21" s="3" t="s">
        <v>47</v>
      </c>
      <c r="C21" s="3" t="s">
        <v>9</v>
      </c>
      <c r="D21" s="5">
        <v>4598</v>
      </c>
      <c r="E21" s="3" t="s">
        <v>10</v>
      </c>
      <c r="F21" s="3">
        <v>2</v>
      </c>
      <c r="G21" s="21">
        <f>Table4[[#This Row],[Item Cost]]*Table4[[#This Row],[In Stock]]</f>
        <v>9196</v>
      </c>
      <c r="H21" s="12" t="s">
        <v>4661</v>
      </c>
      <c r="I21" s="13" t="s">
        <v>4664</v>
      </c>
      <c r="J21" s="13" t="s">
        <v>4677</v>
      </c>
      <c r="K21" s="13" t="s">
        <v>4672</v>
      </c>
      <c r="L21" s="12" t="s">
        <v>4672</v>
      </c>
      <c r="M21" s="17" t="str">
        <f>IF(LEN(COUNTIFS($H$1:H21,$H21,$I$1:I21,$I21,$J$1:J21,$J21,$K$1:K21,K21,$L$1:L21,L21))=1,"00"&amp;COUNTIFS($H$1:H21,$H21,$I$1:I21,$I21,$J$1:J21,$J21,$K$1:K21,K21,$L$1:L21,L21),IF(LEN(COUNTIFS($H$1:H21,$H21,$I$1:I21,$I21,$J$1:J21,$J21,$K$1:K21,K21,$L$1:L21,L21))=2,"0"&amp;COUNTIFS($H$1:H21,$H21,$I$1:I21,$I21,$J$1:J21,$J21,$K$1:K21,K21,$L$1:L21,L21),COUNTIFS($H$1:H21,$H21,$I$1:I21,$I21,$J$1:J21,$J21,$K$1:K21,K21,$L$1:L21,L21)))</f>
        <v>009</v>
      </c>
      <c r="N2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" s="14" t="e">
        <f>+LEN(Table4[[#This Row],[New Item Code]])</f>
        <v>#N/A</v>
      </c>
      <c r="P21" s="15" t="s">
        <v>4747</v>
      </c>
      <c r="Q21" s="15" t="s">
        <v>4749</v>
      </c>
      <c r="R21" s="15"/>
      <c r="S21" s="15" t="s">
        <v>4751</v>
      </c>
      <c r="T21" s="15" t="s">
        <v>4677</v>
      </c>
    </row>
    <row r="22" spans="1:20" x14ac:dyDescent="0.35">
      <c r="A22" s="2" t="s">
        <v>48</v>
      </c>
      <c r="B22" s="2" t="s">
        <v>49</v>
      </c>
      <c r="C22" s="2" t="s">
        <v>9</v>
      </c>
      <c r="D22" s="2">
        <v>627</v>
      </c>
      <c r="E22" s="2" t="s">
        <v>10</v>
      </c>
      <c r="F22" s="2">
        <v>2</v>
      </c>
      <c r="G22" s="22">
        <f>Table4[[#This Row],[Item Cost]]*Table4[[#This Row],[In Stock]]</f>
        <v>1254</v>
      </c>
      <c r="H22" s="12" t="s">
        <v>4661</v>
      </c>
      <c r="I22" s="13" t="s">
        <v>4664</v>
      </c>
      <c r="J22" s="13" t="s">
        <v>4677</v>
      </c>
      <c r="K22" s="13" t="s">
        <v>4672</v>
      </c>
      <c r="L22" s="12" t="s">
        <v>4672</v>
      </c>
      <c r="M22" s="17" t="str">
        <f>IF(LEN(COUNTIFS($H$1:H22,$H22,$I$1:I22,$I22,$J$1:J22,$J22,$K$1:K22,K22,$L$1:L22,L22))=1,"00"&amp;COUNTIFS($H$1:H22,$H22,$I$1:I22,$I22,$J$1:J22,$J22,$K$1:K22,K22,$L$1:L22,L22),IF(LEN(COUNTIFS($H$1:H22,$H22,$I$1:I22,$I22,$J$1:J22,$J22,$K$1:K22,K22,$L$1:L22,L22))=2,"0"&amp;COUNTIFS($H$1:H22,$H22,$I$1:I22,$I22,$J$1:J22,$J22,$K$1:K22,K22,$L$1:L22,L22),COUNTIFS($H$1:H22,$H22,$I$1:I22,$I22,$J$1:J22,$J22,$K$1:K22,K22,$L$1:L22,L22)))</f>
        <v>010</v>
      </c>
      <c r="N2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" s="14" t="e">
        <f>+LEN(Table4[[#This Row],[New Item Code]])</f>
        <v>#N/A</v>
      </c>
      <c r="P22" s="15" t="s">
        <v>4747</v>
      </c>
      <c r="Q22" s="15" t="s">
        <v>4749</v>
      </c>
      <c r="R22" s="15"/>
      <c r="S22" s="15" t="s">
        <v>4751</v>
      </c>
      <c r="T22" s="15" t="s">
        <v>4677</v>
      </c>
    </row>
    <row r="23" spans="1:20" x14ac:dyDescent="0.35">
      <c r="A23" s="3" t="s">
        <v>50</v>
      </c>
      <c r="B23" s="3" t="s">
        <v>51</v>
      </c>
      <c r="C23" s="3" t="s">
        <v>9</v>
      </c>
      <c r="D23" s="5">
        <v>20357</v>
      </c>
      <c r="E23" s="3" t="s">
        <v>10</v>
      </c>
      <c r="F23" s="3">
        <v>2</v>
      </c>
      <c r="G23" s="21">
        <f>Table4[[#This Row],[Item Cost]]*Table4[[#This Row],[In Stock]]</f>
        <v>40714</v>
      </c>
      <c r="H23" s="12" t="s">
        <v>4661</v>
      </c>
      <c r="I23" s="13" t="s">
        <v>4664</v>
      </c>
      <c r="J23" s="13" t="s">
        <v>4677</v>
      </c>
      <c r="K23" s="13" t="s">
        <v>4672</v>
      </c>
      <c r="L23" s="12" t="s">
        <v>4672</v>
      </c>
      <c r="M23" s="17" t="str">
        <f>IF(LEN(COUNTIFS($H$1:H23,$H23,$I$1:I23,$I23,$J$1:J23,$J23,$K$1:K23,K23,$L$1:L23,L23))=1,"00"&amp;COUNTIFS($H$1:H23,$H23,$I$1:I23,$I23,$J$1:J23,$J23,$K$1:K23,K23,$L$1:L23,L23),IF(LEN(COUNTIFS($H$1:H23,$H23,$I$1:I23,$I23,$J$1:J23,$J23,$K$1:K23,K23,$L$1:L23,L23))=2,"0"&amp;COUNTIFS($H$1:H23,$H23,$I$1:I23,$I23,$J$1:J23,$J23,$K$1:K23,K23,$L$1:L23,L23),COUNTIFS($H$1:H23,$H23,$I$1:I23,$I23,$J$1:J23,$J23,$K$1:K23,K23,$L$1:L23,L23)))</f>
        <v>011</v>
      </c>
      <c r="N2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" s="14" t="e">
        <f>+LEN(Table4[[#This Row],[New Item Code]])</f>
        <v>#N/A</v>
      </c>
      <c r="P23" s="15" t="s">
        <v>4747</v>
      </c>
      <c r="Q23" s="15" t="s">
        <v>4749</v>
      </c>
      <c r="R23" s="15"/>
      <c r="S23" s="15" t="s">
        <v>4751</v>
      </c>
      <c r="T23" s="15" t="s">
        <v>4677</v>
      </c>
    </row>
    <row r="24" spans="1:20" x14ac:dyDescent="0.35">
      <c r="A24" s="2" t="s">
        <v>52</v>
      </c>
      <c r="B24" s="2" t="s">
        <v>53</v>
      </c>
      <c r="C24" s="2" t="s">
        <v>15</v>
      </c>
      <c r="D24" s="4">
        <v>10100</v>
      </c>
      <c r="E24" s="2" t="s">
        <v>10</v>
      </c>
      <c r="F24" s="2">
        <v>0</v>
      </c>
      <c r="G24" s="22">
        <f>Table4[[#This Row],[Item Cost]]*Table4[[#This Row],[In Stock]]</f>
        <v>0</v>
      </c>
      <c r="H24" s="12" t="s">
        <v>4661</v>
      </c>
      <c r="I24" s="13" t="s">
        <v>4666</v>
      </c>
      <c r="J24" s="13" t="s">
        <v>4677</v>
      </c>
      <c r="K24" s="13" t="s">
        <v>4672</v>
      </c>
      <c r="L24" s="12" t="s">
        <v>4672</v>
      </c>
      <c r="M24" s="17" t="str">
        <f>IF(LEN(COUNTIFS($H$1:H24,$H24,$I$1:I24,$I24,$J$1:J24,$J24,$K$1:K24,K24,$L$1:L24,L24))=1,"00"&amp;COUNTIFS($H$1:H24,$H24,$I$1:I24,$I24,$J$1:J24,$J24,$K$1:K24,K24,$L$1:L24,L24),IF(LEN(COUNTIFS($H$1:H24,$H24,$I$1:I24,$I24,$J$1:J24,$J24,$K$1:K24,K24,$L$1:L24,L24))=2,"0"&amp;COUNTIFS($H$1:H24,$H24,$I$1:I24,$I24,$J$1:J24,$J24,$K$1:K24,K24,$L$1:L24,L24),COUNTIFS($H$1:H24,$H24,$I$1:I24,$I24,$J$1:J24,$J24,$K$1:K24,K24,$L$1:L24,L24)))</f>
        <v>001</v>
      </c>
      <c r="N2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4" s="14" t="e">
        <f>+LEN(Table4[[#This Row],[New Item Code]])</f>
        <v>#N/A</v>
      </c>
      <c r="P24" s="15" t="s">
        <v>4747</v>
      </c>
      <c r="Q24" s="15" t="s">
        <v>4749</v>
      </c>
      <c r="R24" s="15"/>
      <c r="S24" s="15" t="s">
        <v>4751</v>
      </c>
      <c r="T24" s="15" t="s">
        <v>4677</v>
      </c>
    </row>
    <row r="25" spans="1:20" x14ac:dyDescent="0.35">
      <c r="A25" s="3" t="s">
        <v>54</v>
      </c>
      <c r="B25" s="3" t="s">
        <v>55</v>
      </c>
      <c r="C25" s="3" t="s">
        <v>56</v>
      </c>
      <c r="D25" s="3">
        <v>0</v>
      </c>
      <c r="E25" s="3" t="s">
        <v>57</v>
      </c>
      <c r="F25" s="3">
        <v>0</v>
      </c>
      <c r="G25" s="21">
        <f>Table4[[#This Row],[Item Cost]]*Table4[[#This Row],[In Stock]]</f>
        <v>0</v>
      </c>
      <c r="H25" s="12" t="s">
        <v>4661</v>
      </c>
      <c r="I25" s="13" t="s">
        <v>4668</v>
      </c>
      <c r="J25" s="13" t="s">
        <v>4677</v>
      </c>
      <c r="K25" s="13" t="s">
        <v>4672</v>
      </c>
      <c r="L25" s="12" t="s">
        <v>4672</v>
      </c>
      <c r="M25" s="17" t="str">
        <f>IF(LEN(COUNTIFS($H$1:H25,$H25,$I$1:I25,$I25,$J$1:J25,$J25,$K$1:K25,K25,$L$1:L25,L25))=1,"00"&amp;COUNTIFS($H$1:H25,$H25,$I$1:I25,$I25,$J$1:J25,$J25,$K$1:K25,K25,$L$1:L25,L25),IF(LEN(COUNTIFS($H$1:H25,$H25,$I$1:I25,$I25,$J$1:J25,$J25,$K$1:K25,K25,$L$1:L25,L25))=2,"0"&amp;COUNTIFS($H$1:H25,$H25,$I$1:I25,$I25,$J$1:J25,$J25,$K$1:K25,K25,$L$1:L25,L25),COUNTIFS($H$1:H25,$H25,$I$1:I25,$I25,$J$1:J25,$J25,$K$1:K25,K25,$L$1:L25,L25)))</f>
        <v>001</v>
      </c>
      <c r="N2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5" s="14" t="e">
        <f>+LEN(Table4[[#This Row],[New Item Code]])</f>
        <v>#N/A</v>
      </c>
      <c r="P25" s="15" t="s">
        <v>4747</v>
      </c>
      <c r="Q25" s="15" t="s">
        <v>4749</v>
      </c>
      <c r="R25" s="15"/>
      <c r="S25" s="15" t="s">
        <v>4751</v>
      </c>
      <c r="T25" s="15" t="s">
        <v>4677</v>
      </c>
    </row>
    <row r="26" spans="1:20" x14ac:dyDescent="0.35">
      <c r="A26" s="2" t="s">
        <v>58</v>
      </c>
      <c r="B26" s="2" t="s">
        <v>59</v>
      </c>
      <c r="C26" s="2" t="s">
        <v>56</v>
      </c>
      <c r="D26" s="2">
        <v>0</v>
      </c>
      <c r="E26" s="2" t="s">
        <v>57</v>
      </c>
      <c r="F26" s="2">
        <v>0</v>
      </c>
      <c r="G26" s="22">
        <f>Table4[[#This Row],[Item Cost]]*Table4[[#This Row],[In Stock]]</f>
        <v>0</v>
      </c>
      <c r="H26" s="12" t="s">
        <v>4661</v>
      </c>
      <c r="I26" s="13" t="s">
        <v>4668</v>
      </c>
      <c r="J26" s="13" t="s">
        <v>4677</v>
      </c>
      <c r="K26" s="13" t="s">
        <v>4672</v>
      </c>
      <c r="L26" s="12" t="s">
        <v>4672</v>
      </c>
      <c r="M26" s="17" t="str">
        <f>IF(LEN(COUNTIFS($H$1:H26,$H26,$I$1:I26,$I26,$J$1:J26,$J26,$K$1:K26,K26,$L$1:L26,L26))=1,"00"&amp;COUNTIFS($H$1:H26,$H26,$I$1:I26,$I26,$J$1:J26,$J26,$K$1:K26,K26,$L$1:L26,L26),IF(LEN(COUNTIFS($H$1:H26,$H26,$I$1:I26,$I26,$J$1:J26,$J26,$K$1:K26,K26,$L$1:L26,L26))=2,"0"&amp;COUNTIFS($H$1:H26,$H26,$I$1:I26,$I26,$J$1:J26,$J26,$K$1:K26,K26,$L$1:L26,L26),COUNTIFS($H$1:H26,$H26,$I$1:I26,$I26,$J$1:J26,$J26,$K$1:K26,K26,$L$1:L26,L26)))</f>
        <v>002</v>
      </c>
      <c r="N2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6" s="14" t="e">
        <f>+LEN(Table4[[#This Row],[New Item Code]])</f>
        <v>#N/A</v>
      </c>
      <c r="P26" s="15" t="s">
        <v>4747</v>
      </c>
      <c r="Q26" s="15" t="s">
        <v>4749</v>
      </c>
      <c r="R26" s="15"/>
      <c r="S26" s="15" t="s">
        <v>4751</v>
      </c>
      <c r="T26" s="15" t="s">
        <v>4677</v>
      </c>
    </row>
    <row r="27" spans="1:20" x14ac:dyDescent="0.35">
      <c r="A27" s="3" t="s">
        <v>60</v>
      </c>
      <c r="B27" s="3" t="s">
        <v>61</v>
      </c>
      <c r="C27" s="3" t="s">
        <v>15</v>
      </c>
      <c r="D27" s="3">
        <v>6.61</v>
      </c>
      <c r="E27" s="3" t="s">
        <v>10</v>
      </c>
      <c r="F27" s="3">
        <v>29</v>
      </c>
      <c r="G27" s="21">
        <f>Table4[[#This Row],[Item Cost]]*Table4[[#This Row],[In Stock]]</f>
        <v>191.69</v>
      </c>
      <c r="H27" s="12" t="s">
        <v>4661</v>
      </c>
      <c r="I27" s="13" t="s">
        <v>4666</v>
      </c>
      <c r="J27" s="13" t="s">
        <v>4677</v>
      </c>
      <c r="K27" t="s">
        <v>4793</v>
      </c>
      <c r="L27" s="12" t="s">
        <v>4672</v>
      </c>
      <c r="M27" s="17" t="str">
        <f>IF(LEN(COUNTIFS($H$1:H27,$H27,$I$1:I27,$I27,$J$1:J27,$J27,$K$1:K27,K27,$L$1:L27,L27))=1,"00"&amp;COUNTIFS($H$1:H27,$H27,$I$1:I27,$I27,$J$1:J27,$J27,$K$1:K27,K27,$L$1:L27,L27),IF(LEN(COUNTIFS($H$1:H27,$H27,$I$1:I27,$I27,$J$1:J27,$J27,$K$1:K27,K27,$L$1:L27,L27))=2,"0"&amp;COUNTIFS($H$1:H27,$H27,$I$1:I27,$I27,$J$1:J27,$J27,$K$1:K27,K27,$L$1:L27,L27),COUNTIFS($H$1:H27,$H27,$I$1:I27,$I27,$J$1:J27,$J27,$K$1:K27,K27,$L$1:L27,L27)))</f>
        <v>001</v>
      </c>
      <c r="N2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7" s="14" t="e">
        <f>+LEN(Table4[[#This Row],[New Item Code]])</f>
        <v>#N/A</v>
      </c>
      <c r="P27" s="15" t="s">
        <v>4747</v>
      </c>
      <c r="Q27" s="15" t="s">
        <v>4749</v>
      </c>
      <c r="R27" s="15"/>
      <c r="S27" s="15" t="s">
        <v>4751</v>
      </c>
      <c r="T27" s="15" t="s">
        <v>4677</v>
      </c>
    </row>
    <row r="28" spans="1:20" x14ac:dyDescent="0.35">
      <c r="A28" s="2" t="s">
        <v>62</v>
      </c>
      <c r="B28" s="2" t="s">
        <v>63</v>
      </c>
      <c r="C28" s="2" t="s">
        <v>15</v>
      </c>
      <c r="D28" s="2">
        <v>16.29</v>
      </c>
      <c r="E28" s="2" t="s">
        <v>10</v>
      </c>
      <c r="F28" s="2">
        <v>29</v>
      </c>
      <c r="G28" s="22">
        <f>Table4[[#This Row],[Item Cost]]*Table4[[#This Row],[In Stock]]</f>
        <v>472.40999999999997</v>
      </c>
      <c r="H28" s="12" t="s">
        <v>4661</v>
      </c>
      <c r="I28" s="13" t="s">
        <v>4666</v>
      </c>
      <c r="J28" s="13" t="s">
        <v>4677</v>
      </c>
      <c r="K28" t="s">
        <v>4793</v>
      </c>
      <c r="L28" s="12" t="s">
        <v>4672</v>
      </c>
      <c r="M28" s="17" t="str">
        <f>IF(LEN(COUNTIFS($H$1:H28,$H28,$I$1:I28,$I28,$J$1:J28,$J28,$K$1:K28,K28,$L$1:L28,L28))=1,"00"&amp;COUNTIFS($H$1:H28,$H28,$I$1:I28,$I28,$J$1:J28,$J28,$K$1:K28,K28,$L$1:L28,L28),IF(LEN(COUNTIFS($H$1:H28,$H28,$I$1:I28,$I28,$J$1:J28,$J28,$K$1:K28,K28,$L$1:L28,L28))=2,"0"&amp;COUNTIFS($H$1:H28,$H28,$I$1:I28,$I28,$J$1:J28,$J28,$K$1:K28,K28,$L$1:L28,L28),COUNTIFS($H$1:H28,$H28,$I$1:I28,$I28,$J$1:J28,$J28,$K$1:K28,K28,$L$1:L28,L28)))</f>
        <v>002</v>
      </c>
      <c r="N2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8" s="14" t="e">
        <f>+LEN(Table4[[#This Row],[New Item Code]])</f>
        <v>#N/A</v>
      </c>
      <c r="P28" s="15" t="s">
        <v>4747</v>
      </c>
      <c r="Q28" s="15" t="s">
        <v>4749</v>
      </c>
      <c r="R28" s="15"/>
      <c r="S28" s="15" t="s">
        <v>4751</v>
      </c>
      <c r="T28" s="15" t="s">
        <v>4677</v>
      </c>
    </row>
    <row r="29" spans="1:20" x14ac:dyDescent="0.35">
      <c r="A29" s="3" t="s">
        <v>64</v>
      </c>
      <c r="B29" s="3" t="s">
        <v>65</v>
      </c>
      <c r="C29" s="3" t="s">
        <v>15</v>
      </c>
      <c r="D29" s="3">
        <v>14.2</v>
      </c>
      <c r="E29" s="3" t="s">
        <v>10</v>
      </c>
      <c r="F29" s="3">
        <v>15</v>
      </c>
      <c r="G29" s="21">
        <f>Table4[[#This Row],[Item Cost]]*Table4[[#This Row],[In Stock]]</f>
        <v>213</v>
      </c>
      <c r="H29" s="12" t="s">
        <v>4661</v>
      </c>
      <c r="I29" s="13" t="s">
        <v>4666</v>
      </c>
      <c r="J29" s="13" t="s">
        <v>4677</v>
      </c>
      <c r="K29" t="s">
        <v>4793</v>
      </c>
      <c r="L29" s="12" t="s">
        <v>4672</v>
      </c>
      <c r="M29" s="17" t="str">
        <f>IF(LEN(COUNTIFS($H$1:H29,$H29,$I$1:I29,$I29,$J$1:J29,$J29,$K$1:K29,K29,$L$1:L29,L29))=1,"00"&amp;COUNTIFS($H$1:H29,$H29,$I$1:I29,$I29,$J$1:J29,$J29,$K$1:K29,K29,$L$1:L29,L29),IF(LEN(COUNTIFS($H$1:H29,$H29,$I$1:I29,$I29,$J$1:J29,$J29,$K$1:K29,K29,$L$1:L29,L29))=2,"0"&amp;COUNTIFS($H$1:H29,$H29,$I$1:I29,$I29,$J$1:J29,$J29,$K$1:K29,K29,$L$1:L29,L29),COUNTIFS($H$1:H29,$H29,$I$1:I29,$I29,$J$1:J29,$J29,$K$1:K29,K29,$L$1:L29,L29)))</f>
        <v>003</v>
      </c>
      <c r="N2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9" s="14" t="e">
        <f>+LEN(Table4[[#This Row],[New Item Code]])</f>
        <v>#N/A</v>
      </c>
      <c r="P29" s="15" t="s">
        <v>4747</v>
      </c>
      <c r="Q29" s="15" t="s">
        <v>4749</v>
      </c>
      <c r="R29" s="15"/>
      <c r="S29" s="15" t="s">
        <v>4751</v>
      </c>
      <c r="T29" s="15" t="s">
        <v>4677</v>
      </c>
    </row>
    <row r="30" spans="1:20" x14ac:dyDescent="0.35">
      <c r="A30" s="2" t="s">
        <v>66</v>
      </c>
      <c r="B30" s="2" t="s">
        <v>67</v>
      </c>
      <c r="C30" s="2" t="s">
        <v>15</v>
      </c>
      <c r="D30" s="2">
        <v>1.24</v>
      </c>
      <c r="E30" s="2" t="s">
        <v>10</v>
      </c>
      <c r="F30" s="2">
        <v>55</v>
      </c>
      <c r="G30" s="22">
        <f>Table4[[#This Row],[Item Cost]]*Table4[[#This Row],[In Stock]]</f>
        <v>68.2</v>
      </c>
      <c r="H30" s="12" t="s">
        <v>4661</v>
      </c>
      <c r="I30" s="13" t="s">
        <v>4666</v>
      </c>
      <c r="J30" s="13" t="s">
        <v>4677</v>
      </c>
      <c r="K30" t="s">
        <v>4800</v>
      </c>
      <c r="L30" s="12" t="s">
        <v>4672</v>
      </c>
      <c r="M30" s="17" t="str">
        <f>IF(LEN(COUNTIFS($H$1:H30,$H30,$I$1:I30,$I30,$J$1:J30,$J30,$K$1:K30,K30,$L$1:L30,L30))=1,"00"&amp;COUNTIFS($H$1:H30,$H30,$I$1:I30,$I30,$J$1:J30,$J30,$K$1:K30,K30,$L$1:L30,L30),IF(LEN(COUNTIFS($H$1:H30,$H30,$I$1:I30,$I30,$J$1:J30,$J30,$K$1:K30,K30,$L$1:L30,L30))=2,"0"&amp;COUNTIFS($H$1:H30,$H30,$I$1:I30,$I30,$J$1:J30,$J30,$K$1:K30,K30,$L$1:L30,L30),COUNTIFS($H$1:H30,$H30,$I$1:I30,$I30,$J$1:J30,$J30,$K$1:K30,K30,$L$1:L30,L30)))</f>
        <v>001</v>
      </c>
      <c r="N3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0" s="14" t="e">
        <f>+LEN(Table4[[#This Row],[New Item Code]])</f>
        <v>#N/A</v>
      </c>
      <c r="P30" s="15" t="s">
        <v>4747</v>
      </c>
      <c r="Q30" s="15" t="s">
        <v>4749</v>
      </c>
      <c r="R30" s="15"/>
      <c r="S30" s="15" t="s">
        <v>4751</v>
      </c>
      <c r="T30" s="15" t="s">
        <v>4677</v>
      </c>
    </row>
    <row r="31" spans="1:20" x14ac:dyDescent="0.35">
      <c r="A31" s="3" t="s">
        <v>68</v>
      </c>
      <c r="B31" s="3" t="s">
        <v>69</v>
      </c>
      <c r="C31" s="3" t="s">
        <v>15</v>
      </c>
      <c r="D31" s="3">
        <v>1.04</v>
      </c>
      <c r="E31" s="3" t="s">
        <v>10</v>
      </c>
      <c r="F31" s="3">
        <v>55</v>
      </c>
      <c r="G31" s="21">
        <f>Table4[[#This Row],[Item Cost]]*Table4[[#This Row],[In Stock]]</f>
        <v>57.2</v>
      </c>
      <c r="H31" s="12" t="s">
        <v>4661</v>
      </c>
      <c r="I31" s="13" t="s">
        <v>4666</v>
      </c>
      <c r="J31" s="13" t="s">
        <v>4677</v>
      </c>
      <c r="K31" s="13" t="s">
        <v>4672</v>
      </c>
      <c r="L31" s="12" t="s">
        <v>4672</v>
      </c>
      <c r="M31" s="17" t="str">
        <f>IF(LEN(COUNTIFS($H$1:H31,$H31,$I$1:I31,$I31,$J$1:J31,$J31,$K$1:K31,K31,$L$1:L31,L31))=1,"00"&amp;COUNTIFS($H$1:H31,$H31,$I$1:I31,$I31,$J$1:J31,$J31,$K$1:K31,K31,$L$1:L31,L31),IF(LEN(COUNTIFS($H$1:H31,$H31,$I$1:I31,$I31,$J$1:J31,$J31,$K$1:K31,K31,$L$1:L31,L31))=2,"0"&amp;COUNTIFS($H$1:H31,$H31,$I$1:I31,$I31,$J$1:J31,$J31,$K$1:K31,K31,$L$1:L31,L31),COUNTIFS($H$1:H31,$H31,$I$1:I31,$I31,$J$1:J31,$J31,$K$1:K31,K31,$L$1:L31,L31)))</f>
        <v>002</v>
      </c>
      <c r="N3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1" s="14" t="e">
        <f>+LEN(Table4[[#This Row],[New Item Code]])</f>
        <v>#N/A</v>
      </c>
      <c r="P31" s="15" t="s">
        <v>4747</v>
      </c>
      <c r="Q31" s="15" t="s">
        <v>4749</v>
      </c>
      <c r="R31" s="15"/>
      <c r="S31" s="15" t="s">
        <v>4751</v>
      </c>
      <c r="T31" s="15" t="s">
        <v>4677</v>
      </c>
    </row>
    <row r="32" spans="1:20" x14ac:dyDescent="0.35">
      <c r="A32" s="2" t="s">
        <v>70</v>
      </c>
      <c r="B32" s="2" t="s">
        <v>71</v>
      </c>
      <c r="C32" s="2" t="s">
        <v>15</v>
      </c>
      <c r="D32" s="2">
        <v>6.61</v>
      </c>
      <c r="E32" s="2" t="s">
        <v>10</v>
      </c>
      <c r="F32" s="2">
        <v>35</v>
      </c>
      <c r="G32" s="22">
        <f>Table4[[#This Row],[Item Cost]]*Table4[[#This Row],[In Stock]]</f>
        <v>231.35000000000002</v>
      </c>
      <c r="H32" s="12" t="s">
        <v>4661</v>
      </c>
      <c r="I32" s="13" t="s">
        <v>4666</v>
      </c>
      <c r="J32" s="13" t="s">
        <v>4677</v>
      </c>
      <c r="K32" t="s">
        <v>4793</v>
      </c>
      <c r="L32" s="12" t="s">
        <v>4672</v>
      </c>
      <c r="M32" s="17" t="str">
        <f>IF(LEN(COUNTIFS($H$1:H32,$H32,$I$1:I32,$I32,$J$1:J32,$J32,$K$1:K32,K32,$L$1:L32,L32))=1,"00"&amp;COUNTIFS($H$1:H32,$H32,$I$1:I32,$I32,$J$1:J32,$J32,$K$1:K32,K32,$L$1:L32,L32),IF(LEN(COUNTIFS($H$1:H32,$H32,$I$1:I32,$I32,$J$1:J32,$J32,$K$1:K32,K32,$L$1:L32,L32))=2,"0"&amp;COUNTIFS($H$1:H32,$H32,$I$1:I32,$I32,$J$1:J32,$J32,$K$1:K32,K32,$L$1:L32,L32),COUNTIFS($H$1:H32,$H32,$I$1:I32,$I32,$J$1:J32,$J32,$K$1:K32,K32,$L$1:L32,L32)))</f>
        <v>004</v>
      </c>
      <c r="N3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2" s="14" t="e">
        <f>+LEN(Table4[[#This Row],[New Item Code]])</f>
        <v>#N/A</v>
      </c>
      <c r="P32" s="15" t="s">
        <v>4747</v>
      </c>
      <c r="Q32" s="15" t="s">
        <v>4749</v>
      </c>
      <c r="R32" s="15"/>
      <c r="S32" s="15" t="s">
        <v>4751</v>
      </c>
      <c r="T32" s="15" t="s">
        <v>4677</v>
      </c>
    </row>
    <row r="33" spans="1:20" x14ac:dyDescent="0.35">
      <c r="A33" s="3" t="s">
        <v>72</v>
      </c>
      <c r="B33" s="3" t="s">
        <v>73</v>
      </c>
      <c r="C33" s="3" t="s">
        <v>15</v>
      </c>
      <c r="D33" s="3">
        <v>17.079999999999998</v>
      </c>
      <c r="E33" s="3" t="s">
        <v>10</v>
      </c>
      <c r="F33" s="3">
        <v>25</v>
      </c>
      <c r="G33" s="21">
        <f>Table4[[#This Row],[Item Cost]]*Table4[[#This Row],[In Stock]]</f>
        <v>426.99999999999994</v>
      </c>
      <c r="H33" s="12" t="s">
        <v>4661</v>
      </c>
      <c r="I33" s="13" t="s">
        <v>4666</v>
      </c>
      <c r="J33" s="13" t="s">
        <v>4677</v>
      </c>
      <c r="K33" t="s">
        <v>4793</v>
      </c>
      <c r="L33" s="12" t="s">
        <v>4672</v>
      </c>
      <c r="M33" s="17" t="str">
        <f>IF(LEN(COUNTIFS($H$1:H33,$H33,$I$1:I33,$I33,$J$1:J33,$J33,$K$1:K33,K33,$L$1:L33,L33))=1,"00"&amp;COUNTIFS($H$1:H33,$H33,$I$1:I33,$I33,$J$1:J33,$J33,$K$1:K33,K33,$L$1:L33,L33),IF(LEN(COUNTIFS($H$1:H33,$H33,$I$1:I33,$I33,$J$1:J33,$J33,$K$1:K33,K33,$L$1:L33,L33))=2,"0"&amp;COUNTIFS($H$1:H33,$H33,$I$1:I33,$I33,$J$1:J33,$J33,$K$1:K33,K33,$L$1:L33,L33),COUNTIFS($H$1:H33,$H33,$I$1:I33,$I33,$J$1:J33,$J33,$K$1:K33,K33,$L$1:L33,L33)))</f>
        <v>005</v>
      </c>
      <c r="N3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3" s="14" t="e">
        <f>+LEN(Table4[[#This Row],[New Item Code]])</f>
        <v>#N/A</v>
      </c>
      <c r="P33" s="15" t="s">
        <v>4747</v>
      </c>
      <c r="Q33" s="15" t="s">
        <v>4749</v>
      </c>
      <c r="R33" s="15"/>
      <c r="S33" s="15" t="s">
        <v>4751</v>
      </c>
      <c r="T33" s="15" t="s">
        <v>4677</v>
      </c>
    </row>
    <row r="34" spans="1:20" x14ac:dyDescent="0.35">
      <c r="A34" s="2" t="s">
        <v>74</v>
      </c>
      <c r="B34" s="2" t="s">
        <v>75</v>
      </c>
      <c r="C34" s="2" t="s">
        <v>15</v>
      </c>
      <c r="D34" s="2">
        <v>16.89</v>
      </c>
      <c r="E34" s="2" t="s">
        <v>10</v>
      </c>
      <c r="F34" s="2">
        <v>15</v>
      </c>
      <c r="G34" s="22">
        <f>Table4[[#This Row],[Item Cost]]*Table4[[#This Row],[In Stock]]</f>
        <v>253.35000000000002</v>
      </c>
      <c r="H34" s="12" t="s">
        <v>4661</v>
      </c>
      <c r="I34" s="13" t="s">
        <v>4666</v>
      </c>
      <c r="J34" s="13" t="s">
        <v>4677</v>
      </c>
      <c r="K34" t="s">
        <v>4793</v>
      </c>
      <c r="L34" s="12" t="s">
        <v>4672</v>
      </c>
      <c r="M34" s="17" t="str">
        <f>IF(LEN(COUNTIFS($H$1:H34,$H34,$I$1:I34,$I34,$J$1:J34,$J34,$K$1:K34,K34,$L$1:L34,L34))=1,"00"&amp;COUNTIFS($H$1:H34,$H34,$I$1:I34,$I34,$J$1:J34,$J34,$K$1:K34,K34,$L$1:L34,L34),IF(LEN(COUNTIFS($H$1:H34,$H34,$I$1:I34,$I34,$J$1:J34,$J34,$K$1:K34,K34,$L$1:L34,L34))=2,"0"&amp;COUNTIFS($H$1:H34,$H34,$I$1:I34,$I34,$J$1:J34,$J34,$K$1:K34,K34,$L$1:L34,L34),COUNTIFS($H$1:H34,$H34,$I$1:I34,$I34,$J$1:J34,$J34,$K$1:K34,K34,$L$1:L34,L34)))</f>
        <v>006</v>
      </c>
      <c r="N3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4" s="14" t="e">
        <f>+LEN(Table4[[#This Row],[New Item Code]])</f>
        <v>#N/A</v>
      </c>
      <c r="P34" s="15" t="s">
        <v>4747</v>
      </c>
      <c r="Q34" s="15" t="s">
        <v>4749</v>
      </c>
      <c r="R34" s="15"/>
      <c r="S34" s="15" t="s">
        <v>4751</v>
      </c>
      <c r="T34" s="15" t="s">
        <v>4677</v>
      </c>
    </row>
    <row r="35" spans="1:20" x14ac:dyDescent="0.35">
      <c r="A35" s="3" t="s">
        <v>76</v>
      </c>
      <c r="B35" s="3" t="s">
        <v>77</v>
      </c>
      <c r="C35" s="3" t="s">
        <v>15</v>
      </c>
      <c r="D35" s="3">
        <v>1.44</v>
      </c>
      <c r="E35" s="3" t="s">
        <v>10</v>
      </c>
      <c r="F35" s="3">
        <v>54</v>
      </c>
      <c r="G35" s="21">
        <f>Table4[[#This Row],[Item Cost]]*Table4[[#This Row],[In Stock]]</f>
        <v>77.759999999999991</v>
      </c>
      <c r="H35" s="12" t="s">
        <v>4661</v>
      </c>
      <c r="I35" s="13" t="s">
        <v>4666</v>
      </c>
      <c r="J35" s="13" t="s">
        <v>4677</v>
      </c>
      <c r="K35" t="s">
        <v>4800</v>
      </c>
      <c r="L35" s="12" t="s">
        <v>4672</v>
      </c>
      <c r="M35" s="17" t="str">
        <f>IF(LEN(COUNTIFS($H$1:H35,$H35,$I$1:I35,$I35,$J$1:J35,$J35,$K$1:K35,K35,$L$1:L35,L35))=1,"00"&amp;COUNTIFS($H$1:H35,$H35,$I$1:I35,$I35,$J$1:J35,$J35,$K$1:K35,K35,$L$1:L35,L35),IF(LEN(COUNTIFS($H$1:H35,$H35,$I$1:I35,$I35,$J$1:J35,$J35,$K$1:K35,K35,$L$1:L35,L35))=2,"0"&amp;COUNTIFS($H$1:H35,$H35,$I$1:I35,$I35,$J$1:J35,$J35,$K$1:K35,K35,$L$1:L35,L35),COUNTIFS($H$1:H35,$H35,$I$1:I35,$I35,$J$1:J35,$J35,$K$1:K35,K35,$L$1:L35,L35)))</f>
        <v>002</v>
      </c>
      <c r="N3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5" s="14" t="e">
        <f>+LEN(Table4[[#This Row],[New Item Code]])</f>
        <v>#N/A</v>
      </c>
      <c r="P35" s="15" t="s">
        <v>4747</v>
      </c>
      <c r="Q35" s="15" t="s">
        <v>4749</v>
      </c>
      <c r="R35" s="15"/>
      <c r="S35" s="15" t="s">
        <v>4751</v>
      </c>
      <c r="T35" s="15" t="s">
        <v>4677</v>
      </c>
    </row>
    <row r="36" spans="1:20" x14ac:dyDescent="0.35">
      <c r="A36" s="2" t="s">
        <v>78</v>
      </c>
      <c r="B36" s="2" t="s">
        <v>79</v>
      </c>
      <c r="C36" s="2" t="s">
        <v>15</v>
      </c>
      <c r="D36" s="2">
        <v>1.24</v>
      </c>
      <c r="E36" s="2" t="s">
        <v>10</v>
      </c>
      <c r="F36" s="2">
        <v>55</v>
      </c>
      <c r="G36" s="22">
        <f>Table4[[#This Row],[Item Cost]]*Table4[[#This Row],[In Stock]]</f>
        <v>68.2</v>
      </c>
      <c r="H36" s="12" t="s">
        <v>4661</v>
      </c>
      <c r="I36" s="13" t="s">
        <v>4666</v>
      </c>
      <c r="J36" s="13" t="s">
        <v>4677</v>
      </c>
      <c r="K36" s="13" t="s">
        <v>4672</v>
      </c>
      <c r="L36" s="12" t="s">
        <v>4672</v>
      </c>
      <c r="M36" s="17" t="str">
        <f>IF(LEN(COUNTIFS($H$1:H36,$H36,$I$1:I36,$I36,$J$1:J36,$J36,$K$1:K36,K36,$L$1:L36,L36))=1,"00"&amp;COUNTIFS($H$1:H36,$H36,$I$1:I36,$I36,$J$1:J36,$J36,$K$1:K36,K36,$L$1:L36,L36),IF(LEN(COUNTIFS($H$1:H36,$H36,$I$1:I36,$I36,$J$1:J36,$J36,$K$1:K36,K36,$L$1:L36,L36))=2,"0"&amp;COUNTIFS($H$1:H36,$H36,$I$1:I36,$I36,$J$1:J36,$J36,$K$1:K36,K36,$L$1:L36,L36),COUNTIFS($H$1:H36,$H36,$I$1:I36,$I36,$J$1:J36,$J36,$K$1:K36,K36,$L$1:L36,L36)))</f>
        <v>003</v>
      </c>
      <c r="N3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6" s="14" t="e">
        <f>+LEN(Table4[[#This Row],[New Item Code]])</f>
        <v>#N/A</v>
      </c>
      <c r="P36" s="15" t="s">
        <v>4747</v>
      </c>
      <c r="Q36" s="15" t="s">
        <v>4749</v>
      </c>
      <c r="R36" s="15"/>
      <c r="S36" s="15" t="s">
        <v>4751</v>
      </c>
      <c r="T36" s="15" t="s">
        <v>4677</v>
      </c>
    </row>
    <row r="37" spans="1:20" x14ac:dyDescent="0.35">
      <c r="A37" s="3" t="s">
        <v>80</v>
      </c>
      <c r="B37" s="3" t="s">
        <v>81</v>
      </c>
      <c r="C37" s="3" t="s">
        <v>15</v>
      </c>
      <c r="D37" s="3">
        <v>74.614999999999995</v>
      </c>
      <c r="E37" s="3" t="s">
        <v>10</v>
      </c>
      <c r="F37" s="3">
        <v>18</v>
      </c>
      <c r="G37" s="21">
        <f>Table4[[#This Row],[Item Cost]]*Table4[[#This Row],[In Stock]]</f>
        <v>1343.07</v>
      </c>
      <c r="H37" s="12" t="s">
        <v>4661</v>
      </c>
      <c r="I37" s="13" t="s">
        <v>4666</v>
      </c>
      <c r="J37" s="13" t="s">
        <v>4677</v>
      </c>
      <c r="K37" s="13" t="s">
        <v>4672</v>
      </c>
      <c r="L37" s="12" t="s">
        <v>4672</v>
      </c>
      <c r="M37" s="17" t="str">
        <f>IF(LEN(COUNTIFS($H$1:H37,$H37,$I$1:I37,$I37,$J$1:J37,$J37,$K$1:K37,K37,$L$1:L37,L37))=1,"00"&amp;COUNTIFS($H$1:H37,$H37,$I$1:I37,$I37,$J$1:J37,$J37,$K$1:K37,K37,$L$1:L37,L37),IF(LEN(COUNTIFS($H$1:H37,$H37,$I$1:I37,$I37,$J$1:J37,$J37,$K$1:K37,K37,$L$1:L37,L37))=2,"0"&amp;COUNTIFS($H$1:H37,$H37,$I$1:I37,$I37,$J$1:J37,$J37,$K$1:K37,K37,$L$1:L37,L37),COUNTIFS($H$1:H37,$H37,$I$1:I37,$I37,$J$1:J37,$J37,$K$1:K37,K37,$L$1:L37,L37)))</f>
        <v>004</v>
      </c>
      <c r="N3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7" s="14" t="e">
        <f>+LEN(Table4[[#This Row],[New Item Code]])</f>
        <v>#N/A</v>
      </c>
      <c r="P37" s="15" t="s">
        <v>4747</v>
      </c>
      <c r="Q37" s="15" t="s">
        <v>4749</v>
      </c>
      <c r="R37" s="15"/>
      <c r="S37" s="15" t="s">
        <v>4751</v>
      </c>
      <c r="T37" s="15" t="s">
        <v>4677</v>
      </c>
    </row>
    <row r="38" spans="1:20" x14ac:dyDescent="0.35">
      <c r="A38" s="2" t="s">
        <v>82</v>
      </c>
      <c r="B38" s="2" t="s">
        <v>83</v>
      </c>
      <c r="C38" s="2" t="s">
        <v>15</v>
      </c>
      <c r="D38" s="2">
        <v>93.070999999999998</v>
      </c>
      <c r="E38" s="2" t="s">
        <v>10</v>
      </c>
      <c r="F38" s="2">
        <v>17</v>
      </c>
      <c r="G38" s="22">
        <f>Table4[[#This Row],[Item Cost]]*Table4[[#This Row],[In Stock]]</f>
        <v>1582.2069999999999</v>
      </c>
      <c r="H38" s="12" t="s">
        <v>4661</v>
      </c>
      <c r="I38" s="13" t="s">
        <v>4666</v>
      </c>
      <c r="J38" s="13" t="s">
        <v>4677</v>
      </c>
      <c r="K38" s="13" t="s">
        <v>4672</v>
      </c>
      <c r="L38" s="12" t="s">
        <v>4672</v>
      </c>
      <c r="M38" s="17" t="str">
        <f>IF(LEN(COUNTIFS($H$1:H38,$H38,$I$1:I38,$I38,$J$1:J38,$J38,$K$1:K38,K38,$L$1:L38,L38))=1,"00"&amp;COUNTIFS($H$1:H38,$H38,$I$1:I38,$I38,$J$1:J38,$J38,$K$1:K38,K38,$L$1:L38,L38),IF(LEN(COUNTIFS($H$1:H38,$H38,$I$1:I38,$I38,$J$1:J38,$J38,$K$1:K38,K38,$L$1:L38,L38))=2,"0"&amp;COUNTIFS($H$1:H38,$H38,$I$1:I38,$I38,$J$1:J38,$J38,$K$1:K38,K38,$L$1:L38,L38),COUNTIFS($H$1:H38,$H38,$I$1:I38,$I38,$J$1:J38,$J38,$K$1:K38,K38,$L$1:L38,L38)))</f>
        <v>005</v>
      </c>
      <c r="N3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8" s="14" t="e">
        <f>+LEN(Table4[[#This Row],[New Item Code]])</f>
        <v>#N/A</v>
      </c>
      <c r="P38" s="15" t="s">
        <v>4747</v>
      </c>
      <c r="Q38" s="15" t="s">
        <v>4749</v>
      </c>
      <c r="R38" s="15"/>
      <c r="S38" s="15" t="s">
        <v>4751</v>
      </c>
      <c r="T38" s="15" t="s">
        <v>4677</v>
      </c>
    </row>
    <row r="39" spans="1:20" x14ac:dyDescent="0.35">
      <c r="A39" s="3" t="s">
        <v>84</v>
      </c>
      <c r="B39" s="3" t="s">
        <v>85</v>
      </c>
      <c r="C39" s="3" t="s">
        <v>15</v>
      </c>
      <c r="D39" s="3">
        <v>4.5199999999999996</v>
      </c>
      <c r="E39" s="3" t="s">
        <v>10</v>
      </c>
      <c r="F39" s="3">
        <v>35</v>
      </c>
      <c r="G39" s="21">
        <f>Table4[[#This Row],[Item Cost]]*Table4[[#This Row],[In Stock]]</f>
        <v>158.19999999999999</v>
      </c>
      <c r="H39" s="12" t="s">
        <v>4661</v>
      </c>
      <c r="I39" s="13" t="s">
        <v>4666</v>
      </c>
      <c r="J39" s="13" t="s">
        <v>4677</v>
      </c>
      <c r="K39" t="s">
        <v>4793</v>
      </c>
      <c r="L39" s="12" t="s">
        <v>4672</v>
      </c>
      <c r="M39" s="17" t="str">
        <f>IF(LEN(COUNTIFS($H$1:H39,$H39,$I$1:I39,$I39,$J$1:J39,$J39,$K$1:K39,K39,$L$1:L39,L39))=1,"00"&amp;COUNTIFS($H$1:H39,$H39,$I$1:I39,$I39,$J$1:J39,$J39,$K$1:K39,K39,$L$1:L39,L39),IF(LEN(COUNTIFS($H$1:H39,$H39,$I$1:I39,$I39,$J$1:J39,$J39,$K$1:K39,K39,$L$1:L39,L39))=2,"0"&amp;COUNTIFS($H$1:H39,$H39,$I$1:I39,$I39,$J$1:J39,$J39,$K$1:K39,K39,$L$1:L39,L39),COUNTIFS($H$1:H39,$H39,$I$1:I39,$I39,$J$1:J39,$J39,$K$1:K39,K39,$L$1:L39,L39)))</f>
        <v>007</v>
      </c>
      <c r="N3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9" s="14" t="e">
        <f>+LEN(Table4[[#This Row],[New Item Code]])</f>
        <v>#N/A</v>
      </c>
      <c r="P39" s="15" t="s">
        <v>4747</v>
      </c>
      <c r="Q39" s="15" t="s">
        <v>4749</v>
      </c>
      <c r="R39" s="15"/>
      <c r="S39" s="15" t="s">
        <v>4751</v>
      </c>
      <c r="T39" s="15" t="s">
        <v>4677</v>
      </c>
    </row>
    <row r="40" spans="1:20" x14ac:dyDescent="0.35">
      <c r="A40" s="2" t="s">
        <v>86</v>
      </c>
      <c r="B40" s="2" t="s">
        <v>87</v>
      </c>
      <c r="C40" s="2" t="s">
        <v>15</v>
      </c>
      <c r="D40" s="2">
        <v>6.61</v>
      </c>
      <c r="E40" s="2" t="s">
        <v>10</v>
      </c>
      <c r="F40" s="2">
        <v>16</v>
      </c>
      <c r="G40" s="22">
        <f>Table4[[#This Row],[Item Cost]]*Table4[[#This Row],[In Stock]]</f>
        <v>105.76</v>
      </c>
      <c r="H40" s="12" t="s">
        <v>4661</v>
      </c>
      <c r="I40" s="13" t="s">
        <v>4666</v>
      </c>
      <c r="J40" s="13" t="s">
        <v>4677</v>
      </c>
      <c r="K40" t="s">
        <v>4793</v>
      </c>
      <c r="L40" s="12" t="s">
        <v>4672</v>
      </c>
      <c r="M40" s="17" t="str">
        <f>IF(LEN(COUNTIFS($H$1:H40,$H40,$I$1:I40,$I40,$J$1:J40,$J40,$K$1:K40,K40,$L$1:L40,L40))=1,"00"&amp;COUNTIFS($H$1:H40,$H40,$I$1:I40,$I40,$J$1:J40,$J40,$K$1:K40,K40,$L$1:L40,L40),IF(LEN(COUNTIFS($H$1:H40,$H40,$I$1:I40,$I40,$J$1:J40,$J40,$K$1:K40,K40,$L$1:L40,L40))=2,"0"&amp;COUNTIFS($H$1:H40,$H40,$I$1:I40,$I40,$J$1:J40,$J40,$K$1:K40,K40,$L$1:L40,L40),COUNTIFS($H$1:H40,$H40,$I$1:I40,$I40,$J$1:J40,$J40,$K$1:K40,K40,$L$1:L40,L40)))</f>
        <v>008</v>
      </c>
      <c r="N4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0" s="14" t="e">
        <f>+LEN(Table4[[#This Row],[New Item Code]])</f>
        <v>#N/A</v>
      </c>
      <c r="P40" s="15" t="s">
        <v>4747</v>
      </c>
      <c r="Q40" s="15" t="s">
        <v>4749</v>
      </c>
      <c r="R40" s="15"/>
      <c r="S40" s="15" t="s">
        <v>4751</v>
      </c>
      <c r="T40" s="15" t="s">
        <v>4677</v>
      </c>
    </row>
    <row r="41" spans="1:20" x14ac:dyDescent="0.35">
      <c r="A41" s="3" t="s">
        <v>88</v>
      </c>
      <c r="B41" s="3" t="s">
        <v>89</v>
      </c>
      <c r="C41" s="3" t="s">
        <v>15</v>
      </c>
      <c r="D41" s="3">
        <v>4.72</v>
      </c>
      <c r="E41" s="3" t="s">
        <v>10</v>
      </c>
      <c r="F41" s="3">
        <v>4</v>
      </c>
      <c r="G41" s="21">
        <f>Table4[[#This Row],[Item Cost]]*Table4[[#This Row],[In Stock]]</f>
        <v>18.88</v>
      </c>
      <c r="H41" s="12" t="s">
        <v>4661</v>
      </c>
      <c r="I41" s="13" t="s">
        <v>4666</v>
      </c>
      <c r="J41" s="13" t="s">
        <v>4677</v>
      </c>
      <c r="K41" t="s">
        <v>4793</v>
      </c>
      <c r="L41" s="12" t="s">
        <v>4672</v>
      </c>
      <c r="M41" s="17" t="str">
        <f>IF(LEN(COUNTIFS($H$1:H41,$H41,$I$1:I41,$I41,$J$1:J41,$J41,$K$1:K41,K41,$L$1:L41,L41))=1,"00"&amp;COUNTIFS($H$1:H41,$H41,$I$1:I41,$I41,$J$1:J41,$J41,$K$1:K41,K41,$L$1:L41,L41),IF(LEN(COUNTIFS($H$1:H41,$H41,$I$1:I41,$I41,$J$1:J41,$J41,$K$1:K41,K41,$L$1:L41,L41))=2,"0"&amp;COUNTIFS($H$1:H41,$H41,$I$1:I41,$I41,$J$1:J41,$J41,$K$1:K41,K41,$L$1:L41,L41),COUNTIFS($H$1:H41,$H41,$I$1:I41,$I41,$J$1:J41,$J41,$K$1:K41,K41,$L$1:L41,L41)))</f>
        <v>009</v>
      </c>
      <c r="N4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1" s="14" t="e">
        <f>+LEN(Table4[[#This Row],[New Item Code]])</f>
        <v>#N/A</v>
      </c>
      <c r="P41" s="15" t="s">
        <v>4747</v>
      </c>
      <c r="Q41" s="15" t="s">
        <v>4749</v>
      </c>
      <c r="R41" s="15"/>
      <c r="S41" s="15" t="s">
        <v>4751</v>
      </c>
      <c r="T41" s="15" t="s">
        <v>4677</v>
      </c>
    </row>
    <row r="42" spans="1:20" x14ac:dyDescent="0.35">
      <c r="A42" s="2" t="s">
        <v>90</v>
      </c>
      <c r="B42" s="2" t="s">
        <v>91</v>
      </c>
      <c r="C42" s="2" t="s">
        <v>15</v>
      </c>
      <c r="D42" s="2">
        <v>1.24</v>
      </c>
      <c r="E42" s="2" t="s">
        <v>10</v>
      </c>
      <c r="F42" s="2">
        <v>4</v>
      </c>
      <c r="G42" s="22">
        <f>Table4[[#This Row],[Item Cost]]*Table4[[#This Row],[In Stock]]</f>
        <v>4.96</v>
      </c>
      <c r="H42" s="12" t="s">
        <v>4661</v>
      </c>
      <c r="I42" s="13" t="s">
        <v>4666</v>
      </c>
      <c r="J42" s="13" t="s">
        <v>4677</v>
      </c>
      <c r="K42" s="13" t="s">
        <v>4672</v>
      </c>
      <c r="L42" s="12" t="s">
        <v>4672</v>
      </c>
      <c r="M42" s="17" t="str">
        <f>IF(LEN(COUNTIFS($H$1:H42,$H42,$I$1:I42,$I42,$J$1:J42,$J42,$K$1:K42,K42,$L$1:L42,L42))=1,"00"&amp;COUNTIFS($H$1:H42,$H42,$I$1:I42,$I42,$J$1:J42,$J42,$K$1:K42,K42,$L$1:L42,L42),IF(LEN(COUNTIFS($H$1:H42,$H42,$I$1:I42,$I42,$J$1:J42,$J42,$K$1:K42,K42,$L$1:L42,L42))=2,"0"&amp;COUNTIFS($H$1:H42,$H42,$I$1:I42,$I42,$J$1:J42,$J42,$K$1:K42,K42,$L$1:L42,L42),COUNTIFS($H$1:H42,$H42,$I$1:I42,$I42,$J$1:J42,$J42,$K$1:K42,K42,$L$1:L42,L42)))</f>
        <v>006</v>
      </c>
      <c r="N4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2" s="14" t="e">
        <f>+LEN(Table4[[#This Row],[New Item Code]])</f>
        <v>#N/A</v>
      </c>
      <c r="P42" s="15" t="s">
        <v>4747</v>
      </c>
      <c r="Q42" s="15" t="s">
        <v>4749</v>
      </c>
      <c r="R42" s="15"/>
      <c r="S42" s="15" t="s">
        <v>4751</v>
      </c>
      <c r="T42" s="15" t="s">
        <v>4677</v>
      </c>
    </row>
    <row r="43" spans="1:20" x14ac:dyDescent="0.35">
      <c r="A43" s="3" t="s">
        <v>92</v>
      </c>
      <c r="B43" s="3" t="s">
        <v>93</v>
      </c>
      <c r="C43" s="3" t="s">
        <v>15</v>
      </c>
      <c r="D43" s="3">
        <v>10</v>
      </c>
      <c r="E43" s="3" t="s">
        <v>10</v>
      </c>
      <c r="F43" s="3">
        <v>6</v>
      </c>
      <c r="G43" s="21">
        <f>Table4[[#This Row],[Item Cost]]*Table4[[#This Row],[In Stock]]</f>
        <v>60</v>
      </c>
      <c r="H43" s="12" t="s">
        <v>4661</v>
      </c>
      <c r="I43" s="13" t="s">
        <v>4666</v>
      </c>
      <c r="J43" s="13" t="s">
        <v>4677</v>
      </c>
      <c r="K43" s="13" t="s">
        <v>4672</v>
      </c>
      <c r="L43" s="12" t="s">
        <v>4672</v>
      </c>
      <c r="M43" s="17" t="str">
        <f>IF(LEN(COUNTIFS($H$1:H43,$H43,$I$1:I43,$I43,$J$1:J43,$J43,$K$1:K43,K43,$L$1:L43,L43))=1,"00"&amp;COUNTIFS($H$1:H43,$H43,$I$1:I43,$I43,$J$1:J43,$J43,$K$1:K43,K43,$L$1:L43,L43),IF(LEN(COUNTIFS($H$1:H43,$H43,$I$1:I43,$I43,$J$1:J43,$J43,$K$1:K43,K43,$L$1:L43,L43))=2,"0"&amp;COUNTIFS($H$1:H43,$H43,$I$1:I43,$I43,$J$1:J43,$J43,$K$1:K43,K43,$L$1:L43,L43),COUNTIFS($H$1:H43,$H43,$I$1:I43,$I43,$J$1:J43,$J43,$K$1:K43,K43,$L$1:L43,L43)))</f>
        <v>007</v>
      </c>
      <c r="N4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3" s="14" t="e">
        <f>+LEN(Table4[[#This Row],[New Item Code]])</f>
        <v>#N/A</v>
      </c>
      <c r="P43" s="15" t="s">
        <v>4747</v>
      </c>
      <c r="Q43" s="15" t="s">
        <v>4749</v>
      </c>
      <c r="R43" s="15"/>
      <c r="S43" s="15" t="s">
        <v>4751</v>
      </c>
      <c r="T43" s="15" t="s">
        <v>4677</v>
      </c>
    </row>
    <row r="44" spans="1:20" x14ac:dyDescent="0.35">
      <c r="A44" s="2" t="s">
        <v>94</v>
      </c>
      <c r="B44" s="2" t="s">
        <v>95</v>
      </c>
      <c r="C44" s="2" t="s">
        <v>15</v>
      </c>
      <c r="D44" s="2">
        <v>34.020000000000003</v>
      </c>
      <c r="E44" s="2" t="s">
        <v>10</v>
      </c>
      <c r="F44" s="2">
        <v>0</v>
      </c>
      <c r="G44" s="22">
        <f>Table4[[#This Row],[Item Cost]]*Table4[[#This Row],[In Stock]]</f>
        <v>0</v>
      </c>
      <c r="H44" s="12" t="s">
        <v>4661</v>
      </c>
      <c r="I44" s="13" t="s">
        <v>4666</v>
      </c>
      <c r="J44" s="13" t="s">
        <v>4677</v>
      </c>
      <c r="K44" s="13" t="s">
        <v>4672</v>
      </c>
      <c r="L44" s="12" t="s">
        <v>4672</v>
      </c>
      <c r="M44" s="17" t="str">
        <f>IF(LEN(COUNTIFS($H$1:H44,$H44,$I$1:I44,$I44,$J$1:J44,$J44,$K$1:K44,K44,$L$1:L44,L44))=1,"00"&amp;COUNTIFS($H$1:H44,$H44,$I$1:I44,$I44,$J$1:J44,$J44,$K$1:K44,K44,$L$1:L44,L44),IF(LEN(COUNTIFS($H$1:H44,$H44,$I$1:I44,$I44,$J$1:J44,$J44,$K$1:K44,K44,$L$1:L44,L44))=2,"0"&amp;COUNTIFS($H$1:H44,$H44,$I$1:I44,$I44,$J$1:J44,$J44,$K$1:K44,K44,$L$1:L44,L44),COUNTIFS($H$1:H44,$H44,$I$1:I44,$I44,$J$1:J44,$J44,$K$1:K44,K44,$L$1:L44,L44)))</f>
        <v>008</v>
      </c>
      <c r="N4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4" s="14" t="e">
        <f>+LEN(Table4[[#This Row],[New Item Code]])</f>
        <v>#N/A</v>
      </c>
      <c r="P44" s="15" t="s">
        <v>4747</v>
      </c>
      <c r="Q44" s="15" t="s">
        <v>4749</v>
      </c>
      <c r="R44" s="15"/>
      <c r="S44" s="15" t="s">
        <v>4751</v>
      </c>
      <c r="T44" s="15" t="s">
        <v>4677</v>
      </c>
    </row>
    <row r="45" spans="1:20" x14ac:dyDescent="0.35">
      <c r="A45" s="3" t="s">
        <v>96</v>
      </c>
      <c r="B45" s="3" t="s">
        <v>97</v>
      </c>
      <c r="C45" s="3" t="s">
        <v>15</v>
      </c>
      <c r="D45" s="3">
        <v>27.251000000000001</v>
      </c>
      <c r="E45" s="3" t="s">
        <v>10</v>
      </c>
      <c r="F45" s="3">
        <v>0</v>
      </c>
      <c r="G45" s="21">
        <f>Table4[[#This Row],[Item Cost]]*Table4[[#This Row],[In Stock]]</f>
        <v>0</v>
      </c>
      <c r="H45" s="12" t="s">
        <v>4661</v>
      </c>
      <c r="I45" s="13" t="s">
        <v>4666</v>
      </c>
      <c r="J45" s="13" t="s">
        <v>4677</v>
      </c>
      <c r="K45" s="13" t="s">
        <v>4672</v>
      </c>
      <c r="L45" s="12" t="s">
        <v>4672</v>
      </c>
      <c r="M45" s="17" t="str">
        <f>IF(LEN(COUNTIFS($H$1:H45,$H45,$I$1:I45,$I45,$J$1:J45,$J45,$K$1:K45,K45,$L$1:L45,L45))=1,"00"&amp;COUNTIFS($H$1:H45,$H45,$I$1:I45,$I45,$J$1:J45,$J45,$K$1:K45,K45,$L$1:L45,L45),IF(LEN(COUNTIFS($H$1:H45,$H45,$I$1:I45,$I45,$J$1:J45,$J45,$K$1:K45,K45,$L$1:L45,L45))=2,"0"&amp;COUNTIFS($H$1:H45,$H45,$I$1:I45,$I45,$J$1:J45,$J45,$K$1:K45,K45,$L$1:L45,L45),COUNTIFS($H$1:H45,$H45,$I$1:I45,$I45,$J$1:J45,$J45,$K$1:K45,K45,$L$1:L45,L45)))</f>
        <v>009</v>
      </c>
      <c r="N4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5" s="14" t="e">
        <f>+LEN(Table4[[#This Row],[New Item Code]])</f>
        <v>#N/A</v>
      </c>
      <c r="P45" s="15" t="s">
        <v>4747</v>
      </c>
      <c r="Q45" s="15" t="s">
        <v>4749</v>
      </c>
      <c r="R45" s="15"/>
      <c r="S45" s="15" t="s">
        <v>4751</v>
      </c>
      <c r="T45" s="15" t="s">
        <v>4677</v>
      </c>
    </row>
    <row r="46" spans="1:20" x14ac:dyDescent="0.35">
      <c r="A46" s="2" t="s">
        <v>98</v>
      </c>
      <c r="B46" s="2" t="s">
        <v>99</v>
      </c>
      <c r="C46" s="2" t="s">
        <v>15</v>
      </c>
      <c r="D46" s="2">
        <v>0</v>
      </c>
      <c r="E46" s="2" t="s">
        <v>57</v>
      </c>
      <c r="F46" s="2">
        <v>0</v>
      </c>
      <c r="G46" s="22">
        <f>Table4[[#This Row],[Item Cost]]*Table4[[#This Row],[In Stock]]</f>
        <v>0</v>
      </c>
      <c r="H46" s="12" t="s">
        <v>4661</v>
      </c>
      <c r="I46" s="13" t="s">
        <v>4666</v>
      </c>
      <c r="J46" s="13" t="s">
        <v>4677</v>
      </c>
      <c r="K46" s="13" t="s">
        <v>4672</v>
      </c>
      <c r="L46" s="12" t="s">
        <v>4672</v>
      </c>
      <c r="M46" s="17" t="str">
        <f>IF(LEN(COUNTIFS($H$1:H46,$H46,$I$1:I46,$I46,$J$1:J46,$J46,$K$1:K46,K46,$L$1:L46,L46))=1,"00"&amp;COUNTIFS($H$1:H46,$H46,$I$1:I46,$I46,$J$1:J46,$J46,$K$1:K46,K46,$L$1:L46,L46),IF(LEN(COUNTIFS($H$1:H46,$H46,$I$1:I46,$I46,$J$1:J46,$J46,$K$1:K46,K46,$L$1:L46,L46))=2,"0"&amp;COUNTIFS($H$1:H46,$H46,$I$1:I46,$I46,$J$1:J46,$J46,$K$1:K46,K46,$L$1:L46,L46),COUNTIFS($H$1:H46,$H46,$I$1:I46,$I46,$J$1:J46,$J46,$K$1:K46,K46,$L$1:L46,L46)))</f>
        <v>010</v>
      </c>
      <c r="N4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6" s="14" t="e">
        <f>+LEN(Table4[[#This Row],[New Item Code]])</f>
        <v>#N/A</v>
      </c>
      <c r="P46" s="15" t="s">
        <v>4747</v>
      </c>
      <c r="Q46" s="15" t="s">
        <v>4749</v>
      </c>
      <c r="R46" s="15"/>
      <c r="S46" s="15" t="s">
        <v>4751</v>
      </c>
      <c r="T46" s="15" t="s">
        <v>4677</v>
      </c>
    </row>
    <row r="47" spans="1:20" x14ac:dyDescent="0.35">
      <c r="A47" s="3" t="s">
        <v>100</v>
      </c>
      <c r="B47" s="3" t="s">
        <v>101</v>
      </c>
      <c r="C47" s="3" t="s">
        <v>9</v>
      </c>
      <c r="D47" s="3">
        <v>429</v>
      </c>
      <c r="E47" s="3" t="s">
        <v>10</v>
      </c>
      <c r="F47" s="3">
        <v>1</v>
      </c>
      <c r="G47" s="21">
        <f>Table4[[#This Row],[Item Cost]]*Table4[[#This Row],[In Stock]]</f>
        <v>429</v>
      </c>
      <c r="H47" s="12" t="s">
        <v>4661</v>
      </c>
      <c r="I47" s="13" t="s">
        <v>4664</v>
      </c>
      <c r="J47" s="13" t="s">
        <v>4677</v>
      </c>
      <c r="K47" s="13" t="s">
        <v>4672</v>
      </c>
      <c r="L47" s="12" t="s">
        <v>4672</v>
      </c>
      <c r="M47" s="17" t="str">
        <f>IF(LEN(COUNTIFS($H$1:H47,$H47,$I$1:I47,$I47,$J$1:J47,$J47,$K$1:K47,K47,$L$1:L47,L47))=1,"00"&amp;COUNTIFS($H$1:H47,$H47,$I$1:I47,$I47,$J$1:J47,$J47,$K$1:K47,K47,$L$1:L47,L47),IF(LEN(COUNTIFS($H$1:H47,$H47,$I$1:I47,$I47,$J$1:J47,$J47,$K$1:K47,K47,$L$1:L47,L47))=2,"0"&amp;COUNTIFS($H$1:H47,$H47,$I$1:I47,$I47,$J$1:J47,$J47,$K$1:K47,K47,$L$1:L47,L47),COUNTIFS($H$1:H47,$H47,$I$1:I47,$I47,$J$1:J47,$J47,$K$1:K47,K47,$L$1:L47,L47)))</f>
        <v>012</v>
      </c>
      <c r="N4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7" s="14" t="e">
        <f>+LEN(Table4[[#This Row],[New Item Code]])</f>
        <v>#N/A</v>
      </c>
      <c r="P47" s="15" t="s">
        <v>4747</v>
      </c>
      <c r="Q47" s="15" t="s">
        <v>4749</v>
      </c>
      <c r="R47" s="15"/>
      <c r="S47" s="15" t="s">
        <v>4751</v>
      </c>
      <c r="T47" s="15" t="s">
        <v>4677</v>
      </c>
    </row>
    <row r="48" spans="1:20" x14ac:dyDescent="0.35">
      <c r="A48" s="2" t="s">
        <v>102</v>
      </c>
      <c r="B48" s="2" t="s">
        <v>103</v>
      </c>
      <c r="C48" s="2" t="s">
        <v>9</v>
      </c>
      <c r="D48" s="2">
        <v>68.125</v>
      </c>
      <c r="E48" s="2" t="s">
        <v>10</v>
      </c>
      <c r="F48" s="2">
        <v>2</v>
      </c>
      <c r="G48" s="22">
        <f>Table4[[#This Row],[Item Cost]]*Table4[[#This Row],[In Stock]]</f>
        <v>136.25</v>
      </c>
      <c r="H48" s="12" t="s">
        <v>4661</v>
      </c>
      <c r="I48" s="13" t="s">
        <v>4664</v>
      </c>
      <c r="J48" s="13" t="s">
        <v>4677</v>
      </c>
      <c r="K48" s="13" t="s">
        <v>4672</v>
      </c>
      <c r="L48" s="12" t="s">
        <v>4672</v>
      </c>
      <c r="M48" s="17" t="str">
        <f>IF(LEN(COUNTIFS($H$1:H48,$H48,$I$1:I48,$I48,$J$1:J48,$J48,$K$1:K48,K48,$L$1:L48,L48))=1,"00"&amp;COUNTIFS($H$1:H48,$H48,$I$1:I48,$I48,$J$1:J48,$J48,$K$1:K48,K48,$L$1:L48,L48),IF(LEN(COUNTIFS($H$1:H48,$H48,$I$1:I48,$I48,$J$1:J48,$J48,$K$1:K48,K48,$L$1:L48,L48))=2,"0"&amp;COUNTIFS($H$1:H48,$H48,$I$1:I48,$I48,$J$1:J48,$J48,$K$1:K48,K48,$L$1:L48,L48),COUNTIFS($H$1:H48,$H48,$I$1:I48,$I48,$J$1:J48,$J48,$K$1:K48,K48,$L$1:L48,L48)))</f>
        <v>013</v>
      </c>
      <c r="N4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8" s="14" t="e">
        <f>+LEN(Table4[[#This Row],[New Item Code]])</f>
        <v>#N/A</v>
      </c>
      <c r="P48" s="15" t="s">
        <v>4747</v>
      </c>
      <c r="Q48" s="15" t="s">
        <v>4749</v>
      </c>
      <c r="R48" s="15"/>
      <c r="S48" s="15" t="s">
        <v>4751</v>
      </c>
      <c r="T48" s="15" t="s">
        <v>4677</v>
      </c>
    </row>
    <row r="49" spans="1:20" x14ac:dyDescent="0.35">
      <c r="A49" s="2" t="s">
        <v>104</v>
      </c>
      <c r="B49" s="2" t="s">
        <v>105</v>
      </c>
      <c r="C49" s="2" t="s">
        <v>56</v>
      </c>
      <c r="D49" s="2">
        <v>0</v>
      </c>
      <c r="E49" s="2" t="s">
        <v>57</v>
      </c>
      <c r="F49" s="2">
        <v>0</v>
      </c>
      <c r="G49" s="22">
        <f>Table4[[#This Row],[Item Cost]]*Table4[[#This Row],[In Stock]]</f>
        <v>0</v>
      </c>
      <c r="H49" s="12" t="s">
        <v>4661</v>
      </c>
      <c r="I49" s="13" t="s">
        <v>4668</v>
      </c>
      <c r="J49" s="13" t="s">
        <v>4677</v>
      </c>
      <c r="K49" s="13" t="s">
        <v>4672</v>
      </c>
      <c r="L49" s="12" t="s">
        <v>4672</v>
      </c>
      <c r="M49" s="17" t="str">
        <f>IF(LEN(COUNTIFS($H$1:H49,$H49,$I$1:I49,$I49,$J$1:J49,$J49,$K$1:K49,K49,$L$1:L49,L49))=1,"00"&amp;COUNTIFS($H$1:H49,$H49,$I$1:I49,$I49,$J$1:J49,$J49,$K$1:K49,K49,$L$1:L49,L49),IF(LEN(COUNTIFS($H$1:H49,$H49,$I$1:I49,$I49,$J$1:J49,$J49,$K$1:K49,K49,$L$1:L49,L49))=2,"0"&amp;COUNTIFS($H$1:H49,$H49,$I$1:I49,$I49,$J$1:J49,$J49,$K$1:K49,K49,$L$1:L49,L49),COUNTIFS($H$1:H49,$H49,$I$1:I49,$I49,$J$1:J49,$J49,$K$1:K49,K49,$L$1:L49,L49)))</f>
        <v>003</v>
      </c>
      <c r="N4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9" s="14" t="e">
        <f>+LEN(Table4[[#This Row],[New Item Code]])</f>
        <v>#N/A</v>
      </c>
      <c r="P49" s="15" t="s">
        <v>4747</v>
      </c>
      <c r="Q49" s="15" t="s">
        <v>4749</v>
      </c>
      <c r="R49" s="15"/>
      <c r="S49" s="15" t="s">
        <v>4751</v>
      </c>
      <c r="T49" s="15" t="s">
        <v>4677</v>
      </c>
    </row>
    <row r="50" spans="1:20" x14ac:dyDescent="0.35">
      <c r="A50" s="3" t="s">
        <v>106</v>
      </c>
      <c r="B50" s="3" t="s">
        <v>107</v>
      </c>
      <c r="C50" s="3" t="s">
        <v>15</v>
      </c>
      <c r="D50" s="3">
        <v>0</v>
      </c>
      <c r="E50" s="3" t="s">
        <v>57</v>
      </c>
      <c r="F50" s="3">
        <v>0</v>
      </c>
      <c r="G50" s="21">
        <f>Table4[[#This Row],[Item Cost]]*Table4[[#This Row],[In Stock]]</f>
        <v>0</v>
      </c>
      <c r="H50" s="12" t="s">
        <v>4661</v>
      </c>
      <c r="I50" s="13" t="s">
        <v>4666</v>
      </c>
      <c r="J50" s="13" t="s">
        <v>4677</v>
      </c>
      <c r="K50" s="13" t="s">
        <v>4672</v>
      </c>
      <c r="L50" s="12" t="s">
        <v>4672</v>
      </c>
      <c r="M50" s="17" t="str">
        <f>IF(LEN(COUNTIFS($H$1:H50,$H50,$I$1:I50,$I50,$J$1:J50,$J50,$K$1:K50,K50,$L$1:L50,L50))=1,"00"&amp;COUNTIFS($H$1:H50,$H50,$I$1:I50,$I50,$J$1:J50,$J50,$K$1:K50,K50,$L$1:L50,L50),IF(LEN(COUNTIFS($H$1:H50,$H50,$I$1:I50,$I50,$J$1:J50,$J50,$K$1:K50,K50,$L$1:L50,L50))=2,"0"&amp;COUNTIFS($H$1:H50,$H50,$I$1:I50,$I50,$J$1:J50,$J50,$K$1:K50,K50,$L$1:L50,L50),COUNTIFS($H$1:H50,$H50,$I$1:I50,$I50,$J$1:J50,$J50,$K$1:K50,K50,$L$1:L50,L50)))</f>
        <v>011</v>
      </c>
      <c r="N5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0" s="14" t="e">
        <f>+LEN(Table4[[#This Row],[New Item Code]])</f>
        <v>#N/A</v>
      </c>
      <c r="P50" s="15" t="s">
        <v>4747</v>
      </c>
      <c r="Q50" s="15" t="s">
        <v>4749</v>
      </c>
      <c r="R50" s="15"/>
      <c r="S50" s="15" t="s">
        <v>4751</v>
      </c>
      <c r="T50" s="15" t="s">
        <v>4677</v>
      </c>
    </row>
    <row r="51" spans="1:20" x14ac:dyDescent="0.35">
      <c r="A51" s="2" t="s">
        <v>108</v>
      </c>
      <c r="B51" s="2" t="s">
        <v>109</v>
      </c>
      <c r="C51" s="2" t="s">
        <v>9</v>
      </c>
      <c r="D51" s="4">
        <v>4041.36</v>
      </c>
      <c r="E51" s="2" t="s">
        <v>10</v>
      </c>
      <c r="F51" s="2">
        <v>2</v>
      </c>
      <c r="G51" s="22">
        <f>Table4[[#This Row],[Item Cost]]*Table4[[#This Row],[In Stock]]</f>
        <v>8082.72</v>
      </c>
      <c r="H51" s="12" t="s">
        <v>4661</v>
      </c>
      <c r="I51" s="13" t="s">
        <v>4664</v>
      </c>
      <c r="J51" s="13" t="s">
        <v>4677</v>
      </c>
      <c r="K51" s="13" t="s">
        <v>4776</v>
      </c>
      <c r="L51" s="12" t="s">
        <v>4672</v>
      </c>
      <c r="M51" s="17" t="str">
        <f>IF(LEN(COUNTIFS($H$1:H51,$H51,$I$1:I51,$I51,$J$1:J51,$J51,$K$1:K51,K51,$L$1:L51,L51))=1,"00"&amp;COUNTIFS($H$1:H51,$H51,$I$1:I51,$I51,$J$1:J51,$J51,$K$1:K51,K51,$L$1:L51,L51),IF(LEN(COUNTIFS($H$1:H51,$H51,$I$1:I51,$I51,$J$1:J51,$J51,$K$1:K51,K51,$L$1:L51,L51))=2,"0"&amp;COUNTIFS($H$1:H51,$H51,$I$1:I51,$I51,$J$1:J51,$J51,$K$1:K51,K51,$L$1:L51,L51),COUNTIFS($H$1:H51,$H51,$I$1:I51,$I51,$J$1:J51,$J51,$K$1:K51,K51,$L$1:L51,L51)))</f>
        <v>001</v>
      </c>
      <c r="N5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1" s="14" t="e">
        <f>+LEN(Table4[[#This Row],[New Item Code]])</f>
        <v>#N/A</v>
      </c>
      <c r="P51" s="15" t="s">
        <v>4747</v>
      </c>
      <c r="Q51" s="15" t="s">
        <v>4749</v>
      </c>
      <c r="R51" s="15"/>
      <c r="S51" s="15" t="s">
        <v>4751</v>
      </c>
      <c r="T51" s="15" t="s">
        <v>4677</v>
      </c>
    </row>
    <row r="52" spans="1:20" x14ac:dyDescent="0.35">
      <c r="A52" s="3" t="s">
        <v>110</v>
      </c>
      <c r="B52" s="3" t="s">
        <v>111</v>
      </c>
      <c r="C52" s="3" t="s">
        <v>9</v>
      </c>
      <c r="D52" s="5">
        <v>1673</v>
      </c>
      <c r="E52" s="3" t="s">
        <v>10</v>
      </c>
      <c r="F52" s="3">
        <v>0</v>
      </c>
      <c r="G52" s="21">
        <f>Table4[[#This Row],[Item Cost]]*Table4[[#This Row],[In Stock]]</f>
        <v>0</v>
      </c>
      <c r="H52" s="12" t="s">
        <v>4661</v>
      </c>
      <c r="I52" s="13" t="s">
        <v>4664</v>
      </c>
      <c r="J52" s="13" t="s">
        <v>4677</v>
      </c>
      <c r="K52" s="13" t="s">
        <v>4672</v>
      </c>
      <c r="L52" s="12" t="s">
        <v>4672</v>
      </c>
      <c r="M52" s="17" t="str">
        <f>IF(LEN(COUNTIFS($H$1:H52,$H52,$I$1:I52,$I52,$J$1:J52,$J52,$K$1:K52,K52,$L$1:L52,L52))=1,"00"&amp;COUNTIFS($H$1:H52,$H52,$I$1:I52,$I52,$J$1:J52,$J52,$K$1:K52,K52,$L$1:L52,L52),IF(LEN(COUNTIFS($H$1:H52,$H52,$I$1:I52,$I52,$J$1:J52,$J52,$K$1:K52,K52,$L$1:L52,L52))=2,"0"&amp;COUNTIFS($H$1:H52,$H52,$I$1:I52,$I52,$J$1:J52,$J52,$K$1:K52,K52,$L$1:L52,L52),COUNTIFS($H$1:H52,$H52,$I$1:I52,$I52,$J$1:J52,$J52,$K$1:K52,K52,$L$1:L52,L52)))</f>
        <v>014</v>
      </c>
      <c r="N5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2" s="14" t="e">
        <f>+LEN(Table4[[#This Row],[New Item Code]])</f>
        <v>#N/A</v>
      </c>
      <c r="P52" s="15" t="s">
        <v>4747</v>
      </c>
      <c r="Q52" s="15" t="s">
        <v>4749</v>
      </c>
      <c r="R52" s="15"/>
      <c r="S52" s="15" t="s">
        <v>4751</v>
      </c>
      <c r="T52" s="15" t="s">
        <v>4677</v>
      </c>
    </row>
    <row r="53" spans="1:20" x14ac:dyDescent="0.35">
      <c r="A53" s="2" t="s">
        <v>112</v>
      </c>
      <c r="B53" s="2" t="s">
        <v>113</v>
      </c>
      <c r="C53" s="2" t="s">
        <v>15</v>
      </c>
      <c r="D53" s="4">
        <v>1850</v>
      </c>
      <c r="E53" s="2" t="s">
        <v>10</v>
      </c>
      <c r="F53" s="2">
        <v>0</v>
      </c>
      <c r="G53" s="22">
        <f>Table4[[#This Row],[Item Cost]]*Table4[[#This Row],[In Stock]]</f>
        <v>0</v>
      </c>
      <c r="H53" s="12" t="s">
        <v>4661</v>
      </c>
      <c r="I53" s="13" t="s">
        <v>4666</v>
      </c>
      <c r="J53" s="13" t="s">
        <v>4677</v>
      </c>
      <c r="K53" s="13" t="s">
        <v>4672</v>
      </c>
      <c r="L53" s="12" t="s">
        <v>4672</v>
      </c>
      <c r="M53" s="17" t="str">
        <f>IF(LEN(COUNTIFS($H$1:H53,$H53,$I$1:I53,$I53,$J$1:J53,$J53,$K$1:K53,K53,$L$1:L53,L53))=1,"00"&amp;COUNTIFS($H$1:H53,$H53,$I$1:I53,$I53,$J$1:J53,$J53,$K$1:K53,K53,$L$1:L53,L53),IF(LEN(COUNTIFS($H$1:H53,$H53,$I$1:I53,$I53,$J$1:J53,$J53,$K$1:K53,K53,$L$1:L53,L53))=2,"0"&amp;COUNTIFS($H$1:H53,$H53,$I$1:I53,$I53,$J$1:J53,$J53,$K$1:K53,K53,$L$1:L53,L53),COUNTIFS($H$1:H53,$H53,$I$1:I53,$I53,$J$1:J53,$J53,$K$1:K53,K53,$L$1:L53,L53)))</f>
        <v>012</v>
      </c>
      <c r="N5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3" s="14" t="e">
        <f>+LEN(Table4[[#This Row],[New Item Code]])</f>
        <v>#N/A</v>
      </c>
      <c r="P53" s="15" t="s">
        <v>4747</v>
      </c>
      <c r="Q53" s="15" t="s">
        <v>4749</v>
      </c>
      <c r="R53" s="15"/>
      <c r="S53" s="15" t="s">
        <v>4751</v>
      </c>
      <c r="T53" s="15" t="s">
        <v>4677</v>
      </c>
    </row>
    <row r="54" spans="1:20" x14ac:dyDescent="0.35">
      <c r="A54" s="3" t="s">
        <v>114</v>
      </c>
      <c r="B54" s="3" t="s">
        <v>115</v>
      </c>
      <c r="C54" s="3" t="s">
        <v>15</v>
      </c>
      <c r="D54" s="3">
        <v>0</v>
      </c>
      <c r="E54" s="3" t="s">
        <v>57</v>
      </c>
      <c r="F54" s="3">
        <v>0</v>
      </c>
      <c r="G54" s="21">
        <f>Table4[[#This Row],[Item Cost]]*Table4[[#This Row],[In Stock]]</f>
        <v>0</v>
      </c>
      <c r="H54" s="12" t="s">
        <v>4661</v>
      </c>
      <c r="I54" s="13" t="s">
        <v>4666</v>
      </c>
      <c r="J54" s="13" t="s">
        <v>4677</v>
      </c>
      <c r="K54" s="13" t="s">
        <v>4734</v>
      </c>
      <c r="L54" s="12" t="s">
        <v>4672</v>
      </c>
      <c r="M54" s="17" t="str">
        <f>IF(LEN(COUNTIFS($H$1:H54,$H54,$I$1:I54,$I54,$J$1:J54,$J54,$K$1:K54,K54,$L$1:L54,L54))=1,"00"&amp;COUNTIFS($H$1:H54,$H54,$I$1:I54,$I54,$J$1:J54,$J54,$K$1:K54,K54,$L$1:L54,L54),IF(LEN(COUNTIFS($H$1:H54,$H54,$I$1:I54,$I54,$J$1:J54,$J54,$K$1:K54,K54,$L$1:L54,L54))=2,"0"&amp;COUNTIFS($H$1:H54,$H54,$I$1:I54,$I54,$J$1:J54,$J54,$K$1:K54,K54,$L$1:L54,L54),COUNTIFS($H$1:H54,$H54,$I$1:I54,$I54,$J$1:J54,$J54,$K$1:K54,K54,$L$1:L54,L54)))</f>
        <v>001</v>
      </c>
      <c r="N5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4" s="14" t="e">
        <f>+LEN(Table4[[#This Row],[New Item Code]])</f>
        <v>#N/A</v>
      </c>
      <c r="P54" s="15" t="s">
        <v>4747</v>
      </c>
      <c r="Q54" s="15" t="s">
        <v>4749</v>
      </c>
      <c r="R54" s="15"/>
      <c r="S54" s="15" t="s">
        <v>4751</v>
      </c>
      <c r="T54" s="15" t="s">
        <v>4677</v>
      </c>
    </row>
    <row r="55" spans="1:20" x14ac:dyDescent="0.35">
      <c r="A55" s="2" t="s">
        <v>116</v>
      </c>
      <c r="B55" s="2" t="s">
        <v>117</v>
      </c>
      <c r="C55" s="2" t="s">
        <v>15</v>
      </c>
      <c r="D55" s="2">
        <v>149</v>
      </c>
      <c r="E55" s="2" t="s">
        <v>10</v>
      </c>
      <c r="F55" s="2">
        <v>10</v>
      </c>
      <c r="G55" s="22">
        <f>Table4[[#This Row],[Item Cost]]*Table4[[#This Row],[In Stock]]</f>
        <v>1490</v>
      </c>
      <c r="H55" s="12" t="s">
        <v>4661</v>
      </c>
      <c r="I55" s="13" t="s">
        <v>4666</v>
      </c>
      <c r="J55" s="13" t="s">
        <v>4677</v>
      </c>
      <c r="K55" s="13" t="s">
        <v>4672</v>
      </c>
      <c r="L55" s="12" t="s">
        <v>4672</v>
      </c>
      <c r="M55" s="17" t="str">
        <f>IF(LEN(COUNTIFS($H$1:H55,$H55,$I$1:I55,$I55,$J$1:J55,$J55,$K$1:K55,K55,$L$1:L55,L55))=1,"00"&amp;COUNTIFS($H$1:H55,$H55,$I$1:I55,$I55,$J$1:J55,$J55,$K$1:K55,K55,$L$1:L55,L55),IF(LEN(COUNTIFS($H$1:H55,$H55,$I$1:I55,$I55,$J$1:J55,$J55,$K$1:K55,K55,$L$1:L55,L55))=2,"0"&amp;COUNTIFS($H$1:H55,$H55,$I$1:I55,$I55,$J$1:J55,$J55,$K$1:K55,K55,$L$1:L55,L55),COUNTIFS($H$1:H55,$H55,$I$1:I55,$I55,$J$1:J55,$J55,$K$1:K55,K55,$L$1:L55,L55)))</f>
        <v>013</v>
      </c>
      <c r="N5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5" s="14" t="e">
        <f>+LEN(Table4[[#This Row],[New Item Code]])</f>
        <v>#N/A</v>
      </c>
      <c r="P55" s="15" t="s">
        <v>4747</v>
      </c>
      <c r="Q55" s="15" t="s">
        <v>4749</v>
      </c>
      <c r="R55" s="15"/>
      <c r="S55" s="15" t="s">
        <v>4751</v>
      </c>
      <c r="T55" s="15" t="s">
        <v>4677</v>
      </c>
    </row>
    <row r="56" spans="1:20" x14ac:dyDescent="0.35">
      <c r="A56" s="3" t="s">
        <v>118</v>
      </c>
      <c r="B56" s="3" t="s">
        <v>119</v>
      </c>
      <c r="C56" s="3" t="s">
        <v>15</v>
      </c>
      <c r="D56" s="5">
        <v>10500</v>
      </c>
      <c r="E56" s="3" t="s">
        <v>10</v>
      </c>
      <c r="F56" s="3">
        <v>1</v>
      </c>
      <c r="G56" s="21">
        <f>Table4[[#This Row],[Item Cost]]*Table4[[#This Row],[In Stock]]</f>
        <v>10500</v>
      </c>
      <c r="H56" s="12" t="s">
        <v>4661</v>
      </c>
      <c r="I56" s="13" t="s">
        <v>4666</v>
      </c>
      <c r="J56" s="13" t="s">
        <v>4677</v>
      </c>
      <c r="K56" s="13" t="s">
        <v>4734</v>
      </c>
      <c r="L56" s="12" t="s">
        <v>4672</v>
      </c>
      <c r="M56" s="17" t="str">
        <f>IF(LEN(COUNTIFS($H$1:H56,$H56,$I$1:I56,$I56,$J$1:J56,$J56,$K$1:K56,K56,$L$1:L56,L56))=1,"00"&amp;COUNTIFS($H$1:H56,$H56,$I$1:I56,$I56,$J$1:J56,$J56,$K$1:K56,K56,$L$1:L56,L56),IF(LEN(COUNTIFS($H$1:H56,$H56,$I$1:I56,$I56,$J$1:J56,$J56,$K$1:K56,K56,$L$1:L56,L56))=2,"0"&amp;COUNTIFS($H$1:H56,$H56,$I$1:I56,$I56,$J$1:J56,$J56,$K$1:K56,K56,$L$1:L56,L56),COUNTIFS($H$1:H56,$H56,$I$1:I56,$I56,$J$1:J56,$J56,$K$1:K56,K56,$L$1:L56,L56)))</f>
        <v>002</v>
      </c>
      <c r="N5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6" s="14" t="e">
        <f>+LEN(Table4[[#This Row],[New Item Code]])</f>
        <v>#N/A</v>
      </c>
      <c r="P56" s="15" t="s">
        <v>4747</v>
      </c>
      <c r="Q56" s="15" t="s">
        <v>4749</v>
      </c>
      <c r="R56" s="15"/>
      <c r="S56" s="15" t="s">
        <v>4751</v>
      </c>
      <c r="T56" s="15" t="e">
        <v>#N/A</v>
      </c>
    </row>
    <row r="57" spans="1:20" x14ac:dyDescent="0.35">
      <c r="A57" s="2" t="s">
        <v>120</v>
      </c>
      <c r="B57" s="2" t="s">
        <v>121</v>
      </c>
      <c r="C57" s="2" t="s">
        <v>15</v>
      </c>
      <c r="D57" s="2">
        <v>82</v>
      </c>
      <c r="E57" s="2" t="s">
        <v>10</v>
      </c>
      <c r="F57" s="2">
        <v>4</v>
      </c>
      <c r="G57" s="22">
        <f>Table4[[#This Row],[Item Cost]]*Table4[[#This Row],[In Stock]]</f>
        <v>328</v>
      </c>
      <c r="H57" s="12" t="s">
        <v>4661</v>
      </c>
      <c r="I57" s="13" t="s">
        <v>4666</v>
      </c>
      <c r="J57" s="13" t="s">
        <v>4677</v>
      </c>
      <c r="K57" s="13" t="s">
        <v>4672</v>
      </c>
      <c r="L57" s="12" t="s">
        <v>4672</v>
      </c>
      <c r="M57" s="17" t="str">
        <f>IF(LEN(COUNTIFS($H$1:H57,$H57,$I$1:I57,$I57,$J$1:J57,$J57,$K$1:K57,K57,$L$1:L57,L57))=1,"00"&amp;COUNTIFS($H$1:H57,$H57,$I$1:I57,$I57,$J$1:J57,$J57,$K$1:K57,K57,$L$1:L57,L57),IF(LEN(COUNTIFS($H$1:H57,$H57,$I$1:I57,$I57,$J$1:J57,$J57,$K$1:K57,K57,$L$1:L57,L57))=2,"0"&amp;COUNTIFS($H$1:H57,$H57,$I$1:I57,$I57,$J$1:J57,$J57,$K$1:K57,K57,$L$1:L57,L57),COUNTIFS($H$1:H57,$H57,$I$1:I57,$I57,$J$1:J57,$J57,$K$1:K57,K57,$L$1:L57,L57)))</f>
        <v>014</v>
      </c>
      <c r="N5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7" s="14" t="e">
        <f>+LEN(Table4[[#This Row],[New Item Code]])</f>
        <v>#N/A</v>
      </c>
      <c r="P57" s="15" t="s">
        <v>4747</v>
      </c>
      <c r="Q57" s="15" t="s">
        <v>4749</v>
      </c>
      <c r="R57" s="15"/>
      <c r="S57" s="15" t="s">
        <v>4751</v>
      </c>
      <c r="T57" s="15" t="s">
        <v>4677</v>
      </c>
    </row>
    <row r="58" spans="1:20" x14ac:dyDescent="0.35">
      <c r="A58" s="3" t="s">
        <v>122</v>
      </c>
      <c r="B58" s="3" t="s">
        <v>123</v>
      </c>
      <c r="C58" s="3" t="s">
        <v>15</v>
      </c>
      <c r="D58" s="3">
        <v>64.5</v>
      </c>
      <c r="E58" s="3" t="s">
        <v>10</v>
      </c>
      <c r="F58" s="3">
        <v>4</v>
      </c>
      <c r="G58" s="21">
        <f>Table4[[#This Row],[Item Cost]]*Table4[[#This Row],[In Stock]]</f>
        <v>258</v>
      </c>
      <c r="H58" s="12" t="s">
        <v>4661</v>
      </c>
      <c r="I58" s="13" t="s">
        <v>4666</v>
      </c>
      <c r="J58" s="13" t="s">
        <v>4677</v>
      </c>
      <c r="K58" s="13" t="s">
        <v>4672</v>
      </c>
      <c r="L58" s="12" t="s">
        <v>4672</v>
      </c>
      <c r="M58" s="17" t="str">
        <f>IF(LEN(COUNTIFS($H$1:H58,$H58,$I$1:I58,$I58,$J$1:J58,$J58,$K$1:K58,K58,$L$1:L58,L58))=1,"00"&amp;COUNTIFS($H$1:H58,$H58,$I$1:I58,$I58,$J$1:J58,$J58,$K$1:K58,K58,$L$1:L58,L58),IF(LEN(COUNTIFS($H$1:H58,$H58,$I$1:I58,$I58,$J$1:J58,$J58,$K$1:K58,K58,$L$1:L58,L58))=2,"0"&amp;COUNTIFS($H$1:H58,$H58,$I$1:I58,$I58,$J$1:J58,$J58,$K$1:K58,K58,$L$1:L58,L58),COUNTIFS($H$1:H58,$H58,$I$1:I58,$I58,$J$1:J58,$J58,$K$1:K58,K58,$L$1:L58,L58)))</f>
        <v>015</v>
      </c>
      <c r="N5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8" s="14" t="e">
        <f>+LEN(Table4[[#This Row],[New Item Code]])</f>
        <v>#N/A</v>
      </c>
      <c r="P58" s="15" t="s">
        <v>4747</v>
      </c>
      <c r="Q58" s="15" t="s">
        <v>4749</v>
      </c>
      <c r="R58" s="15"/>
      <c r="S58" s="15" t="s">
        <v>4751</v>
      </c>
      <c r="T58" s="15" t="s">
        <v>4677</v>
      </c>
    </row>
    <row r="59" spans="1:20" x14ac:dyDescent="0.35">
      <c r="A59" s="2" t="s">
        <v>124</v>
      </c>
      <c r="B59" s="2" t="s">
        <v>125</v>
      </c>
      <c r="C59" s="2" t="s">
        <v>15</v>
      </c>
      <c r="D59" s="4">
        <v>1077</v>
      </c>
      <c r="E59" s="2" t="s">
        <v>10</v>
      </c>
      <c r="F59" s="2">
        <v>1</v>
      </c>
      <c r="G59" s="22">
        <f>Table4[[#This Row],[Item Cost]]*Table4[[#This Row],[In Stock]]</f>
        <v>1077</v>
      </c>
      <c r="H59" s="12" t="s">
        <v>4661</v>
      </c>
      <c r="I59" s="13" t="s">
        <v>4666</v>
      </c>
      <c r="J59" s="13" t="s">
        <v>4677</v>
      </c>
      <c r="K59" s="13" t="s">
        <v>4672</v>
      </c>
      <c r="L59" s="12" t="s">
        <v>4672</v>
      </c>
      <c r="M59" s="17" t="str">
        <f>IF(LEN(COUNTIFS($H$1:H59,$H59,$I$1:I59,$I59,$J$1:J59,$J59,$K$1:K59,K59,$L$1:L59,L59))=1,"00"&amp;COUNTIFS($H$1:H59,$H59,$I$1:I59,$I59,$J$1:J59,$J59,$K$1:K59,K59,$L$1:L59,L59),IF(LEN(COUNTIFS($H$1:H59,$H59,$I$1:I59,$I59,$J$1:J59,$J59,$K$1:K59,K59,$L$1:L59,L59))=2,"0"&amp;COUNTIFS($H$1:H59,$H59,$I$1:I59,$I59,$J$1:J59,$J59,$K$1:K59,K59,$L$1:L59,L59),COUNTIFS($H$1:H59,$H59,$I$1:I59,$I59,$J$1:J59,$J59,$K$1:K59,K59,$L$1:L59,L59)))</f>
        <v>016</v>
      </c>
      <c r="N5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9" s="14" t="e">
        <f>+LEN(Table4[[#This Row],[New Item Code]])</f>
        <v>#N/A</v>
      </c>
      <c r="P59" s="15" t="s">
        <v>4747</v>
      </c>
      <c r="Q59" s="15" t="s">
        <v>4749</v>
      </c>
      <c r="R59" s="15"/>
      <c r="S59" s="15" t="s">
        <v>4751</v>
      </c>
      <c r="T59" s="15" t="s">
        <v>4677</v>
      </c>
    </row>
    <row r="60" spans="1:20" x14ac:dyDescent="0.35">
      <c r="A60" s="3" t="s">
        <v>126</v>
      </c>
      <c r="B60" s="3" t="s">
        <v>127</v>
      </c>
      <c r="C60" s="3" t="s">
        <v>15</v>
      </c>
      <c r="D60" s="3">
        <v>55</v>
      </c>
      <c r="E60" s="3" t="s">
        <v>10</v>
      </c>
      <c r="F60" s="3">
        <v>1</v>
      </c>
      <c r="G60" s="21">
        <f>Table4[[#This Row],[Item Cost]]*Table4[[#This Row],[In Stock]]</f>
        <v>55</v>
      </c>
      <c r="H60" s="12" t="s">
        <v>4661</v>
      </c>
      <c r="I60" s="13" t="s">
        <v>4666</v>
      </c>
      <c r="J60" s="13" t="s">
        <v>4677</v>
      </c>
      <c r="K60" s="13" t="s">
        <v>4672</v>
      </c>
      <c r="L60" s="12" t="s">
        <v>4672</v>
      </c>
      <c r="M60" s="17" t="str">
        <f>IF(LEN(COUNTIFS($H$1:H60,$H60,$I$1:I60,$I60,$J$1:J60,$J60,$K$1:K60,K60,$L$1:L60,L60))=1,"00"&amp;COUNTIFS($H$1:H60,$H60,$I$1:I60,$I60,$J$1:J60,$J60,$K$1:K60,K60,$L$1:L60,L60),IF(LEN(COUNTIFS($H$1:H60,$H60,$I$1:I60,$I60,$J$1:J60,$J60,$K$1:K60,K60,$L$1:L60,L60))=2,"0"&amp;COUNTIFS($H$1:H60,$H60,$I$1:I60,$I60,$J$1:J60,$J60,$K$1:K60,K60,$L$1:L60,L60),COUNTIFS($H$1:H60,$H60,$I$1:I60,$I60,$J$1:J60,$J60,$K$1:K60,K60,$L$1:L60,L60)))</f>
        <v>017</v>
      </c>
      <c r="N6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0" s="14" t="e">
        <f>+LEN(Table4[[#This Row],[New Item Code]])</f>
        <v>#N/A</v>
      </c>
      <c r="P60" s="15" t="s">
        <v>4747</v>
      </c>
      <c r="Q60" s="15" t="s">
        <v>4749</v>
      </c>
      <c r="R60" s="15"/>
      <c r="S60" s="15" t="s">
        <v>4751</v>
      </c>
      <c r="T60" s="15" t="s">
        <v>4677</v>
      </c>
    </row>
    <row r="61" spans="1:20" x14ac:dyDescent="0.35">
      <c r="A61" s="2" t="s">
        <v>128</v>
      </c>
      <c r="B61" s="2" t="s">
        <v>129</v>
      </c>
      <c r="C61" s="2" t="s">
        <v>15</v>
      </c>
      <c r="D61" s="4">
        <v>1077</v>
      </c>
      <c r="E61" s="2" t="s">
        <v>10</v>
      </c>
      <c r="F61" s="2">
        <v>1</v>
      </c>
      <c r="G61" s="22">
        <f>Table4[[#This Row],[Item Cost]]*Table4[[#This Row],[In Stock]]</f>
        <v>1077</v>
      </c>
      <c r="H61" s="12" t="s">
        <v>4661</v>
      </c>
      <c r="I61" s="13" t="s">
        <v>4666</v>
      </c>
      <c r="J61" s="13" t="s">
        <v>4677</v>
      </c>
      <c r="K61" s="13" t="s">
        <v>4672</v>
      </c>
      <c r="L61" s="12" t="s">
        <v>4672</v>
      </c>
      <c r="M61" s="17" t="str">
        <f>IF(LEN(COUNTIFS($H$1:H61,$H61,$I$1:I61,$I61,$J$1:J61,$J61,$K$1:K61,K61,$L$1:L61,L61))=1,"00"&amp;COUNTIFS($H$1:H61,$H61,$I$1:I61,$I61,$J$1:J61,$J61,$K$1:K61,K61,$L$1:L61,L61),IF(LEN(COUNTIFS($H$1:H61,$H61,$I$1:I61,$I61,$J$1:J61,$J61,$K$1:K61,K61,$L$1:L61,L61))=2,"0"&amp;COUNTIFS($H$1:H61,$H61,$I$1:I61,$I61,$J$1:J61,$J61,$K$1:K61,K61,$L$1:L61,L61),COUNTIFS($H$1:H61,$H61,$I$1:I61,$I61,$J$1:J61,$J61,$K$1:K61,K61,$L$1:L61,L61)))</f>
        <v>018</v>
      </c>
      <c r="N6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1" s="14" t="e">
        <f>+LEN(Table4[[#This Row],[New Item Code]])</f>
        <v>#N/A</v>
      </c>
      <c r="P61" s="15" t="s">
        <v>4747</v>
      </c>
      <c r="Q61" s="15" t="s">
        <v>4749</v>
      </c>
      <c r="R61" s="15"/>
      <c r="S61" s="15" t="s">
        <v>4751</v>
      </c>
      <c r="T61" s="15" t="s">
        <v>4677</v>
      </c>
    </row>
    <row r="62" spans="1:20" x14ac:dyDescent="0.35">
      <c r="A62" s="3" t="s">
        <v>130</v>
      </c>
      <c r="B62" s="3" t="s">
        <v>131</v>
      </c>
      <c r="C62" s="3" t="s">
        <v>15</v>
      </c>
      <c r="D62" s="3">
        <v>0</v>
      </c>
      <c r="E62" s="3" t="s">
        <v>10</v>
      </c>
      <c r="F62" s="3">
        <v>0</v>
      </c>
      <c r="G62" s="21">
        <f>Table4[[#This Row],[Item Cost]]*Table4[[#This Row],[In Stock]]</f>
        <v>0</v>
      </c>
      <c r="H62" s="12" t="s">
        <v>4661</v>
      </c>
      <c r="I62" s="13" t="s">
        <v>4666</v>
      </c>
      <c r="J62" s="13" t="s">
        <v>4677</v>
      </c>
      <c r="K62" s="13" t="s">
        <v>4672</v>
      </c>
      <c r="L62" s="12" t="s">
        <v>4672</v>
      </c>
      <c r="M62" s="17" t="str">
        <f>IF(LEN(COUNTIFS($H$1:H62,$H62,$I$1:I62,$I62,$J$1:J62,$J62,$K$1:K62,K62,$L$1:L62,L62))=1,"00"&amp;COUNTIFS($H$1:H62,$H62,$I$1:I62,$I62,$J$1:J62,$J62,$K$1:K62,K62,$L$1:L62,L62),IF(LEN(COUNTIFS($H$1:H62,$H62,$I$1:I62,$I62,$J$1:J62,$J62,$K$1:K62,K62,$L$1:L62,L62))=2,"0"&amp;COUNTIFS($H$1:H62,$H62,$I$1:I62,$I62,$J$1:J62,$J62,$K$1:K62,K62,$L$1:L62,L62),COUNTIFS($H$1:H62,$H62,$I$1:I62,$I62,$J$1:J62,$J62,$K$1:K62,K62,$L$1:L62,L62)))</f>
        <v>019</v>
      </c>
      <c r="N6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2" s="14" t="e">
        <f>+LEN(Table4[[#This Row],[New Item Code]])</f>
        <v>#N/A</v>
      </c>
      <c r="P62" s="15" t="s">
        <v>4747</v>
      </c>
      <c r="Q62" s="15" t="s">
        <v>4749</v>
      </c>
      <c r="R62" s="15"/>
      <c r="S62" s="15" t="s">
        <v>4751</v>
      </c>
      <c r="T62" s="15" t="s">
        <v>4677</v>
      </c>
    </row>
    <row r="63" spans="1:20" x14ac:dyDescent="0.35">
      <c r="A63" s="2" t="s">
        <v>132</v>
      </c>
      <c r="B63" s="2" t="s">
        <v>133</v>
      </c>
      <c r="C63" s="2" t="s">
        <v>15</v>
      </c>
      <c r="D63" s="2">
        <v>238.715</v>
      </c>
      <c r="E63" s="2" t="s">
        <v>10</v>
      </c>
      <c r="F63" s="2">
        <v>2</v>
      </c>
      <c r="G63" s="22">
        <f>Table4[[#This Row],[Item Cost]]*Table4[[#This Row],[In Stock]]</f>
        <v>477.43</v>
      </c>
      <c r="H63" s="12" t="s">
        <v>4661</v>
      </c>
      <c r="I63" s="13" t="s">
        <v>4666</v>
      </c>
      <c r="J63" s="13" t="s">
        <v>4677</v>
      </c>
      <c r="K63" s="13" t="s">
        <v>4672</v>
      </c>
      <c r="L63" s="12" t="s">
        <v>4672</v>
      </c>
      <c r="M63" s="17" t="str">
        <f>IF(LEN(COUNTIFS($H$1:H63,$H63,$I$1:I63,$I63,$J$1:J63,$J63,$K$1:K63,K63,$L$1:L63,L63))=1,"00"&amp;COUNTIFS($H$1:H63,$H63,$I$1:I63,$I63,$J$1:J63,$J63,$K$1:K63,K63,$L$1:L63,L63),IF(LEN(COUNTIFS($H$1:H63,$H63,$I$1:I63,$I63,$J$1:J63,$J63,$K$1:K63,K63,$L$1:L63,L63))=2,"0"&amp;COUNTIFS($H$1:H63,$H63,$I$1:I63,$I63,$J$1:J63,$J63,$K$1:K63,K63,$L$1:L63,L63),COUNTIFS($H$1:H63,$H63,$I$1:I63,$I63,$J$1:J63,$J63,$K$1:K63,K63,$L$1:L63,L63)))</f>
        <v>020</v>
      </c>
      <c r="N6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3" s="14" t="e">
        <f>+LEN(Table4[[#This Row],[New Item Code]])</f>
        <v>#N/A</v>
      </c>
      <c r="P63" s="15" t="s">
        <v>4747</v>
      </c>
      <c r="Q63" s="15" t="s">
        <v>4749</v>
      </c>
      <c r="R63" s="15"/>
      <c r="S63" s="15" t="s">
        <v>4751</v>
      </c>
      <c r="T63" s="15" t="s">
        <v>4677</v>
      </c>
    </row>
    <row r="64" spans="1:20" x14ac:dyDescent="0.35">
      <c r="A64" s="3" t="s">
        <v>134</v>
      </c>
      <c r="B64" s="3" t="s">
        <v>135</v>
      </c>
      <c r="C64" s="3" t="s">
        <v>15</v>
      </c>
      <c r="D64" s="3">
        <v>326.85500000000002</v>
      </c>
      <c r="E64" s="3" t="s">
        <v>10</v>
      </c>
      <c r="F64" s="3">
        <v>2</v>
      </c>
      <c r="G64" s="21">
        <f>Table4[[#This Row],[Item Cost]]*Table4[[#This Row],[In Stock]]</f>
        <v>653.71</v>
      </c>
      <c r="H64" s="12" t="s">
        <v>4661</v>
      </c>
      <c r="I64" s="13" t="s">
        <v>4666</v>
      </c>
      <c r="J64" s="13" t="s">
        <v>4677</v>
      </c>
      <c r="K64" s="13" t="s">
        <v>4672</v>
      </c>
      <c r="L64" s="12" t="s">
        <v>4672</v>
      </c>
      <c r="M64" s="17" t="str">
        <f>IF(LEN(COUNTIFS($H$1:H64,$H64,$I$1:I64,$I64,$J$1:J64,$J64,$K$1:K64,K64,$L$1:L64,L64))=1,"00"&amp;COUNTIFS($H$1:H64,$H64,$I$1:I64,$I64,$J$1:J64,$J64,$K$1:K64,K64,$L$1:L64,L64),IF(LEN(COUNTIFS($H$1:H64,$H64,$I$1:I64,$I64,$J$1:J64,$J64,$K$1:K64,K64,$L$1:L64,L64))=2,"0"&amp;COUNTIFS($H$1:H64,$H64,$I$1:I64,$I64,$J$1:J64,$J64,$K$1:K64,K64,$L$1:L64,L64),COUNTIFS($H$1:H64,$H64,$I$1:I64,$I64,$J$1:J64,$J64,$K$1:K64,K64,$L$1:L64,L64)))</f>
        <v>021</v>
      </c>
      <c r="N6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4" s="14" t="e">
        <f>+LEN(Table4[[#This Row],[New Item Code]])</f>
        <v>#N/A</v>
      </c>
      <c r="P64" s="15" t="s">
        <v>4747</v>
      </c>
      <c r="Q64" s="15" t="s">
        <v>4749</v>
      </c>
      <c r="R64" s="15"/>
      <c r="S64" s="15" t="s">
        <v>4751</v>
      </c>
      <c r="T64" s="15" t="s">
        <v>4677</v>
      </c>
    </row>
    <row r="65" spans="1:20" x14ac:dyDescent="0.35">
      <c r="A65" s="2" t="s">
        <v>136</v>
      </c>
      <c r="B65" s="2" t="s">
        <v>137</v>
      </c>
      <c r="C65" s="2" t="s">
        <v>15</v>
      </c>
      <c r="D65" s="2">
        <v>275.44</v>
      </c>
      <c r="E65" s="2" t="s">
        <v>10</v>
      </c>
      <c r="F65" s="2">
        <v>2</v>
      </c>
      <c r="G65" s="22">
        <f>Table4[[#This Row],[Item Cost]]*Table4[[#This Row],[In Stock]]</f>
        <v>550.88</v>
      </c>
      <c r="H65" s="12" t="s">
        <v>4661</v>
      </c>
      <c r="I65" s="13" t="s">
        <v>4666</v>
      </c>
      <c r="J65" s="13" t="s">
        <v>4677</v>
      </c>
      <c r="K65" s="13" t="s">
        <v>4672</v>
      </c>
      <c r="L65" s="12" t="s">
        <v>4672</v>
      </c>
      <c r="M65" s="17" t="str">
        <f>IF(LEN(COUNTIFS($H$1:H65,$H65,$I$1:I65,$I65,$J$1:J65,$J65,$K$1:K65,K65,$L$1:L65,L65))=1,"00"&amp;COUNTIFS($H$1:H65,$H65,$I$1:I65,$I65,$J$1:J65,$J65,$K$1:K65,K65,$L$1:L65,L65),IF(LEN(COUNTIFS($H$1:H65,$H65,$I$1:I65,$I65,$J$1:J65,$J65,$K$1:K65,K65,$L$1:L65,L65))=2,"0"&amp;COUNTIFS($H$1:H65,$H65,$I$1:I65,$I65,$J$1:J65,$J65,$K$1:K65,K65,$L$1:L65,L65),COUNTIFS($H$1:H65,$H65,$I$1:I65,$I65,$J$1:J65,$J65,$K$1:K65,K65,$L$1:L65,L65)))</f>
        <v>022</v>
      </c>
      <c r="N6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5" s="14" t="e">
        <f>+LEN(Table4[[#This Row],[New Item Code]])</f>
        <v>#N/A</v>
      </c>
      <c r="P65" s="15" t="s">
        <v>4747</v>
      </c>
      <c r="Q65" s="15" t="s">
        <v>4749</v>
      </c>
      <c r="R65" s="15"/>
      <c r="S65" s="15" t="s">
        <v>4751</v>
      </c>
      <c r="T65" s="15" t="s">
        <v>4677</v>
      </c>
    </row>
    <row r="66" spans="1:20" x14ac:dyDescent="0.35">
      <c r="A66" s="3" t="s">
        <v>138</v>
      </c>
      <c r="B66" s="3" t="s">
        <v>139</v>
      </c>
      <c r="C66" s="3" t="s">
        <v>15</v>
      </c>
      <c r="D66" s="3">
        <v>0</v>
      </c>
      <c r="E66" s="3" t="s">
        <v>10</v>
      </c>
      <c r="F66" s="3">
        <v>0</v>
      </c>
      <c r="G66" s="21">
        <f>Table4[[#This Row],[Item Cost]]*Table4[[#This Row],[In Stock]]</f>
        <v>0</v>
      </c>
      <c r="H66" s="12" t="s">
        <v>4661</v>
      </c>
      <c r="I66" s="13" t="s">
        <v>4666</v>
      </c>
      <c r="J66" s="13" t="s">
        <v>4677</v>
      </c>
      <c r="K66" s="13" t="s">
        <v>4672</v>
      </c>
      <c r="L66" s="12" t="s">
        <v>4672</v>
      </c>
      <c r="M66" s="17" t="str">
        <f>IF(LEN(COUNTIFS($H$1:H66,$H66,$I$1:I66,$I66,$J$1:J66,$J66,$K$1:K66,K66,$L$1:L66,L66))=1,"00"&amp;COUNTIFS($H$1:H66,$H66,$I$1:I66,$I66,$J$1:J66,$J66,$K$1:K66,K66,$L$1:L66,L66),IF(LEN(COUNTIFS($H$1:H66,$H66,$I$1:I66,$I66,$J$1:J66,$J66,$K$1:K66,K66,$L$1:L66,L66))=2,"0"&amp;COUNTIFS($H$1:H66,$H66,$I$1:I66,$I66,$J$1:J66,$J66,$K$1:K66,K66,$L$1:L66,L66),COUNTIFS($H$1:H66,$H66,$I$1:I66,$I66,$J$1:J66,$J66,$K$1:K66,K66,$L$1:L66,L66)))</f>
        <v>023</v>
      </c>
      <c r="N6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6" s="14" t="e">
        <f>+LEN(Table4[[#This Row],[New Item Code]])</f>
        <v>#N/A</v>
      </c>
      <c r="P66" s="15" t="s">
        <v>4747</v>
      </c>
      <c r="Q66" s="15" t="s">
        <v>4749</v>
      </c>
      <c r="R66" s="15"/>
      <c r="S66" s="15" t="s">
        <v>4751</v>
      </c>
      <c r="T66" s="15" t="s">
        <v>4677</v>
      </c>
    </row>
    <row r="67" spans="1:20" x14ac:dyDescent="0.35">
      <c r="A67" s="2" t="s">
        <v>140</v>
      </c>
      <c r="B67" s="2" t="s">
        <v>141</v>
      </c>
      <c r="C67" s="2" t="s">
        <v>15</v>
      </c>
      <c r="D67" s="2">
        <v>0</v>
      </c>
      <c r="E67" s="2" t="s">
        <v>10</v>
      </c>
      <c r="F67" s="2">
        <v>0</v>
      </c>
      <c r="G67" s="22">
        <f>Table4[[#This Row],[Item Cost]]*Table4[[#This Row],[In Stock]]</f>
        <v>0</v>
      </c>
      <c r="H67" s="12" t="s">
        <v>4661</v>
      </c>
      <c r="I67" s="13" t="s">
        <v>4666</v>
      </c>
      <c r="J67" s="13" t="s">
        <v>4677</v>
      </c>
      <c r="K67" s="13" t="s">
        <v>4672</v>
      </c>
      <c r="L67" s="12" t="s">
        <v>4672</v>
      </c>
      <c r="M67" s="17" t="str">
        <f>IF(LEN(COUNTIFS($H$1:H67,$H67,$I$1:I67,$I67,$J$1:J67,$J67,$K$1:K67,K67,$L$1:L67,L67))=1,"00"&amp;COUNTIFS($H$1:H67,$H67,$I$1:I67,$I67,$J$1:J67,$J67,$K$1:K67,K67,$L$1:L67,L67),IF(LEN(COUNTIFS($H$1:H67,$H67,$I$1:I67,$I67,$J$1:J67,$J67,$K$1:K67,K67,$L$1:L67,L67))=2,"0"&amp;COUNTIFS($H$1:H67,$H67,$I$1:I67,$I67,$J$1:J67,$J67,$K$1:K67,K67,$L$1:L67,L67),COUNTIFS($H$1:H67,$H67,$I$1:I67,$I67,$J$1:J67,$J67,$K$1:K67,K67,$L$1:L67,L67)))</f>
        <v>024</v>
      </c>
      <c r="N6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7" s="14" t="e">
        <f>+LEN(Table4[[#This Row],[New Item Code]])</f>
        <v>#N/A</v>
      </c>
      <c r="P67" s="15" t="s">
        <v>4747</v>
      </c>
      <c r="Q67" s="15" t="s">
        <v>4749</v>
      </c>
      <c r="R67" s="15"/>
      <c r="S67" s="15" t="s">
        <v>4751</v>
      </c>
      <c r="T67" s="15" t="s">
        <v>4677</v>
      </c>
    </row>
    <row r="68" spans="1:20" x14ac:dyDescent="0.35">
      <c r="A68" s="3" t="s">
        <v>142</v>
      </c>
      <c r="B68" s="3" t="s">
        <v>143</v>
      </c>
      <c r="C68" s="3" t="s">
        <v>15</v>
      </c>
      <c r="D68" s="3">
        <v>4.59</v>
      </c>
      <c r="E68" s="3" t="s">
        <v>10</v>
      </c>
      <c r="F68" s="3">
        <v>0</v>
      </c>
      <c r="G68" s="21">
        <f>Table4[[#This Row],[Item Cost]]*Table4[[#This Row],[In Stock]]</f>
        <v>0</v>
      </c>
      <c r="H68" s="12" t="s">
        <v>4661</v>
      </c>
      <c r="I68" s="13" t="s">
        <v>4666</v>
      </c>
      <c r="J68" s="13" t="s">
        <v>4677</v>
      </c>
      <c r="K68" s="13" t="s">
        <v>4672</v>
      </c>
      <c r="L68" s="12" t="s">
        <v>4672</v>
      </c>
      <c r="M68" s="17" t="str">
        <f>IF(LEN(COUNTIFS($H$1:H68,$H68,$I$1:I68,$I68,$J$1:J68,$J68,$K$1:K68,K68,$L$1:L68,L68))=1,"00"&amp;COUNTIFS($H$1:H68,$H68,$I$1:I68,$I68,$J$1:J68,$J68,$K$1:K68,K68,$L$1:L68,L68),IF(LEN(COUNTIFS($H$1:H68,$H68,$I$1:I68,$I68,$J$1:J68,$J68,$K$1:K68,K68,$L$1:L68,L68))=2,"0"&amp;COUNTIFS($H$1:H68,$H68,$I$1:I68,$I68,$J$1:J68,$J68,$K$1:K68,K68,$L$1:L68,L68),COUNTIFS($H$1:H68,$H68,$I$1:I68,$I68,$J$1:J68,$J68,$K$1:K68,K68,$L$1:L68,L68)))</f>
        <v>025</v>
      </c>
      <c r="N6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8" s="14" t="e">
        <f>+LEN(Table4[[#This Row],[New Item Code]])</f>
        <v>#N/A</v>
      </c>
      <c r="P68" s="15" t="s">
        <v>4747</v>
      </c>
      <c r="Q68" s="15" t="s">
        <v>4749</v>
      </c>
      <c r="R68" s="15"/>
      <c r="S68" s="15" t="s">
        <v>4751</v>
      </c>
      <c r="T68" s="15" t="s">
        <v>4677</v>
      </c>
    </row>
    <row r="69" spans="1:20" x14ac:dyDescent="0.35">
      <c r="A69" s="2" t="s">
        <v>144</v>
      </c>
      <c r="B69" s="2" t="s">
        <v>145</v>
      </c>
      <c r="C69" s="2" t="s">
        <v>15</v>
      </c>
      <c r="D69" s="2">
        <v>89.42</v>
      </c>
      <c r="E69" s="2" t="s">
        <v>10</v>
      </c>
      <c r="F69" s="2">
        <v>0</v>
      </c>
      <c r="G69" s="22">
        <f>Table4[[#This Row],[Item Cost]]*Table4[[#This Row],[In Stock]]</f>
        <v>0</v>
      </c>
      <c r="H69" s="12" t="s">
        <v>4661</v>
      </c>
      <c r="I69" s="13" t="s">
        <v>4666</v>
      </c>
      <c r="J69" s="13" t="s">
        <v>4677</v>
      </c>
      <c r="K69" s="13" t="s">
        <v>4672</v>
      </c>
      <c r="L69" s="12" t="s">
        <v>4672</v>
      </c>
      <c r="M69" s="17" t="str">
        <f>IF(LEN(COUNTIFS($H$1:H69,$H69,$I$1:I69,$I69,$J$1:J69,$J69,$K$1:K69,K69,$L$1:L69,L69))=1,"00"&amp;COUNTIFS($H$1:H69,$H69,$I$1:I69,$I69,$J$1:J69,$J69,$K$1:K69,K69,$L$1:L69,L69),IF(LEN(COUNTIFS($H$1:H69,$H69,$I$1:I69,$I69,$J$1:J69,$J69,$K$1:K69,K69,$L$1:L69,L69))=2,"0"&amp;COUNTIFS($H$1:H69,$H69,$I$1:I69,$I69,$J$1:J69,$J69,$K$1:K69,K69,$L$1:L69,L69),COUNTIFS($H$1:H69,$H69,$I$1:I69,$I69,$J$1:J69,$J69,$K$1:K69,K69,$L$1:L69,L69)))</f>
        <v>026</v>
      </c>
      <c r="N6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9" s="14" t="e">
        <f>+LEN(Table4[[#This Row],[New Item Code]])</f>
        <v>#N/A</v>
      </c>
      <c r="P69" s="15" t="s">
        <v>4747</v>
      </c>
      <c r="Q69" s="15" t="s">
        <v>4749</v>
      </c>
      <c r="R69" s="15"/>
      <c r="S69" s="15" t="s">
        <v>4751</v>
      </c>
      <c r="T69" s="15" t="s">
        <v>4677</v>
      </c>
    </row>
    <row r="70" spans="1:20" x14ac:dyDescent="0.35">
      <c r="A70" s="3" t="s">
        <v>146</v>
      </c>
      <c r="B70" s="3" t="s">
        <v>147</v>
      </c>
      <c r="C70" s="3" t="s">
        <v>15</v>
      </c>
      <c r="D70" s="3">
        <v>17.16</v>
      </c>
      <c r="E70" s="3" t="s">
        <v>10</v>
      </c>
      <c r="F70" s="3">
        <v>0</v>
      </c>
      <c r="G70" s="21">
        <f>Table4[[#This Row],[Item Cost]]*Table4[[#This Row],[In Stock]]</f>
        <v>0</v>
      </c>
      <c r="H70" s="12" t="s">
        <v>4661</v>
      </c>
      <c r="I70" s="13" t="s">
        <v>4666</v>
      </c>
      <c r="J70" s="13" t="s">
        <v>4677</v>
      </c>
      <c r="K70" s="13" t="s">
        <v>4672</v>
      </c>
      <c r="L70" s="12" t="s">
        <v>4672</v>
      </c>
      <c r="M70" s="17" t="str">
        <f>IF(LEN(COUNTIFS($H$1:H70,$H70,$I$1:I70,$I70,$J$1:J70,$J70,$K$1:K70,K70,$L$1:L70,L70))=1,"00"&amp;COUNTIFS($H$1:H70,$H70,$I$1:I70,$I70,$J$1:J70,$J70,$K$1:K70,K70,$L$1:L70,L70),IF(LEN(COUNTIFS($H$1:H70,$H70,$I$1:I70,$I70,$J$1:J70,$J70,$K$1:K70,K70,$L$1:L70,L70))=2,"0"&amp;COUNTIFS($H$1:H70,$H70,$I$1:I70,$I70,$J$1:J70,$J70,$K$1:K70,K70,$L$1:L70,L70),COUNTIFS($H$1:H70,$H70,$I$1:I70,$I70,$J$1:J70,$J70,$K$1:K70,K70,$L$1:L70,L70)))</f>
        <v>027</v>
      </c>
      <c r="N7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0" s="14" t="e">
        <f>+LEN(Table4[[#This Row],[New Item Code]])</f>
        <v>#N/A</v>
      </c>
      <c r="P70" s="15" t="s">
        <v>4747</v>
      </c>
      <c r="Q70" s="15" t="s">
        <v>4749</v>
      </c>
      <c r="R70" s="15"/>
      <c r="S70" s="15" t="s">
        <v>4751</v>
      </c>
      <c r="T70" s="15" t="s">
        <v>4677</v>
      </c>
    </row>
    <row r="71" spans="1:20" x14ac:dyDescent="0.35">
      <c r="A71" s="2" t="s">
        <v>148</v>
      </c>
      <c r="B71" s="2" t="s">
        <v>149</v>
      </c>
      <c r="C71" s="2" t="s">
        <v>15</v>
      </c>
      <c r="D71" s="2">
        <v>113.33</v>
      </c>
      <c r="E71" s="2" t="s">
        <v>10</v>
      </c>
      <c r="F71" s="2">
        <v>0</v>
      </c>
      <c r="G71" s="22">
        <f>Table4[[#This Row],[Item Cost]]*Table4[[#This Row],[In Stock]]</f>
        <v>0</v>
      </c>
      <c r="H71" s="12" t="s">
        <v>4661</v>
      </c>
      <c r="I71" s="13" t="s">
        <v>4666</v>
      </c>
      <c r="J71" s="13" t="s">
        <v>4677</v>
      </c>
      <c r="K71" s="13" t="s">
        <v>4672</v>
      </c>
      <c r="L71" s="12" t="s">
        <v>4672</v>
      </c>
      <c r="M71" s="17" t="str">
        <f>IF(LEN(COUNTIFS($H$1:H71,$H71,$I$1:I71,$I71,$J$1:J71,$J71,$K$1:K71,K71,$L$1:L71,L71))=1,"00"&amp;COUNTIFS($H$1:H71,$H71,$I$1:I71,$I71,$J$1:J71,$J71,$K$1:K71,K71,$L$1:L71,L71),IF(LEN(COUNTIFS($H$1:H71,$H71,$I$1:I71,$I71,$J$1:J71,$J71,$K$1:K71,K71,$L$1:L71,L71))=2,"0"&amp;COUNTIFS($H$1:H71,$H71,$I$1:I71,$I71,$J$1:J71,$J71,$K$1:K71,K71,$L$1:L71,L71),COUNTIFS($H$1:H71,$H71,$I$1:I71,$I71,$J$1:J71,$J71,$K$1:K71,K71,$L$1:L71,L71)))</f>
        <v>028</v>
      </c>
      <c r="N7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1" s="14" t="e">
        <f>+LEN(Table4[[#This Row],[New Item Code]])</f>
        <v>#N/A</v>
      </c>
      <c r="P71" s="15" t="s">
        <v>4747</v>
      </c>
      <c r="Q71" s="15" t="s">
        <v>4749</v>
      </c>
      <c r="R71" s="15"/>
      <c r="S71" s="15" t="s">
        <v>4751</v>
      </c>
      <c r="T71" s="15" t="s">
        <v>4677</v>
      </c>
    </row>
    <row r="72" spans="1:20" x14ac:dyDescent="0.35">
      <c r="A72" s="3" t="s">
        <v>150</v>
      </c>
      <c r="B72" s="3" t="s">
        <v>151</v>
      </c>
      <c r="C72" s="3" t="s">
        <v>15</v>
      </c>
      <c r="D72" s="3">
        <v>63.14</v>
      </c>
      <c r="E72" s="3" t="s">
        <v>10</v>
      </c>
      <c r="F72" s="3">
        <v>0</v>
      </c>
      <c r="G72" s="21">
        <f>Table4[[#This Row],[Item Cost]]*Table4[[#This Row],[In Stock]]</f>
        <v>0</v>
      </c>
      <c r="H72" s="12" t="s">
        <v>4661</v>
      </c>
      <c r="I72" s="13" t="s">
        <v>4666</v>
      </c>
      <c r="J72" s="13" t="s">
        <v>4677</v>
      </c>
      <c r="K72" s="13" t="s">
        <v>4672</v>
      </c>
      <c r="L72" s="12" t="s">
        <v>4672</v>
      </c>
      <c r="M72" s="17" t="str">
        <f>IF(LEN(COUNTIFS($H$1:H72,$H72,$I$1:I72,$I72,$J$1:J72,$J72,$K$1:K72,K72,$L$1:L72,L72))=1,"00"&amp;COUNTIFS($H$1:H72,$H72,$I$1:I72,$I72,$J$1:J72,$J72,$K$1:K72,K72,$L$1:L72,L72),IF(LEN(COUNTIFS($H$1:H72,$H72,$I$1:I72,$I72,$J$1:J72,$J72,$K$1:K72,K72,$L$1:L72,L72))=2,"0"&amp;COUNTIFS($H$1:H72,$H72,$I$1:I72,$I72,$J$1:J72,$J72,$K$1:K72,K72,$L$1:L72,L72),COUNTIFS($H$1:H72,$H72,$I$1:I72,$I72,$J$1:J72,$J72,$K$1:K72,K72,$L$1:L72,L72)))</f>
        <v>029</v>
      </c>
      <c r="N7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2" s="14" t="e">
        <f>+LEN(Table4[[#This Row],[New Item Code]])</f>
        <v>#N/A</v>
      </c>
      <c r="P72" s="15" t="s">
        <v>4747</v>
      </c>
      <c r="Q72" s="15" t="s">
        <v>4749</v>
      </c>
      <c r="R72" s="15"/>
      <c r="S72" s="15" t="s">
        <v>4751</v>
      </c>
      <c r="T72" s="15" t="s">
        <v>4677</v>
      </c>
    </row>
    <row r="73" spans="1:20" x14ac:dyDescent="0.35">
      <c r="A73" s="2" t="s">
        <v>152</v>
      </c>
      <c r="B73" s="2" t="s">
        <v>153</v>
      </c>
      <c r="C73" s="2" t="s">
        <v>15</v>
      </c>
      <c r="D73" s="2">
        <v>45.61</v>
      </c>
      <c r="E73" s="2" t="s">
        <v>10</v>
      </c>
      <c r="F73" s="2">
        <v>0</v>
      </c>
      <c r="G73" s="22">
        <f>Table4[[#This Row],[Item Cost]]*Table4[[#This Row],[In Stock]]</f>
        <v>0</v>
      </c>
      <c r="H73" s="12" t="s">
        <v>4661</v>
      </c>
      <c r="I73" s="13" t="s">
        <v>4666</v>
      </c>
      <c r="J73" s="13" t="s">
        <v>4677</v>
      </c>
      <c r="K73" t="s">
        <v>4779</v>
      </c>
      <c r="L73" s="12" t="s">
        <v>4672</v>
      </c>
      <c r="M73" s="17" t="str">
        <f>IF(LEN(COUNTIFS($H$1:H73,$H73,$I$1:I73,$I73,$J$1:J73,$J73,$K$1:K73,K73,$L$1:L73,L73))=1,"00"&amp;COUNTIFS($H$1:H73,$H73,$I$1:I73,$I73,$J$1:J73,$J73,$K$1:K73,K73,$L$1:L73,L73),IF(LEN(COUNTIFS($H$1:H73,$H73,$I$1:I73,$I73,$J$1:J73,$J73,$K$1:K73,K73,$L$1:L73,L73))=2,"0"&amp;COUNTIFS($H$1:H73,$H73,$I$1:I73,$I73,$J$1:J73,$J73,$K$1:K73,K73,$L$1:L73,L73),COUNTIFS($H$1:H73,$H73,$I$1:I73,$I73,$J$1:J73,$J73,$K$1:K73,K73,$L$1:L73,L73)))</f>
        <v>001</v>
      </c>
      <c r="N7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3" s="14" t="e">
        <f>+LEN(Table4[[#This Row],[New Item Code]])</f>
        <v>#N/A</v>
      </c>
      <c r="P73" s="15" t="s">
        <v>4747</v>
      </c>
      <c r="Q73" s="15" t="s">
        <v>4749</v>
      </c>
      <c r="R73" s="15"/>
      <c r="S73" s="15" t="s">
        <v>4751</v>
      </c>
      <c r="T73" s="15" t="s">
        <v>4677</v>
      </c>
    </row>
    <row r="74" spans="1:20" x14ac:dyDescent="0.35">
      <c r="A74" s="3" t="s">
        <v>154</v>
      </c>
      <c r="B74" s="3" t="s">
        <v>155</v>
      </c>
      <c r="C74" s="3" t="s">
        <v>15</v>
      </c>
      <c r="D74" s="3">
        <v>41.86</v>
      </c>
      <c r="E74" s="3" t="s">
        <v>10</v>
      </c>
      <c r="F74" s="3">
        <v>0</v>
      </c>
      <c r="G74" s="21">
        <f>Table4[[#This Row],[Item Cost]]*Table4[[#This Row],[In Stock]]</f>
        <v>0</v>
      </c>
      <c r="H74" s="12" t="s">
        <v>4661</v>
      </c>
      <c r="I74" s="13" t="s">
        <v>4666</v>
      </c>
      <c r="J74" s="13" t="s">
        <v>4677</v>
      </c>
      <c r="K74" s="13" t="s">
        <v>4672</v>
      </c>
      <c r="L74" s="12" t="s">
        <v>4672</v>
      </c>
      <c r="M74" s="17" t="str">
        <f>IF(LEN(COUNTIFS($H$1:H74,$H74,$I$1:I74,$I74,$J$1:J74,$J74,$K$1:K74,K74,$L$1:L74,L74))=1,"00"&amp;COUNTIFS($H$1:H74,$H74,$I$1:I74,$I74,$J$1:J74,$J74,$K$1:K74,K74,$L$1:L74,L74),IF(LEN(COUNTIFS($H$1:H74,$H74,$I$1:I74,$I74,$J$1:J74,$J74,$K$1:K74,K74,$L$1:L74,L74))=2,"0"&amp;COUNTIFS($H$1:H74,$H74,$I$1:I74,$I74,$J$1:J74,$J74,$K$1:K74,K74,$L$1:L74,L74),COUNTIFS($H$1:H74,$H74,$I$1:I74,$I74,$J$1:J74,$J74,$K$1:K74,K74,$L$1:L74,L74)))</f>
        <v>030</v>
      </c>
      <c r="N7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4" s="14" t="e">
        <f>+LEN(Table4[[#This Row],[New Item Code]])</f>
        <v>#N/A</v>
      </c>
      <c r="P74" s="15" t="s">
        <v>4747</v>
      </c>
      <c r="Q74" s="15" t="s">
        <v>4749</v>
      </c>
      <c r="R74" s="15"/>
      <c r="S74" s="15" t="s">
        <v>4751</v>
      </c>
      <c r="T74" s="15" t="s">
        <v>4677</v>
      </c>
    </row>
    <row r="75" spans="1:20" x14ac:dyDescent="0.35">
      <c r="A75" s="2" t="s">
        <v>156</v>
      </c>
      <c r="B75" s="2" t="s">
        <v>157</v>
      </c>
      <c r="C75" s="2" t="s">
        <v>15</v>
      </c>
      <c r="D75" s="2">
        <v>51.4</v>
      </c>
      <c r="E75" s="2" t="s">
        <v>10</v>
      </c>
      <c r="F75" s="2">
        <v>0</v>
      </c>
      <c r="G75" s="22">
        <f>Table4[[#This Row],[Item Cost]]*Table4[[#This Row],[In Stock]]</f>
        <v>0</v>
      </c>
      <c r="H75" s="12" t="s">
        <v>4661</v>
      </c>
      <c r="I75" s="13" t="s">
        <v>4666</v>
      </c>
      <c r="J75" s="13" t="s">
        <v>4677</v>
      </c>
      <c r="K75" s="13" t="s">
        <v>4672</v>
      </c>
      <c r="L75" s="12" t="s">
        <v>4672</v>
      </c>
      <c r="M75" s="17" t="str">
        <f>IF(LEN(COUNTIFS($H$1:H75,$H75,$I$1:I75,$I75,$J$1:J75,$J75,$K$1:K75,K75,$L$1:L75,L75))=1,"00"&amp;COUNTIFS($H$1:H75,$H75,$I$1:I75,$I75,$J$1:J75,$J75,$K$1:K75,K75,$L$1:L75,L75),IF(LEN(COUNTIFS($H$1:H75,$H75,$I$1:I75,$I75,$J$1:J75,$J75,$K$1:K75,K75,$L$1:L75,L75))=2,"0"&amp;COUNTIFS($H$1:H75,$H75,$I$1:I75,$I75,$J$1:J75,$J75,$K$1:K75,K75,$L$1:L75,L75),COUNTIFS($H$1:H75,$H75,$I$1:I75,$I75,$J$1:J75,$J75,$K$1:K75,K75,$L$1:L75,L75)))</f>
        <v>031</v>
      </c>
      <c r="N7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5" s="14" t="e">
        <f>+LEN(Table4[[#This Row],[New Item Code]])</f>
        <v>#N/A</v>
      </c>
      <c r="P75" s="15" t="s">
        <v>4747</v>
      </c>
      <c r="Q75" s="15" t="s">
        <v>4749</v>
      </c>
      <c r="R75" s="15"/>
      <c r="S75" s="15" t="s">
        <v>4751</v>
      </c>
      <c r="T75" s="15" t="s">
        <v>4677</v>
      </c>
    </row>
    <row r="76" spans="1:20" x14ac:dyDescent="0.35">
      <c r="A76" s="3" t="s">
        <v>158</v>
      </c>
      <c r="B76" s="3" t="s">
        <v>159</v>
      </c>
      <c r="C76" s="3" t="s">
        <v>15</v>
      </c>
      <c r="D76" s="3">
        <v>49.15</v>
      </c>
      <c r="E76" s="3" t="s">
        <v>10</v>
      </c>
      <c r="F76" s="3">
        <v>0</v>
      </c>
      <c r="G76" s="21">
        <f>Table4[[#This Row],[Item Cost]]*Table4[[#This Row],[In Stock]]</f>
        <v>0</v>
      </c>
      <c r="H76" s="12" t="s">
        <v>4661</v>
      </c>
      <c r="I76" s="13" t="s">
        <v>4666</v>
      </c>
      <c r="J76" s="13" t="s">
        <v>4677</v>
      </c>
      <c r="K76" s="13" t="s">
        <v>4672</v>
      </c>
      <c r="L76" s="12" t="s">
        <v>4672</v>
      </c>
      <c r="M76" s="17" t="str">
        <f>IF(LEN(COUNTIFS($H$1:H76,$H76,$I$1:I76,$I76,$J$1:J76,$J76,$K$1:K76,K76,$L$1:L76,L76))=1,"00"&amp;COUNTIFS($H$1:H76,$H76,$I$1:I76,$I76,$J$1:J76,$J76,$K$1:K76,K76,$L$1:L76,L76),IF(LEN(COUNTIFS($H$1:H76,$H76,$I$1:I76,$I76,$J$1:J76,$J76,$K$1:K76,K76,$L$1:L76,L76))=2,"0"&amp;COUNTIFS($H$1:H76,$H76,$I$1:I76,$I76,$J$1:J76,$J76,$K$1:K76,K76,$L$1:L76,L76),COUNTIFS($H$1:H76,$H76,$I$1:I76,$I76,$J$1:J76,$J76,$K$1:K76,K76,$L$1:L76,L76)))</f>
        <v>032</v>
      </c>
      <c r="N7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6" s="14" t="e">
        <f>+LEN(Table4[[#This Row],[New Item Code]])</f>
        <v>#N/A</v>
      </c>
      <c r="P76" s="15" t="s">
        <v>4747</v>
      </c>
      <c r="Q76" s="15" t="s">
        <v>4749</v>
      </c>
      <c r="R76" s="15"/>
      <c r="S76" s="15" t="s">
        <v>4751</v>
      </c>
      <c r="T76" s="15" t="s">
        <v>4677</v>
      </c>
    </row>
    <row r="77" spans="1:20" x14ac:dyDescent="0.35">
      <c r="A77" s="2" t="s">
        <v>160</v>
      </c>
      <c r="B77" s="2" t="s">
        <v>161</v>
      </c>
      <c r="C77" s="2" t="s">
        <v>15</v>
      </c>
      <c r="D77" s="2">
        <v>0</v>
      </c>
      <c r="E77" s="2" t="s">
        <v>10</v>
      </c>
      <c r="F77" s="2">
        <v>0</v>
      </c>
      <c r="G77" s="22">
        <f>Table4[[#This Row],[Item Cost]]*Table4[[#This Row],[In Stock]]</f>
        <v>0</v>
      </c>
      <c r="H77" s="12" t="s">
        <v>4661</v>
      </c>
      <c r="I77" s="13" t="s">
        <v>4666</v>
      </c>
      <c r="J77" s="13" t="s">
        <v>4677</v>
      </c>
      <c r="K77" s="13" t="s">
        <v>4672</v>
      </c>
      <c r="L77" s="12" t="s">
        <v>4672</v>
      </c>
      <c r="M77" s="17" t="str">
        <f>IF(LEN(COUNTIFS($H$1:H77,$H77,$I$1:I77,$I77,$J$1:J77,$J77,$K$1:K77,K77,$L$1:L77,L77))=1,"00"&amp;COUNTIFS($H$1:H77,$H77,$I$1:I77,$I77,$J$1:J77,$J77,$K$1:K77,K77,$L$1:L77,L77),IF(LEN(COUNTIFS($H$1:H77,$H77,$I$1:I77,$I77,$J$1:J77,$J77,$K$1:K77,K77,$L$1:L77,L77))=2,"0"&amp;COUNTIFS($H$1:H77,$H77,$I$1:I77,$I77,$J$1:J77,$J77,$K$1:K77,K77,$L$1:L77,L77),COUNTIFS($H$1:H77,$H77,$I$1:I77,$I77,$J$1:J77,$J77,$K$1:K77,K77,$L$1:L77,L77)))</f>
        <v>033</v>
      </c>
      <c r="N7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7" s="14" t="e">
        <f>+LEN(Table4[[#This Row],[New Item Code]])</f>
        <v>#N/A</v>
      </c>
      <c r="P77" s="15" t="s">
        <v>4747</v>
      </c>
      <c r="Q77" s="15" t="s">
        <v>4749</v>
      </c>
      <c r="R77" s="15"/>
      <c r="S77" s="15" t="s">
        <v>4751</v>
      </c>
      <c r="T77" s="15" t="s">
        <v>4677</v>
      </c>
    </row>
    <row r="78" spans="1:20" x14ac:dyDescent="0.35">
      <c r="A78" s="3" t="s">
        <v>162</v>
      </c>
      <c r="B78" s="3" t="s">
        <v>163</v>
      </c>
      <c r="C78" s="3" t="s">
        <v>15</v>
      </c>
      <c r="D78" s="3">
        <v>0</v>
      </c>
      <c r="E78" s="3" t="s">
        <v>10</v>
      </c>
      <c r="F78" s="3">
        <v>0</v>
      </c>
      <c r="G78" s="21">
        <f>Table4[[#This Row],[Item Cost]]*Table4[[#This Row],[In Stock]]</f>
        <v>0</v>
      </c>
      <c r="H78" s="12" t="s">
        <v>4661</v>
      </c>
      <c r="I78" s="13" t="s">
        <v>4666</v>
      </c>
      <c r="J78" s="13" t="s">
        <v>4677</v>
      </c>
      <c r="K78" s="13" t="s">
        <v>4672</v>
      </c>
      <c r="L78" s="12" t="s">
        <v>4672</v>
      </c>
      <c r="M78" s="17" t="str">
        <f>IF(LEN(COUNTIFS($H$1:H78,$H78,$I$1:I78,$I78,$J$1:J78,$J78,$K$1:K78,K78,$L$1:L78,L78))=1,"00"&amp;COUNTIFS($H$1:H78,$H78,$I$1:I78,$I78,$J$1:J78,$J78,$K$1:K78,K78,$L$1:L78,L78),IF(LEN(COUNTIFS($H$1:H78,$H78,$I$1:I78,$I78,$J$1:J78,$J78,$K$1:K78,K78,$L$1:L78,L78))=2,"0"&amp;COUNTIFS($H$1:H78,$H78,$I$1:I78,$I78,$J$1:J78,$J78,$K$1:K78,K78,$L$1:L78,L78),COUNTIFS($H$1:H78,$H78,$I$1:I78,$I78,$J$1:J78,$J78,$K$1:K78,K78,$L$1:L78,L78)))</f>
        <v>034</v>
      </c>
      <c r="N7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8" s="14" t="e">
        <f>+LEN(Table4[[#This Row],[New Item Code]])</f>
        <v>#N/A</v>
      </c>
      <c r="P78" s="15" t="s">
        <v>4747</v>
      </c>
      <c r="Q78" s="15" t="s">
        <v>4749</v>
      </c>
      <c r="R78" s="15"/>
      <c r="S78" s="15" t="s">
        <v>4751</v>
      </c>
      <c r="T78" s="15" t="s">
        <v>4677</v>
      </c>
    </row>
    <row r="79" spans="1:20" x14ac:dyDescent="0.35">
      <c r="A79" s="2" t="s">
        <v>164</v>
      </c>
      <c r="B79" s="2" t="s">
        <v>165</v>
      </c>
      <c r="C79" s="2" t="s">
        <v>15</v>
      </c>
      <c r="D79" s="2">
        <v>0</v>
      </c>
      <c r="E79" s="2" t="s">
        <v>10</v>
      </c>
      <c r="F79" s="2">
        <v>0</v>
      </c>
      <c r="G79" s="22">
        <f>Table4[[#This Row],[Item Cost]]*Table4[[#This Row],[In Stock]]</f>
        <v>0</v>
      </c>
      <c r="H79" s="12" t="s">
        <v>4661</v>
      </c>
      <c r="I79" s="13" t="s">
        <v>4666</v>
      </c>
      <c r="J79" s="13" t="s">
        <v>4677</v>
      </c>
      <c r="K79" s="13" t="s">
        <v>4672</v>
      </c>
      <c r="L79" s="12" t="s">
        <v>4672</v>
      </c>
      <c r="M79" s="17" t="str">
        <f>IF(LEN(COUNTIFS($H$1:H79,$H79,$I$1:I79,$I79,$J$1:J79,$J79,$K$1:K79,K79,$L$1:L79,L79))=1,"00"&amp;COUNTIFS($H$1:H79,$H79,$I$1:I79,$I79,$J$1:J79,$J79,$K$1:K79,K79,$L$1:L79,L79),IF(LEN(COUNTIFS($H$1:H79,$H79,$I$1:I79,$I79,$J$1:J79,$J79,$K$1:K79,K79,$L$1:L79,L79))=2,"0"&amp;COUNTIFS($H$1:H79,$H79,$I$1:I79,$I79,$J$1:J79,$J79,$K$1:K79,K79,$L$1:L79,L79),COUNTIFS($H$1:H79,$H79,$I$1:I79,$I79,$J$1:J79,$J79,$K$1:K79,K79,$L$1:L79,L79)))</f>
        <v>035</v>
      </c>
      <c r="N7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9" s="14" t="e">
        <f>+LEN(Table4[[#This Row],[New Item Code]])</f>
        <v>#N/A</v>
      </c>
      <c r="P79" s="15" t="s">
        <v>4747</v>
      </c>
      <c r="Q79" s="15" t="s">
        <v>4749</v>
      </c>
      <c r="R79" s="15"/>
      <c r="S79" s="15" t="s">
        <v>4751</v>
      </c>
      <c r="T79" s="15" t="s">
        <v>4677</v>
      </c>
    </row>
    <row r="80" spans="1:20" x14ac:dyDescent="0.35">
      <c r="A80" s="3" t="s">
        <v>166</v>
      </c>
      <c r="B80" s="3" t="s">
        <v>167</v>
      </c>
      <c r="C80" s="3" t="s">
        <v>15</v>
      </c>
      <c r="D80" s="3">
        <v>0</v>
      </c>
      <c r="E80" s="3" t="s">
        <v>10</v>
      </c>
      <c r="F80" s="3">
        <v>0</v>
      </c>
      <c r="G80" s="21">
        <f>Table4[[#This Row],[Item Cost]]*Table4[[#This Row],[In Stock]]</f>
        <v>0</v>
      </c>
      <c r="H80" s="12" t="s">
        <v>4661</v>
      </c>
      <c r="I80" s="13" t="s">
        <v>4666</v>
      </c>
      <c r="J80" s="13" t="s">
        <v>4677</v>
      </c>
      <c r="K80" s="13" t="s">
        <v>4672</v>
      </c>
      <c r="L80" s="12" t="s">
        <v>4672</v>
      </c>
      <c r="M80" s="17" t="str">
        <f>IF(LEN(COUNTIFS($H$1:H80,$H80,$I$1:I80,$I80,$J$1:J80,$J80,$K$1:K80,K80,$L$1:L80,L80))=1,"00"&amp;COUNTIFS($H$1:H80,$H80,$I$1:I80,$I80,$J$1:J80,$J80,$K$1:K80,K80,$L$1:L80,L80),IF(LEN(COUNTIFS($H$1:H80,$H80,$I$1:I80,$I80,$J$1:J80,$J80,$K$1:K80,K80,$L$1:L80,L80))=2,"0"&amp;COUNTIFS($H$1:H80,$H80,$I$1:I80,$I80,$J$1:J80,$J80,$K$1:K80,K80,$L$1:L80,L80),COUNTIFS($H$1:H80,$H80,$I$1:I80,$I80,$J$1:J80,$J80,$K$1:K80,K80,$L$1:L80,L80)))</f>
        <v>036</v>
      </c>
      <c r="N8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0" s="14" t="e">
        <f>+LEN(Table4[[#This Row],[New Item Code]])</f>
        <v>#N/A</v>
      </c>
      <c r="P80" s="15" t="s">
        <v>4747</v>
      </c>
      <c r="Q80" s="15" t="s">
        <v>4749</v>
      </c>
      <c r="R80" s="15"/>
      <c r="S80" s="15" t="s">
        <v>4751</v>
      </c>
      <c r="T80" s="15" t="s">
        <v>4677</v>
      </c>
    </row>
    <row r="81" spans="1:20" x14ac:dyDescent="0.35">
      <c r="A81" s="2" t="s">
        <v>168</v>
      </c>
      <c r="B81" s="2" t="s">
        <v>169</v>
      </c>
      <c r="C81" s="2" t="s">
        <v>15</v>
      </c>
      <c r="D81" s="2">
        <v>141.99</v>
      </c>
      <c r="E81" s="2" t="s">
        <v>10</v>
      </c>
      <c r="F81" s="2">
        <v>5</v>
      </c>
      <c r="G81" s="22">
        <f>Table4[[#This Row],[Item Cost]]*Table4[[#This Row],[In Stock]]</f>
        <v>709.95</v>
      </c>
      <c r="H81" s="12" t="s">
        <v>4661</v>
      </c>
      <c r="I81" s="13" t="s">
        <v>4666</v>
      </c>
      <c r="J81" s="13" t="s">
        <v>4677</v>
      </c>
      <c r="K81" s="13" t="s">
        <v>4672</v>
      </c>
      <c r="L81" s="12" t="s">
        <v>4672</v>
      </c>
      <c r="M81" s="17" t="str">
        <f>IF(LEN(COUNTIFS($H$1:H81,$H81,$I$1:I81,$I81,$J$1:J81,$J81,$K$1:K81,K81,$L$1:L81,L81))=1,"00"&amp;COUNTIFS($H$1:H81,$H81,$I$1:I81,$I81,$J$1:J81,$J81,$K$1:K81,K81,$L$1:L81,L81),IF(LEN(COUNTIFS($H$1:H81,$H81,$I$1:I81,$I81,$J$1:J81,$J81,$K$1:K81,K81,$L$1:L81,L81))=2,"0"&amp;COUNTIFS($H$1:H81,$H81,$I$1:I81,$I81,$J$1:J81,$J81,$K$1:K81,K81,$L$1:L81,L81),COUNTIFS($H$1:H81,$H81,$I$1:I81,$I81,$J$1:J81,$J81,$K$1:K81,K81,$L$1:L81,L81)))</f>
        <v>037</v>
      </c>
      <c r="N8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1" s="14" t="e">
        <f>+LEN(Table4[[#This Row],[New Item Code]])</f>
        <v>#N/A</v>
      </c>
      <c r="P81" s="15" t="s">
        <v>4747</v>
      </c>
      <c r="Q81" s="15" t="s">
        <v>4749</v>
      </c>
      <c r="R81" s="15"/>
      <c r="S81" s="15" t="s">
        <v>4751</v>
      </c>
      <c r="T81" s="15" t="s">
        <v>4677</v>
      </c>
    </row>
    <row r="82" spans="1:20" x14ac:dyDescent="0.35">
      <c r="A82" s="3" t="s">
        <v>170</v>
      </c>
      <c r="B82" s="3" t="s">
        <v>171</v>
      </c>
      <c r="C82" s="3" t="s">
        <v>15</v>
      </c>
      <c r="D82" s="3">
        <v>195.85</v>
      </c>
      <c r="E82" s="3" t="s">
        <v>10</v>
      </c>
      <c r="F82" s="3">
        <v>5</v>
      </c>
      <c r="G82" s="21">
        <f>Table4[[#This Row],[Item Cost]]*Table4[[#This Row],[In Stock]]</f>
        <v>979.25</v>
      </c>
      <c r="H82" s="12" t="s">
        <v>4661</v>
      </c>
      <c r="I82" s="13" t="s">
        <v>4666</v>
      </c>
      <c r="J82" s="13" t="s">
        <v>4677</v>
      </c>
      <c r="K82" s="13" t="s">
        <v>4672</v>
      </c>
      <c r="L82" s="12" t="s">
        <v>4672</v>
      </c>
      <c r="M82" s="17" t="str">
        <f>IF(LEN(COUNTIFS($H$1:H82,$H82,$I$1:I82,$I82,$J$1:J82,$J82,$K$1:K82,K82,$L$1:L82,L82))=1,"00"&amp;COUNTIFS($H$1:H82,$H82,$I$1:I82,$I82,$J$1:J82,$J82,$K$1:K82,K82,$L$1:L82,L82),IF(LEN(COUNTIFS($H$1:H82,$H82,$I$1:I82,$I82,$J$1:J82,$J82,$K$1:K82,K82,$L$1:L82,L82))=2,"0"&amp;COUNTIFS($H$1:H82,$H82,$I$1:I82,$I82,$J$1:J82,$J82,$K$1:K82,K82,$L$1:L82,L82),COUNTIFS($H$1:H82,$H82,$I$1:I82,$I82,$J$1:J82,$J82,$K$1:K82,K82,$L$1:L82,L82)))</f>
        <v>038</v>
      </c>
      <c r="N8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2" s="14" t="e">
        <f>+LEN(Table4[[#This Row],[New Item Code]])</f>
        <v>#N/A</v>
      </c>
      <c r="P82" s="15" t="s">
        <v>4747</v>
      </c>
      <c r="Q82" s="15" t="s">
        <v>4749</v>
      </c>
      <c r="R82" s="15"/>
      <c r="S82" s="15" t="s">
        <v>4751</v>
      </c>
      <c r="T82" s="15" t="s">
        <v>4677</v>
      </c>
    </row>
    <row r="83" spans="1:20" x14ac:dyDescent="0.35">
      <c r="A83" s="2" t="s">
        <v>172</v>
      </c>
      <c r="B83" s="2" t="s">
        <v>173</v>
      </c>
      <c r="C83" s="2" t="s">
        <v>15</v>
      </c>
      <c r="D83" s="2">
        <v>37.630000000000003</v>
      </c>
      <c r="E83" s="2" t="s">
        <v>10</v>
      </c>
      <c r="F83" s="2">
        <v>10</v>
      </c>
      <c r="G83" s="22">
        <f>Table4[[#This Row],[Item Cost]]*Table4[[#This Row],[In Stock]]</f>
        <v>376.3</v>
      </c>
      <c r="H83" s="12" t="s">
        <v>4661</v>
      </c>
      <c r="I83" s="13" t="s">
        <v>4666</v>
      </c>
      <c r="J83" s="13" t="s">
        <v>4677</v>
      </c>
      <c r="K83" s="13" t="s">
        <v>4672</v>
      </c>
      <c r="L83" s="12" t="s">
        <v>4672</v>
      </c>
      <c r="M83" s="17" t="str">
        <f>IF(LEN(COUNTIFS($H$1:H83,$H83,$I$1:I83,$I83,$J$1:J83,$J83,$K$1:K83,K83,$L$1:L83,L83))=1,"00"&amp;COUNTIFS($H$1:H83,$H83,$I$1:I83,$I83,$J$1:J83,$J83,$K$1:K83,K83,$L$1:L83,L83),IF(LEN(COUNTIFS($H$1:H83,$H83,$I$1:I83,$I83,$J$1:J83,$J83,$K$1:K83,K83,$L$1:L83,L83))=2,"0"&amp;COUNTIFS($H$1:H83,$H83,$I$1:I83,$I83,$J$1:J83,$J83,$K$1:K83,K83,$L$1:L83,L83),COUNTIFS($H$1:H83,$H83,$I$1:I83,$I83,$J$1:J83,$J83,$K$1:K83,K83,$L$1:L83,L83)))</f>
        <v>039</v>
      </c>
      <c r="N8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3" s="14" t="e">
        <f>+LEN(Table4[[#This Row],[New Item Code]])</f>
        <v>#N/A</v>
      </c>
      <c r="P83" s="15" t="s">
        <v>4747</v>
      </c>
      <c r="Q83" s="15" t="s">
        <v>4749</v>
      </c>
      <c r="R83" s="15"/>
      <c r="S83" s="15" t="s">
        <v>4751</v>
      </c>
      <c r="T83" s="15" t="s">
        <v>4677</v>
      </c>
    </row>
    <row r="84" spans="1:20" x14ac:dyDescent="0.35">
      <c r="A84" s="3" t="s">
        <v>174</v>
      </c>
      <c r="B84" s="3" t="s">
        <v>175</v>
      </c>
      <c r="C84" s="3" t="s">
        <v>15</v>
      </c>
      <c r="D84" s="3">
        <v>42.76</v>
      </c>
      <c r="E84" s="3" t="s">
        <v>10</v>
      </c>
      <c r="F84" s="3">
        <v>10</v>
      </c>
      <c r="G84" s="21">
        <f>Table4[[#This Row],[Item Cost]]*Table4[[#This Row],[In Stock]]</f>
        <v>427.59999999999997</v>
      </c>
      <c r="H84" s="12" t="s">
        <v>4661</v>
      </c>
      <c r="I84" s="13" t="s">
        <v>4666</v>
      </c>
      <c r="J84" s="13" t="s">
        <v>4677</v>
      </c>
      <c r="K84" s="13" t="s">
        <v>4672</v>
      </c>
      <c r="L84" s="12" t="s">
        <v>4672</v>
      </c>
      <c r="M84" s="17" t="str">
        <f>IF(LEN(COUNTIFS($H$1:H84,$H84,$I$1:I84,$I84,$J$1:J84,$J84,$K$1:K84,K84,$L$1:L84,L84))=1,"00"&amp;COUNTIFS($H$1:H84,$H84,$I$1:I84,$I84,$J$1:J84,$J84,$K$1:K84,K84,$L$1:L84,L84),IF(LEN(COUNTIFS($H$1:H84,$H84,$I$1:I84,$I84,$J$1:J84,$J84,$K$1:K84,K84,$L$1:L84,L84))=2,"0"&amp;COUNTIFS($H$1:H84,$H84,$I$1:I84,$I84,$J$1:J84,$J84,$K$1:K84,K84,$L$1:L84,L84),COUNTIFS($H$1:H84,$H84,$I$1:I84,$I84,$J$1:J84,$J84,$K$1:K84,K84,$L$1:L84,L84)))</f>
        <v>040</v>
      </c>
      <c r="N8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4" s="14" t="e">
        <f>+LEN(Table4[[#This Row],[New Item Code]])</f>
        <v>#N/A</v>
      </c>
      <c r="P84" s="15" t="s">
        <v>4747</v>
      </c>
      <c r="Q84" s="15" t="s">
        <v>4749</v>
      </c>
      <c r="R84" s="15"/>
      <c r="S84" s="15" t="s">
        <v>4751</v>
      </c>
      <c r="T84" s="15" t="s">
        <v>4677</v>
      </c>
    </row>
    <row r="85" spans="1:20" x14ac:dyDescent="0.35">
      <c r="A85" s="2" t="s">
        <v>176</v>
      </c>
      <c r="B85" s="2" t="s">
        <v>177</v>
      </c>
      <c r="C85" s="2" t="s">
        <v>15</v>
      </c>
      <c r="D85" s="2">
        <v>45.88</v>
      </c>
      <c r="E85" s="2" t="s">
        <v>10</v>
      </c>
      <c r="F85" s="2">
        <v>10</v>
      </c>
      <c r="G85" s="22">
        <f>Table4[[#This Row],[Item Cost]]*Table4[[#This Row],[In Stock]]</f>
        <v>458.8</v>
      </c>
      <c r="H85" s="12" t="s">
        <v>4661</v>
      </c>
      <c r="I85" s="13" t="s">
        <v>4666</v>
      </c>
      <c r="J85" s="13" t="s">
        <v>4677</v>
      </c>
      <c r="K85" s="13" t="s">
        <v>4672</v>
      </c>
      <c r="L85" s="12" t="s">
        <v>4672</v>
      </c>
      <c r="M85" s="17" t="str">
        <f>IF(LEN(COUNTIFS($H$1:H85,$H85,$I$1:I85,$I85,$J$1:J85,$J85,$K$1:K85,K85,$L$1:L85,L85))=1,"00"&amp;COUNTIFS($H$1:H85,$H85,$I$1:I85,$I85,$J$1:J85,$J85,$K$1:K85,K85,$L$1:L85,L85),IF(LEN(COUNTIFS($H$1:H85,$H85,$I$1:I85,$I85,$J$1:J85,$J85,$K$1:K85,K85,$L$1:L85,L85))=2,"0"&amp;COUNTIFS($H$1:H85,$H85,$I$1:I85,$I85,$J$1:J85,$J85,$K$1:K85,K85,$L$1:L85,L85),COUNTIFS($H$1:H85,$H85,$I$1:I85,$I85,$J$1:J85,$J85,$K$1:K85,K85,$L$1:L85,L85)))</f>
        <v>041</v>
      </c>
      <c r="N8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5" s="14" t="e">
        <f>+LEN(Table4[[#This Row],[New Item Code]])</f>
        <v>#N/A</v>
      </c>
      <c r="P85" s="15" t="s">
        <v>4747</v>
      </c>
      <c r="Q85" s="15" t="s">
        <v>4749</v>
      </c>
      <c r="R85" s="15"/>
      <c r="S85" s="15" t="s">
        <v>4751</v>
      </c>
      <c r="T85" s="15" t="s">
        <v>4677</v>
      </c>
    </row>
    <row r="86" spans="1:20" x14ac:dyDescent="0.35">
      <c r="A86" s="3" t="s">
        <v>178</v>
      </c>
      <c r="B86" s="3" t="s">
        <v>179</v>
      </c>
      <c r="C86" s="3" t="s">
        <v>15</v>
      </c>
      <c r="D86" s="3">
        <v>21.6</v>
      </c>
      <c r="E86" s="3" t="s">
        <v>10</v>
      </c>
      <c r="F86" s="3">
        <v>10</v>
      </c>
      <c r="G86" s="21">
        <f>Table4[[#This Row],[Item Cost]]*Table4[[#This Row],[In Stock]]</f>
        <v>216</v>
      </c>
      <c r="H86" s="12" t="s">
        <v>4661</v>
      </c>
      <c r="I86" s="13" t="s">
        <v>4666</v>
      </c>
      <c r="J86" s="13" t="s">
        <v>4677</v>
      </c>
      <c r="K86" s="13" t="s">
        <v>4672</v>
      </c>
      <c r="L86" s="12" t="s">
        <v>4672</v>
      </c>
      <c r="M86" s="17" t="str">
        <f>IF(LEN(COUNTIFS($H$1:H86,$H86,$I$1:I86,$I86,$J$1:J86,$J86,$K$1:K86,K86,$L$1:L86,L86))=1,"00"&amp;COUNTIFS($H$1:H86,$H86,$I$1:I86,$I86,$J$1:J86,$J86,$K$1:K86,K86,$L$1:L86,L86),IF(LEN(COUNTIFS($H$1:H86,$H86,$I$1:I86,$I86,$J$1:J86,$J86,$K$1:K86,K86,$L$1:L86,L86))=2,"0"&amp;COUNTIFS($H$1:H86,$H86,$I$1:I86,$I86,$J$1:J86,$J86,$K$1:K86,K86,$L$1:L86,L86),COUNTIFS($H$1:H86,$H86,$I$1:I86,$I86,$J$1:J86,$J86,$K$1:K86,K86,$L$1:L86,L86)))</f>
        <v>042</v>
      </c>
      <c r="N8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6" s="14" t="e">
        <f>+LEN(Table4[[#This Row],[New Item Code]])</f>
        <v>#N/A</v>
      </c>
      <c r="P86" s="15" t="s">
        <v>4747</v>
      </c>
      <c r="Q86" s="15" t="s">
        <v>4749</v>
      </c>
      <c r="R86" s="15"/>
      <c r="S86" s="15" t="s">
        <v>4751</v>
      </c>
      <c r="T86" s="15" t="s">
        <v>4677</v>
      </c>
    </row>
    <row r="87" spans="1:20" x14ac:dyDescent="0.35">
      <c r="A87" s="2" t="s">
        <v>180</v>
      </c>
      <c r="B87" s="2" t="s">
        <v>181</v>
      </c>
      <c r="C87" s="2" t="s">
        <v>15</v>
      </c>
      <c r="D87" s="2">
        <v>278.94</v>
      </c>
      <c r="E87" s="2" t="s">
        <v>10</v>
      </c>
      <c r="F87" s="2">
        <v>1</v>
      </c>
      <c r="G87" s="22">
        <f>Table4[[#This Row],[Item Cost]]*Table4[[#This Row],[In Stock]]</f>
        <v>278.94</v>
      </c>
      <c r="H87" s="12" t="s">
        <v>4661</v>
      </c>
      <c r="I87" s="13" t="s">
        <v>4666</v>
      </c>
      <c r="J87" s="13" t="s">
        <v>4677</v>
      </c>
      <c r="K87" s="13" t="s">
        <v>4672</v>
      </c>
      <c r="L87" s="12" t="s">
        <v>4672</v>
      </c>
      <c r="M87" s="17" t="str">
        <f>IF(LEN(COUNTIFS($H$1:H87,$H87,$I$1:I87,$I87,$J$1:J87,$J87,$K$1:K87,K87,$L$1:L87,L87))=1,"00"&amp;COUNTIFS($H$1:H87,$H87,$I$1:I87,$I87,$J$1:J87,$J87,$K$1:K87,K87,$L$1:L87,L87),IF(LEN(COUNTIFS($H$1:H87,$H87,$I$1:I87,$I87,$J$1:J87,$J87,$K$1:K87,K87,$L$1:L87,L87))=2,"0"&amp;COUNTIFS($H$1:H87,$H87,$I$1:I87,$I87,$J$1:J87,$J87,$K$1:K87,K87,$L$1:L87,L87),COUNTIFS($H$1:H87,$H87,$I$1:I87,$I87,$J$1:J87,$J87,$K$1:K87,K87,$L$1:L87,L87)))</f>
        <v>043</v>
      </c>
      <c r="N8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7" s="14" t="e">
        <f>+LEN(Table4[[#This Row],[New Item Code]])</f>
        <v>#N/A</v>
      </c>
      <c r="P87" s="15" t="s">
        <v>4747</v>
      </c>
      <c r="Q87" s="15" t="s">
        <v>4749</v>
      </c>
      <c r="R87" s="15"/>
      <c r="S87" s="15" t="s">
        <v>4751</v>
      </c>
      <c r="T87" s="15" t="s">
        <v>4677</v>
      </c>
    </row>
    <row r="88" spans="1:20" x14ac:dyDescent="0.35">
      <c r="A88" s="3" t="s">
        <v>182</v>
      </c>
      <c r="B88" s="3" t="s">
        <v>183</v>
      </c>
      <c r="C88" s="3" t="s">
        <v>15</v>
      </c>
      <c r="D88" s="3">
        <v>35.979999999999997</v>
      </c>
      <c r="E88" s="3" t="s">
        <v>10</v>
      </c>
      <c r="F88" s="3">
        <v>10</v>
      </c>
      <c r="G88" s="21">
        <f>Table4[[#This Row],[Item Cost]]*Table4[[#This Row],[In Stock]]</f>
        <v>359.79999999999995</v>
      </c>
      <c r="H88" s="12" t="s">
        <v>4661</v>
      </c>
      <c r="I88" s="13" t="s">
        <v>4666</v>
      </c>
      <c r="J88" s="13" t="s">
        <v>4677</v>
      </c>
      <c r="K88" s="13" t="s">
        <v>4672</v>
      </c>
      <c r="L88" s="12" t="s">
        <v>4672</v>
      </c>
      <c r="M88" s="17" t="str">
        <f>IF(LEN(COUNTIFS($H$1:H88,$H88,$I$1:I88,$I88,$J$1:J88,$J88,$K$1:K88,K88,$L$1:L88,L88))=1,"00"&amp;COUNTIFS($H$1:H88,$H88,$I$1:I88,$I88,$J$1:J88,$J88,$K$1:K88,K88,$L$1:L88,L88),IF(LEN(COUNTIFS($H$1:H88,$H88,$I$1:I88,$I88,$J$1:J88,$J88,$K$1:K88,K88,$L$1:L88,L88))=2,"0"&amp;COUNTIFS($H$1:H88,$H88,$I$1:I88,$I88,$J$1:J88,$J88,$K$1:K88,K88,$L$1:L88,L88),COUNTIFS($H$1:H88,$H88,$I$1:I88,$I88,$J$1:J88,$J88,$K$1:K88,K88,$L$1:L88,L88)))</f>
        <v>044</v>
      </c>
      <c r="N8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8" s="14" t="e">
        <f>+LEN(Table4[[#This Row],[New Item Code]])</f>
        <v>#N/A</v>
      </c>
      <c r="P88" s="15" t="s">
        <v>4747</v>
      </c>
      <c r="Q88" s="15" t="s">
        <v>4749</v>
      </c>
      <c r="R88" s="15"/>
      <c r="S88" s="15" t="s">
        <v>4751</v>
      </c>
      <c r="T88" s="15" t="s">
        <v>4677</v>
      </c>
    </row>
    <row r="89" spans="1:20" x14ac:dyDescent="0.35">
      <c r="A89" s="2" t="s">
        <v>184</v>
      </c>
      <c r="B89" s="2" t="s">
        <v>185</v>
      </c>
      <c r="C89" s="2" t="s">
        <v>15</v>
      </c>
      <c r="D89" s="4">
        <v>2427.3200000000002</v>
      </c>
      <c r="E89" s="2" t="s">
        <v>10</v>
      </c>
      <c r="F89" s="2">
        <v>4</v>
      </c>
      <c r="G89" s="22">
        <f>Table4[[#This Row],[Item Cost]]*Table4[[#This Row],[In Stock]]</f>
        <v>9709.2800000000007</v>
      </c>
      <c r="H89" s="12" t="s">
        <v>4661</v>
      </c>
      <c r="I89" s="13" t="s">
        <v>4666</v>
      </c>
      <c r="J89" s="13" t="s">
        <v>4677</v>
      </c>
      <c r="K89" s="13" t="s">
        <v>4672</v>
      </c>
      <c r="L89" s="12" t="s">
        <v>4672</v>
      </c>
      <c r="M89" s="17" t="str">
        <f>IF(LEN(COUNTIFS($H$1:H89,$H89,$I$1:I89,$I89,$J$1:J89,$J89,$K$1:K89,K89,$L$1:L89,L89))=1,"00"&amp;COUNTIFS($H$1:H89,$H89,$I$1:I89,$I89,$J$1:J89,$J89,$K$1:K89,K89,$L$1:L89,L89),IF(LEN(COUNTIFS($H$1:H89,$H89,$I$1:I89,$I89,$J$1:J89,$J89,$K$1:K89,K89,$L$1:L89,L89))=2,"0"&amp;COUNTIFS($H$1:H89,$H89,$I$1:I89,$I89,$J$1:J89,$J89,$K$1:K89,K89,$L$1:L89,L89),COUNTIFS($H$1:H89,$H89,$I$1:I89,$I89,$J$1:J89,$J89,$K$1:K89,K89,$L$1:L89,L89)))</f>
        <v>045</v>
      </c>
      <c r="N8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9" s="14" t="e">
        <f>+LEN(Table4[[#This Row],[New Item Code]])</f>
        <v>#N/A</v>
      </c>
      <c r="P89" s="15" t="s">
        <v>4747</v>
      </c>
      <c r="Q89" s="15" t="s">
        <v>4749</v>
      </c>
      <c r="R89" s="15"/>
      <c r="S89" s="15" t="s">
        <v>4751</v>
      </c>
      <c r="T89" s="15" t="s">
        <v>4677</v>
      </c>
    </row>
    <row r="90" spans="1:20" x14ac:dyDescent="0.35">
      <c r="A90" s="3" t="s">
        <v>186</v>
      </c>
      <c r="B90" s="3" t="s">
        <v>187</v>
      </c>
      <c r="C90" s="3" t="s">
        <v>15</v>
      </c>
      <c r="D90" s="5">
        <v>2879.92</v>
      </c>
      <c r="E90" s="3" t="s">
        <v>10</v>
      </c>
      <c r="F90" s="3">
        <v>4</v>
      </c>
      <c r="G90" s="21">
        <f>Table4[[#This Row],[Item Cost]]*Table4[[#This Row],[In Stock]]</f>
        <v>11519.68</v>
      </c>
      <c r="H90" s="12" t="s">
        <v>4661</v>
      </c>
      <c r="I90" s="13" t="s">
        <v>4666</v>
      </c>
      <c r="J90" s="13" t="s">
        <v>4677</v>
      </c>
      <c r="K90" s="13" t="s">
        <v>4672</v>
      </c>
      <c r="L90" s="12" t="s">
        <v>4672</v>
      </c>
      <c r="M90" s="17" t="str">
        <f>IF(LEN(COUNTIFS($H$1:H90,$H90,$I$1:I90,$I90,$J$1:J90,$J90,$K$1:K90,K90,$L$1:L90,L90))=1,"00"&amp;COUNTIFS($H$1:H90,$H90,$I$1:I90,$I90,$J$1:J90,$J90,$K$1:K90,K90,$L$1:L90,L90),IF(LEN(COUNTIFS($H$1:H90,$H90,$I$1:I90,$I90,$J$1:J90,$J90,$K$1:K90,K90,$L$1:L90,L90))=2,"0"&amp;COUNTIFS($H$1:H90,$H90,$I$1:I90,$I90,$J$1:J90,$J90,$K$1:K90,K90,$L$1:L90,L90),COUNTIFS($H$1:H90,$H90,$I$1:I90,$I90,$J$1:J90,$J90,$K$1:K90,K90,$L$1:L90,L90)))</f>
        <v>046</v>
      </c>
      <c r="N9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0" s="14" t="e">
        <f>+LEN(Table4[[#This Row],[New Item Code]])</f>
        <v>#N/A</v>
      </c>
      <c r="P90" s="15" t="s">
        <v>4747</v>
      </c>
      <c r="Q90" s="15" t="s">
        <v>4749</v>
      </c>
      <c r="R90" s="15"/>
      <c r="S90" s="15" t="s">
        <v>4751</v>
      </c>
      <c r="T90" s="15" t="s">
        <v>4677</v>
      </c>
    </row>
    <row r="91" spans="1:20" x14ac:dyDescent="0.35">
      <c r="A91" s="2" t="s">
        <v>188</v>
      </c>
      <c r="B91" s="2" t="s">
        <v>189</v>
      </c>
      <c r="C91" s="2" t="s">
        <v>15</v>
      </c>
      <c r="D91" s="2">
        <v>117.25</v>
      </c>
      <c r="E91" s="2" t="s">
        <v>10</v>
      </c>
      <c r="F91" s="2">
        <v>4</v>
      </c>
      <c r="G91" s="22">
        <f>Table4[[#This Row],[Item Cost]]*Table4[[#This Row],[In Stock]]</f>
        <v>469</v>
      </c>
      <c r="H91" s="12" t="s">
        <v>4661</v>
      </c>
      <c r="I91" s="13" t="s">
        <v>4666</v>
      </c>
      <c r="J91" s="13" t="s">
        <v>4677</v>
      </c>
      <c r="K91" s="13" t="s">
        <v>4672</v>
      </c>
      <c r="L91" s="12" t="s">
        <v>4672</v>
      </c>
      <c r="M91" s="17" t="str">
        <f>IF(LEN(COUNTIFS($H$1:H91,$H91,$I$1:I91,$I91,$J$1:J91,$J91,$K$1:K91,K91,$L$1:L91,L91))=1,"00"&amp;COUNTIFS($H$1:H91,$H91,$I$1:I91,$I91,$J$1:J91,$J91,$K$1:K91,K91,$L$1:L91,L91),IF(LEN(COUNTIFS($H$1:H91,$H91,$I$1:I91,$I91,$J$1:J91,$J91,$K$1:K91,K91,$L$1:L91,L91))=2,"0"&amp;COUNTIFS($H$1:H91,$H91,$I$1:I91,$I91,$J$1:J91,$J91,$K$1:K91,K91,$L$1:L91,L91),COUNTIFS($H$1:H91,$H91,$I$1:I91,$I91,$J$1:J91,$J91,$K$1:K91,K91,$L$1:L91,L91)))</f>
        <v>047</v>
      </c>
      <c r="N9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1" s="14" t="e">
        <f>+LEN(Table4[[#This Row],[New Item Code]])</f>
        <v>#N/A</v>
      </c>
      <c r="P91" s="15" t="s">
        <v>4747</v>
      </c>
      <c r="Q91" s="15" t="s">
        <v>4749</v>
      </c>
      <c r="R91" s="15"/>
      <c r="S91" s="15" t="s">
        <v>4751</v>
      </c>
      <c r="T91" s="15" t="s">
        <v>4677</v>
      </c>
    </row>
    <row r="92" spans="1:20" x14ac:dyDescent="0.35">
      <c r="A92" s="3" t="s">
        <v>190</v>
      </c>
      <c r="B92" s="3" t="s">
        <v>191</v>
      </c>
      <c r="C92" s="3" t="s">
        <v>15</v>
      </c>
      <c r="D92" s="5">
        <v>2452.61</v>
      </c>
      <c r="E92" s="3" t="s">
        <v>10</v>
      </c>
      <c r="F92" s="3">
        <v>3</v>
      </c>
      <c r="G92" s="21">
        <f>Table4[[#This Row],[Item Cost]]*Table4[[#This Row],[In Stock]]</f>
        <v>7357.83</v>
      </c>
      <c r="H92" s="12" t="s">
        <v>4661</v>
      </c>
      <c r="I92" s="13" t="s">
        <v>4666</v>
      </c>
      <c r="J92" s="13" t="s">
        <v>4677</v>
      </c>
      <c r="K92" t="s">
        <v>4794</v>
      </c>
      <c r="L92" s="12" t="s">
        <v>4672</v>
      </c>
      <c r="M92" s="17" t="str">
        <f>IF(LEN(COUNTIFS($H$1:H92,$H92,$I$1:I92,$I92,$J$1:J92,$J92,$K$1:K92,K92,$L$1:L92,L92))=1,"00"&amp;COUNTIFS($H$1:H92,$H92,$I$1:I92,$I92,$J$1:J92,$J92,$K$1:K92,K92,$L$1:L92,L92),IF(LEN(COUNTIFS($H$1:H92,$H92,$I$1:I92,$I92,$J$1:J92,$J92,$K$1:K92,K92,$L$1:L92,L92))=2,"0"&amp;COUNTIFS($H$1:H92,$H92,$I$1:I92,$I92,$J$1:J92,$J92,$K$1:K92,K92,$L$1:L92,L92),COUNTIFS($H$1:H92,$H92,$I$1:I92,$I92,$J$1:J92,$J92,$K$1:K92,K92,$L$1:L92,L92)))</f>
        <v>001</v>
      </c>
      <c r="N9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2" s="14" t="e">
        <f>+LEN(Table4[[#This Row],[New Item Code]])</f>
        <v>#N/A</v>
      </c>
      <c r="P92" s="15" t="s">
        <v>4747</v>
      </c>
      <c r="Q92" s="15" t="s">
        <v>4749</v>
      </c>
      <c r="R92" s="15"/>
      <c r="S92" s="15" t="s">
        <v>4751</v>
      </c>
      <c r="T92" s="15" t="s">
        <v>4677</v>
      </c>
    </row>
    <row r="93" spans="1:20" x14ac:dyDescent="0.35">
      <c r="A93" s="2" t="s">
        <v>192</v>
      </c>
      <c r="B93" s="2" t="s">
        <v>193</v>
      </c>
      <c r="C93" s="2" t="s">
        <v>15</v>
      </c>
      <c r="D93" s="4">
        <v>3445.96</v>
      </c>
      <c r="E93" s="2" t="s">
        <v>10</v>
      </c>
      <c r="F93" s="2">
        <v>3</v>
      </c>
      <c r="G93" s="22">
        <f>Table4[[#This Row],[Item Cost]]*Table4[[#This Row],[In Stock]]</f>
        <v>10337.880000000001</v>
      </c>
      <c r="H93" s="12" t="s">
        <v>4661</v>
      </c>
      <c r="I93" s="13" t="s">
        <v>4666</v>
      </c>
      <c r="J93" s="13" t="s">
        <v>4677</v>
      </c>
      <c r="K93" s="13" t="s">
        <v>4672</v>
      </c>
      <c r="L93" s="12" t="s">
        <v>4672</v>
      </c>
      <c r="M93" s="17" t="str">
        <f>IF(LEN(COUNTIFS($H$1:H93,$H93,$I$1:I93,$I93,$J$1:J93,$J93,$K$1:K93,K93,$L$1:L93,L93))=1,"00"&amp;COUNTIFS($H$1:H93,$H93,$I$1:I93,$I93,$J$1:J93,$J93,$K$1:K93,K93,$L$1:L93,L93),IF(LEN(COUNTIFS($H$1:H93,$H93,$I$1:I93,$I93,$J$1:J93,$J93,$K$1:K93,K93,$L$1:L93,L93))=2,"0"&amp;COUNTIFS($H$1:H93,$H93,$I$1:I93,$I93,$J$1:J93,$J93,$K$1:K93,K93,$L$1:L93,L93),COUNTIFS($H$1:H93,$H93,$I$1:I93,$I93,$J$1:J93,$J93,$K$1:K93,K93,$L$1:L93,L93)))</f>
        <v>048</v>
      </c>
      <c r="N9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3" s="14" t="e">
        <f>+LEN(Table4[[#This Row],[New Item Code]])</f>
        <v>#N/A</v>
      </c>
      <c r="P93" s="15" t="s">
        <v>4747</v>
      </c>
      <c r="Q93" s="15" t="s">
        <v>4749</v>
      </c>
      <c r="R93" s="15"/>
      <c r="S93" s="15" t="s">
        <v>4751</v>
      </c>
      <c r="T93" s="15" t="s">
        <v>4677</v>
      </c>
    </row>
    <row r="94" spans="1:20" x14ac:dyDescent="0.35">
      <c r="A94" s="3" t="s">
        <v>194</v>
      </c>
      <c r="B94" s="3" t="s">
        <v>195</v>
      </c>
      <c r="C94" s="3" t="s">
        <v>15</v>
      </c>
      <c r="D94" s="3">
        <v>603.46</v>
      </c>
      <c r="E94" s="3" t="s">
        <v>10</v>
      </c>
      <c r="F94" s="3">
        <v>3</v>
      </c>
      <c r="G94" s="21">
        <f>Table4[[#This Row],[Item Cost]]*Table4[[#This Row],[In Stock]]</f>
        <v>1810.38</v>
      </c>
      <c r="H94" s="12" t="s">
        <v>4661</v>
      </c>
      <c r="I94" s="13" t="s">
        <v>4666</v>
      </c>
      <c r="J94" s="13" t="s">
        <v>4677</v>
      </c>
      <c r="K94" t="s">
        <v>4794</v>
      </c>
      <c r="L94" s="12" t="s">
        <v>4672</v>
      </c>
      <c r="M94" s="17" t="str">
        <f>IF(LEN(COUNTIFS($H$1:H94,$H94,$I$1:I94,$I94,$J$1:J94,$J94,$K$1:K94,K94,$L$1:L94,L94))=1,"00"&amp;COUNTIFS($H$1:H94,$H94,$I$1:I94,$I94,$J$1:J94,$J94,$K$1:K94,K94,$L$1:L94,L94),IF(LEN(COUNTIFS($H$1:H94,$H94,$I$1:I94,$I94,$J$1:J94,$J94,$K$1:K94,K94,$L$1:L94,L94))=2,"0"&amp;COUNTIFS($H$1:H94,$H94,$I$1:I94,$I94,$J$1:J94,$J94,$K$1:K94,K94,$L$1:L94,L94),COUNTIFS($H$1:H94,$H94,$I$1:I94,$I94,$J$1:J94,$J94,$K$1:K94,K94,$L$1:L94,L94)))</f>
        <v>002</v>
      </c>
      <c r="N9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4" s="14" t="e">
        <f>+LEN(Table4[[#This Row],[New Item Code]])</f>
        <v>#N/A</v>
      </c>
      <c r="P94" s="15" t="s">
        <v>4747</v>
      </c>
      <c r="Q94" s="15" t="s">
        <v>4749</v>
      </c>
      <c r="R94" s="15"/>
      <c r="S94" s="15" t="s">
        <v>4751</v>
      </c>
      <c r="T94" s="15" t="s">
        <v>4677</v>
      </c>
    </row>
    <row r="95" spans="1:20" x14ac:dyDescent="0.35">
      <c r="A95" s="2" t="s">
        <v>196</v>
      </c>
      <c r="B95" s="2" t="s">
        <v>197</v>
      </c>
      <c r="C95" s="2" t="s">
        <v>15</v>
      </c>
      <c r="D95" s="4">
        <v>2413.86</v>
      </c>
      <c r="E95" s="2" t="s">
        <v>10</v>
      </c>
      <c r="F95" s="2">
        <v>2</v>
      </c>
      <c r="G95" s="22">
        <f>Table4[[#This Row],[Item Cost]]*Table4[[#This Row],[In Stock]]</f>
        <v>4827.72</v>
      </c>
      <c r="H95" s="12" t="s">
        <v>4661</v>
      </c>
      <c r="I95" s="13" t="s">
        <v>4666</v>
      </c>
      <c r="J95" s="13" t="s">
        <v>4677</v>
      </c>
      <c r="K95" s="13" t="s">
        <v>4672</v>
      </c>
      <c r="L95" s="12" t="s">
        <v>4672</v>
      </c>
      <c r="M95" s="17" t="str">
        <f>IF(LEN(COUNTIFS($H$1:H95,$H95,$I$1:I95,$I95,$J$1:J95,$J95,$K$1:K95,K95,$L$1:L95,L95))=1,"00"&amp;COUNTIFS($H$1:H95,$H95,$I$1:I95,$I95,$J$1:J95,$J95,$K$1:K95,K95,$L$1:L95,L95),IF(LEN(COUNTIFS($H$1:H95,$H95,$I$1:I95,$I95,$J$1:J95,$J95,$K$1:K95,K95,$L$1:L95,L95))=2,"0"&amp;COUNTIFS($H$1:H95,$H95,$I$1:I95,$I95,$J$1:J95,$J95,$K$1:K95,K95,$L$1:L95,L95),COUNTIFS($H$1:H95,$H95,$I$1:I95,$I95,$J$1:J95,$J95,$K$1:K95,K95,$L$1:L95,L95)))</f>
        <v>049</v>
      </c>
      <c r="N9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5" s="14" t="e">
        <f>+LEN(Table4[[#This Row],[New Item Code]])</f>
        <v>#N/A</v>
      </c>
      <c r="P95" s="15" t="s">
        <v>4747</v>
      </c>
      <c r="Q95" s="15" t="s">
        <v>4749</v>
      </c>
      <c r="R95" s="15"/>
      <c r="S95" s="15" t="s">
        <v>4751</v>
      </c>
      <c r="T95" s="15" t="s">
        <v>4677</v>
      </c>
    </row>
    <row r="96" spans="1:20" x14ac:dyDescent="0.35">
      <c r="A96" s="3" t="s">
        <v>198</v>
      </c>
      <c r="B96" s="3" t="s">
        <v>199</v>
      </c>
      <c r="C96" s="3" t="s">
        <v>15</v>
      </c>
      <c r="D96" s="5">
        <v>1152.78</v>
      </c>
      <c r="E96" s="3" t="s">
        <v>10</v>
      </c>
      <c r="F96" s="3">
        <v>2</v>
      </c>
      <c r="G96" s="21">
        <f>Table4[[#This Row],[Item Cost]]*Table4[[#This Row],[In Stock]]</f>
        <v>2305.56</v>
      </c>
      <c r="H96" s="12" t="s">
        <v>4661</v>
      </c>
      <c r="I96" s="13" t="s">
        <v>4666</v>
      </c>
      <c r="J96" s="13" t="s">
        <v>4677</v>
      </c>
      <c r="K96" t="s">
        <v>4794</v>
      </c>
      <c r="L96" s="12" t="s">
        <v>4672</v>
      </c>
      <c r="M96" s="17" t="str">
        <f>IF(LEN(COUNTIFS($H$1:H96,$H96,$I$1:I96,$I96,$J$1:J96,$J96,$K$1:K96,K96,$L$1:L96,L96))=1,"00"&amp;COUNTIFS($H$1:H96,$H96,$I$1:I96,$I96,$J$1:J96,$J96,$K$1:K96,K96,$L$1:L96,L96),IF(LEN(COUNTIFS($H$1:H96,$H96,$I$1:I96,$I96,$J$1:J96,$J96,$K$1:K96,K96,$L$1:L96,L96))=2,"0"&amp;COUNTIFS($H$1:H96,$H96,$I$1:I96,$I96,$J$1:J96,$J96,$K$1:K96,K96,$L$1:L96,L96),COUNTIFS($H$1:H96,$H96,$I$1:I96,$I96,$J$1:J96,$J96,$K$1:K96,K96,$L$1:L96,L96)))</f>
        <v>003</v>
      </c>
      <c r="N9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6" s="14" t="e">
        <f>+LEN(Table4[[#This Row],[New Item Code]])</f>
        <v>#N/A</v>
      </c>
      <c r="P96" s="15" t="s">
        <v>4747</v>
      </c>
      <c r="Q96" s="15" t="s">
        <v>4749</v>
      </c>
      <c r="R96" s="15"/>
      <c r="S96" s="15" t="s">
        <v>4751</v>
      </c>
      <c r="T96" s="15" t="s">
        <v>4677</v>
      </c>
    </row>
    <row r="97" spans="1:20" x14ac:dyDescent="0.35">
      <c r="A97" s="2" t="s">
        <v>200</v>
      </c>
      <c r="B97" s="2" t="s">
        <v>201</v>
      </c>
      <c r="C97" s="2" t="s">
        <v>15</v>
      </c>
      <c r="D97" s="4">
        <v>2413.86</v>
      </c>
      <c r="E97" s="2" t="s">
        <v>10</v>
      </c>
      <c r="F97" s="2">
        <v>2</v>
      </c>
      <c r="G97" s="22">
        <f>Table4[[#This Row],[Item Cost]]*Table4[[#This Row],[In Stock]]</f>
        <v>4827.72</v>
      </c>
      <c r="H97" s="12" t="s">
        <v>4661</v>
      </c>
      <c r="I97" s="13" t="s">
        <v>4666</v>
      </c>
      <c r="J97" s="13" t="s">
        <v>4677</v>
      </c>
      <c r="K97" t="s">
        <v>4794</v>
      </c>
      <c r="L97" s="12" t="s">
        <v>4672</v>
      </c>
      <c r="M97" s="17" t="str">
        <f>IF(LEN(COUNTIFS($H$1:H97,$H97,$I$1:I97,$I97,$J$1:J97,$J97,$K$1:K97,K97,$L$1:L97,L97))=1,"00"&amp;COUNTIFS($H$1:H97,$H97,$I$1:I97,$I97,$J$1:J97,$J97,$K$1:K97,K97,$L$1:L97,L97),IF(LEN(COUNTIFS($H$1:H97,$H97,$I$1:I97,$I97,$J$1:J97,$J97,$K$1:K97,K97,$L$1:L97,L97))=2,"0"&amp;COUNTIFS($H$1:H97,$H97,$I$1:I97,$I97,$J$1:J97,$J97,$K$1:K97,K97,$L$1:L97,L97),COUNTIFS($H$1:H97,$H97,$I$1:I97,$I97,$J$1:J97,$J97,$K$1:K97,K97,$L$1:L97,L97)))</f>
        <v>004</v>
      </c>
      <c r="N9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7" s="14" t="e">
        <f>+LEN(Table4[[#This Row],[New Item Code]])</f>
        <v>#N/A</v>
      </c>
      <c r="P97" s="15" t="s">
        <v>4747</v>
      </c>
      <c r="Q97" s="15" t="s">
        <v>4749</v>
      </c>
      <c r="R97" s="15"/>
      <c r="S97" s="15" t="s">
        <v>4751</v>
      </c>
      <c r="T97" s="15" t="s">
        <v>4677</v>
      </c>
    </row>
    <row r="98" spans="1:20" x14ac:dyDescent="0.35">
      <c r="A98" s="3" t="s">
        <v>202</v>
      </c>
      <c r="B98" s="3" t="s">
        <v>203</v>
      </c>
      <c r="C98" s="3" t="s">
        <v>15</v>
      </c>
      <c r="D98" s="3">
        <v>196.16</v>
      </c>
      <c r="E98" s="3" t="s">
        <v>10</v>
      </c>
      <c r="F98" s="3">
        <v>1</v>
      </c>
      <c r="G98" s="21">
        <f>Table4[[#This Row],[Item Cost]]*Table4[[#This Row],[In Stock]]</f>
        <v>196.16</v>
      </c>
      <c r="H98" s="12" t="s">
        <v>4661</v>
      </c>
      <c r="I98" s="13" t="s">
        <v>4666</v>
      </c>
      <c r="J98" s="13" t="s">
        <v>4677</v>
      </c>
      <c r="K98" t="s">
        <v>4793</v>
      </c>
      <c r="L98" s="12" t="s">
        <v>4672</v>
      </c>
      <c r="M98" s="17" t="str">
        <f>IF(LEN(COUNTIFS($H$1:H98,$H98,$I$1:I98,$I98,$J$1:J98,$J98,$K$1:K98,K98,$L$1:L98,L98))=1,"00"&amp;COUNTIFS($H$1:H98,$H98,$I$1:I98,$I98,$J$1:J98,$J98,$K$1:K98,K98,$L$1:L98,L98),IF(LEN(COUNTIFS($H$1:H98,$H98,$I$1:I98,$I98,$J$1:J98,$J98,$K$1:K98,K98,$L$1:L98,L98))=2,"0"&amp;COUNTIFS($H$1:H98,$H98,$I$1:I98,$I98,$J$1:J98,$J98,$K$1:K98,K98,$L$1:L98,L98),COUNTIFS($H$1:H98,$H98,$I$1:I98,$I98,$J$1:J98,$J98,$K$1:K98,K98,$L$1:L98,L98)))</f>
        <v>010</v>
      </c>
      <c r="N9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8" s="14" t="e">
        <f>+LEN(Table4[[#This Row],[New Item Code]])</f>
        <v>#N/A</v>
      </c>
      <c r="P98" s="15" t="s">
        <v>4747</v>
      </c>
      <c r="Q98" s="15" t="s">
        <v>4749</v>
      </c>
      <c r="R98" s="15"/>
      <c r="S98" s="15" t="s">
        <v>4751</v>
      </c>
      <c r="T98" s="15" t="s">
        <v>4677</v>
      </c>
    </row>
    <row r="99" spans="1:20" x14ac:dyDescent="0.35">
      <c r="A99" s="2" t="s">
        <v>204</v>
      </c>
      <c r="B99" s="2" t="s">
        <v>205</v>
      </c>
      <c r="C99" s="2" t="s">
        <v>15</v>
      </c>
      <c r="D99" s="2">
        <v>213.52</v>
      </c>
      <c r="E99" s="2" t="s">
        <v>10</v>
      </c>
      <c r="F99" s="2">
        <v>2</v>
      </c>
      <c r="G99" s="22">
        <f>Table4[[#This Row],[Item Cost]]*Table4[[#This Row],[In Stock]]</f>
        <v>427.04</v>
      </c>
      <c r="H99" s="12" t="s">
        <v>4661</v>
      </c>
      <c r="I99" s="13" t="s">
        <v>4666</v>
      </c>
      <c r="J99" s="13" t="s">
        <v>4677</v>
      </c>
      <c r="K99" s="13" t="s">
        <v>4672</v>
      </c>
      <c r="L99" s="12" t="s">
        <v>4672</v>
      </c>
      <c r="M99" s="17" t="str">
        <f>IF(LEN(COUNTIFS($H$1:H99,$H99,$I$1:I99,$I99,$J$1:J99,$J99,$K$1:K99,K99,$L$1:L99,L99))=1,"00"&amp;COUNTIFS($H$1:H99,$H99,$I$1:I99,$I99,$J$1:J99,$J99,$K$1:K99,K99,$L$1:L99,L99),IF(LEN(COUNTIFS($H$1:H99,$H99,$I$1:I99,$I99,$J$1:J99,$J99,$K$1:K99,K99,$L$1:L99,L99))=2,"0"&amp;COUNTIFS($H$1:H99,$H99,$I$1:I99,$I99,$J$1:J99,$J99,$K$1:K99,K99,$L$1:L99,L99),COUNTIFS($H$1:H99,$H99,$I$1:I99,$I99,$J$1:J99,$J99,$K$1:K99,K99,$L$1:L99,L99)))</f>
        <v>050</v>
      </c>
      <c r="N9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9" s="14" t="e">
        <f>+LEN(Table4[[#This Row],[New Item Code]])</f>
        <v>#N/A</v>
      </c>
      <c r="P99" s="15" t="s">
        <v>4747</v>
      </c>
      <c r="Q99" s="15" t="s">
        <v>4749</v>
      </c>
      <c r="R99" s="15"/>
      <c r="S99" s="15" t="s">
        <v>4751</v>
      </c>
      <c r="T99" s="15" t="s">
        <v>4677</v>
      </c>
    </row>
    <row r="100" spans="1:20" x14ac:dyDescent="0.35">
      <c r="A100" s="3" t="s">
        <v>206</v>
      </c>
      <c r="B100" s="3" t="s">
        <v>207</v>
      </c>
      <c r="C100" s="3" t="s">
        <v>15</v>
      </c>
      <c r="D100" s="3">
        <v>827.83</v>
      </c>
      <c r="E100" s="3" t="s">
        <v>10</v>
      </c>
      <c r="F100" s="3">
        <v>2</v>
      </c>
      <c r="G100" s="21">
        <f>Table4[[#This Row],[Item Cost]]*Table4[[#This Row],[In Stock]]</f>
        <v>1655.66</v>
      </c>
      <c r="H100" s="12" t="s">
        <v>4661</v>
      </c>
      <c r="I100" s="13" t="s">
        <v>4666</v>
      </c>
      <c r="J100" s="13" t="s">
        <v>4677</v>
      </c>
      <c r="K100" s="13" t="s">
        <v>4776</v>
      </c>
      <c r="L100" s="12" t="s">
        <v>4672</v>
      </c>
      <c r="M100" s="17" t="str">
        <f>IF(LEN(COUNTIFS($H$1:H100,$H100,$I$1:I100,$I100,$J$1:J100,$J100,$K$1:K100,K100,$L$1:L100,L100))=1,"00"&amp;COUNTIFS($H$1:H100,$H100,$I$1:I100,$I100,$J$1:J100,$J100,$K$1:K100,K100,$L$1:L100,L100),IF(LEN(COUNTIFS($H$1:H100,$H100,$I$1:I100,$I100,$J$1:J100,$J100,$K$1:K100,K100,$L$1:L100,L100))=2,"0"&amp;COUNTIFS($H$1:H100,$H100,$I$1:I100,$I100,$J$1:J100,$J100,$K$1:K100,K100,$L$1:L100,L100),COUNTIFS($H$1:H100,$H100,$I$1:I100,$I100,$J$1:J100,$J100,$K$1:K100,K100,$L$1:L100,L100)))</f>
        <v>001</v>
      </c>
      <c r="N10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0" s="14" t="e">
        <f>+LEN(Table4[[#This Row],[New Item Code]])</f>
        <v>#N/A</v>
      </c>
      <c r="P100" s="15" t="s">
        <v>4747</v>
      </c>
      <c r="Q100" s="15" t="s">
        <v>4749</v>
      </c>
      <c r="R100" s="15"/>
      <c r="S100" s="15" t="s">
        <v>4751</v>
      </c>
      <c r="T100" s="15" t="s">
        <v>4677</v>
      </c>
    </row>
    <row r="101" spans="1:20" x14ac:dyDescent="0.35">
      <c r="A101" s="2" t="s">
        <v>208</v>
      </c>
      <c r="B101" s="2" t="s">
        <v>209</v>
      </c>
      <c r="C101" s="2" t="s">
        <v>15</v>
      </c>
      <c r="D101" s="4">
        <v>1350.01</v>
      </c>
      <c r="E101" s="2" t="s">
        <v>10</v>
      </c>
      <c r="F101" s="2">
        <v>1</v>
      </c>
      <c r="G101" s="22">
        <f>Table4[[#This Row],[Item Cost]]*Table4[[#This Row],[In Stock]]</f>
        <v>1350.01</v>
      </c>
      <c r="H101" s="12" t="s">
        <v>4661</v>
      </c>
      <c r="I101" s="13" t="s">
        <v>4666</v>
      </c>
      <c r="J101" s="13" t="s">
        <v>4677</v>
      </c>
      <c r="K101" t="s">
        <v>4796</v>
      </c>
      <c r="L101" s="12" t="s">
        <v>4672</v>
      </c>
      <c r="M101" s="17" t="str">
        <f>IF(LEN(COUNTIFS($H$1:H101,$H101,$I$1:I101,$I101,$J$1:J101,$J101,$K$1:K101,K101,$L$1:L101,L101))=1,"00"&amp;COUNTIFS($H$1:H101,$H101,$I$1:I101,$I101,$J$1:J101,$J101,$K$1:K101,K101,$L$1:L101,L101),IF(LEN(COUNTIFS($H$1:H101,$H101,$I$1:I101,$I101,$J$1:J101,$J101,$K$1:K101,K101,$L$1:L101,L101))=2,"0"&amp;COUNTIFS($H$1:H101,$H101,$I$1:I101,$I101,$J$1:J101,$J101,$K$1:K101,K101,$L$1:L101,L101),COUNTIFS($H$1:H101,$H101,$I$1:I101,$I101,$J$1:J101,$J101,$K$1:K101,K101,$L$1:L101,L101)))</f>
        <v>001</v>
      </c>
      <c r="N10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1" s="14" t="e">
        <f>+LEN(Table4[[#This Row],[New Item Code]])</f>
        <v>#N/A</v>
      </c>
      <c r="P101" s="15" t="s">
        <v>4747</v>
      </c>
      <c r="Q101" s="15" t="s">
        <v>4749</v>
      </c>
      <c r="R101" s="15"/>
      <c r="S101" s="15" t="s">
        <v>4751</v>
      </c>
      <c r="T101" s="15" t="s">
        <v>4677</v>
      </c>
    </row>
    <row r="102" spans="1:20" x14ac:dyDescent="0.35">
      <c r="A102" s="3" t="s">
        <v>210</v>
      </c>
      <c r="B102" s="3" t="s">
        <v>211</v>
      </c>
      <c r="C102" s="3" t="s">
        <v>15</v>
      </c>
      <c r="D102" s="5">
        <v>4133.55</v>
      </c>
      <c r="E102" s="3" t="s">
        <v>10</v>
      </c>
      <c r="F102" s="3">
        <v>1</v>
      </c>
      <c r="G102" s="21">
        <f>Table4[[#This Row],[Item Cost]]*Table4[[#This Row],[In Stock]]</f>
        <v>4133.55</v>
      </c>
      <c r="H102" s="12" t="s">
        <v>4661</v>
      </c>
      <c r="I102" s="13" t="s">
        <v>4666</v>
      </c>
      <c r="J102" s="13" t="s">
        <v>4677</v>
      </c>
      <c r="K102" s="13" t="s">
        <v>4776</v>
      </c>
      <c r="L102" s="12" t="s">
        <v>4672</v>
      </c>
      <c r="M102" s="17" t="str">
        <f>IF(LEN(COUNTIFS($H$1:H102,$H102,$I$1:I102,$I102,$J$1:J102,$J102,$K$1:K102,K102,$L$1:L102,L102))=1,"00"&amp;COUNTIFS($H$1:H102,$H102,$I$1:I102,$I102,$J$1:J102,$J102,$K$1:K102,K102,$L$1:L102,L102),IF(LEN(COUNTIFS($H$1:H102,$H102,$I$1:I102,$I102,$J$1:J102,$J102,$K$1:K102,K102,$L$1:L102,L102))=2,"0"&amp;COUNTIFS($H$1:H102,$H102,$I$1:I102,$I102,$J$1:J102,$J102,$K$1:K102,K102,$L$1:L102,L102),COUNTIFS($H$1:H102,$H102,$I$1:I102,$I102,$J$1:J102,$J102,$K$1:K102,K102,$L$1:L102,L102)))</f>
        <v>002</v>
      </c>
      <c r="N10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2" s="14" t="e">
        <f>+LEN(Table4[[#This Row],[New Item Code]])</f>
        <v>#N/A</v>
      </c>
      <c r="P102" s="15" t="s">
        <v>4747</v>
      </c>
      <c r="Q102" s="15" t="s">
        <v>4749</v>
      </c>
      <c r="R102" s="15"/>
      <c r="S102" s="15" t="s">
        <v>4751</v>
      </c>
      <c r="T102" s="15" t="s">
        <v>4677</v>
      </c>
    </row>
    <row r="103" spans="1:20" x14ac:dyDescent="0.35">
      <c r="A103" s="2" t="s">
        <v>212</v>
      </c>
      <c r="B103" s="2" t="s">
        <v>213</v>
      </c>
      <c r="C103" s="2" t="s">
        <v>15</v>
      </c>
      <c r="D103" s="2">
        <v>812.38</v>
      </c>
      <c r="E103" s="2" t="s">
        <v>10</v>
      </c>
      <c r="F103" s="2">
        <v>1</v>
      </c>
      <c r="G103" s="22">
        <f>Table4[[#This Row],[Item Cost]]*Table4[[#This Row],[In Stock]]</f>
        <v>812.38</v>
      </c>
      <c r="H103" s="12" t="s">
        <v>4661</v>
      </c>
      <c r="I103" s="13" t="s">
        <v>4666</v>
      </c>
      <c r="J103" s="13" t="s">
        <v>4677</v>
      </c>
      <c r="K103" s="13" t="s">
        <v>4672</v>
      </c>
      <c r="L103" s="12" t="s">
        <v>4672</v>
      </c>
      <c r="M103" s="17" t="str">
        <f>IF(LEN(COUNTIFS($H$1:H103,$H103,$I$1:I103,$I103,$J$1:J103,$J103,$K$1:K103,K103,$L$1:L103,L103))=1,"00"&amp;COUNTIFS($H$1:H103,$H103,$I$1:I103,$I103,$J$1:J103,$J103,$K$1:K103,K103,$L$1:L103,L103),IF(LEN(COUNTIFS($H$1:H103,$H103,$I$1:I103,$I103,$J$1:J103,$J103,$K$1:K103,K103,$L$1:L103,L103))=2,"0"&amp;COUNTIFS($H$1:H103,$H103,$I$1:I103,$I103,$J$1:J103,$J103,$K$1:K103,K103,$L$1:L103,L103),COUNTIFS($H$1:H103,$H103,$I$1:I103,$I103,$J$1:J103,$J103,$K$1:K103,K103,$L$1:L103,L103)))</f>
        <v>051</v>
      </c>
      <c r="N10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3" s="14" t="e">
        <f>+LEN(Table4[[#This Row],[New Item Code]])</f>
        <v>#N/A</v>
      </c>
      <c r="P103" s="15" t="s">
        <v>4747</v>
      </c>
      <c r="Q103" s="15" t="s">
        <v>4749</v>
      </c>
      <c r="R103" s="15"/>
      <c r="S103" s="15" t="s">
        <v>4751</v>
      </c>
      <c r="T103" s="15" t="s">
        <v>4677</v>
      </c>
    </row>
    <row r="104" spans="1:20" x14ac:dyDescent="0.35">
      <c r="A104" s="3" t="s">
        <v>214</v>
      </c>
      <c r="B104" s="3" t="s">
        <v>215</v>
      </c>
      <c r="C104" s="3" t="s">
        <v>15</v>
      </c>
      <c r="D104" s="5">
        <v>1206.93</v>
      </c>
      <c r="E104" s="3" t="s">
        <v>10</v>
      </c>
      <c r="F104" s="3">
        <v>1</v>
      </c>
      <c r="G104" s="21">
        <f>Table4[[#This Row],[Item Cost]]*Table4[[#This Row],[In Stock]]</f>
        <v>1206.93</v>
      </c>
      <c r="H104" s="12" t="s">
        <v>4661</v>
      </c>
      <c r="I104" s="13" t="s">
        <v>4666</v>
      </c>
      <c r="J104" s="13" t="s">
        <v>4677</v>
      </c>
      <c r="K104" t="s">
        <v>4794</v>
      </c>
      <c r="L104" s="12" t="s">
        <v>4672</v>
      </c>
      <c r="M104" s="17" t="str">
        <f>IF(LEN(COUNTIFS($H$1:H104,$H104,$I$1:I104,$I104,$J$1:J104,$J104,$K$1:K104,K104,$L$1:L104,L104))=1,"00"&amp;COUNTIFS($H$1:H104,$H104,$I$1:I104,$I104,$J$1:J104,$J104,$K$1:K104,K104,$L$1:L104,L104),IF(LEN(COUNTIFS($H$1:H104,$H104,$I$1:I104,$I104,$J$1:J104,$J104,$K$1:K104,K104,$L$1:L104,L104))=2,"0"&amp;COUNTIFS($H$1:H104,$H104,$I$1:I104,$I104,$J$1:J104,$J104,$K$1:K104,K104,$L$1:L104,L104),COUNTIFS($H$1:H104,$H104,$I$1:I104,$I104,$J$1:J104,$J104,$K$1:K104,K104,$L$1:L104,L104)))</f>
        <v>005</v>
      </c>
      <c r="N10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4" s="14" t="e">
        <f>+LEN(Table4[[#This Row],[New Item Code]])</f>
        <v>#N/A</v>
      </c>
      <c r="P104" s="15" t="s">
        <v>4747</v>
      </c>
      <c r="Q104" s="15" t="s">
        <v>4749</v>
      </c>
      <c r="R104" s="15"/>
      <c r="S104" s="15" t="s">
        <v>4751</v>
      </c>
      <c r="T104" s="15" t="s">
        <v>4677</v>
      </c>
    </row>
    <row r="105" spans="1:20" x14ac:dyDescent="0.35">
      <c r="A105" s="2" t="s">
        <v>216</v>
      </c>
      <c r="B105" s="2" t="s">
        <v>217</v>
      </c>
      <c r="C105" s="2" t="s">
        <v>15</v>
      </c>
      <c r="D105" s="2">
        <v>196.16</v>
      </c>
      <c r="E105" s="2" t="s">
        <v>10</v>
      </c>
      <c r="F105" s="2">
        <v>1</v>
      </c>
      <c r="G105" s="22">
        <f>Table4[[#This Row],[Item Cost]]*Table4[[#This Row],[In Stock]]</f>
        <v>196.16</v>
      </c>
      <c r="H105" s="12" t="s">
        <v>4661</v>
      </c>
      <c r="I105" s="13" t="s">
        <v>4666</v>
      </c>
      <c r="J105" s="13" t="s">
        <v>4677</v>
      </c>
      <c r="K105" s="13" t="s">
        <v>4672</v>
      </c>
      <c r="L105" s="12" t="s">
        <v>4672</v>
      </c>
      <c r="M105" s="17" t="str">
        <f>IF(LEN(COUNTIFS($H$1:H105,$H105,$I$1:I105,$I105,$J$1:J105,$J105,$K$1:K105,K105,$L$1:L105,L105))=1,"00"&amp;COUNTIFS($H$1:H105,$H105,$I$1:I105,$I105,$J$1:J105,$J105,$K$1:K105,K105,$L$1:L105,L105),IF(LEN(COUNTIFS($H$1:H105,$H105,$I$1:I105,$I105,$J$1:J105,$J105,$K$1:K105,K105,$L$1:L105,L105))=2,"0"&amp;COUNTIFS($H$1:H105,$H105,$I$1:I105,$I105,$J$1:J105,$J105,$K$1:K105,K105,$L$1:L105,L105),COUNTIFS($H$1:H105,$H105,$I$1:I105,$I105,$J$1:J105,$J105,$K$1:K105,K105,$L$1:L105,L105)))</f>
        <v>052</v>
      </c>
      <c r="N10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5" s="14" t="e">
        <f>+LEN(Table4[[#This Row],[New Item Code]])</f>
        <v>#N/A</v>
      </c>
      <c r="P105" s="15" t="s">
        <v>4747</v>
      </c>
      <c r="Q105" s="15" t="s">
        <v>4749</v>
      </c>
      <c r="R105" s="15"/>
      <c r="S105" s="15" t="s">
        <v>4751</v>
      </c>
      <c r="T105" s="15" t="s">
        <v>4677</v>
      </c>
    </row>
    <row r="106" spans="1:20" x14ac:dyDescent="0.35">
      <c r="A106" s="3" t="s">
        <v>218</v>
      </c>
      <c r="B106" s="3" t="s">
        <v>219</v>
      </c>
      <c r="C106" s="3" t="s">
        <v>15</v>
      </c>
      <c r="D106" s="5">
        <v>2021.02</v>
      </c>
      <c r="E106" s="3" t="s">
        <v>10</v>
      </c>
      <c r="F106" s="3">
        <v>1</v>
      </c>
      <c r="G106" s="21">
        <f>Table4[[#This Row],[Item Cost]]*Table4[[#This Row],[In Stock]]</f>
        <v>2021.02</v>
      </c>
      <c r="H106" s="12" t="s">
        <v>4661</v>
      </c>
      <c r="I106" s="13" t="s">
        <v>4666</v>
      </c>
      <c r="J106" s="13" t="s">
        <v>4677</v>
      </c>
      <c r="K106" s="13" t="s">
        <v>4776</v>
      </c>
      <c r="L106" s="12" t="s">
        <v>4672</v>
      </c>
      <c r="M106" s="17" t="str">
        <f>IF(LEN(COUNTIFS($H$1:H106,$H106,$I$1:I106,$I106,$J$1:J106,$J106,$K$1:K106,K106,$L$1:L106,L106))=1,"00"&amp;COUNTIFS($H$1:H106,$H106,$I$1:I106,$I106,$J$1:J106,$J106,$K$1:K106,K106,$L$1:L106,L106),IF(LEN(COUNTIFS($H$1:H106,$H106,$I$1:I106,$I106,$J$1:J106,$J106,$K$1:K106,K106,$L$1:L106,L106))=2,"0"&amp;COUNTIFS($H$1:H106,$H106,$I$1:I106,$I106,$J$1:J106,$J106,$K$1:K106,K106,$L$1:L106,L106),COUNTIFS($H$1:H106,$H106,$I$1:I106,$I106,$J$1:J106,$J106,$K$1:K106,K106,$L$1:L106,L106)))</f>
        <v>003</v>
      </c>
      <c r="N10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6" s="14" t="e">
        <f>+LEN(Table4[[#This Row],[New Item Code]])</f>
        <v>#N/A</v>
      </c>
      <c r="P106" s="15" t="s">
        <v>4747</v>
      </c>
      <c r="Q106" s="15" t="s">
        <v>4749</v>
      </c>
      <c r="R106" s="15"/>
      <c r="S106" s="15" t="s">
        <v>4751</v>
      </c>
      <c r="T106" s="15" t="s">
        <v>4677</v>
      </c>
    </row>
    <row r="107" spans="1:20" x14ac:dyDescent="0.35">
      <c r="A107" s="2" t="s">
        <v>220</v>
      </c>
      <c r="B107" s="2" t="s">
        <v>221</v>
      </c>
      <c r="C107" s="2" t="s">
        <v>15</v>
      </c>
      <c r="D107" s="2">
        <v>0</v>
      </c>
      <c r="E107" s="2" t="s">
        <v>10</v>
      </c>
      <c r="F107" s="2">
        <v>0</v>
      </c>
      <c r="G107" s="22">
        <f>Table4[[#This Row],[Item Cost]]*Table4[[#This Row],[In Stock]]</f>
        <v>0</v>
      </c>
      <c r="H107" s="12" t="s">
        <v>4661</v>
      </c>
      <c r="I107" s="13" t="s">
        <v>4666</v>
      </c>
      <c r="J107" s="13" t="s">
        <v>4677</v>
      </c>
      <c r="K107" s="13" t="s">
        <v>4672</v>
      </c>
      <c r="L107" s="12" t="s">
        <v>4672</v>
      </c>
      <c r="M107" s="17" t="str">
        <f>IF(LEN(COUNTIFS($H$1:H107,$H107,$I$1:I107,$I107,$J$1:J107,$J107,$K$1:K107,K107,$L$1:L107,L107))=1,"00"&amp;COUNTIFS($H$1:H107,$H107,$I$1:I107,$I107,$J$1:J107,$J107,$K$1:K107,K107,$L$1:L107,L107),IF(LEN(COUNTIFS($H$1:H107,$H107,$I$1:I107,$I107,$J$1:J107,$J107,$K$1:K107,K107,$L$1:L107,L107))=2,"0"&amp;COUNTIFS($H$1:H107,$H107,$I$1:I107,$I107,$J$1:J107,$J107,$K$1:K107,K107,$L$1:L107,L107),COUNTIFS($H$1:H107,$H107,$I$1:I107,$I107,$J$1:J107,$J107,$K$1:K107,K107,$L$1:L107,L107)))</f>
        <v>053</v>
      </c>
      <c r="N10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7" s="14" t="e">
        <f>+LEN(Table4[[#This Row],[New Item Code]])</f>
        <v>#N/A</v>
      </c>
      <c r="P107" s="15" t="s">
        <v>4747</v>
      </c>
      <c r="Q107" s="15" t="s">
        <v>4749</v>
      </c>
      <c r="R107" s="15"/>
      <c r="S107" s="15" t="s">
        <v>4751</v>
      </c>
      <c r="T107" s="15" t="s">
        <v>4677</v>
      </c>
    </row>
    <row r="108" spans="1:20" x14ac:dyDescent="0.35">
      <c r="A108" s="3" t="s">
        <v>222</v>
      </c>
      <c r="B108" s="3" t="s">
        <v>223</v>
      </c>
      <c r="C108" s="3" t="s">
        <v>15</v>
      </c>
      <c r="D108" s="3">
        <v>0</v>
      </c>
      <c r="E108" s="3" t="s">
        <v>10</v>
      </c>
      <c r="F108" s="3">
        <v>0</v>
      </c>
      <c r="G108" s="21">
        <f>Table4[[#This Row],[Item Cost]]*Table4[[#This Row],[In Stock]]</f>
        <v>0</v>
      </c>
      <c r="H108" s="12" t="s">
        <v>4661</v>
      </c>
      <c r="I108" s="13" t="s">
        <v>4666</v>
      </c>
      <c r="J108" s="13" t="s">
        <v>4677</v>
      </c>
      <c r="K108" s="13" t="s">
        <v>4672</v>
      </c>
      <c r="L108" s="12" t="s">
        <v>4672</v>
      </c>
      <c r="M108" s="17" t="str">
        <f>IF(LEN(COUNTIFS($H$1:H108,$H108,$I$1:I108,$I108,$J$1:J108,$J108,$K$1:K108,K108,$L$1:L108,L108))=1,"00"&amp;COUNTIFS($H$1:H108,$H108,$I$1:I108,$I108,$J$1:J108,$J108,$K$1:K108,K108,$L$1:L108,L108),IF(LEN(COUNTIFS($H$1:H108,$H108,$I$1:I108,$I108,$J$1:J108,$J108,$K$1:K108,K108,$L$1:L108,L108))=2,"0"&amp;COUNTIFS($H$1:H108,$H108,$I$1:I108,$I108,$J$1:J108,$J108,$K$1:K108,K108,$L$1:L108,L108),COUNTIFS($H$1:H108,$H108,$I$1:I108,$I108,$J$1:J108,$J108,$K$1:K108,K108,$L$1:L108,L108)))</f>
        <v>054</v>
      </c>
      <c r="N10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8" s="14" t="e">
        <f>+LEN(Table4[[#This Row],[New Item Code]])</f>
        <v>#N/A</v>
      </c>
      <c r="P108" s="15" t="s">
        <v>4747</v>
      </c>
      <c r="Q108" s="15" t="s">
        <v>4749</v>
      </c>
      <c r="R108" s="15"/>
      <c r="S108" s="15" t="s">
        <v>4751</v>
      </c>
      <c r="T108" s="15" t="s">
        <v>4677</v>
      </c>
    </row>
    <row r="109" spans="1:20" x14ac:dyDescent="0.35">
      <c r="A109" s="2" t="s">
        <v>224</v>
      </c>
      <c r="B109" s="2" t="s">
        <v>225</v>
      </c>
      <c r="C109" s="2" t="s">
        <v>15</v>
      </c>
      <c r="D109" s="2">
        <v>130</v>
      </c>
      <c r="E109" s="2" t="s">
        <v>57</v>
      </c>
      <c r="F109" s="2">
        <v>1</v>
      </c>
      <c r="G109" s="22">
        <f>Table4[[#This Row],[Item Cost]]*Table4[[#This Row],[In Stock]]</f>
        <v>130</v>
      </c>
      <c r="H109" s="12" t="s">
        <v>4661</v>
      </c>
      <c r="I109" s="13" t="s">
        <v>4666</v>
      </c>
      <c r="J109" s="13" t="s">
        <v>4679</v>
      </c>
      <c r="K109" s="13" t="s">
        <v>4672</v>
      </c>
      <c r="L109" s="12" t="s">
        <v>4672</v>
      </c>
      <c r="M109" s="17" t="str">
        <f>IF(LEN(COUNTIFS($H$1:H109,$H109,$I$1:I109,$I109,$J$1:J109,$J109,$K$1:K109,K109,$L$1:L109,L109))=1,"00"&amp;COUNTIFS($H$1:H109,$H109,$I$1:I109,$I109,$J$1:J109,$J109,$K$1:K109,K109,$L$1:L109,L109),IF(LEN(COUNTIFS($H$1:H109,$H109,$I$1:I109,$I109,$J$1:J109,$J109,$K$1:K109,K109,$L$1:L109,L109))=2,"0"&amp;COUNTIFS($H$1:H109,$H109,$I$1:I109,$I109,$J$1:J109,$J109,$K$1:K109,K109,$L$1:L109,L109),COUNTIFS($H$1:H109,$H109,$I$1:I109,$I109,$J$1:J109,$J109,$K$1:K109,K109,$L$1:L109,L109)))</f>
        <v>001</v>
      </c>
      <c r="N10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9" s="14" t="e">
        <f>+LEN(Table4[[#This Row],[New Item Code]])</f>
        <v>#N/A</v>
      </c>
      <c r="P109" s="15" t="s">
        <v>4747</v>
      </c>
      <c r="Q109" s="15" t="s">
        <v>4749</v>
      </c>
      <c r="R109" s="15"/>
      <c r="S109" s="15"/>
      <c r="T109" s="15" t="s">
        <v>4679</v>
      </c>
    </row>
    <row r="110" spans="1:20" x14ac:dyDescent="0.35">
      <c r="A110" s="3" t="s">
        <v>226</v>
      </c>
      <c r="B110" s="3" t="s">
        <v>227</v>
      </c>
      <c r="C110" s="3" t="s">
        <v>15</v>
      </c>
      <c r="D110" s="3">
        <v>130</v>
      </c>
      <c r="E110" s="3" t="s">
        <v>57</v>
      </c>
      <c r="F110" s="3">
        <v>1</v>
      </c>
      <c r="G110" s="21">
        <f>Table4[[#This Row],[Item Cost]]*Table4[[#This Row],[In Stock]]</f>
        <v>130</v>
      </c>
      <c r="H110" s="12" t="s">
        <v>4661</v>
      </c>
      <c r="I110" s="13" t="s">
        <v>4666</v>
      </c>
      <c r="J110" s="13" t="s">
        <v>4679</v>
      </c>
      <c r="K110" s="13" t="s">
        <v>4672</v>
      </c>
      <c r="L110" s="12" t="s">
        <v>4672</v>
      </c>
      <c r="M110" s="17" t="str">
        <f>IF(LEN(COUNTIFS($H$1:H110,$H110,$I$1:I110,$I110,$J$1:J110,$J110,$K$1:K110,K110,$L$1:L110,L110))=1,"00"&amp;COUNTIFS($H$1:H110,$H110,$I$1:I110,$I110,$J$1:J110,$J110,$K$1:K110,K110,$L$1:L110,L110),IF(LEN(COUNTIFS($H$1:H110,$H110,$I$1:I110,$I110,$J$1:J110,$J110,$K$1:K110,K110,$L$1:L110,L110))=2,"0"&amp;COUNTIFS($H$1:H110,$H110,$I$1:I110,$I110,$J$1:J110,$J110,$K$1:K110,K110,$L$1:L110,L110),COUNTIFS($H$1:H110,$H110,$I$1:I110,$I110,$J$1:J110,$J110,$K$1:K110,K110,$L$1:L110,L110)))</f>
        <v>002</v>
      </c>
      <c r="N11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0" s="14" t="e">
        <f>+LEN(Table4[[#This Row],[New Item Code]])</f>
        <v>#N/A</v>
      </c>
      <c r="P110" s="15" t="s">
        <v>4747</v>
      </c>
      <c r="Q110" s="15" t="s">
        <v>4749</v>
      </c>
      <c r="R110" s="15"/>
      <c r="S110" s="15"/>
      <c r="T110" s="15" t="s">
        <v>4679</v>
      </c>
    </row>
    <row r="111" spans="1:20" x14ac:dyDescent="0.35">
      <c r="A111" s="2" t="s">
        <v>228</v>
      </c>
      <c r="B111" s="2" t="s">
        <v>229</v>
      </c>
      <c r="C111" s="2" t="s">
        <v>15</v>
      </c>
      <c r="D111" s="4">
        <v>1100</v>
      </c>
      <c r="E111" s="2" t="s">
        <v>57</v>
      </c>
      <c r="F111" s="2">
        <v>0</v>
      </c>
      <c r="G111" s="22">
        <f>Table4[[#This Row],[Item Cost]]*Table4[[#This Row],[In Stock]]</f>
        <v>0</v>
      </c>
      <c r="H111" s="12" t="s">
        <v>4661</v>
      </c>
      <c r="I111" s="13" t="s">
        <v>4666</v>
      </c>
      <c r="J111" s="13" t="s">
        <v>4679</v>
      </c>
      <c r="K111" s="13" t="s">
        <v>4672</v>
      </c>
      <c r="L111" s="12" t="s">
        <v>4672</v>
      </c>
      <c r="M111" s="17" t="str">
        <f>IF(LEN(COUNTIFS($H$1:H111,$H111,$I$1:I111,$I111,$J$1:J111,$J111,$K$1:K111,K111,$L$1:L111,L111))=1,"00"&amp;COUNTIFS($H$1:H111,$H111,$I$1:I111,$I111,$J$1:J111,$J111,$K$1:K111,K111,$L$1:L111,L111),IF(LEN(COUNTIFS($H$1:H111,$H111,$I$1:I111,$I111,$J$1:J111,$J111,$K$1:K111,K111,$L$1:L111,L111))=2,"0"&amp;COUNTIFS($H$1:H111,$H111,$I$1:I111,$I111,$J$1:J111,$J111,$K$1:K111,K111,$L$1:L111,L111),COUNTIFS($H$1:H111,$H111,$I$1:I111,$I111,$J$1:J111,$J111,$K$1:K111,K111,$L$1:L111,L111)))</f>
        <v>003</v>
      </c>
      <c r="N11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1" s="14" t="e">
        <f>+LEN(Table4[[#This Row],[New Item Code]])</f>
        <v>#N/A</v>
      </c>
      <c r="P111" s="15" t="s">
        <v>4747</v>
      </c>
      <c r="Q111" s="15" t="s">
        <v>4749</v>
      </c>
      <c r="R111" s="15"/>
      <c r="S111" s="15"/>
      <c r="T111" s="15" t="s">
        <v>4679</v>
      </c>
    </row>
    <row r="112" spans="1:20" x14ac:dyDescent="0.35">
      <c r="A112" s="3" t="s">
        <v>230</v>
      </c>
      <c r="B112" s="3">
        <v>60308158</v>
      </c>
      <c r="C112" s="3" t="s">
        <v>15</v>
      </c>
      <c r="D112" s="3">
        <v>350</v>
      </c>
      <c r="E112" s="3" t="s">
        <v>57</v>
      </c>
      <c r="F112" s="3">
        <v>0</v>
      </c>
      <c r="G112" s="21">
        <f>Table4[[#This Row],[Item Cost]]*Table4[[#This Row],[In Stock]]</f>
        <v>0</v>
      </c>
      <c r="H112" s="12" t="s">
        <v>4661</v>
      </c>
      <c r="I112" s="13" t="s">
        <v>4666</v>
      </c>
      <c r="J112" s="13" t="s">
        <v>4679</v>
      </c>
      <c r="K112" s="13" t="s">
        <v>4672</v>
      </c>
      <c r="L112" s="12" t="s">
        <v>4672</v>
      </c>
      <c r="M112" s="17" t="str">
        <f>IF(LEN(COUNTIFS($H$1:H112,$H112,$I$1:I112,$I112,$J$1:J112,$J112,$K$1:K112,K112,$L$1:L112,L112))=1,"00"&amp;COUNTIFS($H$1:H112,$H112,$I$1:I112,$I112,$J$1:J112,$J112,$K$1:K112,K112,$L$1:L112,L112),IF(LEN(COUNTIFS($H$1:H112,$H112,$I$1:I112,$I112,$J$1:J112,$J112,$K$1:K112,K112,$L$1:L112,L112))=2,"0"&amp;COUNTIFS($H$1:H112,$H112,$I$1:I112,$I112,$J$1:J112,$J112,$K$1:K112,K112,$L$1:L112,L112),COUNTIFS($H$1:H112,$H112,$I$1:I112,$I112,$J$1:J112,$J112,$K$1:K112,K112,$L$1:L112,L112)))</f>
        <v>004</v>
      </c>
      <c r="N11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2" s="14" t="e">
        <f>+LEN(Table4[[#This Row],[New Item Code]])</f>
        <v>#N/A</v>
      </c>
      <c r="P112" s="15" t="s">
        <v>4747</v>
      </c>
      <c r="Q112" s="15" t="s">
        <v>4749</v>
      </c>
      <c r="R112" s="15"/>
      <c r="S112" s="15"/>
      <c r="T112" s="15" t="s">
        <v>4679</v>
      </c>
    </row>
    <row r="113" spans="1:20" x14ac:dyDescent="0.35">
      <c r="A113" s="2" t="s">
        <v>231</v>
      </c>
      <c r="B113" s="2" t="s">
        <v>232</v>
      </c>
      <c r="C113" s="2" t="s">
        <v>15</v>
      </c>
      <c r="D113" s="4">
        <v>2400</v>
      </c>
      <c r="E113" s="2" t="s">
        <v>57</v>
      </c>
      <c r="F113" s="2">
        <v>0</v>
      </c>
      <c r="G113" s="22">
        <f>Table4[[#This Row],[Item Cost]]*Table4[[#This Row],[In Stock]]</f>
        <v>0</v>
      </c>
      <c r="H113" s="12" t="s">
        <v>4661</v>
      </c>
      <c r="I113" s="13" t="s">
        <v>4666</v>
      </c>
      <c r="J113" s="13" t="s">
        <v>4679</v>
      </c>
      <c r="K113" s="13" t="s">
        <v>4672</v>
      </c>
      <c r="L113" s="12" t="s">
        <v>4672</v>
      </c>
      <c r="M113" s="17" t="str">
        <f>IF(LEN(COUNTIFS($H$1:H113,$H113,$I$1:I113,$I113,$J$1:J113,$J113,$K$1:K113,K113,$L$1:L113,L113))=1,"00"&amp;COUNTIFS($H$1:H113,$H113,$I$1:I113,$I113,$J$1:J113,$J113,$K$1:K113,K113,$L$1:L113,L113),IF(LEN(COUNTIFS($H$1:H113,$H113,$I$1:I113,$I113,$J$1:J113,$J113,$K$1:K113,K113,$L$1:L113,L113))=2,"0"&amp;COUNTIFS($H$1:H113,$H113,$I$1:I113,$I113,$J$1:J113,$J113,$K$1:K113,K113,$L$1:L113,L113),COUNTIFS($H$1:H113,$H113,$I$1:I113,$I113,$J$1:J113,$J113,$K$1:K113,K113,$L$1:L113,L113)))</f>
        <v>005</v>
      </c>
      <c r="N11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3" s="14" t="e">
        <f>+LEN(Table4[[#This Row],[New Item Code]])</f>
        <v>#N/A</v>
      </c>
      <c r="P113" s="15" t="s">
        <v>4747</v>
      </c>
      <c r="Q113" s="15" t="s">
        <v>4749</v>
      </c>
      <c r="R113" s="15"/>
      <c r="S113" s="15"/>
      <c r="T113" s="15" t="s">
        <v>4679</v>
      </c>
    </row>
    <row r="114" spans="1:20" x14ac:dyDescent="0.35">
      <c r="A114" s="3" t="s">
        <v>233</v>
      </c>
      <c r="B114" s="3" t="s">
        <v>234</v>
      </c>
      <c r="C114" s="3" t="s">
        <v>15</v>
      </c>
      <c r="D114" s="3">
        <v>350</v>
      </c>
      <c r="E114" s="3" t="s">
        <v>57</v>
      </c>
      <c r="F114" s="3">
        <v>0</v>
      </c>
      <c r="G114" s="21">
        <f>Table4[[#This Row],[Item Cost]]*Table4[[#This Row],[In Stock]]</f>
        <v>0</v>
      </c>
      <c r="H114" s="12" t="s">
        <v>4661</v>
      </c>
      <c r="I114" s="13" t="s">
        <v>4666</v>
      </c>
      <c r="J114" s="13" t="s">
        <v>4679</v>
      </c>
      <c r="K114" s="13" t="s">
        <v>4672</v>
      </c>
      <c r="L114" s="12" t="s">
        <v>4672</v>
      </c>
      <c r="M114" s="17" t="str">
        <f>IF(LEN(COUNTIFS($H$1:H114,$H114,$I$1:I114,$I114,$J$1:J114,$J114,$K$1:K114,K114,$L$1:L114,L114))=1,"00"&amp;COUNTIFS($H$1:H114,$H114,$I$1:I114,$I114,$J$1:J114,$J114,$K$1:K114,K114,$L$1:L114,L114),IF(LEN(COUNTIFS($H$1:H114,$H114,$I$1:I114,$I114,$J$1:J114,$J114,$K$1:K114,K114,$L$1:L114,L114))=2,"0"&amp;COUNTIFS($H$1:H114,$H114,$I$1:I114,$I114,$J$1:J114,$J114,$K$1:K114,K114,$L$1:L114,L114),COUNTIFS($H$1:H114,$H114,$I$1:I114,$I114,$J$1:J114,$J114,$K$1:K114,K114,$L$1:L114,L114)))</f>
        <v>006</v>
      </c>
      <c r="N11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4" s="14" t="e">
        <f>+LEN(Table4[[#This Row],[New Item Code]])</f>
        <v>#N/A</v>
      </c>
      <c r="P114" s="15" t="s">
        <v>4747</v>
      </c>
      <c r="Q114" s="15" t="s">
        <v>4749</v>
      </c>
      <c r="R114" s="15"/>
      <c r="S114" s="15"/>
      <c r="T114" s="15" t="s">
        <v>4679</v>
      </c>
    </row>
    <row r="115" spans="1:20" x14ac:dyDescent="0.35">
      <c r="A115" s="2" t="s">
        <v>235</v>
      </c>
      <c r="B115" s="2" t="s">
        <v>236</v>
      </c>
      <c r="C115" s="2" t="s">
        <v>15</v>
      </c>
      <c r="D115" s="2">
        <v>850</v>
      </c>
      <c r="E115" s="2" t="s">
        <v>57</v>
      </c>
      <c r="F115" s="2">
        <v>0</v>
      </c>
      <c r="G115" s="22">
        <f>Table4[[#This Row],[Item Cost]]*Table4[[#This Row],[In Stock]]</f>
        <v>0</v>
      </c>
      <c r="H115" s="12" t="s">
        <v>4661</v>
      </c>
      <c r="I115" s="13" t="s">
        <v>4666</v>
      </c>
      <c r="J115" s="13" t="s">
        <v>4679</v>
      </c>
      <c r="K115" s="13" t="s">
        <v>4672</v>
      </c>
      <c r="L115" s="12" t="s">
        <v>4672</v>
      </c>
      <c r="M115" s="17" t="str">
        <f>IF(LEN(COUNTIFS($H$1:H115,$H115,$I$1:I115,$I115,$J$1:J115,$J115,$K$1:K115,K115,$L$1:L115,L115))=1,"00"&amp;COUNTIFS($H$1:H115,$H115,$I$1:I115,$I115,$J$1:J115,$J115,$K$1:K115,K115,$L$1:L115,L115),IF(LEN(COUNTIFS($H$1:H115,$H115,$I$1:I115,$I115,$J$1:J115,$J115,$K$1:K115,K115,$L$1:L115,L115))=2,"0"&amp;COUNTIFS($H$1:H115,$H115,$I$1:I115,$I115,$J$1:J115,$J115,$K$1:K115,K115,$L$1:L115,L115),COUNTIFS($H$1:H115,$H115,$I$1:I115,$I115,$J$1:J115,$J115,$K$1:K115,K115,$L$1:L115,L115)))</f>
        <v>007</v>
      </c>
      <c r="N11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5" s="14" t="e">
        <f>+LEN(Table4[[#This Row],[New Item Code]])</f>
        <v>#N/A</v>
      </c>
      <c r="P115" s="15" t="s">
        <v>4747</v>
      </c>
      <c r="Q115" s="15" t="s">
        <v>4749</v>
      </c>
      <c r="R115" s="15"/>
      <c r="S115" s="15"/>
      <c r="T115" s="15" t="s">
        <v>4679</v>
      </c>
    </row>
    <row r="116" spans="1:20" x14ac:dyDescent="0.35">
      <c r="A116" s="3" t="s">
        <v>237</v>
      </c>
      <c r="B116" s="3" t="s">
        <v>238</v>
      </c>
      <c r="C116" s="3" t="s">
        <v>15</v>
      </c>
      <c r="D116" s="3">
        <v>350</v>
      </c>
      <c r="E116" s="3" t="s">
        <v>57</v>
      </c>
      <c r="F116" s="3">
        <v>1</v>
      </c>
      <c r="G116" s="21">
        <f>Table4[[#This Row],[Item Cost]]*Table4[[#This Row],[In Stock]]</f>
        <v>350</v>
      </c>
      <c r="H116" s="12" t="s">
        <v>4661</v>
      </c>
      <c r="I116" s="13" t="s">
        <v>4666</v>
      </c>
      <c r="J116" s="13" t="s">
        <v>4679</v>
      </c>
      <c r="K116" s="13" t="s">
        <v>4672</v>
      </c>
      <c r="L116" s="12" t="s">
        <v>4672</v>
      </c>
      <c r="M116" s="17" t="str">
        <f>IF(LEN(COUNTIFS($H$1:H116,$H116,$I$1:I116,$I116,$J$1:J116,$J116,$K$1:K116,K116,$L$1:L116,L116))=1,"00"&amp;COUNTIFS($H$1:H116,$H116,$I$1:I116,$I116,$J$1:J116,$J116,$K$1:K116,K116,$L$1:L116,L116),IF(LEN(COUNTIFS($H$1:H116,$H116,$I$1:I116,$I116,$J$1:J116,$J116,$K$1:K116,K116,$L$1:L116,L116))=2,"0"&amp;COUNTIFS($H$1:H116,$H116,$I$1:I116,$I116,$J$1:J116,$J116,$K$1:K116,K116,$L$1:L116,L116),COUNTIFS($H$1:H116,$H116,$I$1:I116,$I116,$J$1:J116,$J116,$K$1:K116,K116,$L$1:L116,L116)))</f>
        <v>008</v>
      </c>
      <c r="N11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6" s="14" t="e">
        <f>+LEN(Table4[[#This Row],[New Item Code]])</f>
        <v>#N/A</v>
      </c>
      <c r="P116" s="15" t="s">
        <v>4747</v>
      </c>
      <c r="Q116" s="15" t="s">
        <v>4749</v>
      </c>
      <c r="R116" s="15"/>
      <c r="S116" s="15"/>
      <c r="T116" s="15" t="s">
        <v>4679</v>
      </c>
    </row>
    <row r="117" spans="1:20" x14ac:dyDescent="0.35">
      <c r="A117" s="2" t="s">
        <v>239</v>
      </c>
      <c r="B117" s="2" t="s">
        <v>240</v>
      </c>
      <c r="C117" s="2" t="s">
        <v>15</v>
      </c>
      <c r="D117" s="2">
        <v>350</v>
      </c>
      <c r="E117" s="2" t="s">
        <v>57</v>
      </c>
      <c r="F117" s="2">
        <v>1</v>
      </c>
      <c r="G117" s="22">
        <f>Table4[[#This Row],[Item Cost]]*Table4[[#This Row],[In Stock]]</f>
        <v>350</v>
      </c>
      <c r="H117" s="12" t="s">
        <v>4661</v>
      </c>
      <c r="I117" s="13" t="s">
        <v>4666</v>
      </c>
      <c r="J117" s="13" t="s">
        <v>4679</v>
      </c>
      <c r="K117" s="13" t="s">
        <v>4672</v>
      </c>
      <c r="L117" s="12" t="s">
        <v>4672</v>
      </c>
      <c r="M117" s="17" t="str">
        <f>IF(LEN(COUNTIFS($H$1:H117,$H117,$I$1:I117,$I117,$J$1:J117,$J117,$K$1:K117,K117,$L$1:L117,L117))=1,"00"&amp;COUNTIFS($H$1:H117,$H117,$I$1:I117,$I117,$J$1:J117,$J117,$K$1:K117,K117,$L$1:L117,L117),IF(LEN(COUNTIFS($H$1:H117,$H117,$I$1:I117,$I117,$J$1:J117,$J117,$K$1:K117,K117,$L$1:L117,L117))=2,"0"&amp;COUNTIFS($H$1:H117,$H117,$I$1:I117,$I117,$J$1:J117,$J117,$K$1:K117,K117,$L$1:L117,L117),COUNTIFS($H$1:H117,$H117,$I$1:I117,$I117,$J$1:J117,$J117,$K$1:K117,K117,$L$1:L117,L117)))</f>
        <v>009</v>
      </c>
      <c r="N11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7" s="14" t="e">
        <f>+LEN(Table4[[#This Row],[New Item Code]])</f>
        <v>#N/A</v>
      </c>
      <c r="P117" s="15" t="s">
        <v>4747</v>
      </c>
      <c r="Q117" s="15" t="s">
        <v>4749</v>
      </c>
      <c r="R117" s="15"/>
      <c r="S117" s="15"/>
      <c r="T117" s="15" t="s">
        <v>4679</v>
      </c>
    </row>
    <row r="118" spans="1:20" x14ac:dyDescent="0.35">
      <c r="A118" s="3" t="s">
        <v>241</v>
      </c>
      <c r="B118" s="3" t="s">
        <v>242</v>
      </c>
      <c r="C118" s="3" t="s">
        <v>15</v>
      </c>
      <c r="D118" s="3">
        <v>250</v>
      </c>
      <c r="E118" s="3" t="s">
        <v>57</v>
      </c>
      <c r="F118" s="3">
        <v>0</v>
      </c>
      <c r="G118" s="21">
        <f>Table4[[#This Row],[Item Cost]]*Table4[[#This Row],[In Stock]]</f>
        <v>0</v>
      </c>
      <c r="H118" s="12" t="s">
        <v>4661</v>
      </c>
      <c r="I118" s="13" t="s">
        <v>4666</v>
      </c>
      <c r="J118" s="13" t="s">
        <v>4679</v>
      </c>
      <c r="K118" s="13" t="s">
        <v>4672</v>
      </c>
      <c r="L118" s="12" t="s">
        <v>4672</v>
      </c>
      <c r="M118" s="17" t="str">
        <f>IF(LEN(COUNTIFS($H$1:H118,$H118,$I$1:I118,$I118,$J$1:J118,$J118,$K$1:K118,K118,$L$1:L118,L118))=1,"00"&amp;COUNTIFS($H$1:H118,$H118,$I$1:I118,$I118,$J$1:J118,$J118,$K$1:K118,K118,$L$1:L118,L118),IF(LEN(COUNTIFS($H$1:H118,$H118,$I$1:I118,$I118,$J$1:J118,$J118,$K$1:K118,K118,$L$1:L118,L118))=2,"0"&amp;COUNTIFS($H$1:H118,$H118,$I$1:I118,$I118,$J$1:J118,$J118,$K$1:K118,K118,$L$1:L118,L118),COUNTIFS($H$1:H118,$H118,$I$1:I118,$I118,$J$1:J118,$J118,$K$1:K118,K118,$L$1:L118,L118)))</f>
        <v>010</v>
      </c>
      <c r="N11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8" s="14" t="e">
        <f>+LEN(Table4[[#This Row],[New Item Code]])</f>
        <v>#N/A</v>
      </c>
      <c r="P118" s="15" t="s">
        <v>4747</v>
      </c>
      <c r="Q118" s="15" t="s">
        <v>4749</v>
      </c>
      <c r="R118" s="15"/>
      <c r="S118" s="15"/>
      <c r="T118" s="15" t="s">
        <v>4679</v>
      </c>
    </row>
    <row r="119" spans="1:20" x14ac:dyDescent="0.35">
      <c r="A119" s="2" t="s">
        <v>243</v>
      </c>
      <c r="B119" s="2" t="s">
        <v>244</v>
      </c>
      <c r="C119" s="2" t="s">
        <v>15</v>
      </c>
      <c r="D119" s="4">
        <v>6500</v>
      </c>
      <c r="E119" s="2" t="s">
        <v>57</v>
      </c>
      <c r="F119" s="2">
        <v>1</v>
      </c>
      <c r="G119" s="22">
        <f>Table4[[#This Row],[Item Cost]]*Table4[[#This Row],[In Stock]]</f>
        <v>6500</v>
      </c>
      <c r="H119" s="12" t="s">
        <v>4661</v>
      </c>
      <c r="I119" s="13" t="s">
        <v>4666</v>
      </c>
      <c r="J119" s="13" t="s">
        <v>4679</v>
      </c>
      <c r="K119" s="13" t="s">
        <v>4672</v>
      </c>
      <c r="L119" s="12" t="s">
        <v>4672</v>
      </c>
      <c r="M119" s="17" t="str">
        <f>IF(LEN(COUNTIFS($H$1:H119,$H119,$I$1:I119,$I119,$J$1:J119,$J119,$K$1:K119,K119,$L$1:L119,L119))=1,"00"&amp;COUNTIFS($H$1:H119,$H119,$I$1:I119,$I119,$J$1:J119,$J119,$K$1:K119,K119,$L$1:L119,L119),IF(LEN(COUNTIFS($H$1:H119,$H119,$I$1:I119,$I119,$J$1:J119,$J119,$K$1:K119,K119,$L$1:L119,L119))=2,"0"&amp;COUNTIFS($H$1:H119,$H119,$I$1:I119,$I119,$J$1:J119,$J119,$K$1:K119,K119,$L$1:L119,L119),COUNTIFS($H$1:H119,$H119,$I$1:I119,$I119,$J$1:J119,$J119,$K$1:K119,K119,$L$1:L119,L119)))</f>
        <v>011</v>
      </c>
      <c r="N11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9" s="14" t="e">
        <f>+LEN(Table4[[#This Row],[New Item Code]])</f>
        <v>#N/A</v>
      </c>
      <c r="P119" s="15" t="s">
        <v>4747</v>
      </c>
      <c r="Q119" s="15" t="s">
        <v>4749</v>
      </c>
      <c r="R119" s="15"/>
      <c r="S119" s="15"/>
      <c r="T119" s="15" t="s">
        <v>4679</v>
      </c>
    </row>
    <row r="120" spans="1:20" x14ac:dyDescent="0.35">
      <c r="A120" s="3" t="s">
        <v>245</v>
      </c>
      <c r="B120" s="3" t="s">
        <v>246</v>
      </c>
      <c r="C120" s="3" t="s">
        <v>15</v>
      </c>
      <c r="D120" s="3">
        <v>850</v>
      </c>
      <c r="E120" s="3" t="s">
        <v>57</v>
      </c>
      <c r="F120" s="3">
        <v>1</v>
      </c>
      <c r="G120" s="21">
        <f>Table4[[#This Row],[Item Cost]]*Table4[[#This Row],[In Stock]]</f>
        <v>850</v>
      </c>
      <c r="H120" s="12" t="s">
        <v>4661</v>
      </c>
      <c r="I120" s="13" t="s">
        <v>4666</v>
      </c>
      <c r="J120" s="13" t="s">
        <v>4679</v>
      </c>
      <c r="K120" s="13" t="s">
        <v>4672</v>
      </c>
      <c r="L120" s="12" t="s">
        <v>4672</v>
      </c>
      <c r="M120" s="17" t="str">
        <f>IF(LEN(COUNTIFS($H$1:H120,$H120,$I$1:I120,$I120,$J$1:J120,$J120,$K$1:K120,K120,$L$1:L120,L120))=1,"00"&amp;COUNTIFS($H$1:H120,$H120,$I$1:I120,$I120,$J$1:J120,$J120,$K$1:K120,K120,$L$1:L120,L120),IF(LEN(COUNTIFS($H$1:H120,$H120,$I$1:I120,$I120,$J$1:J120,$J120,$K$1:K120,K120,$L$1:L120,L120))=2,"0"&amp;COUNTIFS($H$1:H120,$H120,$I$1:I120,$I120,$J$1:J120,$J120,$K$1:K120,K120,$L$1:L120,L120),COUNTIFS($H$1:H120,$H120,$I$1:I120,$I120,$J$1:J120,$J120,$K$1:K120,K120,$L$1:L120,L120)))</f>
        <v>012</v>
      </c>
      <c r="N12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0" s="14" t="e">
        <f>+LEN(Table4[[#This Row],[New Item Code]])</f>
        <v>#N/A</v>
      </c>
      <c r="P120" s="15" t="s">
        <v>4747</v>
      </c>
      <c r="Q120" s="15" t="s">
        <v>4749</v>
      </c>
      <c r="R120" s="15"/>
      <c r="S120" s="15"/>
      <c r="T120" s="15" t="s">
        <v>4679</v>
      </c>
    </row>
    <row r="121" spans="1:20" x14ac:dyDescent="0.35">
      <c r="A121" s="2" t="s">
        <v>247</v>
      </c>
      <c r="B121" s="2" t="s">
        <v>248</v>
      </c>
      <c r="C121" s="2" t="s">
        <v>15</v>
      </c>
      <c r="D121" s="2">
        <v>350</v>
      </c>
      <c r="E121" s="2" t="s">
        <v>57</v>
      </c>
      <c r="F121" s="2">
        <v>0</v>
      </c>
      <c r="G121" s="22">
        <f>Table4[[#This Row],[Item Cost]]*Table4[[#This Row],[In Stock]]</f>
        <v>0</v>
      </c>
      <c r="H121" s="12" t="s">
        <v>4661</v>
      </c>
      <c r="I121" s="13" t="s">
        <v>4666</v>
      </c>
      <c r="J121" s="13" t="s">
        <v>4679</v>
      </c>
      <c r="K121" s="13" t="s">
        <v>4672</v>
      </c>
      <c r="L121" s="12" t="s">
        <v>4672</v>
      </c>
      <c r="M121" s="17" t="str">
        <f>IF(LEN(COUNTIFS($H$1:H121,$H121,$I$1:I121,$I121,$J$1:J121,$J121,$K$1:K121,K121,$L$1:L121,L121))=1,"00"&amp;COUNTIFS($H$1:H121,$H121,$I$1:I121,$I121,$J$1:J121,$J121,$K$1:K121,K121,$L$1:L121,L121),IF(LEN(COUNTIFS($H$1:H121,$H121,$I$1:I121,$I121,$J$1:J121,$J121,$K$1:K121,K121,$L$1:L121,L121))=2,"0"&amp;COUNTIFS($H$1:H121,$H121,$I$1:I121,$I121,$J$1:J121,$J121,$K$1:K121,K121,$L$1:L121,L121),COUNTIFS($H$1:H121,$H121,$I$1:I121,$I121,$J$1:J121,$J121,$K$1:K121,K121,$L$1:L121,L121)))</f>
        <v>013</v>
      </c>
      <c r="N12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1" s="14" t="e">
        <f>+LEN(Table4[[#This Row],[New Item Code]])</f>
        <v>#N/A</v>
      </c>
      <c r="P121" s="15" t="s">
        <v>4747</v>
      </c>
      <c r="Q121" s="15" t="s">
        <v>4749</v>
      </c>
      <c r="R121" s="15"/>
      <c r="S121" s="15"/>
      <c r="T121" s="15" t="s">
        <v>4679</v>
      </c>
    </row>
    <row r="122" spans="1:20" x14ac:dyDescent="0.35">
      <c r="A122" s="3" t="s">
        <v>249</v>
      </c>
      <c r="B122" s="3" t="s">
        <v>250</v>
      </c>
      <c r="C122" s="3" t="s">
        <v>15</v>
      </c>
      <c r="D122" s="3">
        <v>355</v>
      </c>
      <c r="E122" s="3" t="s">
        <v>57</v>
      </c>
      <c r="F122" s="3">
        <v>0</v>
      </c>
      <c r="G122" s="21">
        <f>Table4[[#This Row],[Item Cost]]*Table4[[#This Row],[In Stock]]</f>
        <v>0</v>
      </c>
      <c r="H122" s="12" t="s">
        <v>4661</v>
      </c>
      <c r="I122" s="13" t="s">
        <v>4666</v>
      </c>
      <c r="J122" s="13" t="s">
        <v>4679</v>
      </c>
      <c r="K122" s="13" t="s">
        <v>4672</v>
      </c>
      <c r="L122" s="12" t="s">
        <v>4672</v>
      </c>
      <c r="M122" s="17" t="str">
        <f>IF(LEN(COUNTIFS($H$1:H122,$H122,$I$1:I122,$I122,$J$1:J122,$J122,$K$1:K122,K122,$L$1:L122,L122))=1,"00"&amp;COUNTIFS($H$1:H122,$H122,$I$1:I122,$I122,$J$1:J122,$J122,$K$1:K122,K122,$L$1:L122,L122),IF(LEN(COUNTIFS($H$1:H122,$H122,$I$1:I122,$I122,$J$1:J122,$J122,$K$1:K122,K122,$L$1:L122,L122))=2,"0"&amp;COUNTIFS($H$1:H122,$H122,$I$1:I122,$I122,$J$1:J122,$J122,$K$1:K122,K122,$L$1:L122,L122),COUNTIFS($H$1:H122,$H122,$I$1:I122,$I122,$J$1:J122,$J122,$K$1:K122,K122,$L$1:L122,L122)))</f>
        <v>014</v>
      </c>
      <c r="N12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2" s="14" t="e">
        <f>+LEN(Table4[[#This Row],[New Item Code]])</f>
        <v>#N/A</v>
      </c>
      <c r="P122" s="15" t="s">
        <v>4747</v>
      </c>
      <c r="Q122" s="15" t="s">
        <v>4749</v>
      </c>
      <c r="R122" s="15"/>
      <c r="S122" s="15"/>
      <c r="T122" s="15" t="s">
        <v>4679</v>
      </c>
    </row>
    <row r="123" spans="1:20" x14ac:dyDescent="0.35">
      <c r="A123" s="2" t="s">
        <v>251</v>
      </c>
      <c r="B123" s="2" t="s">
        <v>252</v>
      </c>
      <c r="C123" s="2" t="s">
        <v>15</v>
      </c>
      <c r="D123" s="2">
        <v>280</v>
      </c>
      <c r="E123" s="2" t="s">
        <v>57</v>
      </c>
      <c r="F123" s="2">
        <v>0</v>
      </c>
      <c r="G123" s="22">
        <f>Table4[[#This Row],[Item Cost]]*Table4[[#This Row],[In Stock]]</f>
        <v>0</v>
      </c>
      <c r="H123" s="12" t="s">
        <v>4661</v>
      </c>
      <c r="I123" s="13" t="s">
        <v>4666</v>
      </c>
      <c r="J123" s="13" t="s">
        <v>4679</v>
      </c>
      <c r="K123" s="13" t="s">
        <v>4672</v>
      </c>
      <c r="L123" s="12" t="s">
        <v>4672</v>
      </c>
      <c r="M123" s="17" t="str">
        <f>IF(LEN(COUNTIFS($H$1:H123,$H123,$I$1:I123,$I123,$J$1:J123,$J123,$K$1:K123,K123,$L$1:L123,L123))=1,"00"&amp;COUNTIFS($H$1:H123,$H123,$I$1:I123,$I123,$J$1:J123,$J123,$K$1:K123,K123,$L$1:L123,L123),IF(LEN(COUNTIFS($H$1:H123,$H123,$I$1:I123,$I123,$J$1:J123,$J123,$K$1:K123,K123,$L$1:L123,L123))=2,"0"&amp;COUNTIFS($H$1:H123,$H123,$I$1:I123,$I123,$J$1:J123,$J123,$K$1:K123,K123,$L$1:L123,L123),COUNTIFS($H$1:H123,$H123,$I$1:I123,$I123,$J$1:J123,$J123,$K$1:K123,K123,$L$1:L123,L123)))</f>
        <v>015</v>
      </c>
      <c r="N12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3" s="14" t="e">
        <f>+LEN(Table4[[#This Row],[New Item Code]])</f>
        <v>#N/A</v>
      </c>
      <c r="P123" s="15" t="s">
        <v>4747</v>
      </c>
      <c r="Q123" s="15" t="s">
        <v>4749</v>
      </c>
      <c r="R123" s="15"/>
      <c r="S123" s="15"/>
      <c r="T123" s="15" t="s">
        <v>4679</v>
      </c>
    </row>
    <row r="124" spans="1:20" x14ac:dyDescent="0.35">
      <c r="A124" s="3" t="s">
        <v>253</v>
      </c>
      <c r="B124" s="3" t="s">
        <v>254</v>
      </c>
      <c r="C124" s="3" t="s">
        <v>15</v>
      </c>
      <c r="D124" s="3">
        <v>280</v>
      </c>
      <c r="E124" s="3" t="s">
        <v>57</v>
      </c>
      <c r="F124" s="3">
        <v>0</v>
      </c>
      <c r="G124" s="21">
        <f>Table4[[#This Row],[Item Cost]]*Table4[[#This Row],[In Stock]]</f>
        <v>0</v>
      </c>
      <c r="H124" s="12" t="s">
        <v>4661</v>
      </c>
      <c r="I124" s="13" t="s">
        <v>4666</v>
      </c>
      <c r="J124" s="13" t="s">
        <v>4679</v>
      </c>
      <c r="K124" s="13" t="s">
        <v>4672</v>
      </c>
      <c r="L124" s="12" t="s">
        <v>4672</v>
      </c>
      <c r="M124" s="17" t="str">
        <f>IF(LEN(COUNTIFS($H$1:H124,$H124,$I$1:I124,$I124,$J$1:J124,$J124,$K$1:K124,K124,$L$1:L124,L124))=1,"00"&amp;COUNTIFS($H$1:H124,$H124,$I$1:I124,$I124,$J$1:J124,$J124,$K$1:K124,K124,$L$1:L124,L124),IF(LEN(COUNTIFS($H$1:H124,$H124,$I$1:I124,$I124,$J$1:J124,$J124,$K$1:K124,K124,$L$1:L124,L124))=2,"0"&amp;COUNTIFS($H$1:H124,$H124,$I$1:I124,$I124,$J$1:J124,$J124,$K$1:K124,K124,$L$1:L124,L124),COUNTIFS($H$1:H124,$H124,$I$1:I124,$I124,$J$1:J124,$J124,$K$1:K124,K124,$L$1:L124,L124)))</f>
        <v>016</v>
      </c>
      <c r="N12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4" s="14" t="e">
        <f>+LEN(Table4[[#This Row],[New Item Code]])</f>
        <v>#N/A</v>
      </c>
      <c r="P124" s="15" t="s">
        <v>4747</v>
      </c>
      <c r="Q124" s="15" t="s">
        <v>4749</v>
      </c>
      <c r="R124" s="15"/>
      <c r="S124" s="15"/>
      <c r="T124" s="15" t="s">
        <v>4679</v>
      </c>
    </row>
    <row r="125" spans="1:20" x14ac:dyDescent="0.35">
      <c r="A125" s="2" t="s">
        <v>255</v>
      </c>
      <c r="B125" s="2" t="s">
        <v>256</v>
      </c>
      <c r="C125" s="2" t="s">
        <v>15</v>
      </c>
      <c r="D125" s="4">
        <v>3900</v>
      </c>
      <c r="E125" s="2" t="s">
        <v>57</v>
      </c>
      <c r="F125" s="2">
        <v>1</v>
      </c>
      <c r="G125" s="22">
        <f>Table4[[#This Row],[Item Cost]]*Table4[[#This Row],[In Stock]]</f>
        <v>3900</v>
      </c>
      <c r="H125" s="12" t="s">
        <v>4661</v>
      </c>
      <c r="I125" s="13" t="s">
        <v>4666</v>
      </c>
      <c r="J125" s="13" t="s">
        <v>4679</v>
      </c>
      <c r="K125" s="13" t="s">
        <v>4672</v>
      </c>
      <c r="L125" s="12" t="s">
        <v>4672</v>
      </c>
      <c r="M125" s="17" t="str">
        <f>IF(LEN(COUNTIFS($H$1:H125,$H125,$I$1:I125,$I125,$J$1:J125,$J125,$K$1:K125,K125,$L$1:L125,L125))=1,"00"&amp;COUNTIFS($H$1:H125,$H125,$I$1:I125,$I125,$J$1:J125,$J125,$K$1:K125,K125,$L$1:L125,L125),IF(LEN(COUNTIFS($H$1:H125,$H125,$I$1:I125,$I125,$J$1:J125,$J125,$K$1:K125,K125,$L$1:L125,L125))=2,"0"&amp;COUNTIFS($H$1:H125,$H125,$I$1:I125,$I125,$J$1:J125,$J125,$K$1:K125,K125,$L$1:L125,L125),COUNTIFS($H$1:H125,$H125,$I$1:I125,$I125,$J$1:J125,$J125,$K$1:K125,K125,$L$1:L125,L125)))</f>
        <v>017</v>
      </c>
      <c r="N12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5" s="14" t="e">
        <f>+LEN(Table4[[#This Row],[New Item Code]])</f>
        <v>#N/A</v>
      </c>
      <c r="P125" s="15" t="s">
        <v>4747</v>
      </c>
      <c r="Q125" s="15" t="s">
        <v>4749</v>
      </c>
      <c r="R125" s="15"/>
      <c r="S125" s="15"/>
      <c r="T125" s="15" t="s">
        <v>4679</v>
      </c>
    </row>
    <row r="126" spans="1:20" x14ac:dyDescent="0.35">
      <c r="A126" s="3" t="s">
        <v>257</v>
      </c>
      <c r="B126" s="3" t="s">
        <v>258</v>
      </c>
      <c r="C126" s="3" t="s">
        <v>15</v>
      </c>
      <c r="D126" s="5">
        <v>3900</v>
      </c>
      <c r="E126" s="3" t="s">
        <v>57</v>
      </c>
      <c r="F126" s="3">
        <v>1</v>
      </c>
      <c r="G126" s="21">
        <f>Table4[[#This Row],[Item Cost]]*Table4[[#This Row],[In Stock]]</f>
        <v>3900</v>
      </c>
      <c r="H126" s="12" t="s">
        <v>4661</v>
      </c>
      <c r="I126" s="13" t="s">
        <v>4666</v>
      </c>
      <c r="J126" s="13" t="s">
        <v>4679</v>
      </c>
      <c r="K126" s="13" t="s">
        <v>4672</v>
      </c>
      <c r="L126" s="12" t="s">
        <v>4672</v>
      </c>
      <c r="M126" s="17" t="str">
        <f>IF(LEN(COUNTIFS($H$1:H126,$H126,$I$1:I126,$I126,$J$1:J126,$J126,$K$1:K126,K126,$L$1:L126,L126))=1,"00"&amp;COUNTIFS($H$1:H126,$H126,$I$1:I126,$I126,$J$1:J126,$J126,$K$1:K126,K126,$L$1:L126,L126),IF(LEN(COUNTIFS($H$1:H126,$H126,$I$1:I126,$I126,$J$1:J126,$J126,$K$1:K126,K126,$L$1:L126,L126))=2,"0"&amp;COUNTIFS($H$1:H126,$H126,$I$1:I126,$I126,$J$1:J126,$J126,$K$1:K126,K126,$L$1:L126,L126),COUNTIFS($H$1:H126,$H126,$I$1:I126,$I126,$J$1:J126,$J126,$K$1:K126,K126,$L$1:L126,L126)))</f>
        <v>018</v>
      </c>
      <c r="N12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6" s="14" t="e">
        <f>+LEN(Table4[[#This Row],[New Item Code]])</f>
        <v>#N/A</v>
      </c>
      <c r="P126" s="15" t="s">
        <v>4747</v>
      </c>
      <c r="Q126" s="15" t="s">
        <v>4749</v>
      </c>
      <c r="R126" s="15"/>
      <c r="S126" s="15"/>
      <c r="T126" s="15" t="s">
        <v>4679</v>
      </c>
    </row>
    <row r="127" spans="1:20" x14ac:dyDescent="0.35">
      <c r="A127" s="2" t="s">
        <v>259</v>
      </c>
      <c r="B127" s="2" t="s">
        <v>260</v>
      </c>
      <c r="C127" s="2" t="s">
        <v>15</v>
      </c>
      <c r="D127" s="4">
        <v>4500</v>
      </c>
      <c r="E127" s="2" t="s">
        <v>57</v>
      </c>
      <c r="F127" s="2">
        <v>1</v>
      </c>
      <c r="G127" s="22">
        <f>Table4[[#This Row],[Item Cost]]*Table4[[#This Row],[In Stock]]</f>
        <v>4500</v>
      </c>
      <c r="H127" s="12" t="s">
        <v>4661</v>
      </c>
      <c r="I127" s="13" t="s">
        <v>4666</v>
      </c>
      <c r="J127" s="13" t="s">
        <v>4679</v>
      </c>
      <c r="K127" s="13" t="s">
        <v>4672</v>
      </c>
      <c r="L127" s="12" t="s">
        <v>4672</v>
      </c>
      <c r="M127" s="17" t="str">
        <f>IF(LEN(COUNTIFS($H$1:H127,$H127,$I$1:I127,$I127,$J$1:J127,$J127,$K$1:K127,K127,$L$1:L127,L127))=1,"00"&amp;COUNTIFS($H$1:H127,$H127,$I$1:I127,$I127,$J$1:J127,$J127,$K$1:K127,K127,$L$1:L127,L127),IF(LEN(COUNTIFS($H$1:H127,$H127,$I$1:I127,$I127,$J$1:J127,$J127,$K$1:K127,K127,$L$1:L127,L127))=2,"0"&amp;COUNTIFS($H$1:H127,$H127,$I$1:I127,$I127,$J$1:J127,$J127,$K$1:K127,K127,$L$1:L127,L127),COUNTIFS($H$1:H127,$H127,$I$1:I127,$I127,$J$1:J127,$J127,$K$1:K127,K127,$L$1:L127,L127)))</f>
        <v>019</v>
      </c>
      <c r="N12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7" s="14" t="e">
        <f>+LEN(Table4[[#This Row],[New Item Code]])</f>
        <v>#N/A</v>
      </c>
      <c r="P127" s="15" t="s">
        <v>4747</v>
      </c>
      <c r="Q127" s="15" t="s">
        <v>4749</v>
      </c>
      <c r="R127" s="15"/>
      <c r="S127" s="15"/>
      <c r="T127" s="15" t="s">
        <v>4679</v>
      </c>
    </row>
    <row r="128" spans="1:20" x14ac:dyDescent="0.35">
      <c r="A128" s="3" t="s">
        <v>261</v>
      </c>
      <c r="B128" s="3" t="s">
        <v>262</v>
      </c>
      <c r="C128" s="3" t="s">
        <v>15</v>
      </c>
      <c r="D128" s="3">
        <v>260</v>
      </c>
      <c r="E128" s="3" t="s">
        <v>57</v>
      </c>
      <c r="F128" s="3">
        <v>1</v>
      </c>
      <c r="G128" s="21">
        <f>Table4[[#This Row],[Item Cost]]*Table4[[#This Row],[In Stock]]</f>
        <v>260</v>
      </c>
      <c r="H128" s="12" t="s">
        <v>4661</v>
      </c>
      <c r="I128" s="13" t="s">
        <v>4666</v>
      </c>
      <c r="J128" s="13" t="s">
        <v>4679</v>
      </c>
      <c r="K128" s="13" t="s">
        <v>4672</v>
      </c>
      <c r="L128" s="12" t="s">
        <v>4672</v>
      </c>
      <c r="M128" s="17" t="str">
        <f>IF(LEN(COUNTIFS($H$1:H128,$H128,$I$1:I128,$I128,$J$1:J128,$J128,$K$1:K128,K128,$L$1:L128,L128))=1,"00"&amp;COUNTIFS($H$1:H128,$H128,$I$1:I128,$I128,$J$1:J128,$J128,$K$1:K128,K128,$L$1:L128,L128),IF(LEN(COUNTIFS($H$1:H128,$H128,$I$1:I128,$I128,$J$1:J128,$J128,$K$1:K128,K128,$L$1:L128,L128))=2,"0"&amp;COUNTIFS($H$1:H128,$H128,$I$1:I128,$I128,$J$1:J128,$J128,$K$1:K128,K128,$L$1:L128,L128),COUNTIFS($H$1:H128,$H128,$I$1:I128,$I128,$J$1:J128,$J128,$K$1:K128,K128,$L$1:L128,L128)))</f>
        <v>020</v>
      </c>
      <c r="N12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8" s="14" t="e">
        <f>+LEN(Table4[[#This Row],[New Item Code]])</f>
        <v>#N/A</v>
      </c>
      <c r="P128" s="15" t="s">
        <v>4747</v>
      </c>
      <c r="Q128" s="15" t="s">
        <v>4749</v>
      </c>
      <c r="R128" s="15"/>
      <c r="S128" s="15"/>
      <c r="T128" s="15" t="s">
        <v>4679</v>
      </c>
    </row>
    <row r="129" spans="1:20" x14ac:dyDescent="0.35">
      <c r="A129" s="2" t="s">
        <v>263</v>
      </c>
      <c r="B129" s="2" t="s">
        <v>264</v>
      </c>
      <c r="C129" s="2" t="s">
        <v>15</v>
      </c>
      <c r="D129" s="2">
        <v>850</v>
      </c>
      <c r="E129" s="2" t="s">
        <v>57</v>
      </c>
      <c r="F129" s="2">
        <v>1</v>
      </c>
      <c r="G129" s="22">
        <f>Table4[[#This Row],[Item Cost]]*Table4[[#This Row],[In Stock]]</f>
        <v>850</v>
      </c>
      <c r="H129" s="12" t="s">
        <v>4661</v>
      </c>
      <c r="I129" s="13" t="s">
        <v>4666</v>
      </c>
      <c r="J129" s="13" t="s">
        <v>4679</v>
      </c>
      <c r="K129" s="13" t="s">
        <v>4672</v>
      </c>
      <c r="L129" s="12" t="s">
        <v>4672</v>
      </c>
      <c r="M129" s="17" t="str">
        <f>IF(LEN(COUNTIFS($H$1:H129,$H129,$I$1:I129,$I129,$J$1:J129,$J129,$K$1:K129,K129,$L$1:L129,L129))=1,"00"&amp;COUNTIFS($H$1:H129,$H129,$I$1:I129,$I129,$J$1:J129,$J129,$K$1:K129,K129,$L$1:L129,L129),IF(LEN(COUNTIFS($H$1:H129,$H129,$I$1:I129,$I129,$J$1:J129,$J129,$K$1:K129,K129,$L$1:L129,L129))=2,"0"&amp;COUNTIFS($H$1:H129,$H129,$I$1:I129,$I129,$J$1:J129,$J129,$K$1:K129,K129,$L$1:L129,L129),COUNTIFS($H$1:H129,$H129,$I$1:I129,$I129,$J$1:J129,$J129,$K$1:K129,K129,$L$1:L129,L129)))</f>
        <v>021</v>
      </c>
      <c r="N12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9" s="14" t="e">
        <f>+LEN(Table4[[#This Row],[New Item Code]])</f>
        <v>#N/A</v>
      </c>
      <c r="P129" s="15" t="s">
        <v>4747</v>
      </c>
      <c r="Q129" s="15" t="s">
        <v>4749</v>
      </c>
      <c r="R129" s="15"/>
      <c r="S129" s="15"/>
      <c r="T129" s="15" t="s">
        <v>4679</v>
      </c>
    </row>
    <row r="130" spans="1:20" x14ac:dyDescent="0.35">
      <c r="A130" s="3" t="s">
        <v>265</v>
      </c>
      <c r="B130" s="3" t="s">
        <v>266</v>
      </c>
      <c r="C130" s="3" t="s">
        <v>15</v>
      </c>
      <c r="D130" s="3">
        <v>0</v>
      </c>
      <c r="E130" s="3" t="s">
        <v>57</v>
      </c>
      <c r="F130" s="3">
        <v>0</v>
      </c>
      <c r="G130" s="21">
        <f>Table4[[#This Row],[Item Cost]]*Table4[[#This Row],[In Stock]]</f>
        <v>0</v>
      </c>
      <c r="H130" s="12" t="s">
        <v>4661</v>
      </c>
      <c r="I130" s="13" t="s">
        <v>4666</v>
      </c>
      <c r="J130" s="13"/>
      <c r="K130" s="13" t="s">
        <v>4672</v>
      </c>
      <c r="L130" s="12" t="s">
        <v>4672</v>
      </c>
      <c r="M130" s="17" t="str">
        <f>IF(LEN(COUNTIFS($H$1:H130,$H130,$I$1:I130,$I130,$J$1:J130,$J130,$K$1:K130,K130,$L$1:L130,L130))=1,"00"&amp;COUNTIFS($H$1:H130,$H130,$I$1:I130,$I130,$J$1:J130,$J130,$K$1:K130,K130,$L$1:L130,L130),IF(LEN(COUNTIFS($H$1:H130,$H130,$I$1:I130,$I130,$J$1:J130,$J130,$K$1:K130,K130,$L$1:L130,L130))=2,"0"&amp;COUNTIFS($H$1:H130,$H130,$I$1:I130,$I130,$J$1:J130,$J130,$K$1:K130,K130,$L$1:L130,L130),COUNTIFS($H$1:H130,$H130,$I$1:I130,$I130,$J$1:J130,$J130,$K$1:K130,K130,$L$1:L130,L130)))</f>
        <v>000</v>
      </c>
      <c r="N13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0" s="14" t="e">
        <f>+LEN(Table4[[#This Row],[New Item Code]])</f>
        <v>#N/A</v>
      </c>
      <c r="P130" s="15" t="s">
        <v>4747</v>
      </c>
      <c r="Q130" s="15" t="s">
        <v>4749</v>
      </c>
      <c r="R130" s="15"/>
      <c r="S130" s="15"/>
      <c r="T130" s="15" t="e">
        <v>#N/A</v>
      </c>
    </row>
    <row r="131" spans="1:20" x14ac:dyDescent="0.35">
      <c r="A131" s="2" t="s">
        <v>267</v>
      </c>
      <c r="B131" s="2" t="s">
        <v>268</v>
      </c>
      <c r="C131" s="2" t="s">
        <v>15</v>
      </c>
      <c r="D131" s="2">
        <v>0</v>
      </c>
      <c r="E131" s="2" t="s">
        <v>57</v>
      </c>
      <c r="F131" s="2">
        <v>0</v>
      </c>
      <c r="G131" s="22">
        <f>Table4[[#This Row],[Item Cost]]*Table4[[#This Row],[In Stock]]</f>
        <v>0</v>
      </c>
      <c r="H131" s="12" t="s">
        <v>4661</v>
      </c>
      <c r="I131" s="13" t="s">
        <v>4666</v>
      </c>
      <c r="J131" s="13"/>
      <c r="K131" s="13" t="s">
        <v>4672</v>
      </c>
      <c r="L131" s="12" t="s">
        <v>4672</v>
      </c>
      <c r="M131" s="17" t="str">
        <f>IF(LEN(COUNTIFS($H$1:H131,$H131,$I$1:I131,$I131,$J$1:J131,$J131,$K$1:K131,K131,$L$1:L131,L131))=1,"00"&amp;COUNTIFS($H$1:H131,$H131,$I$1:I131,$I131,$J$1:J131,$J131,$K$1:K131,K131,$L$1:L131,L131),IF(LEN(COUNTIFS($H$1:H131,$H131,$I$1:I131,$I131,$J$1:J131,$J131,$K$1:K131,K131,$L$1:L131,L131))=2,"0"&amp;COUNTIFS($H$1:H131,$H131,$I$1:I131,$I131,$J$1:J131,$J131,$K$1:K131,K131,$L$1:L131,L131),COUNTIFS($H$1:H131,$H131,$I$1:I131,$I131,$J$1:J131,$J131,$K$1:K131,K131,$L$1:L131,L131)))</f>
        <v>000</v>
      </c>
      <c r="N13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1" s="14" t="e">
        <f>+LEN(Table4[[#This Row],[New Item Code]])</f>
        <v>#N/A</v>
      </c>
      <c r="P131" s="15" t="s">
        <v>4747</v>
      </c>
      <c r="Q131" s="15" t="s">
        <v>4749</v>
      </c>
      <c r="R131" s="15"/>
      <c r="S131" s="15"/>
      <c r="T131" s="15" t="e">
        <v>#N/A</v>
      </c>
    </row>
    <row r="132" spans="1:20" x14ac:dyDescent="0.35">
      <c r="A132" s="3" t="s">
        <v>269</v>
      </c>
      <c r="B132" s="3" t="s">
        <v>270</v>
      </c>
      <c r="C132" s="3" t="s">
        <v>15</v>
      </c>
      <c r="D132" s="3">
        <v>0</v>
      </c>
      <c r="E132" s="3" t="s">
        <v>57</v>
      </c>
      <c r="F132" s="3">
        <v>0</v>
      </c>
      <c r="G132" s="21">
        <f>Table4[[#This Row],[Item Cost]]*Table4[[#This Row],[In Stock]]</f>
        <v>0</v>
      </c>
      <c r="H132" s="12" t="s">
        <v>4661</v>
      </c>
      <c r="I132" s="13" t="s">
        <v>4666</v>
      </c>
      <c r="J132" s="13"/>
      <c r="K132" s="13" t="s">
        <v>4672</v>
      </c>
      <c r="L132" s="12" t="s">
        <v>4672</v>
      </c>
      <c r="M132" s="17" t="str">
        <f>IF(LEN(COUNTIFS($H$1:H132,$H132,$I$1:I132,$I132,$J$1:J132,$J132,$K$1:K132,K132,$L$1:L132,L132))=1,"00"&amp;COUNTIFS($H$1:H132,$H132,$I$1:I132,$I132,$J$1:J132,$J132,$K$1:K132,K132,$L$1:L132,L132),IF(LEN(COUNTIFS($H$1:H132,$H132,$I$1:I132,$I132,$J$1:J132,$J132,$K$1:K132,K132,$L$1:L132,L132))=2,"0"&amp;COUNTIFS($H$1:H132,$H132,$I$1:I132,$I132,$J$1:J132,$J132,$K$1:K132,K132,$L$1:L132,L132),COUNTIFS($H$1:H132,$H132,$I$1:I132,$I132,$J$1:J132,$J132,$K$1:K132,K132,$L$1:L132,L132)))</f>
        <v>000</v>
      </c>
      <c r="N13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2" s="14" t="e">
        <f>+LEN(Table4[[#This Row],[New Item Code]])</f>
        <v>#N/A</v>
      </c>
      <c r="P132" s="15" t="s">
        <v>4747</v>
      </c>
      <c r="Q132" s="15" t="s">
        <v>4749</v>
      </c>
      <c r="R132" s="15"/>
      <c r="S132" s="15"/>
      <c r="T132" s="15" t="e">
        <v>#N/A</v>
      </c>
    </row>
    <row r="133" spans="1:20" x14ac:dyDescent="0.35">
      <c r="A133" s="2" t="s">
        <v>271</v>
      </c>
      <c r="B133" s="2" t="s">
        <v>272</v>
      </c>
      <c r="C133" s="2" t="s">
        <v>15</v>
      </c>
      <c r="D133" s="2">
        <v>0</v>
      </c>
      <c r="E133" s="2" t="s">
        <v>57</v>
      </c>
      <c r="F133" s="2">
        <v>0</v>
      </c>
      <c r="G133" s="22">
        <f>Table4[[#This Row],[Item Cost]]*Table4[[#This Row],[In Stock]]</f>
        <v>0</v>
      </c>
      <c r="H133" s="12" t="s">
        <v>4661</v>
      </c>
      <c r="I133" s="13" t="s">
        <v>4666</v>
      </c>
      <c r="J133" s="13"/>
      <c r="K133" s="13" t="s">
        <v>4672</v>
      </c>
      <c r="L133" s="12" t="s">
        <v>4672</v>
      </c>
      <c r="M133" s="17" t="str">
        <f>IF(LEN(COUNTIFS($H$1:H133,$H133,$I$1:I133,$I133,$J$1:J133,$J133,$K$1:K133,K133,$L$1:L133,L133))=1,"00"&amp;COUNTIFS($H$1:H133,$H133,$I$1:I133,$I133,$J$1:J133,$J133,$K$1:K133,K133,$L$1:L133,L133),IF(LEN(COUNTIFS($H$1:H133,$H133,$I$1:I133,$I133,$J$1:J133,$J133,$K$1:K133,K133,$L$1:L133,L133))=2,"0"&amp;COUNTIFS($H$1:H133,$H133,$I$1:I133,$I133,$J$1:J133,$J133,$K$1:K133,K133,$L$1:L133,L133),COUNTIFS($H$1:H133,$H133,$I$1:I133,$I133,$J$1:J133,$J133,$K$1:K133,K133,$L$1:L133,L133)))</f>
        <v>000</v>
      </c>
      <c r="N13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3" s="14" t="e">
        <f>+LEN(Table4[[#This Row],[New Item Code]])</f>
        <v>#N/A</v>
      </c>
      <c r="P133" s="15" t="s">
        <v>4747</v>
      </c>
      <c r="Q133" s="15" t="s">
        <v>4749</v>
      </c>
      <c r="R133" s="15"/>
      <c r="S133" s="15"/>
      <c r="T133" s="15" t="e">
        <v>#N/A</v>
      </c>
    </row>
    <row r="134" spans="1:20" x14ac:dyDescent="0.35">
      <c r="A134" s="3" t="s">
        <v>273</v>
      </c>
      <c r="B134" s="3" t="s">
        <v>274</v>
      </c>
      <c r="C134" s="3" t="s">
        <v>15</v>
      </c>
      <c r="D134" s="3">
        <v>0</v>
      </c>
      <c r="E134" s="3" t="s">
        <v>57</v>
      </c>
      <c r="F134" s="3">
        <v>0</v>
      </c>
      <c r="G134" s="21">
        <f>Table4[[#This Row],[Item Cost]]*Table4[[#This Row],[In Stock]]</f>
        <v>0</v>
      </c>
      <c r="H134" s="12" t="s">
        <v>4661</v>
      </c>
      <c r="I134" s="13" t="s">
        <v>4666</v>
      </c>
      <c r="J134" s="13"/>
      <c r="K134" s="13" t="s">
        <v>4672</v>
      </c>
      <c r="L134" s="12" t="s">
        <v>4672</v>
      </c>
      <c r="M134" s="17" t="str">
        <f>IF(LEN(COUNTIFS($H$1:H134,$H134,$I$1:I134,$I134,$J$1:J134,$J134,$K$1:K134,K134,$L$1:L134,L134))=1,"00"&amp;COUNTIFS($H$1:H134,$H134,$I$1:I134,$I134,$J$1:J134,$J134,$K$1:K134,K134,$L$1:L134,L134),IF(LEN(COUNTIFS($H$1:H134,$H134,$I$1:I134,$I134,$J$1:J134,$J134,$K$1:K134,K134,$L$1:L134,L134))=2,"0"&amp;COUNTIFS($H$1:H134,$H134,$I$1:I134,$I134,$J$1:J134,$J134,$K$1:K134,K134,$L$1:L134,L134),COUNTIFS($H$1:H134,$H134,$I$1:I134,$I134,$J$1:J134,$J134,$K$1:K134,K134,$L$1:L134,L134)))</f>
        <v>000</v>
      </c>
      <c r="N13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4" s="14" t="e">
        <f>+LEN(Table4[[#This Row],[New Item Code]])</f>
        <v>#N/A</v>
      </c>
      <c r="P134" s="15" t="s">
        <v>4747</v>
      </c>
      <c r="Q134" s="15" t="s">
        <v>4749</v>
      </c>
      <c r="R134" s="15"/>
      <c r="S134" s="15"/>
      <c r="T134" s="15" t="e">
        <v>#N/A</v>
      </c>
    </row>
    <row r="135" spans="1:20" x14ac:dyDescent="0.35">
      <c r="A135" s="2" t="s">
        <v>275</v>
      </c>
      <c r="B135" s="2" t="s">
        <v>276</v>
      </c>
      <c r="C135" s="2" t="s">
        <v>15</v>
      </c>
      <c r="D135" s="2">
        <v>0</v>
      </c>
      <c r="E135" s="2" t="s">
        <v>57</v>
      </c>
      <c r="F135" s="2">
        <v>0</v>
      </c>
      <c r="G135" s="22">
        <f>Table4[[#This Row],[Item Cost]]*Table4[[#This Row],[In Stock]]</f>
        <v>0</v>
      </c>
      <c r="H135" s="12" t="s">
        <v>4661</v>
      </c>
      <c r="I135" s="13" t="s">
        <v>4666</v>
      </c>
      <c r="J135" s="13"/>
      <c r="K135" s="13" t="s">
        <v>4672</v>
      </c>
      <c r="L135" s="12" t="s">
        <v>4672</v>
      </c>
      <c r="M135" s="17" t="str">
        <f>IF(LEN(COUNTIFS($H$1:H135,$H135,$I$1:I135,$I135,$J$1:J135,$J135,$K$1:K135,K135,$L$1:L135,L135))=1,"00"&amp;COUNTIFS($H$1:H135,$H135,$I$1:I135,$I135,$J$1:J135,$J135,$K$1:K135,K135,$L$1:L135,L135),IF(LEN(COUNTIFS($H$1:H135,$H135,$I$1:I135,$I135,$J$1:J135,$J135,$K$1:K135,K135,$L$1:L135,L135))=2,"0"&amp;COUNTIFS($H$1:H135,$H135,$I$1:I135,$I135,$J$1:J135,$J135,$K$1:K135,K135,$L$1:L135,L135),COUNTIFS($H$1:H135,$H135,$I$1:I135,$I135,$J$1:J135,$J135,$K$1:K135,K135,$L$1:L135,L135)))</f>
        <v>000</v>
      </c>
      <c r="N13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5" s="14" t="e">
        <f>+LEN(Table4[[#This Row],[New Item Code]])</f>
        <v>#N/A</v>
      </c>
      <c r="P135" s="15" t="s">
        <v>4747</v>
      </c>
      <c r="Q135" s="15" t="s">
        <v>4749</v>
      </c>
      <c r="R135" s="15"/>
      <c r="S135" s="15"/>
      <c r="T135" s="15" t="e">
        <v>#N/A</v>
      </c>
    </row>
    <row r="136" spans="1:20" x14ac:dyDescent="0.35">
      <c r="A136" s="3" t="s">
        <v>277</v>
      </c>
      <c r="B136" s="3" t="s">
        <v>278</v>
      </c>
      <c r="C136" s="3" t="s">
        <v>15</v>
      </c>
      <c r="D136" s="3">
        <v>0</v>
      </c>
      <c r="E136" s="3" t="s">
        <v>57</v>
      </c>
      <c r="F136" s="3">
        <v>0</v>
      </c>
      <c r="G136" s="21">
        <f>Table4[[#This Row],[Item Cost]]*Table4[[#This Row],[In Stock]]</f>
        <v>0</v>
      </c>
      <c r="H136" s="12" t="s">
        <v>4661</v>
      </c>
      <c r="I136" s="13" t="s">
        <v>4666</v>
      </c>
      <c r="J136" s="13"/>
      <c r="K136" s="13" t="s">
        <v>4672</v>
      </c>
      <c r="L136" s="12" t="s">
        <v>4672</v>
      </c>
      <c r="M136" s="17" t="str">
        <f>IF(LEN(COUNTIFS($H$1:H136,$H136,$I$1:I136,$I136,$J$1:J136,$J136,$K$1:K136,K136,$L$1:L136,L136))=1,"00"&amp;COUNTIFS($H$1:H136,$H136,$I$1:I136,$I136,$J$1:J136,$J136,$K$1:K136,K136,$L$1:L136,L136),IF(LEN(COUNTIFS($H$1:H136,$H136,$I$1:I136,$I136,$J$1:J136,$J136,$K$1:K136,K136,$L$1:L136,L136))=2,"0"&amp;COUNTIFS($H$1:H136,$H136,$I$1:I136,$I136,$J$1:J136,$J136,$K$1:K136,K136,$L$1:L136,L136),COUNTIFS($H$1:H136,$H136,$I$1:I136,$I136,$J$1:J136,$J136,$K$1:K136,K136,$L$1:L136,L136)))</f>
        <v>000</v>
      </c>
      <c r="N13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6" s="14" t="e">
        <f>+LEN(Table4[[#This Row],[New Item Code]])</f>
        <v>#N/A</v>
      </c>
      <c r="P136" s="15" t="s">
        <v>4747</v>
      </c>
      <c r="Q136" s="15" t="s">
        <v>4749</v>
      </c>
      <c r="R136" s="15"/>
      <c r="S136" s="15"/>
      <c r="T136" s="15" t="e">
        <v>#N/A</v>
      </c>
    </row>
    <row r="137" spans="1:20" x14ac:dyDescent="0.35">
      <c r="A137" s="2" t="s">
        <v>279</v>
      </c>
      <c r="B137" s="2" t="s">
        <v>280</v>
      </c>
      <c r="C137" s="2" t="s">
        <v>15</v>
      </c>
      <c r="D137" s="2">
        <v>0</v>
      </c>
      <c r="E137" s="2" t="s">
        <v>57</v>
      </c>
      <c r="F137" s="2">
        <v>0</v>
      </c>
      <c r="G137" s="22">
        <f>Table4[[#This Row],[Item Cost]]*Table4[[#This Row],[In Stock]]</f>
        <v>0</v>
      </c>
      <c r="H137" s="12" t="s">
        <v>4661</v>
      </c>
      <c r="I137" s="13" t="s">
        <v>4666</v>
      </c>
      <c r="J137" s="13"/>
      <c r="K137" s="13" t="s">
        <v>4672</v>
      </c>
      <c r="L137" s="12" t="s">
        <v>4672</v>
      </c>
      <c r="M137" s="17" t="str">
        <f>IF(LEN(COUNTIFS($H$1:H137,$H137,$I$1:I137,$I137,$J$1:J137,$J137,$K$1:K137,K137,$L$1:L137,L137))=1,"00"&amp;COUNTIFS($H$1:H137,$H137,$I$1:I137,$I137,$J$1:J137,$J137,$K$1:K137,K137,$L$1:L137,L137),IF(LEN(COUNTIFS($H$1:H137,$H137,$I$1:I137,$I137,$J$1:J137,$J137,$K$1:K137,K137,$L$1:L137,L137))=2,"0"&amp;COUNTIFS($H$1:H137,$H137,$I$1:I137,$I137,$J$1:J137,$J137,$K$1:K137,K137,$L$1:L137,L137),COUNTIFS($H$1:H137,$H137,$I$1:I137,$I137,$J$1:J137,$J137,$K$1:K137,K137,$L$1:L137,L137)))</f>
        <v>000</v>
      </c>
      <c r="N13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7" s="14" t="e">
        <f>+LEN(Table4[[#This Row],[New Item Code]])</f>
        <v>#N/A</v>
      </c>
      <c r="P137" s="15" t="s">
        <v>4747</v>
      </c>
      <c r="Q137" s="15" t="s">
        <v>4749</v>
      </c>
      <c r="R137" s="15"/>
      <c r="S137" s="15"/>
      <c r="T137" s="15" t="e">
        <v>#N/A</v>
      </c>
    </row>
    <row r="138" spans="1:20" x14ac:dyDescent="0.35">
      <c r="A138" s="3" t="s">
        <v>281</v>
      </c>
      <c r="B138" s="3" t="s">
        <v>282</v>
      </c>
      <c r="C138" s="3" t="s">
        <v>15</v>
      </c>
      <c r="D138" s="3">
        <v>0</v>
      </c>
      <c r="E138" s="3" t="s">
        <v>57</v>
      </c>
      <c r="F138" s="3">
        <v>0</v>
      </c>
      <c r="G138" s="21">
        <f>Table4[[#This Row],[Item Cost]]*Table4[[#This Row],[In Stock]]</f>
        <v>0</v>
      </c>
      <c r="H138" s="12" t="s">
        <v>4661</v>
      </c>
      <c r="I138" s="13" t="s">
        <v>4666</v>
      </c>
      <c r="J138" s="13"/>
      <c r="K138" s="13" t="s">
        <v>4672</v>
      </c>
      <c r="L138" s="12" t="s">
        <v>4672</v>
      </c>
      <c r="M138" s="17" t="str">
        <f>IF(LEN(COUNTIFS($H$1:H138,$H138,$I$1:I138,$I138,$J$1:J138,$J138,$K$1:K138,K138,$L$1:L138,L138))=1,"00"&amp;COUNTIFS($H$1:H138,$H138,$I$1:I138,$I138,$J$1:J138,$J138,$K$1:K138,K138,$L$1:L138,L138),IF(LEN(COUNTIFS($H$1:H138,$H138,$I$1:I138,$I138,$J$1:J138,$J138,$K$1:K138,K138,$L$1:L138,L138))=2,"0"&amp;COUNTIFS($H$1:H138,$H138,$I$1:I138,$I138,$J$1:J138,$J138,$K$1:K138,K138,$L$1:L138,L138),COUNTIFS($H$1:H138,$H138,$I$1:I138,$I138,$J$1:J138,$J138,$K$1:K138,K138,$L$1:L138,L138)))</f>
        <v>000</v>
      </c>
      <c r="N13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8" s="14" t="e">
        <f>+LEN(Table4[[#This Row],[New Item Code]])</f>
        <v>#N/A</v>
      </c>
      <c r="P138" s="15" t="s">
        <v>4747</v>
      </c>
      <c r="Q138" s="15" t="s">
        <v>4749</v>
      </c>
      <c r="R138" s="15"/>
      <c r="S138" s="15"/>
      <c r="T138" s="15" t="e">
        <v>#N/A</v>
      </c>
    </row>
    <row r="139" spans="1:20" x14ac:dyDescent="0.35">
      <c r="A139" s="2" t="s">
        <v>283</v>
      </c>
      <c r="B139" s="2" t="s">
        <v>284</v>
      </c>
      <c r="C139" s="2" t="s">
        <v>15</v>
      </c>
      <c r="D139" s="4">
        <v>6050</v>
      </c>
      <c r="E139" s="2" t="s">
        <v>10</v>
      </c>
      <c r="F139" s="2">
        <v>1</v>
      </c>
      <c r="G139" s="22">
        <f>Table4[[#This Row],[Item Cost]]*Table4[[#This Row],[In Stock]]</f>
        <v>6050</v>
      </c>
      <c r="H139" s="12" t="s">
        <v>4661</v>
      </c>
      <c r="I139" s="13" t="s">
        <v>4666</v>
      </c>
      <c r="J139" s="13"/>
      <c r="K139" s="7" t="s">
        <v>4771</v>
      </c>
      <c r="L139" s="12" t="s">
        <v>4672</v>
      </c>
      <c r="M139" s="17" t="str">
        <f>IF(LEN(COUNTIFS($H$1:H139,$H139,$I$1:I139,$I139,$J$1:J139,$J139,$K$1:K139,K139,$L$1:L139,L139))=1,"00"&amp;COUNTIFS($H$1:H139,$H139,$I$1:I139,$I139,$J$1:J139,$J139,$K$1:K139,K139,$L$1:L139,L139),IF(LEN(COUNTIFS($H$1:H139,$H139,$I$1:I139,$I139,$J$1:J139,$J139,$K$1:K139,K139,$L$1:L139,L139))=2,"0"&amp;COUNTIFS($H$1:H139,$H139,$I$1:I139,$I139,$J$1:J139,$J139,$K$1:K139,K139,$L$1:L139,L139),COUNTIFS($H$1:H139,$H139,$I$1:I139,$I139,$J$1:J139,$J139,$K$1:K139,K139,$L$1:L139,L139)))</f>
        <v>000</v>
      </c>
      <c r="N13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9" s="14" t="e">
        <f>+LEN(Table4[[#This Row],[New Item Code]])</f>
        <v>#N/A</v>
      </c>
      <c r="P139" s="15" t="s">
        <v>4747</v>
      </c>
      <c r="Q139" s="15" t="s">
        <v>4749</v>
      </c>
      <c r="R139" s="15"/>
      <c r="S139" s="15"/>
      <c r="T139" s="15" t="e">
        <v>#N/A</v>
      </c>
    </row>
    <row r="140" spans="1:20" x14ac:dyDescent="0.35">
      <c r="A140" s="3" t="s">
        <v>285</v>
      </c>
      <c r="B140" s="3" t="s">
        <v>286</v>
      </c>
      <c r="C140" s="3" t="s">
        <v>15</v>
      </c>
      <c r="D140" s="3">
        <v>0</v>
      </c>
      <c r="E140" s="3" t="s">
        <v>57</v>
      </c>
      <c r="F140" s="3">
        <v>0</v>
      </c>
      <c r="G140" s="21">
        <f>Table4[[#This Row],[Item Cost]]*Table4[[#This Row],[In Stock]]</f>
        <v>0</v>
      </c>
      <c r="H140" s="12" t="s">
        <v>4661</v>
      </c>
      <c r="I140" s="13" t="s">
        <v>4666</v>
      </c>
      <c r="J140" s="13"/>
      <c r="K140" s="13" t="s">
        <v>4672</v>
      </c>
      <c r="L140" s="12" t="s">
        <v>4672</v>
      </c>
      <c r="M140" s="17" t="str">
        <f>IF(LEN(COUNTIFS($H$1:H140,$H140,$I$1:I140,$I140,$J$1:J140,$J140,$K$1:K140,K140,$L$1:L140,L140))=1,"00"&amp;COUNTIFS($H$1:H140,$H140,$I$1:I140,$I140,$J$1:J140,$J140,$K$1:K140,K140,$L$1:L140,L140),IF(LEN(COUNTIFS($H$1:H140,$H140,$I$1:I140,$I140,$J$1:J140,$J140,$K$1:K140,K140,$L$1:L140,L140))=2,"0"&amp;COUNTIFS($H$1:H140,$H140,$I$1:I140,$I140,$J$1:J140,$J140,$K$1:K140,K140,$L$1:L140,L140),COUNTIFS($H$1:H140,$H140,$I$1:I140,$I140,$J$1:J140,$J140,$K$1:K140,K140,$L$1:L140,L140)))</f>
        <v>000</v>
      </c>
      <c r="N14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0" s="14" t="e">
        <f>+LEN(Table4[[#This Row],[New Item Code]])</f>
        <v>#N/A</v>
      </c>
      <c r="P140" s="15" t="s">
        <v>4747</v>
      </c>
      <c r="Q140" s="15" t="s">
        <v>4749</v>
      </c>
      <c r="R140" s="15"/>
      <c r="S140" s="15"/>
      <c r="T140" s="15" t="e">
        <v>#N/A</v>
      </c>
    </row>
    <row r="141" spans="1:20" x14ac:dyDescent="0.35">
      <c r="A141" s="2" t="s">
        <v>287</v>
      </c>
      <c r="B141" s="2" t="s">
        <v>288</v>
      </c>
      <c r="C141" s="2" t="s">
        <v>15</v>
      </c>
      <c r="D141" s="2">
        <v>0</v>
      </c>
      <c r="E141" s="2" t="s">
        <v>57</v>
      </c>
      <c r="F141" s="2">
        <v>0</v>
      </c>
      <c r="G141" s="22">
        <f>Table4[[#This Row],[Item Cost]]*Table4[[#This Row],[In Stock]]</f>
        <v>0</v>
      </c>
      <c r="H141" s="12" t="s">
        <v>4661</v>
      </c>
      <c r="I141" s="13" t="s">
        <v>4666</v>
      </c>
      <c r="J141" s="13"/>
      <c r="K141" s="13" t="s">
        <v>4672</v>
      </c>
      <c r="L141" s="12" t="s">
        <v>4672</v>
      </c>
      <c r="M141" s="17" t="str">
        <f>IF(LEN(COUNTIFS($H$1:H141,$H141,$I$1:I141,$I141,$J$1:J141,$J141,$K$1:K141,K141,$L$1:L141,L141))=1,"00"&amp;COUNTIFS($H$1:H141,$H141,$I$1:I141,$I141,$J$1:J141,$J141,$K$1:K141,K141,$L$1:L141,L141),IF(LEN(COUNTIFS($H$1:H141,$H141,$I$1:I141,$I141,$J$1:J141,$J141,$K$1:K141,K141,$L$1:L141,L141))=2,"0"&amp;COUNTIFS($H$1:H141,$H141,$I$1:I141,$I141,$J$1:J141,$J141,$K$1:K141,K141,$L$1:L141,L141),COUNTIFS($H$1:H141,$H141,$I$1:I141,$I141,$J$1:J141,$J141,$K$1:K141,K141,$L$1:L141,L141)))</f>
        <v>000</v>
      </c>
      <c r="N14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1" s="14" t="e">
        <f>+LEN(Table4[[#This Row],[New Item Code]])</f>
        <v>#N/A</v>
      </c>
      <c r="P141" s="15" t="s">
        <v>4747</v>
      </c>
      <c r="Q141" s="15" t="s">
        <v>4749</v>
      </c>
      <c r="R141" s="15"/>
      <c r="S141" s="15"/>
      <c r="T141" s="15" t="e">
        <v>#N/A</v>
      </c>
    </row>
    <row r="142" spans="1:20" x14ac:dyDescent="0.35">
      <c r="A142" s="3" t="s">
        <v>289</v>
      </c>
      <c r="B142" s="3" t="s">
        <v>290</v>
      </c>
      <c r="C142" s="3" t="s">
        <v>15</v>
      </c>
      <c r="D142" s="3">
        <v>0</v>
      </c>
      <c r="E142" s="3" t="s">
        <v>10</v>
      </c>
      <c r="F142" s="3">
        <v>0</v>
      </c>
      <c r="G142" s="21">
        <f>Table4[[#This Row],[Item Cost]]*Table4[[#This Row],[In Stock]]</f>
        <v>0</v>
      </c>
      <c r="H142" s="12" t="s">
        <v>4661</v>
      </c>
      <c r="I142" s="13" t="s">
        <v>4666</v>
      </c>
      <c r="J142" s="13" t="s">
        <v>4672</v>
      </c>
      <c r="K142" t="s">
        <v>4798</v>
      </c>
      <c r="L142" s="12" t="s">
        <v>4672</v>
      </c>
      <c r="M142" s="17" t="str">
        <f>IF(LEN(COUNTIFS($H$1:H142,$H142,$I$1:I142,$I142,$J$1:J142,$J142,$K$1:K142,K142,$L$1:L142,L142))=1,"00"&amp;COUNTIFS($H$1:H142,$H142,$I$1:I142,$I142,$J$1:J142,$J142,$K$1:K142,K142,$L$1:L142,L142),IF(LEN(COUNTIFS($H$1:H142,$H142,$I$1:I142,$I142,$J$1:J142,$J142,$K$1:K142,K142,$L$1:L142,L142))=2,"0"&amp;COUNTIFS($H$1:H142,$H142,$I$1:I142,$I142,$J$1:J142,$J142,$K$1:K142,K142,$L$1:L142,L142),COUNTIFS($H$1:H142,$H142,$I$1:I142,$I142,$J$1:J142,$J142,$K$1:K142,K142,$L$1:L142,L142)))</f>
        <v>001</v>
      </c>
      <c r="N14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2" s="14" t="e">
        <f>+LEN(Table4[[#This Row],[New Item Code]])</f>
        <v>#N/A</v>
      </c>
      <c r="P142" s="15" t="s">
        <v>4747</v>
      </c>
      <c r="Q142" s="15" t="s">
        <v>4749</v>
      </c>
      <c r="R142" s="15"/>
      <c r="S142" s="15"/>
      <c r="T142" s="15" t="s">
        <v>4672</v>
      </c>
    </row>
    <row r="143" spans="1:20" x14ac:dyDescent="0.35">
      <c r="A143" s="2" t="s">
        <v>291</v>
      </c>
      <c r="B143" s="2" t="s">
        <v>292</v>
      </c>
      <c r="C143" s="2" t="s">
        <v>15</v>
      </c>
      <c r="D143" s="2">
        <v>100</v>
      </c>
      <c r="E143" s="2" t="s">
        <v>10</v>
      </c>
      <c r="F143" s="2">
        <v>2</v>
      </c>
      <c r="G143" s="22">
        <f>Table4[[#This Row],[Item Cost]]*Table4[[#This Row],[In Stock]]</f>
        <v>200</v>
      </c>
      <c r="H143" s="12" t="s">
        <v>4661</v>
      </c>
      <c r="I143" s="13" t="s">
        <v>4666</v>
      </c>
      <c r="J143" s="13" t="s">
        <v>4672</v>
      </c>
      <c r="K143" t="s">
        <v>4798</v>
      </c>
      <c r="L143" s="12" t="s">
        <v>4672</v>
      </c>
      <c r="M143" s="17" t="str">
        <f>IF(LEN(COUNTIFS($H$1:H143,$H143,$I$1:I143,$I143,$J$1:J143,$J143,$K$1:K143,K143,$L$1:L143,L143))=1,"00"&amp;COUNTIFS($H$1:H143,$H143,$I$1:I143,$I143,$J$1:J143,$J143,$K$1:K143,K143,$L$1:L143,L143),IF(LEN(COUNTIFS($H$1:H143,$H143,$I$1:I143,$I143,$J$1:J143,$J143,$K$1:K143,K143,$L$1:L143,L143))=2,"0"&amp;COUNTIFS($H$1:H143,$H143,$I$1:I143,$I143,$J$1:J143,$J143,$K$1:K143,K143,$L$1:L143,L143),COUNTIFS($H$1:H143,$H143,$I$1:I143,$I143,$J$1:J143,$J143,$K$1:K143,K143,$L$1:L143,L143)))</f>
        <v>002</v>
      </c>
      <c r="N14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3" s="14" t="e">
        <f>+LEN(Table4[[#This Row],[New Item Code]])</f>
        <v>#N/A</v>
      </c>
      <c r="P143" s="15" t="s">
        <v>4747</v>
      </c>
      <c r="Q143" s="15" t="s">
        <v>4749</v>
      </c>
      <c r="R143" s="15"/>
      <c r="S143" s="15"/>
      <c r="T143" s="15" t="s">
        <v>4672</v>
      </c>
    </row>
    <row r="144" spans="1:20" x14ac:dyDescent="0.35">
      <c r="A144" s="3" t="s">
        <v>293</v>
      </c>
      <c r="B144" s="3" t="s">
        <v>294</v>
      </c>
      <c r="C144" s="3" t="s">
        <v>15</v>
      </c>
      <c r="D144" s="3">
        <v>14</v>
      </c>
      <c r="E144" s="3" t="s">
        <v>10</v>
      </c>
      <c r="F144" s="3">
        <v>3</v>
      </c>
      <c r="G144" s="21">
        <f>Table4[[#This Row],[Item Cost]]*Table4[[#This Row],[In Stock]]</f>
        <v>42</v>
      </c>
      <c r="H144" s="12" t="s">
        <v>4661</v>
      </c>
      <c r="I144" s="13" t="s">
        <v>4666</v>
      </c>
      <c r="J144" s="13" t="s">
        <v>4672</v>
      </c>
      <c r="K144" t="s">
        <v>4798</v>
      </c>
      <c r="L144" s="12" t="s">
        <v>4672</v>
      </c>
      <c r="M144" s="17" t="str">
        <f>IF(LEN(COUNTIFS($H$1:H144,$H144,$I$1:I144,$I144,$J$1:J144,$J144,$K$1:K144,K144,$L$1:L144,L144))=1,"00"&amp;COUNTIFS($H$1:H144,$H144,$I$1:I144,$I144,$J$1:J144,$J144,$K$1:K144,K144,$L$1:L144,L144),IF(LEN(COUNTIFS($H$1:H144,$H144,$I$1:I144,$I144,$J$1:J144,$J144,$K$1:K144,K144,$L$1:L144,L144))=2,"0"&amp;COUNTIFS($H$1:H144,$H144,$I$1:I144,$I144,$J$1:J144,$J144,$K$1:K144,K144,$L$1:L144,L144),COUNTIFS($H$1:H144,$H144,$I$1:I144,$I144,$J$1:J144,$J144,$K$1:K144,K144,$L$1:L144,L144)))</f>
        <v>003</v>
      </c>
      <c r="N14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4" s="14" t="e">
        <f>+LEN(Table4[[#This Row],[New Item Code]])</f>
        <v>#N/A</v>
      </c>
      <c r="P144" s="15" t="s">
        <v>4747</v>
      </c>
      <c r="Q144" s="15" t="s">
        <v>4749</v>
      </c>
      <c r="R144" s="15"/>
      <c r="S144" s="15"/>
      <c r="T144" s="15" t="s">
        <v>4672</v>
      </c>
    </row>
    <row r="145" spans="1:20" x14ac:dyDescent="0.35">
      <c r="A145" s="2" t="s">
        <v>295</v>
      </c>
      <c r="B145" s="2" t="s">
        <v>296</v>
      </c>
      <c r="C145" s="2" t="s">
        <v>15</v>
      </c>
      <c r="D145" s="2">
        <v>23.428000000000001</v>
      </c>
      <c r="E145" s="2" t="s">
        <v>10</v>
      </c>
      <c r="F145" s="2">
        <v>6</v>
      </c>
      <c r="G145" s="22">
        <f>Table4[[#This Row],[Item Cost]]*Table4[[#This Row],[In Stock]]</f>
        <v>140.56800000000001</v>
      </c>
      <c r="H145" s="12" t="s">
        <v>4661</v>
      </c>
      <c r="I145" s="13" t="s">
        <v>4666</v>
      </c>
      <c r="J145" s="13" t="s">
        <v>4672</v>
      </c>
      <c r="K145" t="s">
        <v>4798</v>
      </c>
      <c r="L145" s="12" t="s">
        <v>4672</v>
      </c>
      <c r="M145" s="17" t="str">
        <f>IF(LEN(COUNTIFS($H$1:H145,$H145,$I$1:I145,$I145,$J$1:J145,$J145,$K$1:K145,K145,$L$1:L145,L145))=1,"00"&amp;COUNTIFS($H$1:H145,$H145,$I$1:I145,$I145,$J$1:J145,$J145,$K$1:K145,K145,$L$1:L145,L145),IF(LEN(COUNTIFS($H$1:H145,$H145,$I$1:I145,$I145,$J$1:J145,$J145,$K$1:K145,K145,$L$1:L145,L145))=2,"0"&amp;COUNTIFS($H$1:H145,$H145,$I$1:I145,$I145,$J$1:J145,$J145,$K$1:K145,K145,$L$1:L145,L145),COUNTIFS($H$1:H145,$H145,$I$1:I145,$I145,$J$1:J145,$J145,$K$1:K145,K145,$L$1:L145,L145)))</f>
        <v>004</v>
      </c>
      <c r="N14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5" s="14" t="e">
        <f>+LEN(Table4[[#This Row],[New Item Code]])</f>
        <v>#N/A</v>
      </c>
      <c r="P145" s="15" t="s">
        <v>4747</v>
      </c>
      <c r="Q145" s="15" t="s">
        <v>4749</v>
      </c>
      <c r="R145" s="15"/>
      <c r="S145" s="15"/>
      <c r="T145" s="15" t="s">
        <v>4672</v>
      </c>
    </row>
    <row r="146" spans="1:20" x14ac:dyDescent="0.35">
      <c r="A146" s="3" t="s">
        <v>297</v>
      </c>
      <c r="B146" s="3" t="s">
        <v>298</v>
      </c>
      <c r="C146" s="3" t="s">
        <v>15</v>
      </c>
      <c r="D146" s="3">
        <v>20</v>
      </c>
      <c r="E146" s="3" t="s">
        <v>10</v>
      </c>
      <c r="F146" s="3">
        <v>2</v>
      </c>
      <c r="G146" s="21">
        <f>Table4[[#This Row],[Item Cost]]*Table4[[#This Row],[In Stock]]</f>
        <v>40</v>
      </c>
      <c r="H146" s="12" t="s">
        <v>4661</v>
      </c>
      <c r="I146" s="13" t="s">
        <v>4666</v>
      </c>
      <c r="J146" s="13" t="s">
        <v>4672</v>
      </c>
      <c r="K146" t="s">
        <v>4798</v>
      </c>
      <c r="L146" s="12" t="s">
        <v>4672</v>
      </c>
      <c r="M146" s="17" t="str">
        <f>IF(LEN(COUNTIFS($H$1:H146,$H146,$I$1:I146,$I146,$J$1:J146,$J146,$K$1:K146,K146,$L$1:L146,L146))=1,"00"&amp;COUNTIFS($H$1:H146,$H146,$I$1:I146,$I146,$J$1:J146,$J146,$K$1:K146,K146,$L$1:L146,L146),IF(LEN(COUNTIFS($H$1:H146,$H146,$I$1:I146,$I146,$J$1:J146,$J146,$K$1:K146,K146,$L$1:L146,L146))=2,"0"&amp;COUNTIFS($H$1:H146,$H146,$I$1:I146,$I146,$J$1:J146,$J146,$K$1:K146,K146,$L$1:L146,L146),COUNTIFS($H$1:H146,$H146,$I$1:I146,$I146,$J$1:J146,$J146,$K$1:K146,K146,$L$1:L146,L146)))</f>
        <v>005</v>
      </c>
      <c r="N14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6" s="14" t="e">
        <f>+LEN(Table4[[#This Row],[New Item Code]])</f>
        <v>#N/A</v>
      </c>
      <c r="P146" s="15" t="s">
        <v>4747</v>
      </c>
      <c r="Q146" s="15" t="s">
        <v>4749</v>
      </c>
      <c r="R146" s="15"/>
      <c r="S146" s="15"/>
      <c r="T146" s="15" t="s">
        <v>4672</v>
      </c>
    </row>
    <row r="147" spans="1:20" x14ac:dyDescent="0.35">
      <c r="A147" s="2" t="s">
        <v>299</v>
      </c>
      <c r="B147" s="2" t="s">
        <v>300</v>
      </c>
      <c r="C147" s="2" t="s">
        <v>15</v>
      </c>
      <c r="D147" s="2">
        <v>8.5</v>
      </c>
      <c r="E147" s="2" t="s">
        <v>10</v>
      </c>
      <c r="F147" s="2">
        <v>2</v>
      </c>
      <c r="G147" s="22">
        <f>Table4[[#This Row],[Item Cost]]*Table4[[#This Row],[In Stock]]</f>
        <v>17</v>
      </c>
      <c r="H147" s="12" t="s">
        <v>4661</v>
      </c>
      <c r="I147" s="13" t="s">
        <v>4666</v>
      </c>
      <c r="J147" s="13" t="s">
        <v>4672</v>
      </c>
      <c r="K147" t="s">
        <v>4798</v>
      </c>
      <c r="L147" s="12" t="s">
        <v>4672</v>
      </c>
      <c r="M147" s="17" t="str">
        <f>IF(LEN(COUNTIFS($H$1:H147,$H147,$I$1:I147,$I147,$J$1:J147,$J147,$K$1:K147,K147,$L$1:L147,L147))=1,"00"&amp;COUNTIFS($H$1:H147,$H147,$I$1:I147,$I147,$J$1:J147,$J147,$K$1:K147,K147,$L$1:L147,L147),IF(LEN(COUNTIFS($H$1:H147,$H147,$I$1:I147,$I147,$J$1:J147,$J147,$K$1:K147,K147,$L$1:L147,L147))=2,"0"&amp;COUNTIFS($H$1:H147,$H147,$I$1:I147,$I147,$J$1:J147,$J147,$K$1:K147,K147,$L$1:L147,L147),COUNTIFS($H$1:H147,$H147,$I$1:I147,$I147,$J$1:J147,$J147,$K$1:K147,K147,$L$1:L147,L147)))</f>
        <v>006</v>
      </c>
      <c r="N14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7" s="14" t="e">
        <f>+LEN(Table4[[#This Row],[New Item Code]])</f>
        <v>#N/A</v>
      </c>
      <c r="P147" s="15" t="s">
        <v>4747</v>
      </c>
      <c r="Q147" s="15" t="s">
        <v>4749</v>
      </c>
      <c r="R147" s="15"/>
      <c r="S147" s="15"/>
      <c r="T147" s="15" t="s">
        <v>4672</v>
      </c>
    </row>
    <row r="148" spans="1:20" x14ac:dyDescent="0.35">
      <c r="A148" s="3" t="s">
        <v>301</v>
      </c>
      <c r="B148" s="3" t="s">
        <v>302</v>
      </c>
      <c r="C148" s="3" t="s">
        <v>15</v>
      </c>
      <c r="D148" s="3">
        <v>7.5</v>
      </c>
      <c r="E148" s="3" t="s">
        <v>10</v>
      </c>
      <c r="F148" s="3">
        <v>16</v>
      </c>
      <c r="G148" s="21">
        <f>Table4[[#This Row],[Item Cost]]*Table4[[#This Row],[In Stock]]</f>
        <v>120</v>
      </c>
      <c r="H148" s="12" t="s">
        <v>4661</v>
      </c>
      <c r="I148" s="13" t="s">
        <v>4666</v>
      </c>
      <c r="J148" s="13" t="s">
        <v>4672</v>
      </c>
      <c r="K148" t="s">
        <v>4798</v>
      </c>
      <c r="L148" s="12" t="s">
        <v>4672</v>
      </c>
      <c r="M148" s="17" t="str">
        <f>IF(LEN(COUNTIFS($H$1:H148,$H148,$I$1:I148,$I148,$J$1:J148,$J148,$K$1:K148,K148,$L$1:L148,L148))=1,"00"&amp;COUNTIFS($H$1:H148,$H148,$I$1:I148,$I148,$J$1:J148,$J148,$K$1:K148,K148,$L$1:L148,L148),IF(LEN(COUNTIFS($H$1:H148,$H148,$I$1:I148,$I148,$J$1:J148,$J148,$K$1:K148,K148,$L$1:L148,L148))=2,"0"&amp;COUNTIFS($H$1:H148,$H148,$I$1:I148,$I148,$J$1:J148,$J148,$K$1:K148,K148,$L$1:L148,L148),COUNTIFS($H$1:H148,$H148,$I$1:I148,$I148,$J$1:J148,$J148,$K$1:K148,K148,$L$1:L148,L148)))</f>
        <v>007</v>
      </c>
      <c r="N14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8" s="14" t="e">
        <f>+LEN(Table4[[#This Row],[New Item Code]])</f>
        <v>#N/A</v>
      </c>
      <c r="P148" s="15" t="s">
        <v>4747</v>
      </c>
      <c r="Q148" s="15" t="s">
        <v>4749</v>
      </c>
      <c r="R148" s="15"/>
      <c r="S148" s="15"/>
      <c r="T148" s="15" t="s">
        <v>4672</v>
      </c>
    </row>
    <row r="149" spans="1:20" x14ac:dyDescent="0.35">
      <c r="A149" s="2" t="s">
        <v>303</v>
      </c>
      <c r="B149" s="2" t="s">
        <v>304</v>
      </c>
      <c r="C149" s="2" t="s">
        <v>15</v>
      </c>
      <c r="D149" s="2">
        <v>0</v>
      </c>
      <c r="E149" s="2" t="s">
        <v>10</v>
      </c>
      <c r="F149" s="2">
        <v>0</v>
      </c>
      <c r="G149" s="22">
        <f>Table4[[#This Row],[Item Cost]]*Table4[[#This Row],[In Stock]]</f>
        <v>0</v>
      </c>
      <c r="H149" s="12" t="s">
        <v>4661</v>
      </c>
      <c r="I149" s="13" t="s">
        <v>4666</v>
      </c>
      <c r="J149" s="13" t="s">
        <v>4672</v>
      </c>
      <c r="K149" t="s">
        <v>4798</v>
      </c>
      <c r="L149" s="12" t="s">
        <v>4672</v>
      </c>
      <c r="M149" s="17" t="str">
        <f>IF(LEN(COUNTIFS($H$1:H149,$H149,$I$1:I149,$I149,$J$1:J149,$J149,$K$1:K149,K149,$L$1:L149,L149))=1,"00"&amp;COUNTIFS($H$1:H149,$H149,$I$1:I149,$I149,$J$1:J149,$J149,$K$1:K149,K149,$L$1:L149,L149),IF(LEN(COUNTIFS($H$1:H149,$H149,$I$1:I149,$I149,$J$1:J149,$J149,$K$1:K149,K149,$L$1:L149,L149))=2,"0"&amp;COUNTIFS($H$1:H149,$H149,$I$1:I149,$I149,$J$1:J149,$J149,$K$1:K149,K149,$L$1:L149,L149),COUNTIFS($H$1:H149,$H149,$I$1:I149,$I149,$J$1:J149,$J149,$K$1:K149,K149,$L$1:L149,L149)))</f>
        <v>008</v>
      </c>
      <c r="N14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9" s="14" t="e">
        <f>+LEN(Table4[[#This Row],[New Item Code]])</f>
        <v>#N/A</v>
      </c>
      <c r="P149" s="15" t="s">
        <v>4747</v>
      </c>
      <c r="Q149" s="15" t="s">
        <v>4749</v>
      </c>
      <c r="R149" s="15"/>
      <c r="S149" s="15"/>
      <c r="T149" s="15" t="s">
        <v>4672</v>
      </c>
    </row>
    <row r="150" spans="1:20" x14ac:dyDescent="0.35">
      <c r="A150" s="3" t="s">
        <v>305</v>
      </c>
      <c r="B150" s="3" t="s">
        <v>306</v>
      </c>
      <c r="C150" s="3" t="s">
        <v>15</v>
      </c>
      <c r="D150" s="3">
        <v>0</v>
      </c>
      <c r="E150" s="3" t="s">
        <v>10</v>
      </c>
      <c r="F150" s="3">
        <v>0</v>
      </c>
      <c r="G150" s="21">
        <f>Table4[[#This Row],[Item Cost]]*Table4[[#This Row],[In Stock]]</f>
        <v>0</v>
      </c>
      <c r="H150" s="12" t="s">
        <v>4661</v>
      </c>
      <c r="I150" s="13" t="s">
        <v>4666</v>
      </c>
      <c r="J150" s="13" t="s">
        <v>4672</v>
      </c>
      <c r="K150" t="s">
        <v>4798</v>
      </c>
      <c r="L150" s="12" t="s">
        <v>4672</v>
      </c>
      <c r="M150" s="17" t="str">
        <f>IF(LEN(COUNTIFS($H$1:H150,$H150,$I$1:I150,$I150,$J$1:J150,$J150,$K$1:K150,K150,$L$1:L150,L150))=1,"00"&amp;COUNTIFS($H$1:H150,$H150,$I$1:I150,$I150,$J$1:J150,$J150,$K$1:K150,K150,$L$1:L150,L150),IF(LEN(COUNTIFS($H$1:H150,$H150,$I$1:I150,$I150,$J$1:J150,$J150,$K$1:K150,K150,$L$1:L150,L150))=2,"0"&amp;COUNTIFS($H$1:H150,$H150,$I$1:I150,$I150,$J$1:J150,$J150,$K$1:K150,K150,$L$1:L150,L150),COUNTIFS($H$1:H150,$H150,$I$1:I150,$I150,$J$1:J150,$J150,$K$1:K150,K150,$L$1:L150,L150)))</f>
        <v>009</v>
      </c>
      <c r="N15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0" s="14" t="e">
        <f>+LEN(Table4[[#This Row],[New Item Code]])</f>
        <v>#N/A</v>
      </c>
      <c r="P150" s="15" t="s">
        <v>4747</v>
      </c>
      <c r="Q150" s="15" t="s">
        <v>4749</v>
      </c>
      <c r="R150" s="15"/>
      <c r="S150" s="15"/>
      <c r="T150" s="15" t="s">
        <v>4672</v>
      </c>
    </row>
    <row r="151" spans="1:20" x14ac:dyDescent="0.35">
      <c r="A151" s="2" t="s">
        <v>307</v>
      </c>
      <c r="B151" s="2" t="s">
        <v>308</v>
      </c>
      <c r="C151" s="2" t="s">
        <v>15</v>
      </c>
      <c r="D151" s="2">
        <v>65.870999999999995</v>
      </c>
      <c r="E151" s="2" t="s">
        <v>10</v>
      </c>
      <c r="F151" s="2">
        <v>19</v>
      </c>
      <c r="G151" s="22">
        <f>Table4[[#This Row],[Item Cost]]*Table4[[#This Row],[In Stock]]</f>
        <v>1251.549</v>
      </c>
      <c r="H151" s="12" t="s">
        <v>4661</v>
      </c>
      <c r="I151" s="13" t="s">
        <v>4666</v>
      </c>
      <c r="J151" s="13" t="s">
        <v>4672</v>
      </c>
      <c r="K151" t="s">
        <v>4798</v>
      </c>
      <c r="L151" s="12" t="s">
        <v>4672</v>
      </c>
      <c r="M151" s="17" t="str">
        <f>IF(LEN(COUNTIFS($H$1:H151,$H151,$I$1:I151,$I151,$J$1:J151,$J151,$K$1:K151,K151,$L$1:L151,L151))=1,"00"&amp;COUNTIFS($H$1:H151,$H151,$I$1:I151,$I151,$J$1:J151,$J151,$K$1:K151,K151,$L$1:L151,L151),IF(LEN(COUNTIFS($H$1:H151,$H151,$I$1:I151,$I151,$J$1:J151,$J151,$K$1:K151,K151,$L$1:L151,L151))=2,"0"&amp;COUNTIFS($H$1:H151,$H151,$I$1:I151,$I151,$J$1:J151,$J151,$K$1:K151,K151,$L$1:L151,L151),COUNTIFS($H$1:H151,$H151,$I$1:I151,$I151,$J$1:J151,$J151,$K$1:K151,K151,$L$1:L151,L151)))</f>
        <v>010</v>
      </c>
      <c r="N15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1" s="14" t="e">
        <f>+LEN(Table4[[#This Row],[New Item Code]])</f>
        <v>#N/A</v>
      </c>
      <c r="P151" s="15" t="s">
        <v>4747</v>
      </c>
      <c r="Q151" s="15" t="s">
        <v>4749</v>
      </c>
      <c r="R151" s="15"/>
      <c r="S151" s="15"/>
      <c r="T151" s="15" t="s">
        <v>4672</v>
      </c>
    </row>
    <row r="152" spans="1:20" x14ac:dyDescent="0.35">
      <c r="A152" s="3" t="s">
        <v>309</v>
      </c>
      <c r="B152" s="3" t="s">
        <v>310</v>
      </c>
      <c r="C152" s="3" t="s">
        <v>15</v>
      </c>
      <c r="D152" s="3">
        <v>20</v>
      </c>
      <c r="E152" s="3" t="s">
        <v>10</v>
      </c>
      <c r="F152" s="3">
        <v>2</v>
      </c>
      <c r="G152" s="21">
        <f>Table4[[#This Row],[Item Cost]]*Table4[[#This Row],[In Stock]]</f>
        <v>40</v>
      </c>
      <c r="H152" s="12" t="s">
        <v>4661</v>
      </c>
      <c r="I152" s="13" t="s">
        <v>4666</v>
      </c>
      <c r="J152" s="13" t="s">
        <v>4672</v>
      </c>
      <c r="K152" t="s">
        <v>4798</v>
      </c>
      <c r="L152" s="12" t="s">
        <v>4672</v>
      </c>
      <c r="M152" s="17" t="str">
        <f>IF(LEN(COUNTIFS($H$1:H152,$H152,$I$1:I152,$I152,$J$1:J152,$J152,$K$1:K152,K152,$L$1:L152,L152))=1,"00"&amp;COUNTIFS($H$1:H152,$H152,$I$1:I152,$I152,$J$1:J152,$J152,$K$1:K152,K152,$L$1:L152,L152),IF(LEN(COUNTIFS($H$1:H152,$H152,$I$1:I152,$I152,$J$1:J152,$J152,$K$1:K152,K152,$L$1:L152,L152))=2,"0"&amp;COUNTIFS($H$1:H152,$H152,$I$1:I152,$I152,$J$1:J152,$J152,$K$1:K152,K152,$L$1:L152,L152),COUNTIFS($H$1:H152,$H152,$I$1:I152,$I152,$J$1:J152,$J152,$K$1:K152,K152,$L$1:L152,L152)))</f>
        <v>011</v>
      </c>
      <c r="N15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2" s="14" t="e">
        <f>+LEN(Table4[[#This Row],[New Item Code]])</f>
        <v>#N/A</v>
      </c>
      <c r="P152" s="15" t="s">
        <v>4747</v>
      </c>
      <c r="Q152" s="15" t="s">
        <v>4749</v>
      </c>
      <c r="R152" s="15"/>
      <c r="S152" s="15"/>
      <c r="T152" s="15" t="s">
        <v>4672</v>
      </c>
    </row>
    <row r="153" spans="1:20" x14ac:dyDescent="0.35">
      <c r="A153" s="2" t="s">
        <v>311</v>
      </c>
      <c r="B153" s="2" t="s">
        <v>312</v>
      </c>
      <c r="C153" s="2" t="s">
        <v>15</v>
      </c>
      <c r="D153" s="2">
        <v>20</v>
      </c>
      <c r="E153" s="2" t="s">
        <v>10</v>
      </c>
      <c r="F153" s="2">
        <v>5</v>
      </c>
      <c r="G153" s="22">
        <f>Table4[[#This Row],[Item Cost]]*Table4[[#This Row],[In Stock]]</f>
        <v>100</v>
      </c>
      <c r="H153" s="12" t="s">
        <v>4661</v>
      </c>
      <c r="I153" s="13" t="s">
        <v>4666</v>
      </c>
      <c r="J153" s="13" t="s">
        <v>4672</v>
      </c>
      <c r="K153" t="s">
        <v>4798</v>
      </c>
      <c r="L153" s="12" t="s">
        <v>4672</v>
      </c>
      <c r="M153" s="17" t="str">
        <f>IF(LEN(COUNTIFS($H$1:H153,$H153,$I$1:I153,$I153,$J$1:J153,$J153,$K$1:K153,K153,$L$1:L153,L153))=1,"00"&amp;COUNTIFS($H$1:H153,$H153,$I$1:I153,$I153,$J$1:J153,$J153,$K$1:K153,K153,$L$1:L153,L153),IF(LEN(COUNTIFS($H$1:H153,$H153,$I$1:I153,$I153,$J$1:J153,$J153,$K$1:K153,K153,$L$1:L153,L153))=2,"0"&amp;COUNTIFS($H$1:H153,$H153,$I$1:I153,$I153,$J$1:J153,$J153,$K$1:K153,K153,$L$1:L153,L153),COUNTIFS($H$1:H153,$H153,$I$1:I153,$I153,$J$1:J153,$J153,$K$1:K153,K153,$L$1:L153,L153)))</f>
        <v>012</v>
      </c>
      <c r="N15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3" s="14" t="e">
        <f>+LEN(Table4[[#This Row],[New Item Code]])</f>
        <v>#N/A</v>
      </c>
      <c r="P153" s="15" t="s">
        <v>4747</v>
      </c>
      <c r="Q153" s="15" t="s">
        <v>4749</v>
      </c>
      <c r="R153" s="15"/>
      <c r="S153" s="15"/>
      <c r="T153" s="15" t="s">
        <v>4672</v>
      </c>
    </row>
    <row r="154" spans="1:20" x14ac:dyDescent="0.35">
      <c r="A154" s="3" t="s">
        <v>313</v>
      </c>
      <c r="B154" s="3" t="s">
        <v>314</v>
      </c>
      <c r="C154" s="3" t="s">
        <v>15</v>
      </c>
      <c r="D154" s="3">
        <v>20</v>
      </c>
      <c r="E154" s="3" t="s">
        <v>10</v>
      </c>
      <c r="F154" s="3">
        <v>1</v>
      </c>
      <c r="G154" s="21">
        <f>Table4[[#This Row],[Item Cost]]*Table4[[#This Row],[In Stock]]</f>
        <v>20</v>
      </c>
      <c r="H154" s="12" t="s">
        <v>4661</v>
      </c>
      <c r="I154" s="13" t="s">
        <v>4666</v>
      </c>
      <c r="J154" s="13" t="s">
        <v>4672</v>
      </c>
      <c r="K154" t="s">
        <v>4798</v>
      </c>
      <c r="L154" s="12" t="s">
        <v>4672</v>
      </c>
      <c r="M154" s="17" t="str">
        <f>IF(LEN(COUNTIFS($H$1:H154,$H154,$I$1:I154,$I154,$J$1:J154,$J154,$K$1:K154,K154,$L$1:L154,L154))=1,"00"&amp;COUNTIFS($H$1:H154,$H154,$I$1:I154,$I154,$J$1:J154,$J154,$K$1:K154,K154,$L$1:L154,L154),IF(LEN(COUNTIFS($H$1:H154,$H154,$I$1:I154,$I154,$J$1:J154,$J154,$K$1:K154,K154,$L$1:L154,L154))=2,"0"&amp;COUNTIFS($H$1:H154,$H154,$I$1:I154,$I154,$J$1:J154,$J154,$K$1:K154,K154,$L$1:L154,L154),COUNTIFS($H$1:H154,$H154,$I$1:I154,$I154,$J$1:J154,$J154,$K$1:K154,K154,$L$1:L154,L154)))</f>
        <v>013</v>
      </c>
      <c r="N15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4" s="14" t="e">
        <f>+LEN(Table4[[#This Row],[New Item Code]])</f>
        <v>#N/A</v>
      </c>
      <c r="P154" s="15" t="s">
        <v>4747</v>
      </c>
      <c r="Q154" s="15" t="s">
        <v>4749</v>
      </c>
      <c r="R154" s="15"/>
      <c r="S154" s="15"/>
      <c r="T154" s="15" t="s">
        <v>4672</v>
      </c>
    </row>
    <row r="155" spans="1:20" x14ac:dyDescent="0.35">
      <c r="A155" s="2" t="s">
        <v>315</v>
      </c>
      <c r="B155" s="2" t="s">
        <v>316</v>
      </c>
      <c r="C155" s="2" t="s">
        <v>15</v>
      </c>
      <c r="D155" s="2">
        <v>20</v>
      </c>
      <c r="E155" s="2" t="s">
        <v>10</v>
      </c>
      <c r="F155" s="2">
        <v>5</v>
      </c>
      <c r="G155" s="22">
        <f>Table4[[#This Row],[Item Cost]]*Table4[[#This Row],[In Stock]]</f>
        <v>100</v>
      </c>
      <c r="H155" s="12" t="s">
        <v>4661</v>
      </c>
      <c r="I155" s="13" t="s">
        <v>4666</v>
      </c>
      <c r="J155" s="13" t="s">
        <v>4672</v>
      </c>
      <c r="K155" t="s">
        <v>4798</v>
      </c>
      <c r="L155" s="12" t="s">
        <v>4672</v>
      </c>
      <c r="M155" s="17" t="str">
        <f>IF(LEN(COUNTIFS($H$1:H155,$H155,$I$1:I155,$I155,$J$1:J155,$J155,$K$1:K155,K155,$L$1:L155,L155))=1,"00"&amp;COUNTIFS($H$1:H155,$H155,$I$1:I155,$I155,$J$1:J155,$J155,$K$1:K155,K155,$L$1:L155,L155),IF(LEN(COUNTIFS($H$1:H155,$H155,$I$1:I155,$I155,$J$1:J155,$J155,$K$1:K155,K155,$L$1:L155,L155))=2,"0"&amp;COUNTIFS($H$1:H155,$H155,$I$1:I155,$I155,$J$1:J155,$J155,$K$1:K155,K155,$L$1:L155,L155),COUNTIFS($H$1:H155,$H155,$I$1:I155,$I155,$J$1:J155,$J155,$K$1:K155,K155,$L$1:L155,L155)))</f>
        <v>014</v>
      </c>
      <c r="N15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5" s="14" t="e">
        <f>+LEN(Table4[[#This Row],[New Item Code]])</f>
        <v>#N/A</v>
      </c>
      <c r="P155" s="15" t="s">
        <v>4747</v>
      </c>
      <c r="Q155" s="15" t="s">
        <v>4749</v>
      </c>
      <c r="R155" s="15"/>
      <c r="S155" s="15"/>
      <c r="T155" s="15" t="s">
        <v>4672</v>
      </c>
    </row>
    <row r="156" spans="1:20" x14ac:dyDescent="0.35">
      <c r="A156" s="3" t="s">
        <v>317</v>
      </c>
      <c r="B156" s="3" t="s">
        <v>318</v>
      </c>
      <c r="C156" s="3" t="s">
        <v>15</v>
      </c>
      <c r="D156" s="3">
        <v>20</v>
      </c>
      <c r="E156" s="3" t="s">
        <v>10</v>
      </c>
      <c r="F156" s="3">
        <v>1</v>
      </c>
      <c r="G156" s="21">
        <f>Table4[[#This Row],[Item Cost]]*Table4[[#This Row],[In Stock]]</f>
        <v>20</v>
      </c>
      <c r="H156" s="12" t="s">
        <v>4661</v>
      </c>
      <c r="I156" s="13" t="s">
        <v>4666</v>
      </c>
      <c r="J156" s="13" t="s">
        <v>4672</v>
      </c>
      <c r="K156" t="s">
        <v>4798</v>
      </c>
      <c r="L156" s="12" t="s">
        <v>4672</v>
      </c>
      <c r="M156" s="17" t="str">
        <f>IF(LEN(COUNTIFS($H$1:H156,$H156,$I$1:I156,$I156,$J$1:J156,$J156,$K$1:K156,K156,$L$1:L156,L156))=1,"00"&amp;COUNTIFS($H$1:H156,$H156,$I$1:I156,$I156,$J$1:J156,$J156,$K$1:K156,K156,$L$1:L156,L156),IF(LEN(COUNTIFS($H$1:H156,$H156,$I$1:I156,$I156,$J$1:J156,$J156,$K$1:K156,K156,$L$1:L156,L156))=2,"0"&amp;COUNTIFS($H$1:H156,$H156,$I$1:I156,$I156,$J$1:J156,$J156,$K$1:K156,K156,$L$1:L156,L156),COUNTIFS($H$1:H156,$H156,$I$1:I156,$I156,$J$1:J156,$J156,$K$1:K156,K156,$L$1:L156,L156)))</f>
        <v>015</v>
      </c>
      <c r="N15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6" s="14" t="e">
        <f>+LEN(Table4[[#This Row],[New Item Code]])</f>
        <v>#N/A</v>
      </c>
      <c r="P156" s="15" t="s">
        <v>4747</v>
      </c>
      <c r="Q156" s="15" t="s">
        <v>4749</v>
      </c>
      <c r="R156" s="15"/>
      <c r="S156" s="15"/>
      <c r="T156" s="15" t="s">
        <v>4672</v>
      </c>
    </row>
    <row r="157" spans="1:20" x14ac:dyDescent="0.35">
      <c r="A157" s="2" t="s">
        <v>319</v>
      </c>
      <c r="B157" s="2" t="s">
        <v>320</v>
      </c>
      <c r="C157" s="2" t="s">
        <v>15</v>
      </c>
      <c r="D157" s="2">
        <v>6.5</v>
      </c>
      <c r="E157" s="2" t="s">
        <v>10</v>
      </c>
      <c r="F157" s="2">
        <v>10</v>
      </c>
      <c r="G157" s="22">
        <f>Table4[[#This Row],[Item Cost]]*Table4[[#This Row],[In Stock]]</f>
        <v>65</v>
      </c>
      <c r="H157" s="12" t="s">
        <v>4661</v>
      </c>
      <c r="I157" s="13" t="s">
        <v>4666</v>
      </c>
      <c r="J157" s="13" t="s">
        <v>4672</v>
      </c>
      <c r="K157" t="s">
        <v>4798</v>
      </c>
      <c r="L157" s="12" t="s">
        <v>4672</v>
      </c>
      <c r="M157" s="17" t="str">
        <f>IF(LEN(COUNTIFS($H$1:H157,$H157,$I$1:I157,$I157,$J$1:J157,$J157,$K$1:K157,K157,$L$1:L157,L157))=1,"00"&amp;COUNTIFS($H$1:H157,$H157,$I$1:I157,$I157,$J$1:J157,$J157,$K$1:K157,K157,$L$1:L157,L157),IF(LEN(COUNTIFS($H$1:H157,$H157,$I$1:I157,$I157,$J$1:J157,$J157,$K$1:K157,K157,$L$1:L157,L157))=2,"0"&amp;COUNTIFS($H$1:H157,$H157,$I$1:I157,$I157,$J$1:J157,$J157,$K$1:K157,K157,$L$1:L157,L157),COUNTIFS($H$1:H157,$H157,$I$1:I157,$I157,$J$1:J157,$J157,$K$1:K157,K157,$L$1:L157,L157)))</f>
        <v>016</v>
      </c>
      <c r="N15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7" s="14" t="e">
        <f>+LEN(Table4[[#This Row],[New Item Code]])</f>
        <v>#N/A</v>
      </c>
      <c r="P157" s="15" t="s">
        <v>4747</v>
      </c>
      <c r="Q157" s="15" t="s">
        <v>4749</v>
      </c>
      <c r="R157" s="15"/>
      <c r="S157" s="15"/>
      <c r="T157" s="15" t="s">
        <v>4672</v>
      </c>
    </row>
    <row r="158" spans="1:20" x14ac:dyDescent="0.35">
      <c r="A158" s="3" t="s">
        <v>321</v>
      </c>
      <c r="B158" s="3" t="s">
        <v>322</v>
      </c>
      <c r="C158" s="3" t="s">
        <v>56</v>
      </c>
      <c r="D158" s="3">
        <v>0</v>
      </c>
      <c r="E158" s="3" t="s">
        <v>57</v>
      </c>
      <c r="F158" s="3">
        <v>0</v>
      </c>
      <c r="G158" s="21">
        <f>Table4[[#This Row],[Item Cost]]*Table4[[#This Row],[In Stock]]</f>
        <v>0</v>
      </c>
      <c r="H158" s="12" t="s">
        <v>4661</v>
      </c>
      <c r="I158" s="13" t="s">
        <v>4668</v>
      </c>
      <c r="J158" s="13" t="s">
        <v>4672</v>
      </c>
      <c r="K158" t="s">
        <v>4798</v>
      </c>
      <c r="L158" s="12" t="s">
        <v>4672</v>
      </c>
      <c r="M158" s="17" t="str">
        <f>IF(LEN(COUNTIFS($H$1:H158,$H158,$I$1:I158,$I158,$J$1:J158,$J158,$K$1:K158,K158,$L$1:L158,L158))=1,"00"&amp;COUNTIFS($H$1:H158,$H158,$I$1:I158,$I158,$J$1:J158,$J158,$K$1:K158,K158,$L$1:L158,L158),IF(LEN(COUNTIFS($H$1:H158,$H158,$I$1:I158,$I158,$J$1:J158,$J158,$K$1:K158,K158,$L$1:L158,L158))=2,"0"&amp;COUNTIFS($H$1:H158,$H158,$I$1:I158,$I158,$J$1:J158,$J158,$K$1:K158,K158,$L$1:L158,L158),COUNTIFS($H$1:H158,$H158,$I$1:I158,$I158,$J$1:J158,$J158,$K$1:K158,K158,$L$1:L158,L158)))</f>
        <v>001</v>
      </c>
      <c r="N15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8" s="14" t="e">
        <f>+LEN(Table4[[#This Row],[New Item Code]])</f>
        <v>#N/A</v>
      </c>
      <c r="P158" s="15" t="s">
        <v>4747</v>
      </c>
      <c r="Q158" s="15" t="s">
        <v>4749</v>
      </c>
      <c r="R158" s="15"/>
      <c r="S158" s="15"/>
      <c r="T158" s="15" t="s">
        <v>4672</v>
      </c>
    </row>
    <row r="159" spans="1:20" x14ac:dyDescent="0.35">
      <c r="A159" s="2" t="s">
        <v>323</v>
      </c>
      <c r="B159" s="2" t="s">
        <v>324</v>
      </c>
      <c r="C159" s="2" t="s">
        <v>15</v>
      </c>
      <c r="D159" s="2">
        <v>0</v>
      </c>
      <c r="E159" s="2" t="s">
        <v>57</v>
      </c>
      <c r="F159" s="2">
        <v>0</v>
      </c>
      <c r="G159" s="22">
        <f>Table4[[#This Row],[Item Cost]]*Table4[[#This Row],[In Stock]]</f>
        <v>0</v>
      </c>
      <c r="H159" s="12" t="s">
        <v>4661</v>
      </c>
      <c r="I159" s="13" t="s">
        <v>4666</v>
      </c>
      <c r="J159" s="13" t="s">
        <v>4681</v>
      </c>
      <c r="K159" s="13" t="s">
        <v>4672</v>
      </c>
      <c r="L159" s="12" t="s">
        <v>4672</v>
      </c>
      <c r="M159" s="17" t="str">
        <f>IF(LEN(COUNTIFS($H$1:H159,$H159,$I$1:I159,$I159,$J$1:J159,$J159,$K$1:K159,K159,$L$1:L159,L159))=1,"00"&amp;COUNTIFS($H$1:H159,$H159,$I$1:I159,$I159,$J$1:J159,$J159,$K$1:K159,K159,$L$1:L159,L159),IF(LEN(COUNTIFS($H$1:H159,$H159,$I$1:I159,$I159,$J$1:J159,$J159,$K$1:K159,K159,$L$1:L159,L159))=2,"0"&amp;COUNTIFS($H$1:H159,$H159,$I$1:I159,$I159,$J$1:J159,$J159,$K$1:K159,K159,$L$1:L159,L159),COUNTIFS($H$1:H159,$H159,$I$1:I159,$I159,$J$1:J159,$J159,$K$1:K159,K159,$L$1:L159,L159)))</f>
        <v>001</v>
      </c>
      <c r="N15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9" s="14" t="e">
        <f>+LEN(Table4[[#This Row],[New Item Code]])</f>
        <v>#N/A</v>
      </c>
      <c r="P159" s="15" t="s">
        <v>4747</v>
      </c>
      <c r="Q159" s="15" t="s">
        <v>4749</v>
      </c>
      <c r="R159" s="15"/>
      <c r="S159" s="15"/>
      <c r="T159" s="15" t="s">
        <v>4681</v>
      </c>
    </row>
    <row r="160" spans="1:20" x14ac:dyDescent="0.35">
      <c r="A160" s="3" t="s">
        <v>325</v>
      </c>
      <c r="B160" s="3" t="s">
        <v>326</v>
      </c>
      <c r="C160" s="3" t="s">
        <v>15</v>
      </c>
      <c r="D160" s="5">
        <v>1170</v>
      </c>
      <c r="E160" s="3" t="s">
        <v>10</v>
      </c>
      <c r="F160" s="3">
        <v>0</v>
      </c>
      <c r="G160" s="21">
        <f>Table4[[#This Row],[Item Cost]]*Table4[[#This Row],[In Stock]]</f>
        <v>0</v>
      </c>
      <c r="H160" s="12" t="s">
        <v>4661</v>
      </c>
      <c r="I160" s="13" t="s">
        <v>4666</v>
      </c>
      <c r="J160" s="13" t="s">
        <v>4681</v>
      </c>
      <c r="K160" s="13" t="s">
        <v>4672</v>
      </c>
      <c r="L160" s="12" t="s">
        <v>4672</v>
      </c>
      <c r="M160" s="17" t="str">
        <f>IF(LEN(COUNTIFS($H$1:H160,$H160,$I$1:I160,$I160,$J$1:J160,$J160,$K$1:K160,K160,$L$1:L160,L160))=1,"00"&amp;COUNTIFS($H$1:H160,$H160,$I$1:I160,$I160,$J$1:J160,$J160,$K$1:K160,K160,$L$1:L160,L160),IF(LEN(COUNTIFS($H$1:H160,$H160,$I$1:I160,$I160,$J$1:J160,$J160,$K$1:K160,K160,$L$1:L160,L160))=2,"0"&amp;COUNTIFS($H$1:H160,$H160,$I$1:I160,$I160,$J$1:J160,$J160,$K$1:K160,K160,$L$1:L160,L160),COUNTIFS($H$1:H160,$H160,$I$1:I160,$I160,$J$1:J160,$J160,$K$1:K160,K160,$L$1:L160,L160)))</f>
        <v>002</v>
      </c>
      <c r="N16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0" s="14" t="e">
        <f>+LEN(Table4[[#This Row],[New Item Code]])</f>
        <v>#N/A</v>
      </c>
      <c r="P160" s="15" t="s">
        <v>4747</v>
      </c>
      <c r="Q160" s="15" t="s">
        <v>4749</v>
      </c>
      <c r="R160" s="15"/>
      <c r="S160" s="15"/>
      <c r="T160" s="15" t="s">
        <v>4681</v>
      </c>
    </row>
    <row r="161" spans="1:20" x14ac:dyDescent="0.35">
      <c r="A161" s="2" t="s">
        <v>327</v>
      </c>
      <c r="B161" s="2" t="s">
        <v>328</v>
      </c>
      <c r="C161" s="2" t="s">
        <v>15</v>
      </c>
      <c r="D161" s="4">
        <v>1308</v>
      </c>
      <c r="E161" s="2" t="s">
        <v>10</v>
      </c>
      <c r="F161" s="2">
        <v>1</v>
      </c>
      <c r="G161" s="22">
        <f>Table4[[#This Row],[Item Cost]]*Table4[[#This Row],[In Stock]]</f>
        <v>1308</v>
      </c>
      <c r="H161" s="12" t="s">
        <v>4661</v>
      </c>
      <c r="I161" s="13" t="s">
        <v>4666</v>
      </c>
      <c r="J161" s="13" t="s">
        <v>4681</v>
      </c>
      <c r="K161" s="13" t="s">
        <v>4672</v>
      </c>
      <c r="L161" s="12" t="s">
        <v>4672</v>
      </c>
      <c r="M161" s="17" t="str">
        <f>IF(LEN(COUNTIFS($H$1:H161,$H161,$I$1:I161,$I161,$J$1:J161,$J161,$K$1:K161,K161,$L$1:L161,L161))=1,"00"&amp;COUNTIFS($H$1:H161,$H161,$I$1:I161,$I161,$J$1:J161,$J161,$K$1:K161,K161,$L$1:L161,L161),IF(LEN(COUNTIFS($H$1:H161,$H161,$I$1:I161,$I161,$J$1:J161,$J161,$K$1:K161,K161,$L$1:L161,L161))=2,"0"&amp;COUNTIFS($H$1:H161,$H161,$I$1:I161,$I161,$J$1:J161,$J161,$K$1:K161,K161,$L$1:L161,L161),COUNTIFS($H$1:H161,$H161,$I$1:I161,$I161,$J$1:J161,$J161,$K$1:K161,K161,$L$1:L161,L161)))</f>
        <v>003</v>
      </c>
      <c r="N16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1" s="14" t="e">
        <f>+LEN(Table4[[#This Row],[New Item Code]])</f>
        <v>#N/A</v>
      </c>
      <c r="P161" s="15" t="s">
        <v>4747</v>
      </c>
      <c r="Q161" s="15" t="s">
        <v>4749</v>
      </c>
      <c r="R161" s="15"/>
      <c r="S161" s="15"/>
      <c r="T161" s="15" t="s">
        <v>4681</v>
      </c>
    </row>
    <row r="162" spans="1:20" x14ac:dyDescent="0.35">
      <c r="A162" s="3" t="s">
        <v>329</v>
      </c>
      <c r="B162" s="3" t="s">
        <v>330</v>
      </c>
      <c r="C162" s="3" t="s">
        <v>15</v>
      </c>
      <c r="D162" s="3">
        <v>250</v>
      </c>
      <c r="E162" s="3" t="s">
        <v>10</v>
      </c>
      <c r="F162" s="3">
        <v>10</v>
      </c>
      <c r="G162" s="21">
        <f>Table4[[#This Row],[Item Cost]]*Table4[[#This Row],[In Stock]]</f>
        <v>2500</v>
      </c>
      <c r="H162" s="12" t="s">
        <v>4661</v>
      </c>
      <c r="I162" s="13" t="s">
        <v>4666</v>
      </c>
      <c r="J162" s="13" t="s">
        <v>4681</v>
      </c>
      <c r="K162" s="13" t="s">
        <v>4672</v>
      </c>
      <c r="L162" s="12" t="s">
        <v>4672</v>
      </c>
      <c r="M162" s="17" t="str">
        <f>IF(LEN(COUNTIFS($H$1:H162,$H162,$I$1:I162,$I162,$J$1:J162,$J162,$K$1:K162,K162,$L$1:L162,L162))=1,"00"&amp;COUNTIFS($H$1:H162,$H162,$I$1:I162,$I162,$J$1:J162,$J162,$K$1:K162,K162,$L$1:L162,L162),IF(LEN(COUNTIFS($H$1:H162,$H162,$I$1:I162,$I162,$J$1:J162,$J162,$K$1:K162,K162,$L$1:L162,L162))=2,"0"&amp;COUNTIFS($H$1:H162,$H162,$I$1:I162,$I162,$J$1:J162,$J162,$K$1:K162,K162,$L$1:L162,L162),COUNTIFS($H$1:H162,$H162,$I$1:I162,$I162,$J$1:J162,$J162,$K$1:K162,K162,$L$1:L162,L162)))</f>
        <v>004</v>
      </c>
      <c r="N16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2" s="14" t="e">
        <f>+LEN(Table4[[#This Row],[New Item Code]])</f>
        <v>#N/A</v>
      </c>
      <c r="P162" s="15" t="s">
        <v>4747</v>
      </c>
      <c r="Q162" s="15" t="s">
        <v>4749</v>
      </c>
      <c r="R162" s="15"/>
      <c r="S162" s="15"/>
      <c r="T162" s="15" t="s">
        <v>4681</v>
      </c>
    </row>
    <row r="163" spans="1:20" x14ac:dyDescent="0.35">
      <c r="A163" s="2" t="s">
        <v>331</v>
      </c>
      <c r="B163" s="2" t="s">
        <v>332</v>
      </c>
      <c r="C163" s="2" t="s">
        <v>15</v>
      </c>
      <c r="D163" s="2">
        <v>250</v>
      </c>
      <c r="E163" s="2" t="s">
        <v>10</v>
      </c>
      <c r="F163" s="2">
        <v>4</v>
      </c>
      <c r="G163" s="22">
        <f>Table4[[#This Row],[Item Cost]]*Table4[[#This Row],[In Stock]]</f>
        <v>1000</v>
      </c>
      <c r="H163" s="12" t="s">
        <v>4661</v>
      </c>
      <c r="I163" s="13" t="s">
        <v>4666</v>
      </c>
      <c r="J163" s="13" t="s">
        <v>4681</v>
      </c>
      <c r="K163" s="13" t="s">
        <v>4672</v>
      </c>
      <c r="L163" s="12" t="s">
        <v>4672</v>
      </c>
      <c r="M163" s="17" t="str">
        <f>IF(LEN(COUNTIFS($H$1:H163,$H163,$I$1:I163,$I163,$J$1:J163,$J163,$K$1:K163,K163,$L$1:L163,L163))=1,"00"&amp;COUNTIFS($H$1:H163,$H163,$I$1:I163,$I163,$J$1:J163,$J163,$K$1:K163,K163,$L$1:L163,L163),IF(LEN(COUNTIFS($H$1:H163,$H163,$I$1:I163,$I163,$J$1:J163,$J163,$K$1:K163,K163,$L$1:L163,L163))=2,"0"&amp;COUNTIFS($H$1:H163,$H163,$I$1:I163,$I163,$J$1:J163,$J163,$K$1:K163,K163,$L$1:L163,L163),COUNTIFS($H$1:H163,$H163,$I$1:I163,$I163,$J$1:J163,$J163,$K$1:K163,K163,$L$1:L163,L163)))</f>
        <v>005</v>
      </c>
      <c r="N16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3" s="14" t="e">
        <f>+LEN(Table4[[#This Row],[New Item Code]])</f>
        <v>#N/A</v>
      </c>
      <c r="P163" s="15" t="s">
        <v>4747</v>
      </c>
      <c r="Q163" s="15" t="s">
        <v>4749</v>
      </c>
      <c r="R163" s="15"/>
      <c r="S163" s="15"/>
      <c r="T163" s="15" t="s">
        <v>4681</v>
      </c>
    </row>
    <row r="164" spans="1:20" x14ac:dyDescent="0.35">
      <c r="A164" s="3" t="s">
        <v>333</v>
      </c>
      <c r="B164" s="3" t="s">
        <v>334</v>
      </c>
      <c r="C164" s="3" t="s">
        <v>15</v>
      </c>
      <c r="D164" s="3">
        <v>250</v>
      </c>
      <c r="E164" s="3" t="s">
        <v>10</v>
      </c>
      <c r="F164" s="3">
        <v>6</v>
      </c>
      <c r="G164" s="21">
        <f>Table4[[#This Row],[Item Cost]]*Table4[[#This Row],[In Stock]]</f>
        <v>1500</v>
      </c>
      <c r="H164" s="12" t="s">
        <v>4661</v>
      </c>
      <c r="I164" s="13" t="s">
        <v>4666</v>
      </c>
      <c r="J164" s="13" t="s">
        <v>4681</v>
      </c>
      <c r="K164" s="13" t="s">
        <v>4672</v>
      </c>
      <c r="L164" s="12" t="s">
        <v>4672</v>
      </c>
      <c r="M164" s="17" t="str">
        <f>IF(LEN(COUNTIFS($H$1:H164,$H164,$I$1:I164,$I164,$J$1:J164,$J164,$K$1:K164,K164,$L$1:L164,L164))=1,"00"&amp;COUNTIFS($H$1:H164,$H164,$I$1:I164,$I164,$J$1:J164,$J164,$K$1:K164,K164,$L$1:L164,L164),IF(LEN(COUNTIFS($H$1:H164,$H164,$I$1:I164,$I164,$J$1:J164,$J164,$K$1:K164,K164,$L$1:L164,L164))=2,"0"&amp;COUNTIFS($H$1:H164,$H164,$I$1:I164,$I164,$J$1:J164,$J164,$K$1:K164,K164,$L$1:L164,L164),COUNTIFS($H$1:H164,$H164,$I$1:I164,$I164,$J$1:J164,$J164,$K$1:K164,K164,$L$1:L164,L164)))</f>
        <v>006</v>
      </c>
      <c r="N16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4" s="14" t="e">
        <f>+LEN(Table4[[#This Row],[New Item Code]])</f>
        <v>#N/A</v>
      </c>
      <c r="P164" s="15" t="s">
        <v>4747</v>
      </c>
      <c r="Q164" s="15" t="s">
        <v>4749</v>
      </c>
      <c r="R164" s="15"/>
      <c r="S164" s="15"/>
      <c r="T164" s="15" t="s">
        <v>4681</v>
      </c>
    </row>
    <row r="165" spans="1:20" x14ac:dyDescent="0.35">
      <c r="A165" s="2" t="s">
        <v>335</v>
      </c>
      <c r="B165" s="2" t="s">
        <v>336</v>
      </c>
      <c r="C165" s="2" t="s">
        <v>15</v>
      </c>
      <c r="D165" s="2">
        <v>500</v>
      </c>
      <c r="E165" s="2" t="s">
        <v>10</v>
      </c>
      <c r="F165" s="2">
        <v>2</v>
      </c>
      <c r="G165" s="22">
        <f>Table4[[#This Row],[Item Cost]]*Table4[[#This Row],[In Stock]]</f>
        <v>1000</v>
      </c>
      <c r="H165" s="12" t="s">
        <v>4661</v>
      </c>
      <c r="I165" s="13" t="s">
        <v>4666</v>
      </c>
      <c r="J165" s="13" t="s">
        <v>4681</v>
      </c>
      <c r="K165" s="13" t="s">
        <v>4672</v>
      </c>
      <c r="L165" s="12" t="s">
        <v>4672</v>
      </c>
      <c r="M165" s="17" t="str">
        <f>IF(LEN(COUNTIFS($H$1:H165,$H165,$I$1:I165,$I165,$J$1:J165,$J165,$K$1:K165,K165,$L$1:L165,L165))=1,"00"&amp;COUNTIFS($H$1:H165,$H165,$I$1:I165,$I165,$J$1:J165,$J165,$K$1:K165,K165,$L$1:L165,L165),IF(LEN(COUNTIFS($H$1:H165,$H165,$I$1:I165,$I165,$J$1:J165,$J165,$K$1:K165,K165,$L$1:L165,L165))=2,"0"&amp;COUNTIFS($H$1:H165,$H165,$I$1:I165,$I165,$J$1:J165,$J165,$K$1:K165,K165,$L$1:L165,L165),COUNTIFS($H$1:H165,$H165,$I$1:I165,$I165,$J$1:J165,$J165,$K$1:K165,K165,$L$1:L165,L165)))</f>
        <v>007</v>
      </c>
      <c r="N16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5" s="14" t="e">
        <f>+LEN(Table4[[#This Row],[New Item Code]])</f>
        <v>#N/A</v>
      </c>
      <c r="P165" s="15" t="s">
        <v>4747</v>
      </c>
      <c r="Q165" s="15" t="s">
        <v>4749</v>
      </c>
      <c r="R165" s="15"/>
      <c r="S165" s="15"/>
      <c r="T165" s="15" t="s">
        <v>4681</v>
      </c>
    </row>
    <row r="166" spans="1:20" x14ac:dyDescent="0.35">
      <c r="A166" s="3" t="s">
        <v>337</v>
      </c>
      <c r="B166" s="3" t="s">
        <v>338</v>
      </c>
      <c r="C166" s="3" t="s">
        <v>15</v>
      </c>
      <c r="D166" s="3">
        <v>250</v>
      </c>
      <c r="E166" s="3" t="s">
        <v>10</v>
      </c>
      <c r="F166" s="3">
        <v>1</v>
      </c>
      <c r="G166" s="21">
        <f>Table4[[#This Row],[Item Cost]]*Table4[[#This Row],[In Stock]]</f>
        <v>250</v>
      </c>
      <c r="H166" s="12" t="s">
        <v>4661</v>
      </c>
      <c r="I166" s="13" t="s">
        <v>4666</v>
      </c>
      <c r="J166" s="13" t="s">
        <v>4681</v>
      </c>
      <c r="K166" s="13" t="s">
        <v>4672</v>
      </c>
      <c r="L166" s="12" t="s">
        <v>4672</v>
      </c>
      <c r="M166" s="17" t="str">
        <f>IF(LEN(COUNTIFS($H$1:H166,$H166,$I$1:I166,$I166,$J$1:J166,$J166,$K$1:K166,K166,$L$1:L166,L166))=1,"00"&amp;COUNTIFS($H$1:H166,$H166,$I$1:I166,$I166,$J$1:J166,$J166,$K$1:K166,K166,$L$1:L166,L166),IF(LEN(COUNTIFS($H$1:H166,$H166,$I$1:I166,$I166,$J$1:J166,$J166,$K$1:K166,K166,$L$1:L166,L166))=2,"0"&amp;COUNTIFS($H$1:H166,$H166,$I$1:I166,$I166,$J$1:J166,$J166,$K$1:K166,K166,$L$1:L166,L166),COUNTIFS($H$1:H166,$H166,$I$1:I166,$I166,$J$1:J166,$J166,$K$1:K166,K166,$L$1:L166,L166)))</f>
        <v>008</v>
      </c>
      <c r="N16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6" s="14" t="e">
        <f>+LEN(Table4[[#This Row],[New Item Code]])</f>
        <v>#N/A</v>
      </c>
      <c r="P166" s="15" t="s">
        <v>4747</v>
      </c>
      <c r="Q166" s="15" t="s">
        <v>4749</v>
      </c>
      <c r="R166" s="15"/>
      <c r="S166" s="15"/>
      <c r="T166" s="15" t="s">
        <v>4681</v>
      </c>
    </row>
    <row r="167" spans="1:20" x14ac:dyDescent="0.35">
      <c r="A167" s="2" t="s">
        <v>339</v>
      </c>
      <c r="B167" s="2" t="s">
        <v>340</v>
      </c>
      <c r="C167" s="2" t="s">
        <v>15</v>
      </c>
      <c r="D167" s="2">
        <v>250</v>
      </c>
      <c r="E167" s="2" t="s">
        <v>10</v>
      </c>
      <c r="F167" s="2">
        <v>2</v>
      </c>
      <c r="G167" s="22">
        <f>Table4[[#This Row],[Item Cost]]*Table4[[#This Row],[In Stock]]</f>
        <v>500</v>
      </c>
      <c r="H167" s="12" t="s">
        <v>4661</v>
      </c>
      <c r="I167" s="13" t="s">
        <v>4666</v>
      </c>
      <c r="J167" s="13" t="s">
        <v>4681</v>
      </c>
      <c r="K167" s="13" t="s">
        <v>4776</v>
      </c>
      <c r="L167" s="12" t="s">
        <v>4672</v>
      </c>
      <c r="M167" s="17" t="str">
        <f>IF(LEN(COUNTIFS($H$1:H167,$H167,$I$1:I167,$I167,$J$1:J167,$J167,$K$1:K167,K167,$L$1:L167,L167))=1,"00"&amp;COUNTIFS($H$1:H167,$H167,$I$1:I167,$I167,$J$1:J167,$J167,$K$1:K167,K167,$L$1:L167,L167),IF(LEN(COUNTIFS($H$1:H167,$H167,$I$1:I167,$I167,$J$1:J167,$J167,$K$1:K167,K167,$L$1:L167,L167))=2,"0"&amp;COUNTIFS($H$1:H167,$H167,$I$1:I167,$I167,$J$1:J167,$J167,$K$1:K167,K167,$L$1:L167,L167),COUNTIFS($H$1:H167,$H167,$I$1:I167,$I167,$J$1:J167,$J167,$K$1:K167,K167,$L$1:L167,L167)))</f>
        <v>001</v>
      </c>
      <c r="N16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7" s="14" t="e">
        <f>+LEN(Table4[[#This Row],[New Item Code]])</f>
        <v>#N/A</v>
      </c>
      <c r="P167" s="15" t="s">
        <v>4747</v>
      </c>
      <c r="Q167" s="15" t="s">
        <v>4749</v>
      </c>
      <c r="R167" s="15"/>
      <c r="S167" s="15"/>
      <c r="T167" s="15" t="s">
        <v>4681</v>
      </c>
    </row>
    <row r="168" spans="1:20" x14ac:dyDescent="0.35">
      <c r="A168" s="3" t="s">
        <v>341</v>
      </c>
      <c r="B168" s="3" t="s">
        <v>342</v>
      </c>
      <c r="C168" s="3" t="s">
        <v>15</v>
      </c>
      <c r="D168" s="3">
        <v>210</v>
      </c>
      <c r="E168" s="3" t="s">
        <v>10</v>
      </c>
      <c r="F168" s="3">
        <v>12</v>
      </c>
      <c r="G168" s="21">
        <f>Table4[[#This Row],[Item Cost]]*Table4[[#This Row],[In Stock]]</f>
        <v>2520</v>
      </c>
      <c r="H168" s="12" t="s">
        <v>4661</v>
      </c>
      <c r="I168" s="13" t="s">
        <v>4666</v>
      </c>
      <c r="J168" s="13" t="s">
        <v>4681</v>
      </c>
      <c r="K168" s="13" t="s">
        <v>4672</v>
      </c>
      <c r="L168" s="12" t="s">
        <v>4672</v>
      </c>
      <c r="M168" s="17" t="str">
        <f>IF(LEN(COUNTIFS($H$1:H168,$H168,$I$1:I168,$I168,$J$1:J168,$J168,$K$1:K168,K168,$L$1:L168,L168))=1,"00"&amp;COUNTIFS($H$1:H168,$H168,$I$1:I168,$I168,$J$1:J168,$J168,$K$1:K168,K168,$L$1:L168,L168),IF(LEN(COUNTIFS($H$1:H168,$H168,$I$1:I168,$I168,$J$1:J168,$J168,$K$1:K168,K168,$L$1:L168,L168))=2,"0"&amp;COUNTIFS($H$1:H168,$H168,$I$1:I168,$I168,$J$1:J168,$J168,$K$1:K168,K168,$L$1:L168,L168),COUNTIFS($H$1:H168,$H168,$I$1:I168,$I168,$J$1:J168,$J168,$K$1:K168,K168,$L$1:L168,L168)))</f>
        <v>009</v>
      </c>
      <c r="N16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8" s="14" t="e">
        <f>+LEN(Table4[[#This Row],[New Item Code]])</f>
        <v>#N/A</v>
      </c>
      <c r="P168" s="15" t="s">
        <v>4747</v>
      </c>
      <c r="Q168" s="15" t="s">
        <v>4749</v>
      </c>
      <c r="R168" s="15"/>
      <c r="S168" s="15"/>
      <c r="T168" s="15" t="s">
        <v>4681</v>
      </c>
    </row>
    <row r="169" spans="1:20" x14ac:dyDescent="0.35">
      <c r="A169" s="2" t="s">
        <v>343</v>
      </c>
      <c r="B169" s="2" t="s">
        <v>344</v>
      </c>
      <c r="C169" s="2" t="s">
        <v>15</v>
      </c>
      <c r="D169" s="2">
        <v>275.44</v>
      </c>
      <c r="E169" s="2" t="s">
        <v>10</v>
      </c>
      <c r="F169" s="2">
        <v>3</v>
      </c>
      <c r="G169" s="22">
        <f>Table4[[#This Row],[Item Cost]]*Table4[[#This Row],[In Stock]]</f>
        <v>826.31999999999994</v>
      </c>
      <c r="H169" s="12" t="s">
        <v>4661</v>
      </c>
      <c r="I169" s="13" t="s">
        <v>4666</v>
      </c>
      <c r="J169" s="13" t="s">
        <v>4681</v>
      </c>
      <c r="K169" s="13" t="s">
        <v>4672</v>
      </c>
      <c r="L169" s="12" t="s">
        <v>4672</v>
      </c>
      <c r="M169" s="17" t="str">
        <f>IF(LEN(COUNTIFS($H$1:H169,$H169,$I$1:I169,$I169,$J$1:J169,$J169,$K$1:K169,K169,$L$1:L169,L169))=1,"00"&amp;COUNTIFS($H$1:H169,$H169,$I$1:I169,$I169,$J$1:J169,$J169,$K$1:K169,K169,$L$1:L169,L169),IF(LEN(COUNTIFS($H$1:H169,$H169,$I$1:I169,$I169,$J$1:J169,$J169,$K$1:K169,K169,$L$1:L169,L169))=2,"0"&amp;COUNTIFS($H$1:H169,$H169,$I$1:I169,$I169,$J$1:J169,$J169,$K$1:K169,K169,$L$1:L169,L169),COUNTIFS($H$1:H169,$H169,$I$1:I169,$I169,$J$1:J169,$J169,$K$1:K169,K169,$L$1:L169,L169)))</f>
        <v>010</v>
      </c>
      <c r="N16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9" s="14" t="e">
        <f>+LEN(Table4[[#This Row],[New Item Code]])</f>
        <v>#N/A</v>
      </c>
      <c r="P169" s="15" t="s">
        <v>4747</v>
      </c>
      <c r="Q169" s="15" t="s">
        <v>4749</v>
      </c>
      <c r="R169" s="15"/>
      <c r="S169" s="15"/>
      <c r="T169" s="15" t="s">
        <v>4681</v>
      </c>
    </row>
    <row r="170" spans="1:20" x14ac:dyDescent="0.35">
      <c r="A170" s="3" t="s">
        <v>345</v>
      </c>
      <c r="B170" s="3" t="s">
        <v>346</v>
      </c>
      <c r="C170" s="3" t="s">
        <v>15</v>
      </c>
      <c r="D170" s="3">
        <v>881.4</v>
      </c>
      <c r="E170" s="3" t="s">
        <v>10</v>
      </c>
      <c r="F170" s="3">
        <v>3</v>
      </c>
      <c r="G170" s="21">
        <f>Table4[[#This Row],[Item Cost]]*Table4[[#This Row],[In Stock]]</f>
        <v>2644.2</v>
      </c>
      <c r="H170" s="12" t="s">
        <v>4661</v>
      </c>
      <c r="I170" s="13" t="s">
        <v>4666</v>
      </c>
      <c r="J170" s="13" t="s">
        <v>4681</v>
      </c>
      <c r="K170" s="13" t="s">
        <v>4672</v>
      </c>
      <c r="L170" s="12" t="s">
        <v>4672</v>
      </c>
      <c r="M170" s="17" t="str">
        <f>IF(LEN(COUNTIFS($H$1:H170,$H170,$I$1:I170,$I170,$J$1:J170,$J170,$K$1:K170,K170,$L$1:L170,L170))=1,"00"&amp;COUNTIFS($H$1:H170,$H170,$I$1:I170,$I170,$J$1:J170,$J170,$K$1:K170,K170,$L$1:L170,L170),IF(LEN(COUNTIFS($H$1:H170,$H170,$I$1:I170,$I170,$J$1:J170,$J170,$K$1:K170,K170,$L$1:L170,L170))=2,"0"&amp;COUNTIFS($H$1:H170,$H170,$I$1:I170,$I170,$J$1:J170,$J170,$K$1:K170,K170,$L$1:L170,L170),COUNTIFS($H$1:H170,$H170,$I$1:I170,$I170,$J$1:J170,$J170,$K$1:K170,K170,$L$1:L170,L170)))</f>
        <v>011</v>
      </c>
      <c r="N17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0" s="14" t="e">
        <f>+LEN(Table4[[#This Row],[New Item Code]])</f>
        <v>#N/A</v>
      </c>
      <c r="P170" s="15" t="s">
        <v>4747</v>
      </c>
      <c r="Q170" s="15" t="s">
        <v>4749</v>
      </c>
      <c r="R170" s="15"/>
      <c r="S170" s="15"/>
      <c r="T170" s="15" t="s">
        <v>4681</v>
      </c>
    </row>
    <row r="171" spans="1:20" x14ac:dyDescent="0.35">
      <c r="A171" s="2" t="s">
        <v>347</v>
      </c>
      <c r="B171" s="2" t="s">
        <v>348</v>
      </c>
      <c r="C171" s="2" t="s">
        <v>15</v>
      </c>
      <c r="D171" s="2">
        <v>881.4</v>
      </c>
      <c r="E171" s="2" t="s">
        <v>10</v>
      </c>
      <c r="F171" s="2">
        <v>3</v>
      </c>
      <c r="G171" s="22">
        <f>Table4[[#This Row],[Item Cost]]*Table4[[#This Row],[In Stock]]</f>
        <v>2644.2</v>
      </c>
      <c r="H171" s="12" t="s">
        <v>4661</v>
      </c>
      <c r="I171" s="13" t="s">
        <v>4666</v>
      </c>
      <c r="J171" s="13" t="s">
        <v>4681</v>
      </c>
      <c r="K171" s="13" t="s">
        <v>4672</v>
      </c>
      <c r="L171" s="12" t="s">
        <v>4672</v>
      </c>
      <c r="M171" s="17" t="str">
        <f>IF(LEN(COUNTIFS($H$1:H171,$H171,$I$1:I171,$I171,$J$1:J171,$J171,$K$1:K171,K171,$L$1:L171,L171))=1,"00"&amp;COUNTIFS($H$1:H171,$H171,$I$1:I171,$I171,$J$1:J171,$J171,$K$1:K171,K171,$L$1:L171,L171),IF(LEN(COUNTIFS($H$1:H171,$H171,$I$1:I171,$I171,$J$1:J171,$J171,$K$1:K171,K171,$L$1:L171,L171))=2,"0"&amp;COUNTIFS($H$1:H171,$H171,$I$1:I171,$I171,$J$1:J171,$J171,$K$1:K171,K171,$L$1:L171,L171),COUNTIFS($H$1:H171,$H171,$I$1:I171,$I171,$J$1:J171,$J171,$K$1:K171,K171,$L$1:L171,L171)))</f>
        <v>012</v>
      </c>
      <c r="N17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1" s="14" t="e">
        <f>+LEN(Table4[[#This Row],[New Item Code]])</f>
        <v>#N/A</v>
      </c>
      <c r="P171" s="15" t="s">
        <v>4747</v>
      </c>
      <c r="Q171" s="15" t="s">
        <v>4749</v>
      </c>
      <c r="R171" s="15"/>
      <c r="S171" s="15"/>
      <c r="T171" s="15" t="s">
        <v>4681</v>
      </c>
    </row>
    <row r="172" spans="1:20" x14ac:dyDescent="0.35">
      <c r="A172" s="3" t="s">
        <v>349</v>
      </c>
      <c r="B172" s="3" t="s">
        <v>350</v>
      </c>
      <c r="C172" s="3" t="s">
        <v>15</v>
      </c>
      <c r="D172" s="5">
        <v>2534.027</v>
      </c>
      <c r="E172" s="3" t="s">
        <v>10</v>
      </c>
      <c r="F172" s="3">
        <v>3</v>
      </c>
      <c r="G172" s="21">
        <f>Table4[[#This Row],[Item Cost]]*Table4[[#This Row],[In Stock]]</f>
        <v>7602.0810000000001</v>
      </c>
      <c r="H172" s="12" t="s">
        <v>4661</v>
      </c>
      <c r="I172" s="13" t="s">
        <v>4666</v>
      </c>
      <c r="J172" s="13" t="s">
        <v>4681</v>
      </c>
      <c r="K172" s="13" t="s">
        <v>4672</v>
      </c>
      <c r="L172" s="12" t="s">
        <v>4672</v>
      </c>
      <c r="M172" s="17" t="str">
        <f>IF(LEN(COUNTIFS($H$1:H172,$H172,$I$1:I172,$I172,$J$1:J172,$J172,$K$1:K172,K172,$L$1:L172,L172))=1,"00"&amp;COUNTIFS($H$1:H172,$H172,$I$1:I172,$I172,$J$1:J172,$J172,$K$1:K172,K172,$L$1:L172,L172),IF(LEN(COUNTIFS($H$1:H172,$H172,$I$1:I172,$I172,$J$1:J172,$J172,$K$1:K172,K172,$L$1:L172,L172))=2,"0"&amp;COUNTIFS($H$1:H172,$H172,$I$1:I172,$I172,$J$1:J172,$J172,$K$1:K172,K172,$L$1:L172,L172),COUNTIFS($H$1:H172,$H172,$I$1:I172,$I172,$J$1:J172,$J172,$K$1:K172,K172,$L$1:L172,L172)))</f>
        <v>013</v>
      </c>
      <c r="N17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2" s="14" t="e">
        <f>+LEN(Table4[[#This Row],[New Item Code]])</f>
        <v>#N/A</v>
      </c>
      <c r="P172" s="15" t="s">
        <v>4747</v>
      </c>
      <c r="Q172" s="15" t="s">
        <v>4749</v>
      </c>
      <c r="R172" s="15"/>
      <c r="S172" s="15"/>
      <c r="T172" s="15" t="s">
        <v>4681</v>
      </c>
    </row>
    <row r="173" spans="1:20" x14ac:dyDescent="0.35">
      <c r="A173" s="2" t="s">
        <v>351</v>
      </c>
      <c r="B173" s="2" t="s">
        <v>352</v>
      </c>
      <c r="C173" s="2" t="s">
        <v>15</v>
      </c>
      <c r="D173" s="2">
        <v>128.54</v>
      </c>
      <c r="E173" s="2" t="s">
        <v>10</v>
      </c>
      <c r="F173" s="2">
        <v>3</v>
      </c>
      <c r="G173" s="22">
        <f>Table4[[#This Row],[Item Cost]]*Table4[[#This Row],[In Stock]]</f>
        <v>385.62</v>
      </c>
      <c r="H173" s="12" t="s">
        <v>4661</v>
      </c>
      <c r="I173" s="13" t="s">
        <v>4666</v>
      </c>
      <c r="J173" s="13" t="s">
        <v>4681</v>
      </c>
      <c r="K173" s="13" t="s">
        <v>4672</v>
      </c>
      <c r="L173" s="12" t="s">
        <v>4672</v>
      </c>
      <c r="M173" s="17" t="str">
        <f>IF(LEN(COUNTIFS($H$1:H173,$H173,$I$1:I173,$I173,$J$1:J173,$J173,$K$1:K173,K173,$L$1:L173,L173))=1,"00"&amp;COUNTIFS($H$1:H173,$H173,$I$1:I173,$I173,$J$1:J173,$J173,$K$1:K173,K173,$L$1:L173,L173),IF(LEN(COUNTIFS($H$1:H173,$H173,$I$1:I173,$I173,$J$1:J173,$J173,$K$1:K173,K173,$L$1:L173,L173))=2,"0"&amp;COUNTIFS($H$1:H173,$H173,$I$1:I173,$I173,$J$1:J173,$J173,$K$1:K173,K173,$L$1:L173,L173),COUNTIFS($H$1:H173,$H173,$I$1:I173,$I173,$J$1:J173,$J173,$K$1:K173,K173,$L$1:L173,L173)))</f>
        <v>014</v>
      </c>
      <c r="N17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3" s="14" t="e">
        <f>+LEN(Table4[[#This Row],[New Item Code]])</f>
        <v>#N/A</v>
      </c>
      <c r="P173" s="15" t="s">
        <v>4747</v>
      </c>
      <c r="Q173" s="15" t="s">
        <v>4749</v>
      </c>
      <c r="R173" s="15"/>
      <c r="S173" s="15"/>
      <c r="T173" s="15" t="s">
        <v>4681</v>
      </c>
    </row>
    <row r="174" spans="1:20" x14ac:dyDescent="0.35">
      <c r="A174" s="3" t="s">
        <v>353</v>
      </c>
      <c r="B174" s="3" t="s">
        <v>354</v>
      </c>
      <c r="C174" s="3" t="s">
        <v>56</v>
      </c>
      <c r="D174" s="3">
        <v>0</v>
      </c>
      <c r="E174" s="3" t="s">
        <v>57</v>
      </c>
      <c r="F174" s="3">
        <v>0</v>
      </c>
      <c r="G174" s="21">
        <f>Table4[[#This Row],[Item Cost]]*Table4[[#This Row],[In Stock]]</f>
        <v>0</v>
      </c>
      <c r="H174" s="12" t="s">
        <v>4661</v>
      </c>
      <c r="I174" s="13" t="s">
        <v>4668</v>
      </c>
      <c r="J174" s="13" t="s">
        <v>4672</v>
      </c>
      <c r="K174" s="13" t="s">
        <v>4758</v>
      </c>
      <c r="L174" s="12" t="s">
        <v>4672</v>
      </c>
      <c r="M174" s="17" t="str">
        <f>IF(LEN(COUNTIFS($H$1:H174,$H174,$I$1:I174,$I174,$J$1:J174,$J174,$K$1:K174,K174,$L$1:L174,L174))=1,"00"&amp;COUNTIFS($H$1:H174,$H174,$I$1:I174,$I174,$J$1:J174,$J174,$K$1:K174,K174,$L$1:L174,L174),IF(LEN(COUNTIFS($H$1:H174,$H174,$I$1:I174,$I174,$J$1:J174,$J174,$K$1:K174,K174,$L$1:L174,L174))=2,"0"&amp;COUNTIFS($H$1:H174,$H174,$I$1:I174,$I174,$J$1:J174,$J174,$K$1:K174,K174,$L$1:L174,L174),COUNTIFS($H$1:H174,$H174,$I$1:I174,$I174,$J$1:J174,$J174,$K$1:K174,K174,$L$1:L174,L174)))</f>
        <v>001</v>
      </c>
      <c r="N17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4" s="14" t="e">
        <f>+LEN(Table4[[#This Row],[New Item Code]])</f>
        <v>#N/A</v>
      </c>
      <c r="P174" s="15" t="s">
        <v>4747</v>
      </c>
      <c r="Q174" s="15" t="s">
        <v>4749</v>
      </c>
      <c r="R174" s="15"/>
      <c r="S174" s="15"/>
      <c r="T174" s="15" t="s">
        <v>4672</v>
      </c>
    </row>
    <row r="175" spans="1:20" x14ac:dyDescent="0.35">
      <c r="A175" s="2" t="s">
        <v>355</v>
      </c>
      <c r="B175" s="2" t="s">
        <v>356</v>
      </c>
      <c r="C175" s="2" t="s">
        <v>56</v>
      </c>
      <c r="D175" s="2">
        <v>0</v>
      </c>
      <c r="E175" s="2" t="s">
        <v>57</v>
      </c>
      <c r="F175" s="2">
        <v>0</v>
      </c>
      <c r="G175" s="22">
        <f>Table4[[#This Row],[Item Cost]]*Table4[[#This Row],[In Stock]]</f>
        <v>0</v>
      </c>
      <c r="H175" s="12" t="s">
        <v>4661</v>
      </c>
      <c r="I175" s="13" t="s">
        <v>4668</v>
      </c>
      <c r="J175" s="13" t="s">
        <v>4672</v>
      </c>
      <c r="K175" s="13" t="s">
        <v>4758</v>
      </c>
      <c r="L175" s="12" t="s">
        <v>4672</v>
      </c>
      <c r="M175" s="17" t="str">
        <f>IF(LEN(COUNTIFS($H$1:H175,$H175,$I$1:I175,$I175,$J$1:J175,$J175,$K$1:K175,K175,$L$1:L175,L175))=1,"00"&amp;COUNTIFS($H$1:H175,$H175,$I$1:I175,$I175,$J$1:J175,$J175,$K$1:K175,K175,$L$1:L175,L175),IF(LEN(COUNTIFS($H$1:H175,$H175,$I$1:I175,$I175,$J$1:J175,$J175,$K$1:K175,K175,$L$1:L175,L175))=2,"0"&amp;COUNTIFS($H$1:H175,$H175,$I$1:I175,$I175,$J$1:J175,$J175,$K$1:K175,K175,$L$1:L175,L175),COUNTIFS($H$1:H175,$H175,$I$1:I175,$I175,$J$1:J175,$J175,$K$1:K175,K175,$L$1:L175,L175)))</f>
        <v>002</v>
      </c>
      <c r="N17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5" s="14" t="e">
        <f>+LEN(Table4[[#This Row],[New Item Code]])</f>
        <v>#N/A</v>
      </c>
      <c r="P175" s="15" t="s">
        <v>4747</v>
      </c>
      <c r="Q175" s="15" t="s">
        <v>4749</v>
      </c>
      <c r="R175" s="15"/>
      <c r="S175" s="15"/>
      <c r="T175" s="15" t="s">
        <v>4672</v>
      </c>
    </row>
    <row r="176" spans="1:20" x14ac:dyDescent="0.35">
      <c r="A176" s="3" t="s">
        <v>357</v>
      </c>
      <c r="B176" s="3" t="s">
        <v>358</v>
      </c>
      <c r="C176" s="3" t="s">
        <v>56</v>
      </c>
      <c r="D176" s="3">
        <v>0</v>
      </c>
      <c r="E176" s="3" t="s">
        <v>57</v>
      </c>
      <c r="F176" s="3">
        <v>0</v>
      </c>
      <c r="G176" s="21">
        <f>Table4[[#This Row],[Item Cost]]*Table4[[#This Row],[In Stock]]</f>
        <v>0</v>
      </c>
      <c r="H176" s="12" t="s">
        <v>4661</v>
      </c>
      <c r="I176" s="13" t="s">
        <v>4668</v>
      </c>
      <c r="J176" s="13" t="s">
        <v>4672</v>
      </c>
      <c r="K176" s="13" t="s">
        <v>4758</v>
      </c>
      <c r="L176" s="12" t="s">
        <v>4672</v>
      </c>
      <c r="M176" s="17" t="str">
        <f>IF(LEN(COUNTIFS($H$1:H176,$H176,$I$1:I176,$I176,$J$1:J176,$J176,$K$1:K176,K176,$L$1:L176,L176))=1,"00"&amp;COUNTIFS($H$1:H176,$H176,$I$1:I176,$I176,$J$1:J176,$J176,$K$1:K176,K176,$L$1:L176,L176),IF(LEN(COUNTIFS($H$1:H176,$H176,$I$1:I176,$I176,$J$1:J176,$J176,$K$1:K176,K176,$L$1:L176,L176))=2,"0"&amp;COUNTIFS($H$1:H176,$H176,$I$1:I176,$I176,$J$1:J176,$J176,$K$1:K176,K176,$L$1:L176,L176),COUNTIFS($H$1:H176,$H176,$I$1:I176,$I176,$J$1:J176,$J176,$K$1:K176,K176,$L$1:L176,L176)))</f>
        <v>003</v>
      </c>
      <c r="N17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6" s="14" t="e">
        <f>+LEN(Table4[[#This Row],[New Item Code]])</f>
        <v>#N/A</v>
      </c>
      <c r="P176" s="15" t="s">
        <v>4747</v>
      </c>
      <c r="Q176" s="15" t="s">
        <v>4749</v>
      </c>
      <c r="R176" s="15"/>
      <c r="S176" s="15"/>
      <c r="T176" s="15" t="s">
        <v>4672</v>
      </c>
    </row>
    <row r="177" spans="1:20" x14ac:dyDescent="0.35">
      <c r="A177" s="2" t="s">
        <v>359</v>
      </c>
      <c r="B177" s="2" t="s">
        <v>360</v>
      </c>
      <c r="C177" s="2" t="s">
        <v>56</v>
      </c>
      <c r="D177" s="2">
        <v>0</v>
      </c>
      <c r="E177" s="2" t="s">
        <v>57</v>
      </c>
      <c r="F177" s="2">
        <v>0</v>
      </c>
      <c r="G177" s="22">
        <f>Table4[[#This Row],[Item Cost]]*Table4[[#This Row],[In Stock]]</f>
        <v>0</v>
      </c>
      <c r="H177" s="12" t="s">
        <v>4661</v>
      </c>
      <c r="I177" s="13" t="s">
        <v>4668</v>
      </c>
      <c r="J177" s="13" t="s">
        <v>4672</v>
      </c>
      <c r="K177" s="13" t="s">
        <v>4758</v>
      </c>
      <c r="L177" s="12" t="s">
        <v>4672</v>
      </c>
      <c r="M177" s="17" t="str">
        <f>IF(LEN(COUNTIFS($H$1:H177,$H177,$I$1:I177,$I177,$J$1:J177,$J177,$K$1:K177,K177,$L$1:L177,L177))=1,"00"&amp;COUNTIFS($H$1:H177,$H177,$I$1:I177,$I177,$J$1:J177,$J177,$K$1:K177,K177,$L$1:L177,L177),IF(LEN(COUNTIFS($H$1:H177,$H177,$I$1:I177,$I177,$J$1:J177,$J177,$K$1:K177,K177,$L$1:L177,L177))=2,"0"&amp;COUNTIFS($H$1:H177,$H177,$I$1:I177,$I177,$J$1:J177,$J177,$K$1:K177,K177,$L$1:L177,L177),COUNTIFS($H$1:H177,$H177,$I$1:I177,$I177,$J$1:J177,$J177,$K$1:K177,K177,$L$1:L177,L177)))</f>
        <v>004</v>
      </c>
      <c r="N17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7" s="14" t="e">
        <f>+LEN(Table4[[#This Row],[New Item Code]])</f>
        <v>#N/A</v>
      </c>
      <c r="P177" s="15" t="s">
        <v>4747</v>
      </c>
      <c r="Q177" s="15" t="s">
        <v>4749</v>
      </c>
      <c r="R177" s="15"/>
      <c r="S177" s="15"/>
      <c r="T177" s="15" t="s">
        <v>4672</v>
      </c>
    </row>
    <row r="178" spans="1:20" x14ac:dyDescent="0.35">
      <c r="A178" s="3" t="s">
        <v>361</v>
      </c>
      <c r="B178" s="3" t="s">
        <v>362</v>
      </c>
      <c r="C178" s="3" t="s">
        <v>56</v>
      </c>
      <c r="D178" s="3">
        <v>0</v>
      </c>
      <c r="E178" s="3" t="s">
        <v>57</v>
      </c>
      <c r="F178" s="3">
        <v>0</v>
      </c>
      <c r="G178" s="21">
        <f>Table4[[#This Row],[Item Cost]]*Table4[[#This Row],[In Stock]]</f>
        <v>0</v>
      </c>
      <c r="H178" s="12" t="s">
        <v>4661</v>
      </c>
      <c r="I178" s="13" t="s">
        <v>4668</v>
      </c>
      <c r="J178" s="13" t="s">
        <v>4672</v>
      </c>
      <c r="K178" s="13" t="s">
        <v>4758</v>
      </c>
      <c r="L178" s="12" t="s">
        <v>4672</v>
      </c>
      <c r="M178" s="17" t="str">
        <f>IF(LEN(COUNTIFS($H$1:H178,$H178,$I$1:I178,$I178,$J$1:J178,$J178,$K$1:K178,K178,$L$1:L178,L178))=1,"00"&amp;COUNTIFS($H$1:H178,$H178,$I$1:I178,$I178,$J$1:J178,$J178,$K$1:K178,K178,$L$1:L178,L178),IF(LEN(COUNTIFS($H$1:H178,$H178,$I$1:I178,$I178,$J$1:J178,$J178,$K$1:K178,K178,$L$1:L178,L178))=2,"0"&amp;COUNTIFS($H$1:H178,$H178,$I$1:I178,$I178,$J$1:J178,$J178,$K$1:K178,K178,$L$1:L178,L178),COUNTIFS($H$1:H178,$H178,$I$1:I178,$I178,$J$1:J178,$J178,$K$1:K178,K178,$L$1:L178,L178)))</f>
        <v>005</v>
      </c>
      <c r="N17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8" s="14" t="e">
        <f>+LEN(Table4[[#This Row],[New Item Code]])</f>
        <v>#N/A</v>
      </c>
      <c r="P178" s="15" t="s">
        <v>4747</v>
      </c>
      <c r="Q178" s="15" t="s">
        <v>4749</v>
      </c>
      <c r="R178" s="15"/>
      <c r="S178" s="15"/>
      <c r="T178" s="15" t="s">
        <v>4672</v>
      </c>
    </row>
    <row r="179" spans="1:20" x14ac:dyDescent="0.35">
      <c r="A179" s="2" t="s">
        <v>363</v>
      </c>
      <c r="B179" s="2" t="s">
        <v>364</v>
      </c>
      <c r="C179" s="2" t="s">
        <v>56</v>
      </c>
      <c r="D179" s="2">
        <v>0</v>
      </c>
      <c r="E179" s="2" t="s">
        <v>57</v>
      </c>
      <c r="F179" s="2">
        <v>0</v>
      </c>
      <c r="G179" s="22">
        <f>Table4[[#This Row],[Item Cost]]*Table4[[#This Row],[In Stock]]</f>
        <v>0</v>
      </c>
      <c r="H179" s="12" t="s">
        <v>4661</v>
      </c>
      <c r="I179" s="13" t="s">
        <v>4668</v>
      </c>
      <c r="J179" s="13" t="s">
        <v>4672</v>
      </c>
      <c r="K179" s="13" t="s">
        <v>4758</v>
      </c>
      <c r="L179" s="12" t="s">
        <v>4672</v>
      </c>
      <c r="M179" s="17" t="str">
        <f>IF(LEN(COUNTIFS($H$1:H179,$H179,$I$1:I179,$I179,$J$1:J179,$J179,$K$1:K179,K179,$L$1:L179,L179))=1,"00"&amp;COUNTIFS($H$1:H179,$H179,$I$1:I179,$I179,$J$1:J179,$J179,$K$1:K179,K179,$L$1:L179,L179),IF(LEN(COUNTIFS($H$1:H179,$H179,$I$1:I179,$I179,$J$1:J179,$J179,$K$1:K179,K179,$L$1:L179,L179))=2,"0"&amp;COUNTIFS($H$1:H179,$H179,$I$1:I179,$I179,$J$1:J179,$J179,$K$1:K179,K179,$L$1:L179,L179),COUNTIFS($H$1:H179,$H179,$I$1:I179,$I179,$J$1:J179,$J179,$K$1:K179,K179,$L$1:L179,L179)))</f>
        <v>006</v>
      </c>
      <c r="N17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9" s="14" t="e">
        <f>+LEN(Table4[[#This Row],[New Item Code]])</f>
        <v>#N/A</v>
      </c>
      <c r="P179" s="15" t="s">
        <v>4747</v>
      </c>
      <c r="Q179" s="15" t="s">
        <v>4749</v>
      </c>
      <c r="R179" s="15"/>
      <c r="S179" s="15"/>
      <c r="T179" s="15" t="s">
        <v>4672</v>
      </c>
    </row>
    <row r="180" spans="1:20" x14ac:dyDescent="0.35">
      <c r="A180" s="3" t="s">
        <v>365</v>
      </c>
      <c r="B180" s="3" t="s">
        <v>366</v>
      </c>
      <c r="C180" s="3" t="s">
        <v>56</v>
      </c>
      <c r="D180" s="3">
        <v>0</v>
      </c>
      <c r="E180" s="3" t="s">
        <v>57</v>
      </c>
      <c r="F180" s="3">
        <v>0</v>
      </c>
      <c r="G180" s="21">
        <f>Table4[[#This Row],[Item Cost]]*Table4[[#This Row],[In Stock]]</f>
        <v>0</v>
      </c>
      <c r="H180" s="12" t="s">
        <v>4661</v>
      </c>
      <c r="I180" s="13" t="s">
        <v>4668</v>
      </c>
      <c r="J180" s="13" t="s">
        <v>4672</v>
      </c>
      <c r="K180" s="13" t="s">
        <v>4758</v>
      </c>
      <c r="L180" s="12" t="s">
        <v>4672</v>
      </c>
      <c r="M180" s="17" t="str">
        <f>IF(LEN(COUNTIFS($H$1:H180,$H180,$I$1:I180,$I180,$J$1:J180,$J180,$K$1:K180,K180,$L$1:L180,L180))=1,"00"&amp;COUNTIFS($H$1:H180,$H180,$I$1:I180,$I180,$J$1:J180,$J180,$K$1:K180,K180,$L$1:L180,L180),IF(LEN(COUNTIFS($H$1:H180,$H180,$I$1:I180,$I180,$J$1:J180,$J180,$K$1:K180,K180,$L$1:L180,L180))=2,"0"&amp;COUNTIFS($H$1:H180,$H180,$I$1:I180,$I180,$J$1:J180,$J180,$K$1:K180,K180,$L$1:L180,L180),COUNTIFS($H$1:H180,$H180,$I$1:I180,$I180,$J$1:J180,$J180,$K$1:K180,K180,$L$1:L180,L180)))</f>
        <v>007</v>
      </c>
      <c r="N18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0" s="14" t="e">
        <f>+LEN(Table4[[#This Row],[New Item Code]])</f>
        <v>#N/A</v>
      </c>
      <c r="P180" s="15" t="s">
        <v>4747</v>
      </c>
      <c r="Q180" s="15" t="s">
        <v>4749</v>
      </c>
      <c r="R180" s="15"/>
      <c r="S180" s="15"/>
      <c r="T180" s="15" t="s">
        <v>4672</v>
      </c>
    </row>
    <row r="181" spans="1:20" x14ac:dyDescent="0.35">
      <c r="A181" s="2" t="s">
        <v>367</v>
      </c>
      <c r="B181" s="2" t="s">
        <v>368</v>
      </c>
      <c r="C181" s="2" t="s">
        <v>56</v>
      </c>
      <c r="D181" s="2">
        <v>0</v>
      </c>
      <c r="E181" s="2" t="s">
        <v>57</v>
      </c>
      <c r="F181" s="2">
        <v>0</v>
      </c>
      <c r="G181" s="22">
        <f>Table4[[#This Row],[Item Cost]]*Table4[[#This Row],[In Stock]]</f>
        <v>0</v>
      </c>
      <c r="H181" s="12" t="s">
        <v>4661</v>
      </c>
      <c r="I181" s="13" t="s">
        <v>4668</v>
      </c>
      <c r="J181" s="13" t="s">
        <v>4672</v>
      </c>
      <c r="K181" s="13" t="s">
        <v>4758</v>
      </c>
      <c r="L181" s="12" t="s">
        <v>4672</v>
      </c>
      <c r="M181" s="17" t="str">
        <f>IF(LEN(COUNTIFS($H$1:H181,$H181,$I$1:I181,$I181,$J$1:J181,$J181,$K$1:K181,K181,$L$1:L181,L181))=1,"00"&amp;COUNTIFS($H$1:H181,$H181,$I$1:I181,$I181,$J$1:J181,$J181,$K$1:K181,K181,$L$1:L181,L181),IF(LEN(COUNTIFS($H$1:H181,$H181,$I$1:I181,$I181,$J$1:J181,$J181,$K$1:K181,K181,$L$1:L181,L181))=2,"0"&amp;COUNTIFS($H$1:H181,$H181,$I$1:I181,$I181,$J$1:J181,$J181,$K$1:K181,K181,$L$1:L181,L181),COUNTIFS($H$1:H181,$H181,$I$1:I181,$I181,$J$1:J181,$J181,$K$1:K181,K181,$L$1:L181,L181)))</f>
        <v>008</v>
      </c>
      <c r="N18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1" s="14" t="e">
        <f>+LEN(Table4[[#This Row],[New Item Code]])</f>
        <v>#N/A</v>
      </c>
      <c r="P181" s="15" t="s">
        <v>4747</v>
      </c>
      <c r="Q181" s="15" t="s">
        <v>4749</v>
      </c>
      <c r="R181" s="15"/>
      <c r="S181" s="15"/>
      <c r="T181" s="15" t="s">
        <v>4672</v>
      </c>
    </row>
    <row r="182" spans="1:20" x14ac:dyDescent="0.35">
      <c r="A182" s="3" t="s">
        <v>369</v>
      </c>
      <c r="B182" s="3" t="s">
        <v>370</v>
      </c>
      <c r="C182" s="3" t="s">
        <v>56</v>
      </c>
      <c r="D182" s="3">
        <v>0</v>
      </c>
      <c r="E182" s="3" t="s">
        <v>57</v>
      </c>
      <c r="F182" s="3">
        <v>0</v>
      </c>
      <c r="G182" s="21">
        <f>Table4[[#This Row],[Item Cost]]*Table4[[#This Row],[In Stock]]</f>
        <v>0</v>
      </c>
      <c r="H182" s="12" t="s">
        <v>4661</v>
      </c>
      <c r="I182" s="13" t="s">
        <v>4668</v>
      </c>
      <c r="J182" s="13" t="s">
        <v>4672</v>
      </c>
      <c r="K182" s="13" t="s">
        <v>4758</v>
      </c>
      <c r="L182" s="12" t="s">
        <v>4672</v>
      </c>
      <c r="M182" s="17" t="str">
        <f>IF(LEN(COUNTIFS($H$1:H182,$H182,$I$1:I182,$I182,$J$1:J182,$J182,$K$1:K182,K182,$L$1:L182,L182))=1,"00"&amp;COUNTIFS($H$1:H182,$H182,$I$1:I182,$I182,$J$1:J182,$J182,$K$1:K182,K182,$L$1:L182,L182),IF(LEN(COUNTIFS($H$1:H182,$H182,$I$1:I182,$I182,$J$1:J182,$J182,$K$1:K182,K182,$L$1:L182,L182))=2,"0"&amp;COUNTIFS($H$1:H182,$H182,$I$1:I182,$I182,$J$1:J182,$J182,$K$1:K182,K182,$L$1:L182,L182),COUNTIFS($H$1:H182,$H182,$I$1:I182,$I182,$J$1:J182,$J182,$K$1:K182,K182,$L$1:L182,L182)))</f>
        <v>009</v>
      </c>
      <c r="N18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2" s="14" t="e">
        <f>+LEN(Table4[[#This Row],[New Item Code]])</f>
        <v>#N/A</v>
      </c>
      <c r="P182" s="15" t="s">
        <v>4747</v>
      </c>
      <c r="Q182" s="15" t="s">
        <v>4749</v>
      </c>
      <c r="R182" s="15"/>
      <c r="S182" s="15"/>
      <c r="T182" s="15" t="s">
        <v>4672</v>
      </c>
    </row>
    <row r="183" spans="1:20" x14ac:dyDescent="0.35">
      <c r="A183" s="2" t="s">
        <v>371</v>
      </c>
      <c r="B183" s="2" t="s">
        <v>372</v>
      </c>
      <c r="C183" s="2" t="s">
        <v>56</v>
      </c>
      <c r="D183" s="2">
        <v>0</v>
      </c>
      <c r="E183" s="2" t="s">
        <v>57</v>
      </c>
      <c r="F183" s="2">
        <v>0</v>
      </c>
      <c r="G183" s="22">
        <f>Table4[[#This Row],[Item Cost]]*Table4[[#This Row],[In Stock]]</f>
        <v>0</v>
      </c>
      <c r="H183" s="12" t="s">
        <v>4661</v>
      </c>
      <c r="I183" s="13" t="s">
        <v>4668</v>
      </c>
      <c r="J183" s="13" t="s">
        <v>4672</v>
      </c>
      <c r="K183" s="13" t="s">
        <v>4758</v>
      </c>
      <c r="L183" s="12" t="s">
        <v>4672</v>
      </c>
      <c r="M183" s="17" t="str">
        <f>IF(LEN(COUNTIFS($H$1:H183,$H183,$I$1:I183,$I183,$J$1:J183,$J183,$K$1:K183,K183,$L$1:L183,L183))=1,"00"&amp;COUNTIFS($H$1:H183,$H183,$I$1:I183,$I183,$J$1:J183,$J183,$K$1:K183,K183,$L$1:L183,L183),IF(LEN(COUNTIFS($H$1:H183,$H183,$I$1:I183,$I183,$J$1:J183,$J183,$K$1:K183,K183,$L$1:L183,L183))=2,"0"&amp;COUNTIFS($H$1:H183,$H183,$I$1:I183,$I183,$J$1:J183,$J183,$K$1:K183,K183,$L$1:L183,L183),COUNTIFS($H$1:H183,$H183,$I$1:I183,$I183,$J$1:J183,$J183,$K$1:K183,K183,$L$1:L183,L183)))</f>
        <v>010</v>
      </c>
      <c r="N18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3" s="14" t="e">
        <f>+LEN(Table4[[#This Row],[New Item Code]])</f>
        <v>#N/A</v>
      </c>
      <c r="P183" s="15" t="s">
        <v>4747</v>
      </c>
      <c r="Q183" s="15" t="s">
        <v>4749</v>
      </c>
      <c r="R183" s="15"/>
      <c r="S183" s="15"/>
      <c r="T183" s="15" t="s">
        <v>4672</v>
      </c>
    </row>
    <row r="184" spans="1:20" x14ac:dyDescent="0.35">
      <c r="A184" s="3" t="s">
        <v>373</v>
      </c>
      <c r="B184" s="3" t="s">
        <v>374</v>
      </c>
      <c r="C184" s="3" t="s">
        <v>56</v>
      </c>
      <c r="D184" s="3">
        <v>0</v>
      </c>
      <c r="E184" s="3" t="s">
        <v>57</v>
      </c>
      <c r="F184" s="3">
        <v>0</v>
      </c>
      <c r="G184" s="21">
        <f>Table4[[#This Row],[Item Cost]]*Table4[[#This Row],[In Stock]]</f>
        <v>0</v>
      </c>
      <c r="H184" s="12" t="s">
        <v>4661</v>
      </c>
      <c r="I184" s="13" t="s">
        <v>4668</v>
      </c>
      <c r="J184" s="13" t="s">
        <v>4672</v>
      </c>
      <c r="K184" s="13" t="s">
        <v>4758</v>
      </c>
      <c r="L184" s="12" t="s">
        <v>4672</v>
      </c>
      <c r="M184" s="17" t="str">
        <f>IF(LEN(COUNTIFS($H$1:H184,$H184,$I$1:I184,$I184,$J$1:J184,$J184,$K$1:K184,K184,$L$1:L184,L184))=1,"00"&amp;COUNTIFS($H$1:H184,$H184,$I$1:I184,$I184,$J$1:J184,$J184,$K$1:K184,K184,$L$1:L184,L184),IF(LEN(COUNTIFS($H$1:H184,$H184,$I$1:I184,$I184,$J$1:J184,$J184,$K$1:K184,K184,$L$1:L184,L184))=2,"0"&amp;COUNTIFS($H$1:H184,$H184,$I$1:I184,$I184,$J$1:J184,$J184,$K$1:K184,K184,$L$1:L184,L184),COUNTIFS($H$1:H184,$H184,$I$1:I184,$I184,$J$1:J184,$J184,$K$1:K184,K184,$L$1:L184,L184)))</f>
        <v>011</v>
      </c>
      <c r="N18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4" s="14" t="e">
        <f>+LEN(Table4[[#This Row],[New Item Code]])</f>
        <v>#N/A</v>
      </c>
      <c r="P184" s="15" t="s">
        <v>4747</v>
      </c>
      <c r="Q184" s="15" t="s">
        <v>4749</v>
      </c>
      <c r="R184" s="15"/>
      <c r="S184" s="15"/>
      <c r="T184" s="15" t="s">
        <v>4672</v>
      </c>
    </row>
    <row r="185" spans="1:20" x14ac:dyDescent="0.35">
      <c r="A185" s="2" t="s">
        <v>375</v>
      </c>
      <c r="B185" s="2" t="s">
        <v>376</v>
      </c>
      <c r="C185" s="2" t="s">
        <v>56</v>
      </c>
      <c r="D185" s="2">
        <v>0</v>
      </c>
      <c r="E185" s="2" t="s">
        <v>57</v>
      </c>
      <c r="F185" s="2">
        <v>0</v>
      </c>
      <c r="G185" s="22">
        <f>Table4[[#This Row],[Item Cost]]*Table4[[#This Row],[In Stock]]</f>
        <v>0</v>
      </c>
      <c r="H185" s="12" t="s">
        <v>4661</v>
      </c>
      <c r="I185" s="13" t="s">
        <v>4668</v>
      </c>
      <c r="J185" s="13" t="s">
        <v>4672</v>
      </c>
      <c r="K185" s="13" t="s">
        <v>4758</v>
      </c>
      <c r="L185" s="12" t="s">
        <v>4672</v>
      </c>
      <c r="M185" s="17" t="str">
        <f>IF(LEN(COUNTIFS($H$1:H185,$H185,$I$1:I185,$I185,$J$1:J185,$J185,$K$1:K185,K185,$L$1:L185,L185))=1,"00"&amp;COUNTIFS($H$1:H185,$H185,$I$1:I185,$I185,$J$1:J185,$J185,$K$1:K185,K185,$L$1:L185,L185),IF(LEN(COUNTIFS($H$1:H185,$H185,$I$1:I185,$I185,$J$1:J185,$J185,$K$1:K185,K185,$L$1:L185,L185))=2,"0"&amp;COUNTIFS($H$1:H185,$H185,$I$1:I185,$I185,$J$1:J185,$J185,$K$1:K185,K185,$L$1:L185,L185),COUNTIFS($H$1:H185,$H185,$I$1:I185,$I185,$J$1:J185,$J185,$K$1:K185,K185,$L$1:L185,L185)))</f>
        <v>012</v>
      </c>
      <c r="N18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5" s="14" t="e">
        <f>+LEN(Table4[[#This Row],[New Item Code]])</f>
        <v>#N/A</v>
      </c>
      <c r="P185" s="15" t="s">
        <v>4747</v>
      </c>
      <c r="Q185" s="15" t="s">
        <v>4749</v>
      </c>
      <c r="R185" s="15"/>
      <c r="S185" s="15"/>
      <c r="T185" s="15" t="s">
        <v>4672</v>
      </c>
    </row>
    <row r="186" spans="1:20" x14ac:dyDescent="0.35">
      <c r="A186" s="3" t="s">
        <v>377</v>
      </c>
      <c r="B186" s="3" t="s">
        <v>378</v>
      </c>
      <c r="C186" s="3" t="s">
        <v>56</v>
      </c>
      <c r="D186" s="3">
        <v>0</v>
      </c>
      <c r="E186" s="3" t="s">
        <v>57</v>
      </c>
      <c r="F186" s="3">
        <v>0</v>
      </c>
      <c r="G186" s="21">
        <f>Table4[[#This Row],[Item Cost]]*Table4[[#This Row],[In Stock]]</f>
        <v>0</v>
      </c>
      <c r="H186" s="12" t="s">
        <v>4661</v>
      </c>
      <c r="I186" s="13" t="s">
        <v>4668</v>
      </c>
      <c r="J186" s="13" t="s">
        <v>4672</v>
      </c>
      <c r="K186" s="13" t="s">
        <v>4758</v>
      </c>
      <c r="L186" s="12" t="s">
        <v>4672</v>
      </c>
      <c r="M186" s="17" t="str">
        <f>IF(LEN(COUNTIFS($H$1:H186,$H186,$I$1:I186,$I186,$J$1:J186,$J186,$K$1:K186,K186,$L$1:L186,L186))=1,"00"&amp;COUNTIFS($H$1:H186,$H186,$I$1:I186,$I186,$J$1:J186,$J186,$K$1:K186,K186,$L$1:L186,L186),IF(LEN(COUNTIFS($H$1:H186,$H186,$I$1:I186,$I186,$J$1:J186,$J186,$K$1:K186,K186,$L$1:L186,L186))=2,"0"&amp;COUNTIFS($H$1:H186,$H186,$I$1:I186,$I186,$J$1:J186,$J186,$K$1:K186,K186,$L$1:L186,L186),COUNTIFS($H$1:H186,$H186,$I$1:I186,$I186,$J$1:J186,$J186,$K$1:K186,K186,$L$1:L186,L186)))</f>
        <v>013</v>
      </c>
      <c r="N18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6" s="14" t="e">
        <f>+LEN(Table4[[#This Row],[New Item Code]])</f>
        <v>#N/A</v>
      </c>
      <c r="P186" s="15" t="s">
        <v>4747</v>
      </c>
      <c r="Q186" s="15" t="s">
        <v>4749</v>
      </c>
      <c r="R186" s="15"/>
      <c r="S186" s="15"/>
      <c r="T186" s="15" t="s">
        <v>4672</v>
      </c>
    </row>
    <row r="187" spans="1:20" x14ac:dyDescent="0.35">
      <c r="A187" s="2" t="s">
        <v>379</v>
      </c>
      <c r="B187" s="2" t="s">
        <v>380</v>
      </c>
      <c r="C187" s="2" t="s">
        <v>56</v>
      </c>
      <c r="D187" s="2">
        <v>0</v>
      </c>
      <c r="E187" s="2" t="s">
        <v>57</v>
      </c>
      <c r="F187" s="2">
        <v>0</v>
      </c>
      <c r="G187" s="22">
        <f>Table4[[#This Row],[Item Cost]]*Table4[[#This Row],[In Stock]]</f>
        <v>0</v>
      </c>
      <c r="H187" s="12" t="s">
        <v>4661</v>
      </c>
      <c r="I187" s="13" t="s">
        <v>4668</v>
      </c>
      <c r="J187" s="13" t="s">
        <v>4672</v>
      </c>
      <c r="K187" s="13" t="s">
        <v>4758</v>
      </c>
      <c r="L187" s="12" t="s">
        <v>4672</v>
      </c>
      <c r="M187" s="17" t="str">
        <f>IF(LEN(COUNTIFS($H$1:H187,$H187,$I$1:I187,$I187,$J$1:J187,$J187,$K$1:K187,K187,$L$1:L187,L187))=1,"00"&amp;COUNTIFS($H$1:H187,$H187,$I$1:I187,$I187,$J$1:J187,$J187,$K$1:K187,K187,$L$1:L187,L187),IF(LEN(COUNTIFS($H$1:H187,$H187,$I$1:I187,$I187,$J$1:J187,$J187,$K$1:K187,K187,$L$1:L187,L187))=2,"0"&amp;COUNTIFS($H$1:H187,$H187,$I$1:I187,$I187,$J$1:J187,$J187,$K$1:K187,K187,$L$1:L187,L187),COUNTIFS($H$1:H187,$H187,$I$1:I187,$I187,$J$1:J187,$J187,$K$1:K187,K187,$L$1:L187,L187)))</f>
        <v>014</v>
      </c>
      <c r="N18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7" s="14" t="e">
        <f>+LEN(Table4[[#This Row],[New Item Code]])</f>
        <v>#N/A</v>
      </c>
      <c r="P187" s="15" t="s">
        <v>4747</v>
      </c>
      <c r="Q187" s="15" t="s">
        <v>4749</v>
      </c>
      <c r="R187" s="15"/>
      <c r="S187" s="15"/>
      <c r="T187" s="15" t="s">
        <v>4672</v>
      </c>
    </row>
    <row r="188" spans="1:20" x14ac:dyDescent="0.35">
      <c r="A188" s="3" t="s">
        <v>381</v>
      </c>
      <c r="B188" s="3" t="s">
        <v>382</v>
      </c>
      <c r="C188" s="3" t="s">
        <v>56</v>
      </c>
      <c r="D188" s="3">
        <v>0</v>
      </c>
      <c r="E188" s="3" t="s">
        <v>57</v>
      </c>
      <c r="F188" s="3">
        <v>0</v>
      </c>
      <c r="G188" s="21">
        <f>Table4[[#This Row],[Item Cost]]*Table4[[#This Row],[In Stock]]</f>
        <v>0</v>
      </c>
      <c r="H188" s="12" t="s">
        <v>4661</v>
      </c>
      <c r="I188" s="13" t="s">
        <v>4668</v>
      </c>
      <c r="J188" s="13" t="s">
        <v>4672</v>
      </c>
      <c r="K188" s="13" t="s">
        <v>4758</v>
      </c>
      <c r="L188" s="12" t="s">
        <v>4672</v>
      </c>
      <c r="M188" s="17" t="str">
        <f>IF(LEN(COUNTIFS($H$1:H188,$H188,$I$1:I188,$I188,$J$1:J188,$J188,$K$1:K188,K188,$L$1:L188,L188))=1,"00"&amp;COUNTIFS($H$1:H188,$H188,$I$1:I188,$I188,$J$1:J188,$J188,$K$1:K188,K188,$L$1:L188,L188),IF(LEN(COUNTIFS($H$1:H188,$H188,$I$1:I188,$I188,$J$1:J188,$J188,$K$1:K188,K188,$L$1:L188,L188))=2,"0"&amp;COUNTIFS($H$1:H188,$H188,$I$1:I188,$I188,$J$1:J188,$J188,$K$1:K188,K188,$L$1:L188,L188),COUNTIFS($H$1:H188,$H188,$I$1:I188,$I188,$J$1:J188,$J188,$K$1:K188,K188,$L$1:L188,L188)))</f>
        <v>015</v>
      </c>
      <c r="N18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8" s="14" t="e">
        <f>+LEN(Table4[[#This Row],[New Item Code]])</f>
        <v>#N/A</v>
      </c>
      <c r="P188" s="15" t="s">
        <v>4747</v>
      </c>
      <c r="Q188" s="15" t="s">
        <v>4749</v>
      </c>
      <c r="R188" s="15"/>
      <c r="S188" s="15"/>
      <c r="T188" s="15" t="s">
        <v>4672</v>
      </c>
    </row>
    <row r="189" spans="1:20" x14ac:dyDescent="0.35">
      <c r="A189" s="2" t="s">
        <v>383</v>
      </c>
      <c r="B189" s="2" t="s">
        <v>384</v>
      </c>
      <c r="C189" s="2" t="s">
        <v>56</v>
      </c>
      <c r="D189" s="2">
        <v>0</v>
      </c>
      <c r="E189" s="2" t="s">
        <v>57</v>
      </c>
      <c r="F189" s="2">
        <v>0</v>
      </c>
      <c r="G189" s="22">
        <f>Table4[[#This Row],[Item Cost]]*Table4[[#This Row],[In Stock]]</f>
        <v>0</v>
      </c>
      <c r="H189" s="12" t="s">
        <v>4661</v>
      </c>
      <c r="I189" s="13" t="s">
        <v>4668</v>
      </c>
      <c r="J189" s="13" t="s">
        <v>4672</v>
      </c>
      <c r="K189" s="13" t="s">
        <v>4758</v>
      </c>
      <c r="L189" s="12" t="s">
        <v>4672</v>
      </c>
      <c r="M189" s="17" t="str">
        <f>IF(LEN(COUNTIFS($H$1:H189,$H189,$I$1:I189,$I189,$J$1:J189,$J189,$K$1:K189,K189,$L$1:L189,L189))=1,"00"&amp;COUNTIFS($H$1:H189,$H189,$I$1:I189,$I189,$J$1:J189,$J189,$K$1:K189,K189,$L$1:L189,L189),IF(LEN(COUNTIFS($H$1:H189,$H189,$I$1:I189,$I189,$J$1:J189,$J189,$K$1:K189,K189,$L$1:L189,L189))=2,"0"&amp;COUNTIFS($H$1:H189,$H189,$I$1:I189,$I189,$J$1:J189,$J189,$K$1:K189,K189,$L$1:L189,L189),COUNTIFS($H$1:H189,$H189,$I$1:I189,$I189,$J$1:J189,$J189,$K$1:K189,K189,$L$1:L189,L189)))</f>
        <v>016</v>
      </c>
      <c r="N18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9" s="14" t="e">
        <f>+LEN(Table4[[#This Row],[New Item Code]])</f>
        <v>#N/A</v>
      </c>
      <c r="P189" s="15" t="s">
        <v>4747</v>
      </c>
      <c r="Q189" s="15" t="s">
        <v>4749</v>
      </c>
      <c r="R189" s="15"/>
      <c r="S189" s="15"/>
      <c r="T189" s="15" t="s">
        <v>4672</v>
      </c>
    </row>
    <row r="190" spans="1:20" x14ac:dyDescent="0.35">
      <c r="A190" s="3" t="s">
        <v>385</v>
      </c>
      <c r="B190" s="3" t="s">
        <v>386</v>
      </c>
      <c r="C190" s="3" t="s">
        <v>56</v>
      </c>
      <c r="D190" s="3">
        <v>0</v>
      </c>
      <c r="E190" s="3" t="s">
        <v>57</v>
      </c>
      <c r="F190" s="3">
        <v>0</v>
      </c>
      <c r="G190" s="21">
        <f>Table4[[#This Row],[Item Cost]]*Table4[[#This Row],[In Stock]]</f>
        <v>0</v>
      </c>
      <c r="H190" s="12" t="s">
        <v>4661</v>
      </c>
      <c r="I190" s="13" t="s">
        <v>4668</v>
      </c>
      <c r="J190" s="13" t="s">
        <v>4672</v>
      </c>
      <c r="K190" s="13" t="s">
        <v>4758</v>
      </c>
      <c r="L190" s="12" t="s">
        <v>4672</v>
      </c>
      <c r="M190" s="17" t="str">
        <f>IF(LEN(COUNTIFS($H$1:H190,$H190,$I$1:I190,$I190,$J$1:J190,$J190,$K$1:K190,K190,$L$1:L190,L190))=1,"00"&amp;COUNTIFS($H$1:H190,$H190,$I$1:I190,$I190,$J$1:J190,$J190,$K$1:K190,K190,$L$1:L190,L190),IF(LEN(COUNTIFS($H$1:H190,$H190,$I$1:I190,$I190,$J$1:J190,$J190,$K$1:K190,K190,$L$1:L190,L190))=2,"0"&amp;COUNTIFS($H$1:H190,$H190,$I$1:I190,$I190,$J$1:J190,$J190,$K$1:K190,K190,$L$1:L190,L190),COUNTIFS($H$1:H190,$H190,$I$1:I190,$I190,$J$1:J190,$J190,$K$1:K190,K190,$L$1:L190,L190)))</f>
        <v>017</v>
      </c>
      <c r="N19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0" s="14" t="e">
        <f>+LEN(Table4[[#This Row],[New Item Code]])</f>
        <v>#N/A</v>
      </c>
      <c r="P190" s="15" t="s">
        <v>4747</v>
      </c>
      <c r="Q190" s="15" t="s">
        <v>4749</v>
      </c>
      <c r="R190" s="15"/>
      <c r="S190" s="15"/>
      <c r="T190" s="15" t="s">
        <v>4672</v>
      </c>
    </row>
    <row r="191" spans="1:20" x14ac:dyDescent="0.35">
      <c r="A191" s="2" t="s">
        <v>387</v>
      </c>
      <c r="B191" s="2" t="s">
        <v>388</v>
      </c>
      <c r="C191" s="2" t="s">
        <v>56</v>
      </c>
      <c r="D191" s="2">
        <v>0</v>
      </c>
      <c r="E191" s="2" t="s">
        <v>57</v>
      </c>
      <c r="F191" s="2">
        <v>0</v>
      </c>
      <c r="G191" s="22">
        <f>Table4[[#This Row],[Item Cost]]*Table4[[#This Row],[In Stock]]</f>
        <v>0</v>
      </c>
      <c r="H191" s="12" t="s">
        <v>4661</v>
      </c>
      <c r="I191" s="13" t="s">
        <v>4668</v>
      </c>
      <c r="J191" s="13" t="s">
        <v>4672</v>
      </c>
      <c r="K191" s="13" t="s">
        <v>4758</v>
      </c>
      <c r="L191" s="12" t="s">
        <v>4672</v>
      </c>
      <c r="M191" s="17" t="str">
        <f>IF(LEN(COUNTIFS($H$1:H191,$H191,$I$1:I191,$I191,$J$1:J191,$J191,$K$1:K191,K191,$L$1:L191,L191))=1,"00"&amp;COUNTIFS($H$1:H191,$H191,$I$1:I191,$I191,$J$1:J191,$J191,$K$1:K191,K191,$L$1:L191,L191),IF(LEN(COUNTIFS($H$1:H191,$H191,$I$1:I191,$I191,$J$1:J191,$J191,$K$1:K191,K191,$L$1:L191,L191))=2,"0"&amp;COUNTIFS($H$1:H191,$H191,$I$1:I191,$I191,$J$1:J191,$J191,$K$1:K191,K191,$L$1:L191,L191),COUNTIFS($H$1:H191,$H191,$I$1:I191,$I191,$J$1:J191,$J191,$K$1:K191,K191,$L$1:L191,L191)))</f>
        <v>018</v>
      </c>
      <c r="N19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1" s="14" t="e">
        <f>+LEN(Table4[[#This Row],[New Item Code]])</f>
        <v>#N/A</v>
      </c>
      <c r="P191" s="15" t="s">
        <v>4747</v>
      </c>
      <c r="Q191" s="15" t="s">
        <v>4749</v>
      </c>
      <c r="R191" s="15"/>
      <c r="S191" s="15"/>
      <c r="T191" s="15" t="s">
        <v>4672</v>
      </c>
    </row>
    <row r="192" spans="1:20" x14ac:dyDescent="0.35">
      <c r="A192" s="3" t="s">
        <v>389</v>
      </c>
      <c r="B192" s="3" t="s">
        <v>390</v>
      </c>
      <c r="C192" s="3" t="s">
        <v>56</v>
      </c>
      <c r="D192" s="3">
        <v>0</v>
      </c>
      <c r="E192" s="3" t="s">
        <v>57</v>
      </c>
      <c r="F192" s="3">
        <v>0</v>
      </c>
      <c r="G192" s="21">
        <f>Table4[[#This Row],[Item Cost]]*Table4[[#This Row],[In Stock]]</f>
        <v>0</v>
      </c>
      <c r="H192" s="12" t="s">
        <v>4661</v>
      </c>
      <c r="I192" s="13" t="s">
        <v>4668</v>
      </c>
      <c r="J192" s="13" t="s">
        <v>4672</v>
      </c>
      <c r="K192" s="13" t="s">
        <v>4758</v>
      </c>
      <c r="L192" s="12" t="s">
        <v>4672</v>
      </c>
      <c r="M192" s="17" t="str">
        <f>IF(LEN(COUNTIFS($H$1:H192,$H192,$I$1:I192,$I192,$J$1:J192,$J192,$K$1:K192,K192,$L$1:L192,L192))=1,"00"&amp;COUNTIFS($H$1:H192,$H192,$I$1:I192,$I192,$J$1:J192,$J192,$K$1:K192,K192,$L$1:L192,L192),IF(LEN(COUNTIFS($H$1:H192,$H192,$I$1:I192,$I192,$J$1:J192,$J192,$K$1:K192,K192,$L$1:L192,L192))=2,"0"&amp;COUNTIFS($H$1:H192,$H192,$I$1:I192,$I192,$J$1:J192,$J192,$K$1:K192,K192,$L$1:L192,L192),COUNTIFS($H$1:H192,$H192,$I$1:I192,$I192,$J$1:J192,$J192,$K$1:K192,K192,$L$1:L192,L192)))</f>
        <v>019</v>
      </c>
      <c r="N19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2" s="14" t="e">
        <f>+LEN(Table4[[#This Row],[New Item Code]])</f>
        <v>#N/A</v>
      </c>
      <c r="P192" s="15" t="s">
        <v>4747</v>
      </c>
      <c r="Q192" s="15" t="s">
        <v>4749</v>
      </c>
      <c r="R192" s="15"/>
      <c r="S192" s="15"/>
      <c r="T192" s="15" t="s">
        <v>4672</v>
      </c>
    </row>
    <row r="193" spans="1:20" x14ac:dyDescent="0.35">
      <c r="A193" s="2" t="s">
        <v>391</v>
      </c>
      <c r="B193" s="2" t="s">
        <v>392</v>
      </c>
      <c r="C193" s="2" t="s">
        <v>56</v>
      </c>
      <c r="D193" s="2">
        <v>0</v>
      </c>
      <c r="E193" s="2" t="s">
        <v>57</v>
      </c>
      <c r="F193" s="2">
        <v>0</v>
      </c>
      <c r="G193" s="22">
        <f>Table4[[#This Row],[Item Cost]]*Table4[[#This Row],[In Stock]]</f>
        <v>0</v>
      </c>
      <c r="H193" s="12" t="s">
        <v>4661</v>
      </c>
      <c r="I193" s="13" t="s">
        <v>4668</v>
      </c>
      <c r="J193" s="13" t="s">
        <v>4672</v>
      </c>
      <c r="K193" s="13" t="s">
        <v>4758</v>
      </c>
      <c r="L193" s="12" t="s">
        <v>4672</v>
      </c>
      <c r="M193" s="17" t="str">
        <f>IF(LEN(COUNTIFS($H$1:H193,$H193,$I$1:I193,$I193,$J$1:J193,$J193,$K$1:K193,K193,$L$1:L193,L193))=1,"00"&amp;COUNTIFS($H$1:H193,$H193,$I$1:I193,$I193,$J$1:J193,$J193,$K$1:K193,K193,$L$1:L193,L193),IF(LEN(COUNTIFS($H$1:H193,$H193,$I$1:I193,$I193,$J$1:J193,$J193,$K$1:K193,K193,$L$1:L193,L193))=2,"0"&amp;COUNTIFS($H$1:H193,$H193,$I$1:I193,$I193,$J$1:J193,$J193,$K$1:K193,K193,$L$1:L193,L193),COUNTIFS($H$1:H193,$H193,$I$1:I193,$I193,$J$1:J193,$J193,$K$1:K193,K193,$L$1:L193,L193)))</f>
        <v>020</v>
      </c>
      <c r="N19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3" s="14" t="e">
        <f>+LEN(Table4[[#This Row],[New Item Code]])</f>
        <v>#N/A</v>
      </c>
      <c r="P193" s="15" t="s">
        <v>4747</v>
      </c>
      <c r="Q193" s="15" t="s">
        <v>4749</v>
      </c>
      <c r="R193" s="15"/>
      <c r="S193" s="15"/>
      <c r="T193" s="15" t="s">
        <v>4672</v>
      </c>
    </row>
    <row r="194" spans="1:20" x14ac:dyDescent="0.35">
      <c r="A194" s="3" t="s">
        <v>393</v>
      </c>
      <c r="B194" s="3" t="s">
        <v>394</v>
      </c>
      <c r="C194" s="3" t="s">
        <v>56</v>
      </c>
      <c r="D194" s="3">
        <v>0</v>
      </c>
      <c r="E194" s="3" t="s">
        <v>57</v>
      </c>
      <c r="F194" s="3">
        <v>0</v>
      </c>
      <c r="G194" s="21">
        <f>Table4[[#This Row],[Item Cost]]*Table4[[#This Row],[In Stock]]</f>
        <v>0</v>
      </c>
      <c r="H194" s="12" t="s">
        <v>4661</v>
      </c>
      <c r="I194" s="13" t="s">
        <v>4668</v>
      </c>
      <c r="J194" s="13" t="s">
        <v>4672</v>
      </c>
      <c r="K194" s="13" t="s">
        <v>4758</v>
      </c>
      <c r="L194" s="12" t="s">
        <v>4672</v>
      </c>
      <c r="M194" s="17" t="str">
        <f>IF(LEN(COUNTIFS($H$1:H194,$H194,$I$1:I194,$I194,$J$1:J194,$J194,$K$1:K194,K194,$L$1:L194,L194))=1,"00"&amp;COUNTIFS($H$1:H194,$H194,$I$1:I194,$I194,$J$1:J194,$J194,$K$1:K194,K194,$L$1:L194,L194),IF(LEN(COUNTIFS($H$1:H194,$H194,$I$1:I194,$I194,$J$1:J194,$J194,$K$1:K194,K194,$L$1:L194,L194))=2,"0"&amp;COUNTIFS($H$1:H194,$H194,$I$1:I194,$I194,$J$1:J194,$J194,$K$1:K194,K194,$L$1:L194,L194),COUNTIFS($H$1:H194,$H194,$I$1:I194,$I194,$J$1:J194,$J194,$K$1:K194,K194,$L$1:L194,L194)))</f>
        <v>021</v>
      </c>
      <c r="N19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4" s="14" t="e">
        <f>+LEN(Table4[[#This Row],[New Item Code]])</f>
        <v>#N/A</v>
      </c>
      <c r="P194" s="15" t="s">
        <v>4747</v>
      </c>
      <c r="Q194" s="15" t="s">
        <v>4749</v>
      </c>
      <c r="R194" s="15"/>
      <c r="S194" s="15"/>
      <c r="T194" s="15" t="s">
        <v>4672</v>
      </c>
    </row>
    <row r="195" spans="1:20" x14ac:dyDescent="0.35">
      <c r="A195" s="2" t="s">
        <v>395</v>
      </c>
      <c r="B195" s="2" t="s">
        <v>396</v>
      </c>
      <c r="C195" s="2" t="s">
        <v>56</v>
      </c>
      <c r="D195" s="2">
        <v>0</v>
      </c>
      <c r="E195" s="2" t="s">
        <v>57</v>
      </c>
      <c r="F195" s="2">
        <v>0</v>
      </c>
      <c r="G195" s="22">
        <f>Table4[[#This Row],[Item Cost]]*Table4[[#This Row],[In Stock]]</f>
        <v>0</v>
      </c>
      <c r="H195" s="12" t="s">
        <v>4661</v>
      </c>
      <c r="I195" s="13" t="s">
        <v>4668</v>
      </c>
      <c r="J195" s="13" t="s">
        <v>4672</v>
      </c>
      <c r="K195" s="13" t="s">
        <v>4758</v>
      </c>
      <c r="L195" s="12" t="s">
        <v>4672</v>
      </c>
      <c r="M195" s="17" t="str">
        <f>IF(LEN(COUNTIFS($H$1:H195,$H195,$I$1:I195,$I195,$J$1:J195,$J195,$K$1:K195,K195,$L$1:L195,L195))=1,"00"&amp;COUNTIFS($H$1:H195,$H195,$I$1:I195,$I195,$J$1:J195,$J195,$K$1:K195,K195,$L$1:L195,L195),IF(LEN(COUNTIFS($H$1:H195,$H195,$I$1:I195,$I195,$J$1:J195,$J195,$K$1:K195,K195,$L$1:L195,L195))=2,"0"&amp;COUNTIFS($H$1:H195,$H195,$I$1:I195,$I195,$J$1:J195,$J195,$K$1:K195,K195,$L$1:L195,L195),COUNTIFS($H$1:H195,$H195,$I$1:I195,$I195,$J$1:J195,$J195,$K$1:K195,K195,$L$1:L195,L195)))</f>
        <v>022</v>
      </c>
      <c r="N19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5" s="14" t="e">
        <f>+LEN(Table4[[#This Row],[New Item Code]])</f>
        <v>#N/A</v>
      </c>
      <c r="P195" s="15" t="s">
        <v>4747</v>
      </c>
      <c r="Q195" s="15" t="s">
        <v>4749</v>
      </c>
      <c r="R195" s="15"/>
      <c r="S195" s="15"/>
      <c r="T195" s="15" t="s">
        <v>4672</v>
      </c>
    </row>
    <row r="196" spans="1:20" x14ac:dyDescent="0.35">
      <c r="A196" s="3" t="s">
        <v>397</v>
      </c>
      <c r="B196" s="3" t="s">
        <v>398</v>
      </c>
      <c r="C196" s="3" t="s">
        <v>56</v>
      </c>
      <c r="D196" s="3">
        <v>0</v>
      </c>
      <c r="E196" s="3" t="s">
        <v>57</v>
      </c>
      <c r="F196" s="3">
        <v>0</v>
      </c>
      <c r="G196" s="21">
        <f>Table4[[#This Row],[Item Cost]]*Table4[[#This Row],[In Stock]]</f>
        <v>0</v>
      </c>
      <c r="H196" s="12" t="s">
        <v>4661</v>
      </c>
      <c r="I196" s="13" t="s">
        <v>4668</v>
      </c>
      <c r="J196" s="13" t="s">
        <v>4672</v>
      </c>
      <c r="K196" s="13" t="s">
        <v>4758</v>
      </c>
      <c r="L196" s="12" t="s">
        <v>4672</v>
      </c>
      <c r="M196" s="17" t="str">
        <f>IF(LEN(COUNTIFS($H$1:H196,$H196,$I$1:I196,$I196,$J$1:J196,$J196,$K$1:K196,K196,$L$1:L196,L196))=1,"00"&amp;COUNTIFS($H$1:H196,$H196,$I$1:I196,$I196,$J$1:J196,$J196,$K$1:K196,K196,$L$1:L196,L196),IF(LEN(COUNTIFS($H$1:H196,$H196,$I$1:I196,$I196,$J$1:J196,$J196,$K$1:K196,K196,$L$1:L196,L196))=2,"0"&amp;COUNTIFS($H$1:H196,$H196,$I$1:I196,$I196,$J$1:J196,$J196,$K$1:K196,K196,$L$1:L196,L196),COUNTIFS($H$1:H196,$H196,$I$1:I196,$I196,$J$1:J196,$J196,$K$1:K196,K196,$L$1:L196,L196)))</f>
        <v>023</v>
      </c>
      <c r="N19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6" s="14" t="e">
        <f>+LEN(Table4[[#This Row],[New Item Code]])</f>
        <v>#N/A</v>
      </c>
      <c r="P196" s="15" t="s">
        <v>4747</v>
      </c>
      <c r="Q196" s="15" t="s">
        <v>4749</v>
      </c>
      <c r="R196" s="15"/>
      <c r="S196" s="15"/>
      <c r="T196" s="15" t="s">
        <v>4672</v>
      </c>
    </row>
    <row r="197" spans="1:20" x14ac:dyDescent="0.35">
      <c r="A197" s="2" t="s">
        <v>399</v>
      </c>
      <c r="B197" s="2" t="s">
        <v>400</v>
      </c>
      <c r="C197" s="2" t="s">
        <v>56</v>
      </c>
      <c r="D197" s="2">
        <v>0</v>
      </c>
      <c r="E197" s="2" t="s">
        <v>57</v>
      </c>
      <c r="F197" s="2">
        <v>0</v>
      </c>
      <c r="G197" s="22">
        <f>Table4[[#This Row],[Item Cost]]*Table4[[#This Row],[In Stock]]</f>
        <v>0</v>
      </c>
      <c r="H197" s="12" t="s">
        <v>4661</v>
      </c>
      <c r="I197" s="13" t="s">
        <v>4668</v>
      </c>
      <c r="J197" s="13" t="s">
        <v>4672</v>
      </c>
      <c r="K197" s="13" t="s">
        <v>4758</v>
      </c>
      <c r="L197" s="12" t="s">
        <v>4672</v>
      </c>
      <c r="M197" s="17" t="str">
        <f>IF(LEN(COUNTIFS($H$1:H197,$H197,$I$1:I197,$I197,$J$1:J197,$J197,$K$1:K197,K197,$L$1:L197,L197))=1,"00"&amp;COUNTIFS($H$1:H197,$H197,$I$1:I197,$I197,$J$1:J197,$J197,$K$1:K197,K197,$L$1:L197,L197),IF(LEN(COUNTIFS($H$1:H197,$H197,$I$1:I197,$I197,$J$1:J197,$J197,$K$1:K197,K197,$L$1:L197,L197))=2,"0"&amp;COUNTIFS($H$1:H197,$H197,$I$1:I197,$I197,$J$1:J197,$J197,$K$1:K197,K197,$L$1:L197,L197),COUNTIFS($H$1:H197,$H197,$I$1:I197,$I197,$J$1:J197,$J197,$K$1:K197,K197,$L$1:L197,L197)))</f>
        <v>024</v>
      </c>
      <c r="N19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7" s="14" t="e">
        <f>+LEN(Table4[[#This Row],[New Item Code]])</f>
        <v>#N/A</v>
      </c>
      <c r="P197" s="15" t="s">
        <v>4747</v>
      </c>
      <c r="Q197" s="15" t="s">
        <v>4749</v>
      </c>
      <c r="R197" s="15"/>
      <c r="S197" s="15"/>
      <c r="T197" s="15" t="s">
        <v>4672</v>
      </c>
    </row>
    <row r="198" spans="1:20" x14ac:dyDescent="0.35">
      <c r="A198" s="3" t="s">
        <v>401</v>
      </c>
      <c r="B198" s="3" t="s">
        <v>402</v>
      </c>
      <c r="C198" s="3" t="s">
        <v>56</v>
      </c>
      <c r="D198" s="3">
        <v>0</v>
      </c>
      <c r="E198" s="3" t="s">
        <v>57</v>
      </c>
      <c r="F198" s="3">
        <v>0</v>
      </c>
      <c r="G198" s="21">
        <f>Table4[[#This Row],[Item Cost]]*Table4[[#This Row],[In Stock]]</f>
        <v>0</v>
      </c>
      <c r="H198" s="12" t="s">
        <v>4661</v>
      </c>
      <c r="I198" s="13" t="s">
        <v>4668</v>
      </c>
      <c r="J198" s="13" t="s">
        <v>4672</v>
      </c>
      <c r="K198" s="13" t="s">
        <v>4758</v>
      </c>
      <c r="L198" s="12" t="s">
        <v>4672</v>
      </c>
      <c r="M198" s="17" t="str">
        <f>IF(LEN(COUNTIFS($H$1:H198,$H198,$I$1:I198,$I198,$J$1:J198,$J198,$K$1:K198,K198,$L$1:L198,L198))=1,"00"&amp;COUNTIFS($H$1:H198,$H198,$I$1:I198,$I198,$J$1:J198,$J198,$K$1:K198,K198,$L$1:L198,L198),IF(LEN(COUNTIFS($H$1:H198,$H198,$I$1:I198,$I198,$J$1:J198,$J198,$K$1:K198,K198,$L$1:L198,L198))=2,"0"&amp;COUNTIFS($H$1:H198,$H198,$I$1:I198,$I198,$J$1:J198,$J198,$K$1:K198,K198,$L$1:L198,L198),COUNTIFS($H$1:H198,$H198,$I$1:I198,$I198,$J$1:J198,$J198,$K$1:K198,K198,$L$1:L198,L198)))</f>
        <v>025</v>
      </c>
      <c r="N19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8" s="14" t="e">
        <f>+LEN(Table4[[#This Row],[New Item Code]])</f>
        <v>#N/A</v>
      </c>
      <c r="P198" s="15" t="s">
        <v>4747</v>
      </c>
      <c r="Q198" s="15" t="s">
        <v>4749</v>
      </c>
      <c r="R198" s="15"/>
      <c r="S198" s="15"/>
      <c r="T198" s="15" t="s">
        <v>4672</v>
      </c>
    </row>
    <row r="199" spans="1:20" x14ac:dyDescent="0.35">
      <c r="A199" s="2" t="s">
        <v>403</v>
      </c>
      <c r="B199" s="2" t="s">
        <v>404</v>
      </c>
      <c r="C199" s="2" t="s">
        <v>56</v>
      </c>
      <c r="D199" s="2">
        <v>0</v>
      </c>
      <c r="E199" s="2" t="s">
        <v>57</v>
      </c>
      <c r="F199" s="2">
        <v>0</v>
      </c>
      <c r="G199" s="22">
        <f>Table4[[#This Row],[Item Cost]]*Table4[[#This Row],[In Stock]]</f>
        <v>0</v>
      </c>
      <c r="H199" s="12" t="s">
        <v>4661</v>
      </c>
      <c r="I199" s="13" t="s">
        <v>4668</v>
      </c>
      <c r="J199" s="13" t="s">
        <v>4672</v>
      </c>
      <c r="K199" s="13" t="s">
        <v>4758</v>
      </c>
      <c r="L199" s="12" t="s">
        <v>4672</v>
      </c>
      <c r="M199" s="17" t="str">
        <f>IF(LEN(COUNTIFS($H$1:H199,$H199,$I$1:I199,$I199,$J$1:J199,$J199,$K$1:K199,K199,$L$1:L199,L199))=1,"00"&amp;COUNTIFS($H$1:H199,$H199,$I$1:I199,$I199,$J$1:J199,$J199,$K$1:K199,K199,$L$1:L199,L199),IF(LEN(COUNTIFS($H$1:H199,$H199,$I$1:I199,$I199,$J$1:J199,$J199,$K$1:K199,K199,$L$1:L199,L199))=2,"0"&amp;COUNTIFS($H$1:H199,$H199,$I$1:I199,$I199,$J$1:J199,$J199,$K$1:K199,K199,$L$1:L199,L199),COUNTIFS($H$1:H199,$H199,$I$1:I199,$I199,$J$1:J199,$J199,$K$1:K199,K199,$L$1:L199,L199)))</f>
        <v>026</v>
      </c>
      <c r="N19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9" s="14" t="e">
        <f>+LEN(Table4[[#This Row],[New Item Code]])</f>
        <v>#N/A</v>
      </c>
      <c r="P199" s="15" t="s">
        <v>4747</v>
      </c>
      <c r="Q199" s="15" t="s">
        <v>4749</v>
      </c>
      <c r="R199" s="15"/>
      <c r="S199" s="15"/>
      <c r="T199" s="15" t="s">
        <v>4672</v>
      </c>
    </row>
    <row r="200" spans="1:20" x14ac:dyDescent="0.35">
      <c r="A200" s="3" t="s">
        <v>405</v>
      </c>
      <c r="B200" s="3" t="s">
        <v>406</v>
      </c>
      <c r="C200" s="3" t="s">
        <v>56</v>
      </c>
      <c r="D200" s="3">
        <v>0</v>
      </c>
      <c r="E200" s="3" t="s">
        <v>57</v>
      </c>
      <c r="F200" s="3">
        <v>0</v>
      </c>
      <c r="G200" s="21">
        <f>Table4[[#This Row],[Item Cost]]*Table4[[#This Row],[In Stock]]</f>
        <v>0</v>
      </c>
      <c r="H200" s="12" t="s">
        <v>4661</v>
      </c>
      <c r="I200" s="13" t="s">
        <v>4668</v>
      </c>
      <c r="J200" s="13" t="s">
        <v>4672</v>
      </c>
      <c r="K200" s="13" t="s">
        <v>4758</v>
      </c>
      <c r="L200" s="12" t="s">
        <v>4672</v>
      </c>
      <c r="M200" s="17" t="str">
        <f>IF(LEN(COUNTIFS($H$1:H200,$H200,$I$1:I200,$I200,$J$1:J200,$J200,$K$1:K200,K200,$L$1:L200,L200))=1,"00"&amp;COUNTIFS($H$1:H200,$H200,$I$1:I200,$I200,$J$1:J200,$J200,$K$1:K200,K200,$L$1:L200,L200),IF(LEN(COUNTIFS($H$1:H200,$H200,$I$1:I200,$I200,$J$1:J200,$J200,$K$1:K200,K200,$L$1:L200,L200))=2,"0"&amp;COUNTIFS($H$1:H200,$H200,$I$1:I200,$I200,$J$1:J200,$J200,$K$1:K200,K200,$L$1:L200,L200),COUNTIFS($H$1:H200,$H200,$I$1:I200,$I200,$J$1:J200,$J200,$K$1:K200,K200,$L$1:L200,L200)))</f>
        <v>027</v>
      </c>
      <c r="N20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0" s="14" t="e">
        <f>+LEN(Table4[[#This Row],[New Item Code]])</f>
        <v>#N/A</v>
      </c>
      <c r="P200" s="15" t="s">
        <v>4747</v>
      </c>
      <c r="Q200" s="15" t="s">
        <v>4749</v>
      </c>
      <c r="R200" s="15"/>
      <c r="S200" s="15"/>
      <c r="T200" s="15" t="s">
        <v>4672</v>
      </c>
    </row>
    <row r="201" spans="1:20" x14ac:dyDescent="0.35">
      <c r="A201" s="2" t="s">
        <v>407</v>
      </c>
      <c r="B201" s="2" t="s">
        <v>408</v>
      </c>
      <c r="C201" s="2" t="s">
        <v>56</v>
      </c>
      <c r="D201" s="2">
        <v>0</v>
      </c>
      <c r="E201" s="2" t="s">
        <v>57</v>
      </c>
      <c r="F201" s="2">
        <v>0</v>
      </c>
      <c r="G201" s="22">
        <f>Table4[[#This Row],[Item Cost]]*Table4[[#This Row],[In Stock]]</f>
        <v>0</v>
      </c>
      <c r="H201" s="12" t="s">
        <v>4661</v>
      </c>
      <c r="I201" s="13" t="s">
        <v>4668</v>
      </c>
      <c r="J201" s="13" t="s">
        <v>4672</v>
      </c>
      <c r="K201" s="13" t="s">
        <v>4758</v>
      </c>
      <c r="L201" s="12" t="s">
        <v>4672</v>
      </c>
      <c r="M201" s="17" t="str">
        <f>IF(LEN(COUNTIFS($H$1:H201,$H201,$I$1:I201,$I201,$J$1:J201,$J201,$K$1:K201,K201,$L$1:L201,L201))=1,"00"&amp;COUNTIFS($H$1:H201,$H201,$I$1:I201,$I201,$J$1:J201,$J201,$K$1:K201,K201,$L$1:L201,L201),IF(LEN(COUNTIFS($H$1:H201,$H201,$I$1:I201,$I201,$J$1:J201,$J201,$K$1:K201,K201,$L$1:L201,L201))=2,"0"&amp;COUNTIFS($H$1:H201,$H201,$I$1:I201,$I201,$J$1:J201,$J201,$K$1:K201,K201,$L$1:L201,L201),COUNTIFS($H$1:H201,$H201,$I$1:I201,$I201,$J$1:J201,$J201,$K$1:K201,K201,$L$1:L201,L201)))</f>
        <v>028</v>
      </c>
      <c r="N20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1" s="14" t="e">
        <f>+LEN(Table4[[#This Row],[New Item Code]])</f>
        <v>#N/A</v>
      </c>
      <c r="P201" s="15" t="s">
        <v>4747</v>
      </c>
      <c r="Q201" s="15" t="s">
        <v>4749</v>
      </c>
      <c r="R201" s="15"/>
      <c r="S201" s="15"/>
      <c r="T201" s="15" t="s">
        <v>4672</v>
      </c>
    </row>
    <row r="202" spans="1:20" x14ac:dyDescent="0.35">
      <c r="A202" s="3" t="s">
        <v>409</v>
      </c>
      <c r="B202" s="3" t="s">
        <v>410</v>
      </c>
      <c r="C202" s="3" t="s">
        <v>56</v>
      </c>
      <c r="D202" s="3">
        <v>0</v>
      </c>
      <c r="E202" s="3" t="s">
        <v>57</v>
      </c>
      <c r="F202" s="3">
        <v>0</v>
      </c>
      <c r="G202" s="21">
        <f>Table4[[#This Row],[Item Cost]]*Table4[[#This Row],[In Stock]]</f>
        <v>0</v>
      </c>
      <c r="H202" s="12" t="s">
        <v>4661</v>
      </c>
      <c r="I202" s="13" t="s">
        <v>4668</v>
      </c>
      <c r="J202" s="13" t="s">
        <v>4672</v>
      </c>
      <c r="K202" s="13" t="s">
        <v>4758</v>
      </c>
      <c r="L202" s="12" t="s">
        <v>4672</v>
      </c>
      <c r="M202" s="17" t="str">
        <f>IF(LEN(COUNTIFS($H$1:H202,$H202,$I$1:I202,$I202,$J$1:J202,$J202,$K$1:K202,K202,$L$1:L202,L202))=1,"00"&amp;COUNTIFS($H$1:H202,$H202,$I$1:I202,$I202,$J$1:J202,$J202,$K$1:K202,K202,$L$1:L202,L202),IF(LEN(COUNTIFS($H$1:H202,$H202,$I$1:I202,$I202,$J$1:J202,$J202,$K$1:K202,K202,$L$1:L202,L202))=2,"0"&amp;COUNTIFS($H$1:H202,$H202,$I$1:I202,$I202,$J$1:J202,$J202,$K$1:K202,K202,$L$1:L202,L202),COUNTIFS($H$1:H202,$H202,$I$1:I202,$I202,$J$1:J202,$J202,$K$1:K202,K202,$L$1:L202,L202)))</f>
        <v>029</v>
      </c>
      <c r="N20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2" s="14" t="e">
        <f>+LEN(Table4[[#This Row],[New Item Code]])</f>
        <v>#N/A</v>
      </c>
      <c r="P202" s="15" t="s">
        <v>4747</v>
      </c>
      <c r="Q202" s="15" t="s">
        <v>4749</v>
      </c>
      <c r="R202" s="15"/>
      <c r="S202" s="15"/>
      <c r="T202" s="15" t="s">
        <v>4672</v>
      </c>
    </row>
    <row r="203" spans="1:20" x14ac:dyDescent="0.35">
      <c r="A203" s="2" t="s">
        <v>411</v>
      </c>
      <c r="B203" s="2" t="s">
        <v>412</v>
      </c>
      <c r="C203" s="2" t="s">
        <v>56</v>
      </c>
      <c r="D203" s="2">
        <v>0</v>
      </c>
      <c r="E203" s="2" t="s">
        <v>57</v>
      </c>
      <c r="F203" s="2">
        <v>0</v>
      </c>
      <c r="G203" s="22">
        <f>Table4[[#This Row],[Item Cost]]*Table4[[#This Row],[In Stock]]</f>
        <v>0</v>
      </c>
      <c r="H203" s="12" t="s">
        <v>4661</v>
      </c>
      <c r="I203" s="13" t="s">
        <v>4668</v>
      </c>
      <c r="J203" s="13" t="s">
        <v>4672</v>
      </c>
      <c r="K203" s="13" t="s">
        <v>4758</v>
      </c>
      <c r="L203" s="12" t="s">
        <v>4672</v>
      </c>
      <c r="M203" s="17" t="str">
        <f>IF(LEN(COUNTIFS($H$1:H203,$H203,$I$1:I203,$I203,$J$1:J203,$J203,$K$1:K203,K203,$L$1:L203,L203))=1,"00"&amp;COUNTIFS($H$1:H203,$H203,$I$1:I203,$I203,$J$1:J203,$J203,$K$1:K203,K203,$L$1:L203,L203),IF(LEN(COUNTIFS($H$1:H203,$H203,$I$1:I203,$I203,$J$1:J203,$J203,$K$1:K203,K203,$L$1:L203,L203))=2,"0"&amp;COUNTIFS($H$1:H203,$H203,$I$1:I203,$I203,$J$1:J203,$J203,$K$1:K203,K203,$L$1:L203,L203),COUNTIFS($H$1:H203,$H203,$I$1:I203,$I203,$J$1:J203,$J203,$K$1:K203,K203,$L$1:L203,L203)))</f>
        <v>030</v>
      </c>
      <c r="N20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3" s="14" t="e">
        <f>+LEN(Table4[[#This Row],[New Item Code]])</f>
        <v>#N/A</v>
      </c>
      <c r="P203" s="15" t="s">
        <v>4747</v>
      </c>
      <c r="Q203" s="15" t="s">
        <v>4749</v>
      </c>
      <c r="R203" s="15"/>
      <c r="S203" s="15"/>
      <c r="T203" s="15" t="s">
        <v>4672</v>
      </c>
    </row>
    <row r="204" spans="1:20" x14ac:dyDescent="0.35">
      <c r="A204" s="3" t="s">
        <v>413</v>
      </c>
      <c r="B204" s="3" t="s">
        <v>414</v>
      </c>
      <c r="C204" s="3" t="s">
        <v>56</v>
      </c>
      <c r="D204" s="3">
        <v>0</v>
      </c>
      <c r="E204" s="3" t="s">
        <v>57</v>
      </c>
      <c r="F204" s="3">
        <v>0</v>
      </c>
      <c r="G204" s="21">
        <f>Table4[[#This Row],[Item Cost]]*Table4[[#This Row],[In Stock]]</f>
        <v>0</v>
      </c>
      <c r="H204" s="12" t="s">
        <v>4661</v>
      </c>
      <c r="I204" s="13" t="s">
        <v>4668</v>
      </c>
      <c r="J204" s="13" t="s">
        <v>4672</v>
      </c>
      <c r="K204" s="13" t="s">
        <v>4758</v>
      </c>
      <c r="L204" s="12" t="s">
        <v>4672</v>
      </c>
      <c r="M204" s="17" t="str">
        <f>IF(LEN(COUNTIFS($H$1:H204,$H204,$I$1:I204,$I204,$J$1:J204,$J204,$K$1:K204,K204,$L$1:L204,L204))=1,"00"&amp;COUNTIFS($H$1:H204,$H204,$I$1:I204,$I204,$J$1:J204,$J204,$K$1:K204,K204,$L$1:L204,L204),IF(LEN(COUNTIFS($H$1:H204,$H204,$I$1:I204,$I204,$J$1:J204,$J204,$K$1:K204,K204,$L$1:L204,L204))=2,"0"&amp;COUNTIFS($H$1:H204,$H204,$I$1:I204,$I204,$J$1:J204,$J204,$K$1:K204,K204,$L$1:L204,L204),COUNTIFS($H$1:H204,$H204,$I$1:I204,$I204,$J$1:J204,$J204,$K$1:K204,K204,$L$1:L204,L204)))</f>
        <v>031</v>
      </c>
      <c r="N20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4" s="14" t="e">
        <f>+LEN(Table4[[#This Row],[New Item Code]])</f>
        <v>#N/A</v>
      </c>
      <c r="P204" s="15" t="s">
        <v>4747</v>
      </c>
      <c r="Q204" s="15" t="s">
        <v>4749</v>
      </c>
      <c r="R204" s="15"/>
      <c r="S204" s="15"/>
      <c r="T204" s="15" t="s">
        <v>4672</v>
      </c>
    </row>
    <row r="205" spans="1:20" x14ac:dyDescent="0.35">
      <c r="A205" s="2" t="s">
        <v>415</v>
      </c>
      <c r="B205" s="2" t="s">
        <v>416</v>
      </c>
      <c r="C205" s="2" t="s">
        <v>56</v>
      </c>
      <c r="D205" s="2">
        <v>0</v>
      </c>
      <c r="E205" s="2" t="s">
        <v>57</v>
      </c>
      <c r="F205" s="2">
        <v>0</v>
      </c>
      <c r="G205" s="22">
        <f>Table4[[#This Row],[Item Cost]]*Table4[[#This Row],[In Stock]]</f>
        <v>0</v>
      </c>
      <c r="H205" s="12" t="s">
        <v>4661</v>
      </c>
      <c r="I205" s="13" t="s">
        <v>4668</v>
      </c>
      <c r="J205" s="13" t="s">
        <v>4672</v>
      </c>
      <c r="K205" s="13" t="s">
        <v>4758</v>
      </c>
      <c r="L205" s="12" t="s">
        <v>4672</v>
      </c>
      <c r="M205" s="17" t="str">
        <f>IF(LEN(COUNTIFS($H$1:H205,$H205,$I$1:I205,$I205,$J$1:J205,$J205,$K$1:K205,K205,$L$1:L205,L205))=1,"00"&amp;COUNTIFS($H$1:H205,$H205,$I$1:I205,$I205,$J$1:J205,$J205,$K$1:K205,K205,$L$1:L205,L205),IF(LEN(COUNTIFS($H$1:H205,$H205,$I$1:I205,$I205,$J$1:J205,$J205,$K$1:K205,K205,$L$1:L205,L205))=2,"0"&amp;COUNTIFS($H$1:H205,$H205,$I$1:I205,$I205,$J$1:J205,$J205,$K$1:K205,K205,$L$1:L205,L205),COUNTIFS($H$1:H205,$H205,$I$1:I205,$I205,$J$1:J205,$J205,$K$1:K205,K205,$L$1:L205,L205)))</f>
        <v>032</v>
      </c>
      <c r="N20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5" s="14" t="e">
        <f>+LEN(Table4[[#This Row],[New Item Code]])</f>
        <v>#N/A</v>
      </c>
      <c r="P205" s="15" t="s">
        <v>4747</v>
      </c>
      <c r="Q205" s="15" t="s">
        <v>4749</v>
      </c>
      <c r="R205" s="15"/>
      <c r="S205" s="15"/>
      <c r="T205" s="15" t="s">
        <v>4672</v>
      </c>
    </row>
    <row r="206" spans="1:20" x14ac:dyDescent="0.35">
      <c r="A206" s="3" t="s">
        <v>417</v>
      </c>
      <c r="B206" s="3" t="s">
        <v>418</v>
      </c>
      <c r="C206" s="3" t="s">
        <v>56</v>
      </c>
      <c r="D206" s="3">
        <v>0</v>
      </c>
      <c r="E206" s="3" t="s">
        <v>57</v>
      </c>
      <c r="F206" s="3">
        <v>0</v>
      </c>
      <c r="G206" s="21">
        <f>Table4[[#This Row],[Item Cost]]*Table4[[#This Row],[In Stock]]</f>
        <v>0</v>
      </c>
      <c r="H206" s="12" t="s">
        <v>4661</v>
      </c>
      <c r="I206" s="13" t="s">
        <v>4668</v>
      </c>
      <c r="J206" s="13" t="s">
        <v>4672</v>
      </c>
      <c r="K206" s="13" t="s">
        <v>4758</v>
      </c>
      <c r="L206" s="12" t="s">
        <v>4672</v>
      </c>
      <c r="M206" s="17" t="str">
        <f>IF(LEN(COUNTIFS($H$1:H206,$H206,$I$1:I206,$I206,$J$1:J206,$J206,$K$1:K206,K206,$L$1:L206,L206))=1,"00"&amp;COUNTIFS($H$1:H206,$H206,$I$1:I206,$I206,$J$1:J206,$J206,$K$1:K206,K206,$L$1:L206,L206),IF(LEN(COUNTIFS($H$1:H206,$H206,$I$1:I206,$I206,$J$1:J206,$J206,$K$1:K206,K206,$L$1:L206,L206))=2,"0"&amp;COUNTIFS($H$1:H206,$H206,$I$1:I206,$I206,$J$1:J206,$J206,$K$1:K206,K206,$L$1:L206,L206),COUNTIFS($H$1:H206,$H206,$I$1:I206,$I206,$J$1:J206,$J206,$K$1:K206,K206,$L$1:L206,L206)))</f>
        <v>033</v>
      </c>
      <c r="N20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6" s="14" t="e">
        <f>+LEN(Table4[[#This Row],[New Item Code]])</f>
        <v>#N/A</v>
      </c>
      <c r="P206" s="15" t="s">
        <v>4747</v>
      </c>
      <c r="Q206" s="15" t="s">
        <v>4749</v>
      </c>
      <c r="R206" s="15"/>
      <c r="S206" s="15"/>
      <c r="T206" s="15" t="s">
        <v>4672</v>
      </c>
    </row>
    <row r="207" spans="1:20" x14ac:dyDescent="0.35">
      <c r="A207" s="2" t="s">
        <v>419</v>
      </c>
      <c r="B207" s="2" t="s">
        <v>420</v>
      </c>
      <c r="C207" s="2" t="s">
        <v>56</v>
      </c>
      <c r="D207" s="2">
        <v>0</v>
      </c>
      <c r="E207" s="2" t="s">
        <v>57</v>
      </c>
      <c r="F207" s="2">
        <v>0</v>
      </c>
      <c r="G207" s="22">
        <f>Table4[[#This Row],[Item Cost]]*Table4[[#This Row],[In Stock]]</f>
        <v>0</v>
      </c>
      <c r="H207" s="12" t="s">
        <v>4661</v>
      </c>
      <c r="I207" s="13" t="s">
        <v>4668</v>
      </c>
      <c r="J207" s="13" t="s">
        <v>4672</v>
      </c>
      <c r="K207" s="13" t="s">
        <v>4758</v>
      </c>
      <c r="L207" s="12" t="s">
        <v>4672</v>
      </c>
      <c r="M207" s="17" t="str">
        <f>IF(LEN(COUNTIFS($H$1:H207,$H207,$I$1:I207,$I207,$J$1:J207,$J207,$K$1:K207,K207,$L$1:L207,L207))=1,"00"&amp;COUNTIFS($H$1:H207,$H207,$I$1:I207,$I207,$J$1:J207,$J207,$K$1:K207,K207,$L$1:L207,L207),IF(LEN(COUNTIFS($H$1:H207,$H207,$I$1:I207,$I207,$J$1:J207,$J207,$K$1:K207,K207,$L$1:L207,L207))=2,"0"&amp;COUNTIFS($H$1:H207,$H207,$I$1:I207,$I207,$J$1:J207,$J207,$K$1:K207,K207,$L$1:L207,L207),COUNTIFS($H$1:H207,$H207,$I$1:I207,$I207,$J$1:J207,$J207,$K$1:K207,K207,$L$1:L207,L207)))</f>
        <v>034</v>
      </c>
      <c r="N20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7" s="14" t="e">
        <f>+LEN(Table4[[#This Row],[New Item Code]])</f>
        <v>#N/A</v>
      </c>
      <c r="P207" s="15" t="s">
        <v>4747</v>
      </c>
      <c r="Q207" s="15" t="s">
        <v>4749</v>
      </c>
      <c r="R207" s="15"/>
      <c r="S207" s="15"/>
      <c r="T207" s="15" t="s">
        <v>4672</v>
      </c>
    </row>
    <row r="208" spans="1:20" x14ac:dyDescent="0.35">
      <c r="A208" s="3" t="s">
        <v>421</v>
      </c>
      <c r="B208" s="3" t="s">
        <v>422</v>
      </c>
      <c r="C208" s="3" t="s">
        <v>56</v>
      </c>
      <c r="D208" s="3">
        <v>0</v>
      </c>
      <c r="E208" s="3" t="s">
        <v>57</v>
      </c>
      <c r="F208" s="3">
        <v>0</v>
      </c>
      <c r="G208" s="21">
        <f>Table4[[#This Row],[Item Cost]]*Table4[[#This Row],[In Stock]]</f>
        <v>0</v>
      </c>
      <c r="H208" s="12" t="s">
        <v>4661</v>
      </c>
      <c r="I208" s="13" t="s">
        <v>4668</v>
      </c>
      <c r="J208" s="13" t="s">
        <v>4672</v>
      </c>
      <c r="K208" s="13" t="s">
        <v>4758</v>
      </c>
      <c r="L208" s="12" t="s">
        <v>4672</v>
      </c>
      <c r="M208" s="17" t="str">
        <f>IF(LEN(COUNTIFS($H$1:H208,$H208,$I$1:I208,$I208,$J$1:J208,$J208,$K$1:K208,K208,$L$1:L208,L208))=1,"00"&amp;COUNTIFS($H$1:H208,$H208,$I$1:I208,$I208,$J$1:J208,$J208,$K$1:K208,K208,$L$1:L208,L208),IF(LEN(COUNTIFS($H$1:H208,$H208,$I$1:I208,$I208,$J$1:J208,$J208,$K$1:K208,K208,$L$1:L208,L208))=2,"0"&amp;COUNTIFS($H$1:H208,$H208,$I$1:I208,$I208,$J$1:J208,$J208,$K$1:K208,K208,$L$1:L208,L208),COUNTIFS($H$1:H208,$H208,$I$1:I208,$I208,$J$1:J208,$J208,$K$1:K208,K208,$L$1:L208,L208)))</f>
        <v>035</v>
      </c>
      <c r="N20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8" s="14" t="e">
        <f>+LEN(Table4[[#This Row],[New Item Code]])</f>
        <v>#N/A</v>
      </c>
      <c r="P208" s="15" t="s">
        <v>4747</v>
      </c>
      <c r="Q208" s="15" t="s">
        <v>4749</v>
      </c>
      <c r="R208" s="15"/>
      <c r="S208" s="15"/>
      <c r="T208" s="15" t="s">
        <v>4672</v>
      </c>
    </row>
    <row r="209" spans="1:20" x14ac:dyDescent="0.35">
      <c r="A209" s="2" t="s">
        <v>423</v>
      </c>
      <c r="B209" s="2" t="s">
        <v>424</v>
      </c>
      <c r="C209" s="2" t="s">
        <v>56</v>
      </c>
      <c r="D209" s="2">
        <v>0</v>
      </c>
      <c r="E209" s="2" t="s">
        <v>57</v>
      </c>
      <c r="F209" s="2">
        <v>0</v>
      </c>
      <c r="G209" s="22">
        <f>Table4[[#This Row],[Item Cost]]*Table4[[#This Row],[In Stock]]</f>
        <v>0</v>
      </c>
      <c r="H209" s="12" t="s">
        <v>4661</v>
      </c>
      <c r="I209" s="13" t="s">
        <v>4668</v>
      </c>
      <c r="J209" s="13" t="s">
        <v>4672</v>
      </c>
      <c r="K209" s="13" t="s">
        <v>4758</v>
      </c>
      <c r="L209" s="12" t="s">
        <v>4672</v>
      </c>
      <c r="M209" s="17" t="str">
        <f>IF(LEN(COUNTIFS($H$1:H209,$H209,$I$1:I209,$I209,$J$1:J209,$J209,$K$1:K209,K209,$L$1:L209,L209))=1,"00"&amp;COUNTIFS($H$1:H209,$H209,$I$1:I209,$I209,$J$1:J209,$J209,$K$1:K209,K209,$L$1:L209,L209),IF(LEN(COUNTIFS($H$1:H209,$H209,$I$1:I209,$I209,$J$1:J209,$J209,$K$1:K209,K209,$L$1:L209,L209))=2,"0"&amp;COUNTIFS($H$1:H209,$H209,$I$1:I209,$I209,$J$1:J209,$J209,$K$1:K209,K209,$L$1:L209,L209),COUNTIFS($H$1:H209,$H209,$I$1:I209,$I209,$J$1:J209,$J209,$K$1:K209,K209,$L$1:L209,L209)))</f>
        <v>036</v>
      </c>
      <c r="N20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9" s="14" t="e">
        <f>+LEN(Table4[[#This Row],[New Item Code]])</f>
        <v>#N/A</v>
      </c>
      <c r="P209" s="15" t="s">
        <v>4747</v>
      </c>
      <c r="Q209" s="15" t="s">
        <v>4749</v>
      </c>
      <c r="R209" s="15"/>
      <c r="S209" s="15"/>
      <c r="T209" s="15" t="s">
        <v>4672</v>
      </c>
    </row>
    <row r="210" spans="1:20" x14ac:dyDescent="0.35">
      <c r="A210" s="3" t="s">
        <v>425</v>
      </c>
      <c r="B210" s="3" t="s">
        <v>426</v>
      </c>
      <c r="C210" s="3" t="s">
        <v>56</v>
      </c>
      <c r="D210" s="3">
        <v>0</v>
      </c>
      <c r="E210" s="3" t="s">
        <v>57</v>
      </c>
      <c r="F210" s="3">
        <v>0</v>
      </c>
      <c r="G210" s="21">
        <f>Table4[[#This Row],[Item Cost]]*Table4[[#This Row],[In Stock]]</f>
        <v>0</v>
      </c>
      <c r="H210" s="12" t="s">
        <v>4661</v>
      </c>
      <c r="I210" s="13" t="s">
        <v>4668</v>
      </c>
      <c r="J210" s="13" t="s">
        <v>4672</v>
      </c>
      <c r="K210" s="13" t="s">
        <v>4758</v>
      </c>
      <c r="L210" s="12" t="s">
        <v>4672</v>
      </c>
      <c r="M210" s="17" t="str">
        <f>IF(LEN(COUNTIFS($H$1:H210,$H210,$I$1:I210,$I210,$J$1:J210,$J210,$K$1:K210,K210,$L$1:L210,L210))=1,"00"&amp;COUNTIFS($H$1:H210,$H210,$I$1:I210,$I210,$J$1:J210,$J210,$K$1:K210,K210,$L$1:L210,L210),IF(LEN(COUNTIFS($H$1:H210,$H210,$I$1:I210,$I210,$J$1:J210,$J210,$K$1:K210,K210,$L$1:L210,L210))=2,"0"&amp;COUNTIFS($H$1:H210,$H210,$I$1:I210,$I210,$J$1:J210,$J210,$K$1:K210,K210,$L$1:L210,L210),COUNTIFS($H$1:H210,$H210,$I$1:I210,$I210,$J$1:J210,$J210,$K$1:K210,K210,$L$1:L210,L210)))</f>
        <v>037</v>
      </c>
      <c r="N21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0" s="14" t="e">
        <f>+LEN(Table4[[#This Row],[New Item Code]])</f>
        <v>#N/A</v>
      </c>
      <c r="P210" s="15" t="s">
        <v>4747</v>
      </c>
      <c r="Q210" s="15" t="s">
        <v>4749</v>
      </c>
      <c r="R210" s="15"/>
      <c r="S210" s="15"/>
      <c r="T210" s="15" t="s">
        <v>4672</v>
      </c>
    </row>
    <row r="211" spans="1:20" x14ac:dyDescent="0.35">
      <c r="A211" s="2" t="s">
        <v>427</v>
      </c>
      <c r="B211" s="2" t="s">
        <v>428</v>
      </c>
      <c r="C211" s="2" t="s">
        <v>56</v>
      </c>
      <c r="D211" s="2">
        <v>0</v>
      </c>
      <c r="E211" s="2" t="s">
        <v>57</v>
      </c>
      <c r="F211" s="2">
        <v>0</v>
      </c>
      <c r="G211" s="22">
        <f>Table4[[#This Row],[Item Cost]]*Table4[[#This Row],[In Stock]]</f>
        <v>0</v>
      </c>
      <c r="H211" s="12" t="s">
        <v>4661</v>
      </c>
      <c r="I211" s="13" t="s">
        <v>4668</v>
      </c>
      <c r="J211" s="13" t="s">
        <v>4672</v>
      </c>
      <c r="K211" s="13" t="s">
        <v>4758</v>
      </c>
      <c r="L211" s="12" t="s">
        <v>4672</v>
      </c>
      <c r="M211" s="17" t="str">
        <f>IF(LEN(COUNTIFS($H$1:H211,$H211,$I$1:I211,$I211,$J$1:J211,$J211,$K$1:K211,K211,$L$1:L211,L211))=1,"00"&amp;COUNTIFS($H$1:H211,$H211,$I$1:I211,$I211,$J$1:J211,$J211,$K$1:K211,K211,$L$1:L211,L211),IF(LEN(COUNTIFS($H$1:H211,$H211,$I$1:I211,$I211,$J$1:J211,$J211,$K$1:K211,K211,$L$1:L211,L211))=2,"0"&amp;COUNTIFS($H$1:H211,$H211,$I$1:I211,$I211,$J$1:J211,$J211,$K$1:K211,K211,$L$1:L211,L211),COUNTIFS($H$1:H211,$H211,$I$1:I211,$I211,$J$1:J211,$J211,$K$1:K211,K211,$L$1:L211,L211)))</f>
        <v>038</v>
      </c>
      <c r="N21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1" s="14" t="e">
        <f>+LEN(Table4[[#This Row],[New Item Code]])</f>
        <v>#N/A</v>
      </c>
      <c r="P211" s="15" t="s">
        <v>4747</v>
      </c>
      <c r="Q211" s="15" t="s">
        <v>4749</v>
      </c>
      <c r="R211" s="15"/>
      <c r="S211" s="15"/>
      <c r="T211" s="15" t="s">
        <v>4672</v>
      </c>
    </row>
    <row r="212" spans="1:20" x14ac:dyDescent="0.35">
      <c r="A212" s="3" t="s">
        <v>429</v>
      </c>
      <c r="B212" s="3" t="s">
        <v>430</v>
      </c>
      <c r="C212" s="3" t="s">
        <v>56</v>
      </c>
      <c r="D212" s="3">
        <v>0</v>
      </c>
      <c r="E212" s="3" t="s">
        <v>57</v>
      </c>
      <c r="F212" s="3">
        <v>0</v>
      </c>
      <c r="G212" s="21">
        <f>Table4[[#This Row],[Item Cost]]*Table4[[#This Row],[In Stock]]</f>
        <v>0</v>
      </c>
      <c r="H212" s="12" t="s">
        <v>4661</v>
      </c>
      <c r="I212" s="13" t="s">
        <v>4668</v>
      </c>
      <c r="J212" s="13" t="s">
        <v>4672</v>
      </c>
      <c r="K212" s="13" t="s">
        <v>4758</v>
      </c>
      <c r="L212" s="12" t="s">
        <v>4672</v>
      </c>
      <c r="M212" s="17" t="str">
        <f>IF(LEN(COUNTIFS($H$1:H212,$H212,$I$1:I212,$I212,$J$1:J212,$J212,$K$1:K212,K212,$L$1:L212,L212))=1,"00"&amp;COUNTIFS($H$1:H212,$H212,$I$1:I212,$I212,$J$1:J212,$J212,$K$1:K212,K212,$L$1:L212,L212),IF(LEN(COUNTIFS($H$1:H212,$H212,$I$1:I212,$I212,$J$1:J212,$J212,$K$1:K212,K212,$L$1:L212,L212))=2,"0"&amp;COUNTIFS($H$1:H212,$H212,$I$1:I212,$I212,$J$1:J212,$J212,$K$1:K212,K212,$L$1:L212,L212),COUNTIFS($H$1:H212,$H212,$I$1:I212,$I212,$J$1:J212,$J212,$K$1:K212,K212,$L$1:L212,L212)))</f>
        <v>039</v>
      </c>
      <c r="N21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2" s="14" t="e">
        <f>+LEN(Table4[[#This Row],[New Item Code]])</f>
        <v>#N/A</v>
      </c>
      <c r="P212" s="15" t="s">
        <v>4747</v>
      </c>
      <c r="Q212" s="15" t="s">
        <v>4749</v>
      </c>
      <c r="R212" s="15"/>
      <c r="S212" s="15"/>
      <c r="T212" s="15" t="s">
        <v>4672</v>
      </c>
    </row>
    <row r="213" spans="1:20" x14ac:dyDescent="0.35">
      <c r="A213" s="2" t="s">
        <v>431</v>
      </c>
      <c r="B213" s="2" t="s">
        <v>432</v>
      </c>
      <c r="C213" s="2" t="s">
        <v>56</v>
      </c>
      <c r="D213" s="2">
        <v>0</v>
      </c>
      <c r="E213" s="2" t="s">
        <v>57</v>
      </c>
      <c r="F213" s="2">
        <v>0</v>
      </c>
      <c r="G213" s="22">
        <f>Table4[[#This Row],[Item Cost]]*Table4[[#This Row],[In Stock]]</f>
        <v>0</v>
      </c>
      <c r="H213" s="12" t="s">
        <v>4661</v>
      </c>
      <c r="I213" s="13" t="s">
        <v>4668</v>
      </c>
      <c r="J213" s="13" t="s">
        <v>4672</v>
      </c>
      <c r="K213" s="13" t="s">
        <v>4758</v>
      </c>
      <c r="L213" s="12" t="s">
        <v>4672</v>
      </c>
      <c r="M213" s="17" t="str">
        <f>IF(LEN(COUNTIFS($H$1:H213,$H213,$I$1:I213,$I213,$J$1:J213,$J213,$K$1:K213,K213,$L$1:L213,L213))=1,"00"&amp;COUNTIFS($H$1:H213,$H213,$I$1:I213,$I213,$J$1:J213,$J213,$K$1:K213,K213,$L$1:L213,L213),IF(LEN(COUNTIFS($H$1:H213,$H213,$I$1:I213,$I213,$J$1:J213,$J213,$K$1:K213,K213,$L$1:L213,L213))=2,"0"&amp;COUNTIFS($H$1:H213,$H213,$I$1:I213,$I213,$J$1:J213,$J213,$K$1:K213,K213,$L$1:L213,L213),COUNTIFS($H$1:H213,$H213,$I$1:I213,$I213,$J$1:J213,$J213,$K$1:K213,K213,$L$1:L213,L213)))</f>
        <v>040</v>
      </c>
      <c r="N21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3" s="14" t="e">
        <f>+LEN(Table4[[#This Row],[New Item Code]])</f>
        <v>#N/A</v>
      </c>
      <c r="P213" s="15" t="s">
        <v>4747</v>
      </c>
      <c r="Q213" s="15" t="s">
        <v>4749</v>
      </c>
      <c r="R213" s="15"/>
      <c r="S213" s="15"/>
      <c r="T213" s="15" t="s">
        <v>4672</v>
      </c>
    </row>
    <row r="214" spans="1:20" x14ac:dyDescent="0.35">
      <c r="A214" s="3" t="s">
        <v>433</v>
      </c>
      <c r="B214" s="3" t="s">
        <v>434</v>
      </c>
      <c r="C214" s="3" t="s">
        <v>56</v>
      </c>
      <c r="D214" s="3">
        <v>0</v>
      </c>
      <c r="E214" s="3" t="s">
        <v>57</v>
      </c>
      <c r="F214" s="3">
        <v>0</v>
      </c>
      <c r="G214" s="21">
        <f>Table4[[#This Row],[Item Cost]]*Table4[[#This Row],[In Stock]]</f>
        <v>0</v>
      </c>
      <c r="H214" s="12" t="s">
        <v>4661</v>
      </c>
      <c r="I214" s="13" t="s">
        <v>4668</v>
      </c>
      <c r="J214" s="13" t="s">
        <v>4672</v>
      </c>
      <c r="K214" s="13" t="s">
        <v>4758</v>
      </c>
      <c r="L214" s="12" t="s">
        <v>4672</v>
      </c>
      <c r="M214" s="17" t="str">
        <f>IF(LEN(COUNTIFS($H$1:H214,$H214,$I$1:I214,$I214,$J$1:J214,$J214,$K$1:K214,K214,$L$1:L214,L214))=1,"00"&amp;COUNTIFS($H$1:H214,$H214,$I$1:I214,$I214,$J$1:J214,$J214,$K$1:K214,K214,$L$1:L214,L214),IF(LEN(COUNTIFS($H$1:H214,$H214,$I$1:I214,$I214,$J$1:J214,$J214,$K$1:K214,K214,$L$1:L214,L214))=2,"0"&amp;COUNTIFS($H$1:H214,$H214,$I$1:I214,$I214,$J$1:J214,$J214,$K$1:K214,K214,$L$1:L214,L214),COUNTIFS($H$1:H214,$H214,$I$1:I214,$I214,$J$1:J214,$J214,$K$1:K214,K214,$L$1:L214,L214)))</f>
        <v>041</v>
      </c>
      <c r="N21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4" s="14" t="e">
        <f>+LEN(Table4[[#This Row],[New Item Code]])</f>
        <v>#N/A</v>
      </c>
      <c r="P214" s="15" t="s">
        <v>4747</v>
      </c>
      <c r="Q214" s="15" t="s">
        <v>4749</v>
      </c>
      <c r="R214" s="15"/>
      <c r="S214" s="15"/>
      <c r="T214" s="15" t="s">
        <v>4672</v>
      </c>
    </row>
    <row r="215" spans="1:20" x14ac:dyDescent="0.35">
      <c r="A215" s="2" t="s">
        <v>435</v>
      </c>
      <c r="B215" s="2" t="s">
        <v>436</v>
      </c>
      <c r="C215" s="2" t="s">
        <v>56</v>
      </c>
      <c r="D215" s="2">
        <v>0</v>
      </c>
      <c r="E215" s="2" t="s">
        <v>57</v>
      </c>
      <c r="F215" s="2">
        <v>0</v>
      </c>
      <c r="G215" s="22">
        <f>Table4[[#This Row],[Item Cost]]*Table4[[#This Row],[In Stock]]</f>
        <v>0</v>
      </c>
      <c r="H215" s="12" t="s">
        <v>4661</v>
      </c>
      <c r="I215" s="13" t="s">
        <v>4668</v>
      </c>
      <c r="J215" s="13" t="s">
        <v>4672</v>
      </c>
      <c r="K215" s="13" t="s">
        <v>4758</v>
      </c>
      <c r="L215" s="12" t="s">
        <v>4672</v>
      </c>
      <c r="M215" s="17" t="str">
        <f>IF(LEN(COUNTIFS($H$1:H215,$H215,$I$1:I215,$I215,$J$1:J215,$J215,$K$1:K215,K215,$L$1:L215,L215))=1,"00"&amp;COUNTIFS($H$1:H215,$H215,$I$1:I215,$I215,$J$1:J215,$J215,$K$1:K215,K215,$L$1:L215,L215),IF(LEN(COUNTIFS($H$1:H215,$H215,$I$1:I215,$I215,$J$1:J215,$J215,$K$1:K215,K215,$L$1:L215,L215))=2,"0"&amp;COUNTIFS($H$1:H215,$H215,$I$1:I215,$I215,$J$1:J215,$J215,$K$1:K215,K215,$L$1:L215,L215),COUNTIFS($H$1:H215,$H215,$I$1:I215,$I215,$J$1:J215,$J215,$K$1:K215,K215,$L$1:L215,L215)))</f>
        <v>042</v>
      </c>
      <c r="N21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5" s="14" t="e">
        <f>+LEN(Table4[[#This Row],[New Item Code]])</f>
        <v>#N/A</v>
      </c>
      <c r="P215" s="15" t="s">
        <v>4747</v>
      </c>
      <c r="Q215" s="15" t="s">
        <v>4749</v>
      </c>
      <c r="R215" s="15"/>
      <c r="S215" s="15"/>
      <c r="T215" s="15" t="s">
        <v>4672</v>
      </c>
    </row>
    <row r="216" spans="1:20" x14ac:dyDescent="0.35">
      <c r="A216" s="3" t="s">
        <v>437</v>
      </c>
      <c r="B216" s="3" t="s">
        <v>438</v>
      </c>
      <c r="C216" s="3" t="s">
        <v>56</v>
      </c>
      <c r="D216" s="3">
        <v>0</v>
      </c>
      <c r="E216" s="3" t="s">
        <v>57</v>
      </c>
      <c r="F216" s="3">
        <v>0</v>
      </c>
      <c r="G216" s="21">
        <f>Table4[[#This Row],[Item Cost]]*Table4[[#This Row],[In Stock]]</f>
        <v>0</v>
      </c>
      <c r="H216" s="12" t="s">
        <v>4661</v>
      </c>
      <c r="I216" s="13" t="s">
        <v>4668</v>
      </c>
      <c r="J216" s="13" t="s">
        <v>4672</v>
      </c>
      <c r="K216" s="13" t="s">
        <v>4758</v>
      </c>
      <c r="L216" s="12" t="s">
        <v>4672</v>
      </c>
      <c r="M216" s="17" t="str">
        <f>IF(LEN(COUNTIFS($H$1:H216,$H216,$I$1:I216,$I216,$J$1:J216,$J216,$K$1:K216,K216,$L$1:L216,L216))=1,"00"&amp;COUNTIFS($H$1:H216,$H216,$I$1:I216,$I216,$J$1:J216,$J216,$K$1:K216,K216,$L$1:L216,L216),IF(LEN(COUNTIFS($H$1:H216,$H216,$I$1:I216,$I216,$J$1:J216,$J216,$K$1:K216,K216,$L$1:L216,L216))=2,"0"&amp;COUNTIFS($H$1:H216,$H216,$I$1:I216,$I216,$J$1:J216,$J216,$K$1:K216,K216,$L$1:L216,L216),COUNTIFS($H$1:H216,$H216,$I$1:I216,$I216,$J$1:J216,$J216,$K$1:K216,K216,$L$1:L216,L216)))</f>
        <v>043</v>
      </c>
      <c r="N21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6" s="14" t="e">
        <f>+LEN(Table4[[#This Row],[New Item Code]])</f>
        <v>#N/A</v>
      </c>
      <c r="P216" s="15" t="s">
        <v>4747</v>
      </c>
      <c r="Q216" s="15" t="s">
        <v>4749</v>
      </c>
      <c r="R216" s="15"/>
      <c r="S216" s="15"/>
      <c r="T216" s="15" t="s">
        <v>4672</v>
      </c>
    </row>
    <row r="217" spans="1:20" x14ac:dyDescent="0.35">
      <c r="A217" s="2" t="s">
        <v>439</v>
      </c>
      <c r="B217" s="2" t="s">
        <v>440</v>
      </c>
      <c r="C217" s="2" t="s">
        <v>56</v>
      </c>
      <c r="D217" s="2">
        <v>0</v>
      </c>
      <c r="E217" s="2" t="s">
        <v>57</v>
      </c>
      <c r="F217" s="2">
        <v>0</v>
      </c>
      <c r="G217" s="22">
        <f>Table4[[#This Row],[Item Cost]]*Table4[[#This Row],[In Stock]]</f>
        <v>0</v>
      </c>
      <c r="H217" s="12" t="s">
        <v>4661</v>
      </c>
      <c r="I217" s="13" t="s">
        <v>4668</v>
      </c>
      <c r="J217" s="13" t="s">
        <v>4672</v>
      </c>
      <c r="K217" s="13" t="s">
        <v>4758</v>
      </c>
      <c r="L217" s="12" t="s">
        <v>4672</v>
      </c>
      <c r="M217" s="17" t="str">
        <f>IF(LEN(COUNTIFS($H$1:H217,$H217,$I$1:I217,$I217,$J$1:J217,$J217,$K$1:K217,K217,$L$1:L217,L217))=1,"00"&amp;COUNTIFS($H$1:H217,$H217,$I$1:I217,$I217,$J$1:J217,$J217,$K$1:K217,K217,$L$1:L217,L217),IF(LEN(COUNTIFS($H$1:H217,$H217,$I$1:I217,$I217,$J$1:J217,$J217,$K$1:K217,K217,$L$1:L217,L217))=2,"0"&amp;COUNTIFS($H$1:H217,$H217,$I$1:I217,$I217,$J$1:J217,$J217,$K$1:K217,K217,$L$1:L217,L217),COUNTIFS($H$1:H217,$H217,$I$1:I217,$I217,$J$1:J217,$J217,$K$1:K217,K217,$L$1:L217,L217)))</f>
        <v>044</v>
      </c>
      <c r="N21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7" s="14" t="e">
        <f>+LEN(Table4[[#This Row],[New Item Code]])</f>
        <v>#N/A</v>
      </c>
      <c r="P217" s="15" t="s">
        <v>4747</v>
      </c>
      <c r="Q217" s="15" t="s">
        <v>4749</v>
      </c>
      <c r="R217" s="15"/>
      <c r="S217" s="15"/>
      <c r="T217" s="15" t="s">
        <v>4672</v>
      </c>
    </row>
    <row r="218" spans="1:20" x14ac:dyDescent="0.35">
      <c r="A218" s="3" t="s">
        <v>441</v>
      </c>
      <c r="B218" s="3" t="s">
        <v>442</v>
      </c>
      <c r="C218" s="3" t="s">
        <v>56</v>
      </c>
      <c r="D218" s="3">
        <v>0</v>
      </c>
      <c r="E218" s="3" t="s">
        <v>57</v>
      </c>
      <c r="F218" s="3">
        <v>0</v>
      </c>
      <c r="G218" s="21">
        <f>Table4[[#This Row],[Item Cost]]*Table4[[#This Row],[In Stock]]</f>
        <v>0</v>
      </c>
      <c r="H218" s="12" t="s">
        <v>4661</v>
      </c>
      <c r="I218" s="13" t="s">
        <v>4668</v>
      </c>
      <c r="J218" s="13" t="s">
        <v>4672</v>
      </c>
      <c r="K218" s="13" t="s">
        <v>4758</v>
      </c>
      <c r="L218" s="12" t="s">
        <v>4672</v>
      </c>
      <c r="M218" s="17" t="str">
        <f>IF(LEN(COUNTIFS($H$1:H218,$H218,$I$1:I218,$I218,$J$1:J218,$J218,$K$1:K218,K218,$L$1:L218,L218))=1,"00"&amp;COUNTIFS($H$1:H218,$H218,$I$1:I218,$I218,$J$1:J218,$J218,$K$1:K218,K218,$L$1:L218,L218),IF(LEN(COUNTIFS($H$1:H218,$H218,$I$1:I218,$I218,$J$1:J218,$J218,$K$1:K218,K218,$L$1:L218,L218))=2,"0"&amp;COUNTIFS($H$1:H218,$H218,$I$1:I218,$I218,$J$1:J218,$J218,$K$1:K218,K218,$L$1:L218,L218),COUNTIFS($H$1:H218,$H218,$I$1:I218,$I218,$J$1:J218,$J218,$K$1:K218,K218,$L$1:L218,L218)))</f>
        <v>045</v>
      </c>
      <c r="N21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8" s="14" t="e">
        <f>+LEN(Table4[[#This Row],[New Item Code]])</f>
        <v>#N/A</v>
      </c>
      <c r="P218" s="15" t="s">
        <v>4747</v>
      </c>
      <c r="Q218" s="15" t="s">
        <v>4749</v>
      </c>
      <c r="R218" s="15"/>
      <c r="S218" s="15"/>
      <c r="T218" s="15" t="s">
        <v>4672</v>
      </c>
    </row>
    <row r="219" spans="1:20" x14ac:dyDescent="0.35">
      <c r="A219" s="2" t="s">
        <v>443</v>
      </c>
      <c r="B219" s="2" t="s">
        <v>444</v>
      </c>
      <c r="C219" s="2" t="s">
        <v>56</v>
      </c>
      <c r="D219" s="2">
        <v>0</v>
      </c>
      <c r="E219" s="2" t="s">
        <v>57</v>
      </c>
      <c r="F219" s="2">
        <v>0</v>
      </c>
      <c r="G219" s="22">
        <f>Table4[[#This Row],[Item Cost]]*Table4[[#This Row],[In Stock]]</f>
        <v>0</v>
      </c>
      <c r="H219" s="12" t="s">
        <v>4661</v>
      </c>
      <c r="I219" s="13" t="s">
        <v>4668</v>
      </c>
      <c r="J219" s="13" t="s">
        <v>4672</v>
      </c>
      <c r="K219" s="13" t="s">
        <v>4758</v>
      </c>
      <c r="L219" s="12" t="s">
        <v>4672</v>
      </c>
      <c r="M219" s="17" t="str">
        <f>IF(LEN(COUNTIFS($H$1:H219,$H219,$I$1:I219,$I219,$J$1:J219,$J219,$K$1:K219,K219,$L$1:L219,L219))=1,"00"&amp;COUNTIFS($H$1:H219,$H219,$I$1:I219,$I219,$J$1:J219,$J219,$K$1:K219,K219,$L$1:L219,L219),IF(LEN(COUNTIFS($H$1:H219,$H219,$I$1:I219,$I219,$J$1:J219,$J219,$K$1:K219,K219,$L$1:L219,L219))=2,"0"&amp;COUNTIFS($H$1:H219,$H219,$I$1:I219,$I219,$J$1:J219,$J219,$K$1:K219,K219,$L$1:L219,L219),COUNTIFS($H$1:H219,$H219,$I$1:I219,$I219,$J$1:J219,$J219,$K$1:K219,K219,$L$1:L219,L219)))</f>
        <v>046</v>
      </c>
      <c r="N21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9" s="14" t="e">
        <f>+LEN(Table4[[#This Row],[New Item Code]])</f>
        <v>#N/A</v>
      </c>
      <c r="P219" s="15" t="s">
        <v>4747</v>
      </c>
      <c r="Q219" s="15" t="s">
        <v>4749</v>
      </c>
      <c r="R219" s="15"/>
      <c r="S219" s="15"/>
      <c r="T219" s="15" t="s">
        <v>4672</v>
      </c>
    </row>
    <row r="220" spans="1:20" x14ac:dyDescent="0.35">
      <c r="A220" s="3" t="s">
        <v>445</v>
      </c>
      <c r="B220" s="3" t="s">
        <v>446</v>
      </c>
      <c r="C220" s="3" t="s">
        <v>56</v>
      </c>
      <c r="D220" s="3">
        <v>0</v>
      </c>
      <c r="E220" s="3" t="s">
        <v>57</v>
      </c>
      <c r="F220" s="3">
        <v>0</v>
      </c>
      <c r="G220" s="21">
        <f>Table4[[#This Row],[Item Cost]]*Table4[[#This Row],[In Stock]]</f>
        <v>0</v>
      </c>
      <c r="H220" s="12" t="s">
        <v>4661</v>
      </c>
      <c r="I220" s="13" t="s">
        <v>4668</v>
      </c>
      <c r="J220" s="13" t="s">
        <v>4672</v>
      </c>
      <c r="K220" s="13" t="s">
        <v>4758</v>
      </c>
      <c r="L220" s="12" t="s">
        <v>4672</v>
      </c>
      <c r="M220" s="17" t="str">
        <f>IF(LEN(COUNTIFS($H$1:H220,$H220,$I$1:I220,$I220,$J$1:J220,$J220,$K$1:K220,K220,$L$1:L220,L220))=1,"00"&amp;COUNTIFS($H$1:H220,$H220,$I$1:I220,$I220,$J$1:J220,$J220,$K$1:K220,K220,$L$1:L220,L220),IF(LEN(COUNTIFS($H$1:H220,$H220,$I$1:I220,$I220,$J$1:J220,$J220,$K$1:K220,K220,$L$1:L220,L220))=2,"0"&amp;COUNTIFS($H$1:H220,$H220,$I$1:I220,$I220,$J$1:J220,$J220,$K$1:K220,K220,$L$1:L220,L220),COUNTIFS($H$1:H220,$H220,$I$1:I220,$I220,$J$1:J220,$J220,$K$1:K220,K220,$L$1:L220,L220)))</f>
        <v>047</v>
      </c>
      <c r="N22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0" s="14" t="e">
        <f>+LEN(Table4[[#This Row],[New Item Code]])</f>
        <v>#N/A</v>
      </c>
      <c r="P220" s="15" t="s">
        <v>4747</v>
      </c>
      <c r="Q220" s="15" t="s">
        <v>4749</v>
      </c>
      <c r="R220" s="15"/>
      <c r="S220" s="15"/>
      <c r="T220" s="15" t="s">
        <v>4672</v>
      </c>
    </row>
    <row r="221" spans="1:20" x14ac:dyDescent="0.35">
      <c r="A221" s="2" t="s">
        <v>447</v>
      </c>
      <c r="B221" s="2" t="s">
        <v>448</v>
      </c>
      <c r="C221" s="2" t="s">
        <v>56</v>
      </c>
      <c r="D221" s="2">
        <v>0</v>
      </c>
      <c r="E221" s="2" t="s">
        <v>57</v>
      </c>
      <c r="F221" s="2">
        <v>0</v>
      </c>
      <c r="G221" s="22">
        <f>Table4[[#This Row],[Item Cost]]*Table4[[#This Row],[In Stock]]</f>
        <v>0</v>
      </c>
      <c r="H221" s="12" t="s">
        <v>4661</v>
      </c>
      <c r="I221" s="13" t="s">
        <v>4668</v>
      </c>
      <c r="J221" s="13" t="s">
        <v>4672</v>
      </c>
      <c r="K221" s="13" t="s">
        <v>4758</v>
      </c>
      <c r="L221" s="12" t="s">
        <v>4672</v>
      </c>
      <c r="M221" s="17" t="str">
        <f>IF(LEN(COUNTIFS($H$1:H221,$H221,$I$1:I221,$I221,$J$1:J221,$J221,$K$1:K221,K221,$L$1:L221,L221))=1,"00"&amp;COUNTIFS($H$1:H221,$H221,$I$1:I221,$I221,$J$1:J221,$J221,$K$1:K221,K221,$L$1:L221,L221),IF(LEN(COUNTIFS($H$1:H221,$H221,$I$1:I221,$I221,$J$1:J221,$J221,$K$1:K221,K221,$L$1:L221,L221))=2,"0"&amp;COUNTIFS($H$1:H221,$H221,$I$1:I221,$I221,$J$1:J221,$J221,$K$1:K221,K221,$L$1:L221,L221),COUNTIFS($H$1:H221,$H221,$I$1:I221,$I221,$J$1:J221,$J221,$K$1:K221,K221,$L$1:L221,L221)))</f>
        <v>048</v>
      </c>
      <c r="N22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1" s="14" t="e">
        <f>+LEN(Table4[[#This Row],[New Item Code]])</f>
        <v>#N/A</v>
      </c>
      <c r="P221" s="15" t="s">
        <v>4747</v>
      </c>
      <c r="Q221" s="15" t="s">
        <v>4749</v>
      </c>
      <c r="R221" s="15"/>
      <c r="S221" s="15"/>
      <c r="T221" s="15" t="s">
        <v>4672</v>
      </c>
    </row>
    <row r="222" spans="1:20" x14ac:dyDescent="0.35">
      <c r="A222" s="3" t="s">
        <v>449</v>
      </c>
      <c r="B222" s="3" t="s">
        <v>450</v>
      </c>
      <c r="C222" s="3" t="s">
        <v>56</v>
      </c>
      <c r="D222" s="3">
        <v>0</v>
      </c>
      <c r="E222" s="3" t="s">
        <v>57</v>
      </c>
      <c r="F222" s="3">
        <v>0</v>
      </c>
      <c r="G222" s="21">
        <f>Table4[[#This Row],[Item Cost]]*Table4[[#This Row],[In Stock]]</f>
        <v>0</v>
      </c>
      <c r="H222" s="12" t="s">
        <v>4661</v>
      </c>
      <c r="I222" s="13" t="s">
        <v>4668</v>
      </c>
      <c r="J222" s="13" t="s">
        <v>4672</v>
      </c>
      <c r="K222" s="13" t="s">
        <v>4758</v>
      </c>
      <c r="L222" s="12" t="s">
        <v>4672</v>
      </c>
      <c r="M222" s="17" t="str">
        <f>IF(LEN(COUNTIFS($H$1:H222,$H222,$I$1:I222,$I222,$J$1:J222,$J222,$K$1:K222,K222,$L$1:L222,L222))=1,"00"&amp;COUNTIFS($H$1:H222,$H222,$I$1:I222,$I222,$J$1:J222,$J222,$K$1:K222,K222,$L$1:L222,L222),IF(LEN(COUNTIFS($H$1:H222,$H222,$I$1:I222,$I222,$J$1:J222,$J222,$K$1:K222,K222,$L$1:L222,L222))=2,"0"&amp;COUNTIFS($H$1:H222,$H222,$I$1:I222,$I222,$J$1:J222,$J222,$K$1:K222,K222,$L$1:L222,L222),COUNTIFS($H$1:H222,$H222,$I$1:I222,$I222,$J$1:J222,$J222,$K$1:K222,K222,$L$1:L222,L222)))</f>
        <v>049</v>
      </c>
      <c r="N22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2" s="14" t="e">
        <f>+LEN(Table4[[#This Row],[New Item Code]])</f>
        <v>#N/A</v>
      </c>
      <c r="P222" s="15" t="s">
        <v>4747</v>
      </c>
      <c r="Q222" s="15" t="s">
        <v>4749</v>
      </c>
      <c r="R222" s="15"/>
      <c r="S222" s="15"/>
      <c r="T222" s="15" t="s">
        <v>4672</v>
      </c>
    </row>
    <row r="223" spans="1:20" x14ac:dyDescent="0.35">
      <c r="A223" s="2" t="s">
        <v>451</v>
      </c>
      <c r="B223" s="2" t="s">
        <v>452</v>
      </c>
      <c r="C223" s="2" t="s">
        <v>56</v>
      </c>
      <c r="D223" s="2">
        <v>0</v>
      </c>
      <c r="E223" s="2" t="s">
        <v>57</v>
      </c>
      <c r="F223" s="2">
        <v>0</v>
      </c>
      <c r="G223" s="22">
        <f>Table4[[#This Row],[Item Cost]]*Table4[[#This Row],[In Stock]]</f>
        <v>0</v>
      </c>
      <c r="H223" s="12" t="s">
        <v>4661</v>
      </c>
      <c r="I223" s="13" t="s">
        <v>4668</v>
      </c>
      <c r="J223" s="13" t="s">
        <v>4672</v>
      </c>
      <c r="K223" s="13" t="s">
        <v>4758</v>
      </c>
      <c r="L223" s="12" t="s">
        <v>4672</v>
      </c>
      <c r="M223" s="17" t="str">
        <f>IF(LEN(COUNTIFS($H$1:H223,$H223,$I$1:I223,$I223,$J$1:J223,$J223,$K$1:K223,K223,$L$1:L223,L223))=1,"00"&amp;COUNTIFS($H$1:H223,$H223,$I$1:I223,$I223,$J$1:J223,$J223,$K$1:K223,K223,$L$1:L223,L223),IF(LEN(COUNTIFS($H$1:H223,$H223,$I$1:I223,$I223,$J$1:J223,$J223,$K$1:K223,K223,$L$1:L223,L223))=2,"0"&amp;COUNTIFS($H$1:H223,$H223,$I$1:I223,$I223,$J$1:J223,$J223,$K$1:K223,K223,$L$1:L223,L223),COUNTIFS($H$1:H223,$H223,$I$1:I223,$I223,$J$1:J223,$J223,$K$1:K223,K223,$L$1:L223,L223)))</f>
        <v>050</v>
      </c>
      <c r="N22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3" s="14" t="e">
        <f>+LEN(Table4[[#This Row],[New Item Code]])</f>
        <v>#N/A</v>
      </c>
      <c r="P223" s="15" t="s">
        <v>4747</v>
      </c>
      <c r="Q223" s="15" t="s">
        <v>4749</v>
      </c>
      <c r="R223" s="15"/>
      <c r="S223" s="15"/>
      <c r="T223" s="15" t="s">
        <v>4672</v>
      </c>
    </row>
    <row r="224" spans="1:20" x14ac:dyDescent="0.35">
      <c r="A224" s="3" t="s">
        <v>453</v>
      </c>
      <c r="B224" s="3" t="s">
        <v>454</v>
      </c>
      <c r="C224" s="3" t="s">
        <v>56</v>
      </c>
      <c r="D224" s="3">
        <v>0</v>
      </c>
      <c r="E224" s="3" t="s">
        <v>57</v>
      </c>
      <c r="F224" s="3">
        <v>0</v>
      </c>
      <c r="G224" s="21">
        <f>Table4[[#This Row],[Item Cost]]*Table4[[#This Row],[In Stock]]</f>
        <v>0</v>
      </c>
      <c r="H224" s="12" t="s">
        <v>4661</v>
      </c>
      <c r="I224" s="13" t="s">
        <v>4668</v>
      </c>
      <c r="J224" s="13" t="s">
        <v>4672</v>
      </c>
      <c r="K224" s="13" t="s">
        <v>4758</v>
      </c>
      <c r="L224" s="12" t="s">
        <v>4672</v>
      </c>
      <c r="M224" s="17" t="str">
        <f>IF(LEN(COUNTIFS($H$1:H224,$H224,$I$1:I224,$I224,$J$1:J224,$J224,$K$1:K224,K224,$L$1:L224,L224))=1,"00"&amp;COUNTIFS($H$1:H224,$H224,$I$1:I224,$I224,$J$1:J224,$J224,$K$1:K224,K224,$L$1:L224,L224),IF(LEN(COUNTIFS($H$1:H224,$H224,$I$1:I224,$I224,$J$1:J224,$J224,$K$1:K224,K224,$L$1:L224,L224))=2,"0"&amp;COUNTIFS($H$1:H224,$H224,$I$1:I224,$I224,$J$1:J224,$J224,$K$1:K224,K224,$L$1:L224,L224),COUNTIFS($H$1:H224,$H224,$I$1:I224,$I224,$J$1:J224,$J224,$K$1:K224,K224,$L$1:L224,L224)))</f>
        <v>051</v>
      </c>
      <c r="N22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4" s="14" t="e">
        <f>+LEN(Table4[[#This Row],[New Item Code]])</f>
        <v>#N/A</v>
      </c>
      <c r="P224" s="15" t="s">
        <v>4747</v>
      </c>
      <c r="Q224" s="15" t="s">
        <v>4749</v>
      </c>
      <c r="R224" s="15"/>
      <c r="S224" s="15"/>
      <c r="T224" s="15" t="s">
        <v>4672</v>
      </c>
    </row>
    <row r="225" spans="1:20" x14ac:dyDescent="0.35">
      <c r="A225" s="2" t="s">
        <v>455</v>
      </c>
      <c r="B225" s="2" t="s">
        <v>456</v>
      </c>
      <c r="C225" s="2" t="s">
        <v>56</v>
      </c>
      <c r="D225" s="2">
        <v>0</v>
      </c>
      <c r="E225" s="2" t="s">
        <v>57</v>
      </c>
      <c r="F225" s="2">
        <v>0</v>
      </c>
      <c r="G225" s="22">
        <f>Table4[[#This Row],[Item Cost]]*Table4[[#This Row],[In Stock]]</f>
        <v>0</v>
      </c>
      <c r="H225" s="12" t="s">
        <v>4661</v>
      </c>
      <c r="I225" s="13" t="s">
        <v>4668</v>
      </c>
      <c r="J225" s="13" t="s">
        <v>4672</v>
      </c>
      <c r="K225" s="13" t="s">
        <v>4758</v>
      </c>
      <c r="L225" s="12" t="s">
        <v>4672</v>
      </c>
      <c r="M225" s="17" t="str">
        <f>IF(LEN(COUNTIFS($H$1:H225,$H225,$I$1:I225,$I225,$J$1:J225,$J225,$K$1:K225,K225,$L$1:L225,L225))=1,"00"&amp;COUNTIFS($H$1:H225,$H225,$I$1:I225,$I225,$J$1:J225,$J225,$K$1:K225,K225,$L$1:L225,L225),IF(LEN(COUNTIFS($H$1:H225,$H225,$I$1:I225,$I225,$J$1:J225,$J225,$K$1:K225,K225,$L$1:L225,L225))=2,"0"&amp;COUNTIFS($H$1:H225,$H225,$I$1:I225,$I225,$J$1:J225,$J225,$K$1:K225,K225,$L$1:L225,L225),COUNTIFS($H$1:H225,$H225,$I$1:I225,$I225,$J$1:J225,$J225,$K$1:K225,K225,$L$1:L225,L225)))</f>
        <v>052</v>
      </c>
      <c r="N22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5" s="14" t="e">
        <f>+LEN(Table4[[#This Row],[New Item Code]])</f>
        <v>#N/A</v>
      </c>
      <c r="P225" s="15" t="s">
        <v>4747</v>
      </c>
      <c r="Q225" s="15" t="s">
        <v>4749</v>
      </c>
      <c r="R225" s="15"/>
      <c r="S225" s="15"/>
      <c r="T225" s="15" t="s">
        <v>4672</v>
      </c>
    </row>
    <row r="226" spans="1:20" x14ac:dyDescent="0.35">
      <c r="A226" s="3" t="s">
        <v>457</v>
      </c>
      <c r="B226" s="3" t="s">
        <v>458</v>
      </c>
      <c r="C226" s="3" t="s">
        <v>56</v>
      </c>
      <c r="D226" s="3">
        <v>0</v>
      </c>
      <c r="E226" s="3" t="s">
        <v>57</v>
      </c>
      <c r="F226" s="3">
        <v>0</v>
      </c>
      <c r="G226" s="21">
        <f>Table4[[#This Row],[Item Cost]]*Table4[[#This Row],[In Stock]]</f>
        <v>0</v>
      </c>
      <c r="H226" s="12" t="s">
        <v>4661</v>
      </c>
      <c r="I226" s="13" t="s">
        <v>4668</v>
      </c>
      <c r="J226" s="13" t="s">
        <v>4672</v>
      </c>
      <c r="K226" t="s">
        <v>4801</v>
      </c>
      <c r="L226" s="12" t="s">
        <v>4672</v>
      </c>
      <c r="M226" s="17" t="str">
        <f>IF(LEN(COUNTIFS($H$1:H226,$H226,$I$1:I226,$I226,$J$1:J226,$J226,$K$1:K226,K226,$L$1:L226,L226))=1,"00"&amp;COUNTIFS($H$1:H226,$H226,$I$1:I226,$I226,$J$1:J226,$J226,$K$1:K226,K226,$L$1:L226,L226),IF(LEN(COUNTIFS($H$1:H226,$H226,$I$1:I226,$I226,$J$1:J226,$J226,$K$1:K226,K226,$L$1:L226,L226))=2,"0"&amp;COUNTIFS($H$1:H226,$H226,$I$1:I226,$I226,$J$1:J226,$J226,$K$1:K226,K226,$L$1:L226,L226),COUNTIFS($H$1:H226,$H226,$I$1:I226,$I226,$J$1:J226,$J226,$K$1:K226,K226,$L$1:L226,L226)))</f>
        <v>001</v>
      </c>
      <c r="N22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6" s="14" t="e">
        <f>+LEN(Table4[[#This Row],[New Item Code]])</f>
        <v>#N/A</v>
      </c>
      <c r="P226" s="15" t="s">
        <v>4747</v>
      </c>
      <c r="Q226" s="15" t="s">
        <v>4749</v>
      </c>
      <c r="R226" s="15"/>
      <c r="S226" s="15"/>
      <c r="T226" s="15" t="s">
        <v>4672</v>
      </c>
    </row>
    <row r="227" spans="1:20" x14ac:dyDescent="0.35">
      <c r="A227" s="2" t="s">
        <v>459</v>
      </c>
      <c r="B227" s="2" t="s">
        <v>460</v>
      </c>
      <c r="C227" s="2" t="s">
        <v>56</v>
      </c>
      <c r="D227" s="2">
        <v>0</v>
      </c>
      <c r="E227" s="2" t="s">
        <v>57</v>
      </c>
      <c r="F227" s="2">
        <v>0</v>
      </c>
      <c r="G227" s="22">
        <f>Table4[[#This Row],[Item Cost]]*Table4[[#This Row],[In Stock]]</f>
        <v>0</v>
      </c>
      <c r="H227" s="12" t="s">
        <v>4661</v>
      </c>
      <c r="I227" s="13" t="s">
        <v>4668</v>
      </c>
      <c r="J227" s="13" t="s">
        <v>4672</v>
      </c>
      <c r="K227" s="13" t="s">
        <v>4672</v>
      </c>
      <c r="L227" s="12" t="s">
        <v>4672</v>
      </c>
      <c r="M227" s="17" t="str">
        <f>IF(LEN(COUNTIFS($H$1:H227,$H227,$I$1:I227,$I227,$J$1:J227,$J227,$K$1:K227,K227,$L$1:L227,L227))=1,"00"&amp;COUNTIFS($H$1:H227,$H227,$I$1:I227,$I227,$J$1:J227,$J227,$K$1:K227,K227,$L$1:L227,L227),IF(LEN(COUNTIFS($H$1:H227,$H227,$I$1:I227,$I227,$J$1:J227,$J227,$K$1:K227,K227,$L$1:L227,L227))=2,"0"&amp;COUNTIFS($H$1:H227,$H227,$I$1:I227,$I227,$J$1:J227,$J227,$K$1:K227,K227,$L$1:L227,L227),COUNTIFS($H$1:H227,$H227,$I$1:I227,$I227,$J$1:J227,$J227,$K$1:K227,K227,$L$1:L227,L227)))</f>
        <v>001</v>
      </c>
      <c r="N22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7" s="14" t="e">
        <f>+LEN(Table4[[#This Row],[New Item Code]])</f>
        <v>#N/A</v>
      </c>
      <c r="P227" s="15" t="s">
        <v>4747</v>
      </c>
      <c r="Q227" s="15" t="s">
        <v>4749</v>
      </c>
      <c r="R227" s="15"/>
      <c r="S227" s="15"/>
      <c r="T227" s="15" t="s">
        <v>4672</v>
      </c>
    </row>
    <row r="228" spans="1:20" x14ac:dyDescent="0.35">
      <c r="A228" s="3" t="s">
        <v>461</v>
      </c>
      <c r="B228" s="3" t="s">
        <v>462</v>
      </c>
      <c r="C228" s="3" t="s">
        <v>56</v>
      </c>
      <c r="D228" s="3">
        <v>0</v>
      </c>
      <c r="E228" s="3" t="s">
        <v>57</v>
      </c>
      <c r="F228" s="3">
        <v>0</v>
      </c>
      <c r="G228" s="21">
        <f>Table4[[#This Row],[Item Cost]]*Table4[[#This Row],[In Stock]]</f>
        <v>0</v>
      </c>
      <c r="H228" s="12" t="s">
        <v>4661</v>
      </c>
      <c r="I228" s="13" t="s">
        <v>4668</v>
      </c>
      <c r="J228" s="13" t="s">
        <v>4672</v>
      </c>
      <c r="K228" t="s">
        <v>4800</v>
      </c>
      <c r="L228" s="12" t="s">
        <v>4672</v>
      </c>
      <c r="M228" s="17" t="str">
        <f>IF(LEN(COUNTIFS($H$1:H228,$H228,$I$1:I228,$I228,$J$1:J228,$J228,$K$1:K228,K228,$L$1:L228,L228))=1,"00"&amp;COUNTIFS($H$1:H228,$H228,$I$1:I228,$I228,$J$1:J228,$J228,$K$1:K228,K228,$L$1:L228,L228),IF(LEN(COUNTIFS($H$1:H228,$H228,$I$1:I228,$I228,$J$1:J228,$J228,$K$1:K228,K228,$L$1:L228,L228))=2,"0"&amp;COUNTIFS($H$1:H228,$H228,$I$1:I228,$I228,$J$1:J228,$J228,$K$1:K228,K228,$L$1:L228,L228),COUNTIFS($H$1:H228,$H228,$I$1:I228,$I228,$J$1:J228,$J228,$K$1:K228,K228,$L$1:L228,L228)))</f>
        <v>001</v>
      </c>
      <c r="N22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8" s="14" t="e">
        <f>+LEN(Table4[[#This Row],[New Item Code]])</f>
        <v>#N/A</v>
      </c>
      <c r="P228" s="15" t="s">
        <v>4747</v>
      </c>
      <c r="Q228" s="15" t="s">
        <v>4749</v>
      </c>
      <c r="R228" s="15"/>
      <c r="S228" s="15"/>
      <c r="T228" s="15" t="s">
        <v>4672</v>
      </c>
    </row>
    <row r="229" spans="1:20" x14ac:dyDescent="0.35">
      <c r="A229" s="2" t="s">
        <v>463</v>
      </c>
      <c r="B229" s="2" t="s">
        <v>464</v>
      </c>
      <c r="C229" s="2" t="s">
        <v>56</v>
      </c>
      <c r="D229" s="2">
        <v>0</v>
      </c>
      <c r="E229" s="2" t="s">
        <v>57</v>
      </c>
      <c r="F229" s="2">
        <v>0</v>
      </c>
      <c r="G229" s="22">
        <f>Table4[[#This Row],[Item Cost]]*Table4[[#This Row],[In Stock]]</f>
        <v>0</v>
      </c>
      <c r="H229" s="12" t="s">
        <v>4661</v>
      </c>
      <c r="I229" s="13" t="s">
        <v>4668</v>
      </c>
      <c r="J229" s="13" t="s">
        <v>4672</v>
      </c>
      <c r="K229" t="s">
        <v>4800</v>
      </c>
      <c r="L229" s="12" t="s">
        <v>4672</v>
      </c>
      <c r="M229" s="17" t="str">
        <f>IF(LEN(COUNTIFS($H$1:H229,$H229,$I$1:I229,$I229,$J$1:J229,$J229,$K$1:K229,K229,$L$1:L229,L229))=1,"00"&amp;COUNTIFS($H$1:H229,$H229,$I$1:I229,$I229,$J$1:J229,$J229,$K$1:K229,K229,$L$1:L229,L229),IF(LEN(COUNTIFS($H$1:H229,$H229,$I$1:I229,$I229,$J$1:J229,$J229,$K$1:K229,K229,$L$1:L229,L229))=2,"0"&amp;COUNTIFS($H$1:H229,$H229,$I$1:I229,$I229,$J$1:J229,$J229,$K$1:K229,K229,$L$1:L229,L229),COUNTIFS($H$1:H229,$H229,$I$1:I229,$I229,$J$1:J229,$J229,$K$1:K229,K229,$L$1:L229,L229)))</f>
        <v>002</v>
      </c>
      <c r="N22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9" s="14" t="e">
        <f>+LEN(Table4[[#This Row],[New Item Code]])</f>
        <v>#N/A</v>
      </c>
      <c r="P229" s="15" t="s">
        <v>4747</v>
      </c>
      <c r="Q229" s="15" t="s">
        <v>4749</v>
      </c>
      <c r="R229" s="15"/>
      <c r="S229" s="15"/>
      <c r="T229" s="15" t="s">
        <v>4672</v>
      </c>
    </row>
    <row r="230" spans="1:20" x14ac:dyDescent="0.35">
      <c r="A230" s="3" t="s">
        <v>465</v>
      </c>
      <c r="B230" s="3" t="s">
        <v>466</v>
      </c>
      <c r="C230" s="3" t="s">
        <v>56</v>
      </c>
      <c r="D230" s="3">
        <v>0</v>
      </c>
      <c r="E230" s="3" t="s">
        <v>57</v>
      </c>
      <c r="F230" s="3">
        <v>0</v>
      </c>
      <c r="G230" s="21">
        <f>Table4[[#This Row],[Item Cost]]*Table4[[#This Row],[In Stock]]</f>
        <v>0</v>
      </c>
      <c r="H230" s="12" t="s">
        <v>4661</v>
      </c>
      <c r="I230" s="13" t="s">
        <v>4668</v>
      </c>
      <c r="J230" s="13" t="s">
        <v>4672</v>
      </c>
      <c r="K230" t="s">
        <v>4800</v>
      </c>
      <c r="L230" s="12" t="s">
        <v>4672</v>
      </c>
      <c r="M230" s="17" t="str">
        <f>IF(LEN(COUNTIFS($H$1:H230,$H230,$I$1:I230,$I230,$J$1:J230,$J230,$K$1:K230,K230,$L$1:L230,L230))=1,"00"&amp;COUNTIFS($H$1:H230,$H230,$I$1:I230,$I230,$J$1:J230,$J230,$K$1:K230,K230,$L$1:L230,L230),IF(LEN(COUNTIFS($H$1:H230,$H230,$I$1:I230,$I230,$J$1:J230,$J230,$K$1:K230,K230,$L$1:L230,L230))=2,"0"&amp;COUNTIFS($H$1:H230,$H230,$I$1:I230,$I230,$J$1:J230,$J230,$K$1:K230,K230,$L$1:L230,L230),COUNTIFS($H$1:H230,$H230,$I$1:I230,$I230,$J$1:J230,$J230,$K$1:K230,K230,$L$1:L230,L230)))</f>
        <v>003</v>
      </c>
      <c r="N23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0" s="14" t="e">
        <f>+LEN(Table4[[#This Row],[New Item Code]])</f>
        <v>#N/A</v>
      </c>
      <c r="P230" s="15" t="s">
        <v>4747</v>
      </c>
      <c r="Q230" s="15" t="s">
        <v>4749</v>
      </c>
      <c r="R230" s="15"/>
      <c r="S230" s="15"/>
      <c r="T230" s="15" t="s">
        <v>4672</v>
      </c>
    </row>
    <row r="231" spans="1:20" x14ac:dyDescent="0.35">
      <c r="A231" s="2" t="s">
        <v>467</v>
      </c>
      <c r="B231" s="2" t="s">
        <v>468</v>
      </c>
      <c r="C231" s="2" t="s">
        <v>56</v>
      </c>
      <c r="D231" s="2">
        <v>0</v>
      </c>
      <c r="E231" s="2" t="s">
        <v>57</v>
      </c>
      <c r="F231" s="2">
        <v>0</v>
      </c>
      <c r="G231" s="22">
        <f>Table4[[#This Row],[Item Cost]]*Table4[[#This Row],[In Stock]]</f>
        <v>0</v>
      </c>
      <c r="H231" s="12" t="s">
        <v>4661</v>
      </c>
      <c r="I231" s="13" t="s">
        <v>4668</v>
      </c>
      <c r="J231" s="13" t="s">
        <v>4672</v>
      </c>
      <c r="K231" t="s">
        <v>4800</v>
      </c>
      <c r="L231" s="12" t="s">
        <v>4672</v>
      </c>
      <c r="M231" s="17" t="str">
        <f>IF(LEN(COUNTIFS($H$1:H231,$H231,$I$1:I231,$I231,$J$1:J231,$J231,$K$1:K231,K231,$L$1:L231,L231))=1,"00"&amp;COUNTIFS($H$1:H231,$H231,$I$1:I231,$I231,$J$1:J231,$J231,$K$1:K231,K231,$L$1:L231,L231),IF(LEN(COUNTIFS($H$1:H231,$H231,$I$1:I231,$I231,$J$1:J231,$J231,$K$1:K231,K231,$L$1:L231,L231))=2,"0"&amp;COUNTIFS($H$1:H231,$H231,$I$1:I231,$I231,$J$1:J231,$J231,$K$1:K231,K231,$L$1:L231,L231),COUNTIFS($H$1:H231,$H231,$I$1:I231,$I231,$J$1:J231,$J231,$K$1:K231,K231,$L$1:L231,L231)))</f>
        <v>004</v>
      </c>
      <c r="N23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1" s="14" t="e">
        <f>+LEN(Table4[[#This Row],[New Item Code]])</f>
        <v>#N/A</v>
      </c>
      <c r="P231" s="15" t="s">
        <v>4747</v>
      </c>
      <c r="Q231" s="15" t="s">
        <v>4749</v>
      </c>
      <c r="R231" s="15"/>
      <c r="S231" s="15"/>
      <c r="T231" s="15" t="s">
        <v>4672</v>
      </c>
    </row>
    <row r="232" spans="1:20" x14ac:dyDescent="0.35">
      <c r="A232" s="3" t="s">
        <v>469</v>
      </c>
      <c r="B232" s="3" t="s">
        <v>470</v>
      </c>
      <c r="C232" s="3" t="s">
        <v>56</v>
      </c>
      <c r="D232" s="3">
        <v>0</v>
      </c>
      <c r="E232" s="3" t="s">
        <v>57</v>
      </c>
      <c r="F232" s="3">
        <v>0</v>
      </c>
      <c r="G232" s="21">
        <f>Table4[[#This Row],[Item Cost]]*Table4[[#This Row],[In Stock]]</f>
        <v>0</v>
      </c>
      <c r="H232" s="12" t="s">
        <v>4661</v>
      </c>
      <c r="I232" s="13" t="s">
        <v>4668</v>
      </c>
      <c r="J232" s="13" t="s">
        <v>4672</v>
      </c>
      <c r="K232" t="s">
        <v>4800</v>
      </c>
      <c r="L232" s="12" t="s">
        <v>4672</v>
      </c>
      <c r="M232" s="17" t="str">
        <f>IF(LEN(COUNTIFS($H$1:H232,$H232,$I$1:I232,$I232,$J$1:J232,$J232,$K$1:K232,K232,$L$1:L232,L232))=1,"00"&amp;COUNTIFS($H$1:H232,$H232,$I$1:I232,$I232,$J$1:J232,$J232,$K$1:K232,K232,$L$1:L232,L232),IF(LEN(COUNTIFS($H$1:H232,$H232,$I$1:I232,$I232,$J$1:J232,$J232,$K$1:K232,K232,$L$1:L232,L232))=2,"0"&amp;COUNTIFS($H$1:H232,$H232,$I$1:I232,$I232,$J$1:J232,$J232,$K$1:K232,K232,$L$1:L232,L232),COUNTIFS($H$1:H232,$H232,$I$1:I232,$I232,$J$1:J232,$J232,$K$1:K232,K232,$L$1:L232,L232)))</f>
        <v>005</v>
      </c>
      <c r="N23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2" s="14" t="e">
        <f>+LEN(Table4[[#This Row],[New Item Code]])</f>
        <v>#N/A</v>
      </c>
      <c r="P232" s="15" t="s">
        <v>4747</v>
      </c>
      <c r="Q232" s="15" t="s">
        <v>4749</v>
      </c>
      <c r="R232" s="15"/>
      <c r="S232" s="15"/>
      <c r="T232" s="15" t="s">
        <v>4672</v>
      </c>
    </row>
    <row r="233" spans="1:20" x14ac:dyDescent="0.35">
      <c r="A233" s="2" t="s">
        <v>471</v>
      </c>
      <c r="B233" s="2" t="s">
        <v>472</v>
      </c>
      <c r="C233" s="2" t="s">
        <v>56</v>
      </c>
      <c r="D233" s="2">
        <v>0</v>
      </c>
      <c r="E233" s="2" t="s">
        <v>57</v>
      </c>
      <c r="F233" s="2">
        <v>0</v>
      </c>
      <c r="G233" s="22">
        <f>Table4[[#This Row],[Item Cost]]*Table4[[#This Row],[In Stock]]</f>
        <v>0</v>
      </c>
      <c r="H233" s="12" t="s">
        <v>4661</v>
      </c>
      <c r="I233" s="13" t="s">
        <v>4668</v>
      </c>
      <c r="J233" s="13" t="s">
        <v>4672</v>
      </c>
      <c r="K233" t="s">
        <v>4800</v>
      </c>
      <c r="L233" s="12" t="s">
        <v>4672</v>
      </c>
      <c r="M233" s="17" t="str">
        <f>IF(LEN(COUNTIFS($H$1:H233,$H233,$I$1:I233,$I233,$J$1:J233,$J233,$K$1:K233,K233,$L$1:L233,L233))=1,"00"&amp;COUNTIFS($H$1:H233,$H233,$I$1:I233,$I233,$J$1:J233,$J233,$K$1:K233,K233,$L$1:L233,L233),IF(LEN(COUNTIFS($H$1:H233,$H233,$I$1:I233,$I233,$J$1:J233,$J233,$K$1:K233,K233,$L$1:L233,L233))=2,"0"&amp;COUNTIFS($H$1:H233,$H233,$I$1:I233,$I233,$J$1:J233,$J233,$K$1:K233,K233,$L$1:L233,L233),COUNTIFS($H$1:H233,$H233,$I$1:I233,$I233,$J$1:J233,$J233,$K$1:K233,K233,$L$1:L233,L233)))</f>
        <v>006</v>
      </c>
      <c r="N23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3" s="14" t="e">
        <f>+LEN(Table4[[#This Row],[New Item Code]])</f>
        <v>#N/A</v>
      </c>
      <c r="P233" s="15" t="s">
        <v>4747</v>
      </c>
      <c r="Q233" s="15" t="s">
        <v>4749</v>
      </c>
      <c r="R233" s="15"/>
      <c r="S233" s="15"/>
      <c r="T233" s="15" t="s">
        <v>4672</v>
      </c>
    </row>
    <row r="234" spans="1:20" x14ac:dyDescent="0.35">
      <c r="A234" s="3" t="s">
        <v>473</v>
      </c>
      <c r="B234" s="3" t="s">
        <v>474</v>
      </c>
      <c r="C234" s="3" t="s">
        <v>56</v>
      </c>
      <c r="D234" s="3">
        <v>0</v>
      </c>
      <c r="E234" s="3" t="s">
        <v>57</v>
      </c>
      <c r="F234" s="3">
        <v>0</v>
      </c>
      <c r="G234" s="21">
        <f>Table4[[#This Row],[Item Cost]]*Table4[[#This Row],[In Stock]]</f>
        <v>0</v>
      </c>
      <c r="H234" s="12" t="s">
        <v>4661</v>
      </c>
      <c r="I234" s="13" t="s">
        <v>4668</v>
      </c>
      <c r="J234" s="13" t="s">
        <v>4672</v>
      </c>
      <c r="K234" s="13" t="s">
        <v>4672</v>
      </c>
      <c r="L234" s="12" t="s">
        <v>4672</v>
      </c>
      <c r="M234" s="17" t="str">
        <f>IF(LEN(COUNTIFS($H$1:H234,$H234,$I$1:I234,$I234,$J$1:J234,$J234,$K$1:K234,K234,$L$1:L234,L234))=1,"00"&amp;COUNTIFS($H$1:H234,$H234,$I$1:I234,$I234,$J$1:J234,$J234,$K$1:K234,K234,$L$1:L234,L234),IF(LEN(COUNTIFS($H$1:H234,$H234,$I$1:I234,$I234,$J$1:J234,$J234,$K$1:K234,K234,$L$1:L234,L234))=2,"0"&amp;COUNTIFS($H$1:H234,$H234,$I$1:I234,$I234,$J$1:J234,$J234,$K$1:K234,K234,$L$1:L234,L234),COUNTIFS($H$1:H234,$H234,$I$1:I234,$I234,$J$1:J234,$J234,$K$1:K234,K234,$L$1:L234,L234)))</f>
        <v>002</v>
      </c>
      <c r="N23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4" s="14" t="e">
        <f>+LEN(Table4[[#This Row],[New Item Code]])</f>
        <v>#N/A</v>
      </c>
      <c r="P234" s="15" t="s">
        <v>4747</v>
      </c>
      <c r="Q234" s="15" t="s">
        <v>4749</v>
      </c>
      <c r="R234" s="15"/>
      <c r="S234" s="15"/>
      <c r="T234" s="15" t="s">
        <v>4672</v>
      </c>
    </row>
    <row r="235" spans="1:20" x14ac:dyDescent="0.35">
      <c r="A235" s="2" t="s">
        <v>475</v>
      </c>
      <c r="B235" s="2" t="s">
        <v>476</v>
      </c>
      <c r="C235" s="2" t="s">
        <v>56</v>
      </c>
      <c r="D235" s="2">
        <v>0</v>
      </c>
      <c r="E235" s="2" t="s">
        <v>57</v>
      </c>
      <c r="F235" s="2">
        <v>0</v>
      </c>
      <c r="G235" s="22">
        <f>Table4[[#This Row],[Item Cost]]*Table4[[#This Row],[In Stock]]</f>
        <v>0</v>
      </c>
      <c r="H235" s="12" t="s">
        <v>4661</v>
      </c>
      <c r="I235" s="13" t="s">
        <v>4668</v>
      </c>
      <c r="J235" s="13" t="s">
        <v>4672</v>
      </c>
      <c r="K235" s="13" t="s">
        <v>4672</v>
      </c>
      <c r="L235" s="12" t="s">
        <v>4672</v>
      </c>
      <c r="M235" s="17" t="str">
        <f>IF(LEN(COUNTIFS($H$1:H235,$H235,$I$1:I235,$I235,$J$1:J235,$J235,$K$1:K235,K235,$L$1:L235,L235))=1,"00"&amp;COUNTIFS($H$1:H235,$H235,$I$1:I235,$I235,$J$1:J235,$J235,$K$1:K235,K235,$L$1:L235,L235),IF(LEN(COUNTIFS($H$1:H235,$H235,$I$1:I235,$I235,$J$1:J235,$J235,$K$1:K235,K235,$L$1:L235,L235))=2,"0"&amp;COUNTIFS($H$1:H235,$H235,$I$1:I235,$I235,$J$1:J235,$J235,$K$1:K235,K235,$L$1:L235,L235),COUNTIFS($H$1:H235,$H235,$I$1:I235,$I235,$J$1:J235,$J235,$K$1:K235,K235,$L$1:L235,L235)))</f>
        <v>003</v>
      </c>
      <c r="N23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5" s="14" t="e">
        <f>+LEN(Table4[[#This Row],[New Item Code]])</f>
        <v>#N/A</v>
      </c>
      <c r="P235" s="15" t="s">
        <v>4747</v>
      </c>
      <c r="Q235" s="15" t="s">
        <v>4749</v>
      </c>
      <c r="R235" s="15"/>
      <c r="S235" s="15"/>
      <c r="T235" s="15" t="s">
        <v>4672</v>
      </c>
    </row>
    <row r="236" spans="1:20" x14ac:dyDescent="0.35">
      <c r="A236" s="3" t="s">
        <v>477</v>
      </c>
      <c r="B236" s="3" t="s">
        <v>478</v>
      </c>
      <c r="C236" s="3" t="s">
        <v>56</v>
      </c>
      <c r="D236" s="3">
        <v>0</v>
      </c>
      <c r="E236" s="3" t="s">
        <v>57</v>
      </c>
      <c r="F236" s="3">
        <v>0</v>
      </c>
      <c r="G236" s="21">
        <f>Table4[[#This Row],[Item Cost]]*Table4[[#This Row],[In Stock]]</f>
        <v>0</v>
      </c>
      <c r="H236" s="12" t="s">
        <v>4661</v>
      </c>
      <c r="I236" s="13" t="s">
        <v>4668</v>
      </c>
      <c r="J236" s="13" t="s">
        <v>4672</v>
      </c>
      <c r="K236" s="13" t="s">
        <v>4672</v>
      </c>
      <c r="L236" s="12" t="s">
        <v>4672</v>
      </c>
      <c r="M236" s="17" t="str">
        <f>IF(LEN(COUNTIFS($H$1:H236,$H236,$I$1:I236,$I236,$J$1:J236,$J236,$K$1:K236,K236,$L$1:L236,L236))=1,"00"&amp;COUNTIFS($H$1:H236,$H236,$I$1:I236,$I236,$J$1:J236,$J236,$K$1:K236,K236,$L$1:L236,L236),IF(LEN(COUNTIFS($H$1:H236,$H236,$I$1:I236,$I236,$J$1:J236,$J236,$K$1:K236,K236,$L$1:L236,L236))=2,"0"&amp;COUNTIFS($H$1:H236,$H236,$I$1:I236,$I236,$J$1:J236,$J236,$K$1:K236,K236,$L$1:L236,L236),COUNTIFS($H$1:H236,$H236,$I$1:I236,$I236,$J$1:J236,$J236,$K$1:K236,K236,$L$1:L236,L236)))</f>
        <v>004</v>
      </c>
      <c r="N23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6" s="14" t="e">
        <f>+LEN(Table4[[#This Row],[New Item Code]])</f>
        <v>#N/A</v>
      </c>
      <c r="P236" s="15" t="s">
        <v>4747</v>
      </c>
      <c r="Q236" s="15" t="s">
        <v>4749</v>
      </c>
      <c r="R236" s="15"/>
      <c r="S236" s="15"/>
      <c r="T236" s="15" t="s">
        <v>4672</v>
      </c>
    </row>
    <row r="237" spans="1:20" x14ac:dyDescent="0.35">
      <c r="A237" s="2" t="s">
        <v>479</v>
      </c>
      <c r="B237" s="2" t="s">
        <v>480</v>
      </c>
      <c r="C237" s="2" t="s">
        <v>56</v>
      </c>
      <c r="D237" s="2">
        <v>0</v>
      </c>
      <c r="E237" s="2" t="s">
        <v>57</v>
      </c>
      <c r="F237" s="2">
        <v>0</v>
      </c>
      <c r="G237" s="22">
        <f>Table4[[#This Row],[Item Cost]]*Table4[[#This Row],[In Stock]]</f>
        <v>0</v>
      </c>
      <c r="H237" s="12" t="s">
        <v>4661</v>
      </c>
      <c r="I237" s="13" t="s">
        <v>4668</v>
      </c>
      <c r="J237" s="13" t="s">
        <v>4672</v>
      </c>
      <c r="K237" s="13" t="s">
        <v>4672</v>
      </c>
      <c r="L237" s="12" t="s">
        <v>4672</v>
      </c>
      <c r="M237" s="17" t="str">
        <f>IF(LEN(COUNTIFS($H$1:H237,$H237,$I$1:I237,$I237,$J$1:J237,$J237,$K$1:K237,K237,$L$1:L237,L237))=1,"00"&amp;COUNTIFS($H$1:H237,$H237,$I$1:I237,$I237,$J$1:J237,$J237,$K$1:K237,K237,$L$1:L237,L237),IF(LEN(COUNTIFS($H$1:H237,$H237,$I$1:I237,$I237,$J$1:J237,$J237,$K$1:K237,K237,$L$1:L237,L237))=2,"0"&amp;COUNTIFS($H$1:H237,$H237,$I$1:I237,$I237,$J$1:J237,$J237,$K$1:K237,K237,$L$1:L237,L237),COUNTIFS($H$1:H237,$H237,$I$1:I237,$I237,$J$1:J237,$J237,$K$1:K237,K237,$L$1:L237,L237)))</f>
        <v>005</v>
      </c>
      <c r="N23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7" s="14" t="e">
        <f>+LEN(Table4[[#This Row],[New Item Code]])</f>
        <v>#N/A</v>
      </c>
      <c r="P237" s="15" t="s">
        <v>4747</v>
      </c>
      <c r="Q237" s="15" t="s">
        <v>4749</v>
      </c>
      <c r="R237" s="15"/>
      <c r="S237" s="15"/>
      <c r="T237" s="15" t="s">
        <v>4672</v>
      </c>
    </row>
    <row r="238" spans="1:20" x14ac:dyDescent="0.35">
      <c r="A238" s="3" t="s">
        <v>481</v>
      </c>
      <c r="B238" s="3" t="s">
        <v>482</v>
      </c>
      <c r="C238" s="3" t="s">
        <v>56</v>
      </c>
      <c r="D238" s="3">
        <v>0</v>
      </c>
      <c r="E238" s="3" t="s">
        <v>57</v>
      </c>
      <c r="F238" s="3">
        <v>0</v>
      </c>
      <c r="G238" s="21">
        <f>Table4[[#This Row],[Item Cost]]*Table4[[#This Row],[In Stock]]</f>
        <v>0</v>
      </c>
      <c r="H238" s="12" t="s">
        <v>4661</v>
      </c>
      <c r="I238" s="13" t="s">
        <v>4668</v>
      </c>
      <c r="J238" s="13" t="s">
        <v>4672</v>
      </c>
      <c r="K238" s="13" t="s">
        <v>4672</v>
      </c>
      <c r="L238" s="12" t="s">
        <v>4672</v>
      </c>
      <c r="M238" s="17" t="str">
        <f>IF(LEN(COUNTIFS($H$1:H238,$H238,$I$1:I238,$I238,$J$1:J238,$J238,$K$1:K238,K238,$L$1:L238,L238))=1,"00"&amp;COUNTIFS($H$1:H238,$H238,$I$1:I238,$I238,$J$1:J238,$J238,$K$1:K238,K238,$L$1:L238,L238),IF(LEN(COUNTIFS($H$1:H238,$H238,$I$1:I238,$I238,$J$1:J238,$J238,$K$1:K238,K238,$L$1:L238,L238))=2,"0"&amp;COUNTIFS($H$1:H238,$H238,$I$1:I238,$I238,$J$1:J238,$J238,$K$1:K238,K238,$L$1:L238,L238),COUNTIFS($H$1:H238,$H238,$I$1:I238,$I238,$J$1:J238,$J238,$K$1:K238,K238,$L$1:L238,L238)))</f>
        <v>006</v>
      </c>
      <c r="N23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8" s="14" t="e">
        <f>+LEN(Table4[[#This Row],[New Item Code]])</f>
        <v>#N/A</v>
      </c>
      <c r="P238" s="15" t="s">
        <v>4747</v>
      </c>
      <c r="Q238" s="15" t="s">
        <v>4749</v>
      </c>
      <c r="R238" s="15"/>
      <c r="S238" s="15"/>
      <c r="T238" s="15" t="s">
        <v>4672</v>
      </c>
    </row>
    <row r="239" spans="1:20" x14ac:dyDescent="0.35">
      <c r="A239" s="2" t="s">
        <v>483</v>
      </c>
      <c r="B239" s="2" t="s">
        <v>484</v>
      </c>
      <c r="C239" s="2" t="s">
        <v>56</v>
      </c>
      <c r="D239" s="2">
        <v>0</v>
      </c>
      <c r="E239" s="2" t="s">
        <v>57</v>
      </c>
      <c r="F239" s="2">
        <v>0</v>
      </c>
      <c r="G239" s="22">
        <f>Table4[[#This Row],[Item Cost]]*Table4[[#This Row],[In Stock]]</f>
        <v>0</v>
      </c>
      <c r="H239" s="12" t="s">
        <v>4661</v>
      </c>
      <c r="I239" s="13" t="s">
        <v>4668</v>
      </c>
      <c r="J239" s="13" t="s">
        <v>4672</v>
      </c>
      <c r="K239" s="13" t="s">
        <v>4672</v>
      </c>
      <c r="L239" s="12" t="s">
        <v>4672</v>
      </c>
      <c r="M239" s="17" t="str">
        <f>IF(LEN(COUNTIFS($H$1:H239,$H239,$I$1:I239,$I239,$J$1:J239,$J239,$K$1:K239,K239,$L$1:L239,L239))=1,"00"&amp;COUNTIFS($H$1:H239,$H239,$I$1:I239,$I239,$J$1:J239,$J239,$K$1:K239,K239,$L$1:L239,L239),IF(LEN(COUNTIFS($H$1:H239,$H239,$I$1:I239,$I239,$J$1:J239,$J239,$K$1:K239,K239,$L$1:L239,L239))=2,"0"&amp;COUNTIFS($H$1:H239,$H239,$I$1:I239,$I239,$J$1:J239,$J239,$K$1:K239,K239,$L$1:L239,L239),COUNTIFS($H$1:H239,$H239,$I$1:I239,$I239,$J$1:J239,$J239,$K$1:K239,K239,$L$1:L239,L239)))</f>
        <v>007</v>
      </c>
      <c r="N23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9" s="14" t="e">
        <f>+LEN(Table4[[#This Row],[New Item Code]])</f>
        <v>#N/A</v>
      </c>
      <c r="P239" s="15" t="s">
        <v>4747</v>
      </c>
      <c r="Q239" s="15" t="s">
        <v>4749</v>
      </c>
      <c r="R239" s="15"/>
      <c r="S239" s="15"/>
      <c r="T239" s="15" t="s">
        <v>4672</v>
      </c>
    </row>
    <row r="240" spans="1:20" x14ac:dyDescent="0.35">
      <c r="A240" s="3" t="s">
        <v>485</v>
      </c>
      <c r="B240" s="3" t="s">
        <v>486</v>
      </c>
      <c r="C240" s="3" t="s">
        <v>56</v>
      </c>
      <c r="D240" s="3">
        <v>0</v>
      </c>
      <c r="E240" s="3" t="s">
        <v>57</v>
      </c>
      <c r="F240" s="3">
        <v>0</v>
      </c>
      <c r="G240" s="21">
        <f>Table4[[#This Row],[Item Cost]]*Table4[[#This Row],[In Stock]]</f>
        <v>0</v>
      </c>
      <c r="H240" s="12" t="s">
        <v>4661</v>
      </c>
      <c r="I240" s="13" t="s">
        <v>4668</v>
      </c>
      <c r="J240" s="13" t="s">
        <v>4672</v>
      </c>
      <c r="K240" s="13" t="s">
        <v>4672</v>
      </c>
      <c r="L240" s="12" t="s">
        <v>4672</v>
      </c>
      <c r="M240" s="17" t="str">
        <f>IF(LEN(COUNTIFS($H$1:H240,$H240,$I$1:I240,$I240,$J$1:J240,$J240,$K$1:K240,K240,$L$1:L240,L240))=1,"00"&amp;COUNTIFS($H$1:H240,$H240,$I$1:I240,$I240,$J$1:J240,$J240,$K$1:K240,K240,$L$1:L240,L240),IF(LEN(COUNTIFS($H$1:H240,$H240,$I$1:I240,$I240,$J$1:J240,$J240,$K$1:K240,K240,$L$1:L240,L240))=2,"0"&amp;COUNTIFS($H$1:H240,$H240,$I$1:I240,$I240,$J$1:J240,$J240,$K$1:K240,K240,$L$1:L240,L240),COUNTIFS($H$1:H240,$H240,$I$1:I240,$I240,$J$1:J240,$J240,$K$1:K240,K240,$L$1:L240,L240)))</f>
        <v>008</v>
      </c>
      <c r="N24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40" s="14" t="e">
        <f>+LEN(Table4[[#This Row],[New Item Code]])</f>
        <v>#N/A</v>
      </c>
      <c r="P240" s="15" t="s">
        <v>4747</v>
      </c>
      <c r="Q240" s="15" t="s">
        <v>4749</v>
      </c>
      <c r="R240" s="15"/>
      <c r="S240" s="15"/>
      <c r="T240" s="15" t="s">
        <v>4672</v>
      </c>
    </row>
    <row r="241" spans="1:20" x14ac:dyDescent="0.35">
      <c r="A241" s="2" t="s">
        <v>487</v>
      </c>
      <c r="B241" s="2" t="s">
        <v>488</v>
      </c>
      <c r="C241" s="2" t="s">
        <v>56</v>
      </c>
      <c r="D241" s="2">
        <v>0</v>
      </c>
      <c r="E241" s="2" t="s">
        <v>57</v>
      </c>
      <c r="F241" s="2">
        <v>0</v>
      </c>
      <c r="G241" s="22">
        <f>Table4[[#This Row],[Item Cost]]*Table4[[#This Row],[In Stock]]</f>
        <v>0</v>
      </c>
      <c r="H241" s="12" t="s">
        <v>4661</v>
      </c>
      <c r="I241" s="13" t="s">
        <v>4668</v>
      </c>
      <c r="J241" s="13" t="s">
        <v>4672</v>
      </c>
      <c r="K241" s="13" t="s">
        <v>4672</v>
      </c>
      <c r="L241" s="12" t="s">
        <v>4672</v>
      </c>
      <c r="M241" s="17" t="str">
        <f>IF(LEN(COUNTIFS($H$1:H241,$H241,$I$1:I241,$I241,$J$1:J241,$J241,$K$1:K241,K241,$L$1:L241,L241))=1,"00"&amp;COUNTIFS($H$1:H241,$H241,$I$1:I241,$I241,$J$1:J241,$J241,$K$1:K241,K241,$L$1:L241,L241),IF(LEN(COUNTIFS($H$1:H241,$H241,$I$1:I241,$I241,$J$1:J241,$J241,$K$1:K241,K241,$L$1:L241,L241))=2,"0"&amp;COUNTIFS($H$1:H241,$H241,$I$1:I241,$I241,$J$1:J241,$J241,$K$1:K241,K241,$L$1:L241,L241),COUNTIFS($H$1:H241,$H241,$I$1:I241,$I241,$J$1:J241,$J241,$K$1:K241,K241,$L$1:L241,L241)))</f>
        <v>009</v>
      </c>
      <c r="N24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41" s="14" t="e">
        <f>+LEN(Table4[[#This Row],[New Item Code]])</f>
        <v>#N/A</v>
      </c>
      <c r="P241" s="15" t="s">
        <v>4747</v>
      </c>
      <c r="Q241" s="15" t="s">
        <v>4749</v>
      </c>
      <c r="R241" s="15"/>
      <c r="S241" s="15"/>
      <c r="T241" s="15" t="s">
        <v>4672</v>
      </c>
    </row>
    <row r="242" spans="1:20" x14ac:dyDescent="0.35">
      <c r="A242" s="3" t="s">
        <v>489</v>
      </c>
      <c r="B242" s="3" t="s">
        <v>490</v>
      </c>
      <c r="C242" s="3" t="s">
        <v>56</v>
      </c>
      <c r="D242" s="3">
        <v>0</v>
      </c>
      <c r="E242" s="3" t="s">
        <v>57</v>
      </c>
      <c r="F242" s="3">
        <v>0</v>
      </c>
      <c r="G242" s="21">
        <f>Table4[[#This Row],[Item Cost]]*Table4[[#This Row],[In Stock]]</f>
        <v>0</v>
      </c>
      <c r="H242" s="12" t="s">
        <v>4661</v>
      </c>
      <c r="I242" s="13" t="s">
        <v>4668</v>
      </c>
      <c r="J242" s="13" t="s">
        <v>4672</v>
      </c>
      <c r="K242" s="13" t="s">
        <v>4672</v>
      </c>
      <c r="L242" s="12" t="s">
        <v>4672</v>
      </c>
      <c r="M242" s="17" t="str">
        <f>IF(LEN(COUNTIFS($H$1:H242,$H242,$I$1:I242,$I242,$J$1:J242,$J242,$K$1:K242,K242,$L$1:L242,L242))=1,"00"&amp;COUNTIFS($H$1:H242,$H242,$I$1:I242,$I242,$J$1:J242,$J242,$K$1:K242,K242,$L$1:L242,L242),IF(LEN(COUNTIFS($H$1:H242,$H242,$I$1:I242,$I242,$J$1:J242,$J242,$K$1:K242,K242,$L$1:L242,L242))=2,"0"&amp;COUNTIFS($H$1:H242,$H242,$I$1:I242,$I242,$J$1:J242,$J242,$K$1:K242,K242,$L$1:L242,L242),COUNTIFS($H$1:H242,$H242,$I$1:I242,$I242,$J$1:J242,$J242,$K$1:K242,K242,$L$1:L242,L242)))</f>
        <v>010</v>
      </c>
      <c r="N24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42" s="14" t="e">
        <f>+LEN(Table4[[#This Row],[New Item Code]])</f>
        <v>#N/A</v>
      </c>
      <c r="P242" s="15" t="s">
        <v>4747</v>
      </c>
      <c r="Q242" s="15" t="s">
        <v>4749</v>
      </c>
      <c r="R242" s="15"/>
      <c r="S242" s="15"/>
      <c r="T242" s="15" t="s">
        <v>4672</v>
      </c>
    </row>
    <row r="243" spans="1:20" x14ac:dyDescent="0.35">
      <c r="A243" s="2" t="s">
        <v>491</v>
      </c>
      <c r="B243" s="2" t="s">
        <v>492</v>
      </c>
      <c r="C243" s="2" t="s">
        <v>56</v>
      </c>
      <c r="D243" s="2">
        <v>0</v>
      </c>
      <c r="E243" s="2" t="s">
        <v>57</v>
      </c>
      <c r="F243" s="2">
        <v>0</v>
      </c>
      <c r="G243" s="22">
        <f>Table4[[#This Row],[Item Cost]]*Table4[[#This Row],[In Stock]]</f>
        <v>0</v>
      </c>
      <c r="H243" s="12" t="s">
        <v>4661</v>
      </c>
      <c r="I243" s="13" t="s">
        <v>4668</v>
      </c>
      <c r="J243" s="13" t="s">
        <v>4672</v>
      </c>
      <c r="K243" s="13" t="s">
        <v>4672</v>
      </c>
      <c r="L243" s="12" t="s">
        <v>4672</v>
      </c>
      <c r="M243" s="17" t="str">
        <f>IF(LEN(COUNTIFS($H$1:H243,$H243,$I$1:I243,$I243,$J$1:J243,$J243,$K$1:K243,K243,$L$1:L243,L243))=1,"00"&amp;COUNTIFS($H$1:H243,$H243,$I$1:I243,$I243,$J$1:J243,$J243,$K$1:K243,K243,$L$1:L243,L243),IF(LEN(COUNTIFS($H$1:H243,$H243,$I$1:I243,$I243,$J$1:J243,$J243,$K$1:K243,K243,$L$1:L243,L243))=2,"0"&amp;COUNTIFS($H$1:H243,$H243,$I$1:I243,$I243,$J$1:J243,$J243,$K$1:K243,K243,$L$1:L243,L243),COUNTIFS($H$1:H243,$H243,$I$1:I243,$I243,$J$1:J243,$J243,$K$1:K243,K243,$L$1:L243,L243)))</f>
        <v>011</v>
      </c>
      <c r="N24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43" s="14" t="e">
        <f>+LEN(Table4[[#This Row],[New Item Code]])</f>
        <v>#N/A</v>
      </c>
      <c r="P243" s="15" t="s">
        <v>4747</v>
      </c>
      <c r="Q243" s="15" t="s">
        <v>4749</v>
      </c>
      <c r="R243" s="15"/>
      <c r="S243" s="15"/>
      <c r="T243" s="15" t="s">
        <v>4672</v>
      </c>
    </row>
    <row r="244" spans="1:20" x14ac:dyDescent="0.35">
      <c r="A244" s="3" t="s">
        <v>493</v>
      </c>
      <c r="B244" s="3" t="s">
        <v>494</v>
      </c>
      <c r="C244" s="3" t="s">
        <v>56</v>
      </c>
      <c r="D244" s="3">
        <v>0</v>
      </c>
      <c r="E244" s="3" t="s">
        <v>57</v>
      </c>
      <c r="F244" s="3">
        <v>0</v>
      </c>
      <c r="G244" s="21">
        <f>Table4[[#This Row],[Item Cost]]*Table4[[#This Row],[In Stock]]</f>
        <v>0</v>
      </c>
      <c r="H244" s="12" t="s">
        <v>4661</v>
      </c>
      <c r="I244" s="13" t="s">
        <v>4668</v>
      </c>
      <c r="J244" s="13" t="s">
        <v>4672</v>
      </c>
      <c r="K244" s="13" t="s">
        <v>4672</v>
      </c>
      <c r="L244" s="12" t="s">
        <v>4672</v>
      </c>
      <c r="M244" s="17" t="str">
        <f>IF(LEN(COUNTIFS($H$1:H244,$H244,$I$1:I244,$I244,$J$1:J244,$J244,$K$1:K244,K244,$L$1:L244,L244))=1,"00"&amp;COUNTIFS($H$1:H244,$H244,$I$1:I244,$I244,$J$1:J244,$J244,$K$1:K244,K244,$L$1:L244,L244),IF(LEN(COUNTIFS($H$1:H244,$H244,$I$1:I244,$I244,$J$1:J244,$J244,$K$1:K244,K244,$L$1:L244,L244))=2,"0"&amp;COUNTIFS($H$1:H244,$H244,$I$1:I244,$I244,$J$1:J244,$J244,$K$1:K244,K244,$L$1:L244,L244),COUNTIFS($H$1:H244,$H244,$I$1:I244,$I244,$J$1:J244,$J244,$K$1:K244,K244,$L$1:L244,L244)))</f>
        <v>012</v>
      </c>
      <c r="N24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44" s="14" t="e">
        <f>+LEN(Table4[[#This Row],[New Item Code]])</f>
        <v>#N/A</v>
      </c>
      <c r="P244" s="15" t="s">
        <v>4747</v>
      </c>
      <c r="Q244" s="15" t="s">
        <v>4749</v>
      </c>
      <c r="R244" s="15"/>
      <c r="S244" s="15"/>
      <c r="T244" s="15" t="s">
        <v>4672</v>
      </c>
    </row>
    <row r="245" spans="1:20" x14ac:dyDescent="0.35">
      <c r="A245" s="2" t="s">
        <v>495</v>
      </c>
      <c r="B245" s="2" t="s">
        <v>496</v>
      </c>
      <c r="C245" s="2" t="s">
        <v>56</v>
      </c>
      <c r="D245" s="2">
        <v>0</v>
      </c>
      <c r="E245" s="2" t="s">
        <v>57</v>
      </c>
      <c r="F245" s="2">
        <v>0</v>
      </c>
      <c r="G245" s="22">
        <f>Table4[[#This Row],[Item Cost]]*Table4[[#This Row],[In Stock]]</f>
        <v>0</v>
      </c>
      <c r="H245" s="12" t="s">
        <v>4661</v>
      </c>
      <c r="I245" s="13" t="s">
        <v>4668</v>
      </c>
      <c r="J245" s="13" t="s">
        <v>4672</v>
      </c>
      <c r="K245" s="13" t="s">
        <v>4672</v>
      </c>
      <c r="L245" s="12" t="s">
        <v>4672</v>
      </c>
      <c r="M245" s="17" t="str">
        <f>IF(LEN(COUNTIFS($H$1:H245,$H245,$I$1:I245,$I245,$J$1:J245,$J245,$K$1:K245,K245,$L$1:L245,L245))=1,"00"&amp;COUNTIFS($H$1:H245,$H245,$I$1:I245,$I245,$J$1:J245,$J245,$K$1:K245,K245,$L$1:L245,L245),IF(LEN(COUNTIFS($H$1:H245,$H245,$I$1:I245,$I245,$J$1:J245,$J245,$K$1:K245,K245,$L$1:L245,L245))=2,"0"&amp;COUNTIFS($H$1:H245,$H245,$I$1:I245,$I245,$J$1:J245,$J245,$K$1:K245,K245,$L$1:L245,L245),COUNTIFS($H$1:H245,$H245,$I$1:I245,$I245,$J$1:J245,$J245,$K$1:K245,K245,$L$1:L245,L245)))</f>
        <v>013</v>
      </c>
      <c r="N24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45" s="14" t="e">
        <f>+LEN(Table4[[#This Row],[New Item Code]])</f>
        <v>#N/A</v>
      </c>
      <c r="P245" s="15" t="s">
        <v>4747</v>
      </c>
      <c r="Q245" s="15" t="s">
        <v>4749</v>
      </c>
      <c r="R245" s="15"/>
      <c r="S245" s="15"/>
      <c r="T245" s="15" t="s">
        <v>4672</v>
      </c>
    </row>
    <row r="246" spans="1:20" x14ac:dyDescent="0.35">
      <c r="A246" s="3" t="s">
        <v>497</v>
      </c>
      <c r="B246" s="3" t="s">
        <v>498</v>
      </c>
      <c r="C246" s="3" t="s">
        <v>56</v>
      </c>
      <c r="D246" s="3">
        <v>0</v>
      </c>
      <c r="E246" s="3" t="s">
        <v>57</v>
      </c>
      <c r="F246" s="3">
        <v>0</v>
      </c>
      <c r="G246" s="21">
        <f>Table4[[#This Row],[Item Cost]]*Table4[[#This Row],[In Stock]]</f>
        <v>0</v>
      </c>
      <c r="H246" s="12" t="s">
        <v>4661</v>
      </c>
      <c r="I246" s="13" t="s">
        <v>4668</v>
      </c>
      <c r="J246" s="13" t="s">
        <v>4672</v>
      </c>
      <c r="K246" s="13" t="s">
        <v>4758</v>
      </c>
      <c r="L246" s="12" t="s">
        <v>4672</v>
      </c>
      <c r="M246" s="17" t="str">
        <f>IF(LEN(COUNTIFS($H$1:H246,$H246,$I$1:I246,$I246,$J$1:J246,$J246,$K$1:K246,K246,$L$1:L246,L246))=1,"00"&amp;COUNTIFS($H$1:H246,$H246,$I$1:I246,$I246,$J$1:J246,$J246,$K$1:K246,K246,$L$1:L246,L246),IF(LEN(COUNTIFS($H$1:H246,$H246,$I$1:I246,$I246,$J$1:J246,$J246,$K$1:K246,K246,$L$1:L246,L246))=2,"0"&amp;COUNTIFS($H$1:H246,$H246,$I$1:I246,$I246,$J$1:J246,$J246,$K$1:K246,K246,$L$1:L246,L246),COUNTIFS($H$1:H246,$H246,$I$1:I246,$I246,$J$1:J246,$J246,$K$1:K246,K246,$L$1:L246,L246)))</f>
        <v>053</v>
      </c>
      <c r="N24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46" s="14" t="e">
        <f>+LEN(Table4[[#This Row],[New Item Code]])</f>
        <v>#N/A</v>
      </c>
      <c r="P246" s="15" t="s">
        <v>4747</v>
      </c>
      <c r="Q246" s="15" t="s">
        <v>4749</v>
      </c>
      <c r="R246" s="15"/>
      <c r="S246" s="15"/>
      <c r="T246" s="15" t="s">
        <v>4672</v>
      </c>
    </row>
    <row r="247" spans="1:20" x14ac:dyDescent="0.35">
      <c r="A247" s="2" t="s">
        <v>499</v>
      </c>
      <c r="B247" s="2" t="s">
        <v>500</v>
      </c>
      <c r="C247" s="2" t="s">
        <v>56</v>
      </c>
      <c r="D247" s="2">
        <v>0</v>
      </c>
      <c r="E247" s="2" t="s">
        <v>57</v>
      </c>
      <c r="F247" s="2">
        <v>0</v>
      </c>
      <c r="G247" s="22">
        <f>Table4[[#This Row],[Item Cost]]*Table4[[#This Row],[In Stock]]</f>
        <v>0</v>
      </c>
      <c r="H247" s="12" t="s">
        <v>4661</v>
      </c>
      <c r="I247" s="13" t="s">
        <v>4668</v>
      </c>
      <c r="J247" s="13" t="s">
        <v>4672</v>
      </c>
      <c r="K247" s="13" t="s">
        <v>4672</v>
      </c>
      <c r="L247" s="12" t="s">
        <v>4672</v>
      </c>
      <c r="M247" s="17" t="str">
        <f>IF(LEN(COUNTIFS($H$1:H247,$H247,$I$1:I247,$I247,$J$1:J247,$J247,$K$1:K247,K247,$L$1:L247,L247))=1,"00"&amp;COUNTIFS($H$1:H247,$H247,$I$1:I247,$I247,$J$1:J247,$J247,$K$1:K247,K247,$L$1:L247,L247),IF(LEN(COUNTIFS($H$1:H247,$H247,$I$1:I247,$I247,$J$1:J247,$J247,$K$1:K247,K247,$L$1:L247,L247))=2,"0"&amp;COUNTIFS($H$1:H247,$H247,$I$1:I247,$I247,$J$1:J247,$J247,$K$1:K247,K247,$L$1:L247,L247),COUNTIFS($H$1:H247,$H247,$I$1:I247,$I247,$J$1:J247,$J247,$K$1:K247,K247,$L$1:L247,L247)))</f>
        <v>014</v>
      </c>
      <c r="N24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47" s="14" t="e">
        <f>+LEN(Table4[[#This Row],[New Item Code]])</f>
        <v>#N/A</v>
      </c>
      <c r="P247" s="15" t="s">
        <v>4747</v>
      </c>
      <c r="Q247" s="15" t="s">
        <v>4749</v>
      </c>
      <c r="R247" s="15"/>
      <c r="S247" s="15"/>
      <c r="T247" s="15" t="s">
        <v>4672</v>
      </c>
    </row>
    <row r="248" spans="1:20" x14ac:dyDescent="0.35">
      <c r="A248" s="3" t="s">
        <v>501</v>
      </c>
      <c r="B248" s="3" t="s">
        <v>502</v>
      </c>
      <c r="C248" s="3" t="s">
        <v>56</v>
      </c>
      <c r="D248" s="3">
        <v>0</v>
      </c>
      <c r="E248" s="3" t="s">
        <v>57</v>
      </c>
      <c r="F248" s="3">
        <v>0</v>
      </c>
      <c r="G248" s="21">
        <f>Table4[[#This Row],[Item Cost]]*Table4[[#This Row],[In Stock]]</f>
        <v>0</v>
      </c>
      <c r="H248" s="12" t="s">
        <v>4661</v>
      </c>
      <c r="I248" s="13" t="s">
        <v>4668</v>
      </c>
      <c r="J248" s="13" t="s">
        <v>4672</v>
      </c>
      <c r="K248" s="13" t="s">
        <v>4672</v>
      </c>
      <c r="L248" s="12" t="s">
        <v>4672</v>
      </c>
      <c r="M248" s="17" t="str">
        <f>IF(LEN(COUNTIFS($H$1:H248,$H248,$I$1:I248,$I248,$J$1:J248,$J248,$K$1:K248,K248,$L$1:L248,L248))=1,"00"&amp;COUNTIFS($H$1:H248,$H248,$I$1:I248,$I248,$J$1:J248,$J248,$K$1:K248,K248,$L$1:L248,L248),IF(LEN(COUNTIFS($H$1:H248,$H248,$I$1:I248,$I248,$J$1:J248,$J248,$K$1:K248,K248,$L$1:L248,L248))=2,"0"&amp;COUNTIFS($H$1:H248,$H248,$I$1:I248,$I248,$J$1:J248,$J248,$K$1:K248,K248,$L$1:L248,L248),COUNTIFS($H$1:H248,$H248,$I$1:I248,$I248,$J$1:J248,$J248,$K$1:K248,K248,$L$1:L248,L248)))</f>
        <v>015</v>
      </c>
      <c r="N24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48" s="14" t="e">
        <f>+LEN(Table4[[#This Row],[New Item Code]])</f>
        <v>#N/A</v>
      </c>
      <c r="P248" s="15" t="s">
        <v>4747</v>
      </c>
      <c r="Q248" s="15" t="s">
        <v>4749</v>
      </c>
      <c r="R248" s="15"/>
      <c r="S248" s="15"/>
      <c r="T248" s="15" t="s">
        <v>4672</v>
      </c>
    </row>
    <row r="249" spans="1:20" x14ac:dyDescent="0.35">
      <c r="A249" s="2" t="s">
        <v>503</v>
      </c>
      <c r="B249" s="2" t="s">
        <v>504</v>
      </c>
      <c r="C249" s="2" t="s">
        <v>56</v>
      </c>
      <c r="D249" s="2">
        <v>0</v>
      </c>
      <c r="E249" s="2" t="s">
        <v>57</v>
      </c>
      <c r="F249" s="2">
        <v>0</v>
      </c>
      <c r="G249" s="22">
        <f>Table4[[#This Row],[Item Cost]]*Table4[[#This Row],[In Stock]]</f>
        <v>0</v>
      </c>
      <c r="H249" s="12" t="s">
        <v>4661</v>
      </c>
      <c r="I249" s="13" t="s">
        <v>4668</v>
      </c>
      <c r="J249" s="13" t="s">
        <v>4672</v>
      </c>
      <c r="K249" s="13" t="s">
        <v>4758</v>
      </c>
      <c r="L249" s="12" t="s">
        <v>4672</v>
      </c>
      <c r="M249" s="17" t="str">
        <f>IF(LEN(COUNTIFS($H$1:H249,$H249,$I$1:I249,$I249,$J$1:J249,$J249,$K$1:K249,K249,$L$1:L249,L249))=1,"00"&amp;COUNTIFS($H$1:H249,$H249,$I$1:I249,$I249,$J$1:J249,$J249,$K$1:K249,K249,$L$1:L249,L249),IF(LEN(COUNTIFS($H$1:H249,$H249,$I$1:I249,$I249,$J$1:J249,$J249,$K$1:K249,K249,$L$1:L249,L249))=2,"0"&amp;COUNTIFS($H$1:H249,$H249,$I$1:I249,$I249,$J$1:J249,$J249,$K$1:K249,K249,$L$1:L249,L249),COUNTIFS($H$1:H249,$H249,$I$1:I249,$I249,$J$1:J249,$J249,$K$1:K249,K249,$L$1:L249,L249)))</f>
        <v>054</v>
      </c>
      <c r="N24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49" s="14" t="e">
        <f>+LEN(Table4[[#This Row],[New Item Code]])</f>
        <v>#N/A</v>
      </c>
      <c r="P249" s="15" t="s">
        <v>4747</v>
      </c>
      <c r="Q249" s="15" t="s">
        <v>4749</v>
      </c>
      <c r="R249" s="15"/>
      <c r="S249" s="15"/>
      <c r="T249" s="15" t="s">
        <v>4672</v>
      </c>
    </row>
    <row r="250" spans="1:20" x14ac:dyDescent="0.35">
      <c r="A250" s="3" t="s">
        <v>505</v>
      </c>
      <c r="B250" s="3" t="s">
        <v>506</v>
      </c>
      <c r="C250" s="3" t="s">
        <v>56</v>
      </c>
      <c r="D250" s="3">
        <v>0</v>
      </c>
      <c r="E250" s="3" t="s">
        <v>57</v>
      </c>
      <c r="F250" s="3">
        <v>0</v>
      </c>
      <c r="G250" s="21">
        <f>Table4[[#This Row],[Item Cost]]*Table4[[#This Row],[In Stock]]</f>
        <v>0</v>
      </c>
      <c r="H250" s="12" t="s">
        <v>4661</v>
      </c>
      <c r="I250" s="13" t="s">
        <v>4668</v>
      </c>
      <c r="J250" s="13" t="s">
        <v>4672</v>
      </c>
      <c r="K250" s="13" t="s">
        <v>4672</v>
      </c>
      <c r="L250" s="12" t="s">
        <v>4672</v>
      </c>
      <c r="M250" s="17" t="str">
        <f>IF(LEN(COUNTIFS($H$1:H250,$H250,$I$1:I250,$I250,$J$1:J250,$J250,$K$1:K250,K250,$L$1:L250,L250))=1,"00"&amp;COUNTIFS($H$1:H250,$H250,$I$1:I250,$I250,$J$1:J250,$J250,$K$1:K250,K250,$L$1:L250,L250),IF(LEN(COUNTIFS($H$1:H250,$H250,$I$1:I250,$I250,$J$1:J250,$J250,$K$1:K250,K250,$L$1:L250,L250))=2,"0"&amp;COUNTIFS($H$1:H250,$H250,$I$1:I250,$I250,$J$1:J250,$J250,$K$1:K250,K250,$L$1:L250,L250),COUNTIFS($H$1:H250,$H250,$I$1:I250,$I250,$J$1:J250,$J250,$K$1:K250,K250,$L$1:L250,L250)))</f>
        <v>016</v>
      </c>
      <c r="N25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50" s="14" t="e">
        <f>+LEN(Table4[[#This Row],[New Item Code]])</f>
        <v>#N/A</v>
      </c>
      <c r="P250" s="15" t="s">
        <v>4747</v>
      </c>
      <c r="Q250" s="15" t="s">
        <v>4749</v>
      </c>
      <c r="R250" s="15"/>
      <c r="S250" s="15"/>
      <c r="T250" s="15" t="s">
        <v>4672</v>
      </c>
    </row>
    <row r="251" spans="1:20" x14ac:dyDescent="0.35">
      <c r="A251" s="2" t="s">
        <v>507</v>
      </c>
      <c r="B251" s="2" t="s">
        <v>508</v>
      </c>
      <c r="C251" s="2" t="s">
        <v>56</v>
      </c>
      <c r="D251" s="2">
        <v>0</v>
      </c>
      <c r="E251" s="2" t="s">
        <v>57</v>
      </c>
      <c r="F251" s="2">
        <v>0</v>
      </c>
      <c r="G251" s="22">
        <f>Table4[[#This Row],[Item Cost]]*Table4[[#This Row],[In Stock]]</f>
        <v>0</v>
      </c>
      <c r="H251" s="12" t="s">
        <v>4661</v>
      </c>
      <c r="I251" s="13" t="s">
        <v>4668</v>
      </c>
      <c r="J251" s="13" t="s">
        <v>4672</v>
      </c>
      <c r="K251" s="13" t="s">
        <v>4672</v>
      </c>
      <c r="L251" s="12" t="s">
        <v>4672</v>
      </c>
      <c r="M251" s="17" t="str">
        <f>IF(LEN(COUNTIFS($H$1:H251,$H251,$I$1:I251,$I251,$J$1:J251,$J251,$K$1:K251,K251,$L$1:L251,L251))=1,"00"&amp;COUNTIFS($H$1:H251,$H251,$I$1:I251,$I251,$J$1:J251,$J251,$K$1:K251,K251,$L$1:L251,L251),IF(LEN(COUNTIFS($H$1:H251,$H251,$I$1:I251,$I251,$J$1:J251,$J251,$K$1:K251,K251,$L$1:L251,L251))=2,"0"&amp;COUNTIFS($H$1:H251,$H251,$I$1:I251,$I251,$J$1:J251,$J251,$K$1:K251,K251,$L$1:L251,L251),COUNTIFS($H$1:H251,$H251,$I$1:I251,$I251,$J$1:J251,$J251,$K$1:K251,K251,$L$1:L251,L251)))</f>
        <v>017</v>
      </c>
      <c r="N25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51" s="14" t="e">
        <f>+LEN(Table4[[#This Row],[New Item Code]])</f>
        <v>#N/A</v>
      </c>
      <c r="P251" s="15" t="s">
        <v>4747</v>
      </c>
      <c r="Q251" s="15" t="s">
        <v>4749</v>
      </c>
      <c r="R251" s="15"/>
      <c r="S251" s="15"/>
      <c r="T251" s="15" t="s">
        <v>4672</v>
      </c>
    </row>
    <row r="252" spans="1:20" x14ac:dyDescent="0.35">
      <c r="A252" s="3" t="s">
        <v>509</v>
      </c>
      <c r="B252" s="3" t="s">
        <v>510</v>
      </c>
      <c r="C252" s="3" t="s">
        <v>56</v>
      </c>
      <c r="D252" s="3">
        <v>0</v>
      </c>
      <c r="E252" s="3" t="s">
        <v>57</v>
      </c>
      <c r="F252" s="3">
        <v>0</v>
      </c>
      <c r="G252" s="21">
        <f>Table4[[#This Row],[Item Cost]]*Table4[[#This Row],[In Stock]]</f>
        <v>0</v>
      </c>
      <c r="H252" s="12" t="s">
        <v>4661</v>
      </c>
      <c r="I252" s="13" t="s">
        <v>4668</v>
      </c>
      <c r="J252" s="13" t="s">
        <v>4672</v>
      </c>
      <c r="K252" s="13" t="s">
        <v>4672</v>
      </c>
      <c r="L252" s="12" t="s">
        <v>4672</v>
      </c>
      <c r="M252" s="17" t="str">
        <f>IF(LEN(COUNTIFS($H$1:H252,$H252,$I$1:I252,$I252,$J$1:J252,$J252,$K$1:K252,K252,$L$1:L252,L252))=1,"00"&amp;COUNTIFS($H$1:H252,$H252,$I$1:I252,$I252,$J$1:J252,$J252,$K$1:K252,K252,$L$1:L252,L252),IF(LEN(COUNTIFS($H$1:H252,$H252,$I$1:I252,$I252,$J$1:J252,$J252,$K$1:K252,K252,$L$1:L252,L252))=2,"0"&amp;COUNTIFS($H$1:H252,$H252,$I$1:I252,$I252,$J$1:J252,$J252,$K$1:K252,K252,$L$1:L252,L252),COUNTIFS($H$1:H252,$H252,$I$1:I252,$I252,$J$1:J252,$J252,$K$1:K252,K252,$L$1:L252,L252)))</f>
        <v>018</v>
      </c>
      <c r="N25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52" s="14" t="e">
        <f>+LEN(Table4[[#This Row],[New Item Code]])</f>
        <v>#N/A</v>
      </c>
      <c r="P252" s="15" t="s">
        <v>4747</v>
      </c>
      <c r="Q252" s="15" t="s">
        <v>4749</v>
      </c>
      <c r="R252" s="15"/>
      <c r="S252" s="15"/>
      <c r="T252" s="15" t="s">
        <v>4672</v>
      </c>
    </row>
    <row r="253" spans="1:20" x14ac:dyDescent="0.35">
      <c r="A253" s="2" t="s">
        <v>511</v>
      </c>
      <c r="B253" s="2" t="s">
        <v>512</v>
      </c>
      <c r="C253" s="2" t="s">
        <v>56</v>
      </c>
      <c r="D253" s="2">
        <v>0</v>
      </c>
      <c r="E253" s="2" t="s">
        <v>57</v>
      </c>
      <c r="F253" s="2">
        <v>0</v>
      </c>
      <c r="G253" s="22">
        <f>Table4[[#This Row],[Item Cost]]*Table4[[#This Row],[In Stock]]</f>
        <v>0</v>
      </c>
      <c r="H253" s="12" t="s">
        <v>4661</v>
      </c>
      <c r="I253" s="13" t="s">
        <v>4668</v>
      </c>
      <c r="J253" s="13" t="s">
        <v>4672</v>
      </c>
      <c r="K253" s="13" t="s">
        <v>4672</v>
      </c>
      <c r="L253" s="12" t="s">
        <v>4672</v>
      </c>
      <c r="M253" s="17" t="str">
        <f>IF(LEN(COUNTIFS($H$1:H253,$H253,$I$1:I253,$I253,$J$1:J253,$J253,$K$1:K253,K253,$L$1:L253,L253))=1,"00"&amp;COUNTIFS($H$1:H253,$H253,$I$1:I253,$I253,$J$1:J253,$J253,$K$1:K253,K253,$L$1:L253,L253),IF(LEN(COUNTIFS($H$1:H253,$H253,$I$1:I253,$I253,$J$1:J253,$J253,$K$1:K253,K253,$L$1:L253,L253))=2,"0"&amp;COUNTIFS($H$1:H253,$H253,$I$1:I253,$I253,$J$1:J253,$J253,$K$1:K253,K253,$L$1:L253,L253),COUNTIFS($H$1:H253,$H253,$I$1:I253,$I253,$J$1:J253,$J253,$K$1:K253,K253,$L$1:L253,L253)))</f>
        <v>019</v>
      </c>
      <c r="N25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53" s="14" t="e">
        <f>+LEN(Table4[[#This Row],[New Item Code]])</f>
        <v>#N/A</v>
      </c>
      <c r="P253" s="15" t="s">
        <v>4747</v>
      </c>
      <c r="Q253" s="15" t="s">
        <v>4749</v>
      </c>
      <c r="R253" s="15"/>
      <c r="S253" s="15"/>
      <c r="T253" s="15" t="s">
        <v>4672</v>
      </c>
    </row>
    <row r="254" spans="1:20" x14ac:dyDescent="0.35">
      <c r="A254" s="3" t="s">
        <v>513</v>
      </c>
      <c r="B254" s="3" t="s">
        <v>514</v>
      </c>
      <c r="C254" s="3" t="s">
        <v>56</v>
      </c>
      <c r="D254" s="3">
        <v>0</v>
      </c>
      <c r="E254" s="3" t="s">
        <v>57</v>
      </c>
      <c r="F254" s="3">
        <v>0</v>
      </c>
      <c r="G254" s="21">
        <f>Table4[[#This Row],[Item Cost]]*Table4[[#This Row],[In Stock]]</f>
        <v>0</v>
      </c>
      <c r="H254" s="12" t="s">
        <v>4661</v>
      </c>
      <c r="I254" s="13" t="s">
        <v>4668</v>
      </c>
      <c r="J254" s="13" t="s">
        <v>4672</v>
      </c>
      <c r="K254" s="13" t="s">
        <v>4758</v>
      </c>
      <c r="L254" s="12" t="s">
        <v>4672</v>
      </c>
      <c r="M254" s="17" t="str">
        <f>IF(LEN(COUNTIFS($H$1:H254,$H254,$I$1:I254,$I254,$J$1:J254,$J254,$K$1:K254,K254,$L$1:L254,L254))=1,"00"&amp;COUNTIFS($H$1:H254,$H254,$I$1:I254,$I254,$J$1:J254,$J254,$K$1:K254,K254,$L$1:L254,L254),IF(LEN(COUNTIFS($H$1:H254,$H254,$I$1:I254,$I254,$J$1:J254,$J254,$K$1:K254,K254,$L$1:L254,L254))=2,"0"&amp;COUNTIFS($H$1:H254,$H254,$I$1:I254,$I254,$J$1:J254,$J254,$K$1:K254,K254,$L$1:L254,L254),COUNTIFS($H$1:H254,$H254,$I$1:I254,$I254,$J$1:J254,$J254,$K$1:K254,K254,$L$1:L254,L254)))</f>
        <v>055</v>
      </c>
      <c r="N25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54" s="14" t="e">
        <f>+LEN(Table4[[#This Row],[New Item Code]])</f>
        <v>#N/A</v>
      </c>
      <c r="P254" s="15" t="s">
        <v>4747</v>
      </c>
      <c r="Q254" s="15" t="s">
        <v>4749</v>
      </c>
      <c r="R254" s="15"/>
      <c r="S254" s="15"/>
      <c r="T254" s="15" t="s">
        <v>4672</v>
      </c>
    </row>
    <row r="255" spans="1:20" x14ac:dyDescent="0.35">
      <c r="A255" s="2" t="s">
        <v>515</v>
      </c>
      <c r="B255" s="2" t="s">
        <v>516</v>
      </c>
      <c r="C255" s="2" t="s">
        <v>56</v>
      </c>
      <c r="D255" s="2">
        <v>0</v>
      </c>
      <c r="E255" s="2" t="s">
        <v>57</v>
      </c>
      <c r="F255" s="2">
        <v>0</v>
      </c>
      <c r="G255" s="22">
        <f>Table4[[#This Row],[Item Cost]]*Table4[[#This Row],[In Stock]]</f>
        <v>0</v>
      </c>
      <c r="H255" s="12" t="s">
        <v>4661</v>
      </c>
      <c r="I255" s="13" t="s">
        <v>4668</v>
      </c>
      <c r="J255" s="13" t="s">
        <v>4672</v>
      </c>
      <c r="K255" s="13" t="s">
        <v>4758</v>
      </c>
      <c r="L255" s="12" t="s">
        <v>4672</v>
      </c>
      <c r="M255" s="17" t="str">
        <f>IF(LEN(COUNTIFS($H$1:H255,$H255,$I$1:I255,$I255,$J$1:J255,$J255,$K$1:K255,K255,$L$1:L255,L255))=1,"00"&amp;COUNTIFS($H$1:H255,$H255,$I$1:I255,$I255,$J$1:J255,$J255,$K$1:K255,K255,$L$1:L255,L255),IF(LEN(COUNTIFS($H$1:H255,$H255,$I$1:I255,$I255,$J$1:J255,$J255,$K$1:K255,K255,$L$1:L255,L255))=2,"0"&amp;COUNTIFS($H$1:H255,$H255,$I$1:I255,$I255,$J$1:J255,$J255,$K$1:K255,K255,$L$1:L255,L255),COUNTIFS($H$1:H255,$H255,$I$1:I255,$I255,$J$1:J255,$J255,$K$1:K255,K255,$L$1:L255,L255)))</f>
        <v>056</v>
      </c>
      <c r="N25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55" s="14" t="e">
        <f>+LEN(Table4[[#This Row],[New Item Code]])</f>
        <v>#N/A</v>
      </c>
      <c r="P255" s="15" t="s">
        <v>4747</v>
      </c>
      <c r="Q255" s="15" t="s">
        <v>4749</v>
      </c>
      <c r="R255" s="15"/>
      <c r="S255" s="15"/>
      <c r="T255" s="15" t="s">
        <v>4672</v>
      </c>
    </row>
    <row r="256" spans="1:20" x14ac:dyDescent="0.35">
      <c r="A256" s="3" t="s">
        <v>517</v>
      </c>
      <c r="B256" s="3" t="s">
        <v>518</v>
      </c>
      <c r="C256" s="3" t="s">
        <v>56</v>
      </c>
      <c r="D256" s="3">
        <v>0</v>
      </c>
      <c r="E256" s="3" t="s">
        <v>57</v>
      </c>
      <c r="F256" s="3">
        <v>0</v>
      </c>
      <c r="G256" s="21">
        <f>Table4[[#This Row],[Item Cost]]*Table4[[#This Row],[In Stock]]</f>
        <v>0</v>
      </c>
      <c r="H256" s="12" t="s">
        <v>4661</v>
      </c>
      <c r="I256" s="13" t="s">
        <v>4668</v>
      </c>
      <c r="J256" s="13" t="s">
        <v>4672</v>
      </c>
      <c r="K256" s="13" t="s">
        <v>4758</v>
      </c>
      <c r="L256" s="12" t="s">
        <v>4672</v>
      </c>
      <c r="M256" s="17" t="str">
        <f>IF(LEN(COUNTIFS($H$1:H256,$H256,$I$1:I256,$I256,$J$1:J256,$J256,$K$1:K256,K256,$L$1:L256,L256))=1,"00"&amp;COUNTIFS($H$1:H256,$H256,$I$1:I256,$I256,$J$1:J256,$J256,$K$1:K256,K256,$L$1:L256,L256),IF(LEN(COUNTIFS($H$1:H256,$H256,$I$1:I256,$I256,$J$1:J256,$J256,$K$1:K256,K256,$L$1:L256,L256))=2,"0"&amp;COUNTIFS($H$1:H256,$H256,$I$1:I256,$I256,$J$1:J256,$J256,$K$1:K256,K256,$L$1:L256,L256),COUNTIFS($H$1:H256,$H256,$I$1:I256,$I256,$J$1:J256,$J256,$K$1:K256,K256,$L$1:L256,L256)))</f>
        <v>057</v>
      </c>
      <c r="N25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56" s="14" t="e">
        <f>+LEN(Table4[[#This Row],[New Item Code]])</f>
        <v>#N/A</v>
      </c>
      <c r="P256" s="15" t="s">
        <v>4747</v>
      </c>
      <c r="Q256" s="15" t="s">
        <v>4749</v>
      </c>
      <c r="R256" s="15"/>
      <c r="S256" s="15"/>
      <c r="T256" s="15" t="s">
        <v>4672</v>
      </c>
    </row>
    <row r="257" spans="1:20" x14ac:dyDescent="0.35">
      <c r="A257" s="2" t="s">
        <v>519</v>
      </c>
      <c r="B257" s="2" t="s">
        <v>520</v>
      </c>
      <c r="C257" s="2" t="s">
        <v>56</v>
      </c>
      <c r="D257" s="2">
        <v>0</v>
      </c>
      <c r="E257" s="2" t="s">
        <v>57</v>
      </c>
      <c r="F257" s="2">
        <v>0</v>
      </c>
      <c r="G257" s="22">
        <f>Table4[[#This Row],[Item Cost]]*Table4[[#This Row],[In Stock]]</f>
        <v>0</v>
      </c>
      <c r="H257" s="12" t="s">
        <v>4661</v>
      </c>
      <c r="I257" s="13" t="s">
        <v>4668</v>
      </c>
      <c r="J257" s="13" t="s">
        <v>4672</v>
      </c>
      <c r="K257" s="13" t="s">
        <v>4758</v>
      </c>
      <c r="L257" s="12" t="s">
        <v>4672</v>
      </c>
      <c r="M257" s="17" t="str">
        <f>IF(LEN(COUNTIFS($H$1:H257,$H257,$I$1:I257,$I257,$J$1:J257,$J257,$K$1:K257,K257,$L$1:L257,L257))=1,"00"&amp;COUNTIFS($H$1:H257,$H257,$I$1:I257,$I257,$J$1:J257,$J257,$K$1:K257,K257,$L$1:L257,L257),IF(LEN(COUNTIFS($H$1:H257,$H257,$I$1:I257,$I257,$J$1:J257,$J257,$K$1:K257,K257,$L$1:L257,L257))=2,"0"&amp;COUNTIFS($H$1:H257,$H257,$I$1:I257,$I257,$J$1:J257,$J257,$K$1:K257,K257,$L$1:L257,L257),COUNTIFS($H$1:H257,$H257,$I$1:I257,$I257,$J$1:J257,$J257,$K$1:K257,K257,$L$1:L257,L257)))</f>
        <v>058</v>
      </c>
      <c r="N25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57" s="14" t="e">
        <f>+LEN(Table4[[#This Row],[New Item Code]])</f>
        <v>#N/A</v>
      </c>
      <c r="P257" s="15" t="s">
        <v>4747</v>
      </c>
      <c r="Q257" s="15" t="s">
        <v>4749</v>
      </c>
      <c r="R257" s="15"/>
      <c r="S257" s="15"/>
      <c r="T257" s="15" t="s">
        <v>4672</v>
      </c>
    </row>
    <row r="258" spans="1:20" x14ac:dyDescent="0.35">
      <c r="A258" s="3" t="s">
        <v>521</v>
      </c>
      <c r="B258" s="3" t="s">
        <v>522</v>
      </c>
      <c r="C258" s="3" t="s">
        <v>56</v>
      </c>
      <c r="D258" s="3">
        <v>0</v>
      </c>
      <c r="E258" s="3" t="s">
        <v>57</v>
      </c>
      <c r="F258" s="3">
        <v>0</v>
      </c>
      <c r="G258" s="21">
        <f>Table4[[#This Row],[Item Cost]]*Table4[[#This Row],[In Stock]]</f>
        <v>0</v>
      </c>
      <c r="H258" s="12" t="s">
        <v>4661</v>
      </c>
      <c r="I258" s="13" t="s">
        <v>4668</v>
      </c>
      <c r="J258" s="13" t="s">
        <v>4672</v>
      </c>
      <c r="K258" t="s">
        <v>4801</v>
      </c>
      <c r="L258" s="12" t="s">
        <v>4672</v>
      </c>
      <c r="M258" s="17" t="str">
        <f>IF(LEN(COUNTIFS($H$1:H258,$H258,$I$1:I258,$I258,$J$1:J258,$J258,$K$1:K258,K258,$L$1:L258,L258))=1,"00"&amp;COUNTIFS($H$1:H258,$H258,$I$1:I258,$I258,$J$1:J258,$J258,$K$1:K258,K258,$L$1:L258,L258),IF(LEN(COUNTIFS($H$1:H258,$H258,$I$1:I258,$I258,$J$1:J258,$J258,$K$1:K258,K258,$L$1:L258,L258))=2,"0"&amp;COUNTIFS($H$1:H258,$H258,$I$1:I258,$I258,$J$1:J258,$J258,$K$1:K258,K258,$L$1:L258,L258),COUNTIFS($H$1:H258,$H258,$I$1:I258,$I258,$J$1:J258,$J258,$K$1:K258,K258,$L$1:L258,L258)))</f>
        <v>002</v>
      </c>
      <c r="N25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58" s="14" t="e">
        <f>+LEN(Table4[[#This Row],[New Item Code]])</f>
        <v>#N/A</v>
      </c>
      <c r="P258" s="15" t="s">
        <v>4747</v>
      </c>
      <c r="Q258" s="15" t="s">
        <v>4749</v>
      </c>
      <c r="R258" s="15"/>
      <c r="S258" s="15"/>
      <c r="T258" s="15" t="s">
        <v>4672</v>
      </c>
    </row>
    <row r="259" spans="1:20" x14ac:dyDescent="0.35">
      <c r="A259" s="2" t="s">
        <v>523</v>
      </c>
      <c r="B259" s="2" t="s">
        <v>524</v>
      </c>
      <c r="C259" s="2" t="s">
        <v>56</v>
      </c>
      <c r="D259" s="2">
        <v>0</v>
      </c>
      <c r="E259" s="2" t="s">
        <v>57</v>
      </c>
      <c r="F259" s="2">
        <v>0</v>
      </c>
      <c r="G259" s="22">
        <f>Table4[[#This Row],[Item Cost]]*Table4[[#This Row],[In Stock]]</f>
        <v>0</v>
      </c>
      <c r="H259" s="12" t="s">
        <v>4661</v>
      </c>
      <c r="I259" s="13" t="s">
        <v>4668</v>
      </c>
      <c r="J259" s="13" t="s">
        <v>4672</v>
      </c>
      <c r="K259" s="13" t="s">
        <v>4758</v>
      </c>
      <c r="L259" s="12" t="s">
        <v>4672</v>
      </c>
      <c r="M259" s="17" t="str">
        <f>IF(LEN(COUNTIFS($H$1:H259,$H259,$I$1:I259,$I259,$J$1:J259,$J259,$K$1:K259,K259,$L$1:L259,L259))=1,"00"&amp;COUNTIFS($H$1:H259,$H259,$I$1:I259,$I259,$J$1:J259,$J259,$K$1:K259,K259,$L$1:L259,L259),IF(LEN(COUNTIFS($H$1:H259,$H259,$I$1:I259,$I259,$J$1:J259,$J259,$K$1:K259,K259,$L$1:L259,L259))=2,"0"&amp;COUNTIFS($H$1:H259,$H259,$I$1:I259,$I259,$J$1:J259,$J259,$K$1:K259,K259,$L$1:L259,L259),COUNTIFS($H$1:H259,$H259,$I$1:I259,$I259,$J$1:J259,$J259,$K$1:K259,K259,$L$1:L259,L259)))</f>
        <v>059</v>
      </c>
      <c r="N25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59" s="14" t="e">
        <f>+LEN(Table4[[#This Row],[New Item Code]])</f>
        <v>#N/A</v>
      </c>
      <c r="P259" s="15" t="s">
        <v>4747</v>
      </c>
      <c r="Q259" s="15" t="s">
        <v>4749</v>
      </c>
      <c r="R259" s="15"/>
      <c r="S259" s="15"/>
      <c r="T259" s="15" t="s">
        <v>4672</v>
      </c>
    </row>
    <row r="260" spans="1:20" x14ac:dyDescent="0.35">
      <c r="A260" s="3" t="s">
        <v>525</v>
      </c>
      <c r="B260" s="3" t="s">
        <v>526</v>
      </c>
      <c r="C260" s="3" t="s">
        <v>56</v>
      </c>
      <c r="D260" s="3">
        <v>0</v>
      </c>
      <c r="E260" s="3" t="s">
        <v>57</v>
      </c>
      <c r="F260" s="3">
        <v>0</v>
      </c>
      <c r="G260" s="21">
        <f>Table4[[#This Row],[Item Cost]]*Table4[[#This Row],[In Stock]]</f>
        <v>0</v>
      </c>
      <c r="H260" s="12" t="s">
        <v>4661</v>
      </c>
      <c r="I260" s="13" t="s">
        <v>4668</v>
      </c>
      <c r="J260" s="13" t="s">
        <v>4672</v>
      </c>
      <c r="K260" s="13" t="s">
        <v>4758</v>
      </c>
      <c r="L260" s="12" t="s">
        <v>4672</v>
      </c>
      <c r="M260" s="17" t="str">
        <f>IF(LEN(COUNTIFS($H$1:H260,$H260,$I$1:I260,$I260,$J$1:J260,$J260,$K$1:K260,K260,$L$1:L260,L260))=1,"00"&amp;COUNTIFS($H$1:H260,$H260,$I$1:I260,$I260,$J$1:J260,$J260,$K$1:K260,K260,$L$1:L260,L260),IF(LEN(COUNTIFS($H$1:H260,$H260,$I$1:I260,$I260,$J$1:J260,$J260,$K$1:K260,K260,$L$1:L260,L260))=2,"0"&amp;COUNTIFS($H$1:H260,$H260,$I$1:I260,$I260,$J$1:J260,$J260,$K$1:K260,K260,$L$1:L260,L260),COUNTIFS($H$1:H260,$H260,$I$1:I260,$I260,$J$1:J260,$J260,$K$1:K260,K260,$L$1:L260,L260)))</f>
        <v>060</v>
      </c>
      <c r="N26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60" s="14" t="e">
        <f>+LEN(Table4[[#This Row],[New Item Code]])</f>
        <v>#N/A</v>
      </c>
      <c r="P260" s="15" t="s">
        <v>4747</v>
      </c>
      <c r="Q260" s="15" t="s">
        <v>4749</v>
      </c>
      <c r="R260" s="15"/>
      <c r="S260" s="15"/>
      <c r="T260" s="15" t="s">
        <v>4672</v>
      </c>
    </row>
    <row r="261" spans="1:20" x14ac:dyDescent="0.35">
      <c r="A261" s="2" t="s">
        <v>527</v>
      </c>
      <c r="B261" s="2" t="s">
        <v>528</v>
      </c>
      <c r="C261" s="2" t="s">
        <v>56</v>
      </c>
      <c r="D261" s="2">
        <v>0</v>
      </c>
      <c r="E261" s="2" t="s">
        <v>57</v>
      </c>
      <c r="F261" s="2">
        <v>0</v>
      </c>
      <c r="G261" s="22">
        <f>Table4[[#This Row],[Item Cost]]*Table4[[#This Row],[In Stock]]</f>
        <v>0</v>
      </c>
      <c r="H261" s="12" t="s">
        <v>4661</v>
      </c>
      <c r="I261" s="13" t="s">
        <v>4668</v>
      </c>
      <c r="J261" s="13" t="s">
        <v>4672</v>
      </c>
      <c r="K261" t="s">
        <v>4801</v>
      </c>
      <c r="L261" s="12" t="s">
        <v>4672</v>
      </c>
      <c r="M261" s="17" t="str">
        <f>IF(LEN(COUNTIFS($H$1:H261,$H261,$I$1:I261,$I261,$J$1:J261,$J261,$K$1:K261,K261,$L$1:L261,L261))=1,"00"&amp;COUNTIFS($H$1:H261,$H261,$I$1:I261,$I261,$J$1:J261,$J261,$K$1:K261,K261,$L$1:L261,L261),IF(LEN(COUNTIFS($H$1:H261,$H261,$I$1:I261,$I261,$J$1:J261,$J261,$K$1:K261,K261,$L$1:L261,L261))=2,"0"&amp;COUNTIFS($H$1:H261,$H261,$I$1:I261,$I261,$J$1:J261,$J261,$K$1:K261,K261,$L$1:L261,L261),COUNTIFS($H$1:H261,$H261,$I$1:I261,$I261,$J$1:J261,$J261,$K$1:K261,K261,$L$1:L261,L261)))</f>
        <v>003</v>
      </c>
      <c r="N26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61" s="14" t="e">
        <f>+LEN(Table4[[#This Row],[New Item Code]])</f>
        <v>#N/A</v>
      </c>
      <c r="P261" s="15" t="s">
        <v>4747</v>
      </c>
      <c r="Q261" s="15" t="s">
        <v>4749</v>
      </c>
      <c r="R261" s="15"/>
      <c r="S261" s="15"/>
      <c r="T261" s="15" t="s">
        <v>4672</v>
      </c>
    </row>
    <row r="262" spans="1:20" x14ac:dyDescent="0.35">
      <c r="A262" s="3" t="s">
        <v>529</v>
      </c>
      <c r="B262" s="3" t="s">
        <v>530</v>
      </c>
      <c r="C262" s="3" t="s">
        <v>56</v>
      </c>
      <c r="D262" s="3">
        <v>0</v>
      </c>
      <c r="E262" s="3" t="s">
        <v>57</v>
      </c>
      <c r="F262" s="3">
        <v>0</v>
      </c>
      <c r="G262" s="21">
        <f>Table4[[#This Row],[Item Cost]]*Table4[[#This Row],[In Stock]]</f>
        <v>0</v>
      </c>
      <c r="H262" s="12" t="s">
        <v>4661</v>
      </c>
      <c r="I262" s="13" t="s">
        <v>4668</v>
      </c>
      <c r="J262" s="13" t="s">
        <v>4672</v>
      </c>
      <c r="K262" t="s">
        <v>4801</v>
      </c>
      <c r="L262" s="12" t="s">
        <v>4672</v>
      </c>
      <c r="M262" s="17" t="str">
        <f>IF(LEN(COUNTIFS($H$1:H262,$H262,$I$1:I262,$I262,$J$1:J262,$J262,$K$1:K262,K262,$L$1:L262,L262))=1,"00"&amp;COUNTIFS($H$1:H262,$H262,$I$1:I262,$I262,$J$1:J262,$J262,$K$1:K262,K262,$L$1:L262,L262),IF(LEN(COUNTIFS($H$1:H262,$H262,$I$1:I262,$I262,$J$1:J262,$J262,$K$1:K262,K262,$L$1:L262,L262))=2,"0"&amp;COUNTIFS($H$1:H262,$H262,$I$1:I262,$I262,$J$1:J262,$J262,$K$1:K262,K262,$L$1:L262,L262),COUNTIFS($H$1:H262,$H262,$I$1:I262,$I262,$J$1:J262,$J262,$K$1:K262,K262,$L$1:L262,L262)))</f>
        <v>004</v>
      </c>
      <c r="N26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62" s="14" t="e">
        <f>+LEN(Table4[[#This Row],[New Item Code]])</f>
        <v>#N/A</v>
      </c>
      <c r="P262" s="15" t="s">
        <v>4747</v>
      </c>
      <c r="Q262" s="15" t="s">
        <v>4749</v>
      </c>
      <c r="R262" s="15"/>
      <c r="S262" s="15"/>
      <c r="T262" s="15" t="s">
        <v>4672</v>
      </c>
    </row>
    <row r="263" spans="1:20" x14ac:dyDescent="0.35">
      <c r="A263" s="2" t="s">
        <v>531</v>
      </c>
      <c r="B263" s="2" t="s">
        <v>532</v>
      </c>
      <c r="C263" s="2" t="s">
        <v>56</v>
      </c>
      <c r="D263" s="2">
        <v>0</v>
      </c>
      <c r="E263" s="2" t="s">
        <v>57</v>
      </c>
      <c r="F263" s="2">
        <v>0</v>
      </c>
      <c r="G263" s="22">
        <f>Table4[[#This Row],[Item Cost]]*Table4[[#This Row],[In Stock]]</f>
        <v>0</v>
      </c>
      <c r="H263" s="12" t="s">
        <v>4661</v>
      </c>
      <c r="I263" s="13" t="s">
        <v>4668</v>
      </c>
      <c r="J263" s="13" t="s">
        <v>4672</v>
      </c>
      <c r="K263" t="s">
        <v>4801</v>
      </c>
      <c r="L263" s="12" t="s">
        <v>4672</v>
      </c>
      <c r="M263" s="17" t="str">
        <f>IF(LEN(COUNTIFS($H$1:H263,$H263,$I$1:I263,$I263,$J$1:J263,$J263,$K$1:K263,K263,$L$1:L263,L263))=1,"00"&amp;COUNTIFS($H$1:H263,$H263,$I$1:I263,$I263,$J$1:J263,$J263,$K$1:K263,K263,$L$1:L263,L263),IF(LEN(COUNTIFS($H$1:H263,$H263,$I$1:I263,$I263,$J$1:J263,$J263,$K$1:K263,K263,$L$1:L263,L263))=2,"0"&amp;COUNTIFS($H$1:H263,$H263,$I$1:I263,$I263,$J$1:J263,$J263,$K$1:K263,K263,$L$1:L263,L263),COUNTIFS($H$1:H263,$H263,$I$1:I263,$I263,$J$1:J263,$J263,$K$1:K263,K263,$L$1:L263,L263)))</f>
        <v>005</v>
      </c>
      <c r="N26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63" s="14" t="e">
        <f>+LEN(Table4[[#This Row],[New Item Code]])</f>
        <v>#N/A</v>
      </c>
      <c r="P263" s="15" t="s">
        <v>4747</v>
      </c>
      <c r="Q263" s="15" t="s">
        <v>4749</v>
      </c>
      <c r="R263" s="15"/>
      <c r="S263" s="15"/>
      <c r="T263" s="15" t="s">
        <v>4672</v>
      </c>
    </row>
    <row r="264" spans="1:20" x14ac:dyDescent="0.35">
      <c r="A264" s="3" t="s">
        <v>533</v>
      </c>
      <c r="B264" s="3" t="s">
        <v>534</v>
      </c>
      <c r="C264" s="3" t="s">
        <v>56</v>
      </c>
      <c r="D264" s="3">
        <v>0</v>
      </c>
      <c r="E264" s="3" t="s">
        <v>57</v>
      </c>
      <c r="F264" s="3">
        <v>0</v>
      </c>
      <c r="G264" s="21">
        <f>Table4[[#This Row],[Item Cost]]*Table4[[#This Row],[In Stock]]</f>
        <v>0</v>
      </c>
      <c r="H264" s="12" t="s">
        <v>4661</v>
      </c>
      <c r="I264" s="13" t="s">
        <v>4668</v>
      </c>
      <c r="J264" s="13" t="s">
        <v>4672</v>
      </c>
      <c r="K264" t="s">
        <v>4800</v>
      </c>
      <c r="L264" s="12" t="s">
        <v>4672</v>
      </c>
      <c r="M264" s="17" t="str">
        <f>IF(LEN(COUNTIFS($H$1:H264,$H264,$I$1:I264,$I264,$J$1:J264,$J264,$K$1:K264,K264,$L$1:L264,L264))=1,"00"&amp;COUNTIFS($H$1:H264,$H264,$I$1:I264,$I264,$J$1:J264,$J264,$K$1:K264,K264,$L$1:L264,L264),IF(LEN(COUNTIFS($H$1:H264,$H264,$I$1:I264,$I264,$J$1:J264,$J264,$K$1:K264,K264,$L$1:L264,L264))=2,"0"&amp;COUNTIFS($H$1:H264,$H264,$I$1:I264,$I264,$J$1:J264,$J264,$K$1:K264,K264,$L$1:L264,L264),COUNTIFS($H$1:H264,$H264,$I$1:I264,$I264,$J$1:J264,$J264,$K$1:K264,K264,$L$1:L264,L264)))</f>
        <v>007</v>
      </c>
      <c r="N26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64" s="14" t="e">
        <f>+LEN(Table4[[#This Row],[New Item Code]])</f>
        <v>#N/A</v>
      </c>
      <c r="P264" s="15" t="s">
        <v>4747</v>
      </c>
      <c r="Q264" s="15" t="s">
        <v>4749</v>
      </c>
      <c r="R264" s="15"/>
      <c r="S264" s="15"/>
      <c r="T264" s="15" t="s">
        <v>4672</v>
      </c>
    </row>
    <row r="265" spans="1:20" x14ac:dyDescent="0.35">
      <c r="A265" s="2" t="s">
        <v>535</v>
      </c>
      <c r="B265" s="2" t="s">
        <v>536</v>
      </c>
      <c r="C265" s="2" t="s">
        <v>56</v>
      </c>
      <c r="D265" s="2">
        <v>0</v>
      </c>
      <c r="E265" s="2" t="s">
        <v>57</v>
      </c>
      <c r="F265" s="2">
        <v>0</v>
      </c>
      <c r="G265" s="22">
        <f>Table4[[#This Row],[Item Cost]]*Table4[[#This Row],[In Stock]]</f>
        <v>0</v>
      </c>
      <c r="H265" s="12" t="s">
        <v>4661</v>
      </c>
      <c r="I265" s="13" t="s">
        <v>4668</v>
      </c>
      <c r="J265" s="13" t="s">
        <v>4672</v>
      </c>
      <c r="K265" t="s">
        <v>4800</v>
      </c>
      <c r="L265" s="12" t="s">
        <v>4672</v>
      </c>
      <c r="M265" s="17" t="str">
        <f>IF(LEN(COUNTIFS($H$1:H265,$H265,$I$1:I265,$I265,$J$1:J265,$J265,$K$1:K265,K265,$L$1:L265,L265))=1,"00"&amp;COUNTIFS($H$1:H265,$H265,$I$1:I265,$I265,$J$1:J265,$J265,$K$1:K265,K265,$L$1:L265,L265),IF(LEN(COUNTIFS($H$1:H265,$H265,$I$1:I265,$I265,$J$1:J265,$J265,$K$1:K265,K265,$L$1:L265,L265))=2,"0"&amp;COUNTIFS($H$1:H265,$H265,$I$1:I265,$I265,$J$1:J265,$J265,$K$1:K265,K265,$L$1:L265,L265),COUNTIFS($H$1:H265,$H265,$I$1:I265,$I265,$J$1:J265,$J265,$K$1:K265,K265,$L$1:L265,L265)))</f>
        <v>008</v>
      </c>
      <c r="N26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65" s="14" t="e">
        <f>+LEN(Table4[[#This Row],[New Item Code]])</f>
        <v>#N/A</v>
      </c>
      <c r="P265" s="15" t="s">
        <v>4747</v>
      </c>
      <c r="Q265" s="15" t="s">
        <v>4749</v>
      </c>
      <c r="R265" s="15"/>
      <c r="S265" s="15"/>
      <c r="T265" s="15" t="s">
        <v>4672</v>
      </c>
    </row>
    <row r="266" spans="1:20" x14ac:dyDescent="0.35">
      <c r="A266" s="3" t="s">
        <v>537</v>
      </c>
      <c r="B266" s="3" t="s">
        <v>538</v>
      </c>
      <c r="C266" s="3" t="s">
        <v>56</v>
      </c>
      <c r="D266" s="3">
        <v>0</v>
      </c>
      <c r="E266" s="3" t="s">
        <v>57</v>
      </c>
      <c r="F266" s="3">
        <v>0</v>
      </c>
      <c r="G266" s="21">
        <f>Table4[[#This Row],[Item Cost]]*Table4[[#This Row],[In Stock]]</f>
        <v>0</v>
      </c>
      <c r="H266" s="12" t="s">
        <v>4661</v>
      </c>
      <c r="I266" s="13" t="s">
        <v>4668</v>
      </c>
      <c r="J266" s="13" t="s">
        <v>4672</v>
      </c>
      <c r="K266" s="13" t="s">
        <v>4672</v>
      </c>
      <c r="L266" s="12" t="s">
        <v>4672</v>
      </c>
      <c r="M266" s="17" t="str">
        <f>IF(LEN(COUNTIFS($H$1:H266,$H266,$I$1:I266,$I266,$J$1:J266,$J266,$K$1:K266,K266,$L$1:L266,L266))=1,"00"&amp;COUNTIFS($H$1:H266,$H266,$I$1:I266,$I266,$J$1:J266,$J266,$K$1:K266,K266,$L$1:L266,L266),IF(LEN(COUNTIFS($H$1:H266,$H266,$I$1:I266,$I266,$J$1:J266,$J266,$K$1:K266,K266,$L$1:L266,L266))=2,"0"&amp;COUNTIFS($H$1:H266,$H266,$I$1:I266,$I266,$J$1:J266,$J266,$K$1:K266,K266,$L$1:L266,L266),COUNTIFS($H$1:H266,$H266,$I$1:I266,$I266,$J$1:J266,$J266,$K$1:K266,K266,$L$1:L266,L266)))</f>
        <v>020</v>
      </c>
      <c r="N26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66" s="14" t="e">
        <f>+LEN(Table4[[#This Row],[New Item Code]])</f>
        <v>#N/A</v>
      </c>
      <c r="P266" s="15" t="s">
        <v>4747</v>
      </c>
      <c r="Q266" s="15" t="s">
        <v>4749</v>
      </c>
      <c r="R266" s="15"/>
      <c r="S266" s="15"/>
      <c r="T266" s="15" t="s">
        <v>4672</v>
      </c>
    </row>
    <row r="267" spans="1:20" x14ac:dyDescent="0.35">
      <c r="A267" s="2" t="s">
        <v>539</v>
      </c>
      <c r="B267" s="2" t="s">
        <v>540</v>
      </c>
      <c r="C267" s="2" t="s">
        <v>56</v>
      </c>
      <c r="D267" s="2">
        <v>0</v>
      </c>
      <c r="E267" s="2" t="s">
        <v>57</v>
      </c>
      <c r="F267" s="2">
        <v>0</v>
      </c>
      <c r="G267" s="22">
        <f>Table4[[#This Row],[Item Cost]]*Table4[[#This Row],[In Stock]]</f>
        <v>0</v>
      </c>
      <c r="H267" s="12" t="s">
        <v>4661</v>
      </c>
      <c r="I267" s="13" t="s">
        <v>4668</v>
      </c>
      <c r="J267" s="13" t="s">
        <v>4672</v>
      </c>
      <c r="K267" s="13" t="s">
        <v>4672</v>
      </c>
      <c r="L267" s="12" t="s">
        <v>4672</v>
      </c>
      <c r="M267" s="17" t="str">
        <f>IF(LEN(COUNTIFS($H$1:H267,$H267,$I$1:I267,$I267,$J$1:J267,$J267,$K$1:K267,K267,$L$1:L267,L267))=1,"00"&amp;COUNTIFS($H$1:H267,$H267,$I$1:I267,$I267,$J$1:J267,$J267,$K$1:K267,K267,$L$1:L267,L267),IF(LEN(COUNTIFS($H$1:H267,$H267,$I$1:I267,$I267,$J$1:J267,$J267,$K$1:K267,K267,$L$1:L267,L267))=2,"0"&amp;COUNTIFS($H$1:H267,$H267,$I$1:I267,$I267,$J$1:J267,$J267,$K$1:K267,K267,$L$1:L267,L267),COUNTIFS($H$1:H267,$H267,$I$1:I267,$I267,$J$1:J267,$J267,$K$1:K267,K267,$L$1:L267,L267)))</f>
        <v>021</v>
      </c>
      <c r="N26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67" s="14" t="e">
        <f>+LEN(Table4[[#This Row],[New Item Code]])</f>
        <v>#N/A</v>
      </c>
      <c r="P267" s="15" t="s">
        <v>4747</v>
      </c>
      <c r="Q267" s="15" t="s">
        <v>4749</v>
      </c>
      <c r="R267" s="15"/>
      <c r="S267" s="15"/>
      <c r="T267" s="15" t="s">
        <v>4672</v>
      </c>
    </row>
    <row r="268" spans="1:20" x14ac:dyDescent="0.35">
      <c r="A268" s="3" t="s">
        <v>541</v>
      </c>
      <c r="B268" s="3" t="s">
        <v>542</v>
      </c>
      <c r="C268" s="3" t="s">
        <v>56</v>
      </c>
      <c r="D268" s="3">
        <v>0</v>
      </c>
      <c r="E268" s="3" t="s">
        <v>57</v>
      </c>
      <c r="F268" s="3">
        <v>0</v>
      </c>
      <c r="G268" s="21">
        <f>Table4[[#This Row],[Item Cost]]*Table4[[#This Row],[In Stock]]</f>
        <v>0</v>
      </c>
      <c r="H268" s="12" t="s">
        <v>4661</v>
      </c>
      <c r="I268" s="13" t="s">
        <v>4668</v>
      </c>
      <c r="J268" s="13" t="s">
        <v>4672</v>
      </c>
      <c r="K268" s="13" t="s">
        <v>4672</v>
      </c>
      <c r="L268" s="12" t="s">
        <v>4672</v>
      </c>
      <c r="M268" s="17" t="str">
        <f>IF(LEN(COUNTIFS($H$1:H268,$H268,$I$1:I268,$I268,$J$1:J268,$J268,$K$1:K268,K268,$L$1:L268,L268))=1,"00"&amp;COUNTIFS($H$1:H268,$H268,$I$1:I268,$I268,$J$1:J268,$J268,$K$1:K268,K268,$L$1:L268,L268),IF(LEN(COUNTIFS($H$1:H268,$H268,$I$1:I268,$I268,$J$1:J268,$J268,$K$1:K268,K268,$L$1:L268,L268))=2,"0"&amp;COUNTIFS($H$1:H268,$H268,$I$1:I268,$I268,$J$1:J268,$J268,$K$1:K268,K268,$L$1:L268,L268),COUNTIFS($H$1:H268,$H268,$I$1:I268,$I268,$J$1:J268,$J268,$K$1:K268,K268,$L$1:L268,L268)))</f>
        <v>022</v>
      </c>
      <c r="N26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68" s="14" t="e">
        <f>+LEN(Table4[[#This Row],[New Item Code]])</f>
        <v>#N/A</v>
      </c>
      <c r="P268" s="15" t="s">
        <v>4747</v>
      </c>
      <c r="Q268" s="15" t="s">
        <v>4749</v>
      </c>
      <c r="R268" s="15"/>
      <c r="S268" s="15"/>
      <c r="T268" s="15" t="s">
        <v>4672</v>
      </c>
    </row>
    <row r="269" spans="1:20" x14ac:dyDescent="0.35">
      <c r="A269" s="2" t="s">
        <v>543</v>
      </c>
      <c r="B269" s="2" t="s">
        <v>544</v>
      </c>
      <c r="C269" s="2" t="s">
        <v>56</v>
      </c>
      <c r="D269" s="2">
        <v>0</v>
      </c>
      <c r="E269" s="2" t="s">
        <v>57</v>
      </c>
      <c r="F269" s="2">
        <v>0</v>
      </c>
      <c r="G269" s="22">
        <f>Table4[[#This Row],[Item Cost]]*Table4[[#This Row],[In Stock]]</f>
        <v>0</v>
      </c>
      <c r="H269" s="12" t="s">
        <v>4661</v>
      </c>
      <c r="I269" s="13" t="s">
        <v>4668</v>
      </c>
      <c r="J269" s="13" t="s">
        <v>4672</v>
      </c>
      <c r="K269" s="13" t="s">
        <v>4672</v>
      </c>
      <c r="L269" s="12" t="s">
        <v>4672</v>
      </c>
      <c r="M269" s="17" t="str">
        <f>IF(LEN(COUNTIFS($H$1:H269,$H269,$I$1:I269,$I269,$J$1:J269,$J269,$K$1:K269,K269,$L$1:L269,L269))=1,"00"&amp;COUNTIFS($H$1:H269,$H269,$I$1:I269,$I269,$J$1:J269,$J269,$K$1:K269,K269,$L$1:L269,L269),IF(LEN(COUNTIFS($H$1:H269,$H269,$I$1:I269,$I269,$J$1:J269,$J269,$K$1:K269,K269,$L$1:L269,L269))=2,"0"&amp;COUNTIFS($H$1:H269,$H269,$I$1:I269,$I269,$J$1:J269,$J269,$K$1:K269,K269,$L$1:L269,L269),COUNTIFS($H$1:H269,$H269,$I$1:I269,$I269,$J$1:J269,$J269,$K$1:K269,K269,$L$1:L269,L269)))</f>
        <v>023</v>
      </c>
      <c r="N26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69" s="14" t="e">
        <f>+LEN(Table4[[#This Row],[New Item Code]])</f>
        <v>#N/A</v>
      </c>
      <c r="P269" s="15" t="s">
        <v>4747</v>
      </c>
      <c r="Q269" s="15" t="s">
        <v>4749</v>
      </c>
      <c r="R269" s="15"/>
      <c r="S269" s="15"/>
      <c r="T269" s="15" t="s">
        <v>4672</v>
      </c>
    </row>
    <row r="270" spans="1:20" x14ac:dyDescent="0.35">
      <c r="A270" s="2" t="s">
        <v>545</v>
      </c>
      <c r="B270" s="2" t="s">
        <v>546</v>
      </c>
      <c r="C270" s="2" t="s">
        <v>56</v>
      </c>
      <c r="D270" s="2">
        <v>0</v>
      </c>
      <c r="E270" s="2" t="s">
        <v>57</v>
      </c>
      <c r="F270" s="2">
        <v>0</v>
      </c>
      <c r="G270" s="22">
        <f>Table4[[#This Row],[Item Cost]]*Table4[[#This Row],[In Stock]]</f>
        <v>0</v>
      </c>
      <c r="H270" s="12" t="s">
        <v>4661</v>
      </c>
      <c r="I270" s="13" t="s">
        <v>4668</v>
      </c>
      <c r="J270" s="13" t="s">
        <v>4672</v>
      </c>
      <c r="K270" t="s">
        <v>4800</v>
      </c>
      <c r="L270" s="12" t="s">
        <v>4672</v>
      </c>
      <c r="M270" s="17" t="str">
        <f>IF(LEN(COUNTIFS($H$1:H270,$H270,$I$1:I270,$I270,$J$1:J270,$J270,$K$1:K270,K270,$L$1:L270,L270))=1,"00"&amp;COUNTIFS($H$1:H270,$H270,$I$1:I270,$I270,$J$1:J270,$J270,$K$1:K270,K270,$L$1:L270,L270),IF(LEN(COUNTIFS($H$1:H270,$H270,$I$1:I270,$I270,$J$1:J270,$J270,$K$1:K270,K270,$L$1:L270,L270))=2,"0"&amp;COUNTIFS($H$1:H270,$H270,$I$1:I270,$I270,$J$1:J270,$J270,$K$1:K270,K270,$L$1:L270,L270),COUNTIFS($H$1:H270,$H270,$I$1:I270,$I270,$J$1:J270,$J270,$K$1:K270,K270,$L$1:L270,L270)))</f>
        <v>009</v>
      </c>
      <c r="N27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70" s="14" t="e">
        <f>+LEN(Table4[[#This Row],[New Item Code]])</f>
        <v>#N/A</v>
      </c>
      <c r="P270" s="15" t="s">
        <v>4747</v>
      </c>
      <c r="Q270" s="15" t="s">
        <v>4749</v>
      </c>
      <c r="R270" s="15"/>
      <c r="S270" s="15"/>
      <c r="T270" s="15" t="s">
        <v>4672</v>
      </c>
    </row>
    <row r="271" spans="1:20" x14ac:dyDescent="0.35">
      <c r="A271" s="3" t="s">
        <v>547</v>
      </c>
      <c r="B271" s="3" t="s">
        <v>548</v>
      </c>
      <c r="C271" s="3" t="s">
        <v>56</v>
      </c>
      <c r="D271" s="3">
        <v>0</v>
      </c>
      <c r="E271" s="3" t="s">
        <v>57</v>
      </c>
      <c r="F271" s="3">
        <v>0</v>
      </c>
      <c r="G271" s="21">
        <f>Table4[[#This Row],[Item Cost]]*Table4[[#This Row],[In Stock]]</f>
        <v>0</v>
      </c>
      <c r="H271" s="12" t="s">
        <v>4661</v>
      </c>
      <c r="I271" s="13" t="s">
        <v>4668</v>
      </c>
      <c r="J271" s="13" t="s">
        <v>4672</v>
      </c>
      <c r="K271" t="s">
        <v>4800</v>
      </c>
      <c r="L271" s="12" t="s">
        <v>4672</v>
      </c>
      <c r="M271" s="17" t="str">
        <f>IF(LEN(COUNTIFS($H$1:H271,$H271,$I$1:I271,$I271,$J$1:J271,$J271,$K$1:K271,K271,$L$1:L271,L271))=1,"00"&amp;COUNTIFS($H$1:H271,$H271,$I$1:I271,$I271,$J$1:J271,$J271,$K$1:K271,K271,$L$1:L271,L271),IF(LEN(COUNTIFS($H$1:H271,$H271,$I$1:I271,$I271,$J$1:J271,$J271,$K$1:K271,K271,$L$1:L271,L271))=2,"0"&amp;COUNTIFS($H$1:H271,$H271,$I$1:I271,$I271,$J$1:J271,$J271,$K$1:K271,K271,$L$1:L271,L271),COUNTIFS($H$1:H271,$H271,$I$1:I271,$I271,$J$1:J271,$J271,$K$1:K271,K271,$L$1:L271,L271)))</f>
        <v>010</v>
      </c>
      <c r="N27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71" s="14" t="e">
        <f>+LEN(Table4[[#This Row],[New Item Code]])</f>
        <v>#N/A</v>
      </c>
      <c r="P271" s="15" t="s">
        <v>4747</v>
      </c>
      <c r="Q271" s="15" t="s">
        <v>4749</v>
      </c>
      <c r="R271" s="15"/>
      <c r="S271" s="15"/>
      <c r="T271" s="15" t="s">
        <v>4672</v>
      </c>
    </row>
    <row r="272" spans="1:20" x14ac:dyDescent="0.35">
      <c r="A272" s="2" t="s">
        <v>549</v>
      </c>
      <c r="B272" s="2" t="s">
        <v>550</v>
      </c>
      <c r="C272" s="2" t="s">
        <v>56</v>
      </c>
      <c r="D272" s="2">
        <v>0</v>
      </c>
      <c r="E272" s="2" t="s">
        <v>57</v>
      </c>
      <c r="F272" s="2">
        <v>0</v>
      </c>
      <c r="G272" s="22">
        <f>Table4[[#This Row],[Item Cost]]*Table4[[#This Row],[In Stock]]</f>
        <v>0</v>
      </c>
      <c r="H272" s="12" t="s">
        <v>4661</v>
      </c>
      <c r="I272" s="13" t="s">
        <v>4668</v>
      </c>
      <c r="J272" s="13" t="s">
        <v>4672</v>
      </c>
      <c r="K272" t="s">
        <v>4800</v>
      </c>
      <c r="L272" s="12" t="s">
        <v>4672</v>
      </c>
      <c r="M272" s="17" t="str">
        <f>IF(LEN(COUNTIFS($H$1:H272,$H272,$I$1:I272,$I272,$J$1:J272,$J272,$K$1:K272,K272,$L$1:L272,L272))=1,"00"&amp;COUNTIFS($H$1:H272,$H272,$I$1:I272,$I272,$J$1:J272,$J272,$K$1:K272,K272,$L$1:L272,L272),IF(LEN(COUNTIFS($H$1:H272,$H272,$I$1:I272,$I272,$J$1:J272,$J272,$K$1:K272,K272,$L$1:L272,L272))=2,"0"&amp;COUNTIFS($H$1:H272,$H272,$I$1:I272,$I272,$J$1:J272,$J272,$K$1:K272,K272,$L$1:L272,L272),COUNTIFS($H$1:H272,$H272,$I$1:I272,$I272,$J$1:J272,$J272,$K$1:K272,K272,$L$1:L272,L272)))</f>
        <v>011</v>
      </c>
      <c r="N27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72" s="14" t="e">
        <f>+LEN(Table4[[#This Row],[New Item Code]])</f>
        <v>#N/A</v>
      </c>
      <c r="P272" s="15" t="s">
        <v>4747</v>
      </c>
      <c r="Q272" s="15" t="s">
        <v>4749</v>
      </c>
      <c r="R272" s="15"/>
      <c r="S272" s="15"/>
      <c r="T272" s="15" t="s">
        <v>4672</v>
      </c>
    </row>
    <row r="273" spans="1:20" x14ac:dyDescent="0.35">
      <c r="A273" s="3" t="s">
        <v>551</v>
      </c>
      <c r="B273" s="3" t="s">
        <v>552</v>
      </c>
      <c r="C273" s="3" t="s">
        <v>56</v>
      </c>
      <c r="D273" s="3">
        <v>0</v>
      </c>
      <c r="E273" s="3" t="s">
        <v>57</v>
      </c>
      <c r="F273" s="3">
        <v>0</v>
      </c>
      <c r="G273" s="21">
        <f>Table4[[#This Row],[Item Cost]]*Table4[[#This Row],[In Stock]]</f>
        <v>0</v>
      </c>
      <c r="H273" s="12" t="s">
        <v>4661</v>
      </c>
      <c r="I273" s="13" t="s">
        <v>4668</v>
      </c>
      <c r="J273" s="13" t="s">
        <v>4672</v>
      </c>
      <c r="K273" t="s">
        <v>4800</v>
      </c>
      <c r="L273" s="12" t="s">
        <v>4672</v>
      </c>
      <c r="M273" s="17" t="str">
        <f>IF(LEN(COUNTIFS($H$1:H273,$H273,$I$1:I273,$I273,$J$1:J273,$J273,$K$1:K273,K273,$L$1:L273,L273))=1,"00"&amp;COUNTIFS($H$1:H273,$H273,$I$1:I273,$I273,$J$1:J273,$J273,$K$1:K273,K273,$L$1:L273,L273),IF(LEN(COUNTIFS($H$1:H273,$H273,$I$1:I273,$I273,$J$1:J273,$J273,$K$1:K273,K273,$L$1:L273,L273))=2,"0"&amp;COUNTIFS($H$1:H273,$H273,$I$1:I273,$I273,$J$1:J273,$J273,$K$1:K273,K273,$L$1:L273,L273),COUNTIFS($H$1:H273,$H273,$I$1:I273,$I273,$J$1:J273,$J273,$K$1:K273,K273,$L$1:L273,L273)))</f>
        <v>012</v>
      </c>
      <c r="N27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73" s="14" t="e">
        <f>+LEN(Table4[[#This Row],[New Item Code]])</f>
        <v>#N/A</v>
      </c>
      <c r="P273" s="15" t="s">
        <v>4747</v>
      </c>
      <c r="Q273" s="15" t="s">
        <v>4749</v>
      </c>
      <c r="R273" s="15"/>
      <c r="S273" s="15"/>
      <c r="T273" s="15" t="s">
        <v>4672</v>
      </c>
    </row>
    <row r="274" spans="1:20" x14ac:dyDescent="0.35">
      <c r="A274" s="2" t="s">
        <v>553</v>
      </c>
      <c r="B274" s="2" t="s">
        <v>554</v>
      </c>
      <c r="C274" s="2" t="s">
        <v>56</v>
      </c>
      <c r="D274" s="2">
        <v>0</v>
      </c>
      <c r="E274" s="2" t="s">
        <v>57</v>
      </c>
      <c r="F274" s="2">
        <v>0</v>
      </c>
      <c r="G274" s="22">
        <f>Table4[[#This Row],[Item Cost]]*Table4[[#This Row],[In Stock]]</f>
        <v>0</v>
      </c>
      <c r="H274" s="12" t="s">
        <v>4661</v>
      </c>
      <c r="I274" s="13" t="s">
        <v>4668</v>
      </c>
      <c r="J274" s="13" t="s">
        <v>4672</v>
      </c>
      <c r="K274" t="s">
        <v>4800</v>
      </c>
      <c r="L274" s="12" t="s">
        <v>4672</v>
      </c>
      <c r="M274" s="17" t="str">
        <f>IF(LEN(COUNTIFS($H$1:H274,$H274,$I$1:I274,$I274,$J$1:J274,$J274,$K$1:K274,K274,$L$1:L274,L274))=1,"00"&amp;COUNTIFS($H$1:H274,$H274,$I$1:I274,$I274,$J$1:J274,$J274,$K$1:K274,K274,$L$1:L274,L274),IF(LEN(COUNTIFS($H$1:H274,$H274,$I$1:I274,$I274,$J$1:J274,$J274,$K$1:K274,K274,$L$1:L274,L274))=2,"0"&amp;COUNTIFS($H$1:H274,$H274,$I$1:I274,$I274,$J$1:J274,$J274,$K$1:K274,K274,$L$1:L274,L274),COUNTIFS($H$1:H274,$H274,$I$1:I274,$I274,$J$1:J274,$J274,$K$1:K274,K274,$L$1:L274,L274)))</f>
        <v>013</v>
      </c>
      <c r="N27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74" s="14" t="e">
        <f>+LEN(Table4[[#This Row],[New Item Code]])</f>
        <v>#N/A</v>
      </c>
      <c r="P274" s="15" t="s">
        <v>4747</v>
      </c>
      <c r="Q274" s="15" t="s">
        <v>4749</v>
      </c>
      <c r="R274" s="15"/>
      <c r="S274" s="15"/>
      <c r="T274" s="15" t="s">
        <v>4672</v>
      </c>
    </row>
    <row r="275" spans="1:20" x14ac:dyDescent="0.35">
      <c r="A275" s="3" t="s">
        <v>555</v>
      </c>
      <c r="B275" s="3" t="s">
        <v>556</v>
      </c>
      <c r="C275" s="3" t="s">
        <v>56</v>
      </c>
      <c r="D275" s="3">
        <v>0</v>
      </c>
      <c r="E275" s="3" t="s">
        <v>57</v>
      </c>
      <c r="F275" s="3">
        <v>0</v>
      </c>
      <c r="G275" s="21">
        <f>Table4[[#This Row],[Item Cost]]*Table4[[#This Row],[In Stock]]</f>
        <v>0</v>
      </c>
      <c r="H275" s="12" t="s">
        <v>4661</v>
      </c>
      <c r="I275" s="13" t="s">
        <v>4668</v>
      </c>
      <c r="J275" s="13" t="s">
        <v>4672</v>
      </c>
      <c r="K275" s="13" t="s">
        <v>4672</v>
      </c>
      <c r="L275" s="12" t="s">
        <v>4672</v>
      </c>
      <c r="M275" s="17" t="str">
        <f>IF(LEN(COUNTIFS($H$1:H275,$H275,$I$1:I275,$I275,$J$1:J275,$J275,$K$1:K275,K275,$L$1:L275,L275))=1,"00"&amp;COUNTIFS($H$1:H275,$H275,$I$1:I275,$I275,$J$1:J275,$J275,$K$1:K275,K275,$L$1:L275,L275),IF(LEN(COUNTIFS($H$1:H275,$H275,$I$1:I275,$I275,$J$1:J275,$J275,$K$1:K275,K275,$L$1:L275,L275))=2,"0"&amp;COUNTIFS($H$1:H275,$H275,$I$1:I275,$I275,$J$1:J275,$J275,$K$1:K275,K275,$L$1:L275,L275),COUNTIFS($H$1:H275,$H275,$I$1:I275,$I275,$J$1:J275,$J275,$K$1:K275,K275,$L$1:L275,L275)))</f>
        <v>024</v>
      </c>
      <c r="N27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75" s="14" t="e">
        <f>+LEN(Table4[[#This Row],[New Item Code]])</f>
        <v>#N/A</v>
      </c>
      <c r="P275" s="15" t="s">
        <v>4747</v>
      </c>
      <c r="Q275" s="15" t="s">
        <v>4749</v>
      </c>
      <c r="R275" s="15"/>
      <c r="S275" s="15"/>
      <c r="T275" s="15" t="s">
        <v>4672</v>
      </c>
    </row>
    <row r="276" spans="1:20" x14ac:dyDescent="0.35">
      <c r="A276" s="2" t="s">
        <v>557</v>
      </c>
      <c r="B276" s="2" t="s">
        <v>558</v>
      </c>
      <c r="C276" s="2" t="s">
        <v>56</v>
      </c>
      <c r="D276" s="2">
        <v>0</v>
      </c>
      <c r="E276" s="2" t="s">
        <v>57</v>
      </c>
      <c r="F276" s="2">
        <v>0</v>
      </c>
      <c r="G276" s="22">
        <f>Table4[[#This Row],[Item Cost]]*Table4[[#This Row],[In Stock]]</f>
        <v>0</v>
      </c>
      <c r="H276" s="12" t="s">
        <v>4661</v>
      </c>
      <c r="I276" s="13" t="s">
        <v>4668</v>
      </c>
      <c r="J276" s="13" t="s">
        <v>4672</v>
      </c>
      <c r="K276" s="13" t="s">
        <v>4672</v>
      </c>
      <c r="L276" s="12" t="s">
        <v>4672</v>
      </c>
      <c r="M276" s="17" t="str">
        <f>IF(LEN(COUNTIFS($H$1:H276,$H276,$I$1:I276,$I276,$J$1:J276,$J276,$K$1:K276,K276,$L$1:L276,L276))=1,"00"&amp;COUNTIFS($H$1:H276,$H276,$I$1:I276,$I276,$J$1:J276,$J276,$K$1:K276,K276,$L$1:L276,L276),IF(LEN(COUNTIFS($H$1:H276,$H276,$I$1:I276,$I276,$J$1:J276,$J276,$K$1:K276,K276,$L$1:L276,L276))=2,"0"&amp;COUNTIFS($H$1:H276,$H276,$I$1:I276,$I276,$J$1:J276,$J276,$K$1:K276,K276,$L$1:L276,L276),COUNTIFS($H$1:H276,$H276,$I$1:I276,$I276,$J$1:J276,$J276,$K$1:K276,K276,$L$1:L276,L276)))</f>
        <v>025</v>
      </c>
      <c r="N27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76" s="14" t="e">
        <f>+LEN(Table4[[#This Row],[New Item Code]])</f>
        <v>#N/A</v>
      </c>
      <c r="P276" s="15" t="s">
        <v>4747</v>
      </c>
      <c r="Q276" s="15" t="s">
        <v>4749</v>
      </c>
      <c r="R276" s="15"/>
      <c r="S276" s="15"/>
      <c r="T276" s="15" t="s">
        <v>4672</v>
      </c>
    </row>
    <row r="277" spans="1:20" x14ac:dyDescent="0.35">
      <c r="A277" s="3" t="s">
        <v>559</v>
      </c>
      <c r="B277" s="3" t="s">
        <v>560</v>
      </c>
      <c r="C277" s="3" t="s">
        <v>56</v>
      </c>
      <c r="D277" s="3">
        <v>0</v>
      </c>
      <c r="E277" s="3" t="s">
        <v>57</v>
      </c>
      <c r="F277" s="3">
        <v>0</v>
      </c>
      <c r="G277" s="21">
        <f>Table4[[#This Row],[Item Cost]]*Table4[[#This Row],[In Stock]]</f>
        <v>0</v>
      </c>
      <c r="H277" s="12" t="s">
        <v>4661</v>
      </c>
      <c r="I277" s="13" t="s">
        <v>4668</v>
      </c>
      <c r="J277" s="13" t="s">
        <v>4672</v>
      </c>
      <c r="K277" s="13" t="s">
        <v>4672</v>
      </c>
      <c r="L277" s="12" t="s">
        <v>4672</v>
      </c>
      <c r="M277" s="17" t="str">
        <f>IF(LEN(COUNTIFS($H$1:H277,$H277,$I$1:I277,$I277,$J$1:J277,$J277,$K$1:K277,K277,$L$1:L277,L277))=1,"00"&amp;COUNTIFS($H$1:H277,$H277,$I$1:I277,$I277,$J$1:J277,$J277,$K$1:K277,K277,$L$1:L277,L277),IF(LEN(COUNTIFS($H$1:H277,$H277,$I$1:I277,$I277,$J$1:J277,$J277,$K$1:K277,K277,$L$1:L277,L277))=2,"0"&amp;COUNTIFS($H$1:H277,$H277,$I$1:I277,$I277,$J$1:J277,$J277,$K$1:K277,K277,$L$1:L277,L277),COUNTIFS($H$1:H277,$H277,$I$1:I277,$I277,$J$1:J277,$J277,$K$1:K277,K277,$L$1:L277,L277)))</f>
        <v>026</v>
      </c>
      <c r="N27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77" s="14" t="e">
        <f>+LEN(Table4[[#This Row],[New Item Code]])</f>
        <v>#N/A</v>
      </c>
      <c r="P277" s="15" t="s">
        <v>4747</v>
      </c>
      <c r="Q277" s="15" t="s">
        <v>4749</v>
      </c>
      <c r="R277" s="15"/>
      <c r="S277" s="15"/>
      <c r="T277" s="15" t="s">
        <v>4672</v>
      </c>
    </row>
    <row r="278" spans="1:20" x14ac:dyDescent="0.35">
      <c r="A278" s="2" t="s">
        <v>561</v>
      </c>
      <c r="B278" s="2" t="s">
        <v>562</v>
      </c>
      <c r="C278" s="2" t="s">
        <v>56</v>
      </c>
      <c r="D278" s="2">
        <v>0</v>
      </c>
      <c r="E278" s="2" t="s">
        <v>57</v>
      </c>
      <c r="F278" s="2">
        <v>0</v>
      </c>
      <c r="G278" s="22">
        <f>Table4[[#This Row],[Item Cost]]*Table4[[#This Row],[In Stock]]</f>
        <v>0</v>
      </c>
      <c r="H278" s="12" t="s">
        <v>4661</v>
      </c>
      <c r="I278" s="13" t="s">
        <v>4668</v>
      </c>
      <c r="J278" s="13" t="s">
        <v>4672</v>
      </c>
      <c r="K278" s="13" t="s">
        <v>4672</v>
      </c>
      <c r="L278" s="12" t="s">
        <v>4672</v>
      </c>
      <c r="M278" s="17" t="str">
        <f>IF(LEN(COUNTIFS($H$1:H278,$H278,$I$1:I278,$I278,$J$1:J278,$J278,$K$1:K278,K278,$L$1:L278,L278))=1,"00"&amp;COUNTIFS($H$1:H278,$H278,$I$1:I278,$I278,$J$1:J278,$J278,$K$1:K278,K278,$L$1:L278,L278),IF(LEN(COUNTIFS($H$1:H278,$H278,$I$1:I278,$I278,$J$1:J278,$J278,$K$1:K278,K278,$L$1:L278,L278))=2,"0"&amp;COUNTIFS($H$1:H278,$H278,$I$1:I278,$I278,$J$1:J278,$J278,$K$1:K278,K278,$L$1:L278,L278),COUNTIFS($H$1:H278,$H278,$I$1:I278,$I278,$J$1:J278,$J278,$K$1:K278,K278,$L$1:L278,L278)))</f>
        <v>027</v>
      </c>
      <c r="N27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78" s="14" t="e">
        <f>+LEN(Table4[[#This Row],[New Item Code]])</f>
        <v>#N/A</v>
      </c>
      <c r="P278" s="15" t="s">
        <v>4747</v>
      </c>
      <c r="Q278" s="15" t="s">
        <v>4749</v>
      </c>
      <c r="R278" s="15"/>
      <c r="S278" s="15"/>
      <c r="T278" s="15" t="s">
        <v>4672</v>
      </c>
    </row>
    <row r="279" spans="1:20" x14ac:dyDescent="0.35">
      <c r="A279" s="3" t="s">
        <v>563</v>
      </c>
      <c r="B279" s="3" t="s">
        <v>564</v>
      </c>
      <c r="C279" s="3" t="s">
        <v>56</v>
      </c>
      <c r="D279" s="3">
        <v>0</v>
      </c>
      <c r="E279" s="3" t="s">
        <v>57</v>
      </c>
      <c r="F279" s="3">
        <v>0</v>
      </c>
      <c r="G279" s="21">
        <f>Table4[[#This Row],[Item Cost]]*Table4[[#This Row],[In Stock]]</f>
        <v>0</v>
      </c>
      <c r="H279" s="12" t="s">
        <v>4661</v>
      </c>
      <c r="I279" s="13" t="s">
        <v>4668</v>
      </c>
      <c r="J279" s="13" t="s">
        <v>4672</v>
      </c>
      <c r="K279" s="13" t="s">
        <v>4672</v>
      </c>
      <c r="L279" s="12" t="s">
        <v>4672</v>
      </c>
      <c r="M279" s="17" t="str">
        <f>IF(LEN(COUNTIFS($H$1:H279,$H279,$I$1:I279,$I279,$J$1:J279,$J279,$K$1:K279,K279,$L$1:L279,L279))=1,"00"&amp;COUNTIFS($H$1:H279,$H279,$I$1:I279,$I279,$J$1:J279,$J279,$K$1:K279,K279,$L$1:L279,L279),IF(LEN(COUNTIFS($H$1:H279,$H279,$I$1:I279,$I279,$J$1:J279,$J279,$K$1:K279,K279,$L$1:L279,L279))=2,"0"&amp;COUNTIFS($H$1:H279,$H279,$I$1:I279,$I279,$J$1:J279,$J279,$K$1:K279,K279,$L$1:L279,L279),COUNTIFS($H$1:H279,$H279,$I$1:I279,$I279,$J$1:J279,$J279,$K$1:K279,K279,$L$1:L279,L279)))</f>
        <v>028</v>
      </c>
      <c r="N27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79" s="14" t="e">
        <f>+LEN(Table4[[#This Row],[New Item Code]])</f>
        <v>#N/A</v>
      </c>
      <c r="P279" s="15" t="s">
        <v>4747</v>
      </c>
      <c r="Q279" s="15" t="s">
        <v>4749</v>
      </c>
      <c r="R279" s="15"/>
      <c r="S279" s="15"/>
      <c r="T279" s="15" t="s">
        <v>4672</v>
      </c>
    </row>
    <row r="280" spans="1:20" x14ac:dyDescent="0.35">
      <c r="A280" s="2" t="s">
        <v>565</v>
      </c>
      <c r="B280" s="2" t="s">
        <v>566</v>
      </c>
      <c r="C280" s="2" t="s">
        <v>56</v>
      </c>
      <c r="D280" s="2">
        <v>0</v>
      </c>
      <c r="E280" s="2" t="s">
        <v>57</v>
      </c>
      <c r="F280" s="2">
        <v>0</v>
      </c>
      <c r="G280" s="22">
        <f>Table4[[#This Row],[Item Cost]]*Table4[[#This Row],[In Stock]]</f>
        <v>0</v>
      </c>
      <c r="H280" s="12" t="s">
        <v>4661</v>
      </c>
      <c r="I280" s="13" t="s">
        <v>4668</v>
      </c>
      <c r="J280" s="13" t="s">
        <v>4672</v>
      </c>
      <c r="K280" s="13" t="s">
        <v>4672</v>
      </c>
      <c r="L280" s="12" t="s">
        <v>4672</v>
      </c>
      <c r="M280" s="17" t="str">
        <f>IF(LEN(COUNTIFS($H$1:H280,$H280,$I$1:I280,$I280,$J$1:J280,$J280,$K$1:K280,K280,$L$1:L280,L280))=1,"00"&amp;COUNTIFS($H$1:H280,$H280,$I$1:I280,$I280,$J$1:J280,$J280,$K$1:K280,K280,$L$1:L280,L280),IF(LEN(COUNTIFS($H$1:H280,$H280,$I$1:I280,$I280,$J$1:J280,$J280,$K$1:K280,K280,$L$1:L280,L280))=2,"0"&amp;COUNTIFS($H$1:H280,$H280,$I$1:I280,$I280,$J$1:J280,$J280,$K$1:K280,K280,$L$1:L280,L280),COUNTIFS($H$1:H280,$H280,$I$1:I280,$I280,$J$1:J280,$J280,$K$1:K280,K280,$L$1:L280,L280)))</f>
        <v>029</v>
      </c>
      <c r="N28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80" s="14" t="e">
        <f>+LEN(Table4[[#This Row],[New Item Code]])</f>
        <v>#N/A</v>
      </c>
      <c r="P280" s="15" t="s">
        <v>4747</v>
      </c>
      <c r="Q280" s="15" t="s">
        <v>4749</v>
      </c>
      <c r="R280" s="15"/>
      <c r="S280" s="15"/>
      <c r="T280" s="15" t="s">
        <v>4672</v>
      </c>
    </row>
    <row r="281" spans="1:20" x14ac:dyDescent="0.35">
      <c r="A281" s="3" t="s">
        <v>567</v>
      </c>
      <c r="B281" s="3" t="s">
        <v>568</v>
      </c>
      <c r="C281" s="3" t="s">
        <v>56</v>
      </c>
      <c r="D281" s="3">
        <v>0</v>
      </c>
      <c r="E281" s="3" t="s">
        <v>57</v>
      </c>
      <c r="F281" s="3">
        <v>0</v>
      </c>
      <c r="G281" s="21">
        <f>Table4[[#This Row],[Item Cost]]*Table4[[#This Row],[In Stock]]</f>
        <v>0</v>
      </c>
      <c r="H281" s="12" t="s">
        <v>4661</v>
      </c>
      <c r="I281" s="13" t="s">
        <v>4668</v>
      </c>
      <c r="J281" s="13" t="s">
        <v>4672</v>
      </c>
      <c r="K281" s="13" t="s">
        <v>4672</v>
      </c>
      <c r="L281" s="12" t="s">
        <v>4672</v>
      </c>
      <c r="M281" s="17" t="str">
        <f>IF(LEN(COUNTIFS($H$1:H281,$H281,$I$1:I281,$I281,$J$1:J281,$J281,$K$1:K281,K281,$L$1:L281,L281))=1,"00"&amp;COUNTIFS($H$1:H281,$H281,$I$1:I281,$I281,$J$1:J281,$J281,$K$1:K281,K281,$L$1:L281,L281),IF(LEN(COUNTIFS($H$1:H281,$H281,$I$1:I281,$I281,$J$1:J281,$J281,$K$1:K281,K281,$L$1:L281,L281))=2,"0"&amp;COUNTIFS($H$1:H281,$H281,$I$1:I281,$I281,$J$1:J281,$J281,$K$1:K281,K281,$L$1:L281,L281),COUNTIFS($H$1:H281,$H281,$I$1:I281,$I281,$J$1:J281,$J281,$K$1:K281,K281,$L$1:L281,L281)))</f>
        <v>030</v>
      </c>
      <c r="N28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81" s="14" t="e">
        <f>+LEN(Table4[[#This Row],[New Item Code]])</f>
        <v>#N/A</v>
      </c>
      <c r="P281" s="15" t="s">
        <v>4747</v>
      </c>
      <c r="Q281" s="15" t="s">
        <v>4749</v>
      </c>
      <c r="R281" s="15"/>
      <c r="S281" s="15"/>
      <c r="T281" s="15" t="s">
        <v>4672</v>
      </c>
    </row>
    <row r="282" spans="1:20" x14ac:dyDescent="0.35">
      <c r="A282" s="2" t="s">
        <v>569</v>
      </c>
      <c r="B282" s="2" t="s">
        <v>570</v>
      </c>
      <c r="C282" s="2" t="s">
        <v>56</v>
      </c>
      <c r="D282" s="2">
        <v>0</v>
      </c>
      <c r="E282" s="2" t="s">
        <v>57</v>
      </c>
      <c r="F282" s="2">
        <v>0</v>
      </c>
      <c r="G282" s="22">
        <f>Table4[[#This Row],[Item Cost]]*Table4[[#This Row],[In Stock]]</f>
        <v>0</v>
      </c>
      <c r="H282" s="12" t="s">
        <v>4661</v>
      </c>
      <c r="I282" s="13" t="s">
        <v>4668</v>
      </c>
      <c r="J282" s="13" t="s">
        <v>4672</v>
      </c>
      <c r="K282" s="13" t="s">
        <v>4672</v>
      </c>
      <c r="L282" s="12" t="s">
        <v>4672</v>
      </c>
      <c r="M282" s="17" t="str">
        <f>IF(LEN(COUNTIFS($H$1:H282,$H282,$I$1:I282,$I282,$J$1:J282,$J282,$K$1:K282,K282,$L$1:L282,L282))=1,"00"&amp;COUNTIFS($H$1:H282,$H282,$I$1:I282,$I282,$J$1:J282,$J282,$K$1:K282,K282,$L$1:L282,L282),IF(LEN(COUNTIFS($H$1:H282,$H282,$I$1:I282,$I282,$J$1:J282,$J282,$K$1:K282,K282,$L$1:L282,L282))=2,"0"&amp;COUNTIFS($H$1:H282,$H282,$I$1:I282,$I282,$J$1:J282,$J282,$K$1:K282,K282,$L$1:L282,L282),COUNTIFS($H$1:H282,$H282,$I$1:I282,$I282,$J$1:J282,$J282,$K$1:K282,K282,$L$1:L282,L282)))</f>
        <v>031</v>
      </c>
      <c r="N28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82" s="14" t="e">
        <f>+LEN(Table4[[#This Row],[New Item Code]])</f>
        <v>#N/A</v>
      </c>
      <c r="P282" s="15" t="s">
        <v>4747</v>
      </c>
      <c r="Q282" s="15" t="s">
        <v>4749</v>
      </c>
      <c r="R282" s="15"/>
      <c r="S282" s="15"/>
      <c r="T282" s="15" t="s">
        <v>4672</v>
      </c>
    </row>
    <row r="283" spans="1:20" x14ac:dyDescent="0.35">
      <c r="A283" s="3" t="s">
        <v>571</v>
      </c>
      <c r="B283" s="3" t="s">
        <v>572</v>
      </c>
      <c r="C283" s="3" t="s">
        <v>56</v>
      </c>
      <c r="D283" s="3">
        <v>0</v>
      </c>
      <c r="E283" s="3" t="s">
        <v>57</v>
      </c>
      <c r="F283" s="3">
        <v>0</v>
      </c>
      <c r="G283" s="21">
        <f>Table4[[#This Row],[Item Cost]]*Table4[[#This Row],[In Stock]]</f>
        <v>0</v>
      </c>
      <c r="H283" s="12" t="s">
        <v>4661</v>
      </c>
      <c r="I283" s="13" t="s">
        <v>4668</v>
      </c>
      <c r="J283" s="13" t="s">
        <v>4672</v>
      </c>
      <c r="K283" s="13" t="s">
        <v>4672</v>
      </c>
      <c r="L283" s="12" t="s">
        <v>4672</v>
      </c>
      <c r="M283" s="17" t="str">
        <f>IF(LEN(COUNTIFS($H$1:H283,$H283,$I$1:I283,$I283,$J$1:J283,$J283,$K$1:K283,K283,$L$1:L283,L283))=1,"00"&amp;COUNTIFS($H$1:H283,$H283,$I$1:I283,$I283,$J$1:J283,$J283,$K$1:K283,K283,$L$1:L283,L283),IF(LEN(COUNTIFS($H$1:H283,$H283,$I$1:I283,$I283,$J$1:J283,$J283,$K$1:K283,K283,$L$1:L283,L283))=2,"0"&amp;COUNTIFS($H$1:H283,$H283,$I$1:I283,$I283,$J$1:J283,$J283,$K$1:K283,K283,$L$1:L283,L283),COUNTIFS($H$1:H283,$H283,$I$1:I283,$I283,$J$1:J283,$J283,$K$1:K283,K283,$L$1:L283,L283)))</f>
        <v>032</v>
      </c>
      <c r="N28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83" s="14" t="e">
        <f>+LEN(Table4[[#This Row],[New Item Code]])</f>
        <v>#N/A</v>
      </c>
      <c r="P283" s="15" t="s">
        <v>4747</v>
      </c>
      <c r="Q283" s="15" t="s">
        <v>4749</v>
      </c>
      <c r="R283" s="15"/>
      <c r="S283" s="15"/>
      <c r="T283" s="15" t="s">
        <v>4672</v>
      </c>
    </row>
    <row r="284" spans="1:20" x14ac:dyDescent="0.35">
      <c r="A284" s="2" t="s">
        <v>573</v>
      </c>
      <c r="B284" s="2" t="s">
        <v>574</v>
      </c>
      <c r="C284" s="2" t="s">
        <v>56</v>
      </c>
      <c r="D284" s="2">
        <v>0</v>
      </c>
      <c r="E284" s="2" t="s">
        <v>57</v>
      </c>
      <c r="F284" s="2">
        <v>0</v>
      </c>
      <c r="G284" s="22">
        <f>Table4[[#This Row],[Item Cost]]*Table4[[#This Row],[In Stock]]</f>
        <v>0</v>
      </c>
      <c r="H284" s="12" t="s">
        <v>4661</v>
      </c>
      <c r="I284" s="13" t="s">
        <v>4668</v>
      </c>
      <c r="J284" s="13" t="s">
        <v>4672</v>
      </c>
      <c r="K284" s="13" t="s">
        <v>4672</v>
      </c>
      <c r="L284" s="12" t="s">
        <v>4672</v>
      </c>
      <c r="M284" s="17" t="str">
        <f>IF(LEN(COUNTIFS($H$1:H284,$H284,$I$1:I284,$I284,$J$1:J284,$J284,$K$1:K284,K284,$L$1:L284,L284))=1,"00"&amp;COUNTIFS($H$1:H284,$H284,$I$1:I284,$I284,$J$1:J284,$J284,$K$1:K284,K284,$L$1:L284,L284),IF(LEN(COUNTIFS($H$1:H284,$H284,$I$1:I284,$I284,$J$1:J284,$J284,$K$1:K284,K284,$L$1:L284,L284))=2,"0"&amp;COUNTIFS($H$1:H284,$H284,$I$1:I284,$I284,$J$1:J284,$J284,$K$1:K284,K284,$L$1:L284,L284),COUNTIFS($H$1:H284,$H284,$I$1:I284,$I284,$J$1:J284,$J284,$K$1:K284,K284,$L$1:L284,L284)))</f>
        <v>033</v>
      </c>
      <c r="N28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84" s="14" t="e">
        <f>+LEN(Table4[[#This Row],[New Item Code]])</f>
        <v>#N/A</v>
      </c>
      <c r="P284" s="15" t="s">
        <v>4747</v>
      </c>
      <c r="Q284" s="15" t="s">
        <v>4749</v>
      </c>
      <c r="R284" s="15"/>
      <c r="S284" s="15"/>
      <c r="T284" s="15" t="s">
        <v>4672</v>
      </c>
    </row>
    <row r="285" spans="1:20" x14ac:dyDescent="0.35">
      <c r="A285" s="3" t="s">
        <v>575</v>
      </c>
      <c r="B285" s="3" t="s">
        <v>576</v>
      </c>
      <c r="C285" s="3" t="s">
        <v>56</v>
      </c>
      <c r="D285" s="3">
        <v>0</v>
      </c>
      <c r="E285" s="3" t="s">
        <v>57</v>
      </c>
      <c r="F285" s="3">
        <v>0</v>
      </c>
      <c r="G285" s="21">
        <f>Table4[[#This Row],[Item Cost]]*Table4[[#This Row],[In Stock]]</f>
        <v>0</v>
      </c>
      <c r="H285" s="12" t="s">
        <v>4661</v>
      </c>
      <c r="I285" s="13" t="s">
        <v>4668</v>
      </c>
      <c r="J285" s="13" t="s">
        <v>4672</v>
      </c>
      <c r="K285" s="13" t="s">
        <v>4672</v>
      </c>
      <c r="L285" s="12" t="s">
        <v>4672</v>
      </c>
      <c r="M285" s="17" t="str">
        <f>IF(LEN(COUNTIFS($H$1:H285,$H285,$I$1:I285,$I285,$J$1:J285,$J285,$K$1:K285,K285,$L$1:L285,L285))=1,"00"&amp;COUNTIFS($H$1:H285,$H285,$I$1:I285,$I285,$J$1:J285,$J285,$K$1:K285,K285,$L$1:L285,L285),IF(LEN(COUNTIFS($H$1:H285,$H285,$I$1:I285,$I285,$J$1:J285,$J285,$K$1:K285,K285,$L$1:L285,L285))=2,"0"&amp;COUNTIFS($H$1:H285,$H285,$I$1:I285,$I285,$J$1:J285,$J285,$K$1:K285,K285,$L$1:L285,L285),COUNTIFS($H$1:H285,$H285,$I$1:I285,$I285,$J$1:J285,$J285,$K$1:K285,K285,$L$1:L285,L285)))</f>
        <v>034</v>
      </c>
      <c r="N28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85" s="14" t="e">
        <f>+LEN(Table4[[#This Row],[New Item Code]])</f>
        <v>#N/A</v>
      </c>
      <c r="P285" s="15" t="s">
        <v>4747</v>
      </c>
      <c r="Q285" s="15" t="s">
        <v>4749</v>
      </c>
      <c r="R285" s="15"/>
      <c r="S285" s="15"/>
      <c r="T285" s="15" t="s">
        <v>4672</v>
      </c>
    </row>
    <row r="286" spans="1:20" x14ac:dyDescent="0.35">
      <c r="A286" s="2" t="s">
        <v>577</v>
      </c>
      <c r="B286" s="2" t="s">
        <v>578</v>
      </c>
      <c r="C286" s="2" t="s">
        <v>56</v>
      </c>
      <c r="D286" s="2">
        <v>0</v>
      </c>
      <c r="E286" s="2" t="s">
        <v>57</v>
      </c>
      <c r="F286" s="2">
        <v>0</v>
      </c>
      <c r="G286" s="22">
        <f>Table4[[#This Row],[Item Cost]]*Table4[[#This Row],[In Stock]]</f>
        <v>0</v>
      </c>
      <c r="H286" s="12" t="s">
        <v>4661</v>
      </c>
      <c r="I286" s="13" t="s">
        <v>4668</v>
      </c>
      <c r="J286" s="13" t="s">
        <v>4672</v>
      </c>
      <c r="K286" s="13" t="s">
        <v>4672</v>
      </c>
      <c r="L286" s="12" t="s">
        <v>4672</v>
      </c>
      <c r="M286" s="17" t="str">
        <f>IF(LEN(COUNTIFS($H$1:H286,$H286,$I$1:I286,$I286,$J$1:J286,$J286,$K$1:K286,K286,$L$1:L286,L286))=1,"00"&amp;COUNTIFS($H$1:H286,$H286,$I$1:I286,$I286,$J$1:J286,$J286,$K$1:K286,K286,$L$1:L286,L286),IF(LEN(COUNTIFS($H$1:H286,$H286,$I$1:I286,$I286,$J$1:J286,$J286,$K$1:K286,K286,$L$1:L286,L286))=2,"0"&amp;COUNTIFS($H$1:H286,$H286,$I$1:I286,$I286,$J$1:J286,$J286,$K$1:K286,K286,$L$1:L286,L286),COUNTIFS($H$1:H286,$H286,$I$1:I286,$I286,$J$1:J286,$J286,$K$1:K286,K286,$L$1:L286,L286)))</f>
        <v>035</v>
      </c>
      <c r="N28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86" s="14" t="e">
        <f>+LEN(Table4[[#This Row],[New Item Code]])</f>
        <v>#N/A</v>
      </c>
      <c r="P286" s="15" t="s">
        <v>4747</v>
      </c>
      <c r="Q286" s="15" t="s">
        <v>4749</v>
      </c>
      <c r="R286" s="15"/>
      <c r="S286" s="15"/>
      <c r="T286" s="15" t="s">
        <v>4672</v>
      </c>
    </row>
    <row r="287" spans="1:20" x14ac:dyDescent="0.35">
      <c r="A287" s="3" t="s">
        <v>579</v>
      </c>
      <c r="B287" s="3" t="s">
        <v>580</v>
      </c>
      <c r="C287" s="3" t="s">
        <v>56</v>
      </c>
      <c r="D287" s="3">
        <v>0</v>
      </c>
      <c r="E287" s="3" t="s">
        <v>57</v>
      </c>
      <c r="F287" s="3">
        <v>0</v>
      </c>
      <c r="G287" s="21">
        <f>Table4[[#This Row],[Item Cost]]*Table4[[#This Row],[In Stock]]</f>
        <v>0</v>
      </c>
      <c r="H287" s="12" t="s">
        <v>4661</v>
      </c>
      <c r="I287" s="13" t="s">
        <v>4668</v>
      </c>
      <c r="J287" s="13" t="s">
        <v>4672</v>
      </c>
      <c r="K287" s="13" t="s">
        <v>4672</v>
      </c>
      <c r="L287" s="12" t="s">
        <v>4672</v>
      </c>
      <c r="M287" s="17" t="str">
        <f>IF(LEN(COUNTIFS($H$1:H287,$H287,$I$1:I287,$I287,$J$1:J287,$J287,$K$1:K287,K287,$L$1:L287,L287))=1,"00"&amp;COUNTIFS($H$1:H287,$H287,$I$1:I287,$I287,$J$1:J287,$J287,$K$1:K287,K287,$L$1:L287,L287),IF(LEN(COUNTIFS($H$1:H287,$H287,$I$1:I287,$I287,$J$1:J287,$J287,$K$1:K287,K287,$L$1:L287,L287))=2,"0"&amp;COUNTIFS($H$1:H287,$H287,$I$1:I287,$I287,$J$1:J287,$J287,$K$1:K287,K287,$L$1:L287,L287),COUNTIFS($H$1:H287,$H287,$I$1:I287,$I287,$J$1:J287,$J287,$K$1:K287,K287,$L$1:L287,L287)))</f>
        <v>036</v>
      </c>
      <c r="N28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87" s="14" t="e">
        <f>+LEN(Table4[[#This Row],[New Item Code]])</f>
        <v>#N/A</v>
      </c>
      <c r="P287" s="15" t="s">
        <v>4747</v>
      </c>
      <c r="Q287" s="15" t="s">
        <v>4749</v>
      </c>
      <c r="R287" s="15"/>
      <c r="S287" s="15"/>
      <c r="T287" s="15" t="s">
        <v>4672</v>
      </c>
    </row>
    <row r="288" spans="1:20" x14ac:dyDescent="0.35">
      <c r="A288" s="2" t="s">
        <v>581</v>
      </c>
      <c r="B288" s="2" t="s">
        <v>582</v>
      </c>
      <c r="C288" s="2" t="s">
        <v>56</v>
      </c>
      <c r="D288" s="2">
        <v>0</v>
      </c>
      <c r="E288" s="2" t="s">
        <v>57</v>
      </c>
      <c r="F288" s="2">
        <v>0</v>
      </c>
      <c r="G288" s="22">
        <f>Table4[[#This Row],[Item Cost]]*Table4[[#This Row],[In Stock]]</f>
        <v>0</v>
      </c>
      <c r="H288" s="12" t="s">
        <v>4661</v>
      </c>
      <c r="I288" s="13" t="s">
        <v>4668</v>
      </c>
      <c r="J288" s="13" t="s">
        <v>4672</v>
      </c>
      <c r="K288" s="13" t="s">
        <v>4672</v>
      </c>
      <c r="L288" s="12" t="s">
        <v>4672</v>
      </c>
      <c r="M288" s="17" t="str">
        <f>IF(LEN(COUNTIFS($H$1:H288,$H288,$I$1:I288,$I288,$J$1:J288,$J288,$K$1:K288,K288,$L$1:L288,L288))=1,"00"&amp;COUNTIFS($H$1:H288,$H288,$I$1:I288,$I288,$J$1:J288,$J288,$K$1:K288,K288,$L$1:L288,L288),IF(LEN(COUNTIFS($H$1:H288,$H288,$I$1:I288,$I288,$J$1:J288,$J288,$K$1:K288,K288,$L$1:L288,L288))=2,"0"&amp;COUNTIFS($H$1:H288,$H288,$I$1:I288,$I288,$J$1:J288,$J288,$K$1:K288,K288,$L$1:L288,L288),COUNTIFS($H$1:H288,$H288,$I$1:I288,$I288,$J$1:J288,$J288,$K$1:K288,K288,$L$1:L288,L288)))</f>
        <v>037</v>
      </c>
      <c r="N28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88" s="14" t="e">
        <f>+LEN(Table4[[#This Row],[New Item Code]])</f>
        <v>#N/A</v>
      </c>
      <c r="P288" s="15" t="s">
        <v>4747</v>
      </c>
      <c r="Q288" s="15" t="s">
        <v>4749</v>
      </c>
      <c r="R288" s="15"/>
      <c r="S288" s="15"/>
      <c r="T288" s="15" t="s">
        <v>4672</v>
      </c>
    </row>
    <row r="289" spans="1:20" x14ac:dyDescent="0.35">
      <c r="A289" s="3" t="s">
        <v>583</v>
      </c>
      <c r="B289" s="3" t="s">
        <v>584</v>
      </c>
      <c r="C289" s="3" t="s">
        <v>56</v>
      </c>
      <c r="D289" s="3">
        <v>0</v>
      </c>
      <c r="E289" s="3" t="s">
        <v>57</v>
      </c>
      <c r="F289" s="3">
        <v>0</v>
      </c>
      <c r="G289" s="21">
        <f>Table4[[#This Row],[Item Cost]]*Table4[[#This Row],[In Stock]]</f>
        <v>0</v>
      </c>
      <c r="H289" s="12" t="s">
        <v>4661</v>
      </c>
      <c r="I289" s="13" t="s">
        <v>4668</v>
      </c>
      <c r="J289" s="13" t="s">
        <v>4672</v>
      </c>
      <c r="K289" s="13" t="s">
        <v>4672</v>
      </c>
      <c r="L289" s="12" t="s">
        <v>4672</v>
      </c>
      <c r="M289" s="17" t="str">
        <f>IF(LEN(COUNTIFS($H$1:H289,$H289,$I$1:I289,$I289,$J$1:J289,$J289,$K$1:K289,K289,$L$1:L289,L289))=1,"00"&amp;COUNTIFS($H$1:H289,$H289,$I$1:I289,$I289,$J$1:J289,$J289,$K$1:K289,K289,$L$1:L289,L289),IF(LEN(COUNTIFS($H$1:H289,$H289,$I$1:I289,$I289,$J$1:J289,$J289,$K$1:K289,K289,$L$1:L289,L289))=2,"0"&amp;COUNTIFS($H$1:H289,$H289,$I$1:I289,$I289,$J$1:J289,$J289,$K$1:K289,K289,$L$1:L289,L289),COUNTIFS($H$1:H289,$H289,$I$1:I289,$I289,$J$1:J289,$J289,$K$1:K289,K289,$L$1:L289,L289)))</f>
        <v>038</v>
      </c>
      <c r="N28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89" s="14" t="e">
        <f>+LEN(Table4[[#This Row],[New Item Code]])</f>
        <v>#N/A</v>
      </c>
      <c r="P289" s="15" t="s">
        <v>4747</v>
      </c>
      <c r="Q289" s="15" t="s">
        <v>4749</v>
      </c>
      <c r="R289" s="15"/>
      <c r="S289" s="15"/>
      <c r="T289" s="15" t="s">
        <v>4672</v>
      </c>
    </row>
    <row r="290" spans="1:20" x14ac:dyDescent="0.35">
      <c r="A290" s="2" t="s">
        <v>585</v>
      </c>
      <c r="B290" s="2" t="s">
        <v>586</v>
      </c>
      <c r="C290" s="2" t="s">
        <v>56</v>
      </c>
      <c r="D290" s="2">
        <v>0</v>
      </c>
      <c r="E290" s="2" t="s">
        <v>57</v>
      </c>
      <c r="F290" s="2">
        <v>0</v>
      </c>
      <c r="G290" s="22">
        <f>Table4[[#This Row],[Item Cost]]*Table4[[#This Row],[In Stock]]</f>
        <v>0</v>
      </c>
      <c r="H290" s="12" t="s">
        <v>4661</v>
      </c>
      <c r="I290" s="13" t="s">
        <v>4668</v>
      </c>
      <c r="J290" s="13" t="s">
        <v>4672</v>
      </c>
      <c r="K290" s="13" t="s">
        <v>4672</v>
      </c>
      <c r="L290" s="12" t="s">
        <v>4672</v>
      </c>
      <c r="M290" s="17" t="str">
        <f>IF(LEN(COUNTIFS($H$1:H290,$H290,$I$1:I290,$I290,$J$1:J290,$J290,$K$1:K290,K290,$L$1:L290,L290))=1,"00"&amp;COUNTIFS($H$1:H290,$H290,$I$1:I290,$I290,$J$1:J290,$J290,$K$1:K290,K290,$L$1:L290,L290),IF(LEN(COUNTIFS($H$1:H290,$H290,$I$1:I290,$I290,$J$1:J290,$J290,$K$1:K290,K290,$L$1:L290,L290))=2,"0"&amp;COUNTIFS($H$1:H290,$H290,$I$1:I290,$I290,$J$1:J290,$J290,$K$1:K290,K290,$L$1:L290,L290),COUNTIFS($H$1:H290,$H290,$I$1:I290,$I290,$J$1:J290,$J290,$K$1:K290,K290,$L$1:L290,L290)))</f>
        <v>039</v>
      </c>
      <c r="N29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90" s="14" t="e">
        <f>+LEN(Table4[[#This Row],[New Item Code]])</f>
        <v>#N/A</v>
      </c>
      <c r="P290" s="15" t="s">
        <v>4747</v>
      </c>
      <c r="Q290" s="15" t="s">
        <v>4749</v>
      </c>
      <c r="R290" s="15"/>
      <c r="S290" s="15"/>
      <c r="T290" s="15" t="s">
        <v>4672</v>
      </c>
    </row>
    <row r="291" spans="1:20" x14ac:dyDescent="0.35">
      <c r="A291" s="3" t="s">
        <v>587</v>
      </c>
      <c r="B291" s="3" t="s">
        <v>588</v>
      </c>
      <c r="C291" s="3" t="s">
        <v>56</v>
      </c>
      <c r="D291" s="3">
        <v>0</v>
      </c>
      <c r="E291" s="3" t="s">
        <v>57</v>
      </c>
      <c r="F291" s="3">
        <v>0</v>
      </c>
      <c r="G291" s="21">
        <f>Table4[[#This Row],[Item Cost]]*Table4[[#This Row],[In Stock]]</f>
        <v>0</v>
      </c>
      <c r="H291" s="12" t="s">
        <v>4661</v>
      </c>
      <c r="I291" s="13" t="s">
        <v>4668</v>
      </c>
      <c r="J291" s="13" t="s">
        <v>4672</v>
      </c>
      <c r="K291" s="13" t="s">
        <v>4672</v>
      </c>
      <c r="L291" s="12" t="s">
        <v>4672</v>
      </c>
      <c r="M291" s="17" t="str">
        <f>IF(LEN(COUNTIFS($H$1:H291,$H291,$I$1:I291,$I291,$J$1:J291,$J291,$K$1:K291,K291,$L$1:L291,L291))=1,"00"&amp;COUNTIFS($H$1:H291,$H291,$I$1:I291,$I291,$J$1:J291,$J291,$K$1:K291,K291,$L$1:L291,L291),IF(LEN(COUNTIFS($H$1:H291,$H291,$I$1:I291,$I291,$J$1:J291,$J291,$K$1:K291,K291,$L$1:L291,L291))=2,"0"&amp;COUNTIFS($H$1:H291,$H291,$I$1:I291,$I291,$J$1:J291,$J291,$K$1:K291,K291,$L$1:L291,L291),COUNTIFS($H$1:H291,$H291,$I$1:I291,$I291,$J$1:J291,$J291,$K$1:K291,K291,$L$1:L291,L291)))</f>
        <v>040</v>
      </c>
      <c r="N29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91" s="14" t="e">
        <f>+LEN(Table4[[#This Row],[New Item Code]])</f>
        <v>#N/A</v>
      </c>
      <c r="P291" s="15" t="s">
        <v>4747</v>
      </c>
      <c r="Q291" s="15" t="s">
        <v>4749</v>
      </c>
      <c r="R291" s="15"/>
      <c r="S291" s="15"/>
      <c r="T291" s="15" t="s">
        <v>4672</v>
      </c>
    </row>
    <row r="292" spans="1:20" x14ac:dyDescent="0.35">
      <c r="A292" s="2" t="s">
        <v>589</v>
      </c>
      <c r="B292" s="2" t="s">
        <v>590</v>
      </c>
      <c r="C292" s="2" t="s">
        <v>56</v>
      </c>
      <c r="D292" s="2">
        <v>0</v>
      </c>
      <c r="E292" s="2" t="s">
        <v>57</v>
      </c>
      <c r="F292" s="2">
        <v>0</v>
      </c>
      <c r="G292" s="22">
        <f>Table4[[#This Row],[Item Cost]]*Table4[[#This Row],[In Stock]]</f>
        <v>0</v>
      </c>
      <c r="H292" s="12" t="s">
        <v>4661</v>
      </c>
      <c r="I292" s="13" t="s">
        <v>4668</v>
      </c>
      <c r="J292" s="13" t="s">
        <v>4672</v>
      </c>
      <c r="K292" s="13" t="s">
        <v>4672</v>
      </c>
      <c r="L292" s="12" t="s">
        <v>4672</v>
      </c>
      <c r="M292" s="17" t="str">
        <f>IF(LEN(COUNTIFS($H$1:H292,$H292,$I$1:I292,$I292,$J$1:J292,$J292,$K$1:K292,K292,$L$1:L292,L292))=1,"00"&amp;COUNTIFS($H$1:H292,$H292,$I$1:I292,$I292,$J$1:J292,$J292,$K$1:K292,K292,$L$1:L292,L292),IF(LEN(COUNTIFS($H$1:H292,$H292,$I$1:I292,$I292,$J$1:J292,$J292,$K$1:K292,K292,$L$1:L292,L292))=2,"0"&amp;COUNTIFS($H$1:H292,$H292,$I$1:I292,$I292,$J$1:J292,$J292,$K$1:K292,K292,$L$1:L292,L292),COUNTIFS($H$1:H292,$H292,$I$1:I292,$I292,$J$1:J292,$J292,$K$1:K292,K292,$L$1:L292,L292)))</f>
        <v>041</v>
      </c>
      <c r="N29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92" s="14" t="e">
        <f>+LEN(Table4[[#This Row],[New Item Code]])</f>
        <v>#N/A</v>
      </c>
      <c r="P292" s="15" t="s">
        <v>4747</v>
      </c>
      <c r="Q292" s="15" t="s">
        <v>4749</v>
      </c>
      <c r="R292" s="15"/>
      <c r="S292" s="15"/>
      <c r="T292" s="15" t="s">
        <v>4672</v>
      </c>
    </row>
    <row r="293" spans="1:20" x14ac:dyDescent="0.35">
      <c r="A293" s="3" t="s">
        <v>591</v>
      </c>
      <c r="B293" s="3" t="s">
        <v>592</v>
      </c>
      <c r="C293" s="3" t="s">
        <v>56</v>
      </c>
      <c r="D293" s="3">
        <v>0</v>
      </c>
      <c r="E293" s="3" t="s">
        <v>57</v>
      </c>
      <c r="F293" s="3">
        <v>0</v>
      </c>
      <c r="G293" s="21">
        <f>Table4[[#This Row],[Item Cost]]*Table4[[#This Row],[In Stock]]</f>
        <v>0</v>
      </c>
      <c r="H293" s="12" t="s">
        <v>4661</v>
      </c>
      <c r="I293" s="13" t="s">
        <v>4668</v>
      </c>
      <c r="J293" s="13" t="s">
        <v>4672</v>
      </c>
      <c r="K293" s="13" t="s">
        <v>4672</v>
      </c>
      <c r="L293" s="12" t="s">
        <v>4672</v>
      </c>
      <c r="M293" s="17" t="str">
        <f>IF(LEN(COUNTIFS($H$1:H293,$H293,$I$1:I293,$I293,$J$1:J293,$J293,$K$1:K293,K293,$L$1:L293,L293))=1,"00"&amp;COUNTIFS($H$1:H293,$H293,$I$1:I293,$I293,$J$1:J293,$J293,$K$1:K293,K293,$L$1:L293,L293),IF(LEN(COUNTIFS($H$1:H293,$H293,$I$1:I293,$I293,$J$1:J293,$J293,$K$1:K293,K293,$L$1:L293,L293))=2,"0"&amp;COUNTIFS($H$1:H293,$H293,$I$1:I293,$I293,$J$1:J293,$J293,$K$1:K293,K293,$L$1:L293,L293),COUNTIFS($H$1:H293,$H293,$I$1:I293,$I293,$J$1:J293,$J293,$K$1:K293,K293,$L$1:L293,L293)))</f>
        <v>042</v>
      </c>
      <c r="N29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93" s="14" t="e">
        <f>+LEN(Table4[[#This Row],[New Item Code]])</f>
        <v>#N/A</v>
      </c>
      <c r="P293" s="15" t="s">
        <v>4747</v>
      </c>
      <c r="Q293" s="15" t="s">
        <v>4749</v>
      </c>
      <c r="R293" s="15"/>
      <c r="S293" s="15"/>
      <c r="T293" s="15" t="s">
        <v>4672</v>
      </c>
    </row>
    <row r="294" spans="1:20" x14ac:dyDescent="0.35">
      <c r="A294" s="2" t="s">
        <v>593</v>
      </c>
      <c r="B294" s="2" t="s">
        <v>594</v>
      </c>
      <c r="C294" s="2" t="s">
        <v>56</v>
      </c>
      <c r="D294" s="2">
        <v>0</v>
      </c>
      <c r="E294" s="2" t="s">
        <v>57</v>
      </c>
      <c r="F294" s="2">
        <v>0</v>
      </c>
      <c r="G294" s="22">
        <f>Table4[[#This Row],[Item Cost]]*Table4[[#This Row],[In Stock]]</f>
        <v>0</v>
      </c>
      <c r="H294" s="12" t="s">
        <v>4661</v>
      </c>
      <c r="I294" s="13" t="s">
        <v>4668</v>
      </c>
      <c r="J294" s="13" t="s">
        <v>4672</v>
      </c>
      <c r="K294" s="13" t="s">
        <v>4672</v>
      </c>
      <c r="L294" s="12" t="s">
        <v>4672</v>
      </c>
      <c r="M294" s="17" t="str">
        <f>IF(LEN(COUNTIFS($H$1:H294,$H294,$I$1:I294,$I294,$J$1:J294,$J294,$K$1:K294,K294,$L$1:L294,L294))=1,"00"&amp;COUNTIFS($H$1:H294,$H294,$I$1:I294,$I294,$J$1:J294,$J294,$K$1:K294,K294,$L$1:L294,L294),IF(LEN(COUNTIFS($H$1:H294,$H294,$I$1:I294,$I294,$J$1:J294,$J294,$K$1:K294,K294,$L$1:L294,L294))=2,"0"&amp;COUNTIFS($H$1:H294,$H294,$I$1:I294,$I294,$J$1:J294,$J294,$K$1:K294,K294,$L$1:L294,L294),COUNTIFS($H$1:H294,$H294,$I$1:I294,$I294,$J$1:J294,$J294,$K$1:K294,K294,$L$1:L294,L294)))</f>
        <v>043</v>
      </c>
      <c r="N29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94" s="14" t="e">
        <f>+LEN(Table4[[#This Row],[New Item Code]])</f>
        <v>#N/A</v>
      </c>
      <c r="P294" s="15" t="s">
        <v>4747</v>
      </c>
      <c r="Q294" s="15" t="s">
        <v>4749</v>
      </c>
      <c r="R294" s="15"/>
      <c r="S294" s="15"/>
      <c r="T294" s="15" t="s">
        <v>4672</v>
      </c>
    </row>
    <row r="295" spans="1:20" x14ac:dyDescent="0.35">
      <c r="A295" s="3" t="s">
        <v>595</v>
      </c>
      <c r="B295" s="3" t="s">
        <v>596</v>
      </c>
      <c r="C295" s="3" t="s">
        <v>56</v>
      </c>
      <c r="D295" s="3">
        <v>0</v>
      </c>
      <c r="E295" s="3" t="s">
        <v>57</v>
      </c>
      <c r="F295" s="3">
        <v>0</v>
      </c>
      <c r="G295" s="21">
        <f>Table4[[#This Row],[Item Cost]]*Table4[[#This Row],[In Stock]]</f>
        <v>0</v>
      </c>
      <c r="H295" s="12" t="s">
        <v>4661</v>
      </c>
      <c r="I295" s="13" t="s">
        <v>4668</v>
      </c>
      <c r="J295" s="13" t="s">
        <v>4672</v>
      </c>
      <c r="K295" s="13" t="s">
        <v>4672</v>
      </c>
      <c r="L295" s="12" t="s">
        <v>4672</v>
      </c>
      <c r="M295" s="17" t="str">
        <f>IF(LEN(COUNTIFS($H$1:H295,$H295,$I$1:I295,$I295,$J$1:J295,$J295,$K$1:K295,K295,$L$1:L295,L295))=1,"00"&amp;COUNTIFS($H$1:H295,$H295,$I$1:I295,$I295,$J$1:J295,$J295,$K$1:K295,K295,$L$1:L295,L295),IF(LEN(COUNTIFS($H$1:H295,$H295,$I$1:I295,$I295,$J$1:J295,$J295,$K$1:K295,K295,$L$1:L295,L295))=2,"0"&amp;COUNTIFS($H$1:H295,$H295,$I$1:I295,$I295,$J$1:J295,$J295,$K$1:K295,K295,$L$1:L295,L295),COUNTIFS($H$1:H295,$H295,$I$1:I295,$I295,$J$1:J295,$J295,$K$1:K295,K295,$L$1:L295,L295)))</f>
        <v>044</v>
      </c>
      <c r="N29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95" s="14" t="e">
        <f>+LEN(Table4[[#This Row],[New Item Code]])</f>
        <v>#N/A</v>
      </c>
      <c r="P295" s="15" t="s">
        <v>4747</v>
      </c>
      <c r="Q295" s="15" t="s">
        <v>4749</v>
      </c>
      <c r="R295" s="15"/>
      <c r="S295" s="15"/>
      <c r="T295" s="15" t="s">
        <v>4672</v>
      </c>
    </row>
    <row r="296" spans="1:20" x14ac:dyDescent="0.35">
      <c r="A296" s="2" t="s">
        <v>597</v>
      </c>
      <c r="B296" s="2" t="s">
        <v>598</v>
      </c>
      <c r="C296" s="2" t="s">
        <v>56</v>
      </c>
      <c r="D296" s="2">
        <v>0</v>
      </c>
      <c r="E296" s="2" t="s">
        <v>57</v>
      </c>
      <c r="F296" s="2">
        <v>0</v>
      </c>
      <c r="G296" s="22">
        <f>Table4[[#This Row],[Item Cost]]*Table4[[#This Row],[In Stock]]</f>
        <v>0</v>
      </c>
      <c r="H296" s="12" t="s">
        <v>4661</v>
      </c>
      <c r="I296" s="13" t="s">
        <v>4668</v>
      </c>
      <c r="J296" s="13" t="s">
        <v>4672</v>
      </c>
      <c r="K296" s="13" t="s">
        <v>4672</v>
      </c>
      <c r="L296" s="12" t="s">
        <v>4672</v>
      </c>
      <c r="M296" s="17" t="str">
        <f>IF(LEN(COUNTIFS($H$1:H296,$H296,$I$1:I296,$I296,$J$1:J296,$J296,$K$1:K296,K296,$L$1:L296,L296))=1,"00"&amp;COUNTIFS($H$1:H296,$H296,$I$1:I296,$I296,$J$1:J296,$J296,$K$1:K296,K296,$L$1:L296,L296),IF(LEN(COUNTIFS($H$1:H296,$H296,$I$1:I296,$I296,$J$1:J296,$J296,$K$1:K296,K296,$L$1:L296,L296))=2,"0"&amp;COUNTIFS($H$1:H296,$H296,$I$1:I296,$I296,$J$1:J296,$J296,$K$1:K296,K296,$L$1:L296,L296),COUNTIFS($H$1:H296,$H296,$I$1:I296,$I296,$J$1:J296,$J296,$K$1:K296,K296,$L$1:L296,L296)))</f>
        <v>045</v>
      </c>
      <c r="N29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96" s="14" t="e">
        <f>+LEN(Table4[[#This Row],[New Item Code]])</f>
        <v>#N/A</v>
      </c>
      <c r="P296" s="15" t="s">
        <v>4747</v>
      </c>
      <c r="Q296" s="15" t="s">
        <v>4749</v>
      </c>
      <c r="R296" s="15"/>
      <c r="S296" s="15"/>
      <c r="T296" s="15" t="s">
        <v>4672</v>
      </c>
    </row>
    <row r="297" spans="1:20" x14ac:dyDescent="0.35">
      <c r="A297" s="3" t="s">
        <v>599</v>
      </c>
      <c r="B297" s="3" t="s">
        <v>600</v>
      </c>
      <c r="C297" s="3" t="s">
        <v>56</v>
      </c>
      <c r="D297" s="3">
        <v>0</v>
      </c>
      <c r="E297" s="3" t="s">
        <v>57</v>
      </c>
      <c r="F297" s="3">
        <v>0</v>
      </c>
      <c r="G297" s="21">
        <f>Table4[[#This Row],[Item Cost]]*Table4[[#This Row],[In Stock]]</f>
        <v>0</v>
      </c>
      <c r="H297" s="12" t="s">
        <v>4661</v>
      </c>
      <c r="I297" s="13" t="s">
        <v>4668</v>
      </c>
      <c r="J297" s="13" t="s">
        <v>4672</v>
      </c>
      <c r="K297" t="s">
        <v>4800</v>
      </c>
      <c r="L297" s="12" t="s">
        <v>4672</v>
      </c>
      <c r="M297" s="17" t="str">
        <f>IF(LEN(COUNTIFS($H$1:H297,$H297,$I$1:I297,$I297,$J$1:J297,$J297,$K$1:K297,K297,$L$1:L297,L297))=1,"00"&amp;COUNTIFS($H$1:H297,$H297,$I$1:I297,$I297,$J$1:J297,$J297,$K$1:K297,K297,$L$1:L297,L297),IF(LEN(COUNTIFS($H$1:H297,$H297,$I$1:I297,$I297,$J$1:J297,$J297,$K$1:K297,K297,$L$1:L297,L297))=2,"0"&amp;COUNTIFS($H$1:H297,$H297,$I$1:I297,$I297,$J$1:J297,$J297,$K$1:K297,K297,$L$1:L297,L297),COUNTIFS($H$1:H297,$H297,$I$1:I297,$I297,$J$1:J297,$J297,$K$1:K297,K297,$L$1:L297,L297)))</f>
        <v>014</v>
      </c>
      <c r="N29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97" s="14" t="e">
        <f>+LEN(Table4[[#This Row],[New Item Code]])</f>
        <v>#N/A</v>
      </c>
      <c r="P297" s="15" t="s">
        <v>4747</v>
      </c>
      <c r="Q297" s="15" t="s">
        <v>4749</v>
      </c>
      <c r="R297" s="15"/>
      <c r="S297" s="15"/>
      <c r="T297" s="15" t="s">
        <v>4672</v>
      </c>
    </row>
    <row r="298" spans="1:20" x14ac:dyDescent="0.35">
      <c r="A298" s="2" t="s">
        <v>601</v>
      </c>
      <c r="B298" s="2" t="s">
        <v>602</v>
      </c>
      <c r="C298" s="2" t="s">
        <v>56</v>
      </c>
      <c r="D298" s="2">
        <v>0</v>
      </c>
      <c r="E298" s="2" t="s">
        <v>57</v>
      </c>
      <c r="F298" s="2">
        <v>0</v>
      </c>
      <c r="G298" s="22">
        <f>Table4[[#This Row],[Item Cost]]*Table4[[#This Row],[In Stock]]</f>
        <v>0</v>
      </c>
      <c r="H298" s="12" t="s">
        <v>4661</v>
      </c>
      <c r="I298" s="13" t="s">
        <v>4668</v>
      </c>
      <c r="J298" s="13" t="s">
        <v>4672</v>
      </c>
      <c r="K298" s="13" t="s">
        <v>4672</v>
      </c>
      <c r="L298" s="12" t="s">
        <v>4672</v>
      </c>
      <c r="M298" s="17" t="str">
        <f>IF(LEN(COUNTIFS($H$1:H298,$H298,$I$1:I298,$I298,$J$1:J298,$J298,$K$1:K298,K298,$L$1:L298,L298))=1,"00"&amp;COUNTIFS($H$1:H298,$H298,$I$1:I298,$I298,$J$1:J298,$J298,$K$1:K298,K298,$L$1:L298,L298),IF(LEN(COUNTIFS($H$1:H298,$H298,$I$1:I298,$I298,$J$1:J298,$J298,$K$1:K298,K298,$L$1:L298,L298))=2,"0"&amp;COUNTIFS($H$1:H298,$H298,$I$1:I298,$I298,$J$1:J298,$J298,$K$1:K298,K298,$L$1:L298,L298),COUNTIFS($H$1:H298,$H298,$I$1:I298,$I298,$J$1:J298,$J298,$K$1:K298,K298,$L$1:L298,L298)))</f>
        <v>046</v>
      </c>
      <c r="N29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98" s="14" t="e">
        <f>+LEN(Table4[[#This Row],[New Item Code]])</f>
        <v>#N/A</v>
      </c>
      <c r="P298" s="15" t="s">
        <v>4747</v>
      </c>
      <c r="Q298" s="15" t="s">
        <v>4749</v>
      </c>
      <c r="R298" s="15"/>
      <c r="S298" s="15"/>
      <c r="T298" s="15" t="s">
        <v>4672</v>
      </c>
    </row>
    <row r="299" spans="1:20" x14ac:dyDescent="0.35">
      <c r="A299" s="3" t="s">
        <v>603</v>
      </c>
      <c r="B299" s="3" t="s">
        <v>604</v>
      </c>
      <c r="C299" s="3" t="s">
        <v>56</v>
      </c>
      <c r="D299" s="3">
        <v>2.4</v>
      </c>
      <c r="E299" s="3" t="s">
        <v>57</v>
      </c>
      <c r="F299" s="3">
        <v>100</v>
      </c>
      <c r="G299" s="21">
        <f>Table4[[#This Row],[Item Cost]]*Table4[[#This Row],[In Stock]]</f>
        <v>240</v>
      </c>
      <c r="H299" s="12" t="s">
        <v>4661</v>
      </c>
      <c r="I299" s="13" t="s">
        <v>4668</v>
      </c>
      <c r="J299" s="13" t="s">
        <v>4672</v>
      </c>
      <c r="K299" s="13" t="s">
        <v>4672</v>
      </c>
      <c r="L299" s="12" t="s">
        <v>4672</v>
      </c>
      <c r="M299" s="17" t="str">
        <f>IF(LEN(COUNTIFS($H$1:H299,$H299,$I$1:I299,$I299,$J$1:J299,$J299,$K$1:K299,K299,$L$1:L299,L299))=1,"00"&amp;COUNTIFS($H$1:H299,$H299,$I$1:I299,$I299,$J$1:J299,$J299,$K$1:K299,K299,$L$1:L299,L299),IF(LEN(COUNTIFS($H$1:H299,$H299,$I$1:I299,$I299,$J$1:J299,$J299,$K$1:K299,K299,$L$1:L299,L299))=2,"0"&amp;COUNTIFS($H$1:H299,$H299,$I$1:I299,$I299,$J$1:J299,$J299,$K$1:K299,K299,$L$1:L299,L299),COUNTIFS($H$1:H299,$H299,$I$1:I299,$I299,$J$1:J299,$J299,$K$1:K299,K299,$L$1:L299,L299)))</f>
        <v>047</v>
      </c>
      <c r="N29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99" s="14" t="e">
        <f>+LEN(Table4[[#This Row],[New Item Code]])</f>
        <v>#N/A</v>
      </c>
      <c r="P299" s="15" t="s">
        <v>4747</v>
      </c>
      <c r="Q299" s="15" t="s">
        <v>4749</v>
      </c>
      <c r="R299" s="15"/>
      <c r="S299" s="15"/>
      <c r="T299" s="15" t="s">
        <v>4672</v>
      </c>
    </row>
    <row r="300" spans="1:20" x14ac:dyDescent="0.35">
      <c r="A300" s="2" t="s">
        <v>605</v>
      </c>
      <c r="B300" s="2" t="s">
        <v>606</v>
      </c>
      <c r="C300" s="2" t="s">
        <v>15</v>
      </c>
      <c r="D300" s="2">
        <v>49</v>
      </c>
      <c r="E300" s="2" t="s">
        <v>57</v>
      </c>
      <c r="F300" s="2">
        <v>7</v>
      </c>
      <c r="G300" s="22">
        <f>Table4[[#This Row],[Item Cost]]*Table4[[#This Row],[In Stock]]</f>
        <v>343</v>
      </c>
      <c r="H300" s="12" t="s">
        <v>4661</v>
      </c>
      <c r="I300" s="13" t="s">
        <v>4666</v>
      </c>
      <c r="J300" s="13" t="s">
        <v>4672</v>
      </c>
      <c r="K300" s="13" t="s">
        <v>4672</v>
      </c>
      <c r="L300" s="12" t="s">
        <v>4672</v>
      </c>
      <c r="M300" s="17" t="str">
        <f>IF(LEN(COUNTIFS($H$1:H300,$H300,$I$1:I300,$I300,$J$1:J300,$J300,$K$1:K300,K300,$L$1:L300,L300))=1,"00"&amp;COUNTIFS($H$1:H300,$H300,$I$1:I300,$I300,$J$1:J300,$J300,$K$1:K300,K300,$L$1:L300,L300),IF(LEN(COUNTIFS($H$1:H300,$H300,$I$1:I300,$I300,$J$1:J300,$J300,$K$1:K300,K300,$L$1:L300,L300))=2,"0"&amp;COUNTIFS($H$1:H300,$H300,$I$1:I300,$I300,$J$1:J300,$J300,$K$1:K300,K300,$L$1:L300,L300),COUNTIFS($H$1:H300,$H300,$I$1:I300,$I300,$J$1:J300,$J300,$K$1:K300,K300,$L$1:L300,L300)))</f>
        <v>001</v>
      </c>
      <c r="N30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00" s="14" t="e">
        <f>+LEN(Table4[[#This Row],[New Item Code]])</f>
        <v>#N/A</v>
      </c>
      <c r="P300" s="15" t="s">
        <v>4747</v>
      </c>
      <c r="Q300" s="15" t="s">
        <v>4749</v>
      </c>
      <c r="R300" s="15"/>
      <c r="S300" s="15"/>
      <c r="T300" s="15" t="s">
        <v>4672</v>
      </c>
    </row>
    <row r="301" spans="1:20" x14ac:dyDescent="0.35">
      <c r="A301" s="3" t="s">
        <v>607</v>
      </c>
      <c r="B301" s="3" t="s">
        <v>608</v>
      </c>
      <c r="C301" s="3" t="s">
        <v>15</v>
      </c>
      <c r="D301" s="3">
        <v>0</v>
      </c>
      <c r="E301" s="3" t="s">
        <v>57</v>
      </c>
      <c r="F301" s="3">
        <v>0</v>
      </c>
      <c r="G301" s="21">
        <f>Table4[[#This Row],[Item Cost]]*Table4[[#This Row],[In Stock]]</f>
        <v>0</v>
      </c>
      <c r="H301" s="12" t="s">
        <v>4661</v>
      </c>
      <c r="I301" s="13" t="s">
        <v>4666</v>
      </c>
      <c r="J301" s="13" t="s">
        <v>4672</v>
      </c>
      <c r="K301" s="13" t="s">
        <v>4672</v>
      </c>
      <c r="L301" s="12" t="s">
        <v>4672</v>
      </c>
      <c r="M301" s="17" t="str">
        <f>IF(LEN(COUNTIFS($H$1:H301,$H301,$I$1:I301,$I301,$J$1:J301,$J301,$K$1:K301,K301,$L$1:L301,L301))=1,"00"&amp;COUNTIFS($H$1:H301,$H301,$I$1:I301,$I301,$J$1:J301,$J301,$K$1:K301,K301,$L$1:L301,L301),IF(LEN(COUNTIFS($H$1:H301,$H301,$I$1:I301,$I301,$J$1:J301,$J301,$K$1:K301,K301,$L$1:L301,L301))=2,"0"&amp;COUNTIFS($H$1:H301,$H301,$I$1:I301,$I301,$J$1:J301,$J301,$K$1:K301,K301,$L$1:L301,L301),COUNTIFS($H$1:H301,$H301,$I$1:I301,$I301,$J$1:J301,$J301,$K$1:K301,K301,$L$1:L301,L301)))</f>
        <v>002</v>
      </c>
      <c r="N30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01" s="14" t="e">
        <f>+LEN(Table4[[#This Row],[New Item Code]])</f>
        <v>#N/A</v>
      </c>
      <c r="P301" s="15" t="s">
        <v>4747</v>
      </c>
      <c r="Q301" s="15" t="s">
        <v>4749</v>
      </c>
      <c r="R301" s="15"/>
      <c r="S301" s="15"/>
      <c r="T301" s="15" t="s">
        <v>4672</v>
      </c>
    </row>
    <row r="302" spans="1:20" x14ac:dyDescent="0.35">
      <c r="A302" s="2" t="s">
        <v>609</v>
      </c>
      <c r="B302" s="2" t="s">
        <v>610</v>
      </c>
      <c r="C302" s="2" t="s">
        <v>15</v>
      </c>
      <c r="D302" s="2">
        <v>55</v>
      </c>
      <c r="E302" s="2" t="s">
        <v>57</v>
      </c>
      <c r="F302" s="2">
        <v>0</v>
      </c>
      <c r="G302" s="22">
        <f>Table4[[#This Row],[Item Cost]]*Table4[[#This Row],[In Stock]]</f>
        <v>0</v>
      </c>
      <c r="H302" s="12" t="s">
        <v>4661</v>
      </c>
      <c r="I302" s="13" t="s">
        <v>4666</v>
      </c>
      <c r="J302" s="13" t="s">
        <v>4672</v>
      </c>
      <c r="K302" s="13" t="s">
        <v>4672</v>
      </c>
      <c r="L302" s="12" t="s">
        <v>4672</v>
      </c>
      <c r="M302" s="17" t="str">
        <f>IF(LEN(COUNTIFS($H$1:H302,$H302,$I$1:I302,$I302,$J$1:J302,$J302,$K$1:K302,K302,$L$1:L302,L302))=1,"00"&amp;COUNTIFS($H$1:H302,$H302,$I$1:I302,$I302,$J$1:J302,$J302,$K$1:K302,K302,$L$1:L302,L302),IF(LEN(COUNTIFS($H$1:H302,$H302,$I$1:I302,$I302,$J$1:J302,$J302,$K$1:K302,K302,$L$1:L302,L302))=2,"0"&amp;COUNTIFS($H$1:H302,$H302,$I$1:I302,$I302,$J$1:J302,$J302,$K$1:K302,K302,$L$1:L302,L302),COUNTIFS($H$1:H302,$H302,$I$1:I302,$I302,$J$1:J302,$J302,$K$1:K302,K302,$L$1:L302,L302)))</f>
        <v>003</v>
      </c>
      <c r="N30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02" s="14" t="e">
        <f>+LEN(Table4[[#This Row],[New Item Code]])</f>
        <v>#N/A</v>
      </c>
      <c r="P302" s="15" t="s">
        <v>4747</v>
      </c>
      <c r="Q302" s="15" t="s">
        <v>4749</v>
      </c>
      <c r="R302" s="15"/>
      <c r="S302" s="15"/>
      <c r="T302" s="15" t="s">
        <v>4672</v>
      </c>
    </row>
    <row r="303" spans="1:20" x14ac:dyDescent="0.35">
      <c r="A303" s="3" t="s">
        <v>611</v>
      </c>
      <c r="B303" s="3" t="s">
        <v>612</v>
      </c>
      <c r="C303" s="3" t="s">
        <v>15</v>
      </c>
      <c r="D303" s="3">
        <v>0</v>
      </c>
      <c r="E303" s="3" t="s">
        <v>57</v>
      </c>
      <c r="F303" s="3">
        <v>0</v>
      </c>
      <c r="G303" s="21">
        <f>Table4[[#This Row],[Item Cost]]*Table4[[#This Row],[In Stock]]</f>
        <v>0</v>
      </c>
      <c r="H303" s="12" t="s">
        <v>4661</v>
      </c>
      <c r="I303" s="13" t="s">
        <v>4666</v>
      </c>
      <c r="J303" s="13" t="s">
        <v>4672</v>
      </c>
      <c r="K303" s="13" t="s">
        <v>4672</v>
      </c>
      <c r="L303" s="12" t="s">
        <v>4672</v>
      </c>
      <c r="M303" s="17" t="str">
        <f>IF(LEN(COUNTIFS($H$1:H303,$H303,$I$1:I303,$I303,$J$1:J303,$J303,$K$1:K303,K303,$L$1:L303,L303))=1,"00"&amp;COUNTIFS($H$1:H303,$H303,$I$1:I303,$I303,$J$1:J303,$J303,$K$1:K303,K303,$L$1:L303,L303),IF(LEN(COUNTIFS($H$1:H303,$H303,$I$1:I303,$I303,$J$1:J303,$J303,$K$1:K303,K303,$L$1:L303,L303))=2,"0"&amp;COUNTIFS($H$1:H303,$H303,$I$1:I303,$I303,$J$1:J303,$J303,$K$1:K303,K303,$L$1:L303,L303),COUNTIFS($H$1:H303,$H303,$I$1:I303,$I303,$J$1:J303,$J303,$K$1:K303,K303,$L$1:L303,L303)))</f>
        <v>004</v>
      </c>
      <c r="N30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03" s="14" t="e">
        <f>+LEN(Table4[[#This Row],[New Item Code]])</f>
        <v>#N/A</v>
      </c>
      <c r="P303" s="15" t="s">
        <v>4747</v>
      </c>
      <c r="Q303" s="15" t="s">
        <v>4749</v>
      </c>
      <c r="R303" s="15"/>
      <c r="S303" s="15"/>
      <c r="T303" s="15" t="s">
        <v>4672</v>
      </c>
    </row>
    <row r="304" spans="1:20" x14ac:dyDescent="0.35">
      <c r="A304" s="2" t="s">
        <v>613</v>
      </c>
      <c r="B304" s="2" t="s">
        <v>614</v>
      </c>
      <c r="C304" s="2" t="s">
        <v>15</v>
      </c>
      <c r="D304" s="2">
        <v>0</v>
      </c>
      <c r="E304" s="2" t="s">
        <v>57</v>
      </c>
      <c r="F304" s="2">
        <v>0</v>
      </c>
      <c r="G304" s="22">
        <f>Table4[[#This Row],[Item Cost]]*Table4[[#This Row],[In Stock]]</f>
        <v>0</v>
      </c>
      <c r="H304" s="12" t="s">
        <v>4661</v>
      </c>
      <c r="I304" s="13" t="s">
        <v>4666</v>
      </c>
      <c r="J304" s="13" t="s">
        <v>4672</v>
      </c>
      <c r="K304" s="13" t="s">
        <v>4672</v>
      </c>
      <c r="L304" s="12" t="s">
        <v>4672</v>
      </c>
      <c r="M304" s="17" t="str">
        <f>IF(LEN(COUNTIFS($H$1:H304,$H304,$I$1:I304,$I304,$J$1:J304,$J304,$K$1:K304,K304,$L$1:L304,L304))=1,"00"&amp;COUNTIFS($H$1:H304,$H304,$I$1:I304,$I304,$J$1:J304,$J304,$K$1:K304,K304,$L$1:L304,L304),IF(LEN(COUNTIFS($H$1:H304,$H304,$I$1:I304,$I304,$J$1:J304,$J304,$K$1:K304,K304,$L$1:L304,L304))=2,"0"&amp;COUNTIFS($H$1:H304,$H304,$I$1:I304,$I304,$J$1:J304,$J304,$K$1:K304,K304,$L$1:L304,L304),COUNTIFS($H$1:H304,$H304,$I$1:I304,$I304,$J$1:J304,$J304,$K$1:K304,K304,$L$1:L304,L304)))</f>
        <v>005</v>
      </c>
      <c r="N30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04" s="14" t="e">
        <f>+LEN(Table4[[#This Row],[New Item Code]])</f>
        <v>#N/A</v>
      </c>
      <c r="P304" s="15" t="s">
        <v>4747</v>
      </c>
      <c r="Q304" s="15" t="s">
        <v>4749</v>
      </c>
      <c r="R304" s="15"/>
      <c r="S304" s="15"/>
      <c r="T304" s="15" t="s">
        <v>4672</v>
      </c>
    </row>
    <row r="305" spans="1:20" x14ac:dyDescent="0.35">
      <c r="A305" s="3" t="s">
        <v>615</v>
      </c>
      <c r="B305" s="3" t="s">
        <v>616</v>
      </c>
      <c r="C305" s="3" t="s">
        <v>56</v>
      </c>
      <c r="D305" s="3">
        <v>0</v>
      </c>
      <c r="E305" s="3" t="s">
        <v>57</v>
      </c>
      <c r="F305" s="3">
        <v>0</v>
      </c>
      <c r="G305" s="21">
        <f>Table4[[#This Row],[Item Cost]]*Table4[[#This Row],[In Stock]]</f>
        <v>0</v>
      </c>
      <c r="H305" s="12" t="s">
        <v>4661</v>
      </c>
      <c r="I305" s="13" t="s">
        <v>4668</v>
      </c>
      <c r="J305" s="13" t="s">
        <v>4672</v>
      </c>
      <c r="K305" s="13" t="s">
        <v>4672</v>
      </c>
      <c r="L305" s="12" t="s">
        <v>4672</v>
      </c>
      <c r="M305" s="17" t="str">
        <f>IF(LEN(COUNTIFS($H$1:H305,$H305,$I$1:I305,$I305,$J$1:J305,$J305,$K$1:K305,K305,$L$1:L305,L305))=1,"00"&amp;COUNTIFS($H$1:H305,$H305,$I$1:I305,$I305,$J$1:J305,$J305,$K$1:K305,K305,$L$1:L305,L305),IF(LEN(COUNTIFS($H$1:H305,$H305,$I$1:I305,$I305,$J$1:J305,$J305,$K$1:K305,K305,$L$1:L305,L305))=2,"0"&amp;COUNTIFS($H$1:H305,$H305,$I$1:I305,$I305,$J$1:J305,$J305,$K$1:K305,K305,$L$1:L305,L305),COUNTIFS($H$1:H305,$H305,$I$1:I305,$I305,$J$1:J305,$J305,$K$1:K305,K305,$L$1:L305,L305)))</f>
        <v>048</v>
      </c>
      <c r="N30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05" s="14" t="e">
        <f>+LEN(Table4[[#This Row],[New Item Code]])</f>
        <v>#N/A</v>
      </c>
      <c r="P305" s="15" t="s">
        <v>4747</v>
      </c>
      <c r="Q305" s="15" t="s">
        <v>4749</v>
      </c>
      <c r="R305" s="15"/>
      <c r="S305" s="15"/>
      <c r="T305" s="15" t="s">
        <v>4672</v>
      </c>
    </row>
    <row r="306" spans="1:20" x14ac:dyDescent="0.35">
      <c r="A306" s="2" t="s">
        <v>617</v>
      </c>
      <c r="B306" s="2" t="s">
        <v>618</v>
      </c>
      <c r="C306" s="2" t="s">
        <v>56</v>
      </c>
      <c r="D306" s="2">
        <v>0</v>
      </c>
      <c r="E306" s="2" t="s">
        <v>57</v>
      </c>
      <c r="F306" s="2">
        <v>0</v>
      </c>
      <c r="G306" s="22">
        <f>Table4[[#This Row],[Item Cost]]*Table4[[#This Row],[In Stock]]</f>
        <v>0</v>
      </c>
      <c r="H306" s="12" t="s">
        <v>4661</v>
      </c>
      <c r="I306" s="13" t="s">
        <v>4668</v>
      </c>
      <c r="J306" s="13" t="s">
        <v>4672</v>
      </c>
      <c r="K306" s="13" t="s">
        <v>4672</v>
      </c>
      <c r="L306" s="12" t="s">
        <v>4672</v>
      </c>
      <c r="M306" s="17" t="str">
        <f>IF(LEN(COUNTIFS($H$1:H306,$H306,$I$1:I306,$I306,$J$1:J306,$J306,$K$1:K306,K306,$L$1:L306,L306))=1,"00"&amp;COUNTIFS($H$1:H306,$H306,$I$1:I306,$I306,$J$1:J306,$J306,$K$1:K306,K306,$L$1:L306,L306),IF(LEN(COUNTIFS($H$1:H306,$H306,$I$1:I306,$I306,$J$1:J306,$J306,$K$1:K306,K306,$L$1:L306,L306))=2,"0"&amp;COUNTIFS($H$1:H306,$H306,$I$1:I306,$I306,$J$1:J306,$J306,$K$1:K306,K306,$L$1:L306,L306),COUNTIFS($H$1:H306,$H306,$I$1:I306,$I306,$J$1:J306,$J306,$K$1:K306,K306,$L$1:L306,L306)))</f>
        <v>049</v>
      </c>
      <c r="N30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06" s="14" t="e">
        <f>+LEN(Table4[[#This Row],[New Item Code]])</f>
        <v>#N/A</v>
      </c>
      <c r="P306" s="15" t="s">
        <v>4747</v>
      </c>
      <c r="Q306" s="15" t="s">
        <v>4749</v>
      </c>
      <c r="R306" s="15"/>
      <c r="S306" s="15"/>
      <c r="T306" s="15" t="s">
        <v>4672</v>
      </c>
    </row>
    <row r="307" spans="1:20" x14ac:dyDescent="0.35">
      <c r="A307" s="3" t="s">
        <v>619</v>
      </c>
      <c r="B307" s="3" t="s">
        <v>620</v>
      </c>
      <c r="C307" s="3" t="s">
        <v>56</v>
      </c>
      <c r="D307" s="3">
        <v>0</v>
      </c>
      <c r="E307" s="3" t="s">
        <v>57</v>
      </c>
      <c r="F307" s="3">
        <v>0</v>
      </c>
      <c r="G307" s="21">
        <f>Table4[[#This Row],[Item Cost]]*Table4[[#This Row],[In Stock]]</f>
        <v>0</v>
      </c>
      <c r="H307" s="12" t="s">
        <v>4661</v>
      </c>
      <c r="I307" s="13" t="s">
        <v>4668</v>
      </c>
      <c r="J307" s="13" t="s">
        <v>4672</v>
      </c>
      <c r="K307" t="s">
        <v>4801</v>
      </c>
      <c r="L307" s="12" t="s">
        <v>4672</v>
      </c>
      <c r="M307" s="17" t="str">
        <f>IF(LEN(COUNTIFS($H$1:H307,$H307,$I$1:I307,$I307,$J$1:J307,$J307,$K$1:K307,K307,$L$1:L307,L307))=1,"00"&amp;COUNTIFS($H$1:H307,$H307,$I$1:I307,$I307,$J$1:J307,$J307,$K$1:K307,K307,$L$1:L307,L307),IF(LEN(COUNTIFS($H$1:H307,$H307,$I$1:I307,$I307,$J$1:J307,$J307,$K$1:K307,K307,$L$1:L307,L307))=2,"0"&amp;COUNTIFS($H$1:H307,$H307,$I$1:I307,$I307,$J$1:J307,$J307,$K$1:K307,K307,$L$1:L307,L307),COUNTIFS($H$1:H307,$H307,$I$1:I307,$I307,$J$1:J307,$J307,$K$1:K307,K307,$L$1:L307,L307)))</f>
        <v>006</v>
      </c>
      <c r="N30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07" s="14" t="e">
        <f>+LEN(Table4[[#This Row],[New Item Code]])</f>
        <v>#N/A</v>
      </c>
      <c r="P307" s="15" t="s">
        <v>4747</v>
      </c>
      <c r="Q307" s="15" t="s">
        <v>4749</v>
      </c>
      <c r="R307" s="15"/>
      <c r="S307" s="15"/>
      <c r="T307" s="15" t="s">
        <v>4672</v>
      </c>
    </row>
    <row r="308" spans="1:20" x14ac:dyDescent="0.35">
      <c r="A308" s="2" t="s">
        <v>621</v>
      </c>
      <c r="B308" s="2" t="s">
        <v>622</v>
      </c>
      <c r="C308" s="2" t="s">
        <v>56</v>
      </c>
      <c r="D308" s="2">
        <v>0</v>
      </c>
      <c r="E308" s="2" t="s">
        <v>57</v>
      </c>
      <c r="F308" s="2">
        <v>0</v>
      </c>
      <c r="G308" s="22">
        <f>Table4[[#This Row],[Item Cost]]*Table4[[#This Row],[In Stock]]</f>
        <v>0</v>
      </c>
      <c r="H308" s="12" t="s">
        <v>4661</v>
      </c>
      <c r="I308" s="13" t="s">
        <v>4668</v>
      </c>
      <c r="J308" s="13" t="s">
        <v>4672</v>
      </c>
      <c r="K308" t="s">
        <v>4801</v>
      </c>
      <c r="L308" s="12" t="s">
        <v>4672</v>
      </c>
      <c r="M308" s="17" t="str">
        <f>IF(LEN(COUNTIFS($H$1:H308,$H308,$I$1:I308,$I308,$J$1:J308,$J308,$K$1:K308,K308,$L$1:L308,L308))=1,"00"&amp;COUNTIFS($H$1:H308,$H308,$I$1:I308,$I308,$J$1:J308,$J308,$K$1:K308,K308,$L$1:L308,L308),IF(LEN(COUNTIFS($H$1:H308,$H308,$I$1:I308,$I308,$J$1:J308,$J308,$K$1:K308,K308,$L$1:L308,L308))=2,"0"&amp;COUNTIFS($H$1:H308,$H308,$I$1:I308,$I308,$J$1:J308,$J308,$K$1:K308,K308,$L$1:L308,L308),COUNTIFS($H$1:H308,$H308,$I$1:I308,$I308,$J$1:J308,$J308,$K$1:K308,K308,$L$1:L308,L308)))</f>
        <v>007</v>
      </c>
      <c r="N30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08" s="14" t="e">
        <f>+LEN(Table4[[#This Row],[New Item Code]])</f>
        <v>#N/A</v>
      </c>
      <c r="P308" s="15" t="s">
        <v>4747</v>
      </c>
      <c r="Q308" s="15" t="s">
        <v>4749</v>
      </c>
      <c r="R308" s="15"/>
      <c r="S308" s="15"/>
      <c r="T308" s="15" t="s">
        <v>4672</v>
      </c>
    </row>
    <row r="309" spans="1:20" x14ac:dyDescent="0.35">
      <c r="A309" s="3" t="s">
        <v>623</v>
      </c>
      <c r="B309" s="3" t="s">
        <v>624</v>
      </c>
      <c r="C309" s="3" t="s">
        <v>56</v>
      </c>
      <c r="D309" s="3">
        <v>0</v>
      </c>
      <c r="E309" s="3" t="s">
        <v>57</v>
      </c>
      <c r="F309" s="3">
        <v>0</v>
      </c>
      <c r="G309" s="21">
        <f>Table4[[#This Row],[Item Cost]]*Table4[[#This Row],[In Stock]]</f>
        <v>0</v>
      </c>
      <c r="H309" s="12" t="s">
        <v>4661</v>
      </c>
      <c r="I309" s="13" t="s">
        <v>4668</v>
      </c>
      <c r="J309" s="13" t="s">
        <v>4672</v>
      </c>
      <c r="K309" t="s">
        <v>4801</v>
      </c>
      <c r="L309" s="12" t="s">
        <v>4672</v>
      </c>
      <c r="M309" s="17" t="str">
        <f>IF(LEN(COUNTIFS($H$1:H309,$H309,$I$1:I309,$I309,$J$1:J309,$J309,$K$1:K309,K309,$L$1:L309,L309))=1,"00"&amp;COUNTIFS($H$1:H309,$H309,$I$1:I309,$I309,$J$1:J309,$J309,$K$1:K309,K309,$L$1:L309,L309),IF(LEN(COUNTIFS($H$1:H309,$H309,$I$1:I309,$I309,$J$1:J309,$J309,$K$1:K309,K309,$L$1:L309,L309))=2,"0"&amp;COUNTIFS($H$1:H309,$H309,$I$1:I309,$I309,$J$1:J309,$J309,$K$1:K309,K309,$L$1:L309,L309),COUNTIFS($H$1:H309,$H309,$I$1:I309,$I309,$J$1:J309,$J309,$K$1:K309,K309,$L$1:L309,L309)))</f>
        <v>008</v>
      </c>
      <c r="N30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09" s="14" t="e">
        <f>+LEN(Table4[[#This Row],[New Item Code]])</f>
        <v>#N/A</v>
      </c>
      <c r="P309" s="15" t="s">
        <v>4747</v>
      </c>
      <c r="Q309" s="15" t="s">
        <v>4749</v>
      </c>
      <c r="R309" s="15"/>
      <c r="S309" s="15"/>
      <c r="T309" s="15" t="s">
        <v>4672</v>
      </c>
    </row>
    <row r="310" spans="1:20" x14ac:dyDescent="0.35">
      <c r="A310" s="2" t="s">
        <v>625</v>
      </c>
      <c r="B310" s="2" t="s">
        <v>626</v>
      </c>
      <c r="C310" s="2" t="s">
        <v>56</v>
      </c>
      <c r="D310" s="2">
        <v>0</v>
      </c>
      <c r="E310" s="2" t="s">
        <v>57</v>
      </c>
      <c r="F310" s="2">
        <v>0</v>
      </c>
      <c r="G310" s="22">
        <f>Table4[[#This Row],[Item Cost]]*Table4[[#This Row],[In Stock]]</f>
        <v>0</v>
      </c>
      <c r="H310" s="12" t="s">
        <v>4661</v>
      </c>
      <c r="I310" s="13" t="s">
        <v>4668</v>
      </c>
      <c r="J310" s="13" t="s">
        <v>4672</v>
      </c>
      <c r="K310" t="s">
        <v>4801</v>
      </c>
      <c r="L310" s="12" t="s">
        <v>4672</v>
      </c>
      <c r="M310" s="17" t="str">
        <f>IF(LEN(COUNTIFS($H$1:H310,$H310,$I$1:I310,$I310,$J$1:J310,$J310,$K$1:K310,K310,$L$1:L310,L310))=1,"00"&amp;COUNTIFS($H$1:H310,$H310,$I$1:I310,$I310,$J$1:J310,$J310,$K$1:K310,K310,$L$1:L310,L310),IF(LEN(COUNTIFS($H$1:H310,$H310,$I$1:I310,$I310,$J$1:J310,$J310,$K$1:K310,K310,$L$1:L310,L310))=2,"0"&amp;COUNTIFS($H$1:H310,$H310,$I$1:I310,$I310,$J$1:J310,$J310,$K$1:K310,K310,$L$1:L310,L310),COUNTIFS($H$1:H310,$H310,$I$1:I310,$I310,$J$1:J310,$J310,$K$1:K310,K310,$L$1:L310,L310)))</f>
        <v>009</v>
      </c>
      <c r="N31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10" s="14" t="e">
        <f>+LEN(Table4[[#This Row],[New Item Code]])</f>
        <v>#N/A</v>
      </c>
      <c r="P310" s="15" t="s">
        <v>4747</v>
      </c>
      <c r="Q310" s="15" t="s">
        <v>4749</v>
      </c>
      <c r="R310" s="15"/>
      <c r="S310" s="15"/>
      <c r="T310" s="15" t="s">
        <v>4672</v>
      </c>
    </row>
    <row r="311" spans="1:20" x14ac:dyDescent="0.35">
      <c r="A311" s="3" t="s">
        <v>627</v>
      </c>
      <c r="B311" s="3" t="s">
        <v>628</v>
      </c>
      <c r="C311" s="3" t="s">
        <v>56</v>
      </c>
      <c r="D311" s="3">
        <v>0</v>
      </c>
      <c r="E311" s="3" t="s">
        <v>57</v>
      </c>
      <c r="F311" s="3">
        <v>0</v>
      </c>
      <c r="G311" s="21">
        <f>Table4[[#This Row],[Item Cost]]*Table4[[#This Row],[In Stock]]</f>
        <v>0</v>
      </c>
      <c r="H311" s="12" t="s">
        <v>4661</v>
      </c>
      <c r="I311" s="13" t="s">
        <v>4668</v>
      </c>
      <c r="J311" s="13" t="s">
        <v>4672</v>
      </c>
      <c r="K311" t="s">
        <v>4801</v>
      </c>
      <c r="L311" s="12" t="s">
        <v>4672</v>
      </c>
      <c r="M311" s="17" t="str">
        <f>IF(LEN(COUNTIFS($H$1:H311,$H311,$I$1:I311,$I311,$J$1:J311,$J311,$K$1:K311,K311,$L$1:L311,L311))=1,"00"&amp;COUNTIFS($H$1:H311,$H311,$I$1:I311,$I311,$J$1:J311,$J311,$K$1:K311,K311,$L$1:L311,L311),IF(LEN(COUNTIFS($H$1:H311,$H311,$I$1:I311,$I311,$J$1:J311,$J311,$K$1:K311,K311,$L$1:L311,L311))=2,"0"&amp;COUNTIFS($H$1:H311,$H311,$I$1:I311,$I311,$J$1:J311,$J311,$K$1:K311,K311,$L$1:L311,L311),COUNTIFS($H$1:H311,$H311,$I$1:I311,$I311,$J$1:J311,$J311,$K$1:K311,K311,$L$1:L311,L311)))</f>
        <v>010</v>
      </c>
      <c r="N31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11" s="14" t="e">
        <f>+LEN(Table4[[#This Row],[New Item Code]])</f>
        <v>#N/A</v>
      </c>
      <c r="P311" s="15" t="s">
        <v>4747</v>
      </c>
      <c r="Q311" s="15" t="s">
        <v>4749</v>
      </c>
      <c r="R311" s="15"/>
      <c r="S311" s="15"/>
      <c r="T311" s="15" t="s">
        <v>4672</v>
      </c>
    </row>
    <row r="312" spans="1:20" x14ac:dyDescent="0.35">
      <c r="A312" s="2" t="s">
        <v>629</v>
      </c>
      <c r="B312" s="2" t="s">
        <v>630</v>
      </c>
      <c r="C312" s="2" t="s">
        <v>56</v>
      </c>
      <c r="D312" s="2">
        <v>0</v>
      </c>
      <c r="E312" s="2" t="s">
        <v>57</v>
      </c>
      <c r="F312" s="2">
        <v>0</v>
      </c>
      <c r="G312" s="22">
        <f>Table4[[#This Row],[Item Cost]]*Table4[[#This Row],[In Stock]]</f>
        <v>0</v>
      </c>
      <c r="H312" s="12" t="s">
        <v>4661</v>
      </c>
      <c r="I312" s="13" t="s">
        <v>4668</v>
      </c>
      <c r="J312" s="13" t="s">
        <v>4672</v>
      </c>
      <c r="K312" t="s">
        <v>4801</v>
      </c>
      <c r="L312" s="12" t="s">
        <v>4672</v>
      </c>
      <c r="M312" s="17" t="str">
        <f>IF(LEN(COUNTIFS($H$1:H312,$H312,$I$1:I312,$I312,$J$1:J312,$J312,$K$1:K312,K312,$L$1:L312,L312))=1,"00"&amp;COUNTIFS($H$1:H312,$H312,$I$1:I312,$I312,$J$1:J312,$J312,$K$1:K312,K312,$L$1:L312,L312),IF(LEN(COUNTIFS($H$1:H312,$H312,$I$1:I312,$I312,$J$1:J312,$J312,$K$1:K312,K312,$L$1:L312,L312))=2,"0"&amp;COUNTIFS($H$1:H312,$H312,$I$1:I312,$I312,$J$1:J312,$J312,$K$1:K312,K312,$L$1:L312,L312),COUNTIFS($H$1:H312,$H312,$I$1:I312,$I312,$J$1:J312,$J312,$K$1:K312,K312,$L$1:L312,L312)))</f>
        <v>011</v>
      </c>
      <c r="N31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12" s="14" t="e">
        <f>+LEN(Table4[[#This Row],[New Item Code]])</f>
        <v>#N/A</v>
      </c>
      <c r="P312" s="15" t="s">
        <v>4747</v>
      </c>
      <c r="Q312" s="15" t="s">
        <v>4749</v>
      </c>
      <c r="R312" s="15"/>
      <c r="S312" s="15"/>
      <c r="T312" s="15" t="s">
        <v>4672</v>
      </c>
    </row>
    <row r="313" spans="1:20" x14ac:dyDescent="0.35">
      <c r="A313" s="3" t="s">
        <v>631</v>
      </c>
      <c r="B313" s="3" t="s">
        <v>632</v>
      </c>
      <c r="C313" s="3" t="s">
        <v>56</v>
      </c>
      <c r="D313" s="3">
        <v>0</v>
      </c>
      <c r="E313" s="3" t="s">
        <v>57</v>
      </c>
      <c r="F313" s="3">
        <v>0</v>
      </c>
      <c r="G313" s="21">
        <f>Table4[[#This Row],[Item Cost]]*Table4[[#This Row],[In Stock]]</f>
        <v>0</v>
      </c>
      <c r="H313" s="12" t="s">
        <v>4661</v>
      </c>
      <c r="I313" s="13" t="s">
        <v>4668</v>
      </c>
      <c r="J313" s="13" t="s">
        <v>4672</v>
      </c>
      <c r="K313" t="s">
        <v>4801</v>
      </c>
      <c r="L313" s="12" t="s">
        <v>4672</v>
      </c>
      <c r="M313" s="17" t="str">
        <f>IF(LEN(COUNTIFS($H$1:H313,$H313,$I$1:I313,$I313,$J$1:J313,$J313,$K$1:K313,K313,$L$1:L313,L313))=1,"00"&amp;COUNTIFS($H$1:H313,$H313,$I$1:I313,$I313,$J$1:J313,$J313,$K$1:K313,K313,$L$1:L313,L313),IF(LEN(COUNTIFS($H$1:H313,$H313,$I$1:I313,$I313,$J$1:J313,$J313,$K$1:K313,K313,$L$1:L313,L313))=2,"0"&amp;COUNTIFS($H$1:H313,$H313,$I$1:I313,$I313,$J$1:J313,$J313,$K$1:K313,K313,$L$1:L313,L313),COUNTIFS($H$1:H313,$H313,$I$1:I313,$I313,$J$1:J313,$J313,$K$1:K313,K313,$L$1:L313,L313)))</f>
        <v>012</v>
      </c>
      <c r="N31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13" s="14" t="e">
        <f>+LEN(Table4[[#This Row],[New Item Code]])</f>
        <v>#N/A</v>
      </c>
      <c r="P313" s="15" t="s">
        <v>4747</v>
      </c>
      <c r="Q313" s="15" t="s">
        <v>4749</v>
      </c>
      <c r="R313" s="15"/>
      <c r="S313" s="15"/>
      <c r="T313" s="15" t="s">
        <v>4672</v>
      </c>
    </row>
    <row r="314" spans="1:20" x14ac:dyDescent="0.35">
      <c r="A314" s="2" t="s">
        <v>633</v>
      </c>
      <c r="B314" s="2" t="s">
        <v>634</v>
      </c>
      <c r="C314" s="2" t="s">
        <v>56</v>
      </c>
      <c r="D314" s="2">
        <v>0</v>
      </c>
      <c r="E314" s="2" t="s">
        <v>57</v>
      </c>
      <c r="F314" s="2">
        <v>0</v>
      </c>
      <c r="G314" s="22">
        <f>Table4[[#This Row],[Item Cost]]*Table4[[#This Row],[In Stock]]</f>
        <v>0</v>
      </c>
      <c r="H314" s="12" t="s">
        <v>4661</v>
      </c>
      <c r="I314" s="13" t="s">
        <v>4668</v>
      </c>
      <c r="J314" s="13" t="s">
        <v>4672</v>
      </c>
      <c r="K314" t="s">
        <v>4801</v>
      </c>
      <c r="L314" s="12" t="s">
        <v>4672</v>
      </c>
      <c r="M314" s="17" t="str">
        <f>IF(LEN(COUNTIFS($H$1:H314,$H314,$I$1:I314,$I314,$J$1:J314,$J314,$K$1:K314,K314,$L$1:L314,L314))=1,"00"&amp;COUNTIFS($H$1:H314,$H314,$I$1:I314,$I314,$J$1:J314,$J314,$K$1:K314,K314,$L$1:L314,L314),IF(LEN(COUNTIFS($H$1:H314,$H314,$I$1:I314,$I314,$J$1:J314,$J314,$K$1:K314,K314,$L$1:L314,L314))=2,"0"&amp;COUNTIFS($H$1:H314,$H314,$I$1:I314,$I314,$J$1:J314,$J314,$K$1:K314,K314,$L$1:L314,L314),COUNTIFS($H$1:H314,$H314,$I$1:I314,$I314,$J$1:J314,$J314,$K$1:K314,K314,$L$1:L314,L314)))</f>
        <v>013</v>
      </c>
      <c r="N31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14" s="14" t="e">
        <f>+LEN(Table4[[#This Row],[New Item Code]])</f>
        <v>#N/A</v>
      </c>
      <c r="P314" s="15" t="s">
        <v>4747</v>
      </c>
      <c r="Q314" s="15" t="s">
        <v>4749</v>
      </c>
      <c r="R314" s="15"/>
      <c r="S314" s="15"/>
      <c r="T314" s="15" t="s">
        <v>4672</v>
      </c>
    </row>
    <row r="315" spans="1:20" x14ac:dyDescent="0.35">
      <c r="A315" s="3" t="s">
        <v>635</v>
      </c>
      <c r="B315" s="3" t="s">
        <v>636</v>
      </c>
      <c r="C315" s="3" t="s">
        <v>56</v>
      </c>
      <c r="D315" s="3">
        <v>0</v>
      </c>
      <c r="E315" s="3" t="s">
        <v>57</v>
      </c>
      <c r="F315" s="3">
        <v>0</v>
      </c>
      <c r="G315" s="21">
        <f>Table4[[#This Row],[Item Cost]]*Table4[[#This Row],[In Stock]]</f>
        <v>0</v>
      </c>
      <c r="H315" s="12" t="s">
        <v>4661</v>
      </c>
      <c r="I315" s="13" t="s">
        <v>4668</v>
      </c>
      <c r="J315" s="13" t="s">
        <v>4672</v>
      </c>
      <c r="K315" t="s">
        <v>4801</v>
      </c>
      <c r="L315" s="12" t="s">
        <v>4672</v>
      </c>
      <c r="M315" s="17" t="str">
        <f>IF(LEN(COUNTIFS($H$1:H315,$H315,$I$1:I315,$I315,$J$1:J315,$J315,$K$1:K315,K315,$L$1:L315,L315))=1,"00"&amp;COUNTIFS($H$1:H315,$H315,$I$1:I315,$I315,$J$1:J315,$J315,$K$1:K315,K315,$L$1:L315,L315),IF(LEN(COUNTIFS($H$1:H315,$H315,$I$1:I315,$I315,$J$1:J315,$J315,$K$1:K315,K315,$L$1:L315,L315))=2,"0"&amp;COUNTIFS($H$1:H315,$H315,$I$1:I315,$I315,$J$1:J315,$J315,$K$1:K315,K315,$L$1:L315,L315),COUNTIFS($H$1:H315,$H315,$I$1:I315,$I315,$J$1:J315,$J315,$K$1:K315,K315,$L$1:L315,L315)))</f>
        <v>014</v>
      </c>
      <c r="N31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15" s="14" t="e">
        <f>+LEN(Table4[[#This Row],[New Item Code]])</f>
        <v>#N/A</v>
      </c>
      <c r="P315" s="15" t="s">
        <v>4747</v>
      </c>
      <c r="Q315" s="15" t="s">
        <v>4749</v>
      </c>
      <c r="R315" s="15"/>
      <c r="S315" s="15"/>
      <c r="T315" s="15" t="s">
        <v>4672</v>
      </c>
    </row>
    <row r="316" spans="1:20" x14ac:dyDescent="0.35">
      <c r="A316" s="2" t="s">
        <v>637</v>
      </c>
      <c r="B316" s="2" t="s">
        <v>638</v>
      </c>
      <c r="C316" s="2" t="s">
        <v>56</v>
      </c>
      <c r="D316" s="2">
        <v>0</v>
      </c>
      <c r="E316" s="2" t="s">
        <v>57</v>
      </c>
      <c r="F316" s="2">
        <v>0</v>
      </c>
      <c r="G316" s="22">
        <f>Table4[[#This Row],[Item Cost]]*Table4[[#This Row],[In Stock]]</f>
        <v>0</v>
      </c>
      <c r="H316" s="12" t="s">
        <v>4661</v>
      </c>
      <c r="I316" s="13" t="s">
        <v>4668</v>
      </c>
      <c r="J316" s="13" t="s">
        <v>4672</v>
      </c>
      <c r="K316" t="s">
        <v>4801</v>
      </c>
      <c r="L316" s="12" t="s">
        <v>4672</v>
      </c>
      <c r="M316" s="17" t="str">
        <f>IF(LEN(COUNTIFS($H$1:H316,$H316,$I$1:I316,$I316,$J$1:J316,$J316,$K$1:K316,K316,$L$1:L316,L316))=1,"00"&amp;COUNTIFS($H$1:H316,$H316,$I$1:I316,$I316,$J$1:J316,$J316,$K$1:K316,K316,$L$1:L316,L316),IF(LEN(COUNTIFS($H$1:H316,$H316,$I$1:I316,$I316,$J$1:J316,$J316,$K$1:K316,K316,$L$1:L316,L316))=2,"0"&amp;COUNTIFS($H$1:H316,$H316,$I$1:I316,$I316,$J$1:J316,$J316,$K$1:K316,K316,$L$1:L316,L316),COUNTIFS($H$1:H316,$H316,$I$1:I316,$I316,$J$1:J316,$J316,$K$1:K316,K316,$L$1:L316,L316)))</f>
        <v>015</v>
      </c>
      <c r="N31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16" s="14" t="e">
        <f>+LEN(Table4[[#This Row],[New Item Code]])</f>
        <v>#N/A</v>
      </c>
      <c r="P316" s="15" t="s">
        <v>4747</v>
      </c>
      <c r="Q316" s="15" t="s">
        <v>4749</v>
      </c>
      <c r="R316" s="15"/>
      <c r="S316" s="15"/>
      <c r="T316" s="15" t="s">
        <v>4672</v>
      </c>
    </row>
    <row r="317" spans="1:20" x14ac:dyDescent="0.35">
      <c r="A317" s="3" t="s">
        <v>639</v>
      </c>
      <c r="B317" s="3" t="s">
        <v>640</v>
      </c>
      <c r="C317" s="3" t="s">
        <v>56</v>
      </c>
      <c r="D317" s="3">
        <v>0</v>
      </c>
      <c r="E317" s="3" t="s">
        <v>57</v>
      </c>
      <c r="F317" s="3">
        <v>0</v>
      </c>
      <c r="G317" s="21">
        <f>Table4[[#This Row],[Item Cost]]*Table4[[#This Row],[In Stock]]</f>
        <v>0</v>
      </c>
      <c r="H317" s="12" t="s">
        <v>4661</v>
      </c>
      <c r="I317" s="13" t="s">
        <v>4668</v>
      </c>
      <c r="J317" s="13" t="s">
        <v>4672</v>
      </c>
      <c r="K317" t="s">
        <v>4801</v>
      </c>
      <c r="L317" s="12" t="s">
        <v>4672</v>
      </c>
      <c r="M317" s="17" t="str">
        <f>IF(LEN(COUNTIFS($H$1:H317,$H317,$I$1:I317,$I317,$J$1:J317,$J317,$K$1:K317,K317,$L$1:L317,L317))=1,"00"&amp;COUNTIFS($H$1:H317,$H317,$I$1:I317,$I317,$J$1:J317,$J317,$K$1:K317,K317,$L$1:L317,L317),IF(LEN(COUNTIFS($H$1:H317,$H317,$I$1:I317,$I317,$J$1:J317,$J317,$K$1:K317,K317,$L$1:L317,L317))=2,"0"&amp;COUNTIFS($H$1:H317,$H317,$I$1:I317,$I317,$J$1:J317,$J317,$K$1:K317,K317,$L$1:L317,L317),COUNTIFS($H$1:H317,$H317,$I$1:I317,$I317,$J$1:J317,$J317,$K$1:K317,K317,$L$1:L317,L317)))</f>
        <v>016</v>
      </c>
      <c r="N31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17" s="14" t="e">
        <f>+LEN(Table4[[#This Row],[New Item Code]])</f>
        <v>#N/A</v>
      </c>
      <c r="P317" s="15" t="s">
        <v>4747</v>
      </c>
      <c r="Q317" s="15" t="s">
        <v>4749</v>
      </c>
      <c r="R317" s="15"/>
      <c r="S317" s="15"/>
      <c r="T317" s="15" t="s">
        <v>4672</v>
      </c>
    </row>
    <row r="318" spans="1:20" x14ac:dyDescent="0.35">
      <c r="A318" s="2" t="s">
        <v>641</v>
      </c>
      <c r="B318" s="2" t="s">
        <v>642</v>
      </c>
      <c r="C318" s="2" t="s">
        <v>56</v>
      </c>
      <c r="D318" s="2">
        <v>0</v>
      </c>
      <c r="E318" s="2" t="s">
        <v>57</v>
      </c>
      <c r="F318" s="2">
        <v>0</v>
      </c>
      <c r="G318" s="22">
        <f>Table4[[#This Row],[Item Cost]]*Table4[[#This Row],[In Stock]]</f>
        <v>0</v>
      </c>
      <c r="H318" s="12" t="s">
        <v>4661</v>
      </c>
      <c r="I318" s="13" t="s">
        <v>4668</v>
      </c>
      <c r="J318" s="13" t="s">
        <v>4672</v>
      </c>
      <c r="K318" t="s">
        <v>4801</v>
      </c>
      <c r="L318" s="12" t="s">
        <v>4672</v>
      </c>
      <c r="M318" s="17" t="str">
        <f>IF(LEN(COUNTIFS($H$1:H318,$H318,$I$1:I318,$I318,$J$1:J318,$J318,$K$1:K318,K318,$L$1:L318,L318))=1,"00"&amp;COUNTIFS($H$1:H318,$H318,$I$1:I318,$I318,$J$1:J318,$J318,$K$1:K318,K318,$L$1:L318,L318),IF(LEN(COUNTIFS($H$1:H318,$H318,$I$1:I318,$I318,$J$1:J318,$J318,$K$1:K318,K318,$L$1:L318,L318))=2,"0"&amp;COUNTIFS($H$1:H318,$H318,$I$1:I318,$I318,$J$1:J318,$J318,$K$1:K318,K318,$L$1:L318,L318),COUNTIFS($H$1:H318,$H318,$I$1:I318,$I318,$J$1:J318,$J318,$K$1:K318,K318,$L$1:L318,L318)))</f>
        <v>017</v>
      </c>
      <c r="N31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18" s="14" t="e">
        <f>+LEN(Table4[[#This Row],[New Item Code]])</f>
        <v>#N/A</v>
      </c>
      <c r="P318" s="15" t="s">
        <v>4747</v>
      </c>
      <c r="Q318" s="15" t="s">
        <v>4749</v>
      </c>
      <c r="R318" s="15"/>
      <c r="S318" s="15"/>
      <c r="T318" s="15" t="s">
        <v>4672</v>
      </c>
    </row>
    <row r="319" spans="1:20" x14ac:dyDescent="0.35">
      <c r="A319" s="3" t="s">
        <v>643</v>
      </c>
      <c r="B319" s="3" t="s">
        <v>644</v>
      </c>
      <c r="C319" s="3" t="s">
        <v>56</v>
      </c>
      <c r="D319" s="3">
        <v>0</v>
      </c>
      <c r="E319" s="3" t="s">
        <v>57</v>
      </c>
      <c r="F319" s="3">
        <v>0</v>
      </c>
      <c r="G319" s="21">
        <f>Table4[[#This Row],[Item Cost]]*Table4[[#This Row],[In Stock]]</f>
        <v>0</v>
      </c>
      <c r="H319" s="12" t="s">
        <v>4661</v>
      </c>
      <c r="I319" s="13" t="s">
        <v>4668</v>
      </c>
      <c r="J319" s="13" t="s">
        <v>4672</v>
      </c>
      <c r="K319" t="s">
        <v>4801</v>
      </c>
      <c r="L319" s="12" t="s">
        <v>4672</v>
      </c>
      <c r="M319" s="17" t="str">
        <f>IF(LEN(COUNTIFS($H$1:H319,$H319,$I$1:I319,$I319,$J$1:J319,$J319,$K$1:K319,K319,$L$1:L319,L319))=1,"00"&amp;COUNTIFS($H$1:H319,$H319,$I$1:I319,$I319,$J$1:J319,$J319,$K$1:K319,K319,$L$1:L319,L319),IF(LEN(COUNTIFS($H$1:H319,$H319,$I$1:I319,$I319,$J$1:J319,$J319,$K$1:K319,K319,$L$1:L319,L319))=2,"0"&amp;COUNTIFS($H$1:H319,$H319,$I$1:I319,$I319,$J$1:J319,$J319,$K$1:K319,K319,$L$1:L319,L319),COUNTIFS($H$1:H319,$H319,$I$1:I319,$I319,$J$1:J319,$J319,$K$1:K319,K319,$L$1:L319,L319)))</f>
        <v>018</v>
      </c>
      <c r="N31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19" s="14" t="e">
        <f>+LEN(Table4[[#This Row],[New Item Code]])</f>
        <v>#N/A</v>
      </c>
      <c r="P319" s="15" t="s">
        <v>4747</v>
      </c>
      <c r="Q319" s="15" t="s">
        <v>4749</v>
      </c>
      <c r="R319" s="15"/>
      <c r="S319" s="15"/>
      <c r="T319" s="15" t="s">
        <v>4672</v>
      </c>
    </row>
    <row r="320" spans="1:20" x14ac:dyDescent="0.35">
      <c r="A320" s="2" t="s">
        <v>645</v>
      </c>
      <c r="B320" s="2" t="s">
        <v>646</v>
      </c>
      <c r="C320" s="2" t="s">
        <v>56</v>
      </c>
      <c r="D320" s="2">
        <v>0</v>
      </c>
      <c r="E320" s="2" t="s">
        <v>57</v>
      </c>
      <c r="F320" s="2">
        <v>0</v>
      </c>
      <c r="G320" s="22">
        <f>Table4[[#This Row],[Item Cost]]*Table4[[#This Row],[In Stock]]</f>
        <v>0</v>
      </c>
      <c r="H320" s="12" t="s">
        <v>4661</v>
      </c>
      <c r="I320" s="13" t="s">
        <v>4668</v>
      </c>
      <c r="J320" s="13" t="s">
        <v>4672</v>
      </c>
      <c r="K320" t="s">
        <v>4801</v>
      </c>
      <c r="L320" s="12" t="s">
        <v>4672</v>
      </c>
      <c r="M320" s="17" t="str">
        <f>IF(LEN(COUNTIFS($H$1:H320,$H320,$I$1:I320,$I320,$J$1:J320,$J320,$K$1:K320,K320,$L$1:L320,L320))=1,"00"&amp;COUNTIFS($H$1:H320,$H320,$I$1:I320,$I320,$J$1:J320,$J320,$K$1:K320,K320,$L$1:L320,L320),IF(LEN(COUNTIFS($H$1:H320,$H320,$I$1:I320,$I320,$J$1:J320,$J320,$K$1:K320,K320,$L$1:L320,L320))=2,"0"&amp;COUNTIFS($H$1:H320,$H320,$I$1:I320,$I320,$J$1:J320,$J320,$K$1:K320,K320,$L$1:L320,L320),COUNTIFS($H$1:H320,$H320,$I$1:I320,$I320,$J$1:J320,$J320,$K$1:K320,K320,$L$1:L320,L320)))</f>
        <v>019</v>
      </c>
      <c r="N32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20" s="14" t="e">
        <f>+LEN(Table4[[#This Row],[New Item Code]])</f>
        <v>#N/A</v>
      </c>
      <c r="P320" s="15" t="s">
        <v>4747</v>
      </c>
      <c r="Q320" s="15" t="s">
        <v>4749</v>
      </c>
      <c r="R320" s="15"/>
      <c r="S320" s="15"/>
      <c r="T320" s="15" t="s">
        <v>4672</v>
      </c>
    </row>
    <row r="321" spans="1:20" x14ac:dyDescent="0.35">
      <c r="A321" s="3" t="s">
        <v>647</v>
      </c>
      <c r="B321" s="3" t="s">
        <v>648</v>
      </c>
      <c r="C321" s="3" t="s">
        <v>56</v>
      </c>
      <c r="D321" s="3">
        <v>0</v>
      </c>
      <c r="E321" s="3" t="s">
        <v>57</v>
      </c>
      <c r="F321" s="3">
        <v>0</v>
      </c>
      <c r="G321" s="21">
        <f>Table4[[#This Row],[Item Cost]]*Table4[[#This Row],[In Stock]]</f>
        <v>0</v>
      </c>
      <c r="H321" s="12" t="s">
        <v>4661</v>
      </c>
      <c r="I321" s="13" t="s">
        <v>4668</v>
      </c>
      <c r="J321" s="13" t="s">
        <v>4672</v>
      </c>
      <c r="K321" t="s">
        <v>4801</v>
      </c>
      <c r="L321" s="12" t="s">
        <v>4672</v>
      </c>
      <c r="M321" s="17" t="str">
        <f>IF(LEN(COUNTIFS($H$1:H321,$H321,$I$1:I321,$I321,$J$1:J321,$J321,$K$1:K321,K321,$L$1:L321,L321))=1,"00"&amp;COUNTIFS($H$1:H321,$H321,$I$1:I321,$I321,$J$1:J321,$J321,$K$1:K321,K321,$L$1:L321,L321),IF(LEN(COUNTIFS($H$1:H321,$H321,$I$1:I321,$I321,$J$1:J321,$J321,$K$1:K321,K321,$L$1:L321,L321))=2,"0"&amp;COUNTIFS($H$1:H321,$H321,$I$1:I321,$I321,$J$1:J321,$J321,$K$1:K321,K321,$L$1:L321,L321),COUNTIFS($H$1:H321,$H321,$I$1:I321,$I321,$J$1:J321,$J321,$K$1:K321,K321,$L$1:L321,L321)))</f>
        <v>020</v>
      </c>
      <c r="N32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21" s="14" t="e">
        <f>+LEN(Table4[[#This Row],[New Item Code]])</f>
        <v>#N/A</v>
      </c>
      <c r="P321" s="15" t="s">
        <v>4747</v>
      </c>
      <c r="Q321" s="15" t="s">
        <v>4749</v>
      </c>
      <c r="R321" s="15"/>
      <c r="S321" s="15"/>
      <c r="T321" s="15" t="s">
        <v>4672</v>
      </c>
    </row>
    <row r="322" spans="1:20" x14ac:dyDescent="0.35">
      <c r="A322" s="2" t="s">
        <v>649</v>
      </c>
      <c r="B322" s="2" t="s">
        <v>650</v>
      </c>
      <c r="C322" s="2" t="s">
        <v>56</v>
      </c>
      <c r="D322" s="2">
        <v>0</v>
      </c>
      <c r="E322" s="2" t="s">
        <v>57</v>
      </c>
      <c r="F322" s="2">
        <v>0</v>
      </c>
      <c r="G322" s="22">
        <f>Table4[[#This Row],[Item Cost]]*Table4[[#This Row],[In Stock]]</f>
        <v>0</v>
      </c>
      <c r="H322" s="12" t="s">
        <v>4661</v>
      </c>
      <c r="I322" s="13" t="s">
        <v>4668</v>
      </c>
      <c r="J322" s="13" t="s">
        <v>4672</v>
      </c>
      <c r="K322" t="s">
        <v>4801</v>
      </c>
      <c r="L322" s="12" t="s">
        <v>4672</v>
      </c>
      <c r="M322" s="17" t="str">
        <f>IF(LEN(COUNTIFS($H$1:H322,$H322,$I$1:I322,$I322,$J$1:J322,$J322,$K$1:K322,K322,$L$1:L322,L322))=1,"00"&amp;COUNTIFS($H$1:H322,$H322,$I$1:I322,$I322,$J$1:J322,$J322,$K$1:K322,K322,$L$1:L322,L322),IF(LEN(COUNTIFS($H$1:H322,$H322,$I$1:I322,$I322,$J$1:J322,$J322,$K$1:K322,K322,$L$1:L322,L322))=2,"0"&amp;COUNTIFS($H$1:H322,$H322,$I$1:I322,$I322,$J$1:J322,$J322,$K$1:K322,K322,$L$1:L322,L322),COUNTIFS($H$1:H322,$H322,$I$1:I322,$I322,$J$1:J322,$J322,$K$1:K322,K322,$L$1:L322,L322)))</f>
        <v>021</v>
      </c>
      <c r="N32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22" s="14" t="e">
        <f>+LEN(Table4[[#This Row],[New Item Code]])</f>
        <v>#N/A</v>
      </c>
      <c r="P322" s="15" t="s">
        <v>4747</v>
      </c>
      <c r="Q322" s="15" t="s">
        <v>4749</v>
      </c>
      <c r="R322" s="15"/>
      <c r="S322" s="15"/>
      <c r="T322" s="15" t="s">
        <v>4672</v>
      </c>
    </row>
    <row r="323" spans="1:20" x14ac:dyDescent="0.35">
      <c r="A323" s="3" t="s">
        <v>651</v>
      </c>
      <c r="B323" s="3" t="s">
        <v>652</v>
      </c>
      <c r="C323" s="3" t="s">
        <v>56</v>
      </c>
      <c r="D323" s="3">
        <v>0</v>
      </c>
      <c r="E323" s="3" t="s">
        <v>57</v>
      </c>
      <c r="F323" s="3">
        <v>0</v>
      </c>
      <c r="G323" s="21">
        <f>Table4[[#This Row],[Item Cost]]*Table4[[#This Row],[In Stock]]</f>
        <v>0</v>
      </c>
      <c r="H323" s="12" t="s">
        <v>4661</v>
      </c>
      <c r="I323" s="13" t="s">
        <v>4668</v>
      </c>
      <c r="J323" s="13" t="s">
        <v>4672</v>
      </c>
      <c r="K323" t="s">
        <v>4801</v>
      </c>
      <c r="L323" s="12" t="s">
        <v>4672</v>
      </c>
      <c r="M323" s="17" t="str">
        <f>IF(LEN(COUNTIFS($H$1:H323,$H323,$I$1:I323,$I323,$J$1:J323,$J323,$K$1:K323,K323,$L$1:L323,L323))=1,"00"&amp;COUNTIFS($H$1:H323,$H323,$I$1:I323,$I323,$J$1:J323,$J323,$K$1:K323,K323,$L$1:L323,L323),IF(LEN(COUNTIFS($H$1:H323,$H323,$I$1:I323,$I323,$J$1:J323,$J323,$K$1:K323,K323,$L$1:L323,L323))=2,"0"&amp;COUNTIFS($H$1:H323,$H323,$I$1:I323,$I323,$J$1:J323,$J323,$K$1:K323,K323,$L$1:L323,L323),COUNTIFS($H$1:H323,$H323,$I$1:I323,$I323,$J$1:J323,$J323,$K$1:K323,K323,$L$1:L323,L323)))</f>
        <v>022</v>
      </c>
      <c r="N32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23" s="14" t="e">
        <f>+LEN(Table4[[#This Row],[New Item Code]])</f>
        <v>#N/A</v>
      </c>
      <c r="P323" s="15" t="s">
        <v>4747</v>
      </c>
      <c r="Q323" s="15" t="s">
        <v>4749</v>
      </c>
      <c r="R323" s="15"/>
      <c r="S323" s="15"/>
      <c r="T323" s="15" t="s">
        <v>4672</v>
      </c>
    </row>
    <row r="324" spans="1:20" x14ac:dyDescent="0.35">
      <c r="A324" s="2" t="s">
        <v>653</v>
      </c>
      <c r="B324" s="2" t="s">
        <v>654</v>
      </c>
      <c r="C324" s="2" t="s">
        <v>56</v>
      </c>
      <c r="D324" s="2">
        <v>0</v>
      </c>
      <c r="E324" s="2" t="s">
        <v>57</v>
      </c>
      <c r="F324" s="2">
        <v>0</v>
      </c>
      <c r="G324" s="22">
        <f>Table4[[#This Row],[Item Cost]]*Table4[[#This Row],[In Stock]]</f>
        <v>0</v>
      </c>
      <c r="H324" s="12" t="s">
        <v>4661</v>
      </c>
      <c r="I324" s="13" t="s">
        <v>4668</v>
      </c>
      <c r="J324" s="13" t="s">
        <v>4672</v>
      </c>
      <c r="K324" t="s">
        <v>4801</v>
      </c>
      <c r="L324" s="12" t="s">
        <v>4672</v>
      </c>
      <c r="M324" s="17" t="str">
        <f>IF(LEN(COUNTIFS($H$1:H324,$H324,$I$1:I324,$I324,$J$1:J324,$J324,$K$1:K324,K324,$L$1:L324,L324))=1,"00"&amp;COUNTIFS($H$1:H324,$H324,$I$1:I324,$I324,$J$1:J324,$J324,$K$1:K324,K324,$L$1:L324,L324),IF(LEN(COUNTIFS($H$1:H324,$H324,$I$1:I324,$I324,$J$1:J324,$J324,$K$1:K324,K324,$L$1:L324,L324))=2,"0"&amp;COUNTIFS($H$1:H324,$H324,$I$1:I324,$I324,$J$1:J324,$J324,$K$1:K324,K324,$L$1:L324,L324),COUNTIFS($H$1:H324,$H324,$I$1:I324,$I324,$J$1:J324,$J324,$K$1:K324,K324,$L$1:L324,L324)))</f>
        <v>023</v>
      </c>
      <c r="N32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24" s="14" t="e">
        <f>+LEN(Table4[[#This Row],[New Item Code]])</f>
        <v>#N/A</v>
      </c>
      <c r="P324" s="15" t="s">
        <v>4747</v>
      </c>
      <c r="Q324" s="15" t="s">
        <v>4749</v>
      </c>
      <c r="R324" s="15"/>
      <c r="S324" s="15"/>
      <c r="T324" s="15" t="s">
        <v>4672</v>
      </c>
    </row>
    <row r="325" spans="1:20" x14ac:dyDescent="0.35">
      <c r="A325" s="3" t="s">
        <v>655</v>
      </c>
      <c r="B325" s="3" t="s">
        <v>656</v>
      </c>
      <c r="C325" s="3" t="s">
        <v>56</v>
      </c>
      <c r="D325" s="3">
        <v>0</v>
      </c>
      <c r="E325" s="3" t="s">
        <v>57</v>
      </c>
      <c r="F325" s="3">
        <v>0</v>
      </c>
      <c r="G325" s="21">
        <f>Table4[[#This Row],[Item Cost]]*Table4[[#This Row],[In Stock]]</f>
        <v>0</v>
      </c>
      <c r="H325" s="12" t="s">
        <v>4661</v>
      </c>
      <c r="I325" s="13" t="s">
        <v>4668</v>
      </c>
      <c r="J325" s="13" t="s">
        <v>4672</v>
      </c>
      <c r="K325" t="s">
        <v>4801</v>
      </c>
      <c r="L325" s="12" t="s">
        <v>4672</v>
      </c>
      <c r="M325" s="17" t="str">
        <f>IF(LEN(COUNTIFS($H$1:H325,$H325,$I$1:I325,$I325,$J$1:J325,$J325,$K$1:K325,K325,$L$1:L325,L325))=1,"00"&amp;COUNTIFS($H$1:H325,$H325,$I$1:I325,$I325,$J$1:J325,$J325,$K$1:K325,K325,$L$1:L325,L325),IF(LEN(COUNTIFS($H$1:H325,$H325,$I$1:I325,$I325,$J$1:J325,$J325,$K$1:K325,K325,$L$1:L325,L325))=2,"0"&amp;COUNTIFS($H$1:H325,$H325,$I$1:I325,$I325,$J$1:J325,$J325,$K$1:K325,K325,$L$1:L325,L325),COUNTIFS($H$1:H325,$H325,$I$1:I325,$I325,$J$1:J325,$J325,$K$1:K325,K325,$L$1:L325,L325)))</f>
        <v>024</v>
      </c>
      <c r="N32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25" s="14" t="e">
        <f>+LEN(Table4[[#This Row],[New Item Code]])</f>
        <v>#N/A</v>
      </c>
      <c r="P325" s="15" t="s">
        <v>4747</v>
      </c>
      <c r="Q325" s="15" t="s">
        <v>4749</v>
      </c>
      <c r="R325" s="15"/>
      <c r="S325" s="15"/>
      <c r="T325" s="15" t="s">
        <v>4672</v>
      </c>
    </row>
    <row r="326" spans="1:20" x14ac:dyDescent="0.35">
      <c r="A326" s="2" t="s">
        <v>657</v>
      </c>
      <c r="B326" s="2" t="s">
        <v>658</v>
      </c>
      <c r="C326" s="2" t="s">
        <v>56</v>
      </c>
      <c r="D326" s="2">
        <v>0</v>
      </c>
      <c r="E326" s="2" t="s">
        <v>57</v>
      </c>
      <c r="F326" s="2">
        <v>0</v>
      </c>
      <c r="G326" s="22">
        <f>Table4[[#This Row],[Item Cost]]*Table4[[#This Row],[In Stock]]</f>
        <v>0</v>
      </c>
      <c r="H326" s="12" t="s">
        <v>4661</v>
      </c>
      <c r="I326" s="13" t="s">
        <v>4668</v>
      </c>
      <c r="J326" s="13" t="s">
        <v>4672</v>
      </c>
      <c r="K326" t="s">
        <v>4801</v>
      </c>
      <c r="L326" s="12" t="s">
        <v>4672</v>
      </c>
      <c r="M326" s="17" t="str">
        <f>IF(LEN(COUNTIFS($H$1:H326,$H326,$I$1:I326,$I326,$J$1:J326,$J326,$K$1:K326,K326,$L$1:L326,L326))=1,"00"&amp;COUNTIFS($H$1:H326,$H326,$I$1:I326,$I326,$J$1:J326,$J326,$K$1:K326,K326,$L$1:L326,L326),IF(LEN(COUNTIFS($H$1:H326,$H326,$I$1:I326,$I326,$J$1:J326,$J326,$K$1:K326,K326,$L$1:L326,L326))=2,"0"&amp;COUNTIFS($H$1:H326,$H326,$I$1:I326,$I326,$J$1:J326,$J326,$K$1:K326,K326,$L$1:L326,L326),COUNTIFS($H$1:H326,$H326,$I$1:I326,$I326,$J$1:J326,$J326,$K$1:K326,K326,$L$1:L326,L326)))</f>
        <v>025</v>
      </c>
      <c r="N32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26" s="14" t="e">
        <f>+LEN(Table4[[#This Row],[New Item Code]])</f>
        <v>#N/A</v>
      </c>
      <c r="P326" s="15" t="s">
        <v>4747</v>
      </c>
      <c r="Q326" s="15" t="s">
        <v>4749</v>
      </c>
      <c r="R326" s="15"/>
      <c r="S326" s="15"/>
      <c r="T326" s="15" t="s">
        <v>4672</v>
      </c>
    </row>
    <row r="327" spans="1:20" x14ac:dyDescent="0.35">
      <c r="A327" s="3" t="s">
        <v>659</v>
      </c>
      <c r="B327" s="3" t="s">
        <v>660</v>
      </c>
      <c r="C327" s="3" t="s">
        <v>56</v>
      </c>
      <c r="D327" s="3">
        <v>0</v>
      </c>
      <c r="E327" s="3" t="s">
        <v>57</v>
      </c>
      <c r="F327" s="3">
        <v>0</v>
      </c>
      <c r="G327" s="21">
        <f>Table4[[#This Row],[Item Cost]]*Table4[[#This Row],[In Stock]]</f>
        <v>0</v>
      </c>
      <c r="H327" s="12" t="s">
        <v>4661</v>
      </c>
      <c r="I327" s="13" t="s">
        <v>4668</v>
      </c>
      <c r="J327" s="13" t="s">
        <v>4672</v>
      </c>
      <c r="K327" t="s">
        <v>4801</v>
      </c>
      <c r="L327" s="12" t="s">
        <v>4672</v>
      </c>
      <c r="M327" s="17" t="str">
        <f>IF(LEN(COUNTIFS($H$1:H327,$H327,$I$1:I327,$I327,$J$1:J327,$J327,$K$1:K327,K327,$L$1:L327,L327))=1,"00"&amp;COUNTIFS($H$1:H327,$H327,$I$1:I327,$I327,$J$1:J327,$J327,$K$1:K327,K327,$L$1:L327,L327),IF(LEN(COUNTIFS($H$1:H327,$H327,$I$1:I327,$I327,$J$1:J327,$J327,$K$1:K327,K327,$L$1:L327,L327))=2,"0"&amp;COUNTIFS($H$1:H327,$H327,$I$1:I327,$I327,$J$1:J327,$J327,$K$1:K327,K327,$L$1:L327,L327),COUNTIFS($H$1:H327,$H327,$I$1:I327,$I327,$J$1:J327,$J327,$K$1:K327,K327,$L$1:L327,L327)))</f>
        <v>026</v>
      </c>
      <c r="N32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27" s="14" t="e">
        <f>+LEN(Table4[[#This Row],[New Item Code]])</f>
        <v>#N/A</v>
      </c>
      <c r="P327" s="15" t="s">
        <v>4747</v>
      </c>
      <c r="Q327" s="15" t="s">
        <v>4749</v>
      </c>
      <c r="R327" s="15"/>
      <c r="S327" s="15"/>
      <c r="T327" s="15" t="s">
        <v>4672</v>
      </c>
    </row>
    <row r="328" spans="1:20" x14ac:dyDescent="0.35">
      <c r="A328" s="2" t="s">
        <v>661</v>
      </c>
      <c r="B328" s="2" t="s">
        <v>662</v>
      </c>
      <c r="C328" s="2" t="s">
        <v>56</v>
      </c>
      <c r="D328" s="2">
        <v>0</v>
      </c>
      <c r="E328" s="2" t="s">
        <v>57</v>
      </c>
      <c r="F328" s="2">
        <v>0</v>
      </c>
      <c r="G328" s="22">
        <f>Table4[[#This Row],[Item Cost]]*Table4[[#This Row],[In Stock]]</f>
        <v>0</v>
      </c>
      <c r="H328" s="12" t="s">
        <v>4661</v>
      </c>
      <c r="I328" s="13" t="s">
        <v>4668</v>
      </c>
      <c r="J328" s="13" t="s">
        <v>4672</v>
      </c>
      <c r="K328" t="s">
        <v>4801</v>
      </c>
      <c r="L328" s="12" t="s">
        <v>4672</v>
      </c>
      <c r="M328" s="17" t="str">
        <f>IF(LEN(COUNTIFS($H$1:H328,$H328,$I$1:I328,$I328,$J$1:J328,$J328,$K$1:K328,K328,$L$1:L328,L328))=1,"00"&amp;COUNTIFS($H$1:H328,$H328,$I$1:I328,$I328,$J$1:J328,$J328,$K$1:K328,K328,$L$1:L328,L328),IF(LEN(COUNTIFS($H$1:H328,$H328,$I$1:I328,$I328,$J$1:J328,$J328,$K$1:K328,K328,$L$1:L328,L328))=2,"0"&amp;COUNTIFS($H$1:H328,$H328,$I$1:I328,$I328,$J$1:J328,$J328,$K$1:K328,K328,$L$1:L328,L328),COUNTIFS($H$1:H328,$H328,$I$1:I328,$I328,$J$1:J328,$J328,$K$1:K328,K328,$L$1:L328,L328)))</f>
        <v>027</v>
      </c>
      <c r="N32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28" s="14" t="e">
        <f>+LEN(Table4[[#This Row],[New Item Code]])</f>
        <v>#N/A</v>
      </c>
      <c r="P328" s="15" t="s">
        <v>4747</v>
      </c>
      <c r="Q328" s="15" t="s">
        <v>4749</v>
      </c>
      <c r="R328" s="15"/>
      <c r="S328" s="15"/>
      <c r="T328" s="15" t="s">
        <v>4672</v>
      </c>
    </row>
    <row r="329" spans="1:20" x14ac:dyDescent="0.35">
      <c r="A329" s="3" t="s">
        <v>663</v>
      </c>
      <c r="B329" s="3" t="s">
        <v>664</v>
      </c>
      <c r="C329" s="3" t="s">
        <v>56</v>
      </c>
      <c r="D329" s="3">
        <v>0</v>
      </c>
      <c r="E329" s="3" t="s">
        <v>57</v>
      </c>
      <c r="F329" s="3">
        <v>0</v>
      </c>
      <c r="G329" s="21">
        <f>Table4[[#This Row],[Item Cost]]*Table4[[#This Row],[In Stock]]</f>
        <v>0</v>
      </c>
      <c r="H329" s="12" t="s">
        <v>4661</v>
      </c>
      <c r="I329" s="13" t="s">
        <v>4668</v>
      </c>
      <c r="J329" s="13" t="s">
        <v>4672</v>
      </c>
      <c r="K329" t="s">
        <v>4801</v>
      </c>
      <c r="L329" s="12" t="s">
        <v>4672</v>
      </c>
      <c r="M329" s="17" t="str">
        <f>IF(LEN(COUNTIFS($H$1:H329,$H329,$I$1:I329,$I329,$J$1:J329,$J329,$K$1:K329,K329,$L$1:L329,L329))=1,"00"&amp;COUNTIFS($H$1:H329,$H329,$I$1:I329,$I329,$J$1:J329,$J329,$K$1:K329,K329,$L$1:L329,L329),IF(LEN(COUNTIFS($H$1:H329,$H329,$I$1:I329,$I329,$J$1:J329,$J329,$K$1:K329,K329,$L$1:L329,L329))=2,"0"&amp;COUNTIFS($H$1:H329,$H329,$I$1:I329,$I329,$J$1:J329,$J329,$K$1:K329,K329,$L$1:L329,L329),COUNTIFS($H$1:H329,$H329,$I$1:I329,$I329,$J$1:J329,$J329,$K$1:K329,K329,$L$1:L329,L329)))</f>
        <v>028</v>
      </c>
      <c r="N32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29" s="14" t="e">
        <f>+LEN(Table4[[#This Row],[New Item Code]])</f>
        <v>#N/A</v>
      </c>
      <c r="P329" s="15" t="s">
        <v>4747</v>
      </c>
      <c r="Q329" s="15" t="s">
        <v>4749</v>
      </c>
      <c r="R329" s="15"/>
      <c r="S329" s="15"/>
      <c r="T329" s="15" t="s">
        <v>4672</v>
      </c>
    </row>
    <row r="330" spans="1:20" x14ac:dyDescent="0.35">
      <c r="A330" s="2" t="s">
        <v>665</v>
      </c>
      <c r="B330" s="2" t="s">
        <v>666</v>
      </c>
      <c r="C330" s="2" t="s">
        <v>56</v>
      </c>
      <c r="D330" s="2">
        <v>0</v>
      </c>
      <c r="E330" s="2" t="s">
        <v>57</v>
      </c>
      <c r="F330" s="2">
        <v>0</v>
      </c>
      <c r="G330" s="22">
        <f>Table4[[#This Row],[Item Cost]]*Table4[[#This Row],[In Stock]]</f>
        <v>0</v>
      </c>
      <c r="H330" s="12" t="s">
        <v>4661</v>
      </c>
      <c r="I330" s="13" t="s">
        <v>4668</v>
      </c>
      <c r="J330" s="13" t="s">
        <v>4672</v>
      </c>
      <c r="K330" t="s">
        <v>4801</v>
      </c>
      <c r="L330" s="12" t="s">
        <v>4672</v>
      </c>
      <c r="M330" s="17" t="str">
        <f>IF(LEN(COUNTIFS($H$1:H330,$H330,$I$1:I330,$I330,$J$1:J330,$J330,$K$1:K330,K330,$L$1:L330,L330))=1,"00"&amp;COUNTIFS($H$1:H330,$H330,$I$1:I330,$I330,$J$1:J330,$J330,$K$1:K330,K330,$L$1:L330,L330),IF(LEN(COUNTIFS($H$1:H330,$H330,$I$1:I330,$I330,$J$1:J330,$J330,$K$1:K330,K330,$L$1:L330,L330))=2,"0"&amp;COUNTIFS($H$1:H330,$H330,$I$1:I330,$I330,$J$1:J330,$J330,$K$1:K330,K330,$L$1:L330,L330),COUNTIFS($H$1:H330,$H330,$I$1:I330,$I330,$J$1:J330,$J330,$K$1:K330,K330,$L$1:L330,L330)))</f>
        <v>029</v>
      </c>
      <c r="N33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30" s="14" t="e">
        <f>+LEN(Table4[[#This Row],[New Item Code]])</f>
        <v>#N/A</v>
      </c>
      <c r="P330" s="15" t="s">
        <v>4747</v>
      </c>
      <c r="Q330" s="15" t="s">
        <v>4749</v>
      </c>
      <c r="R330" s="15"/>
      <c r="S330" s="15"/>
      <c r="T330" s="15" t="s">
        <v>4672</v>
      </c>
    </row>
    <row r="331" spans="1:20" x14ac:dyDescent="0.35">
      <c r="A331" s="3" t="s">
        <v>667</v>
      </c>
      <c r="B331" s="3" t="s">
        <v>668</v>
      </c>
      <c r="C331" s="3" t="s">
        <v>56</v>
      </c>
      <c r="D331" s="3">
        <v>0</v>
      </c>
      <c r="E331" s="3" t="s">
        <v>57</v>
      </c>
      <c r="F331" s="3">
        <v>0</v>
      </c>
      <c r="G331" s="21">
        <f>Table4[[#This Row],[Item Cost]]*Table4[[#This Row],[In Stock]]</f>
        <v>0</v>
      </c>
      <c r="H331" s="12" t="s">
        <v>4661</v>
      </c>
      <c r="I331" s="13" t="s">
        <v>4668</v>
      </c>
      <c r="J331" s="13" t="s">
        <v>4672</v>
      </c>
      <c r="K331" t="s">
        <v>4801</v>
      </c>
      <c r="L331" s="12" t="s">
        <v>4672</v>
      </c>
      <c r="M331" s="17" t="str">
        <f>IF(LEN(COUNTIFS($H$1:H331,$H331,$I$1:I331,$I331,$J$1:J331,$J331,$K$1:K331,K331,$L$1:L331,L331))=1,"00"&amp;COUNTIFS($H$1:H331,$H331,$I$1:I331,$I331,$J$1:J331,$J331,$K$1:K331,K331,$L$1:L331,L331),IF(LEN(COUNTIFS($H$1:H331,$H331,$I$1:I331,$I331,$J$1:J331,$J331,$K$1:K331,K331,$L$1:L331,L331))=2,"0"&amp;COUNTIFS($H$1:H331,$H331,$I$1:I331,$I331,$J$1:J331,$J331,$K$1:K331,K331,$L$1:L331,L331),COUNTIFS($H$1:H331,$H331,$I$1:I331,$I331,$J$1:J331,$J331,$K$1:K331,K331,$L$1:L331,L331)))</f>
        <v>030</v>
      </c>
      <c r="N33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31" s="14" t="e">
        <f>+LEN(Table4[[#This Row],[New Item Code]])</f>
        <v>#N/A</v>
      </c>
      <c r="P331" s="15" t="s">
        <v>4747</v>
      </c>
      <c r="Q331" s="15" t="s">
        <v>4749</v>
      </c>
      <c r="R331" s="15"/>
      <c r="S331" s="15"/>
      <c r="T331" s="15" t="s">
        <v>4672</v>
      </c>
    </row>
    <row r="332" spans="1:20" x14ac:dyDescent="0.35">
      <c r="A332" s="2" t="s">
        <v>669</v>
      </c>
      <c r="B332" s="2" t="s">
        <v>670</v>
      </c>
      <c r="C332" s="2" t="s">
        <v>56</v>
      </c>
      <c r="D332" s="2">
        <v>0</v>
      </c>
      <c r="E332" s="2" t="s">
        <v>57</v>
      </c>
      <c r="F332" s="2">
        <v>0</v>
      </c>
      <c r="G332" s="22">
        <f>Table4[[#This Row],[Item Cost]]*Table4[[#This Row],[In Stock]]</f>
        <v>0</v>
      </c>
      <c r="H332" s="12" t="s">
        <v>4661</v>
      </c>
      <c r="I332" s="13" t="s">
        <v>4668</v>
      </c>
      <c r="J332" s="13" t="s">
        <v>4672</v>
      </c>
      <c r="K332" t="s">
        <v>4801</v>
      </c>
      <c r="L332" s="12" t="s">
        <v>4672</v>
      </c>
      <c r="M332" s="17" t="str">
        <f>IF(LEN(COUNTIFS($H$1:H332,$H332,$I$1:I332,$I332,$J$1:J332,$J332,$K$1:K332,K332,$L$1:L332,L332))=1,"00"&amp;COUNTIFS($H$1:H332,$H332,$I$1:I332,$I332,$J$1:J332,$J332,$K$1:K332,K332,$L$1:L332,L332),IF(LEN(COUNTIFS($H$1:H332,$H332,$I$1:I332,$I332,$J$1:J332,$J332,$K$1:K332,K332,$L$1:L332,L332))=2,"0"&amp;COUNTIFS($H$1:H332,$H332,$I$1:I332,$I332,$J$1:J332,$J332,$K$1:K332,K332,$L$1:L332,L332),COUNTIFS($H$1:H332,$H332,$I$1:I332,$I332,$J$1:J332,$J332,$K$1:K332,K332,$L$1:L332,L332)))</f>
        <v>031</v>
      </c>
      <c r="N33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32" s="14" t="e">
        <f>+LEN(Table4[[#This Row],[New Item Code]])</f>
        <v>#N/A</v>
      </c>
      <c r="P332" s="15" t="s">
        <v>4747</v>
      </c>
      <c r="Q332" s="15" t="s">
        <v>4749</v>
      </c>
      <c r="R332" s="15"/>
      <c r="S332" s="15"/>
      <c r="T332" s="15" t="s">
        <v>4672</v>
      </c>
    </row>
    <row r="333" spans="1:20" x14ac:dyDescent="0.35">
      <c r="A333" s="3" t="s">
        <v>671</v>
      </c>
      <c r="B333" s="3" t="s">
        <v>672</v>
      </c>
      <c r="C333" s="3" t="s">
        <v>56</v>
      </c>
      <c r="D333" s="3">
        <v>0</v>
      </c>
      <c r="E333" s="3" t="s">
        <v>57</v>
      </c>
      <c r="F333" s="3">
        <v>0</v>
      </c>
      <c r="G333" s="21">
        <f>Table4[[#This Row],[Item Cost]]*Table4[[#This Row],[In Stock]]</f>
        <v>0</v>
      </c>
      <c r="H333" s="12" t="s">
        <v>4661</v>
      </c>
      <c r="I333" s="13" t="s">
        <v>4668</v>
      </c>
      <c r="J333" s="13" t="s">
        <v>4672</v>
      </c>
      <c r="K333" t="s">
        <v>4801</v>
      </c>
      <c r="L333" s="12" t="s">
        <v>4672</v>
      </c>
      <c r="M333" s="17" t="str">
        <f>IF(LEN(COUNTIFS($H$1:H333,$H333,$I$1:I333,$I333,$J$1:J333,$J333,$K$1:K333,K333,$L$1:L333,L333))=1,"00"&amp;COUNTIFS($H$1:H333,$H333,$I$1:I333,$I333,$J$1:J333,$J333,$K$1:K333,K333,$L$1:L333,L333),IF(LEN(COUNTIFS($H$1:H333,$H333,$I$1:I333,$I333,$J$1:J333,$J333,$K$1:K333,K333,$L$1:L333,L333))=2,"0"&amp;COUNTIFS($H$1:H333,$H333,$I$1:I333,$I333,$J$1:J333,$J333,$K$1:K333,K333,$L$1:L333,L333),COUNTIFS($H$1:H333,$H333,$I$1:I333,$I333,$J$1:J333,$J333,$K$1:K333,K333,$L$1:L333,L333)))</f>
        <v>032</v>
      </c>
      <c r="N33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33" s="14" t="e">
        <f>+LEN(Table4[[#This Row],[New Item Code]])</f>
        <v>#N/A</v>
      </c>
      <c r="P333" s="15" t="s">
        <v>4747</v>
      </c>
      <c r="Q333" s="15" t="s">
        <v>4749</v>
      </c>
      <c r="R333" s="15"/>
      <c r="S333" s="15"/>
      <c r="T333" s="15" t="s">
        <v>4672</v>
      </c>
    </row>
    <row r="334" spans="1:20" x14ac:dyDescent="0.35">
      <c r="A334" s="2" t="s">
        <v>673</v>
      </c>
      <c r="B334" s="2" t="s">
        <v>674</v>
      </c>
      <c r="C334" s="2" t="s">
        <v>56</v>
      </c>
      <c r="D334" s="2">
        <v>0</v>
      </c>
      <c r="E334" s="2" t="s">
        <v>57</v>
      </c>
      <c r="F334" s="2">
        <v>0</v>
      </c>
      <c r="G334" s="22">
        <f>Table4[[#This Row],[Item Cost]]*Table4[[#This Row],[In Stock]]</f>
        <v>0</v>
      </c>
      <c r="H334" s="12" t="s">
        <v>4661</v>
      </c>
      <c r="I334" s="13" t="s">
        <v>4668</v>
      </c>
      <c r="J334" s="13" t="s">
        <v>4672</v>
      </c>
      <c r="K334" t="s">
        <v>4801</v>
      </c>
      <c r="L334" s="12" t="s">
        <v>4672</v>
      </c>
      <c r="M334" s="17" t="str">
        <f>IF(LEN(COUNTIFS($H$1:H334,$H334,$I$1:I334,$I334,$J$1:J334,$J334,$K$1:K334,K334,$L$1:L334,L334))=1,"00"&amp;COUNTIFS($H$1:H334,$H334,$I$1:I334,$I334,$J$1:J334,$J334,$K$1:K334,K334,$L$1:L334,L334),IF(LEN(COUNTIFS($H$1:H334,$H334,$I$1:I334,$I334,$J$1:J334,$J334,$K$1:K334,K334,$L$1:L334,L334))=2,"0"&amp;COUNTIFS($H$1:H334,$H334,$I$1:I334,$I334,$J$1:J334,$J334,$K$1:K334,K334,$L$1:L334,L334),COUNTIFS($H$1:H334,$H334,$I$1:I334,$I334,$J$1:J334,$J334,$K$1:K334,K334,$L$1:L334,L334)))</f>
        <v>033</v>
      </c>
      <c r="N33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34" s="14" t="e">
        <f>+LEN(Table4[[#This Row],[New Item Code]])</f>
        <v>#N/A</v>
      </c>
      <c r="P334" s="15" t="s">
        <v>4747</v>
      </c>
      <c r="Q334" s="15" t="s">
        <v>4749</v>
      </c>
      <c r="R334" s="15"/>
      <c r="S334" s="15"/>
      <c r="T334" s="15" t="s">
        <v>4672</v>
      </c>
    </row>
    <row r="335" spans="1:20" x14ac:dyDescent="0.35">
      <c r="A335" s="3" t="s">
        <v>675</v>
      </c>
      <c r="B335" s="3" t="s">
        <v>676</v>
      </c>
      <c r="C335" s="3" t="s">
        <v>56</v>
      </c>
      <c r="D335" s="3">
        <v>0</v>
      </c>
      <c r="E335" s="3" t="s">
        <v>57</v>
      </c>
      <c r="F335" s="3">
        <v>0</v>
      </c>
      <c r="G335" s="21">
        <f>Table4[[#This Row],[Item Cost]]*Table4[[#This Row],[In Stock]]</f>
        <v>0</v>
      </c>
      <c r="H335" s="12" t="s">
        <v>4661</v>
      </c>
      <c r="I335" s="13" t="s">
        <v>4668</v>
      </c>
      <c r="J335" s="13" t="s">
        <v>4672</v>
      </c>
      <c r="K335" t="s">
        <v>4801</v>
      </c>
      <c r="L335" s="12" t="s">
        <v>4672</v>
      </c>
      <c r="M335" s="17" t="str">
        <f>IF(LEN(COUNTIFS($H$1:H335,$H335,$I$1:I335,$I335,$J$1:J335,$J335,$K$1:K335,K335,$L$1:L335,L335))=1,"00"&amp;COUNTIFS($H$1:H335,$H335,$I$1:I335,$I335,$J$1:J335,$J335,$K$1:K335,K335,$L$1:L335,L335),IF(LEN(COUNTIFS($H$1:H335,$H335,$I$1:I335,$I335,$J$1:J335,$J335,$K$1:K335,K335,$L$1:L335,L335))=2,"0"&amp;COUNTIFS($H$1:H335,$H335,$I$1:I335,$I335,$J$1:J335,$J335,$K$1:K335,K335,$L$1:L335,L335),COUNTIFS($H$1:H335,$H335,$I$1:I335,$I335,$J$1:J335,$J335,$K$1:K335,K335,$L$1:L335,L335)))</f>
        <v>034</v>
      </c>
      <c r="N33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35" s="14" t="e">
        <f>+LEN(Table4[[#This Row],[New Item Code]])</f>
        <v>#N/A</v>
      </c>
      <c r="P335" s="15" t="s">
        <v>4747</v>
      </c>
      <c r="Q335" s="15" t="s">
        <v>4749</v>
      </c>
      <c r="R335" s="15"/>
      <c r="S335" s="15"/>
      <c r="T335" s="15" t="s">
        <v>4672</v>
      </c>
    </row>
    <row r="336" spans="1:20" x14ac:dyDescent="0.35">
      <c r="A336" s="2" t="s">
        <v>677</v>
      </c>
      <c r="B336" s="2" t="s">
        <v>678</v>
      </c>
      <c r="C336" s="2" t="s">
        <v>56</v>
      </c>
      <c r="D336" s="2">
        <v>0</v>
      </c>
      <c r="E336" s="2" t="s">
        <v>57</v>
      </c>
      <c r="F336" s="2">
        <v>0</v>
      </c>
      <c r="G336" s="22">
        <f>Table4[[#This Row],[Item Cost]]*Table4[[#This Row],[In Stock]]</f>
        <v>0</v>
      </c>
      <c r="H336" s="12" t="s">
        <v>4661</v>
      </c>
      <c r="I336" s="13" t="s">
        <v>4668</v>
      </c>
      <c r="J336" s="13" t="s">
        <v>4672</v>
      </c>
      <c r="K336" t="s">
        <v>4801</v>
      </c>
      <c r="L336" s="12" t="s">
        <v>4672</v>
      </c>
      <c r="M336" s="17" t="str">
        <f>IF(LEN(COUNTIFS($H$1:H336,$H336,$I$1:I336,$I336,$J$1:J336,$J336,$K$1:K336,K336,$L$1:L336,L336))=1,"00"&amp;COUNTIFS($H$1:H336,$H336,$I$1:I336,$I336,$J$1:J336,$J336,$K$1:K336,K336,$L$1:L336,L336),IF(LEN(COUNTIFS($H$1:H336,$H336,$I$1:I336,$I336,$J$1:J336,$J336,$K$1:K336,K336,$L$1:L336,L336))=2,"0"&amp;COUNTIFS($H$1:H336,$H336,$I$1:I336,$I336,$J$1:J336,$J336,$K$1:K336,K336,$L$1:L336,L336),COUNTIFS($H$1:H336,$H336,$I$1:I336,$I336,$J$1:J336,$J336,$K$1:K336,K336,$L$1:L336,L336)))</f>
        <v>035</v>
      </c>
      <c r="N33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36" s="14" t="e">
        <f>+LEN(Table4[[#This Row],[New Item Code]])</f>
        <v>#N/A</v>
      </c>
      <c r="P336" s="15" t="s">
        <v>4747</v>
      </c>
      <c r="Q336" s="15" t="s">
        <v>4749</v>
      </c>
      <c r="R336" s="15"/>
      <c r="S336" s="15"/>
      <c r="T336" s="15" t="s">
        <v>4672</v>
      </c>
    </row>
    <row r="337" spans="1:20" x14ac:dyDescent="0.35">
      <c r="A337" s="3" t="s">
        <v>679</v>
      </c>
      <c r="B337" s="3" t="s">
        <v>680</v>
      </c>
      <c r="C337" s="3" t="s">
        <v>56</v>
      </c>
      <c r="D337" s="3">
        <v>0</v>
      </c>
      <c r="E337" s="3" t="s">
        <v>57</v>
      </c>
      <c r="F337" s="3">
        <v>0</v>
      </c>
      <c r="G337" s="21">
        <f>Table4[[#This Row],[Item Cost]]*Table4[[#This Row],[In Stock]]</f>
        <v>0</v>
      </c>
      <c r="H337" s="12" t="s">
        <v>4661</v>
      </c>
      <c r="I337" s="13" t="s">
        <v>4668</v>
      </c>
      <c r="J337" s="13" t="s">
        <v>4672</v>
      </c>
      <c r="K337" t="s">
        <v>4801</v>
      </c>
      <c r="L337" s="12" t="s">
        <v>4672</v>
      </c>
      <c r="M337" s="17" t="str">
        <f>IF(LEN(COUNTIFS($H$1:H337,$H337,$I$1:I337,$I337,$J$1:J337,$J337,$K$1:K337,K337,$L$1:L337,L337))=1,"00"&amp;COUNTIFS($H$1:H337,$H337,$I$1:I337,$I337,$J$1:J337,$J337,$K$1:K337,K337,$L$1:L337,L337),IF(LEN(COUNTIFS($H$1:H337,$H337,$I$1:I337,$I337,$J$1:J337,$J337,$K$1:K337,K337,$L$1:L337,L337))=2,"0"&amp;COUNTIFS($H$1:H337,$H337,$I$1:I337,$I337,$J$1:J337,$J337,$K$1:K337,K337,$L$1:L337,L337),COUNTIFS($H$1:H337,$H337,$I$1:I337,$I337,$J$1:J337,$J337,$K$1:K337,K337,$L$1:L337,L337)))</f>
        <v>036</v>
      </c>
      <c r="N33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37" s="14" t="e">
        <f>+LEN(Table4[[#This Row],[New Item Code]])</f>
        <v>#N/A</v>
      </c>
      <c r="P337" s="15" t="s">
        <v>4747</v>
      </c>
      <c r="Q337" s="15" t="s">
        <v>4749</v>
      </c>
      <c r="R337" s="15"/>
      <c r="S337" s="15"/>
      <c r="T337" s="15" t="s">
        <v>4672</v>
      </c>
    </row>
    <row r="338" spans="1:20" x14ac:dyDescent="0.35">
      <c r="A338" s="2" t="s">
        <v>681</v>
      </c>
      <c r="B338" s="2" t="s">
        <v>682</v>
      </c>
      <c r="C338" s="2" t="s">
        <v>56</v>
      </c>
      <c r="D338" s="2">
        <v>0</v>
      </c>
      <c r="E338" s="2" t="s">
        <v>57</v>
      </c>
      <c r="F338" s="2">
        <v>0</v>
      </c>
      <c r="G338" s="22">
        <f>Table4[[#This Row],[Item Cost]]*Table4[[#This Row],[In Stock]]</f>
        <v>0</v>
      </c>
      <c r="H338" s="12" t="s">
        <v>4661</v>
      </c>
      <c r="I338" s="13" t="s">
        <v>4668</v>
      </c>
      <c r="J338" s="13" t="s">
        <v>4672</v>
      </c>
      <c r="K338" t="s">
        <v>4801</v>
      </c>
      <c r="L338" s="12" t="s">
        <v>4672</v>
      </c>
      <c r="M338" s="17" t="str">
        <f>IF(LEN(COUNTIFS($H$1:H338,$H338,$I$1:I338,$I338,$J$1:J338,$J338,$K$1:K338,K338,$L$1:L338,L338))=1,"00"&amp;COUNTIFS($H$1:H338,$H338,$I$1:I338,$I338,$J$1:J338,$J338,$K$1:K338,K338,$L$1:L338,L338),IF(LEN(COUNTIFS($H$1:H338,$H338,$I$1:I338,$I338,$J$1:J338,$J338,$K$1:K338,K338,$L$1:L338,L338))=2,"0"&amp;COUNTIFS($H$1:H338,$H338,$I$1:I338,$I338,$J$1:J338,$J338,$K$1:K338,K338,$L$1:L338,L338),COUNTIFS($H$1:H338,$H338,$I$1:I338,$I338,$J$1:J338,$J338,$K$1:K338,K338,$L$1:L338,L338)))</f>
        <v>037</v>
      </c>
      <c r="N33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38" s="14" t="e">
        <f>+LEN(Table4[[#This Row],[New Item Code]])</f>
        <v>#N/A</v>
      </c>
      <c r="P338" s="15" t="s">
        <v>4747</v>
      </c>
      <c r="Q338" s="15" t="s">
        <v>4749</v>
      </c>
      <c r="R338" s="15"/>
      <c r="S338" s="15"/>
      <c r="T338" s="15" t="s">
        <v>4672</v>
      </c>
    </row>
    <row r="339" spans="1:20" x14ac:dyDescent="0.35">
      <c r="A339" s="3" t="s">
        <v>683</v>
      </c>
      <c r="B339" s="3" t="s">
        <v>684</v>
      </c>
      <c r="C339" s="3" t="s">
        <v>56</v>
      </c>
      <c r="D339" s="3">
        <v>0</v>
      </c>
      <c r="E339" s="3" t="s">
        <v>57</v>
      </c>
      <c r="F339" s="3">
        <v>0</v>
      </c>
      <c r="G339" s="21">
        <f>Table4[[#This Row],[Item Cost]]*Table4[[#This Row],[In Stock]]</f>
        <v>0</v>
      </c>
      <c r="H339" s="12" t="s">
        <v>4661</v>
      </c>
      <c r="I339" s="13" t="s">
        <v>4668</v>
      </c>
      <c r="J339" s="13" t="s">
        <v>4672</v>
      </c>
      <c r="K339" s="13" t="s">
        <v>4758</v>
      </c>
      <c r="L339" s="12" t="s">
        <v>4672</v>
      </c>
      <c r="M339" s="17" t="str">
        <f>IF(LEN(COUNTIFS($H$1:H339,$H339,$I$1:I339,$I339,$J$1:J339,$J339,$K$1:K339,K339,$L$1:L339,L339))=1,"00"&amp;COUNTIFS($H$1:H339,$H339,$I$1:I339,$I339,$J$1:J339,$J339,$K$1:K339,K339,$L$1:L339,L339),IF(LEN(COUNTIFS($H$1:H339,$H339,$I$1:I339,$I339,$J$1:J339,$J339,$K$1:K339,K339,$L$1:L339,L339))=2,"0"&amp;COUNTIFS($H$1:H339,$H339,$I$1:I339,$I339,$J$1:J339,$J339,$K$1:K339,K339,$L$1:L339,L339),COUNTIFS($H$1:H339,$H339,$I$1:I339,$I339,$J$1:J339,$J339,$K$1:K339,K339,$L$1:L339,L339)))</f>
        <v>061</v>
      </c>
      <c r="N33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39" s="14" t="e">
        <f>+LEN(Table4[[#This Row],[New Item Code]])</f>
        <v>#N/A</v>
      </c>
      <c r="P339" s="15" t="s">
        <v>4747</v>
      </c>
      <c r="Q339" s="15" t="s">
        <v>4749</v>
      </c>
      <c r="R339" s="15"/>
      <c r="S339" s="15"/>
      <c r="T339" s="15" t="s">
        <v>4672</v>
      </c>
    </row>
    <row r="340" spans="1:20" x14ac:dyDescent="0.35">
      <c r="A340" s="2" t="s">
        <v>685</v>
      </c>
      <c r="B340" s="2" t="s">
        <v>686</v>
      </c>
      <c r="C340" s="2" t="s">
        <v>56</v>
      </c>
      <c r="D340" s="2">
        <v>0</v>
      </c>
      <c r="E340" s="2" t="s">
        <v>57</v>
      </c>
      <c r="F340" s="2">
        <v>0</v>
      </c>
      <c r="G340" s="22">
        <f>Table4[[#This Row],[Item Cost]]*Table4[[#This Row],[In Stock]]</f>
        <v>0</v>
      </c>
      <c r="H340" s="12" t="s">
        <v>4661</v>
      </c>
      <c r="I340" s="13" t="s">
        <v>4668</v>
      </c>
      <c r="J340" s="13" t="s">
        <v>4672</v>
      </c>
      <c r="K340" s="13" t="s">
        <v>4758</v>
      </c>
      <c r="L340" s="12" t="s">
        <v>4672</v>
      </c>
      <c r="M340" s="17" t="str">
        <f>IF(LEN(COUNTIFS($H$1:H340,$H340,$I$1:I340,$I340,$J$1:J340,$J340,$K$1:K340,K340,$L$1:L340,L340))=1,"00"&amp;COUNTIFS($H$1:H340,$H340,$I$1:I340,$I340,$J$1:J340,$J340,$K$1:K340,K340,$L$1:L340,L340),IF(LEN(COUNTIFS($H$1:H340,$H340,$I$1:I340,$I340,$J$1:J340,$J340,$K$1:K340,K340,$L$1:L340,L340))=2,"0"&amp;COUNTIFS($H$1:H340,$H340,$I$1:I340,$I340,$J$1:J340,$J340,$K$1:K340,K340,$L$1:L340,L340),COUNTIFS($H$1:H340,$H340,$I$1:I340,$I340,$J$1:J340,$J340,$K$1:K340,K340,$L$1:L340,L340)))</f>
        <v>062</v>
      </c>
      <c r="N34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40" s="14" t="e">
        <f>+LEN(Table4[[#This Row],[New Item Code]])</f>
        <v>#N/A</v>
      </c>
      <c r="P340" s="15" t="s">
        <v>4747</v>
      </c>
      <c r="Q340" s="15" t="s">
        <v>4749</v>
      </c>
      <c r="R340" s="15"/>
      <c r="S340" s="15"/>
      <c r="T340" s="15" t="s">
        <v>4672</v>
      </c>
    </row>
    <row r="341" spans="1:20" x14ac:dyDescent="0.35">
      <c r="A341" s="3" t="s">
        <v>687</v>
      </c>
      <c r="B341" s="3" t="s">
        <v>688</v>
      </c>
      <c r="C341" s="3" t="s">
        <v>56</v>
      </c>
      <c r="D341" s="3">
        <v>0</v>
      </c>
      <c r="E341" s="3" t="s">
        <v>57</v>
      </c>
      <c r="F341" s="3">
        <v>0</v>
      </c>
      <c r="G341" s="21">
        <f>Table4[[#This Row],[Item Cost]]*Table4[[#This Row],[In Stock]]</f>
        <v>0</v>
      </c>
      <c r="H341" s="12" t="s">
        <v>4661</v>
      </c>
      <c r="I341" s="13" t="s">
        <v>4668</v>
      </c>
      <c r="J341" s="13" t="s">
        <v>4672</v>
      </c>
      <c r="K341" s="13" t="s">
        <v>4758</v>
      </c>
      <c r="L341" s="12" t="s">
        <v>4672</v>
      </c>
      <c r="M341" s="17" t="str">
        <f>IF(LEN(COUNTIFS($H$1:H341,$H341,$I$1:I341,$I341,$J$1:J341,$J341,$K$1:K341,K341,$L$1:L341,L341))=1,"00"&amp;COUNTIFS($H$1:H341,$H341,$I$1:I341,$I341,$J$1:J341,$J341,$K$1:K341,K341,$L$1:L341,L341),IF(LEN(COUNTIFS($H$1:H341,$H341,$I$1:I341,$I341,$J$1:J341,$J341,$K$1:K341,K341,$L$1:L341,L341))=2,"0"&amp;COUNTIFS($H$1:H341,$H341,$I$1:I341,$I341,$J$1:J341,$J341,$K$1:K341,K341,$L$1:L341,L341),COUNTIFS($H$1:H341,$H341,$I$1:I341,$I341,$J$1:J341,$J341,$K$1:K341,K341,$L$1:L341,L341)))</f>
        <v>063</v>
      </c>
      <c r="N34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41" s="14" t="e">
        <f>+LEN(Table4[[#This Row],[New Item Code]])</f>
        <v>#N/A</v>
      </c>
      <c r="P341" s="15" t="s">
        <v>4747</v>
      </c>
      <c r="Q341" s="15" t="s">
        <v>4749</v>
      </c>
      <c r="R341" s="15"/>
      <c r="S341" s="15"/>
      <c r="T341" s="15" t="s">
        <v>4672</v>
      </c>
    </row>
    <row r="342" spans="1:20" x14ac:dyDescent="0.35">
      <c r="A342" s="2" t="s">
        <v>689</v>
      </c>
      <c r="B342" s="2" t="s">
        <v>690</v>
      </c>
      <c r="C342" s="2" t="s">
        <v>56</v>
      </c>
      <c r="D342" s="2">
        <v>0</v>
      </c>
      <c r="E342" s="2" t="s">
        <v>57</v>
      </c>
      <c r="F342" s="2">
        <v>0</v>
      </c>
      <c r="G342" s="22">
        <f>Table4[[#This Row],[Item Cost]]*Table4[[#This Row],[In Stock]]</f>
        <v>0</v>
      </c>
      <c r="H342" s="12" t="s">
        <v>4661</v>
      </c>
      <c r="I342" s="13" t="s">
        <v>4668</v>
      </c>
      <c r="J342" s="13" t="s">
        <v>4672</v>
      </c>
      <c r="K342" s="13" t="s">
        <v>4758</v>
      </c>
      <c r="L342" s="12" t="s">
        <v>4672</v>
      </c>
      <c r="M342" s="17" t="str">
        <f>IF(LEN(COUNTIFS($H$1:H342,$H342,$I$1:I342,$I342,$J$1:J342,$J342,$K$1:K342,K342,$L$1:L342,L342))=1,"00"&amp;COUNTIFS($H$1:H342,$H342,$I$1:I342,$I342,$J$1:J342,$J342,$K$1:K342,K342,$L$1:L342,L342),IF(LEN(COUNTIFS($H$1:H342,$H342,$I$1:I342,$I342,$J$1:J342,$J342,$K$1:K342,K342,$L$1:L342,L342))=2,"0"&amp;COUNTIFS($H$1:H342,$H342,$I$1:I342,$I342,$J$1:J342,$J342,$K$1:K342,K342,$L$1:L342,L342),COUNTIFS($H$1:H342,$H342,$I$1:I342,$I342,$J$1:J342,$J342,$K$1:K342,K342,$L$1:L342,L342)))</f>
        <v>064</v>
      </c>
      <c r="N34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42" s="14" t="e">
        <f>+LEN(Table4[[#This Row],[New Item Code]])</f>
        <v>#N/A</v>
      </c>
      <c r="P342" s="15" t="s">
        <v>4747</v>
      </c>
      <c r="Q342" s="15" t="s">
        <v>4749</v>
      </c>
      <c r="R342" s="15"/>
      <c r="S342" s="15"/>
      <c r="T342" s="15" t="s">
        <v>4672</v>
      </c>
    </row>
    <row r="343" spans="1:20" x14ac:dyDescent="0.35">
      <c r="A343" s="3" t="s">
        <v>691</v>
      </c>
      <c r="B343" s="3" t="s">
        <v>692</v>
      </c>
      <c r="C343" s="3" t="s">
        <v>56</v>
      </c>
      <c r="D343" s="3">
        <v>0</v>
      </c>
      <c r="E343" s="3" t="s">
        <v>57</v>
      </c>
      <c r="F343" s="3">
        <v>0</v>
      </c>
      <c r="G343" s="21">
        <f>Table4[[#This Row],[Item Cost]]*Table4[[#This Row],[In Stock]]</f>
        <v>0</v>
      </c>
      <c r="H343" s="12" t="s">
        <v>4661</v>
      </c>
      <c r="I343" s="13" t="s">
        <v>4668</v>
      </c>
      <c r="J343" s="13" t="s">
        <v>4672</v>
      </c>
      <c r="K343" s="13" t="s">
        <v>4758</v>
      </c>
      <c r="L343" s="12" t="s">
        <v>4672</v>
      </c>
      <c r="M343" s="17" t="str">
        <f>IF(LEN(COUNTIFS($H$1:H343,$H343,$I$1:I343,$I343,$J$1:J343,$J343,$K$1:K343,K343,$L$1:L343,L343))=1,"00"&amp;COUNTIFS($H$1:H343,$H343,$I$1:I343,$I343,$J$1:J343,$J343,$K$1:K343,K343,$L$1:L343,L343),IF(LEN(COUNTIFS($H$1:H343,$H343,$I$1:I343,$I343,$J$1:J343,$J343,$K$1:K343,K343,$L$1:L343,L343))=2,"0"&amp;COUNTIFS($H$1:H343,$H343,$I$1:I343,$I343,$J$1:J343,$J343,$K$1:K343,K343,$L$1:L343,L343),COUNTIFS($H$1:H343,$H343,$I$1:I343,$I343,$J$1:J343,$J343,$K$1:K343,K343,$L$1:L343,L343)))</f>
        <v>065</v>
      </c>
      <c r="N34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43" s="14" t="e">
        <f>+LEN(Table4[[#This Row],[New Item Code]])</f>
        <v>#N/A</v>
      </c>
      <c r="P343" s="15" t="s">
        <v>4747</v>
      </c>
      <c r="Q343" s="15" t="s">
        <v>4749</v>
      </c>
      <c r="R343" s="15"/>
      <c r="S343" s="15"/>
      <c r="T343" s="15" t="s">
        <v>4672</v>
      </c>
    </row>
    <row r="344" spans="1:20" x14ac:dyDescent="0.35">
      <c r="A344" s="2" t="s">
        <v>693</v>
      </c>
      <c r="B344" s="2" t="s">
        <v>694</v>
      </c>
      <c r="C344" s="2" t="s">
        <v>56</v>
      </c>
      <c r="D344" s="2">
        <v>0</v>
      </c>
      <c r="E344" s="2" t="s">
        <v>57</v>
      </c>
      <c r="F344" s="2">
        <v>0</v>
      </c>
      <c r="G344" s="22">
        <f>Table4[[#This Row],[Item Cost]]*Table4[[#This Row],[In Stock]]</f>
        <v>0</v>
      </c>
      <c r="H344" s="12" t="s">
        <v>4661</v>
      </c>
      <c r="I344" s="13" t="s">
        <v>4668</v>
      </c>
      <c r="J344" s="13" t="s">
        <v>4672</v>
      </c>
      <c r="K344" s="13" t="s">
        <v>4758</v>
      </c>
      <c r="L344" s="12" t="s">
        <v>4672</v>
      </c>
      <c r="M344" s="17" t="str">
        <f>IF(LEN(COUNTIFS($H$1:H344,$H344,$I$1:I344,$I344,$J$1:J344,$J344,$K$1:K344,K344,$L$1:L344,L344))=1,"00"&amp;COUNTIFS($H$1:H344,$H344,$I$1:I344,$I344,$J$1:J344,$J344,$K$1:K344,K344,$L$1:L344,L344),IF(LEN(COUNTIFS($H$1:H344,$H344,$I$1:I344,$I344,$J$1:J344,$J344,$K$1:K344,K344,$L$1:L344,L344))=2,"0"&amp;COUNTIFS($H$1:H344,$H344,$I$1:I344,$I344,$J$1:J344,$J344,$K$1:K344,K344,$L$1:L344,L344),COUNTIFS($H$1:H344,$H344,$I$1:I344,$I344,$J$1:J344,$J344,$K$1:K344,K344,$L$1:L344,L344)))</f>
        <v>066</v>
      </c>
      <c r="N34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44" s="14" t="e">
        <f>+LEN(Table4[[#This Row],[New Item Code]])</f>
        <v>#N/A</v>
      </c>
      <c r="P344" s="15" t="s">
        <v>4747</v>
      </c>
      <c r="Q344" s="15" t="s">
        <v>4749</v>
      </c>
      <c r="R344" s="15"/>
      <c r="S344" s="15"/>
      <c r="T344" s="15" t="s">
        <v>4672</v>
      </c>
    </row>
    <row r="345" spans="1:20" x14ac:dyDescent="0.35">
      <c r="A345" s="3" t="s">
        <v>695</v>
      </c>
      <c r="B345" s="3" t="s">
        <v>696</v>
      </c>
      <c r="C345" s="3" t="s">
        <v>56</v>
      </c>
      <c r="D345" s="3">
        <v>0</v>
      </c>
      <c r="E345" s="3" t="s">
        <v>57</v>
      </c>
      <c r="F345" s="3">
        <v>0</v>
      </c>
      <c r="G345" s="21">
        <f>Table4[[#This Row],[Item Cost]]*Table4[[#This Row],[In Stock]]</f>
        <v>0</v>
      </c>
      <c r="H345" s="12" t="s">
        <v>4661</v>
      </c>
      <c r="I345" s="13" t="s">
        <v>4668</v>
      </c>
      <c r="J345" s="13" t="s">
        <v>4672</v>
      </c>
      <c r="K345" s="13" t="s">
        <v>4758</v>
      </c>
      <c r="L345" s="12" t="s">
        <v>4672</v>
      </c>
      <c r="M345" s="17" t="str">
        <f>IF(LEN(COUNTIFS($H$1:H345,$H345,$I$1:I345,$I345,$J$1:J345,$J345,$K$1:K345,K345,$L$1:L345,L345))=1,"00"&amp;COUNTIFS($H$1:H345,$H345,$I$1:I345,$I345,$J$1:J345,$J345,$K$1:K345,K345,$L$1:L345,L345),IF(LEN(COUNTIFS($H$1:H345,$H345,$I$1:I345,$I345,$J$1:J345,$J345,$K$1:K345,K345,$L$1:L345,L345))=2,"0"&amp;COUNTIFS($H$1:H345,$H345,$I$1:I345,$I345,$J$1:J345,$J345,$K$1:K345,K345,$L$1:L345,L345),COUNTIFS($H$1:H345,$H345,$I$1:I345,$I345,$J$1:J345,$J345,$K$1:K345,K345,$L$1:L345,L345)))</f>
        <v>067</v>
      </c>
      <c r="N34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45" s="14" t="e">
        <f>+LEN(Table4[[#This Row],[New Item Code]])</f>
        <v>#N/A</v>
      </c>
      <c r="P345" s="15" t="s">
        <v>4747</v>
      </c>
      <c r="Q345" s="15" t="s">
        <v>4749</v>
      </c>
      <c r="R345" s="15"/>
      <c r="S345" s="15"/>
      <c r="T345" s="15" t="s">
        <v>4672</v>
      </c>
    </row>
    <row r="346" spans="1:20" x14ac:dyDescent="0.35">
      <c r="A346" s="2" t="s">
        <v>697</v>
      </c>
      <c r="B346" s="2" t="s">
        <v>698</v>
      </c>
      <c r="C346" s="2" t="s">
        <v>56</v>
      </c>
      <c r="D346" s="2">
        <v>0</v>
      </c>
      <c r="E346" s="2" t="s">
        <v>57</v>
      </c>
      <c r="F346" s="2">
        <v>0</v>
      </c>
      <c r="G346" s="22">
        <f>Table4[[#This Row],[Item Cost]]*Table4[[#This Row],[In Stock]]</f>
        <v>0</v>
      </c>
      <c r="H346" s="12" t="s">
        <v>4661</v>
      </c>
      <c r="I346" s="13" t="s">
        <v>4668</v>
      </c>
      <c r="J346" s="13" t="s">
        <v>4672</v>
      </c>
      <c r="K346" s="13" t="s">
        <v>4758</v>
      </c>
      <c r="L346" s="12" t="s">
        <v>4672</v>
      </c>
      <c r="M346" s="17" t="str">
        <f>IF(LEN(COUNTIFS($H$1:H346,$H346,$I$1:I346,$I346,$J$1:J346,$J346,$K$1:K346,K346,$L$1:L346,L346))=1,"00"&amp;COUNTIFS($H$1:H346,$H346,$I$1:I346,$I346,$J$1:J346,$J346,$K$1:K346,K346,$L$1:L346,L346),IF(LEN(COUNTIFS($H$1:H346,$H346,$I$1:I346,$I346,$J$1:J346,$J346,$K$1:K346,K346,$L$1:L346,L346))=2,"0"&amp;COUNTIFS($H$1:H346,$H346,$I$1:I346,$I346,$J$1:J346,$J346,$K$1:K346,K346,$L$1:L346,L346),COUNTIFS($H$1:H346,$H346,$I$1:I346,$I346,$J$1:J346,$J346,$K$1:K346,K346,$L$1:L346,L346)))</f>
        <v>068</v>
      </c>
      <c r="N34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46" s="14" t="e">
        <f>+LEN(Table4[[#This Row],[New Item Code]])</f>
        <v>#N/A</v>
      </c>
      <c r="P346" s="15" t="s">
        <v>4747</v>
      </c>
      <c r="Q346" s="15" t="s">
        <v>4749</v>
      </c>
      <c r="R346" s="15"/>
      <c r="S346" s="15"/>
      <c r="T346" s="15" t="s">
        <v>4672</v>
      </c>
    </row>
    <row r="347" spans="1:20" x14ac:dyDescent="0.35">
      <c r="A347" s="3" t="s">
        <v>699</v>
      </c>
      <c r="B347" s="3" t="s">
        <v>700</v>
      </c>
      <c r="C347" s="3" t="s">
        <v>56</v>
      </c>
      <c r="D347" s="3">
        <v>0</v>
      </c>
      <c r="E347" s="3" t="s">
        <v>57</v>
      </c>
      <c r="F347" s="3">
        <v>0</v>
      </c>
      <c r="G347" s="21">
        <f>Table4[[#This Row],[Item Cost]]*Table4[[#This Row],[In Stock]]</f>
        <v>0</v>
      </c>
      <c r="H347" s="12" t="s">
        <v>4661</v>
      </c>
      <c r="I347" s="13" t="s">
        <v>4668</v>
      </c>
      <c r="J347" s="13" t="s">
        <v>4672</v>
      </c>
      <c r="K347" s="13" t="s">
        <v>4758</v>
      </c>
      <c r="L347" s="12" t="s">
        <v>4672</v>
      </c>
      <c r="M347" s="17" t="str">
        <f>IF(LEN(COUNTIFS($H$1:H347,$H347,$I$1:I347,$I347,$J$1:J347,$J347,$K$1:K347,K347,$L$1:L347,L347))=1,"00"&amp;COUNTIFS($H$1:H347,$H347,$I$1:I347,$I347,$J$1:J347,$J347,$K$1:K347,K347,$L$1:L347,L347),IF(LEN(COUNTIFS($H$1:H347,$H347,$I$1:I347,$I347,$J$1:J347,$J347,$K$1:K347,K347,$L$1:L347,L347))=2,"0"&amp;COUNTIFS($H$1:H347,$H347,$I$1:I347,$I347,$J$1:J347,$J347,$K$1:K347,K347,$L$1:L347,L347),COUNTIFS($H$1:H347,$H347,$I$1:I347,$I347,$J$1:J347,$J347,$K$1:K347,K347,$L$1:L347,L347)))</f>
        <v>069</v>
      </c>
      <c r="N34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47" s="14" t="e">
        <f>+LEN(Table4[[#This Row],[New Item Code]])</f>
        <v>#N/A</v>
      </c>
      <c r="P347" s="15" t="s">
        <v>4747</v>
      </c>
      <c r="Q347" s="15" t="s">
        <v>4749</v>
      </c>
      <c r="R347" s="15"/>
      <c r="S347" s="15"/>
      <c r="T347" s="15" t="s">
        <v>4672</v>
      </c>
    </row>
    <row r="348" spans="1:20" x14ac:dyDescent="0.35">
      <c r="A348" s="2" t="s">
        <v>701</v>
      </c>
      <c r="B348" s="2" t="s">
        <v>702</v>
      </c>
      <c r="C348" s="2" t="s">
        <v>56</v>
      </c>
      <c r="D348" s="2">
        <v>0</v>
      </c>
      <c r="E348" s="2" t="s">
        <v>57</v>
      </c>
      <c r="F348" s="2">
        <v>0</v>
      </c>
      <c r="G348" s="22">
        <f>Table4[[#This Row],[Item Cost]]*Table4[[#This Row],[In Stock]]</f>
        <v>0</v>
      </c>
      <c r="H348" s="12" t="s">
        <v>4661</v>
      </c>
      <c r="I348" s="13" t="s">
        <v>4668</v>
      </c>
      <c r="J348" s="13" t="s">
        <v>4672</v>
      </c>
      <c r="K348" s="13" t="s">
        <v>4758</v>
      </c>
      <c r="L348" s="12" t="s">
        <v>4672</v>
      </c>
      <c r="M348" s="17" t="str">
        <f>IF(LEN(COUNTIFS($H$1:H348,$H348,$I$1:I348,$I348,$J$1:J348,$J348,$K$1:K348,K348,$L$1:L348,L348))=1,"00"&amp;COUNTIFS($H$1:H348,$H348,$I$1:I348,$I348,$J$1:J348,$J348,$K$1:K348,K348,$L$1:L348,L348),IF(LEN(COUNTIFS($H$1:H348,$H348,$I$1:I348,$I348,$J$1:J348,$J348,$K$1:K348,K348,$L$1:L348,L348))=2,"0"&amp;COUNTIFS($H$1:H348,$H348,$I$1:I348,$I348,$J$1:J348,$J348,$K$1:K348,K348,$L$1:L348,L348),COUNTIFS($H$1:H348,$H348,$I$1:I348,$I348,$J$1:J348,$J348,$K$1:K348,K348,$L$1:L348,L348)))</f>
        <v>070</v>
      </c>
      <c r="N34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48" s="14" t="e">
        <f>+LEN(Table4[[#This Row],[New Item Code]])</f>
        <v>#N/A</v>
      </c>
      <c r="P348" s="15" t="s">
        <v>4747</v>
      </c>
      <c r="Q348" s="15" t="s">
        <v>4749</v>
      </c>
      <c r="R348" s="15"/>
      <c r="S348" s="15"/>
      <c r="T348" s="15" t="s">
        <v>4672</v>
      </c>
    </row>
    <row r="349" spans="1:20" x14ac:dyDescent="0.35">
      <c r="A349" s="3" t="s">
        <v>703</v>
      </c>
      <c r="B349" s="3" t="s">
        <v>704</v>
      </c>
      <c r="C349" s="3" t="s">
        <v>56</v>
      </c>
      <c r="D349" s="3">
        <v>0</v>
      </c>
      <c r="E349" s="3" t="s">
        <v>57</v>
      </c>
      <c r="F349" s="3">
        <v>0</v>
      </c>
      <c r="G349" s="21">
        <f>Table4[[#This Row],[Item Cost]]*Table4[[#This Row],[In Stock]]</f>
        <v>0</v>
      </c>
      <c r="H349" s="12" t="s">
        <v>4661</v>
      </c>
      <c r="I349" s="13" t="s">
        <v>4668</v>
      </c>
      <c r="J349" s="13" t="s">
        <v>4672</v>
      </c>
      <c r="K349" s="13" t="s">
        <v>4758</v>
      </c>
      <c r="L349" s="12" t="s">
        <v>4672</v>
      </c>
      <c r="M349" s="17" t="str">
        <f>IF(LEN(COUNTIFS($H$1:H349,$H349,$I$1:I349,$I349,$J$1:J349,$J349,$K$1:K349,K349,$L$1:L349,L349))=1,"00"&amp;COUNTIFS($H$1:H349,$H349,$I$1:I349,$I349,$J$1:J349,$J349,$K$1:K349,K349,$L$1:L349,L349),IF(LEN(COUNTIFS($H$1:H349,$H349,$I$1:I349,$I349,$J$1:J349,$J349,$K$1:K349,K349,$L$1:L349,L349))=2,"0"&amp;COUNTIFS($H$1:H349,$H349,$I$1:I349,$I349,$J$1:J349,$J349,$K$1:K349,K349,$L$1:L349,L349),COUNTIFS($H$1:H349,$H349,$I$1:I349,$I349,$J$1:J349,$J349,$K$1:K349,K349,$L$1:L349,L349)))</f>
        <v>071</v>
      </c>
      <c r="N34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49" s="14" t="e">
        <f>+LEN(Table4[[#This Row],[New Item Code]])</f>
        <v>#N/A</v>
      </c>
      <c r="P349" s="15" t="s">
        <v>4747</v>
      </c>
      <c r="Q349" s="15" t="s">
        <v>4749</v>
      </c>
      <c r="R349" s="15"/>
      <c r="S349" s="15"/>
      <c r="T349" s="15" t="s">
        <v>4672</v>
      </c>
    </row>
    <row r="350" spans="1:20" x14ac:dyDescent="0.35">
      <c r="A350" s="2" t="s">
        <v>705</v>
      </c>
      <c r="B350" s="2" t="s">
        <v>706</v>
      </c>
      <c r="C350" s="2" t="s">
        <v>56</v>
      </c>
      <c r="D350" s="2">
        <v>0</v>
      </c>
      <c r="E350" s="2" t="s">
        <v>57</v>
      </c>
      <c r="F350" s="2">
        <v>0</v>
      </c>
      <c r="G350" s="22">
        <f>Table4[[#This Row],[Item Cost]]*Table4[[#This Row],[In Stock]]</f>
        <v>0</v>
      </c>
      <c r="H350" s="12" t="s">
        <v>4661</v>
      </c>
      <c r="I350" s="13" t="s">
        <v>4668</v>
      </c>
      <c r="J350" s="13" t="s">
        <v>4672</v>
      </c>
      <c r="K350" s="13" t="s">
        <v>4758</v>
      </c>
      <c r="L350" s="12" t="s">
        <v>4672</v>
      </c>
      <c r="M350" s="17" t="str">
        <f>IF(LEN(COUNTIFS($H$1:H350,$H350,$I$1:I350,$I350,$J$1:J350,$J350,$K$1:K350,K350,$L$1:L350,L350))=1,"00"&amp;COUNTIFS($H$1:H350,$H350,$I$1:I350,$I350,$J$1:J350,$J350,$K$1:K350,K350,$L$1:L350,L350),IF(LEN(COUNTIFS($H$1:H350,$H350,$I$1:I350,$I350,$J$1:J350,$J350,$K$1:K350,K350,$L$1:L350,L350))=2,"0"&amp;COUNTIFS($H$1:H350,$H350,$I$1:I350,$I350,$J$1:J350,$J350,$K$1:K350,K350,$L$1:L350,L350),COUNTIFS($H$1:H350,$H350,$I$1:I350,$I350,$J$1:J350,$J350,$K$1:K350,K350,$L$1:L350,L350)))</f>
        <v>072</v>
      </c>
      <c r="N35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50" s="14" t="e">
        <f>+LEN(Table4[[#This Row],[New Item Code]])</f>
        <v>#N/A</v>
      </c>
      <c r="P350" s="15" t="s">
        <v>4747</v>
      </c>
      <c r="Q350" s="15" t="s">
        <v>4749</v>
      </c>
      <c r="R350" s="15"/>
      <c r="S350" s="15"/>
      <c r="T350" s="15" t="s">
        <v>4672</v>
      </c>
    </row>
    <row r="351" spans="1:20" x14ac:dyDescent="0.35">
      <c r="A351" s="3" t="s">
        <v>707</v>
      </c>
      <c r="B351" s="3" t="s">
        <v>708</v>
      </c>
      <c r="C351" s="3" t="s">
        <v>56</v>
      </c>
      <c r="D351" s="3">
        <v>0</v>
      </c>
      <c r="E351" s="3" t="s">
        <v>57</v>
      </c>
      <c r="F351" s="3">
        <v>0</v>
      </c>
      <c r="G351" s="21">
        <f>Table4[[#This Row],[Item Cost]]*Table4[[#This Row],[In Stock]]</f>
        <v>0</v>
      </c>
      <c r="H351" s="12" t="s">
        <v>4661</v>
      </c>
      <c r="I351" s="13" t="s">
        <v>4668</v>
      </c>
      <c r="J351" s="13" t="s">
        <v>4672</v>
      </c>
      <c r="K351" s="13" t="s">
        <v>4758</v>
      </c>
      <c r="L351" s="12" t="s">
        <v>4672</v>
      </c>
      <c r="M351" s="17" t="str">
        <f>IF(LEN(COUNTIFS($H$1:H351,$H351,$I$1:I351,$I351,$J$1:J351,$J351,$K$1:K351,K351,$L$1:L351,L351))=1,"00"&amp;COUNTIFS($H$1:H351,$H351,$I$1:I351,$I351,$J$1:J351,$J351,$K$1:K351,K351,$L$1:L351,L351),IF(LEN(COUNTIFS($H$1:H351,$H351,$I$1:I351,$I351,$J$1:J351,$J351,$K$1:K351,K351,$L$1:L351,L351))=2,"0"&amp;COUNTIFS($H$1:H351,$H351,$I$1:I351,$I351,$J$1:J351,$J351,$K$1:K351,K351,$L$1:L351,L351),COUNTIFS($H$1:H351,$H351,$I$1:I351,$I351,$J$1:J351,$J351,$K$1:K351,K351,$L$1:L351,L351)))</f>
        <v>073</v>
      </c>
      <c r="N35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51" s="14" t="e">
        <f>+LEN(Table4[[#This Row],[New Item Code]])</f>
        <v>#N/A</v>
      </c>
      <c r="P351" s="15" t="s">
        <v>4747</v>
      </c>
      <c r="Q351" s="15" t="s">
        <v>4749</v>
      </c>
      <c r="R351" s="15"/>
      <c r="S351" s="15"/>
      <c r="T351" s="15" t="s">
        <v>4672</v>
      </c>
    </row>
    <row r="352" spans="1:20" x14ac:dyDescent="0.35">
      <c r="A352" s="2" t="s">
        <v>709</v>
      </c>
      <c r="B352" s="2" t="s">
        <v>710</v>
      </c>
      <c r="C352" s="2" t="s">
        <v>56</v>
      </c>
      <c r="D352" s="2">
        <v>0</v>
      </c>
      <c r="E352" s="2" t="s">
        <v>57</v>
      </c>
      <c r="F352" s="2">
        <v>0</v>
      </c>
      <c r="G352" s="22">
        <f>Table4[[#This Row],[Item Cost]]*Table4[[#This Row],[In Stock]]</f>
        <v>0</v>
      </c>
      <c r="H352" s="12" t="s">
        <v>4661</v>
      </c>
      <c r="I352" s="13" t="s">
        <v>4668</v>
      </c>
      <c r="J352" s="13" t="s">
        <v>4672</v>
      </c>
      <c r="K352" s="13" t="s">
        <v>4758</v>
      </c>
      <c r="L352" s="12" t="s">
        <v>4672</v>
      </c>
      <c r="M352" s="17" t="str">
        <f>IF(LEN(COUNTIFS($H$1:H352,$H352,$I$1:I352,$I352,$J$1:J352,$J352,$K$1:K352,K352,$L$1:L352,L352))=1,"00"&amp;COUNTIFS($H$1:H352,$H352,$I$1:I352,$I352,$J$1:J352,$J352,$K$1:K352,K352,$L$1:L352,L352),IF(LEN(COUNTIFS($H$1:H352,$H352,$I$1:I352,$I352,$J$1:J352,$J352,$K$1:K352,K352,$L$1:L352,L352))=2,"0"&amp;COUNTIFS($H$1:H352,$H352,$I$1:I352,$I352,$J$1:J352,$J352,$K$1:K352,K352,$L$1:L352,L352),COUNTIFS($H$1:H352,$H352,$I$1:I352,$I352,$J$1:J352,$J352,$K$1:K352,K352,$L$1:L352,L352)))</f>
        <v>074</v>
      </c>
      <c r="N35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52" s="14" t="e">
        <f>+LEN(Table4[[#This Row],[New Item Code]])</f>
        <v>#N/A</v>
      </c>
      <c r="P352" s="15" t="s">
        <v>4747</v>
      </c>
      <c r="Q352" s="15" t="s">
        <v>4749</v>
      </c>
      <c r="R352" s="15"/>
      <c r="S352" s="15"/>
      <c r="T352" s="15" t="s">
        <v>4672</v>
      </c>
    </row>
    <row r="353" spans="1:20" x14ac:dyDescent="0.35">
      <c r="A353" s="3" t="s">
        <v>711</v>
      </c>
      <c r="B353" s="3" t="s">
        <v>712</v>
      </c>
      <c r="C353" s="3" t="s">
        <v>56</v>
      </c>
      <c r="D353" s="3">
        <v>0</v>
      </c>
      <c r="E353" s="3" t="s">
        <v>57</v>
      </c>
      <c r="F353" s="3">
        <v>0</v>
      </c>
      <c r="G353" s="21">
        <f>Table4[[#This Row],[Item Cost]]*Table4[[#This Row],[In Stock]]</f>
        <v>0</v>
      </c>
      <c r="H353" s="12" t="s">
        <v>4661</v>
      </c>
      <c r="I353" s="13" t="s">
        <v>4668</v>
      </c>
      <c r="J353" s="13" t="s">
        <v>4672</v>
      </c>
      <c r="K353" s="13" t="s">
        <v>4758</v>
      </c>
      <c r="L353" s="12" t="s">
        <v>4672</v>
      </c>
      <c r="M353" s="17" t="str">
        <f>IF(LEN(COUNTIFS($H$1:H353,$H353,$I$1:I353,$I353,$J$1:J353,$J353,$K$1:K353,K353,$L$1:L353,L353))=1,"00"&amp;COUNTIFS($H$1:H353,$H353,$I$1:I353,$I353,$J$1:J353,$J353,$K$1:K353,K353,$L$1:L353,L353),IF(LEN(COUNTIFS($H$1:H353,$H353,$I$1:I353,$I353,$J$1:J353,$J353,$K$1:K353,K353,$L$1:L353,L353))=2,"0"&amp;COUNTIFS($H$1:H353,$H353,$I$1:I353,$I353,$J$1:J353,$J353,$K$1:K353,K353,$L$1:L353,L353),COUNTIFS($H$1:H353,$H353,$I$1:I353,$I353,$J$1:J353,$J353,$K$1:K353,K353,$L$1:L353,L353)))</f>
        <v>075</v>
      </c>
      <c r="N35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53" s="14" t="e">
        <f>+LEN(Table4[[#This Row],[New Item Code]])</f>
        <v>#N/A</v>
      </c>
      <c r="P353" s="15" t="s">
        <v>4747</v>
      </c>
      <c r="Q353" s="15" t="s">
        <v>4749</v>
      </c>
      <c r="R353" s="15"/>
      <c r="S353" s="15"/>
      <c r="T353" s="15" t="s">
        <v>4672</v>
      </c>
    </row>
    <row r="354" spans="1:20" x14ac:dyDescent="0.35">
      <c r="A354" s="2" t="s">
        <v>713</v>
      </c>
      <c r="B354" s="2" t="s">
        <v>714</v>
      </c>
      <c r="C354" s="2" t="s">
        <v>56</v>
      </c>
      <c r="D354" s="2">
        <v>0</v>
      </c>
      <c r="E354" s="2" t="s">
        <v>57</v>
      </c>
      <c r="F354" s="2">
        <v>0</v>
      </c>
      <c r="G354" s="22">
        <f>Table4[[#This Row],[Item Cost]]*Table4[[#This Row],[In Stock]]</f>
        <v>0</v>
      </c>
      <c r="H354" s="12" t="s">
        <v>4661</v>
      </c>
      <c r="I354" s="13" t="s">
        <v>4668</v>
      </c>
      <c r="J354" s="13" t="s">
        <v>4672</v>
      </c>
      <c r="K354" s="13" t="s">
        <v>4758</v>
      </c>
      <c r="L354" s="12" t="s">
        <v>4672</v>
      </c>
      <c r="M354" s="17" t="str">
        <f>IF(LEN(COUNTIFS($H$1:H354,$H354,$I$1:I354,$I354,$J$1:J354,$J354,$K$1:K354,K354,$L$1:L354,L354))=1,"00"&amp;COUNTIFS($H$1:H354,$H354,$I$1:I354,$I354,$J$1:J354,$J354,$K$1:K354,K354,$L$1:L354,L354),IF(LEN(COUNTIFS($H$1:H354,$H354,$I$1:I354,$I354,$J$1:J354,$J354,$K$1:K354,K354,$L$1:L354,L354))=2,"0"&amp;COUNTIFS($H$1:H354,$H354,$I$1:I354,$I354,$J$1:J354,$J354,$K$1:K354,K354,$L$1:L354,L354),COUNTIFS($H$1:H354,$H354,$I$1:I354,$I354,$J$1:J354,$J354,$K$1:K354,K354,$L$1:L354,L354)))</f>
        <v>076</v>
      </c>
      <c r="N35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54" s="14" t="e">
        <f>+LEN(Table4[[#This Row],[New Item Code]])</f>
        <v>#N/A</v>
      </c>
      <c r="P354" s="15" t="s">
        <v>4747</v>
      </c>
      <c r="Q354" s="15" t="s">
        <v>4749</v>
      </c>
      <c r="R354" s="15"/>
      <c r="S354" s="15"/>
      <c r="T354" s="15" t="s">
        <v>4672</v>
      </c>
    </row>
    <row r="355" spans="1:20" x14ac:dyDescent="0.35">
      <c r="A355" s="3" t="s">
        <v>715</v>
      </c>
      <c r="B355" s="3" t="s">
        <v>716</v>
      </c>
      <c r="C355" s="3" t="s">
        <v>56</v>
      </c>
      <c r="D355" s="3">
        <v>0</v>
      </c>
      <c r="E355" s="3" t="s">
        <v>57</v>
      </c>
      <c r="F355" s="3">
        <v>0</v>
      </c>
      <c r="G355" s="21">
        <f>Table4[[#This Row],[Item Cost]]*Table4[[#This Row],[In Stock]]</f>
        <v>0</v>
      </c>
      <c r="H355" s="12" t="s">
        <v>4661</v>
      </c>
      <c r="I355" s="13" t="s">
        <v>4668</v>
      </c>
      <c r="J355" s="13" t="s">
        <v>4672</v>
      </c>
      <c r="K355" s="13" t="s">
        <v>4758</v>
      </c>
      <c r="L355" s="12" t="s">
        <v>4672</v>
      </c>
      <c r="M355" s="17" t="str">
        <f>IF(LEN(COUNTIFS($H$1:H355,$H355,$I$1:I355,$I355,$J$1:J355,$J355,$K$1:K355,K355,$L$1:L355,L355))=1,"00"&amp;COUNTIFS($H$1:H355,$H355,$I$1:I355,$I355,$J$1:J355,$J355,$K$1:K355,K355,$L$1:L355,L355),IF(LEN(COUNTIFS($H$1:H355,$H355,$I$1:I355,$I355,$J$1:J355,$J355,$K$1:K355,K355,$L$1:L355,L355))=2,"0"&amp;COUNTIFS($H$1:H355,$H355,$I$1:I355,$I355,$J$1:J355,$J355,$K$1:K355,K355,$L$1:L355,L355),COUNTIFS($H$1:H355,$H355,$I$1:I355,$I355,$J$1:J355,$J355,$K$1:K355,K355,$L$1:L355,L355)))</f>
        <v>077</v>
      </c>
      <c r="N35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55" s="14" t="e">
        <f>+LEN(Table4[[#This Row],[New Item Code]])</f>
        <v>#N/A</v>
      </c>
      <c r="P355" s="15" t="s">
        <v>4747</v>
      </c>
      <c r="Q355" s="15" t="s">
        <v>4749</v>
      </c>
      <c r="R355" s="15"/>
      <c r="S355" s="15"/>
      <c r="T355" s="15" t="s">
        <v>4672</v>
      </c>
    </row>
    <row r="356" spans="1:20" x14ac:dyDescent="0.35">
      <c r="A356" s="2" t="s">
        <v>717</v>
      </c>
      <c r="B356" s="2" t="s">
        <v>718</v>
      </c>
      <c r="C356" s="2" t="s">
        <v>56</v>
      </c>
      <c r="D356" s="2">
        <v>0</v>
      </c>
      <c r="E356" s="2" t="s">
        <v>57</v>
      </c>
      <c r="F356" s="2">
        <v>0</v>
      </c>
      <c r="G356" s="22">
        <f>Table4[[#This Row],[Item Cost]]*Table4[[#This Row],[In Stock]]</f>
        <v>0</v>
      </c>
      <c r="H356" s="12" t="s">
        <v>4661</v>
      </c>
      <c r="I356" s="13" t="s">
        <v>4668</v>
      </c>
      <c r="J356" s="13" t="s">
        <v>4672</v>
      </c>
      <c r="K356" s="13" t="s">
        <v>4758</v>
      </c>
      <c r="L356" s="12" t="s">
        <v>4672</v>
      </c>
      <c r="M356" s="17" t="str">
        <f>IF(LEN(COUNTIFS($H$1:H356,$H356,$I$1:I356,$I356,$J$1:J356,$J356,$K$1:K356,K356,$L$1:L356,L356))=1,"00"&amp;COUNTIFS($H$1:H356,$H356,$I$1:I356,$I356,$J$1:J356,$J356,$K$1:K356,K356,$L$1:L356,L356),IF(LEN(COUNTIFS($H$1:H356,$H356,$I$1:I356,$I356,$J$1:J356,$J356,$K$1:K356,K356,$L$1:L356,L356))=2,"0"&amp;COUNTIFS($H$1:H356,$H356,$I$1:I356,$I356,$J$1:J356,$J356,$K$1:K356,K356,$L$1:L356,L356),COUNTIFS($H$1:H356,$H356,$I$1:I356,$I356,$J$1:J356,$J356,$K$1:K356,K356,$L$1:L356,L356)))</f>
        <v>078</v>
      </c>
      <c r="N35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56" s="14" t="e">
        <f>+LEN(Table4[[#This Row],[New Item Code]])</f>
        <v>#N/A</v>
      </c>
      <c r="P356" s="15" t="s">
        <v>4747</v>
      </c>
      <c r="Q356" s="15" t="s">
        <v>4749</v>
      </c>
      <c r="R356" s="15"/>
      <c r="S356" s="15"/>
      <c r="T356" s="15" t="s">
        <v>4672</v>
      </c>
    </row>
    <row r="357" spans="1:20" x14ac:dyDescent="0.35">
      <c r="A357" s="3" t="s">
        <v>719</v>
      </c>
      <c r="B357" s="3" t="s">
        <v>720</v>
      </c>
      <c r="C357" s="3" t="s">
        <v>56</v>
      </c>
      <c r="D357" s="3">
        <v>0</v>
      </c>
      <c r="E357" s="3" t="s">
        <v>57</v>
      </c>
      <c r="F357" s="3">
        <v>0</v>
      </c>
      <c r="G357" s="21">
        <f>Table4[[#This Row],[Item Cost]]*Table4[[#This Row],[In Stock]]</f>
        <v>0</v>
      </c>
      <c r="H357" s="12" t="s">
        <v>4661</v>
      </c>
      <c r="I357" s="13" t="s">
        <v>4668</v>
      </c>
      <c r="J357" s="13" t="s">
        <v>4672</v>
      </c>
      <c r="K357" s="13" t="s">
        <v>4758</v>
      </c>
      <c r="L357" s="12" t="s">
        <v>4672</v>
      </c>
      <c r="M357" s="17" t="str">
        <f>IF(LEN(COUNTIFS($H$1:H357,$H357,$I$1:I357,$I357,$J$1:J357,$J357,$K$1:K357,K357,$L$1:L357,L357))=1,"00"&amp;COUNTIFS($H$1:H357,$H357,$I$1:I357,$I357,$J$1:J357,$J357,$K$1:K357,K357,$L$1:L357,L357),IF(LEN(COUNTIFS($H$1:H357,$H357,$I$1:I357,$I357,$J$1:J357,$J357,$K$1:K357,K357,$L$1:L357,L357))=2,"0"&amp;COUNTIFS($H$1:H357,$H357,$I$1:I357,$I357,$J$1:J357,$J357,$K$1:K357,K357,$L$1:L357,L357),COUNTIFS($H$1:H357,$H357,$I$1:I357,$I357,$J$1:J357,$J357,$K$1:K357,K357,$L$1:L357,L357)))</f>
        <v>079</v>
      </c>
      <c r="N35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57" s="14" t="e">
        <f>+LEN(Table4[[#This Row],[New Item Code]])</f>
        <v>#N/A</v>
      </c>
      <c r="P357" s="15" t="s">
        <v>4747</v>
      </c>
      <c r="Q357" s="15" t="s">
        <v>4749</v>
      </c>
      <c r="R357" s="15"/>
      <c r="S357" s="15"/>
      <c r="T357" s="15" t="s">
        <v>4672</v>
      </c>
    </row>
    <row r="358" spans="1:20" x14ac:dyDescent="0.35">
      <c r="A358" s="2" t="s">
        <v>721</v>
      </c>
      <c r="B358" s="2" t="s">
        <v>722</v>
      </c>
      <c r="C358" s="2" t="s">
        <v>56</v>
      </c>
      <c r="D358" s="2">
        <v>0</v>
      </c>
      <c r="E358" s="2" t="s">
        <v>57</v>
      </c>
      <c r="F358" s="2">
        <v>0</v>
      </c>
      <c r="G358" s="22">
        <f>Table4[[#This Row],[Item Cost]]*Table4[[#This Row],[In Stock]]</f>
        <v>0</v>
      </c>
      <c r="H358" s="12" t="s">
        <v>4661</v>
      </c>
      <c r="I358" s="13" t="s">
        <v>4668</v>
      </c>
      <c r="J358" s="13" t="s">
        <v>4672</v>
      </c>
      <c r="K358" s="13" t="s">
        <v>4758</v>
      </c>
      <c r="L358" s="12" t="s">
        <v>4672</v>
      </c>
      <c r="M358" s="17" t="str">
        <f>IF(LEN(COUNTIFS($H$1:H358,$H358,$I$1:I358,$I358,$J$1:J358,$J358,$K$1:K358,K358,$L$1:L358,L358))=1,"00"&amp;COUNTIFS($H$1:H358,$H358,$I$1:I358,$I358,$J$1:J358,$J358,$K$1:K358,K358,$L$1:L358,L358),IF(LEN(COUNTIFS($H$1:H358,$H358,$I$1:I358,$I358,$J$1:J358,$J358,$K$1:K358,K358,$L$1:L358,L358))=2,"0"&amp;COUNTIFS($H$1:H358,$H358,$I$1:I358,$I358,$J$1:J358,$J358,$K$1:K358,K358,$L$1:L358,L358),COUNTIFS($H$1:H358,$H358,$I$1:I358,$I358,$J$1:J358,$J358,$K$1:K358,K358,$L$1:L358,L358)))</f>
        <v>080</v>
      </c>
      <c r="N35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58" s="14" t="e">
        <f>+LEN(Table4[[#This Row],[New Item Code]])</f>
        <v>#N/A</v>
      </c>
      <c r="P358" s="15" t="s">
        <v>4747</v>
      </c>
      <c r="Q358" s="15" t="s">
        <v>4749</v>
      </c>
      <c r="R358" s="15"/>
      <c r="S358" s="15"/>
      <c r="T358" s="15" t="s">
        <v>4672</v>
      </c>
    </row>
    <row r="359" spans="1:20" x14ac:dyDescent="0.35">
      <c r="A359" s="3" t="s">
        <v>723</v>
      </c>
      <c r="B359" s="3" t="s">
        <v>724</v>
      </c>
      <c r="C359" s="3" t="s">
        <v>56</v>
      </c>
      <c r="D359" s="3">
        <v>0</v>
      </c>
      <c r="E359" s="3" t="s">
        <v>57</v>
      </c>
      <c r="F359" s="3">
        <v>0</v>
      </c>
      <c r="G359" s="21">
        <f>Table4[[#This Row],[Item Cost]]*Table4[[#This Row],[In Stock]]</f>
        <v>0</v>
      </c>
      <c r="H359" s="12" t="s">
        <v>4661</v>
      </c>
      <c r="I359" s="13" t="s">
        <v>4668</v>
      </c>
      <c r="J359" s="13" t="s">
        <v>4672</v>
      </c>
      <c r="K359" s="13" t="s">
        <v>4758</v>
      </c>
      <c r="L359" s="12" t="s">
        <v>4672</v>
      </c>
      <c r="M359" s="17" t="str">
        <f>IF(LEN(COUNTIFS($H$1:H359,$H359,$I$1:I359,$I359,$J$1:J359,$J359,$K$1:K359,K359,$L$1:L359,L359))=1,"00"&amp;COUNTIFS($H$1:H359,$H359,$I$1:I359,$I359,$J$1:J359,$J359,$K$1:K359,K359,$L$1:L359,L359),IF(LEN(COUNTIFS($H$1:H359,$H359,$I$1:I359,$I359,$J$1:J359,$J359,$K$1:K359,K359,$L$1:L359,L359))=2,"0"&amp;COUNTIFS($H$1:H359,$H359,$I$1:I359,$I359,$J$1:J359,$J359,$K$1:K359,K359,$L$1:L359,L359),COUNTIFS($H$1:H359,$H359,$I$1:I359,$I359,$J$1:J359,$J359,$K$1:K359,K359,$L$1:L359,L359)))</f>
        <v>081</v>
      </c>
      <c r="N35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59" s="14" t="e">
        <f>+LEN(Table4[[#This Row],[New Item Code]])</f>
        <v>#N/A</v>
      </c>
      <c r="P359" s="15" t="s">
        <v>4747</v>
      </c>
      <c r="Q359" s="15" t="s">
        <v>4749</v>
      </c>
      <c r="R359" s="15"/>
      <c r="S359" s="15"/>
      <c r="T359" s="15" t="s">
        <v>4672</v>
      </c>
    </row>
    <row r="360" spans="1:20" x14ac:dyDescent="0.35">
      <c r="A360" s="2" t="s">
        <v>725</v>
      </c>
      <c r="B360" s="2" t="s">
        <v>726</v>
      </c>
      <c r="C360" s="2" t="s">
        <v>56</v>
      </c>
      <c r="D360" s="2">
        <v>0</v>
      </c>
      <c r="E360" s="2" t="s">
        <v>57</v>
      </c>
      <c r="F360" s="2">
        <v>0</v>
      </c>
      <c r="G360" s="22">
        <f>Table4[[#This Row],[Item Cost]]*Table4[[#This Row],[In Stock]]</f>
        <v>0</v>
      </c>
      <c r="H360" s="12" t="s">
        <v>4661</v>
      </c>
      <c r="I360" s="13" t="s">
        <v>4668</v>
      </c>
      <c r="J360" s="13" t="s">
        <v>4672</v>
      </c>
      <c r="K360" s="13" t="s">
        <v>4758</v>
      </c>
      <c r="L360" s="12" t="s">
        <v>4672</v>
      </c>
      <c r="M360" s="17" t="str">
        <f>IF(LEN(COUNTIFS($H$1:H360,$H360,$I$1:I360,$I360,$J$1:J360,$J360,$K$1:K360,K360,$L$1:L360,L360))=1,"00"&amp;COUNTIFS($H$1:H360,$H360,$I$1:I360,$I360,$J$1:J360,$J360,$K$1:K360,K360,$L$1:L360,L360),IF(LEN(COUNTIFS($H$1:H360,$H360,$I$1:I360,$I360,$J$1:J360,$J360,$K$1:K360,K360,$L$1:L360,L360))=2,"0"&amp;COUNTIFS($H$1:H360,$H360,$I$1:I360,$I360,$J$1:J360,$J360,$K$1:K360,K360,$L$1:L360,L360),COUNTIFS($H$1:H360,$H360,$I$1:I360,$I360,$J$1:J360,$J360,$K$1:K360,K360,$L$1:L360,L360)))</f>
        <v>082</v>
      </c>
      <c r="N36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60" s="14" t="e">
        <f>+LEN(Table4[[#This Row],[New Item Code]])</f>
        <v>#N/A</v>
      </c>
      <c r="P360" s="15" t="s">
        <v>4747</v>
      </c>
      <c r="Q360" s="15" t="s">
        <v>4749</v>
      </c>
      <c r="R360" s="15"/>
      <c r="S360" s="15"/>
      <c r="T360" s="15" t="s">
        <v>4672</v>
      </c>
    </row>
    <row r="361" spans="1:20" x14ac:dyDescent="0.35">
      <c r="A361" s="3" t="s">
        <v>727</v>
      </c>
      <c r="B361" s="3" t="s">
        <v>728</v>
      </c>
      <c r="C361" s="3" t="s">
        <v>56</v>
      </c>
      <c r="D361" s="3">
        <v>0</v>
      </c>
      <c r="E361" s="3" t="s">
        <v>57</v>
      </c>
      <c r="F361" s="3">
        <v>0</v>
      </c>
      <c r="G361" s="21">
        <f>Table4[[#This Row],[Item Cost]]*Table4[[#This Row],[In Stock]]</f>
        <v>0</v>
      </c>
      <c r="H361" s="12" t="s">
        <v>4661</v>
      </c>
      <c r="I361" s="13" t="s">
        <v>4668</v>
      </c>
      <c r="J361" s="13" t="s">
        <v>4672</v>
      </c>
      <c r="K361" s="13" t="s">
        <v>4758</v>
      </c>
      <c r="L361" s="12" t="s">
        <v>4672</v>
      </c>
      <c r="M361" s="17" t="str">
        <f>IF(LEN(COUNTIFS($H$1:H361,$H361,$I$1:I361,$I361,$J$1:J361,$J361,$K$1:K361,K361,$L$1:L361,L361))=1,"00"&amp;COUNTIFS($H$1:H361,$H361,$I$1:I361,$I361,$J$1:J361,$J361,$K$1:K361,K361,$L$1:L361,L361),IF(LEN(COUNTIFS($H$1:H361,$H361,$I$1:I361,$I361,$J$1:J361,$J361,$K$1:K361,K361,$L$1:L361,L361))=2,"0"&amp;COUNTIFS($H$1:H361,$H361,$I$1:I361,$I361,$J$1:J361,$J361,$K$1:K361,K361,$L$1:L361,L361),COUNTIFS($H$1:H361,$H361,$I$1:I361,$I361,$J$1:J361,$J361,$K$1:K361,K361,$L$1:L361,L361)))</f>
        <v>083</v>
      </c>
      <c r="N36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61" s="14" t="e">
        <f>+LEN(Table4[[#This Row],[New Item Code]])</f>
        <v>#N/A</v>
      </c>
      <c r="P361" s="15" t="s">
        <v>4747</v>
      </c>
      <c r="Q361" s="15" t="s">
        <v>4749</v>
      </c>
      <c r="R361" s="15"/>
      <c r="S361" s="15"/>
      <c r="T361" s="15" t="s">
        <v>4672</v>
      </c>
    </row>
    <row r="362" spans="1:20" x14ac:dyDescent="0.35">
      <c r="A362" s="2" t="s">
        <v>729</v>
      </c>
      <c r="B362" s="2" t="s">
        <v>730</v>
      </c>
      <c r="C362" s="2" t="s">
        <v>56</v>
      </c>
      <c r="D362" s="2">
        <v>0</v>
      </c>
      <c r="E362" s="2" t="s">
        <v>57</v>
      </c>
      <c r="F362" s="2">
        <v>0</v>
      </c>
      <c r="G362" s="22">
        <f>Table4[[#This Row],[Item Cost]]*Table4[[#This Row],[In Stock]]</f>
        <v>0</v>
      </c>
      <c r="H362" s="12" t="s">
        <v>4661</v>
      </c>
      <c r="I362" s="13" t="s">
        <v>4668</v>
      </c>
      <c r="J362" s="13" t="s">
        <v>4672</v>
      </c>
      <c r="K362" s="13" t="s">
        <v>4758</v>
      </c>
      <c r="L362" s="12" t="s">
        <v>4672</v>
      </c>
      <c r="M362" s="17" t="str">
        <f>IF(LEN(COUNTIFS($H$1:H362,$H362,$I$1:I362,$I362,$J$1:J362,$J362,$K$1:K362,K362,$L$1:L362,L362))=1,"00"&amp;COUNTIFS($H$1:H362,$H362,$I$1:I362,$I362,$J$1:J362,$J362,$K$1:K362,K362,$L$1:L362,L362),IF(LEN(COUNTIFS($H$1:H362,$H362,$I$1:I362,$I362,$J$1:J362,$J362,$K$1:K362,K362,$L$1:L362,L362))=2,"0"&amp;COUNTIFS($H$1:H362,$H362,$I$1:I362,$I362,$J$1:J362,$J362,$K$1:K362,K362,$L$1:L362,L362),COUNTIFS($H$1:H362,$H362,$I$1:I362,$I362,$J$1:J362,$J362,$K$1:K362,K362,$L$1:L362,L362)))</f>
        <v>084</v>
      </c>
      <c r="N36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62" s="14" t="e">
        <f>+LEN(Table4[[#This Row],[New Item Code]])</f>
        <v>#N/A</v>
      </c>
      <c r="P362" s="15" t="s">
        <v>4747</v>
      </c>
      <c r="Q362" s="15" t="s">
        <v>4749</v>
      </c>
      <c r="R362" s="15"/>
      <c r="S362" s="15"/>
      <c r="T362" s="15" t="s">
        <v>4672</v>
      </c>
    </row>
    <row r="363" spans="1:20" x14ac:dyDescent="0.35">
      <c r="A363" s="3" t="s">
        <v>731</v>
      </c>
      <c r="B363" s="3" t="s">
        <v>732</v>
      </c>
      <c r="C363" s="3" t="s">
        <v>56</v>
      </c>
      <c r="D363" s="3">
        <v>0</v>
      </c>
      <c r="E363" s="3" t="s">
        <v>57</v>
      </c>
      <c r="F363" s="3">
        <v>0</v>
      </c>
      <c r="G363" s="21">
        <f>Table4[[#This Row],[Item Cost]]*Table4[[#This Row],[In Stock]]</f>
        <v>0</v>
      </c>
      <c r="H363" s="12" t="s">
        <v>4661</v>
      </c>
      <c r="I363" s="13" t="s">
        <v>4668</v>
      </c>
      <c r="J363" s="13" t="s">
        <v>4672</v>
      </c>
      <c r="K363" s="13" t="s">
        <v>4672</v>
      </c>
      <c r="L363" s="12" t="s">
        <v>4672</v>
      </c>
      <c r="M363" s="17" t="str">
        <f>IF(LEN(COUNTIFS($H$1:H363,$H363,$I$1:I363,$I363,$J$1:J363,$J363,$K$1:K363,K363,$L$1:L363,L363))=1,"00"&amp;COUNTIFS($H$1:H363,$H363,$I$1:I363,$I363,$J$1:J363,$J363,$K$1:K363,K363,$L$1:L363,L363),IF(LEN(COUNTIFS($H$1:H363,$H363,$I$1:I363,$I363,$J$1:J363,$J363,$K$1:K363,K363,$L$1:L363,L363))=2,"0"&amp;COUNTIFS($H$1:H363,$H363,$I$1:I363,$I363,$J$1:J363,$J363,$K$1:K363,K363,$L$1:L363,L363),COUNTIFS($H$1:H363,$H363,$I$1:I363,$I363,$J$1:J363,$J363,$K$1:K363,K363,$L$1:L363,L363)))</f>
        <v>050</v>
      </c>
      <c r="N36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63" s="14" t="e">
        <f>+LEN(Table4[[#This Row],[New Item Code]])</f>
        <v>#N/A</v>
      </c>
      <c r="P363" s="15" t="s">
        <v>4747</v>
      </c>
      <c r="Q363" s="15" t="s">
        <v>4749</v>
      </c>
      <c r="R363" s="15"/>
      <c r="S363" s="15"/>
      <c r="T363" s="15" t="s">
        <v>4672</v>
      </c>
    </row>
    <row r="364" spans="1:20" x14ac:dyDescent="0.35">
      <c r="A364" s="2" t="s">
        <v>733</v>
      </c>
      <c r="B364" s="2" t="s">
        <v>734</v>
      </c>
      <c r="C364" s="2" t="s">
        <v>56</v>
      </c>
      <c r="D364" s="2">
        <v>0</v>
      </c>
      <c r="E364" s="2" t="s">
        <v>57</v>
      </c>
      <c r="F364" s="2">
        <v>0</v>
      </c>
      <c r="G364" s="22">
        <f>Table4[[#This Row],[Item Cost]]*Table4[[#This Row],[In Stock]]</f>
        <v>0</v>
      </c>
      <c r="H364" s="12" t="s">
        <v>4661</v>
      </c>
      <c r="I364" s="13" t="s">
        <v>4668</v>
      </c>
      <c r="J364" s="13" t="s">
        <v>4672</v>
      </c>
      <c r="K364" s="13" t="s">
        <v>4758</v>
      </c>
      <c r="L364" s="12" t="s">
        <v>4672</v>
      </c>
      <c r="M364" s="17" t="str">
        <f>IF(LEN(COUNTIFS($H$1:H364,$H364,$I$1:I364,$I364,$J$1:J364,$J364,$K$1:K364,K364,$L$1:L364,L364))=1,"00"&amp;COUNTIFS($H$1:H364,$H364,$I$1:I364,$I364,$J$1:J364,$J364,$K$1:K364,K364,$L$1:L364,L364),IF(LEN(COUNTIFS($H$1:H364,$H364,$I$1:I364,$I364,$J$1:J364,$J364,$K$1:K364,K364,$L$1:L364,L364))=2,"0"&amp;COUNTIFS($H$1:H364,$H364,$I$1:I364,$I364,$J$1:J364,$J364,$K$1:K364,K364,$L$1:L364,L364),COUNTIFS($H$1:H364,$H364,$I$1:I364,$I364,$J$1:J364,$J364,$K$1:K364,K364,$L$1:L364,L364)))</f>
        <v>085</v>
      </c>
      <c r="N36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64" s="14" t="e">
        <f>+LEN(Table4[[#This Row],[New Item Code]])</f>
        <v>#N/A</v>
      </c>
      <c r="P364" s="15" t="s">
        <v>4747</v>
      </c>
      <c r="Q364" s="15" t="s">
        <v>4749</v>
      </c>
      <c r="R364" s="15"/>
      <c r="S364" s="15"/>
      <c r="T364" s="15" t="s">
        <v>4672</v>
      </c>
    </row>
    <row r="365" spans="1:20" x14ac:dyDescent="0.35">
      <c r="A365" s="3" t="s">
        <v>735</v>
      </c>
      <c r="B365" s="3" t="s">
        <v>736</v>
      </c>
      <c r="C365" s="3" t="s">
        <v>56</v>
      </c>
      <c r="D365" s="3">
        <v>0</v>
      </c>
      <c r="E365" s="3" t="s">
        <v>57</v>
      </c>
      <c r="F365" s="3">
        <v>0</v>
      </c>
      <c r="G365" s="21">
        <f>Table4[[#This Row],[Item Cost]]*Table4[[#This Row],[In Stock]]</f>
        <v>0</v>
      </c>
      <c r="H365" s="12" t="s">
        <v>4661</v>
      </c>
      <c r="I365" s="13" t="s">
        <v>4668</v>
      </c>
      <c r="J365" s="13" t="s">
        <v>4672</v>
      </c>
      <c r="K365" s="13" t="s">
        <v>4758</v>
      </c>
      <c r="L365" s="12" t="s">
        <v>4672</v>
      </c>
      <c r="M365" s="17" t="str">
        <f>IF(LEN(COUNTIFS($H$1:H365,$H365,$I$1:I365,$I365,$J$1:J365,$J365,$K$1:K365,K365,$L$1:L365,L365))=1,"00"&amp;COUNTIFS($H$1:H365,$H365,$I$1:I365,$I365,$J$1:J365,$J365,$K$1:K365,K365,$L$1:L365,L365),IF(LEN(COUNTIFS($H$1:H365,$H365,$I$1:I365,$I365,$J$1:J365,$J365,$K$1:K365,K365,$L$1:L365,L365))=2,"0"&amp;COUNTIFS($H$1:H365,$H365,$I$1:I365,$I365,$J$1:J365,$J365,$K$1:K365,K365,$L$1:L365,L365),COUNTIFS($H$1:H365,$H365,$I$1:I365,$I365,$J$1:J365,$J365,$K$1:K365,K365,$L$1:L365,L365)))</f>
        <v>086</v>
      </c>
      <c r="N36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65" s="14" t="e">
        <f>+LEN(Table4[[#This Row],[New Item Code]])</f>
        <v>#N/A</v>
      </c>
      <c r="P365" s="15" t="s">
        <v>4747</v>
      </c>
      <c r="Q365" s="15" t="s">
        <v>4749</v>
      </c>
      <c r="R365" s="15"/>
      <c r="S365" s="15"/>
      <c r="T365" s="15" t="s">
        <v>4672</v>
      </c>
    </row>
    <row r="366" spans="1:20" x14ac:dyDescent="0.35">
      <c r="A366" s="2" t="s">
        <v>737</v>
      </c>
      <c r="B366" s="2" t="s">
        <v>738</v>
      </c>
      <c r="C366" s="2" t="s">
        <v>56</v>
      </c>
      <c r="D366" s="2">
        <v>0</v>
      </c>
      <c r="E366" s="2" t="s">
        <v>57</v>
      </c>
      <c r="F366" s="2">
        <v>0</v>
      </c>
      <c r="G366" s="22">
        <f>Table4[[#This Row],[Item Cost]]*Table4[[#This Row],[In Stock]]</f>
        <v>0</v>
      </c>
      <c r="H366" s="12" t="s">
        <v>4661</v>
      </c>
      <c r="I366" s="13" t="s">
        <v>4668</v>
      </c>
      <c r="J366" s="13" t="s">
        <v>4672</v>
      </c>
      <c r="K366" s="13" t="s">
        <v>4758</v>
      </c>
      <c r="L366" s="12" t="s">
        <v>4672</v>
      </c>
      <c r="M366" s="17" t="str">
        <f>IF(LEN(COUNTIFS($H$1:H366,$H366,$I$1:I366,$I366,$J$1:J366,$J366,$K$1:K366,K366,$L$1:L366,L366))=1,"00"&amp;COUNTIFS($H$1:H366,$H366,$I$1:I366,$I366,$J$1:J366,$J366,$K$1:K366,K366,$L$1:L366,L366),IF(LEN(COUNTIFS($H$1:H366,$H366,$I$1:I366,$I366,$J$1:J366,$J366,$K$1:K366,K366,$L$1:L366,L366))=2,"0"&amp;COUNTIFS($H$1:H366,$H366,$I$1:I366,$I366,$J$1:J366,$J366,$K$1:K366,K366,$L$1:L366,L366),COUNTIFS($H$1:H366,$H366,$I$1:I366,$I366,$J$1:J366,$J366,$K$1:K366,K366,$L$1:L366,L366)))</f>
        <v>087</v>
      </c>
      <c r="N36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66" s="14" t="e">
        <f>+LEN(Table4[[#This Row],[New Item Code]])</f>
        <v>#N/A</v>
      </c>
      <c r="P366" s="15" t="s">
        <v>4747</v>
      </c>
      <c r="Q366" s="15" t="s">
        <v>4749</v>
      </c>
      <c r="R366" s="15"/>
      <c r="S366" s="15"/>
      <c r="T366" s="15" t="s">
        <v>4672</v>
      </c>
    </row>
    <row r="367" spans="1:20" x14ac:dyDescent="0.35">
      <c r="A367" s="3" t="s">
        <v>739</v>
      </c>
      <c r="B367" s="3" t="s">
        <v>740</v>
      </c>
      <c r="C367" s="3" t="s">
        <v>56</v>
      </c>
      <c r="D367" s="3">
        <v>0</v>
      </c>
      <c r="E367" s="3" t="s">
        <v>57</v>
      </c>
      <c r="F367" s="3">
        <v>0</v>
      </c>
      <c r="G367" s="21">
        <f>Table4[[#This Row],[Item Cost]]*Table4[[#This Row],[In Stock]]</f>
        <v>0</v>
      </c>
      <c r="H367" s="12" t="s">
        <v>4661</v>
      </c>
      <c r="I367" s="13" t="s">
        <v>4668</v>
      </c>
      <c r="J367" s="13" t="s">
        <v>4672</v>
      </c>
      <c r="K367" s="13" t="s">
        <v>4758</v>
      </c>
      <c r="L367" s="12" t="s">
        <v>4672</v>
      </c>
      <c r="M367" s="17" t="str">
        <f>IF(LEN(COUNTIFS($H$1:H367,$H367,$I$1:I367,$I367,$J$1:J367,$J367,$K$1:K367,K367,$L$1:L367,L367))=1,"00"&amp;COUNTIFS($H$1:H367,$H367,$I$1:I367,$I367,$J$1:J367,$J367,$K$1:K367,K367,$L$1:L367,L367),IF(LEN(COUNTIFS($H$1:H367,$H367,$I$1:I367,$I367,$J$1:J367,$J367,$K$1:K367,K367,$L$1:L367,L367))=2,"0"&amp;COUNTIFS($H$1:H367,$H367,$I$1:I367,$I367,$J$1:J367,$J367,$K$1:K367,K367,$L$1:L367,L367),COUNTIFS($H$1:H367,$H367,$I$1:I367,$I367,$J$1:J367,$J367,$K$1:K367,K367,$L$1:L367,L367)))</f>
        <v>088</v>
      </c>
      <c r="N36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67" s="14" t="e">
        <f>+LEN(Table4[[#This Row],[New Item Code]])</f>
        <v>#N/A</v>
      </c>
      <c r="P367" s="15" t="s">
        <v>4747</v>
      </c>
      <c r="Q367" s="15" t="s">
        <v>4749</v>
      </c>
      <c r="R367" s="15"/>
      <c r="S367" s="15"/>
      <c r="T367" s="15" t="s">
        <v>4672</v>
      </c>
    </row>
    <row r="368" spans="1:20" x14ac:dyDescent="0.35">
      <c r="A368" s="2" t="s">
        <v>741</v>
      </c>
      <c r="B368" s="2" t="s">
        <v>742</v>
      </c>
      <c r="C368" s="2" t="s">
        <v>56</v>
      </c>
      <c r="D368" s="2">
        <v>0</v>
      </c>
      <c r="E368" s="2" t="s">
        <v>57</v>
      </c>
      <c r="F368" s="2">
        <v>0</v>
      </c>
      <c r="G368" s="22">
        <f>Table4[[#This Row],[Item Cost]]*Table4[[#This Row],[In Stock]]</f>
        <v>0</v>
      </c>
      <c r="H368" s="12" t="s">
        <v>4661</v>
      </c>
      <c r="I368" s="13" t="s">
        <v>4668</v>
      </c>
      <c r="J368" s="13" t="s">
        <v>4672</v>
      </c>
      <c r="K368" s="13" t="s">
        <v>4758</v>
      </c>
      <c r="L368" s="12" t="s">
        <v>4672</v>
      </c>
      <c r="M368" s="17" t="str">
        <f>IF(LEN(COUNTIFS($H$1:H368,$H368,$I$1:I368,$I368,$J$1:J368,$J368,$K$1:K368,K368,$L$1:L368,L368))=1,"00"&amp;COUNTIFS($H$1:H368,$H368,$I$1:I368,$I368,$J$1:J368,$J368,$K$1:K368,K368,$L$1:L368,L368),IF(LEN(COUNTIFS($H$1:H368,$H368,$I$1:I368,$I368,$J$1:J368,$J368,$K$1:K368,K368,$L$1:L368,L368))=2,"0"&amp;COUNTIFS($H$1:H368,$H368,$I$1:I368,$I368,$J$1:J368,$J368,$K$1:K368,K368,$L$1:L368,L368),COUNTIFS($H$1:H368,$H368,$I$1:I368,$I368,$J$1:J368,$J368,$K$1:K368,K368,$L$1:L368,L368)))</f>
        <v>089</v>
      </c>
      <c r="N36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68" s="14" t="e">
        <f>+LEN(Table4[[#This Row],[New Item Code]])</f>
        <v>#N/A</v>
      </c>
      <c r="P368" s="15" t="s">
        <v>4747</v>
      </c>
      <c r="Q368" s="15" t="s">
        <v>4749</v>
      </c>
      <c r="R368" s="15"/>
      <c r="S368" s="15"/>
      <c r="T368" s="15" t="s">
        <v>4672</v>
      </c>
    </row>
    <row r="369" spans="1:20" x14ac:dyDescent="0.35">
      <c r="A369" s="3" t="s">
        <v>743</v>
      </c>
      <c r="B369" s="3" t="s">
        <v>744</v>
      </c>
      <c r="C369" s="3" t="s">
        <v>56</v>
      </c>
      <c r="D369" s="3">
        <v>0</v>
      </c>
      <c r="E369" s="3" t="s">
        <v>57</v>
      </c>
      <c r="F369" s="3">
        <v>0</v>
      </c>
      <c r="G369" s="21">
        <f>Table4[[#This Row],[Item Cost]]*Table4[[#This Row],[In Stock]]</f>
        <v>0</v>
      </c>
      <c r="H369" s="12" t="s">
        <v>4661</v>
      </c>
      <c r="I369" s="13" t="s">
        <v>4668</v>
      </c>
      <c r="J369" s="13" t="s">
        <v>4672</v>
      </c>
      <c r="K369" s="13" t="s">
        <v>4758</v>
      </c>
      <c r="L369" s="12" t="s">
        <v>4672</v>
      </c>
      <c r="M369" s="17" t="str">
        <f>IF(LEN(COUNTIFS($H$1:H369,$H369,$I$1:I369,$I369,$J$1:J369,$J369,$K$1:K369,K369,$L$1:L369,L369))=1,"00"&amp;COUNTIFS($H$1:H369,$H369,$I$1:I369,$I369,$J$1:J369,$J369,$K$1:K369,K369,$L$1:L369,L369),IF(LEN(COUNTIFS($H$1:H369,$H369,$I$1:I369,$I369,$J$1:J369,$J369,$K$1:K369,K369,$L$1:L369,L369))=2,"0"&amp;COUNTIFS($H$1:H369,$H369,$I$1:I369,$I369,$J$1:J369,$J369,$K$1:K369,K369,$L$1:L369,L369),COUNTIFS($H$1:H369,$H369,$I$1:I369,$I369,$J$1:J369,$J369,$K$1:K369,K369,$L$1:L369,L369)))</f>
        <v>090</v>
      </c>
      <c r="N36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69" s="14" t="e">
        <f>+LEN(Table4[[#This Row],[New Item Code]])</f>
        <v>#N/A</v>
      </c>
      <c r="P369" s="15" t="s">
        <v>4747</v>
      </c>
      <c r="Q369" s="15" t="s">
        <v>4749</v>
      </c>
      <c r="R369" s="15"/>
      <c r="S369" s="15"/>
      <c r="T369" s="15" t="s">
        <v>4672</v>
      </c>
    </row>
    <row r="370" spans="1:20" x14ac:dyDescent="0.35">
      <c r="A370" s="2" t="s">
        <v>745</v>
      </c>
      <c r="B370" s="2" t="s">
        <v>746</v>
      </c>
      <c r="C370" s="2" t="s">
        <v>56</v>
      </c>
      <c r="D370" s="2">
        <v>0</v>
      </c>
      <c r="E370" s="2" t="s">
        <v>57</v>
      </c>
      <c r="F370" s="2">
        <v>0</v>
      </c>
      <c r="G370" s="22">
        <f>Table4[[#This Row],[Item Cost]]*Table4[[#This Row],[In Stock]]</f>
        <v>0</v>
      </c>
      <c r="H370" s="12" t="s">
        <v>4661</v>
      </c>
      <c r="I370" s="13" t="s">
        <v>4668</v>
      </c>
      <c r="J370" s="13" t="s">
        <v>4672</v>
      </c>
      <c r="K370" s="13" t="s">
        <v>4758</v>
      </c>
      <c r="L370" s="12" t="s">
        <v>4672</v>
      </c>
      <c r="M370" s="17" t="str">
        <f>IF(LEN(COUNTIFS($H$1:H370,$H370,$I$1:I370,$I370,$J$1:J370,$J370,$K$1:K370,K370,$L$1:L370,L370))=1,"00"&amp;COUNTIFS($H$1:H370,$H370,$I$1:I370,$I370,$J$1:J370,$J370,$K$1:K370,K370,$L$1:L370,L370),IF(LEN(COUNTIFS($H$1:H370,$H370,$I$1:I370,$I370,$J$1:J370,$J370,$K$1:K370,K370,$L$1:L370,L370))=2,"0"&amp;COUNTIFS($H$1:H370,$H370,$I$1:I370,$I370,$J$1:J370,$J370,$K$1:K370,K370,$L$1:L370,L370),COUNTIFS($H$1:H370,$H370,$I$1:I370,$I370,$J$1:J370,$J370,$K$1:K370,K370,$L$1:L370,L370)))</f>
        <v>091</v>
      </c>
      <c r="N37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70" s="14" t="e">
        <f>+LEN(Table4[[#This Row],[New Item Code]])</f>
        <v>#N/A</v>
      </c>
      <c r="P370" s="15" t="s">
        <v>4747</v>
      </c>
      <c r="Q370" s="15" t="s">
        <v>4749</v>
      </c>
      <c r="R370" s="15"/>
      <c r="S370" s="15"/>
      <c r="T370" s="15" t="s">
        <v>4672</v>
      </c>
    </row>
    <row r="371" spans="1:20" x14ac:dyDescent="0.35">
      <c r="A371" s="3" t="s">
        <v>747</v>
      </c>
      <c r="B371" s="3" t="s">
        <v>748</v>
      </c>
      <c r="C371" s="3" t="s">
        <v>56</v>
      </c>
      <c r="D371" s="3">
        <v>0</v>
      </c>
      <c r="E371" s="3" t="s">
        <v>57</v>
      </c>
      <c r="F371" s="3">
        <v>0</v>
      </c>
      <c r="G371" s="21">
        <f>Table4[[#This Row],[Item Cost]]*Table4[[#This Row],[In Stock]]</f>
        <v>0</v>
      </c>
      <c r="H371" s="12" t="s">
        <v>4661</v>
      </c>
      <c r="I371" s="13" t="s">
        <v>4668</v>
      </c>
      <c r="J371" s="13" t="s">
        <v>4672</v>
      </c>
      <c r="K371" s="13" t="s">
        <v>4758</v>
      </c>
      <c r="L371" s="12" t="s">
        <v>4672</v>
      </c>
      <c r="M371" s="17" t="str">
        <f>IF(LEN(COUNTIFS($H$1:H371,$H371,$I$1:I371,$I371,$J$1:J371,$J371,$K$1:K371,K371,$L$1:L371,L371))=1,"00"&amp;COUNTIFS($H$1:H371,$H371,$I$1:I371,$I371,$J$1:J371,$J371,$K$1:K371,K371,$L$1:L371,L371),IF(LEN(COUNTIFS($H$1:H371,$H371,$I$1:I371,$I371,$J$1:J371,$J371,$K$1:K371,K371,$L$1:L371,L371))=2,"0"&amp;COUNTIFS($H$1:H371,$H371,$I$1:I371,$I371,$J$1:J371,$J371,$K$1:K371,K371,$L$1:L371,L371),COUNTIFS($H$1:H371,$H371,$I$1:I371,$I371,$J$1:J371,$J371,$K$1:K371,K371,$L$1:L371,L371)))</f>
        <v>092</v>
      </c>
      <c r="N37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71" s="14" t="e">
        <f>+LEN(Table4[[#This Row],[New Item Code]])</f>
        <v>#N/A</v>
      </c>
      <c r="P371" s="15" t="s">
        <v>4747</v>
      </c>
      <c r="Q371" s="15" t="s">
        <v>4749</v>
      </c>
      <c r="R371" s="15"/>
      <c r="S371" s="15"/>
      <c r="T371" s="15" t="s">
        <v>4672</v>
      </c>
    </row>
    <row r="372" spans="1:20" x14ac:dyDescent="0.35">
      <c r="A372" s="2" t="s">
        <v>749</v>
      </c>
      <c r="B372" s="2" t="s">
        <v>750</v>
      </c>
      <c r="C372" s="2" t="s">
        <v>56</v>
      </c>
      <c r="D372" s="2">
        <v>0</v>
      </c>
      <c r="E372" s="2" t="s">
        <v>57</v>
      </c>
      <c r="F372" s="2">
        <v>0</v>
      </c>
      <c r="G372" s="22">
        <f>Table4[[#This Row],[Item Cost]]*Table4[[#This Row],[In Stock]]</f>
        <v>0</v>
      </c>
      <c r="H372" s="12" t="s">
        <v>4661</v>
      </c>
      <c r="I372" s="13" t="s">
        <v>4668</v>
      </c>
      <c r="J372" s="13" t="s">
        <v>4672</v>
      </c>
      <c r="K372" s="13" t="s">
        <v>4758</v>
      </c>
      <c r="L372" s="12" t="s">
        <v>4672</v>
      </c>
      <c r="M372" s="17" t="str">
        <f>IF(LEN(COUNTIFS($H$1:H372,$H372,$I$1:I372,$I372,$J$1:J372,$J372,$K$1:K372,K372,$L$1:L372,L372))=1,"00"&amp;COUNTIFS($H$1:H372,$H372,$I$1:I372,$I372,$J$1:J372,$J372,$K$1:K372,K372,$L$1:L372,L372),IF(LEN(COUNTIFS($H$1:H372,$H372,$I$1:I372,$I372,$J$1:J372,$J372,$K$1:K372,K372,$L$1:L372,L372))=2,"0"&amp;COUNTIFS($H$1:H372,$H372,$I$1:I372,$I372,$J$1:J372,$J372,$K$1:K372,K372,$L$1:L372,L372),COUNTIFS($H$1:H372,$H372,$I$1:I372,$I372,$J$1:J372,$J372,$K$1:K372,K372,$L$1:L372,L372)))</f>
        <v>093</v>
      </c>
      <c r="N37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72" s="14" t="e">
        <f>+LEN(Table4[[#This Row],[New Item Code]])</f>
        <v>#N/A</v>
      </c>
      <c r="P372" s="15" t="s">
        <v>4747</v>
      </c>
      <c r="Q372" s="15" t="s">
        <v>4749</v>
      </c>
      <c r="R372" s="15"/>
      <c r="S372" s="15"/>
      <c r="T372" s="15" t="s">
        <v>4672</v>
      </c>
    </row>
    <row r="373" spans="1:20" x14ac:dyDescent="0.35">
      <c r="A373" s="3" t="s">
        <v>751</v>
      </c>
      <c r="B373" s="3" t="s">
        <v>752</v>
      </c>
      <c r="C373" s="3" t="s">
        <v>56</v>
      </c>
      <c r="D373" s="3">
        <v>0</v>
      </c>
      <c r="E373" s="3" t="s">
        <v>57</v>
      </c>
      <c r="F373" s="3">
        <v>0</v>
      </c>
      <c r="G373" s="21">
        <f>Table4[[#This Row],[Item Cost]]*Table4[[#This Row],[In Stock]]</f>
        <v>0</v>
      </c>
      <c r="H373" s="12" t="s">
        <v>4661</v>
      </c>
      <c r="I373" s="13" t="s">
        <v>4668</v>
      </c>
      <c r="J373" s="13" t="s">
        <v>4672</v>
      </c>
      <c r="K373" s="13" t="s">
        <v>4758</v>
      </c>
      <c r="L373" s="12" t="s">
        <v>4672</v>
      </c>
      <c r="M373" s="17" t="str">
        <f>IF(LEN(COUNTIFS($H$1:H373,$H373,$I$1:I373,$I373,$J$1:J373,$J373,$K$1:K373,K373,$L$1:L373,L373))=1,"00"&amp;COUNTIFS($H$1:H373,$H373,$I$1:I373,$I373,$J$1:J373,$J373,$K$1:K373,K373,$L$1:L373,L373),IF(LEN(COUNTIFS($H$1:H373,$H373,$I$1:I373,$I373,$J$1:J373,$J373,$K$1:K373,K373,$L$1:L373,L373))=2,"0"&amp;COUNTIFS($H$1:H373,$H373,$I$1:I373,$I373,$J$1:J373,$J373,$K$1:K373,K373,$L$1:L373,L373),COUNTIFS($H$1:H373,$H373,$I$1:I373,$I373,$J$1:J373,$J373,$K$1:K373,K373,$L$1:L373,L373)))</f>
        <v>094</v>
      </c>
      <c r="N37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73" s="14" t="e">
        <f>+LEN(Table4[[#This Row],[New Item Code]])</f>
        <v>#N/A</v>
      </c>
      <c r="P373" s="15" t="s">
        <v>4747</v>
      </c>
      <c r="Q373" s="15" t="s">
        <v>4749</v>
      </c>
      <c r="R373" s="15"/>
      <c r="S373" s="15"/>
      <c r="T373" s="15" t="s">
        <v>4672</v>
      </c>
    </row>
    <row r="374" spans="1:20" x14ac:dyDescent="0.35">
      <c r="A374" s="2" t="s">
        <v>753</v>
      </c>
      <c r="B374" s="2" t="s">
        <v>754</v>
      </c>
      <c r="C374" s="2" t="s">
        <v>56</v>
      </c>
      <c r="D374" s="2">
        <v>0</v>
      </c>
      <c r="E374" s="2" t="s">
        <v>57</v>
      </c>
      <c r="F374" s="2">
        <v>0</v>
      </c>
      <c r="G374" s="22">
        <f>Table4[[#This Row],[Item Cost]]*Table4[[#This Row],[In Stock]]</f>
        <v>0</v>
      </c>
      <c r="H374" s="12" t="s">
        <v>4661</v>
      </c>
      <c r="I374" s="13" t="s">
        <v>4668</v>
      </c>
      <c r="J374" s="13" t="s">
        <v>4672</v>
      </c>
      <c r="K374" s="13" t="s">
        <v>4758</v>
      </c>
      <c r="L374" s="12" t="s">
        <v>4672</v>
      </c>
      <c r="M374" s="17" t="str">
        <f>IF(LEN(COUNTIFS($H$1:H374,$H374,$I$1:I374,$I374,$J$1:J374,$J374,$K$1:K374,K374,$L$1:L374,L374))=1,"00"&amp;COUNTIFS($H$1:H374,$H374,$I$1:I374,$I374,$J$1:J374,$J374,$K$1:K374,K374,$L$1:L374,L374),IF(LEN(COUNTIFS($H$1:H374,$H374,$I$1:I374,$I374,$J$1:J374,$J374,$K$1:K374,K374,$L$1:L374,L374))=2,"0"&amp;COUNTIFS($H$1:H374,$H374,$I$1:I374,$I374,$J$1:J374,$J374,$K$1:K374,K374,$L$1:L374,L374),COUNTIFS($H$1:H374,$H374,$I$1:I374,$I374,$J$1:J374,$J374,$K$1:K374,K374,$L$1:L374,L374)))</f>
        <v>095</v>
      </c>
      <c r="N37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74" s="14" t="e">
        <f>+LEN(Table4[[#This Row],[New Item Code]])</f>
        <v>#N/A</v>
      </c>
      <c r="P374" s="15" t="s">
        <v>4747</v>
      </c>
      <c r="Q374" s="15" t="s">
        <v>4749</v>
      </c>
      <c r="R374" s="15"/>
      <c r="S374" s="15"/>
      <c r="T374" s="15" t="s">
        <v>4672</v>
      </c>
    </row>
    <row r="375" spans="1:20" x14ac:dyDescent="0.35">
      <c r="A375" s="3" t="s">
        <v>755</v>
      </c>
      <c r="B375" s="3" t="s">
        <v>756</v>
      </c>
      <c r="C375" s="3" t="s">
        <v>56</v>
      </c>
      <c r="D375" s="3">
        <v>0</v>
      </c>
      <c r="E375" s="3" t="s">
        <v>57</v>
      </c>
      <c r="F375" s="3">
        <v>0</v>
      </c>
      <c r="G375" s="21">
        <f>Table4[[#This Row],[Item Cost]]*Table4[[#This Row],[In Stock]]</f>
        <v>0</v>
      </c>
      <c r="H375" s="12" t="s">
        <v>4661</v>
      </c>
      <c r="I375" s="13" t="s">
        <v>4668</v>
      </c>
      <c r="J375" s="13" t="s">
        <v>4672</v>
      </c>
      <c r="K375" s="13" t="s">
        <v>4758</v>
      </c>
      <c r="L375" s="12" t="s">
        <v>4672</v>
      </c>
      <c r="M375" s="17" t="str">
        <f>IF(LEN(COUNTIFS($H$1:H375,$H375,$I$1:I375,$I375,$J$1:J375,$J375,$K$1:K375,K375,$L$1:L375,L375))=1,"00"&amp;COUNTIFS($H$1:H375,$H375,$I$1:I375,$I375,$J$1:J375,$J375,$K$1:K375,K375,$L$1:L375,L375),IF(LEN(COUNTIFS($H$1:H375,$H375,$I$1:I375,$I375,$J$1:J375,$J375,$K$1:K375,K375,$L$1:L375,L375))=2,"0"&amp;COUNTIFS($H$1:H375,$H375,$I$1:I375,$I375,$J$1:J375,$J375,$K$1:K375,K375,$L$1:L375,L375),COUNTIFS($H$1:H375,$H375,$I$1:I375,$I375,$J$1:J375,$J375,$K$1:K375,K375,$L$1:L375,L375)))</f>
        <v>096</v>
      </c>
      <c r="N37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75" s="14" t="e">
        <f>+LEN(Table4[[#This Row],[New Item Code]])</f>
        <v>#N/A</v>
      </c>
      <c r="P375" s="15" t="s">
        <v>4747</v>
      </c>
      <c r="Q375" s="15" t="s">
        <v>4749</v>
      </c>
      <c r="R375" s="15"/>
      <c r="S375" s="15"/>
      <c r="T375" s="15" t="s">
        <v>4672</v>
      </c>
    </row>
    <row r="376" spans="1:20" x14ac:dyDescent="0.35">
      <c r="A376" s="2" t="s">
        <v>757</v>
      </c>
      <c r="B376" s="2" t="s">
        <v>758</v>
      </c>
      <c r="C376" s="2" t="s">
        <v>56</v>
      </c>
      <c r="D376" s="2">
        <v>0.9</v>
      </c>
      <c r="E376" s="2" t="s">
        <v>10</v>
      </c>
      <c r="F376" s="2">
        <v>0</v>
      </c>
      <c r="G376" s="22">
        <f>Table4[[#This Row],[Item Cost]]*Table4[[#This Row],[In Stock]]</f>
        <v>0</v>
      </c>
      <c r="H376" s="12" t="s">
        <v>4661</v>
      </c>
      <c r="I376" s="13" t="s">
        <v>4668</v>
      </c>
      <c r="J376" s="13" t="s">
        <v>4672</v>
      </c>
      <c r="K376" s="13" t="s">
        <v>4758</v>
      </c>
      <c r="L376" s="12" t="s">
        <v>4672</v>
      </c>
      <c r="M376" s="17" t="str">
        <f>IF(LEN(COUNTIFS($H$1:H376,$H376,$I$1:I376,$I376,$J$1:J376,$J376,$K$1:K376,K376,$L$1:L376,L376))=1,"00"&amp;COUNTIFS($H$1:H376,$H376,$I$1:I376,$I376,$J$1:J376,$J376,$K$1:K376,K376,$L$1:L376,L376),IF(LEN(COUNTIFS($H$1:H376,$H376,$I$1:I376,$I376,$J$1:J376,$J376,$K$1:K376,K376,$L$1:L376,L376))=2,"0"&amp;COUNTIFS($H$1:H376,$H376,$I$1:I376,$I376,$J$1:J376,$J376,$K$1:K376,K376,$L$1:L376,L376),COUNTIFS($H$1:H376,$H376,$I$1:I376,$I376,$J$1:J376,$J376,$K$1:K376,K376,$L$1:L376,L376)))</f>
        <v>097</v>
      </c>
      <c r="N37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76" s="14" t="e">
        <f>+LEN(Table4[[#This Row],[New Item Code]])</f>
        <v>#N/A</v>
      </c>
      <c r="P376" s="15" t="s">
        <v>4747</v>
      </c>
      <c r="Q376" s="15" t="s">
        <v>4749</v>
      </c>
      <c r="R376" s="15"/>
      <c r="S376" s="15"/>
      <c r="T376" s="15" t="s">
        <v>4672</v>
      </c>
    </row>
    <row r="377" spans="1:20" x14ac:dyDescent="0.35">
      <c r="A377" s="3" t="s">
        <v>759</v>
      </c>
      <c r="B377" s="3" t="s">
        <v>760</v>
      </c>
      <c r="C377" s="3" t="s">
        <v>56</v>
      </c>
      <c r="D377" s="3">
        <v>0</v>
      </c>
      <c r="E377" s="3" t="s">
        <v>10</v>
      </c>
      <c r="F377" s="3">
        <v>0</v>
      </c>
      <c r="G377" s="21">
        <f>Table4[[#This Row],[Item Cost]]*Table4[[#This Row],[In Stock]]</f>
        <v>0</v>
      </c>
      <c r="H377" s="12" t="s">
        <v>4661</v>
      </c>
      <c r="I377" s="13" t="s">
        <v>4668</v>
      </c>
      <c r="J377" s="13" t="s">
        <v>4672</v>
      </c>
      <c r="K377" s="13" t="s">
        <v>4758</v>
      </c>
      <c r="L377" s="12" t="s">
        <v>4672</v>
      </c>
      <c r="M377" s="17" t="str">
        <f>IF(LEN(COUNTIFS($H$1:H377,$H377,$I$1:I377,$I377,$J$1:J377,$J377,$K$1:K377,K377,$L$1:L377,L377))=1,"00"&amp;COUNTIFS($H$1:H377,$H377,$I$1:I377,$I377,$J$1:J377,$J377,$K$1:K377,K377,$L$1:L377,L377),IF(LEN(COUNTIFS($H$1:H377,$H377,$I$1:I377,$I377,$J$1:J377,$J377,$K$1:K377,K377,$L$1:L377,L377))=2,"0"&amp;COUNTIFS($H$1:H377,$H377,$I$1:I377,$I377,$J$1:J377,$J377,$K$1:K377,K377,$L$1:L377,L377),COUNTIFS($H$1:H377,$H377,$I$1:I377,$I377,$J$1:J377,$J377,$K$1:K377,K377,$L$1:L377,L377)))</f>
        <v>098</v>
      </c>
      <c r="N37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77" s="14" t="e">
        <f>+LEN(Table4[[#This Row],[New Item Code]])</f>
        <v>#N/A</v>
      </c>
      <c r="P377" s="15" t="s">
        <v>4747</v>
      </c>
      <c r="Q377" s="15" t="s">
        <v>4749</v>
      </c>
      <c r="R377" s="15"/>
      <c r="S377" s="15"/>
      <c r="T377" s="15" t="s">
        <v>4672</v>
      </c>
    </row>
    <row r="378" spans="1:20" x14ac:dyDescent="0.35">
      <c r="A378" s="2" t="s">
        <v>761</v>
      </c>
      <c r="B378" s="2" t="s">
        <v>762</v>
      </c>
      <c r="C378" s="2" t="s">
        <v>56</v>
      </c>
      <c r="D378" s="2">
        <v>0.25</v>
      </c>
      <c r="E378" s="2" t="s">
        <v>10</v>
      </c>
      <c r="F378" s="2">
        <v>200</v>
      </c>
      <c r="G378" s="22">
        <f>Table4[[#This Row],[Item Cost]]*Table4[[#This Row],[In Stock]]</f>
        <v>50</v>
      </c>
      <c r="H378" s="12" t="s">
        <v>4661</v>
      </c>
      <c r="I378" s="13" t="s">
        <v>4668</v>
      </c>
      <c r="J378" s="13" t="s">
        <v>4672</v>
      </c>
      <c r="K378" s="13" t="s">
        <v>4758</v>
      </c>
      <c r="L378" s="12" t="s">
        <v>4672</v>
      </c>
      <c r="M378" s="17" t="str">
        <f>IF(LEN(COUNTIFS($H$1:H378,$H378,$I$1:I378,$I378,$J$1:J378,$J378,$K$1:K378,K378,$L$1:L378,L378))=1,"00"&amp;COUNTIFS($H$1:H378,$H378,$I$1:I378,$I378,$J$1:J378,$J378,$K$1:K378,K378,$L$1:L378,L378),IF(LEN(COUNTIFS($H$1:H378,$H378,$I$1:I378,$I378,$J$1:J378,$J378,$K$1:K378,K378,$L$1:L378,L378))=2,"0"&amp;COUNTIFS($H$1:H378,$H378,$I$1:I378,$I378,$J$1:J378,$J378,$K$1:K378,K378,$L$1:L378,L378),COUNTIFS($H$1:H378,$H378,$I$1:I378,$I378,$J$1:J378,$J378,$K$1:K378,K378,$L$1:L378,L378)))</f>
        <v>099</v>
      </c>
      <c r="N37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78" s="14" t="e">
        <f>+LEN(Table4[[#This Row],[New Item Code]])</f>
        <v>#N/A</v>
      </c>
      <c r="P378" s="15" t="s">
        <v>4747</v>
      </c>
      <c r="Q378" s="15" t="s">
        <v>4749</v>
      </c>
      <c r="R378" s="15"/>
      <c r="S378" s="15"/>
      <c r="T378" s="15" t="s">
        <v>4672</v>
      </c>
    </row>
    <row r="379" spans="1:20" x14ac:dyDescent="0.35">
      <c r="A379" s="3" t="s">
        <v>763</v>
      </c>
      <c r="B379" s="3" t="s">
        <v>764</v>
      </c>
      <c r="C379" s="3" t="s">
        <v>56</v>
      </c>
      <c r="D379" s="3">
        <v>0</v>
      </c>
      <c r="E379" s="3" t="s">
        <v>10</v>
      </c>
      <c r="F379" s="3">
        <v>0</v>
      </c>
      <c r="G379" s="21">
        <f>Table4[[#This Row],[Item Cost]]*Table4[[#This Row],[In Stock]]</f>
        <v>0</v>
      </c>
      <c r="H379" s="12" t="s">
        <v>4661</v>
      </c>
      <c r="I379" s="13" t="s">
        <v>4668</v>
      </c>
      <c r="J379" s="13"/>
      <c r="K379" s="13" t="s">
        <v>4758</v>
      </c>
      <c r="L379" s="12" t="s">
        <v>4672</v>
      </c>
      <c r="M379" s="17" t="str">
        <f>IF(LEN(COUNTIFS($H$1:H379,$H379,$I$1:I379,$I379,$J$1:J379,$J379,$K$1:K379,K379,$L$1:L379,L379))=1,"00"&amp;COUNTIFS($H$1:H379,$H379,$I$1:I379,$I379,$J$1:J379,$J379,$K$1:K379,K379,$L$1:L379,L379),IF(LEN(COUNTIFS($H$1:H379,$H379,$I$1:I379,$I379,$J$1:J379,$J379,$K$1:K379,K379,$L$1:L379,L379))=2,"0"&amp;COUNTIFS($H$1:H379,$H379,$I$1:I379,$I379,$J$1:J379,$J379,$K$1:K379,K379,$L$1:L379,L379),COUNTIFS($H$1:H379,$H379,$I$1:I379,$I379,$J$1:J379,$J379,$K$1:K379,K379,$L$1:L379,L379)))</f>
        <v>000</v>
      </c>
      <c r="N37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79" s="14" t="e">
        <f>+LEN(Table4[[#This Row],[New Item Code]])</f>
        <v>#N/A</v>
      </c>
      <c r="P379" s="15" t="s">
        <v>4747</v>
      </c>
      <c r="Q379" s="15" t="s">
        <v>4749</v>
      </c>
      <c r="R379" s="15"/>
      <c r="S379" s="15"/>
      <c r="T379" s="15" t="e">
        <v>#N/A</v>
      </c>
    </row>
    <row r="380" spans="1:20" x14ac:dyDescent="0.35">
      <c r="A380" s="2" t="s">
        <v>765</v>
      </c>
      <c r="B380" s="2" t="s">
        <v>766</v>
      </c>
      <c r="C380" s="2" t="s">
        <v>15</v>
      </c>
      <c r="D380" s="4">
        <v>5028</v>
      </c>
      <c r="E380" s="2" t="s">
        <v>10</v>
      </c>
      <c r="F380" s="2">
        <v>5</v>
      </c>
      <c r="G380" s="22">
        <f>Table4[[#This Row],[Item Cost]]*Table4[[#This Row],[In Stock]]</f>
        <v>25140</v>
      </c>
      <c r="H380" s="12" t="s">
        <v>4661</v>
      </c>
      <c r="I380" s="13" t="s">
        <v>4666</v>
      </c>
      <c r="J380" s="13" t="s">
        <v>4683</v>
      </c>
      <c r="K380" s="13" t="s">
        <v>4672</v>
      </c>
      <c r="L380" s="12" t="s">
        <v>4672</v>
      </c>
      <c r="M380" s="17" t="str">
        <f>IF(LEN(COUNTIFS($H$1:H380,$H380,$I$1:I380,$I380,$J$1:J380,$J380,$K$1:K380,K380,$L$1:L380,L380))=1,"00"&amp;COUNTIFS($H$1:H380,$H380,$I$1:I380,$I380,$J$1:J380,$J380,$K$1:K380,K380,$L$1:L380,L380),IF(LEN(COUNTIFS($H$1:H380,$H380,$I$1:I380,$I380,$J$1:J380,$J380,$K$1:K380,K380,$L$1:L380,L380))=2,"0"&amp;COUNTIFS($H$1:H380,$H380,$I$1:I380,$I380,$J$1:J380,$J380,$K$1:K380,K380,$L$1:L380,L380),COUNTIFS($H$1:H380,$H380,$I$1:I380,$I380,$J$1:J380,$J380,$K$1:K380,K380,$L$1:L380,L380)))</f>
        <v>001</v>
      </c>
      <c r="N38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80" s="14" t="e">
        <f>+LEN(Table4[[#This Row],[New Item Code]])</f>
        <v>#N/A</v>
      </c>
      <c r="P380" s="15" t="s">
        <v>4747</v>
      </c>
      <c r="Q380" s="15" t="s">
        <v>4749</v>
      </c>
      <c r="R380" s="15"/>
      <c r="S380" s="15"/>
      <c r="T380" s="15" t="s">
        <v>4683</v>
      </c>
    </row>
    <row r="381" spans="1:20" x14ac:dyDescent="0.35">
      <c r="A381" s="3" t="s">
        <v>767</v>
      </c>
      <c r="B381" s="3" t="s">
        <v>768</v>
      </c>
      <c r="C381" s="3" t="s">
        <v>15</v>
      </c>
      <c r="D381" s="5">
        <v>3000</v>
      </c>
      <c r="E381" s="3" t="s">
        <v>10</v>
      </c>
      <c r="F381" s="3">
        <v>0</v>
      </c>
      <c r="G381" s="21">
        <f>Table4[[#This Row],[Item Cost]]*Table4[[#This Row],[In Stock]]</f>
        <v>0</v>
      </c>
      <c r="H381" s="12" t="s">
        <v>4661</v>
      </c>
      <c r="I381" s="13" t="s">
        <v>4666</v>
      </c>
      <c r="J381" s="13" t="s">
        <v>4685</v>
      </c>
      <c r="K381" s="13" t="s">
        <v>4672</v>
      </c>
      <c r="L381" s="12" t="s">
        <v>4672</v>
      </c>
      <c r="M381" s="17" t="str">
        <f>IF(LEN(COUNTIFS($H$1:H381,$H381,$I$1:I381,$I381,$J$1:J381,$J381,$K$1:K381,K381,$L$1:L381,L381))=1,"00"&amp;COUNTIFS($H$1:H381,$H381,$I$1:I381,$I381,$J$1:J381,$J381,$K$1:K381,K381,$L$1:L381,L381),IF(LEN(COUNTIFS($H$1:H381,$H381,$I$1:I381,$I381,$J$1:J381,$J381,$K$1:K381,K381,$L$1:L381,L381))=2,"0"&amp;COUNTIFS($H$1:H381,$H381,$I$1:I381,$I381,$J$1:J381,$J381,$K$1:K381,K381,$L$1:L381,L381),COUNTIFS($H$1:H381,$H381,$I$1:I381,$I381,$J$1:J381,$J381,$K$1:K381,K381,$L$1:L381,L381)))</f>
        <v>001</v>
      </c>
      <c r="N38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81" s="14" t="e">
        <f>+LEN(Table4[[#This Row],[New Item Code]])</f>
        <v>#N/A</v>
      </c>
      <c r="P381" s="15" t="s">
        <v>4747</v>
      </c>
      <c r="Q381" s="15" t="s">
        <v>4749</v>
      </c>
      <c r="R381" s="15"/>
      <c r="S381" s="15"/>
      <c r="T381" s="15" t="s">
        <v>4685</v>
      </c>
    </row>
    <row r="382" spans="1:20" x14ac:dyDescent="0.35">
      <c r="A382" s="2" t="s">
        <v>769</v>
      </c>
      <c r="B382" s="2" t="s">
        <v>770</v>
      </c>
      <c r="C382" s="2" t="s">
        <v>15</v>
      </c>
      <c r="D382" s="2">
        <v>0</v>
      </c>
      <c r="E382" s="2" t="s">
        <v>10</v>
      </c>
      <c r="F382" s="2">
        <v>0</v>
      </c>
      <c r="G382" s="22">
        <f>Table4[[#This Row],[Item Cost]]*Table4[[#This Row],[In Stock]]</f>
        <v>0</v>
      </c>
      <c r="H382" s="12" t="s">
        <v>4661</v>
      </c>
      <c r="I382" s="13" t="s">
        <v>4666</v>
      </c>
      <c r="J382" s="13" t="s">
        <v>4685</v>
      </c>
      <c r="K382" s="13" t="s">
        <v>4672</v>
      </c>
      <c r="L382" s="12" t="s">
        <v>4672</v>
      </c>
      <c r="M382" s="17" t="str">
        <f>IF(LEN(COUNTIFS($H$1:H382,$H382,$I$1:I382,$I382,$J$1:J382,$J382,$K$1:K382,K382,$L$1:L382,L382))=1,"00"&amp;COUNTIFS($H$1:H382,$H382,$I$1:I382,$I382,$J$1:J382,$J382,$K$1:K382,K382,$L$1:L382,L382),IF(LEN(COUNTIFS($H$1:H382,$H382,$I$1:I382,$I382,$J$1:J382,$J382,$K$1:K382,K382,$L$1:L382,L382))=2,"0"&amp;COUNTIFS($H$1:H382,$H382,$I$1:I382,$I382,$J$1:J382,$J382,$K$1:K382,K382,$L$1:L382,L382),COUNTIFS($H$1:H382,$H382,$I$1:I382,$I382,$J$1:J382,$J382,$K$1:K382,K382,$L$1:L382,L382)))</f>
        <v>002</v>
      </c>
      <c r="N38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82" s="14" t="e">
        <f>+LEN(Table4[[#This Row],[New Item Code]])</f>
        <v>#N/A</v>
      </c>
      <c r="P382" s="15" t="s">
        <v>4747</v>
      </c>
      <c r="Q382" s="15" t="s">
        <v>4749</v>
      </c>
      <c r="R382" s="15"/>
      <c r="S382" s="15"/>
      <c r="T382" s="15" t="s">
        <v>4685</v>
      </c>
    </row>
    <row r="383" spans="1:20" x14ac:dyDescent="0.35">
      <c r="A383" s="3" t="s">
        <v>771</v>
      </c>
      <c r="B383" s="3" t="s">
        <v>772</v>
      </c>
      <c r="C383" s="3" t="s">
        <v>9</v>
      </c>
      <c r="D383" s="3">
        <v>50</v>
      </c>
      <c r="E383" s="3" t="s">
        <v>10</v>
      </c>
      <c r="F383" s="3">
        <v>19</v>
      </c>
      <c r="G383" s="21">
        <f>Table4[[#This Row],[Item Cost]]*Table4[[#This Row],[In Stock]]</f>
        <v>950</v>
      </c>
      <c r="H383" s="12" t="s">
        <v>4661</v>
      </c>
      <c r="I383" s="13" t="s">
        <v>4664</v>
      </c>
      <c r="J383" s="13" t="s">
        <v>4685</v>
      </c>
      <c r="K383" s="13" t="s">
        <v>4672</v>
      </c>
      <c r="L383" s="12" t="s">
        <v>4672</v>
      </c>
      <c r="M383" s="17" t="str">
        <f>IF(LEN(COUNTIFS($H$1:H383,$H383,$I$1:I383,$I383,$J$1:J383,$J383,$K$1:K383,K383,$L$1:L383,L383))=1,"00"&amp;COUNTIFS($H$1:H383,$H383,$I$1:I383,$I383,$J$1:J383,$J383,$K$1:K383,K383,$L$1:L383,L383),IF(LEN(COUNTIFS($H$1:H383,$H383,$I$1:I383,$I383,$J$1:J383,$J383,$K$1:K383,K383,$L$1:L383,L383))=2,"0"&amp;COUNTIFS($H$1:H383,$H383,$I$1:I383,$I383,$J$1:J383,$J383,$K$1:K383,K383,$L$1:L383,L383),COUNTIFS($H$1:H383,$H383,$I$1:I383,$I383,$J$1:J383,$J383,$K$1:K383,K383,$L$1:L383,L383)))</f>
        <v>001</v>
      </c>
      <c r="N38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83" s="14" t="e">
        <f>+LEN(Table4[[#This Row],[New Item Code]])</f>
        <v>#N/A</v>
      </c>
      <c r="P383" s="15" t="s">
        <v>4747</v>
      </c>
      <c r="Q383" s="15" t="s">
        <v>4749</v>
      </c>
      <c r="R383" s="15"/>
      <c r="S383" s="15"/>
      <c r="T383" s="15" t="s">
        <v>4685</v>
      </c>
    </row>
    <row r="384" spans="1:20" x14ac:dyDescent="0.35">
      <c r="A384" s="2" t="s">
        <v>773</v>
      </c>
      <c r="B384" s="2" t="s">
        <v>774</v>
      </c>
      <c r="C384" s="2" t="s">
        <v>56</v>
      </c>
      <c r="D384" s="2">
        <v>0</v>
      </c>
      <c r="E384" s="2" t="s">
        <v>57</v>
      </c>
      <c r="F384" s="2">
        <v>0</v>
      </c>
      <c r="G384" s="22">
        <f>Table4[[#This Row],[Item Cost]]*Table4[[#This Row],[In Stock]]</f>
        <v>0</v>
      </c>
      <c r="H384" s="12" t="s">
        <v>4661</v>
      </c>
      <c r="I384" s="13" t="s">
        <v>4668</v>
      </c>
      <c r="J384" s="13" t="s">
        <v>4685</v>
      </c>
      <c r="K384" s="13" t="s">
        <v>4672</v>
      </c>
      <c r="L384" s="12" t="s">
        <v>4672</v>
      </c>
      <c r="M384" s="17" t="str">
        <f>IF(LEN(COUNTIFS($H$1:H384,$H384,$I$1:I384,$I384,$J$1:J384,$J384,$K$1:K384,K384,$L$1:L384,L384))=1,"00"&amp;COUNTIFS($H$1:H384,$H384,$I$1:I384,$I384,$J$1:J384,$J384,$K$1:K384,K384,$L$1:L384,L384),IF(LEN(COUNTIFS($H$1:H384,$H384,$I$1:I384,$I384,$J$1:J384,$J384,$K$1:K384,K384,$L$1:L384,L384))=2,"0"&amp;COUNTIFS($H$1:H384,$H384,$I$1:I384,$I384,$J$1:J384,$J384,$K$1:K384,K384,$L$1:L384,L384),COUNTIFS($H$1:H384,$H384,$I$1:I384,$I384,$J$1:J384,$J384,$K$1:K384,K384,$L$1:L384,L384)))</f>
        <v>001</v>
      </c>
      <c r="N38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84" s="14" t="e">
        <f>+LEN(Table4[[#This Row],[New Item Code]])</f>
        <v>#N/A</v>
      </c>
      <c r="P384" s="15" t="s">
        <v>4747</v>
      </c>
      <c r="Q384" s="15" t="s">
        <v>4749</v>
      </c>
      <c r="R384" s="15"/>
      <c r="S384" s="15"/>
      <c r="T384" s="15" t="s">
        <v>4685</v>
      </c>
    </row>
    <row r="385" spans="1:20" x14ac:dyDescent="0.35">
      <c r="A385" s="3" t="s">
        <v>775</v>
      </c>
      <c r="B385" s="3" t="s">
        <v>776</v>
      </c>
      <c r="C385" s="3" t="s">
        <v>56</v>
      </c>
      <c r="D385" s="3">
        <v>0</v>
      </c>
      <c r="E385" s="3" t="s">
        <v>57</v>
      </c>
      <c r="F385" s="3">
        <v>0</v>
      </c>
      <c r="G385" s="21">
        <f>Table4[[#This Row],[Item Cost]]*Table4[[#This Row],[In Stock]]</f>
        <v>0</v>
      </c>
      <c r="H385" s="12" t="s">
        <v>4661</v>
      </c>
      <c r="I385" s="13" t="s">
        <v>4668</v>
      </c>
      <c r="J385" s="13" t="s">
        <v>4685</v>
      </c>
      <c r="K385" s="13" t="s">
        <v>4672</v>
      </c>
      <c r="L385" s="12" t="s">
        <v>4672</v>
      </c>
      <c r="M385" s="17" t="str">
        <f>IF(LEN(COUNTIFS($H$1:H385,$H385,$I$1:I385,$I385,$J$1:J385,$J385,$K$1:K385,K385,$L$1:L385,L385))=1,"00"&amp;COUNTIFS($H$1:H385,$H385,$I$1:I385,$I385,$J$1:J385,$J385,$K$1:K385,K385,$L$1:L385,L385),IF(LEN(COUNTIFS($H$1:H385,$H385,$I$1:I385,$I385,$J$1:J385,$J385,$K$1:K385,K385,$L$1:L385,L385))=2,"0"&amp;COUNTIFS($H$1:H385,$H385,$I$1:I385,$I385,$J$1:J385,$J385,$K$1:K385,K385,$L$1:L385,L385),COUNTIFS($H$1:H385,$H385,$I$1:I385,$I385,$J$1:J385,$J385,$K$1:K385,K385,$L$1:L385,L385)))</f>
        <v>002</v>
      </c>
      <c r="N38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85" s="14" t="e">
        <f>+LEN(Table4[[#This Row],[New Item Code]])</f>
        <v>#N/A</v>
      </c>
      <c r="P385" s="15" t="s">
        <v>4747</v>
      </c>
      <c r="Q385" s="15" t="s">
        <v>4749</v>
      </c>
      <c r="R385" s="15"/>
      <c r="S385" s="15"/>
      <c r="T385" s="15" t="s">
        <v>4685</v>
      </c>
    </row>
    <row r="386" spans="1:20" x14ac:dyDescent="0.35">
      <c r="A386" s="2" t="s">
        <v>777</v>
      </c>
      <c r="B386" s="2" t="s">
        <v>778</v>
      </c>
      <c r="C386" s="2" t="s">
        <v>56</v>
      </c>
      <c r="D386" s="2">
        <v>0</v>
      </c>
      <c r="E386" s="2" t="s">
        <v>57</v>
      </c>
      <c r="F386" s="2">
        <v>0</v>
      </c>
      <c r="G386" s="22">
        <f>Table4[[#This Row],[Item Cost]]*Table4[[#This Row],[In Stock]]</f>
        <v>0</v>
      </c>
      <c r="H386" s="12" t="s">
        <v>4661</v>
      </c>
      <c r="I386" s="13" t="s">
        <v>4668</v>
      </c>
      <c r="J386" s="13" t="s">
        <v>4685</v>
      </c>
      <c r="K386" t="s">
        <v>4799</v>
      </c>
      <c r="L386" s="12" t="s">
        <v>4672</v>
      </c>
      <c r="M386" s="17" t="str">
        <f>IF(LEN(COUNTIFS($H$1:H386,$H386,$I$1:I386,$I386,$J$1:J386,$J386,$K$1:K386,K386,$L$1:L386,L386))=1,"00"&amp;COUNTIFS($H$1:H386,$H386,$I$1:I386,$I386,$J$1:J386,$J386,$K$1:K386,K386,$L$1:L386,L386),IF(LEN(COUNTIFS($H$1:H386,$H386,$I$1:I386,$I386,$J$1:J386,$J386,$K$1:K386,K386,$L$1:L386,L386))=2,"0"&amp;COUNTIFS($H$1:H386,$H386,$I$1:I386,$I386,$J$1:J386,$J386,$K$1:K386,K386,$L$1:L386,L386),COUNTIFS($H$1:H386,$H386,$I$1:I386,$I386,$J$1:J386,$J386,$K$1:K386,K386,$L$1:L386,L386)))</f>
        <v>001</v>
      </c>
      <c r="N38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86" s="14" t="e">
        <f>+LEN(Table4[[#This Row],[New Item Code]])</f>
        <v>#N/A</v>
      </c>
      <c r="P386" s="15" t="s">
        <v>4747</v>
      </c>
      <c r="Q386" s="15" t="s">
        <v>4749</v>
      </c>
      <c r="R386" s="15"/>
      <c r="S386" s="15"/>
      <c r="T386" s="15" t="s">
        <v>4685</v>
      </c>
    </row>
    <row r="387" spans="1:20" x14ac:dyDescent="0.35">
      <c r="A387" s="3" t="s">
        <v>779</v>
      </c>
      <c r="B387" s="3" t="s">
        <v>780</v>
      </c>
      <c r="C387" s="3" t="s">
        <v>56</v>
      </c>
      <c r="D387" s="3">
        <v>0</v>
      </c>
      <c r="E387" s="3" t="s">
        <v>57</v>
      </c>
      <c r="F387" s="3">
        <v>0</v>
      </c>
      <c r="G387" s="21">
        <f>Table4[[#This Row],[Item Cost]]*Table4[[#This Row],[In Stock]]</f>
        <v>0</v>
      </c>
      <c r="H387" s="12" t="s">
        <v>4661</v>
      </c>
      <c r="I387" s="13" t="s">
        <v>4668</v>
      </c>
      <c r="J387" s="13" t="s">
        <v>4685</v>
      </c>
      <c r="K387" s="13" t="s">
        <v>4672</v>
      </c>
      <c r="L387" s="12" t="s">
        <v>4672</v>
      </c>
      <c r="M387" s="17" t="str">
        <f>IF(LEN(COUNTIFS($H$1:H387,$H387,$I$1:I387,$I387,$J$1:J387,$J387,$K$1:K387,K387,$L$1:L387,L387))=1,"00"&amp;COUNTIFS($H$1:H387,$H387,$I$1:I387,$I387,$J$1:J387,$J387,$K$1:K387,K387,$L$1:L387,L387),IF(LEN(COUNTIFS($H$1:H387,$H387,$I$1:I387,$I387,$J$1:J387,$J387,$K$1:K387,K387,$L$1:L387,L387))=2,"0"&amp;COUNTIFS($H$1:H387,$H387,$I$1:I387,$I387,$J$1:J387,$J387,$K$1:K387,K387,$L$1:L387,L387),COUNTIFS($H$1:H387,$H387,$I$1:I387,$I387,$J$1:J387,$J387,$K$1:K387,K387,$L$1:L387,L387)))</f>
        <v>003</v>
      </c>
      <c r="N38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87" s="14" t="e">
        <f>+LEN(Table4[[#This Row],[New Item Code]])</f>
        <v>#N/A</v>
      </c>
      <c r="P387" s="15" t="s">
        <v>4747</v>
      </c>
      <c r="Q387" s="15" t="s">
        <v>4749</v>
      </c>
      <c r="R387" s="15"/>
      <c r="S387" s="15"/>
      <c r="T387" s="15" t="s">
        <v>4685</v>
      </c>
    </row>
    <row r="388" spans="1:20" x14ac:dyDescent="0.35">
      <c r="A388" s="2" t="s">
        <v>781</v>
      </c>
      <c r="B388" s="2" t="s">
        <v>782</v>
      </c>
      <c r="C388" s="2" t="s">
        <v>9</v>
      </c>
      <c r="D388" s="2">
        <v>730.83</v>
      </c>
      <c r="E388" s="2" t="s">
        <v>10</v>
      </c>
      <c r="F388" s="2">
        <v>1</v>
      </c>
      <c r="G388" s="22">
        <f>Table4[[#This Row],[Item Cost]]*Table4[[#This Row],[In Stock]]</f>
        <v>730.83</v>
      </c>
      <c r="H388" s="12" t="s">
        <v>4661</v>
      </c>
      <c r="I388" s="13" t="s">
        <v>4664</v>
      </c>
      <c r="J388" s="13" t="s">
        <v>4687</v>
      </c>
      <c r="K388" s="13" t="s">
        <v>4672</v>
      </c>
      <c r="L388" s="12" t="s">
        <v>4672</v>
      </c>
      <c r="M388" s="17" t="str">
        <f>IF(LEN(COUNTIFS($H$1:H388,$H388,$I$1:I388,$I388,$J$1:J388,$J388,$K$1:K388,K388,$L$1:L388,L388))=1,"00"&amp;COUNTIFS($H$1:H388,$H388,$I$1:I388,$I388,$J$1:J388,$J388,$K$1:K388,K388,$L$1:L388,L388),IF(LEN(COUNTIFS($H$1:H388,$H388,$I$1:I388,$I388,$J$1:J388,$J388,$K$1:K388,K388,$L$1:L388,L388))=2,"0"&amp;COUNTIFS($H$1:H388,$H388,$I$1:I388,$I388,$J$1:J388,$J388,$K$1:K388,K388,$L$1:L388,L388),COUNTIFS($H$1:H388,$H388,$I$1:I388,$I388,$J$1:J388,$J388,$K$1:K388,K388,$L$1:L388,L388)))</f>
        <v>001</v>
      </c>
      <c r="N38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88" s="14" t="e">
        <f>+LEN(Table4[[#This Row],[New Item Code]])</f>
        <v>#N/A</v>
      </c>
      <c r="P388" s="15" t="s">
        <v>4747</v>
      </c>
      <c r="Q388" s="15" t="s">
        <v>4749</v>
      </c>
      <c r="R388" s="15"/>
      <c r="S388" s="15"/>
      <c r="T388" s="15" t="s">
        <v>4687</v>
      </c>
    </row>
    <row r="389" spans="1:20" x14ac:dyDescent="0.35">
      <c r="A389" s="3" t="s">
        <v>783</v>
      </c>
      <c r="B389" s="3" t="s">
        <v>784</v>
      </c>
      <c r="C389" s="3" t="s">
        <v>9</v>
      </c>
      <c r="D389" s="3">
        <v>467.51</v>
      </c>
      <c r="E389" s="3" t="s">
        <v>10</v>
      </c>
      <c r="F389" s="3">
        <v>0</v>
      </c>
      <c r="G389" s="21">
        <f>Table4[[#This Row],[Item Cost]]*Table4[[#This Row],[In Stock]]</f>
        <v>0</v>
      </c>
      <c r="H389" s="12" t="s">
        <v>4661</v>
      </c>
      <c r="I389" s="13" t="s">
        <v>4664</v>
      </c>
      <c r="J389" s="13" t="s">
        <v>4687</v>
      </c>
      <c r="K389" s="13" t="s">
        <v>4672</v>
      </c>
      <c r="L389" s="12" t="s">
        <v>4672</v>
      </c>
      <c r="M389" s="17" t="str">
        <f>IF(LEN(COUNTIFS($H$1:H389,$H389,$I$1:I389,$I389,$J$1:J389,$J389,$K$1:K389,K389,$L$1:L389,L389))=1,"00"&amp;COUNTIFS($H$1:H389,$H389,$I$1:I389,$I389,$J$1:J389,$J389,$K$1:K389,K389,$L$1:L389,L389),IF(LEN(COUNTIFS($H$1:H389,$H389,$I$1:I389,$I389,$J$1:J389,$J389,$K$1:K389,K389,$L$1:L389,L389))=2,"0"&amp;COUNTIFS($H$1:H389,$H389,$I$1:I389,$I389,$J$1:J389,$J389,$K$1:K389,K389,$L$1:L389,L389),COUNTIFS($H$1:H389,$H389,$I$1:I389,$I389,$J$1:J389,$J389,$K$1:K389,K389,$L$1:L389,L389)))</f>
        <v>002</v>
      </c>
      <c r="N38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89" s="14" t="e">
        <f>+LEN(Table4[[#This Row],[New Item Code]])</f>
        <v>#N/A</v>
      </c>
      <c r="P389" s="15" t="s">
        <v>4747</v>
      </c>
      <c r="Q389" s="15" t="s">
        <v>4749</v>
      </c>
      <c r="R389" s="15"/>
      <c r="S389" s="15"/>
      <c r="T389" s="15" t="s">
        <v>4687</v>
      </c>
    </row>
    <row r="390" spans="1:20" x14ac:dyDescent="0.35">
      <c r="A390" s="2" t="s">
        <v>785</v>
      </c>
      <c r="B390" s="2" t="s">
        <v>786</v>
      </c>
      <c r="C390" s="2" t="s">
        <v>9</v>
      </c>
      <c r="D390" s="4">
        <v>1485.89</v>
      </c>
      <c r="E390" s="2" t="s">
        <v>10</v>
      </c>
      <c r="F390" s="2">
        <v>1</v>
      </c>
      <c r="G390" s="22">
        <f>Table4[[#This Row],[Item Cost]]*Table4[[#This Row],[In Stock]]</f>
        <v>1485.89</v>
      </c>
      <c r="H390" s="12" t="s">
        <v>4661</v>
      </c>
      <c r="I390" s="13" t="s">
        <v>4664</v>
      </c>
      <c r="J390" s="13" t="s">
        <v>4687</v>
      </c>
      <c r="K390" s="13" t="s">
        <v>4672</v>
      </c>
      <c r="L390" s="12" t="s">
        <v>4672</v>
      </c>
      <c r="M390" s="17" t="str">
        <f>IF(LEN(COUNTIFS($H$1:H390,$H390,$I$1:I390,$I390,$J$1:J390,$J390,$K$1:K390,K390,$L$1:L390,L390))=1,"00"&amp;COUNTIFS($H$1:H390,$H390,$I$1:I390,$I390,$J$1:J390,$J390,$K$1:K390,K390,$L$1:L390,L390),IF(LEN(COUNTIFS($H$1:H390,$H390,$I$1:I390,$I390,$J$1:J390,$J390,$K$1:K390,K390,$L$1:L390,L390))=2,"0"&amp;COUNTIFS($H$1:H390,$H390,$I$1:I390,$I390,$J$1:J390,$J390,$K$1:K390,K390,$L$1:L390,L390),COUNTIFS($H$1:H390,$H390,$I$1:I390,$I390,$J$1:J390,$J390,$K$1:K390,K390,$L$1:L390,L390)))</f>
        <v>003</v>
      </c>
      <c r="N39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90" s="14" t="e">
        <f>+LEN(Table4[[#This Row],[New Item Code]])</f>
        <v>#N/A</v>
      </c>
      <c r="P390" s="15" t="s">
        <v>4747</v>
      </c>
      <c r="Q390" s="15" t="s">
        <v>4749</v>
      </c>
      <c r="R390" s="15"/>
      <c r="S390" s="15"/>
      <c r="T390" s="15" t="s">
        <v>4687</v>
      </c>
    </row>
    <row r="391" spans="1:20" x14ac:dyDescent="0.35">
      <c r="A391" s="3" t="s">
        <v>787</v>
      </c>
      <c r="B391" s="3" t="s">
        <v>788</v>
      </c>
      <c r="C391" s="3" t="s">
        <v>9</v>
      </c>
      <c r="D391" s="5">
        <v>1108.73</v>
      </c>
      <c r="E391" s="3" t="s">
        <v>10</v>
      </c>
      <c r="F391" s="3">
        <v>1</v>
      </c>
      <c r="G391" s="21">
        <f>Table4[[#This Row],[Item Cost]]*Table4[[#This Row],[In Stock]]</f>
        <v>1108.73</v>
      </c>
      <c r="H391" s="12" t="s">
        <v>4661</v>
      </c>
      <c r="I391" s="13" t="s">
        <v>4664</v>
      </c>
      <c r="J391" s="13" t="s">
        <v>4687</v>
      </c>
      <c r="K391" s="13" t="s">
        <v>4672</v>
      </c>
      <c r="L391" s="12" t="s">
        <v>4672</v>
      </c>
      <c r="M391" s="17" t="str">
        <f>IF(LEN(COUNTIFS($H$1:H391,$H391,$I$1:I391,$I391,$J$1:J391,$J391,$K$1:K391,K391,$L$1:L391,L391))=1,"00"&amp;COUNTIFS($H$1:H391,$H391,$I$1:I391,$I391,$J$1:J391,$J391,$K$1:K391,K391,$L$1:L391,L391),IF(LEN(COUNTIFS($H$1:H391,$H391,$I$1:I391,$I391,$J$1:J391,$J391,$K$1:K391,K391,$L$1:L391,L391))=2,"0"&amp;COUNTIFS($H$1:H391,$H391,$I$1:I391,$I391,$J$1:J391,$J391,$K$1:K391,K391,$L$1:L391,L391),COUNTIFS($H$1:H391,$H391,$I$1:I391,$I391,$J$1:J391,$J391,$K$1:K391,K391,$L$1:L391,L391)))</f>
        <v>004</v>
      </c>
      <c r="N39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91" s="14" t="e">
        <f>+LEN(Table4[[#This Row],[New Item Code]])</f>
        <v>#N/A</v>
      </c>
      <c r="P391" s="15" t="s">
        <v>4747</v>
      </c>
      <c r="Q391" s="15" t="s">
        <v>4749</v>
      </c>
      <c r="R391" s="15"/>
      <c r="S391" s="15"/>
      <c r="T391" s="15" t="s">
        <v>4687</v>
      </c>
    </row>
    <row r="392" spans="1:20" x14ac:dyDescent="0.35">
      <c r="A392" s="2" t="s">
        <v>789</v>
      </c>
      <c r="B392" s="2" t="s">
        <v>790</v>
      </c>
      <c r="C392" s="2" t="s">
        <v>9</v>
      </c>
      <c r="D392" s="2">
        <v>106.14</v>
      </c>
      <c r="E392" s="2" t="s">
        <v>10</v>
      </c>
      <c r="F392" s="2">
        <v>1</v>
      </c>
      <c r="G392" s="22">
        <f>Table4[[#This Row],[Item Cost]]*Table4[[#This Row],[In Stock]]</f>
        <v>106.14</v>
      </c>
      <c r="H392" s="12" t="s">
        <v>4661</v>
      </c>
      <c r="I392" s="13" t="s">
        <v>4664</v>
      </c>
      <c r="J392" s="13" t="s">
        <v>4687</v>
      </c>
      <c r="K392" s="13" t="s">
        <v>4672</v>
      </c>
      <c r="L392" s="12" t="s">
        <v>4672</v>
      </c>
      <c r="M392" s="17" t="str">
        <f>IF(LEN(COUNTIFS($H$1:H392,$H392,$I$1:I392,$I392,$J$1:J392,$J392,$K$1:K392,K392,$L$1:L392,L392))=1,"00"&amp;COUNTIFS($H$1:H392,$H392,$I$1:I392,$I392,$J$1:J392,$J392,$K$1:K392,K392,$L$1:L392,L392),IF(LEN(COUNTIFS($H$1:H392,$H392,$I$1:I392,$I392,$J$1:J392,$J392,$K$1:K392,K392,$L$1:L392,L392))=2,"0"&amp;COUNTIFS($H$1:H392,$H392,$I$1:I392,$I392,$J$1:J392,$J392,$K$1:K392,K392,$L$1:L392,L392),COUNTIFS($H$1:H392,$H392,$I$1:I392,$I392,$J$1:J392,$J392,$K$1:K392,K392,$L$1:L392,L392)))</f>
        <v>005</v>
      </c>
      <c r="N39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92" s="14" t="e">
        <f>+LEN(Table4[[#This Row],[New Item Code]])</f>
        <v>#N/A</v>
      </c>
      <c r="P392" s="15" t="s">
        <v>4747</v>
      </c>
      <c r="Q392" s="15" t="s">
        <v>4749</v>
      </c>
      <c r="R392" s="15"/>
      <c r="S392" s="15"/>
      <c r="T392" s="15" t="s">
        <v>4687</v>
      </c>
    </row>
    <row r="393" spans="1:20" x14ac:dyDescent="0.35">
      <c r="A393" s="3" t="s">
        <v>791</v>
      </c>
      <c r="B393" s="3" t="s">
        <v>792</v>
      </c>
      <c r="C393" s="3" t="s">
        <v>9</v>
      </c>
      <c r="D393" s="3">
        <v>92.91</v>
      </c>
      <c r="E393" s="3" t="s">
        <v>10</v>
      </c>
      <c r="F393" s="3">
        <v>1</v>
      </c>
      <c r="G393" s="21">
        <f>Table4[[#This Row],[Item Cost]]*Table4[[#This Row],[In Stock]]</f>
        <v>92.91</v>
      </c>
      <c r="H393" s="12" t="s">
        <v>4661</v>
      </c>
      <c r="I393" s="13" t="s">
        <v>4664</v>
      </c>
      <c r="J393" s="13" t="s">
        <v>4687</v>
      </c>
      <c r="K393" s="13" t="s">
        <v>4672</v>
      </c>
      <c r="L393" s="12" t="s">
        <v>4672</v>
      </c>
      <c r="M393" s="17" t="str">
        <f>IF(LEN(COUNTIFS($H$1:H393,$H393,$I$1:I393,$I393,$J$1:J393,$J393,$K$1:K393,K393,$L$1:L393,L393))=1,"00"&amp;COUNTIFS($H$1:H393,$H393,$I$1:I393,$I393,$J$1:J393,$J393,$K$1:K393,K393,$L$1:L393,L393),IF(LEN(COUNTIFS($H$1:H393,$H393,$I$1:I393,$I393,$J$1:J393,$J393,$K$1:K393,K393,$L$1:L393,L393))=2,"0"&amp;COUNTIFS($H$1:H393,$H393,$I$1:I393,$I393,$J$1:J393,$J393,$K$1:K393,K393,$L$1:L393,L393),COUNTIFS($H$1:H393,$H393,$I$1:I393,$I393,$J$1:J393,$J393,$K$1:K393,K393,$L$1:L393,L393)))</f>
        <v>006</v>
      </c>
      <c r="N39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93" s="14" t="e">
        <f>+LEN(Table4[[#This Row],[New Item Code]])</f>
        <v>#N/A</v>
      </c>
      <c r="P393" s="15" t="s">
        <v>4747</v>
      </c>
      <c r="Q393" s="15" t="s">
        <v>4749</v>
      </c>
      <c r="R393" s="15"/>
      <c r="S393" s="15"/>
      <c r="T393" s="15" t="s">
        <v>4687</v>
      </c>
    </row>
    <row r="394" spans="1:20" x14ac:dyDescent="0.35">
      <c r="A394" s="2" t="s">
        <v>793</v>
      </c>
      <c r="B394" s="2" t="s">
        <v>794</v>
      </c>
      <c r="C394" s="2" t="s">
        <v>9</v>
      </c>
      <c r="D394" s="2">
        <v>861.57</v>
      </c>
      <c r="E394" s="2" t="s">
        <v>10</v>
      </c>
      <c r="F394" s="2">
        <v>0</v>
      </c>
      <c r="G394" s="22">
        <f>Table4[[#This Row],[Item Cost]]*Table4[[#This Row],[In Stock]]</f>
        <v>0</v>
      </c>
      <c r="H394" s="12" t="s">
        <v>4661</v>
      </c>
      <c r="I394" s="13" t="s">
        <v>4664</v>
      </c>
      <c r="J394" s="13" t="s">
        <v>4687</v>
      </c>
      <c r="K394" s="13" t="s">
        <v>4672</v>
      </c>
      <c r="L394" s="12" t="s">
        <v>4672</v>
      </c>
      <c r="M394" s="17" t="str">
        <f>IF(LEN(COUNTIFS($H$1:H394,$H394,$I$1:I394,$I394,$J$1:J394,$J394,$K$1:K394,K394,$L$1:L394,L394))=1,"00"&amp;COUNTIFS($H$1:H394,$H394,$I$1:I394,$I394,$J$1:J394,$J394,$K$1:K394,K394,$L$1:L394,L394),IF(LEN(COUNTIFS($H$1:H394,$H394,$I$1:I394,$I394,$J$1:J394,$J394,$K$1:K394,K394,$L$1:L394,L394))=2,"0"&amp;COUNTIFS($H$1:H394,$H394,$I$1:I394,$I394,$J$1:J394,$J394,$K$1:K394,K394,$L$1:L394,L394),COUNTIFS($H$1:H394,$H394,$I$1:I394,$I394,$J$1:J394,$J394,$K$1:K394,K394,$L$1:L394,L394)))</f>
        <v>007</v>
      </c>
      <c r="N39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94" s="14" t="e">
        <f>+LEN(Table4[[#This Row],[New Item Code]])</f>
        <v>#N/A</v>
      </c>
      <c r="P394" s="15" t="s">
        <v>4747</v>
      </c>
      <c r="Q394" s="15" t="s">
        <v>4749</v>
      </c>
      <c r="R394" s="15"/>
      <c r="S394" s="15"/>
      <c r="T394" s="15" t="s">
        <v>4687</v>
      </c>
    </row>
    <row r="395" spans="1:20" x14ac:dyDescent="0.35">
      <c r="A395" s="3" t="s">
        <v>795</v>
      </c>
      <c r="B395" s="3" t="s">
        <v>796</v>
      </c>
      <c r="C395" s="3" t="s">
        <v>9</v>
      </c>
      <c r="D395" s="3">
        <v>27.91</v>
      </c>
      <c r="E395" s="3" t="s">
        <v>10</v>
      </c>
      <c r="F395" s="3">
        <v>1</v>
      </c>
      <c r="G395" s="21">
        <f>Table4[[#This Row],[Item Cost]]*Table4[[#This Row],[In Stock]]</f>
        <v>27.91</v>
      </c>
      <c r="H395" s="12" t="s">
        <v>4661</v>
      </c>
      <c r="I395" s="13" t="s">
        <v>4664</v>
      </c>
      <c r="J395" s="13" t="s">
        <v>4687</v>
      </c>
      <c r="K395" s="13" t="s">
        <v>4672</v>
      </c>
      <c r="L395" s="12" t="s">
        <v>4672</v>
      </c>
      <c r="M395" s="17" t="str">
        <f>IF(LEN(COUNTIFS($H$1:H395,$H395,$I$1:I395,$I395,$J$1:J395,$J395,$K$1:K395,K395,$L$1:L395,L395))=1,"00"&amp;COUNTIFS($H$1:H395,$H395,$I$1:I395,$I395,$J$1:J395,$J395,$K$1:K395,K395,$L$1:L395,L395),IF(LEN(COUNTIFS($H$1:H395,$H395,$I$1:I395,$I395,$J$1:J395,$J395,$K$1:K395,K395,$L$1:L395,L395))=2,"0"&amp;COUNTIFS($H$1:H395,$H395,$I$1:I395,$I395,$J$1:J395,$J395,$K$1:K395,K395,$L$1:L395,L395),COUNTIFS($H$1:H395,$H395,$I$1:I395,$I395,$J$1:J395,$J395,$K$1:K395,K395,$L$1:L395,L395)))</f>
        <v>008</v>
      </c>
      <c r="N39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95" s="14" t="e">
        <f>+LEN(Table4[[#This Row],[New Item Code]])</f>
        <v>#N/A</v>
      </c>
      <c r="P395" s="15" t="s">
        <v>4747</v>
      </c>
      <c r="Q395" s="15" t="s">
        <v>4749</v>
      </c>
      <c r="R395" s="15"/>
      <c r="S395" s="15"/>
      <c r="T395" s="15" t="s">
        <v>4687</v>
      </c>
    </row>
    <row r="396" spans="1:20" x14ac:dyDescent="0.35">
      <c r="A396" s="2" t="s">
        <v>797</v>
      </c>
      <c r="B396" s="2" t="s">
        <v>798</v>
      </c>
      <c r="C396" s="2" t="s">
        <v>9</v>
      </c>
      <c r="D396" s="2">
        <v>878</v>
      </c>
      <c r="E396" s="2" t="s">
        <v>10</v>
      </c>
      <c r="F396" s="2">
        <v>2</v>
      </c>
      <c r="G396" s="22">
        <f>Table4[[#This Row],[Item Cost]]*Table4[[#This Row],[In Stock]]</f>
        <v>1756</v>
      </c>
      <c r="H396" s="12" t="s">
        <v>4661</v>
      </c>
      <c r="I396" s="13" t="s">
        <v>4664</v>
      </c>
      <c r="J396" s="13" t="s">
        <v>4687</v>
      </c>
      <c r="K396" s="13" t="s">
        <v>4672</v>
      </c>
      <c r="L396" s="12" t="s">
        <v>4672</v>
      </c>
      <c r="M396" s="17" t="str">
        <f>IF(LEN(COUNTIFS($H$1:H396,$H396,$I$1:I396,$I396,$J$1:J396,$J396,$K$1:K396,K396,$L$1:L396,L396))=1,"00"&amp;COUNTIFS($H$1:H396,$H396,$I$1:I396,$I396,$J$1:J396,$J396,$K$1:K396,K396,$L$1:L396,L396),IF(LEN(COUNTIFS($H$1:H396,$H396,$I$1:I396,$I396,$J$1:J396,$J396,$K$1:K396,K396,$L$1:L396,L396))=2,"0"&amp;COUNTIFS($H$1:H396,$H396,$I$1:I396,$I396,$J$1:J396,$J396,$K$1:K396,K396,$L$1:L396,L396),COUNTIFS($H$1:H396,$H396,$I$1:I396,$I396,$J$1:J396,$J396,$K$1:K396,K396,$L$1:L396,L396)))</f>
        <v>009</v>
      </c>
      <c r="N39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96" s="14" t="e">
        <f>+LEN(Table4[[#This Row],[New Item Code]])</f>
        <v>#N/A</v>
      </c>
      <c r="P396" s="15" t="s">
        <v>4747</v>
      </c>
      <c r="Q396" s="15" t="s">
        <v>4749</v>
      </c>
      <c r="R396" s="15"/>
      <c r="S396" s="15"/>
      <c r="T396" s="15" t="s">
        <v>4687</v>
      </c>
    </row>
    <row r="397" spans="1:20" x14ac:dyDescent="0.35">
      <c r="A397" s="3" t="s">
        <v>799</v>
      </c>
      <c r="B397" s="3" t="s">
        <v>800</v>
      </c>
      <c r="C397" s="3" t="s">
        <v>9</v>
      </c>
      <c r="D397" s="3">
        <v>719.81</v>
      </c>
      <c r="E397" s="3" t="s">
        <v>10</v>
      </c>
      <c r="F397" s="3">
        <v>1</v>
      </c>
      <c r="G397" s="21">
        <f>Table4[[#This Row],[Item Cost]]*Table4[[#This Row],[In Stock]]</f>
        <v>719.81</v>
      </c>
      <c r="H397" s="12" t="s">
        <v>4661</v>
      </c>
      <c r="I397" s="13" t="s">
        <v>4664</v>
      </c>
      <c r="J397" s="13" t="s">
        <v>4687</v>
      </c>
      <c r="K397" s="13" t="s">
        <v>4672</v>
      </c>
      <c r="L397" s="12" t="s">
        <v>4672</v>
      </c>
      <c r="M397" s="17" t="str">
        <f>IF(LEN(COUNTIFS($H$1:H397,$H397,$I$1:I397,$I397,$J$1:J397,$J397,$K$1:K397,K397,$L$1:L397,L397))=1,"00"&amp;COUNTIFS($H$1:H397,$H397,$I$1:I397,$I397,$J$1:J397,$J397,$K$1:K397,K397,$L$1:L397,L397),IF(LEN(COUNTIFS($H$1:H397,$H397,$I$1:I397,$I397,$J$1:J397,$J397,$K$1:K397,K397,$L$1:L397,L397))=2,"0"&amp;COUNTIFS($H$1:H397,$H397,$I$1:I397,$I397,$J$1:J397,$J397,$K$1:K397,K397,$L$1:L397,L397),COUNTIFS($H$1:H397,$H397,$I$1:I397,$I397,$J$1:J397,$J397,$K$1:K397,K397,$L$1:L397,L397)))</f>
        <v>010</v>
      </c>
      <c r="N39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97" s="14" t="e">
        <f>+LEN(Table4[[#This Row],[New Item Code]])</f>
        <v>#N/A</v>
      </c>
      <c r="P397" s="15" t="s">
        <v>4747</v>
      </c>
      <c r="Q397" s="15" t="s">
        <v>4749</v>
      </c>
      <c r="R397" s="15"/>
      <c r="S397" s="15"/>
      <c r="T397" s="15" t="s">
        <v>4687</v>
      </c>
    </row>
    <row r="398" spans="1:20" x14ac:dyDescent="0.35">
      <c r="A398" s="2" t="s">
        <v>801</v>
      </c>
      <c r="B398" s="2" t="s">
        <v>802</v>
      </c>
      <c r="C398" s="2" t="s">
        <v>9</v>
      </c>
      <c r="D398" s="2">
        <v>978.72</v>
      </c>
      <c r="E398" s="2" t="s">
        <v>10</v>
      </c>
      <c r="F398" s="2">
        <v>1</v>
      </c>
      <c r="G398" s="22">
        <f>Table4[[#This Row],[Item Cost]]*Table4[[#This Row],[In Stock]]</f>
        <v>978.72</v>
      </c>
      <c r="H398" s="12" t="s">
        <v>4661</v>
      </c>
      <c r="I398" s="13" t="s">
        <v>4664</v>
      </c>
      <c r="J398" s="13" t="s">
        <v>4687</v>
      </c>
      <c r="K398" s="13" t="s">
        <v>4672</v>
      </c>
      <c r="L398" s="12" t="s">
        <v>4672</v>
      </c>
      <c r="M398" s="17" t="str">
        <f>IF(LEN(COUNTIFS($H$1:H398,$H398,$I$1:I398,$I398,$J$1:J398,$J398,$K$1:K398,K398,$L$1:L398,L398))=1,"00"&amp;COUNTIFS($H$1:H398,$H398,$I$1:I398,$I398,$J$1:J398,$J398,$K$1:K398,K398,$L$1:L398,L398),IF(LEN(COUNTIFS($H$1:H398,$H398,$I$1:I398,$I398,$J$1:J398,$J398,$K$1:K398,K398,$L$1:L398,L398))=2,"0"&amp;COUNTIFS($H$1:H398,$H398,$I$1:I398,$I398,$J$1:J398,$J398,$K$1:K398,K398,$L$1:L398,L398),COUNTIFS($H$1:H398,$H398,$I$1:I398,$I398,$J$1:J398,$J398,$K$1:K398,K398,$L$1:L398,L398)))</f>
        <v>011</v>
      </c>
      <c r="N39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98" s="14" t="e">
        <f>+LEN(Table4[[#This Row],[New Item Code]])</f>
        <v>#N/A</v>
      </c>
      <c r="P398" s="15" t="s">
        <v>4747</v>
      </c>
      <c r="Q398" s="15" t="s">
        <v>4749</v>
      </c>
      <c r="R398" s="15"/>
      <c r="S398" s="15"/>
      <c r="T398" s="15" t="s">
        <v>4687</v>
      </c>
    </row>
    <row r="399" spans="1:20" x14ac:dyDescent="0.35">
      <c r="A399" s="3" t="s">
        <v>803</v>
      </c>
      <c r="B399" s="3" t="s">
        <v>804</v>
      </c>
      <c r="C399" s="3" t="s">
        <v>9</v>
      </c>
      <c r="D399" s="3">
        <v>981.29</v>
      </c>
      <c r="E399" s="3" t="s">
        <v>10</v>
      </c>
      <c r="F399" s="3">
        <v>1</v>
      </c>
      <c r="G399" s="21">
        <f>Table4[[#This Row],[Item Cost]]*Table4[[#This Row],[In Stock]]</f>
        <v>981.29</v>
      </c>
      <c r="H399" s="12" t="s">
        <v>4661</v>
      </c>
      <c r="I399" s="13" t="s">
        <v>4664</v>
      </c>
      <c r="J399" s="13" t="s">
        <v>4687</v>
      </c>
      <c r="K399" s="13" t="s">
        <v>4672</v>
      </c>
      <c r="L399" s="12" t="s">
        <v>4672</v>
      </c>
      <c r="M399" s="17" t="str">
        <f>IF(LEN(COUNTIFS($H$1:H399,$H399,$I$1:I399,$I399,$J$1:J399,$J399,$K$1:K399,K399,$L$1:L399,L399))=1,"00"&amp;COUNTIFS($H$1:H399,$H399,$I$1:I399,$I399,$J$1:J399,$J399,$K$1:K399,K399,$L$1:L399,L399),IF(LEN(COUNTIFS($H$1:H399,$H399,$I$1:I399,$I399,$J$1:J399,$J399,$K$1:K399,K399,$L$1:L399,L399))=2,"0"&amp;COUNTIFS($H$1:H399,$H399,$I$1:I399,$I399,$J$1:J399,$J399,$K$1:K399,K399,$L$1:L399,L399),COUNTIFS($H$1:H399,$H399,$I$1:I399,$I399,$J$1:J399,$J399,$K$1:K399,K399,$L$1:L399,L399)))</f>
        <v>012</v>
      </c>
      <c r="N39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399" s="14" t="e">
        <f>+LEN(Table4[[#This Row],[New Item Code]])</f>
        <v>#N/A</v>
      </c>
      <c r="P399" s="15" t="s">
        <v>4747</v>
      </c>
      <c r="Q399" s="15" t="s">
        <v>4749</v>
      </c>
      <c r="R399" s="15"/>
      <c r="S399" s="15"/>
      <c r="T399" s="15" t="s">
        <v>4687</v>
      </c>
    </row>
    <row r="400" spans="1:20" x14ac:dyDescent="0.35">
      <c r="A400" s="2" t="s">
        <v>805</v>
      </c>
      <c r="B400" s="2" t="s">
        <v>806</v>
      </c>
      <c r="C400" s="2" t="s">
        <v>9</v>
      </c>
      <c r="D400" s="4">
        <v>1406.93</v>
      </c>
      <c r="E400" s="2" t="s">
        <v>10</v>
      </c>
      <c r="F400" s="2">
        <v>1</v>
      </c>
      <c r="G400" s="22">
        <f>Table4[[#This Row],[Item Cost]]*Table4[[#This Row],[In Stock]]</f>
        <v>1406.93</v>
      </c>
      <c r="H400" s="12" t="s">
        <v>4661</v>
      </c>
      <c r="I400" s="13" t="s">
        <v>4664</v>
      </c>
      <c r="J400" s="13" t="s">
        <v>4687</v>
      </c>
      <c r="K400" s="13" t="s">
        <v>4672</v>
      </c>
      <c r="L400" s="12" t="s">
        <v>4672</v>
      </c>
      <c r="M400" s="17" t="str">
        <f>IF(LEN(COUNTIFS($H$1:H400,$H400,$I$1:I400,$I400,$J$1:J400,$J400,$K$1:K400,K400,$L$1:L400,L400))=1,"00"&amp;COUNTIFS($H$1:H400,$H400,$I$1:I400,$I400,$J$1:J400,$J400,$K$1:K400,K400,$L$1:L400,L400),IF(LEN(COUNTIFS($H$1:H400,$H400,$I$1:I400,$I400,$J$1:J400,$J400,$K$1:K400,K400,$L$1:L400,L400))=2,"0"&amp;COUNTIFS($H$1:H400,$H400,$I$1:I400,$I400,$J$1:J400,$J400,$K$1:K400,K400,$L$1:L400,L400),COUNTIFS($H$1:H400,$H400,$I$1:I400,$I400,$J$1:J400,$J400,$K$1:K400,K400,$L$1:L400,L400)))</f>
        <v>013</v>
      </c>
      <c r="N40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00" s="14" t="e">
        <f>+LEN(Table4[[#This Row],[New Item Code]])</f>
        <v>#N/A</v>
      </c>
      <c r="P400" s="15" t="s">
        <v>4747</v>
      </c>
      <c r="Q400" s="15" t="s">
        <v>4749</v>
      </c>
      <c r="R400" s="15"/>
      <c r="S400" s="15"/>
      <c r="T400" s="15" t="s">
        <v>4687</v>
      </c>
    </row>
    <row r="401" spans="1:20" x14ac:dyDescent="0.35">
      <c r="A401" s="3" t="s">
        <v>807</v>
      </c>
      <c r="B401" s="3" t="s">
        <v>808</v>
      </c>
      <c r="C401" s="3" t="s">
        <v>15</v>
      </c>
      <c r="D401" s="5">
        <v>1270.32</v>
      </c>
      <c r="E401" s="3" t="s">
        <v>10</v>
      </c>
      <c r="F401" s="3">
        <v>0</v>
      </c>
      <c r="G401" s="21">
        <f>Table4[[#This Row],[Item Cost]]*Table4[[#This Row],[In Stock]]</f>
        <v>0</v>
      </c>
      <c r="H401" s="12" t="s">
        <v>4661</v>
      </c>
      <c r="I401" s="13" t="s">
        <v>4666</v>
      </c>
      <c r="J401" s="13" t="s">
        <v>4687</v>
      </c>
      <c r="K401" s="13" t="s">
        <v>4672</v>
      </c>
      <c r="L401" s="12" t="s">
        <v>4672</v>
      </c>
      <c r="M401" s="17" t="str">
        <f>IF(LEN(COUNTIFS($H$1:H401,$H401,$I$1:I401,$I401,$J$1:J401,$J401,$K$1:K401,K401,$L$1:L401,L401))=1,"00"&amp;COUNTIFS($H$1:H401,$H401,$I$1:I401,$I401,$J$1:J401,$J401,$K$1:K401,K401,$L$1:L401,L401),IF(LEN(COUNTIFS($H$1:H401,$H401,$I$1:I401,$I401,$J$1:J401,$J401,$K$1:K401,K401,$L$1:L401,L401))=2,"0"&amp;COUNTIFS($H$1:H401,$H401,$I$1:I401,$I401,$J$1:J401,$J401,$K$1:K401,K401,$L$1:L401,L401),COUNTIFS($H$1:H401,$H401,$I$1:I401,$I401,$J$1:J401,$J401,$K$1:K401,K401,$L$1:L401,L401)))</f>
        <v>001</v>
      </c>
      <c r="N40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01" s="14" t="e">
        <f>+LEN(Table4[[#This Row],[New Item Code]])</f>
        <v>#N/A</v>
      </c>
      <c r="P401" s="15" t="s">
        <v>4747</v>
      </c>
      <c r="Q401" s="15" t="s">
        <v>4749</v>
      </c>
      <c r="R401" s="15"/>
      <c r="S401" s="15"/>
      <c r="T401" s="15" t="s">
        <v>4687</v>
      </c>
    </row>
    <row r="402" spans="1:20" x14ac:dyDescent="0.35">
      <c r="A402" s="2" t="s">
        <v>809</v>
      </c>
      <c r="B402" s="2" t="s">
        <v>810</v>
      </c>
      <c r="C402" s="2" t="s">
        <v>15</v>
      </c>
      <c r="D402" s="2">
        <v>40.4</v>
      </c>
      <c r="E402" s="2" t="s">
        <v>10</v>
      </c>
      <c r="F402" s="2">
        <v>1</v>
      </c>
      <c r="G402" s="22">
        <f>Table4[[#This Row],[Item Cost]]*Table4[[#This Row],[In Stock]]</f>
        <v>40.4</v>
      </c>
      <c r="H402" s="12" t="s">
        <v>4661</v>
      </c>
      <c r="I402" s="13" t="s">
        <v>4666</v>
      </c>
      <c r="J402" s="13" t="s">
        <v>4687</v>
      </c>
      <c r="K402" s="13" t="s">
        <v>4672</v>
      </c>
      <c r="L402" s="12" t="s">
        <v>4672</v>
      </c>
      <c r="M402" s="17" t="str">
        <f>IF(LEN(COUNTIFS($H$1:H402,$H402,$I$1:I402,$I402,$J$1:J402,$J402,$K$1:K402,K402,$L$1:L402,L402))=1,"00"&amp;COUNTIFS($H$1:H402,$H402,$I$1:I402,$I402,$J$1:J402,$J402,$K$1:K402,K402,$L$1:L402,L402),IF(LEN(COUNTIFS($H$1:H402,$H402,$I$1:I402,$I402,$J$1:J402,$J402,$K$1:K402,K402,$L$1:L402,L402))=2,"0"&amp;COUNTIFS($H$1:H402,$H402,$I$1:I402,$I402,$J$1:J402,$J402,$K$1:K402,K402,$L$1:L402,L402),COUNTIFS($H$1:H402,$H402,$I$1:I402,$I402,$J$1:J402,$J402,$K$1:K402,K402,$L$1:L402,L402)))</f>
        <v>002</v>
      </c>
      <c r="N40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02" s="14" t="e">
        <f>+LEN(Table4[[#This Row],[New Item Code]])</f>
        <v>#N/A</v>
      </c>
      <c r="P402" s="15" t="s">
        <v>4747</v>
      </c>
      <c r="Q402" s="15" t="s">
        <v>4749</v>
      </c>
      <c r="R402" s="15"/>
      <c r="S402" s="15"/>
      <c r="T402" s="15" t="s">
        <v>4687</v>
      </c>
    </row>
    <row r="403" spans="1:20" x14ac:dyDescent="0.35">
      <c r="A403" s="3" t="s">
        <v>811</v>
      </c>
      <c r="B403" s="3" t="s">
        <v>812</v>
      </c>
      <c r="C403" s="3" t="s">
        <v>15</v>
      </c>
      <c r="D403" s="3">
        <v>30.11</v>
      </c>
      <c r="E403" s="3" t="s">
        <v>10</v>
      </c>
      <c r="F403" s="3">
        <v>1</v>
      </c>
      <c r="G403" s="21">
        <f>Table4[[#This Row],[Item Cost]]*Table4[[#This Row],[In Stock]]</f>
        <v>30.11</v>
      </c>
      <c r="H403" s="12" t="s">
        <v>4661</v>
      </c>
      <c r="I403" s="13" t="s">
        <v>4666</v>
      </c>
      <c r="J403" s="13" t="s">
        <v>4687</v>
      </c>
      <c r="K403" s="13" t="s">
        <v>4672</v>
      </c>
      <c r="L403" s="12" t="s">
        <v>4672</v>
      </c>
      <c r="M403" s="17" t="str">
        <f>IF(LEN(COUNTIFS($H$1:H403,$H403,$I$1:I403,$I403,$J$1:J403,$J403,$K$1:K403,K403,$L$1:L403,L403))=1,"00"&amp;COUNTIFS($H$1:H403,$H403,$I$1:I403,$I403,$J$1:J403,$J403,$K$1:K403,K403,$L$1:L403,L403),IF(LEN(COUNTIFS($H$1:H403,$H403,$I$1:I403,$I403,$J$1:J403,$J403,$K$1:K403,K403,$L$1:L403,L403))=2,"0"&amp;COUNTIFS($H$1:H403,$H403,$I$1:I403,$I403,$J$1:J403,$J403,$K$1:K403,K403,$L$1:L403,L403),COUNTIFS($H$1:H403,$H403,$I$1:I403,$I403,$J$1:J403,$J403,$K$1:K403,K403,$L$1:L403,L403)))</f>
        <v>003</v>
      </c>
      <c r="N40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03" s="14" t="e">
        <f>+LEN(Table4[[#This Row],[New Item Code]])</f>
        <v>#N/A</v>
      </c>
      <c r="P403" s="15" t="s">
        <v>4747</v>
      </c>
      <c r="Q403" s="15" t="s">
        <v>4749</v>
      </c>
      <c r="R403" s="15"/>
      <c r="S403" s="15"/>
      <c r="T403" s="15" t="s">
        <v>4687</v>
      </c>
    </row>
    <row r="404" spans="1:20" x14ac:dyDescent="0.35">
      <c r="A404" s="2" t="s">
        <v>813</v>
      </c>
      <c r="B404" s="2" t="s">
        <v>814</v>
      </c>
      <c r="C404" s="2" t="s">
        <v>15</v>
      </c>
      <c r="D404" s="2">
        <v>22.77</v>
      </c>
      <c r="E404" s="2" t="s">
        <v>10</v>
      </c>
      <c r="F404" s="2">
        <v>0</v>
      </c>
      <c r="G404" s="22">
        <f>Table4[[#This Row],[Item Cost]]*Table4[[#This Row],[In Stock]]</f>
        <v>0</v>
      </c>
      <c r="H404" s="12" t="s">
        <v>4661</v>
      </c>
      <c r="I404" s="13" t="s">
        <v>4666</v>
      </c>
      <c r="J404" s="13" t="s">
        <v>4687</v>
      </c>
      <c r="K404" s="13" t="s">
        <v>4672</v>
      </c>
      <c r="L404" s="12" t="s">
        <v>4672</v>
      </c>
      <c r="M404" s="17" t="str">
        <f>IF(LEN(COUNTIFS($H$1:H404,$H404,$I$1:I404,$I404,$J$1:J404,$J404,$K$1:K404,K404,$L$1:L404,L404))=1,"00"&amp;COUNTIFS($H$1:H404,$H404,$I$1:I404,$I404,$J$1:J404,$J404,$K$1:K404,K404,$L$1:L404,L404),IF(LEN(COUNTIFS($H$1:H404,$H404,$I$1:I404,$I404,$J$1:J404,$J404,$K$1:K404,K404,$L$1:L404,L404))=2,"0"&amp;COUNTIFS($H$1:H404,$H404,$I$1:I404,$I404,$J$1:J404,$J404,$K$1:K404,K404,$L$1:L404,L404),COUNTIFS($H$1:H404,$H404,$I$1:I404,$I404,$J$1:J404,$J404,$K$1:K404,K404,$L$1:L404,L404)))</f>
        <v>004</v>
      </c>
      <c r="N40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04" s="14" t="e">
        <f>+LEN(Table4[[#This Row],[New Item Code]])</f>
        <v>#N/A</v>
      </c>
      <c r="P404" s="15" t="s">
        <v>4747</v>
      </c>
      <c r="Q404" s="15" t="s">
        <v>4749</v>
      </c>
      <c r="R404" s="15"/>
      <c r="S404" s="15"/>
      <c r="T404" s="15" t="s">
        <v>4687</v>
      </c>
    </row>
    <row r="405" spans="1:20" x14ac:dyDescent="0.35">
      <c r="A405" s="3" t="s">
        <v>815</v>
      </c>
      <c r="B405" s="3" t="s">
        <v>816</v>
      </c>
      <c r="C405" s="3" t="s">
        <v>15</v>
      </c>
      <c r="D405" s="3">
        <v>60.96</v>
      </c>
      <c r="E405" s="3" t="s">
        <v>10</v>
      </c>
      <c r="F405" s="3">
        <v>1</v>
      </c>
      <c r="G405" s="21">
        <f>Table4[[#This Row],[Item Cost]]*Table4[[#This Row],[In Stock]]</f>
        <v>60.96</v>
      </c>
      <c r="H405" s="12" t="s">
        <v>4661</v>
      </c>
      <c r="I405" s="13" t="s">
        <v>4666</v>
      </c>
      <c r="J405" s="13" t="s">
        <v>4687</v>
      </c>
      <c r="K405" s="13" t="s">
        <v>4672</v>
      </c>
      <c r="L405" s="12" t="s">
        <v>4672</v>
      </c>
      <c r="M405" s="17" t="str">
        <f>IF(LEN(COUNTIFS($H$1:H405,$H405,$I$1:I405,$I405,$J$1:J405,$J405,$K$1:K405,K405,$L$1:L405,L405))=1,"00"&amp;COUNTIFS($H$1:H405,$H405,$I$1:I405,$I405,$J$1:J405,$J405,$K$1:K405,K405,$L$1:L405,L405),IF(LEN(COUNTIFS($H$1:H405,$H405,$I$1:I405,$I405,$J$1:J405,$J405,$K$1:K405,K405,$L$1:L405,L405))=2,"0"&amp;COUNTIFS($H$1:H405,$H405,$I$1:I405,$I405,$J$1:J405,$J405,$K$1:K405,K405,$L$1:L405,L405),COUNTIFS($H$1:H405,$H405,$I$1:I405,$I405,$J$1:J405,$J405,$K$1:K405,K405,$L$1:L405,L405)))</f>
        <v>005</v>
      </c>
      <c r="N40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05" s="14" t="e">
        <f>+LEN(Table4[[#This Row],[New Item Code]])</f>
        <v>#N/A</v>
      </c>
      <c r="P405" s="15" t="s">
        <v>4747</v>
      </c>
      <c r="Q405" s="15" t="s">
        <v>4749</v>
      </c>
      <c r="R405" s="15"/>
      <c r="S405" s="15"/>
      <c r="T405" s="15" t="s">
        <v>4687</v>
      </c>
    </row>
    <row r="406" spans="1:20" x14ac:dyDescent="0.35">
      <c r="A406" s="2" t="s">
        <v>817</v>
      </c>
      <c r="B406" s="2" t="s">
        <v>818</v>
      </c>
      <c r="C406" s="2" t="s">
        <v>15</v>
      </c>
      <c r="D406" s="2">
        <v>224.39</v>
      </c>
      <c r="E406" s="2" t="s">
        <v>10</v>
      </c>
      <c r="F406" s="2">
        <v>1</v>
      </c>
      <c r="G406" s="22">
        <f>Table4[[#This Row],[Item Cost]]*Table4[[#This Row],[In Stock]]</f>
        <v>224.39</v>
      </c>
      <c r="H406" s="12" t="s">
        <v>4661</v>
      </c>
      <c r="I406" s="13" t="s">
        <v>4666</v>
      </c>
      <c r="J406" s="13" t="s">
        <v>4687</v>
      </c>
      <c r="K406" s="13" t="s">
        <v>4672</v>
      </c>
      <c r="L406" s="12" t="s">
        <v>4672</v>
      </c>
      <c r="M406" s="17" t="str">
        <f>IF(LEN(COUNTIFS($H$1:H406,$H406,$I$1:I406,$I406,$J$1:J406,$J406,$K$1:K406,K406,$L$1:L406,L406))=1,"00"&amp;COUNTIFS($H$1:H406,$H406,$I$1:I406,$I406,$J$1:J406,$J406,$K$1:K406,K406,$L$1:L406,L406),IF(LEN(COUNTIFS($H$1:H406,$H406,$I$1:I406,$I406,$J$1:J406,$J406,$K$1:K406,K406,$L$1:L406,L406))=2,"0"&amp;COUNTIFS($H$1:H406,$H406,$I$1:I406,$I406,$J$1:J406,$J406,$K$1:K406,K406,$L$1:L406,L406),COUNTIFS($H$1:H406,$H406,$I$1:I406,$I406,$J$1:J406,$J406,$K$1:K406,K406,$L$1:L406,L406)))</f>
        <v>006</v>
      </c>
      <c r="N40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06" s="14" t="e">
        <f>+LEN(Table4[[#This Row],[New Item Code]])</f>
        <v>#N/A</v>
      </c>
      <c r="P406" s="15" t="s">
        <v>4747</v>
      </c>
      <c r="Q406" s="15" t="s">
        <v>4749</v>
      </c>
      <c r="R406" s="15"/>
      <c r="S406" s="15"/>
      <c r="T406" s="15" t="s">
        <v>4687</v>
      </c>
    </row>
    <row r="407" spans="1:20" x14ac:dyDescent="0.35">
      <c r="A407" s="3" t="s">
        <v>819</v>
      </c>
      <c r="B407" s="3" t="s">
        <v>820</v>
      </c>
      <c r="C407" s="3" t="s">
        <v>9</v>
      </c>
      <c r="D407" s="3">
        <v>27.18</v>
      </c>
      <c r="E407" s="3" t="s">
        <v>10</v>
      </c>
      <c r="F407" s="3">
        <v>0</v>
      </c>
      <c r="G407" s="21">
        <f>Table4[[#This Row],[Item Cost]]*Table4[[#This Row],[In Stock]]</f>
        <v>0</v>
      </c>
      <c r="H407" s="12" t="s">
        <v>4661</v>
      </c>
      <c r="I407" s="13" t="s">
        <v>4664</v>
      </c>
      <c r="J407" s="13" t="s">
        <v>4687</v>
      </c>
      <c r="K407" s="13" t="s">
        <v>4672</v>
      </c>
      <c r="L407" s="12" t="s">
        <v>4672</v>
      </c>
      <c r="M407" s="17" t="str">
        <f>IF(LEN(COUNTIFS($H$1:H407,$H407,$I$1:I407,$I407,$J$1:J407,$J407,$K$1:K407,K407,$L$1:L407,L407))=1,"00"&amp;COUNTIFS($H$1:H407,$H407,$I$1:I407,$I407,$J$1:J407,$J407,$K$1:K407,K407,$L$1:L407,L407),IF(LEN(COUNTIFS($H$1:H407,$H407,$I$1:I407,$I407,$J$1:J407,$J407,$K$1:K407,K407,$L$1:L407,L407))=2,"0"&amp;COUNTIFS($H$1:H407,$H407,$I$1:I407,$I407,$J$1:J407,$J407,$K$1:K407,K407,$L$1:L407,L407),COUNTIFS($H$1:H407,$H407,$I$1:I407,$I407,$J$1:J407,$J407,$K$1:K407,K407,$L$1:L407,L407)))</f>
        <v>014</v>
      </c>
      <c r="N40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07" s="14" t="e">
        <f>+LEN(Table4[[#This Row],[New Item Code]])</f>
        <v>#N/A</v>
      </c>
      <c r="P407" s="15" t="s">
        <v>4747</v>
      </c>
      <c r="Q407" s="15" t="s">
        <v>4749</v>
      </c>
      <c r="R407" s="15"/>
      <c r="S407" s="15"/>
      <c r="T407" s="15" t="s">
        <v>4687</v>
      </c>
    </row>
    <row r="408" spans="1:20" x14ac:dyDescent="0.35">
      <c r="A408" s="2" t="s">
        <v>821</v>
      </c>
      <c r="B408" s="2" t="s">
        <v>822</v>
      </c>
      <c r="C408" s="2" t="s">
        <v>9</v>
      </c>
      <c r="D408" s="2">
        <v>27.18</v>
      </c>
      <c r="E408" s="2" t="s">
        <v>10</v>
      </c>
      <c r="F408" s="2">
        <v>1</v>
      </c>
      <c r="G408" s="22">
        <f>Table4[[#This Row],[Item Cost]]*Table4[[#This Row],[In Stock]]</f>
        <v>27.18</v>
      </c>
      <c r="H408" s="12" t="s">
        <v>4661</v>
      </c>
      <c r="I408" s="13" t="s">
        <v>4664</v>
      </c>
      <c r="J408" s="13" t="s">
        <v>4687</v>
      </c>
      <c r="K408" s="13" t="s">
        <v>4672</v>
      </c>
      <c r="L408" s="12" t="s">
        <v>4672</v>
      </c>
      <c r="M408" s="17" t="str">
        <f>IF(LEN(COUNTIFS($H$1:H408,$H408,$I$1:I408,$I408,$J$1:J408,$J408,$K$1:K408,K408,$L$1:L408,L408))=1,"00"&amp;COUNTIFS($H$1:H408,$H408,$I$1:I408,$I408,$J$1:J408,$J408,$K$1:K408,K408,$L$1:L408,L408),IF(LEN(COUNTIFS($H$1:H408,$H408,$I$1:I408,$I408,$J$1:J408,$J408,$K$1:K408,K408,$L$1:L408,L408))=2,"0"&amp;COUNTIFS($H$1:H408,$H408,$I$1:I408,$I408,$J$1:J408,$J408,$K$1:K408,K408,$L$1:L408,L408),COUNTIFS($H$1:H408,$H408,$I$1:I408,$I408,$J$1:J408,$J408,$K$1:K408,K408,$L$1:L408,L408)))</f>
        <v>015</v>
      </c>
      <c r="N40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08" s="14" t="e">
        <f>+LEN(Table4[[#This Row],[New Item Code]])</f>
        <v>#N/A</v>
      </c>
      <c r="P408" s="15" t="s">
        <v>4747</v>
      </c>
      <c r="Q408" s="15" t="s">
        <v>4749</v>
      </c>
      <c r="R408" s="15"/>
      <c r="S408" s="15"/>
      <c r="T408" s="15" t="s">
        <v>4687</v>
      </c>
    </row>
    <row r="409" spans="1:20" x14ac:dyDescent="0.35">
      <c r="A409" s="3" t="s">
        <v>823</v>
      </c>
      <c r="B409" s="3" t="s">
        <v>824</v>
      </c>
      <c r="C409" s="3" t="s">
        <v>9</v>
      </c>
      <c r="D409" s="3">
        <v>719.81</v>
      </c>
      <c r="E409" s="3" t="s">
        <v>10</v>
      </c>
      <c r="F409" s="3">
        <v>0</v>
      </c>
      <c r="G409" s="21">
        <f>Table4[[#This Row],[Item Cost]]*Table4[[#This Row],[In Stock]]</f>
        <v>0</v>
      </c>
      <c r="H409" s="12" t="s">
        <v>4661</v>
      </c>
      <c r="I409" s="13" t="s">
        <v>4664</v>
      </c>
      <c r="J409" s="13" t="s">
        <v>4687</v>
      </c>
      <c r="K409" s="13" t="s">
        <v>4672</v>
      </c>
      <c r="L409" s="12" t="s">
        <v>4672</v>
      </c>
      <c r="M409" s="17" t="str">
        <f>IF(LEN(COUNTIFS($H$1:H409,$H409,$I$1:I409,$I409,$J$1:J409,$J409,$K$1:K409,K409,$L$1:L409,L409))=1,"00"&amp;COUNTIFS($H$1:H409,$H409,$I$1:I409,$I409,$J$1:J409,$J409,$K$1:K409,K409,$L$1:L409,L409),IF(LEN(COUNTIFS($H$1:H409,$H409,$I$1:I409,$I409,$J$1:J409,$J409,$K$1:K409,K409,$L$1:L409,L409))=2,"0"&amp;COUNTIFS($H$1:H409,$H409,$I$1:I409,$I409,$J$1:J409,$J409,$K$1:K409,K409,$L$1:L409,L409),COUNTIFS($H$1:H409,$H409,$I$1:I409,$I409,$J$1:J409,$J409,$K$1:K409,K409,$L$1:L409,L409)))</f>
        <v>016</v>
      </c>
      <c r="N40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09" s="14" t="e">
        <f>+LEN(Table4[[#This Row],[New Item Code]])</f>
        <v>#N/A</v>
      </c>
      <c r="P409" s="15" t="s">
        <v>4747</v>
      </c>
      <c r="Q409" s="15" t="s">
        <v>4749</v>
      </c>
      <c r="R409" s="15"/>
      <c r="S409" s="15"/>
      <c r="T409" s="15" t="s">
        <v>4687</v>
      </c>
    </row>
    <row r="410" spans="1:20" x14ac:dyDescent="0.35">
      <c r="A410" s="2" t="s">
        <v>825</v>
      </c>
      <c r="B410" s="2" t="s">
        <v>826</v>
      </c>
      <c r="C410" s="2" t="s">
        <v>9</v>
      </c>
      <c r="D410" s="4">
        <v>1277.3</v>
      </c>
      <c r="E410" s="2" t="s">
        <v>10</v>
      </c>
      <c r="F410" s="2">
        <v>1</v>
      </c>
      <c r="G410" s="22">
        <f>Table4[[#This Row],[Item Cost]]*Table4[[#This Row],[In Stock]]</f>
        <v>1277.3</v>
      </c>
      <c r="H410" s="12" t="s">
        <v>4661</v>
      </c>
      <c r="I410" s="13" t="s">
        <v>4664</v>
      </c>
      <c r="J410" s="13" t="s">
        <v>4687</v>
      </c>
      <c r="K410" s="13" t="s">
        <v>4672</v>
      </c>
      <c r="L410" s="12" t="s">
        <v>4672</v>
      </c>
      <c r="M410" s="17" t="str">
        <f>IF(LEN(COUNTIFS($H$1:H410,$H410,$I$1:I410,$I410,$J$1:J410,$J410,$K$1:K410,K410,$L$1:L410,L410))=1,"00"&amp;COUNTIFS($H$1:H410,$H410,$I$1:I410,$I410,$J$1:J410,$J410,$K$1:K410,K410,$L$1:L410,L410),IF(LEN(COUNTIFS($H$1:H410,$H410,$I$1:I410,$I410,$J$1:J410,$J410,$K$1:K410,K410,$L$1:L410,L410))=2,"0"&amp;COUNTIFS($H$1:H410,$H410,$I$1:I410,$I410,$J$1:J410,$J410,$K$1:K410,K410,$L$1:L410,L410),COUNTIFS($H$1:H410,$H410,$I$1:I410,$I410,$J$1:J410,$J410,$K$1:K410,K410,$L$1:L410,L410)))</f>
        <v>017</v>
      </c>
      <c r="N41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10" s="14" t="e">
        <f>+LEN(Table4[[#This Row],[New Item Code]])</f>
        <v>#N/A</v>
      </c>
      <c r="P410" s="15" t="s">
        <v>4747</v>
      </c>
      <c r="Q410" s="15" t="s">
        <v>4749</v>
      </c>
      <c r="R410" s="15"/>
      <c r="S410" s="15"/>
      <c r="T410" s="15" t="s">
        <v>4687</v>
      </c>
    </row>
    <row r="411" spans="1:20" x14ac:dyDescent="0.35">
      <c r="A411" s="3" t="s">
        <v>827</v>
      </c>
      <c r="B411" s="3" t="s">
        <v>828</v>
      </c>
      <c r="C411" s="3" t="s">
        <v>15</v>
      </c>
      <c r="D411" s="3">
        <v>160.49</v>
      </c>
      <c r="E411" s="3" t="s">
        <v>10</v>
      </c>
      <c r="F411" s="3">
        <v>1</v>
      </c>
      <c r="G411" s="21">
        <f>Table4[[#This Row],[Item Cost]]*Table4[[#This Row],[In Stock]]</f>
        <v>160.49</v>
      </c>
      <c r="H411" s="12" t="s">
        <v>4661</v>
      </c>
      <c r="I411" s="13" t="s">
        <v>4666</v>
      </c>
      <c r="J411" s="13" t="s">
        <v>4687</v>
      </c>
      <c r="K411" s="13" t="s">
        <v>4672</v>
      </c>
      <c r="L411" s="12" t="s">
        <v>4672</v>
      </c>
      <c r="M411" s="17" t="str">
        <f>IF(LEN(COUNTIFS($H$1:H411,$H411,$I$1:I411,$I411,$J$1:J411,$J411,$K$1:K411,K411,$L$1:L411,L411))=1,"00"&amp;COUNTIFS($H$1:H411,$H411,$I$1:I411,$I411,$J$1:J411,$J411,$K$1:K411,K411,$L$1:L411,L411),IF(LEN(COUNTIFS($H$1:H411,$H411,$I$1:I411,$I411,$J$1:J411,$J411,$K$1:K411,K411,$L$1:L411,L411))=2,"0"&amp;COUNTIFS($H$1:H411,$H411,$I$1:I411,$I411,$J$1:J411,$J411,$K$1:K411,K411,$L$1:L411,L411),COUNTIFS($H$1:H411,$H411,$I$1:I411,$I411,$J$1:J411,$J411,$K$1:K411,K411,$L$1:L411,L411)))</f>
        <v>007</v>
      </c>
      <c r="N41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11" s="14" t="e">
        <f>+LEN(Table4[[#This Row],[New Item Code]])</f>
        <v>#N/A</v>
      </c>
      <c r="P411" s="15" t="s">
        <v>4747</v>
      </c>
      <c r="Q411" s="15" t="s">
        <v>4749</v>
      </c>
      <c r="R411" s="15"/>
      <c r="S411" s="15"/>
      <c r="T411" s="15" t="s">
        <v>4687</v>
      </c>
    </row>
    <row r="412" spans="1:20" x14ac:dyDescent="0.35">
      <c r="A412" s="2" t="s">
        <v>829</v>
      </c>
      <c r="B412" s="2" t="s">
        <v>830</v>
      </c>
      <c r="C412" s="2" t="s">
        <v>15</v>
      </c>
      <c r="D412" s="2">
        <v>56.19</v>
      </c>
      <c r="E412" s="2" t="s">
        <v>10</v>
      </c>
      <c r="F412" s="2">
        <v>1</v>
      </c>
      <c r="G412" s="22">
        <f>Table4[[#This Row],[Item Cost]]*Table4[[#This Row],[In Stock]]</f>
        <v>56.19</v>
      </c>
      <c r="H412" s="12" t="s">
        <v>4661</v>
      </c>
      <c r="I412" s="13" t="s">
        <v>4666</v>
      </c>
      <c r="J412" s="13" t="s">
        <v>4687</v>
      </c>
      <c r="K412" s="13" t="s">
        <v>4672</v>
      </c>
      <c r="L412" s="12" t="s">
        <v>4672</v>
      </c>
      <c r="M412" s="17" t="str">
        <f>IF(LEN(COUNTIFS($H$1:H412,$H412,$I$1:I412,$I412,$J$1:J412,$J412,$K$1:K412,K412,$L$1:L412,L412))=1,"00"&amp;COUNTIFS($H$1:H412,$H412,$I$1:I412,$I412,$J$1:J412,$J412,$K$1:K412,K412,$L$1:L412,L412),IF(LEN(COUNTIFS($H$1:H412,$H412,$I$1:I412,$I412,$J$1:J412,$J412,$K$1:K412,K412,$L$1:L412,L412))=2,"0"&amp;COUNTIFS($H$1:H412,$H412,$I$1:I412,$I412,$J$1:J412,$J412,$K$1:K412,K412,$L$1:L412,L412),COUNTIFS($H$1:H412,$H412,$I$1:I412,$I412,$J$1:J412,$J412,$K$1:K412,K412,$L$1:L412,L412)))</f>
        <v>008</v>
      </c>
      <c r="N41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12" s="14" t="e">
        <f>+LEN(Table4[[#This Row],[New Item Code]])</f>
        <v>#N/A</v>
      </c>
      <c r="P412" s="15" t="s">
        <v>4747</v>
      </c>
      <c r="Q412" s="15" t="s">
        <v>4749</v>
      </c>
      <c r="R412" s="15"/>
      <c r="S412" s="15"/>
      <c r="T412" s="15" t="s">
        <v>4687</v>
      </c>
    </row>
    <row r="413" spans="1:20" x14ac:dyDescent="0.35">
      <c r="A413" s="3" t="s">
        <v>831</v>
      </c>
      <c r="B413" s="3" t="s">
        <v>832</v>
      </c>
      <c r="C413" s="3" t="s">
        <v>15</v>
      </c>
      <c r="D413" s="3">
        <v>56.19</v>
      </c>
      <c r="E413" s="3" t="s">
        <v>10</v>
      </c>
      <c r="F413" s="3">
        <v>1</v>
      </c>
      <c r="G413" s="21">
        <f>Table4[[#This Row],[Item Cost]]*Table4[[#This Row],[In Stock]]</f>
        <v>56.19</v>
      </c>
      <c r="H413" s="12" t="s">
        <v>4661</v>
      </c>
      <c r="I413" s="13" t="s">
        <v>4666</v>
      </c>
      <c r="J413" s="13" t="s">
        <v>4687</v>
      </c>
      <c r="K413" s="13" t="s">
        <v>4672</v>
      </c>
      <c r="L413" s="12" t="s">
        <v>4672</v>
      </c>
      <c r="M413" s="17" t="str">
        <f>IF(LEN(COUNTIFS($H$1:H413,$H413,$I$1:I413,$I413,$J$1:J413,$J413,$K$1:K413,K413,$L$1:L413,L413))=1,"00"&amp;COUNTIFS($H$1:H413,$H413,$I$1:I413,$I413,$J$1:J413,$J413,$K$1:K413,K413,$L$1:L413,L413),IF(LEN(COUNTIFS($H$1:H413,$H413,$I$1:I413,$I413,$J$1:J413,$J413,$K$1:K413,K413,$L$1:L413,L413))=2,"0"&amp;COUNTIFS($H$1:H413,$H413,$I$1:I413,$I413,$J$1:J413,$J413,$K$1:K413,K413,$L$1:L413,L413),COUNTIFS($H$1:H413,$H413,$I$1:I413,$I413,$J$1:J413,$J413,$K$1:K413,K413,$L$1:L413,L413)))</f>
        <v>009</v>
      </c>
      <c r="N41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13" s="14" t="e">
        <f>+LEN(Table4[[#This Row],[New Item Code]])</f>
        <v>#N/A</v>
      </c>
      <c r="P413" s="15" t="s">
        <v>4747</v>
      </c>
      <c r="Q413" s="15" t="s">
        <v>4749</v>
      </c>
      <c r="R413" s="15"/>
      <c r="S413" s="15"/>
      <c r="T413" s="15" t="s">
        <v>4687</v>
      </c>
    </row>
    <row r="414" spans="1:20" x14ac:dyDescent="0.35">
      <c r="A414" s="2" t="s">
        <v>833</v>
      </c>
      <c r="B414" s="2" t="s">
        <v>834</v>
      </c>
      <c r="C414" s="2" t="s">
        <v>15</v>
      </c>
      <c r="D414" s="2">
        <v>56.19</v>
      </c>
      <c r="E414" s="2" t="s">
        <v>10</v>
      </c>
      <c r="F414" s="2">
        <v>1</v>
      </c>
      <c r="G414" s="22">
        <f>Table4[[#This Row],[Item Cost]]*Table4[[#This Row],[In Stock]]</f>
        <v>56.19</v>
      </c>
      <c r="H414" s="12" t="s">
        <v>4661</v>
      </c>
      <c r="I414" s="13" t="s">
        <v>4666</v>
      </c>
      <c r="J414" s="13" t="s">
        <v>4687</v>
      </c>
      <c r="K414" s="13" t="s">
        <v>4672</v>
      </c>
      <c r="L414" s="12" t="s">
        <v>4672</v>
      </c>
      <c r="M414" s="17" t="str">
        <f>IF(LEN(COUNTIFS($H$1:H414,$H414,$I$1:I414,$I414,$J$1:J414,$J414,$K$1:K414,K414,$L$1:L414,L414))=1,"00"&amp;COUNTIFS($H$1:H414,$H414,$I$1:I414,$I414,$J$1:J414,$J414,$K$1:K414,K414,$L$1:L414,L414),IF(LEN(COUNTIFS($H$1:H414,$H414,$I$1:I414,$I414,$J$1:J414,$J414,$K$1:K414,K414,$L$1:L414,L414))=2,"0"&amp;COUNTIFS($H$1:H414,$H414,$I$1:I414,$I414,$J$1:J414,$J414,$K$1:K414,K414,$L$1:L414,L414),COUNTIFS($H$1:H414,$H414,$I$1:I414,$I414,$J$1:J414,$J414,$K$1:K414,K414,$L$1:L414,L414)))</f>
        <v>010</v>
      </c>
      <c r="N41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14" s="14" t="e">
        <f>+LEN(Table4[[#This Row],[New Item Code]])</f>
        <v>#N/A</v>
      </c>
      <c r="P414" s="15" t="s">
        <v>4747</v>
      </c>
      <c r="Q414" s="15" t="s">
        <v>4749</v>
      </c>
      <c r="R414" s="15"/>
      <c r="S414" s="15"/>
      <c r="T414" s="15" t="s">
        <v>4687</v>
      </c>
    </row>
    <row r="415" spans="1:20" x14ac:dyDescent="0.35">
      <c r="A415" s="3" t="s">
        <v>835</v>
      </c>
      <c r="B415" s="3" t="s">
        <v>836</v>
      </c>
      <c r="C415" s="3" t="s">
        <v>15</v>
      </c>
      <c r="D415" s="3">
        <v>56.19</v>
      </c>
      <c r="E415" s="3" t="s">
        <v>10</v>
      </c>
      <c r="F415" s="3">
        <v>1</v>
      </c>
      <c r="G415" s="21">
        <f>Table4[[#This Row],[Item Cost]]*Table4[[#This Row],[In Stock]]</f>
        <v>56.19</v>
      </c>
      <c r="H415" s="12" t="s">
        <v>4661</v>
      </c>
      <c r="I415" s="13" t="s">
        <v>4666</v>
      </c>
      <c r="J415" s="13" t="s">
        <v>4687</v>
      </c>
      <c r="K415" s="13" t="s">
        <v>4672</v>
      </c>
      <c r="L415" s="12" t="s">
        <v>4672</v>
      </c>
      <c r="M415" s="17" t="str">
        <f>IF(LEN(COUNTIFS($H$1:H415,$H415,$I$1:I415,$I415,$J$1:J415,$J415,$K$1:K415,K415,$L$1:L415,L415))=1,"00"&amp;COUNTIFS($H$1:H415,$H415,$I$1:I415,$I415,$J$1:J415,$J415,$K$1:K415,K415,$L$1:L415,L415),IF(LEN(COUNTIFS($H$1:H415,$H415,$I$1:I415,$I415,$J$1:J415,$J415,$K$1:K415,K415,$L$1:L415,L415))=2,"0"&amp;COUNTIFS($H$1:H415,$H415,$I$1:I415,$I415,$J$1:J415,$J415,$K$1:K415,K415,$L$1:L415,L415),COUNTIFS($H$1:H415,$H415,$I$1:I415,$I415,$J$1:J415,$J415,$K$1:K415,K415,$L$1:L415,L415)))</f>
        <v>011</v>
      </c>
      <c r="N41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15" s="14" t="e">
        <f>+LEN(Table4[[#This Row],[New Item Code]])</f>
        <v>#N/A</v>
      </c>
      <c r="P415" s="15" t="s">
        <v>4747</v>
      </c>
      <c r="Q415" s="15" t="s">
        <v>4749</v>
      </c>
      <c r="R415" s="15"/>
      <c r="S415" s="15"/>
      <c r="T415" s="15" t="s">
        <v>4687</v>
      </c>
    </row>
    <row r="416" spans="1:20" x14ac:dyDescent="0.35">
      <c r="A416" s="2" t="s">
        <v>837</v>
      </c>
      <c r="B416" s="2" t="s">
        <v>838</v>
      </c>
      <c r="C416" s="2" t="s">
        <v>15</v>
      </c>
      <c r="D416" s="2">
        <v>56.19</v>
      </c>
      <c r="E416" s="2" t="s">
        <v>10</v>
      </c>
      <c r="F416" s="2">
        <v>1</v>
      </c>
      <c r="G416" s="22">
        <f>Table4[[#This Row],[Item Cost]]*Table4[[#This Row],[In Stock]]</f>
        <v>56.19</v>
      </c>
      <c r="H416" s="12" t="s">
        <v>4661</v>
      </c>
      <c r="I416" s="13" t="s">
        <v>4666</v>
      </c>
      <c r="J416" s="13" t="s">
        <v>4687</v>
      </c>
      <c r="K416" s="13" t="s">
        <v>4672</v>
      </c>
      <c r="L416" s="12" t="s">
        <v>4672</v>
      </c>
      <c r="M416" s="17" t="str">
        <f>IF(LEN(COUNTIFS($H$1:H416,$H416,$I$1:I416,$I416,$J$1:J416,$J416,$K$1:K416,K416,$L$1:L416,L416))=1,"00"&amp;COUNTIFS($H$1:H416,$H416,$I$1:I416,$I416,$J$1:J416,$J416,$K$1:K416,K416,$L$1:L416,L416),IF(LEN(COUNTIFS($H$1:H416,$H416,$I$1:I416,$I416,$J$1:J416,$J416,$K$1:K416,K416,$L$1:L416,L416))=2,"0"&amp;COUNTIFS($H$1:H416,$H416,$I$1:I416,$I416,$J$1:J416,$J416,$K$1:K416,K416,$L$1:L416,L416),COUNTIFS($H$1:H416,$H416,$I$1:I416,$I416,$J$1:J416,$J416,$K$1:K416,K416,$L$1:L416,L416)))</f>
        <v>012</v>
      </c>
      <c r="N41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16" s="14" t="e">
        <f>+LEN(Table4[[#This Row],[New Item Code]])</f>
        <v>#N/A</v>
      </c>
      <c r="P416" s="15" t="s">
        <v>4747</v>
      </c>
      <c r="Q416" s="15" t="s">
        <v>4749</v>
      </c>
      <c r="R416" s="15"/>
      <c r="S416" s="15"/>
      <c r="T416" s="15" t="s">
        <v>4687</v>
      </c>
    </row>
    <row r="417" spans="1:20" x14ac:dyDescent="0.35">
      <c r="A417" s="3" t="s">
        <v>839</v>
      </c>
      <c r="B417" s="3" t="s">
        <v>840</v>
      </c>
      <c r="C417" s="3" t="s">
        <v>9</v>
      </c>
      <c r="D417" s="5">
        <v>1245.71</v>
      </c>
      <c r="E417" s="3" t="s">
        <v>10</v>
      </c>
      <c r="F417" s="3">
        <v>1</v>
      </c>
      <c r="G417" s="21">
        <f>Table4[[#This Row],[Item Cost]]*Table4[[#This Row],[In Stock]]</f>
        <v>1245.71</v>
      </c>
      <c r="H417" s="12" t="s">
        <v>4661</v>
      </c>
      <c r="I417" s="13" t="s">
        <v>4664</v>
      </c>
      <c r="J417" s="13" t="s">
        <v>4687</v>
      </c>
      <c r="K417" s="13" t="s">
        <v>4672</v>
      </c>
      <c r="L417" s="12" t="s">
        <v>4672</v>
      </c>
      <c r="M417" s="17" t="str">
        <f>IF(LEN(COUNTIFS($H$1:H417,$H417,$I$1:I417,$I417,$J$1:J417,$J417,$K$1:K417,K417,$L$1:L417,L417))=1,"00"&amp;COUNTIFS($H$1:H417,$H417,$I$1:I417,$I417,$J$1:J417,$J417,$K$1:K417,K417,$L$1:L417,L417),IF(LEN(COUNTIFS($H$1:H417,$H417,$I$1:I417,$I417,$J$1:J417,$J417,$K$1:K417,K417,$L$1:L417,L417))=2,"0"&amp;COUNTIFS($H$1:H417,$H417,$I$1:I417,$I417,$J$1:J417,$J417,$K$1:K417,K417,$L$1:L417,L417),COUNTIFS($H$1:H417,$H417,$I$1:I417,$I417,$J$1:J417,$J417,$K$1:K417,K417,$L$1:L417,L417)))</f>
        <v>018</v>
      </c>
      <c r="N41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17" s="14" t="e">
        <f>+LEN(Table4[[#This Row],[New Item Code]])</f>
        <v>#N/A</v>
      </c>
      <c r="P417" s="15" t="s">
        <v>4747</v>
      </c>
      <c r="Q417" s="15" t="s">
        <v>4749</v>
      </c>
      <c r="R417" s="15"/>
      <c r="S417" s="15"/>
      <c r="T417" s="15" t="s">
        <v>4687</v>
      </c>
    </row>
    <row r="418" spans="1:20" x14ac:dyDescent="0.35">
      <c r="A418" s="2" t="s">
        <v>841</v>
      </c>
      <c r="B418" s="2" t="s">
        <v>842</v>
      </c>
      <c r="C418" s="2" t="s">
        <v>9</v>
      </c>
      <c r="D418" s="4">
        <v>9162.89</v>
      </c>
      <c r="E418" s="2" t="s">
        <v>10</v>
      </c>
      <c r="F418" s="2">
        <v>0</v>
      </c>
      <c r="G418" s="22">
        <f>Table4[[#This Row],[Item Cost]]*Table4[[#This Row],[In Stock]]</f>
        <v>0</v>
      </c>
      <c r="H418" s="12" t="s">
        <v>4661</v>
      </c>
      <c r="I418" s="13" t="s">
        <v>4664</v>
      </c>
      <c r="J418" s="13" t="s">
        <v>4687</v>
      </c>
      <c r="K418" s="13" t="s">
        <v>4672</v>
      </c>
      <c r="L418" s="12" t="s">
        <v>4672</v>
      </c>
      <c r="M418" s="17" t="str">
        <f>IF(LEN(COUNTIFS($H$1:H418,$H418,$I$1:I418,$I418,$J$1:J418,$J418,$K$1:K418,K418,$L$1:L418,L418))=1,"00"&amp;COUNTIFS($H$1:H418,$H418,$I$1:I418,$I418,$J$1:J418,$J418,$K$1:K418,K418,$L$1:L418,L418),IF(LEN(COUNTIFS($H$1:H418,$H418,$I$1:I418,$I418,$J$1:J418,$J418,$K$1:K418,K418,$L$1:L418,L418))=2,"0"&amp;COUNTIFS($H$1:H418,$H418,$I$1:I418,$I418,$J$1:J418,$J418,$K$1:K418,K418,$L$1:L418,L418),COUNTIFS($H$1:H418,$H418,$I$1:I418,$I418,$J$1:J418,$J418,$K$1:K418,K418,$L$1:L418,L418)))</f>
        <v>019</v>
      </c>
      <c r="N41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18" s="14" t="e">
        <f>+LEN(Table4[[#This Row],[New Item Code]])</f>
        <v>#N/A</v>
      </c>
      <c r="P418" s="15" t="s">
        <v>4747</v>
      </c>
      <c r="Q418" s="15" t="s">
        <v>4749</v>
      </c>
      <c r="R418" s="15"/>
      <c r="S418" s="15"/>
      <c r="T418" s="15" t="s">
        <v>4687</v>
      </c>
    </row>
    <row r="419" spans="1:20" x14ac:dyDescent="0.35">
      <c r="A419" s="3" t="s">
        <v>843</v>
      </c>
      <c r="B419" s="3" t="s">
        <v>844</v>
      </c>
      <c r="C419" s="3" t="s">
        <v>9</v>
      </c>
      <c r="D419" s="5">
        <v>1708.08</v>
      </c>
      <c r="E419" s="3" t="s">
        <v>10</v>
      </c>
      <c r="F419" s="3">
        <v>0</v>
      </c>
      <c r="G419" s="21">
        <f>Table4[[#This Row],[Item Cost]]*Table4[[#This Row],[In Stock]]</f>
        <v>0</v>
      </c>
      <c r="H419" s="12" t="s">
        <v>4661</v>
      </c>
      <c r="I419" s="13" t="s">
        <v>4664</v>
      </c>
      <c r="J419" s="13" t="s">
        <v>4687</v>
      </c>
      <c r="K419" s="13" t="s">
        <v>4672</v>
      </c>
      <c r="L419" s="12" t="s">
        <v>4672</v>
      </c>
      <c r="M419" s="17" t="str">
        <f>IF(LEN(COUNTIFS($H$1:H419,$H419,$I$1:I419,$I419,$J$1:J419,$J419,$K$1:K419,K419,$L$1:L419,L419))=1,"00"&amp;COUNTIFS($H$1:H419,$H419,$I$1:I419,$I419,$J$1:J419,$J419,$K$1:K419,K419,$L$1:L419,L419),IF(LEN(COUNTIFS($H$1:H419,$H419,$I$1:I419,$I419,$J$1:J419,$J419,$K$1:K419,K419,$L$1:L419,L419))=2,"0"&amp;COUNTIFS($H$1:H419,$H419,$I$1:I419,$I419,$J$1:J419,$J419,$K$1:K419,K419,$L$1:L419,L419),COUNTIFS($H$1:H419,$H419,$I$1:I419,$I419,$J$1:J419,$J419,$K$1:K419,K419,$L$1:L419,L419)))</f>
        <v>020</v>
      </c>
      <c r="N41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19" s="14" t="e">
        <f>+LEN(Table4[[#This Row],[New Item Code]])</f>
        <v>#N/A</v>
      </c>
      <c r="P419" s="15" t="s">
        <v>4747</v>
      </c>
      <c r="Q419" s="15" t="s">
        <v>4749</v>
      </c>
      <c r="R419" s="15"/>
      <c r="S419" s="15"/>
      <c r="T419" s="15" t="s">
        <v>4687</v>
      </c>
    </row>
    <row r="420" spans="1:20" x14ac:dyDescent="0.35">
      <c r="A420" s="2" t="s">
        <v>845</v>
      </c>
      <c r="B420" s="2" t="s">
        <v>846</v>
      </c>
      <c r="C420" s="2" t="s">
        <v>9</v>
      </c>
      <c r="D420" s="2">
        <v>458.33</v>
      </c>
      <c r="E420" s="2" t="s">
        <v>10</v>
      </c>
      <c r="F420" s="2">
        <v>1</v>
      </c>
      <c r="G420" s="22">
        <f>Table4[[#This Row],[Item Cost]]*Table4[[#This Row],[In Stock]]</f>
        <v>458.33</v>
      </c>
      <c r="H420" s="12" t="s">
        <v>4661</v>
      </c>
      <c r="I420" s="13" t="s">
        <v>4664</v>
      </c>
      <c r="J420" s="13" t="s">
        <v>4687</v>
      </c>
      <c r="K420" s="13" t="s">
        <v>4672</v>
      </c>
      <c r="L420" s="12" t="s">
        <v>4672</v>
      </c>
      <c r="M420" s="17" t="str">
        <f>IF(LEN(COUNTIFS($H$1:H420,$H420,$I$1:I420,$I420,$J$1:J420,$J420,$K$1:K420,K420,$L$1:L420,L420))=1,"00"&amp;COUNTIFS($H$1:H420,$H420,$I$1:I420,$I420,$J$1:J420,$J420,$K$1:K420,K420,$L$1:L420,L420),IF(LEN(COUNTIFS($H$1:H420,$H420,$I$1:I420,$I420,$J$1:J420,$J420,$K$1:K420,K420,$L$1:L420,L420))=2,"0"&amp;COUNTIFS($H$1:H420,$H420,$I$1:I420,$I420,$J$1:J420,$J420,$K$1:K420,K420,$L$1:L420,L420),COUNTIFS($H$1:H420,$H420,$I$1:I420,$I420,$J$1:J420,$J420,$K$1:K420,K420,$L$1:L420,L420)))</f>
        <v>021</v>
      </c>
      <c r="N42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20" s="14" t="e">
        <f>+LEN(Table4[[#This Row],[New Item Code]])</f>
        <v>#N/A</v>
      </c>
      <c r="P420" s="15" t="s">
        <v>4747</v>
      </c>
      <c r="Q420" s="15" t="s">
        <v>4749</v>
      </c>
      <c r="R420" s="15"/>
      <c r="S420" s="15"/>
      <c r="T420" s="15" t="s">
        <v>4687</v>
      </c>
    </row>
    <row r="421" spans="1:20" x14ac:dyDescent="0.35">
      <c r="A421" s="3" t="s">
        <v>847</v>
      </c>
      <c r="B421" s="3" t="s">
        <v>848</v>
      </c>
      <c r="C421" s="3" t="s">
        <v>9</v>
      </c>
      <c r="D421" s="3">
        <v>13.22</v>
      </c>
      <c r="E421" s="3" t="s">
        <v>10</v>
      </c>
      <c r="F421" s="3">
        <v>0</v>
      </c>
      <c r="G421" s="21">
        <f>Table4[[#This Row],[Item Cost]]*Table4[[#This Row],[In Stock]]</f>
        <v>0</v>
      </c>
      <c r="H421" s="12" t="s">
        <v>4661</v>
      </c>
      <c r="I421" s="13" t="s">
        <v>4664</v>
      </c>
      <c r="J421" s="13" t="s">
        <v>4687</v>
      </c>
      <c r="K421" s="13" t="s">
        <v>4672</v>
      </c>
      <c r="L421" s="12" t="s">
        <v>4672</v>
      </c>
      <c r="M421" s="17" t="str">
        <f>IF(LEN(COUNTIFS($H$1:H421,$H421,$I$1:I421,$I421,$J$1:J421,$J421,$K$1:K421,K421,$L$1:L421,L421))=1,"00"&amp;COUNTIFS($H$1:H421,$H421,$I$1:I421,$I421,$J$1:J421,$J421,$K$1:K421,K421,$L$1:L421,L421),IF(LEN(COUNTIFS($H$1:H421,$H421,$I$1:I421,$I421,$J$1:J421,$J421,$K$1:K421,K421,$L$1:L421,L421))=2,"0"&amp;COUNTIFS($H$1:H421,$H421,$I$1:I421,$I421,$J$1:J421,$J421,$K$1:K421,K421,$L$1:L421,L421),COUNTIFS($H$1:H421,$H421,$I$1:I421,$I421,$J$1:J421,$J421,$K$1:K421,K421,$L$1:L421,L421)))</f>
        <v>022</v>
      </c>
      <c r="N42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21" s="14" t="e">
        <f>+LEN(Table4[[#This Row],[New Item Code]])</f>
        <v>#N/A</v>
      </c>
      <c r="P421" s="15" t="s">
        <v>4747</v>
      </c>
      <c r="Q421" s="15" t="s">
        <v>4749</v>
      </c>
      <c r="R421" s="15"/>
      <c r="S421" s="15"/>
      <c r="T421" s="15" t="s">
        <v>4687</v>
      </c>
    </row>
    <row r="422" spans="1:20" x14ac:dyDescent="0.35">
      <c r="A422" s="2" t="s">
        <v>849</v>
      </c>
      <c r="B422" s="2" t="s">
        <v>850</v>
      </c>
      <c r="C422" s="2" t="s">
        <v>9</v>
      </c>
      <c r="D422" s="2">
        <v>120.09</v>
      </c>
      <c r="E422" s="2" t="s">
        <v>10</v>
      </c>
      <c r="F422" s="2">
        <v>2</v>
      </c>
      <c r="G422" s="22">
        <f>Table4[[#This Row],[Item Cost]]*Table4[[#This Row],[In Stock]]</f>
        <v>240.18</v>
      </c>
      <c r="H422" s="12" t="s">
        <v>4661</v>
      </c>
      <c r="I422" s="13" t="s">
        <v>4664</v>
      </c>
      <c r="J422" s="13" t="s">
        <v>4687</v>
      </c>
      <c r="K422" s="13" t="s">
        <v>4672</v>
      </c>
      <c r="L422" s="12" t="s">
        <v>4672</v>
      </c>
      <c r="M422" s="17" t="str">
        <f>IF(LEN(COUNTIFS($H$1:H422,$H422,$I$1:I422,$I422,$J$1:J422,$J422,$K$1:K422,K422,$L$1:L422,L422))=1,"00"&amp;COUNTIFS($H$1:H422,$H422,$I$1:I422,$I422,$J$1:J422,$J422,$K$1:K422,K422,$L$1:L422,L422),IF(LEN(COUNTIFS($H$1:H422,$H422,$I$1:I422,$I422,$J$1:J422,$J422,$K$1:K422,K422,$L$1:L422,L422))=2,"0"&amp;COUNTIFS($H$1:H422,$H422,$I$1:I422,$I422,$J$1:J422,$J422,$K$1:K422,K422,$L$1:L422,L422),COUNTIFS($H$1:H422,$H422,$I$1:I422,$I422,$J$1:J422,$J422,$K$1:K422,K422,$L$1:L422,L422)))</f>
        <v>023</v>
      </c>
      <c r="N42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22" s="14" t="e">
        <f>+LEN(Table4[[#This Row],[New Item Code]])</f>
        <v>#N/A</v>
      </c>
      <c r="P422" s="15" t="s">
        <v>4747</v>
      </c>
      <c r="Q422" s="15" t="s">
        <v>4749</v>
      </c>
      <c r="R422" s="15"/>
      <c r="S422" s="15"/>
      <c r="T422" s="15" t="s">
        <v>4687</v>
      </c>
    </row>
    <row r="423" spans="1:20" x14ac:dyDescent="0.35">
      <c r="A423" s="3" t="s">
        <v>851</v>
      </c>
      <c r="B423" s="3" t="s">
        <v>852</v>
      </c>
      <c r="C423" s="3" t="s">
        <v>9</v>
      </c>
      <c r="D423" s="3">
        <v>139.55500000000001</v>
      </c>
      <c r="E423" s="3" t="s">
        <v>10</v>
      </c>
      <c r="F423" s="3">
        <v>2</v>
      </c>
      <c r="G423" s="21">
        <f>Table4[[#This Row],[Item Cost]]*Table4[[#This Row],[In Stock]]</f>
        <v>279.11</v>
      </c>
      <c r="H423" s="12" t="s">
        <v>4661</v>
      </c>
      <c r="I423" s="13" t="s">
        <v>4664</v>
      </c>
      <c r="J423" s="13" t="s">
        <v>4687</v>
      </c>
      <c r="K423" s="13" t="s">
        <v>4672</v>
      </c>
      <c r="L423" s="12" t="s">
        <v>4672</v>
      </c>
      <c r="M423" s="17" t="str">
        <f>IF(LEN(COUNTIFS($H$1:H423,$H423,$I$1:I423,$I423,$J$1:J423,$J423,$K$1:K423,K423,$L$1:L423,L423))=1,"00"&amp;COUNTIFS($H$1:H423,$H423,$I$1:I423,$I423,$J$1:J423,$J423,$K$1:K423,K423,$L$1:L423,L423),IF(LEN(COUNTIFS($H$1:H423,$H423,$I$1:I423,$I423,$J$1:J423,$J423,$K$1:K423,K423,$L$1:L423,L423))=2,"0"&amp;COUNTIFS($H$1:H423,$H423,$I$1:I423,$I423,$J$1:J423,$J423,$K$1:K423,K423,$L$1:L423,L423),COUNTIFS($H$1:H423,$H423,$I$1:I423,$I423,$J$1:J423,$J423,$K$1:K423,K423,$L$1:L423,L423)))</f>
        <v>024</v>
      </c>
      <c r="N42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23" s="14" t="e">
        <f>+LEN(Table4[[#This Row],[New Item Code]])</f>
        <v>#N/A</v>
      </c>
      <c r="P423" s="15" t="s">
        <v>4747</v>
      </c>
      <c r="Q423" s="15" t="s">
        <v>4749</v>
      </c>
      <c r="R423" s="15"/>
      <c r="S423" s="15"/>
      <c r="T423" s="15" t="s">
        <v>4687</v>
      </c>
    </row>
    <row r="424" spans="1:20" x14ac:dyDescent="0.35">
      <c r="A424" s="2" t="s">
        <v>853</v>
      </c>
      <c r="B424" s="2" t="s">
        <v>854</v>
      </c>
      <c r="C424" s="2" t="s">
        <v>9</v>
      </c>
      <c r="D424" s="2">
        <v>72.349999999999994</v>
      </c>
      <c r="E424" s="2" t="s">
        <v>10</v>
      </c>
      <c r="F424" s="2">
        <v>1</v>
      </c>
      <c r="G424" s="22">
        <f>Table4[[#This Row],[Item Cost]]*Table4[[#This Row],[In Stock]]</f>
        <v>72.349999999999994</v>
      </c>
      <c r="H424" s="12" t="s">
        <v>4661</v>
      </c>
      <c r="I424" s="13" t="s">
        <v>4664</v>
      </c>
      <c r="J424" s="13" t="s">
        <v>4687</v>
      </c>
      <c r="K424" s="13" t="s">
        <v>4672</v>
      </c>
      <c r="L424" s="12" t="s">
        <v>4672</v>
      </c>
      <c r="M424" s="17" t="str">
        <f>IF(LEN(COUNTIFS($H$1:H424,$H424,$I$1:I424,$I424,$J$1:J424,$J424,$K$1:K424,K424,$L$1:L424,L424))=1,"00"&amp;COUNTIFS($H$1:H424,$H424,$I$1:I424,$I424,$J$1:J424,$J424,$K$1:K424,K424,$L$1:L424,L424),IF(LEN(COUNTIFS($H$1:H424,$H424,$I$1:I424,$I424,$J$1:J424,$J424,$K$1:K424,K424,$L$1:L424,L424))=2,"0"&amp;COUNTIFS($H$1:H424,$H424,$I$1:I424,$I424,$J$1:J424,$J424,$K$1:K424,K424,$L$1:L424,L424),COUNTIFS($H$1:H424,$H424,$I$1:I424,$I424,$J$1:J424,$J424,$K$1:K424,K424,$L$1:L424,L424)))</f>
        <v>025</v>
      </c>
      <c r="N42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24" s="14" t="e">
        <f>+LEN(Table4[[#This Row],[New Item Code]])</f>
        <v>#N/A</v>
      </c>
      <c r="P424" s="15" t="s">
        <v>4747</v>
      </c>
      <c r="Q424" s="15" t="s">
        <v>4749</v>
      </c>
      <c r="R424" s="15"/>
      <c r="S424" s="15"/>
      <c r="T424" s="15" t="s">
        <v>4687</v>
      </c>
    </row>
    <row r="425" spans="1:20" x14ac:dyDescent="0.35">
      <c r="A425" s="3" t="s">
        <v>855</v>
      </c>
      <c r="B425" s="3" t="s">
        <v>856</v>
      </c>
      <c r="C425" s="3" t="s">
        <v>9</v>
      </c>
      <c r="D425" s="3">
        <v>282.42</v>
      </c>
      <c r="E425" s="3" t="s">
        <v>10</v>
      </c>
      <c r="F425" s="3">
        <v>1</v>
      </c>
      <c r="G425" s="21">
        <f>Table4[[#This Row],[Item Cost]]*Table4[[#This Row],[In Stock]]</f>
        <v>282.42</v>
      </c>
      <c r="H425" s="12" t="s">
        <v>4661</v>
      </c>
      <c r="I425" s="13" t="s">
        <v>4664</v>
      </c>
      <c r="J425" s="13" t="s">
        <v>4687</v>
      </c>
      <c r="K425" s="13" t="s">
        <v>4672</v>
      </c>
      <c r="L425" s="12" t="s">
        <v>4672</v>
      </c>
      <c r="M425" s="17" t="str">
        <f>IF(LEN(COUNTIFS($H$1:H425,$H425,$I$1:I425,$I425,$J$1:J425,$J425,$K$1:K425,K425,$L$1:L425,L425))=1,"00"&amp;COUNTIFS($H$1:H425,$H425,$I$1:I425,$I425,$J$1:J425,$J425,$K$1:K425,K425,$L$1:L425,L425),IF(LEN(COUNTIFS($H$1:H425,$H425,$I$1:I425,$I425,$J$1:J425,$J425,$K$1:K425,K425,$L$1:L425,L425))=2,"0"&amp;COUNTIFS($H$1:H425,$H425,$I$1:I425,$I425,$J$1:J425,$J425,$K$1:K425,K425,$L$1:L425,L425),COUNTIFS($H$1:H425,$H425,$I$1:I425,$I425,$J$1:J425,$J425,$K$1:K425,K425,$L$1:L425,L425)))</f>
        <v>026</v>
      </c>
      <c r="N42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25" s="14" t="e">
        <f>+LEN(Table4[[#This Row],[New Item Code]])</f>
        <v>#N/A</v>
      </c>
      <c r="P425" s="15" t="s">
        <v>4747</v>
      </c>
      <c r="Q425" s="15" t="s">
        <v>4749</v>
      </c>
      <c r="R425" s="15"/>
      <c r="S425" s="15"/>
      <c r="T425" s="15" t="s">
        <v>4687</v>
      </c>
    </row>
    <row r="426" spans="1:20" x14ac:dyDescent="0.35">
      <c r="A426" s="2" t="s">
        <v>857</v>
      </c>
      <c r="B426" s="2" t="s">
        <v>858</v>
      </c>
      <c r="C426" s="2" t="s">
        <v>9</v>
      </c>
      <c r="D426" s="4">
        <v>1227.72</v>
      </c>
      <c r="E426" s="2" t="s">
        <v>10</v>
      </c>
      <c r="F426" s="2">
        <v>0</v>
      </c>
      <c r="G426" s="22">
        <f>Table4[[#This Row],[Item Cost]]*Table4[[#This Row],[In Stock]]</f>
        <v>0</v>
      </c>
      <c r="H426" s="12" t="s">
        <v>4661</v>
      </c>
      <c r="I426" s="13" t="s">
        <v>4664</v>
      </c>
      <c r="J426" s="13" t="s">
        <v>4687</v>
      </c>
      <c r="K426" s="13" t="s">
        <v>4672</v>
      </c>
      <c r="L426" s="12" t="s">
        <v>4672</v>
      </c>
      <c r="M426" s="17" t="str">
        <f>IF(LEN(COUNTIFS($H$1:H426,$H426,$I$1:I426,$I426,$J$1:J426,$J426,$K$1:K426,K426,$L$1:L426,L426))=1,"00"&amp;COUNTIFS($H$1:H426,$H426,$I$1:I426,$I426,$J$1:J426,$J426,$K$1:K426,K426,$L$1:L426,L426),IF(LEN(COUNTIFS($H$1:H426,$H426,$I$1:I426,$I426,$J$1:J426,$J426,$K$1:K426,K426,$L$1:L426,L426))=2,"0"&amp;COUNTIFS($H$1:H426,$H426,$I$1:I426,$I426,$J$1:J426,$J426,$K$1:K426,K426,$L$1:L426,L426),COUNTIFS($H$1:H426,$H426,$I$1:I426,$I426,$J$1:J426,$J426,$K$1:K426,K426,$L$1:L426,L426)))</f>
        <v>027</v>
      </c>
      <c r="N42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26" s="14" t="e">
        <f>+LEN(Table4[[#This Row],[New Item Code]])</f>
        <v>#N/A</v>
      </c>
      <c r="P426" s="15" t="s">
        <v>4747</v>
      </c>
      <c r="Q426" s="15" t="s">
        <v>4749</v>
      </c>
      <c r="R426" s="15"/>
      <c r="S426" s="15"/>
      <c r="T426" s="15" t="s">
        <v>4687</v>
      </c>
    </row>
    <row r="427" spans="1:20" x14ac:dyDescent="0.35">
      <c r="A427" s="3" t="s">
        <v>859</v>
      </c>
      <c r="B427" s="3" t="s">
        <v>860</v>
      </c>
      <c r="C427" s="3" t="s">
        <v>9</v>
      </c>
      <c r="D427" s="3">
        <v>30.85</v>
      </c>
      <c r="E427" s="3" t="s">
        <v>10</v>
      </c>
      <c r="F427" s="3">
        <v>2</v>
      </c>
      <c r="G427" s="21">
        <f>Table4[[#This Row],[Item Cost]]*Table4[[#This Row],[In Stock]]</f>
        <v>61.7</v>
      </c>
      <c r="H427" s="12" t="s">
        <v>4661</v>
      </c>
      <c r="I427" s="13" t="s">
        <v>4664</v>
      </c>
      <c r="J427" s="13" t="s">
        <v>4687</v>
      </c>
      <c r="K427" s="13" t="s">
        <v>4672</v>
      </c>
      <c r="L427" s="12" t="s">
        <v>4672</v>
      </c>
      <c r="M427" s="17" t="str">
        <f>IF(LEN(COUNTIFS($H$1:H427,$H427,$I$1:I427,$I427,$J$1:J427,$J427,$K$1:K427,K427,$L$1:L427,L427))=1,"00"&amp;COUNTIFS($H$1:H427,$H427,$I$1:I427,$I427,$J$1:J427,$J427,$K$1:K427,K427,$L$1:L427,L427),IF(LEN(COUNTIFS($H$1:H427,$H427,$I$1:I427,$I427,$J$1:J427,$J427,$K$1:K427,K427,$L$1:L427,L427))=2,"0"&amp;COUNTIFS($H$1:H427,$H427,$I$1:I427,$I427,$J$1:J427,$J427,$K$1:K427,K427,$L$1:L427,L427),COUNTIFS($H$1:H427,$H427,$I$1:I427,$I427,$J$1:J427,$J427,$K$1:K427,K427,$L$1:L427,L427)))</f>
        <v>028</v>
      </c>
      <c r="N42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27" s="14" t="e">
        <f>+LEN(Table4[[#This Row],[New Item Code]])</f>
        <v>#N/A</v>
      </c>
      <c r="P427" s="15" t="s">
        <v>4747</v>
      </c>
      <c r="Q427" s="15" t="s">
        <v>4749</v>
      </c>
      <c r="R427" s="15"/>
      <c r="S427" s="15"/>
      <c r="T427" s="15" t="s">
        <v>4687</v>
      </c>
    </row>
    <row r="428" spans="1:20" x14ac:dyDescent="0.35">
      <c r="A428" s="2" t="s">
        <v>861</v>
      </c>
      <c r="B428" s="2" t="s">
        <v>862</v>
      </c>
      <c r="C428" s="2" t="s">
        <v>9</v>
      </c>
      <c r="D428" s="2">
        <v>34.155000000000001</v>
      </c>
      <c r="E428" s="2" t="s">
        <v>10</v>
      </c>
      <c r="F428" s="2">
        <v>2</v>
      </c>
      <c r="G428" s="22">
        <f>Table4[[#This Row],[Item Cost]]*Table4[[#This Row],[In Stock]]</f>
        <v>68.31</v>
      </c>
      <c r="H428" s="12" t="s">
        <v>4661</v>
      </c>
      <c r="I428" s="13" t="s">
        <v>4664</v>
      </c>
      <c r="J428" s="13" t="s">
        <v>4687</v>
      </c>
      <c r="K428" s="13" t="s">
        <v>4672</v>
      </c>
      <c r="L428" s="12" t="s">
        <v>4672</v>
      </c>
      <c r="M428" s="17" t="str">
        <f>IF(LEN(COUNTIFS($H$1:H428,$H428,$I$1:I428,$I428,$J$1:J428,$J428,$K$1:K428,K428,$L$1:L428,L428))=1,"00"&amp;COUNTIFS($H$1:H428,$H428,$I$1:I428,$I428,$J$1:J428,$J428,$K$1:K428,K428,$L$1:L428,L428),IF(LEN(COUNTIFS($H$1:H428,$H428,$I$1:I428,$I428,$J$1:J428,$J428,$K$1:K428,K428,$L$1:L428,L428))=2,"0"&amp;COUNTIFS($H$1:H428,$H428,$I$1:I428,$I428,$J$1:J428,$J428,$K$1:K428,K428,$L$1:L428,L428),COUNTIFS($H$1:H428,$H428,$I$1:I428,$I428,$J$1:J428,$J428,$K$1:K428,K428,$L$1:L428,L428)))</f>
        <v>029</v>
      </c>
      <c r="N42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28" s="14" t="e">
        <f>+LEN(Table4[[#This Row],[New Item Code]])</f>
        <v>#N/A</v>
      </c>
      <c r="P428" s="15" t="s">
        <v>4747</v>
      </c>
      <c r="Q428" s="15" t="s">
        <v>4749</v>
      </c>
      <c r="R428" s="15"/>
      <c r="S428" s="15"/>
      <c r="T428" s="15" t="s">
        <v>4687</v>
      </c>
    </row>
    <row r="429" spans="1:20" x14ac:dyDescent="0.35">
      <c r="A429" s="3" t="s">
        <v>863</v>
      </c>
      <c r="B429" s="3" t="s">
        <v>864</v>
      </c>
      <c r="C429" s="3" t="s">
        <v>9</v>
      </c>
      <c r="D429" s="3">
        <v>30.85</v>
      </c>
      <c r="E429" s="3" t="s">
        <v>10</v>
      </c>
      <c r="F429" s="3">
        <v>2</v>
      </c>
      <c r="G429" s="21">
        <f>Table4[[#This Row],[Item Cost]]*Table4[[#This Row],[In Stock]]</f>
        <v>61.7</v>
      </c>
      <c r="H429" s="12" t="s">
        <v>4661</v>
      </c>
      <c r="I429" s="13" t="s">
        <v>4664</v>
      </c>
      <c r="J429" s="13" t="s">
        <v>4687</v>
      </c>
      <c r="K429" s="13" t="s">
        <v>4672</v>
      </c>
      <c r="L429" s="12" t="s">
        <v>4672</v>
      </c>
      <c r="M429" s="17" t="str">
        <f>IF(LEN(COUNTIFS($H$1:H429,$H429,$I$1:I429,$I429,$J$1:J429,$J429,$K$1:K429,K429,$L$1:L429,L429))=1,"00"&amp;COUNTIFS($H$1:H429,$H429,$I$1:I429,$I429,$J$1:J429,$J429,$K$1:K429,K429,$L$1:L429,L429),IF(LEN(COUNTIFS($H$1:H429,$H429,$I$1:I429,$I429,$J$1:J429,$J429,$K$1:K429,K429,$L$1:L429,L429))=2,"0"&amp;COUNTIFS($H$1:H429,$H429,$I$1:I429,$I429,$J$1:J429,$J429,$K$1:K429,K429,$L$1:L429,L429),COUNTIFS($H$1:H429,$H429,$I$1:I429,$I429,$J$1:J429,$J429,$K$1:K429,K429,$L$1:L429,L429)))</f>
        <v>030</v>
      </c>
      <c r="N42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29" s="14" t="e">
        <f>+LEN(Table4[[#This Row],[New Item Code]])</f>
        <v>#N/A</v>
      </c>
      <c r="P429" s="15" t="s">
        <v>4747</v>
      </c>
      <c r="Q429" s="15" t="s">
        <v>4749</v>
      </c>
      <c r="R429" s="15"/>
      <c r="S429" s="15"/>
      <c r="T429" s="15" t="s">
        <v>4687</v>
      </c>
    </row>
    <row r="430" spans="1:20" x14ac:dyDescent="0.35">
      <c r="A430" s="2" t="s">
        <v>865</v>
      </c>
      <c r="B430" s="2" t="s">
        <v>866</v>
      </c>
      <c r="C430" s="2" t="s">
        <v>9</v>
      </c>
      <c r="D430" s="2">
        <v>57.66</v>
      </c>
      <c r="E430" s="2" t="s">
        <v>10</v>
      </c>
      <c r="F430" s="2">
        <v>0</v>
      </c>
      <c r="G430" s="22">
        <f>Table4[[#This Row],[Item Cost]]*Table4[[#This Row],[In Stock]]</f>
        <v>0</v>
      </c>
      <c r="H430" s="12" t="s">
        <v>4661</v>
      </c>
      <c r="I430" s="13" t="s">
        <v>4664</v>
      </c>
      <c r="J430" s="13" t="s">
        <v>4687</v>
      </c>
      <c r="K430" s="13" t="s">
        <v>4672</v>
      </c>
      <c r="L430" s="12" t="s">
        <v>4672</v>
      </c>
      <c r="M430" s="17" t="str">
        <f>IF(LEN(COUNTIFS($H$1:H430,$H430,$I$1:I430,$I430,$J$1:J430,$J430,$K$1:K430,K430,$L$1:L430,L430))=1,"00"&amp;COUNTIFS($H$1:H430,$H430,$I$1:I430,$I430,$J$1:J430,$J430,$K$1:K430,K430,$L$1:L430,L430),IF(LEN(COUNTIFS($H$1:H430,$H430,$I$1:I430,$I430,$J$1:J430,$J430,$K$1:K430,K430,$L$1:L430,L430))=2,"0"&amp;COUNTIFS($H$1:H430,$H430,$I$1:I430,$I430,$J$1:J430,$J430,$K$1:K430,K430,$L$1:L430,L430),COUNTIFS($H$1:H430,$H430,$I$1:I430,$I430,$J$1:J430,$J430,$K$1:K430,K430,$L$1:L430,L430)))</f>
        <v>031</v>
      </c>
      <c r="N43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30" s="14" t="e">
        <f>+LEN(Table4[[#This Row],[New Item Code]])</f>
        <v>#N/A</v>
      </c>
      <c r="P430" s="15" t="s">
        <v>4747</v>
      </c>
      <c r="Q430" s="15" t="s">
        <v>4749</v>
      </c>
      <c r="R430" s="15"/>
      <c r="S430" s="15"/>
      <c r="T430" s="15" t="s">
        <v>4687</v>
      </c>
    </row>
    <row r="431" spans="1:20" x14ac:dyDescent="0.35">
      <c r="A431" s="3" t="s">
        <v>867</v>
      </c>
      <c r="B431" s="3" t="s">
        <v>868</v>
      </c>
      <c r="C431" s="3" t="s">
        <v>9</v>
      </c>
      <c r="D431" s="3">
        <v>276.17</v>
      </c>
      <c r="E431" s="3" t="s">
        <v>10</v>
      </c>
      <c r="F431" s="3">
        <v>1</v>
      </c>
      <c r="G431" s="21">
        <f>Table4[[#This Row],[Item Cost]]*Table4[[#This Row],[In Stock]]</f>
        <v>276.17</v>
      </c>
      <c r="H431" s="12" t="s">
        <v>4661</v>
      </c>
      <c r="I431" s="13" t="s">
        <v>4664</v>
      </c>
      <c r="J431" s="13" t="s">
        <v>4687</v>
      </c>
      <c r="K431" s="13" t="s">
        <v>4672</v>
      </c>
      <c r="L431" s="12" t="s">
        <v>4672</v>
      </c>
      <c r="M431" s="17" t="str">
        <f>IF(LEN(COUNTIFS($H$1:H431,$H431,$I$1:I431,$I431,$J$1:J431,$J431,$K$1:K431,K431,$L$1:L431,L431))=1,"00"&amp;COUNTIFS($H$1:H431,$H431,$I$1:I431,$I431,$J$1:J431,$J431,$K$1:K431,K431,$L$1:L431,L431),IF(LEN(COUNTIFS($H$1:H431,$H431,$I$1:I431,$I431,$J$1:J431,$J431,$K$1:K431,K431,$L$1:L431,L431))=2,"0"&amp;COUNTIFS($H$1:H431,$H431,$I$1:I431,$I431,$J$1:J431,$J431,$K$1:K431,K431,$L$1:L431,L431),COUNTIFS($H$1:H431,$H431,$I$1:I431,$I431,$J$1:J431,$J431,$K$1:K431,K431,$L$1:L431,L431)))</f>
        <v>032</v>
      </c>
      <c r="N43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31" s="14" t="e">
        <f>+LEN(Table4[[#This Row],[New Item Code]])</f>
        <v>#N/A</v>
      </c>
      <c r="P431" s="15" t="s">
        <v>4747</v>
      </c>
      <c r="Q431" s="15" t="s">
        <v>4749</v>
      </c>
      <c r="R431" s="15"/>
      <c r="S431" s="15"/>
      <c r="T431" s="15" t="s">
        <v>4687</v>
      </c>
    </row>
    <row r="432" spans="1:20" x14ac:dyDescent="0.35">
      <c r="A432" s="2" t="s">
        <v>869</v>
      </c>
      <c r="B432" s="2" t="s">
        <v>870</v>
      </c>
      <c r="C432" s="2" t="s">
        <v>9</v>
      </c>
      <c r="D432" s="2">
        <v>515.99</v>
      </c>
      <c r="E432" s="2" t="s">
        <v>10</v>
      </c>
      <c r="F432" s="2">
        <v>1</v>
      </c>
      <c r="G432" s="22">
        <f>Table4[[#This Row],[Item Cost]]*Table4[[#This Row],[In Stock]]</f>
        <v>515.99</v>
      </c>
      <c r="H432" s="12" t="s">
        <v>4661</v>
      </c>
      <c r="I432" s="13" t="s">
        <v>4664</v>
      </c>
      <c r="J432" s="13" t="s">
        <v>4687</v>
      </c>
      <c r="K432" s="13" t="s">
        <v>4672</v>
      </c>
      <c r="L432" s="12" t="s">
        <v>4672</v>
      </c>
      <c r="M432" s="17" t="str">
        <f>IF(LEN(COUNTIFS($H$1:H432,$H432,$I$1:I432,$I432,$J$1:J432,$J432,$K$1:K432,K432,$L$1:L432,L432))=1,"00"&amp;COUNTIFS($H$1:H432,$H432,$I$1:I432,$I432,$J$1:J432,$J432,$K$1:K432,K432,$L$1:L432,L432),IF(LEN(COUNTIFS($H$1:H432,$H432,$I$1:I432,$I432,$J$1:J432,$J432,$K$1:K432,K432,$L$1:L432,L432))=2,"0"&amp;COUNTIFS($H$1:H432,$H432,$I$1:I432,$I432,$J$1:J432,$J432,$K$1:K432,K432,$L$1:L432,L432),COUNTIFS($H$1:H432,$H432,$I$1:I432,$I432,$J$1:J432,$J432,$K$1:K432,K432,$L$1:L432,L432)))</f>
        <v>033</v>
      </c>
      <c r="N43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32" s="14" t="e">
        <f>+LEN(Table4[[#This Row],[New Item Code]])</f>
        <v>#N/A</v>
      </c>
      <c r="P432" s="15" t="s">
        <v>4747</v>
      </c>
      <c r="Q432" s="15" t="s">
        <v>4749</v>
      </c>
      <c r="R432" s="15"/>
      <c r="S432" s="15"/>
      <c r="T432" s="15" t="s">
        <v>4687</v>
      </c>
    </row>
    <row r="433" spans="1:20" x14ac:dyDescent="0.35">
      <c r="A433" s="3" t="s">
        <v>871</v>
      </c>
      <c r="B433" s="3" t="s">
        <v>872</v>
      </c>
      <c r="C433" s="3" t="s">
        <v>9</v>
      </c>
      <c r="D433" s="3">
        <v>91.08</v>
      </c>
      <c r="E433" s="3" t="s">
        <v>10</v>
      </c>
      <c r="F433" s="3">
        <v>1</v>
      </c>
      <c r="G433" s="21">
        <f>Table4[[#This Row],[Item Cost]]*Table4[[#This Row],[In Stock]]</f>
        <v>91.08</v>
      </c>
      <c r="H433" s="12" t="s">
        <v>4661</v>
      </c>
      <c r="I433" s="13" t="s">
        <v>4664</v>
      </c>
      <c r="J433" s="13" t="s">
        <v>4687</v>
      </c>
      <c r="K433" s="13" t="s">
        <v>4672</v>
      </c>
      <c r="L433" s="12" t="s">
        <v>4672</v>
      </c>
      <c r="M433" s="17" t="str">
        <f>IF(LEN(COUNTIFS($H$1:H433,$H433,$I$1:I433,$I433,$J$1:J433,$J433,$K$1:K433,K433,$L$1:L433,L433))=1,"00"&amp;COUNTIFS($H$1:H433,$H433,$I$1:I433,$I433,$J$1:J433,$J433,$K$1:K433,K433,$L$1:L433,L433),IF(LEN(COUNTIFS($H$1:H433,$H433,$I$1:I433,$I433,$J$1:J433,$J433,$K$1:K433,K433,$L$1:L433,L433))=2,"0"&amp;COUNTIFS($H$1:H433,$H433,$I$1:I433,$I433,$J$1:J433,$J433,$K$1:K433,K433,$L$1:L433,L433),COUNTIFS($H$1:H433,$H433,$I$1:I433,$I433,$J$1:J433,$J433,$K$1:K433,K433,$L$1:L433,L433)))</f>
        <v>034</v>
      </c>
      <c r="N43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33" s="14" t="e">
        <f>+LEN(Table4[[#This Row],[New Item Code]])</f>
        <v>#N/A</v>
      </c>
      <c r="P433" s="15" t="s">
        <v>4747</v>
      </c>
      <c r="Q433" s="15" t="s">
        <v>4749</v>
      </c>
      <c r="R433" s="15"/>
      <c r="S433" s="15"/>
      <c r="T433" s="15" t="s">
        <v>4687</v>
      </c>
    </row>
    <row r="434" spans="1:20" x14ac:dyDescent="0.35">
      <c r="A434" s="2" t="s">
        <v>873</v>
      </c>
      <c r="B434" s="2" t="s">
        <v>874</v>
      </c>
      <c r="C434" s="2" t="s">
        <v>9</v>
      </c>
      <c r="D434" s="2">
        <v>266.99</v>
      </c>
      <c r="E434" s="2" t="s">
        <v>10</v>
      </c>
      <c r="F434" s="2">
        <v>1</v>
      </c>
      <c r="G434" s="22">
        <f>Table4[[#This Row],[Item Cost]]*Table4[[#This Row],[In Stock]]</f>
        <v>266.99</v>
      </c>
      <c r="H434" s="12" t="s">
        <v>4661</v>
      </c>
      <c r="I434" s="13" t="s">
        <v>4664</v>
      </c>
      <c r="J434" s="13" t="s">
        <v>4687</v>
      </c>
      <c r="K434" s="13" t="s">
        <v>4672</v>
      </c>
      <c r="L434" s="12" t="s">
        <v>4672</v>
      </c>
      <c r="M434" s="17" t="str">
        <f>IF(LEN(COUNTIFS($H$1:H434,$H434,$I$1:I434,$I434,$J$1:J434,$J434,$K$1:K434,K434,$L$1:L434,L434))=1,"00"&amp;COUNTIFS($H$1:H434,$H434,$I$1:I434,$I434,$J$1:J434,$J434,$K$1:K434,K434,$L$1:L434,L434),IF(LEN(COUNTIFS($H$1:H434,$H434,$I$1:I434,$I434,$J$1:J434,$J434,$K$1:K434,K434,$L$1:L434,L434))=2,"0"&amp;COUNTIFS($H$1:H434,$H434,$I$1:I434,$I434,$J$1:J434,$J434,$K$1:K434,K434,$L$1:L434,L434),COUNTIFS($H$1:H434,$H434,$I$1:I434,$I434,$J$1:J434,$J434,$K$1:K434,K434,$L$1:L434,L434)))</f>
        <v>035</v>
      </c>
      <c r="N43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34" s="14" t="e">
        <f>+LEN(Table4[[#This Row],[New Item Code]])</f>
        <v>#N/A</v>
      </c>
      <c r="P434" s="15" t="s">
        <v>4747</v>
      </c>
      <c r="Q434" s="15" t="s">
        <v>4749</v>
      </c>
      <c r="R434" s="15"/>
      <c r="S434" s="15"/>
      <c r="T434" s="15" t="s">
        <v>4687</v>
      </c>
    </row>
    <row r="435" spans="1:20" x14ac:dyDescent="0.35">
      <c r="A435" s="3" t="s">
        <v>875</v>
      </c>
      <c r="B435" s="3" t="s">
        <v>876</v>
      </c>
      <c r="C435" s="3" t="s">
        <v>9</v>
      </c>
      <c r="D435" s="3">
        <v>166</v>
      </c>
      <c r="E435" s="3" t="s">
        <v>10</v>
      </c>
      <c r="F435" s="3">
        <v>1</v>
      </c>
      <c r="G435" s="21">
        <f>Table4[[#This Row],[Item Cost]]*Table4[[#This Row],[In Stock]]</f>
        <v>166</v>
      </c>
      <c r="H435" s="12" t="s">
        <v>4661</v>
      </c>
      <c r="I435" s="13" t="s">
        <v>4664</v>
      </c>
      <c r="J435" s="13" t="s">
        <v>4687</v>
      </c>
      <c r="K435" s="13" t="s">
        <v>4672</v>
      </c>
      <c r="L435" s="12" t="s">
        <v>4672</v>
      </c>
      <c r="M435" s="17" t="str">
        <f>IF(LEN(COUNTIFS($H$1:H435,$H435,$I$1:I435,$I435,$J$1:J435,$J435,$K$1:K435,K435,$L$1:L435,L435))=1,"00"&amp;COUNTIFS($H$1:H435,$H435,$I$1:I435,$I435,$J$1:J435,$J435,$K$1:K435,K435,$L$1:L435,L435),IF(LEN(COUNTIFS($H$1:H435,$H435,$I$1:I435,$I435,$J$1:J435,$J435,$K$1:K435,K435,$L$1:L435,L435))=2,"0"&amp;COUNTIFS($H$1:H435,$H435,$I$1:I435,$I435,$J$1:J435,$J435,$K$1:K435,K435,$L$1:L435,L435),COUNTIFS($H$1:H435,$H435,$I$1:I435,$I435,$J$1:J435,$J435,$K$1:K435,K435,$L$1:L435,L435)))</f>
        <v>036</v>
      </c>
      <c r="N43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35" s="14" t="e">
        <f>+LEN(Table4[[#This Row],[New Item Code]])</f>
        <v>#N/A</v>
      </c>
      <c r="P435" s="15" t="s">
        <v>4747</v>
      </c>
      <c r="Q435" s="15" t="s">
        <v>4749</v>
      </c>
      <c r="R435" s="15"/>
      <c r="S435" s="15"/>
      <c r="T435" s="15" t="s">
        <v>4687</v>
      </c>
    </row>
    <row r="436" spans="1:20" x14ac:dyDescent="0.35">
      <c r="A436" s="2" t="s">
        <v>877</v>
      </c>
      <c r="B436" s="2" t="s">
        <v>878</v>
      </c>
      <c r="C436" s="2" t="s">
        <v>9</v>
      </c>
      <c r="D436" s="2">
        <v>146.53</v>
      </c>
      <c r="E436" s="2" t="s">
        <v>10</v>
      </c>
      <c r="F436" s="2">
        <v>1</v>
      </c>
      <c r="G436" s="22">
        <f>Table4[[#This Row],[Item Cost]]*Table4[[#This Row],[In Stock]]</f>
        <v>146.53</v>
      </c>
      <c r="H436" s="12" t="s">
        <v>4661</v>
      </c>
      <c r="I436" s="13" t="s">
        <v>4664</v>
      </c>
      <c r="J436" s="13" t="s">
        <v>4687</v>
      </c>
      <c r="K436" s="13" t="s">
        <v>4672</v>
      </c>
      <c r="L436" s="12" t="s">
        <v>4672</v>
      </c>
      <c r="M436" s="17" t="str">
        <f>IF(LEN(COUNTIFS($H$1:H436,$H436,$I$1:I436,$I436,$J$1:J436,$J436,$K$1:K436,K436,$L$1:L436,L436))=1,"00"&amp;COUNTIFS($H$1:H436,$H436,$I$1:I436,$I436,$J$1:J436,$J436,$K$1:K436,K436,$L$1:L436,L436),IF(LEN(COUNTIFS($H$1:H436,$H436,$I$1:I436,$I436,$J$1:J436,$J436,$K$1:K436,K436,$L$1:L436,L436))=2,"0"&amp;COUNTIFS($H$1:H436,$H436,$I$1:I436,$I436,$J$1:J436,$J436,$K$1:K436,K436,$L$1:L436,L436),COUNTIFS($H$1:H436,$H436,$I$1:I436,$I436,$J$1:J436,$J436,$K$1:K436,K436,$L$1:L436,L436)))</f>
        <v>037</v>
      </c>
      <c r="N43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36" s="14" t="e">
        <f>+LEN(Table4[[#This Row],[New Item Code]])</f>
        <v>#N/A</v>
      </c>
      <c r="P436" s="15" t="s">
        <v>4747</v>
      </c>
      <c r="Q436" s="15" t="s">
        <v>4749</v>
      </c>
      <c r="R436" s="15"/>
      <c r="S436" s="15"/>
      <c r="T436" s="15" t="s">
        <v>4687</v>
      </c>
    </row>
    <row r="437" spans="1:20" x14ac:dyDescent="0.35">
      <c r="A437" s="3" t="s">
        <v>879</v>
      </c>
      <c r="B437" s="3" t="s">
        <v>880</v>
      </c>
      <c r="C437" s="3" t="s">
        <v>9</v>
      </c>
      <c r="D437" s="5">
        <v>1175.93</v>
      </c>
      <c r="E437" s="3" t="s">
        <v>10</v>
      </c>
      <c r="F437" s="3">
        <v>1</v>
      </c>
      <c r="G437" s="21">
        <f>Table4[[#This Row],[Item Cost]]*Table4[[#This Row],[In Stock]]</f>
        <v>1175.93</v>
      </c>
      <c r="H437" s="12" t="s">
        <v>4661</v>
      </c>
      <c r="I437" s="13" t="s">
        <v>4664</v>
      </c>
      <c r="J437" s="13" t="s">
        <v>4687</v>
      </c>
      <c r="K437" s="13" t="s">
        <v>4672</v>
      </c>
      <c r="L437" s="12" t="s">
        <v>4672</v>
      </c>
      <c r="M437" s="17" t="str">
        <f>IF(LEN(COUNTIFS($H$1:H437,$H437,$I$1:I437,$I437,$J$1:J437,$J437,$K$1:K437,K437,$L$1:L437,L437))=1,"00"&amp;COUNTIFS($H$1:H437,$H437,$I$1:I437,$I437,$J$1:J437,$J437,$K$1:K437,K437,$L$1:L437,L437),IF(LEN(COUNTIFS($H$1:H437,$H437,$I$1:I437,$I437,$J$1:J437,$J437,$K$1:K437,K437,$L$1:L437,L437))=2,"0"&amp;COUNTIFS($H$1:H437,$H437,$I$1:I437,$I437,$J$1:J437,$J437,$K$1:K437,K437,$L$1:L437,L437),COUNTIFS($H$1:H437,$H437,$I$1:I437,$I437,$J$1:J437,$J437,$K$1:K437,K437,$L$1:L437,L437)))</f>
        <v>038</v>
      </c>
      <c r="N43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37" s="14" t="e">
        <f>+LEN(Table4[[#This Row],[New Item Code]])</f>
        <v>#N/A</v>
      </c>
      <c r="P437" s="15" t="s">
        <v>4747</v>
      </c>
      <c r="Q437" s="15" t="s">
        <v>4749</v>
      </c>
      <c r="R437" s="15"/>
      <c r="S437" s="15"/>
      <c r="T437" s="15" t="s">
        <v>4687</v>
      </c>
    </row>
    <row r="438" spans="1:20" x14ac:dyDescent="0.35">
      <c r="A438" s="2" t="s">
        <v>881</v>
      </c>
      <c r="B438" s="2" t="s">
        <v>882</v>
      </c>
      <c r="C438" s="2" t="s">
        <v>9</v>
      </c>
      <c r="D438" s="2">
        <v>367.25</v>
      </c>
      <c r="E438" s="2" t="s">
        <v>10</v>
      </c>
      <c r="F438" s="2">
        <v>2</v>
      </c>
      <c r="G438" s="22">
        <f>Table4[[#This Row],[Item Cost]]*Table4[[#This Row],[In Stock]]</f>
        <v>734.5</v>
      </c>
      <c r="H438" s="12" t="s">
        <v>4661</v>
      </c>
      <c r="I438" s="13" t="s">
        <v>4664</v>
      </c>
      <c r="J438" s="13" t="s">
        <v>4687</v>
      </c>
      <c r="K438" s="13" t="s">
        <v>4672</v>
      </c>
      <c r="L438" s="12" t="s">
        <v>4672</v>
      </c>
      <c r="M438" s="17" t="str">
        <f>IF(LEN(COUNTIFS($H$1:H438,$H438,$I$1:I438,$I438,$J$1:J438,$J438,$K$1:K438,K438,$L$1:L438,L438))=1,"00"&amp;COUNTIFS($H$1:H438,$H438,$I$1:I438,$I438,$J$1:J438,$J438,$K$1:K438,K438,$L$1:L438,L438),IF(LEN(COUNTIFS($H$1:H438,$H438,$I$1:I438,$I438,$J$1:J438,$J438,$K$1:K438,K438,$L$1:L438,L438))=2,"0"&amp;COUNTIFS($H$1:H438,$H438,$I$1:I438,$I438,$J$1:J438,$J438,$K$1:K438,K438,$L$1:L438,L438),COUNTIFS($H$1:H438,$H438,$I$1:I438,$I438,$J$1:J438,$J438,$K$1:K438,K438,$L$1:L438,L438)))</f>
        <v>039</v>
      </c>
      <c r="N43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38" s="14" t="e">
        <f>+LEN(Table4[[#This Row],[New Item Code]])</f>
        <v>#N/A</v>
      </c>
      <c r="P438" s="15" t="s">
        <v>4747</v>
      </c>
      <c r="Q438" s="15" t="s">
        <v>4749</v>
      </c>
      <c r="R438" s="15"/>
      <c r="S438" s="15"/>
      <c r="T438" s="15" t="s">
        <v>4687</v>
      </c>
    </row>
    <row r="439" spans="1:20" x14ac:dyDescent="0.35">
      <c r="A439" s="3" t="s">
        <v>883</v>
      </c>
      <c r="B439" s="3" t="s">
        <v>884</v>
      </c>
      <c r="C439" s="3" t="s">
        <v>9</v>
      </c>
      <c r="D439" s="3">
        <v>321.33999999999997</v>
      </c>
      <c r="E439" s="3" t="s">
        <v>10</v>
      </c>
      <c r="F439" s="3">
        <v>1</v>
      </c>
      <c r="G439" s="21">
        <f>Table4[[#This Row],[Item Cost]]*Table4[[#This Row],[In Stock]]</f>
        <v>321.33999999999997</v>
      </c>
      <c r="H439" s="12" t="s">
        <v>4661</v>
      </c>
      <c r="I439" s="13" t="s">
        <v>4664</v>
      </c>
      <c r="J439" s="13" t="s">
        <v>4687</v>
      </c>
      <c r="K439" s="13" t="s">
        <v>4672</v>
      </c>
      <c r="L439" s="12" t="s">
        <v>4672</v>
      </c>
      <c r="M439" s="17" t="str">
        <f>IF(LEN(COUNTIFS($H$1:H439,$H439,$I$1:I439,$I439,$J$1:J439,$J439,$K$1:K439,K439,$L$1:L439,L439))=1,"00"&amp;COUNTIFS($H$1:H439,$H439,$I$1:I439,$I439,$J$1:J439,$J439,$K$1:K439,K439,$L$1:L439,L439),IF(LEN(COUNTIFS($H$1:H439,$H439,$I$1:I439,$I439,$J$1:J439,$J439,$K$1:K439,K439,$L$1:L439,L439))=2,"0"&amp;COUNTIFS($H$1:H439,$H439,$I$1:I439,$I439,$J$1:J439,$J439,$K$1:K439,K439,$L$1:L439,L439),COUNTIFS($H$1:H439,$H439,$I$1:I439,$I439,$J$1:J439,$J439,$K$1:K439,K439,$L$1:L439,L439)))</f>
        <v>040</v>
      </c>
      <c r="N43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39" s="14" t="e">
        <f>+LEN(Table4[[#This Row],[New Item Code]])</f>
        <v>#N/A</v>
      </c>
      <c r="P439" s="15" t="s">
        <v>4747</v>
      </c>
      <c r="Q439" s="15" t="s">
        <v>4749</v>
      </c>
      <c r="R439" s="15"/>
      <c r="S439" s="15"/>
      <c r="T439" s="15" t="s">
        <v>4687</v>
      </c>
    </row>
    <row r="440" spans="1:20" x14ac:dyDescent="0.35">
      <c r="A440" s="2" t="s">
        <v>885</v>
      </c>
      <c r="B440" s="2" t="s">
        <v>886</v>
      </c>
      <c r="C440" s="2" t="s">
        <v>9</v>
      </c>
      <c r="D440" s="2">
        <v>321.33999999999997</v>
      </c>
      <c r="E440" s="2" t="s">
        <v>10</v>
      </c>
      <c r="F440" s="2">
        <v>1</v>
      </c>
      <c r="G440" s="22">
        <f>Table4[[#This Row],[Item Cost]]*Table4[[#This Row],[In Stock]]</f>
        <v>321.33999999999997</v>
      </c>
      <c r="H440" s="12" t="s">
        <v>4661</v>
      </c>
      <c r="I440" s="13" t="s">
        <v>4664</v>
      </c>
      <c r="J440" s="13" t="s">
        <v>4687</v>
      </c>
      <c r="K440" s="13" t="s">
        <v>4672</v>
      </c>
      <c r="L440" s="12" t="s">
        <v>4672</v>
      </c>
      <c r="M440" s="17" t="str">
        <f>IF(LEN(COUNTIFS($H$1:H440,$H440,$I$1:I440,$I440,$J$1:J440,$J440,$K$1:K440,K440,$L$1:L440,L440))=1,"00"&amp;COUNTIFS($H$1:H440,$H440,$I$1:I440,$I440,$J$1:J440,$J440,$K$1:K440,K440,$L$1:L440,L440),IF(LEN(COUNTIFS($H$1:H440,$H440,$I$1:I440,$I440,$J$1:J440,$J440,$K$1:K440,K440,$L$1:L440,L440))=2,"0"&amp;COUNTIFS($H$1:H440,$H440,$I$1:I440,$I440,$J$1:J440,$J440,$K$1:K440,K440,$L$1:L440,L440),COUNTIFS($H$1:H440,$H440,$I$1:I440,$I440,$J$1:J440,$J440,$K$1:K440,K440,$L$1:L440,L440)))</f>
        <v>041</v>
      </c>
      <c r="N44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40" s="14" t="e">
        <f>+LEN(Table4[[#This Row],[New Item Code]])</f>
        <v>#N/A</v>
      </c>
      <c r="P440" s="15" t="s">
        <v>4747</v>
      </c>
      <c r="Q440" s="15" t="s">
        <v>4749</v>
      </c>
      <c r="R440" s="15"/>
      <c r="S440" s="15"/>
      <c r="T440" s="15" t="s">
        <v>4687</v>
      </c>
    </row>
    <row r="441" spans="1:20" x14ac:dyDescent="0.35">
      <c r="A441" s="3" t="s">
        <v>887</v>
      </c>
      <c r="B441" s="3" t="s">
        <v>888</v>
      </c>
      <c r="C441" s="3" t="s">
        <v>9</v>
      </c>
      <c r="D441" s="3">
        <v>601.37</v>
      </c>
      <c r="E441" s="3" t="s">
        <v>10</v>
      </c>
      <c r="F441" s="3">
        <v>2</v>
      </c>
      <c r="G441" s="21">
        <f>Table4[[#This Row],[Item Cost]]*Table4[[#This Row],[In Stock]]</f>
        <v>1202.74</v>
      </c>
      <c r="H441" s="12" t="s">
        <v>4661</v>
      </c>
      <c r="I441" s="13" t="s">
        <v>4664</v>
      </c>
      <c r="J441" s="13" t="s">
        <v>4687</v>
      </c>
      <c r="K441" s="13" t="s">
        <v>4672</v>
      </c>
      <c r="L441" s="12" t="s">
        <v>4672</v>
      </c>
      <c r="M441" s="17" t="str">
        <f>IF(LEN(COUNTIFS($H$1:H441,$H441,$I$1:I441,$I441,$J$1:J441,$J441,$K$1:K441,K441,$L$1:L441,L441))=1,"00"&amp;COUNTIFS($H$1:H441,$H441,$I$1:I441,$I441,$J$1:J441,$J441,$K$1:K441,K441,$L$1:L441,L441),IF(LEN(COUNTIFS($H$1:H441,$H441,$I$1:I441,$I441,$J$1:J441,$J441,$K$1:K441,K441,$L$1:L441,L441))=2,"0"&amp;COUNTIFS($H$1:H441,$H441,$I$1:I441,$I441,$J$1:J441,$J441,$K$1:K441,K441,$L$1:L441,L441),COUNTIFS($H$1:H441,$H441,$I$1:I441,$I441,$J$1:J441,$J441,$K$1:K441,K441,$L$1:L441,L441)))</f>
        <v>042</v>
      </c>
      <c r="N44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41" s="14" t="e">
        <f>+LEN(Table4[[#This Row],[New Item Code]])</f>
        <v>#N/A</v>
      </c>
      <c r="P441" s="15" t="s">
        <v>4747</v>
      </c>
      <c r="Q441" s="15" t="s">
        <v>4749</v>
      </c>
      <c r="R441" s="15"/>
      <c r="S441" s="15"/>
      <c r="T441" s="15" t="s">
        <v>4687</v>
      </c>
    </row>
    <row r="442" spans="1:20" x14ac:dyDescent="0.35">
      <c r="A442" s="2" t="s">
        <v>889</v>
      </c>
      <c r="B442" s="2" t="s">
        <v>890</v>
      </c>
      <c r="C442" s="2" t="s">
        <v>9</v>
      </c>
      <c r="D442" s="2">
        <v>638.09500000000003</v>
      </c>
      <c r="E442" s="2" t="s">
        <v>10</v>
      </c>
      <c r="F442" s="2">
        <v>2</v>
      </c>
      <c r="G442" s="22">
        <f>Table4[[#This Row],[Item Cost]]*Table4[[#This Row],[In Stock]]</f>
        <v>1276.19</v>
      </c>
      <c r="H442" s="12" t="s">
        <v>4661</v>
      </c>
      <c r="I442" s="13" t="s">
        <v>4664</v>
      </c>
      <c r="J442" s="13" t="s">
        <v>4687</v>
      </c>
      <c r="K442" s="13" t="s">
        <v>4672</v>
      </c>
      <c r="L442" s="12" t="s">
        <v>4672</v>
      </c>
      <c r="M442" s="17" t="str">
        <f>IF(LEN(COUNTIFS($H$1:H442,$H442,$I$1:I442,$I442,$J$1:J442,$J442,$K$1:K442,K442,$L$1:L442,L442))=1,"00"&amp;COUNTIFS($H$1:H442,$H442,$I$1:I442,$I442,$J$1:J442,$J442,$K$1:K442,K442,$L$1:L442,L442),IF(LEN(COUNTIFS($H$1:H442,$H442,$I$1:I442,$I442,$J$1:J442,$J442,$K$1:K442,K442,$L$1:L442,L442))=2,"0"&amp;COUNTIFS($H$1:H442,$H442,$I$1:I442,$I442,$J$1:J442,$J442,$K$1:K442,K442,$L$1:L442,L442),COUNTIFS($H$1:H442,$H442,$I$1:I442,$I442,$J$1:J442,$J442,$K$1:K442,K442,$L$1:L442,L442)))</f>
        <v>043</v>
      </c>
      <c r="N44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42" s="14" t="e">
        <f>+LEN(Table4[[#This Row],[New Item Code]])</f>
        <v>#N/A</v>
      </c>
      <c r="P442" s="15" t="s">
        <v>4747</v>
      </c>
      <c r="Q442" s="15" t="s">
        <v>4749</v>
      </c>
      <c r="R442" s="15"/>
      <c r="S442" s="15"/>
      <c r="T442" s="15" t="s">
        <v>4687</v>
      </c>
    </row>
    <row r="443" spans="1:20" x14ac:dyDescent="0.35">
      <c r="A443" s="3" t="s">
        <v>891</v>
      </c>
      <c r="B443" s="3" t="s">
        <v>892</v>
      </c>
      <c r="C443" s="3" t="s">
        <v>9</v>
      </c>
      <c r="D443" s="3">
        <v>826.31</v>
      </c>
      <c r="E443" s="3" t="s">
        <v>10</v>
      </c>
      <c r="F443" s="3">
        <v>1</v>
      </c>
      <c r="G443" s="21">
        <f>Table4[[#This Row],[Item Cost]]*Table4[[#This Row],[In Stock]]</f>
        <v>826.31</v>
      </c>
      <c r="H443" s="12" t="s">
        <v>4661</v>
      </c>
      <c r="I443" s="13" t="s">
        <v>4664</v>
      </c>
      <c r="J443" s="13" t="s">
        <v>4687</v>
      </c>
      <c r="K443" s="13" t="s">
        <v>4672</v>
      </c>
      <c r="L443" s="12" t="s">
        <v>4672</v>
      </c>
      <c r="M443" s="17" t="str">
        <f>IF(LEN(COUNTIFS($H$1:H443,$H443,$I$1:I443,$I443,$J$1:J443,$J443,$K$1:K443,K443,$L$1:L443,L443))=1,"00"&amp;COUNTIFS($H$1:H443,$H443,$I$1:I443,$I443,$J$1:J443,$J443,$K$1:K443,K443,$L$1:L443,L443),IF(LEN(COUNTIFS($H$1:H443,$H443,$I$1:I443,$I443,$J$1:J443,$J443,$K$1:K443,K443,$L$1:L443,L443))=2,"0"&amp;COUNTIFS($H$1:H443,$H443,$I$1:I443,$I443,$J$1:J443,$J443,$K$1:K443,K443,$L$1:L443,L443),COUNTIFS($H$1:H443,$H443,$I$1:I443,$I443,$J$1:J443,$J443,$K$1:K443,K443,$L$1:L443,L443)))</f>
        <v>044</v>
      </c>
      <c r="N44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43" s="14" t="e">
        <f>+LEN(Table4[[#This Row],[New Item Code]])</f>
        <v>#N/A</v>
      </c>
      <c r="P443" s="15" t="s">
        <v>4747</v>
      </c>
      <c r="Q443" s="15" t="s">
        <v>4749</v>
      </c>
      <c r="R443" s="15"/>
      <c r="S443" s="15"/>
      <c r="T443" s="15" t="s">
        <v>4687</v>
      </c>
    </row>
    <row r="444" spans="1:20" x14ac:dyDescent="0.35">
      <c r="A444" s="2" t="s">
        <v>893</v>
      </c>
      <c r="B444" s="2" t="s">
        <v>894</v>
      </c>
      <c r="C444" s="2" t="s">
        <v>9</v>
      </c>
      <c r="D444" s="2">
        <v>826.31</v>
      </c>
      <c r="E444" s="2" t="s">
        <v>10</v>
      </c>
      <c r="F444" s="2">
        <v>1</v>
      </c>
      <c r="G444" s="22">
        <f>Table4[[#This Row],[Item Cost]]*Table4[[#This Row],[In Stock]]</f>
        <v>826.31</v>
      </c>
      <c r="H444" s="12" t="s">
        <v>4661</v>
      </c>
      <c r="I444" s="13" t="s">
        <v>4664</v>
      </c>
      <c r="J444" s="13" t="s">
        <v>4687</v>
      </c>
      <c r="K444" s="13" t="s">
        <v>4672</v>
      </c>
      <c r="L444" s="12" t="s">
        <v>4672</v>
      </c>
      <c r="M444" s="17" t="str">
        <f>IF(LEN(COUNTIFS($H$1:H444,$H444,$I$1:I444,$I444,$J$1:J444,$J444,$K$1:K444,K444,$L$1:L444,L444))=1,"00"&amp;COUNTIFS($H$1:H444,$H444,$I$1:I444,$I444,$J$1:J444,$J444,$K$1:K444,K444,$L$1:L444,L444),IF(LEN(COUNTIFS($H$1:H444,$H444,$I$1:I444,$I444,$J$1:J444,$J444,$K$1:K444,K444,$L$1:L444,L444))=2,"0"&amp;COUNTIFS($H$1:H444,$H444,$I$1:I444,$I444,$J$1:J444,$J444,$K$1:K444,K444,$L$1:L444,L444),COUNTIFS($H$1:H444,$H444,$I$1:I444,$I444,$J$1:J444,$J444,$K$1:K444,K444,$L$1:L444,L444)))</f>
        <v>045</v>
      </c>
      <c r="N44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44" s="14" t="e">
        <f>+LEN(Table4[[#This Row],[New Item Code]])</f>
        <v>#N/A</v>
      </c>
      <c r="P444" s="15" t="s">
        <v>4747</v>
      </c>
      <c r="Q444" s="15" t="s">
        <v>4749</v>
      </c>
      <c r="R444" s="15"/>
      <c r="S444" s="15"/>
      <c r="T444" s="15" t="s">
        <v>4687</v>
      </c>
    </row>
    <row r="445" spans="1:20" x14ac:dyDescent="0.35">
      <c r="A445" s="3" t="s">
        <v>895</v>
      </c>
      <c r="B445" s="3" t="s">
        <v>896</v>
      </c>
      <c r="C445" s="3" t="s">
        <v>9</v>
      </c>
      <c r="D445" s="3">
        <v>826.31</v>
      </c>
      <c r="E445" s="3" t="s">
        <v>10</v>
      </c>
      <c r="F445" s="3">
        <v>1</v>
      </c>
      <c r="G445" s="21">
        <f>Table4[[#This Row],[Item Cost]]*Table4[[#This Row],[In Stock]]</f>
        <v>826.31</v>
      </c>
      <c r="H445" s="12" t="s">
        <v>4661</v>
      </c>
      <c r="I445" s="13" t="s">
        <v>4664</v>
      </c>
      <c r="J445" s="13" t="s">
        <v>4687</v>
      </c>
      <c r="K445" s="13" t="s">
        <v>4672</v>
      </c>
      <c r="L445" s="12" t="s">
        <v>4672</v>
      </c>
      <c r="M445" s="17" t="str">
        <f>IF(LEN(COUNTIFS($H$1:H445,$H445,$I$1:I445,$I445,$J$1:J445,$J445,$K$1:K445,K445,$L$1:L445,L445))=1,"00"&amp;COUNTIFS($H$1:H445,$H445,$I$1:I445,$I445,$J$1:J445,$J445,$K$1:K445,K445,$L$1:L445,L445),IF(LEN(COUNTIFS($H$1:H445,$H445,$I$1:I445,$I445,$J$1:J445,$J445,$K$1:K445,K445,$L$1:L445,L445))=2,"0"&amp;COUNTIFS($H$1:H445,$H445,$I$1:I445,$I445,$J$1:J445,$J445,$K$1:K445,K445,$L$1:L445,L445),COUNTIFS($H$1:H445,$H445,$I$1:I445,$I445,$J$1:J445,$J445,$K$1:K445,K445,$L$1:L445,L445)))</f>
        <v>046</v>
      </c>
      <c r="N44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45" s="14" t="e">
        <f>+LEN(Table4[[#This Row],[New Item Code]])</f>
        <v>#N/A</v>
      </c>
      <c r="P445" s="15" t="s">
        <v>4747</v>
      </c>
      <c r="Q445" s="15" t="s">
        <v>4749</v>
      </c>
      <c r="R445" s="15"/>
      <c r="S445" s="15"/>
      <c r="T445" s="15" t="s">
        <v>4687</v>
      </c>
    </row>
    <row r="446" spans="1:20" x14ac:dyDescent="0.35">
      <c r="A446" s="2" t="s">
        <v>897</v>
      </c>
      <c r="B446" s="2" t="s">
        <v>898</v>
      </c>
      <c r="C446" s="2" t="s">
        <v>9</v>
      </c>
      <c r="D446" s="2">
        <v>826.31</v>
      </c>
      <c r="E446" s="2" t="s">
        <v>10</v>
      </c>
      <c r="F446" s="2">
        <v>1</v>
      </c>
      <c r="G446" s="22">
        <f>Table4[[#This Row],[Item Cost]]*Table4[[#This Row],[In Stock]]</f>
        <v>826.31</v>
      </c>
      <c r="H446" s="12" t="s">
        <v>4661</v>
      </c>
      <c r="I446" s="13" t="s">
        <v>4664</v>
      </c>
      <c r="J446" s="13" t="s">
        <v>4687</v>
      </c>
      <c r="K446" s="13" t="s">
        <v>4672</v>
      </c>
      <c r="L446" s="12" t="s">
        <v>4672</v>
      </c>
      <c r="M446" s="17" t="str">
        <f>IF(LEN(COUNTIFS($H$1:H446,$H446,$I$1:I446,$I446,$J$1:J446,$J446,$K$1:K446,K446,$L$1:L446,L446))=1,"00"&amp;COUNTIFS($H$1:H446,$H446,$I$1:I446,$I446,$J$1:J446,$J446,$K$1:K446,K446,$L$1:L446,L446),IF(LEN(COUNTIFS($H$1:H446,$H446,$I$1:I446,$I446,$J$1:J446,$J446,$K$1:K446,K446,$L$1:L446,L446))=2,"0"&amp;COUNTIFS($H$1:H446,$H446,$I$1:I446,$I446,$J$1:J446,$J446,$K$1:K446,K446,$L$1:L446,L446),COUNTIFS($H$1:H446,$H446,$I$1:I446,$I446,$J$1:J446,$J446,$K$1:K446,K446,$L$1:L446,L446)))</f>
        <v>047</v>
      </c>
      <c r="N44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46" s="14" t="e">
        <f>+LEN(Table4[[#This Row],[New Item Code]])</f>
        <v>#N/A</v>
      </c>
      <c r="P446" s="15" t="s">
        <v>4747</v>
      </c>
      <c r="Q446" s="15" t="s">
        <v>4749</v>
      </c>
      <c r="R446" s="15"/>
      <c r="S446" s="15"/>
      <c r="T446" s="15" t="s">
        <v>4687</v>
      </c>
    </row>
    <row r="447" spans="1:20" x14ac:dyDescent="0.35">
      <c r="A447" s="3" t="s">
        <v>899</v>
      </c>
      <c r="B447" s="3" t="s">
        <v>900</v>
      </c>
      <c r="C447" s="3" t="s">
        <v>9</v>
      </c>
      <c r="D447" s="3">
        <v>192.80500000000001</v>
      </c>
      <c r="E447" s="3" t="s">
        <v>10</v>
      </c>
      <c r="F447" s="3">
        <v>2</v>
      </c>
      <c r="G447" s="21">
        <f>Table4[[#This Row],[Item Cost]]*Table4[[#This Row],[In Stock]]</f>
        <v>385.61</v>
      </c>
      <c r="H447" s="12" t="s">
        <v>4661</v>
      </c>
      <c r="I447" s="13" t="s">
        <v>4664</v>
      </c>
      <c r="J447" s="13" t="s">
        <v>4687</v>
      </c>
      <c r="K447" s="13" t="s">
        <v>4672</v>
      </c>
      <c r="L447" s="12" t="s">
        <v>4672</v>
      </c>
      <c r="M447" s="17" t="str">
        <f>IF(LEN(COUNTIFS($H$1:H447,$H447,$I$1:I447,$I447,$J$1:J447,$J447,$K$1:K447,K447,$L$1:L447,L447))=1,"00"&amp;COUNTIFS($H$1:H447,$H447,$I$1:I447,$I447,$J$1:J447,$J447,$K$1:K447,K447,$L$1:L447,L447),IF(LEN(COUNTIFS($H$1:H447,$H447,$I$1:I447,$I447,$J$1:J447,$J447,$K$1:K447,K447,$L$1:L447,L447))=2,"0"&amp;COUNTIFS($H$1:H447,$H447,$I$1:I447,$I447,$J$1:J447,$J447,$K$1:K447,K447,$L$1:L447,L447),COUNTIFS($H$1:H447,$H447,$I$1:I447,$I447,$J$1:J447,$J447,$K$1:K447,K447,$L$1:L447,L447)))</f>
        <v>048</v>
      </c>
      <c r="N44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47" s="14" t="e">
        <f>+LEN(Table4[[#This Row],[New Item Code]])</f>
        <v>#N/A</v>
      </c>
      <c r="P447" s="15" t="s">
        <v>4747</v>
      </c>
      <c r="Q447" s="15" t="s">
        <v>4749</v>
      </c>
      <c r="R447" s="15"/>
      <c r="S447" s="15"/>
      <c r="T447" s="15" t="s">
        <v>4687</v>
      </c>
    </row>
    <row r="448" spans="1:20" x14ac:dyDescent="0.35">
      <c r="A448" s="2" t="s">
        <v>901</v>
      </c>
      <c r="B448" s="2" t="s">
        <v>902</v>
      </c>
      <c r="C448" s="2" t="s">
        <v>9</v>
      </c>
      <c r="D448" s="2">
        <v>385.61500000000001</v>
      </c>
      <c r="E448" s="2" t="s">
        <v>10</v>
      </c>
      <c r="F448" s="2">
        <v>2</v>
      </c>
      <c r="G448" s="22">
        <f>Table4[[#This Row],[Item Cost]]*Table4[[#This Row],[In Stock]]</f>
        <v>771.23</v>
      </c>
      <c r="H448" s="12" t="s">
        <v>4661</v>
      </c>
      <c r="I448" s="13" t="s">
        <v>4664</v>
      </c>
      <c r="J448" s="13" t="s">
        <v>4687</v>
      </c>
      <c r="K448" s="13" t="s">
        <v>4672</v>
      </c>
      <c r="L448" s="12" t="s">
        <v>4672</v>
      </c>
      <c r="M448" s="17" t="str">
        <f>IF(LEN(COUNTIFS($H$1:H448,$H448,$I$1:I448,$I448,$J$1:J448,$J448,$K$1:K448,K448,$L$1:L448,L448))=1,"00"&amp;COUNTIFS($H$1:H448,$H448,$I$1:I448,$I448,$J$1:J448,$J448,$K$1:K448,K448,$L$1:L448,L448),IF(LEN(COUNTIFS($H$1:H448,$H448,$I$1:I448,$I448,$J$1:J448,$J448,$K$1:K448,K448,$L$1:L448,L448))=2,"0"&amp;COUNTIFS($H$1:H448,$H448,$I$1:I448,$I448,$J$1:J448,$J448,$K$1:K448,K448,$L$1:L448,L448),COUNTIFS($H$1:H448,$H448,$I$1:I448,$I448,$J$1:J448,$J448,$K$1:K448,K448,$L$1:L448,L448)))</f>
        <v>049</v>
      </c>
      <c r="N44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48" s="14" t="e">
        <f>+LEN(Table4[[#This Row],[New Item Code]])</f>
        <v>#N/A</v>
      </c>
      <c r="P448" s="15" t="s">
        <v>4747</v>
      </c>
      <c r="Q448" s="15" t="s">
        <v>4749</v>
      </c>
      <c r="R448" s="15"/>
      <c r="S448" s="15"/>
      <c r="T448" s="15" t="s">
        <v>4687</v>
      </c>
    </row>
    <row r="449" spans="1:20" x14ac:dyDescent="0.35">
      <c r="A449" s="2" t="s">
        <v>903</v>
      </c>
      <c r="B449" s="2" t="s">
        <v>904</v>
      </c>
      <c r="C449" s="2" t="s">
        <v>15</v>
      </c>
      <c r="D449" s="2">
        <v>441</v>
      </c>
      <c r="E449" s="2" t="s">
        <v>10</v>
      </c>
      <c r="F449" s="2">
        <v>1</v>
      </c>
      <c r="G449" s="22">
        <f>Table4[[#This Row],[Item Cost]]*Table4[[#This Row],[In Stock]]</f>
        <v>441</v>
      </c>
      <c r="H449" s="12" t="s">
        <v>4661</v>
      </c>
      <c r="I449" s="13" t="s">
        <v>4666</v>
      </c>
      <c r="J449" s="13" t="s">
        <v>4689</v>
      </c>
      <c r="K449" s="13" t="s">
        <v>4776</v>
      </c>
      <c r="L449" s="12" t="s">
        <v>4672</v>
      </c>
      <c r="M449" s="17" t="str">
        <f>IF(LEN(COUNTIFS($H$1:H449,$H449,$I$1:I449,$I449,$J$1:J449,$J449,$K$1:K449,K449,$L$1:L449,L449))=1,"00"&amp;COUNTIFS($H$1:H449,$H449,$I$1:I449,$I449,$J$1:J449,$J449,$K$1:K449,K449,$L$1:L449,L449),IF(LEN(COUNTIFS($H$1:H449,$H449,$I$1:I449,$I449,$J$1:J449,$J449,$K$1:K449,K449,$L$1:L449,L449))=2,"0"&amp;COUNTIFS($H$1:H449,$H449,$I$1:I449,$I449,$J$1:J449,$J449,$K$1:K449,K449,$L$1:L449,L449),COUNTIFS($H$1:H449,$H449,$I$1:I449,$I449,$J$1:J449,$J449,$K$1:K449,K449,$L$1:L449,L449)))</f>
        <v>001</v>
      </c>
      <c r="N44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49" s="14" t="e">
        <f>+LEN(Table4[[#This Row],[New Item Code]])</f>
        <v>#N/A</v>
      </c>
      <c r="P449" s="15" t="s">
        <v>4747</v>
      </c>
      <c r="Q449" s="15" t="s">
        <v>4749</v>
      </c>
      <c r="R449" s="15"/>
      <c r="S449" s="15"/>
      <c r="T449" s="15" t="s">
        <v>4689</v>
      </c>
    </row>
    <row r="450" spans="1:20" x14ac:dyDescent="0.35">
      <c r="A450" s="3" t="s">
        <v>905</v>
      </c>
      <c r="B450" s="3" t="s">
        <v>906</v>
      </c>
      <c r="C450" s="3" t="s">
        <v>15</v>
      </c>
      <c r="D450" s="3">
        <v>0</v>
      </c>
      <c r="E450" s="3" t="s">
        <v>10</v>
      </c>
      <c r="F450" s="3">
        <v>0</v>
      </c>
      <c r="G450" s="21">
        <f>Table4[[#This Row],[Item Cost]]*Table4[[#This Row],[In Stock]]</f>
        <v>0</v>
      </c>
      <c r="H450" s="12" t="s">
        <v>4661</v>
      </c>
      <c r="I450" s="13" t="s">
        <v>4666</v>
      </c>
      <c r="J450" s="13" t="s">
        <v>4689</v>
      </c>
      <c r="K450" s="13" t="s">
        <v>4672</v>
      </c>
      <c r="L450" s="12" t="s">
        <v>4672</v>
      </c>
      <c r="M450" s="17" t="str">
        <f>IF(LEN(COUNTIFS($H$1:H450,$H450,$I$1:I450,$I450,$J$1:J450,$J450,$K$1:K450,K450,$L$1:L450,L450))=1,"00"&amp;COUNTIFS($H$1:H450,$H450,$I$1:I450,$I450,$J$1:J450,$J450,$K$1:K450,K450,$L$1:L450,L450),IF(LEN(COUNTIFS($H$1:H450,$H450,$I$1:I450,$I450,$J$1:J450,$J450,$K$1:K450,K450,$L$1:L450,L450))=2,"0"&amp;COUNTIFS($H$1:H450,$H450,$I$1:I450,$I450,$J$1:J450,$J450,$K$1:K450,K450,$L$1:L450,L450),COUNTIFS($H$1:H450,$H450,$I$1:I450,$I450,$J$1:J450,$J450,$K$1:K450,K450,$L$1:L450,L450)))</f>
        <v>001</v>
      </c>
      <c r="N45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50" s="14" t="e">
        <f>+LEN(Table4[[#This Row],[New Item Code]])</f>
        <v>#N/A</v>
      </c>
      <c r="P450" s="15" t="s">
        <v>4747</v>
      </c>
      <c r="Q450" s="15" t="s">
        <v>4749</v>
      </c>
      <c r="R450" s="15"/>
      <c r="S450" s="15"/>
      <c r="T450" s="15" t="s">
        <v>4689</v>
      </c>
    </row>
    <row r="451" spans="1:20" x14ac:dyDescent="0.35">
      <c r="A451" s="2" t="s">
        <v>907</v>
      </c>
      <c r="B451" s="2" t="s">
        <v>908</v>
      </c>
      <c r="C451" s="2" t="s">
        <v>15</v>
      </c>
      <c r="D451" s="2">
        <v>255.833</v>
      </c>
      <c r="E451" s="2" t="s">
        <v>10</v>
      </c>
      <c r="F451" s="2">
        <v>0</v>
      </c>
      <c r="G451" s="22">
        <f>Table4[[#This Row],[Item Cost]]*Table4[[#This Row],[In Stock]]</f>
        <v>0</v>
      </c>
      <c r="H451" s="12" t="s">
        <v>4661</v>
      </c>
      <c r="I451" s="13" t="s">
        <v>4666</v>
      </c>
      <c r="J451" s="13" t="s">
        <v>4689</v>
      </c>
      <c r="K451" s="13" t="s">
        <v>4672</v>
      </c>
      <c r="L451" s="12" t="s">
        <v>4672</v>
      </c>
      <c r="M451" s="17" t="str">
        <f>IF(LEN(COUNTIFS($H$1:H451,$H451,$I$1:I451,$I451,$J$1:J451,$J451,$K$1:K451,K451,$L$1:L451,L451))=1,"00"&amp;COUNTIFS($H$1:H451,$H451,$I$1:I451,$I451,$J$1:J451,$J451,$K$1:K451,K451,$L$1:L451,L451),IF(LEN(COUNTIFS($H$1:H451,$H451,$I$1:I451,$I451,$J$1:J451,$J451,$K$1:K451,K451,$L$1:L451,L451))=2,"0"&amp;COUNTIFS($H$1:H451,$H451,$I$1:I451,$I451,$J$1:J451,$J451,$K$1:K451,K451,$L$1:L451,L451),COUNTIFS($H$1:H451,$H451,$I$1:I451,$I451,$J$1:J451,$J451,$K$1:K451,K451,$L$1:L451,L451)))</f>
        <v>002</v>
      </c>
      <c r="N45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51" s="14" t="e">
        <f>+LEN(Table4[[#This Row],[New Item Code]])</f>
        <v>#N/A</v>
      </c>
      <c r="P451" s="15" t="s">
        <v>4747</v>
      </c>
      <c r="Q451" s="15" t="s">
        <v>4749</v>
      </c>
      <c r="R451" s="15"/>
      <c r="S451" s="15"/>
      <c r="T451" s="15" t="s">
        <v>4689</v>
      </c>
    </row>
    <row r="452" spans="1:20" x14ac:dyDescent="0.35">
      <c r="A452" s="3" t="s">
        <v>909</v>
      </c>
      <c r="B452" s="3" t="s">
        <v>910</v>
      </c>
      <c r="C452" s="3" t="s">
        <v>15</v>
      </c>
      <c r="D452" s="3">
        <v>600</v>
      </c>
      <c r="E452" s="3" t="s">
        <v>10</v>
      </c>
      <c r="F452" s="3">
        <v>0</v>
      </c>
      <c r="G452" s="21">
        <f>Table4[[#This Row],[Item Cost]]*Table4[[#This Row],[In Stock]]</f>
        <v>0</v>
      </c>
      <c r="H452" s="12" t="s">
        <v>4661</v>
      </c>
      <c r="I452" s="13" t="s">
        <v>4666</v>
      </c>
      <c r="J452" s="13" t="s">
        <v>4689</v>
      </c>
      <c r="K452" s="13" t="s">
        <v>4672</v>
      </c>
      <c r="L452" s="12" t="s">
        <v>4672</v>
      </c>
      <c r="M452" s="17" t="str">
        <f>IF(LEN(COUNTIFS($H$1:H452,$H452,$I$1:I452,$I452,$J$1:J452,$J452,$K$1:K452,K452,$L$1:L452,L452))=1,"00"&amp;COUNTIFS($H$1:H452,$H452,$I$1:I452,$I452,$J$1:J452,$J452,$K$1:K452,K452,$L$1:L452,L452),IF(LEN(COUNTIFS($H$1:H452,$H452,$I$1:I452,$I452,$J$1:J452,$J452,$K$1:K452,K452,$L$1:L452,L452))=2,"0"&amp;COUNTIFS($H$1:H452,$H452,$I$1:I452,$I452,$J$1:J452,$J452,$K$1:K452,K452,$L$1:L452,L452),COUNTIFS($H$1:H452,$H452,$I$1:I452,$I452,$J$1:J452,$J452,$K$1:K452,K452,$L$1:L452,L452)))</f>
        <v>003</v>
      </c>
      <c r="N45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52" s="14" t="e">
        <f>+LEN(Table4[[#This Row],[New Item Code]])</f>
        <v>#N/A</v>
      </c>
      <c r="P452" s="15" t="s">
        <v>4747</v>
      </c>
      <c r="Q452" s="15" t="s">
        <v>4749</v>
      </c>
      <c r="R452" s="15"/>
      <c r="S452" s="15"/>
      <c r="T452" s="15" t="s">
        <v>4689</v>
      </c>
    </row>
    <row r="453" spans="1:20" x14ac:dyDescent="0.35">
      <c r="A453" s="2" t="s">
        <v>911</v>
      </c>
      <c r="B453" s="2" t="s">
        <v>912</v>
      </c>
      <c r="C453" s="2" t="s">
        <v>15</v>
      </c>
      <c r="D453" s="2">
        <v>13.97</v>
      </c>
      <c r="E453" s="2" t="s">
        <v>10</v>
      </c>
      <c r="F453" s="2">
        <v>1</v>
      </c>
      <c r="G453" s="22">
        <f>Table4[[#This Row],[Item Cost]]*Table4[[#This Row],[In Stock]]</f>
        <v>13.97</v>
      </c>
      <c r="H453" s="12" t="s">
        <v>4661</v>
      </c>
      <c r="I453" s="13" t="s">
        <v>4666</v>
      </c>
      <c r="J453" s="13" t="s">
        <v>4689</v>
      </c>
      <c r="K453" s="13" t="s">
        <v>4776</v>
      </c>
      <c r="L453" s="12" t="s">
        <v>4672</v>
      </c>
      <c r="M453" s="17" t="str">
        <f>IF(LEN(COUNTIFS($H$1:H453,$H453,$I$1:I453,$I453,$J$1:J453,$J453,$K$1:K453,K453,$L$1:L453,L453))=1,"00"&amp;COUNTIFS($H$1:H453,$H453,$I$1:I453,$I453,$J$1:J453,$J453,$K$1:K453,K453,$L$1:L453,L453),IF(LEN(COUNTIFS($H$1:H453,$H453,$I$1:I453,$I453,$J$1:J453,$J453,$K$1:K453,K453,$L$1:L453,L453))=2,"0"&amp;COUNTIFS($H$1:H453,$H453,$I$1:I453,$I453,$J$1:J453,$J453,$K$1:K453,K453,$L$1:L453,L453),COUNTIFS($H$1:H453,$H453,$I$1:I453,$I453,$J$1:J453,$J453,$K$1:K453,K453,$L$1:L453,L453)))</f>
        <v>002</v>
      </c>
      <c r="N45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53" s="14" t="e">
        <f>+LEN(Table4[[#This Row],[New Item Code]])</f>
        <v>#N/A</v>
      </c>
      <c r="P453" s="15" t="s">
        <v>4747</v>
      </c>
      <c r="Q453" s="15" t="s">
        <v>4749</v>
      </c>
      <c r="R453" s="15"/>
      <c r="S453" s="15"/>
      <c r="T453" s="15" t="s">
        <v>4689</v>
      </c>
    </row>
    <row r="454" spans="1:20" x14ac:dyDescent="0.35">
      <c r="A454" s="3" t="s">
        <v>913</v>
      </c>
      <c r="B454" s="3" t="s">
        <v>914</v>
      </c>
      <c r="C454" s="3" t="s">
        <v>15</v>
      </c>
      <c r="D454" s="3">
        <v>74</v>
      </c>
      <c r="E454" s="3" t="s">
        <v>10</v>
      </c>
      <c r="F454" s="3">
        <v>1</v>
      </c>
      <c r="G454" s="21">
        <f>Table4[[#This Row],[Item Cost]]*Table4[[#This Row],[In Stock]]</f>
        <v>74</v>
      </c>
      <c r="H454" s="12" t="s">
        <v>4661</v>
      </c>
      <c r="I454" s="13" t="s">
        <v>4666</v>
      </c>
      <c r="J454" s="13" t="s">
        <v>4689</v>
      </c>
      <c r="K454" s="13" t="s">
        <v>4672</v>
      </c>
      <c r="L454" s="12" t="s">
        <v>4672</v>
      </c>
      <c r="M454" s="17" t="str">
        <f>IF(LEN(COUNTIFS($H$1:H454,$H454,$I$1:I454,$I454,$J$1:J454,$J454,$K$1:K454,K454,$L$1:L454,L454))=1,"00"&amp;COUNTIFS($H$1:H454,$H454,$I$1:I454,$I454,$J$1:J454,$J454,$K$1:K454,K454,$L$1:L454,L454),IF(LEN(COUNTIFS($H$1:H454,$H454,$I$1:I454,$I454,$J$1:J454,$J454,$K$1:K454,K454,$L$1:L454,L454))=2,"0"&amp;COUNTIFS($H$1:H454,$H454,$I$1:I454,$I454,$J$1:J454,$J454,$K$1:K454,K454,$L$1:L454,L454),COUNTIFS($H$1:H454,$H454,$I$1:I454,$I454,$J$1:J454,$J454,$K$1:K454,K454,$L$1:L454,L454)))</f>
        <v>004</v>
      </c>
      <c r="N45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54" s="14" t="e">
        <f>+LEN(Table4[[#This Row],[New Item Code]])</f>
        <v>#N/A</v>
      </c>
      <c r="P454" s="15" t="s">
        <v>4747</v>
      </c>
      <c r="Q454" s="15" t="s">
        <v>4749</v>
      </c>
      <c r="R454" s="15"/>
      <c r="S454" s="15"/>
      <c r="T454" s="15" t="s">
        <v>4689</v>
      </c>
    </row>
    <row r="455" spans="1:20" x14ac:dyDescent="0.35">
      <c r="A455" s="2" t="s">
        <v>915</v>
      </c>
      <c r="B455" s="2" t="s">
        <v>916</v>
      </c>
      <c r="C455" s="2" t="s">
        <v>15</v>
      </c>
      <c r="D455" s="2">
        <v>48</v>
      </c>
      <c r="E455" s="2" t="s">
        <v>10</v>
      </c>
      <c r="F455" s="2">
        <v>1</v>
      </c>
      <c r="G455" s="22">
        <f>Table4[[#This Row],[Item Cost]]*Table4[[#This Row],[In Stock]]</f>
        <v>48</v>
      </c>
      <c r="H455" s="12" t="s">
        <v>4661</v>
      </c>
      <c r="I455" s="13" t="s">
        <v>4666</v>
      </c>
      <c r="J455" s="13" t="s">
        <v>4689</v>
      </c>
      <c r="K455" s="13" t="s">
        <v>4672</v>
      </c>
      <c r="L455" s="12" t="s">
        <v>4672</v>
      </c>
      <c r="M455" s="17" t="str">
        <f>IF(LEN(COUNTIFS($H$1:H455,$H455,$I$1:I455,$I455,$J$1:J455,$J455,$K$1:K455,K455,$L$1:L455,L455))=1,"00"&amp;COUNTIFS($H$1:H455,$H455,$I$1:I455,$I455,$J$1:J455,$J455,$K$1:K455,K455,$L$1:L455,L455),IF(LEN(COUNTIFS($H$1:H455,$H455,$I$1:I455,$I455,$J$1:J455,$J455,$K$1:K455,K455,$L$1:L455,L455))=2,"0"&amp;COUNTIFS($H$1:H455,$H455,$I$1:I455,$I455,$J$1:J455,$J455,$K$1:K455,K455,$L$1:L455,L455),COUNTIFS($H$1:H455,$H455,$I$1:I455,$I455,$J$1:J455,$J455,$K$1:K455,K455,$L$1:L455,L455)))</f>
        <v>005</v>
      </c>
      <c r="N45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55" s="14" t="e">
        <f>+LEN(Table4[[#This Row],[New Item Code]])</f>
        <v>#N/A</v>
      </c>
      <c r="P455" s="15" t="s">
        <v>4747</v>
      </c>
      <c r="Q455" s="15" t="s">
        <v>4749</v>
      </c>
      <c r="R455" s="15"/>
      <c r="S455" s="15"/>
      <c r="T455" s="15" t="s">
        <v>4689</v>
      </c>
    </row>
    <row r="456" spans="1:20" x14ac:dyDescent="0.35">
      <c r="A456" s="3" t="s">
        <v>917</v>
      </c>
      <c r="B456" s="3" t="s">
        <v>918</v>
      </c>
      <c r="C456" s="3" t="s">
        <v>15</v>
      </c>
      <c r="D456" s="3">
        <v>53.69</v>
      </c>
      <c r="E456" s="3" t="s">
        <v>10</v>
      </c>
      <c r="F456" s="3">
        <v>1</v>
      </c>
      <c r="G456" s="21">
        <f>Table4[[#This Row],[Item Cost]]*Table4[[#This Row],[In Stock]]</f>
        <v>53.69</v>
      </c>
      <c r="H456" s="12" t="s">
        <v>4661</v>
      </c>
      <c r="I456" s="13" t="s">
        <v>4666</v>
      </c>
      <c r="J456" s="13" t="s">
        <v>4689</v>
      </c>
      <c r="K456" t="s">
        <v>4793</v>
      </c>
      <c r="L456" s="12" t="s">
        <v>4672</v>
      </c>
      <c r="M456" s="17" t="str">
        <f>IF(LEN(COUNTIFS($H$1:H456,$H456,$I$1:I456,$I456,$J$1:J456,$J456,$K$1:K456,K456,$L$1:L456,L456))=1,"00"&amp;COUNTIFS($H$1:H456,$H456,$I$1:I456,$I456,$J$1:J456,$J456,$K$1:K456,K456,$L$1:L456,L456),IF(LEN(COUNTIFS($H$1:H456,$H456,$I$1:I456,$I456,$J$1:J456,$J456,$K$1:K456,K456,$L$1:L456,L456))=2,"0"&amp;COUNTIFS($H$1:H456,$H456,$I$1:I456,$I456,$J$1:J456,$J456,$K$1:K456,K456,$L$1:L456,L456),COUNTIFS($H$1:H456,$H456,$I$1:I456,$I456,$J$1:J456,$J456,$K$1:K456,K456,$L$1:L456,L456)))</f>
        <v>001</v>
      </c>
      <c r="N45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56" s="14" t="e">
        <f>+LEN(Table4[[#This Row],[New Item Code]])</f>
        <v>#N/A</v>
      </c>
      <c r="P456" s="15" t="s">
        <v>4747</v>
      </c>
      <c r="Q456" s="15" t="s">
        <v>4749</v>
      </c>
      <c r="R456" s="15"/>
      <c r="S456" s="15"/>
      <c r="T456" s="15" t="s">
        <v>4689</v>
      </c>
    </row>
    <row r="457" spans="1:20" x14ac:dyDescent="0.35">
      <c r="A457" s="2" t="s">
        <v>919</v>
      </c>
      <c r="B457" s="2" t="s">
        <v>920</v>
      </c>
      <c r="C457" s="2" t="s">
        <v>15</v>
      </c>
      <c r="D457" s="2">
        <v>177</v>
      </c>
      <c r="E457" s="2" t="s">
        <v>10</v>
      </c>
      <c r="F457" s="2">
        <v>0</v>
      </c>
      <c r="G457" s="22">
        <f>Table4[[#This Row],[Item Cost]]*Table4[[#This Row],[In Stock]]</f>
        <v>0</v>
      </c>
      <c r="H457" s="12" t="s">
        <v>4661</v>
      </c>
      <c r="I457" s="13" t="s">
        <v>4666</v>
      </c>
      <c r="J457" s="13" t="s">
        <v>4689</v>
      </c>
      <c r="K457" s="13" t="s">
        <v>4672</v>
      </c>
      <c r="L457" s="12" t="s">
        <v>4672</v>
      </c>
      <c r="M457" s="17" t="str">
        <f>IF(LEN(COUNTIFS($H$1:H457,$H457,$I$1:I457,$I457,$J$1:J457,$J457,$K$1:K457,K457,$L$1:L457,L457))=1,"00"&amp;COUNTIFS($H$1:H457,$H457,$I$1:I457,$I457,$J$1:J457,$J457,$K$1:K457,K457,$L$1:L457,L457),IF(LEN(COUNTIFS($H$1:H457,$H457,$I$1:I457,$I457,$J$1:J457,$J457,$K$1:K457,K457,$L$1:L457,L457))=2,"0"&amp;COUNTIFS($H$1:H457,$H457,$I$1:I457,$I457,$J$1:J457,$J457,$K$1:K457,K457,$L$1:L457,L457),COUNTIFS($H$1:H457,$H457,$I$1:I457,$I457,$J$1:J457,$J457,$K$1:K457,K457,$L$1:L457,L457)))</f>
        <v>006</v>
      </c>
      <c r="N45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57" s="14" t="e">
        <f>+LEN(Table4[[#This Row],[New Item Code]])</f>
        <v>#N/A</v>
      </c>
      <c r="P457" s="15" t="s">
        <v>4747</v>
      </c>
      <c r="Q457" s="15" t="s">
        <v>4749</v>
      </c>
      <c r="R457" s="15"/>
      <c r="S457" s="15"/>
      <c r="T457" s="15" t="s">
        <v>4689</v>
      </c>
    </row>
    <row r="458" spans="1:20" x14ac:dyDescent="0.35">
      <c r="A458" s="3" t="s">
        <v>921</v>
      </c>
      <c r="B458" s="3" t="s">
        <v>922</v>
      </c>
      <c r="C458" s="3" t="s">
        <v>15</v>
      </c>
      <c r="D458" s="3">
        <v>275</v>
      </c>
      <c r="E458" s="3" t="s">
        <v>10</v>
      </c>
      <c r="F458" s="3">
        <v>0</v>
      </c>
      <c r="G458" s="21">
        <f>Table4[[#This Row],[Item Cost]]*Table4[[#This Row],[In Stock]]</f>
        <v>0</v>
      </c>
      <c r="H458" s="12" t="s">
        <v>4661</v>
      </c>
      <c r="I458" s="13" t="s">
        <v>4666</v>
      </c>
      <c r="J458" s="13" t="s">
        <v>4689</v>
      </c>
      <c r="K458" s="13" t="s">
        <v>4672</v>
      </c>
      <c r="L458" s="12" t="s">
        <v>4672</v>
      </c>
      <c r="M458" s="17" t="str">
        <f>IF(LEN(COUNTIFS($H$1:H458,$H458,$I$1:I458,$I458,$J$1:J458,$J458,$K$1:K458,K458,$L$1:L458,L458))=1,"00"&amp;COUNTIFS($H$1:H458,$H458,$I$1:I458,$I458,$J$1:J458,$J458,$K$1:K458,K458,$L$1:L458,L458),IF(LEN(COUNTIFS($H$1:H458,$H458,$I$1:I458,$I458,$J$1:J458,$J458,$K$1:K458,K458,$L$1:L458,L458))=2,"0"&amp;COUNTIFS($H$1:H458,$H458,$I$1:I458,$I458,$J$1:J458,$J458,$K$1:K458,K458,$L$1:L458,L458),COUNTIFS($H$1:H458,$H458,$I$1:I458,$I458,$J$1:J458,$J458,$K$1:K458,K458,$L$1:L458,L458)))</f>
        <v>007</v>
      </c>
      <c r="N45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58" s="14" t="e">
        <f>+LEN(Table4[[#This Row],[New Item Code]])</f>
        <v>#N/A</v>
      </c>
      <c r="P458" s="15" t="s">
        <v>4747</v>
      </c>
      <c r="Q458" s="15" t="s">
        <v>4749</v>
      </c>
      <c r="R458" s="15"/>
      <c r="S458" s="15"/>
      <c r="T458" s="15" t="s">
        <v>4689</v>
      </c>
    </row>
    <row r="459" spans="1:20" x14ac:dyDescent="0.35">
      <c r="A459" s="2" t="s">
        <v>923</v>
      </c>
      <c r="B459" s="2" t="s">
        <v>924</v>
      </c>
      <c r="C459" s="2" t="s">
        <v>15</v>
      </c>
      <c r="D459" s="4">
        <v>2400</v>
      </c>
      <c r="E459" s="2" t="s">
        <v>10</v>
      </c>
      <c r="F459" s="2">
        <v>1</v>
      </c>
      <c r="G459" s="22">
        <f>Table4[[#This Row],[Item Cost]]*Table4[[#This Row],[In Stock]]</f>
        <v>2400</v>
      </c>
      <c r="H459" s="12" t="s">
        <v>4661</v>
      </c>
      <c r="I459" s="13" t="s">
        <v>4666</v>
      </c>
      <c r="J459" s="13" t="s">
        <v>4689</v>
      </c>
      <c r="K459" s="13" t="s">
        <v>4672</v>
      </c>
      <c r="L459" s="12" t="s">
        <v>4672</v>
      </c>
      <c r="M459" s="17" t="str">
        <f>IF(LEN(COUNTIFS($H$1:H459,$H459,$I$1:I459,$I459,$J$1:J459,$J459,$K$1:K459,K459,$L$1:L459,L459))=1,"00"&amp;COUNTIFS($H$1:H459,$H459,$I$1:I459,$I459,$J$1:J459,$J459,$K$1:K459,K459,$L$1:L459,L459),IF(LEN(COUNTIFS($H$1:H459,$H459,$I$1:I459,$I459,$J$1:J459,$J459,$K$1:K459,K459,$L$1:L459,L459))=2,"0"&amp;COUNTIFS($H$1:H459,$H459,$I$1:I459,$I459,$J$1:J459,$J459,$K$1:K459,K459,$L$1:L459,L459),COUNTIFS($H$1:H459,$H459,$I$1:I459,$I459,$J$1:J459,$J459,$K$1:K459,K459,$L$1:L459,L459)))</f>
        <v>008</v>
      </c>
      <c r="N45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59" s="14" t="e">
        <f>+LEN(Table4[[#This Row],[New Item Code]])</f>
        <v>#N/A</v>
      </c>
      <c r="P459" s="15" t="s">
        <v>4747</v>
      </c>
      <c r="Q459" s="15" t="s">
        <v>4749</v>
      </c>
      <c r="R459" s="15"/>
      <c r="S459" s="15"/>
      <c r="T459" s="15" t="s">
        <v>4689</v>
      </c>
    </row>
    <row r="460" spans="1:20" x14ac:dyDescent="0.35">
      <c r="A460" s="3" t="s">
        <v>925</v>
      </c>
      <c r="B460" s="3" t="s">
        <v>926</v>
      </c>
      <c r="C460" s="3" t="s">
        <v>15</v>
      </c>
      <c r="D460" s="5">
        <v>3570</v>
      </c>
      <c r="E460" s="3" t="s">
        <v>10</v>
      </c>
      <c r="F460" s="3">
        <v>1</v>
      </c>
      <c r="G460" s="21">
        <f>Table4[[#This Row],[Item Cost]]*Table4[[#This Row],[In Stock]]</f>
        <v>3570</v>
      </c>
      <c r="H460" s="12" t="s">
        <v>4661</v>
      </c>
      <c r="I460" s="13" t="s">
        <v>4666</v>
      </c>
      <c r="J460" s="13" t="s">
        <v>4689</v>
      </c>
      <c r="K460" s="13" t="s">
        <v>4672</v>
      </c>
      <c r="L460" s="12" t="s">
        <v>4672</v>
      </c>
      <c r="M460" s="17" t="str">
        <f>IF(LEN(COUNTIFS($H$1:H460,$H460,$I$1:I460,$I460,$J$1:J460,$J460,$K$1:K460,K460,$L$1:L460,L460))=1,"00"&amp;COUNTIFS($H$1:H460,$H460,$I$1:I460,$I460,$J$1:J460,$J460,$K$1:K460,K460,$L$1:L460,L460),IF(LEN(COUNTIFS($H$1:H460,$H460,$I$1:I460,$I460,$J$1:J460,$J460,$K$1:K460,K460,$L$1:L460,L460))=2,"0"&amp;COUNTIFS($H$1:H460,$H460,$I$1:I460,$I460,$J$1:J460,$J460,$K$1:K460,K460,$L$1:L460,L460),COUNTIFS($H$1:H460,$H460,$I$1:I460,$I460,$J$1:J460,$J460,$K$1:K460,K460,$L$1:L460,L460)))</f>
        <v>009</v>
      </c>
      <c r="N46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60" s="14" t="e">
        <f>+LEN(Table4[[#This Row],[New Item Code]])</f>
        <v>#N/A</v>
      </c>
      <c r="P460" s="15" t="s">
        <v>4747</v>
      </c>
      <c r="Q460" s="15" t="s">
        <v>4749</v>
      </c>
      <c r="R460" s="15"/>
      <c r="S460" s="15"/>
      <c r="T460" s="15" t="s">
        <v>4689</v>
      </c>
    </row>
    <row r="461" spans="1:20" x14ac:dyDescent="0.35">
      <c r="A461" s="2" t="s">
        <v>927</v>
      </c>
      <c r="B461" s="2" t="s">
        <v>928</v>
      </c>
      <c r="C461" s="2" t="s">
        <v>15</v>
      </c>
      <c r="D461" s="4">
        <v>2693</v>
      </c>
      <c r="E461" s="2" t="s">
        <v>10</v>
      </c>
      <c r="F461" s="2">
        <v>1</v>
      </c>
      <c r="G461" s="22">
        <f>Table4[[#This Row],[Item Cost]]*Table4[[#This Row],[In Stock]]</f>
        <v>2693</v>
      </c>
      <c r="H461" s="12" t="s">
        <v>4661</v>
      </c>
      <c r="I461" s="13" t="s">
        <v>4666</v>
      </c>
      <c r="J461" s="13" t="s">
        <v>4689</v>
      </c>
      <c r="K461" t="s">
        <v>4797</v>
      </c>
      <c r="L461" s="12" t="s">
        <v>4672</v>
      </c>
      <c r="M461" s="17" t="str">
        <f>IF(LEN(COUNTIFS($H$1:H461,$H461,$I$1:I461,$I461,$J$1:J461,$J461,$K$1:K461,K461,$L$1:L461,L461))=1,"00"&amp;COUNTIFS($H$1:H461,$H461,$I$1:I461,$I461,$J$1:J461,$J461,$K$1:K461,K461,$L$1:L461,L461),IF(LEN(COUNTIFS($H$1:H461,$H461,$I$1:I461,$I461,$J$1:J461,$J461,$K$1:K461,K461,$L$1:L461,L461))=2,"0"&amp;COUNTIFS($H$1:H461,$H461,$I$1:I461,$I461,$J$1:J461,$J461,$K$1:K461,K461,$L$1:L461,L461),COUNTIFS($H$1:H461,$H461,$I$1:I461,$I461,$J$1:J461,$J461,$K$1:K461,K461,$L$1:L461,L461)))</f>
        <v>001</v>
      </c>
      <c r="N46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61" s="14" t="e">
        <f>+LEN(Table4[[#This Row],[New Item Code]])</f>
        <v>#N/A</v>
      </c>
      <c r="P461" s="15" t="s">
        <v>4747</v>
      </c>
      <c r="Q461" s="15" t="s">
        <v>4749</v>
      </c>
      <c r="R461" s="15"/>
      <c r="S461" s="15"/>
      <c r="T461" s="15" t="s">
        <v>4689</v>
      </c>
    </row>
    <row r="462" spans="1:20" x14ac:dyDescent="0.35">
      <c r="A462" s="3" t="s">
        <v>929</v>
      </c>
      <c r="B462" s="3" t="s">
        <v>930</v>
      </c>
      <c r="C462" s="3" t="s">
        <v>15</v>
      </c>
      <c r="D462" s="5">
        <v>1500</v>
      </c>
      <c r="E462" s="3" t="s">
        <v>10</v>
      </c>
      <c r="F462" s="3">
        <v>1</v>
      </c>
      <c r="G462" s="21">
        <f>Table4[[#This Row],[Item Cost]]*Table4[[#This Row],[In Stock]]</f>
        <v>1500</v>
      </c>
      <c r="H462" s="12" t="s">
        <v>4661</v>
      </c>
      <c r="I462" s="13" t="s">
        <v>4666</v>
      </c>
      <c r="J462" s="13" t="s">
        <v>4689</v>
      </c>
      <c r="K462" s="13" t="s">
        <v>4672</v>
      </c>
      <c r="L462" s="12" t="s">
        <v>4672</v>
      </c>
      <c r="M462" s="17" t="str">
        <f>IF(LEN(COUNTIFS($H$1:H462,$H462,$I$1:I462,$I462,$J$1:J462,$J462,$K$1:K462,K462,$L$1:L462,L462))=1,"00"&amp;COUNTIFS($H$1:H462,$H462,$I$1:I462,$I462,$J$1:J462,$J462,$K$1:K462,K462,$L$1:L462,L462),IF(LEN(COUNTIFS($H$1:H462,$H462,$I$1:I462,$I462,$J$1:J462,$J462,$K$1:K462,K462,$L$1:L462,L462))=2,"0"&amp;COUNTIFS($H$1:H462,$H462,$I$1:I462,$I462,$J$1:J462,$J462,$K$1:K462,K462,$L$1:L462,L462),COUNTIFS($H$1:H462,$H462,$I$1:I462,$I462,$J$1:J462,$J462,$K$1:K462,K462,$L$1:L462,L462)))</f>
        <v>010</v>
      </c>
      <c r="N46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62" s="14" t="e">
        <f>+LEN(Table4[[#This Row],[New Item Code]])</f>
        <v>#N/A</v>
      </c>
      <c r="P462" s="15" t="s">
        <v>4747</v>
      </c>
      <c r="Q462" s="15" t="s">
        <v>4749</v>
      </c>
      <c r="R462" s="15"/>
      <c r="S462" s="15"/>
      <c r="T462" s="15" t="s">
        <v>4689</v>
      </c>
    </row>
    <row r="463" spans="1:20" x14ac:dyDescent="0.35">
      <c r="A463" s="2" t="s">
        <v>931</v>
      </c>
      <c r="B463" s="2" t="s">
        <v>932</v>
      </c>
      <c r="C463" s="2" t="s">
        <v>15</v>
      </c>
      <c r="D463" s="4">
        <v>7500</v>
      </c>
      <c r="E463" s="2" t="s">
        <v>10</v>
      </c>
      <c r="F463" s="2">
        <v>1</v>
      </c>
      <c r="G463" s="22">
        <f>Table4[[#This Row],[Item Cost]]*Table4[[#This Row],[In Stock]]</f>
        <v>7500</v>
      </c>
      <c r="H463" s="12" t="s">
        <v>4661</v>
      </c>
      <c r="I463" s="13" t="s">
        <v>4666</v>
      </c>
      <c r="J463" s="13" t="s">
        <v>4689</v>
      </c>
      <c r="K463" s="13" t="s">
        <v>4672</v>
      </c>
      <c r="L463" s="12" t="s">
        <v>4672</v>
      </c>
      <c r="M463" s="17" t="str">
        <f>IF(LEN(COUNTIFS($H$1:H463,$H463,$I$1:I463,$I463,$J$1:J463,$J463,$K$1:K463,K463,$L$1:L463,L463))=1,"00"&amp;COUNTIFS($H$1:H463,$H463,$I$1:I463,$I463,$J$1:J463,$J463,$K$1:K463,K463,$L$1:L463,L463),IF(LEN(COUNTIFS($H$1:H463,$H463,$I$1:I463,$I463,$J$1:J463,$J463,$K$1:K463,K463,$L$1:L463,L463))=2,"0"&amp;COUNTIFS($H$1:H463,$H463,$I$1:I463,$I463,$J$1:J463,$J463,$K$1:K463,K463,$L$1:L463,L463),COUNTIFS($H$1:H463,$H463,$I$1:I463,$I463,$J$1:J463,$J463,$K$1:K463,K463,$L$1:L463,L463)))</f>
        <v>011</v>
      </c>
      <c r="N46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63" s="14" t="e">
        <f>+LEN(Table4[[#This Row],[New Item Code]])</f>
        <v>#N/A</v>
      </c>
      <c r="P463" s="15" t="s">
        <v>4747</v>
      </c>
      <c r="Q463" s="15" t="s">
        <v>4749</v>
      </c>
      <c r="R463" s="15"/>
      <c r="S463" s="15"/>
      <c r="T463" s="15" t="s">
        <v>4689</v>
      </c>
    </row>
    <row r="464" spans="1:20" x14ac:dyDescent="0.35">
      <c r="A464" s="3" t="s">
        <v>933</v>
      </c>
      <c r="B464" s="3" t="s">
        <v>934</v>
      </c>
      <c r="C464" s="3" t="s">
        <v>15</v>
      </c>
      <c r="D464" s="5">
        <v>5800</v>
      </c>
      <c r="E464" s="3" t="s">
        <v>10</v>
      </c>
      <c r="F464" s="3">
        <v>1</v>
      </c>
      <c r="G464" s="21">
        <f>Table4[[#This Row],[Item Cost]]*Table4[[#This Row],[In Stock]]</f>
        <v>5800</v>
      </c>
      <c r="H464" s="12" t="s">
        <v>4661</v>
      </c>
      <c r="I464" s="13" t="s">
        <v>4666</v>
      </c>
      <c r="J464" s="13" t="s">
        <v>4689</v>
      </c>
      <c r="K464" s="13" t="s">
        <v>4672</v>
      </c>
      <c r="L464" s="12" t="s">
        <v>4672</v>
      </c>
      <c r="M464" s="17" t="str">
        <f>IF(LEN(COUNTIFS($H$1:H464,$H464,$I$1:I464,$I464,$J$1:J464,$J464,$K$1:K464,K464,$L$1:L464,L464))=1,"00"&amp;COUNTIFS($H$1:H464,$H464,$I$1:I464,$I464,$J$1:J464,$J464,$K$1:K464,K464,$L$1:L464,L464),IF(LEN(COUNTIFS($H$1:H464,$H464,$I$1:I464,$I464,$J$1:J464,$J464,$K$1:K464,K464,$L$1:L464,L464))=2,"0"&amp;COUNTIFS($H$1:H464,$H464,$I$1:I464,$I464,$J$1:J464,$J464,$K$1:K464,K464,$L$1:L464,L464),COUNTIFS($H$1:H464,$H464,$I$1:I464,$I464,$J$1:J464,$J464,$K$1:K464,K464,$L$1:L464,L464)))</f>
        <v>012</v>
      </c>
      <c r="N46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64" s="14" t="e">
        <f>+LEN(Table4[[#This Row],[New Item Code]])</f>
        <v>#N/A</v>
      </c>
      <c r="P464" s="15" t="s">
        <v>4747</v>
      </c>
      <c r="Q464" s="15" t="s">
        <v>4749</v>
      </c>
      <c r="R464" s="15"/>
      <c r="S464" s="15"/>
      <c r="T464" s="15" t="s">
        <v>4689</v>
      </c>
    </row>
    <row r="465" spans="1:20" x14ac:dyDescent="0.35">
      <c r="A465" s="2" t="s">
        <v>935</v>
      </c>
      <c r="B465" s="2" t="s">
        <v>936</v>
      </c>
      <c r="C465" s="2" t="s">
        <v>15</v>
      </c>
      <c r="D465" s="4">
        <v>1500</v>
      </c>
      <c r="E465" s="2" t="s">
        <v>10</v>
      </c>
      <c r="F465" s="2">
        <v>1</v>
      </c>
      <c r="G465" s="22">
        <f>Table4[[#This Row],[Item Cost]]*Table4[[#This Row],[In Stock]]</f>
        <v>1500</v>
      </c>
      <c r="H465" s="12" t="s">
        <v>4661</v>
      </c>
      <c r="I465" s="13" t="s">
        <v>4666</v>
      </c>
      <c r="J465" s="13" t="s">
        <v>4689</v>
      </c>
      <c r="K465" s="13" t="s">
        <v>4672</v>
      </c>
      <c r="L465" s="12" t="s">
        <v>4672</v>
      </c>
      <c r="M465" s="17" t="str">
        <f>IF(LEN(COUNTIFS($H$1:H465,$H465,$I$1:I465,$I465,$J$1:J465,$J465,$K$1:K465,K465,$L$1:L465,L465))=1,"00"&amp;COUNTIFS($H$1:H465,$H465,$I$1:I465,$I465,$J$1:J465,$J465,$K$1:K465,K465,$L$1:L465,L465),IF(LEN(COUNTIFS($H$1:H465,$H465,$I$1:I465,$I465,$J$1:J465,$J465,$K$1:K465,K465,$L$1:L465,L465))=2,"0"&amp;COUNTIFS($H$1:H465,$H465,$I$1:I465,$I465,$J$1:J465,$J465,$K$1:K465,K465,$L$1:L465,L465),COUNTIFS($H$1:H465,$H465,$I$1:I465,$I465,$J$1:J465,$J465,$K$1:K465,K465,$L$1:L465,L465)))</f>
        <v>013</v>
      </c>
      <c r="N46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65" s="14" t="e">
        <f>+LEN(Table4[[#This Row],[New Item Code]])</f>
        <v>#N/A</v>
      </c>
      <c r="P465" s="15" t="s">
        <v>4747</v>
      </c>
      <c r="Q465" s="15" t="s">
        <v>4749</v>
      </c>
      <c r="R465" s="15"/>
      <c r="S465" s="15"/>
      <c r="T465" s="15" t="s">
        <v>4689</v>
      </c>
    </row>
    <row r="466" spans="1:20" x14ac:dyDescent="0.35">
      <c r="A466" s="3" t="s">
        <v>937</v>
      </c>
      <c r="B466" s="3" t="s">
        <v>938</v>
      </c>
      <c r="C466" s="3" t="s">
        <v>15</v>
      </c>
      <c r="D466" s="5">
        <v>1610</v>
      </c>
      <c r="E466" s="3" t="s">
        <v>10</v>
      </c>
      <c r="F466" s="3">
        <v>2</v>
      </c>
      <c r="G466" s="21">
        <f>Table4[[#This Row],[Item Cost]]*Table4[[#This Row],[In Stock]]</f>
        <v>3220</v>
      </c>
      <c r="H466" s="12" t="s">
        <v>4661</v>
      </c>
      <c r="I466" s="13" t="s">
        <v>4666</v>
      </c>
      <c r="J466" s="13" t="s">
        <v>4689</v>
      </c>
      <c r="K466" s="13" t="s">
        <v>4672</v>
      </c>
      <c r="L466" s="12" t="s">
        <v>4672</v>
      </c>
      <c r="M466" s="17" t="str">
        <f>IF(LEN(COUNTIFS($H$1:H466,$H466,$I$1:I466,$I466,$J$1:J466,$J466,$K$1:K466,K466,$L$1:L466,L466))=1,"00"&amp;COUNTIFS($H$1:H466,$H466,$I$1:I466,$I466,$J$1:J466,$J466,$K$1:K466,K466,$L$1:L466,L466),IF(LEN(COUNTIFS($H$1:H466,$H466,$I$1:I466,$I466,$J$1:J466,$J466,$K$1:K466,K466,$L$1:L466,L466))=2,"0"&amp;COUNTIFS($H$1:H466,$H466,$I$1:I466,$I466,$J$1:J466,$J466,$K$1:K466,K466,$L$1:L466,L466),COUNTIFS($H$1:H466,$H466,$I$1:I466,$I466,$J$1:J466,$J466,$K$1:K466,K466,$L$1:L466,L466)))</f>
        <v>014</v>
      </c>
      <c r="N46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66" s="14" t="e">
        <f>+LEN(Table4[[#This Row],[New Item Code]])</f>
        <v>#N/A</v>
      </c>
      <c r="P466" s="15" t="s">
        <v>4747</v>
      </c>
      <c r="Q466" s="15" t="s">
        <v>4749</v>
      </c>
      <c r="R466" s="15"/>
      <c r="S466" s="15"/>
      <c r="T466" s="15" t="s">
        <v>4689</v>
      </c>
    </row>
    <row r="467" spans="1:20" x14ac:dyDescent="0.35">
      <c r="A467" s="2" t="s">
        <v>939</v>
      </c>
      <c r="B467" s="2" t="s">
        <v>940</v>
      </c>
      <c r="C467" s="2" t="s">
        <v>15</v>
      </c>
      <c r="D467" s="4">
        <v>1145</v>
      </c>
      <c r="E467" s="2" t="s">
        <v>10</v>
      </c>
      <c r="F467" s="2">
        <v>2</v>
      </c>
      <c r="G467" s="22">
        <f>Table4[[#This Row],[Item Cost]]*Table4[[#This Row],[In Stock]]</f>
        <v>2290</v>
      </c>
      <c r="H467" s="12" t="s">
        <v>4661</v>
      </c>
      <c r="I467" s="13" t="s">
        <v>4666</v>
      </c>
      <c r="J467" s="13" t="s">
        <v>4689</v>
      </c>
      <c r="K467" s="13" t="s">
        <v>4672</v>
      </c>
      <c r="L467" s="12" t="s">
        <v>4672</v>
      </c>
      <c r="M467" s="17" t="str">
        <f>IF(LEN(COUNTIFS($H$1:H467,$H467,$I$1:I467,$I467,$J$1:J467,$J467,$K$1:K467,K467,$L$1:L467,L467))=1,"00"&amp;COUNTIFS($H$1:H467,$H467,$I$1:I467,$I467,$J$1:J467,$J467,$K$1:K467,K467,$L$1:L467,L467),IF(LEN(COUNTIFS($H$1:H467,$H467,$I$1:I467,$I467,$J$1:J467,$J467,$K$1:K467,K467,$L$1:L467,L467))=2,"0"&amp;COUNTIFS($H$1:H467,$H467,$I$1:I467,$I467,$J$1:J467,$J467,$K$1:K467,K467,$L$1:L467,L467),COUNTIFS($H$1:H467,$H467,$I$1:I467,$I467,$J$1:J467,$J467,$K$1:K467,K467,$L$1:L467,L467)))</f>
        <v>015</v>
      </c>
      <c r="N46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67" s="14" t="e">
        <f>+LEN(Table4[[#This Row],[New Item Code]])</f>
        <v>#N/A</v>
      </c>
      <c r="P467" s="15" t="s">
        <v>4747</v>
      </c>
      <c r="Q467" s="15" t="s">
        <v>4749</v>
      </c>
      <c r="R467" s="15"/>
      <c r="S467" s="15"/>
      <c r="T467" s="15" t="s">
        <v>4689</v>
      </c>
    </row>
    <row r="468" spans="1:20" x14ac:dyDescent="0.35">
      <c r="A468" s="3" t="s">
        <v>941</v>
      </c>
      <c r="B468" s="3" t="s">
        <v>942</v>
      </c>
      <c r="C468" s="3" t="s">
        <v>15</v>
      </c>
      <c r="D468" s="3">
        <v>415</v>
      </c>
      <c r="E468" s="3" t="s">
        <v>10</v>
      </c>
      <c r="F468" s="3">
        <v>3</v>
      </c>
      <c r="G468" s="21">
        <f>Table4[[#This Row],[Item Cost]]*Table4[[#This Row],[In Stock]]</f>
        <v>1245</v>
      </c>
      <c r="H468" s="12" t="s">
        <v>4661</v>
      </c>
      <c r="I468" s="13" t="s">
        <v>4666</v>
      </c>
      <c r="J468" s="13" t="s">
        <v>4689</v>
      </c>
      <c r="K468" s="13" t="s">
        <v>4672</v>
      </c>
      <c r="L468" s="12" t="s">
        <v>4672</v>
      </c>
      <c r="M468" s="17" t="str">
        <f>IF(LEN(COUNTIFS($H$1:H468,$H468,$I$1:I468,$I468,$J$1:J468,$J468,$K$1:K468,K468,$L$1:L468,L468))=1,"00"&amp;COUNTIFS($H$1:H468,$H468,$I$1:I468,$I468,$J$1:J468,$J468,$K$1:K468,K468,$L$1:L468,L468),IF(LEN(COUNTIFS($H$1:H468,$H468,$I$1:I468,$I468,$J$1:J468,$J468,$K$1:K468,K468,$L$1:L468,L468))=2,"0"&amp;COUNTIFS($H$1:H468,$H468,$I$1:I468,$I468,$J$1:J468,$J468,$K$1:K468,K468,$L$1:L468,L468),COUNTIFS($H$1:H468,$H468,$I$1:I468,$I468,$J$1:J468,$J468,$K$1:K468,K468,$L$1:L468,L468)))</f>
        <v>016</v>
      </c>
      <c r="N46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68" s="14" t="e">
        <f>+LEN(Table4[[#This Row],[New Item Code]])</f>
        <v>#N/A</v>
      </c>
      <c r="P468" s="15" t="s">
        <v>4747</v>
      </c>
      <c r="Q468" s="15" t="s">
        <v>4749</v>
      </c>
      <c r="R468" s="15"/>
      <c r="S468" s="15"/>
      <c r="T468" s="15" t="s">
        <v>4689</v>
      </c>
    </row>
    <row r="469" spans="1:20" x14ac:dyDescent="0.35">
      <c r="A469" s="2" t="s">
        <v>943</v>
      </c>
      <c r="B469" s="2" t="s">
        <v>944</v>
      </c>
      <c r="C469" s="2" t="s">
        <v>15</v>
      </c>
      <c r="D469" s="4">
        <v>7500</v>
      </c>
      <c r="E469" s="2" t="s">
        <v>10</v>
      </c>
      <c r="F469" s="2">
        <v>1</v>
      </c>
      <c r="G469" s="22">
        <f>Table4[[#This Row],[Item Cost]]*Table4[[#This Row],[In Stock]]</f>
        <v>7500</v>
      </c>
      <c r="H469" s="12" t="s">
        <v>4661</v>
      </c>
      <c r="I469" s="13" t="s">
        <v>4666</v>
      </c>
      <c r="J469" s="13" t="s">
        <v>4689</v>
      </c>
      <c r="K469" s="13" t="s">
        <v>4672</v>
      </c>
      <c r="L469" s="12" t="s">
        <v>4672</v>
      </c>
      <c r="M469" s="17" t="str">
        <f>IF(LEN(COUNTIFS($H$1:H469,$H469,$I$1:I469,$I469,$J$1:J469,$J469,$K$1:K469,K469,$L$1:L469,L469))=1,"00"&amp;COUNTIFS($H$1:H469,$H469,$I$1:I469,$I469,$J$1:J469,$J469,$K$1:K469,K469,$L$1:L469,L469),IF(LEN(COUNTIFS($H$1:H469,$H469,$I$1:I469,$I469,$J$1:J469,$J469,$K$1:K469,K469,$L$1:L469,L469))=2,"0"&amp;COUNTIFS($H$1:H469,$H469,$I$1:I469,$I469,$J$1:J469,$J469,$K$1:K469,K469,$L$1:L469,L469),COUNTIFS($H$1:H469,$H469,$I$1:I469,$I469,$J$1:J469,$J469,$K$1:K469,K469,$L$1:L469,L469)))</f>
        <v>017</v>
      </c>
      <c r="N46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69" s="14" t="e">
        <f>+LEN(Table4[[#This Row],[New Item Code]])</f>
        <v>#N/A</v>
      </c>
      <c r="P469" s="15" t="s">
        <v>4747</v>
      </c>
      <c r="Q469" s="15" t="s">
        <v>4749</v>
      </c>
      <c r="R469" s="15"/>
      <c r="S469" s="15"/>
      <c r="T469" s="15" t="s">
        <v>4689</v>
      </c>
    </row>
    <row r="470" spans="1:20" x14ac:dyDescent="0.35">
      <c r="A470" s="3" t="s">
        <v>945</v>
      </c>
      <c r="B470" s="3" t="s">
        <v>946</v>
      </c>
      <c r="C470" s="3" t="s">
        <v>15</v>
      </c>
      <c r="D470" s="5">
        <v>6500</v>
      </c>
      <c r="E470" s="3" t="s">
        <v>10</v>
      </c>
      <c r="F470" s="3">
        <v>1</v>
      </c>
      <c r="G470" s="21">
        <f>Table4[[#This Row],[Item Cost]]*Table4[[#This Row],[In Stock]]</f>
        <v>6500</v>
      </c>
      <c r="H470" s="12" t="s">
        <v>4661</v>
      </c>
      <c r="I470" s="13" t="s">
        <v>4666</v>
      </c>
      <c r="J470" s="13" t="s">
        <v>4689</v>
      </c>
      <c r="K470" s="13" t="s">
        <v>4672</v>
      </c>
      <c r="L470" s="12" t="s">
        <v>4672</v>
      </c>
      <c r="M470" s="17" t="str">
        <f>IF(LEN(COUNTIFS($H$1:H470,$H470,$I$1:I470,$I470,$J$1:J470,$J470,$K$1:K470,K470,$L$1:L470,L470))=1,"00"&amp;COUNTIFS($H$1:H470,$H470,$I$1:I470,$I470,$J$1:J470,$J470,$K$1:K470,K470,$L$1:L470,L470),IF(LEN(COUNTIFS($H$1:H470,$H470,$I$1:I470,$I470,$J$1:J470,$J470,$K$1:K470,K470,$L$1:L470,L470))=2,"0"&amp;COUNTIFS($H$1:H470,$H470,$I$1:I470,$I470,$J$1:J470,$J470,$K$1:K470,K470,$L$1:L470,L470),COUNTIFS($H$1:H470,$H470,$I$1:I470,$I470,$J$1:J470,$J470,$K$1:K470,K470,$L$1:L470,L470)))</f>
        <v>018</v>
      </c>
      <c r="N47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70" s="14" t="e">
        <f>+LEN(Table4[[#This Row],[New Item Code]])</f>
        <v>#N/A</v>
      </c>
      <c r="P470" s="15" t="s">
        <v>4747</v>
      </c>
      <c r="Q470" s="15" t="s">
        <v>4749</v>
      </c>
      <c r="R470" s="15"/>
      <c r="S470" s="15"/>
      <c r="T470" s="15" t="s">
        <v>4689</v>
      </c>
    </row>
    <row r="471" spans="1:20" x14ac:dyDescent="0.35">
      <c r="A471" s="2" t="s">
        <v>947</v>
      </c>
      <c r="B471" s="2" t="s">
        <v>948</v>
      </c>
      <c r="C471" s="2" t="s">
        <v>15</v>
      </c>
      <c r="D471" s="4">
        <v>8000</v>
      </c>
      <c r="E471" s="2" t="s">
        <v>10</v>
      </c>
      <c r="F471" s="2">
        <v>1</v>
      </c>
      <c r="G471" s="22">
        <f>Table4[[#This Row],[Item Cost]]*Table4[[#This Row],[In Stock]]</f>
        <v>8000</v>
      </c>
      <c r="H471" s="12" t="s">
        <v>4661</v>
      </c>
      <c r="I471" s="13" t="s">
        <v>4666</v>
      </c>
      <c r="J471" s="13" t="s">
        <v>4689</v>
      </c>
      <c r="K471" s="13" t="s">
        <v>4672</v>
      </c>
      <c r="L471" s="12" t="s">
        <v>4672</v>
      </c>
      <c r="M471" s="17" t="str">
        <f>IF(LEN(COUNTIFS($H$1:H471,$H471,$I$1:I471,$I471,$J$1:J471,$J471,$K$1:K471,K471,$L$1:L471,L471))=1,"00"&amp;COUNTIFS($H$1:H471,$H471,$I$1:I471,$I471,$J$1:J471,$J471,$K$1:K471,K471,$L$1:L471,L471),IF(LEN(COUNTIFS($H$1:H471,$H471,$I$1:I471,$I471,$J$1:J471,$J471,$K$1:K471,K471,$L$1:L471,L471))=2,"0"&amp;COUNTIFS($H$1:H471,$H471,$I$1:I471,$I471,$J$1:J471,$J471,$K$1:K471,K471,$L$1:L471,L471),COUNTIFS($H$1:H471,$H471,$I$1:I471,$I471,$J$1:J471,$J471,$K$1:K471,K471,$L$1:L471,L471)))</f>
        <v>019</v>
      </c>
      <c r="N47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71" s="14" t="e">
        <f>+LEN(Table4[[#This Row],[New Item Code]])</f>
        <v>#N/A</v>
      </c>
      <c r="P471" s="15" t="s">
        <v>4747</v>
      </c>
      <c r="Q471" s="15" t="s">
        <v>4749</v>
      </c>
      <c r="R471" s="15"/>
      <c r="S471" s="15"/>
      <c r="T471" s="15" t="s">
        <v>4689</v>
      </c>
    </row>
    <row r="472" spans="1:20" x14ac:dyDescent="0.35">
      <c r="A472" s="3" t="s">
        <v>949</v>
      </c>
      <c r="B472" s="3" t="s">
        <v>950</v>
      </c>
      <c r="C472" s="3" t="s">
        <v>15</v>
      </c>
      <c r="D472" s="5">
        <v>5000</v>
      </c>
      <c r="E472" s="3" t="s">
        <v>10</v>
      </c>
      <c r="F472" s="3">
        <v>1</v>
      </c>
      <c r="G472" s="21">
        <f>Table4[[#This Row],[Item Cost]]*Table4[[#This Row],[In Stock]]</f>
        <v>5000</v>
      </c>
      <c r="H472" s="12" t="s">
        <v>4661</v>
      </c>
      <c r="I472" s="13" t="s">
        <v>4666</v>
      </c>
      <c r="J472" s="13" t="s">
        <v>4689</v>
      </c>
      <c r="K472" s="13" t="s">
        <v>4672</v>
      </c>
      <c r="L472" s="12" t="s">
        <v>4672</v>
      </c>
      <c r="M472" s="17" t="str">
        <f>IF(LEN(COUNTIFS($H$1:H472,$H472,$I$1:I472,$I472,$J$1:J472,$J472,$K$1:K472,K472,$L$1:L472,L472))=1,"00"&amp;COUNTIFS($H$1:H472,$H472,$I$1:I472,$I472,$J$1:J472,$J472,$K$1:K472,K472,$L$1:L472,L472),IF(LEN(COUNTIFS($H$1:H472,$H472,$I$1:I472,$I472,$J$1:J472,$J472,$K$1:K472,K472,$L$1:L472,L472))=2,"0"&amp;COUNTIFS($H$1:H472,$H472,$I$1:I472,$I472,$J$1:J472,$J472,$K$1:K472,K472,$L$1:L472,L472),COUNTIFS($H$1:H472,$H472,$I$1:I472,$I472,$J$1:J472,$J472,$K$1:K472,K472,$L$1:L472,L472)))</f>
        <v>020</v>
      </c>
      <c r="N47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72" s="14" t="e">
        <f>+LEN(Table4[[#This Row],[New Item Code]])</f>
        <v>#N/A</v>
      </c>
      <c r="P472" s="15" t="s">
        <v>4747</v>
      </c>
      <c r="Q472" s="15" t="s">
        <v>4749</v>
      </c>
      <c r="R472" s="15"/>
      <c r="S472" s="15"/>
      <c r="T472" s="15" t="s">
        <v>4689</v>
      </c>
    </row>
    <row r="473" spans="1:20" x14ac:dyDescent="0.35">
      <c r="A473" s="2" t="s">
        <v>951</v>
      </c>
      <c r="B473" s="2" t="s">
        <v>952</v>
      </c>
      <c r="C473" s="2" t="s">
        <v>15</v>
      </c>
      <c r="D473" s="2">
        <v>900</v>
      </c>
      <c r="E473" s="2" t="s">
        <v>10</v>
      </c>
      <c r="F473" s="2">
        <v>1</v>
      </c>
      <c r="G473" s="22">
        <f>Table4[[#This Row],[Item Cost]]*Table4[[#This Row],[In Stock]]</f>
        <v>900</v>
      </c>
      <c r="H473" s="12" t="s">
        <v>4661</v>
      </c>
      <c r="I473" s="13" t="s">
        <v>4666</v>
      </c>
      <c r="J473" s="13" t="s">
        <v>4689</v>
      </c>
      <c r="K473" t="s">
        <v>4797</v>
      </c>
      <c r="L473" s="12" t="s">
        <v>4672</v>
      </c>
      <c r="M473" s="17" t="str">
        <f>IF(LEN(COUNTIFS($H$1:H473,$H473,$I$1:I473,$I473,$J$1:J473,$J473,$K$1:K473,K473,$L$1:L473,L473))=1,"00"&amp;COUNTIFS($H$1:H473,$H473,$I$1:I473,$I473,$J$1:J473,$J473,$K$1:K473,K473,$L$1:L473,L473),IF(LEN(COUNTIFS($H$1:H473,$H473,$I$1:I473,$I473,$J$1:J473,$J473,$K$1:K473,K473,$L$1:L473,L473))=2,"0"&amp;COUNTIFS($H$1:H473,$H473,$I$1:I473,$I473,$J$1:J473,$J473,$K$1:K473,K473,$L$1:L473,L473),COUNTIFS($H$1:H473,$H473,$I$1:I473,$I473,$J$1:J473,$J473,$K$1:K473,K473,$L$1:L473,L473)))</f>
        <v>002</v>
      </c>
      <c r="N47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73" s="14" t="e">
        <f>+LEN(Table4[[#This Row],[New Item Code]])</f>
        <v>#N/A</v>
      </c>
      <c r="P473" s="15" t="s">
        <v>4747</v>
      </c>
      <c r="Q473" s="15" t="s">
        <v>4749</v>
      </c>
      <c r="R473" s="15"/>
      <c r="S473" s="15"/>
      <c r="T473" s="15" t="s">
        <v>4689</v>
      </c>
    </row>
    <row r="474" spans="1:20" x14ac:dyDescent="0.35">
      <c r="A474" s="3" t="s">
        <v>953</v>
      </c>
      <c r="B474" s="3" t="s">
        <v>954</v>
      </c>
      <c r="C474" s="3" t="s">
        <v>15</v>
      </c>
      <c r="D474" s="3">
        <v>800</v>
      </c>
      <c r="E474" s="3" t="s">
        <v>10</v>
      </c>
      <c r="F474" s="3">
        <v>1</v>
      </c>
      <c r="G474" s="21">
        <f>Table4[[#This Row],[Item Cost]]*Table4[[#This Row],[In Stock]]</f>
        <v>800</v>
      </c>
      <c r="H474" s="12" t="s">
        <v>4661</v>
      </c>
      <c r="I474" s="13" t="s">
        <v>4666</v>
      </c>
      <c r="J474" s="13" t="s">
        <v>4689</v>
      </c>
      <c r="K474" t="s">
        <v>4797</v>
      </c>
      <c r="L474" s="12" t="s">
        <v>4672</v>
      </c>
      <c r="M474" s="17" t="str">
        <f>IF(LEN(COUNTIFS($H$1:H474,$H474,$I$1:I474,$I474,$J$1:J474,$J474,$K$1:K474,K474,$L$1:L474,L474))=1,"00"&amp;COUNTIFS($H$1:H474,$H474,$I$1:I474,$I474,$J$1:J474,$J474,$K$1:K474,K474,$L$1:L474,L474),IF(LEN(COUNTIFS($H$1:H474,$H474,$I$1:I474,$I474,$J$1:J474,$J474,$K$1:K474,K474,$L$1:L474,L474))=2,"0"&amp;COUNTIFS($H$1:H474,$H474,$I$1:I474,$I474,$J$1:J474,$J474,$K$1:K474,K474,$L$1:L474,L474),COUNTIFS($H$1:H474,$H474,$I$1:I474,$I474,$J$1:J474,$J474,$K$1:K474,K474,$L$1:L474,L474)))</f>
        <v>003</v>
      </c>
      <c r="N47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74" s="14" t="e">
        <f>+LEN(Table4[[#This Row],[New Item Code]])</f>
        <v>#N/A</v>
      </c>
      <c r="P474" s="15" t="s">
        <v>4747</v>
      </c>
      <c r="Q474" s="15" t="s">
        <v>4749</v>
      </c>
      <c r="R474" s="15"/>
      <c r="S474" s="15"/>
      <c r="T474" s="15" t="s">
        <v>4689</v>
      </c>
    </row>
    <row r="475" spans="1:20" x14ac:dyDescent="0.35">
      <c r="A475" s="2" t="s">
        <v>955</v>
      </c>
      <c r="B475" s="2" t="s">
        <v>956</v>
      </c>
      <c r="C475" s="2" t="s">
        <v>15</v>
      </c>
      <c r="D475" s="4">
        <v>10810</v>
      </c>
      <c r="E475" s="2" t="s">
        <v>10</v>
      </c>
      <c r="F475" s="2">
        <v>0</v>
      </c>
      <c r="G475" s="22">
        <f>Table4[[#This Row],[Item Cost]]*Table4[[#This Row],[In Stock]]</f>
        <v>0</v>
      </c>
      <c r="H475" s="12" t="s">
        <v>4661</v>
      </c>
      <c r="I475" s="13" t="s">
        <v>4666</v>
      </c>
      <c r="J475" s="13" t="s">
        <v>4673</v>
      </c>
      <c r="K475" s="13" t="s">
        <v>4734</v>
      </c>
      <c r="L475" s="12" t="s">
        <v>4672</v>
      </c>
      <c r="M475" s="17" t="str">
        <f>IF(LEN(COUNTIFS($H$1:H475,$H475,$I$1:I475,$I475,$J$1:J475,$J475,$K$1:K475,K475,$L$1:L475,L475))=1,"00"&amp;COUNTIFS($H$1:H475,$H475,$I$1:I475,$I475,$J$1:J475,$J475,$K$1:K475,K475,$L$1:L475,L475),IF(LEN(COUNTIFS($H$1:H475,$H475,$I$1:I475,$I475,$J$1:J475,$J475,$K$1:K475,K475,$L$1:L475,L475))=2,"0"&amp;COUNTIFS($H$1:H475,$H475,$I$1:I475,$I475,$J$1:J475,$J475,$K$1:K475,K475,$L$1:L475,L475),COUNTIFS($H$1:H475,$H475,$I$1:I475,$I475,$J$1:J475,$J475,$K$1:K475,K475,$L$1:L475,L475)))</f>
        <v>001</v>
      </c>
      <c r="N47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75" s="14" t="e">
        <f>+LEN(Table4[[#This Row],[New Item Code]])</f>
        <v>#N/A</v>
      </c>
      <c r="P475" s="15" t="s">
        <v>4747</v>
      </c>
      <c r="Q475" s="15" t="s">
        <v>4749</v>
      </c>
      <c r="R475" s="15"/>
      <c r="S475" s="15"/>
      <c r="T475" s="15" t="s">
        <v>4673</v>
      </c>
    </row>
    <row r="476" spans="1:20" x14ac:dyDescent="0.35">
      <c r="A476" s="3" t="s">
        <v>957</v>
      </c>
      <c r="B476" s="3" t="s">
        <v>958</v>
      </c>
      <c r="C476" s="3" t="s">
        <v>15</v>
      </c>
      <c r="D476" s="5">
        <v>17833.330000000002</v>
      </c>
      <c r="E476" s="3" t="s">
        <v>10</v>
      </c>
      <c r="F476" s="3">
        <v>0</v>
      </c>
      <c r="G476" s="21">
        <f>Table4[[#This Row],[Item Cost]]*Table4[[#This Row],[In Stock]]</f>
        <v>0</v>
      </c>
      <c r="H476" s="12" t="s">
        <v>4661</v>
      </c>
      <c r="I476" s="13" t="s">
        <v>4666</v>
      </c>
      <c r="J476" s="13" t="s">
        <v>4673</v>
      </c>
      <c r="K476" s="13" t="s">
        <v>4734</v>
      </c>
      <c r="L476" s="12" t="s">
        <v>4672</v>
      </c>
      <c r="M476" s="17" t="str">
        <f>IF(LEN(COUNTIFS($H$1:H476,$H476,$I$1:I476,$I476,$J$1:J476,$J476,$K$1:K476,K476,$L$1:L476,L476))=1,"00"&amp;COUNTIFS($H$1:H476,$H476,$I$1:I476,$I476,$J$1:J476,$J476,$K$1:K476,K476,$L$1:L476,L476),IF(LEN(COUNTIFS($H$1:H476,$H476,$I$1:I476,$I476,$J$1:J476,$J476,$K$1:K476,K476,$L$1:L476,L476))=2,"0"&amp;COUNTIFS($H$1:H476,$H476,$I$1:I476,$I476,$J$1:J476,$J476,$K$1:K476,K476,$L$1:L476,L476),COUNTIFS($H$1:H476,$H476,$I$1:I476,$I476,$J$1:J476,$J476,$K$1:K476,K476,$L$1:L476,L476)))</f>
        <v>002</v>
      </c>
      <c r="N47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76" s="14" t="e">
        <f>+LEN(Table4[[#This Row],[New Item Code]])</f>
        <v>#N/A</v>
      </c>
      <c r="P476" s="15" t="s">
        <v>4747</v>
      </c>
      <c r="Q476" s="15" t="s">
        <v>4749</v>
      </c>
      <c r="R476" s="15"/>
      <c r="S476" s="15"/>
      <c r="T476" s="15" t="s">
        <v>4673</v>
      </c>
    </row>
    <row r="477" spans="1:20" x14ac:dyDescent="0.35">
      <c r="A477" s="2" t="s">
        <v>959</v>
      </c>
      <c r="B477" s="2" t="s">
        <v>960</v>
      </c>
      <c r="C477" s="2" t="s">
        <v>15</v>
      </c>
      <c r="D477" s="4">
        <v>19000</v>
      </c>
      <c r="E477" s="2" t="s">
        <v>10</v>
      </c>
      <c r="F477" s="2">
        <v>0</v>
      </c>
      <c r="G477" s="22">
        <f>Table4[[#This Row],[Item Cost]]*Table4[[#This Row],[In Stock]]</f>
        <v>0</v>
      </c>
      <c r="H477" s="12" t="s">
        <v>4661</v>
      </c>
      <c r="I477" s="13" t="s">
        <v>4666</v>
      </c>
      <c r="J477" s="13" t="s">
        <v>4673</v>
      </c>
      <c r="K477" s="13" t="s">
        <v>4734</v>
      </c>
      <c r="L477" s="12" t="s">
        <v>4672</v>
      </c>
      <c r="M477" s="17" t="str">
        <f>IF(LEN(COUNTIFS($H$1:H477,$H477,$I$1:I477,$I477,$J$1:J477,$J477,$K$1:K477,K477,$L$1:L477,L477))=1,"00"&amp;COUNTIFS($H$1:H477,$H477,$I$1:I477,$I477,$J$1:J477,$J477,$K$1:K477,K477,$L$1:L477,L477),IF(LEN(COUNTIFS($H$1:H477,$H477,$I$1:I477,$I477,$J$1:J477,$J477,$K$1:K477,K477,$L$1:L477,L477))=2,"0"&amp;COUNTIFS($H$1:H477,$H477,$I$1:I477,$I477,$J$1:J477,$J477,$K$1:K477,K477,$L$1:L477,L477),COUNTIFS($H$1:H477,$H477,$I$1:I477,$I477,$J$1:J477,$J477,$K$1:K477,K477,$L$1:L477,L477)))</f>
        <v>003</v>
      </c>
      <c r="N47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77" s="14" t="e">
        <f>+LEN(Table4[[#This Row],[New Item Code]])</f>
        <v>#N/A</v>
      </c>
      <c r="P477" s="15" t="s">
        <v>4747</v>
      </c>
      <c r="Q477" s="15" t="s">
        <v>4749</v>
      </c>
      <c r="R477" s="15"/>
      <c r="S477" s="15"/>
      <c r="T477" s="15" t="s">
        <v>4673</v>
      </c>
    </row>
    <row r="478" spans="1:20" x14ac:dyDescent="0.35">
      <c r="A478" s="3" t="s">
        <v>961</v>
      </c>
      <c r="B478" s="3" t="s">
        <v>962</v>
      </c>
      <c r="C478" s="3" t="s">
        <v>9</v>
      </c>
      <c r="D478" s="5">
        <v>1475</v>
      </c>
      <c r="E478" s="3" t="s">
        <v>10</v>
      </c>
      <c r="F478" s="3">
        <v>1</v>
      </c>
      <c r="G478" s="21">
        <f>Table4[[#This Row],[Item Cost]]*Table4[[#This Row],[In Stock]]</f>
        <v>1475</v>
      </c>
      <c r="H478" s="12" t="s">
        <v>4661</v>
      </c>
      <c r="I478" s="13" t="s">
        <v>4664</v>
      </c>
      <c r="J478" s="13" t="s">
        <v>4673</v>
      </c>
      <c r="K478" s="13" t="s">
        <v>4672</v>
      </c>
      <c r="L478" s="12" t="s">
        <v>4672</v>
      </c>
      <c r="M478" s="17" t="str">
        <f>IF(LEN(COUNTIFS($H$1:H478,$H478,$I$1:I478,$I478,$J$1:J478,$J478,$K$1:K478,K478,$L$1:L478,L478))=1,"00"&amp;COUNTIFS($H$1:H478,$H478,$I$1:I478,$I478,$J$1:J478,$J478,$K$1:K478,K478,$L$1:L478,L478),IF(LEN(COUNTIFS($H$1:H478,$H478,$I$1:I478,$I478,$J$1:J478,$J478,$K$1:K478,K478,$L$1:L478,L478))=2,"0"&amp;COUNTIFS($H$1:H478,$H478,$I$1:I478,$I478,$J$1:J478,$J478,$K$1:K478,K478,$L$1:L478,L478),COUNTIFS($H$1:H478,$H478,$I$1:I478,$I478,$J$1:J478,$J478,$K$1:K478,K478,$L$1:L478,L478)))</f>
        <v>001</v>
      </c>
      <c r="N47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78" s="14" t="e">
        <f>+LEN(Table4[[#This Row],[New Item Code]])</f>
        <v>#N/A</v>
      </c>
      <c r="P478" s="15" t="s">
        <v>4747</v>
      </c>
      <c r="Q478" s="15" t="s">
        <v>4749</v>
      </c>
      <c r="R478" s="15"/>
      <c r="S478" s="15"/>
      <c r="T478" s="15" t="s">
        <v>4673</v>
      </c>
    </row>
    <row r="479" spans="1:20" x14ac:dyDescent="0.35">
      <c r="A479" s="2" t="s">
        <v>963</v>
      </c>
      <c r="B479" s="2" t="s">
        <v>964</v>
      </c>
      <c r="C479" s="2" t="s">
        <v>15</v>
      </c>
      <c r="D479" s="2">
        <v>0</v>
      </c>
      <c r="E479" s="2" t="s">
        <v>10</v>
      </c>
      <c r="F479" s="2">
        <v>0</v>
      </c>
      <c r="G479" s="22">
        <f>Table4[[#This Row],[Item Cost]]*Table4[[#This Row],[In Stock]]</f>
        <v>0</v>
      </c>
      <c r="H479" s="12" t="s">
        <v>4661</v>
      </c>
      <c r="I479" s="13" t="s">
        <v>4666</v>
      </c>
      <c r="J479" s="13" t="s">
        <v>4673</v>
      </c>
      <c r="K479" s="13" t="s">
        <v>4672</v>
      </c>
      <c r="L479" s="12" t="s">
        <v>4672</v>
      </c>
      <c r="M479" s="17" t="str">
        <f>IF(LEN(COUNTIFS($H$1:H479,$H479,$I$1:I479,$I479,$J$1:J479,$J479,$K$1:K479,K479,$L$1:L479,L479))=1,"00"&amp;COUNTIFS($H$1:H479,$H479,$I$1:I479,$I479,$J$1:J479,$J479,$K$1:K479,K479,$L$1:L479,L479),IF(LEN(COUNTIFS($H$1:H479,$H479,$I$1:I479,$I479,$J$1:J479,$J479,$K$1:K479,K479,$L$1:L479,L479))=2,"0"&amp;COUNTIFS($H$1:H479,$H479,$I$1:I479,$I479,$J$1:J479,$J479,$K$1:K479,K479,$L$1:L479,L479),COUNTIFS($H$1:H479,$H479,$I$1:I479,$I479,$J$1:J479,$J479,$K$1:K479,K479,$L$1:L479,L479)))</f>
        <v>001</v>
      </c>
      <c r="N47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79" s="14" t="e">
        <f>+LEN(Table4[[#This Row],[New Item Code]])</f>
        <v>#N/A</v>
      </c>
      <c r="P479" s="15" t="s">
        <v>4747</v>
      </c>
      <c r="Q479" s="15" t="s">
        <v>4749</v>
      </c>
      <c r="R479" s="15"/>
      <c r="S479" s="15"/>
      <c r="T479" s="15" t="s">
        <v>4673</v>
      </c>
    </row>
    <row r="480" spans="1:20" x14ac:dyDescent="0.35">
      <c r="A480" s="3" t="s">
        <v>965</v>
      </c>
      <c r="B480" s="3" t="s">
        <v>966</v>
      </c>
      <c r="C480" s="3" t="s">
        <v>15</v>
      </c>
      <c r="D480" s="3">
        <v>187</v>
      </c>
      <c r="E480" s="3" t="s">
        <v>10</v>
      </c>
      <c r="F480" s="3">
        <v>0</v>
      </c>
      <c r="G480" s="21">
        <f>Table4[[#This Row],[Item Cost]]*Table4[[#This Row],[In Stock]]</f>
        <v>0</v>
      </c>
      <c r="H480" s="12" t="s">
        <v>4661</v>
      </c>
      <c r="I480" s="13" t="s">
        <v>4666</v>
      </c>
      <c r="J480" s="13" t="s">
        <v>4673</v>
      </c>
      <c r="K480" s="13" t="s">
        <v>4672</v>
      </c>
      <c r="L480" s="12" t="s">
        <v>4672</v>
      </c>
      <c r="M480" s="17" t="str">
        <f>IF(LEN(COUNTIFS($H$1:H480,$H480,$I$1:I480,$I480,$J$1:J480,$J480,$K$1:K480,K480,$L$1:L480,L480))=1,"00"&amp;COUNTIFS($H$1:H480,$H480,$I$1:I480,$I480,$J$1:J480,$J480,$K$1:K480,K480,$L$1:L480,L480),IF(LEN(COUNTIFS($H$1:H480,$H480,$I$1:I480,$I480,$J$1:J480,$J480,$K$1:K480,K480,$L$1:L480,L480))=2,"0"&amp;COUNTIFS($H$1:H480,$H480,$I$1:I480,$I480,$J$1:J480,$J480,$K$1:K480,K480,$L$1:L480,L480),COUNTIFS($H$1:H480,$H480,$I$1:I480,$I480,$J$1:J480,$J480,$K$1:K480,K480,$L$1:L480,L480)))</f>
        <v>002</v>
      </c>
      <c r="N48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80" s="14" t="e">
        <f>+LEN(Table4[[#This Row],[New Item Code]])</f>
        <v>#N/A</v>
      </c>
      <c r="P480" s="15" t="s">
        <v>4747</v>
      </c>
      <c r="Q480" s="15" t="s">
        <v>4749</v>
      </c>
      <c r="R480" s="15"/>
      <c r="S480" s="15"/>
      <c r="T480" s="15" t="s">
        <v>4673</v>
      </c>
    </row>
    <row r="481" spans="1:20" x14ac:dyDescent="0.35">
      <c r="A481" s="2" t="s">
        <v>967</v>
      </c>
      <c r="B481" s="2" t="s">
        <v>968</v>
      </c>
      <c r="C481" s="2" t="s">
        <v>15</v>
      </c>
      <c r="D481" s="4">
        <v>1800</v>
      </c>
      <c r="E481" s="2" t="s">
        <v>10</v>
      </c>
      <c r="F481" s="2">
        <v>0</v>
      </c>
      <c r="G481" s="22">
        <f>Table4[[#This Row],[Item Cost]]*Table4[[#This Row],[In Stock]]</f>
        <v>0</v>
      </c>
      <c r="H481" s="12" t="s">
        <v>4661</v>
      </c>
      <c r="I481" s="13" t="s">
        <v>4666</v>
      </c>
      <c r="J481" s="13" t="s">
        <v>4673</v>
      </c>
      <c r="K481" t="s">
        <v>4797</v>
      </c>
      <c r="L481" s="12" t="s">
        <v>4672</v>
      </c>
      <c r="M481" s="17" t="str">
        <f>IF(LEN(COUNTIFS($H$1:H481,$H481,$I$1:I481,$I481,$J$1:J481,$J481,$K$1:K481,K481,$L$1:L481,L481))=1,"00"&amp;COUNTIFS($H$1:H481,$H481,$I$1:I481,$I481,$J$1:J481,$J481,$K$1:K481,K481,$L$1:L481,L481),IF(LEN(COUNTIFS($H$1:H481,$H481,$I$1:I481,$I481,$J$1:J481,$J481,$K$1:K481,K481,$L$1:L481,L481))=2,"0"&amp;COUNTIFS($H$1:H481,$H481,$I$1:I481,$I481,$J$1:J481,$J481,$K$1:K481,K481,$L$1:L481,L481),COUNTIFS($H$1:H481,$H481,$I$1:I481,$I481,$J$1:J481,$J481,$K$1:K481,K481,$L$1:L481,L481)))</f>
        <v>001</v>
      </c>
      <c r="N48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81" s="14" t="e">
        <f>+LEN(Table4[[#This Row],[New Item Code]])</f>
        <v>#N/A</v>
      </c>
      <c r="P481" s="15" t="s">
        <v>4747</v>
      </c>
      <c r="Q481" s="15" t="s">
        <v>4749</v>
      </c>
      <c r="R481" s="15"/>
      <c r="S481" s="15"/>
      <c r="T481" s="15" t="s">
        <v>4673</v>
      </c>
    </row>
    <row r="482" spans="1:20" x14ac:dyDescent="0.35">
      <c r="A482" s="3" t="s">
        <v>969</v>
      </c>
      <c r="B482" s="3" t="s">
        <v>970</v>
      </c>
      <c r="C482" s="3" t="s">
        <v>9</v>
      </c>
      <c r="D482" s="3">
        <v>257</v>
      </c>
      <c r="E482" s="3" t="s">
        <v>10</v>
      </c>
      <c r="F482" s="3">
        <v>2</v>
      </c>
      <c r="G482" s="21">
        <f>Table4[[#This Row],[Item Cost]]*Table4[[#This Row],[In Stock]]</f>
        <v>514</v>
      </c>
      <c r="H482" s="12" t="s">
        <v>4661</v>
      </c>
      <c r="I482" s="13" t="s">
        <v>4664</v>
      </c>
      <c r="J482" s="13" t="s">
        <v>4673</v>
      </c>
      <c r="K482" s="7" t="s">
        <v>4771</v>
      </c>
      <c r="L482" s="12" t="s">
        <v>4672</v>
      </c>
      <c r="M482" s="17" t="str">
        <f>IF(LEN(COUNTIFS($H$1:H482,$H482,$I$1:I482,$I482,$J$1:J482,$J482,$K$1:K482,K482,$L$1:L482,L482))=1,"00"&amp;COUNTIFS($H$1:H482,$H482,$I$1:I482,$I482,$J$1:J482,$J482,$K$1:K482,K482,$L$1:L482,L482),IF(LEN(COUNTIFS($H$1:H482,$H482,$I$1:I482,$I482,$J$1:J482,$J482,$K$1:K482,K482,$L$1:L482,L482))=2,"0"&amp;COUNTIFS($H$1:H482,$H482,$I$1:I482,$I482,$J$1:J482,$J482,$K$1:K482,K482,$L$1:L482,L482),COUNTIFS($H$1:H482,$H482,$I$1:I482,$I482,$J$1:J482,$J482,$K$1:K482,K482,$L$1:L482,L482)))</f>
        <v>001</v>
      </c>
      <c r="N48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82" s="14" t="e">
        <f>+LEN(Table4[[#This Row],[New Item Code]])</f>
        <v>#N/A</v>
      </c>
      <c r="P482" s="15" t="s">
        <v>4747</v>
      </c>
      <c r="Q482" s="15" t="s">
        <v>4749</v>
      </c>
      <c r="R482" s="15"/>
      <c r="S482" s="15"/>
      <c r="T482" s="15" t="s">
        <v>4673</v>
      </c>
    </row>
    <row r="483" spans="1:20" x14ac:dyDescent="0.35">
      <c r="A483" s="2" t="s">
        <v>971</v>
      </c>
      <c r="B483" s="2" t="s">
        <v>972</v>
      </c>
      <c r="C483" s="2" t="s">
        <v>9</v>
      </c>
      <c r="D483" s="2">
        <v>319</v>
      </c>
      <c r="E483" s="2" t="s">
        <v>10</v>
      </c>
      <c r="F483" s="2">
        <v>3</v>
      </c>
      <c r="G483" s="22">
        <f>Table4[[#This Row],[Item Cost]]*Table4[[#This Row],[In Stock]]</f>
        <v>957</v>
      </c>
      <c r="H483" s="12" t="s">
        <v>4661</v>
      </c>
      <c r="I483" s="13" t="s">
        <v>4664</v>
      </c>
      <c r="J483" s="13" t="s">
        <v>4673</v>
      </c>
      <c r="K483" s="7" t="s">
        <v>4771</v>
      </c>
      <c r="L483" s="12" t="s">
        <v>4672</v>
      </c>
      <c r="M483" s="17" t="str">
        <f>IF(LEN(COUNTIFS($H$1:H483,$H483,$I$1:I483,$I483,$J$1:J483,$J483,$K$1:K483,K483,$L$1:L483,L483))=1,"00"&amp;COUNTIFS($H$1:H483,$H483,$I$1:I483,$I483,$J$1:J483,$J483,$K$1:K483,K483,$L$1:L483,L483),IF(LEN(COUNTIFS($H$1:H483,$H483,$I$1:I483,$I483,$J$1:J483,$J483,$K$1:K483,K483,$L$1:L483,L483))=2,"0"&amp;COUNTIFS($H$1:H483,$H483,$I$1:I483,$I483,$J$1:J483,$J483,$K$1:K483,K483,$L$1:L483,L483),COUNTIFS($H$1:H483,$H483,$I$1:I483,$I483,$J$1:J483,$J483,$K$1:K483,K483,$L$1:L483,L483)))</f>
        <v>002</v>
      </c>
      <c r="N48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83" s="14" t="e">
        <f>+LEN(Table4[[#This Row],[New Item Code]])</f>
        <v>#N/A</v>
      </c>
      <c r="P483" s="15" t="s">
        <v>4747</v>
      </c>
      <c r="Q483" s="15" t="s">
        <v>4749</v>
      </c>
      <c r="R483" s="15"/>
      <c r="S483" s="15"/>
      <c r="T483" s="15" t="s">
        <v>4673</v>
      </c>
    </row>
    <row r="484" spans="1:20" x14ac:dyDescent="0.35">
      <c r="A484" s="3" t="s">
        <v>973</v>
      </c>
      <c r="B484" s="3" t="s">
        <v>974</v>
      </c>
      <c r="C484" s="3" t="s">
        <v>9</v>
      </c>
      <c r="D484" s="3">
        <v>195.375</v>
      </c>
      <c r="E484" s="3" t="s">
        <v>10</v>
      </c>
      <c r="F484" s="3">
        <v>4</v>
      </c>
      <c r="G484" s="21">
        <f>Table4[[#This Row],[Item Cost]]*Table4[[#This Row],[In Stock]]</f>
        <v>781.5</v>
      </c>
      <c r="H484" s="12" t="s">
        <v>4661</v>
      </c>
      <c r="I484" s="13" t="s">
        <v>4664</v>
      </c>
      <c r="J484" s="13" t="s">
        <v>4673</v>
      </c>
      <c r="K484" s="7" t="s">
        <v>4771</v>
      </c>
      <c r="L484" s="12" t="s">
        <v>4672</v>
      </c>
      <c r="M484" s="17" t="str">
        <f>IF(LEN(COUNTIFS($H$1:H484,$H484,$I$1:I484,$I484,$J$1:J484,$J484,$K$1:K484,K484,$L$1:L484,L484))=1,"00"&amp;COUNTIFS($H$1:H484,$H484,$I$1:I484,$I484,$J$1:J484,$J484,$K$1:K484,K484,$L$1:L484,L484),IF(LEN(COUNTIFS($H$1:H484,$H484,$I$1:I484,$I484,$J$1:J484,$J484,$K$1:K484,K484,$L$1:L484,L484))=2,"0"&amp;COUNTIFS($H$1:H484,$H484,$I$1:I484,$I484,$J$1:J484,$J484,$K$1:K484,K484,$L$1:L484,L484),COUNTIFS($H$1:H484,$H484,$I$1:I484,$I484,$J$1:J484,$J484,$K$1:K484,K484,$L$1:L484,L484)))</f>
        <v>003</v>
      </c>
      <c r="N48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84" s="14" t="e">
        <f>+LEN(Table4[[#This Row],[New Item Code]])</f>
        <v>#N/A</v>
      </c>
      <c r="P484" s="15" t="s">
        <v>4747</v>
      </c>
      <c r="Q484" s="15" t="s">
        <v>4749</v>
      </c>
      <c r="R484" s="15"/>
      <c r="S484" s="15"/>
      <c r="T484" s="15" t="s">
        <v>4673</v>
      </c>
    </row>
    <row r="485" spans="1:20" x14ac:dyDescent="0.35">
      <c r="A485" s="2" t="s">
        <v>975</v>
      </c>
      <c r="B485" s="2" t="s">
        <v>976</v>
      </c>
      <c r="C485" s="2" t="s">
        <v>9</v>
      </c>
      <c r="D485" s="2">
        <v>420</v>
      </c>
      <c r="E485" s="2" t="s">
        <v>10</v>
      </c>
      <c r="F485" s="2">
        <v>1</v>
      </c>
      <c r="G485" s="22">
        <f>Table4[[#This Row],[Item Cost]]*Table4[[#This Row],[In Stock]]</f>
        <v>420</v>
      </c>
      <c r="H485" s="12" t="s">
        <v>4661</v>
      </c>
      <c r="I485" s="13" t="s">
        <v>4664</v>
      </c>
      <c r="J485" s="13" t="s">
        <v>4673</v>
      </c>
      <c r="K485" s="7" t="s">
        <v>4771</v>
      </c>
      <c r="L485" s="12" t="s">
        <v>4672</v>
      </c>
      <c r="M485" s="17" t="str">
        <f>IF(LEN(COUNTIFS($H$1:H485,$H485,$I$1:I485,$I485,$J$1:J485,$J485,$K$1:K485,K485,$L$1:L485,L485))=1,"00"&amp;COUNTIFS($H$1:H485,$H485,$I$1:I485,$I485,$J$1:J485,$J485,$K$1:K485,K485,$L$1:L485,L485),IF(LEN(COUNTIFS($H$1:H485,$H485,$I$1:I485,$I485,$J$1:J485,$J485,$K$1:K485,K485,$L$1:L485,L485))=2,"0"&amp;COUNTIFS($H$1:H485,$H485,$I$1:I485,$I485,$J$1:J485,$J485,$K$1:K485,K485,$L$1:L485,L485),COUNTIFS($H$1:H485,$H485,$I$1:I485,$I485,$J$1:J485,$J485,$K$1:K485,K485,$L$1:L485,L485)))</f>
        <v>004</v>
      </c>
      <c r="N48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85" s="14" t="e">
        <f>+LEN(Table4[[#This Row],[New Item Code]])</f>
        <v>#N/A</v>
      </c>
      <c r="P485" s="15" t="s">
        <v>4747</v>
      </c>
      <c r="Q485" s="15" t="s">
        <v>4749</v>
      </c>
      <c r="R485" s="15"/>
      <c r="S485" s="15"/>
      <c r="T485" s="15" t="s">
        <v>4673</v>
      </c>
    </row>
    <row r="486" spans="1:20" x14ac:dyDescent="0.35">
      <c r="A486" s="3" t="s">
        <v>977</v>
      </c>
      <c r="B486" s="3" t="s">
        <v>978</v>
      </c>
      <c r="C486" s="3" t="s">
        <v>9</v>
      </c>
      <c r="D486" s="3">
        <v>135</v>
      </c>
      <c r="E486" s="3" t="s">
        <v>10</v>
      </c>
      <c r="F486" s="3">
        <v>0</v>
      </c>
      <c r="G486" s="21">
        <f>Table4[[#This Row],[Item Cost]]*Table4[[#This Row],[In Stock]]</f>
        <v>0</v>
      </c>
      <c r="H486" s="12" t="s">
        <v>4661</v>
      </c>
      <c r="I486" s="13" t="s">
        <v>4664</v>
      </c>
      <c r="J486" s="13" t="s">
        <v>4673</v>
      </c>
      <c r="K486" s="7" t="s">
        <v>4771</v>
      </c>
      <c r="L486" s="12" t="s">
        <v>4672</v>
      </c>
      <c r="M486" s="17" t="str">
        <f>IF(LEN(COUNTIFS($H$1:H486,$H486,$I$1:I486,$I486,$J$1:J486,$J486,$K$1:K486,K486,$L$1:L486,L486))=1,"00"&amp;COUNTIFS($H$1:H486,$H486,$I$1:I486,$I486,$J$1:J486,$J486,$K$1:K486,K486,$L$1:L486,L486),IF(LEN(COUNTIFS($H$1:H486,$H486,$I$1:I486,$I486,$J$1:J486,$J486,$K$1:K486,K486,$L$1:L486,L486))=2,"0"&amp;COUNTIFS($H$1:H486,$H486,$I$1:I486,$I486,$J$1:J486,$J486,$K$1:K486,K486,$L$1:L486,L486),COUNTIFS($H$1:H486,$H486,$I$1:I486,$I486,$J$1:J486,$J486,$K$1:K486,K486,$L$1:L486,L486)))</f>
        <v>005</v>
      </c>
      <c r="N48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86" s="14" t="e">
        <f>+LEN(Table4[[#This Row],[New Item Code]])</f>
        <v>#N/A</v>
      </c>
      <c r="P486" s="15" t="s">
        <v>4747</v>
      </c>
      <c r="Q486" s="15" t="s">
        <v>4749</v>
      </c>
      <c r="R486" s="15"/>
      <c r="S486" s="15"/>
      <c r="T486" s="15" t="s">
        <v>4673</v>
      </c>
    </row>
    <row r="487" spans="1:20" x14ac:dyDescent="0.35">
      <c r="A487" s="2" t="s">
        <v>979</v>
      </c>
      <c r="B487" s="2" t="s">
        <v>980</v>
      </c>
      <c r="C487" s="2" t="s">
        <v>9</v>
      </c>
      <c r="D487" s="2">
        <v>54</v>
      </c>
      <c r="E487" s="2" t="s">
        <v>10</v>
      </c>
      <c r="F487" s="2">
        <v>1</v>
      </c>
      <c r="G487" s="22">
        <f>Table4[[#This Row],[Item Cost]]*Table4[[#This Row],[In Stock]]</f>
        <v>54</v>
      </c>
      <c r="H487" s="12" t="s">
        <v>4661</v>
      </c>
      <c r="I487" s="13" t="s">
        <v>4664</v>
      </c>
      <c r="J487" s="13" t="s">
        <v>4673</v>
      </c>
      <c r="K487" t="s">
        <v>4798</v>
      </c>
      <c r="L487" s="12" t="s">
        <v>4672</v>
      </c>
      <c r="M487" s="17" t="str">
        <f>IF(LEN(COUNTIFS($H$1:H487,$H487,$I$1:I487,$I487,$J$1:J487,$J487,$K$1:K487,K487,$L$1:L487,L487))=1,"00"&amp;COUNTIFS($H$1:H487,$H487,$I$1:I487,$I487,$J$1:J487,$J487,$K$1:K487,K487,$L$1:L487,L487),IF(LEN(COUNTIFS($H$1:H487,$H487,$I$1:I487,$I487,$J$1:J487,$J487,$K$1:K487,K487,$L$1:L487,L487))=2,"0"&amp;COUNTIFS($H$1:H487,$H487,$I$1:I487,$I487,$J$1:J487,$J487,$K$1:K487,K487,$L$1:L487,L487),COUNTIFS($H$1:H487,$H487,$I$1:I487,$I487,$J$1:J487,$J487,$K$1:K487,K487,$L$1:L487,L487)))</f>
        <v>001</v>
      </c>
      <c r="N48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87" s="14" t="e">
        <f>+LEN(Table4[[#This Row],[New Item Code]])</f>
        <v>#N/A</v>
      </c>
      <c r="P487" s="15" t="s">
        <v>4747</v>
      </c>
      <c r="Q487" s="15" t="s">
        <v>4749</v>
      </c>
      <c r="R487" s="15"/>
      <c r="S487" s="15"/>
      <c r="T487" s="15" t="s">
        <v>4673</v>
      </c>
    </row>
    <row r="488" spans="1:20" x14ac:dyDescent="0.35">
      <c r="A488" s="3" t="s">
        <v>981</v>
      </c>
      <c r="B488" s="3" t="s">
        <v>982</v>
      </c>
      <c r="C488" s="3" t="s">
        <v>9</v>
      </c>
      <c r="D488" s="3">
        <v>50</v>
      </c>
      <c r="E488" s="3" t="s">
        <v>10</v>
      </c>
      <c r="F488" s="3">
        <v>16</v>
      </c>
      <c r="G488" s="21">
        <f>Table4[[#This Row],[Item Cost]]*Table4[[#This Row],[In Stock]]</f>
        <v>800</v>
      </c>
      <c r="H488" s="12" t="s">
        <v>4661</v>
      </c>
      <c r="I488" s="13" t="s">
        <v>4664</v>
      </c>
      <c r="J488" s="13" t="s">
        <v>4673</v>
      </c>
      <c r="K488" t="s">
        <v>4798</v>
      </c>
      <c r="L488" s="12" t="s">
        <v>4672</v>
      </c>
      <c r="M488" s="17" t="str">
        <f>IF(LEN(COUNTIFS($H$1:H488,$H488,$I$1:I488,$I488,$J$1:J488,$J488,$K$1:K488,K488,$L$1:L488,L488))=1,"00"&amp;COUNTIFS($H$1:H488,$H488,$I$1:I488,$I488,$J$1:J488,$J488,$K$1:K488,K488,$L$1:L488,L488),IF(LEN(COUNTIFS($H$1:H488,$H488,$I$1:I488,$I488,$J$1:J488,$J488,$K$1:K488,K488,$L$1:L488,L488))=2,"0"&amp;COUNTIFS($H$1:H488,$H488,$I$1:I488,$I488,$J$1:J488,$J488,$K$1:K488,K488,$L$1:L488,L488),COUNTIFS($H$1:H488,$H488,$I$1:I488,$I488,$J$1:J488,$J488,$K$1:K488,K488,$L$1:L488,L488)))</f>
        <v>002</v>
      </c>
      <c r="N48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88" s="14" t="e">
        <f>+LEN(Table4[[#This Row],[New Item Code]])</f>
        <v>#N/A</v>
      </c>
      <c r="P488" s="15" t="s">
        <v>4747</v>
      </c>
      <c r="Q488" s="15" t="s">
        <v>4749</v>
      </c>
      <c r="R488" s="15"/>
      <c r="S488" s="15"/>
      <c r="T488" s="15" t="s">
        <v>4673</v>
      </c>
    </row>
    <row r="489" spans="1:20" x14ac:dyDescent="0.35">
      <c r="A489" s="2" t="s">
        <v>983</v>
      </c>
      <c r="B489" s="2" t="s">
        <v>984</v>
      </c>
      <c r="C489" s="2" t="s">
        <v>15</v>
      </c>
      <c r="D489" s="4">
        <v>2430</v>
      </c>
      <c r="E489" s="2" t="s">
        <v>10</v>
      </c>
      <c r="F489" s="2">
        <v>0</v>
      </c>
      <c r="G489" s="22">
        <f>Table4[[#This Row],[Item Cost]]*Table4[[#This Row],[In Stock]]</f>
        <v>0</v>
      </c>
      <c r="H489" s="12" t="s">
        <v>4661</v>
      </c>
      <c r="I489" s="13" t="s">
        <v>4666</v>
      </c>
      <c r="J489" s="13" t="s">
        <v>4673</v>
      </c>
      <c r="K489" s="13" t="s">
        <v>4672</v>
      </c>
      <c r="L489" s="12" t="s">
        <v>4672</v>
      </c>
      <c r="M489" s="17" t="str">
        <f>IF(LEN(COUNTIFS($H$1:H489,$H489,$I$1:I489,$I489,$J$1:J489,$J489,$K$1:K489,K489,$L$1:L489,L489))=1,"00"&amp;COUNTIFS($H$1:H489,$H489,$I$1:I489,$I489,$J$1:J489,$J489,$K$1:K489,K489,$L$1:L489,L489),IF(LEN(COUNTIFS($H$1:H489,$H489,$I$1:I489,$I489,$J$1:J489,$J489,$K$1:K489,K489,$L$1:L489,L489))=2,"0"&amp;COUNTIFS($H$1:H489,$H489,$I$1:I489,$I489,$J$1:J489,$J489,$K$1:K489,K489,$L$1:L489,L489),COUNTIFS($H$1:H489,$H489,$I$1:I489,$I489,$J$1:J489,$J489,$K$1:K489,K489,$L$1:L489,L489)))</f>
        <v>003</v>
      </c>
      <c r="N48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89" s="14" t="e">
        <f>+LEN(Table4[[#This Row],[New Item Code]])</f>
        <v>#N/A</v>
      </c>
      <c r="P489" s="15" t="s">
        <v>4747</v>
      </c>
      <c r="Q489" s="15" t="s">
        <v>4749</v>
      </c>
      <c r="R489" s="15"/>
      <c r="S489" s="15"/>
      <c r="T489" s="15" t="s">
        <v>4673</v>
      </c>
    </row>
    <row r="490" spans="1:20" x14ac:dyDescent="0.35">
      <c r="A490" s="3" t="s">
        <v>985</v>
      </c>
      <c r="B490" s="3" t="s">
        <v>986</v>
      </c>
      <c r="C490" s="3" t="s">
        <v>15</v>
      </c>
      <c r="D490" s="5">
        <v>1500</v>
      </c>
      <c r="E490" s="3" t="s">
        <v>10</v>
      </c>
      <c r="F490" s="3">
        <v>0</v>
      </c>
      <c r="G490" s="21">
        <f>Table4[[#This Row],[Item Cost]]*Table4[[#This Row],[In Stock]]</f>
        <v>0</v>
      </c>
      <c r="H490" s="12" t="s">
        <v>4661</v>
      </c>
      <c r="I490" s="13" t="s">
        <v>4666</v>
      </c>
      <c r="J490" s="13" t="s">
        <v>4673</v>
      </c>
      <c r="K490" s="13" t="s">
        <v>4672</v>
      </c>
      <c r="L490" s="12" t="s">
        <v>4672</v>
      </c>
      <c r="M490" s="17" t="str">
        <f>IF(LEN(COUNTIFS($H$1:H490,$H490,$I$1:I490,$I490,$J$1:J490,$J490,$K$1:K490,K490,$L$1:L490,L490))=1,"00"&amp;COUNTIFS($H$1:H490,$H490,$I$1:I490,$I490,$J$1:J490,$J490,$K$1:K490,K490,$L$1:L490,L490),IF(LEN(COUNTIFS($H$1:H490,$H490,$I$1:I490,$I490,$J$1:J490,$J490,$K$1:K490,K490,$L$1:L490,L490))=2,"0"&amp;COUNTIFS($H$1:H490,$H490,$I$1:I490,$I490,$J$1:J490,$J490,$K$1:K490,K490,$L$1:L490,L490),COUNTIFS($H$1:H490,$H490,$I$1:I490,$I490,$J$1:J490,$J490,$K$1:K490,K490,$L$1:L490,L490)))</f>
        <v>004</v>
      </c>
      <c r="N49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90" s="14" t="e">
        <f>+LEN(Table4[[#This Row],[New Item Code]])</f>
        <v>#N/A</v>
      </c>
      <c r="P490" s="15" t="s">
        <v>4747</v>
      </c>
      <c r="Q490" s="15" t="s">
        <v>4749</v>
      </c>
      <c r="R490" s="15"/>
      <c r="S490" s="15"/>
      <c r="T490" s="15" t="s">
        <v>4673</v>
      </c>
    </row>
    <row r="491" spans="1:20" x14ac:dyDescent="0.35">
      <c r="A491" s="2" t="s">
        <v>987</v>
      </c>
      <c r="B491" s="2" t="s">
        <v>988</v>
      </c>
      <c r="C491" s="2" t="s">
        <v>9</v>
      </c>
      <c r="D491" s="2">
        <v>185</v>
      </c>
      <c r="E491" s="2" t="s">
        <v>10</v>
      </c>
      <c r="F491" s="2">
        <v>1</v>
      </c>
      <c r="G491" s="22">
        <f>Table4[[#This Row],[Item Cost]]*Table4[[#This Row],[In Stock]]</f>
        <v>185</v>
      </c>
      <c r="H491" s="12" t="s">
        <v>4661</v>
      </c>
      <c r="I491" s="13" t="s">
        <v>4664</v>
      </c>
      <c r="J491" s="13" t="s">
        <v>4673</v>
      </c>
      <c r="K491" s="13" t="s">
        <v>4776</v>
      </c>
      <c r="L491" s="12" t="s">
        <v>4672</v>
      </c>
      <c r="M491" s="17" t="str">
        <f>IF(LEN(COUNTIFS($H$1:H491,$H491,$I$1:I491,$I491,$J$1:J491,$J491,$K$1:K491,K491,$L$1:L491,L491))=1,"00"&amp;COUNTIFS($H$1:H491,$H491,$I$1:I491,$I491,$J$1:J491,$J491,$K$1:K491,K491,$L$1:L491,L491),IF(LEN(COUNTIFS($H$1:H491,$H491,$I$1:I491,$I491,$J$1:J491,$J491,$K$1:K491,K491,$L$1:L491,L491))=2,"0"&amp;COUNTIFS($H$1:H491,$H491,$I$1:I491,$I491,$J$1:J491,$J491,$K$1:K491,K491,$L$1:L491,L491),COUNTIFS($H$1:H491,$H491,$I$1:I491,$I491,$J$1:J491,$J491,$K$1:K491,K491,$L$1:L491,L491)))</f>
        <v>001</v>
      </c>
      <c r="N49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91" s="14" t="e">
        <f>+LEN(Table4[[#This Row],[New Item Code]])</f>
        <v>#N/A</v>
      </c>
      <c r="P491" s="15" t="s">
        <v>4747</v>
      </c>
      <c r="Q491" s="15" t="s">
        <v>4749</v>
      </c>
      <c r="R491" s="15"/>
      <c r="S491" s="15"/>
      <c r="T491" s="15" t="s">
        <v>4673</v>
      </c>
    </row>
    <row r="492" spans="1:20" x14ac:dyDescent="0.35">
      <c r="A492" s="3" t="s">
        <v>989</v>
      </c>
      <c r="B492" s="3" t="s">
        <v>990</v>
      </c>
      <c r="C492" s="3" t="s">
        <v>9</v>
      </c>
      <c r="D492" s="5">
        <v>3875.5</v>
      </c>
      <c r="E492" s="3" t="s">
        <v>10</v>
      </c>
      <c r="F492" s="3">
        <v>1</v>
      </c>
      <c r="G492" s="21">
        <f>Table4[[#This Row],[Item Cost]]*Table4[[#This Row],[In Stock]]</f>
        <v>3875.5</v>
      </c>
      <c r="H492" s="12" t="s">
        <v>4661</v>
      </c>
      <c r="I492" s="13" t="s">
        <v>4664</v>
      </c>
      <c r="J492" s="13" t="s">
        <v>4673</v>
      </c>
      <c r="K492" s="13" t="s">
        <v>4672</v>
      </c>
      <c r="L492" s="12" t="s">
        <v>4672</v>
      </c>
      <c r="M492" s="17" t="str">
        <f>IF(LEN(COUNTIFS($H$1:H492,$H492,$I$1:I492,$I492,$J$1:J492,$J492,$K$1:K492,K492,$L$1:L492,L492))=1,"00"&amp;COUNTIFS($H$1:H492,$H492,$I$1:I492,$I492,$J$1:J492,$J492,$K$1:K492,K492,$L$1:L492,L492),IF(LEN(COUNTIFS($H$1:H492,$H492,$I$1:I492,$I492,$J$1:J492,$J492,$K$1:K492,K492,$L$1:L492,L492))=2,"0"&amp;COUNTIFS($H$1:H492,$H492,$I$1:I492,$I492,$J$1:J492,$J492,$K$1:K492,K492,$L$1:L492,L492),COUNTIFS($H$1:H492,$H492,$I$1:I492,$I492,$J$1:J492,$J492,$K$1:K492,K492,$L$1:L492,L492)))</f>
        <v>002</v>
      </c>
      <c r="N49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92" s="14" t="e">
        <f>+LEN(Table4[[#This Row],[New Item Code]])</f>
        <v>#N/A</v>
      </c>
      <c r="P492" s="15" t="s">
        <v>4747</v>
      </c>
      <c r="Q492" s="15" t="s">
        <v>4749</v>
      </c>
      <c r="R492" s="15"/>
      <c r="S492" s="15"/>
      <c r="T492" s="15" t="s">
        <v>4673</v>
      </c>
    </row>
    <row r="493" spans="1:20" x14ac:dyDescent="0.35">
      <c r="A493" s="2" t="s">
        <v>991</v>
      </c>
      <c r="B493" s="2" t="s">
        <v>992</v>
      </c>
      <c r="C493" s="2" t="s">
        <v>9</v>
      </c>
      <c r="D493" s="2">
        <v>215.333</v>
      </c>
      <c r="E493" s="2" t="s">
        <v>10</v>
      </c>
      <c r="F493" s="2">
        <v>4</v>
      </c>
      <c r="G493" s="22">
        <f>Table4[[#This Row],[Item Cost]]*Table4[[#This Row],[In Stock]]</f>
        <v>861.33199999999999</v>
      </c>
      <c r="H493" s="12" t="s">
        <v>4661</v>
      </c>
      <c r="I493" s="13" t="s">
        <v>4664</v>
      </c>
      <c r="J493" s="13" t="s">
        <v>4673</v>
      </c>
      <c r="K493" s="13" t="s">
        <v>4672</v>
      </c>
      <c r="L493" s="12" t="s">
        <v>4672</v>
      </c>
      <c r="M493" s="17" t="str">
        <f>IF(LEN(COUNTIFS($H$1:H493,$H493,$I$1:I493,$I493,$J$1:J493,$J493,$K$1:K493,K493,$L$1:L493,L493))=1,"00"&amp;COUNTIFS($H$1:H493,$H493,$I$1:I493,$I493,$J$1:J493,$J493,$K$1:K493,K493,$L$1:L493,L493),IF(LEN(COUNTIFS($H$1:H493,$H493,$I$1:I493,$I493,$J$1:J493,$J493,$K$1:K493,K493,$L$1:L493,L493))=2,"0"&amp;COUNTIFS($H$1:H493,$H493,$I$1:I493,$I493,$J$1:J493,$J493,$K$1:K493,K493,$L$1:L493,L493),COUNTIFS($H$1:H493,$H493,$I$1:I493,$I493,$J$1:J493,$J493,$K$1:K493,K493,$L$1:L493,L493)))</f>
        <v>003</v>
      </c>
      <c r="N49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93" s="14" t="e">
        <f>+LEN(Table4[[#This Row],[New Item Code]])</f>
        <v>#N/A</v>
      </c>
      <c r="P493" s="15" t="s">
        <v>4747</v>
      </c>
      <c r="Q493" s="15" t="s">
        <v>4749</v>
      </c>
      <c r="R493" s="15"/>
      <c r="S493" s="15"/>
      <c r="T493" s="15" t="s">
        <v>4673</v>
      </c>
    </row>
    <row r="494" spans="1:20" x14ac:dyDescent="0.35">
      <c r="A494" s="3" t="s">
        <v>993</v>
      </c>
      <c r="B494" s="3" t="s">
        <v>994</v>
      </c>
      <c r="C494" s="3" t="s">
        <v>9</v>
      </c>
      <c r="D494" s="5">
        <v>1250</v>
      </c>
      <c r="E494" s="3" t="s">
        <v>10</v>
      </c>
      <c r="F494" s="3">
        <v>4</v>
      </c>
      <c r="G494" s="21">
        <f>Table4[[#This Row],[Item Cost]]*Table4[[#This Row],[In Stock]]</f>
        <v>5000</v>
      </c>
      <c r="H494" s="12" t="s">
        <v>4661</v>
      </c>
      <c r="I494" s="13" t="s">
        <v>4664</v>
      </c>
      <c r="J494" s="13" t="s">
        <v>4673</v>
      </c>
      <c r="K494" s="13" t="s">
        <v>4672</v>
      </c>
      <c r="L494" s="12" t="s">
        <v>4672</v>
      </c>
      <c r="M494" s="17" t="str">
        <f>IF(LEN(COUNTIFS($H$1:H494,$H494,$I$1:I494,$I494,$J$1:J494,$J494,$K$1:K494,K494,$L$1:L494,L494))=1,"00"&amp;COUNTIFS($H$1:H494,$H494,$I$1:I494,$I494,$J$1:J494,$J494,$K$1:K494,K494,$L$1:L494,L494),IF(LEN(COUNTIFS($H$1:H494,$H494,$I$1:I494,$I494,$J$1:J494,$J494,$K$1:K494,K494,$L$1:L494,L494))=2,"0"&amp;COUNTIFS($H$1:H494,$H494,$I$1:I494,$I494,$J$1:J494,$J494,$K$1:K494,K494,$L$1:L494,L494),COUNTIFS($H$1:H494,$H494,$I$1:I494,$I494,$J$1:J494,$J494,$K$1:K494,K494,$L$1:L494,L494)))</f>
        <v>004</v>
      </c>
      <c r="N49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94" s="14" t="e">
        <f>+LEN(Table4[[#This Row],[New Item Code]])</f>
        <v>#N/A</v>
      </c>
      <c r="P494" s="15" t="s">
        <v>4747</v>
      </c>
      <c r="Q494" s="15" t="s">
        <v>4749</v>
      </c>
      <c r="R494" s="15"/>
      <c r="S494" s="15"/>
      <c r="T494" s="15" t="s">
        <v>4673</v>
      </c>
    </row>
    <row r="495" spans="1:20" x14ac:dyDescent="0.35">
      <c r="A495" s="2" t="s">
        <v>995</v>
      </c>
      <c r="B495" s="2" t="s">
        <v>996</v>
      </c>
      <c r="C495" s="2" t="s">
        <v>9</v>
      </c>
      <c r="D495" s="2">
        <v>195</v>
      </c>
      <c r="E495" s="2" t="s">
        <v>10</v>
      </c>
      <c r="F495" s="2">
        <v>3</v>
      </c>
      <c r="G495" s="22">
        <f>Table4[[#This Row],[Item Cost]]*Table4[[#This Row],[In Stock]]</f>
        <v>585</v>
      </c>
      <c r="H495" s="12" t="s">
        <v>4661</v>
      </c>
      <c r="I495" s="13" t="s">
        <v>4664</v>
      </c>
      <c r="J495" s="13" t="s">
        <v>4673</v>
      </c>
      <c r="K495" t="s">
        <v>4795</v>
      </c>
      <c r="L495" s="12" t="s">
        <v>4672</v>
      </c>
      <c r="M495" s="17" t="str">
        <f>IF(LEN(COUNTIFS($H$1:H495,$H495,$I$1:I495,$I495,$J$1:J495,$J495,$K$1:K495,K495,$L$1:L495,L495))=1,"00"&amp;COUNTIFS($H$1:H495,$H495,$I$1:I495,$I495,$J$1:J495,$J495,$K$1:K495,K495,$L$1:L495,L495),IF(LEN(COUNTIFS($H$1:H495,$H495,$I$1:I495,$I495,$J$1:J495,$J495,$K$1:K495,K495,$L$1:L495,L495))=2,"0"&amp;COUNTIFS($H$1:H495,$H495,$I$1:I495,$I495,$J$1:J495,$J495,$K$1:K495,K495,$L$1:L495,L495),COUNTIFS($H$1:H495,$H495,$I$1:I495,$I495,$J$1:J495,$J495,$K$1:K495,K495,$L$1:L495,L495)))</f>
        <v>001</v>
      </c>
      <c r="N49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95" s="14" t="e">
        <f>+LEN(Table4[[#This Row],[New Item Code]])</f>
        <v>#N/A</v>
      </c>
      <c r="P495" s="15" t="s">
        <v>4747</v>
      </c>
      <c r="Q495" s="15" t="s">
        <v>4749</v>
      </c>
      <c r="R495" s="15"/>
      <c r="S495" s="15"/>
      <c r="T495" s="15" t="s">
        <v>4673</v>
      </c>
    </row>
    <row r="496" spans="1:20" x14ac:dyDescent="0.35">
      <c r="A496" s="3" t="s">
        <v>997</v>
      </c>
      <c r="B496" s="3" t="s">
        <v>998</v>
      </c>
      <c r="C496" s="3" t="s">
        <v>15</v>
      </c>
      <c r="D496" s="3">
        <v>65</v>
      </c>
      <c r="E496" s="3" t="s">
        <v>10</v>
      </c>
      <c r="F496" s="3">
        <v>0</v>
      </c>
      <c r="G496" s="21">
        <f>Table4[[#This Row],[Item Cost]]*Table4[[#This Row],[In Stock]]</f>
        <v>0</v>
      </c>
      <c r="H496" s="12" t="s">
        <v>4661</v>
      </c>
      <c r="I496" s="13" t="s">
        <v>4666</v>
      </c>
      <c r="J496" s="13" t="s">
        <v>4673</v>
      </c>
      <c r="K496" t="s">
        <v>4798</v>
      </c>
      <c r="L496" s="12" t="s">
        <v>4672</v>
      </c>
      <c r="M496" s="17" t="str">
        <f>IF(LEN(COUNTIFS($H$1:H496,$H496,$I$1:I496,$I496,$J$1:J496,$J496,$K$1:K496,K496,$L$1:L496,L496))=1,"00"&amp;COUNTIFS($H$1:H496,$H496,$I$1:I496,$I496,$J$1:J496,$J496,$K$1:K496,K496,$L$1:L496,L496),IF(LEN(COUNTIFS($H$1:H496,$H496,$I$1:I496,$I496,$J$1:J496,$J496,$K$1:K496,K496,$L$1:L496,L496))=2,"0"&amp;COUNTIFS($H$1:H496,$H496,$I$1:I496,$I496,$J$1:J496,$J496,$K$1:K496,K496,$L$1:L496,L496),COUNTIFS($H$1:H496,$H496,$I$1:I496,$I496,$J$1:J496,$J496,$K$1:K496,K496,$L$1:L496,L496)))</f>
        <v>001</v>
      </c>
      <c r="N49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96" s="14" t="e">
        <f>+LEN(Table4[[#This Row],[New Item Code]])</f>
        <v>#N/A</v>
      </c>
      <c r="P496" s="15" t="s">
        <v>4747</v>
      </c>
      <c r="Q496" s="15" t="s">
        <v>4749</v>
      </c>
      <c r="R496" s="15"/>
      <c r="S496" s="15"/>
      <c r="T496" s="15" t="s">
        <v>4673</v>
      </c>
    </row>
    <row r="497" spans="1:20" x14ac:dyDescent="0.35">
      <c r="A497" s="2" t="s">
        <v>999</v>
      </c>
      <c r="B497" s="2" t="s">
        <v>1000</v>
      </c>
      <c r="C497" s="2" t="s">
        <v>9</v>
      </c>
      <c r="D497" s="4">
        <v>1050</v>
      </c>
      <c r="E497" s="2" t="s">
        <v>10</v>
      </c>
      <c r="F497" s="2">
        <v>6</v>
      </c>
      <c r="G497" s="22">
        <f>Table4[[#This Row],[Item Cost]]*Table4[[#This Row],[In Stock]]</f>
        <v>6300</v>
      </c>
      <c r="H497" s="12" t="s">
        <v>4661</v>
      </c>
      <c r="I497" s="13" t="s">
        <v>4664</v>
      </c>
      <c r="J497" s="13" t="s">
        <v>4673</v>
      </c>
      <c r="K497" s="13" t="s">
        <v>4672</v>
      </c>
      <c r="L497" s="12" t="s">
        <v>4672</v>
      </c>
      <c r="M497" s="17" t="str">
        <f>IF(LEN(COUNTIFS($H$1:H497,$H497,$I$1:I497,$I497,$J$1:J497,$J497,$K$1:K497,K497,$L$1:L497,L497))=1,"00"&amp;COUNTIFS($H$1:H497,$H497,$I$1:I497,$I497,$J$1:J497,$J497,$K$1:K497,K497,$L$1:L497,L497),IF(LEN(COUNTIFS($H$1:H497,$H497,$I$1:I497,$I497,$J$1:J497,$J497,$K$1:K497,K497,$L$1:L497,L497))=2,"0"&amp;COUNTIFS($H$1:H497,$H497,$I$1:I497,$I497,$J$1:J497,$J497,$K$1:K497,K497,$L$1:L497,L497),COUNTIFS($H$1:H497,$H497,$I$1:I497,$I497,$J$1:J497,$J497,$K$1:K497,K497,$L$1:L497,L497)))</f>
        <v>005</v>
      </c>
      <c r="N49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97" s="14" t="e">
        <f>+LEN(Table4[[#This Row],[New Item Code]])</f>
        <v>#N/A</v>
      </c>
      <c r="P497" s="15" t="s">
        <v>4747</v>
      </c>
      <c r="Q497" s="15" t="s">
        <v>4749</v>
      </c>
      <c r="R497" s="15"/>
      <c r="S497" s="15"/>
      <c r="T497" s="15" t="s">
        <v>4673</v>
      </c>
    </row>
    <row r="498" spans="1:20" x14ac:dyDescent="0.35">
      <c r="A498" s="3" t="s">
        <v>1001</v>
      </c>
      <c r="B498" s="3" t="s">
        <v>1002</v>
      </c>
      <c r="C498" s="3" t="s">
        <v>15</v>
      </c>
      <c r="D498" s="3">
        <v>0</v>
      </c>
      <c r="E498" s="3" t="s">
        <v>10</v>
      </c>
      <c r="F498" s="3">
        <v>0</v>
      </c>
      <c r="G498" s="21">
        <f>Table4[[#This Row],[Item Cost]]*Table4[[#This Row],[In Stock]]</f>
        <v>0</v>
      </c>
      <c r="H498" s="12" t="s">
        <v>4661</v>
      </c>
      <c r="I498" s="13" t="s">
        <v>4666</v>
      </c>
      <c r="J498" s="13" t="s">
        <v>4673</v>
      </c>
      <c r="K498" s="13" t="s">
        <v>4672</v>
      </c>
      <c r="L498" s="12" t="s">
        <v>4672</v>
      </c>
      <c r="M498" s="17" t="str">
        <f>IF(LEN(COUNTIFS($H$1:H498,$H498,$I$1:I498,$I498,$J$1:J498,$J498,$K$1:K498,K498,$L$1:L498,L498))=1,"00"&amp;COUNTIFS($H$1:H498,$H498,$I$1:I498,$I498,$J$1:J498,$J498,$K$1:K498,K498,$L$1:L498,L498),IF(LEN(COUNTIFS($H$1:H498,$H498,$I$1:I498,$I498,$J$1:J498,$J498,$K$1:K498,K498,$L$1:L498,L498))=2,"0"&amp;COUNTIFS($H$1:H498,$H498,$I$1:I498,$I498,$J$1:J498,$J498,$K$1:K498,K498,$L$1:L498,L498),COUNTIFS($H$1:H498,$H498,$I$1:I498,$I498,$J$1:J498,$J498,$K$1:K498,K498,$L$1:L498,L498)))</f>
        <v>005</v>
      </c>
      <c r="N49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98" s="14" t="e">
        <f>+LEN(Table4[[#This Row],[New Item Code]])</f>
        <v>#N/A</v>
      </c>
      <c r="P498" s="15" t="s">
        <v>4747</v>
      </c>
      <c r="Q498" s="15" t="s">
        <v>4749</v>
      </c>
      <c r="R498" s="15"/>
      <c r="S498" s="15"/>
      <c r="T498" s="15" t="s">
        <v>4673</v>
      </c>
    </row>
    <row r="499" spans="1:20" x14ac:dyDescent="0.35">
      <c r="A499" s="3" t="s">
        <v>1003</v>
      </c>
      <c r="B499" s="3" t="s">
        <v>1004</v>
      </c>
      <c r="C499" s="3" t="s">
        <v>15</v>
      </c>
      <c r="D499" s="3">
        <v>0</v>
      </c>
      <c r="E499" s="3" t="s">
        <v>10</v>
      </c>
      <c r="F499" s="3">
        <v>0</v>
      </c>
      <c r="G499" s="21">
        <f>Table4[[#This Row],[Item Cost]]*Table4[[#This Row],[In Stock]]</f>
        <v>0</v>
      </c>
      <c r="H499" s="12" t="s">
        <v>4661</v>
      </c>
      <c r="I499" s="13" t="s">
        <v>4666</v>
      </c>
      <c r="J499" s="13" t="s">
        <v>4673</v>
      </c>
      <c r="K499" s="13" t="s">
        <v>4672</v>
      </c>
      <c r="L499" s="12" t="s">
        <v>4672</v>
      </c>
      <c r="M499" s="17" t="str">
        <f>IF(LEN(COUNTIFS($H$1:H499,$H499,$I$1:I499,$I499,$J$1:J499,$J499,$K$1:K499,K499,$L$1:L499,L499))=1,"00"&amp;COUNTIFS($H$1:H499,$H499,$I$1:I499,$I499,$J$1:J499,$J499,$K$1:K499,K499,$L$1:L499,L499),IF(LEN(COUNTIFS($H$1:H499,$H499,$I$1:I499,$I499,$J$1:J499,$J499,$K$1:K499,K499,$L$1:L499,L499))=2,"0"&amp;COUNTIFS($H$1:H499,$H499,$I$1:I499,$I499,$J$1:J499,$J499,$K$1:K499,K499,$L$1:L499,L499),COUNTIFS($H$1:H499,$H499,$I$1:I499,$I499,$J$1:J499,$J499,$K$1:K499,K499,$L$1:L499,L499)))</f>
        <v>006</v>
      </c>
      <c r="N49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499" s="14" t="e">
        <f>+LEN(Table4[[#This Row],[New Item Code]])</f>
        <v>#N/A</v>
      </c>
      <c r="P499" s="15" t="s">
        <v>4747</v>
      </c>
      <c r="Q499" s="15" t="s">
        <v>4749</v>
      </c>
      <c r="R499" s="15"/>
      <c r="S499" s="15"/>
      <c r="T499" s="15" t="s">
        <v>4673</v>
      </c>
    </row>
    <row r="500" spans="1:20" x14ac:dyDescent="0.35">
      <c r="A500" s="2" t="s">
        <v>1005</v>
      </c>
      <c r="B500" s="2" t="s">
        <v>1006</v>
      </c>
      <c r="C500" s="2" t="s">
        <v>9</v>
      </c>
      <c r="D500" s="4">
        <v>6272</v>
      </c>
      <c r="E500" s="2" t="s">
        <v>10</v>
      </c>
      <c r="F500" s="2">
        <v>2</v>
      </c>
      <c r="G500" s="22">
        <f>Table4[[#This Row],[Item Cost]]*Table4[[#This Row],[In Stock]]</f>
        <v>12544</v>
      </c>
      <c r="H500" s="12" t="s">
        <v>4661</v>
      </c>
      <c r="I500" s="13" t="s">
        <v>4664</v>
      </c>
      <c r="J500" s="13" t="s">
        <v>4673</v>
      </c>
      <c r="K500" s="13" t="s">
        <v>4672</v>
      </c>
      <c r="L500" s="12" t="s">
        <v>4672</v>
      </c>
      <c r="M500" s="17" t="str">
        <f>IF(LEN(COUNTIFS($H$1:H500,$H500,$I$1:I500,$I500,$J$1:J500,$J500,$K$1:K500,K500,$L$1:L500,L500))=1,"00"&amp;COUNTIFS($H$1:H500,$H500,$I$1:I500,$I500,$J$1:J500,$J500,$K$1:K500,K500,$L$1:L500,L500),IF(LEN(COUNTIFS($H$1:H500,$H500,$I$1:I500,$I500,$J$1:J500,$J500,$K$1:K500,K500,$L$1:L500,L500))=2,"0"&amp;COUNTIFS($H$1:H500,$H500,$I$1:I500,$I500,$J$1:J500,$J500,$K$1:K500,K500,$L$1:L500,L500),COUNTIFS($H$1:H500,$H500,$I$1:I500,$I500,$J$1:J500,$J500,$K$1:K500,K500,$L$1:L500,L500)))</f>
        <v>006</v>
      </c>
      <c r="N50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00" s="14" t="e">
        <f>+LEN(Table4[[#This Row],[New Item Code]])</f>
        <v>#N/A</v>
      </c>
      <c r="P500" s="15" t="s">
        <v>4747</v>
      </c>
      <c r="Q500" s="15" t="s">
        <v>4749</v>
      </c>
      <c r="R500" s="15"/>
      <c r="S500" s="15"/>
      <c r="T500" s="15" t="s">
        <v>4673</v>
      </c>
    </row>
    <row r="501" spans="1:20" x14ac:dyDescent="0.35">
      <c r="A501" s="3" t="s">
        <v>1007</v>
      </c>
      <c r="B501" s="3" t="s">
        <v>1008</v>
      </c>
      <c r="C501" s="3" t="s">
        <v>15</v>
      </c>
      <c r="D501" s="3">
        <v>0</v>
      </c>
      <c r="E501" s="3" t="s">
        <v>10</v>
      </c>
      <c r="F501" s="3">
        <v>0</v>
      </c>
      <c r="G501" s="21">
        <f>Table4[[#This Row],[Item Cost]]*Table4[[#This Row],[In Stock]]</f>
        <v>0</v>
      </c>
      <c r="H501" s="12" t="s">
        <v>4661</v>
      </c>
      <c r="I501" s="13" t="s">
        <v>4666</v>
      </c>
      <c r="J501" s="13" t="s">
        <v>4673</v>
      </c>
      <c r="K501" s="13" t="s">
        <v>4672</v>
      </c>
      <c r="L501" s="12" t="s">
        <v>4672</v>
      </c>
      <c r="M501" s="17" t="str">
        <f>IF(LEN(COUNTIFS($H$1:H501,$H501,$I$1:I501,$I501,$J$1:J501,$J501,$K$1:K501,K501,$L$1:L501,L501))=1,"00"&amp;COUNTIFS($H$1:H501,$H501,$I$1:I501,$I501,$J$1:J501,$J501,$K$1:K501,K501,$L$1:L501,L501),IF(LEN(COUNTIFS($H$1:H501,$H501,$I$1:I501,$I501,$J$1:J501,$J501,$K$1:K501,K501,$L$1:L501,L501))=2,"0"&amp;COUNTIFS($H$1:H501,$H501,$I$1:I501,$I501,$J$1:J501,$J501,$K$1:K501,K501,$L$1:L501,L501),COUNTIFS($H$1:H501,$H501,$I$1:I501,$I501,$J$1:J501,$J501,$K$1:K501,K501,$L$1:L501,L501)))</f>
        <v>007</v>
      </c>
      <c r="N50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01" s="14" t="e">
        <f>+LEN(Table4[[#This Row],[New Item Code]])</f>
        <v>#N/A</v>
      </c>
      <c r="P501" s="15" t="s">
        <v>4747</v>
      </c>
      <c r="Q501" s="15" t="s">
        <v>4749</v>
      </c>
      <c r="R501" s="15"/>
      <c r="S501" s="15"/>
      <c r="T501" s="15" t="s">
        <v>4673</v>
      </c>
    </row>
    <row r="502" spans="1:20" x14ac:dyDescent="0.35">
      <c r="A502" s="2" t="s">
        <v>1009</v>
      </c>
      <c r="B502" s="2" t="s">
        <v>1010</v>
      </c>
      <c r="C502" s="2" t="s">
        <v>15</v>
      </c>
      <c r="D502" s="2">
        <v>0</v>
      </c>
      <c r="E502" s="2" t="s">
        <v>10</v>
      </c>
      <c r="F502" s="2">
        <v>0</v>
      </c>
      <c r="G502" s="22">
        <f>Table4[[#This Row],[Item Cost]]*Table4[[#This Row],[In Stock]]</f>
        <v>0</v>
      </c>
      <c r="H502" s="12" t="s">
        <v>4661</v>
      </c>
      <c r="I502" s="13" t="s">
        <v>4666</v>
      </c>
      <c r="J502" s="13" t="s">
        <v>4673</v>
      </c>
      <c r="K502" s="13" t="s">
        <v>4672</v>
      </c>
      <c r="L502" s="12" t="s">
        <v>4672</v>
      </c>
      <c r="M502" s="17" t="str">
        <f>IF(LEN(COUNTIFS($H$1:H502,$H502,$I$1:I502,$I502,$J$1:J502,$J502,$K$1:K502,K502,$L$1:L502,L502))=1,"00"&amp;COUNTIFS($H$1:H502,$H502,$I$1:I502,$I502,$J$1:J502,$J502,$K$1:K502,K502,$L$1:L502,L502),IF(LEN(COUNTIFS($H$1:H502,$H502,$I$1:I502,$I502,$J$1:J502,$J502,$K$1:K502,K502,$L$1:L502,L502))=2,"0"&amp;COUNTIFS($H$1:H502,$H502,$I$1:I502,$I502,$J$1:J502,$J502,$K$1:K502,K502,$L$1:L502,L502),COUNTIFS($H$1:H502,$H502,$I$1:I502,$I502,$J$1:J502,$J502,$K$1:K502,K502,$L$1:L502,L502)))</f>
        <v>008</v>
      </c>
      <c r="N50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02" s="14" t="e">
        <f>+LEN(Table4[[#This Row],[New Item Code]])</f>
        <v>#N/A</v>
      </c>
      <c r="P502" s="15" t="s">
        <v>4747</v>
      </c>
      <c r="Q502" s="15" t="s">
        <v>4749</v>
      </c>
      <c r="R502" s="15"/>
      <c r="S502" s="15"/>
      <c r="T502" s="15" t="s">
        <v>4673</v>
      </c>
    </row>
    <row r="503" spans="1:20" x14ac:dyDescent="0.35">
      <c r="A503" s="3" t="s">
        <v>1011</v>
      </c>
      <c r="B503" s="3" t="s">
        <v>1012</v>
      </c>
      <c r="C503" s="3" t="s">
        <v>15</v>
      </c>
      <c r="D503" s="3">
        <v>0</v>
      </c>
      <c r="E503" s="3" t="s">
        <v>10</v>
      </c>
      <c r="F503" s="3">
        <v>0</v>
      </c>
      <c r="G503" s="21">
        <f>Table4[[#This Row],[Item Cost]]*Table4[[#This Row],[In Stock]]</f>
        <v>0</v>
      </c>
      <c r="H503" s="12" t="s">
        <v>4661</v>
      </c>
      <c r="I503" s="13" t="s">
        <v>4666</v>
      </c>
      <c r="J503" s="13" t="s">
        <v>4673</v>
      </c>
      <c r="K503" s="13" t="s">
        <v>4672</v>
      </c>
      <c r="L503" s="12" t="s">
        <v>4672</v>
      </c>
      <c r="M503" s="17" t="str">
        <f>IF(LEN(COUNTIFS($H$1:H503,$H503,$I$1:I503,$I503,$J$1:J503,$J503,$K$1:K503,K503,$L$1:L503,L503))=1,"00"&amp;COUNTIFS($H$1:H503,$H503,$I$1:I503,$I503,$J$1:J503,$J503,$K$1:K503,K503,$L$1:L503,L503),IF(LEN(COUNTIFS($H$1:H503,$H503,$I$1:I503,$I503,$J$1:J503,$J503,$K$1:K503,K503,$L$1:L503,L503))=2,"0"&amp;COUNTIFS($H$1:H503,$H503,$I$1:I503,$I503,$J$1:J503,$J503,$K$1:K503,K503,$L$1:L503,L503),COUNTIFS($H$1:H503,$H503,$I$1:I503,$I503,$J$1:J503,$J503,$K$1:K503,K503,$L$1:L503,L503)))</f>
        <v>009</v>
      </c>
      <c r="N50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03" s="14" t="e">
        <f>+LEN(Table4[[#This Row],[New Item Code]])</f>
        <v>#N/A</v>
      </c>
      <c r="P503" s="15" t="s">
        <v>4747</v>
      </c>
      <c r="Q503" s="15" t="s">
        <v>4749</v>
      </c>
      <c r="R503" s="15"/>
      <c r="S503" s="15"/>
      <c r="T503" s="15" t="s">
        <v>4673</v>
      </c>
    </row>
    <row r="504" spans="1:20" x14ac:dyDescent="0.35">
      <c r="A504" s="2" t="s">
        <v>1013</v>
      </c>
      <c r="B504" s="2" t="s">
        <v>1014</v>
      </c>
      <c r="C504" s="2" t="s">
        <v>15</v>
      </c>
      <c r="D504" s="2">
        <v>0</v>
      </c>
      <c r="E504" s="2" t="s">
        <v>10</v>
      </c>
      <c r="F504" s="2">
        <v>0</v>
      </c>
      <c r="G504" s="22">
        <f>Table4[[#This Row],[Item Cost]]*Table4[[#This Row],[In Stock]]</f>
        <v>0</v>
      </c>
      <c r="H504" s="12" t="s">
        <v>4661</v>
      </c>
      <c r="I504" s="13" t="s">
        <v>4666</v>
      </c>
      <c r="J504" s="13" t="s">
        <v>4673</v>
      </c>
      <c r="K504" s="13" t="s">
        <v>4672</v>
      </c>
      <c r="L504" s="12" t="s">
        <v>4672</v>
      </c>
      <c r="M504" s="17" t="str">
        <f>IF(LEN(COUNTIFS($H$1:H504,$H504,$I$1:I504,$I504,$J$1:J504,$J504,$K$1:K504,K504,$L$1:L504,L504))=1,"00"&amp;COUNTIFS($H$1:H504,$H504,$I$1:I504,$I504,$J$1:J504,$J504,$K$1:K504,K504,$L$1:L504,L504),IF(LEN(COUNTIFS($H$1:H504,$H504,$I$1:I504,$I504,$J$1:J504,$J504,$K$1:K504,K504,$L$1:L504,L504))=2,"0"&amp;COUNTIFS($H$1:H504,$H504,$I$1:I504,$I504,$J$1:J504,$J504,$K$1:K504,K504,$L$1:L504,L504),COUNTIFS($H$1:H504,$H504,$I$1:I504,$I504,$J$1:J504,$J504,$K$1:K504,K504,$L$1:L504,L504)))</f>
        <v>010</v>
      </c>
      <c r="N50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04" s="14" t="e">
        <f>+LEN(Table4[[#This Row],[New Item Code]])</f>
        <v>#N/A</v>
      </c>
      <c r="P504" s="15" t="s">
        <v>4747</v>
      </c>
      <c r="Q504" s="15" t="s">
        <v>4749</v>
      </c>
      <c r="R504" s="15"/>
      <c r="S504" s="15"/>
      <c r="T504" s="15" t="s">
        <v>4673</v>
      </c>
    </row>
    <row r="505" spans="1:20" x14ac:dyDescent="0.35">
      <c r="A505" s="3" t="s">
        <v>1015</v>
      </c>
      <c r="B505" s="3" t="s">
        <v>1016</v>
      </c>
      <c r="C505" s="3" t="s">
        <v>9</v>
      </c>
      <c r="D505" s="3">
        <v>65</v>
      </c>
      <c r="E505" s="3" t="s">
        <v>10</v>
      </c>
      <c r="F505" s="3">
        <v>1</v>
      </c>
      <c r="G505" s="21">
        <f>Table4[[#This Row],[Item Cost]]*Table4[[#This Row],[In Stock]]</f>
        <v>65</v>
      </c>
      <c r="H505" s="12" t="s">
        <v>4661</v>
      </c>
      <c r="I505" s="13" t="s">
        <v>4664</v>
      </c>
      <c r="J505" s="13" t="s">
        <v>4673</v>
      </c>
      <c r="K505" t="s">
        <v>4795</v>
      </c>
      <c r="L505" s="12" t="s">
        <v>4672</v>
      </c>
      <c r="M505" s="17" t="str">
        <f>IF(LEN(COUNTIFS($H$1:H505,$H505,$I$1:I505,$I505,$J$1:J505,$J505,$K$1:K505,K505,$L$1:L505,L505))=1,"00"&amp;COUNTIFS($H$1:H505,$H505,$I$1:I505,$I505,$J$1:J505,$J505,$K$1:K505,K505,$L$1:L505,L505),IF(LEN(COUNTIFS($H$1:H505,$H505,$I$1:I505,$I505,$J$1:J505,$J505,$K$1:K505,K505,$L$1:L505,L505))=2,"0"&amp;COUNTIFS($H$1:H505,$H505,$I$1:I505,$I505,$J$1:J505,$J505,$K$1:K505,K505,$L$1:L505,L505),COUNTIFS($H$1:H505,$H505,$I$1:I505,$I505,$J$1:J505,$J505,$K$1:K505,K505,$L$1:L505,L505)))</f>
        <v>002</v>
      </c>
      <c r="N50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05" s="14" t="e">
        <f>+LEN(Table4[[#This Row],[New Item Code]])</f>
        <v>#N/A</v>
      </c>
      <c r="P505" s="15" t="s">
        <v>4747</v>
      </c>
      <c r="Q505" s="15" t="s">
        <v>4749</v>
      </c>
      <c r="R505" s="15"/>
      <c r="S505" s="15"/>
      <c r="T505" s="15" t="s">
        <v>4673</v>
      </c>
    </row>
    <row r="506" spans="1:20" x14ac:dyDescent="0.35">
      <c r="A506" s="2" t="s">
        <v>1017</v>
      </c>
      <c r="B506" s="2" t="s">
        <v>1018</v>
      </c>
      <c r="C506" s="2" t="s">
        <v>9</v>
      </c>
      <c r="D506" s="2">
        <v>240</v>
      </c>
      <c r="E506" s="2" t="s">
        <v>10</v>
      </c>
      <c r="F506" s="2">
        <v>4</v>
      </c>
      <c r="G506" s="22">
        <f>Table4[[#This Row],[Item Cost]]*Table4[[#This Row],[In Stock]]</f>
        <v>960</v>
      </c>
      <c r="H506" s="12" t="s">
        <v>4661</v>
      </c>
      <c r="I506" s="13" t="s">
        <v>4664</v>
      </c>
      <c r="J506" s="13" t="s">
        <v>4673</v>
      </c>
      <c r="K506" s="13" t="s">
        <v>4672</v>
      </c>
      <c r="L506" s="12" t="s">
        <v>4672</v>
      </c>
      <c r="M506" s="17" t="str">
        <f>IF(LEN(COUNTIFS($H$1:H506,$H506,$I$1:I506,$I506,$J$1:J506,$J506,$K$1:K506,K506,$L$1:L506,L506))=1,"00"&amp;COUNTIFS($H$1:H506,$H506,$I$1:I506,$I506,$J$1:J506,$J506,$K$1:K506,K506,$L$1:L506,L506),IF(LEN(COUNTIFS($H$1:H506,$H506,$I$1:I506,$I506,$J$1:J506,$J506,$K$1:K506,K506,$L$1:L506,L506))=2,"0"&amp;COUNTIFS($H$1:H506,$H506,$I$1:I506,$I506,$J$1:J506,$J506,$K$1:K506,K506,$L$1:L506,L506),COUNTIFS($H$1:H506,$H506,$I$1:I506,$I506,$J$1:J506,$J506,$K$1:K506,K506,$L$1:L506,L506)))</f>
        <v>007</v>
      </c>
      <c r="N50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06" s="14" t="e">
        <f>+LEN(Table4[[#This Row],[New Item Code]])</f>
        <v>#N/A</v>
      </c>
      <c r="P506" s="15" t="s">
        <v>4747</v>
      </c>
      <c r="Q506" s="15" t="s">
        <v>4749</v>
      </c>
      <c r="R506" s="15"/>
      <c r="S506" s="15"/>
      <c r="T506" s="15" t="s">
        <v>4673</v>
      </c>
    </row>
    <row r="507" spans="1:20" x14ac:dyDescent="0.35">
      <c r="A507" s="3" t="s">
        <v>1019</v>
      </c>
      <c r="B507" s="3" t="s">
        <v>1020</v>
      </c>
      <c r="C507" s="3" t="s">
        <v>9</v>
      </c>
      <c r="D507" s="3">
        <v>495</v>
      </c>
      <c r="E507" s="3" t="s">
        <v>10</v>
      </c>
      <c r="F507" s="3">
        <v>2</v>
      </c>
      <c r="G507" s="21">
        <f>Table4[[#This Row],[Item Cost]]*Table4[[#This Row],[In Stock]]</f>
        <v>990</v>
      </c>
      <c r="H507" s="12" t="s">
        <v>4661</v>
      </c>
      <c r="I507" s="13" t="s">
        <v>4664</v>
      </c>
      <c r="J507" s="13" t="s">
        <v>4673</v>
      </c>
      <c r="K507" s="13" t="s">
        <v>4672</v>
      </c>
      <c r="L507" s="12" t="s">
        <v>4672</v>
      </c>
      <c r="M507" s="17" t="str">
        <f>IF(LEN(COUNTIFS($H$1:H507,$H507,$I$1:I507,$I507,$J$1:J507,$J507,$K$1:K507,K507,$L$1:L507,L507))=1,"00"&amp;COUNTIFS($H$1:H507,$H507,$I$1:I507,$I507,$J$1:J507,$J507,$K$1:K507,K507,$L$1:L507,L507),IF(LEN(COUNTIFS($H$1:H507,$H507,$I$1:I507,$I507,$J$1:J507,$J507,$K$1:K507,K507,$L$1:L507,L507))=2,"0"&amp;COUNTIFS($H$1:H507,$H507,$I$1:I507,$I507,$J$1:J507,$J507,$K$1:K507,K507,$L$1:L507,L507),COUNTIFS($H$1:H507,$H507,$I$1:I507,$I507,$J$1:J507,$J507,$K$1:K507,K507,$L$1:L507,L507)))</f>
        <v>008</v>
      </c>
      <c r="N50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07" s="14" t="e">
        <f>+LEN(Table4[[#This Row],[New Item Code]])</f>
        <v>#N/A</v>
      </c>
      <c r="P507" s="15" t="s">
        <v>4747</v>
      </c>
      <c r="Q507" s="15" t="s">
        <v>4749</v>
      </c>
      <c r="R507" s="15"/>
      <c r="S507" s="15"/>
      <c r="T507" s="15" t="s">
        <v>4673</v>
      </c>
    </row>
    <row r="508" spans="1:20" x14ac:dyDescent="0.35">
      <c r="A508" s="2" t="s">
        <v>1021</v>
      </c>
      <c r="B508" s="2" t="s">
        <v>1022</v>
      </c>
      <c r="C508" s="2" t="s">
        <v>9</v>
      </c>
      <c r="D508" s="2">
        <v>32</v>
      </c>
      <c r="E508" s="2" t="s">
        <v>10</v>
      </c>
      <c r="F508" s="2">
        <v>4</v>
      </c>
      <c r="G508" s="22">
        <f>Table4[[#This Row],[Item Cost]]*Table4[[#This Row],[In Stock]]</f>
        <v>128</v>
      </c>
      <c r="H508" s="12" t="s">
        <v>4661</v>
      </c>
      <c r="I508" s="13" t="s">
        <v>4664</v>
      </c>
      <c r="J508" s="13" t="s">
        <v>4673</v>
      </c>
      <c r="K508" s="13" t="s">
        <v>4672</v>
      </c>
      <c r="L508" s="12" t="s">
        <v>4672</v>
      </c>
      <c r="M508" s="17" t="str">
        <f>IF(LEN(COUNTIFS($H$1:H508,$H508,$I$1:I508,$I508,$J$1:J508,$J508,$K$1:K508,K508,$L$1:L508,L508))=1,"00"&amp;COUNTIFS($H$1:H508,$H508,$I$1:I508,$I508,$J$1:J508,$J508,$K$1:K508,K508,$L$1:L508,L508),IF(LEN(COUNTIFS($H$1:H508,$H508,$I$1:I508,$I508,$J$1:J508,$J508,$K$1:K508,K508,$L$1:L508,L508))=2,"0"&amp;COUNTIFS($H$1:H508,$H508,$I$1:I508,$I508,$J$1:J508,$J508,$K$1:K508,K508,$L$1:L508,L508),COUNTIFS($H$1:H508,$H508,$I$1:I508,$I508,$J$1:J508,$J508,$K$1:K508,K508,$L$1:L508,L508)))</f>
        <v>009</v>
      </c>
      <c r="N50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08" s="14" t="e">
        <f>+LEN(Table4[[#This Row],[New Item Code]])</f>
        <v>#N/A</v>
      </c>
      <c r="P508" s="15" t="s">
        <v>4747</v>
      </c>
      <c r="Q508" s="15" t="s">
        <v>4749</v>
      </c>
      <c r="R508" s="15"/>
      <c r="S508" s="15"/>
      <c r="T508" s="15" t="s">
        <v>4673</v>
      </c>
    </row>
    <row r="509" spans="1:20" x14ac:dyDescent="0.35">
      <c r="A509" s="3" t="s">
        <v>1023</v>
      </c>
      <c r="B509" s="3" t="s">
        <v>1024</v>
      </c>
      <c r="C509" s="3" t="s">
        <v>9</v>
      </c>
      <c r="D509" s="3">
        <v>95</v>
      </c>
      <c r="E509" s="3" t="s">
        <v>10</v>
      </c>
      <c r="F509" s="3">
        <v>0</v>
      </c>
      <c r="G509" s="21">
        <f>Table4[[#This Row],[Item Cost]]*Table4[[#This Row],[In Stock]]</f>
        <v>0</v>
      </c>
      <c r="H509" s="12" t="s">
        <v>4661</v>
      </c>
      <c r="I509" s="13" t="s">
        <v>4664</v>
      </c>
      <c r="J509" s="13" t="s">
        <v>4673</v>
      </c>
      <c r="K509" s="13" t="s">
        <v>4672</v>
      </c>
      <c r="L509" s="12" t="s">
        <v>4672</v>
      </c>
      <c r="M509" s="17" t="str">
        <f>IF(LEN(COUNTIFS($H$1:H509,$H509,$I$1:I509,$I509,$J$1:J509,$J509,$K$1:K509,K509,$L$1:L509,L509))=1,"00"&amp;COUNTIFS($H$1:H509,$H509,$I$1:I509,$I509,$J$1:J509,$J509,$K$1:K509,K509,$L$1:L509,L509),IF(LEN(COUNTIFS($H$1:H509,$H509,$I$1:I509,$I509,$J$1:J509,$J509,$K$1:K509,K509,$L$1:L509,L509))=2,"0"&amp;COUNTIFS($H$1:H509,$H509,$I$1:I509,$I509,$J$1:J509,$J509,$K$1:K509,K509,$L$1:L509,L509),COUNTIFS($H$1:H509,$H509,$I$1:I509,$I509,$J$1:J509,$J509,$K$1:K509,K509,$L$1:L509,L509)))</f>
        <v>010</v>
      </c>
      <c r="N50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09" s="14" t="e">
        <f>+LEN(Table4[[#This Row],[New Item Code]])</f>
        <v>#N/A</v>
      </c>
      <c r="P509" s="15" t="s">
        <v>4747</v>
      </c>
      <c r="Q509" s="15" t="s">
        <v>4749</v>
      </c>
      <c r="R509" s="15"/>
      <c r="S509" s="15"/>
      <c r="T509" s="15" t="s">
        <v>4673</v>
      </c>
    </row>
    <row r="510" spans="1:20" x14ac:dyDescent="0.35">
      <c r="A510" s="2" t="s">
        <v>1025</v>
      </c>
      <c r="B510" s="2" t="s">
        <v>1026</v>
      </c>
      <c r="C510" s="2" t="s">
        <v>9</v>
      </c>
      <c r="D510" s="4">
        <v>1000</v>
      </c>
      <c r="E510" s="2" t="s">
        <v>10</v>
      </c>
      <c r="F510" s="2">
        <v>1</v>
      </c>
      <c r="G510" s="22">
        <f>Table4[[#This Row],[Item Cost]]*Table4[[#This Row],[In Stock]]</f>
        <v>1000</v>
      </c>
      <c r="H510" s="12" t="s">
        <v>4661</v>
      </c>
      <c r="I510" s="13" t="s">
        <v>4664</v>
      </c>
      <c r="J510" s="13" t="s">
        <v>4673</v>
      </c>
      <c r="K510" s="13" t="s">
        <v>4672</v>
      </c>
      <c r="L510" s="12" t="s">
        <v>4672</v>
      </c>
      <c r="M510" s="17" t="str">
        <f>IF(LEN(COUNTIFS($H$1:H510,$H510,$I$1:I510,$I510,$J$1:J510,$J510,$K$1:K510,K510,$L$1:L510,L510))=1,"00"&amp;COUNTIFS($H$1:H510,$H510,$I$1:I510,$I510,$J$1:J510,$J510,$K$1:K510,K510,$L$1:L510,L510),IF(LEN(COUNTIFS($H$1:H510,$H510,$I$1:I510,$I510,$J$1:J510,$J510,$K$1:K510,K510,$L$1:L510,L510))=2,"0"&amp;COUNTIFS($H$1:H510,$H510,$I$1:I510,$I510,$J$1:J510,$J510,$K$1:K510,K510,$L$1:L510,L510),COUNTIFS($H$1:H510,$H510,$I$1:I510,$I510,$J$1:J510,$J510,$K$1:K510,K510,$L$1:L510,L510)))</f>
        <v>011</v>
      </c>
      <c r="N51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10" s="14" t="e">
        <f>+LEN(Table4[[#This Row],[New Item Code]])</f>
        <v>#N/A</v>
      </c>
      <c r="P510" s="15" t="s">
        <v>4747</v>
      </c>
      <c r="Q510" s="15" t="s">
        <v>4749</v>
      </c>
      <c r="R510" s="15"/>
      <c r="S510" s="15"/>
      <c r="T510" s="15" t="s">
        <v>4673</v>
      </c>
    </row>
    <row r="511" spans="1:20" x14ac:dyDescent="0.35">
      <c r="A511" s="3" t="s">
        <v>1027</v>
      </c>
      <c r="B511" s="3" t="s">
        <v>1028</v>
      </c>
      <c r="C511" s="3" t="s">
        <v>15</v>
      </c>
      <c r="D511" s="5">
        <v>22500</v>
      </c>
      <c r="E511" s="3" t="s">
        <v>10</v>
      </c>
      <c r="F511" s="3">
        <v>0</v>
      </c>
      <c r="G511" s="21">
        <f>Table4[[#This Row],[Item Cost]]*Table4[[#This Row],[In Stock]]</f>
        <v>0</v>
      </c>
      <c r="H511" s="12" t="s">
        <v>4661</v>
      </c>
      <c r="I511" s="13" t="s">
        <v>4666</v>
      </c>
      <c r="J511" s="13" t="s">
        <v>4673</v>
      </c>
      <c r="K511" s="13" t="s">
        <v>4672</v>
      </c>
      <c r="L511" s="12" t="s">
        <v>4672</v>
      </c>
      <c r="M511" s="17" t="str">
        <f>IF(LEN(COUNTIFS($H$1:H511,$H511,$I$1:I511,$I511,$J$1:J511,$J511,$K$1:K511,K511,$L$1:L511,L511))=1,"00"&amp;COUNTIFS($H$1:H511,$H511,$I$1:I511,$I511,$J$1:J511,$J511,$K$1:K511,K511,$L$1:L511,L511),IF(LEN(COUNTIFS($H$1:H511,$H511,$I$1:I511,$I511,$J$1:J511,$J511,$K$1:K511,K511,$L$1:L511,L511))=2,"0"&amp;COUNTIFS($H$1:H511,$H511,$I$1:I511,$I511,$J$1:J511,$J511,$K$1:K511,K511,$L$1:L511,L511),COUNTIFS($H$1:H511,$H511,$I$1:I511,$I511,$J$1:J511,$J511,$K$1:K511,K511,$L$1:L511,L511)))</f>
        <v>011</v>
      </c>
      <c r="N51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11" s="14" t="e">
        <f>+LEN(Table4[[#This Row],[New Item Code]])</f>
        <v>#N/A</v>
      </c>
      <c r="P511" s="15" t="s">
        <v>4747</v>
      </c>
      <c r="Q511" s="15" t="s">
        <v>4749</v>
      </c>
      <c r="R511" s="15"/>
      <c r="S511" s="15"/>
      <c r="T511" s="15" t="s">
        <v>4673</v>
      </c>
    </row>
    <row r="512" spans="1:20" x14ac:dyDescent="0.35">
      <c r="A512" s="2" t="s">
        <v>1029</v>
      </c>
      <c r="B512" s="2" t="s">
        <v>1030</v>
      </c>
      <c r="C512" s="2" t="s">
        <v>15</v>
      </c>
      <c r="D512" s="4">
        <v>11500</v>
      </c>
      <c r="E512" s="2" t="s">
        <v>10</v>
      </c>
      <c r="F512" s="2">
        <v>0</v>
      </c>
      <c r="G512" s="22">
        <f>Table4[[#This Row],[Item Cost]]*Table4[[#This Row],[In Stock]]</f>
        <v>0</v>
      </c>
      <c r="H512" s="12" t="s">
        <v>4661</v>
      </c>
      <c r="I512" s="13" t="s">
        <v>4666</v>
      </c>
      <c r="J512" s="13" t="s">
        <v>4673</v>
      </c>
      <c r="K512" s="13" t="s">
        <v>4672</v>
      </c>
      <c r="L512" s="12" t="s">
        <v>4672</v>
      </c>
      <c r="M512" s="17" t="str">
        <f>IF(LEN(COUNTIFS($H$1:H512,$H512,$I$1:I512,$I512,$J$1:J512,$J512,$K$1:K512,K512,$L$1:L512,L512))=1,"00"&amp;COUNTIFS($H$1:H512,$H512,$I$1:I512,$I512,$J$1:J512,$J512,$K$1:K512,K512,$L$1:L512,L512),IF(LEN(COUNTIFS($H$1:H512,$H512,$I$1:I512,$I512,$J$1:J512,$J512,$K$1:K512,K512,$L$1:L512,L512))=2,"0"&amp;COUNTIFS($H$1:H512,$H512,$I$1:I512,$I512,$J$1:J512,$J512,$K$1:K512,K512,$L$1:L512,L512),COUNTIFS($H$1:H512,$H512,$I$1:I512,$I512,$J$1:J512,$J512,$K$1:K512,K512,$L$1:L512,L512)))</f>
        <v>012</v>
      </c>
      <c r="N51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12" s="14" t="e">
        <f>+LEN(Table4[[#This Row],[New Item Code]])</f>
        <v>#N/A</v>
      </c>
      <c r="P512" s="15" t="s">
        <v>4747</v>
      </c>
      <c r="Q512" s="15" t="s">
        <v>4749</v>
      </c>
      <c r="R512" s="15"/>
      <c r="S512" s="15"/>
      <c r="T512" s="15" t="s">
        <v>4673</v>
      </c>
    </row>
    <row r="513" spans="1:20" x14ac:dyDescent="0.35">
      <c r="A513" s="3" t="s">
        <v>1031</v>
      </c>
      <c r="B513" s="3" t="s">
        <v>1032</v>
      </c>
      <c r="C513" s="3" t="s">
        <v>15</v>
      </c>
      <c r="D513" s="5">
        <v>9750</v>
      </c>
      <c r="E513" s="3" t="s">
        <v>10</v>
      </c>
      <c r="F513" s="3">
        <v>0</v>
      </c>
      <c r="G513" s="21">
        <f>Table4[[#This Row],[Item Cost]]*Table4[[#This Row],[In Stock]]</f>
        <v>0</v>
      </c>
      <c r="H513" s="12" t="s">
        <v>4661</v>
      </c>
      <c r="I513" s="13" t="s">
        <v>4666</v>
      </c>
      <c r="J513" s="13" t="s">
        <v>4673</v>
      </c>
      <c r="K513" s="13" t="s">
        <v>4672</v>
      </c>
      <c r="L513" s="12" t="s">
        <v>4672</v>
      </c>
      <c r="M513" s="17" t="str">
        <f>IF(LEN(COUNTIFS($H$1:H513,$H513,$I$1:I513,$I513,$J$1:J513,$J513,$K$1:K513,K513,$L$1:L513,L513))=1,"00"&amp;COUNTIFS($H$1:H513,$H513,$I$1:I513,$I513,$J$1:J513,$J513,$K$1:K513,K513,$L$1:L513,L513),IF(LEN(COUNTIFS($H$1:H513,$H513,$I$1:I513,$I513,$J$1:J513,$J513,$K$1:K513,K513,$L$1:L513,L513))=2,"0"&amp;COUNTIFS($H$1:H513,$H513,$I$1:I513,$I513,$J$1:J513,$J513,$K$1:K513,K513,$L$1:L513,L513),COUNTIFS($H$1:H513,$H513,$I$1:I513,$I513,$J$1:J513,$J513,$K$1:K513,K513,$L$1:L513,L513)))</f>
        <v>013</v>
      </c>
      <c r="N51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13" s="14" t="e">
        <f>+LEN(Table4[[#This Row],[New Item Code]])</f>
        <v>#N/A</v>
      </c>
      <c r="P513" s="15" t="s">
        <v>4747</v>
      </c>
      <c r="Q513" s="15" t="s">
        <v>4749</v>
      </c>
      <c r="R513" s="15"/>
      <c r="S513" s="15"/>
      <c r="T513" s="15" t="s">
        <v>4673</v>
      </c>
    </row>
    <row r="514" spans="1:20" x14ac:dyDescent="0.35">
      <c r="A514" s="2" t="s">
        <v>1033</v>
      </c>
      <c r="B514" s="2" t="s">
        <v>1034</v>
      </c>
      <c r="C514" s="2" t="s">
        <v>15</v>
      </c>
      <c r="D514" s="4">
        <v>15500</v>
      </c>
      <c r="E514" s="2" t="s">
        <v>10</v>
      </c>
      <c r="F514" s="2">
        <v>0</v>
      </c>
      <c r="G514" s="22">
        <f>Table4[[#This Row],[Item Cost]]*Table4[[#This Row],[In Stock]]</f>
        <v>0</v>
      </c>
      <c r="H514" s="12" t="s">
        <v>4661</v>
      </c>
      <c r="I514" s="13" t="s">
        <v>4666</v>
      </c>
      <c r="J514" s="13" t="s">
        <v>4673</v>
      </c>
      <c r="K514" s="13" t="s">
        <v>4672</v>
      </c>
      <c r="L514" s="12" t="s">
        <v>4672</v>
      </c>
      <c r="M514" s="17" t="str">
        <f>IF(LEN(COUNTIFS($H$1:H514,$H514,$I$1:I514,$I514,$J$1:J514,$J514,$K$1:K514,K514,$L$1:L514,L514))=1,"00"&amp;COUNTIFS($H$1:H514,$H514,$I$1:I514,$I514,$J$1:J514,$J514,$K$1:K514,K514,$L$1:L514,L514),IF(LEN(COUNTIFS($H$1:H514,$H514,$I$1:I514,$I514,$J$1:J514,$J514,$K$1:K514,K514,$L$1:L514,L514))=2,"0"&amp;COUNTIFS($H$1:H514,$H514,$I$1:I514,$I514,$J$1:J514,$J514,$K$1:K514,K514,$L$1:L514,L514),COUNTIFS($H$1:H514,$H514,$I$1:I514,$I514,$J$1:J514,$J514,$K$1:K514,K514,$L$1:L514,L514)))</f>
        <v>014</v>
      </c>
      <c r="N51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14" s="14" t="e">
        <f>+LEN(Table4[[#This Row],[New Item Code]])</f>
        <v>#N/A</v>
      </c>
      <c r="P514" s="15" t="s">
        <v>4747</v>
      </c>
      <c r="Q514" s="15" t="s">
        <v>4749</v>
      </c>
      <c r="R514" s="15"/>
      <c r="S514" s="15"/>
      <c r="T514" s="15" t="s">
        <v>4673</v>
      </c>
    </row>
    <row r="515" spans="1:20" x14ac:dyDescent="0.35">
      <c r="A515" s="3" t="s">
        <v>1035</v>
      </c>
      <c r="B515" s="3" t="s">
        <v>1036</v>
      </c>
      <c r="C515" s="3" t="s">
        <v>15</v>
      </c>
      <c r="D515" s="3">
        <v>0</v>
      </c>
      <c r="E515" s="3" t="s">
        <v>10</v>
      </c>
      <c r="F515" s="3">
        <v>0</v>
      </c>
      <c r="G515" s="21">
        <f>Table4[[#This Row],[Item Cost]]*Table4[[#This Row],[In Stock]]</f>
        <v>0</v>
      </c>
      <c r="H515" s="12" t="s">
        <v>4661</v>
      </c>
      <c r="I515" s="13" t="s">
        <v>4666</v>
      </c>
      <c r="J515" s="13" t="s">
        <v>4673</v>
      </c>
      <c r="K515" s="13" t="s">
        <v>4672</v>
      </c>
      <c r="L515" s="12" t="s">
        <v>4672</v>
      </c>
      <c r="M515" s="17" t="str">
        <f>IF(LEN(COUNTIFS($H$1:H515,$H515,$I$1:I515,$I515,$J$1:J515,$J515,$K$1:K515,K515,$L$1:L515,L515))=1,"00"&amp;COUNTIFS($H$1:H515,$H515,$I$1:I515,$I515,$J$1:J515,$J515,$K$1:K515,K515,$L$1:L515,L515),IF(LEN(COUNTIFS($H$1:H515,$H515,$I$1:I515,$I515,$J$1:J515,$J515,$K$1:K515,K515,$L$1:L515,L515))=2,"0"&amp;COUNTIFS($H$1:H515,$H515,$I$1:I515,$I515,$J$1:J515,$J515,$K$1:K515,K515,$L$1:L515,L515),COUNTIFS($H$1:H515,$H515,$I$1:I515,$I515,$J$1:J515,$J515,$K$1:K515,K515,$L$1:L515,L515)))</f>
        <v>015</v>
      </c>
      <c r="N51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15" s="14" t="e">
        <f>+LEN(Table4[[#This Row],[New Item Code]])</f>
        <v>#N/A</v>
      </c>
      <c r="P515" s="15" t="s">
        <v>4747</v>
      </c>
      <c r="Q515" s="15" t="s">
        <v>4749</v>
      </c>
      <c r="R515" s="15"/>
      <c r="S515" s="15"/>
      <c r="T515" s="15" t="s">
        <v>4673</v>
      </c>
    </row>
    <row r="516" spans="1:20" x14ac:dyDescent="0.35">
      <c r="A516" s="2" t="s">
        <v>1037</v>
      </c>
      <c r="B516" s="2" t="s">
        <v>1038</v>
      </c>
      <c r="C516" s="2" t="s">
        <v>9</v>
      </c>
      <c r="D516" s="4">
        <v>9500</v>
      </c>
      <c r="E516" s="2" t="s">
        <v>10</v>
      </c>
      <c r="F516" s="2">
        <v>1</v>
      </c>
      <c r="G516" s="22">
        <f>Table4[[#This Row],[Item Cost]]*Table4[[#This Row],[In Stock]]</f>
        <v>9500</v>
      </c>
      <c r="H516" s="12" t="s">
        <v>4661</v>
      </c>
      <c r="I516" s="13" t="s">
        <v>4664</v>
      </c>
      <c r="J516" s="13" t="s">
        <v>4673</v>
      </c>
      <c r="K516" s="13" t="s">
        <v>4672</v>
      </c>
      <c r="L516" s="12" t="s">
        <v>4672</v>
      </c>
      <c r="M516" s="17" t="str">
        <f>IF(LEN(COUNTIFS($H$1:H516,$H516,$I$1:I516,$I516,$J$1:J516,$J516,$K$1:K516,K516,$L$1:L516,L516))=1,"00"&amp;COUNTIFS($H$1:H516,$H516,$I$1:I516,$I516,$J$1:J516,$J516,$K$1:K516,K516,$L$1:L516,L516),IF(LEN(COUNTIFS($H$1:H516,$H516,$I$1:I516,$I516,$J$1:J516,$J516,$K$1:K516,K516,$L$1:L516,L516))=2,"0"&amp;COUNTIFS($H$1:H516,$H516,$I$1:I516,$I516,$J$1:J516,$J516,$K$1:K516,K516,$L$1:L516,L516),COUNTIFS($H$1:H516,$H516,$I$1:I516,$I516,$J$1:J516,$J516,$K$1:K516,K516,$L$1:L516,L516)))</f>
        <v>012</v>
      </c>
      <c r="N51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16" s="14" t="e">
        <f>+LEN(Table4[[#This Row],[New Item Code]])</f>
        <v>#N/A</v>
      </c>
      <c r="P516" s="15" t="s">
        <v>4747</v>
      </c>
      <c r="Q516" s="15" t="s">
        <v>4749</v>
      </c>
      <c r="R516" s="15"/>
      <c r="S516" s="15"/>
      <c r="T516" s="15" t="s">
        <v>4673</v>
      </c>
    </row>
    <row r="517" spans="1:20" x14ac:dyDescent="0.35">
      <c r="A517" s="3" t="s">
        <v>1039</v>
      </c>
      <c r="B517" s="3" t="s">
        <v>1040</v>
      </c>
      <c r="C517" s="3" t="s">
        <v>15</v>
      </c>
      <c r="D517" s="5">
        <v>4630</v>
      </c>
      <c r="E517" s="3" t="s">
        <v>10</v>
      </c>
      <c r="F517" s="3">
        <v>0</v>
      </c>
      <c r="G517" s="21">
        <f>Table4[[#This Row],[Item Cost]]*Table4[[#This Row],[In Stock]]</f>
        <v>0</v>
      </c>
      <c r="H517" s="12" t="s">
        <v>4661</v>
      </c>
      <c r="I517" s="13" t="s">
        <v>4666</v>
      </c>
      <c r="J517" s="13" t="s">
        <v>4673</v>
      </c>
      <c r="K517" s="13" t="s">
        <v>4672</v>
      </c>
      <c r="L517" s="12" t="s">
        <v>4672</v>
      </c>
      <c r="M517" s="17" t="str">
        <f>IF(LEN(COUNTIFS($H$1:H517,$H517,$I$1:I517,$I517,$J$1:J517,$J517,$K$1:K517,K517,$L$1:L517,L517))=1,"00"&amp;COUNTIFS($H$1:H517,$H517,$I$1:I517,$I517,$J$1:J517,$J517,$K$1:K517,K517,$L$1:L517,L517),IF(LEN(COUNTIFS($H$1:H517,$H517,$I$1:I517,$I517,$J$1:J517,$J517,$K$1:K517,K517,$L$1:L517,L517))=2,"0"&amp;COUNTIFS($H$1:H517,$H517,$I$1:I517,$I517,$J$1:J517,$J517,$K$1:K517,K517,$L$1:L517,L517),COUNTIFS($H$1:H517,$H517,$I$1:I517,$I517,$J$1:J517,$J517,$K$1:K517,K517,$L$1:L517,L517)))</f>
        <v>016</v>
      </c>
      <c r="N51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17" s="14" t="e">
        <f>+LEN(Table4[[#This Row],[New Item Code]])</f>
        <v>#N/A</v>
      </c>
      <c r="P517" s="15" t="s">
        <v>4747</v>
      </c>
      <c r="Q517" s="15" t="s">
        <v>4749</v>
      </c>
      <c r="R517" s="15"/>
      <c r="S517" s="15"/>
      <c r="T517" s="15" t="s">
        <v>4673</v>
      </c>
    </row>
    <row r="518" spans="1:20" x14ac:dyDescent="0.35">
      <c r="A518" s="2" t="s">
        <v>1041</v>
      </c>
      <c r="B518" s="2" t="s">
        <v>1042</v>
      </c>
      <c r="C518" s="2" t="s">
        <v>9</v>
      </c>
      <c r="D518" s="4">
        <v>3000</v>
      </c>
      <c r="E518" s="2" t="s">
        <v>10</v>
      </c>
      <c r="F518" s="2">
        <v>1</v>
      </c>
      <c r="G518" s="22">
        <f>Table4[[#This Row],[Item Cost]]*Table4[[#This Row],[In Stock]]</f>
        <v>3000</v>
      </c>
      <c r="H518" s="12" t="s">
        <v>4661</v>
      </c>
      <c r="I518" s="13" t="s">
        <v>4664</v>
      </c>
      <c r="J518" s="13" t="s">
        <v>4673</v>
      </c>
      <c r="K518" s="13" t="s">
        <v>4672</v>
      </c>
      <c r="L518" s="12" t="s">
        <v>4672</v>
      </c>
      <c r="M518" s="17" t="str">
        <f>IF(LEN(COUNTIFS($H$1:H518,$H518,$I$1:I518,$I518,$J$1:J518,$J518,$K$1:K518,K518,$L$1:L518,L518))=1,"00"&amp;COUNTIFS($H$1:H518,$H518,$I$1:I518,$I518,$J$1:J518,$J518,$K$1:K518,K518,$L$1:L518,L518),IF(LEN(COUNTIFS($H$1:H518,$H518,$I$1:I518,$I518,$J$1:J518,$J518,$K$1:K518,K518,$L$1:L518,L518))=2,"0"&amp;COUNTIFS($H$1:H518,$H518,$I$1:I518,$I518,$J$1:J518,$J518,$K$1:K518,K518,$L$1:L518,L518),COUNTIFS($H$1:H518,$H518,$I$1:I518,$I518,$J$1:J518,$J518,$K$1:K518,K518,$L$1:L518,L518)))</f>
        <v>013</v>
      </c>
      <c r="N51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18" s="14" t="e">
        <f>+LEN(Table4[[#This Row],[New Item Code]])</f>
        <v>#N/A</v>
      </c>
      <c r="P518" s="15" t="s">
        <v>4747</v>
      </c>
      <c r="Q518" s="15" t="s">
        <v>4749</v>
      </c>
      <c r="R518" s="15"/>
      <c r="S518" s="15"/>
      <c r="T518" s="15" t="s">
        <v>4673</v>
      </c>
    </row>
    <row r="519" spans="1:20" x14ac:dyDescent="0.35">
      <c r="A519" s="3" t="s">
        <v>1043</v>
      </c>
      <c r="B519" s="3" t="s">
        <v>1044</v>
      </c>
      <c r="C519" s="3" t="s">
        <v>9</v>
      </c>
      <c r="D519" s="5">
        <v>1000</v>
      </c>
      <c r="E519" s="3" t="s">
        <v>10</v>
      </c>
      <c r="F519" s="3">
        <v>3</v>
      </c>
      <c r="G519" s="21">
        <f>Table4[[#This Row],[Item Cost]]*Table4[[#This Row],[In Stock]]</f>
        <v>3000</v>
      </c>
      <c r="H519" s="12" t="s">
        <v>4661</v>
      </c>
      <c r="I519" s="13" t="s">
        <v>4664</v>
      </c>
      <c r="J519" s="13" t="s">
        <v>4673</v>
      </c>
      <c r="K519" s="13" t="s">
        <v>4672</v>
      </c>
      <c r="L519" s="12" t="s">
        <v>4672</v>
      </c>
      <c r="M519" s="17" t="str">
        <f>IF(LEN(COUNTIFS($H$1:H519,$H519,$I$1:I519,$I519,$J$1:J519,$J519,$K$1:K519,K519,$L$1:L519,L519))=1,"00"&amp;COUNTIFS($H$1:H519,$H519,$I$1:I519,$I519,$J$1:J519,$J519,$K$1:K519,K519,$L$1:L519,L519),IF(LEN(COUNTIFS($H$1:H519,$H519,$I$1:I519,$I519,$J$1:J519,$J519,$K$1:K519,K519,$L$1:L519,L519))=2,"0"&amp;COUNTIFS($H$1:H519,$H519,$I$1:I519,$I519,$J$1:J519,$J519,$K$1:K519,K519,$L$1:L519,L519),COUNTIFS($H$1:H519,$H519,$I$1:I519,$I519,$J$1:J519,$J519,$K$1:K519,K519,$L$1:L519,L519)))</f>
        <v>014</v>
      </c>
      <c r="N51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19" s="14" t="e">
        <f>+LEN(Table4[[#This Row],[New Item Code]])</f>
        <v>#N/A</v>
      </c>
      <c r="P519" s="15" t="s">
        <v>4747</v>
      </c>
      <c r="Q519" s="15" t="s">
        <v>4749</v>
      </c>
      <c r="R519" s="15"/>
      <c r="S519" s="15"/>
      <c r="T519" s="15" t="s">
        <v>4673</v>
      </c>
    </row>
    <row r="520" spans="1:20" x14ac:dyDescent="0.35">
      <c r="A520" s="2" t="s">
        <v>1045</v>
      </c>
      <c r="B520" s="2" t="s">
        <v>1046</v>
      </c>
      <c r="C520" s="2" t="s">
        <v>9</v>
      </c>
      <c r="D520" s="4">
        <v>9350</v>
      </c>
      <c r="E520" s="2" t="s">
        <v>10</v>
      </c>
      <c r="F520" s="2">
        <v>1</v>
      </c>
      <c r="G520" s="22">
        <f>Table4[[#This Row],[Item Cost]]*Table4[[#This Row],[In Stock]]</f>
        <v>9350</v>
      </c>
      <c r="H520" s="12" t="s">
        <v>4661</v>
      </c>
      <c r="I520" s="13" t="s">
        <v>4664</v>
      </c>
      <c r="J520" s="13" t="s">
        <v>4673</v>
      </c>
      <c r="K520" s="13" t="s">
        <v>4734</v>
      </c>
      <c r="L520" s="12" t="s">
        <v>4672</v>
      </c>
      <c r="M520" s="17" t="str">
        <f>IF(LEN(COUNTIFS($H$1:H520,$H520,$I$1:I520,$I520,$J$1:J520,$J520,$K$1:K520,K520,$L$1:L520,L520))=1,"00"&amp;COUNTIFS($H$1:H520,$H520,$I$1:I520,$I520,$J$1:J520,$J520,$K$1:K520,K520,$L$1:L520,L520),IF(LEN(COUNTIFS($H$1:H520,$H520,$I$1:I520,$I520,$J$1:J520,$J520,$K$1:K520,K520,$L$1:L520,L520))=2,"0"&amp;COUNTIFS($H$1:H520,$H520,$I$1:I520,$I520,$J$1:J520,$J520,$K$1:K520,K520,$L$1:L520,L520),COUNTIFS($H$1:H520,$H520,$I$1:I520,$I520,$J$1:J520,$J520,$K$1:K520,K520,$L$1:L520,L520)))</f>
        <v>001</v>
      </c>
      <c r="N52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20" s="14" t="e">
        <f>+LEN(Table4[[#This Row],[New Item Code]])</f>
        <v>#N/A</v>
      </c>
      <c r="P520" s="15" t="s">
        <v>4747</v>
      </c>
      <c r="Q520" s="15" t="s">
        <v>4749</v>
      </c>
      <c r="R520" s="15"/>
      <c r="S520" s="15"/>
      <c r="T520" s="15" t="s">
        <v>4673</v>
      </c>
    </row>
    <row r="521" spans="1:20" x14ac:dyDescent="0.35">
      <c r="A521" s="3" t="s">
        <v>1047</v>
      </c>
      <c r="B521" s="3" t="s">
        <v>1048</v>
      </c>
      <c r="C521" s="3" t="s">
        <v>9</v>
      </c>
      <c r="D521" s="5">
        <v>15800</v>
      </c>
      <c r="E521" s="3" t="s">
        <v>10</v>
      </c>
      <c r="F521" s="3">
        <v>1</v>
      </c>
      <c r="G521" s="21">
        <f>Table4[[#This Row],[Item Cost]]*Table4[[#This Row],[In Stock]]</f>
        <v>15800</v>
      </c>
      <c r="H521" s="12" t="s">
        <v>4661</v>
      </c>
      <c r="I521" s="13" t="s">
        <v>4664</v>
      </c>
      <c r="J521" s="13" t="s">
        <v>4673</v>
      </c>
      <c r="K521" s="13" t="s">
        <v>4672</v>
      </c>
      <c r="L521" s="12" t="s">
        <v>4672</v>
      </c>
      <c r="M521" s="17" t="str">
        <f>IF(LEN(COUNTIFS($H$1:H521,$H521,$I$1:I521,$I521,$J$1:J521,$J521,$K$1:K521,K521,$L$1:L521,L521))=1,"00"&amp;COUNTIFS($H$1:H521,$H521,$I$1:I521,$I521,$J$1:J521,$J521,$K$1:K521,K521,$L$1:L521,L521),IF(LEN(COUNTIFS($H$1:H521,$H521,$I$1:I521,$I521,$J$1:J521,$J521,$K$1:K521,K521,$L$1:L521,L521))=2,"0"&amp;COUNTIFS($H$1:H521,$H521,$I$1:I521,$I521,$J$1:J521,$J521,$K$1:K521,K521,$L$1:L521,L521),COUNTIFS($H$1:H521,$H521,$I$1:I521,$I521,$J$1:J521,$J521,$K$1:K521,K521,$L$1:L521,L521)))</f>
        <v>015</v>
      </c>
      <c r="N52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21" s="14" t="e">
        <f>+LEN(Table4[[#This Row],[New Item Code]])</f>
        <v>#N/A</v>
      </c>
      <c r="P521" s="15" t="s">
        <v>4747</v>
      </c>
      <c r="Q521" s="15" t="s">
        <v>4749</v>
      </c>
      <c r="R521" s="15"/>
      <c r="S521" s="15"/>
      <c r="T521" s="15" t="s">
        <v>4673</v>
      </c>
    </row>
    <row r="522" spans="1:20" x14ac:dyDescent="0.35">
      <c r="A522" s="2" t="s">
        <v>1049</v>
      </c>
      <c r="B522" s="2" t="s">
        <v>1050</v>
      </c>
      <c r="C522" s="2" t="s">
        <v>15</v>
      </c>
      <c r="D522" s="2">
        <v>215.55</v>
      </c>
      <c r="E522" s="2" t="s">
        <v>10</v>
      </c>
      <c r="F522" s="2">
        <v>0</v>
      </c>
      <c r="G522" s="22">
        <f>Table4[[#This Row],[Item Cost]]*Table4[[#This Row],[In Stock]]</f>
        <v>0</v>
      </c>
      <c r="H522" s="12" t="s">
        <v>4661</v>
      </c>
      <c r="I522" s="13" t="s">
        <v>4666</v>
      </c>
      <c r="J522" s="13" t="s">
        <v>4673</v>
      </c>
      <c r="K522" s="13" t="s">
        <v>4672</v>
      </c>
      <c r="L522" s="12" t="s">
        <v>4672</v>
      </c>
      <c r="M522" s="17" t="str">
        <f>IF(LEN(COUNTIFS($H$1:H522,$H522,$I$1:I522,$I522,$J$1:J522,$J522,$K$1:K522,K522,$L$1:L522,L522))=1,"00"&amp;COUNTIFS($H$1:H522,$H522,$I$1:I522,$I522,$J$1:J522,$J522,$K$1:K522,K522,$L$1:L522,L522),IF(LEN(COUNTIFS($H$1:H522,$H522,$I$1:I522,$I522,$J$1:J522,$J522,$K$1:K522,K522,$L$1:L522,L522))=2,"0"&amp;COUNTIFS($H$1:H522,$H522,$I$1:I522,$I522,$J$1:J522,$J522,$K$1:K522,K522,$L$1:L522,L522),COUNTIFS($H$1:H522,$H522,$I$1:I522,$I522,$J$1:J522,$J522,$K$1:K522,K522,$L$1:L522,L522)))</f>
        <v>017</v>
      </c>
      <c r="N52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22" s="14" t="e">
        <f>+LEN(Table4[[#This Row],[New Item Code]])</f>
        <v>#N/A</v>
      </c>
      <c r="P522" s="15" t="s">
        <v>4747</v>
      </c>
      <c r="Q522" s="15" t="s">
        <v>4749</v>
      </c>
      <c r="R522" s="15"/>
      <c r="S522" s="15"/>
      <c r="T522" s="15" t="s">
        <v>4673</v>
      </c>
    </row>
    <row r="523" spans="1:20" x14ac:dyDescent="0.35">
      <c r="A523" s="2" t="s">
        <v>1051</v>
      </c>
      <c r="B523" s="2" t="s">
        <v>1052</v>
      </c>
      <c r="C523" s="2" t="s">
        <v>15</v>
      </c>
      <c r="D523" s="2">
        <v>466.428</v>
      </c>
      <c r="E523" s="2" t="s">
        <v>10</v>
      </c>
      <c r="F523" s="2">
        <v>13</v>
      </c>
      <c r="G523" s="22">
        <f>Table4[[#This Row],[Item Cost]]*Table4[[#This Row],[In Stock]]</f>
        <v>6063.5640000000003</v>
      </c>
      <c r="H523" s="12" t="s">
        <v>4661</v>
      </c>
      <c r="I523" s="13" t="s">
        <v>4666</v>
      </c>
      <c r="J523" s="13" t="s">
        <v>4673</v>
      </c>
      <c r="K523" s="13" t="s">
        <v>4672</v>
      </c>
      <c r="L523" s="12" t="s">
        <v>4672</v>
      </c>
      <c r="M523" s="17" t="str">
        <f>IF(LEN(COUNTIFS($H$1:H523,$H523,$I$1:I523,$I523,$J$1:J523,$J523,$K$1:K523,K523,$L$1:L523,L523))=1,"00"&amp;COUNTIFS($H$1:H523,$H523,$I$1:I523,$I523,$J$1:J523,$J523,$K$1:K523,K523,$L$1:L523,L523),IF(LEN(COUNTIFS($H$1:H523,$H523,$I$1:I523,$I523,$J$1:J523,$J523,$K$1:K523,K523,$L$1:L523,L523))=2,"0"&amp;COUNTIFS($H$1:H523,$H523,$I$1:I523,$I523,$J$1:J523,$J523,$K$1:K523,K523,$L$1:L523,L523),COUNTIFS($H$1:H523,$H523,$I$1:I523,$I523,$J$1:J523,$J523,$K$1:K523,K523,$L$1:L523,L523)))</f>
        <v>018</v>
      </c>
      <c r="N52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23" s="14" t="e">
        <f>+LEN(Table4[[#This Row],[New Item Code]])</f>
        <v>#N/A</v>
      </c>
      <c r="P523" s="15" t="s">
        <v>4747</v>
      </c>
      <c r="Q523" s="15" t="s">
        <v>4749</v>
      </c>
      <c r="R523" s="15"/>
      <c r="S523" s="15"/>
      <c r="T523" s="15" t="s">
        <v>4673</v>
      </c>
    </row>
    <row r="524" spans="1:20" x14ac:dyDescent="0.35">
      <c r="A524" s="3" t="s">
        <v>1053</v>
      </c>
      <c r="B524" s="3" t="s">
        <v>1054</v>
      </c>
      <c r="C524" s="3" t="s">
        <v>15</v>
      </c>
      <c r="D524" s="5">
        <v>1500</v>
      </c>
      <c r="E524" s="3" t="s">
        <v>10</v>
      </c>
      <c r="F524" s="3">
        <v>1</v>
      </c>
      <c r="G524" s="21">
        <f>Table4[[#This Row],[Item Cost]]*Table4[[#This Row],[In Stock]]</f>
        <v>1500</v>
      </c>
      <c r="H524" s="12" t="s">
        <v>4661</v>
      </c>
      <c r="I524" s="13" t="s">
        <v>4666</v>
      </c>
      <c r="J524" s="13" t="s">
        <v>4673</v>
      </c>
      <c r="K524" s="13" t="s">
        <v>4672</v>
      </c>
      <c r="L524" s="12" t="s">
        <v>4672</v>
      </c>
      <c r="M524" s="17" t="str">
        <f>IF(LEN(COUNTIFS($H$1:H524,$H524,$I$1:I524,$I524,$J$1:J524,$J524,$K$1:K524,K524,$L$1:L524,L524))=1,"00"&amp;COUNTIFS($H$1:H524,$H524,$I$1:I524,$I524,$J$1:J524,$J524,$K$1:K524,K524,$L$1:L524,L524),IF(LEN(COUNTIFS($H$1:H524,$H524,$I$1:I524,$I524,$J$1:J524,$J524,$K$1:K524,K524,$L$1:L524,L524))=2,"0"&amp;COUNTIFS($H$1:H524,$H524,$I$1:I524,$I524,$J$1:J524,$J524,$K$1:K524,K524,$L$1:L524,L524),COUNTIFS($H$1:H524,$H524,$I$1:I524,$I524,$J$1:J524,$J524,$K$1:K524,K524,$L$1:L524,L524)))</f>
        <v>019</v>
      </c>
      <c r="N52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24" s="14" t="e">
        <f>+LEN(Table4[[#This Row],[New Item Code]])</f>
        <v>#N/A</v>
      </c>
      <c r="P524" s="15" t="s">
        <v>4747</v>
      </c>
      <c r="Q524" s="15" t="s">
        <v>4749</v>
      </c>
      <c r="R524" s="15"/>
      <c r="S524" s="15"/>
      <c r="T524" s="15" t="s">
        <v>4673</v>
      </c>
    </row>
    <row r="525" spans="1:20" x14ac:dyDescent="0.35">
      <c r="A525" s="2" t="s">
        <v>1055</v>
      </c>
      <c r="B525" s="2" t="s">
        <v>1056</v>
      </c>
      <c r="C525" s="2" t="s">
        <v>15</v>
      </c>
      <c r="D525" s="2">
        <v>55</v>
      </c>
      <c r="E525" s="2" t="s">
        <v>10</v>
      </c>
      <c r="F525" s="2">
        <v>19</v>
      </c>
      <c r="G525" s="22">
        <f>Table4[[#This Row],[Item Cost]]*Table4[[#This Row],[In Stock]]</f>
        <v>1045</v>
      </c>
      <c r="H525" s="12" t="s">
        <v>4661</v>
      </c>
      <c r="I525" s="13" t="s">
        <v>4666</v>
      </c>
      <c r="J525" s="13" t="s">
        <v>4673</v>
      </c>
      <c r="K525" s="13" t="s">
        <v>4672</v>
      </c>
      <c r="L525" s="12" t="s">
        <v>4672</v>
      </c>
      <c r="M525" s="17" t="str">
        <f>IF(LEN(COUNTIFS($H$1:H525,$H525,$I$1:I525,$I525,$J$1:J525,$J525,$K$1:K525,K525,$L$1:L525,L525))=1,"00"&amp;COUNTIFS($H$1:H525,$H525,$I$1:I525,$I525,$J$1:J525,$J525,$K$1:K525,K525,$L$1:L525,L525),IF(LEN(COUNTIFS($H$1:H525,$H525,$I$1:I525,$I525,$J$1:J525,$J525,$K$1:K525,K525,$L$1:L525,L525))=2,"0"&amp;COUNTIFS($H$1:H525,$H525,$I$1:I525,$I525,$J$1:J525,$J525,$K$1:K525,K525,$L$1:L525,L525),COUNTIFS($H$1:H525,$H525,$I$1:I525,$I525,$J$1:J525,$J525,$K$1:K525,K525,$L$1:L525,L525)))</f>
        <v>020</v>
      </c>
      <c r="N52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25" s="14" t="e">
        <f>+LEN(Table4[[#This Row],[New Item Code]])</f>
        <v>#N/A</v>
      </c>
      <c r="P525" s="15" t="s">
        <v>4747</v>
      </c>
      <c r="Q525" s="15" t="s">
        <v>4749</v>
      </c>
      <c r="R525" s="15"/>
      <c r="S525" s="15"/>
      <c r="T525" s="15" t="s">
        <v>4673</v>
      </c>
    </row>
    <row r="526" spans="1:20" x14ac:dyDescent="0.35">
      <c r="A526" s="3" t="s">
        <v>1057</v>
      </c>
      <c r="B526" s="3" t="s">
        <v>1058</v>
      </c>
      <c r="C526" s="3" t="s">
        <v>15</v>
      </c>
      <c r="D526" s="3">
        <v>250</v>
      </c>
      <c r="E526" s="3" t="s">
        <v>10</v>
      </c>
      <c r="F526" s="3">
        <v>31</v>
      </c>
      <c r="G526" s="21">
        <f>Table4[[#This Row],[Item Cost]]*Table4[[#This Row],[In Stock]]</f>
        <v>7750</v>
      </c>
      <c r="H526" s="12" t="s">
        <v>4661</v>
      </c>
      <c r="I526" s="13" t="s">
        <v>4666</v>
      </c>
      <c r="J526" s="13" t="s">
        <v>4673</v>
      </c>
      <c r="K526" s="13" t="s">
        <v>4672</v>
      </c>
      <c r="L526" s="12" t="s">
        <v>4672</v>
      </c>
      <c r="M526" s="17" t="str">
        <f>IF(LEN(COUNTIFS($H$1:H526,$H526,$I$1:I526,$I526,$J$1:J526,$J526,$K$1:K526,K526,$L$1:L526,L526))=1,"00"&amp;COUNTIFS($H$1:H526,$H526,$I$1:I526,$I526,$J$1:J526,$J526,$K$1:K526,K526,$L$1:L526,L526),IF(LEN(COUNTIFS($H$1:H526,$H526,$I$1:I526,$I526,$J$1:J526,$J526,$K$1:K526,K526,$L$1:L526,L526))=2,"0"&amp;COUNTIFS($H$1:H526,$H526,$I$1:I526,$I526,$J$1:J526,$J526,$K$1:K526,K526,$L$1:L526,L526),COUNTIFS($H$1:H526,$H526,$I$1:I526,$I526,$J$1:J526,$J526,$K$1:K526,K526,$L$1:L526,L526)))</f>
        <v>021</v>
      </c>
      <c r="N52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26" s="14" t="e">
        <f>+LEN(Table4[[#This Row],[New Item Code]])</f>
        <v>#N/A</v>
      </c>
      <c r="P526" s="15" t="s">
        <v>4747</v>
      </c>
      <c r="Q526" s="15" t="s">
        <v>4749</v>
      </c>
      <c r="R526" s="15"/>
      <c r="S526" s="15"/>
      <c r="T526" s="15" t="s">
        <v>4673</v>
      </c>
    </row>
    <row r="527" spans="1:20" x14ac:dyDescent="0.35">
      <c r="A527" s="2" t="s">
        <v>1059</v>
      </c>
      <c r="B527" s="2" t="s">
        <v>1060</v>
      </c>
      <c r="C527" s="2" t="s">
        <v>15</v>
      </c>
      <c r="D527" s="4">
        <v>1400</v>
      </c>
      <c r="E527" s="2" t="s">
        <v>10</v>
      </c>
      <c r="F527" s="2">
        <v>3</v>
      </c>
      <c r="G527" s="22">
        <f>Table4[[#This Row],[Item Cost]]*Table4[[#This Row],[In Stock]]</f>
        <v>4200</v>
      </c>
      <c r="H527" s="12" t="s">
        <v>4661</v>
      </c>
      <c r="I527" s="13" t="s">
        <v>4666</v>
      </c>
      <c r="J527" s="13" t="s">
        <v>4673</v>
      </c>
      <c r="K527" t="s">
        <v>4797</v>
      </c>
      <c r="L527" s="12" t="s">
        <v>4672</v>
      </c>
      <c r="M527" s="17" t="str">
        <f>IF(LEN(COUNTIFS($H$1:H527,$H527,$I$1:I527,$I527,$J$1:J527,$J527,$K$1:K527,K527,$L$1:L527,L527))=1,"00"&amp;COUNTIFS($H$1:H527,$H527,$I$1:I527,$I527,$J$1:J527,$J527,$K$1:K527,K527,$L$1:L527,L527),IF(LEN(COUNTIFS($H$1:H527,$H527,$I$1:I527,$I527,$J$1:J527,$J527,$K$1:K527,K527,$L$1:L527,L527))=2,"0"&amp;COUNTIFS($H$1:H527,$H527,$I$1:I527,$I527,$J$1:J527,$J527,$K$1:K527,K527,$L$1:L527,L527),COUNTIFS($H$1:H527,$H527,$I$1:I527,$I527,$J$1:J527,$J527,$K$1:K527,K527,$L$1:L527,L527)))</f>
        <v>002</v>
      </c>
      <c r="N52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27" s="14" t="e">
        <f>+LEN(Table4[[#This Row],[New Item Code]])</f>
        <v>#N/A</v>
      </c>
      <c r="P527" s="15" t="s">
        <v>4747</v>
      </c>
      <c r="Q527" s="15" t="s">
        <v>4749</v>
      </c>
      <c r="R527" s="15"/>
      <c r="S527" s="15"/>
      <c r="T527" s="15" t="s">
        <v>4673</v>
      </c>
    </row>
    <row r="528" spans="1:20" x14ac:dyDescent="0.35">
      <c r="A528" s="3" t="s">
        <v>1061</v>
      </c>
      <c r="B528" s="3" t="s">
        <v>1062</v>
      </c>
      <c r="C528" s="3" t="s">
        <v>15</v>
      </c>
      <c r="D528" s="3">
        <v>0</v>
      </c>
      <c r="E528" s="3" t="s">
        <v>10</v>
      </c>
      <c r="F528" s="3">
        <v>0</v>
      </c>
      <c r="G528" s="21">
        <f>Table4[[#This Row],[Item Cost]]*Table4[[#This Row],[In Stock]]</f>
        <v>0</v>
      </c>
      <c r="H528" s="12" t="s">
        <v>4661</v>
      </c>
      <c r="I528" s="13" t="s">
        <v>4666</v>
      </c>
      <c r="J528" s="13" t="s">
        <v>4673</v>
      </c>
      <c r="K528" s="13" t="s">
        <v>4672</v>
      </c>
      <c r="L528" s="12" t="s">
        <v>4672</v>
      </c>
      <c r="M528" s="17" t="str">
        <f>IF(LEN(COUNTIFS($H$1:H528,$H528,$I$1:I528,$I528,$J$1:J528,$J528,$K$1:K528,K528,$L$1:L528,L528))=1,"00"&amp;COUNTIFS($H$1:H528,$H528,$I$1:I528,$I528,$J$1:J528,$J528,$K$1:K528,K528,$L$1:L528,L528),IF(LEN(COUNTIFS($H$1:H528,$H528,$I$1:I528,$I528,$J$1:J528,$J528,$K$1:K528,K528,$L$1:L528,L528))=2,"0"&amp;COUNTIFS($H$1:H528,$H528,$I$1:I528,$I528,$J$1:J528,$J528,$K$1:K528,K528,$L$1:L528,L528),COUNTIFS($H$1:H528,$H528,$I$1:I528,$I528,$J$1:J528,$J528,$K$1:K528,K528,$L$1:L528,L528)))</f>
        <v>022</v>
      </c>
      <c r="N52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28" s="14" t="e">
        <f>+LEN(Table4[[#This Row],[New Item Code]])</f>
        <v>#N/A</v>
      </c>
      <c r="P528" s="15" t="s">
        <v>4747</v>
      </c>
      <c r="Q528" s="15" t="s">
        <v>4749</v>
      </c>
      <c r="R528" s="15"/>
      <c r="S528" s="15"/>
      <c r="T528" s="15" t="s">
        <v>4673</v>
      </c>
    </row>
    <row r="529" spans="1:20" x14ac:dyDescent="0.35">
      <c r="A529" s="3" t="s">
        <v>1063</v>
      </c>
      <c r="B529" s="3" t="s">
        <v>1064</v>
      </c>
      <c r="C529" s="3" t="s">
        <v>15</v>
      </c>
      <c r="D529" s="3">
        <v>850</v>
      </c>
      <c r="E529" s="3" t="s">
        <v>10</v>
      </c>
      <c r="F529" s="3">
        <v>1</v>
      </c>
      <c r="G529" s="21">
        <f>Table4[[#This Row],[Item Cost]]*Table4[[#This Row],[In Stock]]</f>
        <v>850</v>
      </c>
      <c r="H529" s="12" t="s">
        <v>4661</v>
      </c>
      <c r="I529" s="13" t="s">
        <v>4666</v>
      </c>
      <c r="J529" s="13" t="s">
        <v>4673</v>
      </c>
      <c r="K529" s="13" t="s">
        <v>4672</v>
      </c>
      <c r="L529" s="12" t="s">
        <v>4672</v>
      </c>
      <c r="M529" s="17" t="str">
        <f>IF(LEN(COUNTIFS($H$1:H529,$H529,$I$1:I529,$I529,$J$1:J529,$J529,$K$1:K529,K529,$L$1:L529,L529))=1,"00"&amp;COUNTIFS($H$1:H529,$H529,$I$1:I529,$I529,$J$1:J529,$J529,$K$1:K529,K529,$L$1:L529,L529),IF(LEN(COUNTIFS($H$1:H529,$H529,$I$1:I529,$I529,$J$1:J529,$J529,$K$1:K529,K529,$L$1:L529,L529))=2,"0"&amp;COUNTIFS($H$1:H529,$H529,$I$1:I529,$I529,$J$1:J529,$J529,$K$1:K529,K529,$L$1:L529,L529),COUNTIFS($H$1:H529,$H529,$I$1:I529,$I529,$J$1:J529,$J529,$K$1:K529,K529,$L$1:L529,L529)))</f>
        <v>023</v>
      </c>
      <c r="N52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29" s="14" t="e">
        <f>+LEN(Table4[[#This Row],[New Item Code]])</f>
        <v>#N/A</v>
      </c>
      <c r="P529" s="15" t="s">
        <v>4747</v>
      </c>
      <c r="Q529" s="15" t="s">
        <v>4749</v>
      </c>
      <c r="R529" s="15"/>
      <c r="S529" s="15"/>
      <c r="T529" s="15" t="s">
        <v>4673</v>
      </c>
    </row>
    <row r="530" spans="1:20" x14ac:dyDescent="0.35">
      <c r="A530" s="3" t="s">
        <v>1065</v>
      </c>
      <c r="B530" s="3" t="s">
        <v>1066</v>
      </c>
      <c r="C530" s="3" t="s">
        <v>15</v>
      </c>
      <c r="D530" s="3">
        <v>0</v>
      </c>
      <c r="E530" s="3" t="s">
        <v>10</v>
      </c>
      <c r="F530" s="3">
        <v>0</v>
      </c>
      <c r="G530" s="21">
        <f>Table4[[#This Row],[Item Cost]]*Table4[[#This Row],[In Stock]]</f>
        <v>0</v>
      </c>
      <c r="H530" s="12" t="s">
        <v>4661</v>
      </c>
      <c r="I530" s="13" t="s">
        <v>4666</v>
      </c>
      <c r="J530" s="13" t="s">
        <v>4673</v>
      </c>
      <c r="K530" s="13" t="s">
        <v>4672</v>
      </c>
      <c r="L530" s="12" t="s">
        <v>4672</v>
      </c>
      <c r="M530" s="17" t="str">
        <f>IF(LEN(COUNTIFS($H$1:H530,$H530,$I$1:I530,$I530,$J$1:J530,$J530,$K$1:K530,K530,$L$1:L530,L530))=1,"00"&amp;COUNTIFS($H$1:H530,$H530,$I$1:I530,$I530,$J$1:J530,$J530,$K$1:K530,K530,$L$1:L530,L530),IF(LEN(COUNTIFS($H$1:H530,$H530,$I$1:I530,$I530,$J$1:J530,$J530,$K$1:K530,K530,$L$1:L530,L530))=2,"0"&amp;COUNTIFS($H$1:H530,$H530,$I$1:I530,$I530,$J$1:J530,$J530,$K$1:K530,K530,$L$1:L530,L530),COUNTIFS($H$1:H530,$H530,$I$1:I530,$I530,$J$1:J530,$J530,$K$1:K530,K530,$L$1:L530,L530)))</f>
        <v>024</v>
      </c>
      <c r="N53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30" s="14" t="e">
        <f>+LEN(Table4[[#This Row],[New Item Code]])</f>
        <v>#N/A</v>
      </c>
      <c r="P530" s="15" t="s">
        <v>4747</v>
      </c>
      <c r="Q530" s="15" t="s">
        <v>4749</v>
      </c>
      <c r="R530" s="15"/>
      <c r="S530" s="15"/>
      <c r="T530" s="15" t="s">
        <v>4673</v>
      </c>
    </row>
    <row r="531" spans="1:20" x14ac:dyDescent="0.35">
      <c r="A531" s="2" t="s">
        <v>1067</v>
      </c>
      <c r="B531" s="2" t="s">
        <v>1068</v>
      </c>
      <c r="C531" s="2" t="s">
        <v>15</v>
      </c>
      <c r="D531" s="2">
        <v>0</v>
      </c>
      <c r="E531" s="2" t="s">
        <v>10</v>
      </c>
      <c r="F531" s="2">
        <v>0</v>
      </c>
      <c r="G531" s="22">
        <f>Table4[[#This Row],[Item Cost]]*Table4[[#This Row],[In Stock]]</f>
        <v>0</v>
      </c>
      <c r="H531" s="12" t="s">
        <v>4661</v>
      </c>
      <c r="I531" s="13" t="s">
        <v>4666</v>
      </c>
      <c r="J531" s="13" t="s">
        <v>4673</v>
      </c>
      <c r="K531" s="13" t="s">
        <v>4672</v>
      </c>
      <c r="L531" s="12" t="s">
        <v>4672</v>
      </c>
      <c r="M531" s="17" t="str">
        <f>IF(LEN(COUNTIFS($H$1:H531,$H531,$I$1:I531,$I531,$J$1:J531,$J531,$K$1:K531,K531,$L$1:L531,L531))=1,"00"&amp;COUNTIFS($H$1:H531,$H531,$I$1:I531,$I531,$J$1:J531,$J531,$K$1:K531,K531,$L$1:L531,L531),IF(LEN(COUNTIFS($H$1:H531,$H531,$I$1:I531,$I531,$J$1:J531,$J531,$K$1:K531,K531,$L$1:L531,L531))=2,"0"&amp;COUNTIFS($H$1:H531,$H531,$I$1:I531,$I531,$J$1:J531,$J531,$K$1:K531,K531,$L$1:L531,L531),COUNTIFS($H$1:H531,$H531,$I$1:I531,$I531,$J$1:J531,$J531,$K$1:K531,K531,$L$1:L531,L531)))</f>
        <v>025</v>
      </c>
      <c r="N53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31" s="14" t="e">
        <f>+LEN(Table4[[#This Row],[New Item Code]])</f>
        <v>#N/A</v>
      </c>
      <c r="P531" s="15" t="s">
        <v>4747</v>
      </c>
      <c r="Q531" s="15" t="s">
        <v>4749</v>
      </c>
      <c r="R531" s="15"/>
      <c r="S531" s="15"/>
      <c r="T531" s="15" t="s">
        <v>4673</v>
      </c>
    </row>
    <row r="532" spans="1:20" x14ac:dyDescent="0.35">
      <c r="A532" s="3" t="s">
        <v>1069</v>
      </c>
      <c r="B532" s="3" t="s">
        <v>1070</v>
      </c>
      <c r="C532" s="3" t="s">
        <v>15</v>
      </c>
      <c r="D532" s="3">
        <v>75</v>
      </c>
      <c r="E532" s="3" t="s">
        <v>10</v>
      </c>
      <c r="F532" s="3">
        <v>4</v>
      </c>
      <c r="G532" s="21">
        <f>Table4[[#This Row],[Item Cost]]*Table4[[#This Row],[In Stock]]</f>
        <v>300</v>
      </c>
      <c r="H532" s="12" t="s">
        <v>4661</v>
      </c>
      <c r="I532" s="13" t="s">
        <v>4666</v>
      </c>
      <c r="J532" s="13" t="s">
        <v>4673</v>
      </c>
      <c r="K532" s="13" t="s">
        <v>4672</v>
      </c>
      <c r="L532" s="12" t="s">
        <v>4672</v>
      </c>
      <c r="M532" s="17" t="str">
        <f>IF(LEN(COUNTIFS($H$1:H532,$H532,$I$1:I532,$I532,$J$1:J532,$J532,$K$1:K532,K532,$L$1:L532,L532))=1,"00"&amp;COUNTIFS($H$1:H532,$H532,$I$1:I532,$I532,$J$1:J532,$J532,$K$1:K532,K532,$L$1:L532,L532),IF(LEN(COUNTIFS($H$1:H532,$H532,$I$1:I532,$I532,$J$1:J532,$J532,$K$1:K532,K532,$L$1:L532,L532))=2,"0"&amp;COUNTIFS($H$1:H532,$H532,$I$1:I532,$I532,$J$1:J532,$J532,$K$1:K532,K532,$L$1:L532,L532),COUNTIFS($H$1:H532,$H532,$I$1:I532,$I532,$J$1:J532,$J532,$K$1:K532,K532,$L$1:L532,L532)))</f>
        <v>026</v>
      </c>
      <c r="N53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32" s="14" t="e">
        <f>+LEN(Table4[[#This Row],[New Item Code]])</f>
        <v>#N/A</v>
      </c>
      <c r="P532" s="15" t="s">
        <v>4747</v>
      </c>
      <c r="Q532" s="15" t="s">
        <v>4749</v>
      </c>
      <c r="R532" s="15"/>
      <c r="S532" s="15"/>
      <c r="T532" s="15" t="s">
        <v>4673</v>
      </c>
    </row>
    <row r="533" spans="1:20" x14ac:dyDescent="0.35">
      <c r="A533" s="2" t="s">
        <v>1071</v>
      </c>
      <c r="B533" s="2" t="s">
        <v>1072</v>
      </c>
      <c r="C533" s="2" t="s">
        <v>15</v>
      </c>
      <c r="D533" s="2">
        <v>0</v>
      </c>
      <c r="E533" s="2" t="s">
        <v>10</v>
      </c>
      <c r="F533" s="2">
        <v>0</v>
      </c>
      <c r="G533" s="22">
        <f>Table4[[#This Row],[Item Cost]]*Table4[[#This Row],[In Stock]]</f>
        <v>0</v>
      </c>
      <c r="H533" s="12" t="s">
        <v>4661</v>
      </c>
      <c r="I533" s="13" t="s">
        <v>4666</v>
      </c>
      <c r="J533" s="13" t="s">
        <v>4673</v>
      </c>
      <c r="K533" s="13" t="s">
        <v>4672</v>
      </c>
      <c r="L533" s="12" t="s">
        <v>4672</v>
      </c>
      <c r="M533" s="17" t="str">
        <f>IF(LEN(COUNTIFS($H$1:H533,$H533,$I$1:I533,$I533,$J$1:J533,$J533,$K$1:K533,K533,$L$1:L533,L533))=1,"00"&amp;COUNTIFS($H$1:H533,$H533,$I$1:I533,$I533,$J$1:J533,$J533,$K$1:K533,K533,$L$1:L533,L533),IF(LEN(COUNTIFS($H$1:H533,$H533,$I$1:I533,$I533,$J$1:J533,$J533,$K$1:K533,K533,$L$1:L533,L533))=2,"0"&amp;COUNTIFS($H$1:H533,$H533,$I$1:I533,$I533,$J$1:J533,$J533,$K$1:K533,K533,$L$1:L533,L533),COUNTIFS($H$1:H533,$H533,$I$1:I533,$I533,$J$1:J533,$J533,$K$1:K533,K533,$L$1:L533,L533)))</f>
        <v>027</v>
      </c>
      <c r="N53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33" s="14" t="e">
        <f>+LEN(Table4[[#This Row],[New Item Code]])</f>
        <v>#N/A</v>
      </c>
      <c r="P533" s="15" t="s">
        <v>4747</v>
      </c>
      <c r="Q533" s="15" t="s">
        <v>4749</v>
      </c>
      <c r="R533" s="15"/>
      <c r="S533" s="15"/>
      <c r="T533" s="15" t="s">
        <v>4673</v>
      </c>
    </row>
    <row r="534" spans="1:20" x14ac:dyDescent="0.35">
      <c r="A534" s="3" t="s">
        <v>1073</v>
      </c>
      <c r="B534" s="3" t="s">
        <v>1074</v>
      </c>
      <c r="C534" s="3" t="s">
        <v>15</v>
      </c>
      <c r="D534" s="3">
        <v>0</v>
      </c>
      <c r="E534" s="3" t="s">
        <v>10</v>
      </c>
      <c r="F534" s="3">
        <v>0</v>
      </c>
      <c r="G534" s="21">
        <f>Table4[[#This Row],[Item Cost]]*Table4[[#This Row],[In Stock]]</f>
        <v>0</v>
      </c>
      <c r="H534" s="12" t="s">
        <v>4661</v>
      </c>
      <c r="I534" s="13" t="s">
        <v>4666</v>
      </c>
      <c r="J534" s="13" t="s">
        <v>4673</v>
      </c>
      <c r="K534" s="13" t="s">
        <v>4672</v>
      </c>
      <c r="L534" s="12" t="s">
        <v>4672</v>
      </c>
      <c r="M534" s="17" t="str">
        <f>IF(LEN(COUNTIFS($H$1:H534,$H534,$I$1:I534,$I534,$J$1:J534,$J534,$K$1:K534,K534,$L$1:L534,L534))=1,"00"&amp;COUNTIFS($H$1:H534,$H534,$I$1:I534,$I534,$J$1:J534,$J534,$K$1:K534,K534,$L$1:L534,L534),IF(LEN(COUNTIFS($H$1:H534,$H534,$I$1:I534,$I534,$J$1:J534,$J534,$K$1:K534,K534,$L$1:L534,L534))=2,"0"&amp;COUNTIFS($H$1:H534,$H534,$I$1:I534,$I534,$J$1:J534,$J534,$K$1:K534,K534,$L$1:L534,L534),COUNTIFS($H$1:H534,$H534,$I$1:I534,$I534,$J$1:J534,$J534,$K$1:K534,K534,$L$1:L534,L534)))</f>
        <v>028</v>
      </c>
      <c r="N53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34" s="14" t="e">
        <f>+LEN(Table4[[#This Row],[New Item Code]])</f>
        <v>#N/A</v>
      </c>
      <c r="P534" s="15" t="s">
        <v>4747</v>
      </c>
      <c r="Q534" s="15" t="s">
        <v>4749</v>
      </c>
      <c r="R534" s="15"/>
      <c r="S534" s="15"/>
      <c r="T534" s="15" t="s">
        <v>4673</v>
      </c>
    </row>
    <row r="535" spans="1:20" x14ac:dyDescent="0.35">
      <c r="A535" s="2" t="s">
        <v>1075</v>
      </c>
      <c r="B535" s="2" t="s">
        <v>1076</v>
      </c>
      <c r="C535" s="2" t="s">
        <v>15</v>
      </c>
      <c r="D535" s="2">
        <v>0</v>
      </c>
      <c r="E535" s="2" t="s">
        <v>10</v>
      </c>
      <c r="F535" s="2">
        <v>0</v>
      </c>
      <c r="G535" s="22">
        <f>Table4[[#This Row],[Item Cost]]*Table4[[#This Row],[In Stock]]</f>
        <v>0</v>
      </c>
      <c r="H535" s="12" t="s">
        <v>4661</v>
      </c>
      <c r="I535" s="13" t="s">
        <v>4666</v>
      </c>
      <c r="J535" s="13" t="s">
        <v>4673</v>
      </c>
      <c r="K535" s="13" t="s">
        <v>4672</v>
      </c>
      <c r="L535" s="12" t="s">
        <v>4672</v>
      </c>
      <c r="M535" s="17" t="str">
        <f>IF(LEN(COUNTIFS($H$1:H535,$H535,$I$1:I535,$I535,$J$1:J535,$J535,$K$1:K535,K535,$L$1:L535,L535))=1,"00"&amp;COUNTIFS($H$1:H535,$H535,$I$1:I535,$I535,$J$1:J535,$J535,$K$1:K535,K535,$L$1:L535,L535),IF(LEN(COUNTIFS($H$1:H535,$H535,$I$1:I535,$I535,$J$1:J535,$J535,$K$1:K535,K535,$L$1:L535,L535))=2,"0"&amp;COUNTIFS($H$1:H535,$H535,$I$1:I535,$I535,$J$1:J535,$J535,$K$1:K535,K535,$L$1:L535,L535),COUNTIFS($H$1:H535,$H535,$I$1:I535,$I535,$J$1:J535,$J535,$K$1:K535,K535,$L$1:L535,L535)))</f>
        <v>029</v>
      </c>
      <c r="N53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35" s="14" t="e">
        <f>+LEN(Table4[[#This Row],[New Item Code]])</f>
        <v>#N/A</v>
      </c>
      <c r="P535" s="15" t="s">
        <v>4747</v>
      </c>
      <c r="Q535" s="15" t="s">
        <v>4749</v>
      </c>
      <c r="R535" s="15"/>
      <c r="S535" s="15"/>
      <c r="T535" s="15" t="s">
        <v>4673</v>
      </c>
    </row>
    <row r="536" spans="1:20" x14ac:dyDescent="0.35">
      <c r="A536" s="3" t="s">
        <v>1077</v>
      </c>
      <c r="B536" s="3" t="s">
        <v>282</v>
      </c>
      <c r="C536" s="3" t="s">
        <v>15</v>
      </c>
      <c r="D536" s="5">
        <v>3000</v>
      </c>
      <c r="E536" s="3" t="s">
        <v>10</v>
      </c>
      <c r="F536" s="3">
        <v>1</v>
      </c>
      <c r="G536" s="21">
        <f>Table4[[#This Row],[Item Cost]]*Table4[[#This Row],[In Stock]]</f>
        <v>3000</v>
      </c>
      <c r="H536" s="12" t="s">
        <v>4661</v>
      </c>
      <c r="I536" s="13" t="s">
        <v>4666</v>
      </c>
      <c r="J536" s="13" t="s">
        <v>4673</v>
      </c>
      <c r="K536" s="13" t="s">
        <v>4672</v>
      </c>
      <c r="L536" s="12" t="s">
        <v>4672</v>
      </c>
      <c r="M536" s="17" t="str">
        <f>IF(LEN(COUNTIFS($H$1:H536,$H536,$I$1:I536,$I536,$J$1:J536,$J536,$K$1:K536,K536,$L$1:L536,L536))=1,"00"&amp;COUNTIFS($H$1:H536,$H536,$I$1:I536,$I536,$J$1:J536,$J536,$K$1:K536,K536,$L$1:L536,L536),IF(LEN(COUNTIFS($H$1:H536,$H536,$I$1:I536,$I536,$J$1:J536,$J536,$K$1:K536,K536,$L$1:L536,L536))=2,"0"&amp;COUNTIFS($H$1:H536,$H536,$I$1:I536,$I536,$J$1:J536,$J536,$K$1:K536,K536,$L$1:L536,L536),COUNTIFS($H$1:H536,$H536,$I$1:I536,$I536,$J$1:J536,$J536,$K$1:K536,K536,$L$1:L536,L536)))</f>
        <v>030</v>
      </c>
      <c r="N53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36" s="14" t="e">
        <f>+LEN(Table4[[#This Row],[New Item Code]])</f>
        <v>#N/A</v>
      </c>
      <c r="P536" s="15" t="s">
        <v>4747</v>
      </c>
      <c r="Q536" s="15" t="s">
        <v>4749</v>
      </c>
      <c r="R536" s="15"/>
      <c r="S536" s="15"/>
      <c r="T536" s="15" t="s">
        <v>4673</v>
      </c>
    </row>
    <row r="537" spans="1:20" x14ac:dyDescent="0.35">
      <c r="A537" s="2" t="s">
        <v>1078</v>
      </c>
      <c r="B537" s="2" t="s">
        <v>1079</v>
      </c>
      <c r="C537" s="2" t="s">
        <v>15</v>
      </c>
      <c r="D537" s="4">
        <v>2225.9</v>
      </c>
      <c r="E537" s="2" t="s">
        <v>10</v>
      </c>
      <c r="F537" s="2">
        <v>0</v>
      </c>
      <c r="G537" s="22">
        <f>Table4[[#This Row],[Item Cost]]*Table4[[#This Row],[In Stock]]</f>
        <v>0</v>
      </c>
      <c r="H537" s="12" t="s">
        <v>4661</v>
      </c>
      <c r="I537" s="13" t="s">
        <v>4666</v>
      </c>
      <c r="J537" s="13" t="s">
        <v>4673</v>
      </c>
      <c r="K537" s="13" t="s">
        <v>4672</v>
      </c>
      <c r="L537" s="12" t="s">
        <v>4672</v>
      </c>
      <c r="M537" s="17" t="str">
        <f>IF(LEN(COUNTIFS($H$1:H537,$H537,$I$1:I537,$I537,$J$1:J537,$J537,$K$1:K537,K537,$L$1:L537,L537))=1,"00"&amp;COUNTIFS($H$1:H537,$H537,$I$1:I537,$I537,$J$1:J537,$J537,$K$1:K537,K537,$L$1:L537,L537),IF(LEN(COUNTIFS($H$1:H537,$H537,$I$1:I537,$I537,$J$1:J537,$J537,$K$1:K537,K537,$L$1:L537,L537))=2,"0"&amp;COUNTIFS($H$1:H537,$H537,$I$1:I537,$I537,$J$1:J537,$J537,$K$1:K537,K537,$L$1:L537,L537),COUNTIFS($H$1:H537,$H537,$I$1:I537,$I537,$J$1:J537,$J537,$K$1:K537,K537,$L$1:L537,L537)))</f>
        <v>031</v>
      </c>
      <c r="N53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37" s="14" t="e">
        <f>+LEN(Table4[[#This Row],[New Item Code]])</f>
        <v>#N/A</v>
      </c>
      <c r="P537" s="15" t="s">
        <v>4747</v>
      </c>
      <c r="Q537" s="15" t="s">
        <v>4749</v>
      </c>
      <c r="R537" s="15"/>
      <c r="S537" s="15"/>
      <c r="T537" s="15" t="s">
        <v>4673</v>
      </c>
    </row>
    <row r="538" spans="1:20" x14ac:dyDescent="0.35">
      <c r="A538" s="2" t="s">
        <v>1080</v>
      </c>
      <c r="B538" s="2" t="s">
        <v>1081</v>
      </c>
      <c r="C538" s="2" t="s">
        <v>15</v>
      </c>
      <c r="D538" s="2">
        <v>605</v>
      </c>
      <c r="E538" s="2" t="s">
        <v>10</v>
      </c>
      <c r="F538" s="2">
        <v>0</v>
      </c>
      <c r="G538" s="22">
        <f>Table4[[#This Row],[Item Cost]]*Table4[[#This Row],[In Stock]]</f>
        <v>0</v>
      </c>
      <c r="H538" s="12" t="s">
        <v>4661</v>
      </c>
      <c r="I538" s="13" t="s">
        <v>4666</v>
      </c>
      <c r="J538" s="13" t="s">
        <v>4673</v>
      </c>
      <c r="K538" s="13" t="s">
        <v>4672</v>
      </c>
      <c r="L538" s="12" t="s">
        <v>4672</v>
      </c>
      <c r="M538" s="17" t="str">
        <f>IF(LEN(COUNTIFS($H$1:H538,$H538,$I$1:I538,$I538,$J$1:J538,$J538,$K$1:K538,K538,$L$1:L538,L538))=1,"00"&amp;COUNTIFS($H$1:H538,$H538,$I$1:I538,$I538,$J$1:J538,$J538,$K$1:K538,K538,$L$1:L538,L538),IF(LEN(COUNTIFS($H$1:H538,$H538,$I$1:I538,$I538,$J$1:J538,$J538,$K$1:K538,K538,$L$1:L538,L538))=2,"0"&amp;COUNTIFS($H$1:H538,$H538,$I$1:I538,$I538,$J$1:J538,$J538,$K$1:K538,K538,$L$1:L538,L538),COUNTIFS($H$1:H538,$H538,$I$1:I538,$I538,$J$1:J538,$J538,$K$1:K538,K538,$L$1:L538,L538)))</f>
        <v>032</v>
      </c>
      <c r="N53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38" s="14" t="e">
        <f>+LEN(Table4[[#This Row],[New Item Code]])</f>
        <v>#N/A</v>
      </c>
      <c r="P538" s="15" t="s">
        <v>4747</v>
      </c>
      <c r="Q538" s="15" t="s">
        <v>4749</v>
      </c>
      <c r="R538" s="15"/>
      <c r="S538" s="15"/>
      <c r="T538" s="15" t="s">
        <v>4673</v>
      </c>
    </row>
    <row r="539" spans="1:20" x14ac:dyDescent="0.35">
      <c r="A539" s="3" t="s">
        <v>1082</v>
      </c>
      <c r="B539" s="3" t="s">
        <v>1083</v>
      </c>
      <c r="C539" s="3" t="s">
        <v>15</v>
      </c>
      <c r="D539" s="3">
        <v>48</v>
      </c>
      <c r="E539" s="3" t="s">
        <v>10</v>
      </c>
      <c r="F539" s="3">
        <v>0</v>
      </c>
      <c r="G539" s="21">
        <f>Table4[[#This Row],[Item Cost]]*Table4[[#This Row],[In Stock]]</f>
        <v>0</v>
      </c>
      <c r="H539" s="12" t="s">
        <v>4661</v>
      </c>
      <c r="I539" s="13" t="s">
        <v>4666</v>
      </c>
      <c r="J539" s="13" t="s">
        <v>4673</v>
      </c>
      <c r="K539" s="13" t="s">
        <v>4672</v>
      </c>
      <c r="L539" s="12" t="s">
        <v>4672</v>
      </c>
      <c r="M539" s="17" t="str">
        <f>IF(LEN(COUNTIFS($H$1:H539,$H539,$I$1:I539,$I539,$J$1:J539,$J539,$K$1:K539,K539,$L$1:L539,L539))=1,"00"&amp;COUNTIFS($H$1:H539,$H539,$I$1:I539,$I539,$J$1:J539,$J539,$K$1:K539,K539,$L$1:L539,L539),IF(LEN(COUNTIFS($H$1:H539,$H539,$I$1:I539,$I539,$J$1:J539,$J539,$K$1:K539,K539,$L$1:L539,L539))=2,"0"&amp;COUNTIFS($H$1:H539,$H539,$I$1:I539,$I539,$J$1:J539,$J539,$K$1:K539,K539,$L$1:L539,L539),COUNTIFS($H$1:H539,$H539,$I$1:I539,$I539,$J$1:J539,$J539,$K$1:K539,K539,$L$1:L539,L539)))</f>
        <v>033</v>
      </c>
      <c r="N53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39" s="14" t="e">
        <f>+LEN(Table4[[#This Row],[New Item Code]])</f>
        <v>#N/A</v>
      </c>
      <c r="P539" s="15" t="s">
        <v>4747</v>
      </c>
      <c r="Q539" s="15" t="s">
        <v>4749</v>
      </c>
      <c r="R539" s="15"/>
      <c r="S539" s="15"/>
      <c r="T539" s="15" t="s">
        <v>4673</v>
      </c>
    </row>
    <row r="540" spans="1:20" x14ac:dyDescent="0.35">
      <c r="A540" s="2" t="s">
        <v>1084</v>
      </c>
      <c r="B540" s="2" t="s">
        <v>1085</v>
      </c>
      <c r="C540" s="2" t="s">
        <v>15</v>
      </c>
      <c r="D540" s="2">
        <v>15</v>
      </c>
      <c r="E540" s="2" t="s">
        <v>10</v>
      </c>
      <c r="F540" s="2">
        <v>3</v>
      </c>
      <c r="G540" s="22">
        <f>Table4[[#This Row],[Item Cost]]*Table4[[#This Row],[In Stock]]</f>
        <v>45</v>
      </c>
      <c r="H540" s="12" t="s">
        <v>4661</v>
      </c>
      <c r="I540" s="13" t="s">
        <v>4666</v>
      </c>
      <c r="J540" s="13" t="s">
        <v>4673</v>
      </c>
      <c r="K540" s="13" t="s">
        <v>4672</v>
      </c>
      <c r="L540" s="12" t="s">
        <v>4672</v>
      </c>
      <c r="M540" s="17" t="str">
        <f>IF(LEN(COUNTIFS($H$1:H540,$H540,$I$1:I540,$I540,$J$1:J540,$J540,$K$1:K540,K540,$L$1:L540,L540))=1,"00"&amp;COUNTIFS($H$1:H540,$H540,$I$1:I540,$I540,$J$1:J540,$J540,$K$1:K540,K540,$L$1:L540,L540),IF(LEN(COUNTIFS($H$1:H540,$H540,$I$1:I540,$I540,$J$1:J540,$J540,$K$1:K540,K540,$L$1:L540,L540))=2,"0"&amp;COUNTIFS($H$1:H540,$H540,$I$1:I540,$I540,$J$1:J540,$J540,$K$1:K540,K540,$L$1:L540,L540),COUNTIFS($H$1:H540,$H540,$I$1:I540,$I540,$J$1:J540,$J540,$K$1:K540,K540,$L$1:L540,L540)))</f>
        <v>034</v>
      </c>
      <c r="N54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40" s="14" t="e">
        <f>+LEN(Table4[[#This Row],[New Item Code]])</f>
        <v>#N/A</v>
      </c>
      <c r="P540" s="15" t="s">
        <v>4747</v>
      </c>
      <c r="Q540" s="15" t="s">
        <v>4749</v>
      </c>
      <c r="R540" s="15"/>
      <c r="S540" s="15"/>
      <c r="T540" s="15" t="s">
        <v>4673</v>
      </c>
    </row>
    <row r="541" spans="1:20" x14ac:dyDescent="0.35">
      <c r="A541" s="3" t="s">
        <v>1086</v>
      </c>
      <c r="B541" s="3" t="s">
        <v>1087</v>
      </c>
      <c r="C541" s="3" t="s">
        <v>15</v>
      </c>
      <c r="D541" s="3">
        <v>0</v>
      </c>
      <c r="E541" s="3" t="s">
        <v>10</v>
      </c>
      <c r="F541" s="3">
        <v>0</v>
      </c>
      <c r="G541" s="21">
        <f>Table4[[#This Row],[Item Cost]]*Table4[[#This Row],[In Stock]]</f>
        <v>0</v>
      </c>
      <c r="H541" s="12" t="s">
        <v>4661</v>
      </c>
      <c r="I541" s="13" t="s">
        <v>4666</v>
      </c>
      <c r="J541" s="13" t="s">
        <v>4673</v>
      </c>
      <c r="K541" s="13" t="s">
        <v>4672</v>
      </c>
      <c r="L541" s="12" t="s">
        <v>4672</v>
      </c>
      <c r="M541" s="17" t="str">
        <f>IF(LEN(COUNTIFS($H$1:H541,$H541,$I$1:I541,$I541,$J$1:J541,$J541,$K$1:K541,K541,$L$1:L541,L541))=1,"00"&amp;COUNTIFS($H$1:H541,$H541,$I$1:I541,$I541,$J$1:J541,$J541,$K$1:K541,K541,$L$1:L541,L541),IF(LEN(COUNTIFS($H$1:H541,$H541,$I$1:I541,$I541,$J$1:J541,$J541,$K$1:K541,K541,$L$1:L541,L541))=2,"0"&amp;COUNTIFS($H$1:H541,$H541,$I$1:I541,$I541,$J$1:J541,$J541,$K$1:K541,K541,$L$1:L541,L541),COUNTIFS($H$1:H541,$H541,$I$1:I541,$I541,$J$1:J541,$J541,$K$1:K541,K541,$L$1:L541,L541)))</f>
        <v>035</v>
      </c>
      <c r="N54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41" s="14" t="e">
        <f>+LEN(Table4[[#This Row],[New Item Code]])</f>
        <v>#N/A</v>
      </c>
      <c r="P541" s="15" t="s">
        <v>4747</v>
      </c>
      <c r="Q541" s="15" t="s">
        <v>4749</v>
      </c>
      <c r="R541" s="15"/>
      <c r="S541" s="15"/>
      <c r="T541" s="15" t="s">
        <v>4673</v>
      </c>
    </row>
    <row r="542" spans="1:20" x14ac:dyDescent="0.35">
      <c r="A542" s="2" t="s">
        <v>1088</v>
      </c>
      <c r="B542" s="2" t="s">
        <v>1089</v>
      </c>
      <c r="C542" s="2" t="s">
        <v>15</v>
      </c>
      <c r="D542" s="2">
        <v>190</v>
      </c>
      <c r="E542" s="2" t="s">
        <v>10</v>
      </c>
      <c r="F542" s="2">
        <v>7</v>
      </c>
      <c r="G542" s="22">
        <f>Table4[[#This Row],[Item Cost]]*Table4[[#This Row],[In Stock]]</f>
        <v>1330</v>
      </c>
      <c r="H542" s="12" t="s">
        <v>4661</v>
      </c>
      <c r="I542" s="13" t="s">
        <v>4666</v>
      </c>
      <c r="J542" s="13" t="s">
        <v>4673</v>
      </c>
      <c r="K542" s="13" t="s">
        <v>4672</v>
      </c>
      <c r="L542" s="12" t="s">
        <v>4672</v>
      </c>
      <c r="M542" s="17" t="str">
        <f>IF(LEN(COUNTIFS($H$1:H542,$H542,$I$1:I542,$I542,$J$1:J542,$J542,$K$1:K542,K542,$L$1:L542,L542))=1,"00"&amp;COUNTIFS($H$1:H542,$H542,$I$1:I542,$I542,$J$1:J542,$J542,$K$1:K542,K542,$L$1:L542,L542),IF(LEN(COUNTIFS($H$1:H542,$H542,$I$1:I542,$I542,$J$1:J542,$J542,$K$1:K542,K542,$L$1:L542,L542))=2,"0"&amp;COUNTIFS($H$1:H542,$H542,$I$1:I542,$I542,$J$1:J542,$J542,$K$1:K542,K542,$L$1:L542,L542),COUNTIFS($H$1:H542,$H542,$I$1:I542,$I542,$J$1:J542,$J542,$K$1:K542,K542,$L$1:L542,L542)))</f>
        <v>036</v>
      </c>
      <c r="N54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42" s="14" t="e">
        <f>+LEN(Table4[[#This Row],[New Item Code]])</f>
        <v>#N/A</v>
      </c>
      <c r="P542" s="15" t="s">
        <v>4747</v>
      </c>
      <c r="Q542" s="15" t="s">
        <v>4749</v>
      </c>
      <c r="R542" s="15"/>
      <c r="S542" s="15"/>
      <c r="T542" s="15" t="s">
        <v>4673</v>
      </c>
    </row>
    <row r="543" spans="1:20" x14ac:dyDescent="0.35">
      <c r="A543" s="3" t="s">
        <v>1090</v>
      </c>
      <c r="B543" s="3" t="s">
        <v>1091</v>
      </c>
      <c r="C543" s="3" t="s">
        <v>15</v>
      </c>
      <c r="D543" s="3">
        <v>450</v>
      </c>
      <c r="E543" s="3" t="s">
        <v>10</v>
      </c>
      <c r="F543" s="3">
        <v>1</v>
      </c>
      <c r="G543" s="21">
        <f>Table4[[#This Row],[Item Cost]]*Table4[[#This Row],[In Stock]]</f>
        <v>450</v>
      </c>
      <c r="H543" s="12" t="s">
        <v>4661</v>
      </c>
      <c r="I543" s="13" t="s">
        <v>4666</v>
      </c>
      <c r="J543" s="13" t="s">
        <v>4673</v>
      </c>
      <c r="K543" s="13" t="s">
        <v>4672</v>
      </c>
      <c r="L543" s="12" t="s">
        <v>4672</v>
      </c>
      <c r="M543" s="17" t="str">
        <f>IF(LEN(COUNTIFS($H$1:H543,$H543,$I$1:I543,$I543,$J$1:J543,$J543,$K$1:K543,K543,$L$1:L543,L543))=1,"00"&amp;COUNTIFS($H$1:H543,$H543,$I$1:I543,$I543,$J$1:J543,$J543,$K$1:K543,K543,$L$1:L543,L543),IF(LEN(COUNTIFS($H$1:H543,$H543,$I$1:I543,$I543,$J$1:J543,$J543,$K$1:K543,K543,$L$1:L543,L543))=2,"0"&amp;COUNTIFS($H$1:H543,$H543,$I$1:I543,$I543,$J$1:J543,$J543,$K$1:K543,K543,$L$1:L543,L543),COUNTIFS($H$1:H543,$H543,$I$1:I543,$I543,$J$1:J543,$J543,$K$1:K543,K543,$L$1:L543,L543)))</f>
        <v>037</v>
      </c>
      <c r="N54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43" s="14" t="e">
        <f>+LEN(Table4[[#This Row],[New Item Code]])</f>
        <v>#N/A</v>
      </c>
      <c r="P543" s="15" t="s">
        <v>4747</v>
      </c>
      <c r="Q543" s="15" t="s">
        <v>4749</v>
      </c>
      <c r="R543" s="15"/>
      <c r="S543" s="15"/>
      <c r="T543" s="15" t="s">
        <v>4673</v>
      </c>
    </row>
    <row r="544" spans="1:20" x14ac:dyDescent="0.35">
      <c r="A544" s="2" t="s">
        <v>1092</v>
      </c>
      <c r="B544" s="2" t="s">
        <v>1093</v>
      </c>
      <c r="C544" s="2" t="s">
        <v>15</v>
      </c>
      <c r="D544" s="2">
        <v>0</v>
      </c>
      <c r="E544" s="2" t="s">
        <v>10</v>
      </c>
      <c r="F544" s="2">
        <v>0</v>
      </c>
      <c r="G544" s="22">
        <f>Table4[[#This Row],[Item Cost]]*Table4[[#This Row],[In Stock]]</f>
        <v>0</v>
      </c>
      <c r="H544" s="12" t="s">
        <v>4661</v>
      </c>
      <c r="I544" s="13" t="s">
        <v>4666</v>
      </c>
      <c r="J544" s="13" t="s">
        <v>4673</v>
      </c>
      <c r="K544" s="13" t="s">
        <v>4672</v>
      </c>
      <c r="L544" s="12" t="s">
        <v>4672</v>
      </c>
      <c r="M544" s="17" t="str">
        <f>IF(LEN(COUNTIFS($H$1:H544,$H544,$I$1:I544,$I544,$J$1:J544,$J544,$K$1:K544,K544,$L$1:L544,L544))=1,"00"&amp;COUNTIFS($H$1:H544,$H544,$I$1:I544,$I544,$J$1:J544,$J544,$K$1:K544,K544,$L$1:L544,L544),IF(LEN(COUNTIFS($H$1:H544,$H544,$I$1:I544,$I544,$J$1:J544,$J544,$K$1:K544,K544,$L$1:L544,L544))=2,"0"&amp;COUNTIFS($H$1:H544,$H544,$I$1:I544,$I544,$J$1:J544,$J544,$K$1:K544,K544,$L$1:L544,L544),COUNTIFS($H$1:H544,$H544,$I$1:I544,$I544,$J$1:J544,$J544,$K$1:K544,K544,$L$1:L544,L544)))</f>
        <v>038</v>
      </c>
      <c r="N54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44" s="14" t="e">
        <f>+LEN(Table4[[#This Row],[New Item Code]])</f>
        <v>#N/A</v>
      </c>
      <c r="P544" s="15" t="s">
        <v>4747</v>
      </c>
      <c r="Q544" s="15" t="s">
        <v>4749</v>
      </c>
      <c r="R544" s="15"/>
      <c r="S544" s="15"/>
      <c r="T544" s="15" t="s">
        <v>4673</v>
      </c>
    </row>
    <row r="545" spans="1:20" x14ac:dyDescent="0.35">
      <c r="A545" s="3" t="s">
        <v>1094</v>
      </c>
      <c r="B545" s="3" t="s">
        <v>1095</v>
      </c>
      <c r="C545" s="3" t="s">
        <v>15</v>
      </c>
      <c r="D545" s="3">
        <v>0</v>
      </c>
      <c r="E545" s="3" t="s">
        <v>10</v>
      </c>
      <c r="F545" s="3">
        <v>0</v>
      </c>
      <c r="G545" s="21">
        <f>Table4[[#This Row],[Item Cost]]*Table4[[#This Row],[In Stock]]</f>
        <v>0</v>
      </c>
      <c r="H545" s="12" t="s">
        <v>4661</v>
      </c>
      <c r="I545" s="13" t="s">
        <v>4666</v>
      </c>
      <c r="J545" s="13" t="s">
        <v>4673</v>
      </c>
      <c r="K545" s="13" t="s">
        <v>4672</v>
      </c>
      <c r="L545" s="12" t="s">
        <v>4672</v>
      </c>
      <c r="M545" s="17" t="str">
        <f>IF(LEN(COUNTIFS($H$1:H545,$H545,$I$1:I545,$I545,$J$1:J545,$J545,$K$1:K545,K545,$L$1:L545,L545))=1,"00"&amp;COUNTIFS($H$1:H545,$H545,$I$1:I545,$I545,$J$1:J545,$J545,$K$1:K545,K545,$L$1:L545,L545),IF(LEN(COUNTIFS($H$1:H545,$H545,$I$1:I545,$I545,$J$1:J545,$J545,$K$1:K545,K545,$L$1:L545,L545))=2,"0"&amp;COUNTIFS($H$1:H545,$H545,$I$1:I545,$I545,$J$1:J545,$J545,$K$1:K545,K545,$L$1:L545,L545),COUNTIFS($H$1:H545,$H545,$I$1:I545,$I545,$J$1:J545,$J545,$K$1:K545,K545,$L$1:L545,L545)))</f>
        <v>039</v>
      </c>
      <c r="N54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45" s="14" t="e">
        <f>+LEN(Table4[[#This Row],[New Item Code]])</f>
        <v>#N/A</v>
      </c>
      <c r="P545" s="15" t="s">
        <v>4747</v>
      </c>
      <c r="Q545" s="15" t="s">
        <v>4749</v>
      </c>
      <c r="R545" s="15"/>
      <c r="S545" s="15"/>
      <c r="T545" s="15" t="s">
        <v>4673</v>
      </c>
    </row>
    <row r="546" spans="1:20" x14ac:dyDescent="0.35">
      <c r="A546" s="2" t="s">
        <v>1096</v>
      </c>
      <c r="B546" s="2" t="s">
        <v>1097</v>
      </c>
      <c r="C546" s="2" t="s">
        <v>15</v>
      </c>
      <c r="D546" s="4">
        <v>2500</v>
      </c>
      <c r="E546" s="2" t="s">
        <v>10</v>
      </c>
      <c r="F546" s="2">
        <v>0</v>
      </c>
      <c r="G546" s="22">
        <f>Table4[[#This Row],[Item Cost]]*Table4[[#This Row],[In Stock]]</f>
        <v>0</v>
      </c>
      <c r="H546" s="12" t="s">
        <v>4661</v>
      </c>
      <c r="I546" s="13" t="s">
        <v>4666</v>
      </c>
      <c r="J546" s="13" t="s">
        <v>4673</v>
      </c>
      <c r="K546" s="13" t="s">
        <v>4672</v>
      </c>
      <c r="L546" s="12" t="s">
        <v>4672</v>
      </c>
      <c r="M546" s="17" t="str">
        <f>IF(LEN(COUNTIFS($H$1:H546,$H546,$I$1:I546,$I546,$J$1:J546,$J546,$K$1:K546,K546,$L$1:L546,L546))=1,"00"&amp;COUNTIFS($H$1:H546,$H546,$I$1:I546,$I546,$J$1:J546,$J546,$K$1:K546,K546,$L$1:L546,L546),IF(LEN(COUNTIFS($H$1:H546,$H546,$I$1:I546,$I546,$J$1:J546,$J546,$K$1:K546,K546,$L$1:L546,L546))=2,"0"&amp;COUNTIFS($H$1:H546,$H546,$I$1:I546,$I546,$J$1:J546,$J546,$K$1:K546,K546,$L$1:L546,L546),COUNTIFS($H$1:H546,$H546,$I$1:I546,$I546,$J$1:J546,$J546,$K$1:K546,K546,$L$1:L546,L546)))</f>
        <v>040</v>
      </c>
      <c r="N54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46" s="14" t="e">
        <f>+LEN(Table4[[#This Row],[New Item Code]])</f>
        <v>#N/A</v>
      </c>
      <c r="P546" s="15" t="s">
        <v>4747</v>
      </c>
      <c r="Q546" s="15" t="s">
        <v>4749</v>
      </c>
      <c r="R546" s="15"/>
      <c r="S546" s="15"/>
      <c r="T546" s="15" t="s">
        <v>4673</v>
      </c>
    </row>
    <row r="547" spans="1:20" x14ac:dyDescent="0.35">
      <c r="A547" s="3" t="s">
        <v>1098</v>
      </c>
      <c r="B547" s="3" t="s">
        <v>1099</v>
      </c>
      <c r="C547" s="3" t="s">
        <v>15</v>
      </c>
      <c r="D547" s="3">
        <v>200</v>
      </c>
      <c r="E547" s="3" t="s">
        <v>10</v>
      </c>
      <c r="F547" s="3">
        <v>24</v>
      </c>
      <c r="G547" s="21">
        <f>Table4[[#This Row],[Item Cost]]*Table4[[#This Row],[In Stock]]</f>
        <v>4800</v>
      </c>
      <c r="H547" s="12" t="s">
        <v>4661</v>
      </c>
      <c r="I547" s="13" t="s">
        <v>4666</v>
      </c>
      <c r="J547" s="13" t="s">
        <v>4673</v>
      </c>
      <c r="K547" t="s">
        <v>4797</v>
      </c>
      <c r="L547" s="12" t="s">
        <v>4672</v>
      </c>
      <c r="M547" s="17" t="str">
        <f>IF(LEN(COUNTIFS($H$1:H547,$H547,$I$1:I547,$I547,$J$1:J547,$J547,$K$1:K547,K547,$L$1:L547,L547))=1,"00"&amp;COUNTIFS($H$1:H547,$H547,$I$1:I547,$I547,$J$1:J547,$J547,$K$1:K547,K547,$L$1:L547,L547),IF(LEN(COUNTIFS($H$1:H547,$H547,$I$1:I547,$I547,$J$1:J547,$J547,$K$1:K547,K547,$L$1:L547,L547))=2,"0"&amp;COUNTIFS($H$1:H547,$H547,$I$1:I547,$I547,$J$1:J547,$J547,$K$1:K547,K547,$L$1:L547,L547),COUNTIFS($H$1:H547,$H547,$I$1:I547,$I547,$J$1:J547,$J547,$K$1:K547,K547,$L$1:L547,L547)))</f>
        <v>003</v>
      </c>
      <c r="N54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47" s="14" t="e">
        <f>+LEN(Table4[[#This Row],[New Item Code]])</f>
        <v>#N/A</v>
      </c>
      <c r="P547" s="15" t="s">
        <v>4747</v>
      </c>
      <c r="Q547" s="15" t="s">
        <v>4749</v>
      </c>
      <c r="R547" s="15"/>
      <c r="S547" s="15"/>
      <c r="T547" s="15" t="s">
        <v>4673</v>
      </c>
    </row>
    <row r="548" spans="1:20" x14ac:dyDescent="0.35">
      <c r="A548" s="2" t="s">
        <v>1100</v>
      </c>
      <c r="B548" s="2" t="s">
        <v>1101</v>
      </c>
      <c r="C548" s="2" t="s">
        <v>15</v>
      </c>
      <c r="D548" s="4">
        <v>19500</v>
      </c>
      <c r="E548" s="2" t="s">
        <v>10</v>
      </c>
      <c r="F548" s="2">
        <v>1</v>
      </c>
      <c r="G548" s="22">
        <f>Table4[[#This Row],[Item Cost]]*Table4[[#This Row],[In Stock]]</f>
        <v>19500</v>
      </c>
      <c r="H548" s="12" t="s">
        <v>4661</v>
      </c>
      <c r="I548" s="13" t="s">
        <v>4666</v>
      </c>
      <c r="J548" s="13" t="s">
        <v>4673</v>
      </c>
      <c r="K548" s="13" t="s">
        <v>4672</v>
      </c>
      <c r="L548" s="12" t="s">
        <v>4672</v>
      </c>
      <c r="M548" s="17" t="str">
        <f>IF(LEN(COUNTIFS($H$1:H548,$H548,$I$1:I548,$I548,$J$1:J548,$J548,$K$1:K548,K548,$L$1:L548,L548))=1,"00"&amp;COUNTIFS($H$1:H548,$H548,$I$1:I548,$I548,$J$1:J548,$J548,$K$1:K548,K548,$L$1:L548,L548),IF(LEN(COUNTIFS($H$1:H548,$H548,$I$1:I548,$I548,$J$1:J548,$J548,$K$1:K548,K548,$L$1:L548,L548))=2,"0"&amp;COUNTIFS($H$1:H548,$H548,$I$1:I548,$I548,$J$1:J548,$J548,$K$1:K548,K548,$L$1:L548,L548),COUNTIFS($H$1:H548,$H548,$I$1:I548,$I548,$J$1:J548,$J548,$K$1:K548,K548,$L$1:L548,L548)))</f>
        <v>041</v>
      </c>
      <c r="N54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48" s="14" t="e">
        <f>+LEN(Table4[[#This Row],[New Item Code]])</f>
        <v>#N/A</v>
      </c>
      <c r="P548" s="15" t="s">
        <v>4747</v>
      </c>
      <c r="Q548" s="15" t="s">
        <v>4749</v>
      </c>
      <c r="R548" s="15"/>
      <c r="S548" s="15"/>
      <c r="T548" s="15" t="s">
        <v>4673</v>
      </c>
    </row>
    <row r="549" spans="1:20" x14ac:dyDescent="0.35">
      <c r="A549" s="3" t="s">
        <v>1102</v>
      </c>
      <c r="B549" s="3" t="s">
        <v>1103</v>
      </c>
      <c r="C549" s="3" t="s">
        <v>15</v>
      </c>
      <c r="D549" s="3">
        <v>250</v>
      </c>
      <c r="E549" s="3" t="s">
        <v>10</v>
      </c>
      <c r="F549" s="3">
        <v>1</v>
      </c>
      <c r="G549" s="21">
        <f>Table4[[#This Row],[Item Cost]]*Table4[[#This Row],[In Stock]]</f>
        <v>250</v>
      </c>
      <c r="H549" s="12" t="s">
        <v>4661</v>
      </c>
      <c r="I549" s="13" t="s">
        <v>4666</v>
      </c>
      <c r="J549" s="13" t="s">
        <v>4673</v>
      </c>
      <c r="K549" s="13" t="s">
        <v>4672</v>
      </c>
      <c r="L549" s="12" t="s">
        <v>4672</v>
      </c>
      <c r="M549" s="17" t="str">
        <f>IF(LEN(COUNTIFS($H$1:H549,$H549,$I$1:I549,$I549,$J$1:J549,$J549,$K$1:K549,K549,$L$1:L549,L549))=1,"00"&amp;COUNTIFS($H$1:H549,$H549,$I$1:I549,$I549,$J$1:J549,$J549,$K$1:K549,K549,$L$1:L549,L549),IF(LEN(COUNTIFS($H$1:H549,$H549,$I$1:I549,$I549,$J$1:J549,$J549,$K$1:K549,K549,$L$1:L549,L549))=2,"0"&amp;COUNTIFS($H$1:H549,$H549,$I$1:I549,$I549,$J$1:J549,$J549,$K$1:K549,K549,$L$1:L549,L549),COUNTIFS($H$1:H549,$H549,$I$1:I549,$I549,$J$1:J549,$J549,$K$1:K549,K549,$L$1:L549,L549)))</f>
        <v>042</v>
      </c>
      <c r="N54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49" s="14" t="e">
        <f>+LEN(Table4[[#This Row],[New Item Code]])</f>
        <v>#N/A</v>
      </c>
      <c r="P549" s="15" t="s">
        <v>4747</v>
      </c>
      <c r="Q549" s="15" t="s">
        <v>4749</v>
      </c>
      <c r="R549" s="15"/>
      <c r="S549" s="15"/>
      <c r="T549" s="15" t="s">
        <v>4673</v>
      </c>
    </row>
    <row r="550" spans="1:20" x14ac:dyDescent="0.35">
      <c r="A550" s="2" t="s">
        <v>1104</v>
      </c>
      <c r="B550" s="2" t="s">
        <v>1105</v>
      </c>
      <c r="C550" s="2" t="s">
        <v>15</v>
      </c>
      <c r="D550" s="2">
        <v>34.54</v>
      </c>
      <c r="E550" s="2" t="s">
        <v>10</v>
      </c>
      <c r="F550" s="2">
        <v>1</v>
      </c>
      <c r="G550" s="22">
        <f>Table4[[#This Row],[Item Cost]]*Table4[[#This Row],[In Stock]]</f>
        <v>34.54</v>
      </c>
      <c r="H550" s="12" t="s">
        <v>4661</v>
      </c>
      <c r="I550" s="13" t="s">
        <v>4666</v>
      </c>
      <c r="J550" s="13" t="s">
        <v>4673</v>
      </c>
      <c r="K550" t="s">
        <v>4798</v>
      </c>
      <c r="L550" s="12" t="s">
        <v>4672</v>
      </c>
      <c r="M550" s="17" t="str">
        <f>IF(LEN(COUNTIFS($H$1:H550,$H550,$I$1:I550,$I550,$J$1:J550,$J550,$K$1:K550,K550,$L$1:L550,L550))=1,"00"&amp;COUNTIFS($H$1:H550,$H550,$I$1:I550,$I550,$J$1:J550,$J550,$K$1:K550,K550,$L$1:L550,L550),IF(LEN(COUNTIFS($H$1:H550,$H550,$I$1:I550,$I550,$J$1:J550,$J550,$K$1:K550,K550,$L$1:L550,L550))=2,"0"&amp;COUNTIFS($H$1:H550,$H550,$I$1:I550,$I550,$J$1:J550,$J550,$K$1:K550,K550,$L$1:L550,L550),COUNTIFS($H$1:H550,$H550,$I$1:I550,$I550,$J$1:J550,$J550,$K$1:K550,K550,$L$1:L550,L550)))</f>
        <v>002</v>
      </c>
      <c r="N55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50" s="14" t="e">
        <f>+LEN(Table4[[#This Row],[New Item Code]])</f>
        <v>#N/A</v>
      </c>
      <c r="P550" s="15" t="s">
        <v>4747</v>
      </c>
      <c r="Q550" s="15" t="s">
        <v>4749</v>
      </c>
      <c r="R550" s="15"/>
      <c r="S550" s="15"/>
      <c r="T550" s="15" t="s">
        <v>4673</v>
      </c>
    </row>
    <row r="551" spans="1:20" x14ac:dyDescent="0.35">
      <c r="A551" s="3" t="s">
        <v>1106</v>
      </c>
      <c r="B551" s="3" t="s">
        <v>1107</v>
      </c>
      <c r="C551" s="3" t="s">
        <v>15</v>
      </c>
      <c r="D551" s="3">
        <v>360</v>
      </c>
      <c r="E551" s="3" t="s">
        <v>10</v>
      </c>
      <c r="F551" s="3">
        <v>0</v>
      </c>
      <c r="G551" s="21">
        <f>Table4[[#This Row],[Item Cost]]*Table4[[#This Row],[In Stock]]</f>
        <v>0</v>
      </c>
      <c r="H551" s="12" t="s">
        <v>4661</v>
      </c>
      <c r="I551" s="13" t="s">
        <v>4666</v>
      </c>
      <c r="J551" s="13" t="s">
        <v>4673</v>
      </c>
      <c r="K551" t="s">
        <v>4798</v>
      </c>
      <c r="L551" s="12" t="s">
        <v>4672</v>
      </c>
      <c r="M551" s="17" t="str">
        <f>IF(LEN(COUNTIFS($H$1:H551,$H551,$I$1:I551,$I551,$J$1:J551,$J551,$K$1:K551,K551,$L$1:L551,L551))=1,"00"&amp;COUNTIFS($H$1:H551,$H551,$I$1:I551,$I551,$J$1:J551,$J551,$K$1:K551,K551,$L$1:L551,L551),IF(LEN(COUNTIFS($H$1:H551,$H551,$I$1:I551,$I551,$J$1:J551,$J551,$K$1:K551,K551,$L$1:L551,L551))=2,"0"&amp;COUNTIFS($H$1:H551,$H551,$I$1:I551,$I551,$J$1:J551,$J551,$K$1:K551,K551,$L$1:L551,L551),COUNTIFS($H$1:H551,$H551,$I$1:I551,$I551,$J$1:J551,$J551,$K$1:K551,K551,$L$1:L551,L551)))</f>
        <v>003</v>
      </c>
      <c r="N55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51" s="14" t="e">
        <f>+LEN(Table4[[#This Row],[New Item Code]])</f>
        <v>#N/A</v>
      </c>
      <c r="P551" s="15" t="s">
        <v>4747</v>
      </c>
      <c r="Q551" s="15" t="s">
        <v>4749</v>
      </c>
      <c r="R551" s="15"/>
      <c r="S551" s="15"/>
      <c r="T551" s="15" t="s">
        <v>4673</v>
      </c>
    </row>
    <row r="552" spans="1:20" x14ac:dyDescent="0.35">
      <c r="A552" s="2" t="s">
        <v>1108</v>
      </c>
      <c r="B552" s="2" t="s">
        <v>1109</v>
      </c>
      <c r="C552" s="2" t="s">
        <v>15</v>
      </c>
      <c r="D552" s="2">
        <v>215</v>
      </c>
      <c r="E552" s="2" t="s">
        <v>10</v>
      </c>
      <c r="F552" s="2">
        <v>0</v>
      </c>
      <c r="G552" s="22">
        <f>Table4[[#This Row],[Item Cost]]*Table4[[#This Row],[In Stock]]</f>
        <v>0</v>
      </c>
      <c r="H552" s="12" t="s">
        <v>4661</v>
      </c>
      <c r="I552" s="13" t="s">
        <v>4666</v>
      </c>
      <c r="J552" s="13" t="s">
        <v>4673</v>
      </c>
      <c r="K552" t="s">
        <v>4798</v>
      </c>
      <c r="L552" s="12" t="s">
        <v>4672</v>
      </c>
      <c r="M552" s="17" t="str">
        <f>IF(LEN(COUNTIFS($H$1:H552,$H552,$I$1:I552,$I552,$J$1:J552,$J552,$K$1:K552,K552,$L$1:L552,L552))=1,"00"&amp;COUNTIFS($H$1:H552,$H552,$I$1:I552,$I552,$J$1:J552,$J552,$K$1:K552,K552,$L$1:L552,L552),IF(LEN(COUNTIFS($H$1:H552,$H552,$I$1:I552,$I552,$J$1:J552,$J552,$K$1:K552,K552,$L$1:L552,L552))=2,"0"&amp;COUNTIFS($H$1:H552,$H552,$I$1:I552,$I552,$J$1:J552,$J552,$K$1:K552,K552,$L$1:L552,L552),COUNTIFS($H$1:H552,$H552,$I$1:I552,$I552,$J$1:J552,$J552,$K$1:K552,K552,$L$1:L552,L552)))</f>
        <v>004</v>
      </c>
      <c r="N55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52" s="14" t="e">
        <f>+LEN(Table4[[#This Row],[New Item Code]])</f>
        <v>#N/A</v>
      </c>
      <c r="P552" s="15" t="s">
        <v>4747</v>
      </c>
      <c r="Q552" s="15" t="s">
        <v>4749</v>
      </c>
      <c r="R552" s="15"/>
      <c r="S552" s="15"/>
      <c r="T552" s="15" t="s">
        <v>4673</v>
      </c>
    </row>
    <row r="553" spans="1:20" x14ac:dyDescent="0.35">
      <c r="A553" s="3" t="s">
        <v>1110</v>
      </c>
      <c r="B553" s="3" t="s">
        <v>1111</v>
      </c>
      <c r="C553" s="3" t="s">
        <v>15</v>
      </c>
      <c r="D553" s="3">
        <v>16</v>
      </c>
      <c r="E553" s="3" t="s">
        <v>10</v>
      </c>
      <c r="F553" s="3">
        <v>0</v>
      </c>
      <c r="G553" s="21">
        <f>Table4[[#This Row],[Item Cost]]*Table4[[#This Row],[In Stock]]</f>
        <v>0</v>
      </c>
      <c r="H553" s="12" t="s">
        <v>4661</v>
      </c>
      <c r="I553" s="13" t="s">
        <v>4666</v>
      </c>
      <c r="J553" s="13" t="s">
        <v>4673</v>
      </c>
      <c r="K553" s="13" t="s">
        <v>4672</v>
      </c>
      <c r="L553" s="12" t="s">
        <v>4672</v>
      </c>
      <c r="M553" s="17" t="str">
        <f>IF(LEN(COUNTIFS($H$1:H553,$H553,$I$1:I553,$I553,$J$1:J553,$J553,$K$1:K553,K553,$L$1:L553,L553))=1,"00"&amp;COUNTIFS($H$1:H553,$H553,$I$1:I553,$I553,$J$1:J553,$J553,$K$1:K553,K553,$L$1:L553,L553),IF(LEN(COUNTIFS($H$1:H553,$H553,$I$1:I553,$I553,$J$1:J553,$J553,$K$1:K553,K553,$L$1:L553,L553))=2,"0"&amp;COUNTIFS($H$1:H553,$H553,$I$1:I553,$I553,$J$1:J553,$J553,$K$1:K553,K553,$L$1:L553,L553),COUNTIFS($H$1:H553,$H553,$I$1:I553,$I553,$J$1:J553,$J553,$K$1:K553,K553,$L$1:L553,L553)))</f>
        <v>043</v>
      </c>
      <c r="N55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53" s="14" t="e">
        <f>+LEN(Table4[[#This Row],[New Item Code]])</f>
        <v>#N/A</v>
      </c>
      <c r="P553" s="15" t="s">
        <v>4747</v>
      </c>
      <c r="Q553" s="15" t="s">
        <v>4749</v>
      </c>
      <c r="R553" s="15"/>
      <c r="S553" s="15"/>
      <c r="T553" s="15" t="s">
        <v>4673</v>
      </c>
    </row>
    <row r="554" spans="1:20" x14ac:dyDescent="0.35">
      <c r="A554" s="2" t="s">
        <v>1112</v>
      </c>
      <c r="B554" s="2" t="s">
        <v>1113</v>
      </c>
      <c r="C554" s="2" t="s">
        <v>15</v>
      </c>
      <c r="D554" s="2">
        <v>30.577000000000002</v>
      </c>
      <c r="E554" s="2" t="s">
        <v>10</v>
      </c>
      <c r="F554" s="2">
        <v>30</v>
      </c>
      <c r="G554" s="22">
        <f>Table4[[#This Row],[Item Cost]]*Table4[[#This Row],[In Stock]]</f>
        <v>917.31000000000006</v>
      </c>
      <c r="H554" s="12" t="s">
        <v>4661</v>
      </c>
      <c r="I554" s="13" t="s">
        <v>4666</v>
      </c>
      <c r="J554" s="13" t="s">
        <v>4673</v>
      </c>
      <c r="K554" s="13" t="s">
        <v>4672</v>
      </c>
      <c r="L554" s="12" t="s">
        <v>4672</v>
      </c>
      <c r="M554" s="17" t="str">
        <f>IF(LEN(COUNTIFS($H$1:H554,$H554,$I$1:I554,$I554,$J$1:J554,$J554,$K$1:K554,K554,$L$1:L554,L554))=1,"00"&amp;COUNTIFS($H$1:H554,$H554,$I$1:I554,$I554,$J$1:J554,$J554,$K$1:K554,K554,$L$1:L554,L554),IF(LEN(COUNTIFS($H$1:H554,$H554,$I$1:I554,$I554,$J$1:J554,$J554,$K$1:K554,K554,$L$1:L554,L554))=2,"0"&amp;COUNTIFS($H$1:H554,$H554,$I$1:I554,$I554,$J$1:J554,$J554,$K$1:K554,K554,$L$1:L554,L554),COUNTIFS($H$1:H554,$H554,$I$1:I554,$I554,$J$1:J554,$J554,$K$1:K554,K554,$L$1:L554,L554)))</f>
        <v>044</v>
      </c>
      <c r="N55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54" s="14" t="e">
        <f>+LEN(Table4[[#This Row],[New Item Code]])</f>
        <v>#N/A</v>
      </c>
      <c r="P554" s="15" t="s">
        <v>4747</v>
      </c>
      <c r="Q554" s="15" t="s">
        <v>4749</v>
      </c>
      <c r="R554" s="15"/>
      <c r="S554" s="15"/>
      <c r="T554" s="15" t="s">
        <v>4673</v>
      </c>
    </row>
    <row r="555" spans="1:20" x14ac:dyDescent="0.35">
      <c r="A555" s="3" t="s">
        <v>1114</v>
      </c>
      <c r="B555" s="3" t="s">
        <v>1115</v>
      </c>
      <c r="C555" s="3" t="s">
        <v>15</v>
      </c>
      <c r="D555" s="3">
        <v>43.857999999999997</v>
      </c>
      <c r="E555" s="3" t="s">
        <v>10</v>
      </c>
      <c r="F555" s="3">
        <v>4</v>
      </c>
      <c r="G555" s="21">
        <f>Table4[[#This Row],[Item Cost]]*Table4[[#This Row],[In Stock]]</f>
        <v>175.43199999999999</v>
      </c>
      <c r="H555" s="12" t="s">
        <v>4661</v>
      </c>
      <c r="I555" s="13" t="s">
        <v>4666</v>
      </c>
      <c r="J555" s="13" t="s">
        <v>4673</v>
      </c>
      <c r="K555" s="13" t="s">
        <v>4672</v>
      </c>
      <c r="L555" s="12" t="s">
        <v>4672</v>
      </c>
      <c r="M555" s="17" t="str">
        <f>IF(LEN(COUNTIFS($H$1:H555,$H555,$I$1:I555,$I555,$J$1:J555,$J555,$K$1:K555,K555,$L$1:L555,L555))=1,"00"&amp;COUNTIFS($H$1:H555,$H555,$I$1:I555,$I555,$J$1:J555,$J555,$K$1:K555,K555,$L$1:L555,L555),IF(LEN(COUNTIFS($H$1:H555,$H555,$I$1:I555,$I555,$J$1:J555,$J555,$K$1:K555,K555,$L$1:L555,L555))=2,"0"&amp;COUNTIFS($H$1:H555,$H555,$I$1:I555,$I555,$J$1:J555,$J555,$K$1:K555,K555,$L$1:L555,L555),COUNTIFS($H$1:H555,$H555,$I$1:I555,$I555,$J$1:J555,$J555,$K$1:K555,K555,$L$1:L555,L555)))</f>
        <v>045</v>
      </c>
      <c r="N55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55" s="14" t="e">
        <f>+LEN(Table4[[#This Row],[New Item Code]])</f>
        <v>#N/A</v>
      </c>
      <c r="P555" s="15" t="s">
        <v>4747</v>
      </c>
      <c r="Q555" s="15" t="s">
        <v>4749</v>
      </c>
      <c r="R555" s="15"/>
      <c r="S555" s="15"/>
      <c r="T555" s="15" t="s">
        <v>4673</v>
      </c>
    </row>
    <row r="556" spans="1:20" x14ac:dyDescent="0.35">
      <c r="A556" s="2" t="s">
        <v>1116</v>
      </c>
      <c r="B556" s="2" t="s">
        <v>1117</v>
      </c>
      <c r="C556" s="2" t="s">
        <v>15</v>
      </c>
      <c r="D556" s="2">
        <v>46.813000000000002</v>
      </c>
      <c r="E556" s="2" t="s">
        <v>10</v>
      </c>
      <c r="F556" s="2">
        <v>0</v>
      </c>
      <c r="G556" s="22">
        <f>Table4[[#This Row],[Item Cost]]*Table4[[#This Row],[In Stock]]</f>
        <v>0</v>
      </c>
      <c r="H556" s="12" t="s">
        <v>4661</v>
      </c>
      <c r="I556" s="13" t="s">
        <v>4666</v>
      </c>
      <c r="J556" s="13" t="s">
        <v>4673</v>
      </c>
      <c r="K556" s="13" t="s">
        <v>4672</v>
      </c>
      <c r="L556" s="12" t="s">
        <v>4672</v>
      </c>
      <c r="M556" s="17" t="str">
        <f>IF(LEN(COUNTIFS($H$1:H556,$H556,$I$1:I556,$I556,$J$1:J556,$J556,$K$1:K556,K556,$L$1:L556,L556))=1,"00"&amp;COUNTIFS($H$1:H556,$H556,$I$1:I556,$I556,$J$1:J556,$J556,$K$1:K556,K556,$L$1:L556,L556),IF(LEN(COUNTIFS($H$1:H556,$H556,$I$1:I556,$I556,$J$1:J556,$J556,$K$1:K556,K556,$L$1:L556,L556))=2,"0"&amp;COUNTIFS($H$1:H556,$H556,$I$1:I556,$I556,$J$1:J556,$J556,$K$1:K556,K556,$L$1:L556,L556),COUNTIFS($H$1:H556,$H556,$I$1:I556,$I556,$J$1:J556,$J556,$K$1:K556,K556,$L$1:L556,L556)))</f>
        <v>046</v>
      </c>
      <c r="N55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56" s="14" t="e">
        <f>+LEN(Table4[[#This Row],[New Item Code]])</f>
        <v>#N/A</v>
      </c>
      <c r="P556" s="15" t="s">
        <v>4747</v>
      </c>
      <c r="Q556" s="15" t="s">
        <v>4749</v>
      </c>
      <c r="R556" s="15"/>
      <c r="S556" s="15"/>
      <c r="T556" s="15" t="s">
        <v>4673</v>
      </c>
    </row>
    <row r="557" spans="1:20" x14ac:dyDescent="0.35">
      <c r="A557" s="3" t="s">
        <v>1118</v>
      </c>
      <c r="B557" s="3" t="s">
        <v>1119</v>
      </c>
      <c r="C557" s="3" t="s">
        <v>9</v>
      </c>
      <c r="D557" s="5">
        <v>22500</v>
      </c>
      <c r="E557" s="3" t="s">
        <v>10</v>
      </c>
      <c r="F557" s="3">
        <v>1</v>
      </c>
      <c r="G557" s="21">
        <f>Table4[[#This Row],[Item Cost]]*Table4[[#This Row],[In Stock]]</f>
        <v>22500</v>
      </c>
      <c r="H557" s="12" t="s">
        <v>4661</v>
      </c>
      <c r="I557" s="13" t="s">
        <v>4664</v>
      </c>
      <c r="J557" s="13" t="s">
        <v>4673</v>
      </c>
      <c r="K557" s="13" t="s">
        <v>4672</v>
      </c>
      <c r="L557" s="12" t="s">
        <v>4672</v>
      </c>
      <c r="M557" s="17" t="str">
        <f>IF(LEN(COUNTIFS($H$1:H557,$H557,$I$1:I557,$I557,$J$1:J557,$J557,$K$1:K557,K557,$L$1:L557,L557))=1,"00"&amp;COUNTIFS($H$1:H557,$H557,$I$1:I557,$I557,$J$1:J557,$J557,$K$1:K557,K557,$L$1:L557,L557),IF(LEN(COUNTIFS($H$1:H557,$H557,$I$1:I557,$I557,$J$1:J557,$J557,$K$1:K557,K557,$L$1:L557,L557))=2,"0"&amp;COUNTIFS($H$1:H557,$H557,$I$1:I557,$I557,$J$1:J557,$J557,$K$1:K557,K557,$L$1:L557,L557),COUNTIFS($H$1:H557,$H557,$I$1:I557,$I557,$J$1:J557,$J557,$K$1:K557,K557,$L$1:L557,L557)))</f>
        <v>016</v>
      </c>
      <c r="N55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57" s="14" t="e">
        <f>+LEN(Table4[[#This Row],[New Item Code]])</f>
        <v>#N/A</v>
      </c>
      <c r="P557" s="15" t="s">
        <v>4747</v>
      </c>
      <c r="Q557" s="15" t="s">
        <v>4749</v>
      </c>
      <c r="R557" s="15"/>
      <c r="S557" s="15"/>
      <c r="T557" s="15" t="s">
        <v>4673</v>
      </c>
    </row>
    <row r="558" spans="1:20" x14ac:dyDescent="0.35">
      <c r="A558" s="2" t="s">
        <v>1120</v>
      </c>
      <c r="B558" s="2" t="s">
        <v>1121</v>
      </c>
      <c r="C558" s="2" t="s">
        <v>15</v>
      </c>
      <c r="D558" s="2">
        <v>35</v>
      </c>
      <c r="E558" s="2" t="s">
        <v>10</v>
      </c>
      <c r="F558" s="2">
        <v>4</v>
      </c>
      <c r="G558" s="22">
        <f>Table4[[#This Row],[Item Cost]]*Table4[[#This Row],[In Stock]]</f>
        <v>140</v>
      </c>
      <c r="H558" s="12" t="s">
        <v>4661</v>
      </c>
      <c r="I558" s="13" t="s">
        <v>4666</v>
      </c>
      <c r="J558" s="13" t="s">
        <v>4673</v>
      </c>
      <c r="K558" s="13" t="s">
        <v>4672</v>
      </c>
      <c r="L558" s="12" t="s">
        <v>4672</v>
      </c>
      <c r="M558" s="17" t="str">
        <f>IF(LEN(COUNTIFS($H$1:H558,$H558,$I$1:I558,$I558,$J$1:J558,$J558,$K$1:K558,K558,$L$1:L558,L558))=1,"00"&amp;COUNTIFS($H$1:H558,$H558,$I$1:I558,$I558,$J$1:J558,$J558,$K$1:K558,K558,$L$1:L558,L558),IF(LEN(COUNTIFS($H$1:H558,$H558,$I$1:I558,$I558,$J$1:J558,$J558,$K$1:K558,K558,$L$1:L558,L558))=2,"0"&amp;COUNTIFS($H$1:H558,$H558,$I$1:I558,$I558,$J$1:J558,$J558,$K$1:K558,K558,$L$1:L558,L558),COUNTIFS($H$1:H558,$H558,$I$1:I558,$I558,$J$1:J558,$J558,$K$1:K558,K558,$L$1:L558,L558)))</f>
        <v>047</v>
      </c>
      <c r="N55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58" s="14" t="e">
        <f>+LEN(Table4[[#This Row],[New Item Code]])</f>
        <v>#N/A</v>
      </c>
      <c r="P558" s="15" t="s">
        <v>4747</v>
      </c>
      <c r="Q558" s="15" t="s">
        <v>4749</v>
      </c>
      <c r="R558" s="15"/>
      <c r="S558" s="15"/>
      <c r="T558" s="15" t="s">
        <v>4673</v>
      </c>
    </row>
    <row r="559" spans="1:20" x14ac:dyDescent="0.35">
      <c r="A559" s="3" t="s">
        <v>1122</v>
      </c>
      <c r="B559" s="3" t="s">
        <v>1123</v>
      </c>
      <c r="C559" s="3" t="s">
        <v>9</v>
      </c>
      <c r="D559" s="5">
        <v>1945</v>
      </c>
      <c r="E559" s="3" t="s">
        <v>10</v>
      </c>
      <c r="F559" s="3">
        <v>1</v>
      </c>
      <c r="G559" s="21">
        <f>Table4[[#This Row],[Item Cost]]*Table4[[#This Row],[In Stock]]</f>
        <v>1945</v>
      </c>
      <c r="H559" s="12" t="s">
        <v>4661</v>
      </c>
      <c r="I559" s="13" t="s">
        <v>4664</v>
      </c>
      <c r="J559" s="13" t="s">
        <v>4673</v>
      </c>
      <c r="K559" s="13" t="s">
        <v>4734</v>
      </c>
      <c r="L559" s="12" t="s">
        <v>4672</v>
      </c>
      <c r="M559" s="17" t="str">
        <f>IF(LEN(COUNTIFS($H$1:H559,$H559,$I$1:I559,$I559,$J$1:J559,$J559,$K$1:K559,K559,$L$1:L559,L559))=1,"00"&amp;COUNTIFS($H$1:H559,$H559,$I$1:I559,$I559,$J$1:J559,$J559,$K$1:K559,K559,$L$1:L559,L559),IF(LEN(COUNTIFS($H$1:H559,$H559,$I$1:I559,$I559,$J$1:J559,$J559,$K$1:K559,K559,$L$1:L559,L559))=2,"0"&amp;COUNTIFS($H$1:H559,$H559,$I$1:I559,$I559,$J$1:J559,$J559,$K$1:K559,K559,$L$1:L559,L559),COUNTIFS($H$1:H559,$H559,$I$1:I559,$I559,$J$1:J559,$J559,$K$1:K559,K559,$L$1:L559,L559)))</f>
        <v>002</v>
      </c>
      <c r="N55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59" s="14" t="e">
        <f>+LEN(Table4[[#This Row],[New Item Code]])</f>
        <v>#N/A</v>
      </c>
      <c r="P559" s="15" t="s">
        <v>4747</v>
      </c>
      <c r="Q559" s="15" t="s">
        <v>4749</v>
      </c>
      <c r="R559" s="15"/>
      <c r="S559" s="15"/>
      <c r="T559" s="15" t="s">
        <v>4673</v>
      </c>
    </row>
    <row r="560" spans="1:20" x14ac:dyDescent="0.35">
      <c r="A560" s="2" t="s">
        <v>1124</v>
      </c>
      <c r="B560" s="2" t="s">
        <v>1125</v>
      </c>
      <c r="C560" s="2" t="s">
        <v>56</v>
      </c>
      <c r="D560" s="4">
        <v>1791</v>
      </c>
      <c r="E560" s="2" t="s">
        <v>10</v>
      </c>
      <c r="F560" s="2">
        <v>1</v>
      </c>
      <c r="G560" s="22">
        <f>Table4[[#This Row],[Item Cost]]*Table4[[#This Row],[In Stock]]</f>
        <v>1791</v>
      </c>
      <c r="H560" s="12" t="s">
        <v>4661</v>
      </c>
      <c r="I560" s="13" t="s">
        <v>4668</v>
      </c>
      <c r="J560" s="13" t="s">
        <v>4673</v>
      </c>
      <c r="K560" s="13" t="s">
        <v>4672</v>
      </c>
      <c r="L560" s="12" t="s">
        <v>4672</v>
      </c>
      <c r="M560" s="17" t="str">
        <f>IF(LEN(COUNTIFS($H$1:H560,$H560,$I$1:I560,$I560,$J$1:J560,$J560,$K$1:K560,K560,$L$1:L560,L560))=1,"00"&amp;COUNTIFS($H$1:H560,$H560,$I$1:I560,$I560,$J$1:J560,$J560,$K$1:K560,K560,$L$1:L560,L560),IF(LEN(COUNTIFS($H$1:H560,$H560,$I$1:I560,$I560,$J$1:J560,$J560,$K$1:K560,K560,$L$1:L560,L560))=2,"0"&amp;COUNTIFS($H$1:H560,$H560,$I$1:I560,$I560,$J$1:J560,$J560,$K$1:K560,K560,$L$1:L560,L560),COUNTIFS($H$1:H560,$H560,$I$1:I560,$I560,$J$1:J560,$J560,$K$1:K560,K560,$L$1:L560,L560)))</f>
        <v>001</v>
      </c>
      <c r="N56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60" s="14" t="e">
        <f>+LEN(Table4[[#This Row],[New Item Code]])</f>
        <v>#N/A</v>
      </c>
      <c r="P560" s="15" t="s">
        <v>4747</v>
      </c>
      <c r="Q560" s="15" t="s">
        <v>4749</v>
      </c>
      <c r="R560" s="15"/>
      <c r="S560" s="15"/>
      <c r="T560" s="15" t="s">
        <v>4673</v>
      </c>
    </row>
    <row r="561" spans="1:20" x14ac:dyDescent="0.35">
      <c r="A561" s="3" t="s">
        <v>1126</v>
      </c>
      <c r="B561" s="3" t="s">
        <v>1127</v>
      </c>
      <c r="C561" s="3" t="s">
        <v>56</v>
      </c>
      <c r="D561" s="5">
        <v>1791</v>
      </c>
      <c r="E561" s="3" t="s">
        <v>10</v>
      </c>
      <c r="F561" s="3">
        <v>1</v>
      </c>
      <c r="G561" s="21">
        <f>Table4[[#This Row],[Item Cost]]*Table4[[#This Row],[In Stock]]</f>
        <v>1791</v>
      </c>
      <c r="H561" s="12" t="s">
        <v>4661</v>
      </c>
      <c r="I561" s="13" t="s">
        <v>4668</v>
      </c>
      <c r="J561" s="13" t="s">
        <v>4673</v>
      </c>
      <c r="K561" s="13" t="s">
        <v>4672</v>
      </c>
      <c r="L561" s="12" t="s">
        <v>4672</v>
      </c>
      <c r="M561" s="17" t="str">
        <f>IF(LEN(COUNTIFS($H$1:H561,$H561,$I$1:I561,$I561,$J$1:J561,$J561,$K$1:K561,K561,$L$1:L561,L561))=1,"00"&amp;COUNTIFS($H$1:H561,$H561,$I$1:I561,$I561,$J$1:J561,$J561,$K$1:K561,K561,$L$1:L561,L561),IF(LEN(COUNTIFS($H$1:H561,$H561,$I$1:I561,$I561,$J$1:J561,$J561,$K$1:K561,K561,$L$1:L561,L561))=2,"0"&amp;COUNTIFS($H$1:H561,$H561,$I$1:I561,$I561,$J$1:J561,$J561,$K$1:K561,K561,$L$1:L561,L561),COUNTIFS($H$1:H561,$H561,$I$1:I561,$I561,$J$1:J561,$J561,$K$1:K561,K561,$L$1:L561,L561)))</f>
        <v>002</v>
      </c>
      <c r="N56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61" s="14" t="e">
        <f>+LEN(Table4[[#This Row],[New Item Code]])</f>
        <v>#N/A</v>
      </c>
      <c r="P561" s="15" t="s">
        <v>4747</v>
      </c>
      <c r="Q561" s="15" t="s">
        <v>4749</v>
      </c>
      <c r="R561" s="15"/>
      <c r="S561" s="15"/>
      <c r="T561" s="15" t="s">
        <v>4673</v>
      </c>
    </row>
    <row r="562" spans="1:20" x14ac:dyDescent="0.35">
      <c r="A562" s="2" t="s">
        <v>1128</v>
      </c>
      <c r="B562" s="2" t="s">
        <v>1129</v>
      </c>
      <c r="C562" s="2" t="s">
        <v>56</v>
      </c>
      <c r="D562" s="2">
        <v>0</v>
      </c>
      <c r="E562" s="2" t="s">
        <v>10</v>
      </c>
      <c r="F562" s="2">
        <v>0</v>
      </c>
      <c r="G562" s="22">
        <f>Table4[[#This Row],[Item Cost]]*Table4[[#This Row],[In Stock]]</f>
        <v>0</v>
      </c>
      <c r="H562" s="12" t="s">
        <v>4661</v>
      </c>
      <c r="I562" s="13" t="s">
        <v>4668</v>
      </c>
      <c r="J562" s="13" t="s">
        <v>4673</v>
      </c>
      <c r="K562" s="13" t="s">
        <v>4672</v>
      </c>
      <c r="L562" s="12" t="s">
        <v>4672</v>
      </c>
      <c r="M562" s="17" t="str">
        <f>IF(LEN(COUNTIFS($H$1:H562,$H562,$I$1:I562,$I562,$J$1:J562,$J562,$K$1:K562,K562,$L$1:L562,L562))=1,"00"&amp;COUNTIFS($H$1:H562,$H562,$I$1:I562,$I562,$J$1:J562,$J562,$K$1:K562,K562,$L$1:L562,L562),IF(LEN(COUNTIFS($H$1:H562,$H562,$I$1:I562,$I562,$J$1:J562,$J562,$K$1:K562,K562,$L$1:L562,L562))=2,"0"&amp;COUNTIFS($H$1:H562,$H562,$I$1:I562,$I562,$J$1:J562,$J562,$K$1:K562,K562,$L$1:L562,L562),COUNTIFS($H$1:H562,$H562,$I$1:I562,$I562,$J$1:J562,$J562,$K$1:K562,K562,$L$1:L562,L562)))</f>
        <v>003</v>
      </c>
      <c r="N56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62" s="14" t="e">
        <f>+LEN(Table4[[#This Row],[New Item Code]])</f>
        <v>#N/A</v>
      </c>
      <c r="P562" s="15" t="s">
        <v>4747</v>
      </c>
      <c r="Q562" s="15" t="s">
        <v>4749</v>
      </c>
      <c r="R562" s="15"/>
      <c r="S562" s="15"/>
      <c r="T562" s="15" t="s">
        <v>4673</v>
      </c>
    </row>
    <row r="563" spans="1:20" x14ac:dyDescent="0.35">
      <c r="A563" s="3" t="s">
        <v>1130</v>
      </c>
      <c r="B563" s="3" t="s">
        <v>1131</v>
      </c>
      <c r="C563" s="3" t="s">
        <v>56</v>
      </c>
      <c r="D563" s="3">
        <v>0</v>
      </c>
      <c r="E563" s="3" t="s">
        <v>10</v>
      </c>
      <c r="F563" s="3">
        <v>0</v>
      </c>
      <c r="G563" s="21">
        <f>Table4[[#This Row],[Item Cost]]*Table4[[#This Row],[In Stock]]</f>
        <v>0</v>
      </c>
      <c r="H563" s="12" t="s">
        <v>4661</v>
      </c>
      <c r="I563" s="13" t="s">
        <v>4668</v>
      </c>
      <c r="J563" s="13" t="s">
        <v>4673</v>
      </c>
      <c r="K563" s="13" t="s">
        <v>4672</v>
      </c>
      <c r="L563" s="12" t="s">
        <v>4672</v>
      </c>
      <c r="M563" s="17" t="str">
        <f>IF(LEN(COUNTIFS($H$1:H563,$H563,$I$1:I563,$I563,$J$1:J563,$J563,$K$1:K563,K563,$L$1:L563,L563))=1,"00"&amp;COUNTIFS($H$1:H563,$H563,$I$1:I563,$I563,$J$1:J563,$J563,$K$1:K563,K563,$L$1:L563,L563),IF(LEN(COUNTIFS($H$1:H563,$H563,$I$1:I563,$I563,$J$1:J563,$J563,$K$1:K563,K563,$L$1:L563,L563))=2,"0"&amp;COUNTIFS($H$1:H563,$H563,$I$1:I563,$I563,$J$1:J563,$J563,$K$1:K563,K563,$L$1:L563,L563),COUNTIFS($H$1:H563,$H563,$I$1:I563,$I563,$J$1:J563,$J563,$K$1:K563,K563,$L$1:L563,L563)))</f>
        <v>004</v>
      </c>
      <c r="N56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63" s="14" t="e">
        <f>+LEN(Table4[[#This Row],[New Item Code]])</f>
        <v>#N/A</v>
      </c>
      <c r="P563" s="15" t="s">
        <v>4747</v>
      </c>
      <c r="Q563" s="15" t="s">
        <v>4749</v>
      </c>
      <c r="R563" s="15"/>
      <c r="S563" s="15"/>
      <c r="T563" s="15" t="s">
        <v>4673</v>
      </c>
    </row>
    <row r="564" spans="1:20" x14ac:dyDescent="0.35">
      <c r="A564" s="2" t="s">
        <v>1132</v>
      </c>
      <c r="B564" s="2" t="s">
        <v>1133</v>
      </c>
      <c r="C564" s="2" t="s">
        <v>56</v>
      </c>
      <c r="D564" s="2">
        <v>0</v>
      </c>
      <c r="E564" s="2" t="s">
        <v>10</v>
      </c>
      <c r="F564" s="2">
        <v>0</v>
      </c>
      <c r="G564" s="22">
        <f>Table4[[#This Row],[Item Cost]]*Table4[[#This Row],[In Stock]]</f>
        <v>0</v>
      </c>
      <c r="H564" s="12" t="s">
        <v>4661</v>
      </c>
      <c r="I564" s="13" t="s">
        <v>4668</v>
      </c>
      <c r="J564" s="13" t="s">
        <v>4673</v>
      </c>
      <c r="K564" s="13" t="s">
        <v>4672</v>
      </c>
      <c r="L564" s="12" t="s">
        <v>4672</v>
      </c>
      <c r="M564" s="17" t="str">
        <f>IF(LEN(COUNTIFS($H$1:H564,$H564,$I$1:I564,$I564,$J$1:J564,$J564,$K$1:K564,K564,$L$1:L564,L564))=1,"00"&amp;COUNTIFS($H$1:H564,$H564,$I$1:I564,$I564,$J$1:J564,$J564,$K$1:K564,K564,$L$1:L564,L564),IF(LEN(COUNTIFS($H$1:H564,$H564,$I$1:I564,$I564,$J$1:J564,$J564,$K$1:K564,K564,$L$1:L564,L564))=2,"0"&amp;COUNTIFS($H$1:H564,$H564,$I$1:I564,$I564,$J$1:J564,$J564,$K$1:K564,K564,$L$1:L564,L564),COUNTIFS($H$1:H564,$H564,$I$1:I564,$I564,$J$1:J564,$J564,$K$1:K564,K564,$L$1:L564,L564)))</f>
        <v>005</v>
      </c>
      <c r="N56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64" s="14" t="e">
        <f>+LEN(Table4[[#This Row],[New Item Code]])</f>
        <v>#N/A</v>
      </c>
      <c r="P564" s="15" t="s">
        <v>4747</v>
      </c>
      <c r="Q564" s="15" t="s">
        <v>4749</v>
      </c>
      <c r="R564" s="15"/>
      <c r="S564" s="15"/>
      <c r="T564" s="15" t="s">
        <v>4673</v>
      </c>
    </row>
    <row r="565" spans="1:20" x14ac:dyDescent="0.35">
      <c r="A565" s="3" t="s">
        <v>1134</v>
      </c>
      <c r="B565" s="3" t="s">
        <v>1135</v>
      </c>
      <c r="C565" s="3" t="s">
        <v>56</v>
      </c>
      <c r="D565" s="3">
        <v>0</v>
      </c>
      <c r="E565" s="3" t="s">
        <v>10</v>
      </c>
      <c r="F565" s="3">
        <v>0</v>
      </c>
      <c r="G565" s="21">
        <f>Table4[[#This Row],[Item Cost]]*Table4[[#This Row],[In Stock]]</f>
        <v>0</v>
      </c>
      <c r="H565" s="12" t="s">
        <v>4661</v>
      </c>
      <c r="I565" s="13" t="s">
        <v>4668</v>
      </c>
      <c r="J565" s="13" t="s">
        <v>4673</v>
      </c>
      <c r="K565" s="13" t="s">
        <v>4672</v>
      </c>
      <c r="L565" s="12" t="s">
        <v>4672</v>
      </c>
      <c r="M565" s="17" t="str">
        <f>IF(LEN(COUNTIFS($H$1:H565,$H565,$I$1:I565,$I565,$J$1:J565,$J565,$K$1:K565,K565,$L$1:L565,L565))=1,"00"&amp;COUNTIFS($H$1:H565,$H565,$I$1:I565,$I565,$J$1:J565,$J565,$K$1:K565,K565,$L$1:L565,L565),IF(LEN(COUNTIFS($H$1:H565,$H565,$I$1:I565,$I565,$J$1:J565,$J565,$K$1:K565,K565,$L$1:L565,L565))=2,"0"&amp;COUNTIFS($H$1:H565,$H565,$I$1:I565,$I565,$J$1:J565,$J565,$K$1:K565,K565,$L$1:L565,L565),COUNTIFS($H$1:H565,$H565,$I$1:I565,$I565,$J$1:J565,$J565,$K$1:K565,K565,$L$1:L565,L565)))</f>
        <v>006</v>
      </c>
      <c r="N56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65" s="14" t="e">
        <f>+LEN(Table4[[#This Row],[New Item Code]])</f>
        <v>#N/A</v>
      </c>
      <c r="P565" s="15" t="s">
        <v>4747</v>
      </c>
      <c r="Q565" s="15" t="s">
        <v>4749</v>
      </c>
      <c r="R565" s="15"/>
      <c r="S565" s="15"/>
      <c r="T565" s="15" t="s">
        <v>4673</v>
      </c>
    </row>
    <row r="566" spans="1:20" x14ac:dyDescent="0.35">
      <c r="A566" s="2" t="s">
        <v>1136</v>
      </c>
      <c r="B566" s="2" t="s">
        <v>1137</v>
      </c>
      <c r="C566" s="2" t="s">
        <v>56</v>
      </c>
      <c r="D566" s="2">
        <v>0</v>
      </c>
      <c r="E566" s="2" t="s">
        <v>10</v>
      </c>
      <c r="F566" s="2">
        <v>0</v>
      </c>
      <c r="G566" s="22">
        <f>Table4[[#This Row],[Item Cost]]*Table4[[#This Row],[In Stock]]</f>
        <v>0</v>
      </c>
      <c r="H566" s="12" t="s">
        <v>4661</v>
      </c>
      <c r="I566" s="13" t="s">
        <v>4668</v>
      </c>
      <c r="J566" s="13" t="s">
        <v>4673</v>
      </c>
      <c r="K566" s="13" t="s">
        <v>4672</v>
      </c>
      <c r="L566" s="12" t="s">
        <v>4672</v>
      </c>
      <c r="M566" s="17" t="str">
        <f>IF(LEN(COUNTIFS($H$1:H566,$H566,$I$1:I566,$I566,$J$1:J566,$J566,$K$1:K566,K566,$L$1:L566,L566))=1,"00"&amp;COUNTIFS($H$1:H566,$H566,$I$1:I566,$I566,$J$1:J566,$J566,$K$1:K566,K566,$L$1:L566,L566),IF(LEN(COUNTIFS($H$1:H566,$H566,$I$1:I566,$I566,$J$1:J566,$J566,$K$1:K566,K566,$L$1:L566,L566))=2,"0"&amp;COUNTIFS($H$1:H566,$H566,$I$1:I566,$I566,$J$1:J566,$J566,$K$1:K566,K566,$L$1:L566,L566),COUNTIFS($H$1:H566,$H566,$I$1:I566,$I566,$J$1:J566,$J566,$K$1:K566,K566,$L$1:L566,L566)))</f>
        <v>007</v>
      </c>
      <c r="N56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66" s="14" t="e">
        <f>+LEN(Table4[[#This Row],[New Item Code]])</f>
        <v>#N/A</v>
      </c>
      <c r="P566" s="15" t="s">
        <v>4747</v>
      </c>
      <c r="Q566" s="15" t="s">
        <v>4749</v>
      </c>
      <c r="R566" s="15"/>
      <c r="S566" s="15"/>
      <c r="T566" s="15" t="s">
        <v>4673</v>
      </c>
    </row>
    <row r="567" spans="1:20" x14ac:dyDescent="0.35">
      <c r="A567" s="3" t="s">
        <v>1138</v>
      </c>
      <c r="B567" s="3" t="s">
        <v>1139</v>
      </c>
      <c r="C567" s="3" t="s">
        <v>15</v>
      </c>
      <c r="D567" s="3">
        <v>265</v>
      </c>
      <c r="E567" s="3" t="s">
        <v>10</v>
      </c>
      <c r="F567" s="3">
        <v>2</v>
      </c>
      <c r="G567" s="21">
        <f>Table4[[#This Row],[Item Cost]]*Table4[[#This Row],[In Stock]]</f>
        <v>530</v>
      </c>
      <c r="H567" s="12" t="s">
        <v>4661</v>
      </c>
      <c r="I567" s="13" t="s">
        <v>4666</v>
      </c>
      <c r="J567" s="13" t="s">
        <v>4673</v>
      </c>
      <c r="K567" s="13" t="s">
        <v>4672</v>
      </c>
      <c r="L567" s="12" t="s">
        <v>4672</v>
      </c>
      <c r="M567" s="17" t="str">
        <f>IF(LEN(COUNTIFS($H$1:H567,$H567,$I$1:I567,$I567,$J$1:J567,$J567,$K$1:K567,K567,$L$1:L567,L567))=1,"00"&amp;COUNTIFS($H$1:H567,$H567,$I$1:I567,$I567,$J$1:J567,$J567,$K$1:K567,K567,$L$1:L567,L567),IF(LEN(COUNTIFS($H$1:H567,$H567,$I$1:I567,$I567,$J$1:J567,$J567,$K$1:K567,K567,$L$1:L567,L567))=2,"0"&amp;COUNTIFS($H$1:H567,$H567,$I$1:I567,$I567,$J$1:J567,$J567,$K$1:K567,K567,$L$1:L567,L567),COUNTIFS($H$1:H567,$H567,$I$1:I567,$I567,$J$1:J567,$J567,$K$1:K567,K567,$L$1:L567,L567)))</f>
        <v>048</v>
      </c>
      <c r="N56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67" s="14" t="e">
        <f>+LEN(Table4[[#This Row],[New Item Code]])</f>
        <v>#N/A</v>
      </c>
      <c r="P567" s="15" t="s">
        <v>4747</v>
      </c>
      <c r="Q567" s="15" t="s">
        <v>4749</v>
      </c>
      <c r="R567" s="15"/>
      <c r="S567" s="15"/>
      <c r="T567" s="15" t="s">
        <v>4673</v>
      </c>
    </row>
    <row r="568" spans="1:20" x14ac:dyDescent="0.35">
      <c r="A568" s="2" t="s">
        <v>1140</v>
      </c>
      <c r="B568" s="2" t="s">
        <v>1141</v>
      </c>
      <c r="C568" s="2" t="s">
        <v>15</v>
      </c>
      <c r="D568" s="4">
        <v>5500</v>
      </c>
      <c r="E568" s="2" t="s">
        <v>10</v>
      </c>
      <c r="F568" s="2">
        <v>0</v>
      </c>
      <c r="G568" s="22">
        <f>Table4[[#This Row],[Item Cost]]*Table4[[#This Row],[In Stock]]</f>
        <v>0</v>
      </c>
      <c r="H568" s="12" t="s">
        <v>4661</v>
      </c>
      <c r="I568" s="13" t="s">
        <v>4666</v>
      </c>
      <c r="J568" s="13" t="s">
        <v>4673</v>
      </c>
      <c r="K568" s="13" t="s">
        <v>4672</v>
      </c>
      <c r="L568" s="12" t="s">
        <v>4672</v>
      </c>
      <c r="M568" s="17" t="str">
        <f>IF(LEN(COUNTIFS($H$1:H568,$H568,$I$1:I568,$I568,$J$1:J568,$J568,$K$1:K568,K568,$L$1:L568,L568))=1,"00"&amp;COUNTIFS($H$1:H568,$H568,$I$1:I568,$I568,$J$1:J568,$J568,$K$1:K568,K568,$L$1:L568,L568),IF(LEN(COUNTIFS($H$1:H568,$H568,$I$1:I568,$I568,$J$1:J568,$J568,$K$1:K568,K568,$L$1:L568,L568))=2,"0"&amp;COUNTIFS($H$1:H568,$H568,$I$1:I568,$I568,$J$1:J568,$J568,$K$1:K568,K568,$L$1:L568,L568),COUNTIFS($H$1:H568,$H568,$I$1:I568,$I568,$J$1:J568,$J568,$K$1:K568,K568,$L$1:L568,L568)))</f>
        <v>049</v>
      </c>
      <c r="N56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68" s="14" t="e">
        <f>+LEN(Table4[[#This Row],[New Item Code]])</f>
        <v>#N/A</v>
      </c>
      <c r="P568" s="15" t="s">
        <v>4747</v>
      </c>
      <c r="Q568" s="15" t="s">
        <v>4749</v>
      </c>
      <c r="R568" s="15"/>
      <c r="S568" s="15"/>
      <c r="T568" s="15" t="s">
        <v>4673</v>
      </c>
    </row>
    <row r="569" spans="1:20" x14ac:dyDescent="0.35">
      <c r="A569" s="3" t="s">
        <v>1142</v>
      </c>
      <c r="B569" s="3" t="s">
        <v>1143</v>
      </c>
      <c r="C569" s="3" t="s">
        <v>15</v>
      </c>
      <c r="D569" s="3">
        <v>20</v>
      </c>
      <c r="E569" s="3" t="s">
        <v>10</v>
      </c>
      <c r="F569" s="3">
        <v>10</v>
      </c>
      <c r="G569" s="21">
        <f>Table4[[#This Row],[Item Cost]]*Table4[[#This Row],[In Stock]]</f>
        <v>200</v>
      </c>
      <c r="H569" s="12" t="s">
        <v>4661</v>
      </c>
      <c r="I569" s="13" t="s">
        <v>4666</v>
      </c>
      <c r="J569" s="13" t="s">
        <v>4673</v>
      </c>
      <c r="K569" s="13" t="s">
        <v>4672</v>
      </c>
      <c r="L569" s="12" t="s">
        <v>4672</v>
      </c>
      <c r="M569" s="17" t="str">
        <f>IF(LEN(COUNTIFS($H$1:H569,$H569,$I$1:I569,$I569,$J$1:J569,$J569,$K$1:K569,K569,$L$1:L569,L569))=1,"00"&amp;COUNTIFS($H$1:H569,$H569,$I$1:I569,$I569,$J$1:J569,$J569,$K$1:K569,K569,$L$1:L569,L569),IF(LEN(COUNTIFS($H$1:H569,$H569,$I$1:I569,$I569,$J$1:J569,$J569,$K$1:K569,K569,$L$1:L569,L569))=2,"0"&amp;COUNTIFS($H$1:H569,$H569,$I$1:I569,$I569,$J$1:J569,$J569,$K$1:K569,K569,$L$1:L569,L569),COUNTIFS($H$1:H569,$H569,$I$1:I569,$I569,$J$1:J569,$J569,$K$1:K569,K569,$L$1:L569,L569)))</f>
        <v>050</v>
      </c>
      <c r="N56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69" s="14" t="e">
        <f>+LEN(Table4[[#This Row],[New Item Code]])</f>
        <v>#N/A</v>
      </c>
      <c r="P569" s="15" t="s">
        <v>4747</v>
      </c>
      <c r="Q569" s="15" t="s">
        <v>4749</v>
      </c>
      <c r="R569" s="15"/>
      <c r="S569" s="15"/>
      <c r="T569" s="15" t="s">
        <v>4673</v>
      </c>
    </row>
    <row r="570" spans="1:20" x14ac:dyDescent="0.35">
      <c r="A570" s="2" t="s">
        <v>1144</v>
      </c>
      <c r="B570" s="2" t="s">
        <v>1145</v>
      </c>
      <c r="C570" s="2" t="s">
        <v>15</v>
      </c>
      <c r="D570" s="4">
        <v>2000</v>
      </c>
      <c r="E570" s="2" t="s">
        <v>10</v>
      </c>
      <c r="F570" s="2">
        <v>1</v>
      </c>
      <c r="G570" s="22">
        <f>Table4[[#This Row],[Item Cost]]*Table4[[#This Row],[In Stock]]</f>
        <v>2000</v>
      </c>
      <c r="H570" s="12" t="s">
        <v>4661</v>
      </c>
      <c r="I570" s="13" t="s">
        <v>4666</v>
      </c>
      <c r="J570" s="13" t="s">
        <v>4673</v>
      </c>
      <c r="K570" s="13" t="s">
        <v>4672</v>
      </c>
      <c r="L570" s="12" t="s">
        <v>4672</v>
      </c>
      <c r="M570" s="17" t="str">
        <f>IF(LEN(COUNTIFS($H$1:H570,$H570,$I$1:I570,$I570,$J$1:J570,$J570,$K$1:K570,K570,$L$1:L570,L570))=1,"00"&amp;COUNTIFS($H$1:H570,$H570,$I$1:I570,$I570,$J$1:J570,$J570,$K$1:K570,K570,$L$1:L570,L570),IF(LEN(COUNTIFS($H$1:H570,$H570,$I$1:I570,$I570,$J$1:J570,$J570,$K$1:K570,K570,$L$1:L570,L570))=2,"0"&amp;COUNTIFS($H$1:H570,$H570,$I$1:I570,$I570,$J$1:J570,$J570,$K$1:K570,K570,$L$1:L570,L570),COUNTIFS($H$1:H570,$H570,$I$1:I570,$I570,$J$1:J570,$J570,$K$1:K570,K570,$L$1:L570,L570)))</f>
        <v>051</v>
      </c>
      <c r="N57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70" s="14" t="e">
        <f>+LEN(Table4[[#This Row],[New Item Code]])</f>
        <v>#N/A</v>
      </c>
      <c r="P570" s="15" t="s">
        <v>4747</v>
      </c>
      <c r="Q570" s="15" t="s">
        <v>4749</v>
      </c>
      <c r="R570" s="15"/>
      <c r="S570" s="15"/>
      <c r="T570" s="15" t="s">
        <v>4673</v>
      </c>
    </row>
    <row r="571" spans="1:20" x14ac:dyDescent="0.35">
      <c r="A571" s="3" t="s">
        <v>1146</v>
      </c>
      <c r="B571" s="3" t="s">
        <v>1147</v>
      </c>
      <c r="C571" s="3" t="s">
        <v>9</v>
      </c>
      <c r="D571" s="5">
        <v>2300</v>
      </c>
      <c r="E571" s="3" t="s">
        <v>10</v>
      </c>
      <c r="F571" s="3">
        <v>3</v>
      </c>
      <c r="G571" s="21">
        <f>Table4[[#This Row],[Item Cost]]*Table4[[#This Row],[In Stock]]</f>
        <v>6900</v>
      </c>
      <c r="H571" s="12" t="s">
        <v>4661</v>
      </c>
      <c r="I571" s="13" t="s">
        <v>4664</v>
      </c>
      <c r="J571" s="13" t="s">
        <v>4673</v>
      </c>
      <c r="K571" s="13" t="s">
        <v>4672</v>
      </c>
      <c r="L571" s="12" t="s">
        <v>4672</v>
      </c>
      <c r="M571" s="17" t="str">
        <f>IF(LEN(COUNTIFS($H$1:H571,$H571,$I$1:I571,$I571,$J$1:J571,$J571,$K$1:K571,K571,$L$1:L571,L571))=1,"00"&amp;COUNTIFS($H$1:H571,$H571,$I$1:I571,$I571,$J$1:J571,$J571,$K$1:K571,K571,$L$1:L571,L571),IF(LEN(COUNTIFS($H$1:H571,$H571,$I$1:I571,$I571,$J$1:J571,$J571,$K$1:K571,K571,$L$1:L571,L571))=2,"0"&amp;COUNTIFS($H$1:H571,$H571,$I$1:I571,$I571,$J$1:J571,$J571,$K$1:K571,K571,$L$1:L571,L571),COUNTIFS($H$1:H571,$H571,$I$1:I571,$I571,$J$1:J571,$J571,$K$1:K571,K571,$L$1:L571,L571)))</f>
        <v>017</v>
      </c>
      <c r="N57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71" s="14" t="e">
        <f>+LEN(Table4[[#This Row],[New Item Code]])</f>
        <v>#N/A</v>
      </c>
      <c r="P571" s="15" t="s">
        <v>4747</v>
      </c>
      <c r="Q571" s="15" t="s">
        <v>4749</v>
      </c>
      <c r="R571" s="15"/>
      <c r="S571" s="15"/>
      <c r="T571" s="15" t="s">
        <v>4673</v>
      </c>
    </row>
    <row r="572" spans="1:20" x14ac:dyDescent="0.35">
      <c r="A572" s="2" t="s">
        <v>1148</v>
      </c>
      <c r="B572" s="2" t="s">
        <v>1149</v>
      </c>
      <c r="C572" s="2" t="s">
        <v>9</v>
      </c>
      <c r="D572" s="4">
        <v>4175</v>
      </c>
      <c r="E572" s="2" t="s">
        <v>10</v>
      </c>
      <c r="F572" s="2">
        <v>2</v>
      </c>
      <c r="G572" s="22">
        <f>Table4[[#This Row],[Item Cost]]*Table4[[#This Row],[In Stock]]</f>
        <v>8350</v>
      </c>
      <c r="H572" s="12" t="s">
        <v>4661</v>
      </c>
      <c r="I572" s="13" t="s">
        <v>4664</v>
      </c>
      <c r="J572" s="13" t="s">
        <v>4673</v>
      </c>
      <c r="K572" s="13" t="s">
        <v>4672</v>
      </c>
      <c r="L572" s="12" t="s">
        <v>4672</v>
      </c>
      <c r="M572" s="17" t="str">
        <f>IF(LEN(COUNTIFS($H$1:H572,$H572,$I$1:I572,$I572,$J$1:J572,$J572,$K$1:K572,K572,$L$1:L572,L572))=1,"00"&amp;COUNTIFS($H$1:H572,$H572,$I$1:I572,$I572,$J$1:J572,$J572,$K$1:K572,K572,$L$1:L572,L572),IF(LEN(COUNTIFS($H$1:H572,$H572,$I$1:I572,$I572,$J$1:J572,$J572,$K$1:K572,K572,$L$1:L572,L572))=2,"0"&amp;COUNTIFS($H$1:H572,$H572,$I$1:I572,$I572,$J$1:J572,$J572,$K$1:K572,K572,$L$1:L572,L572),COUNTIFS($H$1:H572,$H572,$I$1:I572,$I572,$J$1:J572,$J572,$K$1:K572,K572,$L$1:L572,L572)))</f>
        <v>018</v>
      </c>
      <c r="N57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72" s="14" t="e">
        <f>+LEN(Table4[[#This Row],[New Item Code]])</f>
        <v>#N/A</v>
      </c>
      <c r="P572" s="15" t="s">
        <v>4747</v>
      </c>
      <c r="Q572" s="15" t="s">
        <v>4749</v>
      </c>
      <c r="R572" s="15"/>
      <c r="S572" s="15"/>
      <c r="T572" s="15" t="s">
        <v>4673</v>
      </c>
    </row>
    <row r="573" spans="1:20" x14ac:dyDescent="0.35">
      <c r="A573" s="3" t="s">
        <v>1150</v>
      </c>
      <c r="B573" s="3" t="s">
        <v>1151</v>
      </c>
      <c r="C573" s="3" t="s">
        <v>9</v>
      </c>
      <c r="D573" s="5">
        <v>4000</v>
      </c>
      <c r="E573" s="3" t="s">
        <v>10</v>
      </c>
      <c r="F573" s="3">
        <v>1</v>
      </c>
      <c r="G573" s="21">
        <f>Table4[[#This Row],[Item Cost]]*Table4[[#This Row],[In Stock]]</f>
        <v>4000</v>
      </c>
      <c r="H573" s="12" t="s">
        <v>4661</v>
      </c>
      <c r="I573" s="13" t="s">
        <v>4664</v>
      </c>
      <c r="J573" s="13" t="s">
        <v>4673</v>
      </c>
      <c r="K573" s="13" t="s">
        <v>4672</v>
      </c>
      <c r="L573" s="12" t="s">
        <v>4672</v>
      </c>
      <c r="M573" s="17" t="str">
        <f>IF(LEN(COUNTIFS($H$1:H573,$H573,$I$1:I573,$I573,$J$1:J573,$J573,$K$1:K573,K573,$L$1:L573,L573))=1,"00"&amp;COUNTIFS($H$1:H573,$H573,$I$1:I573,$I573,$J$1:J573,$J573,$K$1:K573,K573,$L$1:L573,L573),IF(LEN(COUNTIFS($H$1:H573,$H573,$I$1:I573,$I573,$J$1:J573,$J573,$K$1:K573,K573,$L$1:L573,L573))=2,"0"&amp;COUNTIFS($H$1:H573,$H573,$I$1:I573,$I573,$J$1:J573,$J573,$K$1:K573,K573,$L$1:L573,L573),COUNTIFS($H$1:H573,$H573,$I$1:I573,$I573,$J$1:J573,$J573,$K$1:K573,K573,$L$1:L573,L573)))</f>
        <v>019</v>
      </c>
      <c r="N57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73" s="14" t="e">
        <f>+LEN(Table4[[#This Row],[New Item Code]])</f>
        <v>#N/A</v>
      </c>
      <c r="P573" s="15" t="s">
        <v>4747</v>
      </c>
      <c r="Q573" s="15" t="s">
        <v>4749</v>
      </c>
      <c r="R573" s="15"/>
      <c r="S573" s="15"/>
      <c r="T573" s="15" t="s">
        <v>4673</v>
      </c>
    </row>
    <row r="574" spans="1:20" x14ac:dyDescent="0.35">
      <c r="A574" s="2" t="s">
        <v>1152</v>
      </c>
      <c r="B574" s="2" t="s">
        <v>1153</v>
      </c>
      <c r="C574" s="2" t="s">
        <v>15</v>
      </c>
      <c r="D574" s="2">
        <v>0</v>
      </c>
      <c r="E574" s="2" t="s">
        <v>57</v>
      </c>
      <c r="F574" s="2">
        <v>0</v>
      </c>
      <c r="G574" s="22">
        <f>Table4[[#This Row],[Item Cost]]*Table4[[#This Row],[In Stock]]</f>
        <v>0</v>
      </c>
      <c r="H574" s="12" t="s">
        <v>4661</v>
      </c>
      <c r="I574" s="13" t="s">
        <v>4666</v>
      </c>
      <c r="J574" s="13" t="s">
        <v>4673</v>
      </c>
      <c r="K574" s="13" t="s">
        <v>4672</v>
      </c>
      <c r="L574" s="12" t="s">
        <v>4672</v>
      </c>
      <c r="M574" s="17" t="str">
        <f>IF(LEN(COUNTIFS($H$1:H574,$H574,$I$1:I574,$I574,$J$1:J574,$J574,$K$1:K574,K574,$L$1:L574,L574))=1,"00"&amp;COUNTIFS($H$1:H574,$H574,$I$1:I574,$I574,$J$1:J574,$J574,$K$1:K574,K574,$L$1:L574,L574),IF(LEN(COUNTIFS($H$1:H574,$H574,$I$1:I574,$I574,$J$1:J574,$J574,$K$1:K574,K574,$L$1:L574,L574))=2,"0"&amp;COUNTIFS($H$1:H574,$H574,$I$1:I574,$I574,$J$1:J574,$J574,$K$1:K574,K574,$L$1:L574,L574),COUNTIFS($H$1:H574,$H574,$I$1:I574,$I574,$J$1:J574,$J574,$K$1:K574,K574,$L$1:L574,L574)))</f>
        <v>052</v>
      </c>
      <c r="N57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74" s="14" t="e">
        <f>+LEN(Table4[[#This Row],[New Item Code]])</f>
        <v>#N/A</v>
      </c>
      <c r="P574" s="15" t="s">
        <v>4747</v>
      </c>
      <c r="Q574" s="15" t="s">
        <v>4749</v>
      </c>
      <c r="R574" s="15"/>
      <c r="S574" s="15"/>
      <c r="T574" s="15" t="s">
        <v>4673</v>
      </c>
    </row>
    <row r="575" spans="1:20" x14ac:dyDescent="0.35">
      <c r="A575" s="3" t="s">
        <v>1154</v>
      </c>
      <c r="B575" s="3" t="s">
        <v>1155</v>
      </c>
      <c r="C575" s="3" t="s">
        <v>15</v>
      </c>
      <c r="D575" s="3">
        <v>0</v>
      </c>
      <c r="E575" s="3" t="s">
        <v>57</v>
      </c>
      <c r="F575" s="3">
        <v>0</v>
      </c>
      <c r="G575" s="21">
        <f>Table4[[#This Row],[Item Cost]]*Table4[[#This Row],[In Stock]]</f>
        <v>0</v>
      </c>
      <c r="H575" s="12" t="s">
        <v>4661</v>
      </c>
      <c r="I575" s="13" t="s">
        <v>4666</v>
      </c>
      <c r="J575" s="13" t="s">
        <v>4673</v>
      </c>
      <c r="K575" s="13" t="s">
        <v>4672</v>
      </c>
      <c r="L575" s="12" t="s">
        <v>4672</v>
      </c>
      <c r="M575" s="17" t="str">
        <f>IF(LEN(COUNTIFS($H$1:H575,$H575,$I$1:I575,$I575,$J$1:J575,$J575,$K$1:K575,K575,$L$1:L575,L575))=1,"00"&amp;COUNTIFS($H$1:H575,$H575,$I$1:I575,$I575,$J$1:J575,$J575,$K$1:K575,K575,$L$1:L575,L575),IF(LEN(COUNTIFS($H$1:H575,$H575,$I$1:I575,$I575,$J$1:J575,$J575,$K$1:K575,K575,$L$1:L575,L575))=2,"0"&amp;COUNTIFS($H$1:H575,$H575,$I$1:I575,$I575,$J$1:J575,$J575,$K$1:K575,K575,$L$1:L575,L575),COUNTIFS($H$1:H575,$H575,$I$1:I575,$I575,$J$1:J575,$J575,$K$1:K575,K575,$L$1:L575,L575)))</f>
        <v>053</v>
      </c>
      <c r="N57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75" s="14" t="e">
        <f>+LEN(Table4[[#This Row],[New Item Code]])</f>
        <v>#N/A</v>
      </c>
      <c r="P575" s="15" t="s">
        <v>4747</v>
      </c>
      <c r="Q575" s="15" t="s">
        <v>4749</v>
      </c>
      <c r="R575" s="15"/>
      <c r="S575" s="15"/>
      <c r="T575" s="15" t="s">
        <v>4673</v>
      </c>
    </row>
    <row r="576" spans="1:20" x14ac:dyDescent="0.35">
      <c r="A576" s="2" t="s">
        <v>1156</v>
      </c>
      <c r="B576" s="2" t="s">
        <v>1157</v>
      </c>
      <c r="C576" s="2" t="s">
        <v>15</v>
      </c>
      <c r="D576" s="2">
        <v>0</v>
      </c>
      <c r="E576" s="2" t="s">
        <v>57</v>
      </c>
      <c r="F576" s="2">
        <v>0</v>
      </c>
      <c r="G576" s="22">
        <f>Table4[[#This Row],[Item Cost]]*Table4[[#This Row],[In Stock]]</f>
        <v>0</v>
      </c>
      <c r="H576" s="12" t="s">
        <v>4661</v>
      </c>
      <c r="I576" s="13" t="s">
        <v>4666</v>
      </c>
      <c r="J576" s="13" t="s">
        <v>4673</v>
      </c>
      <c r="K576" s="13" t="s">
        <v>4672</v>
      </c>
      <c r="L576" s="12" t="s">
        <v>4672</v>
      </c>
      <c r="M576" s="17" t="str">
        <f>IF(LEN(COUNTIFS($H$1:H576,$H576,$I$1:I576,$I576,$J$1:J576,$J576,$K$1:K576,K576,$L$1:L576,L576))=1,"00"&amp;COUNTIFS($H$1:H576,$H576,$I$1:I576,$I576,$J$1:J576,$J576,$K$1:K576,K576,$L$1:L576,L576),IF(LEN(COUNTIFS($H$1:H576,$H576,$I$1:I576,$I576,$J$1:J576,$J576,$K$1:K576,K576,$L$1:L576,L576))=2,"0"&amp;COUNTIFS($H$1:H576,$H576,$I$1:I576,$I576,$J$1:J576,$J576,$K$1:K576,K576,$L$1:L576,L576),COUNTIFS($H$1:H576,$H576,$I$1:I576,$I576,$J$1:J576,$J576,$K$1:K576,K576,$L$1:L576,L576)))</f>
        <v>054</v>
      </c>
      <c r="N57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76" s="14" t="e">
        <f>+LEN(Table4[[#This Row],[New Item Code]])</f>
        <v>#N/A</v>
      </c>
      <c r="P576" s="15" t="s">
        <v>4747</v>
      </c>
      <c r="Q576" s="15" t="s">
        <v>4749</v>
      </c>
      <c r="R576" s="15"/>
      <c r="S576" s="15"/>
      <c r="T576" s="15" t="s">
        <v>4673</v>
      </c>
    </row>
    <row r="577" spans="1:20" x14ac:dyDescent="0.35">
      <c r="A577" s="3" t="s">
        <v>1158</v>
      </c>
      <c r="B577" s="3" t="s">
        <v>1159</v>
      </c>
      <c r="C577" s="3" t="s">
        <v>56</v>
      </c>
      <c r="D577" s="3">
        <v>0</v>
      </c>
      <c r="E577" s="3" t="s">
        <v>57</v>
      </c>
      <c r="F577" s="3">
        <v>0</v>
      </c>
      <c r="G577" s="21">
        <f>Table4[[#This Row],[Item Cost]]*Table4[[#This Row],[In Stock]]</f>
        <v>0</v>
      </c>
      <c r="H577" s="12" t="s">
        <v>4661</v>
      </c>
      <c r="I577" s="13" t="s">
        <v>4668</v>
      </c>
      <c r="J577" s="13" t="s">
        <v>4673</v>
      </c>
      <c r="K577" s="13" t="s">
        <v>4672</v>
      </c>
      <c r="L577" s="12" t="s">
        <v>4672</v>
      </c>
      <c r="M577" s="17" t="str">
        <f>IF(LEN(COUNTIFS($H$1:H577,$H577,$I$1:I577,$I577,$J$1:J577,$J577,$K$1:K577,K577,$L$1:L577,L577))=1,"00"&amp;COUNTIFS($H$1:H577,$H577,$I$1:I577,$I577,$J$1:J577,$J577,$K$1:K577,K577,$L$1:L577,L577),IF(LEN(COUNTIFS($H$1:H577,$H577,$I$1:I577,$I577,$J$1:J577,$J577,$K$1:K577,K577,$L$1:L577,L577))=2,"0"&amp;COUNTIFS($H$1:H577,$H577,$I$1:I577,$I577,$J$1:J577,$J577,$K$1:K577,K577,$L$1:L577,L577),COUNTIFS($H$1:H577,$H577,$I$1:I577,$I577,$J$1:J577,$J577,$K$1:K577,K577,$L$1:L577,L577)))</f>
        <v>008</v>
      </c>
      <c r="N57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77" s="14" t="e">
        <f>+LEN(Table4[[#This Row],[New Item Code]])</f>
        <v>#N/A</v>
      </c>
      <c r="P577" s="15" t="s">
        <v>4747</v>
      </c>
      <c r="Q577" s="15" t="s">
        <v>4749</v>
      </c>
      <c r="R577" s="15"/>
      <c r="S577" s="15"/>
      <c r="T577" s="15" t="s">
        <v>4673</v>
      </c>
    </row>
    <row r="578" spans="1:20" x14ac:dyDescent="0.35">
      <c r="A578" s="2" t="s">
        <v>1160</v>
      </c>
      <c r="B578" s="2" t="s">
        <v>1161</v>
      </c>
      <c r="C578" s="2" t="s">
        <v>15</v>
      </c>
      <c r="D578" s="2">
        <v>0</v>
      </c>
      <c r="E578" s="2" t="s">
        <v>10</v>
      </c>
      <c r="F578" s="2">
        <v>0</v>
      </c>
      <c r="G578" s="22">
        <f>Table4[[#This Row],[Item Cost]]*Table4[[#This Row],[In Stock]]</f>
        <v>0</v>
      </c>
      <c r="H578" s="12" t="s">
        <v>4661</v>
      </c>
      <c r="I578" s="13" t="s">
        <v>4666</v>
      </c>
      <c r="J578" s="13" t="s">
        <v>4673</v>
      </c>
      <c r="K578" s="13" t="s">
        <v>4672</v>
      </c>
      <c r="L578" s="12" t="s">
        <v>4672</v>
      </c>
      <c r="M578" s="17" t="str">
        <f>IF(LEN(COUNTIFS($H$1:H578,$H578,$I$1:I578,$I578,$J$1:J578,$J578,$K$1:K578,K578,$L$1:L578,L578))=1,"00"&amp;COUNTIFS($H$1:H578,$H578,$I$1:I578,$I578,$J$1:J578,$J578,$K$1:K578,K578,$L$1:L578,L578),IF(LEN(COUNTIFS($H$1:H578,$H578,$I$1:I578,$I578,$J$1:J578,$J578,$K$1:K578,K578,$L$1:L578,L578))=2,"0"&amp;COUNTIFS($H$1:H578,$H578,$I$1:I578,$I578,$J$1:J578,$J578,$K$1:K578,K578,$L$1:L578,L578),COUNTIFS($H$1:H578,$H578,$I$1:I578,$I578,$J$1:J578,$J578,$K$1:K578,K578,$L$1:L578,L578)))</f>
        <v>055</v>
      </c>
      <c r="N57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78" s="14" t="e">
        <f>+LEN(Table4[[#This Row],[New Item Code]])</f>
        <v>#N/A</v>
      </c>
      <c r="P578" s="15" t="s">
        <v>4747</v>
      </c>
      <c r="Q578" s="15" t="s">
        <v>4749</v>
      </c>
      <c r="R578" s="15"/>
      <c r="S578" s="15"/>
      <c r="T578" s="15" t="s">
        <v>4673</v>
      </c>
    </row>
    <row r="579" spans="1:20" x14ac:dyDescent="0.35">
      <c r="A579" s="3" t="s">
        <v>1162</v>
      </c>
      <c r="B579" s="3" t="s">
        <v>1163</v>
      </c>
      <c r="C579" s="3" t="s">
        <v>15</v>
      </c>
      <c r="D579" s="3">
        <v>0</v>
      </c>
      <c r="E579" s="3" t="s">
        <v>10</v>
      </c>
      <c r="F579" s="3">
        <v>0</v>
      </c>
      <c r="G579" s="21">
        <f>Table4[[#This Row],[Item Cost]]*Table4[[#This Row],[In Stock]]</f>
        <v>0</v>
      </c>
      <c r="H579" s="12" t="s">
        <v>4661</v>
      </c>
      <c r="I579" s="13" t="s">
        <v>4666</v>
      </c>
      <c r="J579" s="13" t="s">
        <v>4673</v>
      </c>
      <c r="K579" s="13" t="s">
        <v>4672</v>
      </c>
      <c r="L579" s="12" t="s">
        <v>4672</v>
      </c>
      <c r="M579" s="17" t="str">
        <f>IF(LEN(COUNTIFS($H$1:H579,$H579,$I$1:I579,$I579,$J$1:J579,$J579,$K$1:K579,K579,$L$1:L579,L579))=1,"00"&amp;COUNTIFS($H$1:H579,$H579,$I$1:I579,$I579,$J$1:J579,$J579,$K$1:K579,K579,$L$1:L579,L579),IF(LEN(COUNTIFS($H$1:H579,$H579,$I$1:I579,$I579,$J$1:J579,$J579,$K$1:K579,K579,$L$1:L579,L579))=2,"0"&amp;COUNTIFS($H$1:H579,$H579,$I$1:I579,$I579,$J$1:J579,$J579,$K$1:K579,K579,$L$1:L579,L579),COUNTIFS($H$1:H579,$H579,$I$1:I579,$I579,$J$1:J579,$J579,$K$1:K579,K579,$L$1:L579,L579)))</f>
        <v>056</v>
      </c>
      <c r="N57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79" s="14" t="e">
        <f>+LEN(Table4[[#This Row],[New Item Code]])</f>
        <v>#N/A</v>
      </c>
      <c r="P579" s="15" t="s">
        <v>4747</v>
      </c>
      <c r="Q579" s="15" t="s">
        <v>4749</v>
      </c>
      <c r="R579" s="15"/>
      <c r="S579" s="15"/>
      <c r="T579" s="15" t="s">
        <v>4673</v>
      </c>
    </row>
    <row r="580" spans="1:20" x14ac:dyDescent="0.35">
      <c r="A580" s="2" t="s">
        <v>1164</v>
      </c>
      <c r="B580" s="2" t="s">
        <v>1165</v>
      </c>
      <c r="C580" s="2" t="s">
        <v>9</v>
      </c>
      <c r="D580" s="4">
        <v>2800</v>
      </c>
      <c r="E580" s="2" t="s">
        <v>10</v>
      </c>
      <c r="F580" s="2">
        <v>1</v>
      </c>
      <c r="G580" s="22">
        <f>Table4[[#This Row],[Item Cost]]*Table4[[#This Row],[In Stock]]</f>
        <v>2800</v>
      </c>
      <c r="H580" s="12" t="s">
        <v>4661</v>
      </c>
      <c r="I580" s="13" t="s">
        <v>4664</v>
      </c>
      <c r="J580" s="13" t="s">
        <v>4673</v>
      </c>
      <c r="K580" s="13" t="s">
        <v>4672</v>
      </c>
      <c r="L580" s="12" t="s">
        <v>4672</v>
      </c>
      <c r="M580" s="17" t="str">
        <f>IF(LEN(COUNTIFS($H$1:H580,$H580,$I$1:I580,$I580,$J$1:J580,$J580,$K$1:K580,K580,$L$1:L580,L580))=1,"00"&amp;COUNTIFS($H$1:H580,$H580,$I$1:I580,$I580,$J$1:J580,$J580,$K$1:K580,K580,$L$1:L580,L580),IF(LEN(COUNTIFS($H$1:H580,$H580,$I$1:I580,$I580,$J$1:J580,$J580,$K$1:K580,K580,$L$1:L580,L580))=2,"0"&amp;COUNTIFS($H$1:H580,$H580,$I$1:I580,$I580,$J$1:J580,$J580,$K$1:K580,K580,$L$1:L580,L580),COUNTIFS($H$1:H580,$H580,$I$1:I580,$I580,$J$1:J580,$J580,$K$1:K580,K580,$L$1:L580,L580)))</f>
        <v>020</v>
      </c>
      <c r="N58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80" s="14" t="e">
        <f>+LEN(Table4[[#This Row],[New Item Code]])</f>
        <v>#N/A</v>
      </c>
      <c r="P580" s="15" t="s">
        <v>4747</v>
      </c>
      <c r="Q580" s="15" t="s">
        <v>4749</v>
      </c>
      <c r="R580" s="15"/>
      <c r="S580" s="15"/>
      <c r="T580" s="15" t="s">
        <v>4673</v>
      </c>
    </row>
    <row r="581" spans="1:20" x14ac:dyDescent="0.35">
      <c r="A581" s="3" t="s">
        <v>1166</v>
      </c>
      <c r="B581" s="3" t="s">
        <v>1167</v>
      </c>
      <c r="C581" s="3" t="s">
        <v>15</v>
      </c>
      <c r="D581" s="5">
        <v>2750</v>
      </c>
      <c r="E581" s="3" t="s">
        <v>10</v>
      </c>
      <c r="F581" s="3">
        <v>2</v>
      </c>
      <c r="G581" s="21">
        <f>Table4[[#This Row],[Item Cost]]*Table4[[#This Row],[In Stock]]</f>
        <v>5500</v>
      </c>
      <c r="H581" s="12" t="s">
        <v>4661</v>
      </c>
      <c r="I581" s="13" t="s">
        <v>4666</v>
      </c>
      <c r="J581" s="13" t="s">
        <v>4673</v>
      </c>
      <c r="K581" s="13" t="s">
        <v>4672</v>
      </c>
      <c r="L581" s="12" t="s">
        <v>4672</v>
      </c>
      <c r="M581" s="17" t="str">
        <f>IF(LEN(COUNTIFS($H$1:H581,$H581,$I$1:I581,$I581,$J$1:J581,$J581,$K$1:K581,K581,$L$1:L581,L581))=1,"00"&amp;COUNTIFS($H$1:H581,$H581,$I$1:I581,$I581,$J$1:J581,$J581,$K$1:K581,K581,$L$1:L581,L581),IF(LEN(COUNTIFS($H$1:H581,$H581,$I$1:I581,$I581,$J$1:J581,$J581,$K$1:K581,K581,$L$1:L581,L581))=2,"0"&amp;COUNTIFS($H$1:H581,$H581,$I$1:I581,$I581,$J$1:J581,$J581,$K$1:K581,K581,$L$1:L581,L581),COUNTIFS($H$1:H581,$H581,$I$1:I581,$I581,$J$1:J581,$J581,$K$1:K581,K581,$L$1:L581,L581)))</f>
        <v>057</v>
      </c>
      <c r="N58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81" s="14" t="e">
        <f>+LEN(Table4[[#This Row],[New Item Code]])</f>
        <v>#N/A</v>
      </c>
      <c r="P581" s="15" t="s">
        <v>4747</v>
      </c>
      <c r="Q581" s="15" t="s">
        <v>4749</v>
      </c>
      <c r="R581" s="15"/>
      <c r="S581" s="15"/>
      <c r="T581" s="15" t="e">
        <v>#N/A</v>
      </c>
    </row>
    <row r="582" spans="1:20" x14ac:dyDescent="0.35">
      <c r="A582" s="2" t="s">
        <v>1168</v>
      </c>
      <c r="B582" s="2" t="s">
        <v>1169</v>
      </c>
      <c r="C582" s="2" t="s">
        <v>15</v>
      </c>
      <c r="D582" s="4">
        <v>3500</v>
      </c>
      <c r="E582" s="2" t="s">
        <v>10</v>
      </c>
      <c r="F582" s="2">
        <v>1</v>
      </c>
      <c r="G582" s="22">
        <f>Table4[[#This Row],[Item Cost]]*Table4[[#This Row],[In Stock]]</f>
        <v>3500</v>
      </c>
      <c r="H582" s="12" t="s">
        <v>4661</v>
      </c>
      <c r="I582" s="13" t="s">
        <v>4666</v>
      </c>
      <c r="J582" s="13" t="s">
        <v>4673</v>
      </c>
      <c r="K582" s="13" t="s">
        <v>4672</v>
      </c>
      <c r="L582" s="12" t="s">
        <v>4672</v>
      </c>
      <c r="M582" s="17" t="str">
        <f>IF(LEN(COUNTIFS($H$1:H582,$H582,$I$1:I582,$I582,$J$1:J582,$J582,$K$1:K582,K582,$L$1:L582,L582))=1,"00"&amp;COUNTIFS($H$1:H582,$H582,$I$1:I582,$I582,$J$1:J582,$J582,$K$1:K582,K582,$L$1:L582,L582),IF(LEN(COUNTIFS($H$1:H582,$H582,$I$1:I582,$I582,$J$1:J582,$J582,$K$1:K582,K582,$L$1:L582,L582))=2,"0"&amp;COUNTIFS($H$1:H582,$H582,$I$1:I582,$I582,$J$1:J582,$J582,$K$1:K582,K582,$L$1:L582,L582),COUNTIFS($H$1:H582,$H582,$I$1:I582,$I582,$J$1:J582,$J582,$K$1:K582,K582,$L$1:L582,L582)))</f>
        <v>058</v>
      </c>
      <c r="N58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82" s="14" t="e">
        <f>+LEN(Table4[[#This Row],[New Item Code]])</f>
        <v>#N/A</v>
      </c>
      <c r="P582" s="15" t="s">
        <v>4747</v>
      </c>
      <c r="Q582" s="15" t="s">
        <v>4749</v>
      </c>
      <c r="R582" s="15"/>
      <c r="S582" s="15"/>
      <c r="T582" s="15" t="e">
        <v>#N/A</v>
      </c>
    </row>
    <row r="583" spans="1:20" x14ac:dyDescent="0.35">
      <c r="A583" s="3" t="s">
        <v>1170</v>
      </c>
      <c r="B583" s="3" t="s">
        <v>1171</v>
      </c>
      <c r="C583" s="3" t="s">
        <v>9</v>
      </c>
      <c r="D583" s="3">
        <v>0</v>
      </c>
      <c r="E583" s="3" t="s">
        <v>10</v>
      </c>
      <c r="F583" s="3">
        <v>0</v>
      </c>
      <c r="G583" s="21">
        <f>Table4[[#This Row],[Item Cost]]*Table4[[#This Row],[In Stock]]</f>
        <v>0</v>
      </c>
      <c r="H583" s="12" t="s">
        <v>4661</v>
      </c>
      <c r="I583" s="13" t="s">
        <v>4664</v>
      </c>
      <c r="J583" s="13" t="s">
        <v>4673</v>
      </c>
      <c r="K583" s="13" t="s">
        <v>4672</v>
      </c>
      <c r="L583" s="12" t="s">
        <v>4672</v>
      </c>
      <c r="M583" s="17" t="str">
        <f>IF(LEN(COUNTIFS($H$1:H583,$H583,$I$1:I583,$I583,$J$1:J583,$J583,$K$1:K583,K583,$L$1:L583,L583))=1,"00"&amp;COUNTIFS($H$1:H583,$H583,$I$1:I583,$I583,$J$1:J583,$J583,$K$1:K583,K583,$L$1:L583,L583),IF(LEN(COUNTIFS($H$1:H583,$H583,$I$1:I583,$I583,$J$1:J583,$J583,$K$1:K583,K583,$L$1:L583,L583))=2,"0"&amp;COUNTIFS($H$1:H583,$H583,$I$1:I583,$I583,$J$1:J583,$J583,$K$1:K583,K583,$L$1:L583,L583),COUNTIFS($H$1:H583,$H583,$I$1:I583,$I583,$J$1:J583,$J583,$K$1:K583,K583,$L$1:L583,L583)))</f>
        <v>021</v>
      </c>
      <c r="N58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83" s="14" t="e">
        <f>+LEN(Table4[[#This Row],[New Item Code]])</f>
        <v>#N/A</v>
      </c>
      <c r="P583" s="15" t="s">
        <v>4747</v>
      </c>
      <c r="Q583" s="15" t="s">
        <v>4749</v>
      </c>
      <c r="R583" s="15"/>
      <c r="S583" s="15"/>
      <c r="T583" s="15" t="e">
        <v>#N/A</v>
      </c>
    </row>
    <row r="584" spans="1:20" x14ac:dyDescent="0.35">
      <c r="A584" s="2" t="s">
        <v>1172</v>
      </c>
      <c r="B584" s="2" t="s">
        <v>1173</v>
      </c>
      <c r="C584" s="2" t="s">
        <v>9</v>
      </c>
      <c r="D584" s="2">
        <v>0</v>
      </c>
      <c r="E584" s="2" t="s">
        <v>10</v>
      </c>
      <c r="F584" s="2">
        <v>0</v>
      </c>
      <c r="G584" s="22">
        <f>Table4[[#This Row],[Item Cost]]*Table4[[#This Row],[In Stock]]</f>
        <v>0</v>
      </c>
      <c r="H584" s="12" t="s">
        <v>4661</v>
      </c>
      <c r="I584" s="13" t="s">
        <v>4664</v>
      </c>
      <c r="J584" s="13" t="s">
        <v>4673</v>
      </c>
      <c r="K584" s="13" t="s">
        <v>4734</v>
      </c>
      <c r="L584" s="12" t="s">
        <v>4672</v>
      </c>
      <c r="M584" s="17" t="str">
        <f>IF(LEN(COUNTIFS($H$1:H584,$H584,$I$1:I584,$I584,$J$1:J584,$J584,$K$1:K584,K584,$L$1:L584,L584))=1,"00"&amp;COUNTIFS($H$1:H584,$H584,$I$1:I584,$I584,$J$1:J584,$J584,$K$1:K584,K584,$L$1:L584,L584),IF(LEN(COUNTIFS($H$1:H584,$H584,$I$1:I584,$I584,$J$1:J584,$J584,$K$1:K584,K584,$L$1:L584,L584))=2,"0"&amp;COUNTIFS($H$1:H584,$H584,$I$1:I584,$I584,$J$1:J584,$J584,$K$1:K584,K584,$L$1:L584,L584),COUNTIFS($H$1:H584,$H584,$I$1:I584,$I584,$J$1:J584,$J584,$K$1:K584,K584,$L$1:L584,L584)))</f>
        <v>003</v>
      </c>
      <c r="N58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84" s="14" t="e">
        <f>+LEN(Table4[[#This Row],[New Item Code]])</f>
        <v>#N/A</v>
      </c>
      <c r="P584" s="15" t="s">
        <v>4747</v>
      </c>
      <c r="Q584" s="15" t="s">
        <v>4749</v>
      </c>
      <c r="R584" s="15"/>
      <c r="S584" s="15"/>
      <c r="T584" s="15" t="e">
        <v>#N/A</v>
      </c>
    </row>
    <row r="585" spans="1:20" x14ac:dyDescent="0.35">
      <c r="A585" s="3" t="s">
        <v>1174</v>
      </c>
      <c r="B585" s="3" t="s">
        <v>1175</v>
      </c>
      <c r="C585" s="3" t="s">
        <v>15</v>
      </c>
      <c r="D585" s="5">
        <v>2344.2979999999998</v>
      </c>
      <c r="E585" s="3" t="s">
        <v>10</v>
      </c>
      <c r="F585" s="3">
        <v>4</v>
      </c>
      <c r="G585" s="21">
        <f>Table4[[#This Row],[Item Cost]]*Table4[[#This Row],[In Stock]]</f>
        <v>9377.1919999999991</v>
      </c>
      <c r="H585" s="12" t="s">
        <v>4661</v>
      </c>
      <c r="I585" s="13" t="s">
        <v>4666</v>
      </c>
      <c r="J585" s="13" t="s">
        <v>4755</v>
      </c>
      <c r="K585" s="13" t="s">
        <v>4672</v>
      </c>
      <c r="L585" s="12" t="s">
        <v>4691</v>
      </c>
      <c r="M585" s="17" t="str">
        <f>IF(LEN(COUNTIFS($H$1:H585,$H585,$I$1:I585,$I585,$J$1:J585,$J585,$K$1:K585,K585,$L$1:L585,L585))=1,"00"&amp;COUNTIFS($H$1:H585,$H585,$I$1:I585,$I585,$J$1:J585,$J585,$K$1:K585,K585,$L$1:L585,L585),IF(LEN(COUNTIFS($H$1:H585,$H585,$I$1:I585,$I585,$J$1:J585,$J585,$K$1:K585,K585,$L$1:L585,L585))=2,"0"&amp;COUNTIFS($H$1:H585,$H585,$I$1:I585,$I585,$J$1:J585,$J585,$K$1:K585,K585,$L$1:L585,L585),COUNTIFS($H$1:H585,$H585,$I$1:I585,$I585,$J$1:J585,$J585,$K$1:K585,K585,$L$1:L585,L585)))</f>
        <v>001</v>
      </c>
      <c r="N58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85" s="14" t="e">
        <f>+LEN(Table4[[#This Row],[New Item Code]])</f>
        <v>#N/A</v>
      </c>
      <c r="P585" s="15" t="s">
        <v>4747</v>
      </c>
      <c r="Q585" s="15" t="s">
        <v>4749</v>
      </c>
      <c r="R585" s="15"/>
      <c r="S585" s="15"/>
      <c r="T585" s="15" t="s">
        <v>4691</v>
      </c>
    </row>
    <row r="586" spans="1:20" x14ac:dyDescent="0.35">
      <c r="A586" s="2" t="s">
        <v>1176</v>
      </c>
      <c r="B586" s="2" t="s">
        <v>1177</v>
      </c>
      <c r="C586" s="2" t="s">
        <v>15</v>
      </c>
      <c r="D586" s="4">
        <v>2122.875</v>
      </c>
      <c r="E586" s="2" t="s">
        <v>10</v>
      </c>
      <c r="F586" s="2">
        <v>2</v>
      </c>
      <c r="G586" s="22">
        <f>Table4[[#This Row],[Item Cost]]*Table4[[#This Row],[In Stock]]</f>
        <v>4245.75</v>
      </c>
      <c r="H586" s="12" t="s">
        <v>4661</v>
      </c>
      <c r="I586" s="13" t="s">
        <v>4666</v>
      </c>
      <c r="J586" s="13" t="s">
        <v>4755</v>
      </c>
      <c r="K586" s="13" t="s">
        <v>4672</v>
      </c>
      <c r="L586" s="12" t="s">
        <v>4691</v>
      </c>
      <c r="M586" s="17" t="str">
        <f>IF(LEN(COUNTIFS($H$1:H586,$H586,$I$1:I586,$I586,$J$1:J586,$J586,$K$1:K586,K586,$L$1:L586,L586))=1,"00"&amp;COUNTIFS($H$1:H586,$H586,$I$1:I586,$I586,$J$1:J586,$J586,$K$1:K586,K586,$L$1:L586,L586),IF(LEN(COUNTIFS($H$1:H586,$H586,$I$1:I586,$I586,$J$1:J586,$J586,$K$1:K586,K586,$L$1:L586,L586))=2,"0"&amp;COUNTIFS($H$1:H586,$H586,$I$1:I586,$I586,$J$1:J586,$J586,$K$1:K586,K586,$L$1:L586,L586),COUNTIFS($H$1:H586,$H586,$I$1:I586,$I586,$J$1:J586,$J586,$K$1:K586,K586,$L$1:L586,L586)))</f>
        <v>002</v>
      </c>
      <c r="N58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86" s="14" t="e">
        <f>+LEN(Table4[[#This Row],[New Item Code]])</f>
        <v>#N/A</v>
      </c>
      <c r="P586" s="15" t="s">
        <v>4747</v>
      </c>
      <c r="Q586" s="15" t="s">
        <v>4749</v>
      </c>
      <c r="R586" s="15"/>
      <c r="S586" s="15"/>
      <c r="T586" s="15" t="s">
        <v>4691</v>
      </c>
    </row>
    <row r="587" spans="1:20" x14ac:dyDescent="0.35">
      <c r="A587" s="3" t="s">
        <v>1178</v>
      </c>
      <c r="B587" s="3" t="s">
        <v>1179</v>
      </c>
      <c r="C587" s="3" t="s">
        <v>15</v>
      </c>
      <c r="D587" s="5">
        <v>1439.1479999999999</v>
      </c>
      <c r="E587" s="3" t="s">
        <v>10</v>
      </c>
      <c r="F587" s="3">
        <v>4</v>
      </c>
      <c r="G587" s="21">
        <f>Table4[[#This Row],[Item Cost]]*Table4[[#This Row],[In Stock]]</f>
        <v>5756.5919999999996</v>
      </c>
      <c r="H587" s="12" t="s">
        <v>4661</v>
      </c>
      <c r="I587" s="13" t="s">
        <v>4666</v>
      </c>
      <c r="J587" s="13" t="s">
        <v>4755</v>
      </c>
      <c r="K587" s="13" t="s">
        <v>4672</v>
      </c>
      <c r="L587" s="12" t="s">
        <v>4691</v>
      </c>
      <c r="M587" s="17" t="str">
        <f>IF(LEN(COUNTIFS($H$1:H587,$H587,$I$1:I587,$I587,$J$1:J587,$J587,$K$1:K587,K587,$L$1:L587,L587))=1,"00"&amp;COUNTIFS($H$1:H587,$H587,$I$1:I587,$I587,$J$1:J587,$J587,$K$1:K587,K587,$L$1:L587,L587),IF(LEN(COUNTIFS($H$1:H587,$H587,$I$1:I587,$I587,$J$1:J587,$J587,$K$1:K587,K587,$L$1:L587,L587))=2,"0"&amp;COUNTIFS($H$1:H587,$H587,$I$1:I587,$I587,$J$1:J587,$J587,$K$1:K587,K587,$L$1:L587,L587),COUNTIFS($H$1:H587,$H587,$I$1:I587,$I587,$J$1:J587,$J587,$K$1:K587,K587,$L$1:L587,L587)))</f>
        <v>003</v>
      </c>
      <c r="N58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87" s="14" t="e">
        <f>+LEN(Table4[[#This Row],[New Item Code]])</f>
        <v>#N/A</v>
      </c>
      <c r="P587" s="15" t="s">
        <v>4747</v>
      </c>
      <c r="Q587" s="15" t="s">
        <v>4749</v>
      </c>
      <c r="R587" s="15"/>
      <c r="S587" s="15"/>
      <c r="T587" s="15" t="s">
        <v>4691</v>
      </c>
    </row>
    <row r="588" spans="1:20" x14ac:dyDescent="0.35">
      <c r="A588" s="2" t="s">
        <v>1180</v>
      </c>
      <c r="B588" s="2" t="s">
        <v>1181</v>
      </c>
      <c r="C588" s="2" t="s">
        <v>15</v>
      </c>
      <c r="D588" s="2">
        <v>149.77000000000001</v>
      </c>
      <c r="E588" s="2" t="s">
        <v>10</v>
      </c>
      <c r="F588" s="2">
        <v>2</v>
      </c>
      <c r="G588" s="22">
        <f>Table4[[#This Row],[Item Cost]]*Table4[[#This Row],[In Stock]]</f>
        <v>299.54000000000002</v>
      </c>
      <c r="H588" s="12" t="s">
        <v>4661</v>
      </c>
      <c r="I588" s="13" t="s">
        <v>4666</v>
      </c>
      <c r="J588" s="13" t="s">
        <v>4755</v>
      </c>
      <c r="K588" s="13" t="s">
        <v>4672</v>
      </c>
      <c r="L588" s="12" t="s">
        <v>4691</v>
      </c>
      <c r="M588" s="17" t="str">
        <f>IF(LEN(COUNTIFS($H$1:H588,$H588,$I$1:I588,$I588,$J$1:J588,$J588,$K$1:K588,K588,$L$1:L588,L588))=1,"00"&amp;COUNTIFS($H$1:H588,$H588,$I$1:I588,$I588,$J$1:J588,$J588,$K$1:K588,K588,$L$1:L588,L588),IF(LEN(COUNTIFS($H$1:H588,$H588,$I$1:I588,$I588,$J$1:J588,$J588,$K$1:K588,K588,$L$1:L588,L588))=2,"0"&amp;COUNTIFS($H$1:H588,$H588,$I$1:I588,$I588,$J$1:J588,$J588,$K$1:K588,K588,$L$1:L588,L588),COUNTIFS($H$1:H588,$H588,$I$1:I588,$I588,$J$1:J588,$J588,$K$1:K588,K588,$L$1:L588,L588)))</f>
        <v>004</v>
      </c>
      <c r="N58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88" s="14" t="e">
        <f>+LEN(Table4[[#This Row],[New Item Code]])</f>
        <v>#N/A</v>
      </c>
      <c r="P588" s="15" t="s">
        <v>4747</v>
      </c>
      <c r="Q588" s="15" t="s">
        <v>4749</v>
      </c>
      <c r="R588" s="15"/>
      <c r="S588" s="15"/>
      <c r="T588" s="15" t="s">
        <v>4691</v>
      </c>
    </row>
    <row r="589" spans="1:20" x14ac:dyDescent="0.35">
      <c r="A589" s="3" t="s">
        <v>1182</v>
      </c>
      <c r="B589" s="3" t="s">
        <v>1183</v>
      </c>
      <c r="C589" s="3" t="s">
        <v>15</v>
      </c>
      <c r="D589" s="3">
        <v>149.768</v>
      </c>
      <c r="E589" s="3" t="s">
        <v>10</v>
      </c>
      <c r="F589" s="3">
        <v>10</v>
      </c>
      <c r="G589" s="21">
        <f>Table4[[#This Row],[Item Cost]]*Table4[[#This Row],[In Stock]]</f>
        <v>1497.68</v>
      </c>
      <c r="H589" s="12" t="s">
        <v>4661</v>
      </c>
      <c r="I589" s="13" t="s">
        <v>4666</v>
      </c>
      <c r="J589" s="13" t="s">
        <v>4755</v>
      </c>
      <c r="K589" s="13" t="s">
        <v>4776</v>
      </c>
      <c r="L589" s="12" t="s">
        <v>4691</v>
      </c>
      <c r="M589" s="17" t="str">
        <f>IF(LEN(COUNTIFS($H$1:H589,$H589,$I$1:I589,$I589,$J$1:J589,$J589,$K$1:K589,K589,$L$1:L589,L589))=1,"00"&amp;COUNTIFS($H$1:H589,$H589,$I$1:I589,$I589,$J$1:J589,$J589,$K$1:K589,K589,$L$1:L589,L589),IF(LEN(COUNTIFS($H$1:H589,$H589,$I$1:I589,$I589,$J$1:J589,$J589,$K$1:K589,K589,$L$1:L589,L589))=2,"0"&amp;COUNTIFS($H$1:H589,$H589,$I$1:I589,$I589,$J$1:J589,$J589,$K$1:K589,K589,$L$1:L589,L589),COUNTIFS($H$1:H589,$H589,$I$1:I589,$I589,$J$1:J589,$J589,$K$1:K589,K589,$L$1:L589,L589)))</f>
        <v>001</v>
      </c>
      <c r="N58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89" s="14" t="e">
        <f>+LEN(Table4[[#This Row],[New Item Code]])</f>
        <v>#N/A</v>
      </c>
      <c r="P589" s="15" t="s">
        <v>4747</v>
      </c>
      <c r="Q589" s="15" t="s">
        <v>4749</v>
      </c>
      <c r="R589" s="15"/>
      <c r="S589" s="15"/>
      <c r="T589" s="15" t="s">
        <v>4691</v>
      </c>
    </row>
    <row r="590" spans="1:20" x14ac:dyDescent="0.35">
      <c r="A590" s="2" t="s">
        <v>1184</v>
      </c>
      <c r="B590" s="2" t="s">
        <v>1185</v>
      </c>
      <c r="C590" s="2" t="s">
        <v>15</v>
      </c>
      <c r="D590" s="4">
        <v>1751.722</v>
      </c>
      <c r="E590" s="2" t="s">
        <v>10</v>
      </c>
      <c r="F590" s="2">
        <v>5</v>
      </c>
      <c r="G590" s="22">
        <f>Table4[[#This Row],[Item Cost]]*Table4[[#This Row],[In Stock]]</f>
        <v>8758.61</v>
      </c>
      <c r="H590" s="12" t="s">
        <v>4661</v>
      </c>
      <c r="I590" s="13" t="s">
        <v>4666</v>
      </c>
      <c r="J590" s="13" t="s">
        <v>4755</v>
      </c>
      <c r="K590" s="13" t="s">
        <v>4672</v>
      </c>
      <c r="L590" s="12" t="s">
        <v>4691</v>
      </c>
      <c r="M590" s="17" t="str">
        <f>IF(LEN(COUNTIFS($H$1:H590,$H590,$I$1:I590,$I590,$J$1:J590,$J590,$K$1:K590,K590,$L$1:L590,L590))=1,"00"&amp;COUNTIFS($H$1:H590,$H590,$I$1:I590,$I590,$J$1:J590,$J590,$K$1:K590,K590,$L$1:L590,L590),IF(LEN(COUNTIFS($H$1:H590,$H590,$I$1:I590,$I590,$J$1:J590,$J590,$K$1:K590,K590,$L$1:L590,L590))=2,"0"&amp;COUNTIFS($H$1:H590,$H590,$I$1:I590,$I590,$J$1:J590,$J590,$K$1:K590,K590,$L$1:L590,L590),COUNTIFS($H$1:H590,$H590,$I$1:I590,$I590,$J$1:J590,$J590,$K$1:K590,K590,$L$1:L590,L590)))</f>
        <v>005</v>
      </c>
      <c r="N59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90" s="14" t="e">
        <f>+LEN(Table4[[#This Row],[New Item Code]])</f>
        <v>#N/A</v>
      </c>
      <c r="P590" s="15" t="s">
        <v>4747</v>
      </c>
      <c r="Q590" s="15" t="s">
        <v>4749</v>
      </c>
      <c r="R590" s="15"/>
      <c r="S590" s="15"/>
      <c r="T590" s="15" t="s">
        <v>4691</v>
      </c>
    </row>
    <row r="591" spans="1:20" x14ac:dyDescent="0.35">
      <c r="A591" s="3" t="s">
        <v>1186</v>
      </c>
      <c r="B591" s="3" t="s">
        <v>1187</v>
      </c>
      <c r="C591" s="3" t="s">
        <v>15</v>
      </c>
      <c r="D591" s="3">
        <v>149.768</v>
      </c>
      <c r="E591" s="3" t="s">
        <v>10</v>
      </c>
      <c r="F591" s="3">
        <v>8</v>
      </c>
      <c r="G591" s="21">
        <f>Table4[[#This Row],[Item Cost]]*Table4[[#This Row],[In Stock]]</f>
        <v>1198.144</v>
      </c>
      <c r="H591" s="12" t="s">
        <v>4661</v>
      </c>
      <c r="I591" s="13" t="s">
        <v>4666</v>
      </c>
      <c r="J591" s="13" t="s">
        <v>4755</v>
      </c>
      <c r="K591" s="13" t="s">
        <v>4776</v>
      </c>
      <c r="L591" s="12" t="s">
        <v>4691</v>
      </c>
      <c r="M591" s="17" t="str">
        <f>IF(LEN(COUNTIFS($H$1:H591,$H591,$I$1:I591,$I591,$J$1:J591,$J591,$K$1:K591,K591,$L$1:L591,L591))=1,"00"&amp;COUNTIFS($H$1:H591,$H591,$I$1:I591,$I591,$J$1:J591,$J591,$K$1:K591,K591,$L$1:L591,L591),IF(LEN(COUNTIFS($H$1:H591,$H591,$I$1:I591,$I591,$J$1:J591,$J591,$K$1:K591,K591,$L$1:L591,L591))=2,"0"&amp;COUNTIFS($H$1:H591,$H591,$I$1:I591,$I591,$J$1:J591,$J591,$K$1:K591,K591,$L$1:L591,L591),COUNTIFS($H$1:H591,$H591,$I$1:I591,$I591,$J$1:J591,$J591,$K$1:K591,K591,$L$1:L591,L591)))</f>
        <v>002</v>
      </c>
      <c r="N59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91" s="14" t="e">
        <f>+LEN(Table4[[#This Row],[New Item Code]])</f>
        <v>#N/A</v>
      </c>
      <c r="P591" s="15" t="s">
        <v>4747</v>
      </c>
      <c r="Q591" s="15" t="s">
        <v>4749</v>
      </c>
      <c r="R591" s="15"/>
      <c r="S591" s="15"/>
      <c r="T591" s="15" t="s">
        <v>4691</v>
      </c>
    </row>
    <row r="592" spans="1:20" x14ac:dyDescent="0.35">
      <c r="A592" s="2" t="s">
        <v>1188</v>
      </c>
      <c r="B592" s="2" t="s">
        <v>1189</v>
      </c>
      <c r="C592" s="2" t="s">
        <v>15</v>
      </c>
      <c r="D592" s="2">
        <v>8.5920000000000005</v>
      </c>
      <c r="E592" s="2" t="s">
        <v>10</v>
      </c>
      <c r="F592" s="2">
        <v>5</v>
      </c>
      <c r="G592" s="22">
        <f>Table4[[#This Row],[Item Cost]]*Table4[[#This Row],[In Stock]]</f>
        <v>42.96</v>
      </c>
      <c r="H592" s="12" t="s">
        <v>4661</v>
      </c>
      <c r="I592" s="13" t="s">
        <v>4666</v>
      </c>
      <c r="J592" s="13" t="s">
        <v>4755</v>
      </c>
      <c r="K592" s="13" t="s">
        <v>4672</v>
      </c>
      <c r="L592" s="12" t="s">
        <v>4691</v>
      </c>
      <c r="M592" s="17" t="str">
        <f>IF(LEN(COUNTIFS($H$1:H592,$H592,$I$1:I592,$I592,$J$1:J592,$J592,$K$1:K592,K592,$L$1:L592,L592))=1,"00"&amp;COUNTIFS($H$1:H592,$H592,$I$1:I592,$I592,$J$1:J592,$J592,$K$1:K592,K592,$L$1:L592,L592),IF(LEN(COUNTIFS($H$1:H592,$H592,$I$1:I592,$I592,$J$1:J592,$J592,$K$1:K592,K592,$L$1:L592,L592))=2,"0"&amp;COUNTIFS($H$1:H592,$H592,$I$1:I592,$I592,$J$1:J592,$J592,$K$1:K592,K592,$L$1:L592,L592),COUNTIFS($H$1:H592,$H592,$I$1:I592,$I592,$J$1:J592,$J592,$K$1:K592,K592,$L$1:L592,L592)))</f>
        <v>006</v>
      </c>
      <c r="N59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92" s="14" t="e">
        <f>+LEN(Table4[[#This Row],[New Item Code]])</f>
        <v>#N/A</v>
      </c>
      <c r="P592" s="15" t="s">
        <v>4747</v>
      </c>
      <c r="Q592" s="15" t="s">
        <v>4749</v>
      </c>
      <c r="R592" s="15"/>
      <c r="S592" s="15"/>
      <c r="T592" s="15" t="s">
        <v>4691</v>
      </c>
    </row>
    <row r="593" spans="1:20" x14ac:dyDescent="0.35">
      <c r="A593" s="3" t="s">
        <v>1190</v>
      </c>
      <c r="B593" s="3" t="s">
        <v>1191</v>
      </c>
      <c r="C593" s="3" t="s">
        <v>15</v>
      </c>
      <c r="D593" s="3">
        <v>910</v>
      </c>
      <c r="E593" s="3" t="s">
        <v>10</v>
      </c>
      <c r="F593" s="3">
        <v>2</v>
      </c>
      <c r="G593" s="21">
        <f>Table4[[#This Row],[Item Cost]]*Table4[[#This Row],[In Stock]]</f>
        <v>1820</v>
      </c>
      <c r="H593" s="12" t="s">
        <v>4661</v>
      </c>
      <c r="I593" s="13" t="s">
        <v>4666</v>
      </c>
      <c r="J593" s="13" t="s">
        <v>4755</v>
      </c>
      <c r="K593" s="13" t="s">
        <v>4672</v>
      </c>
      <c r="L593" s="12" t="s">
        <v>4691</v>
      </c>
      <c r="M593" s="17" t="str">
        <f>IF(LEN(COUNTIFS($H$1:H593,$H593,$I$1:I593,$I593,$J$1:J593,$J593,$K$1:K593,K593,$L$1:L593,L593))=1,"00"&amp;COUNTIFS($H$1:H593,$H593,$I$1:I593,$I593,$J$1:J593,$J593,$K$1:K593,K593,$L$1:L593,L593),IF(LEN(COUNTIFS($H$1:H593,$H593,$I$1:I593,$I593,$J$1:J593,$J593,$K$1:K593,K593,$L$1:L593,L593))=2,"0"&amp;COUNTIFS($H$1:H593,$H593,$I$1:I593,$I593,$J$1:J593,$J593,$K$1:K593,K593,$L$1:L593,L593),COUNTIFS($H$1:H593,$H593,$I$1:I593,$I593,$J$1:J593,$J593,$K$1:K593,K593,$L$1:L593,L593)))</f>
        <v>007</v>
      </c>
      <c r="N59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93" s="14" t="e">
        <f>+LEN(Table4[[#This Row],[New Item Code]])</f>
        <v>#N/A</v>
      </c>
      <c r="P593" s="15" t="s">
        <v>4747</v>
      </c>
      <c r="Q593" s="15" t="s">
        <v>4749</v>
      </c>
      <c r="R593" s="15"/>
      <c r="S593" s="15"/>
      <c r="T593" s="15" t="s">
        <v>4691</v>
      </c>
    </row>
    <row r="594" spans="1:20" x14ac:dyDescent="0.35">
      <c r="A594" s="2" t="s">
        <v>1192</v>
      </c>
      <c r="B594" s="2" t="s">
        <v>1193</v>
      </c>
      <c r="C594" s="2" t="s">
        <v>15</v>
      </c>
      <c r="D594" s="2">
        <v>11</v>
      </c>
      <c r="E594" s="2" t="s">
        <v>10</v>
      </c>
      <c r="F594" s="2">
        <v>5</v>
      </c>
      <c r="G594" s="22">
        <f>Table4[[#This Row],[Item Cost]]*Table4[[#This Row],[In Stock]]</f>
        <v>55</v>
      </c>
      <c r="H594" s="12" t="s">
        <v>4661</v>
      </c>
      <c r="I594" s="13" t="s">
        <v>4666</v>
      </c>
      <c r="J594" s="13" t="s">
        <v>4755</v>
      </c>
      <c r="K594" s="13" t="s">
        <v>4672</v>
      </c>
      <c r="L594" s="12" t="s">
        <v>4691</v>
      </c>
      <c r="M594" s="17" t="str">
        <f>IF(LEN(COUNTIFS($H$1:H594,$H594,$I$1:I594,$I594,$J$1:J594,$J594,$K$1:K594,K594,$L$1:L594,L594))=1,"00"&amp;COUNTIFS($H$1:H594,$H594,$I$1:I594,$I594,$J$1:J594,$J594,$K$1:K594,K594,$L$1:L594,L594),IF(LEN(COUNTIFS($H$1:H594,$H594,$I$1:I594,$I594,$J$1:J594,$J594,$K$1:K594,K594,$L$1:L594,L594))=2,"0"&amp;COUNTIFS($H$1:H594,$H594,$I$1:I594,$I594,$J$1:J594,$J594,$K$1:K594,K594,$L$1:L594,L594),COUNTIFS($H$1:H594,$H594,$I$1:I594,$I594,$J$1:J594,$J594,$K$1:K594,K594,$L$1:L594,L594)))</f>
        <v>008</v>
      </c>
      <c r="N59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94" s="14" t="e">
        <f>+LEN(Table4[[#This Row],[New Item Code]])</f>
        <v>#N/A</v>
      </c>
      <c r="P594" s="15" t="s">
        <v>4747</v>
      </c>
      <c r="Q594" s="15" t="s">
        <v>4749</v>
      </c>
      <c r="R594" s="15"/>
      <c r="S594" s="15"/>
      <c r="T594" s="15" t="s">
        <v>4691</v>
      </c>
    </row>
    <row r="595" spans="1:20" x14ac:dyDescent="0.35">
      <c r="A595" s="3" t="s">
        <v>1194</v>
      </c>
      <c r="B595" s="3" t="s">
        <v>1195</v>
      </c>
      <c r="C595" s="3" t="s">
        <v>15</v>
      </c>
      <c r="D595" s="3">
        <v>110</v>
      </c>
      <c r="E595" s="3" t="s">
        <v>10</v>
      </c>
      <c r="F595" s="3">
        <v>2</v>
      </c>
      <c r="G595" s="21">
        <f>Table4[[#This Row],[Item Cost]]*Table4[[#This Row],[In Stock]]</f>
        <v>220</v>
      </c>
      <c r="H595" s="12" t="s">
        <v>4661</v>
      </c>
      <c r="I595" s="13" t="s">
        <v>4666</v>
      </c>
      <c r="J595" s="13" t="s">
        <v>4755</v>
      </c>
      <c r="K595" s="13" t="s">
        <v>4672</v>
      </c>
      <c r="L595" s="12" t="s">
        <v>4691</v>
      </c>
      <c r="M595" s="17" t="str">
        <f>IF(LEN(COUNTIFS($H$1:H595,$H595,$I$1:I595,$I595,$J$1:J595,$J595,$K$1:K595,K595,$L$1:L595,L595))=1,"00"&amp;COUNTIFS($H$1:H595,$H595,$I$1:I595,$I595,$J$1:J595,$J595,$K$1:K595,K595,$L$1:L595,L595),IF(LEN(COUNTIFS($H$1:H595,$H595,$I$1:I595,$I595,$J$1:J595,$J595,$K$1:K595,K595,$L$1:L595,L595))=2,"0"&amp;COUNTIFS($H$1:H595,$H595,$I$1:I595,$I595,$J$1:J595,$J595,$K$1:K595,K595,$L$1:L595,L595),COUNTIFS($H$1:H595,$H595,$I$1:I595,$I595,$J$1:J595,$J595,$K$1:K595,K595,$L$1:L595,L595)))</f>
        <v>009</v>
      </c>
      <c r="N59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95" s="14" t="e">
        <f>+LEN(Table4[[#This Row],[New Item Code]])</f>
        <v>#N/A</v>
      </c>
      <c r="P595" s="15" t="s">
        <v>4747</v>
      </c>
      <c r="Q595" s="15" t="s">
        <v>4749</v>
      </c>
      <c r="R595" s="15"/>
      <c r="S595" s="15"/>
      <c r="T595" s="15" t="s">
        <v>4691</v>
      </c>
    </row>
    <row r="596" spans="1:20" x14ac:dyDescent="0.35">
      <c r="A596" s="2" t="s">
        <v>1196</v>
      </c>
      <c r="B596" s="2" t="s">
        <v>1197</v>
      </c>
      <c r="C596" s="2" t="s">
        <v>15</v>
      </c>
      <c r="D596" s="2">
        <v>145</v>
      </c>
      <c r="E596" s="2" t="s">
        <v>10</v>
      </c>
      <c r="F596" s="2">
        <v>2</v>
      </c>
      <c r="G596" s="22">
        <f>Table4[[#This Row],[Item Cost]]*Table4[[#This Row],[In Stock]]</f>
        <v>290</v>
      </c>
      <c r="H596" s="12" t="s">
        <v>4661</v>
      </c>
      <c r="I596" s="13" t="s">
        <v>4666</v>
      </c>
      <c r="J596" s="13" t="s">
        <v>4755</v>
      </c>
      <c r="K596" s="13" t="s">
        <v>4672</v>
      </c>
      <c r="L596" s="12" t="s">
        <v>4691</v>
      </c>
      <c r="M596" s="17" t="str">
        <f>IF(LEN(COUNTIFS($H$1:H596,$H596,$I$1:I596,$I596,$J$1:J596,$J596,$K$1:K596,K596,$L$1:L596,L596))=1,"00"&amp;COUNTIFS($H$1:H596,$H596,$I$1:I596,$I596,$J$1:J596,$J596,$K$1:K596,K596,$L$1:L596,L596),IF(LEN(COUNTIFS($H$1:H596,$H596,$I$1:I596,$I596,$J$1:J596,$J596,$K$1:K596,K596,$L$1:L596,L596))=2,"0"&amp;COUNTIFS($H$1:H596,$H596,$I$1:I596,$I596,$J$1:J596,$J596,$K$1:K596,K596,$L$1:L596,L596),COUNTIFS($H$1:H596,$H596,$I$1:I596,$I596,$J$1:J596,$J596,$K$1:K596,K596,$L$1:L596,L596)))</f>
        <v>010</v>
      </c>
      <c r="N59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96" s="14" t="e">
        <f>+LEN(Table4[[#This Row],[New Item Code]])</f>
        <v>#N/A</v>
      </c>
      <c r="P596" s="15" t="s">
        <v>4747</v>
      </c>
      <c r="Q596" s="15" t="s">
        <v>4749</v>
      </c>
      <c r="R596" s="15"/>
      <c r="S596" s="15"/>
      <c r="T596" s="15" t="s">
        <v>4691</v>
      </c>
    </row>
    <row r="597" spans="1:20" x14ac:dyDescent="0.35">
      <c r="A597" s="3" t="s">
        <v>1198</v>
      </c>
      <c r="B597" s="3" t="s">
        <v>1199</v>
      </c>
      <c r="C597" s="3" t="s">
        <v>15</v>
      </c>
      <c r="D597" s="3">
        <v>110</v>
      </c>
      <c r="E597" s="3" t="s">
        <v>10</v>
      </c>
      <c r="F597" s="3">
        <v>2</v>
      </c>
      <c r="G597" s="21">
        <f>Table4[[#This Row],[Item Cost]]*Table4[[#This Row],[In Stock]]</f>
        <v>220</v>
      </c>
      <c r="H597" s="12" t="s">
        <v>4661</v>
      </c>
      <c r="I597" s="13" t="s">
        <v>4666</v>
      </c>
      <c r="J597" s="13" t="s">
        <v>4755</v>
      </c>
      <c r="K597" s="13" t="s">
        <v>4672</v>
      </c>
      <c r="L597" s="12" t="s">
        <v>4691</v>
      </c>
      <c r="M597" s="17" t="str">
        <f>IF(LEN(COUNTIFS($H$1:H597,$H597,$I$1:I597,$I597,$J$1:J597,$J597,$K$1:K597,K597,$L$1:L597,L597))=1,"00"&amp;COUNTIFS($H$1:H597,$H597,$I$1:I597,$I597,$J$1:J597,$J597,$K$1:K597,K597,$L$1:L597,L597),IF(LEN(COUNTIFS($H$1:H597,$H597,$I$1:I597,$I597,$J$1:J597,$J597,$K$1:K597,K597,$L$1:L597,L597))=2,"0"&amp;COUNTIFS($H$1:H597,$H597,$I$1:I597,$I597,$J$1:J597,$J597,$K$1:K597,K597,$L$1:L597,L597),COUNTIFS($H$1:H597,$H597,$I$1:I597,$I597,$J$1:J597,$J597,$K$1:K597,K597,$L$1:L597,L597)))</f>
        <v>011</v>
      </c>
      <c r="N59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97" s="14" t="e">
        <f>+LEN(Table4[[#This Row],[New Item Code]])</f>
        <v>#N/A</v>
      </c>
      <c r="P597" s="15" t="s">
        <v>4747</v>
      </c>
      <c r="Q597" s="15" t="s">
        <v>4749</v>
      </c>
      <c r="R597" s="15"/>
      <c r="S597" s="15"/>
      <c r="T597" s="15" t="s">
        <v>4691</v>
      </c>
    </row>
    <row r="598" spans="1:20" x14ac:dyDescent="0.35">
      <c r="A598" s="2" t="s">
        <v>1200</v>
      </c>
      <c r="B598" s="2" t="s">
        <v>1201</v>
      </c>
      <c r="C598" s="2" t="s">
        <v>15</v>
      </c>
      <c r="D598" s="2">
        <v>160</v>
      </c>
      <c r="E598" s="2" t="s">
        <v>10</v>
      </c>
      <c r="F598" s="2">
        <v>5</v>
      </c>
      <c r="G598" s="22">
        <f>Table4[[#This Row],[Item Cost]]*Table4[[#This Row],[In Stock]]</f>
        <v>800</v>
      </c>
      <c r="H598" s="12" t="s">
        <v>4661</v>
      </c>
      <c r="I598" s="13" t="s">
        <v>4666</v>
      </c>
      <c r="J598" s="13" t="s">
        <v>4755</v>
      </c>
      <c r="K598" s="13" t="s">
        <v>4672</v>
      </c>
      <c r="L598" s="12" t="s">
        <v>4691</v>
      </c>
      <c r="M598" s="17" t="str">
        <f>IF(LEN(COUNTIFS($H$1:H598,$H598,$I$1:I598,$I598,$J$1:J598,$J598,$K$1:K598,K598,$L$1:L598,L598))=1,"00"&amp;COUNTIFS($H$1:H598,$H598,$I$1:I598,$I598,$J$1:J598,$J598,$K$1:K598,K598,$L$1:L598,L598),IF(LEN(COUNTIFS($H$1:H598,$H598,$I$1:I598,$I598,$J$1:J598,$J598,$K$1:K598,K598,$L$1:L598,L598))=2,"0"&amp;COUNTIFS($H$1:H598,$H598,$I$1:I598,$I598,$J$1:J598,$J598,$K$1:K598,K598,$L$1:L598,L598),COUNTIFS($H$1:H598,$H598,$I$1:I598,$I598,$J$1:J598,$J598,$K$1:K598,K598,$L$1:L598,L598)))</f>
        <v>012</v>
      </c>
      <c r="N59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98" s="14" t="e">
        <f>+LEN(Table4[[#This Row],[New Item Code]])</f>
        <v>#N/A</v>
      </c>
      <c r="P598" s="15" t="s">
        <v>4747</v>
      </c>
      <c r="Q598" s="15" t="s">
        <v>4749</v>
      </c>
      <c r="R598" s="15"/>
      <c r="S598" s="15"/>
      <c r="T598" s="15" t="s">
        <v>4691</v>
      </c>
    </row>
    <row r="599" spans="1:20" x14ac:dyDescent="0.35">
      <c r="A599" s="3" t="s">
        <v>1202</v>
      </c>
      <c r="B599" s="3" t="s">
        <v>1203</v>
      </c>
      <c r="C599" s="3" t="s">
        <v>15</v>
      </c>
      <c r="D599" s="3">
        <v>90</v>
      </c>
      <c r="E599" s="3" t="s">
        <v>10</v>
      </c>
      <c r="F599" s="3">
        <v>5</v>
      </c>
      <c r="G599" s="21">
        <f>Table4[[#This Row],[Item Cost]]*Table4[[#This Row],[In Stock]]</f>
        <v>450</v>
      </c>
      <c r="H599" s="12" t="s">
        <v>4661</v>
      </c>
      <c r="I599" s="13" t="s">
        <v>4666</v>
      </c>
      <c r="J599" s="13" t="s">
        <v>4755</v>
      </c>
      <c r="K599" s="13" t="s">
        <v>4672</v>
      </c>
      <c r="L599" s="12" t="s">
        <v>4691</v>
      </c>
      <c r="M599" s="17" t="str">
        <f>IF(LEN(COUNTIFS($H$1:H599,$H599,$I$1:I599,$I599,$J$1:J599,$J599,$K$1:K599,K599,$L$1:L599,L599))=1,"00"&amp;COUNTIFS($H$1:H599,$H599,$I$1:I599,$I599,$J$1:J599,$J599,$K$1:K599,K599,$L$1:L599,L599),IF(LEN(COUNTIFS($H$1:H599,$H599,$I$1:I599,$I599,$J$1:J599,$J599,$K$1:K599,K599,$L$1:L599,L599))=2,"0"&amp;COUNTIFS($H$1:H599,$H599,$I$1:I599,$I599,$J$1:J599,$J599,$K$1:K599,K599,$L$1:L599,L599),COUNTIFS($H$1:H599,$H599,$I$1:I599,$I599,$J$1:J599,$J599,$K$1:K599,K599,$L$1:L599,L599)))</f>
        <v>013</v>
      </c>
      <c r="N59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599" s="14" t="e">
        <f>+LEN(Table4[[#This Row],[New Item Code]])</f>
        <v>#N/A</v>
      </c>
      <c r="P599" s="15" t="s">
        <v>4747</v>
      </c>
      <c r="Q599" s="15" t="s">
        <v>4749</v>
      </c>
      <c r="R599" s="15"/>
      <c r="S599" s="15"/>
      <c r="T599" s="15" t="s">
        <v>4691</v>
      </c>
    </row>
    <row r="600" spans="1:20" x14ac:dyDescent="0.35">
      <c r="A600" s="2" t="s">
        <v>1204</v>
      </c>
      <c r="B600" s="2" t="s">
        <v>1205</v>
      </c>
      <c r="C600" s="2" t="s">
        <v>15</v>
      </c>
      <c r="D600" s="2">
        <v>35</v>
      </c>
      <c r="E600" s="2" t="s">
        <v>10</v>
      </c>
      <c r="F600" s="2">
        <v>5</v>
      </c>
      <c r="G600" s="22">
        <f>Table4[[#This Row],[Item Cost]]*Table4[[#This Row],[In Stock]]</f>
        <v>175</v>
      </c>
      <c r="H600" s="12" t="s">
        <v>4661</v>
      </c>
      <c r="I600" s="13" t="s">
        <v>4666</v>
      </c>
      <c r="J600" s="13" t="s">
        <v>4755</v>
      </c>
      <c r="K600" s="13" t="s">
        <v>4672</v>
      </c>
      <c r="L600" s="12" t="s">
        <v>4691</v>
      </c>
      <c r="M600" s="17" t="str">
        <f>IF(LEN(COUNTIFS($H$1:H600,$H600,$I$1:I600,$I600,$J$1:J600,$J600,$K$1:K600,K600,$L$1:L600,L600))=1,"00"&amp;COUNTIFS($H$1:H600,$H600,$I$1:I600,$I600,$J$1:J600,$J600,$K$1:K600,K600,$L$1:L600,L600),IF(LEN(COUNTIFS($H$1:H600,$H600,$I$1:I600,$I600,$J$1:J600,$J600,$K$1:K600,K600,$L$1:L600,L600))=2,"0"&amp;COUNTIFS($H$1:H600,$H600,$I$1:I600,$I600,$J$1:J600,$J600,$K$1:K600,K600,$L$1:L600,L600),COUNTIFS($H$1:H600,$H600,$I$1:I600,$I600,$J$1:J600,$J600,$K$1:K600,K600,$L$1:L600,L600)))</f>
        <v>014</v>
      </c>
      <c r="N60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00" s="14" t="e">
        <f>+LEN(Table4[[#This Row],[New Item Code]])</f>
        <v>#N/A</v>
      </c>
      <c r="P600" s="15" t="s">
        <v>4747</v>
      </c>
      <c r="Q600" s="15" t="s">
        <v>4749</v>
      </c>
      <c r="R600" s="15"/>
      <c r="S600" s="15"/>
      <c r="T600" s="15" t="s">
        <v>4691</v>
      </c>
    </row>
    <row r="601" spans="1:20" x14ac:dyDescent="0.35">
      <c r="A601" s="3" t="s">
        <v>1206</v>
      </c>
      <c r="B601" s="3" t="s">
        <v>1207</v>
      </c>
      <c r="C601" s="3" t="s">
        <v>15</v>
      </c>
      <c r="D601" s="5">
        <v>1120</v>
      </c>
      <c r="E601" s="3" t="s">
        <v>10</v>
      </c>
      <c r="F601" s="3">
        <v>1</v>
      </c>
      <c r="G601" s="21">
        <f>Table4[[#This Row],[Item Cost]]*Table4[[#This Row],[In Stock]]</f>
        <v>1120</v>
      </c>
      <c r="H601" s="12" t="s">
        <v>4661</v>
      </c>
      <c r="I601" s="13" t="s">
        <v>4666</v>
      </c>
      <c r="J601" s="13" t="s">
        <v>4755</v>
      </c>
      <c r="K601" s="13" t="s">
        <v>4672</v>
      </c>
      <c r="L601" s="12" t="s">
        <v>4691</v>
      </c>
      <c r="M601" s="17" t="str">
        <f>IF(LEN(COUNTIFS($H$1:H601,$H601,$I$1:I601,$I601,$J$1:J601,$J601,$K$1:K601,K601,$L$1:L601,L601))=1,"00"&amp;COUNTIFS($H$1:H601,$H601,$I$1:I601,$I601,$J$1:J601,$J601,$K$1:K601,K601,$L$1:L601,L601),IF(LEN(COUNTIFS($H$1:H601,$H601,$I$1:I601,$I601,$J$1:J601,$J601,$K$1:K601,K601,$L$1:L601,L601))=2,"0"&amp;COUNTIFS($H$1:H601,$H601,$I$1:I601,$I601,$J$1:J601,$J601,$K$1:K601,K601,$L$1:L601,L601),COUNTIFS($H$1:H601,$H601,$I$1:I601,$I601,$J$1:J601,$J601,$K$1:K601,K601,$L$1:L601,L601)))</f>
        <v>015</v>
      </c>
      <c r="N60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01" s="14" t="e">
        <f>+LEN(Table4[[#This Row],[New Item Code]])</f>
        <v>#N/A</v>
      </c>
      <c r="P601" s="15" t="s">
        <v>4747</v>
      </c>
      <c r="Q601" s="15" t="s">
        <v>4749</v>
      </c>
      <c r="R601" s="15"/>
      <c r="S601" s="15"/>
      <c r="T601" s="15" t="s">
        <v>4691</v>
      </c>
    </row>
    <row r="602" spans="1:20" x14ac:dyDescent="0.35">
      <c r="A602" s="2" t="s">
        <v>1208</v>
      </c>
      <c r="B602" s="2" t="s">
        <v>1209</v>
      </c>
      <c r="C602" s="2" t="s">
        <v>15</v>
      </c>
      <c r="D602" s="2">
        <v>36</v>
      </c>
      <c r="E602" s="2" t="s">
        <v>10</v>
      </c>
      <c r="F602" s="2">
        <v>10</v>
      </c>
      <c r="G602" s="22">
        <f>Table4[[#This Row],[Item Cost]]*Table4[[#This Row],[In Stock]]</f>
        <v>360</v>
      </c>
      <c r="H602" s="12" t="s">
        <v>4661</v>
      </c>
      <c r="I602" s="13" t="s">
        <v>4666</v>
      </c>
      <c r="J602" s="13" t="s">
        <v>4755</v>
      </c>
      <c r="K602" s="13" t="s">
        <v>4672</v>
      </c>
      <c r="L602" s="12" t="s">
        <v>4691</v>
      </c>
      <c r="M602" s="17" t="str">
        <f>IF(LEN(COUNTIFS($H$1:H602,$H602,$I$1:I602,$I602,$J$1:J602,$J602,$K$1:K602,K602,$L$1:L602,L602))=1,"00"&amp;COUNTIFS($H$1:H602,$H602,$I$1:I602,$I602,$J$1:J602,$J602,$K$1:K602,K602,$L$1:L602,L602),IF(LEN(COUNTIFS($H$1:H602,$H602,$I$1:I602,$I602,$J$1:J602,$J602,$K$1:K602,K602,$L$1:L602,L602))=2,"0"&amp;COUNTIFS($H$1:H602,$H602,$I$1:I602,$I602,$J$1:J602,$J602,$K$1:K602,K602,$L$1:L602,L602),COUNTIFS($H$1:H602,$H602,$I$1:I602,$I602,$J$1:J602,$J602,$K$1:K602,K602,$L$1:L602,L602)))</f>
        <v>016</v>
      </c>
      <c r="N60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02" s="14" t="e">
        <f>+LEN(Table4[[#This Row],[New Item Code]])</f>
        <v>#N/A</v>
      </c>
      <c r="P602" s="15" t="s">
        <v>4747</v>
      </c>
      <c r="Q602" s="15" t="s">
        <v>4749</v>
      </c>
      <c r="R602" s="15"/>
      <c r="S602" s="15"/>
      <c r="T602" s="15" t="s">
        <v>4691</v>
      </c>
    </row>
    <row r="603" spans="1:20" x14ac:dyDescent="0.35">
      <c r="A603" s="3" t="s">
        <v>1210</v>
      </c>
      <c r="B603" s="3" t="s">
        <v>1211</v>
      </c>
      <c r="C603" s="3" t="s">
        <v>15</v>
      </c>
      <c r="D603" s="3">
        <v>520</v>
      </c>
      <c r="E603" s="3" t="s">
        <v>10</v>
      </c>
      <c r="F603" s="3">
        <v>1</v>
      </c>
      <c r="G603" s="21">
        <f>Table4[[#This Row],[Item Cost]]*Table4[[#This Row],[In Stock]]</f>
        <v>520</v>
      </c>
      <c r="H603" s="12" t="s">
        <v>4661</v>
      </c>
      <c r="I603" s="13" t="s">
        <v>4666</v>
      </c>
      <c r="J603" s="13" t="s">
        <v>4755</v>
      </c>
      <c r="K603" s="13" t="s">
        <v>4672</v>
      </c>
      <c r="L603" s="12" t="s">
        <v>4691</v>
      </c>
      <c r="M603" s="17" t="str">
        <f>IF(LEN(COUNTIFS($H$1:H603,$H603,$I$1:I603,$I603,$J$1:J603,$J603,$K$1:K603,K603,$L$1:L603,L603))=1,"00"&amp;COUNTIFS($H$1:H603,$H603,$I$1:I603,$I603,$J$1:J603,$J603,$K$1:K603,K603,$L$1:L603,L603),IF(LEN(COUNTIFS($H$1:H603,$H603,$I$1:I603,$I603,$J$1:J603,$J603,$K$1:K603,K603,$L$1:L603,L603))=2,"0"&amp;COUNTIFS($H$1:H603,$H603,$I$1:I603,$I603,$J$1:J603,$J603,$K$1:K603,K603,$L$1:L603,L603),COUNTIFS($H$1:H603,$H603,$I$1:I603,$I603,$J$1:J603,$J603,$K$1:K603,K603,$L$1:L603,L603)))</f>
        <v>017</v>
      </c>
      <c r="N60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03" s="14" t="e">
        <f>+LEN(Table4[[#This Row],[New Item Code]])</f>
        <v>#N/A</v>
      </c>
      <c r="P603" s="15" t="s">
        <v>4747</v>
      </c>
      <c r="Q603" s="15" t="s">
        <v>4749</v>
      </c>
      <c r="R603" s="15"/>
      <c r="S603" s="15"/>
      <c r="T603" s="15" t="s">
        <v>4691</v>
      </c>
    </row>
    <row r="604" spans="1:20" x14ac:dyDescent="0.35">
      <c r="A604" s="2" t="s">
        <v>1212</v>
      </c>
      <c r="B604" s="2" t="s">
        <v>1213</v>
      </c>
      <c r="C604" s="2" t="s">
        <v>15</v>
      </c>
      <c r="D604" s="2">
        <v>130</v>
      </c>
      <c r="E604" s="2" t="s">
        <v>10</v>
      </c>
      <c r="F604" s="2">
        <v>1</v>
      </c>
      <c r="G604" s="22">
        <f>Table4[[#This Row],[Item Cost]]*Table4[[#This Row],[In Stock]]</f>
        <v>130</v>
      </c>
      <c r="H604" s="12" t="s">
        <v>4661</v>
      </c>
      <c r="I604" s="13" t="s">
        <v>4666</v>
      </c>
      <c r="J604" s="13" t="s">
        <v>4755</v>
      </c>
      <c r="K604" s="13" t="s">
        <v>4672</v>
      </c>
      <c r="L604" s="12" t="s">
        <v>4691</v>
      </c>
      <c r="M604" s="17" t="str">
        <f>IF(LEN(COUNTIFS($H$1:H604,$H604,$I$1:I604,$I604,$J$1:J604,$J604,$K$1:K604,K604,$L$1:L604,L604))=1,"00"&amp;COUNTIFS($H$1:H604,$H604,$I$1:I604,$I604,$J$1:J604,$J604,$K$1:K604,K604,$L$1:L604,L604),IF(LEN(COUNTIFS($H$1:H604,$H604,$I$1:I604,$I604,$J$1:J604,$J604,$K$1:K604,K604,$L$1:L604,L604))=2,"0"&amp;COUNTIFS($H$1:H604,$H604,$I$1:I604,$I604,$J$1:J604,$J604,$K$1:K604,K604,$L$1:L604,L604),COUNTIFS($H$1:H604,$H604,$I$1:I604,$I604,$J$1:J604,$J604,$K$1:K604,K604,$L$1:L604,L604)))</f>
        <v>018</v>
      </c>
      <c r="N60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04" s="14" t="e">
        <f>+LEN(Table4[[#This Row],[New Item Code]])</f>
        <v>#N/A</v>
      </c>
      <c r="P604" s="15" t="s">
        <v>4747</v>
      </c>
      <c r="Q604" s="15" t="s">
        <v>4749</v>
      </c>
      <c r="R604" s="15"/>
      <c r="S604" s="15"/>
      <c r="T604" s="15" t="s">
        <v>4691</v>
      </c>
    </row>
    <row r="605" spans="1:20" x14ac:dyDescent="0.35">
      <c r="A605" s="3" t="s">
        <v>1214</v>
      </c>
      <c r="B605" s="3" t="s">
        <v>1215</v>
      </c>
      <c r="C605" s="3" t="s">
        <v>15</v>
      </c>
      <c r="D605" s="3">
        <v>440</v>
      </c>
      <c r="E605" s="3" t="s">
        <v>10</v>
      </c>
      <c r="F605" s="3">
        <v>1</v>
      </c>
      <c r="G605" s="21">
        <f>Table4[[#This Row],[Item Cost]]*Table4[[#This Row],[In Stock]]</f>
        <v>440</v>
      </c>
      <c r="H605" s="12" t="s">
        <v>4661</v>
      </c>
      <c r="I605" s="13" t="s">
        <v>4666</v>
      </c>
      <c r="J605" s="13" t="s">
        <v>4755</v>
      </c>
      <c r="K605" s="13" t="s">
        <v>4672</v>
      </c>
      <c r="L605" s="12" t="s">
        <v>4691</v>
      </c>
      <c r="M605" s="17" t="str">
        <f>IF(LEN(COUNTIFS($H$1:H605,$H605,$I$1:I605,$I605,$J$1:J605,$J605,$K$1:K605,K605,$L$1:L605,L605))=1,"00"&amp;COUNTIFS($H$1:H605,$H605,$I$1:I605,$I605,$J$1:J605,$J605,$K$1:K605,K605,$L$1:L605,L605),IF(LEN(COUNTIFS($H$1:H605,$H605,$I$1:I605,$I605,$J$1:J605,$J605,$K$1:K605,K605,$L$1:L605,L605))=2,"0"&amp;COUNTIFS($H$1:H605,$H605,$I$1:I605,$I605,$J$1:J605,$J605,$K$1:K605,K605,$L$1:L605,L605),COUNTIFS($H$1:H605,$H605,$I$1:I605,$I605,$J$1:J605,$J605,$K$1:K605,K605,$L$1:L605,L605)))</f>
        <v>019</v>
      </c>
      <c r="N60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05" s="14" t="e">
        <f>+LEN(Table4[[#This Row],[New Item Code]])</f>
        <v>#N/A</v>
      </c>
      <c r="P605" s="15" t="s">
        <v>4747</v>
      </c>
      <c r="Q605" s="15" t="s">
        <v>4749</v>
      </c>
      <c r="R605" s="15"/>
      <c r="S605" s="15"/>
      <c r="T605" s="15" t="s">
        <v>4691</v>
      </c>
    </row>
    <row r="606" spans="1:20" x14ac:dyDescent="0.35">
      <c r="A606" s="2" t="s">
        <v>1216</v>
      </c>
      <c r="B606" s="2" t="s">
        <v>1217</v>
      </c>
      <c r="C606" s="2" t="s">
        <v>15</v>
      </c>
      <c r="D606" s="2">
        <v>430</v>
      </c>
      <c r="E606" s="2" t="s">
        <v>10</v>
      </c>
      <c r="F606" s="2">
        <v>1</v>
      </c>
      <c r="G606" s="22">
        <f>Table4[[#This Row],[Item Cost]]*Table4[[#This Row],[In Stock]]</f>
        <v>430</v>
      </c>
      <c r="H606" s="12" t="s">
        <v>4661</v>
      </c>
      <c r="I606" s="13" t="s">
        <v>4666</v>
      </c>
      <c r="J606" s="13" t="s">
        <v>4755</v>
      </c>
      <c r="K606" s="13" t="s">
        <v>4672</v>
      </c>
      <c r="L606" s="12" t="s">
        <v>4691</v>
      </c>
      <c r="M606" s="17" t="str">
        <f>IF(LEN(COUNTIFS($H$1:H606,$H606,$I$1:I606,$I606,$J$1:J606,$J606,$K$1:K606,K606,$L$1:L606,L606))=1,"00"&amp;COUNTIFS($H$1:H606,$H606,$I$1:I606,$I606,$J$1:J606,$J606,$K$1:K606,K606,$L$1:L606,L606),IF(LEN(COUNTIFS($H$1:H606,$H606,$I$1:I606,$I606,$J$1:J606,$J606,$K$1:K606,K606,$L$1:L606,L606))=2,"0"&amp;COUNTIFS($H$1:H606,$H606,$I$1:I606,$I606,$J$1:J606,$J606,$K$1:K606,K606,$L$1:L606,L606),COUNTIFS($H$1:H606,$H606,$I$1:I606,$I606,$J$1:J606,$J606,$K$1:K606,K606,$L$1:L606,L606)))</f>
        <v>020</v>
      </c>
      <c r="N60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06" s="14" t="e">
        <f>+LEN(Table4[[#This Row],[New Item Code]])</f>
        <v>#N/A</v>
      </c>
      <c r="P606" s="15" t="s">
        <v>4747</v>
      </c>
      <c r="Q606" s="15" t="s">
        <v>4749</v>
      </c>
      <c r="R606" s="15"/>
      <c r="S606" s="15"/>
      <c r="T606" s="15" t="s">
        <v>4691</v>
      </c>
    </row>
    <row r="607" spans="1:20" x14ac:dyDescent="0.35">
      <c r="A607" s="3" t="s">
        <v>1218</v>
      </c>
      <c r="B607" s="3" t="s">
        <v>1219</v>
      </c>
      <c r="C607" s="3" t="s">
        <v>15</v>
      </c>
      <c r="D607" s="3">
        <v>430</v>
      </c>
      <c r="E607" s="3" t="s">
        <v>10</v>
      </c>
      <c r="F607" s="3">
        <v>1</v>
      </c>
      <c r="G607" s="21">
        <f>Table4[[#This Row],[Item Cost]]*Table4[[#This Row],[In Stock]]</f>
        <v>430</v>
      </c>
      <c r="H607" s="12" t="s">
        <v>4661</v>
      </c>
      <c r="I607" s="13" t="s">
        <v>4666</v>
      </c>
      <c r="J607" s="13" t="s">
        <v>4755</v>
      </c>
      <c r="K607" s="13" t="s">
        <v>4672</v>
      </c>
      <c r="L607" s="12" t="s">
        <v>4691</v>
      </c>
      <c r="M607" s="17" t="str">
        <f>IF(LEN(COUNTIFS($H$1:H607,$H607,$I$1:I607,$I607,$J$1:J607,$J607,$K$1:K607,K607,$L$1:L607,L607))=1,"00"&amp;COUNTIFS($H$1:H607,$H607,$I$1:I607,$I607,$J$1:J607,$J607,$K$1:K607,K607,$L$1:L607,L607),IF(LEN(COUNTIFS($H$1:H607,$H607,$I$1:I607,$I607,$J$1:J607,$J607,$K$1:K607,K607,$L$1:L607,L607))=2,"0"&amp;COUNTIFS($H$1:H607,$H607,$I$1:I607,$I607,$J$1:J607,$J607,$K$1:K607,K607,$L$1:L607,L607),COUNTIFS($H$1:H607,$H607,$I$1:I607,$I607,$J$1:J607,$J607,$K$1:K607,K607,$L$1:L607,L607)))</f>
        <v>021</v>
      </c>
      <c r="N60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07" s="14" t="e">
        <f>+LEN(Table4[[#This Row],[New Item Code]])</f>
        <v>#N/A</v>
      </c>
      <c r="P607" s="15" t="s">
        <v>4747</v>
      </c>
      <c r="Q607" s="15" t="s">
        <v>4749</v>
      </c>
      <c r="R607" s="15"/>
      <c r="S607" s="15"/>
      <c r="T607" s="15" t="s">
        <v>4691</v>
      </c>
    </row>
    <row r="608" spans="1:20" x14ac:dyDescent="0.35">
      <c r="A608" s="2" t="s">
        <v>1220</v>
      </c>
      <c r="B608" s="2" t="s">
        <v>1221</v>
      </c>
      <c r="C608" s="2" t="s">
        <v>15</v>
      </c>
      <c r="D608" s="2">
        <v>480</v>
      </c>
      <c r="E608" s="2" t="s">
        <v>10</v>
      </c>
      <c r="F608" s="2">
        <v>2</v>
      </c>
      <c r="G608" s="22">
        <f>Table4[[#This Row],[Item Cost]]*Table4[[#This Row],[In Stock]]</f>
        <v>960</v>
      </c>
      <c r="H608" s="12" t="s">
        <v>4661</v>
      </c>
      <c r="I608" s="13" t="s">
        <v>4666</v>
      </c>
      <c r="J608" s="13" t="s">
        <v>4755</v>
      </c>
      <c r="K608" s="13" t="s">
        <v>4672</v>
      </c>
      <c r="L608" s="12" t="s">
        <v>4691</v>
      </c>
      <c r="M608" s="17" t="str">
        <f>IF(LEN(COUNTIFS($H$1:H608,$H608,$I$1:I608,$I608,$J$1:J608,$J608,$K$1:K608,K608,$L$1:L608,L608))=1,"00"&amp;COUNTIFS($H$1:H608,$H608,$I$1:I608,$I608,$J$1:J608,$J608,$K$1:K608,K608,$L$1:L608,L608),IF(LEN(COUNTIFS($H$1:H608,$H608,$I$1:I608,$I608,$J$1:J608,$J608,$K$1:K608,K608,$L$1:L608,L608))=2,"0"&amp;COUNTIFS($H$1:H608,$H608,$I$1:I608,$I608,$J$1:J608,$J608,$K$1:K608,K608,$L$1:L608,L608),COUNTIFS($H$1:H608,$H608,$I$1:I608,$I608,$J$1:J608,$J608,$K$1:K608,K608,$L$1:L608,L608)))</f>
        <v>022</v>
      </c>
      <c r="N60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08" s="14" t="e">
        <f>+LEN(Table4[[#This Row],[New Item Code]])</f>
        <v>#N/A</v>
      </c>
      <c r="P608" s="15" t="s">
        <v>4747</v>
      </c>
      <c r="Q608" s="15" t="s">
        <v>4749</v>
      </c>
      <c r="R608" s="15"/>
      <c r="S608" s="15"/>
      <c r="T608" s="15" t="s">
        <v>4691</v>
      </c>
    </row>
    <row r="609" spans="1:20" x14ac:dyDescent="0.35">
      <c r="A609" s="3" t="s">
        <v>1222</v>
      </c>
      <c r="B609" s="3" t="s">
        <v>1223</v>
      </c>
      <c r="C609" s="3" t="s">
        <v>15</v>
      </c>
      <c r="D609" s="3">
        <v>320</v>
      </c>
      <c r="E609" s="3" t="s">
        <v>10</v>
      </c>
      <c r="F609" s="3">
        <v>1</v>
      </c>
      <c r="G609" s="21">
        <f>Table4[[#This Row],[Item Cost]]*Table4[[#This Row],[In Stock]]</f>
        <v>320</v>
      </c>
      <c r="H609" s="12" t="s">
        <v>4661</v>
      </c>
      <c r="I609" s="13" t="s">
        <v>4666</v>
      </c>
      <c r="J609" s="13" t="s">
        <v>4755</v>
      </c>
      <c r="K609" s="13" t="s">
        <v>4672</v>
      </c>
      <c r="L609" s="12" t="s">
        <v>4691</v>
      </c>
      <c r="M609" s="17" t="str">
        <f>IF(LEN(COUNTIFS($H$1:H609,$H609,$I$1:I609,$I609,$J$1:J609,$J609,$K$1:K609,K609,$L$1:L609,L609))=1,"00"&amp;COUNTIFS($H$1:H609,$H609,$I$1:I609,$I609,$J$1:J609,$J609,$K$1:K609,K609,$L$1:L609,L609),IF(LEN(COUNTIFS($H$1:H609,$H609,$I$1:I609,$I609,$J$1:J609,$J609,$K$1:K609,K609,$L$1:L609,L609))=2,"0"&amp;COUNTIFS($H$1:H609,$H609,$I$1:I609,$I609,$J$1:J609,$J609,$K$1:K609,K609,$L$1:L609,L609),COUNTIFS($H$1:H609,$H609,$I$1:I609,$I609,$J$1:J609,$J609,$K$1:K609,K609,$L$1:L609,L609)))</f>
        <v>023</v>
      </c>
      <c r="N60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09" s="14" t="e">
        <f>+LEN(Table4[[#This Row],[New Item Code]])</f>
        <v>#N/A</v>
      </c>
      <c r="P609" s="15" t="s">
        <v>4747</v>
      </c>
      <c r="Q609" s="15" t="s">
        <v>4749</v>
      </c>
      <c r="R609" s="15"/>
      <c r="S609" s="15"/>
      <c r="T609" s="15" t="s">
        <v>4691</v>
      </c>
    </row>
    <row r="610" spans="1:20" x14ac:dyDescent="0.35">
      <c r="A610" s="2" t="s">
        <v>1224</v>
      </c>
      <c r="B610" s="2" t="s">
        <v>1225</v>
      </c>
      <c r="C610" s="2" t="s">
        <v>15</v>
      </c>
      <c r="D610" s="2">
        <v>360</v>
      </c>
      <c r="E610" s="2" t="s">
        <v>10</v>
      </c>
      <c r="F610" s="2">
        <v>1</v>
      </c>
      <c r="G610" s="22">
        <f>Table4[[#This Row],[Item Cost]]*Table4[[#This Row],[In Stock]]</f>
        <v>360</v>
      </c>
      <c r="H610" s="12" t="s">
        <v>4661</v>
      </c>
      <c r="I610" s="13" t="s">
        <v>4666</v>
      </c>
      <c r="J610" s="13" t="s">
        <v>4755</v>
      </c>
      <c r="K610" s="13" t="s">
        <v>4672</v>
      </c>
      <c r="L610" s="12" t="s">
        <v>4691</v>
      </c>
      <c r="M610" s="17" t="str">
        <f>IF(LEN(COUNTIFS($H$1:H610,$H610,$I$1:I610,$I610,$J$1:J610,$J610,$K$1:K610,K610,$L$1:L610,L610))=1,"00"&amp;COUNTIFS($H$1:H610,$H610,$I$1:I610,$I610,$J$1:J610,$J610,$K$1:K610,K610,$L$1:L610,L610),IF(LEN(COUNTIFS($H$1:H610,$H610,$I$1:I610,$I610,$J$1:J610,$J610,$K$1:K610,K610,$L$1:L610,L610))=2,"0"&amp;COUNTIFS($H$1:H610,$H610,$I$1:I610,$I610,$J$1:J610,$J610,$K$1:K610,K610,$L$1:L610,L610),COUNTIFS($H$1:H610,$H610,$I$1:I610,$I610,$J$1:J610,$J610,$K$1:K610,K610,$L$1:L610,L610)))</f>
        <v>024</v>
      </c>
      <c r="N61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10" s="14" t="e">
        <f>+LEN(Table4[[#This Row],[New Item Code]])</f>
        <v>#N/A</v>
      </c>
      <c r="P610" s="15" t="s">
        <v>4747</v>
      </c>
      <c r="Q610" s="15" t="s">
        <v>4749</v>
      </c>
      <c r="R610" s="15"/>
      <c r="S610" s="15"/>
      <c r="T610" s="15" t="s">
        <v>4691</v>
      </c>
    </row>
    <row r="611" spans="1:20" x14ac:dyDescent="0.35">
      <c r="A611" s="3" t="s">
        <v>1226</v>
      </c>
      <c r="B611" s="3" t="s">
        <v>1227</v>
      </c>
      <c r="C611" s="3" t="s">
        <v>15</v>
      </c>
      <c r="D611" s="3">
        <v>170</v>
      </c>
      <c r="E611" s="3" t="s">
        <v>10</v>
      </c>
      <c r="F611" s="3">
        <v>2</v>
      </c>
      <c r="G611" s="21">
        <f>Table4[[#This Row],[Item Cost]]*Table4[[#This Row],[In Stock]]</f>
        <v>340</v>
      </c>
      <c r="H611" s="12" t="s">
        <v>4661</v>
      </c>
      <c r="I611" s="13" t="s">
        <v>4666</v>
      </c>
      <c r="J611" s="13" t="s">
        <v>4755</v>
      </c>
      <c r="K611" s="13" t="s">
        <v>4672</v>
      </c>
      <c r="L611" s="12" t="s">
        <v>4691</v>
      </c>
      <c r="M611" s="17" t="str">
        <f>IF(LEN(COUNTIFS($H$1:H611,$H611,$I$1:I611,$I611,$J$1:J611,$J611,$K$1:K611,K611,$L$1:L611,L611))=1,"00"&amp;COUNTIFS($H$1:H611,$H611,$I$1:I611,$I611,$J$1:J611,$J611,$K$1:K611,K611,$L$1:L611,L611),IF(LEN(COUNTIFS($H$1:H611,$H611,$I$1:I611,$I611,$J$1:J611,$J611,$K$1:K611,K611,$L$1:L611,L611))=2,"0"&amp;COUNTIFS($H$1:H611,$H611,$I$1:I611,$I611,$J$1:J611,$J611,$K$1:K611,K611,$L$1:L611,L611),COUNTIFS($H$1:H611,$H611,$I$1:I611,$I611,$J$1:J611,$J611,$K$1:K611,K611,$L$1:L611,L611)))</f>
        <v>025</v>
      </c>
      <c r="N61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11" s="14" t="e">
        <f>+LEN(Table4[[#This Row],[New Item Code]])</f>
        <v>#N/A</v>
      </c>
      <c r="P611" s="15" t="s">
        <v>4747</v>
      </c>
      <c r="Q611" s="15" t="s">
        <v>4749</v>
      </c>
      <c r="R611" s="15"/>
      <c r="S611" s="15"/>
      <c r="T611" s="15" t="s">
        <v>4691</v>
      </c>
    </row>
    <row r="612" spans="1:20" x14ac:dyDescent="0.35">
      <c r="A612" s="2" t="s">
        <v>1228</v>
      </c>
      <c r="B612" s="2" t="s">
        <v>1229</v>
      </c>
      <c r="C612" s="2" t="s">
        <v>15</v>
      </c>
      <c r="D612" s="4">
        <v>1180</v>
      </c>
      <c r="E612" s="2" t="s">
        <v>10</v>
      </c>
      <c r="F612" s="2">
        <v>1</v>
      </c>
      <c r="G612" s="22">
        <f>Table4[[#This Row],[Item Cost]]*Table4[[#This Row],[In Stock]]</f>
        <v>1180</v>
      </c>
      <c r="H612" s="12" t="s">
        <v>4661</v>
      </c>
      <c r="I612" s="13" t="s">
        <v>4666</v>
      </c>
      <c r="J612" s="13" t="s">
        <v>4755</v>
      </c>
      <c r="K612" s="13" t="s">
        <v>4672</v>
      </c>
      <c r="L612" s="12" t="s">
        <v>4691</v>
      </c>
      <c r="M612" s="17" t="str">
        <f>IF(LEN(COUNTIFS($H$1:H612,$H612,$I$1:I612,$I612,$J$1:J612,$J612,$K$1:K612,K612,$L$1:L612,L612))=1,"00"&amp;COUNTIFS($H$1:H612,$H612,$I$1:I612,$I612,$J$1:J612,$J612,$K$1:K612,K612,$L$1:L612,L612),IF(LEN(COUNTIFS($H$1:H612,$H612,$I$1:I612,$I612,$J$1:J612,$J612,$K$1:K612,K612,$L$1:L612,L612))=2,"0"&amp;COUNTIFS($H$1:H612,$H612,$I$1:I612,$I612,$J$1:J612,$J612,$K$1:K612,K612,$L$1:L612,L612),COUNTIFS($H$1:H612,$H612,$I$1:I612,$I612,$J$1:J612,$J612,$K$1:K612,K612,$L$1:L612,L612)))</f>
        <v>026</v>
      </c>
      <c r="N61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12" s="14" t="e">
        <f>+LEN(Table4[[#This Row],[New Item Code]])</f>
        <v>#N/A</v>
      </c>
      <c r="P612" s="15" t="s">
        <v>4747</v>
      </c>
      <c r="Q612" s="15" t="s">
        <v>4749</v>
      </c>
      <c r="R612" s="15"/>
      <c r="S612" s="15"/>
      <c r="T612" s="15" t="s">
        <v>4691</v>
      </c>
    </row>
    <row r="613" spans="1:20" x14ac:dyDescent="0.35">
      <c r="A613" s="3" t="s">
        <v>1230</v>
      </c>
      <c r="B613" s="3" t="s">
        <v>1231</v>
      </c>
      <c r="C613" s="3" t="s">
        <v>15</v>
      </c>
      <c r="D613" s="3">
        <v>90</v>
      </c>
      <c r="E613" s="3" t="s">
        <v>10</v>
      </c>
      <c r="F613" s="3">
        <v>5</v>
      </c>
      <c r="G613" s="21">
        <f>Table4[[#This Row],[Item Cost]]*Table4[[#This Row],[In Stock]]</f>
        <v>450</v>
      </c>
      <c r="H613" s="12" t="s">
        <v>4661</v>
      </c>
      <c r="I613" s="13" t="s">
        <v>4666</v>
      </c>
      <c r="J613" s="13" t="s">
        <v>4755</v>
      </c>
      <c r="K613" s="13" t="s">
        <v>4672</v>
      </c>
      <c r="L613" s="12" t="s">
        <v>4691</v>
      </c>
      <c r="M613" s="17" t="str">
        <f>IF(LEN(COUNTIFS($H$1:H613,$H613,$I$1:I613,$I613,$J$1:J613,$J613,$K$1:K613,K613,$L$1:L613,L613))=1,"00"&amp;COUNTIFS($H$1:H613,$H613,$I$1:I613,$I613,$J$1:J613,$J613,$K$1:K613,K613,$L$1:L613,L613),IF(LEN(COUNTIFS($H$1:H613,$H613,$I$1:I613,$I613,$J$1:J613,$J613,$K$1:K613,K613,$L$1:L613,L613))=2,"0"&amp;COUNTIFS($H$1:H613,$H613,$I$1:I613,$I613,$J$1:J613,$J613,$K$1:K613,K613,$L$1:L613,L613),COUNTIFS($H$1:H613,$H613,$I$1:I613,$I613,$J$1:J613,$J613,$K$1:K613,K613,$L$1:L613,L613)))</f>
        <v>027</v>
      </c>
      <c r="N61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13" s="14" t="e">
        <f>+LEN(Table4[[#This Row],[New Item Code]])</f>
        <v>#N/A</v>
      </c>
      <c r="P613" s="15" t="s">
        <v>4747</v>
      </c>
      <c r="Q613" s="15" t="s">
        <v>4749</v>
      </c>
      <c r="R613" s="15"/>
      <c r="S613" s="15"/>
      <c r="T613" s="15" t="s">
        <v>4691</v>
      </c>
    </row>
    <row r="614" spans="1:20" x14ac:dyDescent="0.35">
      <c r="A614" s="2" t="s">
        <v>1232</v>
      </c>
      <c r="B614" s="2" t="s">
        <v>1233</v>
      </c>
      <c r="C614" s="2" t="s">
        <v>15</v>
      </c>
      <c r="D614" s="2">
        <v>390</v>
      </c>
      <c r="E614" s="2" t="s">
        <v>10</v>
      </c>
      <c r="F614" s="2">
        <v>1</v>
      </c>
      <c r="G614" s="22">
        <f>Table4[[#This Row],[Item Cost]]*Table4[[#This Row],[In Stock]]</f>
        <v>390</v>
      </c>
      <c r="H614" s="12" t="s">
        <v>4661</v>
      </c>
      <c r="I614" s="13" t="s">
        <v>4666</v>
      </c>
      <c r="J614" s="13" t="s">
        <v>4755</v>
      </c>
      <c r="K614" s="13" t="s">
        <v>4672</v>
      </c>
      <c r="L614" s="12" t="s">
        <v>4691</v>
      </c>
      <c r="M614" s="17" t="str">
        <f>IF(LEN(COUNTIFS($H$1:H614,$H614,$I$1:I614,$I614,$J$1:J614,$J614,$K$1:K614,K614,$L$1:L614,L614))=1,"00"&amp;COUNTIFS($H$1:H614,$H614,$I$1:I614,$I614,$J$1:J614,$J614,$K$1:K614,K614,$L$1:L614,L614),IF(LEN(COUNTIFS($H$1:H614,$H614,$I$1:I614,$I614,$J$1:J614,$J614,$K$1:K614,K614,$L$1:L614,L614))=2,"0"&amp;COUNTIFS($H$1:H614,$H614,$I$1:I614,$I614,$J$1:J614,$J614,$K$1:K614,K614,$L$1:L614,L614),COUNTIFS($H$1:H614,$H614,$I$1:I614,$I614,$J$1:J614,$J614,$K$1:K614,K614,$L$1:L614,L614)))</f>
        <v>028</v>
      </c>
      <c r="N61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14" s="14" t="e">
        <f>+LEN(Table4[[#This Row],[New Item Code]])</f>
        <v>#N/A</v>
      </c>
      <c r="P614" s="15" t="s">
        <v>4747</v>
      </c>
      <c r="Q614" s="15" t="s">
        <v>4749</v>
      </c>
      <c r="R614" s="15"/>
      <c r="S614" s="15"/>
      <c r="T614" s="15" t="s">
        <v>4691</v>
      </c>
    </row>
    <row r="615" spans="1:20" x14ac:dyDescent="0.35">
      <c r="A615" s="3" t="s">
        <v>1234</v>
      </c>
      <c r="B615" s="3" t="s">
        <v>1235</v>
      </c>
      <c r="C615" s="3" t="s">
        <v>15</v>
      </c>
      <c r="D615" s="5">
        <v>1180</v>
      </c>
      <c r="E615" s="3" t="s">
        <v>10</v>
      </c>
      <c r="F615" s="3">
        <v>1</v>
      </c>
      <c r="G615" s="21">
        <f>Table4[[#This Row],[Item Cost]]*Table4[[#This Row],[In Stock]]</f>
        <v>1180</v>
      </c>
      <c r="H615" s="12" t="s">
        <v>4661</v>
      </c>
      <c r="I615" s="13" t="s">
        <v>4666</v>
      </c>
      <c r="J615" s="13" t="s">
        <v>4755</v>
      </c>
      <c r="K615" s="13" t="s">
        <v>4672</v>
      </c>
      <c r="L615" s="12" t="s">
        <v>4691</v>
      </c>
      <c r="M615" s="17" t="str">
        <f>IF(LEN(COUNTIFS($H$1:H615,$H615,$I$1:I615,$I615,$J$1:J615,$J615,$K$1:K615,K615,$L$1:L615,L615))=1,"00"&amp;COUNTIFS($H$1:H615,$H615,$I$1:I615,$I615,$J$1:J615,$J615,$K$1:K615,K615,$L$1:L615,L615),IF(LEN(COUNTIFS($H$1:H615,$H615,$I$1:I615,$I615,$J$1:J615,$J615,$K$1:K615,K615,$L$1:L615,L615))=2,"0"&amp;COUNTIFS($H$1:H615,$H615,$I$1:I615,$I615,$J$1:J615,$J615,$K$1:K615,K615,$L$1:L615,L615),COUNTIFS($H$1:H615,$H615,$I$1:I615,$I615,$J$1:J615,$J615,$K$1:K615,K615,$L$1:L615,L615)))</f>
        <v>029</v>
      </c>
      <c r="N61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15" s="14" t="e">
        <f>+LEN(Table4[[#This Row],[New Item Code]])</f>
        <v>#N/A</v>
      </c>
      <c r="P615" s="15" t="s">
        <v>4747</v>
      </c>
      <c r="Q615" s="15" t="s">
        <v>4749</v>
      </c>
      <c r="R615" s="15"/>
      <c r="S615" s="15"/>
      <c r="T615" s="15" t="s">
        <v>4691</v>
      </c>
    </row>
    <row r="616" spans="1:20" x14ac:dyDescent="0.35">
      <c r="A616" s="2" t="s">
        <v>1236</v>
      </c>
      <c r="B616" s="2" t="s">
        <v>1237</v>
      </c>
      <c r="C616" s="2" t="s">
        <v>15</v>
      </c>
      <c r="D616" s="2">
        <v>180</v>
      </c>
      <c r="E616" s="2" t="s">
        <v>10</v>
      </c>
      <c r="F616" s="2">
        <v>2</v>
      </c>
      <c r="G616" s="22">
        <f>Table4[[#This Row],[Item Cost]]*Table4[[#This Row],[In Stock]]</f>
        <v>360</v>
      </c>
      <c r="H616" s="12" t="s">
        <v>4661</v>
      </c>
      <c r="I616" s="13" t="s">
        <v>4666</v>
      </c>
      <c r="J616" s="13" t="s">
        <v>4755</v>
      </c>
      <c r="K616" s="13" t="s">
        <v>4672</v>
      </c>
      <c r="L616" s="12" t="s">
        <v>4691</v>
      </c>
      <c r="M616" s="17" t="str">
        <f>IF(LEN(COUNTIFS($H$1:H616,$H616,$I$1:I616,$I616,$J$1:J616,$J616,$K$1:K616,K616,$L$1:L616,L616))=1,"00"&amp;COUNTIFS($H$1:H616,$H616,$I$1:I616,$I616,$J$1:J616,$J616,$K$1:K616,K616,$L$1:L616,L616),IF(LEN(COUNTIFS($H$1:H616,$H616,$I$1:I616,$I616,$J$1:J616,$J616,$K$1:K616,K616,$L$1:L616,L616))=2,"0"&amp;COUNTIFS($H$1:H616,$H616,$I$1:I616,$I616,$J$1:J616,$J616,$K$1:K616,K616,$L$1:L616,L616),COUNTIFS($H$1:H616,$H616,$I$1:I616,$I616,$J$1:J616,$J616,$K$1:K616,K616,$L$1:L616,L616)))</f>
        <v>030</v>
      </c>
      <c r="N61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16" s="14" t="e">
        <f>+LEN(Table4[[#This Row],[New Item Code]])</f>
        <v>#N/A</v>
      </c>
      <c r="P616" s="15" t="s">
        <v>4747</v>
      </c>
      <c r="Q616" s="15" t="s">
        <v>4749</v>
      </c>
      <c r="R616" s="15"/>
      <c r="S616" s="15"/>
      <c r="T616" s="15" t="s">
        <v>4691</v>
      </c>
    </row>
    <row r="617" spans="1:20" x14ac:dyDescent="0.35">
      <c r="A617" s="3" t="s">
        <v>1238</v>
      </c>
      <c r="B617" s="3" t="s">
        <v>1239</v>
      </c>
      <c r="C617" s="3" t="s">
        <v>15</v>
      </c>
      <c r="D617" s="3">
        <v>56</v>
      </c>
      <c r="E617" s="3" t="s">
        <v>10</v>
      </c>
      <c r="F617" s="3">
        <v>6</v>
      </c>
      <c r="G617" s="21">
        <f>Table4[[#This Row],[Item Cost]]*Table4[[#This Row],[In Stock]]</f>
        <v>336</v>
      </c>
      <c r="H617" s="12" t="s">
        <v>4661</v>
      </c>
      <c r="I617" s="13" t="s">
        <v>4666</v>
      </c>
      <c r="J617" s="13" t="s">
        <v>4755</v>
      </c>
      <c r="K617" t="s">
        <v>4801</v>
      </c>
      <c r="L617" s="12" t="s">
        <v>4691</v>
      </c>
      <c r="M617" s="17" t="str">
        <f>IF(LEN(COUNTIFS($H$1:H617,$H617,$I$1:I617,$I617,$J$1:J617,$J617,$K$1:K617,K617,$L$1:L617,L617))=1,"00"&amp;COUNTIFS($H$1:H617,$H617,$I$1:I617,$I617,$J$1:J617,$J617,$K$1:K617,K617,$L$1:L617,L617),IF(LEN(COUNTIFS($H$1:H617,$H617,$I$1:I617,$I617,$J$1:J617,$J617,$K$1:K617,K617,$L$1:L617,L617))=2,"0"&amp;COUNTIFS($H$1:H617,$H617,$I$1:I617,$I617,$J$1:J617,$J617,$K$1:K617,K617,$L$1:L617,L617),COUNTIFS($H$1:H617,$H617,$I$1:I617,$I617,$J$1:J617,$J617,$K$1:K617,K617,$L$1:L617,L617)))</f>
        <v>001</v>
      </c>
      <c r="N61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17" s="14" t="e">
        <f>+LEN(Table4[[#This Row],[New Item Code]])</f>
        <v>#N/A</v>
      </c>
      <c r="P617" s="15" t="s">
        <v>4747</v>
      </c>
      <c r="Q617" s="15" t="s">
        <v>4749</v>
      </c>
      <c r="R617" s="15"/>
      <c r="S617" s="15"/>
      <c r="T617" s="15" t="s">
        <v>4691</v>
      </c>
    </row>
    <row r="618" spans="1:20" x14ac:dyDescent="0.35">
      <c r="A618" s="2" t="s">
        <v>1240</v>
      </c>
      <c r="B618" s="2" t="s">
        <v>1241</v>
      </c>
      <c r="C618" s="2" t="s">
        <v>15</v>
      </c>
      <c r="D618" s="2">
        <v>90</v>
      </c>
      <c r="E618" s="2" t="s">
        <v>10</v>
      </c>
      <c r="F618" s="2">
        <v>5</v>
      </c>
      <c r="G618" s="22">
        <f>Table4[[#This Row],[Item Cost]]*Table4[[#This Row],[In Stock]]</f>
        <v>450</v>
      </c>
      <c r="H618" s="12" t="s">
        <v>4661</v>
      </c>
      <c r="I618" s="13" t="s">
        <v>4666</v>
      </c>
      <c r="J618" s="13" t="s">
        <v>4755</v>
      </c>
      <c r="K618" s="13" t="s">
        <v>4672</v>
      </c>
      <c r="L618" s="12" t="s">
        <v>4691</v>
      </c>
      <c r="M618" s="17" t="str">
        <f>IF(LEN(COUNTIFS($H$1:H618,$H618,$I$1:I618,$I618,$J$1:J618,$J618,$K$1:K618,K618,$L$1:L618,L618))=1,"00"&amp;COUNTIFS($H$1:H618,$H618,$I$1:I618,$I618,$J$1:J618,$J618,$K$1:K618,K618,$L$1:L618,L618),IF(LEN(COUNTIFS($H$1:H618,$H618,$I$1:I618,$I618,$J$1:J618,$J618,$K$1:K618,K618,$L$1:L618,L618))=2,"0"&amp;COUNTIFS($H$1:H618,$H618,$I$1:I618,$I618,$J$1:J618,$J618,$K$1:K618,K618,$L$1:L618,L618),COUNTIFS($H$1:H618,$H618,$I$1:I618,$I618,$J$1:J618,$J618,$K$1:K618,K618,$L$1:L618,L618)))</f>
        <v>031</v>
      </c>
      <c r="N61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18" s="14" t="e">
        <f>+LEN(Table4[[#This Row],[New Item Code]])</f>
        <v>#N/A</v>
      </c>
      <c r="P618" s="15" t="s">
        <v>4747</v>
      </c>
      <c r="Q618" s="15" t="s">
        <v>4749</v>
      </c>
      <c r="R618" s="15"/>
      <c r="S618" s="15"/>
      <c r="T618" s="15" t="s">
        <v>4691</v>
      </c>
    </row>
    <row r="619" spans="1:20" x14ac:dyDescent="0.35">
      <c r="A619" s="3" t="s">
        <v>1242</v>
      </c>
      <c r="B619" s="3" t="s">
        <v>1243</v>
      </c>
      <c r="C619" s="3" t="s">
        <v>15</v>
      </c>
      <c r="D619" s="3">
        <v>50</v>
      </c>
      <c r="E619" s="3" t="s">
        <v>10</v>
      </c>
      <c r="F619" s="3">
        <v>10</v>
      </c>
      <c r="G619" s="21">
        <f>Table4[[#This Row],[Item Cost]]*Table4[[#This Row],[In Stock]]</f>
        <v>500</v>
      </c>
      <c r="H619" s="12" t="s">
        <v>4661</v>
      </c>
      <c r="I619" s="13" t="s">
        <v>4666</v>
      </c>
      <c r="J619" s="13" t="s">
        <v>4755</v>
      </c>
      <c r="K619" s="13" t="s">
        <v>4672</v>
      </c>
      <c r="L619" s="12" t="s">
        <v>4691</v>
      </c>
      <c r="M619" s="17" t="str">
        <f>IF(LEN(COUNTIFS($H$1:H619,$H619,$I$1:I619,$I619,$J$1:J619,$J619,$K$1:K619,K619,$L$1:L619,L619))=1,"00"&amp;COUNTIFS($H$1:H619,$H619,$I$1:I619,$I619,$J$1:J619,$J619,$K$1:K619,K619,$L$1:L619,L619),IF(LEN(COUNTIFS($H$1:H619,$H619,$I$1:I619,$I619,$J$1:J619,$J619,$K$1:K619,K619,$L$1:L619,L619))=2,"0"&amp;COUNTIFS($H$1:H619,$H619,$I$1:I619,$I619,$J$1:J619,$J619,$K$1:K619,K619,$L$1:L619,L619),COUNTIFS($H$1:H619,$H619,$I$1:I619,$I619,$J$1:J619,$J619,$K$1:K619,K619,$L$1:L619,L619)))</f>
        <v>032</v>
      </c>
      <c r="N61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19" s="14" t="e">
        <f>+LEN(Table4[[#This Row],[New Item Code]])</f>
        <v>#N/A</v>
      </c>
      <c r="P619" s="15" t="s">
        <v>4747</v>
      </c>
      <c r="Q619" s="15" t="s">
        <v>4749</v>
      </c>
      <c r="R619" s="15"/>
      <c r="S619" s="15"/>
      <c r="T619" s="15" t="s">
        <v>4691</v>
      </c>
    </row>
    <row r="620" spans="1:20" x14ac:dyDescent="0.35">
      <c r="A620" s="2" t="s">
        <v>1244</v>
      </c>
      <c r="B620" s="2" t="s">
        <v>1245</v>
      </c>
      <c r="C620" s="2" t="s">
        <v>15</v>
      </c>
      <c r="D620" s="2">
        <v>195</v>
      </c>
      <c r="E620" s="2" t="s">
        <v>10</v>
      </c>
      <c r="F620" s="2">
        <v>1</v>
      </c>
      <c r="G620" s="22">
        <f>Table4[[#This Row],[Item Cost]]*Table4[[#This Row],[In Stock]]</f>
        <v>195</v>
      </c>
      <c r="H620" s="12" t="s">
        <v>4661</v>
      </c>
      <c r="I620" s="13" t="s">
        <v>4666</v>
      </c>
      <c r="J620" s="13" t="s">
        <v>4755</v>
      </c>
      <c r="K620" s="13" t="s">
        <v>4672</v>
      </c>
      <c r="L620" s="12" t="s">
        <v>4691</v>
      </c>
      <c r="M620" s="17" t="str">
        <f>IF(LEN(COUNTIFS($H$1:H620,$H620,$I$1:I620,$I620,$J$1:J620,$J620,$K$1:K620,K620,$L$1:L620,L620))=1,"00"&amp;COUNTIFS($H$1:H620,$H620,$I$1:I620,$I620,$J$1:J620,$J620,$K$1:K620,K620,$L$1:L620,L620),IF(LEN(COUNTIFS($H$1:H620,$H620,$I$1:I620,$I620,$J$1:J620,$J620,$K$1:K620,K620,$L$1:L620,L620))=2,"0"&amp;COUNTIFS($H$1:H620,$H620,$I$1:I620,$I620,$J$1:J620,$J620,$K$1:K620,K620,$L$1:L620,L620),COUNTIFS($H$1:H620,$H620,$I$1:I620,$I620,$J$1:J620,$J620,$K$1:K620,K620,$L$1:L620,L620)))</f>
        <v>033</v>
      </c>
      <c r="N62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20" s="14" t="e">
        <f>+LEN(Table4[[#This Row],[New Item Code]])</f>
        <v>#N/A</v>
      </c>
      <c r="P620" s="15" t="s">
        <v>4747</v>
      </c>
      <c r="Q620" s="15" t="s">
        <v>4749</v>
      </c>
      <c r="R620" s="15"/>
      <c r="S620" s="15"/>
      <c r="T620" s="15" t="s">
        <v>4691</v>
      </c>
    </row>
    <row r="621" spans="1:20" x14ac:dyDescent="0.35">
      <c r="A621" s="3" t="s">
        <v>1246</v>
      </c>
      <c r="B621" s="3" t="s">
        <v>1247</v>
      </c>
      <c r="C621" s="3" t="s">
        <v>15</v>
      </c>
      <c r="D621" s="3">
        <v>90</v>
      </c>
      <c r="E621" s="3" t="s">
        <v>10</v>
      </c>
      <c r="F621" s="3">
        <v>4</v>
      </c>
      <c r="G621" s="21">
        <f>Table4[[#This Row],[Item Cost]]*Table4[[#This Row],[In Stock]]</f>
        <v>360</v>
      </c>
      <c r="H621" s="12" t="s">
        <v>4661</v>
      </c>
      <c r="I621" s="13" t="s">
        <v>4666</v>
      </c>
      <c r="J621" s="13" t="s">
        <v>4755</v>
      </c>
      <c r="K621" s="13" t="s">
        <v>4672</v>
      </c>
      <c r="L621" s="12" t="s">
        <v>4691</v>
      </c>
      <c r="M621" s="17" t="str">
        <f>IF(LEN(COUNTIFS($H$1:H621,$H621,$I$1:I621,$I621,$J$1:J621,$J621,$K$1:K621,K621,$L$1:L621,L621))=1,"00"&amp;COUNTIFS($H$1:H621,$H621,$I$1:I621,$I621,$J$1:J621,$J621,$K$1:K621,K621,$L$1:L621,L621),IF(LEN(COUNTIFS($H$1:H621,$H621,$I$1:I621,$I621,$J$1:J621,$J621,$K$1:K621,K621,$L$1:L621,L621))=2,"0"&amp;COUNTIFS($H$1:H621,$H621,$I$1:I621,$I621,$J$1:J621,$J621,$K$1:K621,K621,$L$1:L621,L621),COUNTIFS($H$1:H621,$H621,$I$1:I621,$I621,$J$1:J621,$J621,$K$1:K621,K621,$L$1:L621,L621)))</f>
        <v>034</v>
      </c>
      <c r="N62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21" s="14" t="e">
        <f>+LEN(Table4[[#This Row],[New Item Code]])</f>
        <v>#N/A</v>
      </c>
      <c r="P621" s="15" t="s">
        <v>4747</v>
      </c>
      <c r="Q621" s="15" t="s">
        <v>4749</v>
      </c>
      <c r="R621" s="15"/>
      <c r="S621" s="15"/>
      <c r="T621" s="15" t="s">
        <v>4691</v>
      </c>
    </row>
    <row r="622" spans="1:20" x14ac:dyDescent="0.35">
      <c r="A622" s="2" t="s">
        <v>1248</v>
      </c>
      <c r="B622" s="2" t="s">
        <v>1249</v>
      </c>
      <c r="C622" s="2" t="s">
        <v>15</v>
      </c>
      <c r="D622" s="2">
        <v>450</v>
      </c>
      <c r="E622" s="2" t="s">
        <v>10</v>
      </c>
      <c r="F622" s="2">
        <v>2</v>
      </c>
      <c r="G622" s="22">
        <f>Table4[[#This Row],[Item Cost]]*Table4[[#This Row],[In Stock]]</f>
        <v>900</v>
      </c>
      <c r="H622" s="12" t="s">
        <v>4661</v>
      </c>
      <c r="I622" s="13" t="s">
        <v>4666</v>
      </c>
      <c r="J622" s="13" t="s">
        <v>4755</v>
      </c>
      <c r="K622" s="13" t="s">
        <v>4672</v>
      </c>
      <c r="L622" s="12" t="s">
        <v>4691</v>
      </c>
      <c r="M622" s="17" t="str">
        <f>IF(LEN(COUNTIFS($H$1:H622,$H622,$I$1:I622,$I622,$J$1:J622,$J622,$K$1:K622,K622,$L$1:L622,L622))=1,"00"&amp;COUNTIFS($H$1:H622,$H622,$I$1:I622,$I622,$J$1:J622,$J622,$K$1:K622,K622,$L$1:L622,L622),IF(LEN(COUNTIFS($H$1:H622,$H622,$I$1:I622,$I622,$J$1:J622,$J622,$K$1:K622,K622,$L$1:L622,L622))=2,"0"&amp;COUNTIFS($H$1:H622,$H622,$I$1:I622,$I622,$J$1:J622,$J622,$K$1:K622,K622,$L$1:L622,L622),COUNTIFS($H$1:H622,$H622,$I$1:I622,$I622,$J$1:J622,$J622,$K$1:K622,K622,$L$1:L622,L622)))</f>
        <v>035</v>
      </c>
      <c r="N62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22" s="14" t="e">
        <f>+LEN(Table4[[#This Row],[New Item Code]])</f>
        <v>#N/A</v>
      </c>
      <c r="P622" s="15" t="s">
        <v>4747</v>
      </c>
      <c r="Q622" s="15" t="s">
        <v>4749</v>
      </c>
      <c r="R622" s="15"/>
      <c r="S622" s="15"/>
      <c r="T622" s="15" t="s">
        <v>4691</v>
      </c>
    </row>
    <row r="623" spans="1:20" x14ac:dyDescent="0.35">
      <c r="A623" s="3" t="s">
        <v>1250</v>
      </c>
      <c r="B623" s="3" t="s">
        <v>1251</v>
      </c>
      <c r="C623" s="3" t="s">
        <v>15</v>
      </c>
      <c r="D623" s="3">
        <v>2.3639999999999999</v>
      </c>
      <c r="E623" s="3" t="s">
        <v>10</v>
      </c>
      <c r="F623" s="3">
        <v>110</v>
      </c>
      <c r="G623" s="21">
        <f>Table4[[#This Row],[Item Cost]]*Table4[[#This Row],[In Stock]]</f>
        <v>260.03999999999996</v>
      </c>
      <c r="H623" s="12" t="s">
        <v>4661</v>
      </c>
      <c r="I623" s="13" t="s">
        <v>4666</v>
      </c>
      <c r="J623" s="13" t="s">
        <v>4755</v>
      </c>
      <c r="K623" s="13" t="s">
        <v>4672</v>
      </c>
      <c r="L623" s="12" t="s">
        <v>4691</v>
      </c>
      <c r="M623" s="17" t="str">
        <f>IF(LEN(COUNTIFS($H$1:H623,$H623,$I$1:I623,$I623,$J$1:J623,$J623,$K$1:K623,K623,$L$1:L623,L623))=1,"00"&amp;COUNTIFS($H$1:H623,$H623,$I$1:I623,$I623,$J$1:J623,$J623,$K$1:K623,K623,$L$1:L623,L623),IF(LEN(COUNTIFS($H$1:H623,$H623,$I$1:I623,$I623,$J$1:J623,$J623,$K$1:K623,K623,$L$1:L623,L623))=2,"0"&amp;COUNTIFS($H$1:H623,$H623,$I$1:I623,$I623,$J$1:J623,$J623,$K$1:K623,K623,$L$1:L623,L623),COUNTIFS($H$1:H623,$H623,$I$1:I623,$I623,$J$1:J623,$J623,$K$1:K623,K623,$L$1:L623,L623)))</f>
        <v>036</v>
      </c>
      <c r="N62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23" s="14" t="e">
        <f>+LEN(Table4[[#This Row],[New Item Code]])</f>
        <v>#N/A</v>
      </c>
      <c r="P623" s="15" t="s">
        <v>4747</v>
      </c>
      <c r="Q623" s="15" t="s">
        <v>4749</v>
      </c>
      <c r="R623" s="15"/>
      <c r="S623" s="15"/>
      <c r="T623" s="15" t="s">
        <v>4691</v>
      </c>
    </row>
    <row r="624" spans="1:20" x14ac:dyDescent="0.35">
      <c r="A624" s="2" t="s">
        <v>1252</v>
      </c>
      <c r="B624" s="2" t="s">
        <v>1253</v>
      </c>
      <c r="C624" s="2" t="s">
        <v>15</v>
      </c>
      <c r="D624" s="2">
        <v>22</v>
      </c>
      <c r="E624" s="2" t="s">
        <v>10</v>
      </c>
      <c r="F624" s="2">
        <v>10</v>
      </c>
      <c r="G624" s="22">
        <f>Table4[[#This Row],[Item Cost]]*Table4[[#This Row],[In Stock]]</f>
        <v>220</v>
      </c>
      <c r="H624" s="12" t="s">
        <v>4661</v>
      </c>
      <c r="I624" s="13" t="s">
        <v>4666</v>
      </c>
      <c r="J624" s="13" t="s">
        <v>4755</v>
      </c>
      <c r="K624" s="13" t="s">
        <v>4672</v>
      </c>
      <c r="L624" s="12" t="s">
        <v>4691</v>
      </c>
      <c r="M624" s="17" t="str">
        <f>IF(LEN(COUNTIFS($H$1:H624,$H624,$I$1:I624,$I624,$J$1:J624,$J624,$K$1:K624,K624,$L$1:L624,L624))=1,"00"&amp;COUNTIFS($H$1:H624,$H624,$I$1:I624,$I624,$J$1:J624,$J624,$K$1:K624,K624,$L$1:L624,L624),IF(LEN(COUNTIFS($H$1:H624,$H624,$I$1:I624,$I624,$J$1:J624,$J624,$K$1:K624,K624,$L$1:L624,L624))=2,"0"&amp;COUNTIFS($H$1:H624,$H624,$I$1:I624,$I624,$J$1:J624,$J624,$K$1:K624,K624,$L$1:L624,L624),COUNTIFS($H$1:H624,$H624,$I$1:I624,$I624,$J$1:J624,$J624,$K$1:K624,K624,$L$1:L624,L624)))</f>
        <v>037</v>
      </c>
      <c r="N62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24" s="14" t="e">
        <f>+LEN(Table4[[#This Row],[New Item Code]])</f>
        <v>#N/A</v>
      </c>
      <c r="P624" s="15" t="s">
        <v>4747</v>
      </c>
      <c r="Q624" s="15" t="s">
        <v>4749</v>
      </c>
      <c r="R624" s="15"/>
      <c r="S624" s="15"/>
      <c r="T624" s="15" t="s">
        <v>4691</v>
      </c>
    </row>
    <row r="625" spans="1:20" x14ac:dyDescent="0.35">
      <c r="A625" s="3" t="s">
        <v>1254</v>
      </c>
      <c r="B625" s="3" t="s">
        <v>1255</v>
      </c>
      <c r="C625" s="3" t="s">
        <v>15</v>
      </c>
      <c r="D625" s="3">
        <v>175</v>
      </c>
      <c r="E625" s="3" t="s">
        <v>10</v>
      </c>
      <c r="F625" s="3">
        <v>2</v>
      </c>
      <c r="G625" s="21">
        <f>Table4[[#This Row],[Item Cost]]*Table4[[#This Row],[In Stock]]</f>
        <v>350</v>
      </c>
      <c r="H625" s="12" t="s">
        <v>4661</v>
      </c>
      <c r="I625" s="13" t="s">
        <v>4666</v>
      </c>
      <c r="J625" s="13" t="s">
        <v>4755</v>
      </c>
      <c r="K625" s="13" t="s">
        <v>4672</v>
      </c>
      <c r="L625" s="12" t="s">
        <v>4691</v>
      </c>
      <c r="M625" s="17" t="str">
        <f>IF(LEN(COUNTIFS($H$1:H625,$H625,$I$1:I625,$I625,$J$1:J625,$J625,$K$1:K625,K625,$L$1:L625,L625))=1,"00"&amp;COUNTIFS($H$1:H625,$H625,$I$1:I625,$I625,$J$1:J625,$J625,$K$1:K625,K625,$L$1:L625,L625),IF(LEN(COUNTIFS($H$1:H625,$H625,$I$1:I625,$I625,$J$1:J625,$J625,$K$1:K625,K625,$L$1:L625,L625))=2,"0"&amp;COUNTIFS($H$1:H625,$H625,$I$1:I625,$I625,$J$1:J625,$J625,$K$1:K625,K625,$L$1:L625,L625),COUNTIFS($H$1:H625,$H625,$I$1:I625,$I625,$J$1:J625,$J625,$K$1:K625,K625,$L$1:L625,L625)))</f>
        <v>038</v>
      </c>
      <c r="N62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25" s="14" t="e">
        <f>+LEN(Table4[[#This Row],[New Item Code]])</f>
        <v>#N/A</v>
      </c>
      <c r="P625" s="15" t="s">
        <v>4747</v>
      </c>
      <c r="Q625" s="15" t="s">
        <v>4749</v>
      </c>
      <c r="R625" s="15"/>
      <c r="S625" s="15"/>
      <c r="T625" s="15" t="s">
        <v>4691</v>
      </c>
    </row>
    <row r="626" spans="1:20" x14ac:dyDescent="0.35">
      <c r="A626" s="2" t="s">
        <v>1256</v>
      </c>
      <c r="B626" s="2" t="s">
        <v>1257</v>
      </c>
      <c r="C626" s="2" t="s">
        <v>15</v>
      </c>
      <c r="D626" s="2">
        <v>130</v>
      </c>
      <c r="E626" s="2" t="s">
        <v>10</v>
      </c>
      <c r="F626" s="2">
        <v>6</v>
      </c>
      <c r="G626" s="22">
        <f>Table4[[#This Row],[Item Cost]]*Table4[[#This Row],[In Stock]]</f>
        <v>780</v>
      </c>
      <c r="H626" s="12" t="s">
        <v>4661</v>
      </c>
      <c r="I626" s="13" t="s">
        <v>4666</v>
      </c>
      <c r="J626" s="13" t="s">
        <v>4755</v>
      </c>
      <c r="K626" s="13" t="s">
        <v>4672</v>
      </c>
      <c r="L626" s="12" t="s">
        <v>4691</v>
      </c>
      <c r="M626" s="17" t="str">
        <f>IF(LEN(COUNTIFS($H$1:H626,$H626,$I$1:I626,$I626,$J$1:J626,$J626,$K$1:K626,K626,$L$1:L626,L626))=1,"00"&amp;COUNTIFS($H$1:H626,$H626,$I$1:I626,$I626,$J$1:J626,$J626,$K$1:K626,K626,$L$1:L626,L626),IF(LEN(COUNTIFS($H$1:H626,$H626,$I$1:I626,$I626,$J$1:J626,$J626,$K$1:K626,K626,$L$1:L626,L626))=2,"0"&amp;COUNTIFS($H$1:H626,$H626,$I$1:I626,$I626,$J$1:J626,$J626,$K$1:K626,K626,$L$1:L626,L626),COUNTIFS($H$1:H626,$H626,$I$1:I626,$I626,$J$1:J626,$J626,$K$1:K626,K626,$L$1:L626,L626)))</f>
        <v>039</v>
      </c>
      <c r="N62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26" s="14" t="e">
        <f>+LEN(Table4[[#This Row],[New Item Code]])</f>
        <v>#N/A</v>
      </c>
      <c r="P626" s="15" t="s">
        <v>4747</v>
      </c>
      <c r="Q626" s="15" t="s">
        <v>4749</v>
      </c>
      <c r="R626" s="15"/>
      <c r="S626" s="15"/>
      <c r="T626" s="15" t="s">
        <v>4691</v>
      </c>
    </row>
    <row r="627" spans="1:20" x14ac:dyDescent="0.35">
      <c r="A627" s="3" t="s">
        <v>1258</v>
      </c>
      <c r="B627" s="3" t="s">
        <v>1259</v>
      </c>
      <c r="C627" s="3" t="s">
        <v>15</v>
      </c>
      <c r="D627" s="3">
        <v>50</v>
      </c>
      <c r="E627" s="3" t="s">
        <v>10</v>
      </c>
      <c r="F627" s="3">
        <v>4</v>
      </c>
      <c r="G627" s="21">
        <f>Table4[[#This Row],[Item Cost]]*Table4[[#This Row],[In Stock]]</f>
        <v>200</v>
      </c>
      <c r="H627" s="12" t="s">
        <v>4661</v>
      </c>
      <c r="I627" s="13" t="s">
        <v>4666</v>
      </c>
      <c r="J627" s="13" t="s">
        <v>4755</v>
      </c>
      <c r="K627" s="13" t="s">
        <v>4672</v>
      </c>
      <c r="L627" s="12" t="s">
        <v>4691</v>
      </c>
      <c r="M627" s="17" t="str">
        <f>IF(LEN(COUNTIFS($H$1:H627,$H627,$I$1:I627,$I627,$J$1:J627,$J627,$K$1:K627,K627,$L$1:L627,L627))=1,"00"&amp;COUNTIFS($H$1:H627,$H627,$I$1:I627,$I627,$J$1:J627,$J627,$K$1:K627,K627,$L$1:L627,L627),IF(LEN(COUNTIFS($H$1:H627,$H627,$I$1:I627,$I627,$J$1:J627,$J627,$K$1:K627,K627,$L$1:L627,L627))=2,"0"&amp;COUNTIFS($H$1:H627,$H627,$I$1:I627,$I627,$J$1:J627,$J627,$K$1:K627,K627,$L$1:L627,L627),COUNTIFS($H$1:H627,$H627,$I$1:I627,$I627,$J$1:J627,$J627,$K$1:K627,K627,$L$1:L627,L627)))</f>
        <v>040</v>
      </c>
      <c r="N62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27" s="14" t="e">
        <f>+LEN(Table4[[#This Row],[New Item Code]])</f>
        <v>#N/A</v>
      </c>
      <c r="P627" s="15" t="s">
        <v>4747</v>
      </c>
      <c r="Q627" s="15" t="s">
        <v>4749</v>
      </c>
      <c r="R627" s="15"/>
      <c r="S627" s="15"/>
      <c r="T627" s="15" t="s">
        <v>4691</v>
      </c>
    </row>
    <row r="628" spans="1:20" x14ac:dyDescent="0.35">
      <c r="A628" s="2" t="s">
        <v>1260</v>
      </c>
      <c r="B628" s="2" t="s">
        <v>1261</v>
      </c>
      <c r="C628" s="2" t="s">
        <v>15</v>
      </c>
      <c r="D628" s="2">
        <v>50</v>
      </c>
      <c r="E628" s="2" t="s">
        <v>10</v>
      </c>
      <c r="F628" s="2">
        <v>4</v>
      </c>
      <c r="G628" s="22">
        <f>Table4[[#This Row],[Item Cost]]*Table4[[#This Row],[In Stock]]</f>
        <v>200</v>
      </c>
      <c r="H628" s="12" t="s">
        <v>4661</v>
      </c>
      <c r="I628" s="13" t="s">
        <v>4666</v>
      </c>
      <c r="J628" s="13" t="s">
        <v>4755</v>
      </c>
      <c r="K628" s="13" t="s">
        <v>4672</v>
      </c>
      <c r="L628" s="12" t="s">
        <v>4691</v>
      </c>
      <c r="M628" s="17" t="str">
        <f>IF(LEN(COUNTIFS($H$1:H628,$H628,$I$1:I628,$I628,$J$1:J628,$J628,$K$1:K628,K628,$L$1:L628,L628))=1,"00"&amp;COUNTIFS($H$1:H628,$H628,$I$1:I628,$I628,$J$1:J628,$J628,$K$1:K628,K628,$L$1:L628,L628),IF(LEN(COUNTIFS($H$1:H628,$H628,$I$1:I628,$I628,$J$1:J628,$J628,$K$1:K628,K628,$L$1:L628,L628))=2,"0"&amp;COUNTIFS($H$1:H628,$H628,$I$1:I628,$I628,$J$1:J628,$J628,$K$1:K628,K628,$L$1:L628,L628),COUNTIFS($H$1:H628,$H628,$I$1:I628,$I628,$J$1:J628,$J628,$K$1:K628,K628,$L$1:L628,L628)))</f>
        <v>041</v>
      </c>
      <c r="N62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28" s="14" t="e">
        <f>+LEN(Table4[[#This Row],[New Item Code]])</f>
        <v>#N/A</v>
      </c>
      <c r="P628" s="15" t="s">
        <v>4747</v>
      </c>
      <c r="Q628" s="15" t="s">
        <v>4749</v>
      </c>
      <c r="R628" s="15"/>
      <c r="S628" s="15"/>
      <c r="T628" s="15" t="s">
        <v>4691</v>
      </c>
    </row>
    <row r="629" spans="1:20" x14ac:dyDescent="0.35">
      <c r="A629" s="3" t="s">
        <v>1262</v>
      </c>
      <c r="B629" s="3" t="s">
        <v>1263</v>
      </c>
      <c r="C629" s="3" t="s">
        <v>15</v>
      </c>
      <c r="D629" s="3">
        <v>58</v>
      </c>
      <c r="E629" s="3" t="s">
        <v>10</v>
      </c>
      <c r="F629" s="3">
        <v>4</v>
      </c>
      <c r="G629" s="21">
        <f>Table4[[#This Row],[Item Cost]]*Table4[[#This Row],[In Stock]]</f>
        <v>232</v>
      </c>
      <c r="H629" s="12" t="s">
        <v>4661</v>
      </c>
      <c r="I629" s="13" t="s">
        <v>4666</v>
      </c>
      <c r="J629" s="13" t="s">
        <v>4755</v>
      </c>
      <c r="K629" s="13" t="s">
        <v>4672</v>
      </c>
      <c r="L629" s="12" t="s">
        <v>4691</v>
      </c>
      <c r="M629" s="17" t="str">
        <f>IF(LEN(COUNTIFS($H$1:H629,$H629,$I$1:I629,$I629,$J$1:J629,$J629,$K$1:K629,K629,$L$1:L629,L629))=1,"00"&amp;COUNTIFS($H$1:H629,$H629,$I$1:I629,$I629,$J$1:J629,$J629,$K$1:K629,K629,$L$1:L629,L629),IF(LEN(COUNTIFS($H$1:H629,$H629,$I$1:I629,$I629,$J$1:J629,$J629,$K$1:K629,K629,$L$1:L629,L629))=2,"0"&amp;COUNTIFS($H$1:H629,$H629,$I$1:I629,$I629,$J$1:J629,$J629,$K$1:K629,K629,$L$1:L629,L629),COUNTIFS($H$1:H629,$H629,$I$1:I629,$I629,$J$1:J629,$J629,$K$1:K629,K629,$L$1:L629,L629)))</f>
        <v>042</v>
      </c>
      <c r="N62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29" s="14" t="e">
        <f>+LEN(Table4[[#This Row],[New Item Code]])</f>
        <v>#N/A</v>
      </c>
      <c r="P629" s="15" t="s">
        <v>4747</v>
      </c>
      <c r="Q629" s="15" t="s">
        <v>4749</v>
      </c>
      <c r="R629" s="15"/>
      <c r="S629" s="15"/>
      <c r="T629" s="15" t="s">
        <v>4691</v>
      </c>
    </row>
    <row r="630" spans="1:20" x14ac:dyDescent="0.35">
      <c r="A630" s="2" t="s">
        <v>1264</v>
      </c>
      <c r="B630" s="2" t="s">
        <v>1265</v>
      </c>
      <c r="C630" s="2" t="s">
        <v>56</v>
      </c>
      <c r="D630" s="2">
        <v>0</v>
      </c>
      <c r="E630" s="2" t="s">
        <v>57</v>
      </c>
      <c r="F630" s="2">
        <v>0</v>
      </c>
      <c r="G630" s="22">
        <f>Table4[[#This Row],[Item Cost]]*Table4[[#This Row],[In Stock]]</f>
        <v>0</v>
      </c>
      <c r="H630" s="12" t="s">
        <v>4661</v>
      </c>
      <c r="I630" s="13" t="s">
        <v>4668</v>
      </c>
      <c r="J630" s="13" t="s">
        <v>4693</v>
      </c>
      <c r="K630" s="13" t="s">
        <v>4672</v>
      </c>
      <c r="L630" s="12" t="s">
        <v>4672</v>
      </c>
      <c r="M630" s="17" t="str">
        <f>IF(LEN(COUNTIFS($H$1:H630,$H630,$I$1:I630,$I630,$J$1:J630,$J630,$K$1:K630,K630,$L$1:L630,L630))=1,"00"&amp;COUNTIFS($H$1:H630,$H630,$I$1:I630,$I630,$J$1:J630,$J630,$K$1:K630,K630,$L$1:L630,L630),IF(LEN(COUNTIFS($H$1:H630,$H630,$I$1:I630,$I630,$J$1:J630,$J630,$K$1:K630,K630,$L$1:L630,L630))=2,"0"&amp;COUNTIFS($H$1:H630,$H630,$I$1:I630,$I630,$J$1:J630,$J630,$K$1:K630,K630,$L$1:L630,L630),COUNTIFS($H$1:H630,$H630,$I$1:I630,$I630,$J$1:J630,$J630,$K$1:K630,K630,$L$1:L630,L630)))</f>
        <v>001</v>
      </c>
      <c r="N63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30" s="14" t="e">
        <f>+LEN(Table4[[#This Row],[New Item Code]])</f>
        <v>#N/A</v>
      </c>
      <c r="P630" s="15" t="s">
        <v>4747</v>
      </c>
      <c r="Q630" s="15" t="s">
        <v>4749</v>
      </c>
      <c r="R630" s="15"/>
      <c r="S630" s="15"/>
      <c r="T630" s="15" t="s">
        <v>4693</v>
      </c>
    </row>
    <row r="631" spans="1:20" x14ac:dyDescent="0.35">
      <c r="A631" s="3" t="s">
        <v>1266</v>
      </c>
      <c r="B631" s="3" t="s">
        <v>1267</v>
      </c>
      <c r="C631" s="3" t="s">
        <v>56</v>
      </c>
      <c r="D631" s="3">
        <v>0</v>
      </c>
      <c r="E631" s="3" t="s">
        <v>57</v>
      </c>
      <c r="F631" s="3">
        <v>0</v>
      </c>
      <c r="G631" s="21">
        <f>Table4[[#This Row],[Item Cost]]*Table4[[#This Row],[In Stock]]</f>
        <v>0</v>
      </c>
      <c r="H631" s="12" t="s">
        <v>4661</v>
      </c>
      <c r="I631" s="13" t="s">
        <v>4668</v>
      </c>
      <c r="J631" s="13" t="s">
        <v>4693</v>
      </c>
      <c r="K631" s="13" t="s">
        <v>4672</v>
      </c>
      <c r="L631" s="12" t="s">
        <v>4672</v>
      </c>
      <c r="M631" s="17" t="str">
        <f>IF(LEN(COUNTIFS($H$1:H631,$H631,$I$1:I631,$I631,$J$1:J631,$J631,$K$1:K631,K631,$L$1:L631,L631))=1,"00"&amp;COUNTIFS($H$1:H631,$H631,$I$1:I631,$I631,$J$1:J631,$J631,$K$1:K631,K631,$L$1:L631,L631),IF(LEN(COUNTIFS($H$1:H631,$H631,$I$1:I631,$I631,$J$1:J631,$J631,$K$1:K631,K631,$L$1:L631,L631))=2,"0"&amp;COUNTIFS($H$1:H631,$H631,$I$1:I631,$I631,$J$1:J631,$J631,$K$1:K631,K631,$L$1:L631,L631),COUNTIFS($H$1:H631,$H631,$I$1:I631,$I631,$J$1:J631,$J631,$K$1:K631,K631,$L$1:L631,L631)))</f>
        <v>002</v>
      </c>
      <c r="N63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31" s="14" t="e">
        <f>+LEN(Table4[[#This Row],[New Item Code]])</f>
        <v>#N/A</v>
      </c>
      <c r="P631" s="15" t="s">
        <v>4747</v>
      </c>
      <c r="Q631" s="15" t="s">
        <v>4749</v>
      </c>
      <c r="R631" s="15"/>
      <c r="S631" s="15"/>
      <c r="T631" s="15" t="s">
        <v>4693</v>
      </c>
    </row>
    <row r="632" spans="1:20" x14ac:dyDescent="0.35">
      <c r="A632" s="2" t="s">
        <v>1268</v>
      </c>
      <c r="B632" s="2" t="s">
        <v>1269</v>
      </c>
      <c r="C632" s="2" t="s">
        <v>56</v>
      </c>
      <c r="D632" s="2">
        <v>0</v>
      </c>
      <c r="E632" s="2" t="s">
        <v>57</v>
      </c>
      <c r="F632" s="2">
        <v>0</v>
      </c>
      <c r="G632" s="22">
        <f>Table4[[#This Row],[Item Cost]]*Table4[[#This Row],[In Stock]]</f>
        <v>0</v>
      </c>
      <c r="H632" s="12" t="s">
        <v>4661</v>
      </c>
      <c r="I632" s="13" t="s">
        <v>4668</v>
      </c>
      <c r="J632" s="13" t="s">
        <v>4693</v>
      </c>
      <c r="K632" s="13" t="s">
        <v>4672</v>
      </c>
      <c r="L632" s="12" t="s">
        <v>4672</v>
      </c>
      <c r="M632" s="17" t="str">
        <f>IF(LEN(COUNTIFS($H$1:H632,$H632,$I$1:I632,$I632,$J$1:J632,$J632,$K$1:K632,K632,$L$1:L632,L632))=1,"00"&amp;COUNTIFS($H$1:H632,$H632,$I$1:I632,$I632,$J$1:J632,$J632,$K$1:K632,K632,$L$1:L632,L632),IF(LEN(COUNTIFS($H$1:H632,$H632,$I$1:I632,$I632,$J$1:J632,$J632,$K$1:K632,K632,$L$1:L632,L632))=2,"0"&amp;COUNTIFS($H$1:H632,$H632,$I$1:I632,$I632,$J$1:J632,$J632,$K$1:K632,K632,$L$1:L632,L632),COUNTIFS($H$1:H632,$H632,$I$1:I632,$I632,$J$1:J632,$J632,$K$1:K632,K632,$L$1:L632,L632)))</f>
        <v>003</v>
      </c>
      <c r="N63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32" s="14" t="e">
        <f>+LEN(Table4[[#This Row],[New Item Code]])</f>
        <v>#N/A</v>
      </c>
      <c r="P632" s="15" t="s">
        <v>4747</v>
      </c>
      <c r="Q632" s="15" t="s">
        <v>4749</v>
      </c>
      <c r="R632" s="15"/>
      <c r="S632" s="15"/>
      <c r="T632" s="15" t="s">
        <v>4693</v>
      </c>
    </row>
    <row r="633" spans="1:20" x14ac:dyDescent="0.35">
      <c r="A633" s="3" t="s">
        <v>1270</v>
      </c>
      <c r="B633" s="3" t="s">
        <v>1271</v>
      </c>
      <c r="C633" s="3" t="s">
        <v>56</v>
      </c>
      <c r="D633" s="3">
        <v>0</v>
      </c>
      <c r="E633" s="3" t="s">
        <v>57</v>
      </c>
      <c r="F633" s="3">
        <v>0</v>
      </c>
      <c r="G633" s="21">
        <f>Table4[[#This Row],[Item Cost]]*Table4[[#This Row],[In Stock]]</f>
        <v>0</v>
      </c>
      <c r="H633" s="12" t="s">
        <v>4661</v>
      </c>
      <c r="I633" s="13" t="s">
        <v>4668</v>
      </c>
      <c r="J633" s="13" t="s">
        <v>4693</v>
      </c>
      <c r="K633" s="13" t="s">
        <v>4672</v>
      </c>
      <c r="L633" s="12" t="s">
        <v>4672</v>
      </c>
      <c r="M633" s="17" t="str">
        <f>IF(LEN(COUNTIFS($H$1:H633,$H633,$I$1:I633,$I633,$J$1:J633,$J633,$K$1:K633,K633,$L$1:L633,L633))=1,"00"&amp;COUNTIFS($H$1:H633,$H633,$I$1:I633,$I633,$J$1:J633,$J633,$K$1:K633,K633,$L$1:L633,L633),IF(LEN(COUNTIFS($H$1:H633,$H633,$I$1:I633,$I633,$J$1:J633,$J633,$K$1:K633,K633,$L$1:L633,L633))=2,"0"&amp;COUNTIFS($H$1:H633,$H633,$I$1:I633,$I633,$J$1:J633,$J633,$K$1:K633,K633,$L$1:L633,L633),COUNTIFS($H$1:H633,$H633,$I$1:I633,$I633,$J$1:J633,$J633,$K$1:K633,K633,$L$1:L633,L633)))</f>
        <v>004</v>
      </c>
      <c r="N63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33" s="14" t="e">
        <f>+LEN(Table4[[#This Row],[New Item Code]])</f>
        <v>#N/A</v>
      </c>
      <c r="P633" s="15" t="s">
        <v>4747</v>
      </c>
      <c r="Q633" s="15" t="s">
        <v>4749</v>
      </c>
      <c r="R633" s="15"/>
      <c r="S633" s="15"/>
      <c r="T633" s="15" t="s">
        <v>4693</v>
      </c>
    </row>
    <row r="634" spans="1:20" x14ac:dyDescent="0.35">
      <c r="A634" s="2" t="s">
        <v>1272</v>
      </c>
      <c r="B634" s="2" t="s">
        <v>1273</v>
      </c>
      <c r="C634" s="2" t="s">
        <v>56</v>
      </c>
      <c r="D634" s="2">
        <v>0</v>
      </c>
      <c r="E634" s="2" t="s">
        <v>57</v>
      </c>
      <c r="F634" s="2">
        <v>0</v>
      </c>
      <c r="G634" s="22">
        <f>Table4[[#This Row],[Item Cost]]*Table4[[#This Row],[In Stock]]</f>
        <v>0</v>
      </c>
      <c r="H634" s="12" t="s">
        <v>4661</v>
      </c>
      <c r="I634" s="13" t="s">
        <v>4668</v>
      </c>
      <c r="J634" s="13" t="s">
        <v>4693</v>
      </c>
      <c r="K634" s="13" t="s">
        <v>4672</v>
      </c>
      <c r="L634" s="12" t="s">
        <v>4672</v>
      </c>
      <c r="M634" s="17" t="str">
        <f>IF(LEN(COUNTIFS($H$1:H634,$H634,$I$1:I634,$I634,$J$1:J634,$J634,$K$1:K634,K634,$L$1:L634,L634))=1,"00"&amp;COUNTIFS($H$1:H634,$H634,$I$1:I634,$I634,$J$1:J634,$J634,$K$1:K634,K634,$L$1:L634,L634),IF(LEN(COUNTIFS($H$1:H634,$H634,$I$1:I634,$I634,$J$1:J634,$J634,$K$1:K634,K634,$L$1:L634,L634))=2,"0"&amp;COUNTIFS($H$1:H634,$H634,$I$1:I634,$I634,$J$1:J634,$J634,$K$1:K634,K634,$L$1:L634,L634),COUNTIFS($H$1:H634,$H634,$I$1:I634,$I634,$J$1:J634,$J634,$K$1:K634,K634,$L$1:L634,L634)))</f>
        <v>005</v>
      </c>
      <c r="N63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34" s="14" t="e">
        <f>+LEN(Table4[[#This Row],[New Item Code]])</f>
        <v>#N/A</v>
      </c>
      <c r="P634" s="15" t="s">
        <v>4747</v>
      </c>
      <c r="Q634" s="15" t="s">
        <v>4749</v>
      </c>
      <c r="R634" s="15"/>
      <c r="S634" s="15"/>
      <c r="T634" s="15" t="s">
        <v>4693</v>
      </c>
    </row>
    <row r="635" spans="1:20" x14ac:dyDescent="0.35">
      <c r="A635" s="3" t="s">
        <v>1274</v>
      </c>
      <c r="B635" s="3" t="s">
        <v>1275</v>
      </c>
      <c r="C635" s="3" t="s">
        <v>56</v>
      </c>
      <c r="D635" s="3">
        <v>0</v>
      </c>
      <c r="E635" s="3" t="s">
        <v>57</v>
      </c>
      <c r="F635" s="3">
        <v>0</v>
      </c>
      <c r="G635" s="21">
        <f>Table4[[#This Row],[Item Cost]]*Table4[[#This Row],[In Stock]]</f>
        <v>0</v>
      </c>
      <c r="H635" s="12" t="s">
        <v>4661</v>
      </c>
      <c r="I635" s="13" t="s">
        <v>4668</v>
      </c>
      <c r="J635" s="13" t="s">
        <v>4693</v>
      </c>
      <c r="K635" s="13" t="s">
        <v>4672</v>
      </c>
      <c r="L635" s="12" t="s">
        <v>4672</v>
      </c>
      <c r="M635" s="17" t="str">
        <f>IF(LEN(COUNTIFS($H$1:H635,$H635,$I$1:I635,$I635,$J$1:J635,$J635,$K$1:K635,K635,$L$1:L635,L635))=1,"00"&amp;COUNTIFS($H$1:H635,$H635,$I$1:I635,$I635,$J$1:J635,$J635,$K$1:K635,K635,$L$1:L635,L635),IF(LEN(COUNTIFS($H$1:H635,$H635,$I$1:I635,$I635,$J$1:J635,$J635,$K$1:K635,K635,$L$1:L635,L635))=2,"0"&amp;COUNTIFS($H$1:H635,$H635,$I$1:I635,$I635,$J$1:J635,$J635,$K$1:K635,K635,$L$1:L635,L635),COUNTIFS($H$1:H635,$H635,$I$1:I635,$I635,$J$1:J635,$J635,$K$1:K635,K635,$L$1:L635,L635)))</f>
        <v>006</v>
      </c>
      <c r="N63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35" s="14" t="e">
        <f>+LEN(Table4[[#This Row],[New Item Code]])</f>
        <v>#N/A</v>
      </c>
      <c r="P635" s="15" t="s">
        <v>4747</v>
      </c>
      <c r="Q635" s="15" t="s">
        <v>4749</v>
      </c>
      <c r="R635" s="15"/>
      <c r="S635" s="15"/>
      <c r="T635" s="15" t="s">
        <v>4693</v>
      </c>
    </row>
    <row r="636" spans="1:20" x14ac:dyDescent="0.35">
      <c r="A636" s="2" t="s">
        <v>1276</v>
      </c>
      <c r="B636" s="2" t="s">
        <v>1277</v>
      </c>
      <c r="C636" s="2" t="s">
        <v>56</v>
      </c>
      <c r="D636" s="2">
        <v>0</v>
      </c>
      <c r="E636" s="2" t="s">
        <v>57</v>
      </c>
      <c r="F636" s="2">
        <v>0</v>
      </c>
      <c r="G636" s="22">
        <f>Table4[[#This Row],[Item Cost]]*Table4[[#This Row],[In Stock]]</f>
        <v>0</v>
      </c>
      <c r="H636" s="12" t="s">
        <v>4661</v>
      </c>
      <c r="I636" s="13" t="s">
        <v>4668</v>
      </c>
      <c r="J636" s="13" t="s">
        <v>4693</v>
      </c>
      <c r="K636" s="13" t="s">
        <v>4672</v>
      </c>
      <c r="L636" s="12" t="s">
        <v>4672</v>
      </c>
      <c r="M636" s="17" t="str">
        <f>IF(LEN(COUNTIFS($H$1:H636,$H636,$I$1:I636,$I636,$J$1:J636,$J636,$K$1:K636,K636,$L$1:L636,L636))=1,"00"&amp;COUNTIFS($H$1:H636,$H636,$I$1:I636,$I636,$J$1:J636,$J636,$K$1:K636,K636,$L$1:L636,L636),IF(LEN(COUNTIFS($H$1:H636,$H636,$I$1:I636,$I636,$J$1:J636,$J636,$K$1:K636,K636,$L$1:L636,L636))=2,"0"&amp;COUNTIFS($H$1:H636,$H636,$I$1:I636,$I636,$J$1:J636,$J636,$K$1:K636,K636,$L$1:L636,L636),COUNTIFS($H$1:H636,$H636,$I$1:I636,$I636,$J$1:J636,$J636,$K$1:K636,K636,$L$1:L636,L636)))</f>
        <v>007</v>
      </c>
      <c r="N63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36" s="14" t="e">
        <f>+LEN(Table4[[#This Row],[New Item Code]])</f>
        <v>#N/A</v>
      </c>
      <c r="P636" s="15" t="s">
        <v>4747</v>
      </c>
      <c r="Q636" s="15" t="s">
        <v>4749</v>
      </c>
      <c r="R636" s="15"/>
      <c r="S636" s="15"/>
      <c r="T636" s="15" t="s">
        <v>4693</v>
      </c>
    </row>
    <row r="637" spans="1:20" x14ac:dyDescent="0.35">
      <c r="A637" s="3" t="s">
        <v>1278</v>
      </c>
      <c r="B637" s="3" t="s">
        <v>1279</v>
      </c>
      <c r="C637" s="3" t="s">
        <v>56</v>
      </c>
      <c r="D637" s="3">
        <v>0</v>
      </c>
      <c r="E637" s="3" t="s">
        <v>57</v>
      </c>
      <c r="F637" s="3">
        <v>0</v>
      </c>
      <c r="G637" s="21">
        <f>Table4[[#This Row],[Item Cost]]*Table4[[#This Row],[In Stock]]</f>
        <v>0</v>
      </c>
      <c r="H637" s="12" t="s">
        <v>4661</v>
      </c>
      <c r="I637" s="13" t="s">
        <v>4668</v>
      </c>
      <c r="J637" s="13" t="s">
        <v>4693</v>
      </c>
      <c r="K637" s="13" t="s">
        <v>4672</v>
      </c>
      <c r="L637" s="12" t="s">
        <v>4672</v>
      </c>
      <c r="M637" s="17" t="str">
        <f>IF(LEN(COUNTIFS($H$1:H637,$H637,$I$1:I637,$I637,$J$1:J637,$J637,$K$1:K637,K637,$L$1:L637,L637))=1,"00"&amp;COUNTIFS($H$1:H637,$H637,$I$1:I637,$I637,$J$1:J637,$J637,$K$1:K637,K637,$L$1:L637,L637),IF(LEN(COUNTIFS($H$1:H637,$H637,$I$1:I637,$I637,$J$1:J637,$J637,$K$1:K637,K637,$L$1:L637,L637))=2,"0"&amp;COUNTIFS($H$1:H637,$H637,$I$1:I637,$I637,$J$1:J637,$J637,$K$1:K637,K637,$L$1:L637,L637),COUNTIFS($H$1:H637,$H637,$I$1:I637,$I637,$J$1:J637,$J637,$K$1:K637,K637,$L$1:L637,L637)))</f>
        <v>008</v>
      </c>
      <c r="N63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37" s="14" t="e">
        <f>+LEN(Table4[[#This Row],[New Item Code]])</f>
        <v>#N/A</v>
      </c>
      <c r="P637" s="15" t="s">
        <v>4747</v>
      </c>
      <c r="Q637" s="15" t="s">
        <v>4749</v>
      </c>
      <c r="R637" s="15"/>
      <c r="S637" s="15"/>
      <c r="T637" s="15" t="s">
        <v>4693</v>
      </c>
    </row>
    <row r="638" spans="1:20" x14ac:dyDescent="0.35">
      <c r="A638" s="2" t="s">
        <v>1280</v>
      </c>
      <c r="B638" s="2" t="s">
        <v>1281</v>
      </c>
      <c r="C638" s="2" t="s">
        <v>56</v>
      </c>
      <c r="D638" s="2">
        <v>0</v>
      </c>
      <c r="E638" s="2" t="s">
        <v>57</v>
      </c>
      <c r="F638" s="2">
        <v>0</v>
      </c>
      <c r="G638" s="22">
        <f>Table4[[#This Row],[Item Cost]]*Table4[[#This Row],[In Stock]]</f>
        <v>0</v>
      </c>
      <c r="H638" s="12" t="s">
        <v>4661</v>
      </c>
      <c r="I638" s="13" t="s">
        <v>4668</v>
      </c>
      <c r="J638" s="13" t="s">
        <v>4693</v>
      </c>
      <c r="K638" s="13" t="s">
        <v>4672</v>
      </c>
      <c r="L638" s="12" t="s">
        <v>4672</v>
      </c>
      <c r="M638" s="17" t="str">
        <f>IF(LEN(COUNTIFS($H$1:H638,$H638,$I$1:I638,$I638,$J$1:J638,$J638,$K$1:K638,K638,$L$1:L638,L638))=1,"00"&amp;COUNTIFS($H$1:H638,$H638,$I$1:I638,$I638,$J$1:J638,$J638,$K$1:K638,K638,$L$1:L638,L638),IF(LEN(COUNTIFS($H$1:H638,$H638,$I$1:I638,$I638,$J$1:J638,$J638,$K$1:K638,K638,$L$1:L638,L638))=2,"0"&amp;COUNTIFS($H$1:H638,$H638,$I$1:I638,$I638,$J$1:J638,$J638,$K$1:K638,K638,$L$1:L638,L638),COUNTIFS($H$1:H638,$H638,$I$1:I638,$I638,$J$1:J638,$J638,$K$1:K638,K638,$L$1:L638,L638)))</f>
        <v>009</v>
      </c>
      <c r="N63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38" s="14" t="e">
        <f>+LEN(Table4[[#This Row],[New Item Code]])</f>
        <v>#N/A</v>
      </c>
      <c r="P638" s="15" t="s">
        <v>4747</v>
      </c>
      <c r="Q638" s="15" t="s">
        <v>4749</v>
      </c>
      <c r="R638" s="15"/>
      <c r="S638" s="15"/>
      <c r="T638" s="15" t="s">
        <v>4693</v>
      </c>
    </row>
    <row r="639" spans="1:20" x14ac:dyDescent="0.35">
      <c r="A639" s="3" t="s">
        <v>1282</v>
      </c>
      <c r="B639" s="3" t="s">
        <v>1283</v>
      </c>
      <c r="C639" s="3" t="s">
        <v>56</v>
      </c>
      <c r="D639" s="3">
        <v>0</v>
      </c>
      <c r="E639" s="3" t="s">
        <v>57</v>
      </c>
      <c r="F639" s="3">
        <v>0</v>
      </c>
      <c r="G639" s="21">
        <f>Table4[[#This Row],[Item Cost]]*Table4[[#This Row],[In Stock]]</f>
        <v>0</v>
      </c>
      <c r="H639" s="12" t="s">
        <v>4661</v>
      </c>
      <c r="I639" s="13" t="s">
        <v>4668</v>
      </c>
      <c r="J639" s="13" t="s">
        <v>4693</v>
      </c>
      <c r="K639" s="13" t="s">
        <v>4672</v>
      </c>
      <c r="L639" s="12" t="s">
        <v>4672</v>
      </c>
      <c r="M639" s="17" t="str">
        <f>IF(LEN(COUNTIFS($H$1:H639,$H639,$I$1:I639,$I639,$J$1:J639,$J639,$K$1:K639,K639,$L$1:L639,L639))=1,"00"&amp;COUNTIFS($H$1:H639,$H639,$I$1:I639,$I639,$J$1:J639,$J639,$K$1:K639,K639,$L$1:L639,L639),IF(LEN(COUNTIFS($H$1:H639,$H639,$I$1:I639,$I639,$J$1:J639,$J639,$K$1:K639,K639,$L$1:L639,L639))=2,"0"&amp;COUNTIFS($H$1:H639,$H639,$I$1:I639,$I639,$J$1:J639,$J639,$K$1:K639,K639,$L$1:L639,L639),COUNTIFS($H$1:H639,$H639,$I$1:I639,$I639,$J$1:J639,$J639,$K$1:K639,K639,$L$1:L639,L639)))</f>
        <v>010</v>
      </c>
      <c r="N63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39" s="14" t="e">
        <f>+LEN(Table4[[#This Row],[New Item Code]])</f>
        <v>#N/A</v>
      </c>
      <c r="P639" s="15" t="s">
        <v>4747</v>
      </c>
      <c r="Q639" s="15" t="s">
        <v>4749</v>
      </c>
      <c r="R639" s="15"/>
      <c r="S639" s="15"/>
      <c r="T639" s="15" t="s">
        <v>4693</v>
      </c>
    </row>
    <row r="640" spans="1:20" x14ac:dyDescent="0.35">
      <c r="A640" s="2" t="s">
        <v>1284</v>
      </c>
      <c r="B640" s="2" t="s">
        <v>1285</v>
      </c>
      <c r="C640" s="2" t="s">
        <v>56</v>
      </c>
      <c r="D640" s="2">
        <v>0</v>
      </c>
      <c r="E640" s="2" t="s">
        <v>57</v>
      </c>
      <c r="F640" s="2">
        <v>0</v>
      </c>
      <c r="G640" s="22">
        <f>Table4[[#This Row],[Item Cost]]*Table4[[#This Row],[In Stock]]</f>
        <v>0</v>
      </c>
      <c r="H640" s="12" t="s">
        <v>4661</v>
      </c>
      <c r="I640" s="13" t="s">
        <v>4668</v>
      </c>
      <c r="J640" s="13" t="s">
        <v>4693</v>
      </c>
      <c r="K640" s="13" t="s">
        <v>4672</v>
      </c>
      <c r="L640" s="12" t="s">
        <v>4672</v>
      </c>
      <c r="M640" s="17" t="str">
        <f>IF(LEN(COUNTIFS($H$1:H640,$H640,$I$1:I640,$I640,$J$1:J640,$J640,$K$1:K640,K640,$L$1:L640,L640))=1,"00"&amp;COUNTIFS($H$1:H640,$H640,$I$1:I640,$I640,$J$1:J640,$J640,$K$1:K640,K640,$L$1:L640,L640),IF(LEN(COUNTIFS($H$1:H640,$H640,$I$1:I640,$I640,$J$1:J640,$J640,$K$1:K640,K640,$L$1:L640,L640))=2,"0"&amp;COUNTIFS($H$1:H640,$H640,$I$1:I640,$I640,$J$1:J640,$J640,$K$1:K640,K640,$L$1:L640,L640),COUNTIFS($H$1:H640,$H640,$I$1:I640,$I640,$J$1:J640,$J640,$K$1:K640,K640,$L$1:L640,L640)))</f>
        <v>011</v>
      </c>
      <c r="N64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40" s="14" t="e">
        <f>+LEN(Table4[[#This Row],[New Item Code]])</f>
        <v>#N/A</v>
      </c>
      <c r="P640" s="15" t="s">
        <v>4747</v>
      </c>
      <c r="Q640" s="15" t="s">
        <v>4749</v>
      </c>
      <c r="R640" s="15"/>
      <c r="S640" s="15"/>
      <c r="T640" s="15" t="s">
        <v>4693</v>
      </c>
    </row>
    <row r="641" spans="1:20" x14ac:dyDescent="0.35">
      <c r="A641" s="3" t="s">
        <v>1286</v>
      </c>
      <c r="B641" s="3" t="s">
        <v>1287</v>
      </c>
      <c r="C641" s="3" t="s">
        <v>56</v>
      </c>
      <c r="D641" s="3">
        <v>0</v>
      </c>
      <c r="E641" s="3" t="s">
        <v>57</v>
      </c>
      <c r="F641" s="3">
        <v>0</v>
      </c>
      <c r="G641" s="21">
        <f>Table4[[#This Row],[Item Cost]]*Table4[[#This Row],[In Stock]]</f>
        <v>0</v>
      </c>
      <c r="H641" s="12" t="s">
        <v>4661</v>
      </c>
      <c r="I641" s="13" t="s">
        <v>4668</v>
      </c>
      <c r="J641" s="13" t="s">
        <v>4693</v>
      </c>
      <c r="K641" s="13" t="s">
        <v>4672</v>
      </c>
      <c r="L641" s="12" t="s">
        <v>4672</v>
      </c>
      <c r="M641" s="17" t="str">
        <f>IF(LEN(COUNTIFS($H$1:H641,$H641,$I$1:I641,$I641,$J$1:J641,$J641,$K$1:K641,K641,$L$1:L641,L641))=1,"00"&amp;COUNTIFS($H$1:H641,$H641,$I$1:I641,$I641,$J$1:J641,$J641,$K$1:K641,K641,$L$1:L641,L641),IF(LEN(COUNTIFS($H$1:H641,$H641,$I$1:I641,$I641,$J$1:J641,$J641,$K$1:K641,K641,$L$1:L641,L641))=2,"0"&amp;COUNTIFS($H$1:H641,$H641,$I$1:I641,$I641,$J$1:J641,$J641,$K$1:K641,K641,$L$1:L641,L641),COUNTIFS($H$1:H641,$H641,$I$1:I641,$I641,$J$1:J641,$J641,$K$1:K641,K641,$L$1:L641,L641)))</f>
        <v>012</v>
      </c>
      <c r="N64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41" s="14" t="e">
        <f>+LEN(Table4[[#This Row],[New Item Code]])</f>
        <v>#N/A</v>
      </c>
      <c r="P641" s="15" t="s">
        <v>4747</v>
      </c>
      <c r="Q641" s="15" t="s">
        <v>4749</v>
      </c>
      <c r="R641" s="15"/>
      <c r="S641" s="15"/>
      <c r="T641" s="15" t="s">
        <v>4693</v>
      </c>
    </row>
    <row r="642" spans="1:20" x14ac:dyDescent="0.35">
      <c r="A642" s="2" t="s">
        <v>1288</v>
      </c>
      <c r="B642" s="2" t="s">
        <v>1289</v>
      </c>
      <c r="C642" s="2" t="s">
        <v>56</v>
      </c>
      <c r="D642" s="2">
        <v>0</v>
      </c>
      <c r="E642" s="2" t="s">
        <v>57</v>
      </c>
      <c r="F642" s="2">
        <v>0</v>
      </c>
      <c r="G642" s="22">
        <f>Table4[[#This Row],[Item Cost]]*Table4[[#This Row],[In Stock]]</f>
        <v>0</v>
      </c>
      <c r="H642" s="12" t="s">
        <v>4661</v>
      </c>
      <c r="I642" s="13" t="s">
        <v>4668</v>
      </c>
      <c r="J642" s="13" t="s">
        <v>4693</v>
      </c>
      <c r="K642" s="13" t="s">
        <v>4672</v>
      </c>
      <c r="L642" s="12" t="s">
        <v>4672</v>
      </c>
      <c r="M642" s="17" t="str">
        <f>IF(LEN(COUNTIFS($H$1:H642,$H642,$I$1:I642,$I642,$J$1:J642,$J642,$K$1:K642,K642,$L$1:L642,L642))=1,"00"&amp;COUNTIFS($H$1:H642,$H642,$I$1:I642,$I642,$J$1:J642,$J642,$K$1:K642,K642,$L$1:L642,L642),IF(LEN(COUNTIFS($H$1:H642,$H642,$I$1:I642,$I642,$J$1:J642,$J642,$K$1:K642,K642,$L$1:L642,L642))=2,"0"&amp;COUNTIFS($H$1:H642,$H642,$I$1:I642,$I642,$J$1:J642,$J642,$K$1:K642,K642,$L$1:L642,L642),COUNTIFS($H$1:H642,$H642,$I$1:I642,$I642,$J$1:J642,$J642,$K$1:K642,K642,$L$1:L642,L642)))</f>
        <v>013</v>
      </c>
      <c r="N64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42" s="14" t="e">
        <f>+LEN(Table4[[#This Row],[New Item Code]])</f>
        <v>#N/A</v>
      </c>
      <c r="P642" s="15" t="s">
        <v>4747</v>
      </c>
      <c r="Q642" s="15" t="s">
        <v>4749</v>
      </c>
      <c r="R642" s="15"/>
      <c r="S642" s="15"/>
      <c r="T642" s="15" t="s">
        <v>4693</v>
      </c>
    </row>
    <row r="643" spans="1:20" x14ac:dyDescent="0.35">
      <c r="A643" s="3" t="s">
        <v>1290</v>
      </c>
      <c r="B643" s="3" t="s">
        <v>1291</v>
      </c>
      <c r="C643" s="3" t="s">
        <v>56</v>
      </c>
      <c r="D643" s="3">
        <v>0</v>
      </c>
      <c r="E643" s="3" t="s">
        <v>57</v>
      </c>
      <c r="F643" s="3">
        <v>0</v>
      </c>
      <c r="G643" s="21">
        <f>Table4[[#This Row],[Item Cost]]*Table4[[#This Row],[In Stock]]</f>
        <v>0</v>
      </c>
      <c r="H643" s="12" t="s">
        <v>4661</v>
      </c>
      <c r="I643" s="13" t="s">
        <v>4668</v>
      </c>
      <c r="J643" s="13" t="s">
        <v>4693</v>
      </c>
      <c r="K643" s="13" t="s">
        <v>4672</v>
      </c>
      <c r="L643" s="12" t="s">
        <v>4672</v>
      </c>
      <c r="M643" s="17" t="str">
        <f>IF(LEN(COUNTIFS($H$1:H643,$H643,$I$1:I643,$I643,$J$1:J643,$J643,$K$1:K643,K643,$L$1:L643,L643))=1,"00"&amp;COUNTIFS($H$1:H643,$H643,$I$1:I643,$I643,$J$1:J643,$J643,$K$1:K643,K643,$L$1:L643,L643),IF(LEN(COUNTIFS($H$1:H643,$H643,$I$1:I643,$I643,$J$1:J643,$J643,$K$1:K643,K643,$L$1:L643,L643))=2,"0"&amp;COUNTIFS($H$1:H643,$H643,$I$1:I643,$I643,$J$1:J643,$J643,$K$1:K643,K643,$L$1:L643,L643),COUNTIFS($H$1:H643,$H643,$I$1:I643,$I643,$J$1:J643,$J643,$K$1:K643,K643,$L$1:L643,L643)))</f>
        <v>014</v>
      </c>
      <c r="N64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43" s="14" t="e">
        <f>+LEN(Table4[[#This Row],[New Item Code]])</f>
        <v>#N/A</v>
      </c>
      <c r="P643" s="15" t="s">
        <v>4747</v>
      </c>
      <c r="Q643" s="15" t="s">
        <v>4749</v>
      </c>
      <c r="R643" s="15"/>
      <c r="S643" s="15"/>
      <c r="T643" s="15" t="s">
        <v>4693</v>
      </c>
    </row>
    <row r="644" spans="1:20" x14ac:dyDescent="0.35">
      <c r="A644" s="2" t="s">
        <v>1292</v>
      </c>
      <c r="B644" s="2" t="s">
        <v>1293</v>
      </c>
      <c r="C644" s="2" t="s">
        <v>56</v>
      </c>
      <c r="D644" s="2">
        <v>0</v>
      </c>
      <c r="E644" s="2" t="s">
        <v>57</v>
      </c>
      <c r="F644" s="2">
        <v>0</v>
      </c>
      <c r="G644" s="22">
        <f>Table4[[#This Row],[Item Cost]]*Table4[[#This Row],[In Stock]]</f>
        <v>0</v>
      </c>
      <c r="H644" s="12" t="s">
        <v>4661</v>
      </c>
      <c r="I644" s="13" t="s">
        <v>4668</v>
      </c>
      <c r="J644" s="13" t="s">
        <v>4693</v>
      </c>
      <c r="K644" s="13" t="s">
        <v>4672</v>
      </c>
      <c r="L644" s="12" t="s">
        <v>4672</v>
      </c>
      <c r="M644" s="17" t="str">
        <f>IF(LEN(COUNTIFS($H$1:H644,$H644,$I$1:I644,$I644,$J$1:J644,$J644,$K$1:K644,K644,$L$1:L644,L644))=1,"00"&amp;COUNTIFS($H$1:H644,$H644,$I$1:I644,$I644,$J$1:J644,$J644,$K$1:K644,K644,$L$1:L644,L644),IF(LEN(COUNTIFS($H$1:H644,$H644,$I$1:I644,$I644,$J$1:J644,$J644,$K$1:K644,K644,$L$1:L644,L644))=2,"0"&amp;COUNTIFS($H$1:H644,$H644,$I$1:I644,$I644,$J$1:J644,$J644,$K$1:K644,K644,$L$1:L644,L644),COUNTIFS($H$1:H644,$H644,$I$1:I644,$I644,$J$1:J644,$J644,$K$1:K644,K644,$L$1:L644,L644)))</f>
        <v>015</v>
      </c>
      <c r="N64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44" s="14" t="e">
        <f>+LEN(Table4[[#This Row],[New Item Code]])</f>
        <v>#N/A</v>
      </c>
      <c r="P644" s="15" t="s">
        <v>4747</v>
      </c>
      <c r="Q644" s="15" t="s">
        <v>4749</v>
      </c>
      <c r="R644" s="15"/>
      <c r="S644" s="15"/>
      <c r="T644" s="15" t="s">
        <v>4693</v>
      </c>
    </row>
    <row r="645" spans="1:20" x14ac:dyDescent="0.35">
      <c r="A645" s="3" t="s">
        <v>1294</v>
      </c>
      <c r="B645" s="3" t="s">
        <v>1295</v>
      </c>
      <c r="C645" s="3" t="s">
        <v>56</v>
      </c>
      <c r="D645" s="3">
        <v>0</v>
      </c>
      <c r="E645" s="3" t="s">
        <v>57</v>
      </c>
      <c r="F645" s="3">
        <v>0</v>
      </c>
      <c r="G645" s="21">
        <f>Table4[[#This Row],[Item Cost]]*Table4[[#This Row],[In Stock]]</f>
        <v>0</v>
      </c>
      <c r="H645" s="12" t="s">
        <v>4661</v>
      </c>
      <c r="I645" s="13" t="s">
        <v>4668</v>
      </c>
      <c r="J645" s="13" t="s">
        <v>4693</v>
      </c>
      <c r="K645" s="13" t="s">
        <v>4672</v>
      </c>
      <c r="L645" s="12" t="s">
        <v>4672</v>
      </c>
      <c r="M645" s="17" t="str">
        <f>IF(LEN(COUNTIFS($H$1:H645,$H645,$I$1:I645,$I645,$J$1:J645,$J645,$K$1:K645,K645,$L$1:L645,L645))=1,"00"&amp;COUNTIFS($H$1:H645,$H645,$I$1:I645,$I645,$J$1:J645,$J645,$K$1:K645,K645,$L$1:L645,L645),IF(LEN(COUNTIFS($H$1:H645,$H645,$I$1:I645,$I645,$J$1:J645,$J645,$K$1:K645,K645,$L$1:L645,L645))=2,"0"&amp;COUNTIFS($H$1:H645,$H645,$I$1:I645,$I645,$J$1:J645,$J645,$K$1:K645,K645,$L$1:L645,L645),COUNTIFS($H$1:H645,$H645,$I$1:I645,$I645,$J$1:J645,$J645,$K$1:K645,K645,$L$1:L645,L645)))</f>
        <v>016</v>
      </c>
      <c r="N64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45" s="14" t="e">
        <f>+LEN(Table4[[#This Row],[New Item Code]])</f>
        <v>#N/A</v>
      </c>
      <c r="P645" s="15" t="s">
        <v>4747</v>
      </c>
      <c r="Q645" s="15" t="s">
        <v>4749</v>
      </c>
      <c r="R645" s="15"/>
      <c r="S645" s="15"/>
      <c r="T645" s="15" t="s">
        <v>4693</v>
      </c>
    </row>
    <row r="646" spans="1:20" x14ac:dyDescent="0.35">
      <c r="A646" s="2" t="s">
        <v>1296</v>
      </c>
      <c r="B646" s="2" t="s">
        <v>1297</v>
      </c>
      <c r="C646" s="2" t="s">
        <v>56</v>
      </c>
      <c r="D646" s="2">
        <v>0</v>
      </c>
      <c r="E646" s="2" t="s">
        <v>57</v>
      </c>
      <c r="F646" s="2">
        <v>0</v>
      </c>
      <c r="G646" s="22">
        <f>Table4[[#This Row],[Item Cost]]*Table4[[#This Row],[In Stock]]</f>
        <v>0</v>
      </c>
      <c r="H646" s="12" t="s">
        <v>4661</v>
      </c>
      <c r="I646" s="13" t="s">
        <v>4668</v>
      </c>
      <c r="J646" s="13" t="s">
        <v>4693</v>
      </c>
      <c r="K646" s="13" t="s">
        <v>4672</v>
      </c>
      <c r="L646" s="12" t="s">
        <v>4672</v>
      </c>
      <c r="M646" s="17" t="str">
        <f>IF(LEN(COUNTIFS($H$1:H646,$H646,$I$1:I646,$I646,$J$1:J646,$J646,$K$1:K646,K646,$L$1:L646,L646))=1,"00"&amp;COUNTIFS($H$1:H646,$H646,$I$1:I646,$I646,$J$1:J646,$J646,$K$1:K646,K646,$L$1:L646,L646),IF(LEN(COUNTIFS($H$1:H646,$H646,$I$1:I646,$I646,$J$1:J646,$J646,$K$1:K646,K646,$L$1:L646,L646))=2,"0"&amp;COUNTIFS($H$1:H646,$H646,$I$1:I646,$I646,$J$1:J646,$J646,$K$1:K646,K646,$L$1:L646,L646),COUNTIFS($H$1:H646,$H646,$I$1:I646,$I646,$J$1:J646,$J646,$K$1:K646,K646,$L$1:L646,L646)))</f>
        <v>017</v>
      </c>
      <c r="N64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46" s="14" t="e">
        <f>+LEN(Table4[[#This Row],[New Item Code]])</f>
        <v>#N/A</v>
      </c>
      <c r="P646" s="15" t="s">
        <v>4747</v>
      </c>
      <c r="Q646" s="15" t="s">
        <v>4749</v>
      </c>
      <c r="R646" s="15"/>
      <c r="S646" s="15"/>
      <c r="T646" s="15" t="s">
        <v>4693</v>
      </c>
    </row>
    <row r="647" spans="1:20" x14ac:dyDescent="0.35">
      <c r="A647" s="3" t="s">
        <v>1298</v>
      </c>
      <c r="B647" s="3" t="s">
        <v>1299</v>
      </c>
      <c r="C647" s="3" t="s">
        <v>56</v>
      </c>
      <c r="D647" s="3">
        <v>0</v>
      </c>
      <c r="E647" s="3" t="s">
        <v>57</v>
      </c>
      <c r="F647" s="3">
        <v>0</v>
      </c>
      <c r="G647" s="21">
        <f>Table4[[#This Row],[Item Cost]]*Table4[[#This Row],[In Stock]]</f>
        <v>0</v>
      </c>
      <c r="H647" s="12" t="s">
        <v>4661</v>
      </c>
      <c r="I647" s="13" t="s">
        <v>4668</v>
      </c>
      <c r="J647" s="13" t="s">
        <v>4693</v>
      </c>
      <c r="K647" s="13" t="s">
        <v>4672</v>
      </c>
      <c r="L647" s="12" t="s">
        <v>4672</v>
      </c>
      <c r="M647" s="17" t="str">
        <f>IF(LEN(COUNTIFS($H$1:H647,$H647,$I$1:I647,$I647,$J$1:J647,$J647,$K$1:K647,K647,$L$1:L647,L647))=1,"00"&amp;COUNTIFS($H$1:H647,$H647,$I$1:I647,$I647,$J$1:J647,$J647,$K$1:K647,K647,$L$1:L647,L647),IF(LEN(COUNTIFS($H$1:H647,$H647,$I$1:I647,$I647,$J$1:J647,$J647,$K$1:K647,K647,$L$1:L647,L647))=2,"0"&amp;COUNTIFS($H$1:H647,$H647,$I$1:I647,$I647,$J$1:J647,$J647,$K$1:K647,K647,$L$1:L647,L647),COUNTIFS($H$1:H647,$H647,$I$1:I647,$I647,$J$1:J647,$J647,$K$1:K647,K647,$L$1:L647,L647)))</f>
        <v>018</v>
      </c>
      <c r="N64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47" s="14" t="e">
        <f>+LEN(Table4[[#This Row],[New Item Code]])</f>
        <v>#N/A</v>
      </c>
      <c r="P647" s="15" t="s">
        <v>4747</v>
      </c>
      <c r="Q647" s="15" t="s">
        <v>4749</v>
      </c>
      <c r="R647" s="15"/>
      <c r="S647" s="15"/>
      <c r="T647" s="15" t="s">
        <v>4693</v>
      </c>
    </row>
    <row r="648" spans="1:20" x14ac:dyDescent="0.35">
      <c r="A648" s="2" t="s">
        <v>1300</v>
      </c>
      <c r="B648" s="2" t="s">
        <v>1301</v>
      </c>
      <c r="C648" s="2" t="s">
        <v>56</v>
      </c>
      <c r="D648" s="2">
        <v>0</v>
      </c>
      <c r="E648" s="2" t="s">
        <v>57</v>
      </c>
      <c r="F648" s="2">
        <v>0</v>
      </c>
      <c r="G648" s="22">
        <f>Table4[[#This Row],[Item Cost]]*Table4[[#This Row],[In Stock]]</f>
        <v>0</v>
      </c>
      <c r="H648" s="12" t="s">
        <v>4661</v>
      </c>
      <c r="I648" s="13" t="s">
        <v>4668</v>
      </c>
      <c r="J648" s="13" t="s">
        <v>4693</v>
      </c>
      <c r="K648" s="13" t="s">
        <v>4672</v>
      </c>
      <c r="L648" s="12" t="s">
        <v>4672</v>
      </c>
      <c r="M648" s="17" t="str">
        <f>IF(LEN(COUNTIFS($H$1:H648,$H648,$I$1:I648,$I648,$J$1:J648,$J648,$K$1:K648,K648,$L$1:L648,L648))=1,"00"&amp;COUNTIFS($H$1:H648,$H648,$I$1:I648,$I648,$J$1:J648,$J648,$K$1:K648,K648,$L$1:L648,L648),IF(LEN(COUNTIFS($H$1:H648,$H648,$I$1:I648,$I648,$J$1:J648,$J648,$K$1:K648,K648,$L$1:L648,L648))=2,"0"&amp;COUNTIFS($H$1:H648,$H648,$I$1:I648,$I648,$J$1:J648,$J648,$K$1:K648,K648,$L$1:L648,L648),COUNTIFS($H$1:H648,$H648,$I$1:I648,$I648,$J$1:J648,$J648,$K$1:K648,K648,$L$1:L648,L648)))</f>
        <v>019</v>
      </c>
      <c r="N64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48" s="14" t="e">
        <f>+LEN(Table4[[#This Row],[New Item Code]])</f>
        <v>#N/A</v>
      </c>
      <c r="P648" s="15" t="s">
        <v>4747</v>
      </c>
      <c r="Q648" s="15" t="s">
        <v>4749</v>
      </c>
      <c r="R648" s="15"/>
      <c r="S648" s="15"/>
      <c r="T648" s="15" t="s">
        <v>4693</v>
      </c>
    </row>
    <row r="649" spans="1:20" x14ac:dyDescent="0.35">
      <c r="A649" s="3" t="s">
        <v>1302</v>
      </c>
      <c r="B649" s="3" t="s">
        <v>1303</v>
      </c>
      <c r="C649" s="3" t="s">
        <v>56</v>
      </c>
      <c r="D649" s="3">
        <v>0</v>
      </c>
      <c r="E649" s="3" t="s">
        <v>57</v>
      </c>
      <c r="F649" s="3">
        <v>0</v>
      </c>
      <c r="G649" s="21">
        <f>Table4[[#This Row],[Item Cost]]*Table4[[#This Row],[In Stock]]</f>
        <v>0</v>
      </c>
      <c r="H649" s="12" t="s">
        <v>4661</v>
      </c>
      <c r="I649" s="13" t="s">
        <v>4668</v>
      </c>
      <c r="J649" s="13" t="s">
        <v>4693</v>
      </c>
      <c r="K649" s="13" t="s">
        <v>4672</v>
      </c>
      <c r="L649" s="12" t="s">
        <v>4672</v>
      </c>
      <c r="M649" s="17" t="str">
        <f>IF(LEN(COUNTIFS($H$1:H649,$H649,$I$1:I649,$I649,$J$1:J649,$J649,$K$1:K649,K649,$L$1:L649,L649))=1,"00"&amp;COUNTIFS($H$1:H649,$H649,$I$1:I649,$I649,$J$1:J649,$J649,$K$1:K649,K649,$L$1:L649,L649),IF(LEN(COUNTIFS($H$1:H649,$H649,$I$1:I649,$I649,$J$1:J649,$J649,$K$1:K649,K649,$L$1:L649,L649))=2,"0"&amp;COUNTIFS($H$1:H649,$H649,$I$1:I649,$I649,$J$1:J649,$J649,$K$1:K649,K649,$L$1:L649,L649),COUNTIFS($H$1:H649,$H649,$I$1:I649,$I649,$J$1:J649,$J649,$K$1:K649,K649,$L$1:L649,L649)))</f>
        <v>020</v>
      </c>
      <c r="N64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49" s="14" t="e">
        <f>+LEN(Table4[[#This Row],[New Item Code]])</f>
        <v>#N/A</v>
      </c>
      <c r="P649" s="15" t="s">
        <v>4747</v>
      </c>
      <c r="Q649" s="15" t="s">
        <v>4749</v>
      </c>
      <c r="R649" s="15"/>
      <c r="S649" s="15"/>
      <c r="T649" s="15" t="s">
        <v>4693</v>
      </c>
    </row>
    <row r="650" spans="1:20" x14ac:dyDescent="0.35">
      <c r="A650" s="2" t="s">
        <v>1304</v>
      </c>
      <c r="B650" s="2" t="s">
        <v>1305</v>
      </c>
      <c r="C650" s="2" t="s">
        <v>56</v>
      </c>
      <c r="D650" s="2">
        <v>0</v>
      </c>
      <c r="E650" s="2" t="s">
        <v>57</v>
      </c>
      <c r="F650" s="2">
        <v>0</v>
      </c>
      <c r="G650" s="22">
        <f>Table4[[#This Row],[Item Cost]]*Table4[[#This Row],[In Stock]]</f>
        <v>0</v>
      </c>
      <c r="H650" s="12" t="s">
        <v>4661</v>
      </c>
      <c r="I650" s="13" t="s">
        <v>4668</v>
      </c>
      <c r="J650" s="13" t="s">
        <v>4693</v>
      </c>
      <c r="K650" t="s">
        <v>4801</v>
      </c>
      <c r="L650" s="12" t="s">
        <v>4672</v>
      </c>
      <c r="M650" s="17" t="str">
        <f>IF(LEN(COUNTIFS($H$1:H650,$H650,$I$1:I650,$I650,$J$1:J650,$J650,$K$1:K650,K650,$L$1:L650,L650))=1,"00"&amp;COUNTIFS($H$1:H650,$H650,$I$1:I650,$I650,$J$1:J650,$J650,$K$1:K650,K650,$L$1:L650,L650),IF(LEN(COUNTIFS($H$1:H650,$H650,$I$1:I650,$I650,$J$1:J650,$J650,$K$1:K650,K650,$L$1:L650,L650))=2,"0"&amp;COUNTIFS($H$1:H650,$H650,$I$1:I650,$I650,$J$1:J650,$J650,$K$1:K650,K650,$L$1:L650,L650),COUNTIFS($H$1:H650,$H650,$I$1:I650,$I650,$J$1:J650,$J650,$K$1:K650,K650,$L$1:L650,L650)))</f>
        <v>001</v>
      </c>
      <c r="N65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50" s="14" t="e">
        <f>+LEN(Table4[[#This Row],[New Item Code]])</f>
        <v>#N/A</v>
      </c>
      <c r="P650" s="15" t="s">
        <v>4747</v>
      </c>
      <c r="Q650" s="15" t="s">
        <v>4749</v>
      </c>
      <c r="R650" s="15"/>
      <c r="S650" s="15"/>
      <c r="T650" s="15" t="s">
        <v>4693</v>
      </c>
    </row>
    <row r="651" spans="1:20" x14ac:dyDescent="0.35">
      <c r="A651" s="3" t="s">
        <v>1306</v>
      </c>
      <c r="B651" s="3" t="s">
        <v>1307</v>
      </c>
      <c r="C651" s="3" t="s">
        <v>56</v>
      </c>
      <c r="D651" s="3">
        <v>0</v>
      </c>
      <c r="E651" s="3" t="s">
        <v>57</v>
      </c>
      <c r="F651" s="3">
        <v>0</v>
      </c>
      <c r="G651" s="21">
        <f>Table4[[#This Row],[Item Cost]]*Table4[[#This Row],[In Stock]]</f>
        <v>0</v>
      </c>
      <c r="H651" s="12" t="s">
        <v>4661</v>
      </c>
      <c r="I651" s="13" t="s">
        <v>4668</v>
      </c>
      <c r="J651" s="13" t="s">
        <v>4693</v>
      </c>
      <c r="K651" s="13" t="s">
        <v>4672</v>
      </c>
      <c r="L651" s="12" t="s">
        <v>4672</v>
      </c>
      <c r="M651" s="17" t="str">
        <f>IF(LEN(COUNTIFS($H$1:H651,$H651,$I$1:I651,$I651,$J$1:J651,$J651,$K$1:K651,K651,$L$1:L651,L651))=1,"00"&amp;COUNTIFS($H$1:H651,$H651,$I$1:I651,$I651,$J$1:J651,$J651,$K$1:K651,K651,$L$1:L651,L651),IF(LEN(COUNTIFS($H$1:H651,$H651,$I$1:I651,$I651,$J$1:J651,$J651,$K$1:K651,K651,$L$1:L651,L651))=2,"0"&amp;COUNTIFS($H$1:H651,$H651,$I$1:I651,$I651,$J$1:J651,$J651,$K$1:K651,K651,$L$1:L651,L651),COUNTIFS($H$1:H651,$H651,$I$1:I651,$I651,$J$1:J651,$J651,$K$1:K651,K651,$L$1:L651,L651)))</f>
        <v>021</v>
      </c>
      <c r="N65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51" s="14" t="e">
        <f>+LEN(Table4[[#This Row],[New Item Code]])</f>
        <v>#N/A</v>
      </c>
      <c r="P651" s="15" t="s">
        <v>4747</v>
      </c>
      <c r="Q651" s="15" t="s">
        <v>4749</v>
      </c>
      <c r="R651" s="15"/>
      <c r="S651" s="15"/>
      <c r="T651" s="15" t="s">
        <v>4693</v>
      </c>
    </row>
    <row r="652" spans="1:20" x14ac:dyDescent="0.35">
      <c r="A652" s="2" t="s">
        <v>1308</v>
      </c>
      <c r="B652" s="2" t="s">
        <v>1309</v>
      </c>
      <c r="C652" s="2" t="s">
        <v>56</v>
      </c>
      <c r="D652" s="2">
        <v>0</v>
      </c>
      <c r="E652" s="2" t="s">
        <v>57</v>
      </c>
      <c r="F652" s="2">
        <v>0</v>
      </c>
      <c r="G652" s="22">
        <f>Table4[[#This Row],[Item Cost]]*Table4[[#This Row],[In Stock]]</f>
        <v>0</v>
      </c>
      <c r="H652" s="12" t="s">
        <v>4661</v>
      </c>
      <c r="I652" s="13" t="s">
        <v>4668</v>
      </c>
      <c r="J652" s="13" t="s">
        <v>4693</v>
      </c>
      <c r="K652" s="13" t="s">
        <v>4672</v>
      </c>
      <c r="L652" s="12" t="s">
        <v>4672</v>
      </c>
      <c r="M652" s="17" t="str">
        <f>IF(LEN(COUNTIFS($H$1:H652,$H652,$I$1:I652,$I652,$J$1:J652,$J652,$K$1:K652,K652,$L$1:L652,L652))=1,"00"&amp;COUNTIFS($H$1:H652,$H652,$I$1:I652,$I652,$J$1:J652,$J652,$K$1:K652,K652,$L$1:L652,L652),IF(LEN(COUNTIFS($H$1:H652,$H652,$I$1:I652,$I652,$J$1:J652,$J652,$K$1:K652,K652,$L$1:L652,L652))=2,"0"&amp;COUNTIFS($H$1:H652,$H652,$I$1:I652,$I652,$J$1:J652,$J652,$K$1:K652,K652,$L$1:L652,L652),COUNTIFS($H$1:H652,$H652,$I$1:I652,$I652,$J$1:J652,$J652,$K$1:K652,K652,$L$1:L652,L652)))</f>
        <v>022</v>
      </c>
      <c r="N65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52" s="14" t="e">
        <f>+LEN(Table4[[#This Row],[New Item Code]])</f>
        <v>#N/A</v>
      </c>
      <c r="P652" s="15" t="s">
        <v>4747</v>
      </c>
      <c r="Q652" s="15" t="s">
        <v>4749</v>
      </c>
      <c r="R652" s="15"/>
      <c r="S652" s="15"/>
      <c r="T652" s="15" t="s">
        <v>4693</v>
      </c>
    </row>
    <row r="653" spans="1:20" x14ac:dyDescent="0.35">
      <c r="A653" s="3" t="s">
        <v>1310</v>
      </c>
      <c r="B653" s="3" t="s">
        <v>1311</v>
      </c>
      <c r="C653" s="3" t="s">
        <v>56</v>
      </c>
      <c r="D653" s="3">
        <v>0</v>
      </c>
      <c r="E653" s="3" t="s">
        <v>57</v>
      </c>
      <c r="F653" s="3">
        <v>0</v>
      </c>
      <c r="G653" s="21">
        <f>Table4[[#This Row],[Item Cost]]*Table4[[#This Row],[In Stock]]</f>
        <v>0</v>
      </c>
      <c r="H653" s="12" t="s">
        <v>4661</v>
      </c>
      <c r="I653" s="13" t="s">
        <v>4668</v>
      </c>
      <c r="J653" s="13" t="s">
        <v>4693</v>
      </c>
      <c r="K653" s="13" t="s">
        <v>4672</v>
      </c>
      <c r="L653" s="12" t="s">
        <v>4672</v>
      </c>
      <c r="M653" s="17" t="str">
        <f>IF(LEN(COUNTIFS($H$1:H653,$H653,$I$1:I653,$I653,$J$1:J653,$J653,$K$1:K653,K653,$L$1:L653,L653))=1,"00"&amp;COUNTIFS($H$1:H653,$H653,$I$1:I653,$I653,$J$1:J653,$J653,$K$1:K653,K653,$L$1:L653,L653),IF(LEN(COUNTIFS($H$1:H653,$H653,$I$1:I653,$I653,$J$1:J653,$J653,$K$1:K653,K653,$L$1:L653,L653))=2,"0"&amp;COUNTIFS($H$1:H653,$H653,$I$1:I653,$I653,$J$1:J653,$J653,$K$1:K653,K653,$L$1:L653,L653),COUNTIFS($H$1:H653,$H653,$I$1:I653,$I653,$J$1:J653,$J653,$K$1:K653,K653,$L$1:L653,L653)))</f>
        <v>023</v>
      </c>
      <c r="N65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53" s="14" t="e">
        <f>+LEN(Table4[[#This Row],[New Item Code]])</f>
        <v>#N/A</v>
      </c>
      <c r="P653" s="15" t="s">
        <v>4747</v>
      </c>
      <c r="Q653" s="15" t="s">
        <v>4749</v>
      </c>
      <c r="R653" s="15"/>
      <c r="S653" s="15"/>
      <c r="T653" s="15" t="s">
        <v>4693</v>
      </c>
    </row>
    <row r="654" spans="1:20" x14ac:dyDescent="0.35">
      <c r="A654" s="2" t="s">
        <v>1312</v>
      </c>
      <c r="B654" s="2" t="s">
        <v>1313</v>
      </c>
      <c r="C654" s="2" t="s">
        <v>56</v>
      </c>
      <c r="D654" s="2">
        <v>0</v>
      </c>
      <c r="E654" s="2" t="s">
        <v>57</v>
      </c>
      <c r="F654" s="2">
        <v>0</v>
      </c>
      <c r="G654" s="22">
        <f>Table4[[#This Row],[Item Cost]]*Table4[[#This Row],[In Stock]]</f>
        <v>0</v>
      </c>
      <c r="H654" s="12" t="s">
        <v>4661</v>
      </c>
      <c r="I654" s="13" t="s">
        <v>4668</v>
      </c>
      <c r="J654" s="13" t="s">
        <v>4693</v>
      </c>
      <c r="K654" s="13" t="s">
        <v>4672</v>
      </c>
      <c r="L654" s="12" t="s">
        <v>4672</v>
      </c>
      <c r="M654" s="17" t="str">
        <f>IF(LEN(COUNTIFS($H$1:H654,$H654,$I$1:I654,$I654,$J$1:J654,$J654,$K$1:K654,K654,$L$1:L654,L654))=1,"00"&amp;COUNTIFS($H$1:H654,$H654,$I$1:I654,$I654,$J$1:J654,$J654,$K$1:K654,K654,$L$1:L654,L654),IF(LEN(COUNTIFS($H$1:H654,$H654,$I$1:I654,$I654,$J$1:J654,$J654,$K$1:K654,K654,$L$1:L654,L654))=2,"0"&amp;COUNTIFS($H$1:H654,$H654,$I$1:I654,$I654,$J$1:J654,$J654,$K$1:K654,K654,$L$1:L654,L654),COUNTIFS($H$1:H654,$H654,$I$1:I654,$I654,$J$1:J654,$J654,$K$1:K654,K654,$L$1:L654,L654)))</f>
        <v>024</v>
      </c>
      <c r="N65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54" s="14" t="e">
        <f>+LEN(Table4[[#This Row],[New Item Code]])</f>
        <v>#N/A</v>
      </c>
      <c r="P654" s="15" t="s">
        <v>4747</v>
      </c>
      <c r="Q654" s="15" t="s">
        <v>4749</v>
      </c>
      <c r="R654" s="15"/>
      <c r="S654" s="15"/>
      <c r="T654" s="15" t="s">
        <v>4693</v>
      </c>
    </row>
    <row r="655" spans="1:20" x14ac:dyDescent="0.35">
      <c r="A655" s="3" t="s">
        <v>1314</v>
      </c>
      <c r="B655" s="3" t="s">
        <v>1315</v>
      </c>
      <c r="C655" s="3" t="s">
        <v>56</v>
      </c>
      <c r="D655" s="3">
        <v>0</v>
      </c>
      <c r="E655" s="3" t="s">
        <v>57</v>
      </c>
      <c r="F655" s="3">
        <v>0</v>
      </c>
      <c r="G655" s="21">
        <f>Table4[[#This Row],[Item Cost]]*Table4[[#This Row],[In Stock]]</f>
        <v>0</v>
      </c>
      <c r="H655" s="12" t="s">
        <v>4661</v>
      </c>
      <c r="I655" s="13" t="s">
        <v>4668</v>
      </c>
      <c r="J655" s="13" t="s">
        <v>4693</v>
      </c>
      <c r="K655" s="13" t="s">
        <v>4672</v>
      </c>
      <c r="L655" s="12" t="s">
        <v>4672</v>
      </c>
      <c r="M655" s="17" t="str">
        <f>IF(LEN(COUNTIFS($H$1:H655,$H655,$I$1:I655,$I655,$J$1:J655,$J655,$K$1:K655,K655,$L$1:L655,L655))=1,"00"&amp;COUNTIFS($H$1:H655,$H655,$I$1:I655,$I655,$J$1:J655,$J655,$K$1:K655,K655,$L$1:L655,L655),IF(LEN(COUNTIFS($H$1:H655,$H655,$I$1:I655,$I655,$J$1:J655,$J655,$K$1:K655,K655,$L$1:L655,L655))=2,"0"&amp;COUNTIFS($H$1:H655,$H655,$I$1:I655,$I655,$J$1:J655,$J655,$K$1:K655,K655,$L$1:L655,L655),COUNTIFS($H$1:H655,$H655,$I$1:I655,$I655,$J$1:J655,$J655,$K$1:K655,K655,$L$1:L655,L655)))</f>
        <v>025</v>
      </c>
      <c r="N65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55" s="14" t="e">
        <f>+LEN(Table4[[#This Row],[New Item Code]])</f>
        <v>#N/A</v>
      </c>
      <c r="P655" s="15" t="s">
        <v>4747</v>
      </c>
      <c r="Q655" s="15" t="s">
        <v>4749</v>
      </c>
      <c r="R655" s="15"/>
      <c r="S655" s="15"/>
      <c r="T655" s="15" t="s">
        <v>4693</v>
      </c>
    </row>
    <row r="656" spans="1:20" x14ac:dyDescent="0.35">
      <c r="A656" s="2" t="s">
        <v>1316</v>
      </c>
      <c r="B656" s="2" t="s">
        <v>1317</v>
      </c>
      <c r="C656" s="2" t="s">
        <v>56</v>
      </c>
      <c r="D656" s="2">
        <v>0</v>
      </c>
      <c r="E656" s="2" t="s">
        <v>57</v>
      </c>
      <c r="F656" s="2">
        <v>0</v>
      </c>
      <c r="G656" s="22">
        <f>Table4[[#This Row],[Item Cost]]*Table4[[#This Row],[In Stock]]</f>
        <v>0</v>
      </c>
      <c r="H656" s="12" t="s">
        <v>4661</v>
      </c>
      <c r="I656" s="13" t="s">
        <v>4668</v>
      </c>
      <c r="J656" s="13" t="s">
        <v>4693</v>
      </c>
      <c r="K656" s="13" t="s">
        <v>4672</v>
      </c>
      <c r="L656" s="12" t="s">
        <v>4672</v>
      </c>
      <c r="M656" s="17" t="str">
        <f>IF(LEN(COUNTIFS($H$1:H656,$H656,$I$1:I656,$I656,$J$1:J656,$J656,$K$1:K656,K656,$L$1:L656,L656))=1,"00"&amp;COUNTIFS($H$1:H656,$H656,$I$1:I656,$I656,$J$1:J656,$J656,$K$1:K656,K656,$L$1:L656,L656),IF(LEN(COUNTIFS($H$1:H656,$H656,$I$1:I656,$I656,$J$1:J656,$J656,$K$1:K656,K656,$L$1:L656,L656))=2,"0"&amp;COUNTIFS($H$1:H656,$H656,$I$1:I656,$I656,$J$1:J656,$J656,$K$1:K656,K656,$L$1:L656,L656),COUNTIFS($H$1:H656,$H656,$I$1:I656,$I656,$J$1:J656,$J656,$K$1:K656,K656,$L$1:L656,L656)))</f>
        <v>026</v>
      </c>
      <c r="N65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56" s="14" t="e">
        <f>+LEN(Table4[[#This Row],[New Item Code]])</f>
        <v>#N/A</v>
      </c>
      <c r="P656" s="15" t="s">
        <v>4747</v>
      </c>
      <c r="Q656" s="15" t="s">
        <v>4749</v>
      </c>
      <c r="R656" s="15"/>
      <c r="S656" s="15"/>
      <c r="T656" s="15" t="s">
        <v>4693</v>
      </c>
    </row>
    <row r="657" spans="1:20" x14ac:dyDescent="0.35">
      <c r="A657" s="3" t="s">
        <v>1318</v>
      </c>
      <c r="B657" s="3" t="s">
        <v>1319</v>
      </c>
      <c r="C657" s="3" t="s">
        <v>56</v>
      </c>
      <c r="D657" s="3">
        <v>0</v>
      </c>
      <c r="E657" s="3" t="s">
        <v>57</v>
      </c>
      <c r="F657" s="3">
        <v>0</v>
      </c>
      <c r="G657" s="21">
        <f>Table4[[#This Row],[Item Cost]]*Table4[[#This Row],[In Stock]]</f>
        <v>0</v>
      </c>
      <c r="H657" s="12" t="s">
        <v>4661</v>
      </c>
      <c r="I657" s="13" t="s">
        <v>4668</v>
      </c>
      <c r="J657" s="13" t="s">
        <v>4693</v>
      </c>
      <c r="K657" s="13" t="s">
        <v>4672</v>
      </c>
      <c r="L657" s="12" t="s">
        <v>4672</v>
      </c>
      <c r="M657" s="17" t="str">
        <f>IF(LEN(COUNTIFS($H$1:H657,$H657,$I$1:I657,$I657,$J$1:J657,$J657,$K$1:K657,K657,$L$1:L657,L657))=1,"00"&amp;COUNTIFS($H$1:H657,$H657,$I$1:I657,$I657,$J$1:J657,$J657,$K$1:K657,K657,$L$1:L657,L657),IF(LEN(COUNTIFS($H$1:H657,$H657,$I$1:I657,$I657,$J$1:J657,$J657,$K$1:K657,K657,$L$1:L657,L657))=2,"0"&amp;COUNTIFS($H$1:H657,$H657,$I$1:I657,$I657,$J$1:J657,$J657,$K$1:K657,K657,$L$1:L657,L657),COUNTIFS($H$1:H657,$H657,$I$1:I657,$I657,$J$1:J657,$J657,$K$1:K657,K657,$L$1:L657,L657)))</f>
        <v>027</v>
      </c>
      <c r="N65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57" s="14" t="e">
        <f>+LEN(Table4[[#This Row],[New Item Code]])</f>
        <v>#N/A</v>
      </c>
      <c r="P657" s="15" t="s">
        <v>4747</v>
      </c>
      <c r="Q657" s="15" t="s">
        <v>4749</v>
      </c>
      <c r="R657" s="15"/>
      <c r="S657" s="15"/>
      <c r="T657" s="15" t="s">
        <v>4693</v>
      </c>
    </row>
    <row r="658" spans="1:20" x14ac:dyDescent="0.35">
      <c r="A658" s="2" t="s">
        <v>1320</v>
      </c>
      <c r="B658" s="2" t="s">
        <v>1321</v>
      </c>
      <c r="C658" s="2" t="s">
        <v>56</v>
      </c>
      <c r="D658" s="2">
        <v>0</v>
      </c>
      <c r="E658" s="2" t="s">
        <v>57</v>
      </c>
      <c r="F658" s="2">
        <v>0</v>
      </c>
      <c r="G658" s="22">
        <f>Table4[[#This Row],[Item Cost]]*Table4[[#This Row],[In Stock]]</f>
        <v>0</v>
      </c>
      <c r="H658" s="12" t="s">
        <v>4661</v>
      </c>
      <c r="I658" s="13" t="s">
        <v>4668</v>
      </c>
      <c r="J658" s="13" t="s">
        <v>4693</v>
      </c>
      <c r="K658" s="13" t="s">
        <v>4672</v>
      </c>
      <c r="L658" s="12" t="s">
        <v>4672</v>
      </c>
      <c r="M658" s="17" t="str">
        <f>IF(LEN(COUNTIFS($H$1:H658,$H658,$I$1:I658,$I658,$J$1:J658,$J658,$K$1:K658,K658,$L$1:L658,L658))=1,"00"&amp;COUNTIFS($H$1:H658,$H658,$I$1:I658,$I658,$J$1:J658,$J658,$K$1:K658,K658,$L$1:L658,L658),IF(LEN(COUNTIFS($H$1:H658,$H658,$I$1:I658,$I658,$J$1:J658,$J658,$K$1:K658,K658,$L$1:L658,L658))=2,"0"&amp;COUNTIFS($H$1:H658,$H658,$I$1:I658,$I658,$J$1:J658,$J658,$K$1:K658,K658,$L$1:L658,L658),COUNTIFS($H$1:H658,$H658,$I$1:I658,$I658,$J$1:J658,$J658,$K$1:K658,K658,$L$1:L658,L658)))</f>
        <v>028</v>
      </c>
      <c r="N65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58" s="14" t="e">
        <f>+LEN(Table4[[#This Row],[New Item Code]])</f>
        <v>#N/A</v>
      </c>
      <c r="P658" s="15" t="s">
        <v>4747</v>
      </c>
      <c r="Q658" s="15" t="s">
        <v>4749</v>
      </c>
      <c r="R658" s="15"/>
      <c r="S658" s="15"/>
      <c r="T658" s="15" t="s">
        <v>4693</v>
      </c>
    </row>
    <row r="659" spans="1:20" x14ac:dyDescent="0.35">
      <c r="A659" s="3" t="s">
        <v>1322</v>
      </c>
      <c r="B659" s="3" t="s">
        <v>1323</v>
      </c>
      <c r="C659" s="3" t="s">
        <v>56</v>
      </c>
      <c r="D659" s="3">
        <v>0</v>
      </c>
      <c r="E659" s="3" t="s">
        <v>57</v>
      </c>
      <c r="F659" s="3">
        <v>0</v>
      </c>
      <c r="G659" s="21">
        <f>Table4[[#This Row],[Item Cost]]*Table4[[#This Row],[In Stock]]</f>
        <v>0</v>
      </c>
      <c r="H659" s="12" t="s">
        <v>4661</v>
      </c>
      <c r="I659" s="13" t="s">
        <v>4668</v>
      </c>
      <c r="J659" s="13" t="s">
        <v>4693</v>
      </c>
      <c r="K659" s="13" t="s">
        <v>4672</v>
      </c>
      <c r="L659" s="12" t="s">
        <v>4672</v>
      </c>
      <c r="M659" s="17" t="str">
        <f>IF(LEN(COUNTIFS($H$1:H659,$H659,$I$1:I659,$I659,$J$1:J659,$J659,$K$1:K659,K659,$L$1:L659,L659))=1,"00"&amp;COUNTIFS($H$1:H659,$H659,$I$1:I659,$I659,$J$1:J659,$J659,$K$1:K659,K659,$L$1:L659,L659),IF(LEN(COUNTIFS($H$1:H659,$H659,$I$1:I659,$I659,$J$1:J659,$J659,$K$1:K659,K659,$L$1:L659,L659))=2,"0"&amp;COUNTIFS($H$1:H659,$H659,$I$1:I659,$I659,$J$1:J659,$J659,$K$1:K659,K659,$L$1:L659,L659),COUNTIFS($H$1:H659,$H659,$I$1:I659,$I659,$J$1:J659,$J659,$K$1:K659,K659,$L$1:L659,L659)))</f>
        <v>029</v>
      </c>
      <c r="N65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59" s="14" t="e">
        <f>+LEN(Table4[[#This Row],[New Item Code]])</f>
        <v>#N/A</v>
      </c>
      <c r="P659" s="15" t="s">
        <v>4747</v>
      </c>
      <c r="Q659" s="15" t="s">
        <v>4749</v>
      </c>
      <c r="R659" s="15"/>
      <c r="S659" s="15"/>
      <c r="T659" s="15" t="s">
        <v>4693</v>
      </c>
    </row>
    <row r="660" spans="1:20" x14ac:dyDescent="0.35">
      <c r="A660" s="2" t="s">
        <v>1324</v>
      </c>
      <c r="B660" s="2" t="s">
        <v>1325</v>
      </c>
      <c r="C660" s="2" t="s">
        <v>56</v>
      </c>
      <c r="D660" s="2">
        <v>0</v>
      </c>
      <c r="E660" s="2" t="s">
        <v>57</v>
      </c>
      <c r="F660" s="2">
        <v>0</v>
      </c>
      <c r="G660" s="22">
        <f>Table4[[#This Row],[Item Cost]]*Table4[[#This Row],[In Stock]]</f>
        <v>0</v>
      </c>
      <c r="H660" s="12" t="s">
        <v>4661</v>
      </c>
      <c r="I660" s="13" t="s">
        <v>4668</v>
      </c>
      <c r="J660" s="13" t="s">
        <v>4693</v>
      </c>
      <c r="K660" s="13" t="s">
        <v>4672</v>
      </c>
      <c r="L660" s="12" t="s">
        <v>4672</v>
      </c>
      <c r="M660" s="17" t="str">
        <f>IF(LEN(COUNTIFS($H$1:H660,$H660,$I$1:I660,$I660,$J$1:J660,$J660,$K$1:K660,K660,$L$1:L660,L660))=1,"00"&amp;COUNTIFS($H$1:H660,$H660,$I$1:I660,$I660,$J$1:J660,$J660,$K$1:K660,K660,$L$1:L660,L660),IF(LEN(COUNTIFS($H$1:H660,$H660,$I$1:I660,$I660,$J$1:J660,$J660,$K$1:K660,K660,$L$1:L660,L660))=2,"0"&amp;COUNTIFS($H$1:H660,$H660,$I$1:I660,$I660,$J$1:J660,$J660,$K$1:K660,K660,$L$1:L660,L660),COUNTIFS($H$1:H660,$H660,$I$1:I660,$I660,$J$1:J660,$J660,$K$1:K660,K660,$L$1:L660,L660)))</f>
        <v>030</v>
      </c>
      <c r="N66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60" s="14" t="e">
        <f>+LEN(Table4[[#This Row],[New Item Code]])</f>
        <v>#N/A</v>
      </c>
      <c r="P660" s="15" t="s">
        <v>4747</v>
      </c>
      <c r="Q660" s="15" t="s">
        <v>4749</v>
      </c>
      <c r="R660" s="15"/>
      <c r="S660" s="15"/>
      <c r="T660" s="15" t="s">
        <v>4693</v>
      </c>
    </row>
    <row r="661" spans="1:20" x14ac:dyDescent="0.35">
      <c r="A661" s="3" t="s">
        <v>1326</v>
      </c>
      <c r="B661" s="3" t="s">
        <v>1327</v>
      </c>
      <c r="C661" s="3" t="s">
        <v>56</v>
      </c>
      <c r="D661" s="3">
        <v>0</v>
      </c>
      <c r="E661" s="3" t="s">
        <v>57</v>
      </c>
      <c r="F661" s="3">
        <v>0</v>
      </c>
      <c r="G661" s="21">
        <f>Table4[[#This Row],[Item Cost]]*Table4[[#This Row],[In Stock]]</f>
        <v>0</v>
      </c>
      <c r="H661" s="12" t="s">
        <v>4661</v>
      </c>
      <c r="I661" s="13" t="s">
        <v>4668</v>
      </c>
      <c r="J661" s="13" t="s">
        <v>4693</v>
      </c>
      <c r="K661" s="13" t="s">
        <v>4672</v>
      </c>
      <c r="L661" s="12" t="s">
        <v>4672</v>
      </c>
      <c r="M661" s="17" t="str">
        <f>IF(LEN(COUNTIFS($H$1:H661,$H661,$I$1:I661,$I661,$J$1:J661,$J661,$K$1:K661,K661,$L$1:L661,L661))=1,"00"&amp;COUNTIFS($H$1:H661,$H661,$I$1:I661,$I661,$J$1:J661,$J661,$K$1:K661,K661,$L$1:L661,L661),IF(LEN(COUNTIFS($H$1:H661,$H661,$I$1:I661,$I661,$J$1:J661,$J661,$K$1:K661,K661,$L$1:L661,L661))=2,"0"&amp;COUNTIFS($H$1:H661,$H661,$I$1:I661,$I661,$J$1:J661,$J661,$K$1:K661,K661,$L$1:L661,L661),COUNTIFS($H$1:H661,$H661,$I$1:I661,$I661,$J$1:J661,$J661,$K$1:K661,K661,$L$1:L661,L661)))</f>
        <v>031</v>
      </c>
      <c r="N66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61" s="14" t="e">
        <f>+LEN(Table4[[#This Row],[New Item Code]])</f>
        <v>#N/A</v>
      </c>
      <c r="P661" s="15" t="s">
        <v>4747</v>
      </c>
      <c r="Q661" s="15" t="s">
        <v>4749</v>
      </c>
      <c r="R661" s="15"/>
      <c r="S661" s="15"/>
      <c r="T661" s="15" t="s">
        <v>4693</v>
      </c>
    </row>
    <row r="662" spans="1:20" x14ac:dyDescent="0.35">
      <c r="A662" s="2" t="s">
        <v>1328</v>
      </c>
      <c r="B662" s="2" t="s">
        <v>1329</v>
      </c>
      <c r="C662" s="2" t="s">
        <v>56</v>
      </c>
      <c r="D662" s="2">
        <v>0</v>
      </c>
      <c r="E662" s="2" t="s">
        <v>57</v>
      </c>
      <c r="F662" s="2">
        <v>0</v>
      </c>
      <c r="G662" s="22">
        <f>Table4[[#This Row],[Item Cost]]*Table4[[#This Row],[In Stock]]</f>
        <v>0</v>
      </c>
      <c r="H662" s="12" t="s">
        <v>4661</v>
      </c>
      <c r="I662" s="13" t="s">
        <v>4668</v>
      </c>
      <c r="J662" s="13" t="s">
        <v>4693</v>
      </c>
      <c r="K662" s="13" t="s">
        <v>4672</v>
      </c>
      <c r="L662" s="12" t="s">
        <v>4672</v>
      </c>
      <c r="M662" s="17" t="str">
        <f>IF(LEN(COUNTIFS($H$1:H662,$H662,$I$1:I662,$I662,$J$1:J662,$J662,$K$1:K662,K662,$L$1:L662,L662))=1,"00"&amp;COUNTIFS($H$1:H662,$H662,$I$1:I662,$I662,$J$1:J662,$J662,$K$1:K662,K662,$L$1:L662,L662),IF(LEN(COUNTIFS($H$1:H662,$H662,$I$1:I662,$I662,$J$1:J662,$J662,$K$1:K662,K662,$L$1:L662,L662))=2,"0"&amp;COUNTIFS($H$1:H662,$H662,$I$1:I662,$I662,$J$1:J662,$J662,$K$1:K662,K662,$L$1:L662,L662),COUNTIFS($H$1:H662,$H662,$I$1:I662,$I662,$J$1:J662,$J662,$K$1:K662,K662,$L$1:L662,L662)))</f>
        <v>032</v>
      </c>
      <c r="N66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62" s="14" t="e">
        <f>+LEN(Table4[[#This Row],[New Item Code]])</f>
        <v>#N/A</v>
      </c>
      <c r="P662" s="15" t="s">
        <v>4747</v>
      </c>
      <c r="Q662" s="15" t="s">
        <v>4749</v>
      </c>
      <c r="R662" s="15"/>
      <c r="S662" s="15"/>
      <c r="T662" s="15" t="s">
        <v>4693</v>
      </c>
    </row>
    <row r="663" spans="1:20" x14ac:dyDescent="0.35">
      <c r="A663" s="3" t="s">
        <v>1330</v>
      </c>
      <c r="B663" s="3" t="s">
        <v>1331</v>
      </c>
      <c r="C663" s="3" t="s">
        <v>56</v>
      </c>
      <c r="D663" s="3">
        <v>0</v>
      </c>
      <c r="E663" s="3" t="s">
        <v>57</v>
      </c>
      <c r="F663" s="3">
        <v>0</v>
      </c>
      <c r="G663" s="21">
        <f>Table4[[#This Row],[Item Cost]]*Table4[[#This Row],[In Stock]]</f>
        <v>0</v>
      </c>
      <c r="H663" s="12" t="s">
        <v>4661</v>
      </c>
      <c r="I663" s="13" t="s">
        <v>4668</v>
      </c>
      <c r="J663" s="13" t="s">
        <v>4693</v>
      </c>
      <c r="K663" s="13" t="s">
        <v>4672</v>
      </c>
      <c r="L663" s="12" t="s">
        <v>4672</v>
      </c>
      <c r="M663" s="17" t="str">
        <f>IF(LEN(COUNTIFS($H$1:H663,$H663,$I$1:I663,$I663,$J$1:J663,$J663,$K$1:K663,K663,$L$1:L663,L663))=1,"00"&amp;COUNTIFS($H$1:H663,$H663,$I$1:I663,$I663,$J$1:J663,$J663,$K$1:K663,K663,$L$1:L663,L663),IF(LEN(COUNTIFS($H$1:H663,$H663,$I$1:I663,$I663,$J$1:J663,$J663,$K$1:K663,K663,$L$1:L663,L663))=2,"0"&amp;COUNTIFS($H$1:H663,$H663,$I$1:I663,$I663,$J$1:J663,$J663,$K$1:K663,K663,$L$1:L663,L663),COUNTIFS($H$1:H663,$H663,$I$1:I663,$I663,$J$1:J663,$J663,$K$1:K663,K663,$L$1:L663,L663)))</f>
        <v>033</v>
      </c>
      <c r="N66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63" s="14" t="e">
        <f>+LEN(Table4[[#This Row],[New Item Code]])</f>
        <v>#N/A</v>
      </c>
      <c r="P663" s="15" t="s">
        <v>4747</v>
      </c>
      <c r="Q663" s="15" t="s">
        <v>4749</v>
      </c>
      <c r="R663" s="15"/>
      <c r="S663" s="15"/>
      <c r="T663" s="15" t="s">
        <v>4693</v>
      </c>
    </row>
    <row r="664" spans="1:20" x14ac:dyDescent="0.35">
      <c r="A664" s="2" t="s">
        <v>1332</v>
      </c>
      <c r="B664" s="2" t="s">
        <v>1333</v>
      </c>
      <c r="C664" s="2" t="s">
        <v>56</v>
      </c>
      <c r="D664" s="2">
        <v>0</v>
      </c>
      <c r="E664" s="2" t="s">
        <v>57</v>
      </c>
      <c r="F664" s="2">
        <v>0</v>
      </c>
      <c r="G664" s="22">
        <f>Table4[[#This Row],[Item Cost]]*Table4[[#This Row],[In Stock]]</f>
        <v>0</v>
      </c>
      <c r="H664" s="12" t="s">
        <v>4661</v>
      </c>
      <c r="I664" s="13" t="s">
        <v>4668</v>
      </c>
      <c r="J664" s="13" t="s">
        <v>4693</v>
      </c>
      <c r="K664" s="13" t="s">
        <v>4672</v>
      </c>
      <c r="L664" s="12" t="s">
        <v>4672</v>
      </c>
      <c r="M664" s="17" t="str">
        <f>IF(LEN(COUNTIFS($H$1:H664,$H664,$I$1:I664,$I664,$J$1:J664,$J664,$K$1:K664,K664,$L$1:L664,L664))=1,"00"&amp;COUNTIFS($H$1:H664,$H664,$I$1:I664,$I664,$J$1:J664,$J664,$K$1:K664,K664,$L$1:L664,L664),IF(LEN(COUNTIFS($H$1:H664,$H664,$I$1:I664,$I664,$J$1:J664,$J664,$K$1:K664,K664,$L$1:L664,L664))=2,"0"&amp;COUNTIFS($H$1:H664,$H664,$I$1:I664,$I664,$J$1:J664,$J664,$K$1:K664,K664,$L$1:L664,L664),COUNTIFS($H$1:H664,$H664,$I$1:I664,$I664,$J$1:J664,$J664,$K$1:K664,K664,$L$1:L664,L664)))</f>
        <v>034</v>
      </c>
      <c r="N66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64" s="14" t="e">
        <f>+LEN(Table4[[#This Row],[New Item Code]])</f>
        <v>#N/A</v>
      </c>
      <c r="P664" s="15" t="s">
        <v>4747</v>
      </c>
      <c r="Q664" s="15" t="s">
        <v>4749</v>
      </c>
      <c r="R664" s="15"/>
      <c r="S664" s="15"/>
      <c r="T664" s="15" t="s">
        <v>4693</v>
      </c>
    </row>
    <row r="665" spans="1:20" x14ac:dyDescent="0.35">
      <c r="A665" s="3" t="s">
        <v>1334</v>
      </c>
      <c r="B665" s="3" t="s">
        <v>1335</v>
      </c>
      <c r="C665" s="3" t="s">
        <v>15</v>
      </c>
      <c r="D665" s="3">
        <v>0</v>
      </c>
      <c r="E665" s="3" t="s">
        <v>57</v>
      </c>
      <c r="F665" s="3">
        <v>0</v>
      </c>
      <c r="G665" s="21">
        <f>Table4[[#This Row],[Item Cost]]*Table4[[#This Row],[In Stock]]</f>
        <v>0</v>
      </c>
      <c r="H665" s="12" t="s">
        <v>4661</v>
      </c>
      <c r="I665" s="13" t="s">
        <v>4666</v>
      </c>
      <c r="J665" s="13" t="s">
        <v>4693</v>
      </c>
      <c r="K665" s="13" t="s">
        <v>4672</v>
      </c>
      <c r="L665" s="12" t="s">
        <v>4672</v>
      </c>
      <c r="M665" s="17" t="str">
        <f>IF(LEN(COUNTIFS($H$1:H665,$H665,$I$1:I665,$I665,$J$1:J665,$J665,$K$1:K665,K665,$L$1:L665,L665))=1,"00"&amp;COUNTIFS($H$1:H665,$H665,$I$1:I665,$I665,$J$1:J665,$J665,$K$1:K665,K665,$L$1:L665,L665),IF(LEN(COUNTIFS($H$1:H665,$H665,$I$1:I665,$I665,$J$1:J665,$J665,$K$1:K665,K665,$L$1:L665,L665))=2,"0"&amp;COUNTIFS($H$1:H665,$H665,$I$1:I665,$I665,$J$1:J665,$J665,$K$1:K665,K665,$L$1:L665,L665),COUNTIFS($H$1:H665,$H665,$I$1:I665,$I665,$J$1:J665,$J665,$K$1:K665,K665,$L$1:L665,L665)))</f>
        <v>001</v>
      </c>
      <c r="N66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65" s="14" t="e">
        <f>+LEN(Table4[[#This Row],[New Item Code]])</f>
        <v>#N/A</v>
      </c>
      <c r="P665" s="15" t="s">
        <v>4747</v>
      </c>
      <c r="Q665" s="15" t="s">
        <v>4749</v>
      </c>
      <c r="R665" s="15"/>
      <c r="S665" s="15"/>
      <c r="T665" s="15" t="s">
        <v>4693</v>
      </c>
    </row>
    <row r="666" spans="1:20" x14ac:dyDescent="0.35">
      <c r="A666" s="2" t="s">
        <v>1336</v>
      </c>
      <c r="B666" s="2" t="s">
        <v>1337</v>
      </c>
      <c r="C666" s="2" t="s">
        <v>15</v>
      </c>
      <c r="D666" s="2">
        <v>0</v>
      </c>
      <c r="E666" s="2" t="s">
        <v>57</v>
      </c>
      <c r="F666" s="2">
        <v>0</v>
      </c>
      <c r="G666" s="22">
        <f>Table4[[#This Row],[Item Cost]]*Table4[[#This Row],[In Stock]]</f>
        <v>0</v>
      </c>
      <c r="H666" s="12" t="s">
        <v>4661</v>
      </c>
      <c r="I666" s="13" t="s">
        <v>4666</v>
      </c>
      <c r="J666" s="13" t="s">
        <v>4693</v>
      </c>
      <c r="K666" s="13" t="s">
        <v>4672</v>
      </c>
      <c r="L666" s="12" t="s">
        <v>4672</v>
      </c>
      <c r="M666" s="17" t="str">
        <f>IF(LEN(COUNTIFS($H$1:H666,$H666,$I$1:I666,$I666,$J$1:J666,$J666,$K$1:K666,K666,$L$1:L666,L666))=1,"00"&amp;COUNTIFS($H$1:H666,$H666,$I$1:I666,$I666,$J$1:J666,$J666,$K$1:K666,K666,$L$1:L666,L666),IF(LEN(COUNTIFS($H$1:H666,$H666,$I$1:I666,$I666,$J$1:J666,$J666,$K$1:K666,K666,$L$1:L666,L666))=2,"0"&amp;COUNTIFS($H$1:H666,$H666,$I$1:I666,$I666,$J$1:J666,$J666,$K$1:K666,K666,$L$1:L666,L666),COUNTIFS($H$1:H666,$H666,$I$1:I666,$I666,$J$1:J666,$J666,$K$1:K666,K666,$L$1:L666,L666)))</f>
        <v>002</v>
      </c>
      <c r="N66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66" s="14" t="e">
        <f>+LEN(Table4[[#This Row],[New Item Code]])</f>
        <v>#N/A</v>
      </c>
      <c r="P666" s="15" t="s">
        <v>4747</v>
      </c>
      <c r="Q666" s="15" t="s">
        <v>4749</v>
      </c>
      <c r="R666" s="15"/>
      <c r="S666" s="15"/>
      <c r="T666" s="15" t="s">
        <v>4693</v>
      </c>
    </row>
    <row r="667" spans="1:20" x14ac:dyDescent="0.35">
      <c r="A667" s="3" t="s">
        <v>1338</v>
      </c>
      <c r="B667" s="3" t="s">
        <v>1339</v>
      </c>
      <c r="C667" s="3" t="s">
        <v>15</v>
      </c>
      <c r="D667" s="3">
        <v>0</v>
      </c>
      <c r="E667" s="3" t="s">
        <v>57</v>
      </c>
      <c r="F667" s="3">
        <v>0</v>
      </c>
      <c r="G667" s="21">
        <f>Table4[[#This Row],[Item Cost]]*Table4[[#This Row],[In Stock]]</f>
        <v>0</v>
      </c>
      <c r="H667" s="12" t="s">
        <v>4661</v>
      </c>
      <c r="I667" s="13" t="s">
        <v>4666</v>
      </c>
      <c r="J667" s="13" t="s">
        <v>4693</v>
      </c>
      <c r="K667" s="13" t="s">
        <v>4672</v>
      </c>
      <c r="L667" s="12" t="s">
        <v>4672</v>
      </c>
      <c r="M667" s="17" t="str">
        <f>IF(LEN(COUNTIFS($H$1:H667,$H667,$I$1:I667,$I667,$J$1:J667,$J667,$K$1:K667,K667,$L$1:L667,L667))=1,"00"&amp;COUNTIFS($H$1:H667,$H667,$I$1:I667,$I667,$J$1:J667,$J667,$K$1:K667,K667,$L$1:L667,L667),IF(LEN(COUNTIFS($H$1:H667,$H667,$I$1:I667,$I667,$J$1:J667,$J667,$K$1:K667,K667,$L$1:L667,L667))=2,"0"&amp;COUNTIFS($H$1:H667,$H667,$I$1:I667,$I667,$J$1:J667,$J667,$K$1:K667,K667,$L$1:L667,L667),COUNTIFS($H$1:H667,$H667,$I$1:I667,$I667,$J$1:J667,$J667,$K$1:K667,K667,$L$1:L667,L667)))</f>
        <v>003</v>
      </c>
      <c r="N66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67" s="14" t="e">
        <f>+LEN(Table4[[#This Row],[New Item Code]])</f>
        <v>#N/A</v>
      </c>
      <c r="P667" s="15" t="s">
        <v>4747</v>
      </c>
      <c r="Q667" s="15" t="s">
        <v>4749</v>
      </c>
      <c r="R667" s="15"/>
      <c r="S667" s="15"/>
      <c r="T667" s="15" t="s">
        <v>4693</v>
      </c>
    </row>
    <row r="668" spans="1:20" x14ac:dyDescent="0.35">
      <c r="A668" s="2" t="s">
        <v>1340</v>
      </c>
      <c r="B668" s="2" t="s">
        <v>1341</v>
      </c>
      <c r="C668" s="2" t="s">
        <v>15</v>
      </c>
      <c r="D668" s="2">
        <v>0</v>
      </c>
      <c r="E668" s="2" t="s">
        <v>57</v>
      </c>
      <c r="F668" s="2">
        <v>0</v>
      </c>
      <c r="G668" s="22">
        <f>Table4[[#This Row],[Item Cost]]*Table4[[#This Row],[In Stock]]</f>
        <v>0</v>
      </c>
      <c r="H668" s="12" t="s">
        <v>4661</v>
      </c>
      <c r="I668" s="13" t="s">
        <v>4666</v>
      </c>
      <c r="J668" s="13" t="s">
        <v>4693</v>
      </c>
      <c r="K668" s="13" t="s">
        <v>4672</v>
      </c>
      <c r="L668" s="12" t="s">
        <v>4672</v>
      </c>
      <c r="M668" s="17" t="str">
        <f>IF(LEN(COUNTIFS($H$1:H668,$H668,$I$1:I668,$I668,$J$1:J668,$J668,$K$1:K668,K668,$L$1:L668,L668))=1,"00"&amp;COUNTIFS($H$1:H668,$H668,$I$1:I668,$I668,$J$1:J668,$J668,$K$1:K668,K668,$L$1:L668,L668),IF(LEN(COUNTIFS($H$1:H668,$H668,$I$1:I668,$I668,$J$1:J668,$J668,$K$1:K668,K668,$L$1:L668,L668))=2,"0"&amp;COUNTIFS($H$1:H668,$H668,$I$1:I668,$I668,$J$1:J668,$J668,$K$1:K668,K668,$L$1:L668,L668),COUNTIFS($H$1:H668,$H668,$I$1:I668,$I668,$J$1:J668,$J668,$K$1:K668,K668,$L$1:L668,L668)))</f>
        <v>004</v>
      </c>
      <c r="N66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68" s="14" t="e">
        <f>+LEN(Table4[[#This Row],[New Item Code]])</f>
        <v>#N/A</v>
      </c>
      <c r="P668" s="15" t="s">
        <v>4747</v>
      </c>
      <c r="Q668" s="15" t="s">
        <v>4749</v>
      </c>
      <c r="R668" s="15"/>
      <c r="S668" s="15"/>
      <c r="T668" s="15" t="s">
        <v>4693</v>
      </c>
    </row>
    <row r="669" spans="1:20" x14ac:dyDescent="0.35">
      <c r="A669" s="3" t="s">
        <v>1342</v>
      </c>
      <c r="B669" s="3" t="s">
        <v>1343</v>
      </c>
      <c r="C669" s="3" t="s">
        <v>15</v>
      </c>
      <c r="D669" s="3">
        <v>30</v>
      </c>
      <c r="E669" s="3" t="s">
        <v>10</v>
      </c>
      <c r="F669" s="3">
        <v>6</v>
      </c>
      <c r="G669" s="21">
        <f>Table4[[#This Row],[Item Cost]]*Table4[[#This Row],[In Stock]]</f>
        <v>180</v>
      </c>
      <c r="H669" s="12" t="s">
        <v>4661</v>
      </c>
      <c r="I669" s="13" t="s">
        <v>4666</v>
      </c>
      <c r="J669" s="13" t="s">
        <v>4693</v>
      </c>
      <c r="K669" s="13" t="s">
        <v>4672</v>
      </c>
      <c r="L669" s="12" t="s">
        <v>4672</v>
      </c>
      <c r="M669" s="17" t="str">
        <f>IF(LEN(COUNTIFS($H$1:H669,$H669,$I$1:I669,$I669,$J$1:J669,$J669,$K$1:K669,K669,$L$1:L669,L669))=1,"00"&amp;COUNTIFS($H$1:H669,$H669,$I$1:I669,$I669,$J$1:J669,$J669,$K$1:K669,K669,$L$1:L669,L669),IF(LEN(COUNTIFS($H$1:H669,$H669,$I$1:I669,$I669,$J$1:J669,$J669,$K$1:K669,K669,$L$1:L669,L669))=2,"0"&amp;COUNTIFS($H$1:H669,$H669,$I$1:I669,$I669,$J$1:J669,$J669,$K$1:K669,K669,$L$1:L669,L669),COUNTIFS($H$1:H669,$H669,$I$1:I669,$I669,$J$1:J669,$J669,$K$1:K669,K669,$L$1:L669,L669)))</f>
        <v>005</v>
      </c>
      <c r="N66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69" s="14" t="e">
        <f>+LEN(Table4[[#This Row],[New Item Code]])</f>
        <v>#N/A</v>
      </c>
      <c r="P669" s="15" t="s">
        <v>4747</v>
      </c>
      <c r="Q669" s="15" t="s">
        <v>4749</v>
      </c>
      <c r="R669" s="15"/>
      <c r="S669" s="15"/>
      <c r="T669" s="15" t="s">
        <v>4693</v>
      </c>
    </row>
    <row r="670" spans="1:20" x14ac:dyDescent="0.35">
      <c r="A670" s="2" t="s">
        <v>1344</v>
      </c>
      <c r="B670" s="2" t="s">
        <v>1345</v>
      </c>
      <c r="C670" s="2" t="s">
        <v>15</v>
      </c>
      <c r="D670" s="2">
        <v>382.77</v>
      </c>
      <c r="E670" s="2" t="s">
        <v>10</v>
      </c>
      <c r="F670" s="2">
        <v>0</v>
      </c>
      <c r="G670" s="22">
        <f>Table4[[#This Row],[Item Cost]]*Table4[[#This Row],[In Stock]]</f>
        <v>0</v>
      </c>
      <c r="H670" s="12" t="s">
        <v>4661</v>
      </c>
      <c r="I670" s="13" t="s">
        <v>4666</v>
      </c>
      <c r="J670" s="13" t="s">
        <v>4693</v>
      </c>
      <c r="K670" s="13" t="s">
        <v>4672</v>
      </c>
      <c r="L670" s="12" t="s">
        <v>4672</v>
      </c>
      <c r="M670" s="17" t="str">
        <f>IF(LEN(COUNTIFS($H$1:H670,$H670,$I$1:I670,$I670,$J$1:J670,$J670,$K$1:K670,K670,$L$1:L670,L670))=1,"00"&amp;COUNTIFS($H$1:H670,$H670,$I$1:I670,$I670,$J$1:J670,$J670,$K$1:K670,K670,$L$1:L670,L670),IF(LEN(COUNTIFS($H$1:H670,$H670,$I$1:I670,$I670,$J$1:J670,$J670,$K$1:K670,K670,$L$1:L670,L670))=2,"0"&amp;COUNTIFS($H$1:H670,$H670,$I$1:I670,$I670,$J$1:J670,$J670,$K$1:K670,K670,$L$1:L670,L670),COUNTIFS($H$1:H670,$H670,$I$1:I670,$I670,$J$1:J670,$J670,$K$1:K670,K670,$L$1:L670,L670)))</f>
        <v>006</v>
      </c>
      <c r="N67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70" s="14" t="e">
        <f>+LEN(Table4[[#This Row],[New Item Code]])</f>
        <v>#N/A</v>
      </c>
      <c r="P670" s="15" t="s">
        <v>4747</v>
      </c>
      <c r="Q670" s="15" t="s">
        <v>4749</v>
      </c>
      <c r="R670" s="15"/>
      <c r="S670" s="15"/>
      <c r="T670" s="15" t="s">
        <v>4693</v>
      </c>
    </row>
    <row r="671" spans="1:20" x14ac:dyDescent="0.35">
      <c r="A671" s="3" t="s">
        <v>1346</v>
      </c>
      <c r="B671" s="3" t="s">
        <v>1347</v>
      </c>
      <c r="C671" s="3" t="s">
        <v>15</v>
      </c>
      <c r="D671" s="3">
        <v>0</v>
      </c>
      <c r="E671" s="3" t="s">
        <v>10</v>
      </c>
      <c r="F671" s="3">
        <v>0</v>
      </c>
      <c r="G671" s="21">
        <f>Table4[[#This Row],[Item Cost]]*Table4[[#This Row],[In Stock]]</f>
        <v>0</v>
      </c>
      <c r="H671" s="12" t="s">
        <v>4661</v>
      </c>
      <c r="I671" s="13" t="s">
        <v>4666</v>
      </c>
      <c r="J671" s="13" t="s">
        <v>4693</v>
      </c>
      <c r="K671" s="13" t="s">
        <v>4672</v>
      </c>
      <c r="L671" s="12" t="s">
        <v>4672</v>
      </c>
      <c r="M671" s="17" t="str">
        <f>IF(LEN(COUNTIFS($H$1:H671,$H671,$I$1:I671,$I671,$J$1:J671,$J671,$K$1:K671,K671,$L$1:L671,L671))=1,"00"&amp;COUNTIFS($H$1:H671,$H671,$I$1:I671,$I671,$J$1:J671,$J671,$K$1:K671,K671,$L$1:L671,L671),IF(LEN(COUNTIFS($H$1:H671,$H671,$I$1:I671,$I671,$J$1:J671,$J671,$K$1:K671,K671,$L$1:L671,L671))=2,"0"&amp;COUNTIFS($H$1:H671,$H671,$I$1:I671,$I671,$J$1:J671,$J671,$K$1:K671,K671,$L$1:L671,L671),COUNTIFS($H$1:H671,$H671,$I$1:I671,$I671,$J$1:J671,$J671,$K$1:K671,K671,$L$1:L671,L671)))</f>
        <v>007</v>
      </c>
      <c r="N67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71" s="14" t="e">
        <f>+LEN(Table4[[#This Row],[New Item Code]])</f>
        <v>#N/A</v>
      </c>
      <c r="P671" s="15" t="s">
        <v>4747</v>
      </c>
      <c r="Q671" s="15" t="s">
        <v>4749</v>
      </c>
      <c r="R671" s="15"/>
      <c r="S671" s="15"/>
      <c r="T671" s="15" t="s">
        <v>4693</v>
      </c>
    </row>
    <row r="672" spans="1:20" x14ac:dyDescent="0.35">
      <c r="A672" s="2" t="s">
        <v>1348</v>
      </c>
      <c r="B672" s="2" t="s">
        <v>1349</v>
      </c>
      <c r="C672" s="2" t="s">
        <v>15</v>
      </c>
      <c r="D672" s="2">
        <v>0</v>
      </c>
      <c r="E672" s="2" t="s">
        <v>10</v>
      </c>
      <c r="F672" s="2">
        <v>0</v>
      </c>
      <c r="G672" s="22">
        <f>Table4[[#This Row],[Item Cost]]*Table4[[#This Row],[In Stock]]</f>
        <v>0</v>
      </c>
      <c r="H672" s="12" t="s">
        <v>4661</v>
      </c>
      <c r="I672" s="13" t="s">
        <v>4666</v>
      </c>
      <c r="J672" s="13" t="s">
        <v>4693</v>
      </c>
      <c r="K672" s="13" t="s">
        <v>4672</v>
      </c>
      <c r="L672" s="12" t="s">
        <v>4672</v>
      </c>
      <c r="M672" s="17" t="str">
        <f>IF(LEN(COUNTIFS($H$1:H672,$H672,$I$1:I672,$I672,$J$1:J672,$J672,$K$1:K672,K672,$L$1:L672,L672))=1,"00"&amp;COUNTIFS($H$1:H672,$H672,$I$1:I672,$I672,$J$1:J672,$J672,$K$1:K672,K672,$L$1:L672,L672),IF(LEN(COUNTIFS($H$1:H672,$H672,$I$1:I672,$I672,$J$1:J672,$J672,$K$1:K672,K672,$L$1:L672,L672))=2,"0"&amp;COUNTIFS($H$1:H672,$H672,$I$1:I672,$I672,$J$1:J672,$J672,$K$1:K672,K672,$L$1:L672,L672),COUNTIFS($H$1:H672,$H672,$I$1:I672,$I672,$J$1:J672,$J672,$K$1:K672,K672,$L$1:L672,L672)))</f>
        <v>008</v>
      </c>
      <c r="N67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72" s="14" t="e">
        <f>+LEN(Table4[[#This Row],[New Item Code]])</f>
        <v>#N/A</v>
      </c>
      <c r="P672" s="15" t="s">
        <v>4747</v>
      </c>
      <c r="Q672" s="15" t="s">
        <v>4749</v>
      </c>
      <c r="R672" s="15"/>
      <c r="S672" s="15"/>
      <c r="T672" s="15" t="s">
        <v>4693</v>
      </c>
    </row>
    <row r="673" spans="1:20" x14ac:dyDescent="0.35">
      <c r="A673" s="3" t="s">
        <v>1350</v>
      </c>
      <c r="B673" s="3" t="s">
        <v>1351</v>
      </c>
      <c r="C673" s="3" t="s">
        <v>15</v>
      </c>
      <c r="D673" s="3">
        <v>149</v>
      </c>
      <c r="E673" s="3" t="s">
        <v>10</v>
      </c>
      <c r="F673" s="3">
        <v>20</v>
      </c>
      <c r="G673" s="21">
        <f>Table4[[#This Row],[Item Cost]]*Table4[[#This Row],[In Stock]]</f>
        <v>2980</v>
      </c>
      <c r="H673" s="12" t="s">
        <v>4661</v>
      </c>
      <c r="I673" s="13" t="s">
        <v>4666</v>
      </c>
      <c r="J673" s="13" t="s">
        <v>4693</v>
      </c>
      <c r="K673" s="13" t="s">
        <v>4672</v>
      </c>
      <c r="L673" s="12" t="s">
        <v>4672</v>
      </c>
      <c r="M673" s="17" t="str">
        <f>IF(LEN(COUNTIFS($H$1:H673,$H673,$I$1:I673,$I673,$J$1:J673,$J673,$K$1:K673,K673,$L$1:L673,L673))=1,"00"&amp;COUNTIFS($H$1:H673,$H673,$I$1:I673,$I673,$J$1:J673,$J673,$K$1:K673,K673,$L$1:L673,L673),IF(LEN(COUNTIFS($H$1:H673,$H673,$I$1:I673,$I673,$J$1:J673,$J673,$K$1:K673,K673,$L$1:L673,L673))=2,"0"&amp;COUNTIFS($H$1:H673,$H673,$I$1:I673,$I673,$J$1:J673,$J673,$K$1:K673,K673,$L$1:L673,L673),COUNTIFS($H$1:H673,$H673,$I$1:I673,$I673,$J$1:J673,$J673,$K$1:K673,K673,$L$1:L673,L673)))</f>
        <v>009</v>
      </c>
      <c r="N67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73" s="14" t="e">
        <f>+LEN(Table4[[#This Row],[New Item Code]])</f>
        <v>#N/A</v>
      </c>
      <c r="P673" s="15" t="s">
        <v>4747</v>
      </c>
      <c r="Q673" s="15" t="s">
        <v>4749</v>
      </c>
      <c r="R673" s="15"/>
      <c r="S673" s="15"/>
      <c r="T673" s="15" t="s">
        <v>4693</v>
      </c>
    </row>
    <row r="674" spans="1:20" x14ac:dyDescent="0.35">
      <c r="A674" s="2" t="s">
        <v>1352</v>
      </c>
      <c r="B674" s="2" t="s">
        <v>1353</v>
      </c>
      <c r="C674" s="2" t="s">
        <v>15</v>
      </c>
      <c r="D674" s="2">
        <v>52</v>
      </c>
      <c r="E674" s="2" t="s">
        <v>10</v>
      </c>
      <c r="F674" s="2">
        <v>2</v>
      </c>
      <c r="G674" s="22">
        <f>Table4[[#This Row],[Item Cost]]*Table4[[#This Row],[In Stock]]</f>
        <v>104</v>
      </c>
      <c r="H674" s="12" t="s">
        <v>4661</v>
      </c>
      <c r="I674" s="13" t="s">
        <v>4666</v>
      </c>
      <c r="J674" s="13" t="s">
        <v>4693</v>
      </c>
      <c r="K674" s="13" t="s">
        <v>4672</v>
      </c>
      <c r="L674" s="12" t="s">
        <v>4672</v>
      </c>
      <c r="M674" s="17" t="str">
        <f>IF(LEN(COUNTIFS($H$1:H674,$H674,$I$1:I674,$I674,$J$1:J674,$J674,$K$1:K674,K674,$L$1:L674,L674))=1,"00"&amp;COUNTIFS($H$1:H674,$H674,$I$1:I674,$I674,$J$1:J674,$J674,$K$1:K674,K674,$L$1:L674,L674),IF(LEN(COUNTIFS($H$1:H674,$H674,$I$1:I674,$I674,$J$1:J674,$J674,$K$1:K674,K674,$L$1:L674,L674))=2,"0"&amp;COUNTIFS($H$1:H674,$H674,$I$1:I674,$I674,$J$1:J674,$J674,$K$1:K674,K674,$L$1:L674,L674),COUNTIFS($H$1:H674,$H674,$I$1:I674,$I674,$J$1:J674,$J674,$K$1:K674,K674,$L$1:L674,L674)))</f>
        <v>010</v>
      </c>
      <c r="N67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74" s="14" t="e">
        <f>+LEN(Table4[[#This Row],[New Item Code]])</f>
        <v>#N/A</v>
      </c>
      <c r="P674" s="15" t="s">
        <v>4747</v>
      </c>
      <c r="Q674" s="15" t="s">
        <v>4749</v>
      </c>
      <c r="R674" s="15"/>
      <c r="S674" s="15"/>
      <c r="T674" s="15" t="s">
        <v>4693</v>
      </c>
    </row>
    <row r="675" spans="1:20" x14ac:dyDescent="0.35">
      <c r="A675" s="3" t="s">
        <v>1354</v>
      </c>
      <c r="B675" s="3" t="s">
        <v>1355</v>
      </c>
      <c r="C675" s="3" t="s">
        <v>15</v>
      </c>
      <c r="D675" s="3">
        <v>92.332999999999998</v>
      </c>
      <c r="E675" s="3" t="s">
        <v>10</v>
      </c>
      <c r="F675" s="3">
        <v>3</v>
      </c>
      <c r="G675" s="21">
        <f>Table4[[#This Row],[Item Cost]]*Table4[[#This Row],[In Stock]]</f>
        <v>276.99900000000002</v>
      </c>
      <c r="H675" s="12" t="s">
        <v>4661</v>
      </c>
      <c r="I675" s="13" t="s">
        <v>4666</v>
      </c>
      <c r="J675" s="13" t="s">
        <v>4693</v>
      </c>
      <c r="K675" s="13" t="s">
        <v>4672</v>
      </c>
      <c r="L675" s="12" t="s">
        <v>4672</v>
      </c>
      <c r="M675" s="17" t="str">
        <f>IF(LEN(COUNTIFS($H$1:H675,$H675,$I$1:I675,$I675,$J$1:J675,$J675,$K$1:K675,K675,$L$1:L675,L675))=1,"00"&amp;COUNTIFS($H$1:H675,$H675,$I$1:I675,$I675,$J$1:J675,$J675,$K$1:K675,K675,$L$1:L675,L675),IF(LEN(COUNTIFS($H$1:H675,$H675,$I$1:I675,$I675,$J$1:J675,$J675,$K$1:K675,K675,$L$1:L675,L675))=2,"0"&amp;COUNTIFS($H$1:H675,$H675,$I$1:I675,$I675,$J$1:J675,$J675,$K$1:K675,K675,$L$1:L675,L675),COUNTIFS($H$1:H675,$H675,$I$1:I675,$I675,$J$1:J675,$J675,$K$1:K675,K675,$L$1:L675,L675)))</f>
        <v>011</v>
      </c>
      <c r="N67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75" s="14" t="e">
        <f>+LEN(Table4[[#This Row],[New Item Code]])</f>
        <v>#N/A</v>
      </c>
      <c r="P675" s="15" t="s">
        <v>4747</v>
      </c>
      <c r="Q675" s="15" t="s">
        <v>4749</v>
      </c>
      <c r="R675" s="15"/>
      <c r="S675" s="15"/>
      <c r="T675" s="15" t="s">
        <v>4693</v>
      </c>
    </row>
    <row r="676" spans="1:20" x14ac:dyDescent="0.35">
      <c r="A676" s="2" t="s">
        <v>1356</v>
      </c>
      <c r="B676" s="2" t="s">
        <v>1357</v>
      </c>
      <c r="C676" s="2" t="s">
        <v>15</v>
      </c>
      <c r="D676" s="2">
        <v>198.47</v>
      </c>
      <c r="E676" s="2" t="s">
        <v>10</v>
      </c>
      <c r="F676" s="2">
        <v>0</v>
      </c>
      <c r="G676" s="22">
        <f>Table4[[#This Row],[Item Cost]]*Table4[[#This Row],[In Stock]]</f>
        <v>0</v>
      </c>
      <c r="H676" s="12" t="s">
        <v>4661</v>
      </c>
      <c r="I676" s="13" t="s">
        <v>4666</v>
      </c>
      <c r="J676" s="13" t="s">
        <v>4693</v>
      </c>
      <c r="K676" s="13" t="s">
        <v>4672</v>
      </c>
      <c r="L676" s="12" t="s">
        <v>4672</v>
      </c>
      <c r="M676" s="17" t="str">
        <f>IF(LEN(COUNTIFS($H$1:H676,$H676,$I$1:I676,$I676,$J$1:J676,$J676,$K$1:K676,K676,$L$1:L676,L676))=1,"00"&amp;COUNTIFS($H$1:H676,$H676,$I$1:I676,$I676,$J$1:J676,$J676,$K$1:K676,K676,$L$1:L676,L676),IF(LEN(COUNTIFS($H$1:H676,$H676,$I$1:I676,$I676,$J$1:J676,$J676,$K$1:K676,K676,$L$1:L676,L676))=2,"0"&amp;COUNTIFS($H$1:H676,$H676,$I$1:I676,$I676,$J$1:J676,$J676,$K$1:K676,K676,$L$1:L676,L676),COUNTIFS($H$1:H676,$H676,$I$1:I676,$I676,$J$1:J676,$J676,$K$1:K676,K676,$L$1:L676,L676)))</f>
        <v>012</v>
      </c>
      <c r="N67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76" s="14" t="e">
        <f>+LEN(Table4[[#This Row],[New Item Code]])</f>
        <v>#N/A</v>
      </c>
      <c r="P676" s="15" t="s">
        <v>4747</v>
      </c>
      <c r="Q676" s="15" t="s">
        <v>4749</v>
      </c>
      <c r="R676" s="15"/>
      <c r="S676" s="15"/>
      <c r="T676" s="15" t="s">
        <v>4693</v>
      </c>
    </row>
    <row r="677" spans="1:20" x14ac:dyDescent="0.35">
      <c r="A677" s="3" t="s">
        <v>1358</v>
      </c>
      <c r="B677" s="3" t="s">
        <v>1359</v>
      </c>
      <c r="C677" s="3" t="s">
        <v>15</v>
      </c>
      <c r="D677" s="3">
        <v>0</v>
      </c>
      <c r="E677" s="3" t="s">
        <v>10</v>
      </c>
      <c r="F677" s="3">
        <v>0</v>
      </c>
      <c r="G677" s="21">
        <f>Table4[[#This Row],[Item Cost]]*Table4[[#This Row],[In Stock]]</f>
        <v>0</v>
      </c>
      <c r="H677" s="12" t="s">
        <v>4661</v>
      </c>
      <c r="I677" s="13" t="s">
        <v>4666</v>
      </c>
      <c r="J677" s="13" t="s">
        <v>4693</v>
      </c>
      <c r="K677" s="13" t="s">
        <v>4672</v>
      </c>
      <c r="L677" s="12" t="s">
        <v>4672</v>
      </c>
      <c r="M677" s="17" t="str">
        <f>IF(LEN(COUNTIFS($H$1:H677,$H677,$I$1:I677,$I677,$J$1:J677,$J677,$K$1:K677,K677,$L$1:L677,L677))=1,"00"&amp;COUNTIFS($H$1:H677,$H677,$I$1:I677,$I677,$J$1:J677,$J677,$K$1:K677,K677,$L$1:L677,L677),IF(LEN(COUNTIFS($H$1:H677,$H677,$I$1:I677,$I677,$J$1:J677,$J677,$K$1:K677,K677,$L$1:L677,L677))=2,"0"&amp;COUNTIFS($H$1:H677,$H677,$I$1:I677,$I677,$J$1:J677,$J677,$K$1:K677,K677,$L$1:L677,L677),COUNTIFS($H$1:H677,$H677,$I$1:I677,$I677,$J$1:J677,$J677,$K$1:K677,K677,$L$1:L677,L677)))</f>
        <v>013</v>
      </c>
      <c r="N67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77" s="14" t="e">
        <f>+LEN(Table4[[#This Row],[New Item Code]])</f>
        <v>#N/A</v>
      </c>
      <c r="P677" s="15" t="s">
        <v>4747</v>
      </c>
      <c r="Q677" s="15" t="s">
        <v>4749</v>
      </c>
      <c r="R677" s="15"/>
      <c r="S677" s="15"/>
      <c r="T677" s="15" t="s">
        <v>4693</v>
      </c>
    </row>
    <row r="678" spans="1:20" x14ac:dyDescent="0.35">
      <c r="A678" s="2" t="s">
        <v>1360</v>
      </c>
      <c r="B678" s="2" t="s">
        <v>1361</v>
      </c>
      <c r="C678" s="2" t="s">
        <v>15</v>
      </c>
      <c r="D678" s="2">
        <v>125</v>
      </c>
      <c r="E678" s="2" t="s">
        <v>10</v>
      </c>
      <c r="F678" s="2">
        <v>0</v>
      </c>
      <c r="G678" s="22">
        <f>Table4[[#This Row],[Item Cost]]*Table4[[#This Row],[In Stock]]</f>
        <v>0</v>
      </c>
      <c r="H678" s="12" t="s">
        <v>4661</v>
      </c>
      <c r="I678" s="13" t="s">
        <v>4666</v>
      </c>
      <c r="J678" s="13" t="s">
        <v>4693</v>
      </c>
      <c r="K678" s="13" t="s">
        <v>4672</v>
      </c>
      <c r="L678" s="12" t="s">
        <v>4672</v>
      </c>
      <c r="M678" s="17" t="str">
        <f>IF(LEN(COUNTIFS($H$1:H678,$H678,$I$1:I678,$I678,$J$1:J678,$J678,$K$1:K678,K678,$L$1:L678,L678))=1,"00"&amp;COUNTIFS($H$1:H678,$H678,$I$1:I678,$I678,$J$1:J678,$J678,$K$1:K678,K678,$L$1:L678,L678),IF(LEN(COUNTIFS($H$1:H678,$H678,$I$1:I678,$I678,$J$1:J678,$J678,$K$1:K678,K678,$L$1:L678,L678))=2,"0"&amp;COUNTIFS($H$1:H678,$H678,$I$1:I678,$I678,$J$1:J678,$J678,$K$1:K678,K678,$L$1:L678,L678),COUNTIFS($H$1:H678,$H678,$I$1:I678,$I678,$J$1:J678,$J678,$K$1:K678,K678,$L$1:L678,L678)))</f>
        <v>014</v>
      </c>
      <c r="N67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78" s="14" t="e">
        <f>+LEN(Table4[[#This Row],[New Item Code]])</f>
        <v>#N/A</v>
      </c>
      <c r="P678" s="15" t="s">
        <v>4747</v>
      </c>
      <c r="Q678" s="15" t="s">
        <v>4749</v>
      </c>
      <c r="R678" s="15"/>
      <c r="S678" s="15"/>
      <c r="T678" s="15" t="s">
        <v>4693</v>
      </c>
    </row>
    <row r="679" spans="1:20" x14ac:dyDescent="0.35">
      <c r="A679" s="3" t="s">
        <v>1362</v>
      </c>
      <c r="B679" s="3" t="s">
        <v>1363</v>
      </c>
      <c r="C679" s="3" t="s">
        <v>15</v>
      </c>
      <c r="D679" s="3">
        <v>33</v>
      </c>
      <c r="E679" s="3" t="s">
        <v>10</v>
      </c>
      <c r="F679" s="3">
        <v>1</v>
      </c>
      <c r="G679" s="21">
        <f>Table4[[#This Row],[Item Cost]]*Table4[[#This Row],[In Stock]]</f>
        <v>33</v>
      </c>
      <c r="H679" s="12" t="s">
        <v>4661</v>
      </c>
      <c r="I679" s="13" t="s">
        <v>4666</v>
      </c>
      <c r="J679" s="13" t="s">
        <v>4693</v>
      </c>
      <c r="K679" s="13" t="s">
        <v>4672</v>
      </c>
      <c r="L679" s="12" t="s">
        <v>4672</v>
      </c>
      <c r="M679" s="17" t="str">
        <f>IF(LEN(COUNTIFS($H$1:H679,$H679,$I$1:I679,$I679,$J$1:J679,$J679,$K$1:K679,K679,$L$1:L679,L679))=1,"00"&amp;COUNTIFS($H$1:H679,$H679,$I$1:I679,$I679,$J$1:J679,$J679,$K$1:K679,K679,$L$1:L679,L679),IF(LEN(COUNTIFS($H$1:H679,$H679,$I$1:I679,$I679,$J$1:J679,$J679,$K$1:K679,K679,$L$1:L679,L679))=2,"0"&amp;COUNTIFS($H$1:H679,$H679,$I$1:I679,$I679,$J$1:J679,$J679,$K$1:K679,K679,$L$1:L679,L679),COUNTIFS($H$1:H679,$H679,$I$1:I679,$I679,$J$1:J679,$J679,$K$1:K679,K679,$L$1:L679,L679)))</f>
        <v>015</v>
      </c>
      <c r="N67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79" s="14" t="e">
        <f>+LEN(Table4[[#This Row],[New Item Code]])</f>
        <v>#N/A</v>
      </c>
      <c r="P679" s="15" t="s">
        <v>4747</v>
      </c>
      <c r="Q679" s="15" t="s">
        <v>4749</v>
      </c>
      <c r="R679" s="15"/>
      <c r="S679" s="15"/>
      <c r="T679" s="15" t="s">
        <v>4693</v>
      </c>
    </row>
    <row r="680" spans="1:20" x14ac:dyDescent="0.35">
      <c r="A680" s="2" t="s">
        <v>1364</v>
      </c>
      <c r="B680" s="2" t="s">
        <v>1365</v>
      </c>
      <c r="C680" s="2" t="s">
        <v>15</v>
      </c>
      <c r="D680" s="2">
        <v>135</v>
      </c>
      <c r="E680" s="2" t="s">
        <v>10</v>
      </c>
      <c r="F680" s="2">
        <v>8</v>
      </c>
      <c r="G680" s="22">
        <f>Table4[[#This Row],[Item Cost]]*Table4[[#This Row],[In Stock]]</f>
        <v>1080</v>
      </c>
      <c r="H680" s="12" t="s">
        <v>4661</v>
      </c>
      <c r="I680" s="13" t="s">
        <v>4666</v>
      </c>
      <c r="J680" s="13" t="s">
        <v>4693</v>
      </c>
      <c r="K680" s="13" t="s">
        <v>4672</v>
      </c>
      <c r="L680" s="12" t="s">
        <v>4672</v>
      </c>
      <c r="M680" s="17" t="str">
        <f>IF(LEN(COUNTIFS($H$1:H680,$H680,$I$1:I680,$I680,$J$1:J680,$J680,$K$1:K680,K680,$L$1:L680,L680))=1,"00"&amp;COUNTIFS($H$1:H680,$H680,$I$1:I680,$I680,$J$1:J680,$J680,$K$1:K680,K680,$L$1:L680,L680),IF(LEN(COUNTIFS($H$1:H680,$H680,$I$1:I680,$I680,$J$1:J680,$J680,$K$1:K680,K680,$L$1:L680,L680))=2,"0"&amp;COUNTIFS($H$1:H680,$H680,$I$1:I680,$I680,$J$1:J680,$J680,$K$1:K680,K680,$L$1:L680,L680),COUNTIFS($H$1:H680,$H680,$I$1:I680,$I680,$J$1:J680,$J680,$K$1:K680,K680,$L$1:L680,L680)))</f>
        <v>016</v>
      </c>
      <c r="N68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80" s="14" t="e">
        <f>+LEN(Table4[[#This Row],[New Item Code]])</f>
        <v>#N/A</v>
      </c>
      <c r="P680" s="15" t="s">
        <v>4747</v>
      </c>
      <c r="Q680" s="15" t="s">
        <v>4749</v>
      </c>
      <c r="R680" s="15"/>
      <c r="S680" s="15"/>
      <c r="T680" s="15" t="s">
        <v>4693</v>
      </c>
    </row>
    <row r="681" spans="1:20" x14ac:dyDescent="0.35">
      <c r="A681" s="3" t="s">
        <v>1366</v>
      </c>
      <c r="B681" s="3" t="s">
        <v>1367</v>
      </c>
      <c r="C681" s="3" t="s">
        <v>15</v>
      </c>
      <c r="D681" s="5">
        <v>1200</v>
      </c>
      <c r="E681" s="3" t="s">
        <v>10</v>
      </c>
      <c r="F681" s="3">
        <v>20</v>
      </c>
      <c r="G681" s="21">
        <f>Table4[[#This Row],[Item Cost]]*Table4[[#This Row],[In Stock]]</f>
        <v>24000</v>
      </c>
      <c r="H681" s="12" t="s">
        <v>4661</v>
      </c>
      <c r="I681" s="13" t="s">
        <v>4666</v>
      </c>
      <c r="J681" s="13" t="s">
        <v>4693</v>
      </c>
      <c r="K681" s="13" t="s">
        <v>4672</v>
      </c>
      <c r="L681" s="12" t="s">
        <v>4672</v>
      </c>
      <c r="M681" s="17" t="str">
        <f>IF(LEN(COUNTIFS($H$1:H681,$H681,$I$1:I681,$I681,$J$1:J681,$J681,$K$1:K681,K681,$L$1:L681,L681))=1,"00"&amp;COUNTIFS($H$1:H681,$H681,$I$1:I681,$I681,$J$1:J681,$J681,$K$1:K681,K681,$L$1:L681,L681),IF(LEN(COUNTIFS($H$1:H681,$H681,$I$1:I681,$I681,$J$1:J681,$J681,$K$1:K681,K681,$L$1:L681,L681))=2,"0"&amp;COUNTIFS($H$1:H681,$H681,$I$1:I681,$I681,$J$1:J681,$J681,$K$1:K681,K681,$L$1:L681,L681),COUNTIFS($H$1:H681,$H681,$I$1:I681,$I681,$J$1:J681,$J681,$K$1:K681,K681,$L$1:L681,L681)))</f>
        <v>017</v>
      </c>
      <c r="N68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81" s="14" t="e">
        <f>+LEN(Table4[[#This Row],[New Item Code]])</f>
        <v>#N/A</v>
      </c>
      <c r="P681" s="15" t="s">
        <v>4747</v>
      </c>
      <c r="Q681" s="15" t="s">
        <v>4749</v>
      </c>
      <c r="R681" s="15"/>
      <c r="S681" s="15"/>
      <c r="T681" s="15" t="s">
        <v>4693</v>
      </c>
    </row>
    <row r="682" spans="1:20" x14ac:dyDescent="0.35">
      <c r="A682" s="2" t="s">
        <v>1368</v>
      </c>
      <c r="B682" s="2" t="s">
        <v>1369</v>
      </c>
      <c r="C682" s="2" t="s">
        <v>15</v>
      </c>
      <c r="D682" s="2">
        <v>0</v>
      </c>
      <c r="E682" s="2" t="s">
        <v>10</v>
      </c>
      <c r="F682" s="2">
        <v>0</v>
      </c>
      <c r="G682" s="22">
        <f>Table4[[#This Row],[Item Cost]]*Table4[[#This Row],[In Stock]]</f>
        <v>0</v>
      </c>
      <c r="H682" s="12" t="s">
        <v>4661</v>
      </c>
      <c r="I682" s="13" t="s">
        <v>4666</v>
      </c>
      <c r="J682" s="13" t="s">
        <v>4693</v>
      </c>
      <c r="K682" s="13" t="s">
        <v>4672</v>
      </c>
      <c r="L682" s="12" t="s">
        <v>4672</v>
      </c>
      <c r="M682" s="17" t="str">
        <f>IF(LEN(COUNTIFS($H$1:H682,$H682,$I$1:I682,$I682,$J$1:J682,$J682,$K$1:K682,K682,$L$1:L682,L682))=1,"00"&amp;COUNTIFS($H$1:H682,$H682,$I$1:I682,$I682,$J$1:J682,$J682,$K$1:K682,K682,$L$1:L682,L682),IF(LEN(COUNTIFS($H$1:H682,$H682,$I$1:I682,$I682,$J$1:J682,$J682,$K$1:K682,K682,$L$1:L682,L682))=2,"0"&amp;COUNTIFS($H$1:H682,$H682,$I$1:I682,$I682,$J$1:J682,$J682,$K$1:K682,K682,$L$1:L682,L682),COUNTIFS($H$1:H682,$H682,$I$1:I682,$I682,$J$1:J682,$J682,$K$1:K682,K682,$L$1:L682,L682)))</f>
        <v>018</v>
      </c>
      <c r="N68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82" s="14" t="e">
        <f>+LEN(Table4[[#This Row],[New Item Code]])</f>
        <v>#N/A</v>
      </c>
      <c r="P682" s="15" t="s">
        <v>4747</v>
      </c>
      <c r="Q682" s="15" t="s">
        <v>4749</v>
      </c>
      <c r="R682" s="15"/>
      <c r="S682" s="15"/>
      <c r="T682" s="15" t="s">
        <v>4693</v>
      </c>
    </row>
    <row r="683" spans="1:20" x14ac:dyDescent="0.35">
      <c r="A683" s="3" t="s">
        <v>1370</v>
      </c>
      <c r="B683" s="3" t="s">
        <v>1371</v>
      </c>
      <c r="C683" s="3" t="s">
        <v>15</v>
      </c>
      <c r="D683" s="3">
        <v>0</v>
      </c>
      <c r="E683" s="3" t="s">
        <v>10</v>
      </c>
      <c r="F683" s="3">
        <v>0</v>
      </c>
      <c r="G683" s="21">
        <f>Table4[[#This Row],[Item Cost]]*Table4[[#This Row],[In Stock]]</f>
        <v>0</v>
      </c>
      <c r="H683" s="12" t="s">
        <v>4661</v>
      </c>
      <c r="I683" s="13" t="s">
        <v>4666</v>
      </c>
      <c r="J683" s="13" t="s">
        <v>4693</v>
      </c>
      <c r="K683" s="13" t="s">
        <v>4672</v>
      </c>
      <c r="L683" s="12" t="s">
        <v>4672</v>
      </c>
      <c r="M683" s="17" t="str">
        <f>IF(LEN(COUNTIFS($H$1:H683,$H683,$I$1:I683,$I683,$J$1:J683,$J683,$K$1:K683,K683,$L$1:L683,L683))=1,"00"&amp;COUNTIFS($H$1:H683,$H683,$I$1:I683,$I683,$J$1:J683,$J683,$K$1:K683,K683,$L$1:L683,L683),IF(LEN(COUNTIFS($H$1:H683,$H683,$I$1:I683,$I683,$J$1:J683,$J683,$K$1:K683,K683,$L$1:L683,L683))=2,"0"&amp;COUNTIFS($H$1:H683,$H683,$I$1:I683,$I683,$J$1:J683,$J683,$K$1:K683,K683,$L$1:L683,L683),COUNTIFS($H$1:H683,$H683,$I$1:I683,$I683,$J$1:J683,$J683,$K$1:K683,K683,$L$1:L683,L683)))</f>
        <v>019</v>
      </c>
      <c r="N68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83" s="14" t="e">
        <f>+LEN(Table4[[#This Row],[New Item Code]])</f>
        <v>#N/A</v>
      </c>
      <c r="P683" s="15" t="s">
        <v>4747</v>
      </c>
      <c r="Q683" s="15" t="s">
        <v>4749</v>
      </c>
      <c r="R683" s="15"/>
      <c r="S683" s="15"/>
      <c r="T683" s="15" t="s">
        <v>4693</v>
      </c>
    </row>
    <row r="684" spans="1:20" x14ac:dyDescent="0.35">
      <c r="A684" s="2" t="s">
        <v>1372</v>
      </c>
      <c r="B684" s="2" t="s">
        <v>1373</v>
      </c>
      <c r="C684" s="2" t="s">
        <v>15</v>
      </c>
      <c r="D684" s="2">
        <v>0</v>
      </c>
      <c r="E684" s="2" t="s">
        <v>10</v>
      </c>
      <c r="F684" s="2">
        <v>0</v>
      </c>
      <c r="G684" s="22">
        <f>Table4[[#This Row],[Item Cost]]*Table4[[#This Row],[In Stock]]</f>
        <v>0</v>
      </c>
      <c r="H684" s="12" t="s">
        <v>4661</v>
      </c>
      <c r="I684" s="13" t="s">
        <v>4666</v>
      </c>
      <c r="J684" s="13" t="s">
        <v>4693</v>
      </c>
      <c r="K684" s="13" t="s">
        <v>4672</v>
      </c>
      <c r="L684" s="12" t="s">
        <v>4672</v>
      </c>
      <c r="M684" s="17" t="str">
        <f>IF(LEN(COUNTIFS($H$1:H684,$H684,$I$1:I684,$I684,$J$1:J684,$J684,$K$1:K684,K684,$L$1:L684,L684))=1,"00"&amp;COUNTIFS($H$1:H684,$H684,$I$1:I684,$I684,$J$1:J684,$J684,$K$1:K684,K684,$L$1:L684,L684),IF(LEN(COUNTIFS($H$1:H684,$H684,$I$1:I684,$I684,$J$1:J684,$J684,$K$1:K684,K684,$L$1:L684,L684))=2,"0"&amp;COUNTIFS($H$1:H684,$H684,$I$1:I684,$I684,$J$1:J684,$J684,$K$1:K684,K684,$L$1:L684,L684),COUNTIFS($H$1:H684,$H684,$I$1:I684,$I684,$J$1:J684,$J684,$K$1:K684,K684,$L$1:L684,L684)))</f>
        <v>020</v>
      </c>
      <c r="N68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84" s="14" t="e">
        <f>+LEN(Table4[[#This Row],[New Item Code]])</f>
        <v>#N/A</v>
      </c>
      <c r="P684" s="15" t="s">
        <v>4747</v>
      </c>
      <c r="Q684" s="15" t="s">
        <v>4749</v>
      </c>
      <c r="R684" s="15"/>
      <c r="S684" s="15"/>
      <c r="T684" s="15" t="s">
        <v>4693</v>
      </c>
    </row>
    <row r="685" spans="1:20" x14ac:dyDescent="0.35">
      <c r="A685" s="3" t="s">
        <v>1374</v>
      </c>
      <c r="B685" s="3" t="s">
        <v>1375</v>
      </c>
      <c r="C685" s="3" t="s">
        <v>15</v>
      </c>
      <c r="D685" s="3">
        <v>0</v>
      </c>
      <c r="E685" s="3" t="s">
        <v>10</v>
      </c>
      <c r="F685" s="3">
        <v>0</v>
      </c>
      <c r="G685" s="21">
        <f>Table4[[#This Row],[Item Cost]]*Table4[[#This Row],[In Stock]]</f>
        <v>0</v>
      </c>
      <c r="H685" s="12" t="s">
        <v>4661</v>
      </c>
      <c r="I685" s="13" t="s">
        <v>4666</v>
      </c>
      <c r="J685" s="13" t="s">
        <v>4693</v>
      </c>
      <c r="K685" s="13" t="s">
        <v>4672</v>
      </c>
      <c r="L685" s="12" t="s">
        <v>4672</v>
      </c>
      <c r="M685" s="17" t="str">
        <f>IF(LEN(COUNTIFS($H$1:H685,$H685,$I$1:I685,$I685,$J$1:J685,$J685,$K$1:K685,K685,$L$1:L685,L685))=1,"00"&amp;COUNTIFS($H$1:H685,$H685,$I$1:I685,$I685,$J$1:J685,$J685,$K$1:K685,K685,$L$1:L685,L685),IF(LEN(COUNTIFS($H$1:H685,$H685,$I$1:I685,$I685,$J$1:J685,$J685,$K$1:K685,K685,$L$1:L685,L685))=2,"0"&amp;COUNTIFS($H$1:H685,$H685,$I$1:I685,$I685,$J$1:J685,$J685,$K$1:K685,K685,$L$1:L685,L685),COUNTIFS($H$1:H685,$H685,$I$1:I685,$I685,$J$1:J685,$J685,$K$1:K685,K685,$L$1:L685,L685)))</f>
        <v>021</v>
      </c>
      <c r="N68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85" s="14" t="e">
        <f>+LEN(Table4[[#This Row],[New Item Code]])</f>
        <v>#N/A</v>
      </c>
      <c r="P685" s="15" t="s">
        <v>4747</v>
      </c>
      <c r="Q685" s="15" t="s">
        <v>4749</v>
      </c>
      <c r="R685" s="15"/>
      <c r="S685" s="15"/>
      <c r="T685" s="15" t="s">
        <v>4693</v>
      </c>
    </row>
    <row r="686" spans="1:20" x14ac:dyDescent="0.35">
      <c r="A686" s="2" t="s">
        <v>1376</v>
      </c>
      <c r="B686" s="2" t="s">
        <v>1377</v>
      </c>
      <c r="C686" s="2" t="s">
        <v>15</v>
      </c>
      <c r="D686" s="2">
        <v>33</v>
      </c>
      <c r="E686" s="2" t="s">
        <v>10</v>
      </c>
      <c r="F686" s="2">
        <v>1</v>
      </c>
      <c r="G686" s="22">
        <f>Table4[[#This Row],[Item Cost]]*Table4[[#This Row],[In Stock]]</f>
        <v>33</v>
      </c>
      <c r="H686" s="12" t="s">
        <v>4661</v>
      </c>
      <c r="I686" s="13" t="s">
        <v>4666</v>
      </c>
      <c r="J686" s="13" t="s">
        <v>4693</v>
      </c>
      <c r="K686" s="13" t="s">
        <v>4672</v>
      </c>
      <c r="L686" s="12" t="s">
        <v>4672</v>
      </c>
      <c r="M686" s="17" t="str">
        <f>IF(LEN(COUNTIFS($H$1:H686,$H686,$I$1:I686,$I686,$J$1:J686,$J686,$K$1:K686,K686,$L$1:L686,L686))=1,"00"&amp;COUNTIFS($H$1:H686,$H686,$I$1:I686,$I686,$J$1:J686,$J686,$K$1:K686,K686,$L$1:L686,L686),IF(LEN(COUNTIFS($H$1:H686,$H686,$I$1:I686,$I686,$J$1:J686,$J686,$K$1:K686,K686,$L$1:L686,L686))=2,"0"&amp;COUNTIFS($H$1:H686,$H686,$I$1:I686,$I686,$J$1:J686,$J686,$K$1:K686,K686,$L$1:L686,L686),COUNTIFS($H$1:H686,$H686,$I$1:I686,$I686,$J$1:J686,$J686,$K$1:K686,K686,$L$1:L686,L686)))</f>
        <v>022</v>
      </c>
      <c r="N68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86" s="14" t="e">
        <f>+LEN(Table4[[#This Row],[New Item Code]])</f>
        <v>#N/A</v>
      </c>
      <c r="P686" s="15" t="s">
        <v>4747</v>
      </c>
      <c r="Q686" s="15" t="s">
        <v>4749</v>
      </c>
      <c r="R686" s="15"/>
      <c r="S686" s="15"/>
      <c r="T686" s="15" t="s">
        <v>4693</v>
      </c>
    </row>
    <row r="687" spans="1:20" x14ac:dyDescent="0.35">
      <c r="A687" s="3" t="s">
        <v>1378</v>
      </c>
      <c r="B687" s="3" t="s">
        <v>1379</v>
      </c>
      <c r="C687" s="3" t="s">
        <v>15</v>
      </c>
      <c r="D687" s="3">
        <v>30</v>
      </c>
      <c r="E687" s="3" t="s">
        <v>10</v>
      </c>
      <c r="F687" s="3">
        <v>5</v>
      </c>
      <c r="G687" s="21">
        <f>Table4[[#This Row],[Item Cost]]*Table4[[#This Row],[In Stock]]</f>
        <v>150</v>
      </c>
      <c r="H687" s="12" t="s">
        <v>4661</v>
      </c>
      <c r="I687" s="13" t="s">
        <v>4666</v>
      </c>
      <c r="J687" s="13" t="s">
        <v>4693</v>
      </c>
      <c r="K687" s="13" t="s">
        <v>4672</v>
      </c>
      <c r="L687" s="12" t="s">
        <v>4672</v>
      </c>
      <c r="M687" s="17" t="str">
        <f>IF(LEN(COUNTIFS($H$1:H687,$H687,$I$1:I687,$I687,$J$1:J687,$J687,$K$1:K687,K687,$L$1:L687,L687))=1,"00"&amp;COUNTIFS($H$1:H687,$H687,$I$1:I687,$I687,$J$1:J687,$J687,$K$1:K687,K687,$L$1:L687,L687),IF(LEN(COUNTIFS($H$1:H687,$H687,$I$1:I687,$I687,$J$1:J687,$J687,$K$1:K687,K687,$L$1:L687,L687))=2,"0"&amp;COUNTIFS($H$1:H687,$H687,$I$1:I687,$I687,$J$1:J687,$J687,$K$1:K687,K687,$L$1:L687,L687),COUNTIFS($H$1:H687,$H687,$I$1:I687,$I687,$J$1:J687,$J687,$K$1:K687,K687,$L$1:L687,L687)))</f>
        <v>023</v>
      </c>
      <c r="N68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87" s="14" t="e">
        <f>+LEN(Table4[[#This Row],[New Item Code]])</f>
        <v>#N/A</v>
      </c>
      <c r="P687" s="15" t="s">
        <v>4747</v>
      </c>
      <c r="Q687" s="15" t="s">
        <v>4749</v>
      </c>
      <c r="R687" s="15"/>
      <c r="S687" s="15"/>
      <c r="T687" s="15" t="s">
        <v>4693</v>
      </c>
    </row>
    <row r="688" spans="1:20" x14ac:dyDescent="0.35">
      <c r="A688" s="2" t="s">
        <v>1380</v>
      </c>
      <c r="B688" s="2" t="s">
        <v>1381</v>
      </c>
      <c r="C688" s="2" t="s">
        <v>15</v>
      </c>
      <c r="D688" s="2">
        <v>277</v>
      </c>
      <c r="E688" s="2" t="s">
        <v>10</v>
      </c>
      <c r="F688" s="2">
        <v>1</v>
      </c>
      <c r="G688" s="22">
        <f>Table4[[#This Row],[Item Cost]]*Table4[[#This Row],[In Stock]]</f>
        <v>277</v>
      </c>
      <c r="H688" s="12" t="s">
        <v>4661</v>
      </c>
      <c r="I688" s="13" t="s">
        <v>4666</v>
      </c>
      <c r="J688" s="13" t="s">
        <v>4693</v>
      </c>
      <c r="K688" s="13" t="s">
        <v>4672</v>
      </c>
      <c r="L688" s="12" t="s">
        <v>4672</v>
      </c>
      <c r="M688" s="17" t="str">
        <f>IF(LEN(COUNTIFS($H$1:H688,$H688,$I$1:I688,$I688,$J$1:J688,$J688,$K$1:K688,K688,$L$1:L688,L688))=1,"00"&amp;COUNTIFS($H$1:H688,$H688,$I$1:I688,$I688,$J$1:J688,$J688,$K$1:K688,K688,$L$1:L688,L688),IF(LEN(COUNTIFS($H$1:H688,$H688,$I$1:I688,$I688,$J$1:J688,$J688,$K$1:K688,K688,$L$1:L688,L688))=2,"0"&amp;COUNTIFS($H$1:H688,$H688,$I$1:I688,$I688,$J$1:J688,$J688,$K$1:K688,K688,$L$1:L688,L688),COUNTIFS($H$1:H688,$H688,$I$1:I688,$I688,$J$1:J688,$J688,$K$1:K688,K688,$L$1:L688,L688)))</f>
        <v>024</v>
      </c>
      <c r="N68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88" s="14" t="e">
        <f>+LEN(Table4[[#This Row],[New Item Code]])</f>
        <v>#N/A</v>
      </c>
      <c r="P688" s="15" t="s">
        <v>4747</v>
      </c>
      <c r="Q688" s="15" t="s">
        <v>4749</v>
      </c>
      <c r="R688" s="15"/>
      <c r="S688" s="15"/>
      <c r="T688" s="15" t="s">
        <v>4693</v>
      </c>
    </row>
    <row r="689" spans="1:20" x14ac:dyDescent="0.35">
      <c r="A689" s="3" t="s">
        <v>1382</v>
      </c>
      <c r="B689" s="3" t="s">
        <v>1383</v>
      </c>
      <c r="C689" s="3" t="s">
        <v>15</v>
      </c>
      <c r="D689" s="3">
        <v>20</v>
      </c>
      <c r="E689" s="3" t="s">
        <v>10</v>
      </c>
      <c r="F689" s="3">
        <v>5</v>
      </c>
      <c r="G689" s="21">
        <f>Table4[[#This Row],[Item Cost]]*Table4[[#This Row],[In Stock]]</f>
        <v>100</v>
      </c>
      <c r="H689" s="12" t="s">
        <v>4661</v>
      </c>
      <c r="I689" s="13" t="s">
        <v>4666</v>
      </c>
      <c r="J689" s="13" t="s">
        <v>4693</v>
      </c>
      <c r="K689" s="13" t="s">
        <v>4672</v>
      </c>
      <c r="L689" s="12" t="s">
        <v>4672</v>
      </c>
      <c r="M689" s="17" t="str">
        <f>IF(LEN(COUNTIFS($H$1:H689,$H689,$I$1:I689,$I689,$J$1:J689,$J689,$K$1:K689,K689,$L$1:L689,L689))=1,"00"&amp;COUNTIFS($H$1:H689,$H689,$I$1:I689,$I689,$J$1:J689,$J689,$K$1:K689,K689,$L$1:L689,L689),IF(LEN(COUNTIFS($H$1:H689,$H689,$I$1:I689,$I689,$J$1:J689,$J689,$K$1:K689,K689,$L$1:L689,L689))=2,"0"&amp;COUNTIFS($H$1:H689,$H689,$I$1:I689,$I689,$J$1:J689,$J689,$K$1:K689,K689,$L$1:L689,L689),COUNTIFS($H$1:H689,$H689,$I$1:I689,$I689,$J$1:J689,$J689,$K$1:K689,K689,$L$1:L689,L689)))</f>
        <v>025</v>
      </c>
      <c r="N68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89" s="14" t="e">
        <f>+LEN(Table4[[#This Row],[New Item Code]])</f>
        <v>#N/A</v>
      </c>
      <c r="P689" s="15" t="s">
        <v>4747</v>
      </c>
      <c r="Q689" s="15" t="s">
        <v>4749</v>
      </c>
      <c r="R689" s="15"/>
      <c r="S689" s="15"/>
      <c r="T689" s="15" t="s">
        <v>4693</v>
      </c>
    </row>
    <row r="690" spans="1:20" x14ac:dyDescent="0.35">
      <c r="A690" s="2" t="s">
        <v>1384</v>
      </c>
      <c r="B690" s="2" t="s">
        <v>1385</v>
      </c>
      <c r="C690" s="2" t="s">
        <v>15</v>
      </c>
      <c r="D690" s="2">
        <v>50</v>
      </c>
      <c r="E690" s="2" t="s">
        <v>10</v>
      </c>
      <c r="F690" s="2">
        <v>6</v>
      </c>
      <c r="G690" s="22">
        <f>Table4[[#This Row],[Item Cost]]*Table4[[#This Row],[In Stock]]</f>
        <v>300</v>
      </c>
      <c r="H690" s="12" t="s">
        <v>4661</v>
      </c>
      <c r="I690" s="13" t="s">
        <v>4666</v>
      </c>
      <c r="J690" s="13" t="s">
        <v>4693</v>
      </c>
      <c r="K690" s="13" t="s">
        <v>4672</v>
      </c>
      <c r="L690" s="12" t="s">
        <v>4672</v>
      </c>
      <c r="M690" s="17" t="str">
        <f>IF(LEN(COUNTIFS($H$1:H690,$H690,$I$1:I690,$I690,$J$1:J690,$J690,$K$1:K690,K690,$L$1:L690,L690))=1,"00"&amp;COUNTIFS($H$1:H690,$H690,$I$1:I690,$I690,$J$1:J690,$J690,$K$1:K690,K690,$L$1:L690,L690),IF(LEN(COUNTIFS($H$1:H690,$H690,$I$1:I690,$I690,$J$1:J690,$J690,$K$1:K690,K690,$L$1:L690,L690))=2,"0"&amp;COUNTIFS($H$1:H690,$H690,$I$1:I690,$I690,$J$1:J690,$J690,$K$1:K690,K690,$L$1:L690,L690),COUNTIFS($H$1:H690,$H690,$I$1:I690,$I690,$J$1:J690,$J690,$K$1:K690,K690,$L$1:L690,L690)))</f>
        <v>026</v>
      </c>
      <c r="N69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90" s="14" t="e">
        <f>+LEN(Table4[[#This Row],[New Item Code]])</f>
        <v>#N/A</v>
      </c>
      <c r="P690" s="15" t="s">
        <v>4747</v>
      </c>
      <c r="Q690" s="15" t="s">
        <v>4749</v>
      </c>
      <c r="R690" s="15"/>
      <c r="S690" s="15"/>
      <c r="T690" s="15" t="s">
        <v>4693</v>
      </c>
    </row>
    <row r="691" spans="1:20" x14ac:dyDescent="0.35">
      <c r="A691" s="3" t="s">
        <v>1386</v>
      </c>
      <c r="B691" s="3" t="s">
        <v>1387</v>
      </c>
      <c r="C691" s="3" t="s">
        <v>15</v>
      </c>
      <c r="D691" s="3">
        <v>360</v>
      </c>
      <c r="E691" s="3" t="s">
        <v>10</v>
      </c>
      <c r="F691" s="3">
        <v>9</v>
      </c>
      <c r="G691" s="21">
        <f>Table4[[#This Row],[Item Cost]]*Table4[[#This Row],[In Stock]]</f>
        <v>3240</v>
      </c>
      <c r="H691" s="12" t="s">
        <v>4661</v>
      </c>
      <c r="I691" s="13" t="s">
        <v>4666</v>
      </c>
      <c r="J691" s="13" t="s">
        <v>4693</v>
      </c>
      <c r="K691" s="13" t="s">
        <v>4672</v>
      </c>
      <c r="L691" s="12" t="s">
        <v>4672</v>
      </c>
      <c r="M691" s="17" t="str">
        <f>IF(LEN(COUNTIFS($H$1:H691,$H691,$I$1:I691,$I691,$J$1:J691,$J691,$K$1:K691,K691,$L$1:L691,L691))=1,"00"&amp;COUNTIFS($H$1:H691,$H691,$I$1:I691,$I691,$J$1:J691,$J691,$K$1:K691,K691,$L$1:L691,L691),IF(LEN(COUNTIFS($H$1:H691,$H691,$I$1:I691,$I691,$J$1:J691,$J691,$K$1:K691,K691,$L$1:L691,L691))=2,"0"&amp;COUNTIFS($H$1:H691,$H691,$I$1:I691,$I691,$J$1:J691,$J691,$K$1:K691,K691,$L$1:L691,L691),COUNTIFS($H$1:H691,$H691,$I$1:I691,$I691,$J$1:J691,$J691,$K$1:K691,K691,$L$1:L691,L691)))</f>
        <v>027</v>
      </c>
      <c r="N69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91" s="14" t="e">
        <f>+LEN(Table4[[#This Row],[New Item Code]])</f>
        <v>#N/A</v>
      </c>
      <c r="P691" s="15" t="s">
        <v>4747</v>
      </c>
      <c r="Q691" s="15" t="s">
        <v>4749</v>
      </c>
      <c r="R691" s="15"/>
      <c r="S691" s="15"/>
      <c r="T691" s="15" t="s">
        <v>4693</v>
      </c>
    </row>
    <row r="692" spans="1:20" x14ac:dyDescent="0.35">
      <c r="A692" s="2" t="s">
        <v>1388</v>
      </c>
      <c r="B692" s="2" t="s">
        <v>1389</v>
      </c>
      <c r="C692" s="2" t="s">
        <v>15</v>
      </c>
      <c r="D692" s="2">
        <v>0</v>
      </c>
      <c r="E692" s="2" t="s">
        <v>10</v>
      </c>
      <c r="F692" s="2">
        <v>0</v>
      </c>
      <c r="G692" s="22">
        <f>Table4[[#This Row],[Item Cost]]*Table4[[#This Row],[In Stock]]</f>
        <v>0</v>
      </c>
      <c r="H692" s="12" t="s">
        <v>4661</v>
      </c>
      <c r="I692" s="13" t="s">
        <v>4666</v>
      </c>
      <c r="J692" s="13" t="s">
        <v>4693</v>
      </c>
      <c r="K692" s="13" t="s">
        <v>4672</v>
      </c>
      <c r="L692" s="12" t="s">
        <v>4672</v>
      </c>
      <c r="M692" s="17" t="str">
        <f>IF(LEN(COUNTIFS($H$1:H692,$H692,$I$1:I692,$I692,$J$1:J692,$J692,$K$1:K692,K692,$L$1:L692,L692))=1,"00"&amp;COUNTIFS($H$1:H692,$H692,$I$1:I692,$I692,$J$1:J692,$J692,$K$1:K692,K692,$L$1:L692,L692),IF(LEN(COUNTIFS($H$1:H692,$H692,$I$1:I692,$I692,$J$1:J692,$J692,$K$1:K692,K692,$L$1:L692,L692))=2,"0"&amp;COUNTIFS($H$1:H692,$H692,$I$1:I692,$I692,$J$1:J692,$J692,$K$1:K692,K692,$L$1:L692,L692),COUNTIFS($H$1:H692,$H692,$I$1:I692,$I692,$J$1:J692,$J692,$K$1:K692,K692,$L$1:L692,L692)))</f>
        <v>028</v>
      </c>
      <c r="N69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92" s="14" t="e">
        <f>+LEN(Table4[[#This Row],[New Item Code]])</f>
        <v>#N/A</v>
      </c>
      <c r="P692" s="15" t="s">
        <v>4747</v>
      </c>
      <c r="Q692" s="15" t="s">
        <v>4749</v>
      </c>
      <c r="R692" s="15"/>
      <c r="S692" s="15"/>
      <c r="T692" s="15" t="s">
        <v>4693</v>
      </c>
    </row>
    <row r="693" spans="1:20" x14ac:dyDescent="0.35">
      <c r="A693" s="3" t="s">
        <v>1390</v>
      </c>
      <c r="B693" s="3" t="s">
        <v>1391</v>
      </c>
      <c r="C693" s="3" t="s">
        <v>15</v>
      </c>
      <c r="D693" s="3">
        <v>0</v>
      </c>
      <c r="E693" s="3" t="s">
        <v>10</v>
      </c>
      <c r="F693" s="3">
        <v>0</v>
      </c>
      <c r="G693" s="21">
        <f>Table4[[#This Row],[Item Cost]]*Table4[[#This Row],[In Stock]]</f>
        <v>0</v>
      </c>
      <c r="H693" s="12" t="s">
        <v>4661</v>
      </c>
      <c r="I693" s="13" t="s">
        <v>4666</v>
      </c>
      <c r="J693" s="13" t="s">
        <v>4693</v>
      </c>
      <c r="K693" s="13" t="s">
        <v>4672</v>
      </c>
      <c r="L693" s="12" t="s">
        <v>4672</v>
      </c>
      <c r="M693" s="17" t="str">
        <f>IF(LEN(COUNTIFS($H$1:H693,$H693,$I$1:I693,$I693,$J$1:J693,$J693,$K$1:K693,K693,$L$1:L693,L693))=1,"00"&amp;COUNTIFS($H$1:H693,$H693,$I$1:I693,$I693,$J$1:J693,$J693,$K$1:K693,K693,$L$1:L693,L693),IF(LEN(COUNTIFS($H$1:H693,$H693,$I$1:I693,$I693,$J$1:J693,$J693,$K$1:K693,K693,$L$1:L693,L693))=2,"0"&amp;COUNTIFS($H$1:H693,$H693,$I$1:I693,$I693,$J$1:J693,$J693,$K$1:K693,K693,$L$1:L693,L693),COUNTIFS($H$1:H693,$H693,$I$1:I693,$I693,$J$1:J693,$J693,$K$1:K693,K693,$L$1:L693,L693)))</f>
        <v>029</v>
      </c>
      <c r="N69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93" s="14" t="e">
        <f>+LEN(Table4[[#This Row],[New Item Code]])</f>
        <v>#N/A</v>
      </c>
      <c r="P693" s="15" t="s">
        <v>4747</v>
      </c>
      <c r="Q693" s="15" t="s">
        <v>4749</v>
      </c>
      <c r="R693" s="15"/>
      <c r="S693" s="15"/>
      <c r="T693" s="15" t="s">
        <v>4693</v>
      </c>
    </row>
    <row r="694" spans="1:20" x14ac:dyDescent="0.35">
      <c r="A694" s="2" t="s">
        <v>1392</v>
      </c>
      <c r="B694" s="2" t="s">
        <v>1393</v>
      </c>
      <c r="C694" s="2" t="s">
        <v>15</v>
      </c>
      <c r="D694" s="2">
        <v>0</v>
      </c>
      <c r="E694" s="2" t="s">
        <v>10</v>
      </c>
      <c r="F694" s="2">
        <v>0</v>
      </c>
      <c r="G694" s="22">
        <f>Table4[[#This Row],[Item Cost]]*Table4[[#This Row],[In Stock]]</f>
        <v>0</v>
      </c>
      <c r="H694" s="12" t="s">
        <v>4661</v>
      </c>
      <c r="I694" s="13" t="s">
        <v>4666</v>
      </c>
      <c r="J694" s="13" t="s">
        <v>4693</v>
      </c>
      <c r="K694" s="13" t="s">
        <v>4672</v>
      </c>
      <c r="L694" s="12" t="s">
        <v>4672</v>
      </c>
      <c r="M694" s="17" t="str">
        <f>IF(LEN(COUNTIFS($H$1:H694,$H694,$I$1:I694,$I694,$J$1:J694,$J694,$K$1:K694,K694,$L$1:L694,L694))=1,"00"&amp;COUNTIFS($H$1:H694,$H694,$I$1:I694,$I694,$J$1:J694,$J694,$K$1:K694,K694,$L$1:L694,L694),IF(LEN(COUNTIFS($H$1:H694,$H694,$I$1:I694,$I694,$J$1:J694,$J694,$K$1:K694,K694,$L$1:L694,L694))=2,"0"&amp;COUNTIFS($H$1:H694,$H694,$I$1:I694,$I694,$J$1:J694,$J694,$K$1:K694,K694,$L$1:L694,L694),COUNTIFS($H$1:H694,$H694,$I$1:I694,$I694,$J$1:J694,$J694,$K$1:K694,K694,$L$1:L694,L694)))</f>
        <v>030</v>
      </c>
      <c r="N69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94" s="14" t="e">
        <f>+LEN(Table4[[#This Row],[New Item Code]])</f>
        <v>#N/A</v>
      </c>
      <c r="P694" s="15" t="s">
        <v>4747</v>
      </c>
      <c r="Q694" s="15" t="s">
        <v>4749</v>
      </c>
      <c r="R694" s="15"/>
      <c r="S694" s="15"/>
      <c r="T694" s="15" t="s">
        <v>4693</v>
      </c>
    </row>
    <row r="695" spans="1:20" x14ac:dyDescent="0.35">
      <c r="A695" s="2" t="s">
        <v>1394</v>
      </c>
      <c r="B695" s="2" t="s">
        <v>1395</v>
      </c>
      <c r="C695" s="2" t="s">
        <v>15</v>
      </c>
      <c r="D695" s="2">
        <v>250</v>
      </c>
      <c r="E695" s="2" t="s">
        <v>10</v>
      </c>
      <c r="F695" s="2">
        <v>2</v>
      </c>
      <c r="G695" s="22">
        <f>Table4[[#This Row],[Item Cost]]*Table4[[#This Row],[In Stock]]</f>
        <v>500</v>
      </c>
      <c r="H695" s="12" t="s">
        <v>4661</v>
      </c>
      <c r="I695" s="13" t="s">
        <v>4666</v>
      </c>
      <c r="J695" s="13" t="s">
        <v>4693</v>
      </c>
      <c r="K695" t="s">
        <v>4793</v>
      </c>
      <c r="L695" s="12" t="s">
        <v>4672</v>
      </c>
      <c r="M695" s="17" t="str">
        <f>IF(LEN(COUNTIFS($H$1:H695,$H695,$I$1:I695,$I695,$J$1:J695,$J695,$K$1:K695,K695,$L$1:L695,L695))=1,"00"&amp;COUNTIFS($H$1:H695,$H695,$I$1:I695,$I695,$J$1:J695,$J695,$K$1:K695,K695,$L$1:L695,L695),IF(LEN(COUNTIFS($H$1:H695,$H695,$I$1:I695,$I695,$J$1:J695,$J695,$K$1:K695,K695,$L$1:L695,L695))=2,"0"&amp;COUNTIFS($H$1:H695,$H695,$I$1:I695,$I695,$J$1:J695,$J695,$K$1:K695,K695,$L$1:L695,L695),COUNTIFS($H$1:H695,$H695,$I$1:I695,$I695,$J$1:J695,$J695,$K$1:K695,K695,$L$1:L695,L695)))</f>
        <v>001</v>
      </c>
      <c r="N69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95" s="14" t="e">
        <f>+LEN(Table4[[#This Row],[New Item Code]])</f>
        <v>#N/A</v>
      </c>
      <c r="P695" s="15" t="s">
        <v>4747</v>
      </c>
      <c r="Q695" s="15" t="s">
        <v>4749</v>
      </c>
      <c r="R695" s="15"/>
      <c r="S695" s="15"/>
      <c r="T695" s="15" t="s">
        <v>4693</v>
      </c>
    </row>
    <row r="696" spans="1:20" x14ac:dyDescent="0.35">
      <c r="A696" s="3" t="s">
        <v>1396</v>
      </c>
      <c r="B696" s="3" t="s">
        <v>1397</v>
      </c>
      <c r="C696" s="3" t="s">
        <v>15</v>
      </c>
      <c r="D696" s="3">
        <v>115</v>
      </c>
      <c r="E696" s="3" t="s">
        <v>10</v>
      </c>
      <c r="F696" s="3">
        <v>1</v>
      </c>
      <c r="G696" s="21">
        <f>Table4[[#This Row],[Item Cost]]*Table4[[#This Row],[In Stock]]</f>
        <v>115</v>
      </c>
      <c r="H696" s="12" t="s">
        <v>4661</v>
      </c>
      <c r="I696" s="13" t="s">
        <v>4666</v>
      </c>
      <c r="J696" s="13" t="s">
        <v>4693</v>
      </c>
      <c r="K696" s="13" t="s">
        <v>4672</v>
      </c>
      <c r="L696" s="12" t="s">
        <v>4672</v>
      </c>
      <c r="M696" s="17" t="str">
        <f>IF(LEN(COUNTIFS($H$1:H696,$H696,$I$1:I696,$I696,$J$1:J696,$J696,$K$1:K696,K696,$L$1:L696,L696))=1,"00"&amp;COUNTIFS($H$1:H696,$H696,$I$1:I696,$I696,$J$1:J696,$J696,$K$1:K696,K696,$L$1:L696,L696),IF(LEN(COUNTIFS($H$1:H696,$H696,$I$1:I696,$I696,$J$1:J696,$J696,$K$1:K696,K696,$L$1:L696,L696))=2,"0"&amp;COUNTIFS($H$1:H696,$H696,$I$1:I696,$I696,$J$1:J696,$J696,$K$1:K696,K696,$L$1:L696,L696),COUNTIFS($H$1:H696,$H696,$I$1:I696,$I696,$J$1:J696,$J696,$K$1:K696,K696,$L$1:L696,L696)))</f>
        <v>031</v>
      </c>
      <c r="N69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96" s="14" t="e">
        <f>+LEN(Table4[[#This Row],[New Item Code]])</f>
        <v>#N/A</v>
      </c>
      <c r="P696" s="15" t="s">
        <v>4747</v>
      </c>
      <c r="Q696" s="15" t="s">
        <v>4749</v>
      </c>
      <c r="R696" s="15"/>
      <c r="S696" s="15"/>
      <c r="T696" s="15" t="s">
        <v>4693</v>
      </c>
    </row>
    <row r="697" spans="1:20" x14ac:dyDescent="0.35">
      <c r="A697" s="2" t="s">
        <v>1398</v>
      </c>
      <c r="B697" s="2" t="s">
        <v>1399</v>
      </c>
      <c r="C697" s="2" t="s">
        <v>15</v>
      </c>
      <c r="D697" s="2">
        <v>0</v>
      </c>
      <c r="E697" s="2" t="s">
        <v>10</v>
      </c>
      <c r="F697" s="2">
        <v>0</v>
      </c>
      <c r="G697" s="22">
        <f>Table4[[#This Row],[Item Cost]]*Table4[[#This Row],[In Stock]]</f>
        <v>0</v>
      </c>
      <c r="H697" s="12" t="s">
        <v>4661</v>
      </c>
      <c r="I697" s="13" t="s">
        <v>4666</v>
      </c>
      <c r="J697" s="13" t="s">
        <v>4693</v>
      </c>
      <c r="K697" s="13" t="s">
        <v>4672</v>
      </c>
      <c r="L697" s="12" t="s">
        <v>4672</v>
      </c>
      <c r="M697" s="17" t="str">
        <f>IF(LEN(COUNTIFS($H$1:H697,$H697,$I$1:I697,$I697,$J$1:J697,$J697,$K$1:K697,K697,$L$1:L697,L697))=1,"00"&amp;COUNTIFS($H$1:H697,$H697,$I$1:I697,$I697,$J$1:J697,$J697,$K$1:K697,K697,$L$1:L697,L697),IF(LEN(COUNTIFS($H$1:H697,$H697,$I$1:I697,$I697,$J$1:J697,$J697,$K$1:K697,K697,$L$1:L697,L697))=2,"0"&amp;COUNTIFS($H$1:H697,$H697,$I$1:I697,$I697,$J$1:J697,$J697,$K$1:K697,K697,$L$1:L697,L697),COUNTIFS($H$1:H697,$H697,$I$1:I697,$I697,$J$1:J697,$J697,$K$1:K697,K697,$L$1:L697,L697)))</f>
        <v>032</v>
      </c>
      <c r="N69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97" s="14" t="e">
        <f>+LEN(Table4[[#This Row],[New Item Code]])</f>
        <v>#N/A</v>
      </c>
      <c r="P697" s="15" t="s">
        <v>4747</v>
      </c>
      <c r="Q697" s="15" t="s">
        <v>4749</v>
      </c>
      <c r="R697" s="15"/>
      <c r="S697" s="15"/>
      <c r="T697" s="15" t="s">
        <v>4693</v>
      </c>
    </row>
    <row r="698" spans="1:20" x14ac:dyDescent="0.35">
      <c r="A698" s="3" t="s">
        <v>1400</v>
      </c>
      <c r="B698" s="3" t="s">
        <v>1401</v>
      </c>
      <c r="C698" s="3" t="s">
        <v>15</v>
      </c>
      <c r="D698" s="3">
        <v>0</v>
      </c>
      <c r="E698" s="3" t="s">
        <v>10</v>
      </c>
      <c r="F698" s="3">
        <v>0</v>
      </c>
      <c r="G698" s="21">
        <f>Table4[[#This Row],[Item Cost]]*Table4[[#This Row],[In Stock]]</f>
        <v>0</v>
      </c>
      <c r="H698" s="12" t="s">
        <v>4661</v>
      </c>
      <c r="I698" s="13" t="s">
        <v>4666</v>
      </c>
      <c r="J698" s="13" t="s">
        <v>4693</v>
      </c>
      <c r="K698" s="13" t="s">
        <v>4672</v>
      </c>
      <c r="L698" s="12" t="s">
        <v>4672</v>
      </c>
      <c r="M698" s="17" t="str">
        <f>IF(LEN(COUNTIFS($H$1:H698,$H698,$I$1:I698,$I698,$J$1:J698,$J698,$K$1:K698,K698,$L$1:L698,L698))=1,"00"&amp;COUNTIFS($H$1:H698,$H698,$I$1:I698,$I698,$J$1:J698,$J698,$K$1:K698,K698,$L$1:L698,L698),IF(LEN(COUNTIFS($H$1:H698,$H698,$I$1:I698,$I698,$J$1:J698,$J698,$K$1:K698,K698,$L$1:L698,L698))=2,"0"&amp;COUNTIFS($H$1:H698,$H698,$I$1:I698,$I698,$J$1:J698,$J698,$K$1:K698,K698,$L$1:L698,L698),COUNTIFS($H$1:H698,$H698,$I$1:I698,$I698,$J$1:J698,$J698,$K$1:K698,K698,$L$1:L698,L698)))</f>
        <v>033</v>
      </c>
      <c r="N69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98" s="14" t="e">
        <f>+LEN(Table4[[#This Row],[New Item Code]])</f>
        <v>#N/A</v>
      </c>
      <c r="P698" s="15" t="s">
        <v>4747</v>
      </c>
      <c r="Q698" s="15" t="s">
        <v>4749</v>
      </c>
      <c r="R698" s="15"/>
      <c r="S698" s="15"/>
      <c r="T698" s="15" t="s">
        <v>4693</v>
      </c>
    </row>
    <row r="699" spans="1:20" x14ac:dyDescent="0.35">
      <c r="A699" s="2" t="s">
        <v>1402</v>
      </c>
      <c r="B699" s="2" t="s">
        <v>1403</v>
      </c>
      <c r="C699" s="2" t="s">
        <v>15</v>
      </c>
      <c r="D699" s="2">
        <v>0</v>
      </c>
      <c r="E699" s="2" t="s">
        <v>10</v>
      </c>
      <c r="F699" s="2">
        <v>0</v>
      </c>
      <c r="G699" s="22">
        <f>Table4[[#This Row],[Item Cost]]*Table4[[#This Row],[In Stock]]</f>
        <v>0</v>
      </c>
      <c r="H699" s="12" t="s">
        <v>4661</v>
      </c>
      <c r="I699" s="13" t="s">
        <v>4666</v>
      </c>
      <c r="J699" s="13" t="s">
        <v>4693</v>
      </c>
      <c r="K699" s="13" t="s">
        <v>4672</v>
      </c>
      <c r="L699" s="12" t="s">
        <v>4672</v>
      </c>
      <c r="M699" s="17" t="str">
        <f>IF(LEN(COUNTIFS($H$1:H699,$H699,$I$1:I699,$I699,$J$1:J699,$J699,$K$1:K699,K699,$L$1:L699,L699))=1,"00"&amp;COUNTIFS($H$1:H699,$H699,$I$1:I699,$I699,$J$1:J699,$J699,$K$1:K699,K699,$L$1:L699,L699),IF(LEN(COUNTIFS($H$1:H699,$H699,$I$1:I699,$I699,$J$1:J699,$J699,$K$1:K699,K699,$L$1:L699,L699))=2,"0"&amp;COUNTIFS($H$1:H699,$H699,$I$1:I699,$I699,$J$1:J699,$J699,$K$1:K699,K699,$L$1:L699,L699),COUNTIFS($H$1:H699,$H699,$I$1:I699,$I699,$J$1:J699,$J699,$K$1:K699,K699,$L$1:L699,L699)))</f>
        <v>034</v>
      </c>
      <c r="N69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699" s="14" t="e">
        <f>+LEN(Table4[[#This Row],[New Item Code]])</f>
        <v>#N/A</v>
      </c>
      <c r="P699" s="15" t="s">
        <v>4747</v>
      </c>
      <c r="Q699" s="15" t="s">
        <v>4749</v>
      </c>
      <c r="R699" s="15"/>
      <c r="S699" s="15"/>
      <c r="T699" s="15" t="s">
        <v>4693</v>
      </c>
    </row>
    <row r="700" spans="1:20" x14ac:dyDescent="0.35">
      <c r="A700" s="3" t="s">
        <v>1404</v>
      </c>
      <c r="B700" s="3" t="s">
        <v>1405</v>
      </c>
      <c r="C700" s="3" t="s">
        <v>15</v>
      </c>
      <c r="D700" s="3">
        <v>0</v>
      </c>
      <c r="E700" s="3" t="s">
        <v>10</v>
      </c>
      <c r="F700" s="3">
        <v>0</v>
      </c>
      <c r="G700" s="21">
        <f>Table4[[#This Row],[Item Cost]]*Table4[[#This Row],[In Stock]]</f>
        <v>0</v>
      </c>
      <c r="H700" s="12" t="s">
        <v>4661</v>
      </c>
      <c r="I700" s="13" t="s">
        <v>4666</v>
      </c>
      <c r="J700" s="13" t="s">
        <v>4693</v>
      </c>
      <c r="K700" s="13" t="s">
        <v>4672</v>
      </c>
      <c r="L700" s="12" t="s">
        <v>4672</v>
      </c>
      <c r="M700" s="17" t="str">
        <f>IF(LEN(COUNTIFS($H$1:H700,$H700,$I$1:I700,$I700,$J$1:J700,$J700,$K$1:K700,K700,$L$1:L700,L700))=1,"00"&amp;COUNTIFS($H$1:H700,$H700,$I$1:I700,$I700,$J$1:J700,$J700,$K$1:K700,K700,$L$1:L700,L700),IF(LEN(COUNTIFS($H$1:H700,$H700,$I$1:I700,$I700,$J$1:J700,$J700,$K$1:K700,K700,$L$1:L700,L700))=2,"0"&amp;COUNTIFS($H$1:H700,$H700,$I$1:I700,$I700,$J$1:J700,$J700,$K$1:K700,K700,$L$1:L700,L700),COUNTIFS($H$1:H700,$H700,$I$1:I700,$I700,$J$1:J700,$J700,$K$1:K700,K700,$L$1:L700,L700)))</f>
        <v>035</v>
      </c>
      <c r="N70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00" s="14" t="e">
        <f>+LEN(Table4[[#This Row],[New Item Code]])</f>
        <v>#N/A</v>
      </c>
      <c r="P700" s="15" t="s">
        <v>4747</v>
      </c>
      <c r="Q700" s="15" t="s">
        <v>4749</v>
      </c>
      <c r="R700" s="15"/>
      <c r="S700" s="15"/>
      <c r="T700" s="15" t="s">
        <v>4693</v>
      </c>
    </row>
    <row r="701" spans="1:20" x14ac:dyDescent="0.35">
      <c r="A701" s="2" t="s">
        <v>1406</v>
      </c>
      <c r="B701" s="2" t="s">
        <v>1407</v>
      </c>
      <c r="C701" s="2" t="s">
        <v>15</v>
      </c>
      <c r="D701" s="2">
        <v>0</v>
      </c>
      <c r="E701" s="2" t="s">
        <v>10</v>
      </c>
      <c r="F701" s="2">
        <v>0</v>
      </c>
      <c r="G701" s="22">
        <f>Table4[[#This Row],[Item Cost]]*Table4[[#This Row],[In Stock]]</f>
        <v>0</v>
      </c>
      <c r="H701" s="12" t="s">
        <v>4661</v>
      </c>
      <c r="I701" s="13" t="s">
        <v>4666</v>
      </c>
      <c r="J701" s="13" t="s">
        <v>4693</v>
      </c>
      <c r="K701" s="13" t="s">
        <v>4672</v>
      </c>
      <c r="L701" s="12" t="s">
        <v>4672</v>
      </c>
      <c r="M701" s="17" t="str">
        <f>IF(LEN(COUNTIFS($H$1:H701,$H701,$I$1:I701,$I701,$J$1:J701,$J701,$K$1:K701,K701,$L$1:L701,L701))=1,"00"&amp;COUNTIFS($H$1:H701,$H701,$I$1:I701,$I701,$J$1:J701,$J701,$K$1:K701,K701,$L$1:L701,L701),IF(LEN(COUNTIFS($H$1:H701,$H701,$I$1:I701,$I701,$J$1:J701,$J701,$K$1:K701,K701,$L$1:L701,L701))=2,"0"&amp;COUNTIFS($H$1:H701,$H701,$I$1:I701,$I701,$J$1:J701,$J701,$K$1:K701,K701,$L$1:L701,L701),COUNTIFS($H$1:H701,$H701,$I$1:I701,$I701,$J$1:J701,$J701,$K$1:K701,K701,$L$1:L701,L701)))</f>
        <v>036</v>
      </c>
      <c r="N70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01" s="14" t="e">
        <f>+LEN(Table4[[#This Row],[New Item Code]])</f>
        <v>#N/A</v>
      </c>
      <c r="P701" s="15" t="s">
        <v>4747</v>
      </c>
      <c r="Q701" s="15" t="s">
        <v>4749</v>
      </c>
      <c r="R701" s="15"/>
      <c r="S701" s="15"/>
      <c r="T701" s="15" t="s">
        <v>4693</v>
      </c>
    </row>
    <row r="702" spans="1:20" x14ac:dyDescent="0.35">
      <c r="A702" s="3" t="s">
        <v>1408</v>
      </c>
      <c r="B702" s="3" t="s">
        <v>1409</v>
      </c>
      <c r="C702" s="3" t="s">
        <v>15</v>
      </c>
      <c r="D702" s="3">
        <v>0</v>
      </c>
      <c r="E702" s="3" t="s">
        <v>10</v>
      </c>
      <c r="F702" s="3">
        <v>0</v>
      </c>
      <c r="G702" s="21">
        <f>Table4[[#This Row],[Item Cost]]*Table4[[#This Row],[In Stock]]</f>
        <v>0</v>
      </c>
      <c r="H702" s="12" t="s">
        <v>4661</v>
      </c>
      <c r="I702" s="13" t="s">
        <v>4666</v>
      </c>
      <c r="J702" s="13" t="s">
        <v>4693</v>
      </c>
      <c r="K702" s="13" t="s">
        <v>4672</v>
      </c>
      <c r="L702" s="12" t="s">
        <v>4672</v>
      </c>
      <c r="M702" s="17" t="str">
        <f>IF(LEN(COUNTIFS($H$1:H702,$H702,$I$1:I702,$I702,$J$1:J702,$J702,$K$1:K702,K702,$L$1:L702,L702))=1,"00"&amp;COUNTIFS($H$1:H702,$H702,$I$1:I702,$I702,$J$1:J702,$J702,$K$1:K702,K702,$L$1:L702,L702),IF(LEN(COUNTIFS($H$1:H702,$H702,$I$1:I702,$I702,$J$1:J702,$J702,$K$1:K702,K702,$L$1:L702,L702))=2,"0"&amp;COUNTIFS($H$1:H702,$H702,$I$1:I702,$I702,$J$1:J702,$J702,$K$1:K702,K702,$L$1:L702,L702),COUNTIFS($H$1:H702,$H702,$I$1:I702,$I702,$J$1:J702,$J702,$K$1:K702,K702,$L$1:L702,L702)))</f>
        <v>037</v>
      </c>
      <c r="N70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02" s="14" t="e">
        <f>+LEN(Table4[[#This Row],[New Item Code]])</f>
        <v>#N/A</v>
      </c>
      <c r="P702" s="15" t="s">
        <v>4747</v>
      </c>
      <c r="Q702" s="15" t="s">
        <v>4749</v>
      </c>
      <c r="R702" s="15"/>
      <c r="S702" s="15"/>
      <c r="T702" s="15" t="s">
        <v>4693</v>
      </c>
    </row>
    <row r="703" spans="1:20" x14ac:dyDescent="0.35">
      <c r="A703" s="2" t="s">
        <v>1410</v>
      </c>
      <c r="B703" s="2" t="s">
        <v>1411</v>
      </c>
      <c r="C703" s="2" t="s">
        <v>15</v>
      </c>
      <c r="D703" s="2">
        <v>0</v>
      </c>
      <c r="E703" s="2" t="s">
        <v>10</v>
      </c>
      <c r="F703" s="2">
        <v>0</v>
      </c>
      <c r="G703" s="22">
        <f>Table4[[#This Row],[Item Cost]]*Table4[[#This Row],[In Stock]]</f>
        <v>0</v>
      </c>
      <c r="H703" s="12" t="s">
        <v>4661</v>
      </c>
      <c r="I703" s="13" t="s">
        <v>4666</v>
      </c>
      <c r="J703" s="13" t="s">
        <v>4693</v>
      </c>
      <c r="K703" s="13" t="s">
        <v>4672</v>
      </c>
      <c r="L703" s="12" t="s">
        <v>4672</v>
      </c>
      <c r="M703" s="17" t="str">
        <f>IF(LEN(COUNTIFS($H$1:H703,$H703,$I$1:I703,$I703,$J$1:J703,$J703,$K$1:K703,K703,$L$1:L703,L703))=1,"00"&amp;COUNTIFS($H$1:H703,$H703,$I$1:I703,$I703,$J$1:J703,$J703,$K$1:K703,K703,$L$1:L703,L703),IF(LEN(COUNTIFS($H$1:H703,$H703,$I$1:I703,$I703,$J$1:J703,$J703,$K$1:K703,K703,$L$1:L703,L703))=2,"0"&amp;COUNTIFS($H$1:H703,$H703,$I$1:I703,$I703,$J$1:J703,$J703,$K$1:K703,K703,$L$1:L703,L703),COUNTIFS($H$1:H703,$H703,$I$1:I703,$I703,$J$1:J703,$J703,$K$1:K703,K703,$L$1:L703,L703)))</f>
        <v>038</v>
      </c>
      <c r="N70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03" s="14" t="e">
        <f>+LEN(Table4[[#This Row],[New Item Code]])</f>
        <v>#N/A</v>
      </c>
      <c r="P703" s="15" t="s">
        <v>4747</v>
      </c>
      <c r="Q703" s="15" t="s">
        <v>4749</v>
      </c>
      <c r="R703" s="15"/>
      <c r="S703" s="15"/>
      <c r="T703" s="15" t="s">
        <v>4693</v>
      </c>
    </row>
    <row r="704" spans="1:20" x14ac:dyDescent="0.35">
      <c r="A704" s="3" t="s">
        <v>1412</v>
      </c>
      <c r="B704" s="3" t="s">
        <v>1413</v>
      </c>
      <c r="C704" s="3" t="s">
        <v>15</v>
      </c>
      <c r="D704" s="3">
        <v>0</v>
      </c>
      <c r="E704" s="3" t="s">
        <v>10</v>
      </c>
      <c r="F704" s="3">
        <v>0</v>
      </c>
      <c r="G704" s="21">
        <f>Table4[[#This Row],[Item Cost]]*Table4[[#This Row],[In Stock]]</f>
        <v>0</v>
      </c>
      <c r="H704" s="12" t="s">
        <v>4661</v>
      </c>
      <c r="I704" s="13" t="s">
        <v>4666</v>
      </c>
      <c r="J704" s="13" t="s">
        <v>4693</v>
      </c>
      <c r="K704" s="13" t="s">
        <v>4672</v>
      </c>
      <c r="L704" s="12" t="s">
        <v>4672</v>
      </c>
      <c r="M704" s="17" t="str">
        <f>IF(LEN(COUNTIFS($H$1:H704,$H704,$I$1:I704,$I704,$J$1:J704,$J704,$K$1:K704,K704,$L$1:L704,L704))=1,"00"&amp;COUNTIFS($H$1:H704,$H704,$I$1:I704,$I704,$J$1:J704,$J704,$K$1:K704,K704,$L$1:L704,L704),IF(LEN(COUNTIFS($H$1:H704,$H704,$I$1:I704,$I704,$J$1:J704,$J704,$K$1:K704,K704,$L$1:L704,L704))=2,"0"&amp;COUNTIFS($H$1:H704,$H704,$I$1:I704,$I704,$J$1:J704,$J704,$K$1:K704,K704,$L$1:L704,L704),COUNTIFS($H$1:H704,$H704,$I$1:I704,$I704,$J$1:J704,$J704,$K$1:K704,K704,$L$1:L704,L704)))</f>
        <v>039</v>
      </c>
      <c r="N70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04" s="14" t="e">
        <f>+LEN(Table4[[#This Row],[New Item Code]])</f>
        <v>#N/A</v>
      </c>
      <c r="P704" s="15" t="s">
        <v>4747</v>
      </c>
      <c r="Q704" s="15" t="s">
        <v>4749</v>
      </c>
      <c r="R704" s="15"/>
      <c r="S704" s="15"/>
      <c r="T704" s="15" t="s">
        <v>4693</v>
      </c>
    </row>
    <row r="705" spans="1:20" x14ac:dyDescent="0.35">
      <c r="A705" s="2" t="s">
        <v>1414</v>
      </c>
      <c r="B705" s="2" t="s">
        <v>1415</v>
      </c>
      <c r="C705" s="2" t="s">
        <v>15</v>
      </c>
      <c r="D705" s="2">
        <v>0</v>
      </c>
      <c r="E705" s="2" t="s">
        <v>10</v>
      </c>
      <c r="F705" s="2">
        <v>0</v>
      </c>
      <c r="G705" s="22">
        <f>Table4[[#This Row],[Item Cost]]*Table4[[#This Row],[In Stock]]</f>
        <v>0</v>
      </c>
      <c r="H705" s="12" t="s">
        <v>4661</v>
      </c>
      <c r="I705" s="13" t="s">
        <v>4666</v>
      </c>
      <c r="J705" s="13" t="s">
        <v>4693</v>
      </c>
      <c r="K705" s="13" t="s">
        <v>4672</v>
      </c>
      <c r="L705" s="12" t="s">
        <v>4672</v>
      </c>
      <c r="M705" s="17" t="str">
        <f>IF(LEN(COUNTIFS($H$1:H705,$H705,$I$1:I705,$I705,$J$1:J705,$J705,$K$1:K705,K705,$L$1:L705,L705))=1,"00"&amp;COUNTIFS($H$1:H705,$H705,$I$1:I705,$I705,$J$1:J705,$J705,$K$1:K705,K705,$L$1:L705,L705),IF(LEN(COUNTIFS($H$1:H705,$H705,$I$1:I705,$I705,$J$1:J705,$J705,$K$1:K705,K705,$L$1:L705,L705))=2,"0"&amp;COUNTIFS($H$1:H705,$H705,$I$1:I705,$I705,$J$1:J705,$J705,$K$1:K705,K705,$L$1:L705,L705),COUNTIFS($H$1:H705,$H705,$I$1:I705,$I705,$J$1:J705,$J705,$K$1:K705,K705,$L$1:L705,L705)))</f>
        <v>040</v>
      </c>
      <c r="N70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05" s="14" t="e">
        <f>+LEN(Table4[[#This Row],[New Item Code]])</f>
        <v>#N/A</v>
      </c>
      <c r="P705" s="15" t="s">
        <v>4747</v>
      </c>
      <c r="Q705" s="15" t="s">
        <v>4749</v>
      </c>
      <c r="R705" s="15"/>
      <c r="S705" s="15"/>
      <c r="T705" s="15" t="s">
        <v>4693</v>
      </c>
    </row>
    <row r="706" spans="1:20" x14ac:dyDescent="0.35">
      <c r="A706" s="3" t="s">
        <v>1416</v>
      </c>
      <c r="B706" s="3" t="s">
        <v>1417</v>
      </c>
      <c r="C706" s="3" t="s">
        <v>15</v>
      </c>
      <c r="D706" s="3">
        <v>0</v>
      </c>
      <c r="E706" s="3" t="s">
        <v>10</v>
      </c>
      <c r="F706" s="3">
        <v>0</v>
      </c>
      <c r="G706" s="21">
        <f>Table4[[#This Row],[Item Cost]]*Table4[[#This Row],[In Stock]]</f>
        <v>0</v>
      </c>
      <c r="H706" s="12" t="s">
        <v>4661</v>
      </c>
      <c r="I706" s="13" t="s">
        <v>4666</v>
      </c>
      <c r="J706" s="13" t="s">
        <v>4693</v>
      </c>
      <c r="K706" s="13" t="s">
        <v>4672</v>
      </c>
      <c r="L706" s="12" t="s">
        <v>4672</v>
      </c>
      <c r="M706" s="17" t="str">
        <f>IF(LEN(COUNTIFS($H$1:H706,$H706,$I$1:I706,$I706,$J$1:J706,$J706,$K$1:K706,K706,$L$1:L706,L706))=1,"00"&amp;COUNTIFS($H$1:H706,$H706,$I$1:I706,$I706,$J$1:J706,$J706,$K$1:K706,K706,$L$1:L706,L706),IF(LEN(COUNTIFS($H$1:H706,$H706,$I$1:I706,$I706,$J$1:J706,$J706,$K$1:K706,K706,$L$1:L706,L706))=2,"0"&amp;COUNTIFS($H$1:H706,$H706,$I$1:I706,$I706,$J$1:J706,$J706,$K$1:K706,K706,$L$1:L706,L706),COUNTIFS($H$1:H706,$H706,$I$1:I706,$I706,$J$1:J706,$J706,$K$1:K706,K706,$L$1:L706,L706)))</f>
        <v>041</v>
      </c>
      <c r="N70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06" s="14" t="e">
        <f>+LEN(Table4[[#This Row],[New Item Code]])</f>
        <v>#N/A</v>
      </c>
      <c r="P706" s="15" t="s">
        <v>4747</v>
      </c>
      <c r="Q706" s="15" t="s">
        <v>4749</v>
      </c>
      <c r="R706" s="15"/>
      <c r="S706" s="15"/>
      <c r="T706" s="15" t="s">
        <v>4693</v>
      </c>
    </row>
    <row r="707" spans="1:20" x14ac:dyDescent="0.35">
      <c r="A707" s="2" t="s">
        <v>1418</v>
      </c>
      <c r="B707" s="2" t="s">
        <v>1419</v>
      </c>
      <c r="C707" s="2" t="s">
        <v>15</v>
      </c>
      <c r="D707" s="2">
        <v>0</v>
      </c>
      <c r="E707" s="2" t="s">
        <v>10</v>
      </c>
      <c r="F707" s="2">
        <v>0</v>
      </c>
      <c r="G707" s="22">
        <f>Table4[[#This Row],[Item Cost]]*Table4[[#This Row],[In Stock]]</f>
        <v>0</v>
      </c>
      <c r="H707" s="12" t="s">
        <v>4661</v>
      </c>
      <c r="I707" s="13" t="s">
        <v>4666</v>
      </c>
      <c r="J707" s="13" t="s">
        <v>4693</v>
      </c>
      <c r="K707" s="13" t="s">
        <v>4672</v>
      </c>
      <c r="L707" s="12" t="s">
        <v>4672</v>
      </c>
      <c r="M707" s="17" t="str">
        <f>IF(LEN(COUNTIFS($H$1:H707,$H707,$I$1:I707,$I707,$J$1:J707,$J707,$K$1:K707,K707,$L$1:L707,L707))=1,"00"&amp;COUNTIFS($H$1:H707,$H707,$I$1:I707,$I707,$J$1:J707,$J707,$K$1:K707,K707,$L$1:L707,L707),IF(LEN(COUNTIFS($H$1:H707,$H707,$I$1:I707,$I707,$J$1:J707,$J707,$K$1:K707,K707,$L$1:L707,L707))=2,"0"&amp;COUNTIFS($H$1:H707,$H707,$I$1:I707,$I707,$J$1:J707,$J707,$K$1:K707,K707,$L$1:L707,L707),COUNTIFS($H$1:H707,$H707,$I$1:I707,$I707,$J$1:J707,$J707,$K$1:K707,K707,$L$1:L707,L707)))</f>
        <v>042</v>
      </c>
      <c r="N70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07" s="14" t="e">
        <f>+LEN(Table4[[#This Row],[New Item Code]])</f>
        <v>#N/A</v>
      </c>
      <c r="P707" s="15" t="s">
        <v>4747</v>
      </c>
      <c r="Q707" s="15" t="s">
        <v>4749</v>
      </c>
      <c r="R707" s="15"/>
      <c r="S707" s="15"/>
      <c r="T707" s="15" t="s">
        <v>4693</v>
      </c>
    </row>
    <row r="708" spans="1:20" x14ac:dyDescent="0.35">
      <c r="A708" s="3" t="s">
        <v>1420</v>
      </c>
      <c r="B708" s="3" t="s">
        <v>1421</v>
      </c>
      <c r="C708" s="3" t="s">
        <v>15</v>
      </c>
      <c r="D708" s="3">
        <v>0</v>
      </c>
      <c r="E708" s="3" t="s">
        <v>10</v>
      </c>
      <c r="F708" s="3">
        <v>0</v>
      </c>
      <c r="G708" s="21">
        <f>Table4[[#This Row],[Item Cost]]*Table4[[#This Row],[In Stock]]</f>
        <v>0</v>
      </c>
      <c r="H708" s="12" t="s">
        <v>4661</v>
      </c>
      <c r="I708" s="13" t="s">
        <v>4666</v>
      </c>
      <c r="J708" s="13" t="s">
        <v>4693</v>
      </c>
      <c r="K708" s="13" t="s">
        <v>4672</v>
      </c>
      <c r="L708" s="12" t="s">
        <v>4672</v>
      </c>
      <c r="M708" s="17" t="str">
        <f>IF(LEN(COUNTIFS($H$1:H708,$H708,$I$1:I708,$I708,$J$1:J708,$J708,$K$1:K708,K708,$L$1:L708,L708))=1,"00"&amp;COUNTIFS($H$1:H708,$H708,$I$1:I708,$I708,$J$1:J708,$J708,$K$1:K708,K708,$L$1:L708,L708),IF(LEN(COUNTIFS($H$1:H708,$H708,$I$1:I708,$I708,$J$1:J708,$J708,$K$1:K708,K708,$L$1:L708,L708))=2,"0"&amp;COUNTIFS($H$1:H708,$H708,$I$1:I708,$I708,$J$1:J708,$J708,$K$1:K708,K708,$L$1:L708,L708),COUNTIFS($H$1:H708,$H708,$I$1:I708,$I708,$J$1:J708,$J708,$K$1:K708,K708,$L$1:L708,L708)))</f>
        <v>043</v>
      </c>
      <c r="N70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08" s="14" t="e">
        <f>+LEN(Table4[[#This Row],[New Item Code]])</f>
        <v>#N/A</v>
      </c>
      <c r="P708" s="15" t="s">
        <v>4747</v>
      </c>
      <c r="Q708" s="15" t="s">
        <v>4749</v>
      </c>
      <c r="R708" s="15"/>
      <c r="S708" s="15"/>
      <c r="T708" s="15" t="s">
        <v>4693</v>
      </c>
    </row>
    <row r="709" spans="1:20" x14ac:dyDescent="0.35">
      <c r="A709" s="2" t="s">
        <v>1422</v>
      </c>
      <c r="B709" s="2" t="s">
        <v>1423</v>
      </c>
      <c r="C709" s="2" t="s">
        <v>15</v>
      </c>
      <c r="D709" s="2">
        <v>65</v>
      </c>
      <c r="E709" s="2" t="s">
        <v>10</v>
      </c>
      <c r="F709" s="2">
        <v>7</v>
      </c>
      <c r="G709" s="22">
        <f>Table4[[#This Row],[Item Cost]]*Table4[[#This Row],[In Stock]]</f>
        <v>455</v>
      </c>
      <c r="H709" s="12" t="s">
        <v>4661</v>
      </c>
      <c r="I709" s="13" t="s">
        <v>4666</v>
      </c>
      <c r="J709" s="13" t="s">
        <v>4693</v>
      </c>
      <c r="K709" s="13" t="s">
        <v>4672</v>
      </c>
      <c r="L709" s="12" t="s">
        <v>4672</v>
      </c>
      <c r="M709" s="17" t="str">
        <f>IF(LEN(COUNTIFS($H$1:H709,$H709,$I$1:I709,$I709,$J$1:J709,$J709,$K$1:K709,K709,$L$1:L709,L709))=1,"00"&amp;COUNTIFS($H$1:H709,$H709,$I$1:I709,$I709,$J$1:J709,$J709,$K$1:K709,K709,$L$1:L709,L709),IF(LEN(COUNTIFS($H$1:H709,$H709,$I$1:I709,$I709,$J$1:J709,$J709,$K$1:K709,K709,$L$1:L709,L709))=2,"0"&amp;COUNTIFS($H$1:H709,$H709,$I$1:I709,$I709,$J$1:J709,$J709,$K$1:K709,K709,$L$1:L709,L709),COUNTIFS($H$1:H709,$H709,$I$1:I709,$I709,$J$1:J709,$J709,$K$1:K709,K709,$L$1:L709,L709)))</f>
        <v>044</v>
      </c>
      <c r="N70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09" s="14" t="e">
        <f>+LEN(Table4[[#This Row],[New Item Code]])</f>
        <v>#N/A</v>
      </c>
      <c r="P709" s="15" t="s">
        <v>4747</v>
      </c>
      <c r="Q709" s="15" t="s">
        <v>4749</v>
      </c>
      <c r="R709" s="15"/>
      <c r="S709" s="15"/>
      <c r="T709" s="15" t="s">
        <v>4693</v>
      </c>
    </row>
    <row r="710" spans="1:20" x14ac:dyDescent="0.35">
      <c r="A710" s="3" t="s">
        <v>1424</v>
      </c>
      <c r="B710" s="3" t="s">
        <v>1425</v>
      </c>
      <c r="C710" s="3" t="s">
        <v>15</v>
      </c>
      <c r="D710" s="3">
        <v>65</v>
      </c>
      <c r="E710" s="3" t="s">
        <v>10</v>
      </c>
      <c r="F710" s="3">
        <v>13</v>
      </c>
      <c r="G710" s="21">
        <f>Table4[[#This Row],[Item Cost]]*Table4[[#This Row],[In Stock]]</f>
        <v>845</v>
      </c>
      <c r="H710" s="12" t="s">
        <v>4661</v>
      </c>
      <c r="I710" s="13" t="s">
        <v>4666</v>
      </c>
      <c r="J710" s="13" t="s">
        <v>4693</v>
      </c>
      <c r="K710" s="13" t="s">
        <v>4672</v>
      </c>
      <c r="L710" s="12" t="s">
        <v>4672</v>
      </c>
      <c r="M710" s="17" t="str">
        <f>IF(LEN(COUNTIFS($H$1:H710,$H710,$I$1:I710,$I710,$J$1:J710,$J710,$K$1:K710,K710,$L$1:L710,L710))=1,"00"&amp;COUNTIFS($H$1:H710,$H710,$I$1:I710,$I710,$J$1:J710,$J710,$K$1:K710,K710,$L$1:L710,L710),IF(LEN(COUNTIFS($H$1:H710,$H710,$I$1:I710,$I710,$J$1:J710,$J710,$K$1:K710,K710,$L$1:L710,L710))=2,"0"&amp;COUNTIFS($H$1:H710,$H710,$I$1:I710,$I710,$J$1:J710,$J710,$K$1:K710,K710,$L$1:L710,L710),COUNTIFS($H$1:H710,$H710,$I$1:I710,$I710,$J$1:J710,$J710,$K$1:K710,K710,$L$1:L710,L710)))</f>
        <v>045</v>
      </c>
      <c r="N71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10" s="14" t="e">
        <f>+LEN(Table4[[#This Row],[New Item Code]])</f>
        <v>#N/A</v>
      </c>
      <c r="P710" s="15" t="s">
        <v>4747</v>
      </c>
      <c r="Q710" s="15" t="s">
        <v>4749</v>
      </c>
      <c r="R710" s="15"/>
      <c r="S710" s="15"/>
      <c r="T710" s="15" t="s">
        <v>4693</v>
      </c>
    </row>
    <row r="711" spans="1:20" x14ac:dyDescent="0.35">
      <c r="A711" s="2" t="s">
        <v>1426</v>
      </c>
      <c r="B711" s="2" t="s">
        <v>1427</v>
      </c>
      <c r="C711" s="2" t="s">
        <v>15</v>
      </c>
      <c r="D711" s="2">
        <v>0</v>
      </c>
      <c r="E711" s="2" t="s">
        <v>10</v>
      </c>
      <c r="F711" s="2">
        <v>0</v>
      </c>
      <c r="G711" s="22">
        <f>Table4[[#This Row],[Item Cost]]*Table4[[#This Row],[In Stock]]</f>
        <v>0</v>
      </c>
      <c r="H711" s="12" t="s">
        <v>4661</v>
      </c>
      <c r="I711" s="13" t="s">
        <v>4666</v>
      </c>
      <c r="J711" s="13" t="s">
        <v>4693</v>
      </c>
      <c r="K711" s="13" t="s">
        <v>4672</v>
      </c>
      <c r="L711" s="12" t="s">
        <v>4672</v>
      </c>
      <c r="M711" s="17" t="str">
        <f>IF(LEN(COUNTIFS($H$1:H711,$H711,$I$1:I711,$I711,$J$1:J711,$J711,$K$1:K711,K711,$L$1:L711,L711))=1,"00"&amp;COUNTIFS($H$1:H711,$H711,$I$1:I711,$I711,$J$1:J711,$J711,$K$1:K711,K711,$L$1:L711,L711),IF(LEN(COUNTIFS($H$1:H711,$H711,$I$1:I711,$I711,$J$1:J711,$J711,$K$1:K711,K711,$L$1:L711,L711))=2,"0"&amp;COUNTIFS($H$1:H711,$H711,$I$1:I711,$I711,$J$1:J711,$J711,$K$1:K711,K711,$L$1:L711,L711),COUNTIFS($H$1:H711,$H711,$I$1:I711,$I711,$J$1:J711,$J711,$K$1:K711,K711,$L$1:L711,L711)))</f>
        <v>046</v>
      </c>
      <c r="N71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11" s="14" t="e">
        <f>+LEN(Table4[[#This Row],[New Item Code]])</f>
        <v>#N/A</v>
      </c>
      <c r="P711" s="15" t="s">
        <v>4747</v>
      </c>
      <c r="Q711" s="15" t="s">
        <v>4749</v>
      </c>
      <c r="R711" s="15"/>
      <c r="S711" s="15"/>
      <c r="T711" s="15" t="s">
        <v>4693</v>
      </c>
    </row>
    <row r="712" spans="1:20" x14ac:dyDescent="0.35">
      <c r="A712" s="3" t="s">
        <v>1428</v>
      </c>
      <c r="B712" s="3" t="s">
        <v>1429</v>
      </c>
      <c r="C712" s="3" t="s">
        <v>15</v>
      </c>
      <c r="D712" s="3">
        <v>50</v>
      </c>
      <c r="E712" s="3" t="s">
        <v>10</v>
      </c>
      <c r="F712" s="3">
        <v>6</v>
      </c>
      <c r="G712" s="21">
        <f>Table4[[#This Row],[Item Cost]]*Table4[[#This Row],[In Stock]]</f>
        <v>300</v>
      </c>
      <c r="H712" s="12" t="s">
        <v>4661</v>
      </c>
      <c r="I712" s="13" t="s">
        <v>4666</v>
      </c>
      <c r="J712" s="13" t="s">
        <v>4693</v>
      </c>
      <c r="K712" t="s">
        <v>4793</v>
      </c>
      <c r="L712" s="12" t="s">
        <v>4672</v>
      </c>
      <c r="M712" s="17" t="str">
        <f>IF(LEN(COUNTIFS($H$1:H712,$H712,$I$1:I712,$I712,$J$1:J712,$J712,$K$1:K712,K712,$L$1:L712,L712))=1,"00"&amp;COUNTIFS($H$1:H712,$H712,$I$1:I712,$I712,$J$1:J712,$J712,$K$1:K712,K712,$L$1:L712,L712),IF(LEN(COUNTIFS($H$1:H712,$H712,$I$1:I712,$I712,$J$1:J712,$J712,$K$1:K712,K712,$L$1:L712,L712))=2,"0"&amp;COUNTIFS($H$1:H712,$H712,$I$1:I712,$I712,$J$1:J712,$J712,$K$1:K712,K712,$L$1:L712,L712),COUNTIFS($H$1:H712,$H712,$I$1:I712,$I712,$J$1:J712,$J712,$K$1:K712,K712,$L$1:L712,L712)))</f>
        <v>002</v>
      </c>
      <c r="N71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12" s="14" t="e">
        <f>+LEN(Table4[[#This Row],[New Item Code]])</f>
        <v>#N/A</v>
      </c>
      <c r="P712" s="15" t="s">
        <v>4747</v>
      </c>
      <c r="Q712" s="15" t="s">
        <v>4749</v>
      </c>
      <c r="R712" s="15"/>
      <c r="S712" s="15"/>
      <c r="T712" s="15" t="s">
        <v>4693</v>
      </c>
    </row>
    <row r="713" spans="1:20" x14ac:dyDescent="0.35">
      <c r="A713" s="2" t="s">
        <v>1430</v>
      </c>
      <c r="B713" s="2" t="s">
        <v>1431</v>
      </c>
      <c r="C713" s="2" t="s">
        <v>15</v>
      </c>
      <c r="D713" s="2">
        <v>95</v>
      </c>
      <c r="E713" s="2" t="s">
        <v>10</v>
      </c>
      <c r="F713" s="2">
        <v>1</v>
      </c>
      <c r="G713" s="22">
        <f>Table4[[#This Row],[Item Cost]]*Table4[[#This Row],[In Stock]]</f>
        <v>95</v>
      </c>
      <c r="H713" s="12" t="s">
        <v>4661</v>
      </c>
      <c r="I713" s="13" t="s">
        <v>4666</v>
      </c>
      <c r="J713" s="13" t="s">
        <v>4693</v>
      </c>
      <c r="K713" t="s">
        <v>4793</v>
      </c>
      <c r="L713" s="12" t="s">
        <v>4672</v>
      </c>
      <c r="M713" s="17" t="str">
        <f>IF(LEN(COUNTIFS($H$1:H713,$H713,$I$1:I713,$I713,$J$1:J713,$J713,$K$1:K713,K713,$L$1:L713,L713))=1,"00"&amp;COUNTIFS($H$1:H713,$H713,$I$1:I713,$I713,$J$1:J713,$J713,$K$1:K713,K713,$L$1:L713,L713),IF(LEN(COUNTIFS($H$1:H713,$H713,$I$1:I713,$I713,$J$1:J713,$J713,$K$1:K713,K713,$L$1:L713,L713))=2,"0"&amp;COUNTIFS($H$1:H713,$H713,$I$1:I713,$I713,$J$1:J713,$J713,$K$1:K713,K713,$L$1:L713,L713),COUNTIFS($H$1:H713,$H713,$I$1:I713,$I713,$J$1:J713,$J713,$K$1:K713,K713,$L$1:L713,L713)))</f>
        <v>003</v>
      </c>
      <c r="N71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13" s="14" t="e">
        <f>+LEN(Table4[[#This Row],[New Item Code]])</f>
        <v>#N/A</v>
      </c>
      <c r="P713" s="15" t="s">
        <v>4747</v>
      </c>
      <c r="Q713" s="15" t="s">
        <v>4749</v>
      </c>
      <c r="R713" s="15"/>
      <c r="S713" s="15"/>
      <c r="T713" s="15" t="s">
        <v>4693</v>
      </c>
    </row>
    <row r="714" spans="1:20" x14ac:dyDescent="0.35">
      <c r="A714" s="3" t="s">
        <v>1432</v>
      </c>
      <c r="B714" s="3" t="s">
        <v>1433</v>
      </c>
      <c r="C714" s="3" t="s">
        <v>15</v>
      </c>
      <c r="D714" s="3">
        <v>280</v>
      </c>
      <c r="E714" s="3" t="s">
        <v>10</v>
      </c>
      <c r="F714" s="3">
        <v>2</v>
      </c>
      <c r="G714" s="21">
        <f>Table4[[#This Row],[Item Cost]]*Table4[[#This Row],[In Stock]]</f>
        <v>560</v>
      </c>
      <c r="H714" s="12" t="s">
        <v>4661</v>
      </c>
      <c r="I714" s="13" t="s">
        <v>4666</v>
      </c>
      <c r="J714" s="13" t="s">
        <v>4693</v>
      </c>
      <c r="K714" s="13" t="s">
        <v>4672</v>
      </c>
      <c r="L714" s="12" t="s">
        <v>4672</v>
      </c>
      <c r="M714" s="17" t="str">
        <f>IF(LEN(COUNTIFS($H$1:H714,$H714,$I$1:I714,$I714,$J$1:J714,$J714,$K$1:K714,K714,$L$1:L714,L714))=1,"00"&amp;COUNTIFS($H$1:H714,$H714,$I$1:I714,$I714,$J$1:J714,$J714,$K$1:K714,K714,$L$1:L714,L714),IF(LEN(COUNTIFS($H$1:H714,$H714,$I$1:I714,$I714,$J$1:J714,$J714,$K$1:K714,K714,$L$1:L714,L714))=2,"0"&amp;COUNTIFS($H$1:H714,$H714,$I$1:I714,$I714,$J$1:J714,$J714,$K$1:K714,K714,$L$1:L714,L714),COUNTIFS($H$1:H714,$H714,$I$1:I714,$I714,$J$1:J714,$J714,$K$1:K714,K714,$L$1:L714,L714)))</f>
        <v>047</v>
      </c>
      <c r="N71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14" s="14" t="e">
        <f>+LEN(Table4[[#This Row],[New Item Code]])</f>
        <v>#N/A</v>
      </c>
      <c r="P714" s="15" t="s">
        <v>4747</v>
      </c>
      <c r="Q714" s="15" t="s">
        <v>4749</v>
      </c>
      <c r="R714" s="15"/>
      <c r="S714" s="15"/>
      <c r="T714" s="15" t="s">
        <v>4693</v>
      </c>
    </row>
    <row r="715" spans="1:20" x14ac:dyDescent="0.35">
      <c r="A715" s="2" t="s">
        <v>1434</v>
      </c>
      <c r="B715" s="2" t="s">
        <v>1435</v>
      </c>
      <c r="C715" s="2" t="s">
        <v>15</v>
      </c>
      <c r="D715" s="2">
        <v>184</v>
      </c>
      <c r="E715" s="2" t="s">
        <v>10</v>
      </c>
      <c r="F715" s="2">
        <v>0</v>
      </c>
      <c r="G715" s="22">
        <f>Table4[[#This Row],[Item Cost]]*Table4[[#This Row],[In Stock]]</f>
        <v>0</v>
      </c>
      <c r="H715" s="12" t="s">
        <v>4661</v>
      </c>
      <c r="I715" s="13" t="s">
        <v>4666</v>
      </c>
      <c r="J715" s="13" t="s">
        <v>4693</v>
      </c>
      <c r="K715" s="13" t="s">
        <v>4672</v>
      </c>
      <c r="L715" s="12" t="s">
        <v>4672</v>
      </c>
      <c r="M715" s="17" t="str">
        <f>IF(LEN(COUNTIFS($H$1:H715,$H715,$I$1:I715,$I715,$J$1:J715,$J715,$K$1:K715,K715,$L$1:L715,L715))=1,"00"&amp;COUNTIFS($H$1:H715,$H715,$I$1:I715,$I715,$J$1:J715,$J715,$K$1:K715,K715,$L$1:L715,L715),IF(LEN(COUNTIFS($H$1:H715,$H715,$I$1:I715,$I715,$J$1:J715,$J715,$K$1:K715,K715,$L$1:L715,L715))=2,"0"&amp;COUNTIFS($H$1:H715,$H715,$I$1:I715,$I715,$J$1:J715,$J715,$K$1:K715,K715,$L$1:L715,L715),COUNTIFS($H$1:H715,$H715,$I$1:I715,$I715,$J$1:J715,$J715,$K$1:K715,K715,$L$1:L715,L715)))</f>
        <v>048</v>
      </c>
      <c r="N71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15" s="14" t="e">
        <f>+LEN(Table4[[#This Row],[New Item Code]])</f>
        <v>#N/A</v>
      </c>
      <c r="P715" s="15" t="s">
        <v>4747</v>
      </c>
      <c r="Q715" s="15" t="s">
        <v>4749</v>
      </c>
      <c r="R715" s="15"/>
      <c r="S715" s="15"/>
      <c r="T715" s="15" t="s">
        <v>4693</v>
      </c>
    </row>
    <row r="716" spans="1:20" x14ac:dyDescent="0.35">
      <c r="A716" s="3" t="s">
        <v>1436</v>
      </c>
      <c r="B716" s="3" t="s">
        <v>1437</v>
      </c>
      <c r="C716" s="3" t="s">
        <v>15</v>
      </c>
      <c r="D716" s="3">
        <v>0</v>
      </c>
      <c r="E716" s="3" t="s">
        <v>10</v>
      </c>
      <c r="F716" s="3">
        <v>0</v>
      </c>
      <c r="G716" s="21">
        <f>Table4[[#This Row],[Item Cost]]*Table4[[#This Row],[In Stock]]</f>
        <v>0</v>
      </c>
      <c r="H716" s="12" t="s">
        <v>4661</v>
      </c>
      <c r="I716" s="13" t="s">
        <v>4666</v>
      </c>
      <c r="J716" s="13" t="s">
        <v>4693</v>
      </c>
      <c r="K716" s="13" t="s">
        <v>4672</v>
      </c>
      <c r="L716" s="12" t="s">
        <v>4672</v>
      </c>
      <c r="M716" s="17" t="str">
        <f>IF(LEN(COUNTIFS($H$1:H716,$H716,$I$1:I716,$I716,$J$1:J716,$J716,$K$1:K716,K716,$L$1:L716,L716))=1,"00"&amp;COUNTIFS($H$1:H716,$H716,$I$1:I716,$I716,$J$1:J716,$J716,$K$1:K716,K716,$L$1:L716,L716),IF(LEN(COUNTIFS($H$1:H716,$H716,$I$1:I716,$I716,$J$1:J716,$J716,$K$1:K716,K716,$L$1:L716,L716))=2,"0"&amp;COUNTIFS($H$1:H716,$H716,$I$1:I716,$I716,$J$1:J716,$J716,$K$1:K716,K716,$L$1:L716,L716),COUNTIFS($H$1:H716,$H716,$I$1:I716,$I716,$J$1:J716,$J716,$K$1:K716,K716,$L$1:L716,L716)))</f>
        <v>049</v>
      </c>
      <c r="N71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16" s="14" t="e">
        <f>+LEN(Table4[[#This Row],[New Item Code]])</f>
        <v>#N/A</v>
      </c>
      <c r="P716" s="15" t="s">
        <v>4747</v>
      </c>
      <c r="Q716" s="15" t="s">
        <v>4749</v>
      </c>
      <c r="R716" s="15"/>
      <c r="S716" s="15"/>
      <c r="T716" s="15" t="s">
        <v>4693</v>
      </c>
    </row>
    <row r="717" spans="1:20" x14ac:dyDescent="0.35">
      <c r="A717" s="2" t="s">
        <v>1438</v>
      </c>
      <c r="B717" s="2" t="s">
        <v>1439</v>
      </c>
      <c r="C717" s="2" t="s">
        <v>15</v>
      </c>
      <c r="D717" s="2">
        <v>130</v>
      </c>
      <c r="E717" s="2" t="s">
        <v>10</v>
      </c>
      <c r="F717" s="2">
        <v>3</v>
      </c>
      <c r="G717" s="22">
        <f>Table4[[#This Row],[Item Cost]]*Table4[[#This Row],[In Stock]]</f>
        <v>390</v>
      </c>
      <c r="H717" s="12" t="s">
        <v>4661</v>
      </c>
      <c r="I717" s="13" t="s">
        <v>4666</v>
      </c>
      <c r="J717" s="13" t="s">
        <v>4693</v>
      </c>
      <c r="K717" s="13" t="s">
        <v>4672</v>
      </c>
      <c r="L717" s="12" t="s">
        <v>4672</v>
      </c>
      <c r="M717" s="17" t="str">
        <f>IF(LEN(COUNTIFS($H$1:H717,$H717,$I$1:I717,$I717,$J$1:J717,$J717,$K$1:K717,K717,$L$1:L717,L717))=1,"00"&amp;COUNTIFS($H$1:H717,$H717,$I$1:I717,$I717,$J$1:J717,$J717,$K$1:K717,K717,$L$1:L717,L717),IF(LEN(COUNTIFS($H$1:H717,$H717,$I$1:I717,$I717,$J$1:J717,$J717,$K$1:K717,K717,$L$1:L717,L717))=2,"0"&amp;COUNTIFS($H$1:H717,$H717,$I$1:I717,$I717,$J$1:J717,$J717,$K$1:K717,K717,$L$1:L717,L717),COUNTIFS($H$1:H717,$H717,$I$1:I717,$I717,$J$1:J717,$J717,$K$1:K717,K717,$L$1:L717,L717)))</f>
        <v>050</v>
      </c>
      <c r="N71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17" s="14" t="e">
        <f>+LEN(Table4[[#This Row],[New Item Code]])</f>
        <v>#N/A</v>
      </c>
      <c r="P717" s="15" t="s">
        <v>4747</v>
      </c>
      <c r="Q717" s="15" t="s">
        <v>4749</v>
      </c>
      <c r="R717" s="15"/>
      <c r="S717" s="15"/>
      <c r="T717" s="15" t="s">
        <v>4693</v>
      </c>
    </row>
    <row r="718" spans="1:20" x14ac:dyDescent="0.35">
      <c r="A718" s="3" t="s">
        <v>1440</v>
      </c>
      <c r="B718" s="3" t="s">
        <v>1441</v>
      </c>
      <c r="C718" s="3" t="s">
        <v>15</v>
      </c>
      <c r="D718" s="3">
        <v>130</v>
      </c>
      <c r="E718" s="3" t="s">
        <v>10</v>
      </c>
      <c r="F718" s="3">
        <v>8</v>
      </c>
      <c r="G718" s="21">
        <f>Table4[[#This Row],[Item Cost]]*Table4[[#This Row],[In Stock]]</f>
        <v>1040</v>
      </c>
      <c r="H718" s="12" t="s">
        <v>4661</v>
      </c>
      <c r="I718" s="13" t="s">
        <v>4666</v>
      </c>
      <c r="J718" s="13" t="s">
        <v>4693</v>
      </c>
      <c r="K718" s="13" t="s">
        <v>4672</v>
      </c>
      <c r="L718" s="12" t="s">
        <v>4672</v>
      </c>
      <c r="M718" s="17" t="str">
        <f>IF(LEN(COUNTIFS($H$1:H718,$H718,$I$1:I718,$I718,$J$1:J718,$J718,$K$1:K718,K718,$L$1:L718,L718))=1,"00"&amp;COUNTIFS($H$1:H718,$H718,$I$1:I718,$I718,$J$1:J718,$J718,$K$1:K718,K718,$L$1:L718,L718),IF(LEN(COUNTIFS($H$1:H718,$H718,$I$1:I718,$I718,$J$1:J718,$J718,$K$1:K718,K718,$L$1:L718,L718))=2,"0"&amp;COUNTIFS($H$1:H718,$H718,$I$1:I718,$I718,$J$1:J718,$J718,$K$1:K718,K718,$L$1:L718,L718),COUNTIFS($H$1:H718,$H718,$I$1:I718,$I718,$J$1:J718,$J718,$K$1:K718,K718,$L$1:L718,L718)))</f>
        <v>051</v>
      </c>
      <c r="N71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18" s="14" t="e">
        <f>+LEN(Table4[[#This Row],[New Item Code]])</f>
        <v>#N/A</v>
      </c>
      <c r="P718" s="15" t="s">
        <v>4747</v>
      </c>
      <c r="Q718" s="15" t="s">
        <v>4749</v>
      </c>
      <c r="R718" s="15"/>
      <c r="S718" s="15"/>
      <c r="T718" s="15" t="s">
        <v>4693</v>
      </c>
    </row>
    <row r="719" spans="1:20" x14ac:dyDescent="0.35">
      <c r="A719" s="2" t="s">
        <v>1442</v>
      </c>
      <c r="B719" s="2" t="s">
        <v>1443</v>
      </c>
      <c r="C719" s="2" t="s">
        <v>15</v>
      </c>
      <c r="D719" s="2">
        <v>150</v>
      </c>
      <c r="E719" s="2" t="s">
        <v>10</v>
      </c>
      <c r="F719" s="2">
        <v>27</v>
      </c>
      <c r="G719" s="22">
        <f>Table4[[#This Row],[Item Cost]]*Table4[[#This Row],[In Stock]]</f>
        <v>4050</v>
      </c>
      <c r="H719" s="12" t="s">
        <v>4661</v>
      </c>
      <c r="I719" s="13" t="s">
        <v>4666</v>
      </c>
      <c r="J719" s="13" t="s">
        <v>4693</v>
      </c>
      <c r="K719" s="13" t="s">
        <v>4672</v>
      </c>
      <c r="L719" s="12" t="s">
        <v>4672</v>
      </c>
      <c r="M719" s="17" t="str">
        <f>IF(LEN(COUNTIFS($H$1:H719,$H719,$I$1:I719,$I719,$J$1:J719,$J719,$K$1:K719,K719,$L$1:L719,L719))=1,"00"&amp;COUNTIFS($H$1:H719,$H719,$I$1:I719,$I719,$J$1:J719,$J719,$K$1:K719,K719,$L$1:L719,L719),IF(LEN(COUNTIFS($H$1:H719,$H719,$I$1:I719,$I719,$J$1:J719,$J719,$K$1:K719,K719,$L$1:L719,L719))=2,"0"&amp;COUNTIFS($H$1:H719,$H719,$I$1:I719,$I719,$J$1:J719,$J719,$K$1:K719,K719,$L$1:L719,L719),COUNTIFS($H$1:H719,$H719,$I$1:I719,$I719,$J$1:J719,$J719,$K$1:K719,K719,$L$1:L719,L719)))</f>
        <v>052</v>
      </c>
      <c r="N71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19" s="14" t="e">
        <f>+LEN(Table4[[#This Row],[New Item Code]])</f>
        <v>#N/A</v>
      </c>
      <c r="P719" s="15" t="s">
        <v>4747</v>
      </c>
      <c r="Q719" s="15" t="s">
        <v>4749</v>
      </c>
      <c r="R719" s="15"/>
      <c r="S719" s="15"/>
      <c r="T719" s="15" t="s">
        <v>4693</v>
      </c>
    </row>
    <row r="720" spans="1:20" x14ac:dyDescent="0.35">
      <c r="A720" s="3" t="s">
        <v>1444</v>
      </c>
      <c r="B720" s="3" t="s">
        <v>1445</v>
      </c>
      <c r="C720" s="3" t="s">
        <v>15</v>
      </c>
      <c r="D720" s="3">
        <v>200</v>
      </c>
      <c r="E720" s="3" t="s">
        <v>10</v>
      </c>
      <c r="F720" s="3">
        <v>3</v>
      </c>
      <c r="G720" s="21">
        <f>Table4[[#This Row],[Item Cost]]*Table4[[#This Row],[In Stock]]</f>
        <v>600</v>
      </c>
      <c r="H720" s="12" t="s">
        <v>4661</v>
      </c>
      <c r="I720" s="13" t="s">
        <v>4666</v>
      </c>
      <c r="J720" s="13" t="s">
        <v>4693</v>
      </c>
      <c r="K720" s="13" t="s">
        <v>4672</v>
      </c>
      <c r="L720" s="12" t="s">
        <v>4672</v>
      </c>
      <c r="M720" s="17" t="str">
        <f>IF(LEN(COUNTIFS($H$1:H720,$H720,$I$1:I720,$I720,$J$1:J720,$J720,$K$1:K720,K720,$L$1:L720,L720))=1,"00"&amp;COUNTIFS($H$1:H720,$H720,$I$1:I720,$I720,$J$1:J720,$J720,$K$1:K720,K720,$L$1:L720,L720),IF(LEN(COUNTIFS($H$1:H720,$H720,$I$1:I720,$I720,$J$1:J720,$J720,$K$1:K720,K720,$L$1:L720,L720))=2,"0"&amp;COUNTIFS($H$1:H720,$H720,$I$1:I720,$I720,$J$1:J720,$J720,$K$1:K720,K720,$L$1:L720,L720),COUNTIFS($H$1:H720,$H720,$I$1:I720,$I720,$J$1:J720,$J720,$K$1:K720,K720,$L$1:L720,L720)))</f>
        <v>053</v>
      </c>
      <c r="N72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20" s="14" t="e">
        <f>+LEN(Table4[[#This Row],[New Item Code]])</f>
        <v>#N/A</v>
      </c>
      <c r="P720" s="15" t="s">
        <v>4747</v>
      </c>
      <c r="Q720" s="15" t="s">
        <v>4749</v>
      </c>
      <c r="R720" s="15"/>
      <c r="S720" s="15"/>
      <c r="T720" s="15" t="s">
        <v>4693</v>
      </c>
    </row>
    <row r="721" spans="1:20" x14ac:dyDescent="0.35">
      <c r="A721" s="2" t="s">
        <v>1446</v>
      </c>
      <c r="B721" s="2" t="s">
        <v>1447</v>
      </c>
      <c r="C721" s="2" t="s">
        <v>15</v>
      </c>
      <c r="D721" s="2">
        <v>250</v>
      </c>
      <c r="E721" s="2" t="s">
        <v>10</v>
      </c>
      <c r="F721" s="2">
        <v>4</v>
      </c>
      <c r="G721" s="22">
        <f>Table4[[#This Row],[Item Cost]]*Table4[[#This Row],[In Stock]]</f>
        <v>1000</v>
      </c>
      <c r="H721" s="12" t="s">
        <v>4661</v>
      </c>
      <c r="I721" s="13" t="s">
        <v>4666</v>
      </c>
      <c r="J721" s="13" t="s">
        <v>4693</v>
      </c>
      <c r="K721" s="13" t="s">
        <v>4672</v>
      </c>
      <c r="L721" s="12" t="s">
        <v>4672</v>
      </c>
      <c r="M721" s="17" t="str">
        <f>IF(LEN(COUNTIFS($H$1:H721,$H721,$I$1:I721,$I721,$J$1:J721,$J721,$K$1:K721,K721,$L$1:L721,L721))=1,"00"&amp;COUNTIFS($H$1:H721,$H721,$I$1:I721,$I721,$J$1:J721,$J721,$K$1:K721,K721,$L$1:L721,L721),IF(LEN(COUNTIFS($H$1:H721,$H721,$I$1:I721,$I721,$J$1:J721,$J721,$K$1:K721,K721,$L$1:L721,L721))=2,"0"&amp;COUNTIFS($H$1:H721,$H721,$I$1:I721,$I721,$J$1:J721,$J721,$K$1:K721,K721,$L$1:L721,L721),COUNTIFS($H$1:H721,$H721,$I$1:I721,$I721,$J$1:J721,$J721,$K$1:K721,K721,$L$1:L721,L721)))</f>
        <v>054</v>
      </c>
      <c r="N72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21" s="14" t="e">
        <f>+LEN(Table4[[#This Row],[New Item Code]])</f>
        <v>#N/A</v>
      </c>
      <c r="P721" s="15" t="s">
        <v>4747</v>
      </c>
      <c r="Q721" s="15" t="s">
        <v>4749</v>
      </c>
      <c r="R721" s="15"/>
      <c r="S721" s="15"/>
      <c r="T721" s="15" t="s">
        <v>4693</v>
      </c>
    </row>
    <row r="722" spans="1:20" x14ac:dyDescent="0.35">
      <c r="A722" s="3" t="s">
        <v>1448</v>
      </c>
      <c r="B722" s="3" t="s">
        <v>1449</v>
      </c>
      <c r="C722" s="3" t="s">
        <v>15</v>
      </c>
      <c r="D722" s="3">
        <v>24</v>
      </c>
      <c r="E722" s="3" t="s">
        <v>10</v>
      </c>
      <c r="F722" s="3">
        <v>4</v>
      </c>
      <c r="G722" s="21">
        <f>Table4[[#This Row],[Item Cost]]*Table4[[#This Row],[In Stock]]</f>
        <v>96</v>
      </c>
      <c r="H722" s="12" t="s">
        <v>4661</v>
      </c>
      <c r="I722" s="13" t="s">
        <v>4666</v>
      </c>
      <c r="J722" s="13" t="s">
        <v>4693</v>
      </c>
      <c r="K722" s="13" t="s">
        <v>4672</v>
      </c>
      <c r="L722" s="12" t="s">
        <v>4672</v>
      </c>
      <c r="M722" s="17" t="str">
        <f>IF(LEN(COUNTIFS($H$1:H722,$H722,$I$1:I722,$I722,$J$1:J722,$J722,$K$1:K722,K722,$L$1:L722,L722))=1,"00"&amp;COUNTIFS($H$1:H722,$H722,$I$1:I722,$I722,$J$1:J722,$J722,$K$1:K722,K722,$L$1:L722,L722),IF(LEN(COUNTIFS($H$1:H722,$H722,$I$1:I722,$I722,$J$1:J722,$J722,$K$1:K722,K722,$L$1:L722,L722))=2,"0"&amp;COUNTIFS($H$1:H722,$H722,$I$1:I722,$I722,$J$1:J722,$J722,$K$1:K722,K722,$L$1:L722,L722),COUNTIFS($H$1:H722,$H722,$I$1:I722,$I722,$J$1:J722,$J722,$K$1:K722,K722,$L$1:L722,L722)))</f>
        <v>055</v>
      </c>
      <c r="N72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22" s="14" t="e">
        <f>+LEN(Table4[[#This Row],[New Item Code]])</f>
        <v>#N/A</v>
      </c>
      <c r="P722" s="15" t="s">
        <v>4747</v>
      </c>
      <c r="Q722" s="15" t="s">
        <v>4749</v>
      </c>
      <c r="R722" s="15"/>
      <c r="S722" s="15"/>
      <c r="T722" s="15" t="s">
        <v>4693</v>
      </c>
    </row>
    <row r="723" spans="1:20" x14ac:dyDescent="0.35">
      <c r="A723" s="2" t="s">
        <v>1450</v>
      </c>
      <c r="B723" s="2" t="s">
        <v>1451</v>
      </c>
      <c r="C723" s="2" t="s">
        <v>15</v>
      </c>
      <c r="D723" s="2">
        <v>300</v>
      </c>
      <c r="E723" s="2" t="s">
        <v>10</v>
      </c>
      <c r="F723" s="2">
        <v>21</v>
      </c>
      <c r="G723" s="22">
        <f>Table4[[#This Row],[Item Cost]]*Table4[[#This Row],[In Stock]]</f>
        <v>6300</v>
      </c>
      <c r="H723" s="12" t="s">
        <v>4661</v>
      </c>
      <c r="I723" s="13" t="s">
        <v>4666</v>
      </c>
      <c r="J723" s="13" t="s">
        <v>4693</v>
      </c>
      <c r="K723" s="13" t="s">
        <v>4672</v>
      </c>
      <c r="L723" s="12" t="s">
        <v>4672</v>
      </c>
      <c r="M723" s="17" t="str">
        <f>IF(LEN(COUNTIFS($H$1:H723,$H723,$I$1:I723,$I723,$J$1:J723,$J723,$K$1:K723,K723,$L$1:L723,L723))=1,"00"&amp;COUNTIFS($H$1:H723,$H723,$I$1:I723,$I723,$J$1:J723,$J723,$K$1:K723,K723,$L$1:L723,L723),IF(LEN(COUNTIFS($H$1:H723,$H723,$I$1:I723,$I723,$J$1:J723,$J723,$K$1:K723,K723,$L$1:L723,L723))=2,"0"&amp;COUNTIFS($H$1:H723,$H723,$I$1:I723,$I723,$J$1:J723,$J723,$K$1:K723,K723,$L$1:L723,L723),COUNTIFS($H$1:H723,$H723,$I$1:I723,$I723,$J$1:J723,$J723,$K$1:K723,K723,$L$1:L723,L723)))</f>
        <v>056</v>
      </c>
      <c r="N72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23" s="14" t="e">
        <f>+LEN(Table4[[#This Row],[New Item Code]])</f>
        <v>#N/A</v>
      </c>
      <c r="P723" s="15" t="s">
        <v>4747</v>
      </c>
      <c r="Q723" s="15" t="s">
        <v>4749</v>
      </c>
      <c r="R723" s="15"/>
      <c r="S723" s="15"/>
      <c r="T723" s="15" t="s">
        <v>4693</v>
      </c>
    </row>
    <row r="724" spans="1:20" x14ac:dyDescent="0.35">
      <c r="A724" s="3" t="s">
        <v>1452</v>
      </c>
      <c r="B724" s="3" t="s">
        <v>1453</v>
      </c>
      <c r="C724" s="3" t="s">
        <v>15</v>
      </c>
      <c r="D724" s="3">
        <v>230</v>
      </c>
      <c r="E724" s="3" t="s">
        <v>10</v>
      </c>
      <c r="F724" s="3">
        <v>3</v>
      </c>
      <c r="G724" s="21">
        <f>Table4[[#This Row],[Item Cost]]*Table4[[#This Row],[In Stock]]</f>
        <v>690</v>
      </c>
      <c r="H724" s="12" t="s">
        <v>4661</v>
      </c>
      <c r="I724" s="13" t="s">
        <v>4666</v>
      </c>
      <c r="J724" s="13" t="s">
        <v>4693</v>
      </c>
      <c r="K724" s="13" t="s">
        <v>4672</v>
      </c>
      <c r="L724" s="12" t="s">
        <v>4672</v>
      </c>
      <c r="M724" s="17" t="str">
        <f>IF(LEN(COUNTIFS($H$1:H724,$H724,$I$1:I724,$I724,$J$1:J724,$J724,$K$1:K724,K724,$L$1:L724,L724))=1,"00"&amp;COUNTIFS($H$1:H724,$H724,$I$1:I724,$I724,$J$1:J724,$J724,$K$1:K724,K724,$L$1:L724,L724),IF(LEN(COUNTIFS($H$1:H724,$H724,$I$1:I724,$I724,$J$1:J724,$J724,$K$1:K724,K724,$L$1:L724,L724))=2,"0"&amp;COUNTIFS($H$1:H724,$H724,$I$1:I724,$I724,$J$1:J724,$J724,$K$1:K724,K724,$L$1:L724,L724),COUNTIFS($H$1:H724,$H724,$I$1:I724,$I724,$J$1:J724,$J724,$K$1:K724,K724,$L$1:L724,L724)))</f>
        <v>057</v>
      </c>
      <c r="N72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24" s="14" t="e">
        <f>+LEN(Table4[[#This Row],[New Item Code]])</f>
        <v>#N/A</v>
      </c>
      <c r="P724" s="15" t="s">
        <v>4747</v>
      </c>
      <c r="Q724" s="15" t="s">
        <v>4749</v>
      </c>
      <c r="R724" s="15"/>
      <c r="S724" s="15"/>
      <c r="T724" s="15" t="s">
        <v>4693</v>
      </c>
    </row>
    <row r="725" spans="1:20" x14ac:dyDescent="0.35">
      <c r="A725" s="2" t="s">
        <v>1454</v>
      </c>
      <c r="B725" s="2" t="s">
        <v>1455</v>
      </c>
      <c r="C725" s="2" t="s">
        <v>15</v>
      </c>
      <c r="D725" s="2">
        <v>82</v>
      </c>
      <c r="E725" s="2" t="s">
        <v>10</v>
      </c>
      <c r="F725" s="2">
        <v>5</v>
      </c>
      <c r="G725" s="22">
        <f>Table4[[#This Row],[Item Cost]]*Table4[[#This Row],[In Stock]]</f>
        <v>410</v>
      </c>
      <c r="H725" s="12" t="s">
        <v>4661</v>
      </c>
      <c r="I725" s="13" t="s">
        <v>4666</v>
      </c>
      <c r="J725" s="13" t="s">
        <v>4693</v>
      </c>
      <c r="K725" s="13" t="s">
        <v>4672</v>
      </c>
      <c r="L725" s="12" t="s">
        <v>4672</v>
      </c>
      <c r="M725" s="17" t="str">
        <f>IF(LEN(COUNTIFS($H$1:H725,$H725,$I$1:I725,$I725,$J$1:J725,$J725,$K$1:K725,K725,$L$1:L725,L725))=1,"00"&amp;COUNTIFS($H$1:H725,$H725,$I$1:I725,$I725,$J$1:J725,$J725,$K$1:K725,K725,$L$1:L725,L725),IF(LEN(COUNTIFS($H$1:H725,$H725,$I$1:I725,$I725,$J$1:J725,$J725,$K$1:K725,K725,$L$1:L725,L725))=2,"0"&amp;COUNTIFS($H$1:H725,$H725,$I$1:I725,$I725,$J$1:J725,$J725,$K$1:K725,K725,$L$1:L725,L725),COUNTIFS($H$1:H725,$H725,$I$1:I725,$I725,$J$1:J725,$J725,$K$1:K725,K725,$L$1:L725,L725)))</f>
        <v>058</v>
      </c>
      <c r="N72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25" s="14" t="e">
        <f>+LEN(Table4[[#This Row],[New Item Code]])</f>
        <v>#N/A</v>
      </c>
      <c r="P725" s="15" t="s">
        <v>4747</v>
      </c>
      <c r="Q725" s="15" t="s">
        <v>4749</v>
      </c>
      <c r="R725" s="15"/>
      <c r="S725" s="15"/>
      <c r="T725" s="15" t="s">
        <v>4693</v>
      </c>
    </row>
    <row r="726" spans="1:20" x14ac:dyDescent="0.35">
      <c r="A726" s="3" t="s">
        <v>1456</v>
      </c>
      <c r="B726" s="3" t="s">
        <v>1457</v>
      </c>
      <c r="C726" s="3" t="s">
        <v>15</v>
      </c>
      <c r="D726" s="3">
        <v>270.714</v>
      </c>
      <c r="E726" s="3" t="s">
        <v>10</v>
      </c>
      <c r="F726" s="3">
        <v>21</v>
      </c>
      <c r="G726" s="21">
        <f>Table4[[#This Row],[Item Cost]]*Table4[[#This Row],[In Stock]]</f>
        <v>5684.9939999999997</v>
      </c>
      <c r="H726" s="12" t="s">
        <v>4661</v>
      </c>
      <c r="I726" s="13" t="s">
        <v>4666</v>
      </c>
      <c r="J726" s="13" t="s">
        <v>4693</v>
      </c>
      <c r="K726" s="13" t="s">
        <v>4672</v>
      </c>
      <c r="L726" s="12" t="s">
        <v>4672</v>
      </c>
      <c r="M726" s="17" t="str">
        <f>IF(LEN(COUNTIFS($H$1:H726,$H726,$I$1:I726,$I726,$J$1:J726,$J726,$K$1:K726,K726,$L$1:L726,L726))=1,"00"&amp;COUNTIFS($H$1:H726,$H726,$I$1:I726,$I726,$J$1:J726,$J726,$K$1:K726,K726,$L$1:L726,L726),IF(LEN(COUNTIFS($H$1:H726,$H726,$I$1:I726,$I726,$J$1:J726,$J726,$K$1:K726,K726,$L$1:L726,L726))=2,"0"&amp;COUNTIFS($H$1:H726,$H726,$I$1:I726,$I726,$J$1:J726,$J726,$K$1:K726,K726,$L$1:L726,L726),COUNTIFS($H$1:H726,$H726,$I$1:I726,$I726,$J$1:J726,$J726,$K$1:K726,K726,$L$1:L726,L726)))</f>
        <v>059</v>
      </c>
      <c r="N72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26" s="14" t="e">
        <f>+LEN(Table4[[#This Row],[New Item Code]])</f>
        <v>#N/A</v>
      </c>
      <c r="P726" s="15" t="s">
        <v>4747</v>
      </c>
      <c r="Q726" s="15" t="s">
        <v>4749</v>
      </c>
      <c r="R726" s="15"/>
      <c r="S726" s="15"/>
      <c r="T726" s="15" t="s">
        <v>4693</v>
      </c>
    </row>
    <row r="727" spans="1:20" x14ac:dyDescent="0.35">
      <c r="A727" s="2" t="s">
        <v>1458</v>
      </c>
      <c r="B727" s="2" t="s">
        <v>1459</v>
      </c>
      <c r="C727" s="2" t="s">
        <v>15</v>
      </c>
      <c r="D727" s="2">
        <v>0</v>
      </c>
      <c r="E727" s="2" t="s">
        <v>10</v>
      </c>
      <c r="F727" s="2">
        <v>0</v>
      </c>
      <c r="G727" s="22">
        <f>Table4[[#This Row],[Item Cost]]*Table4[[#This Row],[In Stock]]</f>
        <v>0</v>
      </c>
      <c r="H727" s="12" t="s">
        <v>4661</v>
      </c>
      <c r="I727" s="13" t="s">
        <v>4666</v>
      </c>
      <c r="J727" s="13" t="s">
        <v>4693</v>
      </c>
      <c r="K727" s="13" t="s">
        <v>4672</v>
      </c>
      <c r="L727" s="12" t="s">
        <v>4672</v>
      </c>
      <c r="M727" s="17" t="str">
        <f>IF(LEN(COUNTIFS($H$1:H727,$H727,$I$1:I727,$I727,$J$1:J727,$J727,$K$1:K727,K727,$L$1:L727,L727))=1,"00"&amp;COUNTIFS($H$1:H727,$H727,$I$1:I727,$I727,$J$1:J727,$J727,$K$1:K727,K727,$L$1:L727,L727),IF(LEN(COUNTIFS($H$1:H727,$H727,$I$1:I727,$I727,$J$1:J727,$J727,$K$1:K727,K727,$L$1:L727,L727))=2,"0"&amp;COUNTIFS($H$1:H727,$H727,$I$1:I727,$I727,$J$1:J727,$J727,$K$1:K727,K727,$L$1:L727,L727),COUNTIFS($H$1:H727,$H727,$I$1:I727,$I727,$J$1:J727,$J727,$K$1:K727,K727,$L$1:L727,L727)))</f>
        <v>060</v>
      </c>
      <c r="N72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27" s="14" t="e">
        <f>+LEN(Table4[[#This Row],[New Item Code]])</f>
        <v>#N/A</v>
      </c>
      <c r="P727" s="15" t="s">
        <v>4747</v>
      </c>
      <c r="Q727" s="15" t="s">
        <v>4749</v>
      </c>
      <c r="R727" s="15"/>
      <c r="S727" s="15"/>
      <c r="T727" s="15" t="s">
        <v>4693</v>
      </c>
    </row>
    <row r="728" spans="1:20" x14ac:dyDescent="0.35">
      <c r="A728" s="3" t="s">
        <v>1460</v>
      </c>
      <c r="B728" s="3" t="s">
        <v>1459</v>
      </c>
      <c r="C728" s="3" t="s">
        <v>15</v>
      </c>
      <c r="D728" s="3">
        <v>0</v>
      </c>
      <c r="E728" s="3" t="s">
        <v>10</v>
      </c>
      <c r="F728" s="3">
        <v>0</v>
      </c>
      <c r="G728" s="21">
        <f>Table4[[#This Row],[Item Cost]]*Table4[[#This Row],[In Stock]]</f>
        <v>0</v>
      </c>
      <c r="H728" s="12" t="s">
        <v>4661</v>
      </c>
      <c r="I728" s="13" t="s">
        <v>4666</v>
      </c>
      <c r="J728" s="13" t="s">
        <v>4693</v>
      </c>
      <c r="K728" s="13" t="s">
        <v>4672</v>
      </c>
      <c r="L728" s="12" t="s">
        <v>4672</v>
      </c>
      <c r="M728" s="17" t="str">
        <f>IF(LEN(COUNTIFS($H$1:H728,$H728,$I$1:I728,$I728,$J$1:J728,$J728,$K$1:K728,K728,$L$1:L728,L728))=1,"00"&amp;COUNTIFS($H$1:H728,$H728,$I$1:I728,$I728,$J$1:J728,$J728,$K$1:K728,K728,$L$1:L728,L728),IF(LEN(COUNTIFS($H$1:H728,$H728,$I$1:I728,$I728,$J$1:J728,$J728,$K$1:K728,K728,$L$1:L728,L728))=2,"0"&amp;COUNTIFS($H$1:H728,$H728,$I$1:I728,$I728,$J$1:J728,$J728,$K$1:K728,K728,$L$1:L728,L728),COUNTIFS($H$1:H728,$H728,$I$1:I728,$I728,$J$1:J728,$J728,$K$1:K728,K728,$L$1:L728,L728)))</f>
        <v>061</v>
      </c>
      <c r="N72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28" s="14" t="e">
        <f>+LEN(Table4[[#This Row],[New Item Code]])</f>
        <v>#N/A</v>
      </c>
      <c r="P728" s="15" t="s">
        <v>4747</v>
      </c>
      <c r="Q728" s="15" t="s">
        <v>4749</v>
      </c>
      <c r="R728" s="15"/>
      <c r="S728" s="15"/>
      <c r="T728" s="15" t="s">
        <v>4693</v>
      </c>
    </row>
    <row r="729" spans="1:20" x14ac:dyDescent="0.35">
      <c r="A729" s="2" t="s">
        <v>1461</v>
      </c>
      <c r="B729" s="2" t="s">
        <v>1462</v>
      </c>
      <c r="C729" s="2" t="s">
        <v>15</v>
      </c>
      <c r="D729" s="2">
        <v>96</v>
      </c>
      <c r="E729" s="2" t="s">
        <v>10</v>
      </c>
      <c r="F729" s="2">
        <v>5</v>
      </c>
      <c r="G729" s="22">
        <f>Table4[[#This Row],[Item Cost]]*Table4[[#This Row],[In Stock]]</f>
        <v>480</v>
      </c>
      <c r="H729" s="12" t="s">
        <v>4661</v>
      </c>
      <c r="I729" s="13" t="s">
        <v>4666</v>
      </c>
      <c r="J729" s="13" t="s">
        <v>4693</v>
      </c>
      <c r="K729" s="13" t="s">
        <v>4672</v>
      </c>
      <c r="L729" s="12" t="s">
        <v>4672</v>
      </c>
      <c r="M729" s="17" t="str">
        <f>IF(LEN(COUNTIFS($H$1:H729,$H729,$I$1:I729,$I729,$J$1:J729,$J729,$K$1:K729,K729,$L$1:L729,L729))=1,"00"&amp;COUNTIFS($H$1:H729,$H729,$I$1:I729,$I729,$J$1:J729,$J729,$K$1:K729,K729,$L$1:L729,L729),IF(LEN(COUNTIFS($H$1:H729,$H729,$I$1:I729,$I729,$J$1:J729,$J729,$K$1:K729,K729,$L$1:L729,L729))=2,"0"&amp;COUNTIFS($H$1:H729,$H729,$I$1:I729,$I729,$J$1:J729,$J729,$K$1:K729,K729,$L$1:L729,L729),COUNTIFS($H$1:H729,$H729,$I$1:I729,$I729,$J$1:J729,$J729,$K$1:K729,K729,$L$1:L729,L729)))</f>
        <v>062</v>
      </c>
      <c r="N72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29" s="14" t="e">
        <f>+LEN(Table4[[#This Row],[New Item Code]])</f>
        <v>#N/A</v>
      </c>
      <c r="P729" s="15" t="s">
        <v>4747</v>
      </c>
      <c r="Q729" s="15" t="s">
        <v>4749</v>
      </c>
      <c r="R729" s="15"/>
      <c r="S729" s="15"/>
      <c r="T729" s="15" t="s">
        <v>4693</v>
      </c>
    </row>
    <row r="730" spans="1:20" x14ac:dyDescent="0.35">
      <c r="A730" s="3" t="s">
        <v>1463</v>
      </c>
      <c r="B730" s="3" t="s">
        <v>1464</v>
      </c>
      <c r="C730" s="3" t="s">
        <v>15</v>
      </c>
      <c r="D730" s="3">
        <v>159</v>
      </c>
      <c r="E730" s="3" t="s">
        <v>10</v>
      </c>
      <c r="F730" s="3">
        <v>5</v>
      </c>
      <c r="G730" s="21">
        <f>Table4[[#This Row],[Item Cost]]*Table4[[#This Row],[In Stock]]</f>
        <v>795</v>
      </c>
      <c r="H730" s="12" t="s">
        <v>4661</v>
      </c>
      <c r="I730" s="13" t="s">
        <v>4666</v>
      </c>
      <c r="J730" s="13" t="s">
        <v>4693</v>
      </c>
      <c r="K730" s="13" t="s">
        <v>4672</v>
      </c>
      <c r="L730" s="12" t="s">
        <v>4672</v>
      </c>
      <c r="M730" s="17" t="str">
        <f>IF(LEN(COUNTIFS($H$1:H730,$H730,$I$1:I730,$I730,$J$1:J730,$J730,$K$1:K730,K730,$L$1:L730,L730))=1,"00"&amp;COUNTIFS($H$1:H730,$H730,$I$1:I730,$I730,$J$1:J730,$J730,$K$1:K730,K730,$L$1:L730,L730),IF(LEN(COUNTIFS($H$1:H730,$H730,$I$1:I730,$I730,$J$1:J730,$J730,$K$1:K730,K730,$L$1:L730,L730))=2,"0"&amp;COUNTIFS($H$1:H730,$H730,$I$1:I730,$I730,$J$1:J730,$J730,$K$1:K730,K730,$L$1:L730,L730),COUNTIFS($H$1:H730,$H730,$I$1:I730,$I730,$J$1:J730,$J730,$K$1:K730,K730,$L$1:L730,L730)))</f>
        <v>063</v>
      </c>
      <c r="N73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30" s="14" t="e">
        <f>+LEN(Table4[[#This Row],[New Item Code]])</f>
        <v>#N/A</v>
      </c>
      <c r="P730" s="15" t="s">
        <v>4747</v>
      </c>
      <c r="Q730" s="15" t="s">
        <v>4749</v>
      </c>
      <c r="R730" s="15"/>
      <c r="S730" s="15"/>
      <c r="T730" s="15" t="s">
        <v>4693</v>
      </c>
    </row>
    <row r="731" spans="1:20" x14ac:dyDescent="0.35">
      <c r="A731" s="2" t="s">
        <v>1465</v>
      </c>
      <c r="B731" s="2" t="s">
        <v>1466</v>
      </c>
      <c r="C731" s="2" t="s">
        <v>15</v>
      </c>
      <c r="D731" s="2">
        <v>0</v>
      </c>
      <c r="E731" s="2" t="s">
        <v>10</v>
      </c>
      <c r="F731" s="2">
        <v>0</v>
      </c>
      <c r="G731" s="22">
        <f>Table4[[#This Row],[Item Cost]]*Table4[[#This Row],[In Stock]]</f>
        <v>0</v>
      </c>
      <c r="H731" s="12" t="s">
        <v>4661</v>
      </c>
      <c r="I731" s="13" t="s">
        <v>4666</v>
      </c>
      <c r="J731" s="13" t="s">
        <v>4693</v>
      </c>
      <c r="K731" s="13" t="s">
        <v>4672</v>
      </c>
      <c r="L731" s="12" t="s">
        <v>4672</v>
      </c>
      <c r="M731" s="17" t="str">
        <f>IF(LEN(COUNTIFS($H$1:H731,$H731,$I$1:I731,$I731,$J$1:J731,$J731,$K$1:K731,K731,$L$1:L731,L731))=1,"00"&amp;COUNTIFS($H$1:H731,$H731,$I$1:I731,$I731,$J$1:J731,$J731,$K$1:K731,K731,$L$1:L731,L731),IF(LEN(COUNTIFS($H$1:H731,$H731,$I$1:I731,$I731,$J$1:J731,$J731,$K$1:K731,K731,$L$1:L731,L731))=2,"0"&amp;COUNTIFS($H$1:H731,$H731,$I$1:I731,$I731,$J$1:J731,$J731,$K$1:K731,K731,$L$1:L731,L731),COUNTIFS($H$1:H731,$H731,$I$1:I731,$I731,$J$1:J731,$J731,$K$1:K731,K731,$L$1:L731,L731)))</f>
        <v>064</v>
      </c>
      <c r="N73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31" s="14" t="e">
        <f>+LEN(Table4[[#This Row],[New Item Code]])</f>
        <v>#N/A</v>
      </c>
      <c r="P731" s="15" t="s">
        <v>4747</v>
      </c>
      <c r="Q731" s="15" t="s">
        <v>4749</v>
      </c>
      <c r="R731" s="15"/>
      <c r="S731" s="15"/>
      <c r="T731" s="15" t="s">
        <v>4693</v>
      </c>
    </row>
    <row r="732" spans="1:20" x14ac:dyDescent="0.35">
      <c r="A732" s="3" t="s">
        <v>1467</v>
      </c>
      <c r="B732" s="3" t="s">
        <v>1468</v>
      </c>
      <c r="C732" s="3" t="s">
        <v>15</v>
      </c>
      <c r="D732" s="3">
        <v>52.5</v>
      </c>
      <c r="E732" s="3" t="s">
        <v>10</v>
      </c>
      <c r="F732" s="3">
        <v>24</v>
      </c>
      <c r="G732" s="21">
        <f>Table4[[#This Row],[Item Cost]]*Table4[[#This Row],[In Stock]]</f>
        <v>1260</v>
      </c>
      <c r="H732" s="12" t="s">
        <v>4661</v>
      </c>
      <c r="I732" s="13" t="s">
        <v>4666</v>
      </c>
      <c r="J732" s="13" t="s">
        <v>4693</v>
      </c>
      <c r="K732" s="13" t="s">
        <v>4672</v>
      </c>
      <c r="L732" s="12" t="s">
        <v>4672</v>
      </c>
      <c r="M732" s="17" t="str">
        <f>IF(LEN(COUNTIFS($H$1:H732,$H732,$I$1:I732,$I732,$J$1:J732,$J732,$K$1:K732,K732,$L$1:L732,L732))=1,"00"&amp;COUNTIFS($H$1:H732,$H732,$I$1:I732,$I732,$J$1:J732,$J732,$K$1:K732,K732,$L$1:L732,L732),IF(LEN(COUNTIFS($H$1:H732,$H732,$I$1:I732,$I732,$J$1:J732,$J732,$K$1:K732,K732,$L$1:L732,L732))=2,"0"&amp;COUNTIFS($H$1:H732,$H732,$I$1:I732,$I732,$J$1:J732,$J732,$K$1:K732,K732,$L$1:L732,L732),COUNTIFS($H$1:H732,$H732,$I$1:I732,$I732,$J$1:J732,$J732,$K$1:K732,K732,$L$1:L732,L732)))</f>
        <v>065</v>
      </c>
      <c r="N73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32" s="14" t="e">
        <f>+LEN(Table4[[#This Row],[New Item Code]])</f>
        <v>#N/A</v>
      </c>
      <c r="P732" s="15" t="s">
        <v>4747</v>
      </c>
      <c r="Q732" s="15" t="s">
        <v>4749</v>
      </c>
      <c r="R732" s="15"/>
      <c r="S732" s="15"/>
      <c r="T732" s="15" t="s">
        <v>4693</v>
      </c>
    </row>
    <row r="733" spans="1:20" x14ac:dyDescent="0.35">
      <c r="A733" s="2" t="s">
        <v>1469</v>
      </c>
      <c r="B733" s="2" t="s">
        <v>1470</v>
      </c>
      <c r="C733" s="2" t="s">
        <v>15</v>
      </c>
      <c r="D733" s="2">
        <v>0</v>
      </c>
      <c r="E733" s="2" t="s">
        <v>10</v>
      </c>
      <c r="F733" s="2">
        <v>0</v>
      </c>
      <c r="G733" s="22">
        <f>Table4[[#This Row],[Item Cost]]*Table4[[#This Row],[In Stock]]</f>
        <v>0</v>
      </c>
      <c r="H733" s="12" t="s">
        <v>4661</v>
      </c>
      <c r="I733" s="13" t="s">
        <v>4666</v>
      </c>
      <c r="J733" s="13" t="s">
        <v>4693</v>
      </c>
      <c r="K733" s="13" t="s">
        <v>4672</v>
      </c>
      <c r="L733" s="12" t="s">
        <v>4672</v>
      </c>
      <c r="M733" s="17" t="str">
        <f>IF(LEN(COUNTIFS($H$1:H733,$H733,$I$1:I733,$I733,$J$1:J733,$J733,$K$1:K733,K733,$L$1:L733,L733))=1,"00"&amp;COUNTIFS($H$1:H733,$H733,$I$1:I733,$I733,$J$1:J733,$J733,$K$1:K733,K733,$L$1:L733,L733),IF(LEN(COUNTIFS($H$1:H733,$H733,$I$1:I733,$I733,$J$1:J733,$J733,$K$1:K733,K733,$L$1:L733,L733))=2,"0"&amp;COUNTIFS($H$1:H733,$H733,$I$1:I733,$I733,$J$1:J733,$J733,$K$1:K733,K733,$L$1:L733,L733),COUNTIFS($H$1:H733,$H733,$I$1:I733,$I733,$J$1:J733,$J733,$K$1:K733,K733,$L$1:L733,L733)))</f>
        <v>066</v>
      </c>
      <c r="N73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33" s="14" t="e">
        <f>+LEN(Table4[[#This Row],[New Item Code]])</f>
        <v>#N/A</v>
      </c>
      <c r="P733" s="15" t="s">
        <v>4747</v>
      </c>
      <c r="Q733" s="15" t="s">
        <v>4749</v>
      </c>
      <c r="R733" s="15"/>
      <c r="S733" s="15"/>
      <c r="T733" s="15" t="s">
        <v>4693</v>
      </c>
    </row>
    <row r="734" spans="1:20" x14ac:dyDescent="0.35">
      <c r="A734" s="3" t="s">
        <v>1471</v>
      </c>
      <c r="B734" s="3" t="s">
        <v>1472</v>
      </c>
      <c r="C734" s="3" t="s">
        <v>56</v>
      </c>
      <c r="D734" s="3">
        <v>0</v>
      </c>
      <c r="E734" s="3" t="s">
        <v>57</v>
      </c>
      <c r="F734" s="3">
        <v>0</v>
      </c>
      <c r="G734" s="21">
        <f>Table4[[#This Row],[Item Cost]]*Table4[[#This Row],[In Stock]]</f>
        <v>0</v>
      </c>
      <c r="H734" s="12" t="s">
        <v>4661</v>
      </c>
      <c r="I734" s="13" t="s">
        <v>4668</v>
      </c>
      <c r="J734" s="13" t="s">
        <v>4693</v>
      </c>
      <c r="K734" s="13" t="s">
        <v>4672</v>
      </c>
      <c r="L734" s="12" t="s">
        <v>4672</v>
      </c>
      <c r="M734" s="17" t="str">
        <f>IF(LEN(COUNTIFS($H$1:H734,$H734,$I$1:I734,$I734,$J$1:J734,$J734,$K$1:K734,K734,$L$1:L734,L734))=1,"00"&amp;COUNTIFS($H$1:H734,$H734,$I$1:I734,$I734,$J$1:J734,$J734,$K$1:K734,K734,$L$1:L734,L734),IF(LEN(COUNTIFS($H$1:H734,$H734,$I$1:I734,$I734,$J$1:J734,$J734,$K$1:K734,K734,$L$1:L734,L734))=2,"0"&amp;COUNTIFS($H$1:H734,$H734,$I$1:I734,$I734,$J$1:J734,$J734,$K$1:K734,K734,$L$1:L734,L734),COUNTIFS($H$1:H734,$H734,$I$1:I734,$I734,$J$1:J734,$J734,$K$1:K734,K734,$L$1:L734,L734)))</f>
        <v>035</v>
      </c>
      <c r="N73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34" s="14" t="e">
        <f>+LEN(Table4[[#This Row],[New Item Code]])</f>
        <v>#N/A</v>
      </c>
      <c r="P734" s="15" t="s">
        <v>4747</v>
      </c>
      <c r="Q734" s="15" t="s">
        <v>4749</v>
      </c>
      <c r="R734" s="15"/>
      <c r="S734" s="15"/>
      <c r="T734" s="15" t="s">
        <v>4693</v>
      </c>
    </row>
    <row r="735" spans="1:20" x14ac:dyDescent="0.35">
      <c r="A735" s="2" t="s">
        <v>1473</v>
      </c>
      <c r="B735" s="2" t="s">
        <v>1474</v>
      </c>
      <c r="C735" s="2" t="s">
        <v>56</v>
      </c>
      <c r="D735" s="2">
        <v>0</v>
      </c>
      <c r="E735" s="2" t="s">
        <v>57</v>
      </c>
      <c r="F735" s="2">
        <v>0</v>
      </c>
      <c r="G735" s="22">
        <f>Table4[[#This Row],[Item Cost]]*Table4[[#This Row],[In Stock]]</f>
        <v>0</v>
      </c>
      <c r="H735" s="12" t="s">
        <v>4661</v>
      </c>
      <c r="I735" s="13" t="s">
        <v>4668</v>
      </c>
      <c r="J735" s="13" t="s">
        <v>4693</v>
      </c>
      <c r="K735" s="13" t="s">
        <v>4672</v>
      </c>
      <c r="L735" s="12" t="s">
        <v>4672</v>
      </c>
      <c r="M735" s="17" t="str">
        <f>IF(LEN(COUNTIFS($H$1:H735,$H735,$I$1:I735,$I735,$J$1:J735,$J735,$K$1:K735,K735,$L$1:L735,L735))=1,"00"&amp;COUNTIFS($H$1:H735,$H735,$I$1:I735,$I735,$J$1:J735,$J735,$K$1:K735,K735,$L$1:L735,L735),IF(LEN(COUNTIFS($H$1:H735,$H735,$I$1:I735,$I735,$J$1:J735,$J735,$K$1:K735,K735,$L$1:L735,L735))=2,"0"&amp;COUNTIFS($H$1:H735,$H735,$I$1:I735,$I735,$J$1:J735,$J735,$K$1:K735,K735,$L$1:L735,L735),COUNTIFS($H$1:H735,$H735,$I$1:I735,$I735,$J$1:J735,$J735,$K$1:K735,K735,$L$1:L735,L735)))</f>
        <v>036</v>
      </c>
      <c r="N73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35" s="14" t="e">
        <f>+LEN(Table4[[#This Row],[New Item Code]])</f>
        <v>#N/A</v>
      </c>
      <c r="P735" s="15" t="s">
        <v>4747</v>
      </c>
      <c r="Q735" s="15" t="s">
        <v>4749</v>
      </c>
      <c r="R735" s="15"/>
      <c r="S735" s="15"/>
      <c r="T735" s="15" t="s">
        <v>4693</v>
      </c>
    </row>
    <row r="736" spans="1:20" x14ac:dyDescent="0.35">
      <c r="A736" s="3" t="s">
        <v>1475</v>
      </c>
      <c r="B736" s="3" t="s">
        <v>1476</v>
      </c>
      <c r="C736" s="3" t="s">
        <v>56</v>
      </c>
      <c r="D736" s="3">
        <v>0</v>
      </c>
      <c r="E736" s="3" t="s">
        <v>57</v>
      </c>
      <c r="F736" s="3">
        <v>0</v>
      </c>
      <c r="G736" s="21">
        <f>Table4[[#This Row],[Item Cost]]*Table4[[#This Row],[In Stock]]</f>
        <v>0</v>
      </c>
      <c r="H736" s="12" t="s">
        <v>4661</v>
      </c>
      <c r="I736" s="13" t="s">
        <v>4668</v>
      </c>
      <c r="J736" s="13" t="s">
        <v>4693</v>
      </c>
      <c r="K736" s="13" t="s">
        <v>4672</v>
      </c>
      <c r="L736" s="12" t="s">
        <v>4672</v>
      </c>
      <c r="M736" s="17" t="str">
        <f>IF(LEN(COUNTIFS($H$1:H736,$H736,$I$1:I736,$I736,$J$1:J736,$J736,$K$1:K736,K736,$L$1:L736,L736))=1,"00"&amp;COUNTIFS($H$1:H736,$H736,$I$1:I736,$I736,$J$1:J736,$J736,$K$1:K736,K736,$L$1:L736,L736),IF(LEN(COUNTIFS($H$1:H736,$H736,$I$1:I736,$I736,$J$1:J736,$J736,$K$1:K736,K736,$L$1:L736,L736))=2,"0"&amp;COUNTIFS($H$1:H736,$H736,$I$1:I736,$I736,$J$1:J736,$J736,$K$1:K736,K736,$L$1:L736,L736),COUNTIFS($H$1:H736,$H736,$I$1:I736,$I736,$J$1:J736,$J736,$K$1:K736,K736,$L$1:L736,L736)))</f>
        <v>037</v>
      </c>
      <c r="N73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36" s="14" t="e">
        <f>+LEN(Table4[[#This Row],[New Item Code]])</f>
        <v>#N/A</v>
      </c>
      <c r="P736" s="15" t="s">
        <v>4747</v>
      </c>
      <c r="Q736" s="15" t="s">
        <v>4749</v>
      </c>
      <c r="R736" s="15"/>
      <c r="S736" s="15"/>
      <c r="T736" s="15" t="s">
        <v>4693</v>
      </c>
    </row>
    <row r="737" spans="1:20" x14ac:dyDescent="0.35">
      <c r="A737" s="2" t="s">
        <v>1477</v>
      </c>
      <c r="B737" s="2" t="s">
        <v>1478</v>
      </c>
      <c r="C737" s="2" t="s">
        <v>56</v>
      </c>
      <c r="D737" s="2">
        <v>0</v>
      </c>
      <c r="E737" s="2" t="s">
        <v>57</v>
      </c>
      <c r="F737" s="2">
        <v>0</v>
      </c>
      <c r="G737" s="22">
        <f>Table4[[#This Row],[Item Cost]]*Table4[[#This Row],[In Stock]]</f>
        <v>0</v>
      </c>
      <c r="H737" s="12" t="s">
        <v>4661</v>
      </c>
      <c r="I737" s="13" t="s">
        <v>4668</v>
      </c>
      <c r="J737" s="13" t="s">
        <v>4693</v>
      </c>
      <c r="K737" s="13" t="s">
        <v>4672</v>
      </c>
      <c r="L737" s="12" t="s">
        <v>4672</v>
      </c>
      <c r="M737" s="17" t="str">
        <f>IF(LEN(COUNTIFS($H$1:H737,$H737,$I$1:I737,$I737,$J$1:J737,$J737,$K$1:K737,K737,$L$1:L737,L737))=1,"00"&amp;COUNTIFS($H$1:H737,$H737,$I$1:I737,$I737,$J$1:J737,$J737,$K$1:K737,K737,$L$1:L737,L737),IF(LEN(COUNTIFS($H$1:H737,$H737,$I$1:I737,$I737,$J$1:J737,$J737,$K$1:K737,K737,$L$1:L737,L737))=2,"0"&amp;COUNTIFS($H$1:H737,$H737,$I$1:I737,$I737,$J$1:J737,$J737,$K$1:K737,K737,$L$1:L737,L737),COUNTIFS($H$1:H737,$H737,$I$1:I737,$I737,$J$1:J737,$J737,$K$1:K737,K737,$L$1:L737,L737)))</f>
        <v>038</v>
      </c>
      <c r="N73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37" s="14" t="e">
        <f>+LEN(Table4[[#This Row],[New Item Code]])</f>
        <v>#N/A</v>
      </c>
      <c r="P737" s="15" t="s">
        <v>4747</v>
      </c>
      <c r="Q737" s="15" t="s">
        <v>4749</v>
      </c>
      <c r="R737" s="15"/>
      <c r="S737" s="15"/>
      <c r="T737" s="15" t="s">
        <v>4693</v>
      </c>
    </row>
    <row r="738" spans="1:20" x14ac:dyDescent="0.35">
      <c r="A738" s="3" t="s">
        <v>1479</v>
      </c>
      <c r="B738" s="3" t="s">
        <v>1480</v>
      </c>
      <c r="C738" s="3" t="s">
        <v>15</v>
      </c>
      <c r="D738" s="3">
        <v>18.908999999999999</v>
      </c>
      <c r="E738" s="3" t="s">
        <v>57</v>
      </c>
      <c r="F738" s="3">
        <v>15</v>
      </c>
      <c r="G738" s="21">
        <f>Table4[[#This Row],[Item Cost]]*Table4[[#This Row],[In Stock]]</f>
        <v>283.63499999999999</v>
      </c>
      <c r="H738" s="12" t="s">
        <v>4661</v>
      </c>
      <c r="I738" s="13" t="s">
        <v>4666</v>
      </c>
      <c r="J738" s="13" t="s">
        <v>4693</v>
      </c>
      <c r="K738" s="13" t="s">
        <v>4672</v>
      </c>
      <c r="L738" s="12" t="s">
        <v>4672</v>
      </c>
      <c r="M738" s="17" t="str">
        <f>IF(LEN(COUNTIFS($H$1:H738,$H738,$I$1:I738,$I738,$J$1:J738,$J738,$K$1:K738,K738,$L$1:L738,L738))=1,"00"&amp;COUNTIFS($H$1:H738,$H738,$I$1:I738,$I738,$J$1:J738,$J738,$K$1:K738,K738,$L$1:L738,L738),IF(LEN(COUNTIFS($H$1:H738,$H738,$I$1:I738,$I738,$J$1:J738,$J738,$K$1:K738,K738,$L$1:L738,L738))=2,"0"&amp;COUNTIFS($H$1:H738,$H738,$I$1:I738,$I738,$J$1:J738,$J738,$K$1:K738,K738,$L$1:L738,L738),COUNTIFS($H$1:H738,$H738,$I$1:I738,$I738,$J$1:J738,$J738,$K$1:K738,K738,$L$1:L738,L738)))</f>
        <v>067</v>
      </c>
      <c r="N73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38" s="14" t="e">
        <f>+LEN(Table4[[#This Row],[New Item Code]])</f>
        <v>#N/A</v>
      </c>
      <c r="P738" s="15" t="s">
        <v>4747</v>
      </c>
      <c r="Q738" s="15" t="s">
        <v>4749</v>
      </c>
      <c r="R738" s="15"/>
      <c r="S738" s="15"/>
      <c r="T738" s="15" t="s">
        <v>4693</v>
      </c>
    </row>
    <row r="739" spans="1:20" x14ac:dyDescent="0.35">
      <c r="A739" s="2" t="s">
        <v>1481</v>
      </c>
      <c r="B739" s="2" t="s">
        <v>1482</v>
      </c>
      <c r="C739" s="3" t="s">
        <v>15</v>
      </c>
      <c r="D739" s="2">
        <v>18.908999999999999</v>
      </c>
      <c r="E739" s="2" t="s">
        <v>57</v>
      </c>
      <c r="F739" s="2">
        <v>15</v>
      </c>
      <c r="G739" s="22">
        <f>Table4[[#This Row],[Item Cost]]*Table4[[#This Row],[In Stock]]</f>
        <v>283.63499999999999</v>
      </c>
      <c r="H739" s="12" t="s">
        <v>4661</v>
      </c>
      <c r="I739" s="13" t="s">
        <v>4666</v>
      </c>
      <c r="J739" s="13" t="s">
        <v>4693</v>
      </c>
      <c r="K739" s="13" t="s">
        <v>4672</v>
      </c>
      <c r="L739" s="12" t="s">
        <v>4672</v>
      </c>
      <c r="M739" s="17" t="str">
        <f>IF(LEN(COUNTIFS($H$1:H739,$H739,$I$1:I739,$I739,$J$1:J739,$J739,$K$1:K739,K739,$L$1:L739,L739))=1,"00"&amp;COUNTIFS($H$1:H739,$H739,$I$1:I739,$I739,$J$1:J739,$J739,$K$1:K739,K739,$L$1:L739,L739),IF(LEN(COUNTIFS($H$1:H739,$H739,$I$1:I739,$I739,$J$1:J739,$J739,$K$1:K739,K739,$L$1:L739,L739))=2,"0"&amp;COUNTIFS($H$1:H739,$H739,$I$1:I739,$I739,$J$1:J739,$J739,$K$1:K739,K739,$L$1:L739,L739),COUNTIFS($H$1:H739,$H739,$I$1:I739,$I739,$J$1:J739,$J739,$K$1:K739,K739,$L$1:L739,L739)))</f>
        <v>068</v>
      </c>
      <c r="N73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39" s="14" t="e">
        <f>+LEN(Table4[[#This Row],[New Item Code]])</f>
        <v>#N/A</v>
      </c>
      <c r="P739" s="15" t="s">
        <v>4747</v>
      </c>
      <c r="Q739" s="15" t="s">
        <v>4749</v>
      </c>
      <c r="R739" s="15"/>
      <c r="S739" s="15"/>
      <c r="T739" s="15" t="s">
        <v>4693</v>
      </c>
    </row>
    <row r="740" spans="1:20" x14ac:dyDescent="0.35">
      <c r="A740" s="3" t="s">
        <v>1483</v>
      </c>
      <c r="B740" s="3" t="s">
        <v>1484</v>
      </c>
      <c r="C740" s="3" t="s">
        <v>15</v>
      </c>
      <c r="D740" s="3">
        <v>12.223000000000001</v>
      </c>
      <c r="E740" s="3" t="s">
        <v>57</v>
      </c>
      <c r="F740" s="3">
        <v>0</v>
      </c>
      <c r="G740" s="21">
        <f>Table4[[#This Row],[Item Cost]]*Table4[[#This Row],[In Stock]]</f>
        <v>0</v>
      </c>
      <c r="H740" s="12" t="s">
        <v>4661</v>
      </c>
      <c r="I740" s="13" t="s">
        <v>4666</v>
      </c>
      <c r="J740" s="13" t="s">
        <v>4693</v>
      </c>
      <c r="K740" s="13" t="s">
        <v>4672</v>
      </c>
      <c r="L740" s="12" t="s">
        <v>4672</v>
      </c>
      <c r="M740" s="17" t="str">
        <f>IF(LEN(COUNTIFS($H$1:H740,$H740,$I$1:I740,$I740,$J$1:J740,$J740,$K$1:K740,K740,$L$1:L740,L740))=1,"00"&amp;COUNTIFS($H$1:H740,$H740,$I$1:I740,$I740,$J$1:J740,$J740,$K$1:K740,K740,$L$1:L740,L740),IF(LEN(COUNTIFS($H$1:H740,$H740,$I$1:I740,$I740,$J$1:J740,$J740,$K$1:K740,K740,$L$1:L740,L740))=2,"0"&amp;COUNTIFS($H$1:H740,$H740,$I$1:I740,$I740,$J$1:J740,$J740,$K$1:K740,K740,$L$1:L740,L740),COUNTIFS($H$1:H740,$H740,$I$1:I740,$I740,$J$1:J740,$J740,$K$1:K740,K740,$L$1:L740,L740)))</f>
        <v>069</v>
      </c>
      <c r="N74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40" s="14" t="e">
        <f>+LEN(Table4[[#This Row],[New Item Code]])</f>
        <v>#N/A</v>
      </c>
      <c r="P740" s="15" t="s">
        <v>4747</v>
      </c>
      <c r="Q740" s="15" t="s">
        <v>4749</v>
      </c>
      <c r="R740" s="15"/>
      <c r="S740" s="15"/>
      <c r="T740" s="15" t="s">
        <v>4693</v>
      </c>
    </row>
    <row r="741" spans="1:20" x14ac:dyDescent="0.35">
      <c r="A741" s="2" t="s">
        <v>1485</v>
      </c>
      <c r="B741" s="2" t="s">
        <v>1486</v>
      </c>
      <c r="C741" s="3" t="s">
        <v>15</v>
      </c>
      <c r="D741" s="2">
        <v>22.524999999999999</v>
      </c>
      <c r="E741" s="2" t="s">
        <v>57</v>
      </c>
      <c r="F741" s="2">
        <v>8</v>
      </c>
      <c r="G741" s="22">
        <f>Table4[[#This Row],[Item Cost]]*Table4[[#This Row],[In Stock]]</f>
        <v>180.2</v>
      </c>
      <c r="H741" s="12" t="s">
        <v>4661</v>
      </c>
      <c r="I741" s="13" t="s">
        <v>4666</v>
      </c>
      <c r="J741" s="13" t="s">
        <v>4693</v>
      </c>
      <c r="K741" s="13" t="s">
        <v>4672</v>
      </c>
      <c r="L741" s="12" t="s">
        <v>4672</v>
      </c>
      <c r="M741" s="17" t="str">
        <f>IF(LEN(COUNTIFS($H$1:H741,$H741,$I$1:I741,$I741,$J$1:J741,$J741,$K$1:K741,K741,$L$1:L741,L741))=1,"00"&amp;COUNTIFS($H$1:H741,$H741,$I$1:I741,$I741,$J$1:J741,$J741,$K$1:K741,K741,$L$1:L741,L741),IF(LEN(COUNTIFS($H$1:H741,$H741,$I$1:I741,$I741,$J$1:J741,$J741,$K$1:K741,K741,$L$1:L741,L741))=2,"0"&amp;COUNTIFS($H$1:H741,$H741,$I$1:I741,$I741,$J$1:J741,$J741,$K$1:K741,K741,$L$1:L741,L741),COUNTIFS($H$1:H741,$H741,$I$1:I741,$I741,$J$1:J741,$J741,$K$1:K741,K741,$L$1:L741,L741)))</f>
        <v>070</v>
      </c>
      <c r="N74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41" s="14" t="e">
        <f>+LEN(Table4[[#This Row],[New Item Code]])</f>
        <v>#N/A</v>
      </c>
      <c r="P741" s="15" t="s">
        <v>4747</v>
      </c>
      <c r="Q741" s="15" t="s">
        <v>4749</v>
      </c>
      <c r="R741" s="15"/>
      <c r="S741" s="15"/>
      <c r="T741" s="15" t="s">
        <v>4693</v>
      </c>
    </row>
    <row r="742" spans="1:20" x14ac:dyDescent="0.35">
      <c r="A742" s="3" t="s">
        <v>1487</v>
      </c>
      <c r="B742" s="3" t="s">
        <v>1488</v>
      </c>
      <c r="C742" s="3" t="s">
        <v>56</v>
      </c>
      <c r="D742" s="3">
        <v>185</v>
      </c>
      <c r="E742" s="3" t="s">
        <v>57</v>
      </c>
      <c r="F742" s="3">
        <v>0</v>
      </c>
      <c r="G742" s="21">
        <f>Table4[[#This Row],[Item Cost]]*Table4[[#This Row],[In Stock]]</f>
        <v>0</v>
      </c>
      <c r="H742" s="12" t="s">
        <v>4661</v>
      </c>
      <c r="I742" s="13" t="s">
        <v>4668</v>
      </c>
      <c r="J742" s="13" t="s">
        <v>4693</v>
      </c>
      <c r="K742" s="13" t="s">
        <v>4672</v>
      </c>
      <c r="L742" s="12" t="s">
        <v>4672</v>
      </c>
      <c r="M742" s="17" t="str">
        <f>IF(LEN(COUNTIFS($H$1:H742,$H742,$I$1:I742,$I742,$J$1:J742,$J742,$K$1:K742,K742,$L$1:L742,L742))=1,"00"&amp;COUNTIFS($H$1:H742,$H742,$I$1:I742,$I742,$J$1:J742,$J742,$K$1:K742,K742,$L$1:L742,L742),IF(LEN(COUNTIFS($H$1:H742,$H742,$I$1:I742,$I742,$J$1:J742,$J742,$K$1:K742,K742,$L$1:L742,L742))=2,"0"&amp;COUNTIFS($H$1:H742,$H742,$I$1:I742,$I742,$J$1:J742,$J742,$K$1:K742,K742,$L$1:L742,L742),COUNTIFS($H$1:H742,$H742,$I$1:I742,$I742,$J$1:J742,$J742,$K$1:K742,K742,$L$1:L742,L742)))</f>
        <v>039</v>
      </c>
      <c r="N74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42" s="14" t="e">
        <f>+LEN(Table4[[#This Row],[New Item Code]])</f>
        <v>#N/A</v>
      </c>
      <c r="P742" s="15" t="s">
        <v>4747</v>
      </c>
      <c r="Q742" s="15" t="s">
        <v>4749</v>
      </c>
      <c r="R742" s="15"/>
      <c r="S742" s="15"/>
      <c r="T742" s="15" t="s">
        <v>4693</v>
      </c>
    </row>
    <row r="743" spans="1:20" x14ac:dyDescent="0.35">
      <c r="A743" s="2" t="s">
        <v>1489</v>
      </c>
      <c r="B743" s="2" t="s">
        <v>1490</v>
      </c>
      <c r="C743" s="2" t="s">
        <v>56</v>
      </c>
      <c r="D743" s="2">
        <v>290</v>
      </c>
      <c r="E743" s="2" t="s">
        <v>57</v>
      </c>
      <c r="F743" s="2">
        <v>0</v>
      </c>
      <c r="G743" s="22">
        <f>Table4[[#This Row],[Item Cost]]*Table4[[#This Row],[In Stock]]</f>
        <v>0</v>
      </c>
      <c r="H743" s="12" t="s">
        <v>4661</v>
      </c>
      <c r="I743" s="13" t="s">
        <v>4668</v>
      </c>
      <c r="J743" s="13" t="s">
        <v>4693</v>
      </c>
      <c r="K743" s="13" t="s">
        <v>4672</v>
      </c>
      <c r="L743" s="12" t="s">
        <v>4672</v>
      </c>
      <c r="M743" s="17" t="str">
        <f>IF(LEN(COUNTIFS($H$1:H743,$H743,$I$1:I743,$I743,$J$1:J743,$J743,$K$1:K743,K743,$L$1:L743,L743))=1,"00"&amp;COUNTIFS($H$1:H743,$H743,$I$1:I743,$I743,$J$1:J743,$J743,$K$1:K743,K743,$L$1:L743,L743),IF(LEN(COUNTIFS($H$1:H743,$H743,$I$1:I743,$I743,$J$1:J743,$J743,$K$1:K743,K743,$L$1:L743,L743))=2,"0"&amp;COUNTIFS($H$1:H743,$H743,$I$1:I743,$I743,$J$1:J743,$J743,$K$1:K743,K743,$L$1:L743,L743),COUNTIFS($H$1:H743,$H743,$I$1:I743,$I743,$J$1:J743,$J743,$K$1:K743,K743,$L$1:L743,L743)))</f>
        <v>040</v>
      </c>
      <c r="N74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43" s="14" t="e">
        <f>+LEN(Table4[[#This Row],[New Item Code]])</f>
        <v>#N/A</v>
      </c>
      <c r="P743" s="15" t="s">
        <v>4747</v>
      </c>
      <c r="Q743" s="15" t="s">
        <v>4749</v>
      </c>
      <c r="R743" s="15"/>
      <c r="S743" s="15"/>
      <c r="T743" s="15" t="s">
        <v>4693</v>
      </c>
    </row>
    <row r="744" spans="1:20" x14ac:dyDescent="0.35">
      <c r="A744" s="2" t="s">
        <v>1491</v>
      </c>
      <c r="B744" s="2" t="s">
        <v>1492</v>
      </c>
      <c r="C744" s="2" t="s">
        <v>56</v>
      </c>
      <c r="D744" s="2">
        <v>0</v>
      </c>
      <c r="E744" s="2" t="s">
        <v>57</v>
      </c>
      <c r="F744" s="2">
        <v>0</v>
      </c>
      <c r="G744" s="22">
        <f>Table4[[#This Row],[Item Cost]]*Table4[[#This Row],[In Stock]]</f>
        <v>0</v>
      </c>
      <c r="H744" s="12" t="s">
        <v>4661</v>
      </c>
      <c r="I744" s="13" t="s">
        <v>4668</v>
      </c>
      <c r="J744" s="13" t="s">
        <v>4693</v>
      </c>
      <c r="K744" s="13" t="s">
        <v>4672</v>
      </c>
      <c r="L744" s="12" t="s">
        <v>4672</v>
      </c>
      <c r="M744" s="17" t="str">
        <f>IF(LEN(COUNTIFS($H$1:H744,$H744,$I$1:I744,$I744,$J$1:J744,$J744,$K$1:K744,K744,$L$1:L744,L744))=1,"00"&amp;COUNTIFS($H$1:H744,$H744,$I$1:I744,$I744,$J$1:J744,$J744,$K$1:K744,K744,$L$1:L744,L744),IF(LEN(COUNTIFS($H$1:H744,$H744,$I$1:I744,$I744,$J$1:J744,$J744,$K$1:K744,K744,$L$1:L744,L744))=2,"0"&amp;COUNTIFS($H$1:H744,$H744,$I$1:I744,$I744,$J$1:J744,$J744,$K$1:K744,K744,$L$1:L744,L744),COUNTIFS($H$1:H744,$H744,$I$1:I744,$I744,$J$1:J744,$J744,$K$1:K744,K744,$L$1:L744,L744)))</f>
        <v>041</v>
      </c>
      <c r="N74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44" s="14" t="e">
        <f>+LEN(Table4[[#This Row],[New Item Code]])</f>
        <v>#N/A</v>
      </c>
      <c r="P744" s="15" t="s">
        <v>4747</v>
      </c>
      <c r="Q744" s="15" t="s">
        <v>4749</v>
      </c>
      <c r="R744" s="15"/>
      <c r="S744" s="15"/>
      <c r="T744" s="15" t="s">
        <v>4693</v>
      </c>
    </row>
    <row r="745" spans="1:20" x14ac:dyDescent="0.35">
      <c r="A745" s="3" t="s">
        <v>1493</v>
      </c>
      <c r="B745" s="3" t="s">
        <v>1494</v>
      </c>
      <c r="C745" s="3" t="s">
        <v>56</v>
      </c>
      <c r="D745" s="3">
        <v>0</v>
      </c>
      <c r="E745" s="3" t="s">
        <v>57</v>
      </c>
      <c r="F745" s="3">
        <v>0</v>
      </c>
      <c r="G745" s="21">
        <f>Table4[[#This Row],[Item Cost]]*Table4[[#This Row],[In Stock]]</f>
        <v>0</v>
      </c>
      <c r="H745" s="12" t="s">
        <v>4661</v>
      </c>
      <c r="I745" s="13" t="s">
        <v>4668</v>
      </c>
      <c r="J745" s="13" t="s">
        <v>4693</v>
      </c>
      <c r="K745" s="13" t="s">
        <v>4672</v>
      </c>
      <c r="L745" s="12" t="s">
        <v>4672</v>
      </c>
      <c r="M745" s="17" t="str">
        <f>IF(LEN(COUNTIFS($H$1:H745,$H745,$I$1:I745,$I745,$J$1:J745,$J745,$K$1:K745,K745,$L$1:L745,L745))=1,"00"&amp;COUNTIFS($H$1:H745,$H745,$I$1:I745,$I745,$J$1:J745,$J745,$K$1:K745,K745,$L$1:L745,L745),IF(LEN(COUNTIFS($H$1:H745,$H745,$I$1:I745,$I745,$J$1:J745,$J745,$K$1:K745,K745,$L$1:L745,L745))=2,"0"&amp;COUNTIFS($H$1:H745,$H745,$I$1:I745,$I745,$J$1:J745,$J745,$K$1:K745,K745,$L$1:L745,L745),COUNTIFS($H$1:H745,$H745,$I$1:I745,$I745,$J$1:J745,$J745,$K$1:K745,K745,$L$1:L745,L745)))</f>
        <v>042</v>
      </c>
      <c r="N74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45" s="14" t="e">
        <f>+LEN(Table4[[#This Row],[New Item Code]])</f>
        <v>#N/A</v>
      </c>
      <c r="P745" s="15" t="s">
        <v>4747</v>
      </c>
      <c r="Q745" s="15" t="s">
        <v>4749</v>
      </c>
      <c r="R745" s="15"/>
      <c r="S745" s="15"/>
      <c r="T745" s="15" t="s">
        <v>4693</v>
      </c>
    </row>
    <row r="746" spans="1:20" x14ac:dyDescent="0.35">
      <c r="A746" s="2" t="s">
        <v>1495</v>
      </c>
      <c r="B746" s="2" t="s">
        <v>1496</v>
      </c>
      <c r="C746" s="2" t="s">
        <v>56</v>
      </c>
      <c r="D746" s="2">
        <v>0</v>
      </c>
      <c r="E746" s="2" t="s">
        <v>57</v>
      </c>
      <c r="F746" s="2">
        <v>0</v>
      </c>
      <c r="G746" s="22">
        <f>Table4[[#This Row],[Item Cost]]*Table4[[#This Row],[In Stock]]</f>
        <v>0</v>
      </c>
      <c r="H746" s="12" t="s">
        <v>4661</v>
      </c>
      <c r="I746" s="13" t="s">
        <v>4668</v>
      </c>
      <c r="J746" s="13" t="s">
        <v>4693</v>
      </c>
      <c r="K746" s="13" t="s">
        <v>4672</v>
      </c>
      <c r="L746" s="12" t="s">
        <v>4672</v>
      </c>
      <c r="M746" s="17" t="str">
        <f>IF(LEN(COUNTIFS($H$1:H746,$H746,$I$1:I746,$I746,$J$1:J746,$J746,$K$1:K746,K746,$L$1:L746,L746))=1,"00"&amp;COUNTIFS($H$1:H746,$H746,$I$1:I746,$I746,$J$1:J746,$J746,$K$1:K746,K746,$L$1:L746,L746),IF(LEN(COUNTIFS($H$1:H746,$H746,$I$1:I746,$I746,$J$1:J746,$J746,$K$1:K746,K746,$L$1:L746,L746))=2,"0"&amp;COUNTIFS($H$1:H746,$H746,$I$1:I746,$I746,$J$1:J746,$J746,$K$1:K746,K746,$L$1:L746,L746),COUNTIFS($H$1:H746,$H746,$I$1:I746,$I746,$J$1:J746,$J746,$K$1:K746,K746,$L$1:L746,L746)))</f>
        <v>043</v>
      </c>
      <c r="N74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46" s="14" t="e">
        <f>+LEN(Table4[[#This Row],[New Item Code]])</f>
        <v>#N/A</v>
      </c>
      <c r="P746" s="15" t="s">
        <v>4747</v>
      </c>
      <c r="Q746" s="15" t="s">
        <v>4749</v>
      </c>
      <c r="R746" s="15"/>
      <c r="S746" s="15"/>
      <c r="T746" s="15" t="s">
        <v>4693</v>
      </c>
    </row>
    <row r="747" spans="1:20" x14ac:dyDescent="0.35">
      <c r="A747" s="3" t="s">
        <v>1497</v>
      </c>
      <c r="B747" s="3" t="s">
        <v>1498</v>
      </c>
      <c r="C747" s="3" t="s">
        <v>56</v>
      </c>
      <c r="D747" s="3">
        <v>1.5</v>
      </c>
      <c r="E747" s="3" t="s">
        <v>57</v>
      </c>
      <c r="F747" s="3">
        <v>0</v>
      </c>
      <c r="G747" s="21">
        <f>Table4[[#This Row],[Item Cost]]*Table4[[#This Row],[In Stock]]</f>
        <v>0</v>
      </c>
      <c r="H747" s="12" t="s">
        <v>4661</v>
      </c>
      <c r="I747" s="13" t="s">
        <v>4668</v>
      </c>
      <c r="J747" s="13" t="s">
        <v>4693</v>
      </c>
      <c r="K747" s="13" t="s">
        <v>4672</v>
      </c>
      <c r="L747" s="12" t="s">
        <v>4672</v>
      </c>
      <c r="M747" s="17" t="str">
        <f>IF(LEN(COUNTIFS($H$1:H747,$H747,$I$1:I747,$I747,$J$1:J747,$J747,$K$1:K747,K747,$L$1:L747,L747))=1,"00"&amp;COUNTIFS($H$1:H747,$H747,$I$1:I747,$I747,$J$1:J747,$J747,$K$1:K747,K747,$L$1:L747,L747),IF(LEN(COUNTIFS($H$1:H747,$H747,$I$1:I747,$I747,$J$1:J747,$J747,$K$1:K747,K747,$L$1:L747,L747))=2,"0"&amp;COUNTIFS($H$1:H747,$H747,$I$1:I747,$I747,$J$1:J747,$J747,$K$1:K747,K747,$L$1:L747,L747),COUNTIFS($H$1:H747,$H747,$I$1:I747,$I747,$J$1:J747,$J747,$K$1:K747,K747,$L$1:L747,L747)))</f>
        <v>044</v>
      </c>
      <c r="N74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47" s="14" t="e">
        <f>+LEN(Table4[[#This Row],[New Item Code]])</f>
        <v>#N/A</v>
      </c>
      <c r="P747" s="15" t="s">
        <v>4747</v>
      </c>
      <c r="Q747" s="15" t="s">
        <v>4749</v>
      </c>
      <c r="R747" s="15"/>
      <c r="S747" s="15"/>
      <c r="T747" s="15" t="s">
        <v>4693</v>
      </c>
    </row>
    <row r="748" spans="1:20" x14ac:dyDescent="0.35">
      <c r="A748" s="2" t="s">
        <v>1499</v>
      </c>
      <c r="B748" s="2" t="s">
        <v>1500</v>
      </c>
      <c r="C748" s="2" t="s">
        <v>56</v>
      </c>
      <c r="D748" s="2">
        <v>6</v>
      </c>
      <c r="E748" s="2" t="s">
        <v>57</v>
      </c>
      <c r="F748" s="2">
        <v>4</v>
      </c>
      <c r="G748" s="22">
        <f>Table4[[#This Row],[Item Cost]]*Table4[[#This Row],[In Stock]]</f>
        <v>24</v>
      </c>
      <c r="H748" s="12" t="s">
        <v>4661</v>
      </c>
      <c r="I748" s="13" t="s">
        <v>4668</v>
      </c>
      <c r="J748" s="13" t="s">
        <v>4693</v>
      </c>
      <c r="K748" s="13" t="s">
        <v>4672</v>
      </c>
      <c r="L748" s="12" t="s">
        <v>4672</v>
      </c>
      <c r="M748" s="17" t="str">
        <f>IF(LEN(COUNTIFS($H$1:H748,$H748,$I$1:I748,$I748,$J$1:J748,$J748,$K$1:K748,K748,$L$1:L748,L748))=1,"00"&amp;COUNTIFS($H$1:H748,$H748,$I$1:I748,$I748,$J$1:J748,$J748,$K$1:K748,K748,$L$1:L748,L748),IF(LEN(COUNTIFS($H$1:H748,$H748,$I$1:I748,$I748,$J$1:J748,$J748,$K$1:K748,K748,$L$1:L748,L748))=2,"0"&amp;COUNTIFS($H$1:H748,$H748,$I$1:I748,$I748,$J$1:J748,$J748,$K$1:K748,K748,$L$1:L748,L748),COUNTIFS($H$1:H748,$H748,$I$1:I748,$I748,$J$1:J748,$J748,$K$1:K748,K748,$L$1:L748,L748)))</f>
        <v>045</v>
      </c>
      <c r="N74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48" s="14" t="e">
        <f>+LEN(Table4[[#This Row],[New Item Code]])</f>
        <v>#N/A</v>
      </c>
      <c r="P748" s="15" t="s">
        <v>4747</v>
      </c>
      <c r="Q748" s="15" t="s">
        <v>4749</v>
      </c>
      <c r="R748" s="15"/>
      <c r="S748" s="15"/>
      <c r="T748" s="15" t="s">
        <v>4693</v>
      </c>
    </row>
    <row r="749" spans="1:20" x14ac:dyDescent="0.35">
      <c r="A749" s="3" t="s">
        <v>1501</v>
      </c>
      <c r="B749" s="3" t="s">
        <v>1502</v>
      </c>
      <c r="C749" s="3" t="s">
        <v>56</v>
      </c>
      <c r="D749" s="3">
        <v>28.856999999999999</v>
      </c>
      <c r="E749" s="3" t="s">
        <v>57</v>
      </c>
      <c r="F749" s="3">
        <v>18</v>
      </c>
      <c r="G749" s="21">
        <f>Table4[[#This Row],[Item Cost]]*Table4[[#This Row],[In Stock]]</f>
        <v>519.42599999999993</v>
      </c>
      <c r="H749" s="12" t="s">
        <v>4661</v>
      </c>
      <c r="I749" s="13" t="s">
        <v>4668</v>
      </c>
      <c r="J749" s="13" t="s">
        <v>4693</v>
      </c>
      <c r="K749" s="13" t="s">
        <v>4672</v>
      </c>
      <c r="L749" s="12" t="s">
        <v>4672</v>
      </c>
      <c r="M749" s="17" t="str">
        <f>IF(LEN(COUNTIFS($H$1:H749,$H749,$I$1:I749,$I749,$J$1:J749,$J749,$K$1:K749,K749,$L$1:L749,L749))=1,"00"&amp;COUNTIFS($H$1:H749,$H749,$I$1:I749,$I749,$J$1:J749,$J749,$K$1:K749,K749,$L$1:L749,L749),IF(LEN(COUNTIFS($H$1:H749,$H749,$I$1:I749,$I749,$J$1:J749,$J749,$K$1:K749,K749,$L$1:L749,L749))=2,"0"&amp;COUNTIFS($H$1:H749,$H749,$I$1:I749,$I749,$J$1:J749,$J749,$K$1:K749,K749,$L$1:L749,L749),COUNTIFS($H$1:H749,$H749,$I$1:I749,$I749,$J$1:J749,$J749,$K$1:K749,K749,$L$1:L749,L749)))</f>
        <v>046</v>
      </c>
      <c r="N74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49" s="14" t="e">
        <f>+LEN(Table4[[#This Row],[New Item Code]])</f>
        <v>#N/A</v>
      </c>
      <c r="P749" s="15" t="s">
        <v>4747</v>
      </c>
      <c r="Q749" s="15" t="s">
        <v>4749</v>
      </c>
      <c r="R749" s="15"/>
      <c r="S749" s="15"/>
      <c r="T749" s="15" t="s">
        <v>4693</v>
      </c>
    </row>
    <row r="750" spans="1:20" x14ac:dyDescent="0.35">
      <c r="A750" s="2" t="s">
        <v>1503</v>
      </c>
      <c r="B750" s="2" t="s">
        <v>1504</v>
      </c>
      <c r="C750" s="2" t="s">
        <v>56</v>
      </c>
      <c r="D750" s="2">
        <v>0</v>
      </c>
      <c r="E750" s="2" t="s">
        <v>57</v>
      </c>
      <c r="F750" s="2">
        <v>0</v>
      </c>
      <c r="G750" s="22">
        <f>Table4[[#This Row],[Item Cost]]*Table4[[#This Row],[In Stock]]</f>
        <v>0</v>
      </c>
      <c r="H750" s="12" t="s">
        <v>4661</v>
      </c>
      <c r="I750" s="13" t="s">
        <v>4668</v>
      </c>
      <c r="J750" s="13" t="s">
        <v>4693</v>
      </c>
      <c r="K750" s="13" t="s">
        <v>4672</v>
      </c>
      <c r="L750" s="12" t="s">
        <v>4672</v>
      </c>
      <c r="M750" s="17" t="str">
        <f>IF(LEN(COUNTIFS($H$1:H750,$H750,$I$1:I750,$I750,$J$1:J750,$J750,$K$1:K750,K750,$L$1:L750,L750))=1,"00"&amp;COUNTIFS($H$1:H750,$H750,$I$1:I750,$I750,$J$1:J750,$J750,$K$1:K750,K750,$L$1:L750,L750),IF(LEN(COUNTIFS($H$1:H750,$H750,$I$1:I750,$I750,$J$1:J750,$J750,$K$1:K750,K750,$L$1:L750,L750))=2,"0"&amp;COUNTIFS($H$1:H750,$H750,$I$1:I750,$I750,$J$1:J750,$J750,$K$1:K750,K750,$L$1:L750,L750),COUNTIFS($H$1:H750,$H750,$I$1:I750,$I750,$J$1:J750,$J750,$K$1:K750,K750,$L$1:L750,L750)))</f>
        <v>047</v>
      </c>
      <c r="N75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50" s="14" t="e">
        <f>+LEN(Table4[[#This Row],[New Item Code]])</f>
        <v>#N/A</v>
      </c>
      <c r="P750" s="15" t="s">
        <v>4747</v>
      </c>
      <c r="Q750" s="15" t="s">
        <v>4749</v>
      </c>
      <c r="R750" s="15"/>
      <c r="S750" s="15"/>
      <c r="T750" s="15" t="s">
        <v>4693</v>
      </c>
    </row>
    <row r="751" spans="1:20" x14ac:dyDescent="0.35">
      <c r="A751" s="3" t="s">
        <v>1505</v>
      </c>
      <c r="B751" s="3" t="s">
        <v>1506</v>
      </c>
      <c r="C751" s="3" t="s">
        <v>56</v>
      </c>
      <c r="D751" s="3">
        <v>0</v>
      </c>
      <c r="E751" s="3" t="s">
        <v>57</v>
      </c>
      <c r="F751" s="3">
        <v>0</v>
      </c>
      <c r="G751" s="21">
        <f>Table4[[#This Row],[Item Cost]]*Table4[[#This Row],[In Stock]]</f>
        <v>0</v>
      </c>
      <c r="H751" s="12" t="s">
        <v>4661</v>
      </c>
      <c r="I751" s="13" t="s">
        <v>4668</v>
      </c>
      <c r="J751" s="13" t="s">
        <v>4693</v>
      </c>
      <c r="K751" s="13" t="s">
        <v>4672</v>
      </c>
      <c r="L751" s="12" t="s">
        <v>4672</v>
      </c>
      <c r="M751" s="17" t="str">
        <f>IF(LEN(COUNTIFS($H$1:H751,$H751,$I$1:I751,$I751,$J$1:J751,$J751,$K$1:K751,K751,$L$1:L751,L751))=1,"00"&amp;COUNTIFS($H$1:H751,$H751,$I$1:I751,$I751,$J$1:J751,$J751,$K$1:K751,K751,$L$1:L751,L751),IF(LEN(COUNTIFS($H$1:H751,$H751,$I$1:I751,$I751,$J$1:J751,$J751,$K$1:K751,K751,$L$1:L751,L751))=2,"0"&amp;COUNTIFS($H$1:H751,$H751,$I$1:I751,$I751,$J$1:J751,$J751,$K$1:K751,K751,$L$1:L751,L751),COUNTIFS($H$1:H751,$H751,$I$1:I751,$I751,$J$1:J751,$J751,$K$1:K751,K751,$L$1:L751,L751)))</f>
        <v>048</v>
      </c>
      <c r="N75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51" s="14" t="e">
        <f>+LEN(Table4[[#This Row],[New Item Code]])</f>
        <v>#N/A</v>
      </c>
      <c r="P751" s="15" t="s">
        <v>4747</v>
      </c>
      <c r="Q751" s="15" t="s">
        <v>4749</v>
      </c>
      <c r="R751" s="15"/>
      <c r="S751" s="15"/>
      <c r="T751" s="15" t="s">
        <v>4693</v>
      </c>
    </row>
    <row r="752" spans="1:20" x14ac:dyDescent="0.35">
      <c r="A752" s="2" t="s">
        <v>1507</v>
      </c>
      <c r="B752" s="2" t="s">
        <v>1508</v>
      </c>
      <c r="C752" s="2" t="s">
        <v>15</v>
      </c>
      <c r="D752" s="4">
        <v>1500</v>
      </c>
      <c r="E752" s="2" t="s">
        <v>10</v>
      </c>
      <c r="F752" s="2">
        <v>84</v>
      </c>
      <c r="G752" s="22">
        <f>Table4[[#This Row],[Item Cost]]*Table4[[#This Row],[In Stock]]</f>
        <v>126000</v>
      </c>
      <c r="H752" s="12" t="s">
        <v>4661</v>
      </c>
      <c r="I752" s="13" t="s">
        <v>4666</v>
      </c>
      <c r="J752" s="13" t="s">
        <v>4693</v>
      </c>
      <c r="K752" s="13" t="s">
        <v>4672</v>
      </c>
      <c r="L752" s="12" t="s">
        <v>4672</v>
      </c>
      <c r="M752" s="17" t="str">
        <f>IF(LEN(COUNTIFS($H$1:H752,$H752,$I$1:I752,$I752,$J$1:J752,$J752,$K$1:K752,K752,$L$1:L752,L752))=1,"00"&amp;COUNTIFS($H$1:H752,$H752,$I$1:I752,$I752,$J$1:J752,$J752,$K$1:K752,K752,$L$1:L752,L752),IF(LEN(COUNTIFS($H$1:H752,$H752,$I$1:I752,$I752,$J$1:J752,$J752,$K$1:K752,K752,$L$1:L752,L752))=2,"0"&amp;COUNTIFS($H$1:H752,$H752,$I$1:I752,$I752,$J$1:J752,$J752,$K$1:K752,K752,$L$1:L752,L752),COUNTIFS($H$1:H752,$H752,$I$1:I752,$I752,$J$1:J752,$J752,$K$1:K752,K752,$L$1:L752,L752)))</f>
        <v>071</v>
      </c>
      <c r="N75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52" s="14" t="e">
        <f>+LEN(Table4[[#This Row],[New Item Code]])</f>
        <v>#N/A</v>
      </c>
      <c r="P752" s="15" t="s">
        <v>4747</v>
      </c>
      <c r="Q752" s="15" t="s">
        <v>4749</v>
      </c>
      <c r="R752" s="15"/>
      <c r="S752" s="15"/>
      <c r="T752" s="15" t="s">
        <v>4693</v>
      </c>
    </row>
    <row r="753" spans="1:20" x14ac:dyDescent="0.35">
      <c r="A753" s="3" t="s">
        <v>1509</v>
      </c>
      <c r="B753" s="3" t="s">
        <v>1510</v>
      </c>
      <c r="C753" s="3" t="s">
        <v>15</v>
      </c>
      <c r="D753" s="5">
        <v>1350</v>
      </c>
      <c r="E753" s="3" t="s">
        <v>10</v>
      </c>
      <c r="F753" s="3">
        <v>20</v>
      </c>
      <c r="G753" s="21">
        <f>Table4[[#This Row],[Item Cost]]*Table4[[#This Row],[In Stock]]</f>
        <v>27000</v>
      </c>
      <c r="H753" s="12" t="s">
        <v>4661</v>
      </c>
      <c r="I753" s="13" t="s">
        <v>4666</v>
      </c>
      <c r="J753" s="13" t="s">
        <v>4693</v>
      </c>
      <c r="K753" s="13" t="s">
        <v>4672</v>
      </c>
      <c r="L753" s="12" t="s">
        <v>4672</v>
      </c>
      <c r="M753" s="17" t="str">
        <f>IF(LEN(COUNTIFS($H$1:H753,$H753,$I$1:I753,$I753,$J$1:J753,$J753,$K$1:K753,K753,$L$1:L753,L753))=1,"00"&amp;COUNTIFS($H$1:H753,$H753,$I$1:I753,$I753,$J$1:J753,$J753,$K$1:K753,K753,$L$1:L753,L753),IF(LEN(COUNTIFS($H$1:H753,$H753,$I$1:I753,$I753,$J$1:J753,$J753,$K$1:K753,K753,$L$1:L753,L753))=2,"0"&amp;COUNTIFS($H$1:H753,$H753,$I$1:I753,$I753,$J$1:J753,$J753,$K$1:K753,K753,$L$1:L753,L753),COUNTIFS($H$1:H753,$H753,$I$1:I753,$I753,$J$1:J753,$J753,$K$1:K753,K753,$L$1:L753,L753)))</f>
        <v>072</v>
      </c>
      <c r="N75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53" s="14" t="e">
        <f>+LEN(Table4[[#This Row],[New Item Code]])</f>
        <v>#N/A</v>
      </c>
      <c r="P753" s="15" t="s">
        <v>4747</v>
      </c>
      <c r="Q753" s="15" t="s">
        <v>4749</v>
      </c>
      <c r="R753" s="15"/>
      <c r="S753" s="15"/>
      <c r="T753" s="15" t="s">
        <v>4693</v>
      </c>
    </row>
    <row r="754" spans="1:20" x14ac:dyDescent="0.35">
      <c r="A754" s="2" t="s">
        <v>1511</v>
      </c>
      <c r="B754" s="2" t="s">
        <v>1512</v>
      </c>
      <c r="C754" s="2" t="s">
        <v>15</v>
      </c>
      <c r="D754" s="4">
        <v>1250</v>
      </c>
      <c r="E754" s="2" t="s">
        <v>10</v>
      </c>
      <c r="F754" s="2">
        <v>8</v>
      </c>
      <c r="G754" s="22">
        <f>Table4[[#This Row],[Item Cost]]*Table4[[#This Row],[In Stock]]</f>
        <v>10000</v>
      </c>
      <c r="H754" s="12" t="s">
        <v>4661</v>
      </c>
      <c r="I754" s="13" t="s">
        <v>4666</v>
      </c>
      <c r="J754" s="13" t="s">
        <v>4693</v>
      </c>
      <c r="K754" s="13" t="s">
        <v>4672</v>
      </c>
      <c r="L754" s="12" t="s">
        <v>4672</v>
      </c>
      <c r="M754" s="17" t="str">
        <f>IF(LEN(COUNTIFS($H$1:H754,$H754,$I$1:I754,$I754,$J$1:J754,$J754,$K$1:K754,K754,$L$1:L754,L754))=1,"00"&amp;COUNTIFS($H$1:H754,$H754,$I$1:I754,$I754,$J$1:J754,$J754,$K$1:K754,K754,$L$1:L754,L754),IF(LEN(COUNTIFS($H$1:H754,$H754,$I$1:I754,$I754,$J$1:J754,$J754,$K$1:K754,K754,$L$1:L754,L754))=2,"0"&amp;COUNTIFS($H$1:H754,$H754,$I$1:I754,$I754,$J$1:J754,$J754,$K$1:K754,K754,$L$1:L754,L754),COUNTIFS($H$1:H754,$H754,$I$1:I754,$I754,$J$1:J754,$J754,$K$1:K754,K754,$L$1:L754,L754)))</f>
        <v>073</v>
      </c>
      <c r="N75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54" s="14" t="e">
        <f>+LEN(Table4[[#This Row],[New Item Code]])</f>
        <v>#N/A</v>
      </c>
      <c r="P754" s="15" t="s">
        <v>4747</v>
      </c>
      <c r="Q754" s="15" t="s">
        <v>4749</v>
      </c>
      <c r="R754" s="15"/>
      <c r="S754" s="15"/>
      <c r="T754" s="15" t="s">
        <v>4693</v>
      </c>
    </row>
    <row r="755" spans="1:20" x14ac:dyDescent="0.35">
      <c r="A755" s="3" t="s">
        <v>1513</v>
      </c>
      <c r="B755" s="3" t="s">
        <v>1514</v>
      </c>
      <c r="C755" s="3" t="s">
        <v>15</v>
      </c>
      <c r="D755" s="3">
        <v>400</v>
      </c>
      <c r="E755" s="3" t="s">
        <v>10</v>
      </c>
      <c r="F755" s="3">
        <v>1</v>
      </c>
      <c r="G755" s="21">
        <f>Table4[[#This Row],[Item Cost]]*Table4[[#This Row],[In Stock]]</f>
        <v>400</v>
      </c>
      <c r="H755" s="12" t="s">
        <v>4661</v>
      </c>
      <c r="I755" s="13" t="s">
        <v>4666</v>
      </c>
      <c r="J755" s="13" t="s">
        <v>4693</v>
      </c>
      <c r="K755" s="13" t="s">
        <v>4672</v>
      </c>
      <c r="L755" s="12" t="s">
        <v>4672</v>
      </c>
      <c r="M755" s="17" t="str">
        <f>IF(LEN(COUNTIFS($H$1:H755,$H755,$I$1:I755,$I755,$J$1:J755,$J755,$K$1:K755,K755,$L$1:L755,L755))=1,"00"&amp;COUNTIFS($H$1:H755,$H755,$I$1:I755,$I755,$J$1:J755,$J755,$K$1:K755,K755,$L$1:L755,L755),IF(LEN(COUNTIFS($H$1:H755,$H755,$I$1:I755,$I755,$J$1:J755,$J755,$K$1:K755,K755,$L$1:L755,L755))=2,"0"&amp;COUNTIFS($H$1:H755,$H755,$I$1:I755,$I755,$J$1:J755,$J755,$K$1:K755,K755,$L$1:L755,L755),COUNTIFS($H$1:H755,$H755,$I$1:I755,$I755,$J$1:J755,$J755,$K$1:K755,K755,$L$1:L755,L755)))</f>
        <v>074</v>
      </c>
      <c r="N75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55" s="14" t="e">
        <f>+LEN(Table4[[#This Row],[New Item Code]])</f>
        <v>#N/A</v>
      </c>
      <c r="P755" s="15" t="s">
        <v>4747</v>
      </c>
      <c r="Q755" s="15" t="s">
        <v>4749</v>
      </c>
      <c r="R755" s="15"/>
      <c r="S755" s="15"/>
      <c r="T755" s="15" t="s">
        <v>4693</v>
      </c>
    </row>
    <row r="756" spans="1:20" x14ac:dyDescent="0.35">
      <c r="A756" s="2" t="s">
        <v>1515</v>
      </c>
      <c r="B756" s="2" t="s">
        <v>1516</v>
      </c>
      <c r="C756" s="2" t="s">
        <v>15</v>
      </c>
      <c r="D756" s="2">
        <v>350</v>
      </c>
      <c r="E756" s="2" t="s">
        <v>10</v>
      </c>
      <c r="F756" s="2">
        <v>15</v>
      </c>
      <c r="G756" s="22">
        <f>Table4[[#This Row],[Item Cost]]*Table4[[#This Row],[In Stock]]</f>
        <v>5250</v>
      </c>
      <c r="H756" s="12" t="s">
        <v>4661</v>
      </c>
      <c r="I756" s="13" t="s">
        <v>4666</v>
      </c>
      <c r="J756" s="13" t="s">
        <v>4693</v>
      </c>
      <c r="K756" s="13" t="s">
        <v>4672</v>
      </c>
      <c r="L756" s="12" t="s">
        <v>4672</v>
      </c>
      <c r="M756" s="17" t="str">
        <f>IF(LEN(COUNTIFS($H$1:H756,$H756,$I$1:I756,$I756,$J$1:J756,$J756,$K$1:K756,K756,$L$1:L756,L756))=1,"00"&amp;COUNTIFS($H$1:H756,$H756,$I$1:I756,$I756,$J$1:J756,$J756,$K$1:K756,K756,$L$1:L756,L756),IF(LEN(COUNTIFS($H$1:H756,$H756,$I$1:I756,$I756,$J$1:J756,$J756,$K$1:K756,K756,$L$1:L756,L756))=2,"0"&amp;COUNTIFS($H$1:H756,$H756,$I$1:I756,$I756,$J$1:J756,$J756,$K$1:K756,K756,$L$1:L756,L756),COUNTIFS($H$1:H756,$H756,$I$1:I756,$I756,$J$1:J756,$J756,$K$1:K756,K756,$L$1:L756,L756)))</f>
        <v>075</v>
      </c>
      <c r="N75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56" s="14" t="e">
        <f>+LEN(Table4[[#This Row],[New Item Code]])</f>
        <v>#N/A</v>
      </c>
      <c r="P756" s="15" t="s">
        <v>4747</v>
      </c>
      <c r="Q756" s="15" t="s">
        <v>4749</v>
      </c>
      <c r="R756" s="15"/>
      <c r="S756" s="15"/>
      <c r="T756" s="15" t="s">
        <v>4693</v>
      </c>
    </row>
    <row r="757" spans="1:20" x14ac:dyDescent="0.35">
      <c r="A757" s="3" t="s">
        <v>1517</v>
      </c>
      <c r="B757" s="3" t="s">
        <v>1518</v>
      </c>
      <c r="C757" s="3" t="s">
        <v>15</v>
      </c>
      <c r="D757" s="3">
        <v>250</v>
      </c>
      <c r="E757" s="3" t="s">
        <v>10</v>
      </c>
      <c r="F757" s="3">
        <v>3</v>
      </c>
      <c r="G757" s="21">
        <f>Table4[[#This Row],[Item Cost]]*Table4[[#This Row],[In Stock]]</f>
        <v>750</v>
      </c>
      <c r="H757" s="12" t="s">
        <v>4661</v>
      </c>
      <c r="I757" s="13" t="s">
        <v>4666</v>
      </c>
      <c r="J757" s="13" t="s">
        <v>4693</v>
      </c>
      <c r="K757" s="13" t="s">
        <v>4672</v>
      </c>
      <c r="L757" s="12" t="s">
        <v>4672</v>
      </c>
      <c r="M757" s="17" t="str">
        <f>IF(LEN(COUNTIFS($H$1:H757,$H757,$I$1:I757,$I757,$J$1:J757,$J757,$K$1:K757,K757,$L$1:L757,L757))=1,"00"&amp;COUNTIFS($H$1:H757,$H757,$I$1:I757,$I757,$J$1:J757,$J757,$K$1:K757,K757,$L$1:L757,L757),IF(LEN(COUNTIFS($H$1:H757,$H757,$I$1:I757,$I757,$J$1:J757,$J757,$K$1:K757,K757,$L$1:L757,L757))=2,"0"&amp;COUNTIFS($H$1:H757,$H757,$I$1:I757,$I757,$J$1:J757,$J757,$K$1:K757,K757,$L$1:L757,L757),COUNTIFS($H$1:H757,$H757,$I$1:I757,$I757,$J$1:J757,$J757,$K$1:K757,K757,$L$1:L757,L757)))</f>
        <v>076</v>
      </c>
      <c r="N75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57" s="14" t="e">
        <f>+LEN(Table4[[#This Row],[New Item Code]])</f>
        <v>#N/A</v>
      </c>
      <c r="P757" s="15" t="s">
        <v>4747</v>
      </c>
      <c r="Q757" s="15" t="s">
        <v>4749</v>
      </c>
      <c r="R757" s="15"/>
      <c r="S757" s="15"/>
      <c r="T757" s="15" t="s">
        <v>4693</v>
      </c>
    </row>
    <row r="758" spans="1:20" x14ac:dyDescent="0.35">
      <c r="A758" s="2" t="s">
        <v>1519</v>
      </c>
      <c r="B758" s="2" t="s">
        <v>1520</v>
      </c>
      <c r="C758" s="2" t="s">
        <v>15</v>
      </c>
      <c r="D758" s="2">
        <v>250</v>
      </c>
      <c r="E758" s="2" t="s">
        <v>10</v>
      </c>
      <c r="F758" s="2">
        <v>2</v>
      </c>
      <c r="G758" s="22">
        <f>Table4[[#This Row],[Item Cost]]*Table4[[#This Row],[In Stock]]</f>
        <v>500</v>
      </c>
      <c r="H758" s="12" t="s">
        <v>4661</v>
      </c>
      <c r="I758" s="13" t="s">
        <v>4666</v>
      </c>
      <c r="J758" s="13" t="s">
        <v>4693</v>
      </c>
      <c r="K758" s="13" t="s">
        <v>4672</v>
      </c>
      <c r="L758" s="12" t="s">
        <v>4672</v>
      </c>
      <c r="M758" s="17" t="str">
        <f>IF(LEN(COUNTIFS($H$1:H758,$H758,$I$1:I758,$I758,$J$1:J758,$J758,$K$1:K758,K758,$L$1:L758,L758))=1,"00"&amp;COUNTIFS($H$1:H758,$H758,$I$1:I758,$I758,$J$1:J758,$J758,$K$1:K758,K758,$L$1:L758,L758),IF(LEN(COUNTIFS($H$1:H758,$H758,$I$1:I758,$I758,$J$1:J758,$J758,$K$1:K758,K758,$L$1:L758,L758))=2,"0"&amp;COUNTIFS($H$1:H758,$H758,$I$1:I758,$I758,$J$1:J758,$J758,$K$1:K758,K758,$L$1:L758,L758),COUNTIFS($H$1:H758,$H758,$I$1:I758,$I758,$J$1:J758,$J758,$K$1:K758,K758,$L$1:L758,L758)))</f>
        <v>077</v>
      </c>
      <c r="N75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58" s="14" t="e">
        <f>+LEN(Table4[[#This Row],[New Item Code]])</f>
        <v>#N/A</v>
      </c>
      <c r="P758" s="15" t="s">
        <v>4747</v>
      </c>
      <c r="Q758" s="15" t="s">
        <v>4749</v>
      </c>
      <c r="R758" s="15"/>
      <c r="S758" s="15"/>
      <c r="T758" s="15" t="s">
        <v>4693</v>
      </c>
    </row>
    <row r="759" spans="1:20" x14ac:dyDescent="0.35">
      <c r="A759" s="3" t="s">
        <v>1521</v>
      </c>
      <c r="B759" s="3" t="s">
        <v>1522</v>
      </c>
      <c r="C759" s="3" t="s">
        <v>15</v>
      </c>
      <c r="D759" s="3">
        <v>250</v>
      </c>
      <c r="E759" s="3" t="s">
        <v>10</v>
      </c>
      <c r="F759" s="3">
        <v>5</v>
      </c>
      <c r="G759" s="21">
        <f>Table4[[#This Row],[Item Cost]]*Table4[[#This Row],[In Stock]]</f>
        <v>1250</v>
      </c>
      <c r="H759" s="12" t="s">
        <v>4661</v>
      </c>
      <c r="I759" s="13" t="s">
        <v>4666</v>
      </c>
      <c r="J759" s="13" t="s">
        <v>4693</v>
      </c>
      <c r="K759" s="13" t="s">
        <v>4672</v>
      </c>
      <c r="L759" s="12" t="s">
        <v>4672</v>
      </c>
      <c r="M759" s="17" t="str">
        <f>IF(LEN(COUNTIFS($H$1:H759,$H759,$I$1:I759,$I759,$J$1:J759,$J759,$K$1:K759,K759,$L$1:L759,L759))=1,"00"&amp;COUNTIFS($H$1:H759,$H759,$I$1:I759,$I759,$J$1:J759,$J759,$K$1:K759,K759,$L$1:L759,L759),IF(LEN(COUNTIFS($H$1:H759,$H759,$I$1:I759,$I759,$J$1:J759,$J759,$K$1:K759,K759,$L$1:L759,L759))=2,"0"&amp;COUNTIFS($H$1:H759,$H759,$I$1:I759,$I759,$J$1:J759,$J759,$K$1:K759,K759,$L$1:L759,L759),COUNTIFS($H$1:H759,$H759,$I$1:I759,$I759,$J$1:J759,$J759,$K$1:K759,K759,$L$1:L759,L759)))</f>
        <v>078</v>
      </c>
      <c r="N75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59" s="14" t="e">
        <f>+LEN(Table4[[#This Row],[New Item Code]])</f>
        <v>#N/A</v>
      </c>
      <c r="P759" s="15" t="s">
        <v>4747</v>
      </c>
      <c r="Q759" s="15" t="s">
        <v>4749</v>
      </c>
      <c r="R759" s="15"/>
      <c r="S759" s="15"/>
      <c r="T759" s="15" t="s">
        <v>4693</v>
      </c>
    </row>
    <row r="760" spans="1:20" x14ac:dyDescent="0.35">
      <c r="A760" s="2" t="s">
        <v>1523</v>
      </c>
      <c r="B760" s="2" t="s">
        <v>1524</v>
      </c>
      <c r="C760" s="2" t="s">
        <v>15</v>
      </c>
      <c r="D760" s="2">
        <v>250</v>
      </c>
      <c r="E760" s="2" t="s">
        <v>10</v>
      </c>
      <c r="F760" s="2">
        <v>1</v>
      </c>
      <c r="G760" s="22">
        <f>Table4[[#This Row],[Item Cost]]*Table4[[#This Row],[In Stock]]</f>
        <v>250</v>
      </c>
      <c r="H760" s="12" t="s">
        <v>4661</v>
      </c>
      <c r="I760" s="13" t="s">
        <v>4666</v>
      </c>
      <c r="J760" s="13" t="s">
        <v>4693</v>
      </c>
      <c r="K760" s="13" t="s">
        <v>4672</v>
      </c>
      <c r="L760" s="12" t="s">
        <v>4672</v>
      </c>
      <c r="M760" s="17" t="str">
        <f>IF(LEN(COUNTIFS($H$1:H760,$H760,$I$1:I760,$I760,$J$1:J760,$J760,$K$1:K760,K760,$L$1:L760,L760))=1,"00"&amp;COUNTIFS($H$1:H760,$H760,$I$1:I760,$I760,$J$1:J760,$J760,$K$1:K760,K760,$L$1:L760,L760),IF(LEN(COUNTIFS($H$1:H760,$H760,$I$1:I760,$I760,$J$1:J760,$J760,$K$1:K760,K760,$L$1:L760,L760))=2,"0"&amp;COUNTIFS($H$1:H760,$H760,$I$1:I760,$I760,$J$1:J760,$J760,$K$1:K760,K760,$L$1:L760,L760),COUNTIFS($H$1:H760,$H760,$I$1:I760,$I760,$J$1:J760,$J760,$K$1:K760,K760,$L$1:L760,L760)))</f>
        <v>079</v>
      </c>
      <c r="N76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60" s="14" t="e">
        <f>+LEN(Table4[[#This Row],[New Item Code]])</f>
        <v>#N/A</v>
      </c>
      <c r="P760" s="15" t="s">
        <v>4747</v>
      </c>
      <c r="Q760" s="15" t="s">
        <v>4749</v>
      </c>
      <c r="R760" s="15"/>
      <c r="S760" s="15"/>
      <c r="T760" s="15" t="s">
        <v>4693</v>
      </c>
    </row>
    <row r="761" spans="1:20" x14ac:dyDescent="0.35">
      <c r="A761" s="3" t="s">
        <v>1525</v>
      </c>
      <c r="B761" s="3" t="s">
        <v>1526</v>
      </c>
      <c r="C761" s="3" t="s">
        <v>15</v>
      </c>
      <c r="D761" s="3">
        <v>250</v>
      </c>
      <c r="E761" s="3" t="s">
        <v>10</v>
      </c>
      <c r="F761" s="3">
        <v>3</v>
      </c>
      <c r="G761" s="21">
        <f>Table4[[#This Row],[Item Cost]]*Table4[[#This Row],[In Stock]]</f>
        <v>750</v>
      </c>
      <c r="H761" s="12" t="s">
        <v>4661</v>
      </c>
      <c r="I761" s="13" t="s">
        <v>4666</v>
      </c>
      <c r="J761" s="13" t="s">
        <v>4693</v>
      </c>
      <c r="K761" s="13" t="s">
        <v>4672</v>
      </c>
      <c r="L761" s="12" t="s">
        <v>4672</v>
      </c>
      <c r="M761" s="17" t="str">
        <f>IF(LEN(COUNTIFS($H$1:H761,$H761,$I$1:I761,$I761,$J$1:J761,$J761,$K$1:K761,K761,$L$1:L761,L761))=1,"00"&amp;COUNTIFS($H$1:H761,$H761,$I$1:I761,$I761,$J$1:J761,$J761,$K$1:K761,K761,$L$1:L761,L761),IF(LEN(COUNTIFS($H$1:H761,$H761,$I$1:I761,$I761,$J$1:J761,$J761,$K$1:K761,K761,$L$1:L761,L761))=2,"0"&amp;COUNTIFS($H$1:H761,$H761,$I$1:I761,$I761,$J$1:J761,$J761,$K$1:K761,K761,$L$1:L761,L761),COUNTIFS($H$1:H761,$H761,$I$1:I761,$I761,$J$1:J761,$J761,$K$1:K761,K761,$L$1:L761,L761)))</f>
        <v>080</v>
      </c>
      <c r="N76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61" s="14" t="e">
        <f>+LEN(Table4[[#This Row],[New Item Code]])</f>
        <v>#N/A</v>
      </c>
      <c r="P761" s="15" t="s">
        <v>4747</v>
      </c>
      <c r="Q761" s="15" t="s">
        <v>4749</v>
      </c>
      <c r="R761" s="15"/>
      <c r="S761" s="15"/>
      <c r="T761" s="15" t="s">
        <v>4693</v>
      </c>
    </row>
    <row r="762" spans="1:20" x14ac:dyDescent="0.35">
      <c r="A762" s="2" t="s">
        <v>1527</v>
      </c>
      <c r="B762" s="2" t="s">
        <v>1528</v>
      </c>
      <c r="C762" s="2" t="s">
        <v>15</v>
      </c>
      <c r="D762" s="2">
        <v>250</v>
      </c>
      <c r="E762" s="2" t="s">
        <v>10</v>
      </c>
      <c r="F762" s="2">
        <v>1</v>
      </c>
      <c r="G762" s="22">
        <f>Table4[[#This Row],[Item Cost]]*Table4[[#This Row],[In Stock]]</f>
        <v>250</v>
      </c>
      <c r="H762" s="12" t="s">
        <v>4661</v>
      </c>
      <c r="I762" s="13" t="s">
        <v>4666</v>
      </c>
      <c r="J762" s="13" t="s">
        <v>4693</v>
      </c>
      <c r="K762" s="13" t="s">
        <v>4672</v>
      </c>
      <c r="L762" s="12" t="s">
        <v>4672</v>
      </c>
      <c r="M762" s="17" t="str">
        <f>IF(LEN(COUNTIFS($H$1:H762,$H762,$I$1:I762,$I762,$J$1:J762,$J762,$K$1:K762,K762,$L$1:L762,L762))=1,"00"&amp;COUNTIFS($H$1:H762,$H762,$I$1:I762,$I762,$J$1:J762,$J762,$K$1:K762,K762,$L$1:L762,L762),IF(LEN(COUNTIFS($H$1:H762,$H762,$I$1:I762,$I762,$J$1:J762,$J762,$K$1:K762,K762,$L$1:L762,L762))=2,"0"&amp;COUNTIFS($H$1:H762,$H762,$I$1:I762,$I762,$J$1:J762,$J762,$K$1:K762,K762,$L$1:L762,L762),COUNTIFS($H$1:H762,$H762,$I$1:I762,$I762,$J$1:J762,$J762,$K$1:K762,K762,$L$1:L762,L762)))</f>
        <v>081</v>
      </c>
      <c r="N76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62" s="14" t="e">
        <f>+LEN(Table4[[#This Row],[New Item Code]])</f>
        <v>#N/A</v>
      </c>
      <c r="P762" s="15" t="s">
        <v>4747</v>
      </c>
      <c r="Q762" s="15" t="s">
        <v>4749</v>
      </c>
      <c r="R762" s="15"/>
      <c r="S762" s="15"/>
      <c r="T762" s="15" t="s">
        <v>4693</v>
      </c>
    </row>
    <row r="763" spans="1:20" x14ac:dyDescent="0.35">
      <c r="A763" s="3" t="s">
        <v>1529</v>
      </c>
      <c r="B763" s="3" t="s">
        <v>1530</v>
      </c>
      <c r="C763" s="3" t="s">
        <v>15</v>
      </c>
      <c r="D763" s="3">
        <v>150</v>
      </c>
      <c r="E763" s="3" t="s">
        <v>10</v>
      </c>
      <c r="F763" s="3">
        <v>1</v>
      </c>
      <c r="G763" s="21">
        <f>Table4[[#This Row],[Item Cost]]*Table4[[#This Row],[In Stock]]</f>
        <v>150</v>
      </c>
      <c r="H763" s="12" t="s">
        <v>4661</v>
      </c>
      <c r="I763" s="13" t="s">
        <v>4666</v>
      </c>
      <c r="J763" s="13" t="s">
        <v>4693</v>
      </c>
      <c r="K763" s="13" t="s">
        <v>4672</v>
      </c>
      <c r="L763" s="12" t="s">
        <v>4672</v>
      </c>
      <c r="M763" s="17" t="str">
        <f>IF(LEN(COUNTIFS($H$1:H763,$H763,$I$1:I763,$I763,$J$1:J763,$J763,$K$1:K763,K763,$L$1:L763,L763))=1,"00"&amp;COUNTIFS($H$1:H763,$H763,$I$1:I763,$I763,$J$1:J763,$J763,$K$1:K763,K763,$L$1:L763,L763),IF(LEN(COUNTIFS($H$1:H763,$H763,$I$1:I763,$I763,$J$1:J763,$J763,$K$1:K763,K763,$L$1:L763,L763))=2,"0"&amp;COUNTIFS($H$1:H763,$H763,$I$1:I763,$I763,$J$1:J763,$J763,$K$1:K763,K763,$L$1:L763,L763),COUNTIFS($H$1:H763,$H763,$I$1:I763,$I763,$J$1:J763,$J763,$K$1:K763,K763,$L$1:L763,L763)))</f>
        <v>082</v>
      </c>
      <c r="N76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63" s="14" t="e">
        <f>+LEN(Table4[[#This Row],[New Item Code]])</f>
        <v>#N/A</v>
      </c>
      <c r="P763" s="15" t="s">
        <v>4747</v>
      </c>
      <c r="Q763" s="15" t="s">
        <v>4749</v>
      </c>
      <c r="R763" s="15"/>
      <c r="S763" s="15"/>
      <c r="T763" s="15" t="s">
        <v>4693</v>
      </c>
    </row>
    <row r="764" spans="1:20" x14ac:dyDescent="0.35">
      <c r="A764" s="2" t="s">
        <v>1531</v>
      </c>
      <c r="B764" s="2" t="s">
        <v>1532</v>
      </c>
      <c r="C764" s="2" t="s">
        <v>15</v>
      </c>
      <c r="D764" s="2">
        <v>125</v>
      </c>
      <c r="E764" s="2" t="s">
        <v>10</v>
      </c>
      <c r="F764" s="2">
        <v>2</v>
      </c>
      <c r="G764" s="22">
        <f>Table4[[#This Row],[Item Cost]]*Table4[[#This Row],[In Stock]]</f>
        <v>250</v>
      </c>
      <c r="H764" s="12" t="s">
        <v>4661</v>
      </c>
      <c r="I764" s="13" t="s">
        <v>4666</v>
      </c>
      <c r="J764" s="13" t="s">
        <v>4693</v>
      </c>
      <c r="K764" s="13" t="s">
        <v>4672</v>
      </c>
      <c r="L764" s="12" t="s">
        <v>4672</v>
      </c>
      <c r="M764" s="17" t="str">
        <f>IF(LEN(COUNTIFS($H$1:H764,$H764,$I$1:I764,$I764,$J$1:J764,$J764,$K$1:K764,K764,$L$1:L764,L764))=1,"00"&amp;COUNTIFS($H$1:H764,$H764,$I$1:I764,$I764,$J$1:J764,$J764,$K$1:K764,K764,$L$1:L764,L764),IF(LEN(COUNTIFS($H$1:H764,$H764,$I$1:I764,$I764,$J$1:J764,$J764,$K$1:K764,K764,$L$1:L764,L764))=2,"0"&amp;COUNTIFS($H$1:H764,$H764,$I$1:I764,$I764,$J$1:J764,$J764,$K$1:K764,K764,$L$1:L764,L764),COUNTIFS($H$1:H764,$H764,$I$1:I764,$I764,$J$1:J764,$J764,$K$1:K764,K764,$L$1:L764,L764)))</f>
        <v>083</v>
      </c>
      <c r="N76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64" s="14" t="e">
        <f>+LEN(Table4[[#This Row],[New Item Code]])</f>
        <v>#N/A</v>
      </c>
      <c r="P764" s="15" t="s">
        <v>4747</v>
      </c>
      <c r="Q764" s="15" t="s">
        <v>4749</v>
      </c>
      <c r="R764" s="15"/>
      <c r="S764" s="15"/>
      <c r="T764" s="15" t="s">
        <v>4693</v>
      </c>
    </row>
    <row r="765" spans="1:20" x14ac:dyDescent="0.35">
      <c r="A765" s="3" t="s">
        <v>1533</v>
      </c>
      <c r="B765" s="3" t="s">
        <v>1534</v>
      </c>
      <c r="C765" s="3" t="s">
        <v>15</v>
      </c>
      <c r="D765" s="3">
        <v>70</v>
      </c>
      <c r="E765" s="3" t="s">
        <v>10</v>
      </c>
      <c r="F765" s="3">
        <v>30</v>
      </c>
      <c r="G765" s="21">
        <f>Table4[[#This Row],[Item Cost]]*Table4[[#This Row],[In Stock]]</f>
        <v>2100</v>
      </c>
      <c r="H765" s="12" t="s">
        <v>4661</v>
      </c>
      <c r="I765" s="13" t="s">
        <v>4666</v>
      </c>
      <c r="J765" s="13" t="s">
        <v>4693</v>
      </c>
      <c r="K765" s="13" t="s">
        <v>4672</v>
      </c>
      <c r="L765" s="12" t="s">
        <v>4672</v>
      </c>
      <c r="M765" s="17" t="str">
        <f>IF(LEN(COUNTIFS($H$1:H765,$H765,$I$1:I765,$I765,$J$1:J765,$J765,$K$1:K765,K765,$L$1:L765,L765))=1,"00"&amp;COUNTIFS($H$1:H765,$H765,$I$1:I765,$I765,$J$1:J765,$J765,$K$1:K765,K765,$L$1:L765,L765),IF(LEN(COUNTIFS($H$1:H765,$H765,$I$1:I765,$I765,$J$1:J765,$J765,$K$1:K765,K765,$L$1:L765,L765))=2,"0"&amp;COUNTIFS($H$1:H765,$H765,$I$1:I765,$I765,$J$1:J765,$J765,$K$1:K765,K765,$L$1:L765,L765),COUNTIFS($H$1:H765,$H765,$I$1:I765,$I765,$J$1:J765,$J765,$K$1:K765,K765,$L$1:L765,L765)))</f>
        <v>084</v>
      </c>
      <c r="N76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65" s="14" t="e">
        <f>+LEN(Table4[[#This Row],[New Item Code]])</f>
        <v>#N/A</v>
      </c>
      <c r="P765" s="15" t="s">
        <v>4747</v>
      </c>
      <c r="Q765" s="15" t="s">
        <v>4749</v>
      </c>
      <c r="R765" s="15"/>
      <c r="S765" s="15"/>
      <c r="T765" s="15" t="s">
        <v>4693</v>
      </c>
    </row>
    <row r="766" spans="1:20" x14ac:dyDescent="0.35">
      <c r="A766" s="2" t="s">
        <v>1535</v>
      </c>
      <c r="B766" s="2" t="s">
        <v>1536</v>
      </c>
      <c r="C766" s="2" t="s">
        <v>15</v>
      </c>
      <c r="D766" s="2">
        <v>50</v>
      </c>
      <c r="E766" s="2" t="s">
        <v>10</v>
      </c>
      <c r="F766" s="2">
        <v>3</v>
      </c>
      <c r="G766" s="22">
        <f>Table4[[#This Row],[Item Cost]]*Table4[[#This Row],[In Stock]]</f>
        <v>150</v>
      </c>
      <c r="H766" s="12" t="s">
        <v>4661</v>
      </c>
      <c r="I766" s="13" t="s">
        <v>4666</v>
      </c>
      <c r="J766" s="13" t="s">
        <v>4693</v>
      </c>
      <c r="K766" s="13" t="s">
        <v>4672</v>
      </c>
      <c r="L766" s="12" t="s">
        <v>4672</v>
      </c>
      <c r="M766" s="17" t="str">
        <f>IF(LEN(COUNTIFS($H$1:H766,$H766,$I$1:I766,$I766,$J$1:J766,$J766,$K$1:K766,K766,$L$1:L766,L766))=1,"00"&amp;COUNTIFS($H$1:H766,$H766,$I$1:I766,$I766,$J$1:J766,$J766,$K$1:K766,K766,$L$1:L766,L766),IF(LEN(COUNTIFS($H$1:H766,$H766,$I$1:I766,$I766,$J$1:J766,$J766,$K$1:K766,K766,$L$1:L766,L766))=2,"0"&amp;COUNTIFS($H$1:H766,$H766,$I$1:I766,$I766,$J$1:J766,$J766,$K$1:K766,K766,$L$1:L766,L766),COUNTIFS($H$1:H766,$H766,$I$1:I766,$I766,$J$1:J766,$J766,$K$1:K766,K766,$L$1:L766,L766)))</f>
        <v>085</v>
      </c>
      <c r="N76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66" s="14" t="e">
        <f>+LEN(Table4[[#This Row],[New Item Code]])</f>
        <v>#N/A</v>
      </c>
      <c r="P766" s="15" t="s">
        <v>4747</v>
      </c>
      <c r="Q766" s="15" t="s">
        <v>4749</v>
      </c>
      <c r="R766" s="15"/>
      <c r="S766" s="15"/>
      <c r="T766" s="15" t="s">
        <v>4693</v>
      </c>
    </row>
    <row r="767" spans="1:20" x14ac:dyDescent="0.35">
      <c r="A767" s="3" t="s">
        <v>1537</v>
      </c>
      <c r="B767" s="3" t="s">
        <v>1538</v>
      </c>
      <c r="C767" s="3" t="s">
        <v>15</v>
      </c>
      <c r="D767" s="3">
        <v>150</v>
      </c>
      <c r="E767" s="3" t="s">
        <v>10</v>
      </c>
      <c r="F767" s="3">
        <v>1</v>
      </c>
      <c r="G767" s="21">
        <f>Table4[[#This Row],[Item Cost]]*Table4[[#This Row],[In Stock]]</f>
        <v>150</v>
      </c>
      <c r="H767" s="12" t="s">
        <v>4661</v>
      </c>
      <c r="I767" s="13" t="s">
        <v>4666</v>
      </c>
      <c r="J767" s="13" t="s">
        <v>4693</v>
      </c>
      <c r="K767" s="13" t="s">
        <v>4672</v>
      </c>
      <c r="L767" s="12" t="s">
        <v>4672</v>
      </c>
      <c r="M767" s="17" t="str">
        <f>IF(LEN(COUNTIFS($H$1:H767,$H767,$I$1:I767,$I767,$J$1:J767,$J767,$K$1:K767,K767,$L$1:L767,L767))=1,"00"&amp;COUNTIFS($H$1:H767,$H767,$I$1:I767,$I767,$J$1:J767,$J767,$K$1:K767,K767,$L$1:L767,L767),IF(LEN(COUNTIFS($H$1:H767,$H767,$I$1:I767,$I767,$J$1:J767,$J767,$K$1:K767,K767,$L$1:L767,L767))=2,"0"&amp;COUNTIFS($H$1:H767,$H767,$I$1:I767,$I767,$J$1:J767,$J767,$K$1:K767,K767,$L$1:L767,L767),COUNTIFS($H$1:H767,$H767,$I$1:I767,$I767,$J$1:J767,$J767,$K$1:K767,K767,$L$1:L767,L767)))</f>
        <v>086</v>
      </c>
      <c r="N76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67" s="14" t="e">
        <f>+LEN(Table4[[#This Row],[New Item Code]])</f>
        <v>#N/A</v>
      </c>
      <c r="P767" s="15" t="s">
        <v>4747</v>
      </c>
      <c r="Q767" s="15" t="s">
        <v>4749</v>
      </c>
      <c r="R767" s="15"/>
      <c r="S767" s="15"/>
      <c r="T767" s="15" t="s">
        <v>4693</v>
      </c>
    </row>
    <row r="768" spans="1:20" x14ac:dyDescent="0.35">
      <c r="A768" s="2" t="s">
        <v>1539</v>
      </c>
      <c r="B768" s="2" t="s">
        <v>1540</v>
      </c>
      <c r="C768" s="2" t="s">
        <v>15</v>
      </c>
      <c r="D768" s="2">
        <v>200</v>
      </c>
      <c r="E768" s="2" t="s">
        <v>10</v>
      </c>
      <c r="F768" s="2">
        <v>2</v>
      </c>
      <c r="G768" s="22">
        <f>Table4[[#This Row],[Item Cost]]*Table4[[#This Row],[In Stock]]</f>
        <v>400</v>
      </c>
      <c r="H768" s="12" t="s">
        <v>4661</v>
      </c>
      <c r="I768" s="13" t="s">
        <v>4666</v>
      </c>
      <c r="J768" s="13" t="s">
        <v>4693</v>
      </c>
      <c r="K768" s="13" t="s">
        <v>4672</v>
      </c>
      <c r="L768" s="12" t="s">
        <v>4672</v>
      </c>
      <c r="M768" s="17" t="str">
        <f>IF(LEN(COUNTIFS($H$1:H768,$H768,$I$1:I768,$I768,$J$1:J768,$J768,$K$1:K768,K768,$L$1:L768,L768))=1,"00"&amp;COUNTIFS($H$1:H768,$H768,$I$1:I768,$I768,$J$1:J768,$J768,$K$1:K768,K768,$L$1:L768,L768),IF(LEN(COUNTIFS($H$1:H768,$H768,$I$1:I768,$I768,$J$1:J768,$J768,$K$1:K768,K768,$L$1:L768,L768))=2,"0"&amp;COUNTIFS($H$1:H768,$H768,$I$1:I768,$I768,$J$1:J768,$J768,$K$1:K768,K768,$L$1:L768,L768),COUNTIFS($H$1:H768,$H768,$I$1:I768,$I768,$J$1:J768,$J768,$K$1:K768,K768,$L$1:L768,L768)))</f>
        <v>087</v>
      </c>
      <c r="N76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68" s="14" t="e">
        <f>+LEN(Table4[[#This Row],[New Item Code]])</f>
        <v>#N/A</v>
      </c>
      <c r="P768" s="15" t="s">
        <v>4747</v>
      </c>
      <c r="Q768" s="15" t="s">
        <v>4749</v>
      </c>
      <c r="R768" s="15"/>
      <c r="S768" s="15"/>
      <c r="T768" s="15" t="s">
        <v>4693</v>
      </c>
    </row>
    <row r="769" spans="1:20" x14ac:dyDescent="0.35">
      <c r="A769" s="3" t="s">
        <v>1541</v>
      </c>
      <c r="B769" s="3" t="s">
        <v>1542</v>
      </c>
      <c r="C769" s="3" t="s">
        <v>15</v>
      </c>
      <c r="D769" s="3">
        <v>200</v>
      </c>
      <c r="E769" s="3" t="s">
        <v>10</v>
      </c>
      <c r="F769" s="3">
        <v>2</v>
      </c>
      <c r="G769" s="21">
        <f>Table4[[#This Row],[Item Cost]]*Table4[[#This Row],[In Stock]]</f>
        <v>400</v>
      </c>
      <c r="H769" s="12" t="s">
        <v>4661</v>
      </c>
      <c r="I769" s="13" t="s">
        <v>4666</v>
      </c>
      <c r="J769" s="13" t="s">
        <v>4693</v>
      </c>
      <c r="K769" s="13" t="s">
        <v>4672</v>
      </c>
      <c r="L769" s="12" t="s">
        <v>4672</v>
      </c>
      <c r="M769" s="17" t="str">
        <f>IF(LEN(COUNTIFS($H$1:H769,$H769,$I$1:I769,$I769,$J$1:J769,$J769,$K$1:K769,K769,$L$1:L769,L769))=1,"00"&amp;COUNTIFS($H$1:H769,$H769,$I$1:I769,$I769,$J$1:J769,$J769,$K$1:K769,K769,$L$1:L769,L769),IF(LEN(COUNTIFS($H$1:H769,$H769,$I$1:I769,$I769,$J$1:J769,$J769,$K$1:K769,K769,$L$1:L769,L769))=2,"0"&amp;COUNTIFS($H$1:H769,$H769,$I$1:I769,$I769,$J$1:J769,$J769,$K$1:K769,K769,$L$1:L769,L769),COUNTIFS($H$1:H769,$H769,$I$1:I769,$I769,$J$1:J769,$J769,$K$1:K769,K769,$L$1:L769,L769)))</f>
        <v>088</v>
      </c>
      <c r="N76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69" s="14" t="e">
        <f>+LEN(Table4[[#This Row],[New Item Code]])</f>
        <v>#N/A</v>
      </c>
      <c r="P769" s="15" t="s">
        <v>4747</v>
      </c>
      <c r="Q769" s="15" t="s">
        <v>4749</v>
      </c>
      <c r="R769" s="15"/>
      <c r="S769" s="15"/>
      <c r="T769" s="15" t="s">
        <v>4693</v>
      </c>
    </row>
    <row r="770" spans="1:20" x14ac:dyDescent="0.35">
      <c r="A770" s="2" t="s">
        <v>1543</v>
      </c>
      <c r="B770" s="2" t="s">
        <v>1544</v>
      </c>
      <c r="C770" s="2" t="s">
        <v>15</v>
      </c>
      <c r="D770" s="2">
        <v>200</v>
      </c>
      <c r="E770" s="2" t="s">
        <v>10</v>
      </c>
      <c r="F770" s="2">
        <v>1</v>
      </c>
      <c r="G770" s="22">
        <f>Table4[[#This Row],[Item Cost]]*Table4[[#This Row],[In Stock]]</f>
        <v>200</v>
      </c>
      <c r="H770" s="12" t="s">
        <v>4661</v>
      </c>
      <c r="I770" s="13" t="s">
        <v>4666</v>
      </c>
      <c r="J770" s="13" t="s">
        <v>4693</v>
      </c>
      <c r="K770" s="13" t="s">
        <v>4672</v>
      </c>
      <c r="L770" s="12" t="s">
        <v>4672</v>
      </c>
      <c r="M770" s="17" t="str">
        <f>IF(LEN(COUNTIFS($H$1:H770,$H770,$I$1:I770,$I770,$J$1:J770,$J770,$K$1:K770,K770,$L$1:L770,L770))=1,"00"&amp;COUNTIFS($H$1:H770,$H770,$I$1:I770,$I770,$J$1:J770,$J770,$K$1:K770,K770,$L$1:L770,L770),IF(LEN(COUNTIFS($H$1:H770,$H770,$I$1:I770,$I770,$J$1:J770,$J770,$K$1:K770,K770,$L$1:L770,L770))=2,"0"&amp;COUNTIFS($H$1:H770,$H770,$I$1:I770,$I770,$J$1:J770,$J770,$K$1:K770,K770,$L$1:L770,L770),COUNTIFS($H$1:H770,$H770,$I$1:I770,$I770,$J$1:J770,$J770,$K$1:K770,K770,$L$1:L770,L770)))</f>
        <v>089</v>
      </c>
      <c r="N77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70" s="14" t="e">
        <f>+LEN(Table4[[#This Row],[New Item Code]])</f>
        <v>#N/A</v>
      </c>
      <c r="P770" s="15" t="s">
        <v>4747</v>
      </c>
      <c r="Q770" s="15" t="s">
        <v>4749</v>
      </c>
      <c r="R770" s="15"/>
      <c r="S770" s="15"/>
      <c r="T770" s="15" t="s">
        <v>4693</v>
      </c>
    </row>
    <row r="771" spans="1:20" x14ac:dyDescent="0.35">
      <c r="A771" s="3" t="s">
        <v>1545</v>
      </c>
      <c r="B771" s="3" t="s">
        <v>1546</v>
      </c>
      <c r="C771" s="3" t="s">
        <v>15</v>
      </c>
      <c r="D771" s="3">
        <v>40.799999999999997</v>
      </c>
      <c r="E771" s="3" t="s">
        <v>10</v>
      </c>
      <c r="F771" s="3">
        <v>25</v>
      </c>
      <c r="G771" s="21">
        <f>Table4[[#This Row],[Item Cost]]*Table4[[#This Row],[In Stock]]</f>
        <v>1019.9999999999999</v>
      </c>
      <c r="H771" s="12" t="s">
        <v>4661</v>
      </c>
      <c r="I771" s="13" t="s">
        <v>4666</v>
      </c>
      <c r="J771" s="13" t="s">
        <v>4693</v>
      </c>
      <c r="K771" s="13" t="s">
        <v>4672</v>
      </c>
      <c r="L771" s="12" t="s">
        <v>4672</v>
      </c>
      <c r="M771" s="17" t="str">
        <f>IF(LEN(COUNTIFS($H$1:H771,$H771,$I$1:I771,$I771,$J$1:J771,$J771,$K$1:K771,K771,$L$1:L771,L771))=1,"00"&amp;COUNTIFS($H$1:H771,$H771,$I$1:I771,$I771,$J$1:J771,$J771,$K$1:K771,K771,$L$1:L771,L771),IF(LEN(COUNTIFS($H$1:H771,$H771,$I$1:I771,$I771,$J$1:J771,$J771,$K$1:K771,K771,$L$1:L771,L771))=2,"0"&amp;COUNTIFS($H$1:H771,$H771,$I$1:I771,$I771,$J$1:J771,$J771,$K$1:K771,K771,$L$1:L771,L771),COUNTIFS($H$1:H771,$H771,$I$1:I771,$I771,$J$1:J771,$J771,$K$1:K771,K771,$L$1:L771,L771)))</f>
        <v>090</v>
      </c>
      <c r="N77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71" s="14" t="e">
        <f>+LEN(Table4[[#This Row],[New Item Code]])</f>
        <v>#N/A</v>
      </c>
      <c r="P771" s="15" t="s">
        <v>4747</v>
      </c>
      <c r="Q771" s="15" t="s">
        <v>4749</v>
      </c>
      <c r="R771" s="15"/>
      <c r="S771" s="15"/>
      <c r="T771" s="15" t="s">
        <v>4693</v>
      </c>
    </row>
    <row r="772" spans="1:20" x14ac:dyDescent="0.35">
      <c r="A772" s="2" t="s">
        <v>1547</v>
      </c>
      <c r="B772" s="2" t="s">
        <v>1548</v>
      </c>
      <c r="C772" s="2" t="s">
        <v>15</v>
      </c>
      <c r="D772" s="2">
        <v>65.682000000000002</v>
      </c>
      <c r="E772" s="2" t="s">
        <v>10</v>
      </c>
      <c r="F772" s="2">
        <v>9</v>
      </c>
      <c r="G772" s="22">
        <f>Table4[[#This Row],[Item Cost]]*Table4[[#This Row],[In Stock]]</f>
        <v>591.13800000000003</v>
      </c>
      <c r="H772" s="12" t="s">
        <v>4661</v>
      </c>
      <c r="I772" s="13" t="s">
        <v>4666</v>
      </c>
      <c r="J772" s="13" t="s">
        <v>4693</v>
      </c>
      <c r="K772" s="13" t="s">
        <v>4672</v>
      </c>
      <c r="L772" s="12" t="s">
        <v>4672</v>
      </c>
      <c r="M772" s="17" t="str">
        <f>IF(LEN(COUNTIFS($H$1:H772,$H772,$I$1:I772,$I772,$J$1:J772,$J772,$K$1:K772,K772,$L$1:L772,L772))=1,"00"&amp;COUNTIFS($H$1:H772,$H772,$I$1:I772,$I772,$J$1:J772,$J772,$K$1:K772,K772,$L$1:L772,L772),IF(LEN(COUNTIFS($H$1:H772,$H772,$I$1:I772,$I772,$J$1:J772,$J772,$K$1:K772,K772,$L$1:L772,L772))=2,"0"&amp;COUNTIFS($H$1:H772,$H772,$I$1:I772,$I772,$J$1:J772,$J772,$K$1:K772,K772,$L$1:L772,L772),COUNTIFS($H$1:H772,$H772,$I$1:I772,$I772,$J$1:J772,$J772,$K$1:K772,K772,$L$1:L772,L772)))</f>
        <v>091</v>
      </c>
      <c r="N77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72" s="14" t="e">
        <f>+LEN(Table4[[#This Row],[New Item Code]])</f>
        <v>#N/A</v>
      </c>
      <c r="P772" s="15" t="s">
        <v>4747</v>
      </c>
      <c r="Q772" s="15" t="s">
        <v>4749</v>
      </c>
      <c r="R772" s="15"/>
      <c r="S772" s="15"/>
      <c r="T772" s="15" t="s">
        <v>4693</v>
      </c>
    </row>
    <row r="773" spans="1:20" x14ac:dyDescent="0.35">
      <c r="A773" s="3" t="s">
        <v>1549</v>
      </c>
      <c r="B773" s="3" t="s">
        <v>1550</v>
      </c>
      <c r="C773" s="3" t="s">
        <v>15</v>
      </c>
      <c r="D773" s="3">
        <v>153.57</v>
      </c>
      <c r="E773" s="3" t="s">
        <v>10</v>
      </c>
      <c r="F773" s="3">
        <v>2</v>
      </c>
      <c r="G773" s="21">
        <f>Table4[[#This Row],[Item Cost]]*Table4[[#This Row],[In Stock]]</f>
        <v>307.14</v>
      </c>
      <c r="H773" s="12" t="s">
        <v>4661</v>
      </c>
      <c r="I773" s="13" t="s">
        <v>4666</v>
      </c>
      <c r="J773" s="13" t="s">
        <v>4693</v>
      </c>
      <c r="K773" s="13" t="s">
        <v>4672</v>
      </c>
      <c r="L773" s="12" t="s">
        <v>4672</v>
      </c>
      <c r="M773" s="17" t="str">
        <f>IF(LEN(COUNTIFS($H$1:H773,$H773,$I$1:I773,$I773,$J$1:J773,$J773,$K$1:K773,K773,$L$1:L773,L773))=1,"00"&amp;COUNTIFS($H$1:H773,$H773,$I$1:I773,$I773,$J$1:J773,$J773,$K$1:K773,K773,$L$1:L773,L773),IF(LEN(COUNTIFS($H$1:H773,$H773,$I$1:I773,$I773,$J$1:J773,$J773,$K$1:K773,K773,$L$1:L773,L773))=2,"0"&amp;COUNTIFS($H$1:H773,$H773,$I$1:I773,$I773,$J$1:J773,$J773,$K$1:K773,K773,$L$1:L773,L773),COUNTIFS($H$1:H773,$H773,$I$1:I773,$I773,$J$1:J773,$J773,$K$1:K773,K773,$L$1:L773,L773)))</f>
        <v>092</v>
      </c>
      <c r="N77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73" s="14" t="e">
        <f>+LEN(Table4[[#This Row],[New Item Code]])</f>
        <v>#N/A</v>
      </c>
      <c r="P773" s="15" t="s">
        <v>4747</v>
      </c>
      <c r="Q773" s="15" t="s">
        <v>4749</v>
      </c>
      <c r="R773" s="15"/>
      <c r="S773" s="15"/>
      <c r="T773" s="15" t="s">
        <v>4693</v>
      </c>
    </row>
    <row r="774" spans="1:20" x14ac:dyDescent="0.35">
      <c r="A774" s="2" t="s">
        <v>1551</v>
      </c>
      <c r="B774" s="2" t="s">
        <v>1552</v>
      </c>
      <c r="C774" s="2" t="s">
        <v>15</v>
      </c>
      <c r="D774" s="4">
        <v>1000</v>
      </c>
      <c r="E774" s="2" t="s">
        <v>10</v>
      </c>
      <c r="F774" s="2">
        <v>1</v>
      </c>
      <c r="G774" s="22">
        <f>Table4[[#This Row],[Item Cost]]*Table4[[#This Row],[In Stock]]</f>
        <v>1000</v>
      </c>
      <c r="H774" s="12" t="s">
        <v>4661</v>
      </c>
      <c r="I774" s="13" t="s">
        <v>4666</v>
      </c>
      <c r="J774" s="13" t="s">
        <v>4693</v>
      </c>
      <c r="K774" s="13" t="s">
        <v>4672</v>
      </c>
      <c r="L774" s="12" t="s">
        <v>4672</v>
      </c>
      <c r="M774" s="17" t="str">
        <f>IF(LEN(COUNTIFS($H$1:H774,$H774,$I$1:I774,$I774,$J$1:J774,$J774,$K$1:K774,K774,$L$1:L774,L774))=1,"00"&amp;COUNTIFS($H$1:H774,$H774,$I$1:I774,$I774,$J$1:J774,$J774,$K$1:K774,K774,$L$1:L774,L774),IF(LEN(COUNTIFS($H$1:H774,$H774,$I$1:I774,$I774,$J$1:J774,$J774,$K$1:K774,K774,$L$1:L774,L774))=2,"0"&amp;COUNTIFS($H$1:H774,$H774,$I$1:I774,$I774,$J$1:J774,$J774,$K$1:K774,K774,$L$1:L774,L774),COUNTIFS($H$1:H774,$H774,$I$1:I774,$I774,$J$1:J774,$J774,$K$1:K774,K774,$L$1:L774,L774)))</f>
        <v>093</v>
      </c>
      <c r="N77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74" s="14" t="e">
        <f>+LEN(Table4[[#This Row],[New Item Code]])</f>
        <v>#N/A</v>
      </c>
      <c r="P774" s="15" t="s">
        <v>4747</v>
      </c>
      <c r="Q774" s="15" t="s">
        <v>4749</v>
      </c>
      <c r="R774" s="15"/>
      <c r="S774" s="15"/>
      <c r="T774" s="15" t="s">
        <v>4693</v>
      </c>
    </row>
    <row r="775" spans="1:20" x14ac:dyDescent="0.35">
      <c r="A775" s="3" t="s">
        <v>1553</v>
      </c>
      <c r="B775" s="3" t="s">
        <v>1554</v>
      </c>
      <c r="C775" s="3" t="s">
        <v>15</v>
      </c>
      <c r="D775" s="3">
        <v>20</v>
      </c>
      <c r="E775" s="3" t="s">
        <v>10</v>
      </c>
      <c r="F775" s="3">
        <v>48</v>
      </c>
      <c r="G775" s="21">
        <f>Table4[[#This Row],[Item Cost]]*Table4[[#This Row],[In Stock]]</f>
        <v>960</v>
      </c>
      <c r="H775" s="12" t="s">
        <v>4661</v>
      </c>
      <c r="I775" s="13" t="s">
        <v>4666</v>
      </c>
      <c r="J775" s="13" t="s">
        <v>4693</v>
      </c>
      <c r="K775" s="13" t="s">
        <v>4672</v>
      </c>
      <c r="L775" s="12" t="s">
        <v>4672</v>
      </c>
      <c r="M775" s="17" t="str">
        <f>IF(LEN(COUNTIFS($H$1:H775,$H775,$I$1:I775,$I775,$J$1:J775,$J775,$K$1:K775,K775,$L$1:L775,L775))=1,"00"&amp;COUNTIFS($H$1:H775,$H775,$I$1:I775,$I775,$J$1:J775,$J775,$K$1:K775,K775,$L$1:L775,L775),IF(LEN(COUNTIFS($H$1:H775,$H775,$I$1:I775,$I775,$J$1:J775,$J775,$K$1:K775,K775,$L$1:L775,L775))=2,"0"&amp;COUNTIFS($H$1:H775,$H775,$I$1:I775,$I775,$J$1:J775,$J775,$K$1:K775,K775,$L$1:L775,L775),COUNTIFS($H$1:H775,$H775,$I$1:I775,$I775,$J$1:J775,$J775,$K$1:K775,K775,$L$1:L775,L775)))</f>
        <v>094</v>
      </c>
      <c r="N77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75" s="14" t="e">
        <f>+LEN(Table4[[#This Row],[New Item Code]])</f>
        <v>#N/A</v>
      </c>
      <c r="P775" s="15" t="s">
        <v>4747</v>
      </c>
      <c r="Q775" s="15" t="s">
        <v>4749</v>
      </c>
      <c r="R775" s="15"/>
      <c r="S775" s="15"/>
      <c r="T775" s="15" t="s">
        <v>4693</v>
      </c>
    </row>
    <row r="776" spans="1:20" x14ac:dyDescent="0.35">
      <c r="A776" s="2" t="s">
        <v>1555</v>
      </c>
      <c r="B776" s="2" t="s">
        <v>1556</v>
      </c>
      <c r="C776" s="2" t="s">
        <v>15</v>
      </c>
      <c r="D776" s="2">
        <v>35</v>
      </c>
      <c r="E776" s="2" t="s">
        <v>10</v>
      </c>
      <c r="F776" s="2">
        <v>40</v>
      </c>
      <c r="G776" s="22">
        <f>Table4[[#This Row],[Item Cost]]*Table4[[#This Row],[In Stock]]</f>
        <v>1400</v>
      </c>
      <c r="H776" s="12" t="s">
        <v>4661</v>
      </c>
      <c r="I776" s="13" t="s">
        <v>4666</v>
      </c>
      <c r="J776" s="13" t="s">
        <v>4693</v>
      </c>
      <c r="K776" s="13" t="s">
        <v>4672</v>
      </c>
      <c r="L776" s="12" t="s">
        <v>4672</v>
      </c>
      <c r="M776" s="17" t="str">
        <f>IF(LEN(COUNTIFS($H$1:H776,$H776,$I$1:I776,$I776,$J$1:J776,$J776,$K$1:K776,K776,$L$1:L776,L776))=1,"00"&amp;COUNTIFS($H$1:H776,$H776,$I$1:I776,$I776,$J$1:J776,$J776,$K$1:K776,K776,$L$1:L776,L776),IF(LEN(COUNTIFS($H$1:H776,$H776,$I$1:I776,$I776,$J$1:J776,$J776,$K$1:K776,K776,$L$1:L776,L776))=2,"0"&amp;COUNTIFS($H$1:H776,$H776,$I$1:I776,$I776,$J$1:J776,$J776,$K$1:K776,K776,$L$1:L776,L776),COUNTIFS($H$1:H776,$H776,$I$1:I776,$I776,$J$1:J776,$J776,$K$1:K776,K776,$L$1:L776,L776)))</f>
        <v>095</v>
      </c>
      <c r="N77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76" s="14" t="e">
        <f>+LEN(Table4[[#This Row],[New Item Code]])</f>
        <v>#N/A</v>
      </c>
      <c r="P776" s="15" t="s">
        <v>4747</v>
      </c>
      <c r="Q776" s="15" t="s">
        <v>4749</v>
      </c>
      <c r="R776" s="15"/>
      <c r="S776" s="15"/>
      <c r="T776" s="15" t="s">
        <v>4693</v>
      </c>
    </row>
    <row r="777" spans="1:20" x14ac:dyDescent="0.35">
      <c r="A777" s="3" t="s">
        <v>1557</v>
      </c>
      <c r="B777" s="3" t="s">
        <v>1558</v>
      </c>
      <c r="C777" s="3" t="s">
        <v>15</v>
      </c>
      <c r="D777" s="3">
        <v>50</v>
      </c>
      <c r="E777" s="3" t="s">
        <v>10</v>
      </c>
      <c r="F777" s="3">
        <v>10</v>
      </c>
      <c r="G777" s="21">
        <f>Table4[[#This Row],[Item Cost]]*Table4[[#This Row],[In Stock]]</f>
        <v>500</v>
      </c>
      <c r="H777" s="12" t="s">
        <v>4661</v>
      </c>
      <c r="I777" s="13" t="s">
        <v>4666</v>
      </c>
      <c r="J777" s="13" t="s">
        <v>4693</v>
      </c>
      <c r="K777" s="13" t="s">
        <v>4672</v>
      </c>
      <c r="L777" s="12" t="s">
        <v>4672</v>
      </c>
      <c r="M777" s="17" t="str">
        <f>IF(LEN(COUNTIFS($H$1:H777,$H777,$I$1:I777,$I777,$J$1:J777,$J777,$K$1:K777,K777,$L$1:L777,L777))=1,"00"&amp;COUNTIFS($H$1:H777,$H777,$I$1:I777,$I777,$J$1:J777,$J777,$K$1:K777,K777,$L$1:L777,L777),IF(LEN(COUNTIFS($H$1:H777,$H777,$I$1:I777,$I777,$J$1:J777,$J777,$K$1:K777,K777,$L$1:L777,L777))=2,"0"&amp;COUNTIFS($H$1:H777,$H777,$I$1:I777,$I777,$J$1:J777,$J777,$K$1:K777,K777,$L$1:L777,L777),COUNTIFS($H$1:H777,$H777,$I$1:I777,$I777,$J$1:J777,$J777,$K$1:K777,K777,$L$1:L777,L777)))</f>
        <v>096</v>
      </c>
      <c r="N77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77" s="14" t="e">
        <f>+LEN(Table4[[#This Row],[New Item Code]])</f>
        <v>#N/A</v>
      </c>
      <c r="P777" s="15" t="s">
        <v>4747</v>
      </c>
      <c r="Q777" s="15" t="s">
        <v>4749</v>
      </c>
      <c r="R777" s="15"/>
      <c r="S777" s="15"/>
      <c r="T777" s="15" t="s">
        <v>4693</v>
      </c>
    </row>
    <row r="778" spans="1:20" x14ac:dyDescent="0.35">
      <c r="A778" s="2" t="s">
        <v>1559</v>
      </c>
      <c r="B778" s="2" t="s">
        <v>1560</v>
      </c>
      <c r="C778" s="2" t="s">
        <v>56</v>
      </c>
      <c r="D778" s="2">
        <v>6.5780000000000003</v>
      </c>
      <c r="E778" s="2" t="s">
        <v>57</v>
      </c>
      <c r="F778" s="2">
        <v>49</v>
      </c>
      <c r="G778" s="22">
        <f>Table4[[#This Row],[Item Cost]]*Table4[[#This Row],[In Stock]]</f>
        <v>322.322</v>
      </c>
      <c r="H778" s="12" t="s">
        <v>4661</v>
      </c>
      <c r="I778" s="13" t="s">
        <v>4668</v>
      </c>
      <c r="J778" s="13" t="s">
        <v>4693</v>
      </c>
      <c r="K778" s="13" t="s">
        <v>4672</v>
      </c>
      <c r="L778" s="12" t="s">
        <v>4672</v>
      </c>
      <c r="M778" s="17" t="str">
        <f>IF(LEN(COUNTIFS($H$1:H778,$H778,$I$1:I778,$I778,$J$1:J778,$J778,$K$1:K778,K778,$L$1:L778,L778))=1,"00"&amp;COUNTIFS($H$1:H778,$H778,$I$1:I778,$I778,$J$1:J778,$J778,$K$1:K778,K778,$L$1:L778,L778),IF(LEN(COUNTIFS($H$1:H778,$H778,$I$1:I778,$I778,$J$1:J778,$J778,$K$1:K778,K778,$L$1:L778,L778))=2,"0"&amp;COUNTIFS($H$1:H778,$H778,$I$1:I778,$I778,$J$1:J778,$J778,$K$1:K778,K778,$L$1:L778,L778),COUNTIFS($H$1:H778,$H778,$I$1:I778,$I778,$J$1:J778,$J778,$K$1:K778,K778,$L$1:L778,L778)))</f>
        <v>049</v>
      </c>
      <c r="N77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78" s="14" t="e">
        <f>+LEN(Table4[[#This Row],[New Item Code]])</f>
        <v>#N/A</v>
      </c>
      <c r="P778" s="15" t="s">
        <v>4747</v>
      </c>
      <c r="Q778" s="15" t="s">
        <v>4749</v>
      </c>
      <c r="R778" s="15"/>
      <c r="S778" s="15"/>
      <c r="T778" s="15" t="s">
        <v>4693</v>
      </c>
    </row>
    <row r="779" spans="1:20" x14ac:dyDescent="0.35">
      <c r="A779" s="3" t="s">
        <v>1561</v>
      </c>
      <c r="B779" s="3" t="s">
        <v>1562</v>
      </c>
      <c r="C779" s="3" t="s">
        <v>15</v>
      </c>
      <c r="D779" s="3">
        <v>15</v>
      </c>
      <c r="E779" s="3" t="s">
        <v>10</v>
      </c>
      <c r="F779" s="3">
        <v>6</v>
      </c>
      <c r="G779" s="21">
        <f>Table4[[#This Row],[Item Cost]]*Table4[[#This Row],[In Stock]]</f>
        <v>90</v>
      </c>
      <c r="H779" s="12" t="s">
        <v>4661</v>
      </c>
      <c r="I779" s="13" t="s">
        <v>4666</v>
      </c>
      <c r="J779" s="13" t="s">
        <v>4693</v>
      </c>
      <c r="K779" s="13" t="s">
        <v>4672</v>
      </c>
      <c r="L779" s="12" t="s">
        <v>4672</v>
      </c>
      <c r="M779" s="17" t="str">
        <f>IF(LEN(COUNTIFS($H$1:H779,$H779,$I$1:I779,$I779,$J$1:J779,$J779,$K$1:K779,K779,$L$1:L779,L779))=1,"00"&amp;COUNTIFS($H$1:H779,$H779,$I$1:I779,$I779,$J$1:J779,$J779,$K$1:K779,K779,$L$1:L779,L779),IF(LEN(COUNTIFS($H$1:H779,$H779,$I$1:I779,$I779,$J$1:J779,$J779,$K$1:K779,K779,$L$1:L779,L779))=2,"0"&amp;COUNTIFS($H$1:H779,$H779,$I$1:I779,$I779,$J$1:J779,$J779,$K$1:K779,K779,$L$1:L779,L779),COUNTIFS($H$1:H779,$H779,$I$1:I779,$I779,$J$1:J779,$J779,$K$1:K779,K779,$L$1:L779,L779)))</f>
        <v>097</v>
      </c>
      <c r="N77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79" s="14" t="e">
        <f>+LEN(Table4[[#This Row],[New Item Code]])</f>
        <v>#N/A</v>
      </c>
      <c r="P779" s="15" t="s">
        <v>4747</v>
      </c>
      <c r="Q779" s="15" t="s">
        <v>4749</v>
      </c>
      <c r="R779" s="15"/>
      <c r="S779" s="15"/>
      <c r="T779" s="15" t="s">
        <v>4693</v>
      </c>
    </row>
    <row r="780" spans="1:20" x14ac:dyDescent="0.35">
      <c r="A780" s="2" t="s">
        <v>1563</v>
      </c>
      <c r="B780" s="2" t="s">
        <v>1564</v>
      </c>
      <c r="C780" s="2" t="s">
        <v>15</v>
      </c>
      <c r="D780" s="2">
        <v>50</v>
      </c>
      <c r="E780" s="2" t="s">
        <v>10</v>
      </c>
      <c r="F780" s="2">
        <v>6</v>
      </c>
      <c r="G780" s="22">
        <f>Table4[[#This Row],[Item Cost]]*Table4[[#This Row],[In Stock]]</f>
        <v>300</v>
      </c>
      <c r="H780" s="12" t="s">
        <v>4661</v>
      </c>
      <c r="I780" s="13" t="s">
        <v>4666</v>
      </c>
      <c r="J780" s="13" t="s">
        <v>4693</v>
      </c>
      <c r="K780" s="13" t="s">
        <v>4672</v>
      </c>
      <c r="L780" s="12" t="s">
        <v>4672</v>
      </c>
      <c r="M780" s="17" t="str">
        <f>IF(LEN(COUNTIFS($H$1:H780,$H780,$I$1:I780,$I780,$J$1:J780,$J780,$K$1:K780,K780,$L$1:L780,L780))=1,"00"&amp;COUNTIFS($H$1:H780,$H780,$I$1:I780,$I780,$J$1:J780,$J780,$K$1:K780,K780,$L$1:L780,L780),IF(LEN(COUNTIFS($H$1:H780,$H780,$I$1:I780,$I780,$J$1:J780,$J780,$K$1:K780,K780,$L$1:L780,L780))=2,"0"&amp;COUNTIFS($H$1:H780,$H780,$I$1:I780,$I780,$J$1:J780,$J780,$K$1:K780,K780,$L$1:L780,L780),COUNTIFS($H$1:H780,$H780,$I$1:I780,$I780,$J$1:J780,$J780,$K$1:K780,K780,$L$1:L780,L780)))</f>
        <v>098</v>
      </c>
      <c r="N78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80" s="14" t="e">
        <f>+LEN(Table4[[#This Row],[New Item Code]])</f>
        <v>#N/A</v>
      </c>
      <c r="P780" s="15" t="s">
        <v>4747</v>
      </c>
      <c r="Q780" s="15" t="s">
        <v>4749</v>
      </c>
      <c r="R780" s="15"/>
      <c r="S780" s="15"/>
      <c r="T780" s="15" t="s">
        <v>4693</v>
      </c>
    </row>
    <row r="781" spans="1:20" x14ac:dyDescent="0.35">
      <c r="A781" s="3" t="s">
        <v>1565</v>
      </c>
      <c r="B781" s="3" t="s">
        <v>1566</v>
      </c>
      <c r="C781" s="3" t="s">
        <v>56</v>
      </c>
      <c r="D781" s="3">
        <v>3.75</v>
      </c>
      <c r="E781" s="3" t="s">
        <v>10</v>
      </c>
      <c r="F781" s="3">
        <v>20</v>
      </c>
      <c r="G781" s="21">
        <f>Table4[[#This Row],[Item Cost]]*Table4[[#This Row],[In Stock]]</f>
        <v>75</v>
      </c>
      <c r="H781" s="12" t="s">
        <v>4661</v>
      </c>
      <c r="I781" s="13" t="s">
        <v>4668</v>
      </c>
      <c r="J781" s="13" t="s">
        <v>4693</v>
      </c>
      <c r="K781" s="13" t="s">
        <v>4672</v>
      </c>
      <c r="L781" s="12" t="s">
        <v>4672</v>
      </c>
      <c r="M781" s="17" t="str">
        <f>IF(LEN(COUNTIFS($H$1:H781,$H781,$I$1:I781,$I781,$J$1:J781,$J781,$K$1:K781,K781,$L$1:L781,L781))=1,"00"&amp;COUNTIFS($H$1:H781,$H781,$I$1:I781,$I781,$J$1:J781,$J781,$K$1:K781,K781,$L$1:L781,L781),IF(LEN(COUNTIFS($H$1:H781,$H781,$I$1:I781,$I781,$J$1:J781,$J781,$K$1:K781,K781,$L$1:L781,L781))=2,"0"&amp;COUNTIFS($H$1:H781,$H781,$I$1:I781,$I781,$J$1:J781,$J781,$K$1:K781,K781,$L$1:L781,L781),COUNTIFS($H$1:H781,$H781,$I$1:I781,$I781,$J$1:J781,$J781,$K$1:K781,K781,$L$1:L781,L781)))</f>
        <v>050</v>
      </c>
      <c r="N78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81" s="14" t="e">
        <f>+LEN(Table4[[#This Row],[New Item Code]])</f>
        <v>#N/A</v>
      </c>
      <c r="P781" s="15" t="s">
        <v>4747</v>
      </c>
      <c r="Q781" s="15" t="s">
        <v>4749</v>
      </c>
      <c r="R781" s="15"/>
      <c r="S781" s="15"/>
      <c r="T781" s="15" t="s">
        <v>4693</v>
      </c>
    </row>
    <row r="782" spans="1:20" x14ac:dyDescent="0.35">
      <c r="A782" s="2" t="s">
        <v>1567</v>
      </c>
      <c r="B782" s="2" t="s">
        <v>1568</v>
      </c>
      <c r="C782" s="2" t="s">
        <v>56</v>
      </c>
      <c r="D782" s="2">
        <v>0.61799999999999999</v>
      </c>
      <c r="E782" s="2" t="s">
        <v>10</v>
      </c>
      <c r="F782" s="2">
        <v>23</v>
      </c>
      <c r="G782" s="22">
        <f>Table4[[#This Row],[Item Cost]]*Table4[[#This Row],[In Stock]]</f>
        <v>14.214</v>
      </c>
      <c r="H782" s="12" t="s">
        <v>4661</v>
      </c>
      <c r="I782" s="13" t="s">
        <v>4668</v>
      </c>
      <c r="J782" s="13" t="s">
        <v>4693</v>
      </c>
      <c r="K782" s="13" t="s">
        <v>4672</v>
      </c>
      <c r="L782" s="12" t="s">
        <v>4672</v>
      </c>
      <c r="M782" s="17" t="str">
        <f>IF(LEN(COUNTIFS($H$1:H782,$H782,$I$1:I782,$I782,$J$1:J782,$J782,$K$1:K782,K782,$L$1:L782,L782))=1,"00"&amp;COUNTIFS($H$1:H782,$H782,$I$1:I782,$I782,$J$1:J782,$J782,$K$1:K782,K782,$L$1:L782,L782),IF(LEN(COUNTIFS($H$1:H782,$H782,$I$1:I782,$I782,$J$1:J782,$J782,$K$1:K782,K782,$L$1:L782,L782))=2,"0"&amp;COUNTIFS($H$1:H782,$H782,$I$1:I782,$I782,$J$1:J782,$J782,$K$1:K782,K782,$L$1:L782,L782),COUNTIFS($H$1:H782,$H782,$I$1:I782,$I782,$J$1:J782,$J782,$K$1:K782,K782,$L$1:L782,L782)))</f>
        <v>051</v>
      </c>
      <c r="N78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82" s="14" t="e">
        <f>+LEN(Table4[[#This Row],[New Item Code]])</f>
        <v>#N/A</v>
      </c>
      <c r="P782" s="15" t="s">
        <v>4747</v>
      </c>
      <c r="Q782" s="15" t="s">
        <v>4749</v>
      </c>
      <c r="R782" s="15"/>
      <c r="S782" s="15"/>
      <c r="T782" s="15" t="s">
        <v>4693</v>
      </c>
    </row>
    <row r="783" spans="1:20" x14ac:dyDescent="0.35">
      <c r="A783" s="3" t="s">
        <v>1569</v>
      </c>
      <c r="B783" s="3" t="s">
        <v>1570</v>
      </c>
      <c r="C783" s="3" t="s">
        <v>56</v>
      </c>
      <c r="D783" s="3">
        <v>5</v>
      </c>
      <c r="E783" s="3" t="s">
        <v>10</v>
      </c>
      <c r="F783" s="3">
        <v>3</v>
      </c>
      <c r="G783" s="21">
        <f>Table4[[#This Row],[Item Cost]]*Table4[[#This Row],[In Stock]]</f>
        <v>15</v>
      </c>
      <c r="H783" s="12" t="s">
        <v>4661</v>
      </c>
      <c r="I783" s="13" t="s">
        <v>4668</v>
      </c>
      <c r="J783" s="13" t="s">
        <v>4693</v>
      </c>
      <c r="K783" s="13" t="s">
        <v>4672</v>
      </c>
      <c r="L783" s="12" t="s">
        <v>4672</v>
      </c>
      <c r="M783" s="17" t="str">
        <f>IF(LEN(COUNTIFS($H$1:H783,$H783,$I$1:I783,$I783,$J$1:J783,$J783,$K$1:K783,K783,$L$1:L783,L783))=1,"00"&amp;COUNTIFS($H$1:H783,$H783,$I$1:I783,$I783,$J$1:J783,$J783,$K$1:K783,K783,$L$1:L783,L783),IF(LEN(COUNTIFS($H$1:H783,$H783,$I$1:I783,$I783,$J$1:J783,$J783,$K$1:K783,K783,$L$1:L783,L783))=2,"0"&amp;COUNTIFS($H$1:H783,$H783,$I$1:I783,$I783,$J$1:J783,$J783,$K$1:K783,K783,$L$1:L783,L783),COUNTIFS($H$1:H783,$H783,$I$1:I783,$I783,$J$1:J783,$J783,$K$1:K783,K783,$L$1:L783,L783)))</f>
        <v>052</v>
      </c>
      <c r="N78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83" s="14" t="e">
        <f>+LEN(Table4[[#This Row],[New Item Code]])</f>
        <v>#N/A</v>
      </c>
      <c r="P783" s="15" t="s">
        <v>4747</v>
      </c>
      <c r="Q783" s="15" t="s">
        <v>4749</v>
      </c>
      <c r="R783" s="15"/>
      <c r="S783" s="15"/>
      <c r="T783" s="15" t="s">
        <v>4693</v>
      </c>
    </row>
    <row r="784" spans="1:20" x14ac:dyDescent="0.35">
      <c r="A784" s="2" t="s">
        <v>1571</v>
      </c>
      <c r="B784" s="2" t="s">
        <v>1572</v>
      </c>
      <c r="C784" s="2" t="s">
        <v>56</v>
      </c>
      <c r="D784" s="2">
        <v>3.7</v>
      </c>
      <c r="E784" s="2" t="s">
        <v>10</v>
      </c>
      <c r="F784" s="2">
        <v>7</v>
      </c>
      <c r="G784" s="22">
        <f>Table4[[#This Row],[Item Cost]]*Table4[[#This Row],[In Stock]]</f>
        <v>25.900000000000002</v>
      </c>
      <c r="H784" s="12" t="s">
        <v>4661</v>
      </c>
      <c r="I784" s="13" t="s">
        <v>4668</v>
      </c>
      <c r="J784" s="13" t="s">
        <v>4693</v>
      </c>
      <c r="K784" s="13" t="s">
        <v>4672</v>
      </c>
      <c r="L784" s="12" t="s">
        <v>4672</v>
      </c>
      <c r="M784" s="17" t="str">
        <f>IF(LEN(COUNTIFS($H$1:H784,$H784,$I$1:I784,$I784,$J$1:J784,$J784,$K$1:K784,K784,$L$1:L784,L784))=1,"00"&amp;COUNTIFS($H$1:H784,$H784,$I$1:I784,$I784,$J$1:J784,$J784,$K$1:K784,K784,$L$1:L784,L784),IF(LEN(COUNTIFS($H$1:H784,$H784,$I$1:I784,$I784,$J$1:J784,$J784,$K$1:K784,K784,$L$1:L784,L784))=2,"0"&amp;COUNTIFS($H$1:H784,$H784,$I$1:I784,$I784,$J$1:J784,$J784,$K$1:K784,K784,$L$1:L784,L784),COUNTIFS($H$1:H784,$H784,$I$1:I784,$I784,$J$1:J784,$J784,$K$1:K784,K784,$L$1:L784,L784)))</f>
        <v>053</v>
      </c>
      <c r="N78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84" s="14" t="e">
        <f>+LEN(Table4[[#This Row],[New Item Code]])</f>
        <v>#N/A</v>
      </c>
      <c r="P784" s="15" t="s">
        <v>4747</v>
      </c>
      <c r="Q784" s="15" t="s">
        <v>4749</v>
      </c>
      <c r="R784" s="15"/>
      <c r="S784" s="15"/>
      <c r="T784" s="15" t="s">
        <v>4693</v>
      </c>
    </row>
    <row r="785" spans="1:20" x14ac:dyDescent="0.35">
      <c r="A785" s="3" t="s">
        <v>1573</v>
      </c>
      <c r="B785" s="3" t="s">
        <v>1574</v>
      </c>
      <c r="C785" s="3" t="s">
        <v>56</v>
      </c>
      <c r="D785" s="3">
        <v>25</v>
      </c>
      <c r="E785" s="3" t="s">
        <v>10</v>
      </c>
      <c r="F785" s="3">
        <v>4</v>
      </c>
      <c r="G785" s="21">
        <f>Table4[[#This Row],[Item Cost]]*Table4[[#This Row],[In Stock]]</f>
        <v>100</v>
      </c>
      <c r="H785" s="12" t="s">
        <v>4661</v>
      </c>
      <c r="I785" s="13" t="s">
        <v>4668</v>
      </c>
      <c r="J785" s="13" t="s">
        <v>4693</v>
      </c>
      <c r="K785" s="13" t="s">
        <v>4672</v>
      </c>
      <c r="L785" s="12" t="s">
        <v>4672</v>
      </c>
      <c r="M785" s="17" t="str">
        <f>IF(LEN(COUNTIFS($H$1:H785,$H785,$I$1:I785,$I785,$J$1:J785,$J785,$K$1:K785,K785,$L$1:L785,L785))=1,"00"&amp;COUNTIFS($H$1:H785,$H785,$I$1:I785,$I785,$J$1:J785,$J785,$K$1:K785,K785,$L$1:L785,L785),IF(LEN(COUNTIFS($H$1:H785,$H785,$I$1:I785,$I785,$J$1:J785,$J785,$K$1:K785,K785,$L$1:L785,L785))=2,"0"&amp;COUNTIFS($H$1:H785,$H785,$I$1:I785,$I785,$J$1:J785,$J785,$K$1:K785,K785,$L$1:L785,L785),COUNTIFS($H$1:H785,$H785,$I$1:I785,$I785,$J$1:J785,$J785,$K$1:K785,K785,$L$1:L785,L785)))</f>
        <v>054</v>
      </c>
      <c r="N78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85" s="14" t="e">
        <f>+LEN(Table4[[#This Row],[New Item Code]])</f>
        <v>#N/A</v>
      </c>
      <c r="P785" s="15" t="s">
        <v>4747</v>
      </c>
      <c r="Q785" s="15" t="s">
        <v>4749</v>
      </c>
      <c r="R785" s="15"/>
      <c r="S785" s="15"/>
      <c r="T785" s="15" t="s">
        <v>4693</v>
      </c>
    </row>
    <row r="786" spans="1:20" x14ac:dyDescent="0.35">
      <c r="A786" s="2" t="s">
        <v>1575</v>
      </c>
      <c r="B786" s="2" t="s">
        <v>1576</v>
      </c>
      <c r="C786" s="2" t="s">
        <v>56</v>
      </c>
      <c r="D786" s="2">
        <v>25</v>
      </c>
      <c r="E786" s="2" t="s">
        <v>10</v>
      </c>
      <c r="F786" s="2">
        <v>3</v>
      </c>
      <c r="G786" s="22">
        <f>Table4[[#This Row],[Item Cost]]*Table4[[#This Row],[In Stock]]</f>
        <v>75</v>
      </c>
      <c r="H786" s="12" t="s">
        <v>4661</v>
      </c>
      <c r="I786" s="13" t="s">
        <v>4668</v>
      </c>
      <c r="J786" s="13" t="s">
        <v>4693</v>
      </c>
      <c r="K786" s="13" t="s">
        <v>4672</v>
      </c>
      <c r="L786" s="12" t="s">
        <v>4672</v>
      </c>
      <c r="M786" s="17" t="str">
        <f>IF(LEN(COUNTIFS($H$1:H786,$H786,$I$1:I786,$I786,$J$1:J786,$J786,$K$1:K786,K786,$L$1:L786,L786))=1,"00"&amp;COUNTIFS($H$1:H786,$H786,$I$1:I786,$I786,$J$1:J786,$J786,$K$1:K786,K786,$L$1:L786,L786),IF(LEN(COUNTIFS($H$1:H786,$H786,$I$1:I786,$I786,$J$1:J786,$J786,$K$1:K786,K786,$L$1:L786,L786))=2,"0"&amp;COUNTIFS($H$1:H786,$H786,$I$1:I786,$I786,$J$1:J786,$J786,$K$1:K786,K786,$L$1:L786,L786),COUNTIFS($H$1:H786,$H786,$I$1:I786,$I786,$J$1:J786,$J786,$K$1:K786,K786,$L$1:L786,L786)))</f>
        <v>055</v>
      </c>
      <c r="N78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86" s="14" t="e">
        <f>+LEN(Table4[[#This Row],[New Item Code]])</f>
        <v>#N/A</v>
      </c>
      <c r="P786" s="15" t="s">
        <v>4747</v>
      </c>
      <c r="Q786" s="15" t="s">
        <v>4749</v>
      </c>
      <c r="R786" s="15"/>
      <c r="S786" s="15"/>
      <c r="T786" s="15" t="s">
        <v>4693</v>
      </c>
    </row>
    <row r="787" spans="1:20" x14ac:dyDescent="0.35">
      <c r="A787" s="3" t="s">
        <v>1577</v>
      </c>
      <c r="B787" s="3" t="s">
        <v>1578</v>
      </c>
      <c r="C787" s="3" t="s">
        <v>56</v>
      </c>
      <c r="D787" s="3">
        <v>11.304</v>
      </c>
      <c r="E787" s="3" t="s">
        <v>10</v>
      </c>
      <c r="F787" s="3">
        <v>23</v>
      </c>
      <c r="G787" s="21">
        <f>Table4[[#This Row],[Item Cost]]*Table4[[#This Row],[In Stock]]</f>
        <v>259.99200000000002</v>
      </c>
      <c r="H787" s="12" t="s">
        <v>4661</v>
      </c>
      <c r="I787" s="13" t="s">
        <v>4668</v>
      </c>
      <c r="J787" s="13" t="s">
        <v>4693</v>
      </c>
      <c r="K787" s="13" t="s">
        <v>4672</v>
      </c>
      <c r="L787" s="12" t="s">
        <v>4672</v>
      </c>
      <c r="M787" s="17" t="str">
        <f>IF(LEN(COUNTIFS($H$1:H787,$H787,$I$1:I787,$I787,$J$1:J787,$J787,$K$1:K787,K787,$L$1:L787,L787))=1,"00"&amp;COUNTIFS($H$1:H787,$H787,$I$1:I787,$I787,$J$1:J787,$J787,$K$1:K787,K787,$L$1:L787,L787),IF(LEN(COUNTIFS($H$1:H787,$H787,$I$1:I787,$I787,$J$1:J787,$J787,$K$1:K787,K787,$L$1:L787,L787))=2,"0"&amp;COUNTIFS($H$1:H787,$H787,$I$1:I787,$I787,$J$1:J787,$J787,$K$1:K787,K787,$L$1:L787,L787),COUNTIFS($H$1:H787,$H787,$I$1:I787,$I787,$J$1:J787,$J787,$K$1:K787,K787,$L$1:L787,L787)))</f>
        <v>056</v>
      </c>
      <c r="N78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87" s="14" t="e">
        <f>+LEN(Table4[[#This Row],[New Item Code]])</f>
        <v>#N/A</v>
      </c>
      <c r="P787" s="15" t="s">
        <v>4747</v>
      </c>
      <c r="Q787" s="15" t="s">
        <v>4749</v>
      </c>
      <c r="R787" s="15"/>
      <c r="S787" s="15"/>
      <c r="T787" s="15" t="s">
        <v>4693</v>
      </c>
    </row>
    <row r="788" spans="1:20" x14ac:dyDescent="0.35">
      <c r="A788" s="2" t="s">
        <v>1579</v>
      </c>
      <c r="B788" s="2" t="s">
        <v>1580</v>
      </c>
      <c r="C788" s="2" t="s">
        <v>15</v>
      </c>
      <c r="D788" s="4">
        <v>1150</v>
      </c>
      <c r="E788" s="2" t="s">
        <v>10</v>
      </c>
      <c r="F788" s="2">
        <v>0</v>
      </c>
      <c r="G788" s="22">
        <f>Table4[[#This Row],[Item Cost]]*Table4[[#This Row],[In Stock]]</f>
        <v>0</v>
      </c>
      <c r="H788" s="12" t="s">
        <v>4661</v>
      </c>
      <c r="I788" s="13" t="s">
        <v>4666</v>
      </c>
      <c r="J788" s="13" t="s">
        <v>4693</v>
      </c>
      <c r="K788" s="13" t="s">
        <v>4672</v>
      </c>
      <c r="L788" s="12" t="s">
        <v>4672</v>
      </c>
      <c r="M788" s="17" t="str">
        <f>IF(LEN(COUNTIFS($H$1:H788,$H788,$I$1:I788,$I788,$J$1:J788,$J788,$K$1:K788,K788,$L$1:L788,L788))=1,"00"&amp;COUNTIFS($H$1:H788,$H788,$I$1:I788,$I788,$J$1:J788,$J788,$K$1:K788,K788,$L$1:L788,L788),IF(LEN(COUNTIFS($H$1:H788,$H788,$I$1:I788,$I788,$J$1:J788,$J788,$K$1:K788,K788,$L$1:L788,L788))=2,"0"&amp;COUNTIFS($H$1:H788,$H788,$I$1:I788,$I788,$J$1:J788,$J788,$K$1:K788,K788,$L$1:L788,L788),COUNTIFS($H$1:H788,$H788,$I$1:I788,$I788,$J$1:J788,$J788,$K$1:K788,K788,$L$1:L788,L788)))</f>
        <v>099</v>
      </c>
      <c r="N78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88" s="14" t="e">
        <f>+LEN(Table4[[#This Row],[New Item Code]])</f>
        <v>#N/A</v>
      </c>
      <c r="P788" s="15" t="s">
        <v>4747</v>
      </c>
      <c r="Q788" s="15" t="s">
        <v>4749</v>
      </c>
      <c r="R788" s="15"/>
      <c r="S788" s="15"/>
      <c r="T788" s="15" t="s">
        <v>4693</v>
      </c>
    </row>
    <row r="789" spans="1:20" x14ac:dyDescent="0.35">
      <c r="A789" s="3" t="s">
        <v>1581</v>
      </c>
      <c r="B789" s="3" t="s">
        <v>1582</v>
      </c>
      <c r="C789" s="3" t="s">
        <v>15</v>
      </c>
      <c r="D789" s="5">
        <v>1150</v>
      </c>
      <c r="E789" s="3" t="s">
        <v>10</v>
      </c>
      <c r="F789" s="3">
        <v>1</v>
      </c>
      <c r="G789" s="21">
        <f>Table4[[#This Row],[Item Cost]]*Table4[[#This Row],[In Stock]]</f>
        <v>1150</v>
      </c>
      <c r="H789" s="12" t="s">
        <v>4661</v>
      </c>
      <c r="I789" s="13" t="s">
        <v>4666</v>
      </c>
      <c r="J789" s="13" t="s">
        <v>4693</v>
      </c>
      <c r="K789" s="13" t="s">
        <v>4672</v>
      </c>
      <c r="L789" s="12" t="s">
        <v>4672</v>
      </c>
      <c r="M789" s="17">
        <f>IF(LEN(COUNTIFS($H$1:H789,$H789,$I$1:I789,$I789,$J$1:J789,$J789,$K$1:K789,K789,$L$1:L789,L789))=1,"00"&amp;COUNTIFS($H$1:H789,$H789,$I$1:I789,$I789,$J$1:J789,$J789,$K$1:K789,K789,$L$1:L789,L789),IF(LEN(COUNTIFS($H$1:H789,$H789,$I$1:I789,$I789,$J$1:J789,$J789,$K$1:K789,K789,$L$1:L789,L789))=2,"0"&amp;COUNTIFS($H$1:H789,$H789,$I$1:I789,$I789,$J$1:J789,$J789,$K$1:K789,K789,$L$1:L789,L789),COUNTIFS($H$1:H789,$H789,$I$1:I789,$I789,$J$1:J789,$J789,$K$1:K789,K789,$L$1:L789,L789)))</f>
        <v>100</v>
      </c>
      <c r="N78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89" s="14" t="e">
        <f>+LEN(Table4[[#This Row],[New Item Code]])</f>
        <v>#N/A</v>
      </c>
      <c r="P789" s="15" t="s">
        <v>4747</v>
      </c>
      <c r="Q789" s="15" t="s">
        <v>4749</v>
      </c>
      <c r="R789" s="15"/>
      <c r="S789" s="15"/>
      <c r="T789" s="15" t="s">
        <v>4693</v>
      </c>
    </row>
    <row r="790" spans="1:20" x14ac:dyDescent="0.35">
      <c r="A790" s="2" t="s">
        <v>1583</v>
      </c>
      <c r="B790" s="2" t="s">
        <v>1584</v>
      </c>
      <c r="C790" s="2" t="s">
        <v>15</v>
      </c>
      <c r="D790" s="4">
        <v>2500</v>
      </c>
      <c r="E790" s="2" t="s">
        <v>10</v>
      </c>
      <c r="F790" s="2">
        <v>1</v>
      </c>
      <c r="G790" s="22">
        <f>Table4[[#This Row],[Item Cost]]*Table4[[#This Row],[In Stock]]</f>
        <v>2500</v>
      </c>
      <c r="H790" s="12" t="s">
        <v>4661</v>
      </c>
      <c r="I790" s="13" t="s">
        <v>4666</v>
      </c>
      <c r="J790" s="13" t="s">
        <v>4693</v>
      </c>
      <c r="K790" s="13" t="s">
        <v>4672</v>
      </c>
      <c r="L790" s="12" t="s">
        <v>4672</v>
      </c>
      <c r="M790" s="17">
        <f>IF(LEN(COUNTIFS($H$1:H790,$H790,$I$1:I790,$I790,$J$1:J790,$J790,$K$1:K790,K790,$L$1:L790,L790))=1,"00"&amp;COUNTIFS($H$1:H790,$H790,$I$1:I790,$I790,$J$1:J790,$J790,$K$1:K790,K790,$L$1:L790,L790),IF(LEN(COUNTIFS($H$1:H790,$H790,$I$1:I790,$I790,$J$1:J790,$J790,$K$1:K790,K790,$L$1:L790,L790))=2,"0"&amp;COUNTIFS($H$1:H790,$H790,$I$1:I790,$I790,$J$1:J790,$J790,$K$1:K790,K790,$L$1:L790,L790),COUNTIFS($H$1:H790,$H790,$I$1:I790,$I790,$J$1:J790,$J790,$K$1:K790,K790,$L$1:L790,L790)))</f>
        <v>101</v>
      </c>
      <c r="N79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90" s="14" t="e">
        <f>+LEN(Table4[[#This Row],[New Item Code]])</f>
        <v>#N/A</v>
      </c>
      <c r="P790" s="15" t="s">
        <v>4747</v>
      </c>
      <c r="Q790" s="15" t="s">
        <v>4749</v>
      </c>
      <c r="R790" s="15"/>
      <c r="S790" s="15"/>
      <c r="T790" s="15" t="s">
        <v>4693</v>
      </c>
    </row>
    <row r="791" spans="1:20" x14ac:dyDescent="0.35">
      <c r="A791" s="3" t="s">
        <v>1585</v>
      </c>
      <c r="B791" s="3" t="s">
        <v>1586</v>
      </c>
      <c r="C791" s="3" t="s">
        <v>15</v>
      </c>
      <c r="D791" s="3">
        <v>150</v>
      </c>
      <c r="E791" s="3" t="s">
        <v>10</v>
      </c>
      <c r="F791" s="3">
        <v>7</v>
      </c>
      <c r="G791" s="21">
        <f>Table4[[#This Row],[Item Cost]]*Table4[[#This Row],[In Stock]]</f>
        <v>1050</v>
      </c>
      <c r="H791" s="12" t="s">
        <v>4661</v>
      </c>
      <c r="I791" s="13" t="s">
        <v>4666</v>
      </c>
      <c r="J791" s="13" t="s">
        <v>4693</v>
      </c>
      <c r="K791" s="13" t="s">
        <v>4672</v>
      </c>
      <c r="L791" s="12" t="s">
        <v>4672</v>
      </c>
      <c r="M791" s="17">
        <f>IF(LEN(COUNTIFS($H$1:H791,$H791,$I$1:I791,$I791,$J$1:J791,$J791,$K$1:K791,K791,$L$1:L791,L791))=1,"00"&amp;COUNTIFS($H$1:H791,$H791,$I$1:I791,$I791,$J$1:J791,$J791,$K$1:K791,K791,$L$1:L791,L791),IF(LEN(COUNTIFS($H$1:H791,$H791,$I$1:I791,$I791,$J$1:J791,$J791,$K$1:K791,K791,$L$1:L791,L791))=2,"0"&amp;COUNTIFS($H$1:H791,$H791,$I$1:I791,$I791,$J$1:J791,$J791,$K$1:K791,K791,$L$1:L791,L791),COUNTIFS($H$1:H791,$H791,$I$1:I791,$I791,$J$1:J791,$J791,$K$1:K791,K791,$L$1:L791,L791)))</f>
        <v>102</v>
      </c>
      <c r="N79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91" s="14" t="e">
        <f>+LEN(Table4[[#This Row],[New Item Code]])</f>
        <v>#N/A</v>
      </c>
      <c r="P791" s="15" t="s">
        <v>4747</v>
      </c>
      <c r="Q791" s="15" t="s">
        <v>4749</v>
      </c>
      <c r="R791" s="15"/>
      <c r="S791" s="15"/>
      <c r="T791" s="15" t="s">
        <v>4693</v>
      </c>
    </row>
    <row r="792" spans="1:20" x14ac:dyDescent="0.35">
      <c r="A792" s="2" t="s">
        <v>1587</v>
      </c>
      <c r="B792" s="2" t="s">
        <v>1588</v>
      </c>
      <c r="C792" s="2" t="s">
        <v>15</v>
      </c>
      <c r="D792" s="2">
        <v>200</v>
      </c>
      <c r="E792" s="2" t="s">
        <v>10</v>
      </c>
      <c r="F792" s="2">
        <v>5</v>
      </c>
      <c r="G792" s="22">
        <f>Table4[[#This Row],[Item Cost]]*Table4[[#This Row],[In Stock]]</f>
        <v>1000</v>
      </c>
      <c r="H792" s="12" t="s">
        <v>4661</v>
      </c>
      <c r="I792" s="13" t="s">
        <v>4666</v>
      </c>
      <c r="J792" s="13" t="s">
        <v>4693</v>
      </c>
      <c r="K792" s="13" t="s">
        <v>4672</v>
      </c>
      <c r="L792" s="12" t="s">
        <v>4672</v>
      </c>
      <c r="M792" s="17">
        <f>IF(LEN(COUNTIFS($H$1:H792,$H792,$I$1:I792,$I792,$J$1:J792,$J792,$K$1:K792,K792,$L$1:L792,L792))=1,"00"&amp;COUNTIFS($H$1:H792,$H792,$I$1:I792,$I792,$J$1:J792,$J792,$K$1:K792,K792,$L$1:L792,L792),IF(LEN(COUNTIFS($H$1:H792,$H792,$I$1:I792,$I792,$J$1:J792,$J792,$K$1:K792,K792,$L$1:L792,L792))=2,"0"&amp;COUNTIFS($H$1:H792,$H792,$I$1:I792,$I792,$J$1:J792,$J792,$K$1:K792,K792,$L$1:L792,L792),COUNTIFS($H$1:H792,$H792,$I$1:I792,$I792,$J$1:J792,$J792,$K$1:K792,K792,$L$1:L792,L792)))</f>
        <v>103</v>
      </c>
      <c r="N79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92" s="14" t="e">
        <f>+LEN(Table4[[#This Row],[New Item Code]])</f>
        <v>#N/A</v>
      </c>
      <c r="P792" s="15" t="s">
        <v>4747</v>
      </c>
      <c r="Q792" s="15" t="s">
        <v>4749</v>
      </c>
      <c r="R792" s="15"/>
      <c r="S792" s="15"/>
      <c r="T792" s="15" t="s">
        <v>4693</v>
      </c>
    </row>
    <row r="793" spans="1:20" x14ac:dyDescent="0.35">
      <c r="A793" s="3" t="s">
        <v>1589</v>
      </c>
      <c r="B793" s="3" t="s">
        <v>1590</v>
      </c>
      <c r="C793" s="3" t="s">
        <v>15</v>
      </c>
      <c r="D793" s="3">
        <v>500</v>
      </c>
      <c r="E793" s="3" t="s">
        <v>10</v>
      </c>
      <c r="F793" s="3">
        <v>3</v>
      </c>
      <c r="G793" s="21">
        <f>Table4[[#This Row],[Item Cost]]*Table4[[#This Row],[In Stock]]</f>
        <v>1500</v>
      </c>
      <c r="H793" s="12" t="s">
        <v>4661</v>
      </c>
      <c r="I793" s="13" t="s">
        <v>4666</v>
      </c>
      <c r="J793" s="13" t="s">
        <v>4693</v>
      </c>
      <c r="K793" s="13" t="s">
        <v>4672</v>
      </c>
      <c r="L793" s="12" t="s">
        <v>4672</v>
      </c>
      <c r="M793" s="17">
        <f>IF(LEN(COUNTIFS($H$1:H793,$H793,$I$1:I793,$I793,$J$1:J793,$J793,$K$1:K793,K793,$L$1:L793,L793))=1,"00"&amp;COUNTIFS($H$1:H793,$H793,$I$1:I793,$I793,$J$1:J793,$J793,$K$1:K793,K793,$L$1:L793,L793),IF(LEN(COUNTIFS($H$1:H793,$H793,$I$1:I793,$I793,$J$1:J793,$J793,$K$1:K793,K793,$L$1:L793,L793))=2,"0"&amp;COUNTIFS($H$1:H793,$H793,$I$1:I793,$I793,$J$1:J793,$J793,$K$1:K793,K793,$L$1:L793,L793),COUNTIFS($H$1:H793,$H793,$I$1:I793,$I793,$J$1:J793,$J793,$K$1:K793,K793,$L$1:L793,L793)))</f>
        <v>104</v>
      </c>
      <c r="N79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93" s="14" t="e">
        <f>+LEN(Table4[[#This Row],[New Item Code]])</f>
        <v>#N/A</v>
      </c>
      <c r="P793" s="15" t="s">
        <v>4747</v>
      </c>
      <c r="Q793" s="15" t="s">
        <v>4749</v>
      </c>
      <c r="R793" s="15"/>
      <c r="S793" s="15"/>
      <c r="T793" s="15" t="s">
        <v>4693</v>
      </c>
    </row>
    <row r="794" spans="1:20" x14ac:dyDescent="0.35">
      <c r="A794" s="2" t="s">
        <v>1591</v>
      </c>
      <c r="B794" s="2" t="s">
        <v>1592</v>
      </c>
      <c r="C794" s="2" t="s">
        <v>15</v>
      </c>
      <c r="D794" s="2">
        <v>150</v>
      </c>
      <c r="E794" s="2" t="s">
        <v>10</v>
      </c>
      <c r="F794" s="2">
        <v>10</v>
      </c>
      <c r="G794" s="22">
        <f>Table4[[#This Row],[Item Cost]]*Table4[[#This Row],[In Stock]]</f>
        <v>1500</v>
      </c>
      <c r="H794" s="12" t="s">
        <v>4661</v>
      </c>
      <c r="I794" s="13" t="s">
        <v>4666</v>
      </c>
      <c r="J794" s="13" t="s">
        <v>4693</v>
      </c>
      <c r="K794" s="13" t="s">
        <v>4672</v>
      </c>
      <c r="L794" s="12" t="s">
        <v>4672</v>
      </c>
      <c r="M794" s="17">
        <f>IF(LEN(COUNTIFS($H$1:H794,$H794,$I$1:I794,$I794,$J$1:J794,$J794,$K$1:K794,K794,$L$1:L794,L794))=1,"00"&amp;COUNTIFS($H$1:H794,$H794,$I$1:I794,$I794,$J$1:J794,$J794,$K$1:K794,K794,$L$1:L794,L794),IF(LEN(COUNTIFS($H$1:H794,$H794,$I$1:I794,$I794,$J$1:J794,$J794,$K$1:K794,K794,$L$1:L794,L794))=2,"0"&amp;COUNTIFS($H$1:H794,$H794,$I$1:I794,$I794,$J$1:J794,$J794,$K$1:K794,K794,$L$1:L794,L794),COUNTIFS($H$1:H794,$H794,$I$1:I794,$I794,$J$1:J794,$J794,$K$1:K794,K794,$L$1:L794,L794)))</f>
        <v>105</v>
      </c>
      <c r="N79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94" s="14" t="e">
        <f>+LEN(Table4[[#This Row],[New Item Code]])</f>
        <v>#N/A</v>
      </c>
      <c r="P794" s="15" t="s">
        <v>4747</v>
      </c>
      <c r="Q794" s="15" t="s">
        <v>4749</v>
      </c>
      <c r="R794" s="15"/>
      <c r="S794" s="15"/>
      <c r="T794" s="15" t="s">
        <v>4693</v>
      </c>
    </row>
    <row r="795" spans="1:20" x14ac:dyDescent="0.35">
      <c r="A795" s="3" t="s">
        <v>1593</v>
      </c>
      <c r="B795" s="3" t="s">
        <v>1594</v>
      </c>
      <c r="C795" s="3" t="s">
        <v>15</v>
      </c>
      <c r="D795" s="3">
        <v>18.794</v>
      </c>
      <c r="E795" s="3" t="s">
        <v>10</v>
      </c>
      <c r="F795" s="3">
        <v>11</v>
      </c>
      <c r="G795" s="21">
        <f>Table4[[#This Row],[Item Cost]]*Table4[[#This Row],[In Stock]]</f>
        <v>206.73400000000001</v>
      </c>
      <c r="H795" s="12" t="s">
        <v>4661</v>
      </c>
      <c r="I795" s="13" t="s">
        <v>4666</v>
      </c>
      <c r="J795" s="13" t="s">
        <v>4693</v>
      </c>
      <c r="K795" s="13" t="s">
        <v>4672</v>
      </c>
      <c r="L795" s="12" t="s">
        <v>4672</v>
      </c>
      <c r="M795" s="17">
        <f>IF(LEN(COUNTIFS($H$1:H795,$H795,$I$1:I795,$I795,$J$1:J795,$J795,$K$1:K795,K795,$L$1:L795,L795))=1,"00"&amp;COUNTIFS($H$1:H795,$H795,$I$1:I795,$I795,$J$1:J795,$J795,$K$1:K795,K795,$L$1:L795,L795),IF(LEN(COUNTIFS($H$1:H795,$H795,$I$1:I795,$I795,$J$1:J795,$J795,$K$1:K795,K795,$L$1:L795,L795))=2,"0"&amp;COUNTIFS($H$1:H795,$H795,$I$1:I795,$I795,$J$1:J795,$J795,$K$1:K795,K795,$L$1:L795,L795),COUNTIFS($H$1:H795,$H795,$I$1:I795,$I795,$J$1:J795,$J795,$K$1:K795,K795,$L$1:L795,L795)))</f>
        <v>106</v>
      </c>
      <c r="N79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95" s="14" t="e">
        <f>+LEN(Table4[[#This Row],[New Item Code]])</f>
        <v>#N/A</v>
      </c>
      <c r="P795" s="15" t="s">
        <v>4747</v>
      </c>
      <c r="Q795" s="15" t="s">
        <v>4749</v>
      </c>
      <c r="R795" s="15"/>
      <c r="S795" s="15"/>
      <c r="T795" s="15" t="s">
        <v>4693</v>
      </c>
    </row>
    <row r="796" spans="1:20" x14ac:dyDescent="0.35">
      <c r="A796" s="2" t="s">
        <v>1595</v>
      </c>
      <c r="B796" s="2" t="s">
        <v>1596</v>
      </c>
      <c r="C796" s="2" t="s">
        <v>15</v>
      </c>
      <c r="D796" s="2">
        <v>200</v>
      </c>
      <c r="E796" s="2" t="s">
        <v>10</v>
      </c>
      <c r="F796" s="2">
        <v>3</v>
      </c>
      <c r="G796" s="22">
        <f>Table4[[#This Row],[Item Cost]]*Table4[[#This Row],[In Stock]]</f>
        <v>600</v>
      </c>
      <c r="H796" s="12" t="s">
        <v>4661</v>
      </c>
      <c r="I796" s="13" t="s">
        <v>4666</v>
      </c>
      <c r="J796" s="13" t="s">
        <v>4693</v>
      </c>
      <c r="K796" s="13" t="s">
        <v>4672</v>
      </c>
      <c r="L796" s="12" t="s">
        <v>4672</v>
      </c>
      <c r="M796" s="17">
        <f>IF(LEN(COUNTIFS($H$1:H796,$H796,$I$1:I796,$I796,$J$1:J796,$J796,$K$1:K796,K796,$L$1:L796,L796))=1,"00"&amp;COUNTIFS($H$1:H796,$H796,$I$1:I796,$I796,$J$1:J796,$J796,$K$1:K796,K796,$L$1:L796,L796),IF(LEN(COUNTIFS($H$1:H796,$H796,$I$1:I796,$I796,$J$1:J796,$J796,$K$1:K796,K796,$L$1:L796,L796))=2,"0"&amp;COUNTIFS($H$1:H796,$H796,$I$1:I796,$I796,$J$1:J796,$J796,$K$1:K796,K796,$L$1:L796,L796),COUNTIFS($H$1:H796,$H796,$I$1:I796,$I796,$J$1:J796,$J796,$K$1:K796,K796,$L$1:L796,L796)))</f>
        <v>107</v>
      </c>
      <c r="N79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96" s="14" t="e">
        <f>+LEN(Table4[[#This Row],[New Item Code]])</f>
        <v>#N/A</v>
      </c>
      <c r="P796" s="15" t="s">
        <v>4747</v>
      </c>
      <c r="Q796" s="15" t="s">
        <v>4749</v>
      </c>
      <c r="R796" s="15"/>
      <c r="S796" s="15"/>
      <c r="T796" s="15" t="s">
        <v>4693</v>
      </c>
    </row>
    <row r="797" spans="1:20" x14ac:dyDescent="0.35">
      <c r="A797" s="3" t="s">
        <v>1597</v>
      </c>
      <c r="B797" s="3" t="s">
        <v>1598</v>
      </c>
      <c r="C797" s="3" t="s">
        <v>15</v>
      </c>
      <c r="D797" s="3">
        <v>100</v>
      </c>
      <c r="E797" s="3" t="s">
        <v>10</v>
      </c>
      <c r="F797" s="3">
        <v>4</v>
      </c>
      <c r="G797" s="21">
        <f>Table4[[#This Row],[Item Cost]]*Table4[[#This Row],[In Stock]]</f>
        <v>400</v>
      </c>
      <c r="H797" s="12" t="s">
        <v>4661</v>
      </c>
      <c r="I797" s="13" t="s">
        <v>4666</v>
      </c>
      <c r="J797" s="13" t="s">
        <v>4693</v>
      </c>
      <c r="K797" s="13" t="s">
        <v>4672</v>
      </c>
      <c r="L797" s="12" t="s">
        <v>4672</v>
      </c>
      <c r="M797" s="17">
        <f>IF(LEN(COUNTIFS($H$1:H797,$H797,$I$1:I797,$I797,$J$1:J797,$J797,$K$1:K797,K797,$L$1:L797,L797))=1,"00"&amp;COUNTIFS($H$1:H797,$H797,$I$1:I797,$I797,$J$1:J797,$J797,$K$1:K797,K797,$L$1:L797,L797),IF(LEN(COUNTIFS($H$1:H797,$H797,$I$1:I797,$I797,$J$1:J797,$J797,$K$1:K797,K797,$L$1:L797,L797))=2,"0"&amp;COUNTIFS($H$1:H797,$H797,$I$1:I797,$I797,$J$1:J797,$J797,$K$1:K797,K797,$L$1:L797,L797),COUNTIFS($H$1:H797,$H797,$I$1:I797,$I797,$J$1:J797,$J797,$K$1:K797,K797,$L$1:L797,L797)))</f>
        <v>108</v>
      </c>
      <c r="N79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97" s="14" t="e">
        <f>+LEN(Table4[[#This Row],[New Item Code]])</f>
        <v>#N/A</v>
      </c>
      <c r="P797" s="15" t="s">
        <v>4747</v>
      </c>
      <c r="Q797" s="15" t="s">
        <v>4749</v>
      </c>
      <c r="R797" s="15"/>
      <c r="S797" s="15"/>
      <c r="T797" s="15" t="s">
        <v>4693</v>
      </c>
    </row>
    <row r="798" spans="1:20" x14ac:dyDescent="0.35">
      <c r="A798" s="2" t="s">
        <v>1599</v>
      </c>
      <c r="B798" s="2" t="s">
        <v>1600</v>
      </c>
      <c r="C798" s="2" t="s">
        <v>15</v>
      </c>
      <c r="D798" s="2">
        <v>35</v>
      </c>
      <c r="E798" s="2" t="s">
        <v>10</v>
      </c>
      <c r="F798" s="2">
        <v>7</v>
      </c>
      <c r="G798" s="22">
        <f>Table4[[#This Row],[Item Cost]]*Table4[[#This Row],[In Stock]]</f>
        <v>245</v>
      </c>
      <c r="H798" s="12" t="s">
        <v>4661</v>
      </c>
      <c r="I798" s="13" t="s">
        <v>4666</v>
      </c>
      <c r="J798" s="13" t="s">
        <v>4693</v>
      </c>
      <c r="K798" s="13" t="s">
        <v>4672</v>
      </c>
      <c r="L798" s="12" t="s">
        <v>4672</v>
      </c>
      <c r="M798" s="17">
        <f>IF(LEN(COUNTIFS($H$1:H798,$H798,$I$1:I798,$I798,$J$1:J798,$J798,$K$1:K798,K798,$L$1:L798,L798))=1,"00"&amp;COUNTIFS($H$1:H798,$H798,$I$1:I798,$I798,$J$1:J798,$J798,$K$1:K798,K798,$L$1:L798,L798),IF(LEN(COUNTIFS($H$1:H798,$H798,$I$1:I798,$I798,$J$1:J798,$J798,$K$1:K798,K798,$L$1:L798,L798))=2,"0"&amp;COUNTIFS($H$1:H798,$H798,$I$1:I798,$I798,$J$1:J798,$J798,$K$1:K798,K798,$L$1:L798,L798),COUNTIFS($H$1:H798,$H798,$I$1:I798,$I798,$J$1:J798,$J798,$K$1:K798,K798,$L$1:L798,L798)))</f>
        <v>109</v>
      </c>
      <c r="N79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98" s="14" t="e">
        <f>+LEN(Table4[[#This Row],[New Item Code]])</f>
        <v>#N/A</v>
      </c>
      <c r="P798" s="15" t="s">
        <v>4747</v>
      </c>
      <c r="Q798" s="15" t="s">
        <v>4749</v>
      </c>
      <c r="R798" s="15"/>
      <c r="S798" s="15"/>
      <c r="T798" s="15" t="s">
        <v>4693</v>
      </c>
    </row>
    <row r="799" spans="1:20" x14ac:dyDescent="0.35">
      <c r="A799" s="3" t="s">
        <v>1601</v>
      </c>
      <c r="B799" s="3" t="s">
        <v>1602</v>
      </c>
      <c r="C799" s="3" t="s">
        <v>15</v>
      </c>
      <c r="D799" s="3">
        <v>35</v>
      </c>
      <c r="E799" s="3" t="s">
        <v>10</v>
      </c>
      <c r="F799" s="3">
        <v>3</v>
      </c>
      <c r="G799" s="21">
        <f>Table4[[#This Row],[Item Cost]]*Table4[[#This Row],[In Stock]]</f>
        <v>105</v>
      </c>
      <c r="H799" s="12" t="s">
        <v>4661</v>
      </c>
      <c r="I799" s="13" t="s">
        <v>4666</v>
      </c>
      <c r="J799" s="13" t="s">
        <v>4693</v>
      </c>
      <c r="K799" s="13" t="s">
        <v>4672</v>
      </c>
      <c r="L799" s="12" t="s">
        <v>4672</v>
      </c>
      <c r="M799" s="17">
        <f>IF(LEN(COUNTIFS($H$1:H799,$H799,$I$1:I799,$I799,$J$1:J799,$J799,$K$1:K799,K799,$L$1:L799,L799))=1,"00"&amp;COUNTIFS($H$1:H799,$H799,$I$1:I799,$I799,$J$1:J799,$J799,$K$1:K799,K799,$L$1:L799,L799),IF(LEN(COUNTIFS($H$1:H799,$H799,$I$1:I799,$I799,$J$1:J799,$J799,$K$1:K799,K799,$L$1:L799,L799))=2,"0"&amp;COUNTIFS($H$1:H799,$H799,$I$1:I799,$I799,$J$1:J799,$J799,$K$1:K799,K799,$L$1:L799,L799),COUNTIFS($H$1:H799,$H799,$I$1:I799,$I799,$J$1:J799,$J799,$K$1:K799,K799,$L$1:L799,L799)))</f>
        <v>110</v>
      </c>
      <c r="N79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799" s="14" t="e">
        <f>+LEN(Table4[[#This Row],[New Item Code]])</f>
        <v>#N/A</v>
      </c>
      <c r="P799" s="15" t="s">
        <v>4747</v>
      </c>
      <c r="Q799" s="15" t="s">
        <v>4749</v>
      </c>
      <c r="R799" s="15"/>
      <c r="S799" s="15"/>
      <c r="T799" s="15" t="s">
        <v>4693</v>
      </c>
    </row>
    <row r="800" spans="1:20" x14ac:dyDescent="0.35">
      <c r="A800" s="2" t="s">
        <v>1603</v>
      </c>
      <c r="B800" s="2" t="s">
        <v>1604</v>
      </c>
      <c r="C800" s="2" t="s">
        <v>15</v>
      </c>
      <c r="D800" s="4">
        <v>2500</v>
      </c>
      <c r="E800" s="2" t="s">
        <v>10</v>
      </c>
      <c r="F800" s="2">
        <v>1</v>
      </c>
      <c r="G800" s="22">
        <f>Table4[[#This Row],[Item Cost]]*Table4[[#This Row],[In Stock]]</f>
        <v>2500</v>
      </c>
      <c r="H800" s="12" t="s">
        <v>4661</v>
      </c>
      <c r="I800" s="13" t="s">
        <v>4666</v>
      </c>
      <c r="J800" s="13" t="s">
        <v>4693</v>
      </c>
      <c r="K800" s="13" t="s">
        <v>4672</v>
      </c>
      <c r="L800" s="12" t="s">
        <v>4672</v>
      </c>
      <c r="M800" s="17">
        <f>IF(LEN(COUNTIFS($H$1:H800,$H800,$I$1:I800,$I800,$J$1:J800,$J800,$K$1:K800,K800,$L$1:L800,L800))=1,"00"&amp;COUNTIFS($H$1:H800,$H800,$I$1:I800,$I800,$J$1:J800,$J800,$K$1:K800,K800,$L$1:L800,L800),IF(LEN(COUNTIFS($H$1:H800,$H800,$I$1:I800,$I800,$J$1:J800,$J800,$K$1:K800,K800,$L$1:L800,L800))=2,"0"&amp;COUNTIFS($H$1:H800,$H800,$I$1:I800,$I800,$J$1:J800,$J800,$K$1:K800,K800,$L$1:L800,L800),COUNTIFS($H$1:H800,$H800,$I$1:I800,$I800,$J$1:J800,$J800,$K$1:K800,K800,$L$1:L800,L800)))</f>
        <v>111</v>
      </c>
      <c r="N80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00" s="14" t="e">
        <f>+LEN(Table4[[#This Row],[New Item Code]])</f>
        <v>#N/A</v>
      </c>
      <c r="P800" s="15" t="s">
        <v>4747</v>
      </c>
      <c r="Q800" s="15" t="s">
        <v>4749</v>
      </c>
      <c r="R800" s="15"/>
      <c r="S800" s="15"/>
      <c r="T800" s="15" t="s">
        <v>4693</v>
      </c>
    </row>
    <row r="801" spans="1:20" x14ac:dyDescent="0.35">
      <c r="A801" s="3" t="s">
        <v>1605</v>
      </c>
      <c r="B801" s="3" t="s">
        <v>1606</v>
      </c>
      <c r="C801" s="3" t="s">
        <v>15</v>
      </c>
      <c r="D801" s="3">
        <v>150</v>
      </c>
      <c r="E801" s="3" t="s">
        <v>10</v>
      </c>
      <c r="F801" s="3">
        <v>5</v>
      </c>
      <c r="G801" s="21">
        <f>Table4[[#This Row],[Item Cost]]*Table4[[#This Row],[In Stock]]</f>
        <v>750</v>
      </c>
      <c r="H801" s="12" t="s">
        <v>4661</v>
      </c>
      <c r="I801" s="13" t="s">
        <v>4666</v>
      </c>
      <c r="J801" s="13" t="s">
        <v>4693</v>
      </c>
      <c r="K801" s="13" t="s">
        <v>4672</v>
      </c>
      <c r="L801" s="12" t="s">
        <v>4672</v>
      </c>
      <c r="M801" s="17">
        <f>IF(LEN(COUNTIFS($H$1:H801,$H801,$I$1:I801,$I801,$J$1:J801,$J801,$K$1:K801,K801,$L$1:L801,L801))=1,"00"&amp;COUNTIFS($H$1:H801,$H801,$I$1:I801,$I801,$J$1:J801,$J801,$K$1:K801,K801,$L$1:L801,L801),IF(LEN(COUNTIFS($H$1:H801,$H801,$I$1:I801,$I801,$J$1:J801,$J801,$K$1:K801,K801,$L$1:L801,L801))=2,"0"&amp;COUNTIFS($H$1:H801,$H801,$I$1:I801,$I801,$J$1:J801,$J801,$K$1:K801,K801,$L$1:L801,L801),COUNTIFS($H$1:H801,$H801,$I$1:I801,$I801,$J$1:J801,$J801,$K$1:K801,K801,$L$1:L801,L801)))</f>
        <v>112</v>
      </c>
      <c r="N80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01" s="14" t="e">
        <f>+LEN(Table4[[#This Row],[New Item Code]])</f>
        <v>#N/A</v>
      </c>
      <c r="P801" s="15" t="s">
        <v>4747</v>
      </c>
      <c r="Q801" s="15" t="s">
        <v>4749</v>
      </c>
      <c r="R801" s="15"/>
      <c r="S801" s="15"/>
      <c r="T801" s="15" t="s">
        <v>4693</v>
      </c>
    </row>
    <row r="802" spans="1:20" x14ac:dyDescent="0.35">
      <c r="A802" s="2" t="s">
        <v>1607</v>
      </c>
      <c r="B802" s="2" t="s">
        <v>1608</v>
      </c>
      <c r="C802" s="2" t="s">
        <v>15</v>
      </c>
      <c r="D802" s="2">
        <v>200</v>
      </c>
      <c r="E802" s="2" t="s">
        <v>10</v>
      </c>
      <c r="F802" s="2">
        <v>7</v>
      </c>
      <c r="G802" s="22">
        <f>Table4[[#This Row],[Item Cost]]*Table4[[#This Row],[In Stock]]</f>
        <v>1400</v>
      </c>
      <c r="H802" s="12" t="s">
        <v>4661</v>
      </c>
      <c r="I802" s="13" t="s">
        <v>4666</v>
      </c>
      <c r="J802" s="13" t="s">
        <v>4693</v>
      </c>
      <c r="K802" s="13" t="s">
        <v>4672</v>
      </c>
      <c r="L802" s="12" t="s">
        <v>4672</v>
      </c>
      <c r="M802" s="17">
        <f>IF(LEN(COUNTIFS($H$1:H802,$H802,$I$1:I802,$I802,$J$1:J802,$J802,$K$1:K802,K802,$L$1:L802,L802))=1,"00"&amp;COUNTIFS($H$1:H802,$H802,$I$1:I802,$I802,$J$1:J802,$J802,$K$1:K802,K802,$L$1:L802,L802),IF(LEN(COUNTIFS($H$1:H802,$H802,$I$1:I802,$I802,$J$1:J802,$J802,$K$1:K802,K802,$L$1:L802,L802))=2,"0"&amp;COUNTIFS($H$1:H802,$H802,$I$1:I802,$I802,$J$1:J802,$J802,$K$1:K802,K802,$L$1:L802,L802),COUNTIFS($H$1:H802,$H802,$I$1:I802,$I802,$J$1:J802,$J802,$K$1:K802,K802,$L$1:L802,L802)))</f>
        <v>113</v>
      </c>
      <c r="N80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02" s="14" t="e">
        <f>+LEN(Table4[[#This Row],[New Item Code]])</f>
        <v>#N/A</v>
      </c>
      <c r="P802" s="15" t="s">
        <v>4747</v>
      </c>
      <c r="Q802" s="15" t="s">
        <v>4749</v>
      </c>
      <c r="R802" s="15"/>
      <c r="S802" s="15"/>
      <c r="T802" s="15" t="s">
        <v>4693</v>
      </c>
    </row>
    <row r="803" spans="1:20" x14ac:dyDescent="0.35">
      <c r="A803" s="3" t="s">
        <v>1609</v>
      </c>
      <c r="B803" s="3" t="s">
        <v>1610</v>
      </c>
      <c r="C803" s="3" t="s">
        <v>15</v>
      </c>
      <c r="D803" s="3">
        <v>150</v>
      </c>
      <c r="E803" s="3" t="s">
        <v>10</v>
      </c>
      <c r="F803" s="3">
        <v>1</v>
      </c>
      <c r="G803" s="21">
        <f>Table4[[#This Row],[Item Cost]]*Table4[[#This Row],[In Stock]]</f>
        <v>150</v>
      </c>
      <c r="H803" s="12" t="s">
        <v>4661</v>
      </c>
      <c r="I803" s="13" t="s">
        <v>4666</v>
      </c>
      <c r="J803" s="13" t="s">
        <v>4693</v>
      </c>
      <c r="K803" s="13" t="s">
        <v>4672</v>
      </c>
      <c r="L803" s="12" t="s">
        <v>4672</v>
      </c>
      <c r="M803" s="17">
        <f>IF(LEN(COUNTIFS($H$1:H803,$H803,$I$1:I803,$I803,$J$1:J803,$J803,$K$1:K803,K803,$L$1:L803,L803))=1,"00"&amp;COUNTIFS($H$1:H803,$H803,$I$1:I803,$I803,$J$1:J803,$J803,$K$1:K803,K803,$L$1:L803,L803),IF(LEN(COUNTIFS($H$1:H803,$H803,$I$1:I803,$I803,$J$1:J803,$J803,$K$1:K803,K803,$L$1:L803,L803))=2,"0"&amp;COUNTIFS($H$1:H803,$H803,$I$1:I803,$I803,$J$1:J803,$J803,$K$1:K803,K803,$L$1:L803,L803),COUNTIFS($H$1:H803,$H803,$I$1:I803,$I803,$J$1:J803,$J803,$K$1:K803,K803,$L$1:L803,L803)))</f>
        <v>114</v>
      </c>
      <c r="N80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03" s="14" t="e">
        <f>+LEN(Table4[[#This Row],[New Item Code]])</f>
        <v>#N/A</v>
      </c>
      <c r="P803" s="15" t="s">
        <v>4747</v>
      </c>
      <c r="Q803" s="15" t="s">
        <v>4749</v>
      </c>
      <c r="R803" s="15"/>
      <c r="S803" s="15"/>
      <c r="T803" s="15" t="s">
        <v>4693</v>
      </c>
    </row>
    <row r="804" spans="1:20" x14ac:dyDescent="0.35">
      <c r="A804" s="2" t="s">
        <v>1611</v>
      </c>
      <c r="B804" s="2" t="s">
        <v>1612</v>
      </c>
      <c r="C804" s="2" t="s">
        <v>15</v>
      </c>
      <c r="D804" s="2">
        <v>150</v>
      </c>
      <c r="E804" s="2" t="s">
        <v>10</v>
      </c>
      <c r="F804" s="2">
        <v>1</v>
      </c>
      <c r="G804" s="22">
        <f>Table4[[#This Row],[Item Cost]]*Table4[[#This Row],[In Stock]]</f>
        <v>150</v>
      </c>
      <c r="H804" s="12" t="s">
        <v>4661</v>
      </c>
      <c r="I804" s="13" t="s">
        <v>4666</v>
      </c>
      <c r="J804" s="13" t="s">
        <v>4693</v>
      </c>
      <c r="K804" s="13" t="s">
        <v>4672</v>
      </c>
      <c r="L804" s="12" t="s">
        <v>4672</v>
      </c>
      <c r="M804" s="17">
        <f>IF(LEN(COUNTIFS($H$1:H804,$H804,$I$1:I804,$I804,$J$1:J804,$J804,$K$1:K804,K804,$L$1:L804,L804))=1,"00"&amp;COUNTIFS($H$1:H804,$H804,$I$1:I804,$I804,$J$1:J804,$J804,$K$1:K804,K804,$L$1:L804,L804),IF(LEN(COUNTIFS($H$1:H804,$H804,$I$1:I804,$I804,$J$1:J804,$J804,$K$1:K804,K804,$L$1:L804,L804))=2,"0"&amp;COUNTIFS($H$1:H804,$H804,$I$1:I804,$I804,$J$1:J804,$J804,$K$1:K804,K804,$L$1:L804,L804),COUNTIFS($H$1:H804,$H804,$I$1:I804,$I804,$J$1:J804,$J804,$K$1:K804,K804,$L$1:L804,L804)))</f>
        <v>115</v>
      </c>
      <c r="N80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04" s="14" t="e">
        <f>+LEN(Table4[[#This Row],[New Item Code]])</f>
        <v>#N/A</v>
      </c>
      <c r="P804" s="15" t="s">
        <v>4747</v>
      </c>
      <c r="Q804" s="15" t="s">
        <v>4749</v>
      </c>
      <c r="R804" s="15"/>
      <c r="S804" s="15"/>
      <c r="T804" s="15" t="s">
        <v>4693</v>
      </c>
    </row>
    <row r="805" spans="1:20" x14ac:dyDescent="0.35">
      <c r="A805" s="3" t="s">
        <v>1613</v>
      </c>
      <c r="B805" s="3" t="s">
        <v>1614</v>
      </c>
      <c r="C805" s="3" t="s">
        <v>56</v>
      </c>
      <c r="D805" s="3">
        <v>30</v>
      </c>
      <c r="E805" s="3" t="s">
        <v>10</v>
      </c>
      <c r="F805" s="3">
        <v>1</v>
      </c>
      <c r="G805" s="21">
        <f>Table4[[#This Row],[Item Cost]]*Table4[[#This Row],[In Stock]]</f>
        <v>30</v>
      </c>
      <c r="H805" s="12" t="s">
        <v>4661</v>
      </c>
      <c r="I805" s="13" t="s">
        <v>4668</v>
      </c>
      <c r="J805" s="13" t="s">
        <v>4693</v>
      </c>
      <c r="K805" s="13" t="s">
        <v>4672</v>
      </c>
      <c r="L805" s="12" t="s">
        <v>4672</v>
      </c>
      <c r="M805" s="17" t="str">
        <f>IF(LEN(COUNTIFS($H$1:H805,$H805,$I$1:I805,$I805,$J$1:J805,$J805,$K$1:K805,K805,$L$1:L805,L805))=1,"00"&amp;COUNTIFS($H$1:H805,$H805,$I$1:I805,$I805,$J$1:J805,$J805,$K$1:K805,K805,$L$1:L805,L805),IF(LEN(COUNTIFS($H$1:H805,$H805,$I$1:I805,$I805,$J$1:J805,$J805,$K$1:K805,K805,$L$1:L805,L805))=2,"0"&amp;COUNTIFS($H$1:H805,$H805,$I$1:I805,$I805,$J$1:J805,$J805,$K$1:K805,K805,$L$1:L805,L805),COUNTIFS($H$1:H805,$H805,$I$1:I805,$I805,$J$1:J805,$J805,$K$1:K805,K805,$L$1:L805,L805)))</f>
        <v>057</v>
      </c>
      <c r="N80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05" s="14" t="e">
        <f>+LEN(Table4[[#This Row],[New Item Code]])</f>
        <v>#N/A</v>
      </c>
      <c r="P805" s="15" t="s">
        <v>4747</v>
      </c>
      <c r="Q805" s="15" t="s">
        <v>4749</v>
      </c>
      <c r="R805" s="15"/>
      <c r="S805" s="15"/>
      <c r="T805" s="15" t="s">
        <v>4693</v>
      </c>
    </row>
    <row r="806" spans="1:20" x14ac:dyDescent="0.35">
      <c r="A806" s="2" t="s">
        <v>1615</v>
      </c>
      <c r="B806" s="2" t="s">
        <v>1616</v>
      </c>
      <c r="C806" s="2" t="s">
        <v>56</v>
      </c>
      <c r="D806" s="2">
        <v>360</v>
      </c>
      <c r="E806" s="2" t="s">
        <v>10</v>
      </c>
      <c r="F806" s="2">
        <v>4</v>
      </c>
      <c r="G806" s="22">
        <f>Table4[[#This Row],[Item Cost]]*Table4[[#This Row],[In Stock]]</f>
        <v>1440</v>
      </c>
      <c r="H806" s="12" t="s">
        <v>4661</v>
      </c>
      <c r="I806" s="13" t="s">
        <v>4668</v>
      </c>
      <c r="J806" s="13" t="s">
        <v>4693</v>
      </c>
      <c r="K806" s="13" t="s">
        <v>4672</v>
      </c>
      <c r="L806" s="12" t="s">
        <v>4672</v>
      </c>
      <c r="M806" s="17" t="str">
        <f>IF(LEN(COUNTIFS($H$1:H806,$H806,$I$1:I806,$I806,$J$1:J806,$J806,$K$1:K806,K806,$L$1:L806,L806))=1,"00"&amp;COUNTIFS($H$1:H806,$H806,$I$1:I806,$I806,$J$1:J806,$J806,$K$1:K806,K806,$L$1:L806,L806),IF(LEN(COUNTIFS($H$1:H806,$H806,$I$1:I806,$I806,$J$1:J806,$J806,$K$1:K806,K806,$L$1:L806,L806))=2,"0"&amp;COUNTIFS($H$1:H806,$H806,$I$1:I806,$I806,$J$1:J806,$J806,$K$1:K806,K806,$L$1:L806,L806),COUNTIFS($H$1:H806,$H806,$I$1:I806,$I806,$J$1:J806,$J806,$K$1:K806,K806,$L$1:L806,L806)))</f>
        <v>058</v>
      </c>
      <c r="N80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06" s="14" t="e">
        <f>+LEN(Table4[[#This Row],[New Item Code]])</f>
        <v>#N/A</v>
      </c>
      <c r="P806" s="15" t="s">
        <v>4747</v>
      </c>
      <c r="Q806" s="15" t="s">
        <v>4749</v>
      </c>
      <c r="R806" s="15"/>
      <c r="S806" s="15"/>
      <c r="T806" s="15" t="s">
        <v>4693</v>
      </c>
    </row>
    <row r="807" spans="1:20" x14ac:dyDescent="0.35">
      <c r="A807" s="3" t="s">
        <v>1617</v>
      </c>
      <c r="B807" s="3" t="s">
        <v>1618</v>
      </c>
      <c r="C807" s="3" t="s">
        <v>15</v>
      </c>
      <c r="D807" s="3">
        <v>0</v>
      </c>
      <c r="E807" s="3" t="s">
        <v>57</v>
      </c>
      <c r="F807" s="3">
        <v>0</v>
      </c>
      <c r="G807" s="21">
        <f>Table4[[#This Row],[Item Cost]]*Table4[[#This Row],[In Stock]]</f>
        <v>0</v>
      </c>
      <c r="H807" s="12" t="s">
        <v>4661</v>
      </c>
      <c r="I807" s="13" t="s">
        <v>4666</v>
      </c>
      <c r="J807" s="13" t="s">
        <v>4693</v>
      </c>
      <c r="K807" s="13" t="s">
        <v>4672</v>
      </c>
      <c r="L807" s="12" t="s">
        <v>4672</v>
      </c>
      <c r="M807" s="17">
        <f>IF(LEN(COUNTIFS($H$1:H807,$H807,$I$1:I807,$I807,$J$1:J807,$J807,$K$1:K807,K807,$L$1:L807,L807))=1,"00"&amp;COUNTIFS($H$1:H807,$H807,$I$1:I807,$I807,$J$1:J807,$J807,$K$1:K807,K807,$L$1:L807,L807),IF(LEN(COUNTIFS($H$1:H807,$H807,$I$1:I807,$I807,$J$1:J807,$J807,$K$1:K807,K807,$L$1:L807,L807))=2,"0"&amp;COUNTIFS($H$1:H807,$H807,$I$1:I807,$I807,$J$1:J807,$J807,$K$1:K807,K807,$L$1:L807,L807),COUNTIFS($H$1:H807,$H807,$I$1:I807,$I807,$J$1:J807,$J807,$K$1:K807,K807,$L$1:L807,L807)))</f>
        <v>116</v>
      </c>
      <c r="N80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07" s="14" t="e">
        <f>+LEN(Table4[[#This Row],[New Item Code]])</f>
        <v>#N/A</v>
      </c>
      <c r="P807" s="15" t="s">
        <v>4747</v>
      </c>
      <c r="Q807" s="15" t="s">
        <v>4749</v>
      </c>
      <c r="R807" s="15"/>
      <c r="S807" s="15"/>
      <c r="T807" s="15" t="s">
        <v>4693</v>
      </c>
    </row>
    <row r="808" spans="1:20" x14ac:dyDescent="0.35">
      <c r="A808" s="2" t="s">
        <v>1619</v>
      </c>
      <c r="B808" s="2" t="s">
        <v>1620</v>
      </c>
      <c r="C808" s="2" t="s">
        <v>15</v>
      </c>
      <c r="D808" s="2">
        <v>0</v>
      </c>
      <c r="E808" s="2" t="s">
        <v>57</v>
      </c>
      <c r="F808" s="2">
        <v>0</v>
      </c>
      <c r="G808" s="22">
        <f>Table4[[#This Row],[Item Cost]]*Table4[[#This Row],[In Stock]]</f>
        <v>0</v>
      </c>
      <c r="H808" s="12" t="s">
        <v>4661</v>
      </c>
      <c r="I808" s="13" t="s">
        <v>4666</v>
      </c>
      <c r="J808" s="13" t="s">
        <v>4693</v>
      </c>
      <c r="K808" s="13" t="s">
        <v>4672</v>
      </c>
      <c r="L808" s="12" t="s">
        <v>4672</v>
      </c>
      <c r="M808" s="17">
        <f>IF(LEN(COUNTIFS($H$1:H808,$H808,$I$1:I808,$I808,$J$1:J808,$J808,$K$1:K808,K808,$L$1:L808,L808))=1,"00"&amp;COUNTIFS($H$1:H808,$H808,$I$1:I808,$I808,$J$1:J808,$J808,$K$1:K808,K808,$L$1:L808,L808),IF(LEN(COUNTIFS($H$1:H808,$H808,$I$1:I808,$I808,$J$1:J808,$J808,$K$1:K808,K808,$L$1:L808,L808))=2,"0"&amp;COUNTIFS($H$1:H808,$H808,$I$1:I808,$I808,$J$1:J808,$J808,$K$1:K808,K808,$L$1:L808,L808),COUNTIFS($H$1:H808,$H808,$I$1:I808,$I808,$J$1:J808,$J808,$K$1:K808,K808,$L$1:L808,L808)))</f>
        <v>117</v>
      </c>
      <c r="N80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08" s="14" t="e">
        <f>+LEN(Table4[[#This Row],[New Item Code]])</f>
        <v>#N/A</v>
      </c>
      <c r="P808" s="15" t="s">
        <v>4747</v>
      </c>
      <c r="Q808" s="15" t="s">
        <v>4749</v>
      </c>
      <c r="R808" s="15"/>
      <c r="S808" s="15"/>
      <c r="T808" s="15" t="s">
        <v>4693</v>
      </c>
    </row>
    <row r="809" spans="1:20" x14ac:dyDescent="0.35">
      <c r="A809" s="3" t="s">
        <v>1621</v>
      </c>
      <c r="B809" s="3" t="s">
        <v>1622</v>
      </c>
      <c r="C809" s="3" t="s">
        <v>15</v>
      </c>
      <c r="D809" s="3">
        <v>0</v>
      </c>
      <c r="E809" s="3" t="s">
        <v>57</v>
      </c>
      <c r="F809" s="3">
        <v>0</v>
      </c>
      <c r="G809" s="21">
        <f>Table4[[#This Row],[Item Cost]]*Table4[[#This Row],[In Stock]]</f>
        <v>0</v>
      </c>
      <c r="H809" s="12" t="s">
        <v>4661</v>
      </c>
      <c r="I809" s="13" t="s">
        <v>4666</v>
      </c>
      <c r="J809" s="13" t="s">
        <v>4693</v>
      </c>
      <c r="K809" s="13" t="s">
        <v>4672</v>
      </c>
      <c r="L809" s="12" t="s">
        <v>4672</v>
      </c>
      <c r="M809" s="17">
        <f>IF(LEN(COUNTIFS($H$1:H809,$H809,$I$1:I809,$I809,$J$1:J809,$J809,$K$1:K809,K809,$L$1:L809,L809))=1,"00"&amp;COUNTIFS($H$1:H809,$H809,$I$1:I809,$I809,$J$1:J809,$J809,$K$1:K809,K809,$L$1:L809,L809),IF(LEN(COUNTIFS($H$1:H809,$H809,$I$1:I809,$I809,$J$1:J809,$J809,$K$1:K809,K809,$L$1:L809,L809))=2,"0"&amp;COUNTIFS($H$1:H809,$H809,$I$1:I809,$I809,$J$1:J809,$J809,$K$1:K809,K809,$L$1:L809,L809),COUNTIFS($H$1:H809,$H809,$I$1:I809,$I809,$J$1:J809,$J809,$K$1:K809,K809,$L$1:L809,L809)))</f>
        <v>118</v>
      </c>
      <c r="N80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09" s="14" t="e">
        <f>+LEN(Table4[[#This Row],[New Item Code]])</f>
        <v>#N/A</v>
      </c>
      <c r="P809" s="15" t="s">
        <v>4747</v>
      </c>
      <c r="Q809" s="15" t="s">
        <v>4749</v>
      </c>
      <c r="R809" s="15"/>
      <c r="S809" s="15"/>
      <c r="T809" s="15" t="s">
        <v>4693</v>
      </c>
    </row>
    <row r="810" spans="1:20" x14ac:dyDescent="0.35">
      <c r="A810" s="2" t="s">
        <v>1623</v>
      </c>
      <c r="B810" s="2" t="s">
        <v>1624</v>
      </c>
      <c r="C810" s="2" t="s">
        <v>15</v>
      </c>
      <c r="D810" s="2">
        <v>225</v>
      </c>
      <c r="E810" s="2" t="s">
        <v>10</v>
      </c>
      <c r="F810" s="2">
        <v>0</v>
      </c>
      <c r="G810" s="22">
        <f>Table4[[#This Row],[Item Cost]]*Table4[[#This Row],[In Stock]]</f>
        <v>0</v>
      </c>
      <c r="H810" s="12" t="s">
        <v>4661</v>
      </c>
      <c r="I810" s="13" t="s">
        <v>4666</v>
      </c>
      <c r="J810" s="13" t="s">
        <v>4693</v>
      </c>
      <c r="K810" s="13" t="s">
        <v>4672</v>
      </c>
      <c r="L810" s="12" t="s">
        <v>4672</v>
      </c>
      <c r="M810" s="17">
        <f>IF(LEN(COUNTIFS($H$1:H810,$H810,$I$1:I810,$I810,$J$1:J810,$J810,$K$1:K810,K810,$L$1:L810,L810))=1,"00"&amp;COUNTIFS($H$1:H810,$H810,$I$1:I810,$I810,$J$1:J810,$J810,$K$1:K810,K810,$L$1:L810,L810),IF(LEN(COUNTIFS($H$1:H810,$H810,$I$1:I810,$I810,$J$1:J810,$J810,$K$1:K810,K810,$L$1:L810,L810))=2,"0"&amp;COUNTIFS($H$1:H810,$H810,$I$1:I810,$I810,$J$1:J810,$J810,$K$1:K810,K810,$L$1:L810,L810),COUNTIFS($H$1:H810,$H810,$I$1:I810,$I810,$J$1:J810,$J810,$K$1:K810,K810,$L$1:L810,L810)))</f>
        <v>119</v>
      </c>
      <c r="N81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10" s="14" t="e">
        <f>+LEN(Table4[[#This Row],[New Item Code]])</f>
        <v>#N/A</v>
      </c>
      <c r="P810" s="15" t="s">
        <v>4747</v>
      </c>
      <c r="Q810" s="15" t="s">
        <v>4749</v>
      </c>
      <c r="R810" s="15"/>
      <c r="S810" s="15"/>
      <c r="T810" s="15" t="s">
        <v>4693</v>
      </c>
    </row>
    <row r="811" spans="1:20" x14ac:dyDescent="0.35">
      <c r="A811" s="3" t="s">
        <v>1625</v>
      </c>
      <c r="B811" s="3" t="s">
        <v>1626</v>
      </c>
      <c r="C811" s="3" t="s">
        <v>56</v>
      </c>
      <c r="D811" s="3">
        <v>34</v>
      </c>
      <c r="E811" s="3" t="s">
        <v>10</v>
      </c>
      <c r="F811" s="3">
        <v>5</v>
      </c>
      <c r="G811" s="21">
        <f>Table4[[#This Row],[Item Cost]]*Table4[[#This Row],[In Stock]]</f>
        <v>170</v>
      </c>
      <c r="H811" s="12" t="s">
        <v>4661</v>
      </c>
      <c r="I811" s="13" t="s">
        <v>4668</v>
      </c>
      <c r="J811" s="13" t="s">
        <v>4693</v>
      </c>
      <c r="K811" s="13" t="s">
        <v>4672</v>
      </c>
      <c r="L811" s="12" t="s">
        <v>4672</v>
      </c>
      <c r="M811" s="17" t="str">
        <f>IF(LEN(COUNTIFS($H$1:H811,$H811,$I$1:I811,$I811,$J$1:J811,$J811,$K$1:K811,K811,$L$1:L811,L811))=1,"00"&amp;COUNTIFS($H$1:H811,$H811,$I$1:I811,$I811,$J$1:J811,$J811,$K$1:K811,K811,$L$1:L811,L811),IF(LEN(COUNTIFS($H$1:H811,$H811,$I$1:I811,$I811,$J$1:J811,$J811,$K$1:K811,K811,$L$1:L811,L811))=2,"0"&amp;COUNTIFS($H$1:H811,$H811,$I$1:I811,$I811,$J$1:J811,$J811,$K$1:K811,K811,$L$1:L811,L811),COUNTIFS($H$1:H811,$H811,$I$1:I811,$I811,$J$1:J811,$J811,$K$1:K811,K811,$L$1:L811,L811)))</f>
        <v>059</v>
      </c>
      <c r="N81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11" s="14" t="e">
        <f>+LEN(Table4[[#This Row],[New Item Code]])</f>
        <v>#N/A</v>
      </c>
      <c r="P811" s="15" t="s">
        <v>4747</v>
      </c>
      <c r="Q811" s="15" t="s">
        <v>4749</v>
      </c>
      <c r="R811" s="15"/>
      <c r="S811" s="15"/>
      <c r="T811" s="15" t="s">
        <v>4693</v>
      </c>
    </row>
    <row r="812" spans="1:20" x14ac:dyDescent="0.35">
      <c r="A812" s="2" t="s">
        <v>1627</v>
      </c>
      <c r="B812" s="2" t="s">
        <v>1628</v>
      </c>
      <c r="C812" s="2" t="s">
        <v>56</v>
      </c>
      <c r="D812" s="2">
        <v>7</v>
      </c>
      <c r="E812" s="2" t="s">
        <v>10</v>
      </c>
      <c r="F812" s="2">
        <v>20</v>
      </c>
      <c r="G812" s="22">
        <f>Table4[[#This Row],[Item Cost]]*Table4[[#This Row],[In Stock]]</f>
        <v>140</v>
      </c>
      <c r="H812" s="12" t="s">
        <v>4661</v>
      </c>
      <c r="I812" s="13" t="s">
        <v>4668</v>
      </c>
      <c r="J812" s="13" t="s">
        <v>4693</v>
      </c>
      <c r="K812" s="13" t="s">
        <v>4672</v>
      </c>
      <c r="L812" s="12" t="s">
        <v>4672</v>
      </c>
      <c r="M812" s="17" t="str">
        <f>IF(LEN(COUNTIFS($H$1:H812,$H812,$I$1:I812,$I812,$J$1:J812,$J812,$K$1:K812,K812,$L$1:L812,L812))=1,"00"&amp;COUNTIFS($H$1:H812,$H812,$I$1:I812,$I812,$J$1:J812,$J812,$K$1:K812,K812,$L$1:L812,L812),IF(LEN(COUNTIFS($H$1:H812,$H812,$I$1:I812,$I812,$J$1:J812,$J812,$K$1:K812,K812,$L$1:L812,L812))=2,"0"&amp;COUNTIFS($H$1:H812,$H812,$I$1:I812,$I812,$J$1:J812,$J812,$K$1:K812,K812,$L$1:L812,L812),COUNTIFS($H$1:H812,$H812,$I$1:I812,$I812,$J$1:J812,$J812,$K$1:K812,K812,$L$1:L812,L812)))</f>
        <v>060</v>
      </c>
      <c r="N81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12" s="14" t="e">
        <f>+LEN(Table4[[#This Row],[New Item Code]])</f>
        <v>#N/A</v>
      </c>
      <c r="P812" s="15" t="s">
        <v>4747</v>
      </c>
      <c r="Q812" s="15" t="s">
        <v>4749</v>
      </c>
      <c r="R812" s="15"/>
      <c r="S812" s="15"/>
      <c r="T812" s="15" t="s">
        <v>4693</v>
      </c>
    </row>
    <row r="813" spans="1:20" x14ac:dyDescent="0.35">
      <c r="A813" s="3" t="s">
        <v>1629</v>
      </c>
      <c r="B813" s="3" t="s">
        <v>1630</v>
      </c>
      <c r="C813" s="3" t="s">
        <v>15</v>
      </c>
      <c r="D813" s="3">
        <v>0</v>
      </c>
      <c r="E813" s="3" t="s">
        <v>57</v>
      </c>
      <c r="F813" s="3">
        <v>0</v>
      </c>
      <c r="G813" s="21">
        <f>Table4[[#This Row],[Item Cost]]*Table4[[#This Row],[In Stock]]</f>
        <v>0</v>
      </c>
      <c r="H813" s="12" t="s">
        <v>4661</v>
      </c>
      <c r="I813" s="13" t="s">
        <v>4666</v>
      </c>
      <c r="J813" s="13" t="s">
        <v>4693</v>
      </c>
      <c r="K813" s="13" t="s">
        <v>4672</v>
      </c>
      <c r="L813" s="12" t="s">
        <v>4672</v>
      </c>
      <c r="M813" s="17">
        <f>IF(LEN(COUNTIFS($H$1:H813,$H813,$I$1:I813,$I813,$J$1:J813,$J813,$K$1:K813,K813,$L$1:L813,L813))=1,"00"&amp;COUNTIFS($H$1:H813,$H813,$I$1:I813,$I813,$J$1:J813,$J813,$K$1:K813,K813,$L$1:L813,L813),IF(LEN(COUNTIFS($H$1:H813,$H813,$I$1:I813,$I813,$J$1:J813,$J813,$K$1:K813,K813,$L$1:L813,L813))=2,"0"&amp;COUNTIFS($H$1:H813,$H813,$I$1:I813,$I813,$J$1:J813,$J813,$K$1:K813,K813,$L$1:L813,L813),COUNTIFS($H$1:H813,$H813,$I$1:I813,$I813,$J$1:J813,$J813,$K$1:K813,K813,$L$1:L813,L813)))</f>
        <v>120</v>
      </c>
      <c r="N81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13" s="14" t="e">
        <f>+LEN(Table4[[#This Row],[New Item Code]])</f>
        <v>#N/A</v>
      </c>
      <c r="P813" s="15" t="s">
        <v>4747</v>
      </c>
      <c r="Q813" s="15" t="s">
        <v>4749</v>
      </c>
      <c r="R813" s="15"/>
      <c r="S813" s="15"/>
      <c r="T813" s="15" t="s">
        <v>4693</v>
      </c>
    </row>
    <row r="814" spans="1:20" x14ac:dyDescent="0.35">
      <c r="A814" s="2" t="s">
        <v>1631</v>
      </c>
      <c r="B814" s="2" t="s">
        <v>1632</v>
      </c>
      <c r="C814" s="2" t="s">
        <v>15</v>
      </c>
      <c r="D814" s="2">
        <v>0</v>
      </c>
      <c r="E814" s="2" t="s">
        <v>57</v>
      </c>
      <c r="F814" s="2">
        <v>0</v>
      </c>
      <c r="G814" s="22">
        <f>Table4[[#This Row],[Item Cost]]*Table4[[#This Row],[In Stock]]</f>
        <v>0</v>
      </c>
      <c r="H814" s="12" t="s">
        <v>4661</v>
      </c>
      <c r="I814" s="13" t="s">
        <v>4666</v>
      </c>
      <c r="J814" s="13" t="s">
        <v>4693</v>
      </c>
      <c r="K814" s="13" t="s">
        <v>4672</v>
      </c>
      <c r="L814" s="12" t="s">
        <v>4672</v>
      </c>
      <c r="M814" s="17">
        <f>IF(LEN(COUNTIFS($H$1:H814,$H814,$I$1:I814,$I814,$J$1:J814,$J814,$K$1:K814,K814,$L$1:L814,L814))=1,"00"&amp;COUNTIFS($H$1:H814,$H814,$I$1:I814,$I814,$J$1:J814,$J814,$K$1:K814,K814,$L$1:L814,L814),IF(LEN(COUNTIFS($H$1:H814,$H814,$I$1:I814,$I814,$J$1:J814,$J814,$K$1:K814,K814,$L$1:L814,L814))=2,"0"&amp;COUNTIFS($H$1:H814,$H814,$I$1:I814,$I814,$J$1:J814,$J814,$K$1:K814,K814,$L$1:L814,L814),COUNTIFS($H$1:H814,$H814,$I$1:I814,$I814,$J$1:J814,$J814,$K$1:K814,K814,$L$1:L814,L814)))</f>
        <v>121</v>
      </c>
      <c r="N81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14" s="14" t="e">
        <f>+LEN(Table4[[#This Row],[New Item Code]])</f>
        <v>#N/A</v>
      </c>
      <c r="P814" s="15" t="s">
        <v>4747</v>
      </c>
      <c r="Q814" s="15" t="s">
        <v>4749</v>
      </c>
      <c r="R814" s="15"/>
      <c r="S814" s="15"/>
      <c r="T814" s="15" t="s">
        <v>4693</v>
      </c>
    </row>
    <row r="815" spans="1:20" x14ac:dyDescent="0.35">
      <c r="A815" s="3" t="s">
        <v>1633</v>
      </c>
      <c r="B815" s="3" t="s">
        <v>1634</v>
      </c>
      <c r="C815" s="3" t="s">
        <v>56</v>
      </c>
      <c r="D815" s="3">
        <v>16.327000000000002</v>
      </c>
      <c r="E815" s="3" t="s">
        <v>10</v>
      </c>
      <c r="F815" s="3">
        <v>109</v>
      </c>
      <c r="G815" s="21">
        <f>Table4[[#This Row],[Item Cost]]*Table4[[#This Row],[In Stock]]</f>
        <v>1779.6430000000003</v>
      </c>
      <c r="H815" s="12" t="s">
        <v>4661</v>
      </c>
      <c r="I815" s="13" t="s">
        <v>4668</v>
      </c>
      <c r="J815" s="13" t="s">
        <v>4693</v>
      </c>
      <c r="K815" t="s">
        <v>4794</v>
      </c>
      <c r="L815" s="12" t="s">
        <v>4672</v>
      </c>
      <c r="M815" s="17" t="str">
        <f>IF(LEN(COUNTIFS($H$1:H815,$H815,$I$1:I815,$I815,$J$1:J815,$J815,$K$1:K815,K815,$L$1:L815,L815))=1,"00"&amp;COUNTIFS($H$1:H815,$H815,$I$1:I815,$I815,$J$1:J815,$J815,$K$1:K815,K815,$L$1:L815,L815),IF(LEN(COUNTIFS($H$1:H815,$H815,$I$1:I815,$I815,$J$1:J815,$J815,$K$1:K815,K815,$L$1:L815,L815))=2,"0"&amp;COUNTIFS($H$1:H815,$H815,$I$1:I815,$I815,$J$1:J815,$J815,$K$1:K815,K815,$L$1:L815,L815),COUNTIFS($H$1:H815,$H815,$I$1:I815,$I815,$J$1:J815,$J815,$K$1:K815,K815,$L$1:L815,L815)))</f>
        <v>001</v>
      </c>
      <c r="N81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15" s="14" t="e">
        <f>+LEN(Table4[[#This Row],[New Item Code]])</f>
        <v>#N/A</v>
      </c>
      <c r="P815" s="15" t="s">
        <v>4747</v>
      </c>
      <c r="Q815" s="15" t="s">
        <v>4749</v>
      </c>
      <c r="R815" s="15"/>
      <c r="S815" s="15"/>
      <c r="T815" s="15" t="s">
        <v>4693</v>
      </c>
    </row>
    <row r="816" spans="1:20" x14ac:dyDescent="0.35">
      <c r="A816" s="2" t="s">
        <v>1635</v>
      </c>
      <c r="B816" s="2" t="s">
        <v>1636</v>
      </c>
      <c r="C816" s="2" t="s">
        <v>56</v>
      </c>
      <c r="D816" s="2">
        <v>40</v>
      </c>
      <c r="E816" s="2" t="s">
        <v>10</v>
      </c>
      <c r="F816" s="2">
        <v>10</v>
      </c>
      <c r="G816" s="22">
        <f>Table4[[#This Row],[Item Cost]]*Table4[[#This Row],[In Stock]]</f>
        <v>400</v>
      </c>
      <c r="H816" s="12" t="s">
        <v>4661</v>
      </c>
      <c r="I816" s="13" t="s">
        <v>4668</v>
      </c>
      <c r="J816" s="13" t="s">
        <v>4693</v>
      </c>
      <c r="K816" s="13" t="s">
        <v>4672</v>
      </c>
      <c r="L816" s="12" t="s">
        <v>4672</v>
      </c>
      <c r="M816" s="17" t="str">
        <f>IF(LEN(COUNTIFS($H$1:H816,$H816,$I$1:I816,$I816,$J$1:J816,$J816,$K$1:K816,K816,$L$1:L816,L816))=1,"00"&amp;COUNTIFS($H$1:H816,$H816,$I$1:I816,$I816,$J$1:J816,$J816,$K$1:K816,K816,$L$1:L816,L816),IF(LEN(COUNTIFS($H$1:H816,$H816,$I$1:I816,$I816,$J$1:J816,$J816,$K$1:K816,K816,$L$1:L816,L816))=2,"0"&amp;COUNTIFS($H$1:H816,$H816,$I$1:I816,$I816,$J$1:J816,$J816,$K$1:K816,K816,$L$1:L816,L816),COUNTIFS($H$1:H816,$H816,$I$1:I816,$I816,$J$1:J816,$J816,$K$1:K816,K816,$L$1:L816,L816)))</f>
        <v>061</v>
      </c>
      <c r="N81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16" s="14" t="e">
        <f>+LEN(Table4[[#This Row],[New Item Code]])</f>
        <v>#N/A</v>
      </c>
      <c r="P816" s="15" t="s">
        <v>4747</v>
      </c>
      <c r="Q816" s="15" t="s">
        <v>4749</v>
      </c>
      <c r="R816" s="15"/>
      <c r="S816" s="15"/>
      <c r="T816" s="15" t="s">
        <v>4693</v>
      </c>
    </row>
    <row r="817" spans="1:20" x14ac:dyDescent="0.35">
      <c r="A817" s="3" t="s">
        <v>1637</v>
      </c>
      <c r="B817" s="3" t="s">
        <v>1638</v>
      </c>
      <c r="C817" s="3" t="s">
        <v>56</v>
      </c>
      <c r="D817" s="3">
        <v>0</v>
      </c>
      <c r="E817" s="3" t="s">
        <v>57</v>
      </c>
      <c r="F817" s="3">
        <v>0</v>
      </c>
      <c r="G817" s="21">
        <f>Table4[[#This Row],[Item Cost]]*Table4[[#This Row],[In Stock]]</f>
        <v>0</v>
      </c>
      <c r="H817" s="12" t="s">
        <v>4661</v>
      </c>
      <c r="I817" s="13" t="s">
        <v>4668</v>
      </c>
      <c r="J817" s="13" t="s">
        <v>4693</v>
      </c>
      <c r="K817" s="13" t="s">
        <v>4672</v>
      </c>
      <c r="L817" s="12" t="s">
        <v>4672</v>
      </c>
      <c r="M817" s="17" t="str">
        <f>IF(LEN(COUNTIFS($H$1:H817,$H817,$I$1:I817,$I817,$J$1:J817,$J817,$K$1:K817,K817,$L$1:L817,L817))=1,"00"&amp;COUNTIFS($H$1:H817,$H817,$I$1:I817,$I817,$J$1:J817,$J817,$K$1:K817,K817,$L$1:L817,L817),IF(LEN(COUNTIFS($H$1:H817,$H817,$I$1:I817,$I817,$J$1:J817,$J817,$K$1:K817,K817,$L$1:L817,L817))=2,"0"&amp;COUNTIFS($H$1:H817,$H817,$I$1:I817,$I817,$J$1:J817,$J817,$K$1:K817,K817,$L$1:L817,L817),COUNTIFS($H$1:H817,$H817,$I$1:I817,$I817,$J$1:J817,$J817,$K$1:K817,K817,$L$1:L817,L817)))</f>
        <v>062</v>
      </c>
      <c r="N81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17" s="14" t="e">
        <f>+LEN(Table4[[#This Row],[New Item Code]])</f>
        <v>#N/A</v>
      </c>
      <c r="P817" s="15" t="s">
        <v>4747</v>
      </c>
      <c r="Q817" s="15" t="s">
        <v>4749</v>
      </c>
      <c r="R817" s="15"/>
      <c r="S817" s="15"/>
      <c r="T817" s="15" t="s">
        <v>4693</v>
      </c>
    </row>
    <row r="818" spans="1:20" x14ac:dyDescent="0.35">
      <c r="A818" s="2" t="s">
        <v>1639</v>
      </c>
      <c r="B818" s="2" t="s">
        <v>1640</v>
      </c>
      <c r="C818" s="2" t="s">
        <v>56</v>
      </c>
      <c r="D818" s="2">
        <v>0</v>
      </c>
      <c r="E818" s="2" t="s">
        <v>57</v>
      </c>
      <c r="F818" s="2">
        <v>0</v>
      </c>
      <c r="G818" s="22">
        <f>Table4[[#This Row],[Item Cost]]*Table4[[#This Row],[In Stock]]</f>
        <v>0</v>
      </c>
      <c r="H818" s="12" t="s">
        <v>4661</v>
      </c>
      <c r="I818" s="13" t="s">
        <v>4668</v>
      </c>
      <c r="J818" s="13" t="s">
        <v>4693</v>
      </c>
      <c r="K818" s="13" t="s">
        <v>4672</v>
      </c>
      <c r="L818" s="12" t="s">
        <v>4672</v>
      </c>
      <c r="M818" s="17" t="str">
        <f>IF(LEN(COUNTIFS($H$1:H818,$H818,$I$1:I818,$I818,$J$1:J818,$J818,$K$1:K818,K818,$L$1:L818,L818))=1,"00"&amp;COUNTIFS($H$1:H818,$H818,$I$1:I818,$I818,$J$1:J818,$J818,$K$1:K818,K818,$L$1:L818,L818),IF(LEN(COUNTIFS($H$1:H818,$H818,$I$1:I818,$I818,$J$1:J818,$J818,$K$1:K818,K818,$L$1:L818,L818))=2,"0"&amp;COUNTIFS($H$1:H818,$H818,$I$1:I818,$I818,$J$1:J818,$J818,$K$1:K818,K818,$L$1:L818,L818),COUNTIFS($H$1:H818,$H818,$I$1:I818,$I818,$J$1:J818,$J818,$K$1:K818,K818,$L$1:L818,L818)))</f>
        <v>063</v>
      </c>
      <c r="N81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18" s="14" t="e">
        <f>+LEN(Table4[[#This Row],[New Item Code]])</f>
        <v>#N/A</v>
      </c>
      <c r="P818" s="15" t="s">
        <v>4747</v>
      </c>
      <c r="Q818" s="15" t="s">
        <v>4749</v>
      </c>
      <c r="R818" s="15"/>
      <c r="S818" s="15"/>
      <c r="T818" s="15" t="s">
        <v>4693</v>
      </c>
    </row>
    <row r="819" spans="1:20" x14ac:dyDescent="0.35">
      <c r="A819" s="3" t="s">
        <v>1641</v>
      </c>
      <c r="B819" s="3" t="s">
        <v>1642</v>
      </c>
      <c r="C819" s="3" t="s">
        <v>56</v>
      </c>
      <c r="D819" s="3">
        <v>0</v>
      </c>
      <c r="E819" s="3" t="s">
        <v>57</v>
      </c>
      <c r="F819" s="3">
        <v>0</v>
      </c>
      <c r="G819" s="21">
        <f>Table4[[#This Row],[Item Cost]]*Table4[[#This Row],[In Stock]]</f>
        <v>0</v>
      </c>
      <c r="H819" s="12" t="s">
        <v>4661</v>
      </c>
      <c r="I819" s="13" t="s">
        <v>4668</v>
      </c>
      <c r="J819" s="13" t="s">
        <v>4693</v>
      </c>
      <c r="K819" s="13" t="s">
        <v>4672</v>
      </c>
      <c r="L819" s="12" t="s">
        <v>4672</v>
      </c>
      <c r="M819" s="17" t="str">
        <f>IF(LEN(COUNTIFS($H$1:H819,$H819,$I$1:I819,$I819,$J$1:J819,$J819,$K$1:K819,K819,$L$1:L819,L819))=1,"00"&amp;COUNTIFS($H$1:H819,$H819,$I$1:I819,$I819,$J$1:J819,$J819,$K$1:K819,K819,$L$1:L819,L819),IF(LEN(COUNTIFS($H$1:H819,$H819,$I$1:I819,$I819,$J$1:J819,$J819,$K$1:K819,K819,$L$1:L819,L819))=2,"0"&amp;COUNTIFS($H$1:H819,$H819,$I$1:I819,$I819,$J$1:J819,$J819,$K$1:K819,K819,$L$1:L819,L819),COUNTIFS($H$1:H819,$H819,$I$1:I819,$I819,$J$1:J819,$J819,$K$1:K819,K819,$L$1:L819,L819)))</f>
        <v>064</v>
      </c>
      <c r="N81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19" s="14" t="e">
        <f>+LEN(Table4[[#This Row],[New Item Code]])</f>
        <v>#N/A</v>
      </c>
      <c r="P819" s="15" t="s">
        <v>4747</v>
      </c>
      <c r="Q819" s="15" t="s">
        <v>4749</v>
      </c>
      <c r="R819" s="15"/>
      <c r="S819" s="15"/>
      <c r="T819" s="15" t="s">
        <v>4693</v>
      </c>
    </row>
    <row r="820" spans="1:20" x14ac:dyDescent="0.35">
      <c r="A820" s="2" t="s">
        <v>1643</v>
      </c>
      <c r="B820" s="2" t="s">
        <v>1644</v>
      </c>
      <c r="C820" s="2" t="s">
        <v>15</v>
      </c>
      <c r="D820" s="2">
        <v>310</v>
      </c>
      <c r="E820" s="2" t="s">
        <v>10</v>
      </c>
      <c r="F820" s="2">
        <v>3</v>
      </c>
      <c r="G820" s="22">
        <f>Table4[[#This Row],[Item Cost]]*Table4[[#This Row],[In Stock]]</f>
        <v>930</v>
      </c>
      <c r="H820" s="12" t="s">
        <v>4661</v>
      </c>
      <c r="I820" s="13" t="s">
        <v>4666</v>
      </c>
      <c r="J820" s="13" t="s">
        <v>4693</v>
      </c>
      <c r="K820" s="13" t="s">
        <v>4672</v>
      </c>
      <c r="L820" s="12" t="s">
        <v>4672</v>
      </c>
      <c r="M820" s="17">
        <f>IF(LEN(COUNTIFS($H$1:H820,$H820,$I$1:I820,$I820,$J$1:J820,$J820,$K$1:K820,K820,$L$1:L820,L820))=1,"00"&amp;COUNTIFS($H$1:H820,$H820,$I$1:I820,$I820,$J$1:J820,$J820,$K$1:K820,K820,$L$1:L820,L820),IF(LEN(COUNTIFS($H$1:H820,$H820,$I$1:I820,$I820,$J$1:J820,$J820,$K$1:K820,K820,$L$1:L820,L820))=2,"0"&amp;COUNTIFS($H$1:H820,$H820,$I$1:I820,$I820,$J$1:J820,$J820,$K$1:K820,K820,$L$1:L820,L820),COUNTIFS($H$1:H820,$H820,$I$1:I820,$I820,$J$1:J820,$J820,$K$1:K820,K820,$L$1:L820,L820)))</f>
        <v>122</v>
      </c>
      <c r="N82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20" s="14" t="e">
        <f>+LEN(Table4[[#This Row],[New Item Code]])</f>
        <v>#N/A</v>
      </c>
      <c r="P820" s="15" t="s">
        <v>4747</v>
      </c>
      <c r="Q820" s="15" t="s">
        <v>4749</v>
      </c>
      <c r="R820" s="15"/>
      <c r="S820" s="15"/>
      <c r="T820" s="15" t="s">
        <v>4693</v>
      </c>
    </row>
    <row r="821" spans="1:20" x14ac:dyDescent="0.35">
      <c r="A821" s="3" t="s">
        <v>1645</v>
      </c>
      <c r="B821" s="3" t="s">
        <v>1646</v>
      </c>
      <c r="C821" s="3" t="s">
        <v>56</v>
      </c>
      <c r="D821" s="3">
        <v>0</v>
      </c>
      <c r="E821" s="3" t="s">
        <v>10</v>
      </c>
      <c r="F821" s="3">
        <v>0</v>
      </c>
      <c r="G821" s="21">
        <f>Table4[[#This Row],[Item Cost]]*Table4[[#This Row],[In Stock]]</f>
        <v>0</v>
      </c>
      <c r="H821" s="12" t="s">
        <v>4661</v>
      </c>
      <c r="I821" s="13" t="s">
        <v>4668</v>
      </c>
      <c r="J821" s="13" t="s">
        <v>4693</v>
      </c>
      <c r="K821" s="13" t="s">
        <v>4672</v>
      </c>
      <c r="L821" s="12" t="s">
        <v>4672</v>
      </c>
      <c r="M821" s="17" t="str">
        <f>IF(LEN(COUNTIFS($H$1:H821,$H821,$I$1:I821,$I821,$J$1:J821,$J821,$K$1:K821,K821,$L$1:L821,L821))=1,"00"&amp;COUNTIFS($H$1:H821,$H821,$I$1:I821,$I821,$J$1:J821,$J821,$K$1:K821,K821,$L$1:L821,L821),IF(LEN(COUNTIFS($H$1:H821,$H821,$I$1:I821,$I821,$J$1:J821,$J821,$K$1:K821,K821,$L$1:L821,L821))=2,"0"&amp;COUNTIFS($H$1:H821,$H821,$I$1:I821,$I821,$J$1:J821,$J821,$K$1:K821,K821,$L$1:L821,L821),COUNTIFS($H$1:H821,$H821,$I$1:I821,$I821,$J$1:J821,$J821,$K$1:K821,K821,$L$1:L821,L821)))</f>
        <v>065</v>
      </c>
      <c r="N82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21" s="14" t="e">
        <f>+LEN(Table4[[#This Row],[New Item Code]])</f>
        <v>#N/A</v>
      </c>
      <c r="P821" s="15" t="s">
        <v>4747</v>
      </c>
      <c r="Q821" s="15" t="s">
        <v>4749</v>
      </c>
      <c r="R821" s="15"/>
      <c r="S821" s="15"/>
      <c r="T821" s="15" t="s">
        <v>4693</v>
      </c>
    </row>
    <row r="822" spans="1:20" x14ac:dyDescent="0.35">
      <c r="A822" s="2" t="s">
        <v>1647</v>
      </c>
      <c r="B822" s="2" t="s">
        <v>1648</v>
      </c>
      <c r="C822" s="2" t="s">
        <v>56</v>
      </c>
      <c r="D822" s="2">
        <v>195</v>
      </c>
      <c r="E822" s="2" t="s">
        <v>10</v>
      </c>
      <c r="F822" s="2">
        <v>1</v>
      </c>
      <c r="G822" s="22">
        <f>Table4[[#This Row],[Item Cost]]*Table4[[#This Row],[In Stock]]</f>
        <v>195</v>
      </c>
      <c r="H822" s="12" t="s">
        <v>4661</v>
      </c>
      <c r="I822" s="13" t="s">
        <v>4668</v>
      </c>
      <c r="J822" s="13" t="s">
        <v>4693</v>
      </c>
      <c r="K822" s="13" t="s">
        <v>4672</v>
      </c>
      <c r="L822" s="12" t="s">
        <v>4672</v>
      </c>
      <c r="M822" s="17" t="str">
        <f>IF(LEN(COUNTIFS($H$1:H822,$H822,$I$1:I822,$I822,$J$1:J822,$J822,$K$1:K822,K822,$L$1:L822,L822))=1,"00"&amp;COUNTIFS($H$1:H822,$H822,$I$1:I822,$I822,$J$1:J822,$J822,$K$1:K822,K822,$L$1:L822,L822),IF(LEN(COUNTIFS($H$1:H822,$H822,$I$1:I822,$I822,$J$1:J822,$J822,$K$1:K822,K822,$L$1:L822,L822))=2,"0"&amp;COUNTIFS($H$1:H822,$H822,$I$1:I822,$I822,$J$1:J822,$J822,$K$1:K822,K822,$L$1:L822,L822),COUNTIFS($H$1:H822,$H822,$I$1:I822,$I822,$J$1:J822,$J822,$K$1:K822,K822,$L$1:L822,L822)))</f>
        <v>066</v>
      </c>
      <c r="N82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22" s="14" t="e">
        <f>+LEN(Table4[[#This Row],[New Item Code]])</f>
        <v>#N/A</v>
      </c>
      <c r="P822" s="15" t="s">
        <v>4747</v>
      </c>
      <c r="Q822" s="15" t="s">
        <v>4749</v>
      </c>
      <c r="R822" s="15"/>
      <c r="S822" s="15"/>
      <c r="T822" s="15" t="s">
        <v>4693</v>
      </c>
    </row>
    <row r="823" spans="1:20" x14ac:dyDescent="0.35">
      <c r="A823" s="3" t="s">
        <v>1649</v>
      </c>
      <c r="B823" s="3" t="s">
        <v>1650</v>
      </c>
      <c r="C823" s="3" t="s">
        <v>56</v>
      </c>
      <c r="D823" s="3">
        <v>1.65</v>
      </c>
      <c r="E823" s="3" t="s">
        <v>10</v>
      </c>
      <c r="F823" s="3">
        <v>300</v>
      </c>
      <c r="G823" s="21">
        <f>Table4[[#This Row],[Item Cost]]*Table4[[#This Row],[In Stock]]</f>
        <v>495</v>
      </c>
      <c r="H823" s="12" t="s">
        <v>4661</v>
      </c>
      <c r="I823" s="13" t="s">
        <v>4668</v>
      </c>
      <c r="J823" s="13" t="s">
        <v>4693</v>
      </c>
      <c r="K823" s="13" t="s">
        <v>4672</v>
      </c>
      <c r="L823" s="12" t="s">
        <v>4672</v>
      </c>
      <c r="M823" s="17" t="str">
        <f>IF(LEN(COUNTIFS($H$1:H823,$H823,$I$1:I823,$I823,$J$1:J823,$J823,$K$1:K823,K823,$L$1:L823,L823))=1,"00"&amp;COUNTIFS($H$1:H823,$H823,$I$1:I823,$I823,$J$1:J823,$J823,$K$1:K823,K823,$L$1:L823,L823),IF(LEN(COUNTIFS($H$1:H823,$H823,$I$1:I823,$I823,$J$1:J823,$J823,$K$1:K823,K823,$L$1:L823,L823))=2,"0"&amp;COUNTIFS($H$1:H823,$H823,$I$1:I823,$I823,$J$1:J823,$J823,$K$1:K823,K823,$L$1:L823,L823),COUNTIFS($H$1:H823,$H823,$I$1:I823,$I823,$J$1:J823,$J823,$K$1:K823,K823,$L$1:L823,L823)))</f>
        <v>067</v>
      </c>
      <c r="N82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23" s="14" t="e">
        <f>+LEN(Table4[[#This Row],[New Item Code]])</f>
        <v>#N/A</v>
      </c>
      <c r="P823" s="15" t="s">
        <v>4747</v>
      </c>
      <c r="Q823" s="15" t="s">
        <v>4749</v>
      </c>
      <c r="R823" s="15"/>
      <c r="S823" s="15"/>
      <c r="T823" s="15" t="s">
        <v>4693</v>
      </c>
    </row>
    <row r="824" spans="1:20" x14ac:dyDescent="0.35">
      <c r="A824" s="2" t="s">
        <v>1651</v>
      </c>
      <c r="B824" s="2" t="s">
        <v>1652</v>
      </c>
      <c r="C824" s="2" t="s">
        <v>15</v>
      </c>
      <c r="D824" s="2">
        <v>58</v>
      </c>
      <c r="E824" s="2" t="s">
        <v>10</v>
      </c>
      <c r="F824" s="2">
        <v>10</v>
      </c>
      <c r="G824" s="22">
        <f>Table4[[#This Row],[Item Cost]]*Table4[[#This Row],[In Stock]]</f>
        <v>580</v>
      </c>
      <c r="H824" s="12" t="s">
        <v>4661</v>
      </c>
      <c r="I824" s="13" t="s">
        <v>4666</v>
      </c>
      <c r="J824" s="13" t="s">
        <v>4693</v>
      </c>
      <c r="K824" s="13" t="s">
        <v>4672</v>
      </c>
      <c r="L824" s="12" t="s">
        <v>4672</v>
      </c>
      <c r="M824" s="17">
        <f>IF(LEN(COUNTIFS($H$1:H824,$H824,$I$1:I824,$I824,$J$1:J824,$J824,$K$1:K824,K824,$L$1:L824,L824))=1,"00"&amp;COUNTIFS($H$1:H824,$H824,$I$1:I824,$I824,$J$1:J824,$J824,$K$1:K824,K824,$L$1:L824,L824),IF(LEN(COUNTIFS($H$1:H824,$H824,$I$1:I824,$I824,$J$1:J824,$J824,$K$1:K824,K824,$L$1:L824,L824))=2,"0"&amp;COUNTIFS($H$1:H824,$H824,$I$1:I824,$I824,$J$1:J824,$J824,$K$1:K824,K824,$L$1:L824,L824),COUNTIFS($H$1:H824,$H824,$I$1:I824,$I824,$J$1:J824,$J824,$K$1:K824,K824,$L$1:L824,L824)))</f>
        <v>123</v>
      </c>
      <c r="N82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24" s="14" t="e">
        <f>+LEN(Table4[[#This Row],[New Item Code]])</f>
        <v>#N/A</v>
      </c>
      <c r="P824" s="15" t="s">
        <v>4747</v>
      </c>
      <c r="Q824" s="15" t="s">
        <v>4749</v>
      </c>
      <c r="R824" s="15"/>
      <c r="S824" s="15"/>
      <c r="T824" s="15" t="s">
        <v>4693</v>
      </c>
    </row>
    <row r="825" spans="1:20" x14ac:dyDescent="0.35">
      <c r="A825" s="3" t="s">
        <v>1653</v>
      </c>
      <c r="B825" s="3" t="s">
        <v>1654</v>
      </c>
      <c r="C825" s="3" t="s">
        <v>15</v>
      </c>
      <c r="D825" s="3">
        <v>58</v>
      </c>
      <c r="E825" s="3" t="s">
        <v>10</v>
      </c>
      <c r="F825" s="3">
        <v>10</v>
      </c>
      <c r="G825" s="21">
        <f>Table4[[#This Row],[Item Cost]]*Table4[[#This Row],[In Stock]]</f>
        <v>580</v>
      </c>
      <c r="H825" s="12" t="s">
        <v>4661</v>
      </c>
      <c r="I825" s="13" t="s">
        <v>4666</v>
      </c>
      <c r="J825" s="13" t="s">
        <v>4693</v>
      </c>
      <c r="K825" s="13" t="s">
        <v>4672</v>
      </c>
      <c r="L825" s="12" t="s">
        <v>4672</v>
      </c>
      <c r="M825" s="17">
        <f>IF(LEN(COUNTIFS($H$1:H825,$H825,$I$1:I825,$I825,$J$1:J825,$J825,$K$1:K825,K825,$L$1:L825,L825))=1,"00"&amp;COUNTIFS($H$1:H825,$H825,$I$1:I825,$I825,$J$1:J825,$J825,$K$1:K825,K825,$L$1:L825,L825),IF(LEN(COUNTIFS($H$1:H825,$H825,$I$1:I825,$I825,$J$1:J825,$J825,$K$1:K825,K825,$L$1:L825,L825))=2,"0"&amp;COUNTIFS($H$1:H825,$H825,$I$1:I825,$I825,$J$1:J825,$J825,$K$1:K825,K825,$L$1:L825,L825),COUNTIFS($H$1:H825,$H825,$I$1:I825,$I825,$J$1:J825,$J825,$K$1:K825,K825,$L$1:L825,L825)))</f>
        <v>124</v>
      </c>
      <c r="N82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25" s="14" t="e">
        <f>+LEN(Table4[[#This Row],[New Item Code]])</f>
        <v>#N/A</v>
      </c>
      <c r="P825" s="15" t="s">
        <v>4747</v>
      </c>
      <c r="Q825" s="15" t="s">
        <v>4749</v>
      </c>
      <c r="R825" s="15"/>
      <c r="S825" s="15"/>
      <c r="T825" s="15" t="s">
        <v>4693</v>
      </c>
    </row>
    <row r="826" spans="1:20" x14ac:dyDescent="0.35">
      <c r="A826" s="2" t="s">
        <v>1655</v>
      </c>
      <c r="B826" s="2" t="s">
        <v>1656</v>
      </c>
      <c r="C826" s="2" t="s">
        <v>56</v>
      </c>
      <c r="D826" s="2">
        <v>2.5</v>
      </c>
      <c r="E826" s="2" t="s">
        <v>10</v>
      </c>
      <c r="F826" s="2">
        <v>94</v>
      </c>
      <c r="G826" s="22">
        <f>Table4[[#This Row],[Item Cost]]*Table4[[#This Row],[In Stock]]</f>
        <v>235</v>
      </c>
      <c r="H826" s="12" t="s">
        <v>4661</v>
      </c>
      <c r="I826" s="13" t="s">
        <v>4668</v>
      </c>
      <c r="J826" s="13" t="s">
        <v>4693</v>
      </c>
      <c r="K826" s="13" t="s">
        <v>4672</v>
      </c>
      <c r="L826" s="12" t="s">
        <v>4672</v>
      </c>
      <c r="M826" s="17" t="str">
        <f>IF(LEN(COUNTIFS($H$1:H826,$H826,$I$1:I826,$I826,$J$1:J826,$J826,$K$1:K826,K826,$L$1:L826,L826))=1,"00"&amp;COUNTIFS($H$1:H826,$H826,$I$1:I826,$I826,$J$1:J826,$J826,$K$1:K826,K826,$L$1:L826,L826),IF(LEN(COUNTIFS($H$1:H826,$H826,$I$1:I826,$I826,$J$1:J826,$J826,$K$1:K826,K826,$L$1:L826,L826))=2,"0"&amp;COUNTIFS($H$1:H826,$H826,$I$1:I826,$I826,$J$1:J826,$J826,$K$1:K826,K826,$L$1:L826,L826),COUNTIFS($H$1:H826,$H826,$I$1:I826,$I826,$J$1:J826,$J826,$K$1:K826,K826,$L$1:L826,L826)))</f>
        <v>068</v>
      </c>
      <c r="N82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26" s="14" t="e">
        <f>+LEN(Table4[[#This Row],[New Item Code]])</f>
        <v>#N/A</v>
      </c>
      <c r="P826" s="15" t="s">
        <v>4747</v>
      </c>
      <c r="Q826" s="15" t="s">
        <v>4749</v>
      </c>
      <c r="R826" s="15"/>
      <c r="S826" s="15"/>
      <c r="T826" s="15" t="s">
        <v>4693</v>
      </c>
    </row>
    <row r="827" spans="1:20" x14ac:dyDescent="0.35">
      <c r="A827" s="3" t="s">
        <v>1657</v>
      </c>
      <c r="B827" s="3" t="s">
        <v>1658</v>
      </c>
      <c r="C827" s="3" t="s">
        <v>15</v>
      </c>
      <c r="D827" s="3">
        <v>0</v>
      </c>
      <c r="E827" s="3" t="s">
        <v>10</v>
      </c>
      <c r="F827" s="3">
        <v>0</v>
      </c>
      <c r="G827" s="21">
        <f>Table4[[#This Row],[Item Cost]]*Table4[[#This Row],[In Stock]]</f>
        <v>0</v>
      </c>
      <c r="H827" s="12" t="s">
        <v>4661</v>
      </c>
      <c r="I827" s="13" t="s">
        <v>4666</v>
      </c>
      <c r="J827" s="13" t="s">
        <v>4693</v>
      </c>
      <c r="K827" s="13" t="s">
        <v>4672</v>
      </c>
      <c r="L827" s="12" t="s">
        <v>4672</v>
      </c>
      <c r="M827" s="17">
        <f>IF(LEN(COUNTIFS($H$1:H827,$H827,$I$1:I827,$I827,$J$1:J827,$J827,$K$1:K827,K827,$L$1:L827,L827))=1,"00"&amp;COUNTIFS($H$1:H827,$H827,$I$1:I827,$I827,$J$1:J827,$J827,$K$1:K827,K827,$L$1:L827,L827),IF(LEN(COUNTIFS($H$1:H827,$H827,$I$1:I827,$I827,$J$1:J827,$J827,$K$1:K827,K827,$L$1:L827,L827))=2,"0"&amp;COUNTIFS($H$1:H827,$H827,$I$1:I827,$I827,$J$1:J827,$J827,$K$1:K827,K827,$L$1:L827,L827),COUNTIFS($H$1:H827,$H827,$I$1:I827,$I827,$J$1:J827,$J827,$K$1:K827,K827,$L$1:L827,L827)))</f>
        <v>125</v>
      </c>
      <c r="N82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27" s="14" t="e">
        <f>+LEN(Table4[[#This Row],[New Item Code]])</f>
        <v>#N/A</v>
      </c>
      <c r="P827" s="15" t="s">
        <v>4747</v>
      </c>
      <c r="Q827" s="15" t="s">
        <v>4749</v>
      </c>
      <c r="R827" s="15"/>
      <c r="S827" s="15"/>
      <c r="T827" s="15" t="s">
        <v>4693</v>
      </c>
    </row>
    <row r="828" spans="1:20" x14ac:dyDescent="0.35">
      <c r="A828" s="2" t="s">
        <v>1659</v>
      </c>
      <c r="B828" s="2" t="s">
        <v>1660</v>
      </c>
      <c r="C828" s="2" t="s">
        <v>56</v>
      </c>
      <c r="D828" s="2">
        <v>0</v>
      </c>
      <c r="E828" s="2" t="s">
        <v>57</v>
      </c>
      <c r="F828" s="2">
        <v>0</v>
      </c>
      <c r="G828" s="22">
        <f>Table4[[#This Row],[Item Cost]]*Table4[[#This Row],[In Stock]]</f>
        <v>0</v>
      </c>
      <c r="H828" s="12" t="s">
        <v>4661</v>
      </c>
      <c r="I828" s="13" t="s">
        <v>4668</v>
      </c>
      <c r="J828" s="13" t="s">
        <v>4693</v>
      </c>
      <c r="K828" s="13" t="s">
        <v>4672</v>
      </c>
      <c r="L828" s="12" t="s">
        <v>4672</v>
      </c>
      <c r="M828" s="17" t="str">
        <f>IF(LEN(COUNTIFS($H$1:H828,$H828,$I$1:I828,$I828,$J$1:J828,$J828,$K$1:K828,K828,$L$1:L828,L828))=1,"00"&amp;COUNTIFS($H$1:H828,$H828,$I$1:I828,$I828,$J$1:J828,$J828,$K$1:K828,K828,$L$1:L828,L828),IF(LEN(COUNTIFS($H$1:H828,$H828,$I$1:I828,$I828,$J$1:J828,$J828,$K$1:K828,K828,$L$1:L828,L828))=2,"0"&amp;COUNTIFS($H$1:H828,$H828,$I$1:I828,$I828,$J$1:J828,$J828,$K$1:K828,K828,$L$1:L828,L828),COUNTIFS($H$1:H828,$H828,$I$1:I828,$I828,$J$1:J828,$J828,$K$1:K828,K828,$L$1:L828,L828)))</f>
        <v>069</v>
      </c>
      <c r="N82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28" s="14" t="e">
        <f>+LEN(Table4[[#This Row],[New Item Code]])</f>
        <v>#N/A</v>
      </c>
      <c r="P828" s="15" t="s">
        <v>4747</v>
      </c>
      <c r="Q828" s="15" t="s">
        <v>4749</v>
      </c>
      <c r="R828" s="15"/>
      <c r="S828" s="15"/>
      <c r="T828" s="15" t="s">
        <v>4693</v>
      </c>
    </row>
    <row r="829" spans="1:20" x14ac:dyDescent="0.35">
      <c r="A829" s="3" t="s">
        <v>1661</v>
      </c>
      <c r="B829" s="3" t="s">
        <v>1662</v>
      </c>
      <c r="C829" s="3" t="s">
        <v>56</v>
      </c>
      <c r="D829" s="3">
        <v>0</v>
      </c>
      <c r="E829" s="3" t="s">
        <v>57</v>
      </c>
      <c r="F829" s="3">
        <v>0</v>
      </c>
      <c r="G829" s="21">
        <f>Table4[[#This Row],[Item Cost]]*Table4[[#This Row],[In Stock]]</f>
        <v>0</v>
      </c>
      <c r="H829" s="12" t="s">
        <v>4661</v>
      </c>
      <c r="I829" s="13" t="s">
        <v>4668</v>
      </c>
      <c r="J829" s="13" t="s">
        <v>4693</v>
      </c>
      <c r="K829" s="13" t="s">
        <v>4672</v>
      </c>
      <c r="L829" s="12" t="s">
        <v>4672</v>
      </c>
      <c r="M829" s="17" t="str">
        <f>IF(LEN(COUNTIFS($H$1:H829,$H829,$I$1:I829,$I829,$J$1:J829,$J829,$K$1:K829,K829,$L$1:L829,L829))=1,"00"&amp;COUNTIFS($H$1:H829,$H829,$I$1:I829,$I829,$J$1:J829,$J829,$K$1:K829,K829,$L$1:L829,L829),IF(LEN(COUNTIFS($H$1:H829,$H829,$I$1:I829,$I829,$J$1:J829,$J829,$K$1:K829,K829,$L$1:L829,L829))=2,"0"&amp;COUNTIFS($H$1:H829,$H829,$I$1:I829,$I829,$J$1:J829,$J829,$K$1:K829,K829,$L$1:L829,L829),COUNTIFS($H$1:H829,$H829,$I$1:I829,$I829,$J$1:J829,$J829,$K$1:K829,K829,$L$1:L829,L829)))</f>
        <v>070</v>
      </c>
      <c r="N82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29" s="14" t="e">
        <f>+LEN(Table4[[#This Row],[New Item Code]])</f>
        <v>#N/A</v>
      </c>
      <c r="P829" s="15" t="s">
        <v>4747</v>
      </c>
      <c r="Q829" s="15" t="s">
        <v>4749</v>
      </c>
      <c r="R829" s="15"/>
      <c r="S829" s="15"/>
      <c r="T829" s="15" t="s">
        <v>4693</v>
      </c>
    </row>
    <row r="830" spans="1:20" x14ac:dyDescent="0.35">
      <c r="A830" s="2" t="s">
        <v>1663</v>
      </c>
      <c r="B830" s="2" t="s">
        <v>1664</v>
      </c>
      <c r="C830" s="2" t="s">
        <v>56</v>
      </c>
      <c r="D830" s="2">
        <v>0</v>
      </c>
      <c r="E830" s="2" t="s">
        <v>57</v>
      </c>
      <c r="F830" s="2">
        <v>0</v>
      </c>
      <c r="G830" s="22">
        <f>Table4[[#This Row],[Item Cost]]*Table4[[#This Row],[In Stock]]</f>
        <v>0</v>
      </c>
      <c r="H830" s="12" t="s">
        <v>4661</v>
      </c>
      <c r="I830" s="13" t="s">
        <v>4668</v>
      </c>
      <c r="J830" s="13" t="s">
        <v>4693</v>
      </c>
      <c r="K830" s="13" t="s">
        <v>4672</v>
      </c>
      <c r="L830" s="12" t="s">
        <v>4672</v>
      </c>
      <c r="M830" s="17" t="str">
        <f>IF(LEN(COUNTIFS($H$1:H830,$H830,$I$1:I830,$I830,$J$1:J830,$J830,$K$1:K830,K830,$L$1:L830,L830))=1,"00"&amp;COUNTIFS($H$1:H830,$H830,$I$1:I830,$I830,$J$1:J830,$J830,$K$1:K830,K830,$L$1:L830,L830),IF(LEN(COUNTIFS($H$1:H830,$H830,$I$1:I830,$I830,$J$1:J830,$J830,$K$1:K830,K830,$L$1:L830,L830))=2,"0"&amp;COUNTIFS($H$1:H830,$H830,$I$1:I830,$I830,$J$1:J830,$J830,$K$1:K830,K830,$L$1:L830,L830),COUNTIFS($H$1:H830,$H830,$I$1:I830,$I830,$J$1:J830,$J830,$K$1:K830,K830,$L$1:L830,L830)))</f>
        <v>071</v>
      </c>
      <c r="N83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30" s="14" t="e">
        <f>+LEN(Table4[[#This Row],[New Item Code]])</f>
        <v>#N/A</v>
      </c>
      <c r="P830" s="15" t="s">
        <v>4747</v>
      </c>
      <c r="Q830" s="15" t="s">
        <v>4749</v>
      </c>
      <c r="R830" s="15"/>
      <c r="S830" s="15"/>
      <c r="T830" s="15" t="s">
        <v>4693</v>
      </c>
    </row>
    <row r="831" spans="1:20" x14ac:dyDescent="0.35">
      <c r="A831" s="3" t="s">
        <v>1665</v>
      </c>
      <c r="B831" s="3" t="s">
        <v>1666</v>
      </c>
      <c r="C831" s="3" t="s">
        <v>56</v>
      </c>
      <c r="D831" s="3">
        <v>0</v>
      </c>
      <c r="E831" s="3" t="s">
        <v>57</v>
      </c>
      <c r="F831" s="3">
        <v>0</v>
      </c>
      <c r="G831" s="21">
        <f>Table4[[#This Row],[Item Cost]]*Table4[[#This Row],[In Stock]]</f>
        <v>0</v>
      </c>
      <c r="H831" s="12" t="s">
        <v>4661</v>
      </c>
      <c r="I831" s="13" t="s">
        <v>4668</v>
      </c>
      <c r="J831" s="13" t="s">
        <v>4693</v>
      </c>
      <c r="K831" s="13" t="s">
        <v>4672</v>
      </c>
      <c r="L831" s="12" t="s">
        <v>4672</v>
      </c>
      <c r="M831" s="17" t="str">
        <f>IF(LEN(COUNTIFS($H$1:H831,$H831,$I$1:I831,$I831,$J$1:J831,$J831,$K$1:K831,K831,$L$1:L831,L831))=1,"00"&amp;COUNTIFS($H$1:H831,$H831,$I$1:I831,$I831,$J$1:J831,$J831,$K$1:K831,K831,$L$1:L831,L831),IF(LEN(COUNTIFS($H$1:H831,$H831,$I$1:I831,$I831,$J$1:J831,$J831,$K$1:K831,K831,$L$1:L831,L831))=2,"0"&amp;COUNTIFS($H$1:H831,$H831,$I$1:I831,$I831,$J$1:J831,$J831,$K$1:K831,K831,$L$1:L831,L831),COUNTIFS($H$1:H831,$H831,$I$1:I831,$I831,$J$1:J831,$J831,$K$1:K831,K831,$L$1:L831,L831)))</f>
        <v>072</v>
      </c>
      <c r="N83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31" s="14" t="e">
        <f>+LEN(Table4[[#This Row],[New Item Code]])</f>
        <v>#N/A</v>
      </c>
      <c r="P831" s="15" t="s">
        <v>4747</v>
      </c>
      <c r="Q831" s="15" t="s">
        <v>4749</v>
      </c>
      <c r="R831" s="15"/>
      <c r="S831" s="15"/>
      <c r="T831" s="15" t="s">
        <v>4693</v>
      </c>
    </row>
    <row r="832" spans="1:20" x14ac:dyDescent="0.35">
      <c r="A832" s="2" t="s">
        <v>1667</v>
      </c>
      <c r="B832" s="2" t="s">
        <v>1668</v>
      </c>
      <c r="C832" s="2" t="s">
        <v>56</v>
      </c>
      <c r="D832" s="2">
        <v>0</v>
      </c>
      <c r="E832" s="2" t="s">
        <v>57</v>
      </c>
      <c r="F832" s="2">
        <v>0</v>
      </c>
      <c r="G832" s="22">
        <f>Table4[[#This Row],[Item Cost]]*Table4[[#This Row],[In Stock]]</f>
        <v>0</v>
      </c>
      <c r="H832" s="12" t="s">
        <v>4661</v>
      </c>
      <c r="I832" s="13" t="s">
        <v>4668</v>
      </c>
      <c r="J832" s="13" t="s">
        <v>4693</v>
      </c>
      <c r="K832" s="13" t="s">
        <v>4672</v>
      </c>
      <c r="L832" s="12" t="s">
        <v>4672</v>
      </c>
      <c r="M832" s="17" t="str">
        <f>IF(LEN(COUNTIFS($H$1:H832,$H832,$I$1:I832,$I832,$J$1:J832,$J832,$K$1:K832,K832,$L$1:L832,L832))=1,"00"&amp;COUNTIFS($H$1:H832,$H832,$I$1:I832,$I832,$J$1:J832,$J832,$K$1:K832,K832,$L$1:L832,L832),IF(LEN(COUNTIFS($H$1:H832,$H832,$I$1:I832,$I832,$J$1:J832,$J832,$K$1:K832,K832,$L$1:L832,L832))=2,"0"&amp;COUNTIFS($H$1:H832,$H832,$I$1:I832,$I832,$J$1:J832,$J832,$K$1:K832,K832,$L$1:L832,L832),COUNTIFS($H$1:H832,$H832,$I$1:I832,$I832,$J$1:J832,$J832,$K$1:K832,K832,$L$1:L832,L832)))</f>
        <v>073</v>
      </c>
      <c r="N83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32" s="14" t="e">
        <f>+LEN(Table4[[#This Row],[New Item Code]])</f>
        <v>#N/A</v>
      </c>
      <c r="P832" s="15" t="s">
        <v>4747</v>
      </c>
      <c r="Q832" s="15" t="s">
        <v>4749</v>
      </c>
      <c r="R832" s="15"/>
      <c r="S832" s="15"/>
      <c r="T832" s="15" t="s">
        <v>4693</v>
      </c>
    </row>
    <row r="833" spans="1:20" x14ac:dyDescent="0.35">
      <c r="A833" s="3" t="s">
        <v>1669</v>
      </c>
      <c r="B833" s="3" t="s">
        <v>1670</v>
      </c>
      <c r="C833" s="3" t="s">
        <v>56</v>
      </c>
      <c r="D833" s="3">
        <v>0</v>
      </c>
      <c r="E833" s="3" t="s">
        <v>57</v>
      </c>
      <c r="F833" s="3">
        <v>0</v>
      </c>
      <c r="G833" s="21">
        <f>Table4[[#This Row],[Item Cost]]*Table4[[#This Row],[In Stock]]</f>
        <v>0</v>
      </c>
      <c r="H833" s="12" t="s">
        <v>4661</v>
      </c>
      <c r="I833" s="13" t="s">
        <v>4668</v>
      </c>
      <c r="J833" s="13" t="s">
        <v>4693</v>
      </c>
      <c r="K833" s="13" t="s">
        <v>4672</v>
      </c>
      <c r="L833" s="12" t="s">
        <v>4672</v>
      </c>
      <c r="M833" s="17" t="str">
        <f>IF(LEN(COUNTIFS($H$1:H833,$H833,$I$1:I833,$I833,$J$1:J833,$J833,$K$1:K833,K833,$L$1:L833,L833))=1,"00"&amp;COUNTIFS($H$1:H833,$H833,$I$1:I833,$I833,$J$1:J833,$J833,$K$1:K833,K833,$L$1:L833,L833),IF(LEN(COUNTIFS($H$1:H833,$H833,$I$1:I833,$I833,$J$1:J833,$J833,$K$1:K833,K833,$L$1:L833,L833))=2,"0"&amp;COUNTIFS($H$1:H833,$H833,$I$1:I833,$I833,$J$1:J833,$J833,$K$1:K833,K833,$L$1:L833,L833),COUNTIFS($H$1:H833,$H833,$I$1:I833,$I833,$J$1:J833,$J833,$K$1:K833,K833,$L$1:L833,L833)))</f>
        <v>074</v>
      </c>
      <c r="N83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33" s="14" t="e">
        <f>+LEN(Table4[[#This Row],[New Item Code]])</f>
        <v>#N/A</v>
      </c>
      <c r="P833" s="15" t="s">
        <v>4747</v>
      </c>
      <c r="Q833" s="15" t="s">
        <v>4749</v>
      </c>
      <c r="R833" s="15"/>
      <c r="S833" s="15"/>
      <c r="T833" s="15" t="s">
        <v>4693</v>
      </c>
    </row>
    <row r="834" spans="1:20" x14ac:dyDescent="0.35">
      <c r="A834" s="2" t="s">
        <v>1671</v>
      </c>
      <c r="B834" s="2" t="s">
        <v>1672</v>
      </c>
      <c r="C834" s="2" t="s">
        <v>56</v>
      </c>
      <c r="D834" s="2">
        <v>0</v>
      </c>
      <c r="E834" s="2" t="s">
        <v>57</v>
      </c>
      <c r="F834" s="2">
        <v>0</v>
      </c>
      <c r="G834" s="22">
        <f>Table4[[#This Row],[Item Cost]]*Table4[[#This Row],[In Stock]]</f>
        <v>0</v>
      </c>
      <c r="H834" s="12" t="s">
        <v>4661</v>
      </c>
      <c r="I834" s="13" t="s">
        <v>4668</v>
      </c>
      <c r="J834" s="13" t="s">
        <v>4693</v>
      </c>
      <c r="K834" s="13" t="s">
        <v>4672</v>
      </c>
      <c r="L834" s="12" t="s">
        <v>4672</v>
      </c>
      <c r="M834" s="17" t="str">
        <f>IF(LEN(COUNTIFS($H$1:H834,$H834,$I$1:I834,$I834,$J$1:J834,$J834,$K$1:K834,K834,$L$1:L834,L834))=1,"00"&amp;COUNTIFS($H$1:H834,$H834,$I$1:I834,$I834,$J$1:J834,$J834,$K$1:K834,K834,$L$1:L834,L834),IF(LEN(COUNTIFS($H$1:H834,$H834,$I$1:I834,$I834,$J$1:J834,$J834,$K$1:K834,K834,$L$1:L834,L834))=2,"0"&amp;COUNTIFS($H$1:H834,$H834,$I$1:I834,$I834,$J$1:J834,$J834,$K$1:K834,K834,$L$1:L834,L834),COUNTIFS($H$1:H834,$H834,$I$1:I834,$I834,$J$1:J834,$J834,$K$1:K834,K834,$L$1:L834,L834)))</f>
        <v>075</v>
      </c>
      <c r="N83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34" s="14" t="e">
        <f>+LEN(Table4[[#This Row],[New Item Code]])</f>
        <v>#N/A</v>
      </c>
      <c r="P834" s="15" t="s">
        <v>4747</v>
      </c>
      <c r="Q834" s="15" t="s">
        <v>4749</v>
      </c>
      <c r="R834" s="15"/>
      <c r="S834" s="15"/>
      <c r="T834" s="15" t="s">
        <v>4693</v>
      </c>
    </row>
    <row r="835" spans="1:20" x14ac:dyDescent="0.35">
      <c r="A835" s="3" t="s">
        <v>1673</v>
      </c>
      <c r="B835" s="3" t="s">
        <v>1674</v>
      </c>
      <c r="C835" s="3" t="s">
        <v>56</v>
      </c>
      <c r="D835" s="3">
        <v>0</v>
      </c>
      <c r="E835" s="3" t="s">
        <v>57</v>
      </c>
      <c r="F835" s="3">
        <v>0</v>
      </c>
      <c r="G835" s="21">
        <f>Table4[[#This Row],[Item Cost]]*Table4[[#This Row],[In Stock]]</f>
        <v>0</v>
      </c>
      <c r="H835" s="12" t="s">
        <v>4661</v>
      </c>
      <c r="I835" s="13" t="s">
        <v>4668</v>
      </c>
      <c r="J835" s="13" t="s">
        <v>4693</v>
      </c>
      <c r="K835" s="13" t="s">
        <v>4672</v>
      </c>
      <c r="L835" s="12" t="s">
        <v>4672</v>
      </c>
      <c r="M835" s="17" t="str">
        <f>IF(LEN(COUNTIFS($H$1:H835,$H835,$I$1:I835,$I835,$J$1:J835,$J835,$K$1:K835,K835,$L$1:L835,L835))=1,"00"&amp;COUNTIFS($H$1:H835,$H835,$I$1:I835,$I835,$J$1:J835,$J835,$K$1:K835,K835,$L$1:L835,L835),IF(LEN(COUNTIFS($H$1:H835,$H835,$I$1:I835,$I835,$J$1:J835,$J835,$K$1:K835,K835,$L$1:L835,L835))=2,"0"&amp;COUNTIFS($H$1:H835,$H835,$I$1:I835,$I835,$J$1:J835,$J835,$K$1:K835,K835,$L$1:L835,L835),COUNTIFS($H$1:H835,$H835,$I$1:I835,$I835,$J$1:J835,$J835,$K$1:K835,K835,$L$1:L835,L835)))</f>
        <v>076</v>
      </c>
      <c r="N83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35" s="14" t="e">
        <f>+LEN(Table4[[#This Row],[New Item Code]])</f>
        <v>#N/A</v>
      </c>
      <c r="P835" s="15" t="s">
        <v>4747</v>
      </c>
      <c r="Q835" s="15" t="s">
        <v>4749</v>
      </c>
      <c r="R835" s="15"/>
      <c r="S835" s="15"/>
      <c r="T835" s="15" t="s">
        <v>4693</v>
      </c>
    </row>
    <row r="836" spans="1:20" x14ac:dyDescent="0.35">
      <c r="A836" s="2" t="s">
        <v>1675</v>
      </c>
      <c r="B836" s="2" t="s">
        <v>1676</v>
      </c>
      <c r="C836" s="2" t="s">
        <v>15</v>
      </c>
      <c r="D836" s="2">
        <v>0</v>
      </c>
      <c r="E836" s="2" t="s">
        <v>10</v>
      </c>
      <c r="F836" s="2">
        <v>0</v>
      </c>
      <c r="G836" s="22">
        <f>Table4[[#This Row],[Item Cost]]*Table4[[#This Row],[In Stock]]</f>
        <v>0</v>
      </c>
      <c r="H836" s="12" t="s">
        <v>4661</v>
      </c>
      <c r="I836" s="13" t="s">
        <v>4666</v>
      </c>
      <c r="J836" s="13" t="s">
        <v>4693</v>
      </c>
      <c r="K836" s="13" t="s">
        <v>4672</v>
      </c>
      <c r="L836" s="12" t="s">
        <v>4672</v>
      </c>
      <c r="M836" s="17">
        <f>IF(LEN(COUNTIFS($H$1:H836,$H836,$I$1:I836,$I836,$J$1:J836,$J836,$K$1:K836,K836,$L$1:L836,L836))=1,"00"&amp;COUNTIFS($H$1:H836,$H836,$I$1:I836,$I836,$J$1:J836,$J836,$K$1:K836,K836,$L$1:L836,L836),IF(LEN(COUNTIFS($H$1:H836,$H836,$I$1:I836,$I836,$J$1:J836,$J836,$K$1:K836,K836,$L$1:L836,L836))=2,"0"&amp;COUNTIFS($H$1:H836,$H836,$I$1:I836,$I836,$J$1:J836,$J836,$K$1:K836,K836,$L$1:L836,L836),COUNTIFS($H$1:H836,$H836,$I$1:I836,$I836,$J$1:J836,$J836,$K$1:K836,K836,$L$1:L836,L836)))</f>
        <v>126</v>
      </c>
      <c r="N83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36" s="14" t="e">
        <f>+LEN(Table4[[#This Row],[New Item Code]])</f>
        <v>#N/A</v>
      </c>
      <c r="P836" s="15" t="s">
        <v>4747</v>
      </c>
      <c r="Q836" s="15" t="s">
        <v>4749</v>
      </c>
      <c r="R836" s="15"/>
      <c r="S836" s="15"/>
      <c r="T836" s="15" t="s">
        <v>4693</v>
      </c>
    </row>
    <row r="837" spans="1:20" x14ac:dyDescent="0.35">
      <c r="A837" s="3" t="s">
        <v>1677</v>
      </c>
      <c r="B837" s="3" t="s">
        <v>1678</v>
      </c>
      <c r="C837" s="3" t="s">
        <v>9</v>
      </c>
      <c r="D837" s="3">
        <v>365</v>
      </c>
      <c r="E837" s="3" t="s">
        <v>10</v>
      </c>
      <c r="F837" s="3">
        <v>5</v>
      </c>
      <c r="G837" s="21">
        <f>Table4[[#This Row],[Item Cost]]*Table4[[#This Row],[In Stock]]</f>
        <v>1825</v>
      </c>
      <c r="H837" s="12" t="s">
        <v>4661</v>
      </c>
      <c r="I837" s="13" t="s">
        <v>4664</v>
      </c>
      <c r="J837" s="13" t="s">
        <v>4693</v>
      </c>
      <c r="K837" s="13" t="s">
        <v>4672</v>
      </c>
      <c r="L837" s="12" t="s">
        <v>4672</v>
      </c>
      <c r="M837" s="17" t="str">
        <f>IF(LEN(COUNTIFS($H$1:H837,$H837,$I$1:I837,$I837,$J$1:J837,$J837,$K$1:K837,K837,$L$1:L837,L837))=1,"00"&amp;COUNTIFS($H$1:H837,$H837,$I$1:I837,$I837,$J$1:J837,$J837,$K$1:K837,K837,$L$1:L837,L837),IF(LEN(COUNTIFS($H$1:H837,$H837,$I$1:I837,$I837,$J$1:J837,$J837,$K$1:K837,K837,$L$1:L837,L837))=2,"0"&amp;COUNTIFS($H$1:H837,$H837,$I$1:I837,$I837,$J$1:J837,$J837,$K$1:K837,K837,$L$1:L837,L837),COUNTIFS($H$1:H837,$H837,$I$1:I837,$I837,$J$1:J837,$J837,$K$1:K837,K837,$L$1:L837,L837)))</f>
        <v>001</v>
      </c>
      <c r="N83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37" s="14" t="e">
        <f>+LEN(Table4[[#This Row],[New Item Code]])</f>
        <v>#N/A</v>
      </c>
      <c r="P837" s="15" t="s">
        <v>4747</v>
      </c>
      <c r="Q837" s="15" t="s">
        <v>4749</v>
      </c>
      <c r="R837" s="15"/>
      <c r="S837" s="15"/>
      <c r="T837" s="15" t="s">
        <v>4693</v>
      </c>
    </row>
    <row r="838" spans="1:20" x14ac:dyDescent="0.35">
      <c r="A838" s="2" t="s">
        <v>1679</v>
      </c>
      <c r="B838" s="2" t="s">
        <v>1680</v>
      </c>
      <c r="C838" s="2" t="s">
        <v>15</v>
      </c>
      <c r="D838" s="2">
        <v>425</v>
      </c>
      <c r="E838" s="2" t="s">
        <v>10</v>
      </c>
      <c r="F838" s="2">
        <v>5</v>
      </c>
      <c r="G838" s="22">
        <f>Table4[[#This Row],[Item Cost]]*Table4[[#This Row],[In Stock]]</f>
        <v>2125</v>
      </c>
      <c r="H838" s="12" t="s">
        <v>4661</v>
      </c>
      <c r="I838" s="13" t="s">
        <v>4666</v>
      </c>
      <c r="J838" s="13" t="s">
        <v>4693</v>
      </c>
      <c r="K838" s="13" t="s">
        <v>4672</v>
      </c>
      <c r="L838" s="12" t="s">
        <v>4672</v>
      </c>
      <c r="M838" s="17">
        <f>IF(LEN(COUNTIFS($H$1:H838,$H838,$I$1:I838,$I838,$J$1:J838,$J838,$K$1:K838,K838,$L$1:L838,L838))=1,"00"&amp;COUNTIFS($H$1:H838,$H838,$I$1:I838,$I838,$J$1:J838,$J838,$K$1:K838,K838,$L$1:L838,L838),IF(LEN(COUNTIFS($H$1:H838,$H838,$I$1:I838,$I838,$J$1:J838,$J838,$K$1:K838,K838,$L$1:L838,L838))=2,"0"&amp;COUNTIFS($H$1:H838,$H838,$I$1:I838,$I838,$J$1:J838,$J838,$K$1:K838,K838,$L$1:L838,L838),COUNTIFS($H$1:H838,$H838,$I$1:I838,$I838,$J$1:J838,$J838,$K$1:K838,K838,$L$1:L838,L838)))</f>
        <v>127</v>
      </c>
      <c r="N83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38" s="14" t="e">
        <f>+LEN(Table4[[#This Row],[New Item Code]])</f>
        <v>#N/A</v>
      </c>
      <c r="P838" s="15" t="s">
        <v>4747</v>
      </c>
      <c r="Q838" s="15" t="s">
        <v>4749</v>
      </c>
      <c r="R838" s="15"/>
      <c r="S838" s="15"/>
      <c r="T838" s="15" t="s">
        <v>4693</v>
      </c>
    </row>
    <row r="839" spans="1:20" x14ac:dyDescent="0.35">
      <c r="A839" s="3" t="s">
        <v>1681</v>
      </c>
      <c r="B839" s="3" t="s">
        <v>1682</v>
      </c>
      <c r="C839" s="3" t="s">
        <v>56</v>
      </c>
      <c r="D839" s="3">
        <v>0</v>
      </c>
      <c r="E839" s="3" t="s">
        <v>57</v>
      </c>
      <c r="F839" s="3">
        <v>0</v>
      </c>
      <c r="G839" s="21">
        <f>Table4[[#This Row],[Item Cost]]*Table4[[#This Row],[In Stock]]</f>
        <v>0</v>
      </c>
      <c r="H839" s="12" t="s">
        <v>4661</v>
      </c>
      <c r="I839" s="13" t="s">
        <v>4668</v>
      </c>
      <c r="J839" s="13"/>
      <c r="K839" s="13" t="s">
        <v>4672</v>
      </c>
      <c r="L839" s="12" t="s">
        <v>4672</v>
      </c>
      <c r="M839" s="17" t="str">
        <f>IF(LEN(COUNTIFS($H$1:H839,$H839,$I$1:I839,$I839,$J$1:J839,$J839,$K$1:K839,K839,$L$1:L839,L839))=1,"00"&amp;COUNTIFS($H$1:H839,$H839,$I$1:I839,$I839,$J$1:J839,$J839,$K$1:K839,K839,$L$1:L839,L839),IF(LEN(COUNTIFS($H$1:H839,$H839,$I$1:I839,$I839,$J$1:J839,$J839,$K$1:K839,K839,$L$1:L839,L839))=2,"0"&amp;COUNTIFS($H$1:H839,$H839,$I$1:I839,$I839,$J$1:J839,$J839,$K$1:K839,K839,$L$1:L839,L839),COUNTIFS($H$1:H839,$H839,$I$1:I839,$I839,$J$1:J839,$J839,$K$1:K839,K839,$L$1:L839,L839)))</f>
        <v>000</v>
      </c>
      <c r="N83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39" s="14" t="e">
        <f>+LEN(Table4[[#This Row],[New Item Code]])</f>
        <v>#N/A</v>
      </c>
      <c r="P839" s="15" t="s">
        <v>4747</v>
      </c>
      <c r="Q839" s="15" t="s">
        <v>4749</v>
      </c>
      <c r="R839" s="15"/>
      <c r="S839" s="15"/>
      <c r="T839" s="15" t="e">
        <v>#N/A</v>
      </c>
    </row>
    <row r="840" spans="1:20" x14ac:dyDescent="0.35">
      <c r="A840" s="2" t="s">
        <v>1683</v>
      </c>
      <c r="B840" s="2" t="s">
        <v>1684</v>
      </c>
      <c r="C840" s="2" t="s">
        <v>56</v>
      </c>
      <c r="D840" s="2">
        <v>0</v>
      </c>
      <c r="E840" s="2" t="s">
        <v>57</v>
      </c>
      <c r="F840" s="2">
        <v>0</v>
      </c>
      <c r="G840" s="22">
        <f>Table4[[#This Row],[Item Cost]]*Table4[[#This Row],[In Stock]]</f>
        <v>0</v>
      </c>
      <c r="H840" s="12" t="s">
        <v>4661</v>
      </c>
      <c r="I840" s="13" t="s">
        <v>4668</v>
      </c>
      <c r="J840" s="13"/>
      <c r="K840" s="13" t="s">
        <v>4672</v>
      </c>
      <c r="L840" s="12" t="s">
        <v>4672</v>
      </c>
      <c r="M840" s="17" t="str">
        <f>IF(LEN(COUNTIFS($H$1:H840,$H840,$I$1:I840,$I840,$J$1:J840,$J840,$K$1:K840,K840,$L$1:L840,L840))=1,"00"&amp;COUNTIFS($H$1:H840,$H840,$I$1:I840,$I840,$J$1:J840,$J840,$K$1:K840,K840,$L$1:L840,L840),IF(LEN(COUNTIFS($H$1:H840,$H840,$I$1:I840,$I840,$J$1:J840,$J840,$K$1:K840,K840,$L$1:L840,L840))=2,"0"&amp;COUNTIFS($H$1:H840,$H840,$I$1:I840,$I840,$J$1:J840,$J840,$K$1:K840,K840,$L$1:L840,L840),COUNTIFS($H$1:H840,$H840,$I$1:I840,$I840,$J$1:J840,$J840,$K$1:K840,K840,$L$1:L840,L840)))</f>
        <v>000</v>
      </c>
      <c r="N84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40" s="14" t="e">
        <f>+LEN(Table4[[#This Row],[New Item Code]])</f>
        <v>#N/A</v>
      </c>
      <c r="P840" s="15" t="s">
        <v>4747</v>
      </c>
      <c r="Q840" s="15" t="s">
        <v>4749</v>
      </c>
      <c r="R840" s="15"/>
      <c r="S840" s="15"/>
      <c r="T840" s="15" t="e">
        <v>#N/A</v>
      </c>
    </row>
    <row r="841" spans="1:20" x14ac:dyDescent="0.35">
      <c r="A841" s="2" t="s">
        <v>1685</v>
      </c>
      <c r="B841" s="2" t="s">
        <v>1686</v>
      </c>
      <c r="C841" s="2" t="s">
        <v>15</v>
      </c>
      <c r="D841" s="4">
        <v>96915</v>
      </c>
      <c r="E841" s="2" t="s">
        <v>10</v>
      </c>
      <c r="F841" s="2">
        <v>1</v>
      </c>
      <c r="G841" s="22">
        <f>Table4[[#This Row],[Item Cost]]*Table4[[#This Row],[In Stock]]</f>
        <v>96915</v>
      </c>
      <c r="H841" s="12" t="s">
        <v>4661</v>
      </c>
      <c r="I841" s="13" t="s">
        <v>4666</v>
      </c>
      <c r="J841" s="13" t="s">
        <v>4674</v>
      </c>
      <c r="K841" s="13" t="s">
        <v>4734</v>
      </c>
      <c r="L841" s="12" t="s">
        <v>4672</v>
      </c>
      <c r="M841" s="17" t="str">
        <f>IF(LEN(COUNTIFS($H$1:H841,$H841,$I$1:I841,$I841,$J$1:J841,$J841,$K$1:K841,K841,$L$1:L841,L841))=1,"00"&amp;COUNTIFS($H$1:H841,$H841,$I$1:I841,$I841,$J$1:J841,$J841,$K$1:K841,K841,$L$1:L841,L841),IF(LEN(COUNTIFS($H$1:H841,$H841,$I$1:I841,$I841,$J$1:J841,$J841,$K$1:K841,K841,$L$1:L841,L841))=2,"0"&amp;COUNTIFS($H$1:H841,$H841,$I$1:I841,$I841,$J$1:J841,$J841,$K$1:K841,K841,$L$1:L841,L841),COUNTIFS($H$1:H841,$H841,$I$1:I841,$I841,$J$1:J841,$J841,$K$1:K841,K841,$L$1:L841,L841)))</f>
        <v>001</v>
      </c>
      <c r="N84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41" s="14" t="e">
        <f>+LEN(Table4[[#This Row],[New Item Code]])</f>
        <v>#N/A</v>
      </c>
      <c r="P841" s="15" t="s">
        <v>4747</v>
      </c>
      <c r="Q841" s="15" t="s">
        <v>4749</v>
      </c>
      <c r="R841" s="15"/>
      <c r="S841" s="15"/>
      <c r="T841" s="15" t="s">
        <v>4674</v>
      </c>
    </row>
    <row r="842" spans="1:20" x14ac:dyDescent="0.35">
      <c r="A842" s="3" t="s">
        <v>1687</v>
      </c>
      <c r="B842" s="3" t="s">
        <v>1688</v>
      </c>
      <c r="C842" s="3" t="s">
        <v>15</v>
      </c>
      <c r="D842" s="5">
        <v>57000</v>
      </c>
      <c r="E842" s="3" t="s">
        <v>10</v>
      </c>
      <c r="F842" s="3">
        <v>0</v>
      </c>
      <c r="G842" s="21">
        <f>Table4[[#This Row],[Item Cost]]*Table4[[#This Row],[In Stock]]</f>
        <v>0</v>
      </c>
      <c r="H842" s="12" t="s">
        <v>4661</v>
      </c>
      <c r="I842" s="13" t="s">
        <v>4666</v>
      </c>
      <c r="J842" s="13" t="s">
        <v>4674</v>
      </c>
      <c r="K842" s="13" t="s">
        <v>4734</v>
      </c>
      <c r="L842" s="12" t="s">
        <v>4672</v>
      </c>
      <c r="M842" s="17" t="str">
        <f>IF(LEN(COUNTIFS($H$1:H842,$H842,$I$1:I842,$I842,$J$1:J842,$J842,$K$1:K842,K842,$L$1:L842,L842))=1,"00"&amp;COUNTIFS($H$1:H842,$H842,$I$1:I842,$I842,$J$1:J842,$J842,$K$1:K842,K842,$L$1:L842,L842),IF(LEN(COUNTIFS($H$1:H842,$H842,$I$1:I842,$I842,$J$1:J842,$J842,$K$1:K842,K842,$L$1:L842,L842))=2,"0"&amp;COUNTIFS($H$1:H842,$H842,$I$1:I842,$I842,$J$1:J842,$J842,$K$1:K842,K842,$L$1:L842,L842),COUNTIFS($H$1:H842,$H842,$I$1:I842,$I842,$J$1:J842,$J842,$K$1:K842,K842,$L$1:L842,L842)))</f>
        <v>002</v>
      </c>
      <c r="N84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42" s="14" t="e">
        <f>+LEN(Table4[[#This Row],[New Item Code]])</f>
        <v>#N/A</v>
      </c>
      <c r="P842" s="15" t="s">
        <v>4747</v>
      </c>
      <c r="Q842" s="15" t="s">
        <v>4749</v>
      </c>
      <c r="R842" s="15"/>
      <c r="S842" s="15"/>
      <c r="T842" s="15" t="s">
        <v>4674</v>
      </c>
    </row>
    <row r="843" spans="1:20" x14ac:dyDescent="0.35">
      <c r="A843" s="2" t="s">
        <v>1689</v>
      </c>
      <c r="B843" s="2" t="s">
        <v>1690</v>
      </c>
      <c r="C843" s="2" t="s">
        <v>15</v>
      </c>
      <c r="D843" s="4">
        <v>31625</v>
      </c>
      <c r="E843" s="2" t="s">
        <v>10</v>
      </c>
      <c r="F843" s="2">
        <v>0</v>
      </c>
      <c r="G843" s="22">
        <f>Table4[[#This Row],[Item Cost]]*Table4[[#This Row],[In Stock]]</f>
        <v>0</v>
      </c>
      <c r="H843" s="12" t="s">
        <v>4661</v>
      </c>
      <c r="I843" s="13" t="s">
        <v>4666</v>
      </c>
      <c r="J843" s="13" t="s">
        <v>4674</v>
      </c>
      <c r="K843" s="13" t="s">
        <v>4734</v>
      </c>
      <c r="L843" s="12" t="s">
        <v>4672</v>
      </c>
      <c r="M843" s="17" t="str">
        <f>IF(LEN(COUNTIFS($H$1:H843,$H843,$I$1:I843,$I843,$J$1:J843,$J843,$K$1:K843,K843,$L$1:L843,L843))=1,"00"&amp;COUNTIFS($H$1:H843,$H843,$I$1:I843,$I843,$J$1:J843,$J843,$K$1:K843,K843,$L$1:L843,L843),IF(LEN(COUNTIFS($H$1:H843,$H843,$I$1:I843,$I843,$J$1:J843,$J843,$K$1:K843,K843,$L$1:L843,L843))=2,"0"&amp;COUNTIFS($H$1:H843,$H843,$I$1:I843,$I843,$J$1:J843,$J843,$K$1:K843,K843,$L$1:L843,L843),COUNTIFS($H$1:H843,$H843,$I$1:I843,$I843,$J$1:J843,$J843,$K$1:K843,K843,$L$1:L843,L843)))</f>
        <v>003</v>
      </c>
      <c r="N84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43" s="14" t="e">
        <f>+LEN(Table4[[#This Row],[New Item Code]])</f>
        <v>#N/A</v>
      </c>
      <c r="P843" s="15" t="s">
        <v>4747</v>
      </c>
      <c r="Q843" s="15" t="s">
        <v>4749</v>
      </c>
      <c r="R843" s="15"/>
      <c r="S843" s="15"/>
      <c r="T843" s="15" t="s">
        <v>4674</v>
      </c>
    </row>
    <row r="844" spans="1:20" x14ac:dyDescent="0.35">
      <c r="A844" s="3" t="s">
        <v>1691</v>
      </c>
      <c r="B844" s="3" t="s">
        <v>1692</v>
      </c>
      <c r="C844" s="3" t="s">
        <v>9</v>
      </c>
      <c r="D844" s="5">
        <v>1250.172</v>
      </c>
      <c r="E844" s="3" t="s">
        <v>10</v>
      </c>
      <c r="F844" s="3">
        <v>17</v>
      </c>
      <c r="G844" s="21">
        <f>Table4[[#This Row],[Item Cost]]*Table4[[#This Row],[In Stock]]</f>
        <v>21252.923999999999</v>
      </c>
      <c r="H844" s="12" t="s">
        <v>4661</v>
      </c>
      <c r="I844" s="13" t="s">
        <v>4664</v>
      </c>
      <c r="J844" s="13" t="s">
        <v>4674</v>
      </c>
      <c r="K844" t="s">
        <v>4797</v>
      </c>
      <c r="L844" s="12" t="s">
        <v>4672</v>
      </c>
      <c r="M844" s="17" t="str">
        <f>IF(LEN(COUNTIFS($H$1:H844,$H844,$I$1:I844,$I844,$J$1:J844,$J844,$K$1:K844,K844,$L$1:L844,L844))=1,"00"&amp;COUNTIFS($H$1:H844,$H844,$I$1:I844,$I844,$J$1:J844,$J844,$K$1:K844,K844,$L$1:L844,L844),IF(LEN(COUNTIFS($H$1:H844,$H844,$I$1:I844,$I844,$J$1:J844,$J844,$K$1:K844,K844,$L$1:L844,L844))=2,"0"&amp;COUNTIFS($H$1:H844,$H844,$I$1:I844,$I844,$J$1:J844,$J844,$K$1:K844,K844,$L$1:L844,L844),COUNTIFS($H$1:H844,$H844,$I$1:I844,$I844,$J$1:J844,$J844,$K$1:K844,K844,$L$1:L844,L844)))</f>
        <v>001</v>
      </c>
      <c r="N84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44" s="14" t="e">
        <f>+LEN(Table4[[#This Row],[New Item Code]])</f>
        <v>#N/A</v>
      </c>
      <c r="P844" s="15" t="s">
        <v>4747</v>
      </c>
      <c r="Q844" s="15" t="s">
        <v>4749</v>
      </c>
      <c r="R844" s="15"/>
      <c r="S844" s="15"/>
      <c r="T844" s="15" t="s">
        <v>4674</v>
      </c>
    </row>
    <row r="845" spans="1:20" x14ac:dyDescent="0.35">
      <c r="A845" s="2" t="s">
        <v>1693</v>
      </c>
      <c r="B845" s="2" t="s">
        <v>1694</v>
      </c>
      <c r="C845" s="2" t="s">
        <v>9</v>
      </c>
      <c r="D845" s="2">
        <v>502.89</v>
      </c>
      <c r="E845" s="2" t="s">
        <v>10</v>
      </c>
      <c r="F845" s="2">
        <v>1</v>
      </c>
      <c r="G845" s="22">
        <f>Table4[[#This Row],[Item Cost]]*Table4[[#This Row],[In Stock]]</f>
        <v>502.89</v>
      </c>
      <c r="H845" s="12" t="s">
        <v>4661</v>
      </c>
      <c r="I845" s="13" t="s">
        <v>4664</v>
      </c>
      <c r="J845" s="13" t="s">
        <v>4674</v>
      </c>
      <c r="K845" t="s">
        <v>4797</v>
      </c>
      <c r="L845" s="12" t="s">
        <v>4672</v>
      </c>
      <c r="M845" s="17" t="str">
        <f>IF(LEN(COUNTIFS($H$1:H845,$H845,$I$1:I845,$I845,$J$1:J845,$J845,$K$1:K845,K845,$L$1:L845,L845))=1,"00"&amp;COUNTIFS($H$1:H845,$H845,$I$1:I845,$I845,$J$1:J845,$J845,$K$1:K845,K845,$L$1:L845,L845),IF(LEN(COUNTIFS($H$1:H845,$H845,$I$1:I845,$I845,$J$1:J845,$J845,$K$1:K845,K845,$L$1:L845,L845))=2,"0"&amp;COUNTIFS($H$1:H845,$H845,$I$1:I845,$I845,$J$1:J845,$J845,$K$1:K845,K845,$L$1:L845,L845),COUNTIFS($H$1:H845,$H845,$I$1:I845,$I845,$J$1:J845,$J845,$K$1:K845,K845,$L$1:L845,L845)))</f>
        <v>002</v>
      </c>
      <c r="N84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45" s="14" t="e">
        <f>+LEN(Table4[[#This Row],[New Item Code]])</f>
        <v>#N/A</v>
      </c>
      <c r="P845" s="15" t="s">
        <v>4747</v>
      </c>
      <c r="Q845" s="15" t="s">
        <v>4749</v>
      </c>
      <c r="R845" s="15"/>
      <c r="S845" s="15"/>
      <c r="T845" s="15" t="s">
        <v>4674</v>
      </c>
    </row>
    <row r="846" spans="1:20" x14ac:dyDescent="0.35">
      <c r="A846" s="3" t="s">
        <v>1695</v>
      </c>
      <c r="B846" s="3" t="s">
        <v>1696</v>
      </c>
      <c r="C846" s="3" t="s">
        <v>9</v>
      </c>
      <c r="D846" s="5">
        <v>1223.3330000000001</v>
      </c>
      <c r="E846" s="3" t="s">
        <v>10</v>
      </c>
      <c r="F846" s="3">
        <v>3</v>
      </c>
      <c r="G846" s="21">
        <f>Table4[[#This Row],[Item Cost]]*Table4[[#This Row],[In Stock]]</f>
        <v>3669.9990000000003</v>
      </c>
      <c r="H846" s="12" t="s">
        <v>4661</v>
      </c>
      <c r="I846" s="13" t="s">
        <v>4664</v>
      </c>
      <c r="J846" s="13" t="s">
        <v>4674</v>
      </c>
      <c r="K846" t="s">
        <v>4797</v>
      </c>
      <c r="L846" s="12" t="s">
        <v>4672</v>
      </c>
      <c r="M846" s="17" t="str">
        <f>IF(LEN(COUNTIFS($H$1:H846,$H846,$I$1:I846,$I846,$J$1:J846,$J846,$K$1:K846,K846,$L$1:L846,L846))=1,"00"&amp;COUNTIFS($H$1:H846,$H846,$I$1:I846,$I846,$J$1:J846,$J846,$K$1:K846,K846,$L$1:L846,L846),IF(LEN(COUNTIFS($H$1:H846,$H846,$I$1:I846,$I846,$J$1:J846,$J846,$K$1:K846,K846,$L$1:L846,L846))=2,"0"&amp;COUNTIFS($H$1:H846,$H846,$I$1:I846,$I846,$J$1:J846,$J846,$K$1:K846,K846,$L$1:L846,L846),COUNTIFS($H$1:H846,$H846,$I$1:I846,$I846,$J$1:J846,$J846,$K$1:K846,K846,$L$1:L846,L846)))</f>
        <v>003</v>
      </c>
      <c r="N84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46" s="14" t="e">
        <f>+LEN(Table4[[#This Row],[New Item Code]])</f>
        <v>#N/A</v>
      </c>
      <c r="P846" s="15" t="s">
        <v>4747</v>
      </c>
      <c r="Q846" s="15" t="s">
        <v>4749</v>
      </c>
      <c r="R846" s="15"/>
      <c r="S846" s="15"/>
      <c r="T846" s="15" t="s">
        <v>4674</v>
      </c>
    </row>
    <row r="847" spans="1:20" x14ac:dyDescent="0.35">
      <c r="A847" s="2" t="s">
        <v>1697</v>
      </c>
      <c r="B847" s="2" t="s">
        <v>1698</v>
      </c>
      <c r="C847" s="2" t="s">
        <v>15</v>
      </c>
      <c r="D847" s="2">
        <v>350</v>
      </c>
      <c r="E847" s="2" t="s">
        <v>10</v>
      </c>
      <c r="F847" s="2">
        <v>0</v>
      </c>
      <c r="G847" s="22">
        <f>Table4[[#This Row],[Item Cost]]*Table4[[#This Row],[In Stock]]</f>
        <v>0</v>
      </c>
      <c r="H847" s="12" t="s">
        <v>4661</v>
      </c>
      <c r="I847" s="13" t="s">
        <v>4666</v>
      </c>
      <c r="J847" s="13" t="s">
        <v>4674</v>
      </c>
      <c r="K847" t="s">
        <v>4797</v>
      </c>
      <c r="L847" s="12" t="s">
        <v>4672</v>
      </c>
      <c r="M847" s="17" t="str">
        <f>IF(LEN(COUNTIFS($H$1:H847,$H847,$I$1:I847,$I847,$J$1:J847,$J847,$K$1:K847,K847,$L$1:L847,L847))=1,"00"&amp;COUNTIFS($H$1:H847,$H847,$I$1:I847,$I847,$J$1:J847,$J847,$K$1:K847,K847,$L$1:L847,L847),IF(LEN(COUNTIFS($H$1:H847,$H847,$I$1:I847,$I847,$J$1:J847,$J847,$K$1:K847,K847,$L$1:L847,L847))=2,"0"&amp;COUNTIFS($H$1:H847,$H847,$I$1:I847,$I847,$J$1:J847,$J847,$K$1:K847,K847,$L$1:L847,L847),COUNTIFS($H$1:H847,$H847,$I$1:I847,$I847,$J$1:J847,$J847,$K$1:K847,K847,$L$1:L847,L847)))</f>
        <v>001</v>
      </c>
      <c r="N84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47" s="14" t="e">
        <f>+LEN(Table4[[#This Row],[New Item Code]])</f>
        <v>#N/A</v>
      </c>
      <c r="P847" s="15" t="s">
        <v>4747</v>
      </c>
      <c r="Q847" s="15" t="s">
        <v>4749</v>
      </c>
      <c r="R847" s="15"/>
      <c r="S847" s="15"/>
      <c r="T847" s="15" t="s">
        <v>4674</v>
      </c>
    </row>
    <row r="848" spans="1:20" x14ac:dyDescent="0.35">
      <c r="A848" s="3" t="s">
        <v>1699</v>
      </c>
      <c r="B848" s="3" t="s">
        <v>1700</v>
      </c>
      <c r="C848" s="3" t="s">
        <v>9</v>
      </c>
      <c r="D848" s="3">
        <v>650</v>
      </c>
      <c r="E848" s="3" t="s">
        <v>10</v>
      </c>
      <c r="F848" s="3">
        <v>2</v>
      </c>
      <c r="G848" s="21">
        <f>Table4[[#This Row],[Item Cost]]*Table4[[#This Row],[In Stock]]</f>
        <v>1300</v>
      </c>
      <c r="H848" s="12" t="s">
        <v>4661</v>
      </c>
      <c r="I848" s="13" t="s">
        <v>4664</v>
      </c>
      <c r="J848" s="13" t="s">
        <v>4674</v>
      </c>
      <c r="K848" t="s">
        <v>4797</v>
      </c>
      <c r="L848" s="12" t="s">
        <v>4672</v>
      </c>
      <c r="M848" s="17" t="str">
        <f>IF(LEN(COUNTIFS($H$1:H848,$H848,$I$1:I848,$I848,$J$1:J848,$J848,$K$1:K848,K848,$L$1:L848,L848))=1,"00"&amp;COUNTIFS($H$1:H848,$H848,$I$1:I848,$I848,$J$1:J848,$J848,$K$1:K848,K848,$L$1:L848,L848),IF(LEN(COUNTIFS($H$1:H848,$H848,$I$1:I848,$I848,$J$1:J848,$J848,$K$1:K848,K848,$L$1:L848,L848))=2,"0"&amp;COUNTIFS($H$1:H848,$H848,$I$1:I848,$I848,$J$1:J848,$J848,$K$1:K848,K848,$L$1:L848,L848),COUNTIFS($H$1:H848,$H848,$I$1:I848,$I848,$J$1:J848,$J848,$K$1:K848,K848,$L$1:L848,L848)))</f>
        <v>004</v>
      </c>
      <c r="N84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48" s="14" t="e">
        <f>+LEN(Table4[[#This Row],[New Item Code]])</f>
        <v>#N/A</v>
      </c>
      <c r="P848" s="15" t="s">
        <v>4747</v>
      </c>
      <c r="Q848" s="15" t="s">
        <v>4749</v>
      </c>
      <c r="R848" s="15"/>
      <c r="S848" s="15"/>
      <c r="T848" s="15" t="s">
        <v>4674</v>
      </c>
    </row>
    <row r="849" spans="1:20" x14ac:dyDescent="0.35">
      <c r="A849" s="2" t="s">
        <v>1701</v>
      </c>
      <c r="B849" s="2" t="s">
        <v>1702</v>
      </c>
      <c r="C849" s="2" t="s">
        <v>15</v>
      </c>
      <c r="D849" s="2">
        <v>0</v>
      </c>
      <c r="E849" s="2" t="s">
        <v>10</v>
      </c>
      <c r="F849" s="2">
        <v>0</v>
      </c>
      <c r="G849" s="22">
        <f>Table4[[#This Row],[Item Cost]]*Table4[[#This Row],[In Stock]]</f>
        <v>0</v>
      </c>
      <c r="H849" s="12" t="s">
        <v>4661</v>
      </c>
      <c r="I849" s="13" t="s">
        <v>4666</v>
      </c>
      <c r="J849" s="13" t="s">
        <v>4674</v>
      </c>
      <c r="K849" s="13" t="s">
        <v>4672</v>
      </c>
      <c r="L849" s="12" t="s">
        <v>4672</v>
      </c>
      <c r="M849" s="17" t="str">
        <f>IF(LEN(COUNTIFS($H$1:H849,$H849,$I$1:I849,$I849,$J$1:J849,$J849,$K$1:K849,K849,$L$1:L849,L849))=1,"00"&amp;COUNTIFS($H$1:H849,$H849,$I$1:I849,$I849,$J$1:J849,$J849,$K$1:K849,K849,$L$1:L849,L849),IF(LEN(COUNTIFS($H$1:H849,$H849,$I$1:I849,$I849,$J$1:J849,$J849,$K$1:K849,K849,$L$1:L849,L849))=2,"0"&amp;COUNTIFS($H$1:H849,$H849,$I$1:I849,$I849,$J$1:J849,$J849,$K$1:K849,K849,$L$1:L849,L849),COUNTIFS($H$1:H849,$H849,$I$1:I849,$I849,$J$1:J849,$J849,$K$1:K849,K849,$L$1:L849,L849)))</f>
        <v>001</v>
      </c>
      <c r="N84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49" s="14" t="e">
        <f>+LEN(Table4[[#This Row],[New Item Code]])</f>
        <v>#N/A</v>
      </c>
      <c r="P849" s="15" t="s">
        <v>4747</v>
      </c>
      <c r="Q849" s="15" t="s">
        <v>4749</v>
      </c>
      <c r="R849" s="15"/>
      <c r="S849" s="15"/>
      <c r="T849" s="15" t="s">
        <v>4674</v>
      </c>
    </row>
    <row r="850" spans="1:20" x14ac:dyDescent="0.35">
      <c r="A850" s="3" t="s">
        <v>1703</v>
      </c>
      <c r="B850" s="3" t="s">
        <v>1704</v>
      </c>
      <c r="C850" s="3" t="s">
        <v>15</v>
      </c>
      <c r="D850" s="3">
        <v>0</v>
      </c>
      <c r="E850" s="3" t="s">
        <v>10</v>
      </c>
      <c r="F850" s="3">
        <v>0</v>
      </c>
      <c r="G850" s="21">
        <f>Table4[[#This Row],[Item Cost]]*Table4[[#This Row],[In Stock]]</f>
        <v>0</v>
      </c>
      <c r="H850" s="12" t="s">
        <v>4661</v>
      </c>
      <c r="I850" s="13" t="s">
        <v>4666</v>
      </c>
      <c r="J850" s="13" t="s">
        <v>4674</v>
      </c>
      <c r="K850" s="13" t="s">
        <v>4672</v>
      </c>
      <c r="L850" s="12" t="s">
        <v>4672</v>
      </c>
      <c r="M850" s="17" t="str">
        <f>IF(LEN(COUNTIFS($H$1:H850,$H850,$I$1:I850,$I850,$J$1:J850,$J850,$K$1:K850,K850,$L$1:L850,L850))=1,"00"&amp;COUNTIFS($H$1:H850,$H850,$I$1:I850,$I850,$J$1:J850,$J850,$K$1:K850,K850,$L$1:L850,L850),IF(LEN(COUNTIFS($H$1:H850,$H850,$I$1:I850,$I850,$J$1:J850,$J850,$K$1:K850,K850,$L$1:L850,L850))=2,"0"&amp;COUNTIFS($H$1:H850,$H850,$I$1:I850,$I850,$J$1:J850,$J850,$K$1:K850,K850,$L$1:L850,L850),COUNTIFS($H$1:H850,$H850,$I$1:I850,$I850,$J$1:J850,$J850,$K$1:K850,K850,$L$1:L850,L850)))</f>
        <v>002</v>
      </c>
      <c r="N85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50" s="14" t="e">
        <f>+LEN(Table4[[#This Row],[New Item Code]])</f>
        <v>#N/A</v>
      </c>
      <c r="P850" s="15" t="s">
        <v>4747</v>
      </c>
      <c r="Q850" s="15" t="s">
        <v>4749</v>
      </c>
      <c r="R850" s="15"/>
      <c r="S850" s="15"/>
      <c r="T850" s="15" t="s">
        <v>4674</v>
      </c>
    </row>
    <row r="851" spans="1:20" x14ac:dyDescent="0.35">
      <c r="A851" s="2" t="s">
        <v>1705</v>
      </c>
      <c r="B851" s="2" t="s">
        <v>1706</v>
      </c>
      <c r="C851" s="2" t="s">
        <v>15</v>
      </c>
      <c r="D851" s="4">
        <v>2500</v>
      </c>
      <c r="E851" s="2" t="s">
        <v>10</v>
      </c>
      <c r="F851" s="2">
        <v>0</v>
      </c>
      <c r="G851" s="22">
        <f>Table4[[#This Row],[Item Cost]]*Table4[[#This Row],[In Stock]]</f>
        <v>0</v>
      </c>
      <c r="H851" s="12" t="s">
        <v>4661</v>
      </c>
      <c r="I851" s="13" t="s">
        <v>4666</v>
      </c>
      <c r="J851" s="13" t="s">
        <v>4674</v>
      </c>
      <c r="K851" s="13" t="s">
        <v>4672</v>
      </c>
      <c r="L851" s="12" t="s">
        <v>4672</v>
      </c>
      <c r="M851" s="17" t="str">
        <f>IF(LEN(COUNTIFS($H$1:H851,$H851,$I$1:I851,$I851,$J$1:J851,$J851,$K$1:K851,K851,$L$1:L851,L851))=1,"00"&amp;COUNTIFS($H$1:H851,$H851,$I$1:I851,$I851,$J$1:J851,$J851,$K$1:K851,K851,$L$1:L851,L851),IF(LEN(COUNTIFS($H$1:H851,$H851,$I$1:I851,$I851,$J$1:J851,$J851,$K$1:K851,K851,$L$1:L851,L851))=2,"0"&amp;COUNTIFS($H$1:H851,$H851,$I$1:I851,$I851,$J$1:J851,$J851,$K$1:K851,K851,$L$1:L851,L851),COUNTIFS($H$1:H851,$H851,$I$1:I851,$I851,$J$1:J851,$J851,$K$1:K851,K851,$L$1:L851,L851)))</f>
        <v>003</v>
      </c>
      <c r="N85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51" s="14" t="e">
        <f>+LEN(Table4[[#This Row],[New Item Code]])</f>
        <v>#N/A</v>
      </c>
      <c r="P851" s="15" t="s">
        <v>4747</v>
      </c>
      <c r="Q851" s="15" t="s">
        <v>4749</v>
      </c>
      <c r="R851" s="15"/>
      <c r="S851" s="15"/>
      <c r="T851" s="15" t="s">
        <v>4674</v>
      </c>
    </row>
    <row r="852" spans="1:20" x14ac:dyDescent="0.35">
      <c r="A852" s="2" t="s">
        <v>1707</v>
      </c>
      <c r="B852" s="2" t="s">
        <v>1708</v>
      </c>
      <c r="C852" s="2" t="s">
        <v>15</v>
      </c>
      <c r="D852" s="4">
        <v>1534</v>
      </c>
      <c r="E852" s="2" t="s">
        <v>10</v>
      </c>
      <c r="F852" s="2">
        <v>4</v>
      </c>
      <c r="G852" s="22">
        <f>Table4[[#This Row],[Item Cost]]*Table4[[#This Row],[In Stock]]</f>
        <v>6136</v>
      </c>
      <c r="H852" s="12" t="s">
        <v>4661</v>
      </c>
      <c r="I852" s="13" t="s">
        <v>4666</v>
      </c>
      <c r="J852" s="13" t="s">
        <v>4674</v>
      </c>
      <c r="K852" t="s">
        <v>4798</v>
      </c>
      <c r="L852" s="12" t="s">
        <v>4672</v>
      </c>
      <c r="M852" s="17" t="str">
        <f>IF(LEN(COUNTIFS($H$1:H852,$H852,$I$1:I852,$I852,$J$1:J852,$J852,$K$1:K852,K852,$L$1:L852,L852))=1,"00"&amp;COUNTIFS($H$1:H852,$H852,$I$1:I852,$I852,$J$1:J852,$J852,$K$1:K852,K852,$L$1:L852,L852),IF(LEN(COUNTIFS($H$1:H852,$H852,$I$1:I852,$I852,$J$1:J852,$J852,$K$1:K852,K852,$L$1:L852,L852))=2,"0"&amp;COUNTIFS($H$1:H852,$H852,$I$1:I852,$I852,$J$1:J852,$J852,$K$1:K852,K852,$L$1:L852,L852),COUNTIFS($H$1:H852,$H852,$I$1:I852,$I852,$J$1:J852,$J852,$K$1:K852,K852,$L$1:L852,L852)))</f>
        <v>001</v>
      </c>
      <c r="N85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52" s="14" t="e">
        <f>+LEN(Table4[[#This Row],[New Item Code]])</f>
        <v>#N/A</v>
      </c>
      <c r="P852" s="15" t="s">
        <v>4747</v>
      </c>
      <c r="Q852" s="15" t="s">
        <v>4749</v>
      </c>
      <c r="R852" s="15"/>
      <c r="S852" s="15"/>
      <c r="T852" s="15" t="s">
        <v>4674</v>
      </c>
    </row>
    <row r="853" spans="1:20" x14ac:dyDescent="0.35">
      <c r="A853" s="3" t="s">
        <v>1709</v>
      </c>
      <c r="B853" s="3" t="s">
        <v>1710</v>
      </c>
      <c r="C853" s="3" t="s">
        <v>15</v>
      </c>
      <c r="D853" s="5">
        <v>1534</v>
      </c>
      <c r="E853" s="3" t="s">
        <v>10</v>
      </c>
      <c r="F853" s="3">
        <v>4</v>
      </c>
      <c r="G853" s="21">
        <f>Table4[[#This Row],[Item Cost]]*Table4[[#This Row],[In Stock]]</f>
        <v>6136</v>
      </c>
      <c r="H853" s="12" t="s">
        <v>4661</v>
      </c>
      <c r="I853" s="13" t="s">
        <v>4666</v>
      </c>
      <c r="J853" s="13" t="s">
        <v>4674</v>
      </c>
      <c r="K853" t="s">
        <v>4798</v>
      </c>
      <c r="L853" s="12" t="s">
        <v>4672</v>
      </c>
      <c r="M853" s="17" t="str">
        <f>IF(LEN(COUNTIFS($H$1:H853,$H853,$I$1:I853,$I853,$J$1:J853,$J853,$K$1:K853,K853,$L$1:L853,L853))=1,"00"&amp;COUNTIFS($H$1:H853,$H853,$I$1:I853,$I853,$J$1:J853,$J853,$K$1:K853,K853,$L$1:L853,L853),IF(LEN(COUNTIFS($H$1:H853,$H853,$I$1:I853,$I853,$J$1:J853,$J853,$K$1:K853,K853,$L$1:L853,L853))=2,"0"&amp;COUNTIFS($H$1:H853,$H853,$I$1:I853,$I853,$J$1:J853,$J853,$K$1:K853,K853,$L$1:L853,L853),COUNTIFS($H$1:H853,$H853,$I$1:I853,$I853,$J$1:J853,$J853,$K$1:K853,K853,$L$1:L853,L853)))</f>
        <v>002</v>
      </c>
      <c r="N85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53" s="14" t="e">
        <f>+LEN(Table4[[#This Row],[New Item Code]])</f>
        <v>#N/A</v>
      </c>
      <c r="P853" s="15" t="s">
        <v>4747</v>
      </c>
      <c r="Q853" s="15" t="s">
        <v>4749</v>
      </c>
      <c r="R853" s="15"/>
      <c r="S853" s="15"/>
      <c r="T853" s="15" t="s">
        <v>4674</v>
      </c>
    </row>
    <row r="854" spans="1:20" x14ac:dyDescent="0.35">
      <c r="A854" s="2" t="s">
        <v>1711</v>
      </c>
      <c r="B854" s="2" t="s">
        <v>1712</v>
      </c>
      <c r="C854" s="2" t="s">
        <v>15</v>
      </c>
      <c r="D854" s="2">
        <v>0</v>
      </c>
      <c r="E854" s="2" t="s">
        <v>10</v>
      </c>
      <c r="F854" s="2">
        <v>0</v>
      </c>
      <c r="G854" s="22">
        <f>Table4[[#This Row],[Item Cost]]*Table4[[#This Row],[In Stock]]</f>
        <v>0</v>
      </c>
      <c r="H854" s="12" t="s">
        <v>4661</v>
      </c>
      <c r="I854" s="13" t="s">
        <v>4666</v>
      </c>
      <c r="J854" s="13" t="s">
        <v>4674</v>
      </c>
      <c r="K854" t="s">
        <v>4798</v>
      </c>
      <c r="L854" s="12" t="s">
        <v>4672</v>
      </c>
      <c r="M854" s="17" t="str">
        <f>IF(LEN(COUNTIFS($H$1:H854,$H854,$I$1:I854,$I854,$J$1:J854,$J854,$K$1:K854,K854,$L$1:L854,L854))=1,"00"&amp;COUNTIFS($H$1:H854,$H854,$I$1:I854,$I854,$J$1:J854,$J854,$K$1:K854,K854,$L$1:L854,L854),IF(LEN(COUNTIFS($H$1:H854,$H854,$I$1:I854,$I854,$J$1:J854,$J854,$K$1:K854,K854,$L$1:L854,L854))=2,"0"&amp;COUNTIFS($H$1:H854,$H854,$I$1:I854,$I854,$J$1:J854,$J854,$K$1:K854,K854,$L$1:L854,L854),COUNTIFS($H$1:H854,$H854,$I$1:I854,$I854,$J$1:J854,$J854,$K$1:K854,K854,$L$1:L854,L854)))</f>
        <v>003</v>
      </c>
      <c r="N85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54" s="14" t="e">
        <f>+LEN(Table4[[#This Row],[New Item Code]])</f>
        <v>#N/A</v>
      </c>
      <c r="P854" s="15" t="s">
        <v>4747</v>
      </c>
      <c r="Q854" s="15" t="s">
        <v>4749</v>
      </c>
      <c r="R854" s="15"/>
      <c r="S854" s="15"/>
      <c r="T854" s="15" t="s">
        <v>4674</v>
      </c>
    </row>
    <row r="855" spans="1:20" x14ac:dyDescent="0.35">
      <c r="A855" s="3" t="s">
        <v>1713</v>
      </c>
      <c r="B855" s="3" t="s">
        <v>1714</v>
      </c>
      <c r="C855" s="3" t="s">
        <v>9</v>
      </c>
      <c r="D855" s="5">
        <v>3025</v>
      </c>
      <c r="E855" s="3" t="s">
        <v>10</v>
      </c>
      <c r="F855" s="3">
        <v>2</v>
      </c>
      <c r="G855" s="21">
        <f>Table4[[#This Row],[Item Cost]]*Table4[[#This Row],[In Stock]]</f>
        <v>6050</v>
      </c>
      <c r="H855" s="12" t="s">
        <v>4661</v>
      </c>
      <c r="I855" s="13" t="s">
        <v>4664</v>
      </c>
      <c r="J855" s="13" t="s">
        <v>4674</v>
      </c>
      <c r="K855" t="s">
        <v>4798</v>
      </c>
      <c r="L855" s="12" t="s">
        <v>4672</v>
      </c>
      <c r="M855" s="17" t="str">
        <f>IF(LEN(COUNTIFS($H$1:H855,$H855,$I$1:I855,$I855,$J$1:J855,$J855,$K$1:K855,K855,$L$1:L855,L855))=1,"00"&amp;COUNTIFS($H$1:H855,$H855,$I$1:I855,$I855,$J$1:J855,$J855,$K$1:K855,K855,$L$1:L855,L855),IF(LEN(COUNTIFS($H$1:H855,$H855,$I$1:I855,$I855,$J$1:J855,$J855,$K$1:K855,K855,$L$1:L855,L855))=2,"0"&amp;COUNTIFS($H$1:H855,$H855,$I$1:I855,$I855,$J$1:J855,$J855,$K$1:K855,K855,$L$1:L855,L855),COUNTIFS($H$1:H855,$H855,$I$1:I855,$I855,$J$1:J855,$J855,$K$1:K855,K855,$L$1:L855,L855)))</f>
        <v>001</v>
      </c>
      <c r="N85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55" s="14" t="e">
        <f>+LEN(Table4[[#This Row],[New Item Code]])</f>
        <v>#N/A</v>
      </c>
      <c r="P855" s="15" t="s">
        <v>4747</v>
      </c>
      <c r="Q855" s="15" t="s">
        <v>4749</v>
      </c>
      <c r="R855" s="15"/>
      <c r="S855" s="15"/>
      <c r="T855" s="15" t="s">
        <v>4674</v>
      </c>
    </row>
    <row r="856" spans="1:20" x14ac:dyDescent="0.35">
      <c r="A856" s="2" t="s">
        <v>1715</v>
      </c>
      <c r="B856" s="2" t="s">
        <v>1716</v>
      </c>
      <c r="C856" s="2" t="s">
        <v>9</v>
      </c>
      <c r="D856" s="4">
        <v>5581.02</v>
      </c>
      <c r="E856" s="2" t="s">
        <v>10</v>
      </c>
      <c r="F856" s="2">
        <v>1</v>
      </c>
      <c r="G856" s="22">
        <f>Table4[[#This Row],[Item Cost]]*Table4[[#This Row],[In Stock]]</f>
        <v>5581.02</v>
      </c>
      <c r="H856" s="12" t="s">
        <v>4661</v>
      </c>
      <c r="I856" s="13" t="s">
        <v>4664</v>
      </c>
      <c r="J856" s="13" t="s">
        <v>4674</v>
      </c>
      <c r="K856" t="s">
        <v>4798</v>
      </c>
      <c r="L856" s="12" t="s">
        <v>4672</v>
      </c>
      <c r="M856" s="17" t="str">
        <f>IF(LEN(COUNTIFS($H$1:H856,$H856,$I$1:I856,$I856,$J$1:J856,$J856,$K$1:K856,K856,$L$1:L856,L856))=1,"00"&amp;COUNTIFS($H$1:H856,$H856,$I$1:I856,$I856,$J$1:J856,$J856,$K$1:K856,K856,$L$1:L856,L856),IF(LEN(COUNTIFS($H$1:H856,$H856,$I$1:I856,$I856,$J$1:J856,$J856,$K$1:K856,K856,$L$1:L856,L856))=2,"0"&amp;COUNTIFS($H$1:H856,$H856,$I$1:I856,$I856,$J$1:J856,$J856,$K$1:K856,K856,$L$1:L856,L856),COUNTIFS($H$1:H856,$H856,$I$1:I856,$I856,$J$1:J856,$J856,$K$1:K856,K856,$L$1:L856,L856)))</f>
        <v>002</v>
      </c>
      <c r="N85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56" s="14" t="e">
        <f>+LEN(Table4[[#This Row],[New Item Code]])</f>
        <v>#N/A</v>
      </c>
      <c r="P856" s="15" t="s">
        <v>4747</v>
      </c>
      <c r="Q856" s="15" t="s">
        <v>4749</v>
      </c>
      <c r="R856" s="15"/>
      <c r="S856" s="15"/>
      <c r="T856" s="15" t="s">
        <v>4674</v>
      </c>
    </row>
    <row r="857" spans="1:20" x14ac:dyDescent="0.35">
      <c r="A857" s="3" t="s">
        <v>1717</v>
      </c>
      <c r="B857" s="3" t="s">
        <v>1718</v>
      </c>
      <c r="C857" s="3" t="s">
        <v>15</v>
      </c>
      <c r="D857" s="3">
        <v>0</v>
      </c>
      <c r="E857" s="3" t="s">
        <v>10</v>
      </c>
      <c r="F857" s="3">
        <v>0</v>
      </c>
      <c r="G857" s="21">
        <f>Table4[[#This Row],[Item Cost]]*Table4[[#This Row],[In Stock]]</f>
        <v>0</v>
      </c>
      <c r="H857" s="12" t="s">
        <v>4661</v>
      </c>
      <c r="I857" s="13" t="s">
        <v>4666</v>
      </c>
      <c r="J857" s="13" t="s">
        <v>4674</v>
      </c>
      <c r="K857" s="13" t="s">
        <v>4672</v>
      </c>
      <c r="L857" s="12" t="s">
        <v>4672</v>
      </c>
      <c r="M857" s="17" t="str">
        <f>IF(LEN(COUNTIFS($H$1:H857,$H857,$I$1:I857,$I857,$J$1:J857,$J857,$K$1:K857,K857,$L$1:L857,L857))=1,"00"&amp;COUNTIFS($H$1:H857,$H857,$I$1:I857,$I857,$J$1:J857,$J857,$K$1:K857,K857,$L$1:L857,L857),IF(LEN(COUNTIFS($H$1:H857,$H857,$I$1:I857,$I857,$J$1:J857,$J857,$K$1:K857,K857,$L$1:L857,L857))=2,"0"&amp;COUNTIFS($H$1:H857,$H857,$I$1:I857,$I857,$J$1:J857,$J857,$K$1:K857,K857,$L$1:L857,L857),COUNTIFS($H$1:H857,$H857,$I$1:I857,$I857,$J$1:J857,$J857,$K$1:K857,K857,$L$1:L857,L857)))</f>
        <v>004</v>
      </c>
      <c r="N85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57" s="14" t="e">
        <f>+LEN(Table4[[#This Row],[New Item Code]])</f>
        <v>#N/A</v>
      </c>
      <c r="P857" s="15" t="s">
        <v>4747</v>
      </c>
      <c r="Q857" s="15" t="s">
        <v>4749</v>
      </c>
      <c r="R857" s="15"/>
      <c r="S857" s="15"/>
      <c r="T857" s="15" t="s">
        <v>4674</v>
      </c>
    </row>
    <row r="858" spans="1:20" x14ac:dyDescent="0.35">
      <c r="A858" s="2" t="s">
        <v>1719</v>
      </c>
      <c r="B858" s="2" t="s">
        <v>1720</v>
      </c>
      <c r="C858" s="2" t="s">
        <v>9</v>
      </c>
      <c r="D858" s="2">
        <v>475</v>
      </c>
      <c r="E858" s="2" t="s">
        <v>10</v>
      </c>
      <c r="F858" s="2">
        <v>2</v>
      </c>
      <c r="G858" s="22">
        <f>Table4[[#This Row],[Item Cost]]*Table4[[#This Row],[In Stock]]</f>
        <v>950</v>
      </c>
      <c r="H858" s="12" t="s">
        <v>4661</v>
      </c>
      <c r="I858" s="13" t="s">
        <v>4664</v>
      </c>
      <c r="J858" s="13" t="s">
        <v>4674</v>
      </c>
      <c r="K858" s="13" t="s">
        <v>4776</v>
      </c>
      <c r="L858" s="12" t="s">
        <v>4672</v>
      </c>
      <c r="M858" s="17" t="str">
        <f>IF(LEN(COUNTIFS($H$1:H858,$H858,$I$1:I858,$I858,$J$1:J858,$J858,$K$1:K858,K858,$L$1:L858,L858))=1,"00"&amp;COUNTIFS($H$1:H858,$H858,$I$1:I858,$I858,$J$1:J858,$J858,$K$1:K858,K858,$L$1:L858,L858),IF(LEN(COUNTIFS($H$1:H858,$H858,$I$1:I858,$I858,$J$1:J858,$J858,$K$1:K858,K858,$L$1:L858,L858))=2,"0"&amp;COUNTIFS($H$1:H858,$H858,$I$1:I858,$I858,$J$1:J858,$J858,$K$1:K858,K858,$L$1:L858,L858),COUNTIFS($H$1:H858,$H858,$I$1:I858,$I858,$J$1:J858,$J858,$K$1:K858,K858,$L$1:L858,L858)))</f>
        <v>001</v>
      </c>
      <c r="N85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58" s="14" t="e">
        <f>+LEN(Table4[[#This Row],[New Item Code]])</f>
        <v>#N/A</v>
      </c>
      <c r="P858" s="15" t="s">
        <v>4747</v>
      </c>
      <c r="Q858" s="15" t="s">
        <v>4749</v>
      </c>
      <c r="R858" s="15"/>
      <c r="S858" s="15"/>
      <c r="T858" s="15" t="s">
        <v>4674</v>
      </c>
    </row>
    <row r="859" spans="1:20" x14ac:dyDescent="0.35">
      <c r="A859" s="3" t="s">
        <v>1721</v>
      </c>
      <c r="B859" s="3" t="s">
        <v>1722</v>
      </c>
      <c r="C859" s="3" t="s">
        <v>9</v>
      </c>
      <c r="D859" s="3">
        <v>110</v>
      </c>
      <c r="E859" s="3" t="s">
        <v>10</v>
      </c>
      <c r="F859" s="3">
        <v>8</v>
      </c>
      <c r="G859" s="21">
        <f>Table4[[#This Row],[Item Cost]]*Table4[[#This Row],[In Stock]]</f>
        <v>880</v>
      </c>
      <c r="H859" s="12" t="s">
        <v>4661</v>
      </c>
      <c r="I859" s="13" t="s">
        <v>4664</v>
      </c>
      <c r="J859" s="13" t="s">
        <v>4674</v>
      </c>
      <c r="K859" s="13" t="s">
        <v>4672</v>
      </c>
      <c r="L859" s="12" t="s">
        <v>4672</v>
      </c>
      <c r="M859" s="17" t="str">
        <f>IF(LEN(COUNTIFS($H$1:H859,$H859,$I$1:I859,$I859,$J$1:J859,$J859,$K$1:K859,K859,$L$1:L859,L859))=1,"00"&amp;COUNTIFS($H$1:H859,$H859,$I$1:I859,$I859,$J$1:J859,$J859,$K$1:K859,K859,$L$1:L859,L859),IF(LEN(COUNTIFS($H$1:H859,$H859,$I$1:I859,$I859,$J$1:J859,$J859,$K$1:K859,K859,$L$1:L859,L859))=2,"0"&amp;COUNTIFS($H$1:H859,$H859,$I$1:I859,$I859,$J$1:J859,$J859,$K$1:K859,K859,$L$1:L859,L859),COUNTIFS($H$1:H859,$H859,$I$1:I859,$I859,$J$1:J859,$J859,$K$1:K859,K859,$L$1:L859,L859)))</f>
        <v>001</v>
      </c>
      <c r="N85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59" s="14" t="e">
        <f>+LEN(Table4[[#This Row],[New Item Code]])</f>
        <v>#N/A</v>
      </c>
      <c r="P859" s="15" t="s">
        <v>4747</v>
      </c>
      <c r="Q859" s="15" t="s">
        <v>4749</v>
      </c>
      <c r="R859" s="15"/>
      <c r="S859" s="15"/>
      <c r="T859" s="15" t="s">
        <v>4674</v>
      </c>
    </row>
    <row r="860" spans="1:20" x14ac:dyDescent="0.35">
      <c r="A860" s="2" t="s">
        <v>1723</v>
      </c>
      <c r="B860" s="2" t="s">
        <v>1724</v>
      </c>
      <c r="C860" s="2" t="s">
        <v>15</v>
      </c>
      <c r="D860" s="2">
        <v>180</v>
      </c>
      <c r="E860" s="2" t="s">
        <v>10</v>
      </c>
      <c r="F860" s="2">
        <v>0</v>
      </c>
      <c r="G860" s="22">
        <f>Table4[[#This Row],[Item Cost]]*Table4[[#This Row],[In Stock]]</f>
        <v>0</v>
      </c>
      <c r="H860" s="12" t="s">
        <v>4661</v>
      </c>
      <c r="I860" s="13" t="s">
        <v>4666</v>
      </c>
      <c r="J860" s="13" t="s">
        <v>4674</v>
      </c>
      <c r="K860" s="13" t="s">
        <v>4672</v>
      </c>
      <c r="L860" s="12" t="s">
        <v>4672</v>
      </c>
      <c r="M860" s="17" t="str">
        <f>IF(LEN(COUNTIFS($H$1:H860,$H860,$I$1:I860,$I860,$J$1:J860,$J860,$K$1:K860,K860,$L$1:L860,L860))=1,"00"&amp;COUNTIFS($H$1:H860,$H860,$I$1:I860,$I860,$J$1:J860,$J860,$K$1:K860,K860,$L$1:L860,L860),IF(LEN(COUNTIFS($H$1:H860,$H860,$I$1:I860,$I860,$J$1:J860,$J860,$K$1:K860,K860,$L$1:L860,L860))=2,"0"&amp;COUNTIFS($H$1:H860,$H860,$I$1:I860,$I860,$J$1:J860,$J860,$K$1:K860,K860,$L$1:L860,L860),COUNTIFS($H$1:H860,$H860,$I$1:I860,$I860,$J$1:J860,$J860,$K$1:K860,K860,$L$1:L860,L860)))</f>
        <v>005</v>
      </c>
      <c r="N86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60" s="14" t="e">
        <f>+LEN(Table4[[#This Row],[New Item Code]])</f>
        <v>#N/A</v>
      </c>
      <c r="P860" s="15" t="s">
        <v>4747</v>
      </c>
      <c r="Q860" s="15" t="s">
        <v>4749</v>
      </c>
      <c r="R860" s="15"/>
      <c r="S860" s="15"/>
      <c r="T860" s="15" t="s">
        <v>4674</v>
      </c>
    </row>
    <row r="861" spans="1:20" x14ac:dyDescent="0.35">
      <c r="A861" s="3" t="s">
        <v>1725</v>
      </c>
      <c r="B861" s="3" t="s">
        <v>1726</v>
      </c>
      <c r="C861" s="3" t="s">
        <v>15</v>
      </c>
      <c r="D861" s="3">
        <v>0</v>
      </c>
      <c r="E861" s="3" t="s">
        <v>10</v>
      </c>
      <c r="F861" s="3">
        <v>0</v>
      </c>
      <c r="G861" s="21">
        <f>Table4[[#This Row],[Item Cost]]*Table4[[#This Row],[In Stock]]</f>
        <v>0</v>
      </c>
      <c r="H861" s="12" t="s">
        <v>4661</v>
      </c>
      <c r="I861" s="13" t="s">
        <v>4666</v>
      </c>
      <c r="J861" s="13" t="s">
        <v>4674</v>
      </c>
      <c r="K861" s="13" t="s">
        <v>4672</v>
      </c>
      <c r="L861" s="12" t="s">
        <v>4672</v>
      </c>
      <c r="M861" s="17" t="str">
        <f>IF(LEN(COUNTIFS($H$1:H861,$H861,$I$1:I861,$I861,$J$1:J861,$J861,$K$1:K861,K861,$L$1:L861,L861))=1,"00"&amp;COUNTIFS($H$1:H861,$H861,$I$1:I861,$I861,$J$1:J861,$J861,$K$1:K861,K861,$L$1:L861,L861),IF(LEN(COUNTIFS($H$1:H861,$H861,$I$1:I861,$I861,$J$1:J861,$J861,$K$1:K861,K861,$L$1:L861,L861))=2,"0"&amp;COUNTIFS($H$1:H861,$H861,$I$1:I861,$I861,$J$1:J861,$J861,$K$1:K861,K861,$L$1:L861,L861),COUNTIFS($H$1:H861,$H861,$I$1:I861,$I861,$J$1:J861,$J861,$K$1:K861,K861,$L$1:L861,L861)))</f>
        <v>006</v>
      </c>
      <c r="N86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61" s="14" t="e">
        <f>+LEN(Table4[[#This Row],[New Item Code]])</f>
        <v>#N/A</v>
      </c>
      <c r="P861" s="15" t="s">
        <v>4747</v>
      </c>
      <c r="Q861" s="15" t="s">
        <v>4749</v>
      </c>
      <c r="R861" s="15"/>
      <c r="S861" s="15"/>
      <c r="T861" s="15" t="s">
        <v>4674</v>
      </c>
    </row>
    <row r="862" spans="1:20" x14ac:dyDescent="0.35">
      <c r="A862" s="2" t="s">
        <v>1727</v>
      </c>
      <c r="B862" s="2" t="s">
        <v>1728</v>
      </c>
      <c r="C862" s="2" t="s">
        <v>9</v>
      </c>
      <c r="D862" s="4">
        <v>5500</v>
      </c>
      <c r="E862" s="2" t="s">
        <v>10</v>
      </c>
      <c r="F862" s="2">
        <v>1</v>
      </c>
      <c r="G862" s="22">
        <f>Table4[[#This Row],[Item Cost]]*Table4[[#This Row],[In Stock]]</f>
        <v>5500</v>
      </c>
      <c r="H862" s="12" t="s">
        <v>4661</v>
      </c>
      <c r="I862" s="13" t="s">
        <v>4664</v>
      </c>
      <c r="J862" s="13" t="s">
        <v>4674</v>
      </c>
      <c r="K862" s="13" t="s">
        <v>4672</v>
      </c>
      <c r="L862" s="12" t="s">
        <v>4672</v>
      </c>
      <c r="M862" s="17" t="str">
        <f>IF(LEN(COUNTIFS($H$1:H862,$H862,$I$1:I862,$I862,$J$1:J862,$J862,$K$1:K862,K862,$L$1:L862,L862))=1,"00"&amp;COUNTIFS($H$1:H862,$H862,$I$1:I862,$I862,$J$1:J862,$J862,$K$1:K862,K862,$L$1:L862,L862),IF(LEN(COUNTIFS($H$1:H862,$H862,$I$1:I862,$I862,$J$1:J862,$J862,$K$1:K862,K862,$L$1:L862,L862))=2,"0"&amp;COUNTIFS($H$1:H862,$H862,$I$1:I862,$I862,$J$1:J862,$J862,$K$1:K862,K862,$L$1:L862,L862),COUNTIFS($H$1:H862,$H862,$I$1:I862,$I862,$J$1:J862,$J862,$K$1:K862,K862,$L$1:L862,L862)))</f>
        <v>002</v>
      </c>
      <c r="N86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62" s="14" t="e">
        <f>+LEN(Table4[[#This Row],[New Item Code]])</f>
        <v>#N/A</v>
      </c>
      <c r="P862" s="15" t="s">
        <v>4747</v>
      </c>
      <c r="Q862" s="15" t="s">
        <v>4749</v>
      </c>
      <c r="R862" s="15"/>
      <c r="S862" s="15"/>
      <c r="T862" s="15" t="s">
        <v>4674</v>
      </c>
    </row>
    <row r="863" spans="1:20" x14ac:dyDescent="0.35">
      <c r="A863" s="3" t="s">
        <v>1729</v>
      </c>
      <c r="B863" s="3" t="s">
        <v>1730</v>
      </c>
      <c r="C863" s="3" t="s">
        <v>9</v>
      </c>
      <c r="D863" s="5">
        <v>4850</v>
      </c>
      <c r="E863" s="3" t="s">
        <v>10</v>
      </c>
      <c r="F863" s="3">
        <v>1</v>
      </c>
      <c r="G863" s="21">
        <f>Table4[[#This Row],[Item Cost]]*Table4[[#This Row],[In Stock]]</f>
        <v>4850</v>
      </c>
      <c r="H863" s="12" t="s">
        <v>4661</v>
      </c>
      <c r="I863" s="13" t="s">
        <v>4664</v>
      </c>
      <c r="J863" s="13" t="s">
        <v>4674</v>
      </c>
      <c r="K863" s="13" t="s">
        <v>4672</v>
      </c>
      <c r="L863" s="12" t="s">
        <v>4672</v>
      </c>
      <c r="M863" s="17" t="str">
        <f>IF(LEN(COUNTIFS($H$1:H863,$H863,$I$1:I863,$I863,$J$1:J863,$J863,$K$1:K863,K863,$L$1:L863,L863))=1,"00"&amp;COUNTIFS($H$1:H863,$H863,$I$1:I863,$I863,$J$1:J863,$J863,$K$1:K863,K863,$L$1:L863,L863),IF(LEN(COUNTIFS($H$1:H863,$H863,$I$1:I863,$I863,$J$1:J863,$J863,$K$1:K863,K863,$L$1:L863,L863))=2,"0"&amp;COUNTIFS($H$1:H863,$H863,$I$1:I863,$I863,$J$1:J863,$J863,$K$1:K863,K863,$L$1:L863,L863),COUNTIFS($H$1:H863,$H863,$I$1:I863,$I863,$J$1:J863,$J863,$K$1:K863,K863,$L$1:L863,L863)))</f>
        <v>003</v>
      </c>
      <c r="N86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63" s="14" t="e">
        <f>+LEN(Table4[[#This Row],[New Item Code]])</f>
        <v>#N/A</v>
      </c>
      <c r="P863" s="15" t="s">
        <v>4747</v>
      </c>
      <c r="Q863" s="15" t="s">
        <v>4749</v>
      </c>
      <c r="R863" s="15"/>
      <c r="S863" s="15"/>
      <c r="T863" s="15" t="s">
        <v>4674</v>
      </c>
    </row>
    <row r="864" spans="1:20" x14ac:dyDescent="0.35">
      <c r="A864" s="2" t="s">
        <v>1731</v>
      </c>
      <c r="B864" s="2" t="s">
        <v>1732</v>
      </c>
      <c r="C864" s="2" t="s">
        <v>15</v>
      </c>
      <c r="D864" s="2">
        <v>0</v>
      </c>
      <c r="E864" s="2" t="s">
        <v>10</v>
      </c>
      <c r="F864" s="2">
        <v>0</v>
      </c>
      <c r="G864" s="22">
        <f>Table4[[#This Row],[Item Cost]]*Table4[[#This Row],[In Stock]]</f>
        <v>0</v>
      </c>
      <c r="H864" s="12" t="s">
        <v>4661</v>
      </c>
      <c r="I864" s="13" t="s">
        <v>4666</v>
      </c>
      <c r="J864" s="13" t="s">
        <v>4674</v>
      </c>
      <c r="K864" t="s">
        <v>4798</v>
      </c>
      <c r="L864" s="12" t="s">
        <v>4672</v>
      </c>
      <c r="M864" s="17" t="str">
        <f>IF(LEN(COUNTIFS($H$1:H864,$H864,$I$1:I864,$I864,$J$1:J864,$J864,$K$1:K864,K864,$L$1:L864,L864))=1,"00"&amp;COUNTIFS($H$1:H864,$H864,$I$1:I864,$I864,$J$1:J864,$J864,$K$1:K864,K864,$L$1:L864,L864),IF(LEN(COUNTIFS($H$1:H864,$H864,$I$1:I864,$I864,$J$1:J864,$J864,$K$1:K864,K864,$L$1:L864,L864))=2,"0"&amp;COUNTIFS($H$1:H864,$H864,$I$1:I864,$I864,$J$1:J864,$J864,$K$1:K864,K864,$L$1:L864,L864),COUNTIFS($H$1:H864,$H864,$I$1:I864,$I864,$J$1:J864,$J864,$K$1:K864,K864,$L$1:L864,L864)))</f>
        <v>004</v>
      </c>
      <c r="N86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64" s="14" t="e">
        <f>+LEN(Table4[[#This Row],[New Item Code]])</f>
        <v>#N/A</v>
      </c>
      <c r="P864" s="15" t="s">
        <v>4747</v>
      </c>
      <c r="Q864" s="15" t="s">
        <v>4749</v>
      </c>
      <c r="R864" s="15"/>
      <c r="S864" s="15"/>
      <c r="T864" s="15" t="s">
        <v>4674</v>
      </c>
    </row>
    <row r="865" spans="1:20" x14ac:dyDescent="0.35">
      <c r="A865" s="3" t="s">
        <v>1733</v>
      </c>
      <c r="B865" s="3" t="s">
        <v>1734</v>
      </c>
      <c r="C865" s="3" t="s">
        <v>15</v>
      </c>
      <c r="D865" s="3">
        <v>0</v>
      </c>
      <c r="E865" s="3" t="s">
        <v>10</v>
      </c>
      <c r="F865" s="3">
        <v>0</v>
      </c>
      <c r="G865" s="21">
        <f>Table4[[#This Row],[Item Cost]]*Table4[[#This Row],[In Stock]]</f>
        <v>0</v>
      </c>
      <c r="H865" s="12" t="s">
        <v>4661</v>
      </c>
      <c r="I865" s="13" t="s">
        <v>4666</v>
      </c>
      <c r="J865" s="13" t="s">
        <v>4674</v>
      </c>
      <c r="K865" t="s">
        <v>4799</v>
      </c>
      <c r="L865" s="12" t="s">
        <v>4672</v>
      </c>
      <c r="M865" s="17" t="str">
        <f>IF(LEN(COUNTIFS($H$1:H865,$H865,$I$1:I865,$I865,$J$1:J865,$J865,$K$1:K865,K865,$L$1:L865,L865))=1,"00"&amp;COUNTIFS($H$1:H865,$H865,$I$1:I865,$I865,$J$1:J865,$J865,$K$1:K865,K865,$L$1:L865,L865),IF(LEN(COUNTIFS($H$1:H865,$H865,$I$1:I865,$I865,$J$1:J865,$J865,$K$1:K865,K865,$L$1:L865,L865))=2,"0"&amp;COUNTIFS($H$1:H865,$H865,$I$1:I865,$I865,$J$1:J865,$J865,$K$1:K865,K865,$L$1:L865,L865),COUNTIFS($H$1:H865,$H865,$I$1:I865,$I865,$J$1:J865,$J865,$K$1:K865,K865,$L$1:L865,L865)))</f>
        <v>001</v>
      </c>
      <c r="N86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65" s="14" t="e">
        <f>+LEN(Table4[[#This Row],[New Item Code]])</f>
        <v>#N/A</v>
      </c>
      <c r="P865" s="15" t="s">
        <v>4747</v>
      </c>
      <c r="Q865" s="15" t="s">
        <v>4749</v>
      </c>
      <c r="R865" s="15"/>
      <c r="S865" s="15"/>
      <c r="T865" s="15" t="s">
        <v>4674</v>
      </c>
    </row>
    <row r="866" spans="1:20" x14ac:dyDescent="0.35">
      <c r="A866" s="2" t="s">
        <v>1735</v>
      </c>
      <c r="B866" s="2" t="s">
        <v>1736</v>
      </c>
      <c r="C866" s="2" t="s">
        <v>15</v>
      </c>
      <c r="D866" s="2">
        <v>0</v>
      </c>
      <c r="E866" s="2" t="s">
        <v>10</v>
      </c>
      <c r="F866" s="2">
        <v>0</v>
      </c>
      <c r="G866" s="22">
        <f>Table4[[#This Row],[Item Cost]]*Table4[[#This Row],[In Stock]]</f>
        <v>0</v>
      </c>
      <c r="H866" s="12" t="s">
        <v>4661</v>
      </c>
      <c r="I866" s="13" t="s">
        <v>4666</v>
      </c>
      <c r="J866" s="13" t="s">
        <v>4674</v>
      </c>
      <c r="K866" t="s">
        <v>4799</v>
      </c>
      <c r="L866" s="12" t="s">
        <v>4672</v>
      </c>
      <c r="M866" s="17" t="str">
        <f>IF(LEN(COUNTIFS($H$1:H866,$H866,$I$1:I866,$I866,$J$1:J866,$J866,$K$1:K866,K866,$L$1:L866,L866))=1,"00"&amp;COUNTIFS($H$1:H866,$H866,$I$1:I866,$I866,$J$1:J866,$J866,$K$1:K866,K866,$L$1:L866,L866),IF(LEN(COUNTIFS($H$1:H866,$H866,$I$1:I866,$I866,$J$1:J866,$J866,$K$1:K866,K866,$L$1:L866,L866))=2,"0"&amp;COUNTIFS($H$1:H866,$H866,$I$1:I866,$I866,$J$1:J866,$J866,$K$1:K866,K866,$L$1:L866,L866),COUNTIFS($H$1:H866,$H866,$I$1:I866,$I866,$J$1:J866,$J866,$K$1:K866,K866,$L$1:L866,L866)))</f>
        <v>002</v>
      </c>
      <c r="N86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66" s="14" t="e">
        <f>+LEN(Table4[[#This Row],[New Item Code]])</f>
        <v>#N/A</v>
      </c>
      <c r="P866" s="15" t="s">
        <v>4747</v>
      </c>
      <c r="Q866" s="15" t="s">
        <v>4749</v>
      </c>
      <c r="R866" s="15"/>
      <c r="S866" s="15"/>
      <c r="T866" s="15" t="s">
        <v>4674</v>
      </c>
    </row>
    <row r="867" spans="1:20" x14ac:dyDescent="0.35">
      <c r="A867" s="3" t="s">
        <v>1737</v>
      </c>
      <c r="B867" s="3" t="s">
        <v>1738</v>
      </c>
      <c r="C867" s="3" t="s">
        <v>9</v>
      </c>
      <c r="D867" s="5">
        <v>2374.44</v>
      </c>
      <c r="E867" s="3" t="s">
        <v>10</v>
      </c>
      <c r="F867" s="3">
        <v>1</v>
      </c>
      <c r="G867" s="21">
        <f>Table4[[#This Row],[Item Cost]]*Table4[[#This Row],[In Stock]]</f>
        <v>2374.44</v>
      </c>
      <c r="H867" s="12" t="s">
        <v>4661</v>
      </c>
      <c r="I867" s="13" t="s">
        <v>4664</v>
      </c>
      <c r="J867" s="13" t="s">
        <v>4674</v>
      </c>
      <c r="K867" s="13" t="s">
        <v>4672</v>
      </c>
      <c r="L867" s="12" t="s">
        <v>4672</v>
      </c>
      <c r="M867" s="17" t="str">
        <f>IF(LEN(COUNTIFS($H$1:H867,$H867,$I$1:I867,$I867,$J$1:J867,$J867,$K$1:K867,K867,$L$1:L867,L867))=1,"00"&amp;COUNTIFS($H$1:H867,$H867,$I$1:I867,$I867,$J$1:J867,$J867,$K$1:K867,K867,$L$1:L867,L867),IF(LEN(COUNTIFS($H$1:H867,$H867,$I$1:I867,$I867,$J$1:J867,$J867,$K$1:K867,K867,$L$1:L867,L867))=2,"0"&amp;COUNTIFS($H$1:H867,$H867,$I$1:I867,$I867,$J$1:J867,$J867,$K$1:K867,K867,$L$1:L867,L867),COUNTIFS($H$1:H867,$H867,$I$1:I867,$I867,$J$1:J867,$J867,$K$1:K867,K867,$L$1:L867,L867)))</f>
        <v>004</v>
      </c>
      <c r="N86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67" s="14" t="e">
        <f>+LEN(Table4[[#This Row],[New Item Code]])</f>
        <v>#N/A</v>
      </c>
      <c r="P867" s="15" t="s">
        <v>4747</v>
      </c>
      <c r="Q867" s="15" t="s">
        <v>4749</v>
      </c>
      <c r="R867" s="15"/>
      <c r="S867" s="15"/>
      <c r="T867" s="15" t="s">
        <v>4674</v>
      </c>
    </row>
    <row r="868" spans="1:20" x14ac:dyDescent="0.35">
      <c r="A868" s="2" t="s">
        <v>1739</v>
      </c>
      <c r="B868" s="2" t="s">
        <v>1740</v>
      </c>
      <c r="C868" s="2" t="s">
        <v>9</v>
      </c>
      <c r="D868" s="4">
        <v>2958.64</v>
      </c>
      <c r="E868" s="2" t="s">
        <v>10</v>
      </c>
      <c r="F868" s="2">
        <v>2</v>
      </c>
      <c r="G868" s="22">
        <f>Table4[[#This Row],[Item Cost]]*Table4[[#This Row],[In Stock]]</f>
        <v>5917.28</v>
      </c>
      <c r="H868" s="12" t="s">
        <v>4661</v>
      </c>
      <c r="I868" s="13" t="s">
        <v>4664</v>
      </c>
      <c r="J868" s="13" t="s">
        <v>4674</v>
      </c>
      <c r="K868" s="13" t="s">
        <v>4672</v>
      </c>
      <c r="L868" s="12" t="s">
        <v>4672</v>
      </c>
      <c r="M868" s="17" t="str">
        <f>IF(LEN(COUNTIFS($H$1:H868,$H868,$I$1:I868,$I868,$J$1:J868,$J868,$K$1:K868,K868,$L$1:L868,L868))=1,"00"&amp;COUNTIFS($H$1:H868,$H868,$I$1:I868,$I868,$J$1:J868,$J868,$K$1:K868,K868,$L$1:L868,L868),IF(LEN(COUNTIFS($H$1:H868,$H868,$I$1:I868,$I868,$J$1:J868,$J868,$K$1:K868,K868,$L$1:L868,L868))=2,"0"&amp;COUNTIFS($H$1:H868,$H868,$I$1:I868,$I868,$J$1:J868,$J868,$K$1:K868,K868,$L$1:L868,L868),COUNTIFS($H$1:H868,$H868,$I$1:I868,$I868,$J$1:J868,$J868,$K$1:K868,K868,$L$1:L868,L868)))</f>
        <v>005</v>
      </c>
      <c r="N86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68" s="14" t="e">
        <f>+LEN(Table4[[#This Row],[New Item Code]])</f>
        <v>#N/A</v>
      </c>
      <c r="P868" s="15" t="s">
        <v>4747</v>
      </c>
      <c r="Q868" s="15" t="s">
        <v>4749</v>
      </c>
      <c r="R868" s="15"/>
      <c r="S868" s="15"/>
      <c r="T868" s="15" t="s">
        <v>4674</v>
      </c>
    </row>
    <row r="869" spans="1:20" x14ac:dyDescent="0.35">
      <c r="A869" s="3" t="s">
        <v>1741</v>
      </c>
      <c r="B869" s="3" t="s">
        <v>1742</v>
      </c>
      <c r="C869" s="3" t="s">
        <v>9</v>
      </c>
      <c r="D869" s="5">
        <v>2065.6149999999998</v>
      </c>
      <c r="E869" s="3" t="s">
        <v>10</v>
      </c>
      <c r="F869" s="3">
        <v>2</v>
      </c>
      <c r="G869" s="21">
        <f>Table4[[#This Row],[Item Cost]]*Table4[[#This Row],[In Stock]]</f>
        <v>4131.2299999999996</v>
      </c>
      <c r="H869" s="12" t="s">
        <v>4661</v>
      </c>
      <c r="I869" s="13" t="s">
        <v>4664</v>
      </c>
      <c r="J869" s="13" t="s">
        <v>4674</v>
      </c>
      <c r="K869" s="13" t="s">
        <v>4672</v>
      </c>
      <c r="L869" s="12" t="s">
        <v>4672</v>
      </c>
      <c r="M869" s="17" t="str">
        <f>IF(LEN(COUNTIFS($H$1:H869,$H869,$I$1:I869,$I869,$J$1:J869,$J869,$K$1:K869,K869,$L$1:L869,L869))=1,"00"&amp;COUNTIFS($H$1:H869,$H869,$I$1:I869,$I869,$J$1:J869,$J869,$K$1:K869,K869,$L$1:L869,L869),IF(LEN(COUNTIFS($H$1:H869,$H869,$I$1:I869,$I869,$J$1:J869,$J869,$K$1:K869,K869,$L$1:L869,L869))=2,"0"&amp;COUNTIFS($H$1:H869,$H869,$I$1:I869,$I869,$J$1:J869,$J869,$K$1:K869,K869,$L$1:L869,L869),COUNTIFS($H$1:H869,$H869,$I$1:I869,$I869,$J$1:J869,$J869,$K$1:K869,K869,$L$1:L869,L869)))</f>
        <v>006</v>
      </c>
      <c r="N86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69" s="14" t="e">
        <f>+LEN(Table4[[#This Row],[New Item Code]])</f>
        <v>#N/A</v>
      </c>
      <c r="P869" s="15" t="s">
        <v>4747</v>
      </c>
      <c r="Q869" s="15" t="s">
        <v>4749</v>
      </c>
      <c r="R869" s="15"/>
      <c r="S869" s="15"/>
      <c r="T869" s="15" t="s">
        <v>4674</v>
      </c>
    </row>
    <row r="870" spans="1:20" x14ac:dyDescent="0.35">
      <c r="A870" s="2" t="s">
        <v>1743</v>
      </c>
      <c r="B870" s="2" t="s">
        <v>1744</v>
      </c>
      <c r="C870" s="2" t="s">
        <v>15</v>
      </c>
      <c r="D870" s="2">
        <v>0</v>
      </c>
      <c r="E870" s="2" t="s">
        <v>10</v>
      </c>
      <c r="F870" s="2">
        <v>0</v>
      </c>
      <c r="G870" s="22">
        <f>Table4[[#This Row],[Item Cost]]*Table4[[#This Row],[In Stock]]</f>
        <v>0</v>
      </c>
      <c r="H870" s="12" t="s">
        <v>4661</v>
      </c>
      <c r="I870" s="13" t="s">
        <v>4666</v>
      </c>
      <c r="J870" s="13" t="s">
        <v>4674</v>
      </c>
      <c r="K870" s="13" t="s">
        <v>4672</v>
      </c>
      <c r="L870" s="12" t="s">
        <v>4672</v>
      </c>
      <c r="M870" s="17" t="str">
        <f>IF(LEN(COUNTIFS($H$1:H870,$H870,$I$1:I870,$I870,$J$1:J870,$J870,$K$1:K870,K870,$L$1:L870,L870))=1,"00"&amp;COUNTIFS($H$1:H870,$H870,$I$1:I870,$I870,$J$1:J870,$J870,$K$1:K870,K870,$L$1:L870,L870),IF(LEN(COUNTIFS($H$1:H870,$H870,$I$1:I870,$I870,$J$1:J870,$J870,$K$1:K870,K870,$L$1:L870,L870))=2,"0"&amp;COUNTIFS($H$1:H870,$H870,$I$1:I870,$I870,$J$1:J870,$J870,$K$1:K870,K870,$L$1:L870,L870),COUNTIFS($H$1:H870,$H870,$I$1:I870,$I870,$J$1:J870,$J870,$K$1:K870,K870,$L$1:L870,L870)))</f>
        <v>007</v>
      </c>
      <c r="N87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70" s="14" t="e">
        <f>+LEN(Table4[[#This Row],[New Item Code]])</f>
        <v>#N/A</v>
      </c>
      <c r="P870" s="15" t="s">
        <v>4747</v>
      </c>
      <c r="Q870" s="15" t="s">
        <v>4749</v>
      </c>
      <c r="R870" s="15"/>
      <c r="S870" s="15"/>
      <c r="T870" s="15" t="s">
        <v>4674</v>
      </c>
    </row>
    <row r="871" spans="1:20" x14ac:dyDescent="0.35">
      <c r="A871" s="3" t="s">
        <v>1745</v>
      </c>
      <c r="B871" s="3" t="s">
        <v>1746</v>
      </c>
      <c r="C871" s="3" t="s">
        <v>9</v>
      </c>
      <c r="D871" s="3">
        <v>170</v>
      </c>
      <c r="E871" s="3" t="s">
        <v>10</v>
      </c>
      <c r="F871" s="3">
        <v>3</v>
      </c>
      <c r="G871" s="21">
        <f>Table4[[#This Row],[Item Cost]]*Table4[[#This Row],[In Stock]]</f>
        <v>510</v>
      </c>
      <c r="H871" s="12" t="s">
        <v>4661</v>
      </c>
      <c r="I871" s="13" t="s">
        <v>4664</v>
      </c>
      <c r="J871" s="13" t="s">
        <v>4674</v>
      </c>
      <c r="K871" s="13" t="s">
        <v>4672</v>
      </c>
      <c r="L871" s="12" t="s">
        <v>4672</v>
      </c>
      <c r="M871" s="17" t="str">
        <f>IF(LEN(COUNTIFS($H$1:H871,$H871,$I$1:I871,$I871,$J$1:J871,$J871,$K$1:K871,K871,$L$1:L871,L871))=1,"00"&amp;COUNTIFS($H$1:H871,$H871,$I$1:I871,$I871,$J$1:J871,$J871,$K$1:K871,K871,$L$1:L871,L871),IF(LEN(COUNTIFS($H$1:H871,$H871,$I$1:I871,$I871,$J$1:J871,$J871,$K$1:K871,K871,$L$1:L871,L871))=2,"0"&amp;COUNTIFS($H$1:H871,$H871,$I$1:I871,$I871,$J$1:J871,$J871,$K$1:K871,K871,$L$1:L871,L871),COUNTIFS($H$1:H871,$H871,$I$1:I871,$I871,$J$1:J871,$J871,$K$1:K871,K871,$L$1:L871,L871)))</f>
        <v>007</v>
      </c>
      <c r="N87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71" s="14" t="e">
        <f>+LEN(Table4[[#This Row],[New Item Code]])</f>
        <v>#N/A</v>
      </c>
      <c r="P871" s="15" t="s">
        <v>4747</v>
      </c>
      <c r="Q871" s="15" t="s">
        <v>4749</v>
      </c>
      <c r="R871" s="15"/>
      <c r="S871" s="15"/>
      <c r="T871" s="15" t="s">
        <v>4674</v>
      </c>
    </row>
    <row r="872" spans="1:20" x14ac:dyDescent="0.35">
      <c r="A872" s="2" t="s">
        <v>1747</v>
      </c>
      <c r="B872" s="2" t="s">
        <v>1748</v>
      </c>
      <c r="C872" s="2" t="s">
        <v>9</v>
      </c>
      <c r="D872" s="4">
        <v>2637.5</v>
      </c>
      <c r="E872" s="2" t="s">
        <v>10</v>
      </c>
      <c r="F872" s="2">
        <v>1</v>
      </c>
      <c r="G872" s="22">
        <f>Table4[[#This Row],[Item Cost]]*Table4[[#This Row],[In Stock]]</f>
        <v>2637.5</v>
      </c>
      <c r="H872" s="12" t="s">
        <v>4661</v>
      </c>
      <c r="I872" s="13" t="s">
        <v>4664</v>
      </c>
      <c r="J872" s="13" t="s">
        <v>4674</v>
      </c>
      <c r="K872" s="13" t="s">
        <v>4672</v>
      </c>
      <c r="L872" s="12" t="s">
        <v>4672</v>
      </c>
      <c r="M872" s="17" t="str">
        <f>IF(LEN(COUNTIFS($H$1:H872,$H872,$I$1:I872,$I872,$J$1:J872,$J872,$K$1:K872,K872,$L$1:L872,L872))=1,"00"&amp;COUNTIFS($H$1:H872,$H872,$I$1:I872,$I872,$J$1:J872,$J872,$K$1:K872,K872,$L$1:L872,L872),IF(LEN(COUNTIFS($H$1:H872,$H872,$I$1:I872,$I872,$J$1:J872,$J872,$K$1:K872,K872,$L$1:L872,L872))=2,"0"&amp;COUNTIFS($H$1:H872,$H872,$I$1:I872,$I872,$J$1:J872,$J872,$K$1:K872,K872,$L$1:L872,L872),COUNTIFS($H$1:H872,$H872,$I$1:I872,$I872,$J$1:J872,$J872,$K$1:K872,K872,$L$1:L872,L872)))</f>
        <v>008</v>
      </c>
      <c r="N87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72" s="14" t="e">
        <f>+LEN(Table4[[#This Row],[New Item Code]])</f>
        <v>#N/A</v>
      </c>
      <c r="P872" s="15" t="s">
        <v>4747</v>
      </c>
      <c r="Q872" s="15" t="s">
        <v>4749</v>
      </c>
      <c r="R872" s="15"/>
      <c r="S872" s="15"/>
      <c r="T872" s="15" t="s">
        <v>4674</v>
      </c>
    </row>
    <row r="873" spans="1:20" x14ac:dyDescent="0.35">
      <c r="A873" s="3" t="s">
        <v>1749</v>
      </c>
      <c r="B873" s="3" t="s">
        <v>1750</v>
      </c>
      <c r="C873" s="3" t="s">
        <v>15</v>
      </c>
      <c r="D873" s="5">
        <v>3750</v>
      </c>
      <c r="E873" s="3" t="s">
        <v>10</v>
      </c>
      <c r="F873" s="3">
        <v>2</v>
      </c>
      <c r="G873" s="21">
        <f>Table4[[#This Row],[Item Cost]]*Table4[[#This Row],[In Stock]]</f>
        <v>7500</v>
      </c>
      <c r="H873" s="12" t="s">
        <v>4661</v>
      </c>
      <c r="I873" s="13" t="s">
        <v>4666</v>
      </c>
      <c r="J873" s="13" t="s">
        <v>4674</v>
      </c>
      <c r="K873" s="13" t="s">
        <v>4672</v>
      </c>
      <c r="L873" s="12" t="s">
        <v>4672</v>
      </c>
      <c r="M873" s="17" t="str">
        <f>IF(LEN(COUNTIFS($H$1:H873,$H873,$I$1:I873,$I873,$J$1:J873,$J873,$K$1:K873,K873,$L$1:L873,L873))=1,"00"&amp;COUNTIFS($H$1:H873,$H873,$I$1:I873,$I873,$J$1:J873,$J873,$K$1:K873,K873,$L$1:L873,L873),IF(LEN(COUNTIFS($H$1:H873,$H873,$I$1:I873,$I873,$J$1:J873,$J873,$K$1:K873,K873,$L$1:L873,L873))=2,"0"&amp;COUNTIFS($H$1:H873,$H873,$I$1:I873,$I873,$J$1:J873,$J873,$K$1:K873,K873,$L$1:L873,L873),COUNTIFS($H$1:H873,$H873,$I$1:I873,$I873,$J$1:J873,$J873,$K$1:K873,K873,$L$1:L873,L873)))</f>
        <v>008</v>
      </c>
      <c r="N87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73" s="14" t="e">
        <f>+LEN(Table4[[#This Row],[New Item Code]])</f>
        <v>#N/A</v>
      </c>
      <c r="P873" s="15" t="s">
        <v>4747</v>
      </c>
      <c r="Q873" s="15" t="s">
        <v>4749</v>
      </c>
      <c r="R873" s="15"/>
      <c r="S873" s="15"/>
      <c r="T873" s="15" t="s">
        <v>4674</v>
      </c>
    </row>
    <row r="874" spans="1:20" x14ac:dyDescent="0.35">
      <c r="A874" s="2" t="s">
        <v>1751</v>
      </c>
      <c r="B874" s="2" t="s">
        <v>1752</v>
      </c>
      <c r="C874" s="2" t="s">
        <v>9</v>
      </c>
      <c r="D874" s="4">
        <v>3418.5</v>
      </c>
      <c r="E874" s="2" t="s">
        <v>10</v>
      </c>
      <c r="F874" s="2">
        <v>1</v>
      </c>
      <c r="G874" s="22">
        <f>Table4[[#This Row],[Item Cost]]*Table4[[#This Row],[In Stock]]</f>
        <v>3418.5</v>
      </c>
      <c r="H874" s="12" t="s">
        <v>4661</v>
      </c>
      <c r="I874" s="13" t="s">
        <v>4664</v>
      </c>
      <c r="J874" s="13" t="s">
        <v>4674</v>
      </c>
      <c r="K874" s="13" t="s">
        <v>4672</v>
      </c>
      <c r="L874" s="12" t="s">
        <v>4672</v>
      </c>
      <c r="M874" s="17" t="str">
        <f>IF(LEN(COUNTIFS($H$1:H874,$H874,$I$1:I874,$I874,$J$1:J874,$J874,$K$1:K874,K874,$L$1:L874,L874))=1,"00"&amp;COUNTIFS($H$1:H874,$H874,$I$1:I874,$I874,$J$1:J874,$J874,$K$1:K874,K874,$L$1:L874,L874),IF(LEN(COUNTIFS($H$1:H874,$H874,$I$1:I874,$I874,$J$1:J874,$J874,$K$1:K874,K874,$L$1:L874,L874))=2,"0"&amp;COUNTIFS($H$1:H874,$H874,$I$1:I874,$I874,$J$1:J874,$J874,$K$1:K874,K874,$L$1:L874,L874),COUNTIFS($H$1:H874,$H874,$I$1:I874,$I874,$J$1:J874,$J874,$K$1:K874,K874,$L$1:L874,L874)))</f>
        <v>009</v>
      </c>
      <c r="N87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74" s="14" t="e">
        <f>+LEN(Table4[[#This Row],[New Item Code]])</f>
        <v>#N/A</v>
      </c>
      <c r="P874" s="15" t="s">
        <v>4747</v>
      </c>
      <c r="Q874" s="15" t="s">
        <v>4749</v>
      </c>
      <c r="R874" s="15"/>
      <c r="S874" s="15"/>
      <c r="T874" s="15" t="s">
        <v>4674</v>
      </c>
    </row>
    <row r="875" spans="1:20" x14ac:dyDescent="0.35">
      <c r="A875" s="3" t="s">
        <v>1753</v>
      </c>
      <c r="B875" s="3" t="s">
        <v>1754</v>
      </c>
      <c r="C875" s="3" t="s">
        <v>15</v>
      </c>
      <c r="D875" s="5">
        <v>2256</v>
      </c>
      <c r="E875" s="3" t="s">
        <v>10</v>
      </c>
      <c r="F875" s="3">
        <v>1</v>
      </c>
      <c r="G875" s="21">
        <f>Table4[[#This Row],[Item Cost]]*Table4[[#This Row],[In Stock]]</f>
        <v>2256</v>
      </c>
      <c r="H875" s="12" t="s">
        <v>4661</v>
      </c>
      <c r="I875" s="13" t="s">
        <v>4666</v>
      </c>
      <c r="J875" s="13" t="s">
        <v>4674</v>
      </c>
      <c r="K875" s="13" t="s">
        <v>4672</v>
      </c>
      <c r="L875" s="12" t="s">
        <v>4672</v>
      </c>
      <c r="M875" s="17" t="str">
        <f>IF(LEN(COUNTIFS($H$1:H875,$H875,$I$1:I875,$I875,$J$1:J875,$J875,$K$1:K875,K875,$L$1:L875,L875))=1,"00"&amp;COUNTIFS($H$1:H875,$H875,$I$1:I875,$I875,$J$1:J875,$J875,$K$1:K875,K875,$L$1:L875,L875),IF(LEN(COUNTIFS($H$1:H875,$H875,$I$1:I875,$I875,$J$1:J875,$J875,$K$1:K875,K875,$L$1:L875,L875))=2,"0"&amp;COUNTIFS($H$1:H875,$H875,$I$1:I875,$I875,$J$1:J875,$J875,$K$1:K875,K875,$L$1:L875,L875),COUNTIFS($H$1:H875,$H875,$I$1:I875,$I875,$J$1:J875,$J875,$K$1:K875,K875,$L$1:L875,L875)))</f>
        <v>009</v>
      </c>
      <c r="N87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75" s="14" t="e">
        <f>+LEN(Table4[[#This Row],[New Item Code]])</f>
        <v>#N/A</v>
      </c>
      <c r="P875" s="15" t="s">
        <v>4747</v>
      </c>
      <c r="Q875" s="15" t="s">
        <v>4749</v>
      </c>
      <c r="R875" s="15"/>
      <c r="S875" s="15"/>
      <c r="T875" s="15" t="s">
        <v>4674</v>
      </c>
    </row>
    <row r="876" spans="1:20" x14ac:dyDescent="0.35">
      <c r="A876" s="2" t="s">
        <v>1755</v>
      </c>
      <c r="B876" s="2" t="s">
        <v>1756</v>
      </c>
      <c r="C876" s="2" t="s">
        <v>15</v>
      </c>
      <c r="D876" s="4">
        <v>2600</v>
      </c>
      <c r="E876" s="2" t="s">
        <v>10</v>
      </c>
      <c r="F876" s="2">
        <v>0</v>
      </c>
      <c r="G876" s="22">
        <f>Table4[[#This Row],[Item Cost]]*Table4[[#This Row],[In Stock]]</f>
        <v>0</v>
      </c>
      <c r="H876" s="12" t="s">
        <v>4661</v>
      </c>
      <c r="I876" s="13" t="s">
        <v>4666</v>
      </c>
      <c r="J876" s="13" t="s">
        <v>4674</v>
      </c>
      <c r="K876" s="13" t="s">
        <v>4672</v>
      </c>
      <c r="L876" s="12" t="s">
        <v>4672</v>
      </c>
      <c r="M876" s="17" t="str">
        <f>IF(LEN(COUNTIFS($H$1:H876,$H876,$I$1:I876,$I876,$J$1:J876,$J876,$K$1:K876,K876,$L$1:L876,L876))=1,"00"&amp;COUNTIFS($H$1:H876,$H876,$I$1:I876,$I876,$J$1:J876,$J876,$K$1:K876,K876,$L$1:L876,L876),IF(LEN(COUNTIFS($H$1:H876,$H876,$I$1:I876,$I876,$J$1:J876,$J876,$K$1:K876,K876,$L$1:L876,L876))=2,"0"&amp;COUNTIFS($H$1:H876,$H876,$I$1:I876,$I876,$J$1:J876,$J876,$K$1:K876,K876,$L$1:L876,L876),COUNTIFS($H$1:H876,$H876,$I$1:I876,$I876,$J$1:J876,$J876,$K$1:K876,K876,$L$1:L876,L876)))</f>
        <v>010</v>
      </c>
      <c r="N87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76" s="14" t="e">
        <f>+LEN(Table4[[#This Row],[New Item Code]])</f>
        <v>#N/A</v>
      </c>
      <c r="P876" s="15" t="s">
        <v>4747</v>
      </c>
      <c r="Q876" s="15" t="s">
        <v>4749</v>
      </c>
      <c r="R876" s="15"/>
      <c r="S876" s="15"/>
      <c r="T876" s="15" t="s">
        <v>4674</v>
      </c>
    </row>
    <row r="877" spans="1:20" x14ac:dyDescent="0.35">
      <c r="A877" s="3" t="s">
        <v>1757</v>
      </c>
      <c r="B877" s="3" t="s">
        <v>1758</v>
      </c>
      <c r="C877" s="3" t="s">
        <v>15</v>
      </c>
      <c r="D877" s="5">
        <v>2080</v>
      </c>
      <c r="E877" s="3" t="s">
        <v>10</v>
      </c>
      <c r="F877" s="3">
        <v>0</v>
      </c>
      <c r="G877" s="21">
        <f>Table4[[#This Row],[Item Cost]]*Table4[[#This Row],[In Stock]]</f>
        <v>0</v>
      </c>
      <c r="H877" s="12" t="s">
        <v>4661</v>
      </c>
      <c r="I877" s="13" t="s">
        <v>4666</v>
      </c>
      <c r="J877" s="13" t="s">
        <v>4674</v>
      </c>
      <c r="K877" s="13" t="s">
        <v>4672</v>
      </c>
      <c r="L877" s="12" t="s">
        <v>4672</v>
      </c>
      <c r="M877" s="17" t="str">
        <f>IF(LEN(COUNTIFS($H$1:H877,$H877,$I$1:I877,$I877,$J$1:J877,$J877,$K$1:K877,K877,$L$1:L877,L877))=1,"00"&amp;COUNTIFS($H$1:H877,$H877,$I$1:I877,$I877,$J$1:J877,$J877,$K$1:K877,K877,$L$1:L877,L877),IF(LEN(COUNTIFS($H$1:H877,$H877,$I$1:I877,$I877,$J$1:J877,$J877,$K$1:K877,K877,$L$1:L877,L877))=2,"0"&amp;COUNTIFS($H$1:H877,$H877,$I$1:I877,$I877,$J$1:J877,$J877,$K$1:K877,K877,$L$1:L877,L877),COUNTIFS($H$1:H877,$H877,$I$1:I877,$I877,$J$1:J877,$J877,$K$1:K877,K877,$L$1:L877,L877)))</f>
        <v>011</v>
      </c>
      <c r="N87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77" s="14" t="e">
        <f>+LEN(Table4[[#This Row],[New Item Code]])</f>
        <v>#N/A</v>
      </c>
      <c r="P877" s="15" t="s">
        <v>4747</v>
      </c>
      <c r="Q877" s="15" t="s">
        <v>4749</v>
      </c>
      <c r="R877" s="15"/>
      <c r="S877" s="15"/>
      <c r="T877" s="15" t="s">
        <v>4674</v>
      </c>
    </row>
    <row r="878" spans="1:20" x14ac:dyDescent="0.35">
      <c r="A878" s="2" t="s">
        <v>1759</v>
      </c>
      <c r="B878" s="2" t="s">
        <v>1760</v>
      </c>
      <c r="C878" s="2" t="s">
        <v>15</v>
      </c>
      <c r="D878" s="4">
        <v>2719.08</v>
      </c>
      <c r="E878" s="2" t="s">
        <v>10</v>
      </c>
      <c r="F878" s="2">
        <v>7</v>
      </c>
      <c r="G878" s="22">
        <f>Table4[[#This Row],[Item Cost]]*Table4[[#This Row],[In Stock]]</f>
        <v>19033.559999999998</v>
      </c>
      <c r="H878" s="12" t="s">
        <v>4661</v>
      </c>
      <c r="I878" s="13" t="s">
        <v>4666</v>
      </c>
      <c r="J878" s="13" t="s">
        <v>4674</v>
      </c>
      <c r="K878" t="s">
        <v>4798</v>
      </c>
      <c r="L878" s="12" t="s">
        <v>4672</v>
      </c>
      <c r="M878" s="17" t="str">
        <f>IF(LEN(COUNTIFS($H$1:H878,$H878,$I$1:I878,$I878,$J$1:J878,$J878,$K$1:K878,K878,$L$1:L878,L878))=1,"00"&amp;COUNTIFS($H$1:H878,$H878,$I$1:I878,$I878,$J$1:J878,$J878,$K$1:K878,K878,$L$1:L878,L878),IF(LEN(COUNTIFS($H$1:H878,$H878,$I$1:I878,$I878,$J$1:J878,$J878,$K$1:K878,K878,$L$1:L878,L878))=2,"0"&amp;COUNTIFS($H$1:H878,$H878,$I$1:I878,$I878,$J$1:J878,$J878,$K$1:K878,K878,$L$1:L878,L878),COUNTIFS($H$1:H878,$H878,$I$1:I878,$I878,$J$1:J878,$J878,$K$1:K878,K878,$L$1:L878,L878)))</f>
        <v>005</v>
      </c>
      <c r="N87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78" s="14" t="e">
        <f>+LEN(Table4[[#This Row],[New Item Code]])</f>
        <v>#N/A</v>
      </c>
      <c r="P878" s="15" t="s">
        <v>4747</v>
      </c>
      <c r="Q878" s="15" t="s">
        <v>4749</v>
      </c>
      <c r="R878" s="15"/>
      <c r="S878" s="15"/>
      <c r="T878" s="15" t="s">
        <v>4674</v>
      </c>
    </row>
    <row r="879" spans="1:20" x14ac:dyDescent="0.35">
      <c r="A879" s="3" t="s">
        <v>1761</v>
      </c>
      <c r="B879" s="3" t="s">
        <v>1762</v>
      </c>
      <c r="C879" s="3" t="s">
        <v>15</v>
      </c>
      <c r="D879" s="3">
        <v>0</v>
      </c>
      <c r="E879" s="3" t="s">
        <v>10</v>
      </c>
      <c r="F879" s="3">
        <v>0</v>
      </c>
      <c r="G879" s="21">
        <f>Table4[[#This Row],[Item Cost]]*Table4[[#This Row],[In Stock]]</f>
        <v>0</v>
      </c>
      <c r="H879" s="12" t="s">
        <v>4661</v>
      </c>
      <c r="I879" s="13" t="s">
        <v>4666</v>
      </c>
      <c r="J879" s="13" t="s">
        <v>4674</v>
      </c>
      <c r="K879" t="s">
        <v>4798</v>
      </c>
      <c r="L879" s="12" t="s">
        <v>4672</v>
      </c>
      <c r="M879" s="17" t="str">
        <f>IF(LEN(COUNTIFS($H$1:H879,$H879,$I$1:I879,$I879,$J$1:J879,$J879,$K$1:K879,K879,$L$1:L879,L879))=1,"00"&amp;COUNTIFS($H$1:H879,$H879,$I$1:I879,$I879,$J$1:J879,$J879,$K$1:K879,K879,$L$1:L879,L879),IF(LEN(COUNTIFS($H$1:H879,$H879,$I$1:I879,$I879,$J$1:J879,$J879,$K$1:K879,K879,$L$1:L879,L879))=2,"0"&amp;COUNTIFS($H$1:H879,$H879,$I$1:I879,$I879,$J$1:J879,$J879,$K$1:K879,K879,$L$1:L879,L879),COUNTIFS($H$1:H879,$H879,$I$1:I879,$I879,$J$1:J879,$J879,$K$1:K879,K879,$L$1:L879,L879)))</f>
        <v>006</v>
      </c>
      <c r="N87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79" s="14" t="e">
        <f>+LEN(Table4[[#This Row],[New Item Code]])</f>
        <v>#N/A</v>
      </c>
      <c r="P879" s="15" t="s">
        <v>4747</v>
      </c>
      <c r="Q879" s="15" t="s">
        <v>4749</v>
      </c>
      <c r="R879" s="15"/>
      <c r="S879" s="15"/>
      <c r="T879" s="15" t="s">
        <v>4674</v>
      </c>
    </row>
    <row r="880" spans="1:20" x14ac:dyDescent="0.35">
      <c r="A880" s="2" t="s">
        <v>1763</v>
      </c>
      <c r="B880" s="2" t="s">
        <v>1764</v>
      </c>
      <c r="C880" s="2" t="s">
        <v>9</v>
      </c>
      <c r="D880" s="4">
        <v>2750</v>
      </c>
      <c r="E880" s="2" t="s">
        <v>10</v>
      </c>
      <c r="F880" s="2">
        <v>1</v>
      </c>
      <c r="G880" s="22">
        <f>Table4[[#This Row],[Item Cost]]*Table4[[#This Row],[In Stock]]</f>
        <v>2750</v>
      </c>
      <c r="H880" s="12" t="s">
        <v>4661</v>
      </c>
      <c r="I880" s="13" t="s">
        <v>4664</v>
      </c>
      <c r="J880" s="13" t="s">
        <v>4674</v>
      </c>
      <c r="K880" s="13" t="s">
        <v>4672</v>
      </c>
      <c r="L880" s="12" t="s">
        <v>4672</v>
      </c>
      <c r="M880" s="17" t="str">
        <f>IF(LEN(COUNTIFS($H$1:H880,$H880,$I$1:I880,$I880,$J$1:J880,$J880,$K$1:K880,K880,$L$1:L880,L880))=1,"00"&amp;COUNTIFS($H$1:H880,$H880,$I$1:I880,$I880,$J$1:J880,$J880,$K$1:K880,K880,$L$1:L880,L880),IF(LEN(COUNTIFS($H$1:H880,$H880,$I$1:I880,$I880,$J$1:J880,$J880,$K$1:K880,K880,$L$1:L880,L880))=2,"0"&amp;COUNTIFS($H$1:H880,$H880,$I$1:I880,$I880,$J$1:J880,$J880,$K$1:K880,K880,$L$1:L880,L880),COUNTIFS($H$1:H880,$H880,$I$1:I880,$I880,$J$1:J880,$J880,$K$1:K880,K880,$L$1:L880,L880)))</f>
        <v>010</v>
      </c>
      <c r="N88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80" s="14" t="e">
        <f>+LEN(Table4[[#This Row],[New Item Code]])</f>
        <v>#N/A</v>
      </c>
      <c r="P880" s="15" t="s">
        <v>4747</v>
      </c>
      <c r="Q880" s="15" t="s">
        <v>4749</v>
      </c>
      <c r="R880" s="15"/>
      <c r="S880" s="15"/>
      <c r="T880" s="15" t="s">
        <v>4674</v>
      </c>
    </row>
    <row r="881" spans="1:20" x14ac:dyDescent="0.35">
      <c r="A881" s="3" t="s">
        <v>1765</v>
      </c>
      <c r="B881" s="3" t="s">
        <v>1766</v>
      </c>
      <c r="C881" s="3" t="s">
        <v>9</v>
      </c>
      <c r="D881" s="5">
        <v>12500</v>
      </c>
      <c r="E881" s="3" t="s">
        <v>10</v>
      </c>
      <c r="F881" s="3">
        <v>1</v>
      </c>
      <c r="G881" s="21">
        <f>Table4[[#This Row],[Item Cost]]*Table4[[#This Row],[In Stock]]</f>
        <v>12500</v>
      </c>
      <c r="H881" s="12" t="s">
        <v>4661</v>
      </c>
      <c r="I881" s="13" t="s">
        <v>4664</v>
      </c>
      <c r="J881" s="13" t="s">
        <v>4674</v>
      </c>
      <c r="K881" s="13" t="s">
        <v>4672</v>
      </c>
      <c r="L881" s="12" t="s">
        <v>4672</v>
      </c>
      <c r="M881" s="17" t="str">
        <f>IF(LEN(COUNTIFS($H$1:H881,$H881,$I$1:I881,$I881,$J$1:J881,$J881,$K$1:K881,K881,$L$1:L881,L881))=1,"00"&amp;COUNTIFS($H$1:H881,$H881,$I$1:I881,$I881,$J$1:J881,$J881,$K$1:K881,K881,$L$1:L881,L881),IF(LEN(COUNTIFS($H$1:H881,$H881,$I$1:I881,$I881,$J$1:J881,$J881,$K$1:K881,K881,$L$1:L881,L881))=2,"0"&amp;COUNTIFS($H$1:H881,$H881,$I$1:I881,$I881,$J$1:J881,$J881,$K$1:K881,K881,$L$1:L881,L881),COUNTIFS($H$1:H881,$H881,$I$1:I881,$I881,$J$1:J881,$J881,$K$1:K881,K881,$L$1:L881,L881)))</f>
        <v>011</v>
      </c>
      <c r="N88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81" s="14" t="e">
        <f>+LEN(Table4[[#This Row],[New Item Code]])</f>
        <v>#N/A</v>
      </c>
      <c r="P881" s="15" t="s">
        <v>4747</v>
      </c>
      <c r="Q881" s="15" t="s">
        <v>4749</v>
      </c>
      <c r="R881" s="15"/>
      <c r="S881" s="15"/>
      <c r="T881" s="15" t="s">
        <v>4674</v>
      </c>
    </row>
    <row r="882" spans="1:20" x14ac:dyDescent="0.35">
      <c r="A882" s="2" t="s">
        <v>1767</v>
      </c>
      <c r="B882" s="2" t="s">
        <v>1768</v>
      </c>
      <c r="C882" s="2" t="s">
        <v>15</v>
      </c>
      <c r="D882" s="2">
        <v>0</v>
      </c>
      <c r="E882" s="2" t="s">
        <v>10</v>
      </c>
      <c r="F882" s="2">
        <v>0</v>
      </c>
      <c r="G882" s="22">
        <f>Table4[[#This Row],[Item Cost]]*Table4[[#This Row],[In Stock]]</f>
        <v>0</v>
      </c>
      <c r="H882" s="12" t="s">
        <v>4661</v>
      </c>
      <c r="I882" s="13" t="s">
        <v>4666</v>
      </c>
      <c r="J882" s="13" t="s">
        <v>4674</v>
      </c>
      <c r="K882" s="13" t="s">
        <v>4672</v>
      </c>
      <c r="L882" s="12" t="s">
        <v>4672</v>
      </c>
      <c r="M882" s="17" t="str">
        <f>IF(LEN(COUNTIFS($H$1:H882,$H882,$I$1:I882,$I882,$J$1:J882,$J882,$K$1:K882,K882,$L$1:L882,L882))=1,"00"&amp;COUNTIFS($H$1:H882,$H882,$I$1:I882,$I882,$J$1:J882,$J882,$K$1:K882,K882,$L$1:L882,L882),IF(LEN(COUNTIFS($H$1:H882,$H882,$I$1:I882,$I882,$J$1:J882,$J882,$K$1:K882,K882,$L$1:L882,L882))=2,"0"&amp;COUNTIFS($H$1:H882,$H882,$I$1:I882,$I882,$J$1:J882,$J882,$K$1:K882,K882,$L$1:L882,L882),COUNTIFS($H$1:H882,$H882,$I$1:I882,$I882,$J$1:J882,$J882,$K$1:K882,K882,$L$1:L882,L882)))</f>
        <v>012</v>
      </c>
      <c r="N88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82" s="14" t="e">
        <f>+LEN(Table4[[#This Row],[New Item Code]])</f>
        <v>#N/A</v>
      </c>
      <c r="P882" s="15" t="s">
        <v>4747</v>
      </c>
      <c r="Q882" s="15" t="s">
        <v>4749</v>
      </c>
      <c r="R882" s="15"/>
      <c r="S882" s="15"/>
      <c r="T882" s="15" t="s">
        <v>4674</v>
      </c>
    </row>
    <row r="883" spans="1:20" x14ac:dyDescent="0.35">
      <c r="A883" s="3" t="s">
        <v>1769</v>
      </c>
      <c r="B883" s="3" t="s">
        <v>1770</v>
      </c>
      <c r="C883" s="3" t="s">
        <v>15</v>
      </c>
      <c r="D883" s="3">
        <v>735.2</v>
      </c>
      <c r="E883" s="3" t="s">
        <v>10</v>
      </c>
      <c r="F883" s="3">
        <v>3</v>
      </c>
      <c r="G883" s="21">
        <f>Table4[[#This Row],[Item Cost]]*Table4[[#This Row],[In Stock]]</f>
        <v>2205.6000000000004</v>
      </c>
      <c r="H883" s="12" t="s">
        <v>4661</v>
      </c>
      <c r="I883" s="13" t="s">
        <v>4666</v>
      </c>
      <c r="J883" s="13" t="s">
        <v>4674</v>
      </c>
      <c r="K883" s="13" t="s">
        <v>4672</v>
      </c>
      <c r="L883" s="12" t="s">
        <v>4672</v>
      </c>
      <c r="M883" s="17" t="str">
        <f>IF(LEN(COUNTIFS($H$1:H883,$H883,$I$1:I883,$I883,$J$1:J883,$J883,$K$1:K883,K883,$L$1:L883,L883))=1,"00"&amp;COUNTIFS($H$1:H883,$H883,$I$1:I883,$I883,$J$1:J883,$J883,$K$1:K883,K883,$L$1:L883,L883),IF(LEN(COUNTIFS($H$1:H883,$H883,$I$1:I883,$I883,$J$1:J883,$J883,$K$1:K883,K883,$L$1:L883,L883))=2,"0"&amp;COUNTIFS($H$1:H883,$H883,$I$1:I883,$I883,$J$1:J883,$J883,$K$1:K883,K883,$L$1:L883,L883),COUNTIFS($H$1:H883,$H883,$I$1:I883,$I883,$J$1:J883,$J883,$K$1:K883,K883,$L$1:L883,L883)))</f>
        <v>013</v>
      </c>
      <c r="N88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83" s="14" t="e">
        <f>+LEN(Table4[[#This Row],[New Item Code]])</f>
        <v>#N/A</v>
      </c>
      <c r="P883" s="15" t="s">
        <v>4747</v>
      </c>
      <c r="Q883" s="15" t="s">
        <v>4749</v>
      </c>
      <c r="R883" s="15"/>
      <c r="S883" s="15"/>
      <c r="T883" s="15" t="s">
        <v>4674</v>
      </c>
    </row>
    <row r="884" spans="1:20" x14ac:dyDescent="0.35">
      <c r="A884" s="2" t="s">
        <v>1771</v>
      </c>
      <c r="B884" s="2" t="s">
        <v>1772</v>
      </c>
      <c r="C884" s="2" t="s">
        <v>9</v>
      </c>
      <c r="D884" s="4">
        <v>1000</v>
      </c>
      <c r="E884" s="2" t="s">
        <v>10</v>
      </c>
      <c r="F884" s="2">
        <v>1</v>
      </c>
      <c r="G884" s="22">
        <f>Table4[[#This Row],[Item Cost]]*Table4[[#This Row],[In Stock]]</f>
        <v>1000</v>
      </c>
      <c r="H884" s="12" t="s">
        <v>4661</v>
      </c>
      <c r="I884" s="13" t="s">
        <v>4664</v>
      </c>
      <c r="J884" s="13" t="s">
        <v>4674</v>
      </c>
      <c r="K884" s="13" t="s">
        <v>4672</v>
      </c>
      <c r="L884" s="12" t="s">
        <v>4672</v>
      </c>
      <c r="M884" s="17" t="str">
        <f>IF(LEN(COUNTIFS($H$1:H884,$H884,$I$1:I884,$I884,$J$1:J884,$J884,$K$1:K884,K884,$L$1:L884,L884))=1,"00"&amp;COUNTIFS($H$1:H884,$H884,$I$1:I884,$I884,$J$1:J884,$J884,$K$1:K884,K884,$L$1:L884,L884),IF(LEN(COUNTIFS($H$1:H884,$H884,$I$1:I884,$I884,$J$1:J884,$J884,$K$1:K884,K884,$L$1:L884,L884))=2,"0"&amp;COUNTIFS($H$1:H884,$H884,$I$1:I884,$I884,$J$1:J884,$J884,$K$1:K884,K884,$L$1:L884,L884),COUNTIFS($H$1:H884,$H884,$I$1:I884,$I884,$J$1:J884,$J884,$K$1:K884,K884,$L$1:L884,L884)))</f>
        <v>012</v>
      </c>
      <c r="N88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84" s="14" t="e">
        <f>+LEN(Table4[[#This Row],[New Item Code]])</f>
        <v>#N/A</v>
      </c>
      <c r="P884" s="15" t="s">
        <v>4747</v>
      </c>
      <c r="Q884" s="15" t="s">
        <v>4749</v>
      </c>
      <c r="R884" s="15"/>
      <c r="S884" s="15"/>
      <c r="T884" s="15" t="s">
        <v>4674</v>
      </c>
    </row>
    <row r="885" spans="1:20" x14ac:dyDescent="0.35">
      <c r="A885" s="3" t="s">
        <v>1773</v>
      </c>
      <c r="B885" s="3" t="s">
        <v>1774</v>
      </c>
      <c r="C885" s="3" t="s">
        <v>15</v>
      </c>
      <c r="D885" s="3">
        <v>0</v>
      </c>
      <c r="E885" s="3" t="s">
        <v>10</v>
      </c>
      <c r="F885" s="3">
        <v>0</v>
      </c>
      <c r="G885" s="21">
        <f>Table4[[#This Row],[Item Cost]]*Table4[[#This Row],[In Stock]]</f>
        <v>0</v>
      </c>
      <c r="H885" s="12" t="s">
        <v>4661</v>
      </c>
      <c r="I885" s="13" t="s">
        <v>4666</v>
      </c>
      <c r="J885" s="13" t="s">
        <v>4674</v>
      </c>
      <c r="K885" s="13" t="s">
        <v>4672</v>
      </c>
      <c r="L885" s="12" t="s">
        <v>4672</v>
      </c>
      <c r="M885" s="17" t="str">
        <f>IF(LEN(COUNTIFS($H$1:H885,$H885,$I$1:I885,$I885,$J$1:J885,$J885,$K$1:K885,K885,$L$1:L885,L885))=1,"00"&amp;COUNTIFS($H$1:H885,$H885,$I$1:I885,$I885,$J$1:J885,$J885,$K$1:K885,K885,$L$1:L885,L885),IF(LEN(COUNTIFS($H$1:H885,$H885,$I$1:I885,$I885,$J$1:J885,$J885,$K$1:K885,K885,$L$1:L885,L885))=2,"0"&amp;COUNTIFS($H$1:H885,$H885,$I$1:I885,$I885,$J$1:J885,$J885,$K$1:K885,K885,$L$1:L885,L885),COUNTIFS($H$1:H885,$H885,$I$1:I885,$I885,$J$1:J885,$J885,$K$1:K885,K885,$L$1:L885,L885)))</f>
        <v>014</v>
      </c>
      <c r="N88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85" s="14" t="e">
        <f>+LEN(Table4[[#This Row],[New Item Code]])</f>
        <v>#N/A</v>
      </c>
      <c r="P885" s="15" t="s">
        <v>4747</v>
      </c>
      <c r="Q885" s="15" t="s">
        <v>4749</v>
      </c>
      <c r="R885" s="15"/>
      <c r="S885" s="15"/>
      <c r="T885" s="15" t="s">
        <v>4674</v>
      </c>
    </row>
    <row r="886" spans="1:20" x14ac:dyDescent="0.35">
      <c r="A886" s="2" t="s">
        <v>1775</v>
      </c>
      <c r="B886" s="2" t="s">
        <v>1776</v>
      </c>
      <c r="C886" s="2" t="s">
        <v>15</v>
      </c>
      <c r="D886" s="2">
        <v>500</v>
      </c>
      <c r="E886" s="2" t="s">
        <v>10</v>
      </c>
      <c r="F886" s="2">
        <v>0</v>
      </c>
      <c r="G886" s="22">
        <f>Table4[[#This Row],[Item Cost]]*Table4[[#This Row],[In Stock]]</f>
        <v>0</v>
      </c>
      <c r="H886" s="12" t="s">
        <v>4661</v>
      </c>
      <c r="I886" s="13" t="s">
        <v>4666</v>
      </c>
      <c r="J886" s="13" t="s">
        <v>4674</v>
      </c>
      <c r="K886" s="13" t="s">
        <v>4672</v>
      </c>
      <c r="L886" s="12" t="s">
        <v>4672</v>
      </c>
      <c r="M886" s="17" t="str">
        <f>IF(LEN(COUNTIFS($H$1:H886,$H886,$I$1:I886,$I886,$J$1:J886,$J886,$K$1:K886,K886,$L$1:L886,L886))=1,"00"&amp;COUNTIFS($H$1:H886,$H886,$I$1:I886,$I886,$J$1:J886,$J886,$K$1:K886,K886,$L$1:L886,L886),IF(LEN(COUNTIFS($H$1:H886,$H886,$I$1:I886,$I886,$J$1:J886,$J886,$K$1:K886,K886,$L$1:L886,L886))=2,"0"&amp;COUNTIFS($H$1:H886,$H886,$I$1:I886,$I886,$J$1:J886,$J886,$K$1:K886,K886,$L$1:L886,L886),COUNTIFS($H$1:H886,$H886,$I$1:I886,$I886,$J$1:J886,$J886,$K$1:K886,K886,$L$1:L886,L886)))</f>
        <v>015</v>
      </c>
      <c r="N88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86" s="14" t="e">
        <f>+LEN(Table4[[#This Row],[New Item Code]])</f>
        <v>#N/A</v>
      </c>
      <c r="P886" s="15" t="s">
        <v>4747</v>
      </c>
      <c r="Q886" s="15" t="s">
        <v>4749</v>
      </c>
      <c r="R886" s="15"/>
      <c r="S886" s="15"/>
      <c r="T886" s="15" t="s">
        <v>4674</v>
      </c>
    </row>
    <row r="887" spans="1:20" x14ac:dyDescent="0.35">
      <c r="A887" s="3" t="s">
        <v>1777</v>
      </c>
      <c r="B887" s="3" t="s">
        <v>1778</v>
      </c>
      <c r="C887" s="3" t="s">
        <v>9</v>
      </c>
      <c r="D887" s="5">
        <v>19608</v>
      </c>
      <c r="E887" s="3" t="s">
        <v>10</v>
      </c>
      <c r="F887" s="3">
        <v>2</v>
      </c>
      <c r="G887" s="21">
        <f>Table4[[#This Row],[Item Cost]]*Table4[[#This Row],[In Stock]]</f>
        <v>39216</v>
      </c>
      <c r="H887" s="12" t="s">
        <v>4661</v>
      </c>
      <c r="I887" s="13" t="s">
        <v>4664</v>
      </c>
      <c r="J887" s="13" t="s">
        <v>4674</v>
      </c>
      <c r="K887" s="7" t="s">
        <v>4733</v>
      </c>
      <c r="L887" s="12" t="s">
        <v>4672</v>
      </c>
      <c r="M887" s="17" t="str">
        <f>IF(LEN(COUNTIFS($H$1:H887,$H887,$I$1:I887,$I887,$J$1:J887,$J887,$K$1:K887,K887,$L$1:L887,L887))=1,"00"&amp;COUNTIFS($H$1:H887,$H887,$I$1:I887,$I887,$J$1:J887,$J887,$K$1:K887,K887,$L$1:L887,L887),IF(LEN(COUNTIFS($H$1:H887,$H887,$I$1:I887,$I887,$J$1:J887,$J887,$K$1:K887,K887,$L$1:L887,L887))=2,"0"&amp;COUNTIFS($H$1:H887,$H887,$I$1:I887,$I887,$J$1:J887,$J887,$K$1:K887,K887,$L$1:L887,L887),COUNTIFS($H$1:H887,$H887,$I$1:I887,$I887,$J$1:J887,$J887,$K$1:K887,K887,$L$1:L887,L887)))</f>
        <v>001</v>
      </c>
      <c r="N88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87" s="14" t="e">
        <f>+LEN(Table4[[#This Row],[New Item Code]])</f>
        <v>#N/A</v>
      </c>
      <c r="P887" s="15" t="s">
        <v>4747</v>
      </c>
      <c r="Q887" s="15" t="s">
        <v>4749</v>
      </c>
      <c r="R887" s="15"/>
      <c r="S887" s="15"/>
      <c r="T887" s="15" t="s">
        <v>4674</v>
      </c>
    </row>
    <row r="888" spans="1:20" x14ac:dyDescent="0.35">
      <c r="A888" s="2" t="s">
        <v>1779</v>
      </c>
      <c r="B888" s="2" t="s">
        <v>1780</v>
      </c>
      <c r="C888" s="2" t="s">
        <v>9</v>
      </c>
      <c r="D888" s="4">
        <v>2500</v>
      </c>
      <c r="E888" s="2" t="s">
        <v>10</v>
      </c>
      <c r="F888" s="2">
        <v>1</v>
      </c>
      <c r="G888" s="22">
        <f>Table4[[#This Row],[Item Cost]]*Table4[[#This Row],[In Stock]]</f>
        <v>2500</v>
      </c>
      <c r="H888" s="12" t="s">
        <v>4661</v>
      </c>
      <c r="I888" s="13" t="s">
        <v>4664</v>
      </c>
      <c r="J888" s="13" t="s">
        <v>4674</v>
      </c>
      <c r="K888" s="13" t="s">
        <v>4672</v>
      </c>
      <c r="L888" s="12" t="s">
        <v>4672</v>
      </c>
      <c r="M888" s="17" t="str">
        <f>IF(LEN(COUNTIFS($H$1:H888,$H888,$I$1:I888,$I888,$J$1:J888,$J888,$K$1:K888,K888,$L$1:L888,L888))=1,"00"&amp;COUNTIFS($H$1:H888,$H888,$I$1:I888,$I888,$J$1:J888,$J888,$K$1:K888,K888,$L$1:L888,L888),IF(LEN(COUNTIFS($H$1:H888,$H888,$I$1:I888,$I888,$J$1:J888,$J888,$K$1:K888,K888,$L$1:L888,L888))=2,"0"&amp;COUNTIFS($H$1:H888,$H888,$I$1:I888,$I888,$J$1:J888,$J888,$K$1:K888,K888,$L$1:L888,L888),COUNTIFS($H$1:H888,$H888,$I$1:I888,$I888,$J$1:J888,$J888,$K$1:K888,K888,$L$1:L888,L888)))</f>
        <v>013</v>
      </c>
      <c r="N88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88" s="14" t="e">
        <f>+LEN(Table4[[#This Row],[New Item Code]])</f>
        <v>#N/A</v>
      </c>
      <c r="P888" s="15" t="s">
        <v>4747</v>
      </c>
      <c r="Q888" s="15" t="s">
        <v>4749</v>
      </c>
      <c r="R888" s="15"/>
      <c r="S888" s="15"/>
      <c r="T888" s="15" t="s">
        <v>4674</v>
      </c>
    </row>
    <row r="889" spans="1:20" x14ac:dyDescent="0.35">
      <c r="A889" s="3" t="s">
        <v>1781</v>
      </c>
      <c r="B889" s="3" t="s">
        <v>1782</v>
      </c>
      <c r="C889" s="3" t="s">
        <v>9</v>
      </c>
      <c r="D889" s="5">
        <v>6475</v>
      </c>
      <c r="E889" s="3" t="s">
        <v>10</v>
      </c>
      <c r="F889" s="3">
        <v>4</v>
      </c>
      <c r="G889" s="21">
        <f>Table4[[#This Row],[Item Cost]]*Table4[[#This Row],[In Stock]]</f>
        <v>25900</v>
      </c>
      <c r="H889" s="12" t="s">
        <v>4661</v>
      </c>
      <c r="I889" s="13" t="s">
        <v>4664</v>
      </c>
      <c r="J889" s="13" t="s">
        <v>4674</v>
      </c>
      <c r="K889" s="13" t="s">
        <v>4672</v>
      </c>
      <c r="L889" s="12" t="s">
        <v>4672</v>
      </c>
      <c r="M889" s="17" t="str">
        <f>IF(LEN(COUNTIFS($H$1:H889,$H889,$I$1:I889,$I889,$J$1:J889,$J889,$K$1:K889,K889,$L$1:L889,L889))=1,"00"&amp;COUNTIFS($H$1:H889,$H889,$I$1:I889,$I889,$J$1:J889,$J889,$K$1:K889,K889,$L$1:L889,L889),IF(LEN(COUNTIFS($H$1:H889,$H889,$I$1:I889,$I889,$J$1:J889,$J889,$K$1:K889,K889,$L$1:L889,L889))=2,"0"&amp;COUNTIFS($H$1:H889,$H889,$I$1:I889,$I889,$J$1:J889,$J889,$K$1:K889,K889,$L$1:L889,L889),COUNTIFS($H$1:H889,$H889,$I$1:I889,$I889,$J$1:J889,$J889,$K$1:K889,K889,$L$1:L889,L889)))</f>
        <v>014</v>
      </c>
      <c r="N88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89" s="14" t="e">
        <f>+LEN(Table4[[#This Row],[New Item Code]])</f>
        <v>#N/A</v>
      </c>
      <c r="P889" s="15" t="s">
        <v>4747</v>
      </c>
      <c r="Q889" s="15" t="s">
        <v>4749</v>
      </c>
      <c r="R889" s="15"/>
      <c r="S889" s="15"/>
      <c r="T889" s="15" t="s">
        <v>4674</v>
      </c>
    </row>
    <row r="890" spans="1:20" x14ac:dyDescent="0.35">
      <c r="A890" s="2" t="s">
        <v>1783</v>
      </c>
      <c r="B890" s="2" t="s">
        <v>1784</v>
      </c>
      <c r="C890" s="2" t="s">
        <v>9</v>
      </c>
      <c r="D890" s="2">
        <v>800</v>
      </c>
      <c r="E890" s="2" t="s">
        <v>10</v>
      </c>
      <c r="F890" s="2">
        <v>1</v>
      </c>
      <c r="G890" s="22">
        <f>Table4[[#This Row],[Item Cost]]*Table4[[#This Row],[In Stock]]</f>
        <v>800</v>
      </c>
      <c r="H890" s="12" t="s">
        <v>4661</v>
      </c>
      <c r="I890" s="13" t="s">
        <v>4664</v>
      </c>
      <c r="J890" s="13" t="s">
        <v>4674</v>
      </c>
      <c r="K890" s="13" t="s">
        <v>4672</v>
      </c>
      <c r="L890" s="12" t="s">
        <v>4672</v>
      </c>
      <c r="M890" s="17" t="str">
        <f>IF(LEN(COUNTIFS($H$1:H890,$H890,$I$1:I890,$I890,$J$1:J890,$J890,$K$1:K890,K890,$L$1:L890,L890))=1,"00"&amp;COUNTIFS($H$1:H890,$H890,$I$1:I890,$I890,$J$1:J890,$J890,$K$1:K890,K890,$L$1:L890,L890),IF(LEN(COUNTIFS($H$1:H890,$H890,$I$1:I890,$I890,$J$1:J890,$J890,$K$1:K890,K890,$L$1:L890,L890))=2,"0"&amp;COUNTIFS($H$1:H890,$H890,$I$1:I890,$I890,$J$1:J890,$J890,$K$1:K890,K890,$L$1:L890,L890),COUNTIFS($H$1:H890,$H890,$I$1:I890,$I890,$J$1:J890,$J890,$K$1:K890,K890,$L$1:L890,L890)))</f>
        <v>015</v>
      </c>
      <c r="N89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90" s="14" t="e">
        <f>+LEN(Table4[[#This Row],[New Item Code]])</f>
        <v>#N/A</v>
      </c>
      <c r="P890" s="15" t="s">
        <v>4747</v>
      </c>
      <c r="Q890" s="15" t="s">
        <v>4749</v>
      </c>
      <c r="R890" s="15"/>
      <c r="S890" s="15"/>
      <c r="T890" s="15" t="s">
        <v>4674</v>
      </c>
    </row>
    <row r="891" spans="1:20" x14ac:dyDescent="0.35">
      <c r="A891" s="3" t="s">
        <v>1785</v>
      </c>
      <c r="B891" s="3" t="s">
        <v>1786</v>
      </c>
      <c r="C891" s="3" t="s">
        <v>15</v>
      </c>
      <c r="D891" s="5">
        <v>15000</v>
      </c>
      <c r="E891" s="3" t="s">
        <v>10</v>
      </c>
      <c r="F891" s="3">
        <v>0</v>
      </c>
      <c r="G891" s="21">
        <f>Table4[[#This Row],[Item Cost]]*Table4[[#This Row],[In Stock]]</f>
        <v>0</v>
      </c>
      <c r="H891" s="12" t="s">
        <v>4661</v>
      </c>
      <c r="I891" s="13" t="s">
        <v>4666</v>
      </c>
      <c r="J891" s="13" t="s">
        <v>4674</v>
      </c>
      <c r="K891" s="13" t="s">
        <v>4672</v>
      </c>
      <c r="L891" s="12" t="s">
        <v>4672</v>
      </c>
      <c r="M891" s="17" t="str">
        <f>IF(LEN(COUNTIFS($H$1:H891,$H891,$I$1:I891,$I891,$J$1:J891,$J891,$K$1:K891,K891,$L$1:L891,L891))=1,"00"&amp;COUNTIFS($H$1:H891,$H891,$I$1:I891,$I891,$J$1:J891,$J891,$K$1:K891,K891,$L$1:L891,L891),IF(LEN(COUNTIFS($H$1:H891,$H891,$I$1:I891,$I891,$J$1:J891,$J891,$K$1:K891,K891,$L$1:L891,L891))=2,"0"&amp;COUNTIFS($H$1:H891,$H891,$I$1:I891,$I891,$J$1:J891,$J891,$K$1:K891,K891,$L$1:L891,L891),COUNTIFS($H$1:H891,$H891,$I$1:I891,$I891,$J$1:J891,$J891,$K$1:K891,K891,$L$1:L891,L891)))</f>
        <v>016</v>
      </c>
      <c r="N89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91" s="14" t="e">
        <f>+LEN(Table4[[#This Row],[New Item Code]])</f>
        <v>#N/A</v>
      </c>
      <c r="P891" s="15" t="s">
        <v>4747</v>
      </c>
      <c r="Q891" s="15" t="s">
        <v>4749</v>
      </c>
      <c r="R891" s="15"/>
      <c r="S891" s="15"/>
      <c r="T891" s="15" t="s">
        <v>4674</v>
      </c>
    </row>
    <row r="892" spans="1:20" x14ac:dyDescent="0.35">
      <c r="A892" s="2" t="s">
        <v>1787</v>
      </c>
      <c r="B892" s="2" t="s">
        <v>1788</v>
      </c>
      <c r="C892" s="2" t="s">
        <v>9</v>
      </c>
      <c r="D892" s="4">
        <v>12000</v>
      </c>
      <c r="E892" s="2" t="s">
        <v>10</v>
      </c>
      <c r="F892" s="2">
        <v>2</v>
      </c>
      <c r="G892" s="22">
        <f>Table4[[#This Row],[Item Cost]]*Table4[[#This Row],[In Stock]]</f>
        <v>24000</v>
      </c>
      <c r="H892" s="12" t="s">
        <v>4661</v>
      </c>
      <c r="I892" s="13" t="s">
        <v>4664</v>
      </c>
      <c r="J892" s="13" t="s">
        <v>4674</v>
      </c>
      <c r="K892" s="13" t="s">
        <v>4672</v>
      </c>
      <c r="L892" s="12" t="s">
        <v>4672</v>
      </c>
      <c r="M892" s="17" t="str">
        <f>IF(LEN(COUNTIFS($H$1:H892,$H892,$I$1:I892,$I892,$J$1:J892,$J892,$K$1:K892,K892,$L$1:L892,L892))=1,"00"&amp;COUNTIFS($H$1:H892,$H892,$I$1:I892,$I892,$J$1:J892,$J892,$K$1:K892,K892,$L$1:L892,L892),IF(LEN(COUNTIFS($H$1:H892,$H892,$I$1:I892,$I892,$J$1:J892,$J892,$K$1:K892,K892,$L$1:L892,L892))=2,"0"&amp;COUNTIFS($H$1:H892,$H892,$I$1:I892,$I892,$J$1:J892,$J892,$K$1:K892,K892,$L$1:L892,L892),COUNTIFS($H$1:H892,$H892,$I$1:I892,$I892,$J$1:J892,$J892,$K$1:K892,K892,$L$1:L892,L892)))</f>
        <v>016</v>
      </c>
      <c r="N89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92" s="14" t="e">
        <f>+LEN(Table4[[#This Row],[New Item Code]])</f>
        <v>#N/A</v>
      </c>
      <c r="P892" s="15" t="s">
        <v>4747</v>
      </c>
      <c r="Q892" s="15" t="s">
        <v>4749</v>
      </c>
      <c r="R892" s="15"/>
      <c r="S892" s="15"/>
      <c r="T892" s="15" t="s">
        <v>4674</v>
      </c>
    </row>
    <row r="893" spans="1:20" x14ac:dyDescent="0.35">
      <c r="A893" s="3" t="s">
        <v>1789</v>
      </c>
      <c r="B893" s="3" t="s">
        <v>1790</v>
      </c>
      <c r="C893" s="3" t="s">
        <v>9</v>
      </c>
      <c r="D893" s="5">
        <v>1000</v>
      </c>
      <c r="E893" s="3" t="s">
        <v>10</v>
      </c>
      <c r="F893" s="3">
        <v>3</v>
      </c>
      <c r="G893" s="21">
        <f>Table4[[#This Row],[Item Cost]]*Table4[[#This Row],[In Stock]]</f>
        <v>3000</v>
      </c>
      <c r="H893" s="12" t="s">
        <v>4661</v>
      </c>
      <c r="I893" s="13" t="s">
        <v>4664</v>
      </c>
      <c r="J893" s="13" t="s">
        <v>4674</v>
      </c>
      <c r="K893" s="13" t="s">
        <v>4672</v>
      </c>
      <c r="L893" s="12" t="s">
        <v>4672</v>
      </c>
      <c r="M893" s="17" t="str">
        <f>IF(LEN(COUNTIFS($H$1:H893,$H893,$I$1:I893,$I893,$J$1:J893,$J893,$K$1:K893,K893,$L$1:L893,L893))=1,"00"&amp;COUNTIFS($H$1:H893,$H893,$I$1:I893,$I893,$J$1:J893,$J893,$K$1:K893,K893,$L$1:L893,L893),IF(LEN(COUNTIFS($H$1:H893,$H893,$I$1:I893,$I893,$J$1:J893,$J893,$K$1:K893,K893,$L$1:L893,L893))=2,"0"&amp;COUNTIFS($H$1:H893,$H893,$I$1:I893,$I893,$J$1:J893,$J893,$K$1:K893,K893,$L$1:L893,L893),COUNTIFS($H$1:H893,$H893,$I$1:I893,$I893,$J$1:J893,$J893,$K$1:K893,K893,$L$1:L893,L893)))</f>
        <v>017</v>
      </c>
      <c r="N89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93" s="14" t="e">
        <f>+LEN(Table4[[#This Row],[New Item Code]])</f>
        <v>#N/A</v>
      </c>
      <c r="P893" s="15" t="s">
        <v>4747</v>
      </c>
      <c r="Q893" s="15" t="s">
        <v>4749</v>
      </c>
      <c r="R893" s="15"/>
      <c r="S893" s="15"/>
      <c r="T893" s="15" t="s">
        <v>4674</v>
      </c>
    </row>
    <row r="894" spans="1:20" x14ac:dyDescent="0.35">
      <c r="A894" s="2" t="s">
        <v>1791</v>
      </c>
      <c r="B894" s="2" t="s">
        <v>1792</v>
      </c>
      <c r="C894" s="2" t="s">
        <v>9</v>
      </c>
      <c r="D894" s="4">
        <v>2500</v>
      </c>
      <c r="E894" s="2" t="s">
        <v>10</v>
      </c>
      <c r="F894" s="2">
        <v>1</v>
      </c>
      <c r="G894" s="22">
        <f>Table4[[#This Row],[Item Cost]]*Table4[[#This Row],[In Stock]]</f>
        <v>2500</v>
      </c>
      <c r="H894" s="12" t="s">
        <v>4661</v>
      </c>
      <c r="I894" s="13" t="s">
        <v>4664</v>
      </c>
      <c r="J894" s="13" t="s">
        <v>4674</v>
      </c>
      <c r="K894" s="13" t="s">
        <v>4672</v>
      </c>
      <c r="L894" s="12" t="s">
        <v>4672</v>
      </c>
      <c r="M894" s="17" t="str">
        <f>IF(LEN(COUNTIFS($H$1:H894,$H894,$I$1:I894,$I894,$J$1:J894,$J894,$K$1:K894,K894,$L$1:L894,L894))=1,"00"&amp;COUNTIFS($H$1:H894,$H894,$I$1:I894,$I894,$J$1:J894,$J894,$K$1:K894,K894,$L$1:L894,L894),IF(LEN(COUNTIFS($H$1:H894,$H894,$I$1:I894,$I894,$J$1:J894,$J894,$K$1:K894,K894,$L$1:L894,L894))=2,"0"&amp;COUNTIFS($H$1:H894,$H894,$I$1:I894,$I894,$J$1:J894,$J894,$K$1:K894,K894,$L$1:L894,L894),COUNTIFS($H$1:H894,$H894,$I$1:I894,$I894,$J$1:J894,$J894,$K$1:K894,K894,$L$1:L894,L894)))</f>
        <v>018</v>
      </c>
      <c r="N89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94" s="14" t="e">
        <f>+LEN(Table4[[#This Row],[New Item Code]])</f>
        <v>#N/A</v>
      </c>
      <c r="P894" s="15" t="s">
        <v>4747</v>
      </c>
      <c r="Q894" s="15" t="s">
        <v>4749</v>
      </c>
      <c r="R894" s="15"/>
      <c r="S894" s="15"/>
      <c r="T894" s="15" t="s">
        <v>4674</v>
      </c>
    </row>
    <row r="895" spans="1:20" x14ac:dyDescent="0.35">
      <c r="A895" s="3" t="s">
        <v>1793</v>
      </c>
      <c r="B895" s="3" t="s">
        <v>1794</v>
      </c>
      <c r="C895" s="3" t="s">
        <v>9</v>
      </c>
      <c r="D895" s="5">
        <v>21580</v>
      </c>
      <c r="E895" s="3" t="s">
        <v>10</v>
      </c>
      <c r="F895" s="3">
        <v>1</v>
      </c>
      <c r="G895" s="21">
        <f>Table4[[#This Row],[Item Cost]]*Table4[[#This Row],[In Stock]]</f>
        <v>21580</v>
      </c>
      <c r="H895" s="12" t="s">
        <v>4661</v>
      </c>
      <c r="I895" s="13" t="s">
        <v>4664</v>
      </c>
      <c r="J895" s="13" t="s">
        <v>4674</v>
      </c>
      <c r="K895" s="13" t="s">
        <v>4672</v>
      </c>
      <c r="L895" s="12" t="s">
        <v>4672</v>
      </c>
      <c r="M895" s="17" t="str">
        <f>IF(LEN(COUNTIFS($H$1:H895,$H895,$I$1:I895,$I895,$J$1:J895,$J895,$K$1:K895,K895,$L$1:L895,L895))=1,"00"&amp;COUNTIFS($H$1:H895,$H895,$I$1:I895,$I895,$J$1:J895,$J895,$K$1:K895,K895,$L$1:L895,L895),IF(LEN(COUNTIFS($H$1:H895,$H895,$I$1:I895,$I895,$J$1:J895,$J895,$K$1:K895,K895,$L$1:L895,L895))=2,"0"&amp;COUNTIFS($H$1:H895,$H895,$I$1:I895,$I895,$J$1:J895,$J895,$K$1:K895,K895,$L$1:L895,L895),COUNTIFS($H$1:H895,$H895,$I$1:I895,$I895,$J$1:J895,$J895,$K$1:K895,K895,$L$1:L895,L895)))</f>
        <v>019</v>
      </c>
      <c r="N89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95" s="14" t="e">
        <f>+LEN(Table4[[#This Row],[New Item Code]])</f>
        <v>#N/A</v>
      </c>
      <c r="P895" s="15" t="s">
        <v>4747</v>
      </c>
      <c r="Q895" s="15" t="s">
        <v>4749</v>
      </c>
      <c r="R895" s="15"/>
      <c r="S895" s="15"/>
      <c r="T895" s="15" t="s">
        <v>4674</v>
      </c>
    </row>
    <row r="896" spans="1:20" x14ac:dyDescent="0.35">
      <c r="A896" s="2" t="s">
        <v>1795</v>
      </c>
      <c r="B896" s="2" t="s">
        <v>1796</v>
      </c>
      <c r="C896" s="2" t="s">
        <v>9</v>
      </c>
      <c r="D896" s="4">
        <v>2500</v>
      </c>
      <c r="E896" s="2" t="s">
        <v>10</v>
      </c>
      <c r="F896" s="2">
        <v>2</v>
      </c>
      <c r="G896" s="22">
        <f>Table4[[#This Row],[Item Cost]]*Table4[[#This Row],[In Stock]]</f>
        <v>5000</v>
      </c>
      <c r="H896" s="12" t="s">
        <v>4661</v>
      </c>
      <c r="I896" s="13" t="s">
        <v>4664</v>
      </c>
      <c r="J896" s="13" t="s">
        <v>4674</v>
      </c>
      <c r="K896" s="13" t="s">
        <v>4672</v>
      </c>
      <c r="L896" s="12" t="s">
        <v>4672</v>
      </c>
      <c r="M896" s="17" t="str">
        <f>IF(LEN(COUNTIFS($H$1:H896,$H896,$I$1:I896,$I896,$J$1:J896,$J896,$K$1:K896,K896,$L$1:L896,L896))=1,"00"&amp;COUNTIFS($H$1:H896,$H896,$I$1:I896,$I896,$J$1:J896,$J896,$K$1:K896,K896,$L$1:L896,L896),IF(LEN(COUNTIFS($H$1:H896,$H896,$I$1:I896,$I896,$J$1:J896,$J896,$K$1:K896,K896,$L$1:L896,L896))=2,"0"&amp;COUNTIFS($H$1:H896,$H896,$I$1:I896,$I896,$J$1:J896,$J896,$K$1:K896,K896,$L$1:L896,L896),COUNTIFS($H$1:H896,$H896,$I$1:I896,$I896,$J$1:J896,$J896,$K$1:K896,K896,$L$1:L896,L896)))</f>
        <v>020</v>
      </c>
      <c r="N89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96" s="14" t="e">
        <f>+LEN(Table4[[#This Row],[New Item Code]])</f>
        <v>#N/A</v>
      </c>
      <c r="P896" s="15" t="s">
        <v>4747</v>
      </c>
      <c r="Q896" s="15" t="s">
        <v>4749</v>
      </c>
      <c r="R896" s="15"/>
      <c r="S896" s="15"/>
      <c r="T896" s="15" t="s">
        <v>4674</v>
      </c>
    </row>
    <row r="897" spans="1:20" x14ac:dyDescent="0.35">
      <c r="A897" s="3" t="s">
        <v>1797</v>
      </c>
      <c r="B897" s="3" t="s">
        <v>1798</v>
      </c>
      <c r="C897" s="3" t="s">
        <v>9</v>
      </c>
      <c r="D897" s="5">
        <v>2500</v>
      </c>
      <c r="E897" s="3" t="s">
        <v>10</v>
      </c>
      <c r="F897" s="3">
        <v>1</v>
      </c>
      <c r="G897" s="21">
        <f>Table4[[#This Row],[Item Cost]]*Table4[[#This Row],[In Stock]]</f>
        <v>2500</v>
      </c>
      <c r="H897" s="12" t="s">
        <v>4661</v>
      </c>
      <c r="I897" s="13" t="s">
        <v>4664</v>
      </c>
      <c r="J897" s="13" t="s">
        <v>4674</v>
      </c>
      <c r="K897" s="13" t="s">
        <v>4672</v>
      </c>
      <c r="L897" s="12" t="s">
        <v>4672</v>
      </c>
      <c r="M897" s="17" t="str">
        <f>IF(LEN(COUNTIFS($H$1:H897,$H897,$I$1:I897,$I897,$J$1:J897,$J897,$K$1:K897,K897,$L$1:L897,L897))=1,"00"&amp;COUNTIFS($H$1:H897,$H897,$I$1:I897,$I897,$J$1:J897,$J897,$K$1:K897,K897,$L$1:L897,L897),IF(LEN(COUNTIFS($H$1:H897,$H897,$I$1:I897,$I897,$J$1:J897,$J897,$K$1:K897,K897,$L$1:L897,L897))=2,"0"&amp;COUNTIFS($H$1:H897,$H897,$I$1:I897,$I897,$J$1:J897,$J897,$K$1:K897,K897,$L$1:L897,L897),COUNTIFS($H$1:H897,$H897,$I$1:I897,$I897,$J$1:J897,$J897,$K$1:K897,K897,$L$1:L897,L897)))</f>
        <v>021</v>
      </c>
      <c r="N89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97" s="14" t="e">
        <f>+LEN(Table4[[#This Row],[New Item Code]])</f>
        <v>#N/A</v>
      </c>
      <c r="P897" s="15" t="s">
        <v>4747</v>
      </c>
      <c r="Q897" s="15" t="s">
        <v>4749</v>
      </c>
      <c r="R897" s="15"/>
      <c r="S897" s="15"/>
      <c r="T897" s="15" t="s">
        <v>4674</v>
      </c>
    </row>
    <row r="898" spans="1:20" x14ac:dyDescent="0.35">
      <c r="A898" s="2" t="s">
        <v>1799</v>
      </c>
      <c r="B898" s="2" t="s">
        <v>1800</v>
      </c>
      <c r="C898" s="2" t="s">
        <v>9</v>
      </c>
      <c r="D898" s="2">
        <v>950</v>
      </c>
      <c r="E898" s="2" t="s">
        <v>10</v>
      </c>
      <c r="F898" s="2">
        <v>1</v>
      </c>
      <c r="G898" s="22">
        <f>Table4[[#This Row],[Item Cost]]*Table4[[#This Row],[In Stock]]</f>
        <v>950</v>
      </c>
      <c r="H898" s="12" t="s">
        <v>4661</v>
      </c>
      <c r="I898" s="13" t="s">
        <v>4664</v>
      </c>
      <c r="J898" s="13" t="s">
        <v>4674</v>
      </c>
      <c r="K898" s="13" t="s">
        <v>4672</v>
      </c>
      <c r="L898" s="12" t="s">
        <v>4672</v>
      </c>
      <c r="M898" s="17" t="str">
        <f>IF(LEN(COUNTIFS($H$1:H898,$H898,$I$1:I898,$I898,$J$1:J898,$J898,$K$1:K898,K898,$L$1:L898,L898))=1,"00"&amp;COUNTIFS($H$1:H898,$H898,$I$1:I898,$I898,$J$1:J898,$J898,$K$1:K898,K898,$L$1:L898,L898),IF(LEN(COUNTIFS($H$1:H898,$H898,$I$1:I898,$I898,$J$1:J898,$J898,$K$1:K898,K898,$L$1:L898,L898))=2,"0"&amp;COUNTIFS($H$1:H898,$H898,$I$1:I898,$I898,$J$1:J898,$J898,$K$1:K898,K898,$L$1:L898,L898),COUNTIFS($H$1:H898,$H898,$I$1:I898,$I898,$J$1:J898,$J898,$K$1:K898,K898,$L$1:L898,L898)))</f>
        <v>022</v>
      </c>
      <c r="N89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98" s="14" t="e">
        <f>+LEN(Table4[[#This Row],[New Item Code]])</f>
        <v>#N/A</v>
      </c>
      <c r="P898" s="15" t="s">
        <v>4747</v>
      </c>
      <c r="Q898" s="15" t="s">
        <v>4749</v>
      </c>
      <c r="R898" s="15"/>
      <c r="S898" s="15"/>
      <c r="T898" s="15" t="s">
        <v>4674</v>
      </c>
    </row>
    <row r="899" spans="1:20" x14ac:dyDescent="0.35">
      <c r="A899" s="3" t="s">
        <v>1801</v>
      </c>
      <c r="B899" s="3" t="s">
        <v>1758</v>
      </c>
      <c r="C899" s="3" t="s">
        <v>9</v>
      </c>
      <c r="D899" s="5">
        <v>2500</v>
      </c>
      <c r="E899" s="3" t="s">
        <v>10</v>
      </c>
      <c r="F899" s="3">
        <v>1</v>
      </c>
      <c r="G899" s="21">
        <f>Table4[[#This Row],[Item Cost]]*Table4[[#This Row],[In Stock]]</f>
        <v>2500</v>
      </c>
      <c r="H899" s="12" t="s">
        <v>4661</v>
      </c>
      <c r="I899" s="13" t="s">
        <v>4664</v>
      </c>
      <c r="J899" s="13" t="s">
        <v>4674</v>
      </c>
      <c r="K899" s="13" t="s">
        <v>4672</v>
      </c>
      <c r="L899" s="12" t="s">
        <v>4672</v>
      </c>
      <c r="M899" s="17" t="str">
        <f>IF(LEN(COUNTIFS($H$1:H899,$H899,$I$1:I899,$I899,$J$1:J899,$J899,$K$1:K899,K899,$L$1:L899,L899))=1,"00"&amp;COUNTIFS($H$1:H899,$H899,$I$1:I899,$I899,$J$1:J899,$J899,$K$1:K899,K899,$L$1:L899,L899),IF(LEN(COUNTIFS($H$1:H899,$H899,$I$1:I899,$I899,$J$1:J899,$J899,$K$1:K899,K899,$L$1:L899,L899))=2,"0"&amp;COUNTIFS($H$1:H899,$H899,$I$1:I899,$I899,$J$1:J899,$J899,$K$1:K899,K899,$L$1:L899,L899),COUNTIFS($H$1:H899,$H899,$I$1:I899,$I899,$J$1:J899,$J899,$K$1:K899,K899,$L$1:L899,L899)))</f>
        <v>023</v>
      </c>
      <c r="N89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899" s="14" t="e">
        <f>+LEN(Table4[[#This Row],[New Item Code]])</f>
        <v>#N/A</v>
      </c>
      <c r="P899" s="15" t="s">
        <v>4747</v>
      </c>
      <c r="Q899" s="15" t="s">
        <v>4749</v>
      </c>
      <c r="R899" s="15"/>
      <c r="S899" s="15"/>
      <c r="T899" s="15" t="s">
        <v>4674</v>
      </c>
    </row>
    <row r="900" spans="1:20" x14ac:dyDescent="0.35">
      <c r="A900" s="2" t="s">
        <v>1802</v>
      </c>
      <c r="B900" s="2" t="s">
        <v>1803</v>
      </c>
      <c r="C900" s="2" t="s">
        <v>15</v>
      </c>
      <c r="D900" s="4">
        <v>2314</v>
      </c>
      <c r="E900" s="2" t="s">
        <v>10</v>
      </c>
      <c r="F900" s="2">
        <v>0</v>
      </c>
      <c r="G900" s="22">
        <f>Table4[[#This Row],[Item Cost]]*Table4[[#This Row],[In Stock]]</f>
        <v>0</v>
      </c>
      <c r="H900" s="12" t="s">
        <v>4661</v>
      </c>
      <c r="I900" s="13" t="s">
        <v>4666</v>
      </c>
      <c r="J900" s="13" t="s">
        <v>4674</v>
      </c>
      <c r="K900" s="13" t="s">
        <v>4672</v>
      </c>
      <c r="L900" s="12" t="s">
        <v>4672</v>
      </c>
      <c r="M900" s="17" t="str">
        <f>IF(LEN(COUNTIFS($H$1:H900,$H900,$I$1:I900,$I900,$J$1:J900,$J900,$K$1:K900,K900,$L$1:L900,L900))=1,"00"&amp;COUNTIFS($H$1:H900,$H900,$I$1:I900,$I900,$J$1:J900,$J900,$K$1:K900,K900,$L$1:L900,L900),IF(LEN(COUNTIFS($H$1:H900,$H900,$I$1:I900,$I900,$J$1:J900,$J900,$K$1:K900,K900,$L$1:L900,L900))=2,"0"&amp;COUNTIFS($H$1:H900,$H900,$I$1:I900,$I900,$J$1:J900,$J900,$K$1:K900,K900,$L$1:L900,L900),COUNTIFS($H$1:H900,$H900,$I$1:I900,$I900,$J$1:J900,$J900,$K$1:K900,K900,$L$1:L900,L900)))</f>
        <v>017</v>
      </c>
      <c r="N90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00" s="14" t="e">
        <f>+LEN(Table4[[#This Row],[New Item Code]])</f>
        <v>#N/A</v>
      </c>
      <c r="P900" s="15" t="s">
        <v>4747</v>
      </c>
      <c r="Q900" s="15" t="s">
        <v>4749</v>
      </c>
      <c r="R900" s="15"/>
      <c r="S900" s="15"/>
      <c r="T900" s="15" t="s">
        <v>4674</v>
      </c>
    </row>
    <row r="901" spans="1:20" x14ac:dyDescent="0.35">
      <c r="A901" s="3" t="s">
        <v>1804</v>
      </c>
      <c r="B901" s="3" t="s">
        <v>1805</v>
      </c>
      <c r="C901" s="3" t="s">
        <v>9</v>
      </c>
      <c r="D901" s="5">
        <v>1964</v>
      </c>
      <c r="E901" s="3" t="s">
        <v>10</v>
      </c>
      <c r="F901" s="3">
        <v>1</v>
      </c>
      <c r="G901" s="21">
        <f>Table4[[#This Row],[Item Cost]]*Table4[[#This Row],[In Stock]]</f>
        <v>1964</v>
      </c>
      <c r="H901" s="12" t="s">
        <v>4661</v>
      </c>
      <c r="I901" s="13" t="s">
        <v>4664</v>
      </c>
      <c r="J901" s="13" t="s">
        <v>4674</v>
      </c>
      <c r="K901" s="13" t="s">
        <v>4672</v>
      </c>
      <c r="L901" s="12" t="s">
        <v>4672</v>
      </c>
      <c r="M901" s="17" t="str">
        <f>IF(LEN(COUNTIFS($H$1:H901,$H901,$I$1:I901,$I901,$J$1:J901,$J901,$K$1:K901,K901,$L$1:L901,L901))=1,"00"&amp;COUNTIFS($H$1:H901,$H901,$I$1:I901,$I901,$J$1:J901,$J901,$K$1:K901,K901,$L$1:L901,L901),IF(LEN(COUNTIFS($H$1:H901,$H901,$I$1:I901,$I901,$J$1:J901,$J901,$K$1:K901,K901,$L$1:L901,L901))=2,"0"&amp;COUNTIFS($H$1:H901,$H901,$I$1:I901,$I901,$J$1:J901,$J901,$K$1:K901,K901,$L$1:L901,L901),COUNTIFS($H$1:H901,$H901,$I$1:I901,$I901,$J$1:J901,$J901,$K$1:K901,K901,$L$1:L901,L901)))</f>
        <v>024</v>
      </c>
      <c r="N90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01" s="14" t="e">
        <f>+LEN(Table4[[#This Row],[New Item Code]])</f>
        <v>#N/A</v>
      </c>
      <c r="P901" s="15" t="s">
        <v>4747</v>
      </c>
      <c r="Q901" s="15" t="s">
        <v>4749</v>
      </c>
      <c r="R901" s="15"/>
      <c r="S901" s="15"/>
      <c r="T901" s="15" t="s">
        <v>4674</v>
      </c>
    </row>
    <row r="902" spans="1:20" x14ac:dyDescent="0.35">
      <c r="A902" s="2" t="s">
        <v>1806</v>
      </c>
      <c r="B902" s="2" t="s">
        <v>1807</v>
      </c>
      <c r="C902" s="2" t="s">
        <v>15</v>
      </c>
      <c r="D902" s="4">
        <v>1560</v>
      </c>
      <c r="E902" s="2" t="s">
        <v>10</v>
      </c>
      <c r="F902" s="2">
        <v>0</v>
      </c>
      <c r="G902" s="22">
        <f>Table4[[#This Row],[Item Cost]]*Table4[[#This Row],[In Stock]]</f>
        <v>0</v>
      </c>
      <c r="H902" s="12" t="s">
        <v>4661</v>
      </c>
      <c r="I902" s="13" t="s">
        <v>4666</v>
      </c>
      <c r="J902" s="13" t="s">
        <v>4674</v>
      </c>
      <c r="K902" s="13" t="s">
        <v>4672</v>
      </c>
      <c r="L902" s="12" t="s">
        <v>4672</v>
      </c>
      <c r="M902" s="17" t="str">
        <f>IF(LEN(COUNTIFS($H$1:H902,$H902,$I$1:I902,$I902,$J$1:J902,$J902,$K$1:K902,K902,$L$1:L902,L902))=1,"00"&amp;COUNTIFS($H$1:H902,$H902,$I$1:I902,$I902,$J$1:J902,$J902,$K$1:K902,K902,$L$1:L902,L902),IF(LEN(COUNTIFS($H$1:H902,$H902,$I$1:I902,$I902,$J$1:J902,$J902,$K$1:K902,K902,$L$1:L902,L902))=2,"0"&amp;COUNTIFS($H$1:H902,$H902,$I$1:I902,$I902,$J$1:J902,$J902,$K$1:K902,K902,$L$1:L902,L902),COUNTIFS($H$1:H902,$H902,$I$1:I902,$I902,$J$1:J902,$J902,$K$1:K902,K902,$L$1:L902,L902)))</f>
        <v>018</v>
      </c>
      <c r="N90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02" s="14" t="e">
        <f>+LEN(Table4[[#This Row],[New Item Code]])</f>
        <v>#N/A</v>
      </c>
      <c r="P902" s="15" t="s">
        <v>4747</v>
      </c>
      <c r="Q902" s="15" t="s">
        <v>4749</v>
      </c>
      <c r="R902" s="15"/>
      <c r="S902" s="15"/>
      <c r="T902" s="15" t="s">
        <v>4674</v>
      </c>
    </row>
    <row r="903" spans="1:20" x14ac:dyDescent="0.35">
      <c r="A903" s="3" t="s">
        <v>1808</v>
      </c>
      <c r="B903" s="3" t="s">
        <v>1809</v>
      </c>
      <c r="C903" s="3" t="s">
        <v>56</v>
      </c>
      <c r="D903" s="3">
        <v>0</v>
      </c>
      <c r="E903" s="3" t="s">
        <v>57</v>
      </c>
      <c r="F903" s="3">
        <v>0</v>
      </c>
      <c r="G903" s="21">
        <f>Table4[[#This Row],[Item Cost]]*Table4[[#This Row],[In Stock]]</f>
        <v>0</v>
      </c>
      <c r="H903" s="12" t="s">
        <v>4661</v>
      </c>
      <c r="I903" s="13" t="s">
        <v>4668</v>
      </c>
      <c r="J903" s="13" t="s">
        <v>4674</v>
      </c>
      <c r="K903" s="13" t="s">
        <v>4672</v>
      </c>
      <c r="L903" s="12" t="s">
        <v>4672</v>
      </c>
      <c r="M903" s="17" t="str">
        <f>IF(LEN(COUNTIFS($H$1:H903,$H903,$I$1:I903,$I903,$J$1:J903,$J903,$K$1:K903,K903,$L$1:L903,L903))=1,"00"&amp;COUNTIFS($H$1:H903,$H903,$I$1:I903,$I903,$J$1:J903,$J903,$K$1:K903,K903,$L$1:L903,L903),IF(LEN(COUNTIFS($H$1:H903,$H903,$I$1:I903,$I903,$J$1:J903,$J903,$K$1:K903,K903,$L$1:L903,L903))=2,"0"&amp;COUNTIFS($H$1:H903,$H903,$I$1:I903,$I903,$J$1:J903,$J903,$K$1:K903,K903,$L$1:L903,L903),COUNTIFS($H$1:H903,$H903,$I$1:I903,$I903,$J$1:J903,$J903,$K$1:K903,K903,$L$1:L903,L903)))</f>
        <v>001</v>
      </c>
      <c r="N90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03" s="14" t="e">
        <f>+LEN(Table4[[#This Row],[New Item Code]])</f>
        <v>#N/A</v>
      </c>
      <c r="P903" s="15" t="s">
        <v>4747</v>
      </c>
      <c r="Q903" s="15" t="s">
        <v>4749</v>
      </c>
      <c r="R903" s="15"/>
      <c r="S903" s="15"/>
      <c r="T903" s="15" t="s">
        <v>4674</v>
      </c>
    </row>
    <row r="904" spans="1:20" x14ac:dyDescent="0.35">
      <c r="A904" s="2" t="s">
        <v>1810</v>
      </c>
      <c r="B904" s="2" t="s">
        <v>1811</v>
      </c>
      <c r="C904" s="2" t="s">
        <v>56</v>
      </c>
      <c r="D904" s="2">
        <v>38</v>
      </c>
      <c r="E904" s="2" t="s">
        <v>10</v>
      </c>
      <c r="F904" s="2">
        <v>0</v>
      </c>
      <c r="G904" s="22">
        <f>Table4[[#This Row],[Item Cost]]*Table4[[#This Row],[In Stock]]</f>
        <v>0</v>
      </c>
      <c r="H904" s="12" t="s">
        <v>4661</v>
      </c>
      <c r="I904" s="13" t="s">
        <v>4668</v>
      </c>
      <c r="J904" s="13" t="s">
        <v>4674</v>
      </c>
      <c r="K904" s="13" t="s">
        <v>4672</v>
      </c>
      <c r="L904" s="12" t="s">
        <v>4672</v>
      </c>
      <c r="M904" s="17" t="str">
        <f>IF(LEN(COUNTIFS($H$1:H904,$H904,$I$1:I904,$I904,$J$1:J904,$J904,$K$1:K904,K904,$L$1:L904,L904))=1,"00"&amp;COUNTIFS($H$1:H904,$H904,$I$1:I904,$I904,$J$1:J904,$J904,$K$1:K904,K904,$L$1:L904,L904),IF(LEN(COUNTIFS($H$1:H904,$H904,$I$1:I904,$I904,$J$1:J904,$J904,$K$1:K904,K904,$L$1:L904,L904))=2,"0"&amp;COUNTIFS($H$1:H904,$H904,$I$1:I904,$I904,$J$1:J904,$J904,$K$1:K904,K904,$L$1:L904,L904),COUNTIFS($H$1:H904,$H904,$I$1:I904,$I904,$J$1:J904,$J904,$K$1:K904,K904,$L$1:L904,L904)))</f>
        <v>002</v>
      </c>
      <c r="N90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04" s="14" t="e">
        <f>+LEN(Table4[[#This Row],[New Item Code]])</f>
        <v>#N/A</v>
      </c>
      <c r="P904" s="15" t="s">
        <v>4747</v>
      </c>
      <c r="Q904" s="15" t="s">
        <v>4749</v>
      </c>
      <c r="R904" s="15"/>
      <c r="S904" s="15"/>
      <c r="T904" s="15" t="s">
        <v>4674</v>
      </c>
    </row>
    <row r="905" spans="1:20" x14ac:dyDescent="0.35">
      <c r="A905" s="3" t="s">
        <v>1812</v>
      </c>
      <c r="B905" s="3" t="s">
        <v>1813</v>
      </c>
      <c r="C905" s="3" t="s">
        <v>15</v>
      </c>
      <c r="D905" s="3">
        <v>485</v>
      </c>
      <c r="E905" s="3" t="s">
        <v>10</v>
      </c>
      <c r="F905" s="3">
        <v>1</v>
      </c>
      <c r="G905" s="21">
        <f>Table4[[#This Row],[Item Cost]]*Table4[[#This Row],[In Stock]]</f>
        <v>485</v>
      </c>
      <c r="H905" s="12" t="s">
        <v>4661</v>
      </c>
      <c r="I905" s="13" t="s">
        <v>4666</v>
      </c>
      <c r="J905" s="13" t="s">
        <v>4674</v>
      </c>
      <c r="K905" s="13" t="s">
        <v>4672</v>
      </c>
      <c r="L905" s="12" t="s">
        <v>4672</v>
      </c>
      <c r="M905" s="17" t="str">
        <f>IF(LEN(COUNTIFS($H$1:H905,$H905,$I$1:I905,$I905,$J$1:J905,$J905,$K$1:K905,K905,$L$1:L905,L905))=1,"00"&amp;COUNTIFS($H$1:H905,$H905,$I$1:I905,$I905,$J$1:J905,$J905,$K$1:K905,K905,$L$1:L905,L905),IF(LEN(COUNTIFS($H$1:H905,$H905,$I$1:I905,$I905,$J$1:J905,$J905,$K$1:K905,K905,$L$1:L905,L905))=2,"0"&amp;COUNTIFS($H$1:H905,$H905,$I$1:I905,$I905,$J$1:J905,$J905,$K$1:K905,K905,$L$1:L905,L905),COUNTIFS($H$1:H905,$H905,$I$1:I905,$I905,$J$1:J905,$J905,$K$1:K905,K905,$L$1:L905,L905)))</f>
        <v>019</v>
      </c>
      <c r="N90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05" s="14" t="e">
        <f>+LEN(Table4[[#This Row],[New Item Code]])</f>
        <v>#N/A</v>
      </c>
      <c r="P905" s="15" t="s">
        <v>4747</v>
      </c>
      <c r="Q905" s="15" t="s">
        <v>4749</v>
      </c>
      <c r="R905" s="15"/>
      <c r="S905" s="15"/>
      <c r="T905" s="15" t="s">
        <v>4674</v>
      </c>
    </row>
    <row r="906" spans="1:20" x14ac:dyDescent="0.35">
      <c r="A906" s="2" t="s">
        <v>1814</v>
      </c>
      <c r="B906" s="2" t="s">
        <v>1815</v>
      </c>
      <c r="C906" s="2" t="s">
        <v>9</v>
      </c>
      <c r="D906" s="2">
        <v>245.55</v>
      </c>
      <c r="E906" s="2" t="s">
        <v>10</v>
      </c>
      <c r="F906" s="2">
        <v>3</v>
      </c>
      <c r="G906" s="22">
        <f>Table4[[#This Row],[Item Cost]]*Table4[[#This Row],[In Stock]]</f>
        <v>736.65000000000009</v>
      </c>
      <c r="H906" s="12" t="s">
        <v>4661</v>
      </c>
      <c r="I906" s="13" t="s">
        <v>4664</v>
      </c>
      <c r="J906" s="13" t="s">
        <v>4674</v>
      </c>
      <c r="K906" s="13" t="s">
        <v>4672</v>
      </c>
      <c r="L906" s="12" t="s">
        <v>4672</v>
      </c>
      <c r="M906" s="17" t="str">
        <f>IF(LEN(COUNTIFS($H$1:H906,$H906,$I$1:I906,$I906,$J$1:J906,$J906,$K$1:K906,K906,$L$1:L906,L906))=1,"00"&amp;COUNTIFS($H$1:H906,$H906,$I$1:I906,$I906,$J$1:J906,$J906,$K$1:K906,K906,$L$1:L906,L906),IF(LEN(COUNTIFS($H$1:H906,$H906,$I$1:I906,$I906,$J$1:J906,$J906,$K$1:K906,K906,$L$1:L906,L906))=2,"0"&amp;COUNTIFS($H$1:H906,$H906,$I$1:I906,$I906,$J$1:J906,$J906,$K$1:K906,K906,$L$1:L906,L906),COUNTIFS($H$1:H906,$H906,$I$1:I906,$I906,$J$1:J906,$J906,$K$1:K906,K906,$L$1:L906,L906)))</f>
        <v>025</v>
      </c>
      <c r="N90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06" s="14" t="e">
        <f>+LEN(Table4[[#This Row],[New Item Code]])</f>
        <v>#N/A</v>
      </c>
      <c r="P906" s="15" t="s">
        <v>4747</v>
      </c>
      <c r="Q906" s="15" t="s">
        <v>4749</v>
      </c>
      <c r="R906" s="15"/>
      <c r="S906" s="15"/>
      <c r="T906" s="15" t="s">
        <v>4674</v>
      </c>
    </row>
    <row r="907" spans="1:20" x14ac:dyDescent="0.35">
      <c r="A907" s="3" t="s">
        <v>1816</v>
      </c>
      <c r="B907" s="3" t="s">
        <v>1817</v>
      </c>
      <c r="C907" s="3" t="s">
        <v>9</v>
      </c>
      <c r="D907" s="5">
        <v>5500</v>
      </c>
      <c r="E907" s="3" t="s">
        <v>10</v>
      </c>
      <c r="F907" s="3">
        <v>2</v>
      </c>
      <c r="G907" s="21">
        <f>Table4[[#This Row],[Item Cost]]*Table4[[#This Row],[In Stock]]</f>
        <v>11000</v>
      </c>
      <c r="H907" s="12" t="s">
        <v>4661</v>
      </c>
      <c r="I907" s="13" t="s">
        <v>4664</v>
      </c>
      <c r="J907" s="13" t="s">
        <v>4674</v>
      </c>
      <c r="K907" s="13" t="s">
        <v>4672</v>
      </c>
      <c r="L907" s="12" t="s">
        <v>4672</v>
      </c>
      <c r="M907" s="17" t="str">
        <f>IF(LEN(COUNTIFS($H$1:H907,$H907,$I$1:I907,$I907,$J$1:J907,$J907,$K$1:K907,K907,$L$1:L907,L907))=1,"00"&amp;COUNTIFS($H$1:H907,$H907,$I$1:I907,$I907,$J$1:J907,$J907,$K$1:K907,K907,$L$1:L907,L907),IF(LEN(COUNTIFS($H$1:H907,$H907,$I$1:I907,$I907,$J$1:J907,$J907,$K$1:K907,K907,$L$1:L907,L907))=2,"0"&amp;COUNTIFS($H$1:H907,$H907,$I$1:I907,$I907,$J$1:J907,$J907,$K$1:K907,K907,$L$1:L907,L907),COUNTIFS($H$1:H907,$H907,$I$1:I907,$I907,$J$1:J907,$J907,$K$1:K907,K907,$L$1:L907,L907)))</f>
        <v>026</v>
      </c>
      <c r="N90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07" s="14" t="e">
        <f>+LEN(Table4[[#This Row],[New Item Code]])</f>
        <v>#N/A</v>
      </c>
      <c r="P907" s="15" t="s">
        <v>4747</v>
      </c>
      <c r="Q907" s="15" t="s">
        <v>4749</v>
      </c>
      <c r="R907" s="15"/>
      <c r="S907" s="15"/>
      <c r="T907" s="15" t="s">
        <v>4674</v>
      </c>
    </row>
    <row r="908" spans="1:20" x14ac:dyDescent="0.35">
      <c r="A908" s="2" t="s">
        <v>1818</v>
      </c>
      <c r="B908" s="2" t="s">
        <v>1819</v>
      </c>
      <c r="C908" s="2" t="s">
        <v>9</v>
      </c>
      <c r="D908" s="4">
        <v>1196</v>
      </c>
      <c r="E908" s="2" t="s">
        <v>10</v>
      </c>
      <c r="F908" s="2">
        <v>2</v>
      </c>
      <c r="G908" s="22">
        <f>Table4[[#This Row],[Item Cost]]*Table4[[#This Row],[In Stock]]</f>
        <v>2392</v>
      </c>
      <c r="H908" s="12" t="s">
        <v>4661</v>
      </c>
      <c r="I908" s="13" t="s">
        <v>4664</v>
      </c>
      <c r="J908" s="13" t="s">
        <v>4674</v>
      </c>
      <c r="K908" s="13" t="s">
        <v>4672</v>
      </c>
      <c r="L908" s="12" t="s">
        <v>4672</v>
      </c>
      <c r="M908" s="17" t="str">
        <f>IF(LEN(COUNTIFS($H$1:H908,$H908,$I$1:I908,$I908,$J$1:J908,$J908,$K$1:K908,K908,$L$1:L908,L908))=1,"00"&amp;COUNTIFS($H$1:H908,$H908,$I$1:I908,$I908,$J$1:J908,$J908,$K$1:K908,K908,$L$1:L908,L908),IF(LEN(COUNTIFS($H$1:H908,$H908,$I$1:I908,$I908,$J$1:J908,$J908,$K$1:K908,K908,$L$1:L908,L908))=2,"0"&amp;COUNTIFS($H$1:H908,$H908,$I$1:I908,$I908,$J$1:J908,$J908,$K$1:K908,K908,$L$1:L908,L908),COUNTIFS($H$1:H908,$H908,$I$1:I908,$I908,$J$1:J908,$J908,$K$1:K908,K908,$L$1:L908,L908)))</f>
        <v>027</v>
      </c>
      <c r="N90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08" s="14" t="e">
        <f>+LEN(Table4[[#This Row],[New Item Code]])</f>
        <v>#N/A</v>
      </c>
      <c r="P908" s="15" t="s">
        <v>4747</v>
      </c>
      <c r="Q908" s="15" t="s">
        <v>4749</v>
      </c>
      <c r="R908" s="15"/>
      <c r="S908" s="15"/>
      <c r="T908" s="15" t="s">
        <v>4674</v>
      </c>
    </row>
    <row r="909" spans="1:20" x14ac:dyDescent="0.35">
      <c r="A909" s="3" t="s">
        <v>1820</v>
      </c>
      <c r="B909" s="3" t="s">
        <v>1821</v>
      </c>
      <c r="C909" s="3" t="s">
        <v>9</v>
      </c>
      <c r="D909" s="5">
        <v>9250</v>
      </c>
      <c r="E909" s="3" t="s">
        <v>10</v>
      </c>
      <c r="F909" s="3">
        <v>1</v>
      </c>
      <c r="G909" s="21">
        <f>Table4[[#This Row],[Item Cost]]*Table4[[#This Row],[In Stock]]</f>
        <v>9250</v>
      </c>
      <c r="H909" s="12" t="s">
        <v>4661</v>
      </c>
      <c r="I909" s="13" t="s">
        <v>4664</v>
      </c>
      <c r="J909" s="13" t="s">
        <v>4674</v>
      </c>
      <c r="K909" s="13" t="s">
        <v>4672</v>
      </c>
      <c r="L909" s="12" t="s">
        <v>4672</v>
      </c>
      <c r="M909" s="17" t="str">
        <f>IF(LEN(COUNTIFS($H$1:H909,$H909,$I$1:I909,$I909,$J$1:J909,$J909,$K$1:K909,K909,$L$1:L909,L909))=1,"00"&amp;COUNTIFS($H$1:H909,$H909,$I$1:I909,$I909,$J$1:J909,$J909,$K$1:K909,K909,$L$1:L909,L909),IF(LEN(COUNTIFS($H$1:H909,$H909,$I$1:I909,$I909,$J$1:J909,$J909,$K$1:K909,K909,$L$1:L909,L909))=2,"0"&amp;COUNTIFS($H$1:H909,$H909,$I$1:I909,$I909,$J$1:J909,$J909,$K$1:K909,K909,$L$1:L909,L909),COUNTIFS($H$1:H909,$H909,$I$1:I909,$I909,$J$1:J909,$J909,$K$1:K909,K909,$L$1:L909,L909)))</f>
        <v>028</v>
      </c>
      <c r="N90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09" s="14" t="e">
        <f>+LEN(Table4[[#This Row],[New Item Code]])</f>
        <v>#N/A</v>
      </c>
      <c r="P909" s="15" t="s">
        <v>4747</v>
      </c>
      <c r="Q909" s="15" t="s">
        <v>4749</v>
      </c>
      <c r="R909" s="15"/>
      <c r="S909" s="15"/>
      <c r="T909" s="15" t="s">
        <v>4674</v>
      </c>
    </row>
    <row r="910" spans="1:20" x14ac:dyDescent="0.35">
      <c r="A910" s="2" t="s">
        <v>1822</v>
      </c>
      <c r="B910" s="2" t="s">
        <v>1823</v>
      </c>
      <c r="C910" s="2" t="s">
        <v>15</v>
      </c>
      <c r="D910" s="4">
        <v>6700</v>
      </c>
      <c r="E910" s="2" t="s">
        <v>10</v>
      </c>
      <c r="F910" s="2">
        <v>0</v>
      </c>
      <c r="G910" s="22">
        <f>Table4[[#This Row],[Item Cost]]*Table4[[#This Row],[In Stock]]</f>
        <v>0</v>
      </c>
      <c r="H910" s="12" t="s">
        <v>4661</v>
      </c>
      <c r="I910" s="13" t="s">
        <v>4666</v>
      </c>
      <c r="J910" s="13" t="s">
        <v>4674</v>
      </c>
      <c r="K910" s="13" t="s">
        <v>4672</v>
      </c>
      <c r="L910" s="12" t="s">
        <v>4672</v>
      </c>
      <c r="M910" s="17" t="str">
        <f>IF(LEN(COUNTIFS($H$1:H910,$H910,$I$1:I910,$I910,$J$1:J910,$J910,$K$1:K910,K910,$L$1:L910,L910))=1,"00"&amp;COUNTIFS($H$1:H910,$H910,$I$1:I910,$I910,$J$1:J910,$J910,$K$1:K910,K910,$L$1:L910,L910),IF(LEN(COUNTIFS($H$1:H910,$H910,$I$1:I910,$I910,$J$1:J910,$J910,$K$1:K910,K910,$L$1:L910,L910))=2,"0"&amp;COUNTIFS($H$1:H910,$H910,$I$1:I910,$I910,$J$1:J910,$J910,$K$1:K910,K910,$L$1:L910,L910),COUNTIFS($H$1:H910,$H910,$I$1:I910,$I910,$J$1:J910,$J910,$K$1:K910,K910,$L$1:L910,L910)))</f>
        <v>020</v>
      </c>
      <c r="N91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10" s="14" t="e">
        <f>+LEN(Table4[[#This Row],[New Item Code]])</f>
        <v>#N/A</v>
      </c>
      <c r="P910" s="15" t="s">
        <v>4747</v>
      </c>
      <c r="Q910" s="15" t="s">
        <v>4749</v>
      </c>
      <c r="R910" s="15"/>
      <c r="S910" s="15"/>
      <c r="T910" s="15" t="s">
        <v>4674</v>
      </c>
    </row>
    <row r="911" spans="1:20" x14ac:dyDescent="0.35">
      <c r="A911" s="3" t="s">
        <v>1824</v>
      </c>
      <c r="B911" s="3" t="s">
        <v>1825</v>
      </c>
      <c r="C911" s="3" t="s">
        <v>9</v>
      </c>
      <c r="D911" s="3">
        <v>250</v>
      </c>
      <c r="E911" s="3" t="s">
        <v>10</v>
      </c>
      <c r="F911" s="3">
        <v>2</v>
      </c>
      <c r="G911" s="21">
        <f>Table4[[#This Row],[Item Cost]]*Table4[[#This Row],[In Stock]]</f>
        <v>500</v>
      </c>
      <c r="H911" s="12" t="s">
        <v>4661</v>
      </c>
      <c r="I911" s="13" t="s">
        <v>4664</v>
      </c>
      <c r="J911" s="13" t="s">
        <v>4674</v>
      </c>
      <c r="K911" s="7" t="s">
        <v>4771</v>
      </c>
      <c r="L911" s="12" t="s">
        <v>4672</v>
      </c>
      <c r="M911" s="17" t="str">
        <f>IF(LEN(COUNTIFS($H$1:H911,$H911,$I$1:I911,$I911,$J$1:J911,$J911,$K$1:K911,K911,$L$1:L911,L911))=1,"00"&amp;COUNTIFS($H$1:H911,$H911,$I$1:I911,$I911,$J$1:J911,$J911,$K$1:K911,K911,$L$1:L911,L911),IF(LEN(COUNTIFS($H$1:H911,$H911,$I$1:I911,$I911,$J$1:J911,$J911,$K$1:K911,K911,$L$1:L911,L911))=2,"0"&amp;COUNTIFS($H$1:H911,$H911,$I$1:I911,$I911,$J$1:J911,$J911,$K$1:K911,K911,$L$1:L911,L911),COUNTIFS($H$1:H911,$H911,$I$1:I911,$I911,$J$1:J911,$J911,$K$1:K911,K911,$L$1:L911,L911)))</f>
        <v>001</v>
      </c>
      <c r="N91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11" s="14" t="e">
        <f>+LEN(Table4[[#This Row],[New Item Code]])</f>
        <v>#N/A</v>
      </c>
      <c r="P911" s="15" t="s">
        <v>4747</v>
      </c>
      <c r="Q911" s="15" t="s">
        <v>4749</v>
      </c>
      <c r="R911" s="15"/>
      <c r="S911" s="15"/>
      <c r="T911" s="15" t="s">
        <v>4674</v>
      </c>
    </row>
    <row r="912" spans="1:20" x14ac:dyDescent="0.35">
      <c r="A912" s="2" t="s">
        <v>1826</v>
      </c>
      <c r="B912" s="2" t="s">
        <v>1827</v>
      </c>
      <c r="C912" s="2" t="s">
        <v>9</v>
      </c>
      <c r="D912" s="2">
        <v>100</v>
      </c>
      <c r="E912" s="2" t="s">
        <v>10</v>
      </c>
      <c r="F912" s="2">
        <v>2</v>
      </c>
      <c r="G912" s="22">
        <f>Table4[[#This Row],[Item Cost]]*Table4[[#This Row],[In Stock]]</f>
        <v>200</v>
      </c>
      <c r="H912" s="12" t="s">
        <v>4661</v>
      </c>
      <c r="I912" s="13" t="s">
        <v>4664</v>
      </c>
      <c r="J912" s="13" t="s">
        <v>4674</v>
      </c>
      <c r="K912" s="7" t="s">
        <v>4771</v>
      </c>
      <c r="L912" s="12" t="s">
        <v>4672</v>
      </c>
      <c r="M912" s="17" t="str">
        <f>IF(LEN(COUNTIFS($H$1:H912,$H912,$I$1:I912,$I912,$J$1:J912,$J912,$K$1:K912,K912,$L$1:L912,L912))=1,"00"&amp;COUNTIFS($H$1:H912,$H912,$I$1:I912,$I912,$J$1:J912,$J912,$K$1:K912,K912,$L$1:L912,L912),IF(LEN(COUNTIFS($H$1:H912,$H912,$I$1:I912,$I912,$J$1:J912,$J912,$K$1:K912,K912,$L$1:L912,L912))=2,"0"&amp;COUNTIFS($H$1:H912,$H912,$I$1:I912,$I912,$J$1:J912,$J912,$K$1:K912,K912,$L$1:L912,L912),COUNTIFS($H$1:H912,$H912,$I$1:I912,$I912,$J$1:J912,$J912,$K$1:K912,K912,$L$1:L912,L912)))</f>
        <v>002</v>
      </c>
      <c r="N91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12" s="14" t="e">
        <f>+LEN(Table4[[#This Row],[New Item Code]])</f>
        <v>#N/A</v>
      </c>
      <c r="P912" s="15" t="s">
        <v>4747</v>
      </c>
      <c r="Q912" s="15" t="s">
        <v>4749</v>
      </c>
      <c r="R912" s="15"/>
      <c r="S912" s="15"/>
      <c r="T912" s="15" t="s">
        <v>4674</v>
      </c>
    </row>
    <row r="913" spans="1:20" x14ac:dyDescent="0.35">
      <c r="A913" s="3" t="s">
        <v>1828</v>
      </c>
      <c r="B913" s="3" t="s">
        <v>1829</v>
      </c>
      <c r="C913" s="3" t="s">
        <v>9</v>
      </c>
      <c r="D913" s="3">
        <v>100</v>
      </c>
      <c r="E913" s="3" t="s">
        <v>10</v>
      </c>
      <c r="F913" s="3">
        <v>20</v>
      </c>
      <c r="G913" s="21">
        <f>Table4[[#This Row],[Item Cost]]*Table4[[#This Row],[In Stock]]</f>
        <v>2000</v>
      </c>
      <c r="H913" s="12" t="s">
        <v>4661</v>
      </c>
      <c r="I913" s="13" t="s">
        <v>4664</v>
      </c>
      <c r="J913" s="13" t="s">
        <v>4674</v>
      </c>
      <c r="K913" s="13" t="s">
        <v>4672</v>
      </c>
      <c r="L913" s="12" t="s">
        <v>4672</v>
      </c>
      <c r="M913" s="17" t="str">
        <f>IF(LEN(COUNTIFS($H$1:H913,$H913,$I$1:I913,$I913,$J$1:J913,$J913,$K$1:K913,K913,$L$1:L913,L913))=1,"00"&amp;COUNTIFS($H$1:H913,$H913,$I$1:I913,$I913,$J$1:J913,$J913,$K$1:K913,K913,$L$1:L913,L913),IF(LEN(COUNTIFS($H$1:H913,$H913,$I$1:I913,$I913,$J$1:J913,$J913,$K$1:K913,K913,$L$1:L913,L913))=2,"0"&amp;COUNTIFS($H$1:H913,$H913,$I$1:I913,$I913,$J$1:J913,$J913,$K$1:K913,K913,$L$1:L913,L913),COUNTIFS($H$1:H913,$H913,$I$1:I913,$I913,$J$1:J913,$J913,$K$1:K913,K913,$L$1:L913,L913)))</f>
        <v>029</v>
      </c>
      <c r="N91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13" s="14" t="e">
        <f>+LEN(Table4[[#This Row],[New Item Code]])</f>
        <v>#N/A</v>
      </c>
      <c r="P913" s="15" t="s">
        <v>4747</v>
      </c>
      <c r="Q913" s="15" t="s">
        <v>4749</v>
      </c>
      <c r="R913" s="15"/>
      <c r="S913" s="15"/>
      <c r="T913" s="15" t="s">
        <v>4674</v>
      </c>
    </row>
    <row r="914" spans="1:20" x14ac:dyDescent="0.35">
      <c r="A914" s="2" t="s">
        <v>1830</v>
      </c>
      <c r="B914" s="2" t="s">
        <v>1831</v>
      </c>
      <c r="C914" s="2" t="s">
        <v>9</v>
      </c>
      <c r="D914" s="2">
        <v>210</v>
      </c>
      <c r="E914" s="2" t="s">
        <v>10</v>
      </c>
      <c r="F914" s="2">
        <v>1</v>
      </c>
      <c r="G914" s="22">
        <f>Table4[[#This Row],[Item Cost]]*Table4[[#This Row],[In Stock]]</f>
        <v>210</v>
      </c>
      <c r="H914" s="12" t="s">
        <v>4661</v>
      </c>
      <c r="I914" s="13" t="s">
        <v>4664</v>
      </c>
      <c r="J914" s="13" t="s">
        <v>4674</v>
      </c>
      <c r="K914" t="s">
        <v>4795</v>
      </c>
      <c r="L914" s="12" t="s">
        <v>4672</v>
      </c>
      <c r="M914" s="17" t="str">
        <f>IF(LEN(COUNTIFS($H$1:H914,$H914,$I$1:I914,$I914,$J$1:J914,$J914,$K$1:K914,K914,$L$1:L914,L914))=1,"00"&amp;COUNTIFS($H$1:H914,$H914,$I$1:I914,$I914,$J$1:J914,$J914,$K$1:K914,K914,$L$1:L914,L914),IF(LEN(COUNTIFS($H$1:H914,$H914,$I$1:I914,$I914,$J$1:J914,$J914,$K$1:K914,K914,$L$1:L914,L914))=2,"0"&amp;COUNTIFS($H$1:H914,$H914,$I$1:I914,$I914,$J$1:J914,$J914,$K$1:K914,K914,$L$1:L914,L914),COUNTIFS($H$1:H914,$H914,$I$1:I914,$I914,$J$1:J914,$J914,$K$1:K914,K914,$L$1:L914,L914)))</f>
        <v>001</v>
      </c>
      <c r="N91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14" s="14" t="e">
        <f>+LEN(Table4[[#This Row],[New Item Code]])</f>
        <v>#N/A</v>
      </c>
      <c r="P914" s="15" t="s">
        <v>4747</v>
      </c>
      <c r="Q914" s="15" t="s">
        <v>4749</v>
      </c>
      <c r="R914" s="15"/>
      <c r="S914" s="15"/>
      <c r="T914" s="15" t="s">
        <v>4674</v>
      </c>
    </row>
    <row r="915" spans="1:20" x14ac:dyDescent="0.35">
      <c r="A915" s="3" t="s">
        <v>1832</v>
      </c>
      <c r="B915" s="3" t="s">
        <v>1833</v>
      </c>
      <c r="C915" s="3" t="s">
        <v>9</v>
      </c>
      <c r="D915" s="3">
        <v>210</v>
      </c>
      <c r="E915" s="3" t="s">
        <v>10</v>
      </c>
      <c r="F915" s="3">
        <v>1</v>
      </c>
      <c r="G915" s="21">
        <f>Table4[[#This Row],[Item Cost]]*Table4[[#This Row],[In Stock]]</f>
        <v>210</v>
      </c>
      <c r="H915" s="12" t="s">
        <v>4661</v>
      </c>
      <c r="I915" s="13" t="s">
        <v>4664</v>
      </c>
      <c r="J915" s="13" t="s">
        <v>4674</v>
      </c>
      <c r="K915" t="s">
        <v>4795</v>
      </c>
      <c r="L915" s="12" t="s">
        <v>4672</v>
      </c>
      <c r="M915" s="17" t="str">
        <f>IF(LEN(COUNTIFS($H$1:H915,$H915,$I$1:I915,$I915,$J$1:J915,$J915,$K$1:K915,K915,$L$1:L915,L915))=1,"00"&amp;COUNTIFS($H$1:H915,$H915,$I$1:I915,$I915,$J$1:J915,$J915,$K$1:K915,K915,$L$1:L915,L915),IF(LEN(COUNTIFS($H$1:H915,$H915,$I$1:I915,$I915,$J$1:J915,$J915,$K$1:K915,K915,$L$1:L915,L915))=2,"0"&amp;COUNTIFS($H$1:H915,$H915,$I$1:I915,$I915,$J$1:J915,$J915,$K$1:K915,K915,$L$1:L915,L915),COUNTIFS($H$1:H915,$H915,$I$1:I915,$I915,$J$1:J915,$J915,$K$1:K915,K915,$L$1:L915,L915)))</f>
        <v>002</v>
      </c>
      <c r="N91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15" s="14" t="e">
        <f>+LEN(Table4[[#This Row],[New Item Code]])</f>
        <v>#N/A</v>
      </c>
      <c r="P915" s="15" t="s">
        <v>4747</v>
      </c>
      <c r="Q915" s="15" t="s">
        <v>4749</v>
      </c>
      <c r="R915" s="15"/>
      <c r="S915" s="15"/>
      <c r="T915" s="15" t="s">
        <v>4674</v>
      </c>
    </row>
    <row r="916" spans="1:20" x14ac:dyDescent="0.35">
      <c r="A916" s="2" t="s">
        <v>1834</v>
      </c>
      <c r="B916" s="2" t="s">
        <v>1835</v>
      </c>
      <c r="C916" s="2" t="s">
        <v>9</v>
      </c>
      <c r="D916" s="2">
        <v>315</v>
      </c>
      <c r="E916" s="2" t="s">
        <v>10</v>
      </c>
      <c r="F916" s="2">
        <v>3</v>
      </c>
      <c r="G916" s="22">
        <f>Table4[[#This Row],[Item Cost]]*Table4[[#This Row],[In Stock]]</f>
        <v>945</v>
      </c>
      <c r="H916" s="12" t="s">
        <v>4661</v>
      </c>
      <c r="I916" s="13" t="s">
        <v>4664</v>
      </c>
      <c r="J916" s="13" t="s">
        <v>4674</v>
      </c>
      <c r="K916" s="13" t="s">
        <v>4672</v>
      </c>
      <c r="L916" s="12" t="s">
        <v>4672</v>
      </c>
      <c r="M916" s="17" t="str">
        <f>IF(LEN(COUNTIFS($H$1:H916,$H916,$I$1:I916,$I916,$J$1:J916,$J916,$K$1:K916,K916,$L$1:L916,L916))=1,"00"&amp;COUNTIFS($H$1:H916,$H916,$I$1:I916,$I916,$J$1:J916,$J916,$K$1:K916,K916,$L$1:L916,L916),IF(LEN(COUNTIFS($H$1:H916,$H916,$I$1:I916,$I916,$J$1:J916,$J916,$K$1:K916,K916,$L$1:L916,L916))=2,"0"&amp;COUNTIFS($H$1:H916,$H916,$I$1:I916,$I916,$J$1:J916,$J916,$K$1:K916,K916,$L$1:L916,L916),COUNTIFS($H$1:H916,$H916,$I$1:I916,$I916,$J$1:J916,$J916,$K$1:K916,K916,$L$1:L916,L916)))</f>
        <v>030</v>
      </c>
      <c r="N91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16" s="14" t="e">
        <f>+LEN(Table4[[#This Row],[New Item Code]])</f>
        <v>#N/A</v>
      </c>
      <c r="P916" s="15" t="s">
        <v>4747</v>
      </c>
      <c r="Q916" s="15" t="s">
        <v>4749</v>
      </c>
      <c r="R916" s="15"/>
      <c r="S916" s="15"/>
      <c r="T916" s="15" t="s">
        <v>4674</v>
      </c>
    </row>
    <row r="917" spans="1:20" x14ac:dyDescent="0.35">
      <c r="A917" s="3" t="s">
        <v>1836</v>
      </c>
      <c r="B917" s="3" t="s">
        <v>1837</v>
      </c>
      <c r="C917" s="3" t="s">
        <v>9</v>
      </c>
      <c r="D917" s="5">
        <v>14000</v>
      </c>
      <c r="E917" s="3" t="s">
        <v>10</v>
      </c>
      <c r="F917" s="3">
        <v>1</v>
      </c>
      <c r="G917" s="21">
        <f>Table4[[#This Row],[Item Cost]]*Table4[[#This Row],[In Stock]]</f>
        <v>14000</v>
      </c>
      <c r="H917" s="12" t="s">
        <v>4661</v>
      </c>
      <c r="I917" s="13" t="s">
        <v>4664</v>
      </c>
      <c r="J917" s="13" t="s">
        <v>4674</v>
      </c>
      <c r="K917" s="13" t="s">
        <v>4672</v>
      </c>
      <c r="L917" s="12" t="s">
        <v>4672</v>
      </c>
      <c r="M917" s="17" t="str">
        <f>IF(LEN(COUNTIFS($H$1:H917,$H917,$I$1:I917,$I917,$J$1:J917,$J917,$K$1:K917,K917,$L$1:L917,L917))=1,"00"&amp;COUNTIFS($H$1:H917,$H917,$I$1:I917,$I917,$J$1:J917,$J917,$K$1:K917,K917,$L$1:L917,L917),IF(LEN(COUNTIFS($H$1:H917,$H917,$I$1:I917,$I917,$J$1:J917,$J917,$K$1:K917,K917,$L$1:L917,L917))=2,"0"&amp;COUNTIFS($H$1:H917,$H917,$I$1:I917,$I917,$J$1:J917,$J917,$K$1:K917,K917,$L$1:L917,L917),COUNTIFS($H$1:H917,$H917,$I$1:I917,$I917,$J$1:J917,$J917,$K$1:K917,K917,$L$1:L917,L917)))</f>
        <v>031</v>
      </c>
      <c r="N91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17" s="14" t="e">
        <f>+LEN(Table4[[#This Row],[New Item Code]])</f>
        <v>#N/A</v>
      </c>
      <c r="P917" s="15" t="s">
        <v>4747</v>
      </c>
      <c r="Q917" s="15" t="s">
        <v>4749</v>
      </c>
      <c r="R917" s="15"/>
      <c r="S917" s="15"/>
      <c r="T917" s="15" t="s">
        <v>4674</v>
      </c>
    </row>
    <row r="918" spans="1:20" x14ac:dyDescent="0.35">
      <c r="A918" s="2" t="s">
        <v>1838</v>
      </c>
      <c r="B918" s="2" t="s">
        <v>1839</v>
      </c>
      <c r="C918" s="2" t="s">
        <v>9</v>
      </c>
      <c r="D918" s="2">
        <v>250</v>
      </c>
      <c r="E918" s="2" t="s">
        <v>10</v>
      </c>
      <c r="F918" s="2">
        <v>2</v>
      </c>
      <c r="G918" s="22">
        <f>Table4[[#This Row],[Item Cost]]*Table4[[#This Row],[In Stock]]</f>
        <v>500</v>
      </c>
      <c r="H918" s="12" t="s">
        <v>4661</v>
      </c>
      <c r="I918" s="13" t="s">
        <v>4664</v>
      </c>
      <c r="J918" s="13" t="s">
        <v>4674</v>
      </c>
      <c r="K918" s="7" t="s">
        <v>4771</v>
      </c>
      <c r="L918" s="12" t="s">
        <v>4672</v>
      </c>
      <c r="M918" s="17" t="str">
        <f>IF(LEN(COUNTIFS($H$1:H918,$H918,$I$1:I918,$I918,$J$1:J918,$J918,$K$1:K918,K918,$L$1:L918,L918))=1,"00"&amp;COUNTIFS($H$1:H918,$H918,$I$1:I918,$I918,$J$1:J918,$J918,$K$1:K918,K918,$L$1:L918,L918),IF(LEN(COUNTIFS($H$1:H918,$H918,$I$1:I918,$I918,$J$1:J918,$J918,$K$1:K918,K918,$L$1:L918,L918))=2,"0"&amp;COUNTIFS($H$1:H918,$H918,$I$1:I918,$I918,$J$1:J918,$J918,$K$1:K918,K918,$L$1:L918,L918),COUNTIFS($H$1:H918,$H918,$I$1:I918,$I918,$J$1:J918,$J918,$K$1:K918,K918,$L$1:L918,L918)))</f>
        <v>003</v>
      </c>
      <c r="N91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18" s="14" t="e">
        <f>+LEN(Table4[[#This Row],[New Item Code]])</f>
        <v>#N/A</v>
      </c>
      <c r="P918" s="15" t="s">
        <v>4747</v>
      </c>
      <c r="Q918" s="15" t="s">
        <v>4749</v>
      </c>
      <c r="R918" s="15"/>
      <c r="S918" s="15"/>
      <c r="T918" s="15" t="s">
        <v>4674</v>
      </c>
    </row>
    <row r="919" spans="1:20" x14ac:dyDescent="0.35">
      <c r="A919" s="3" t="s">
        <v>1840</v>
      </c>
      <c r="B919" s="3" t="s">
        <v>1841</v>
      </c>
      <c r="C919" s="3" t="s">
        <v>15</v>
      </c>
      <c r="D919" s="5">
        <v>4890</v>
      </c>
      <c r="E919" s="3" t="s">
        <v>10</v>
      </c>
      <c r="F919" s="3">
        <v>0</v>
      </c>
      <c r="G919" s="21">
        <f>Table4[[#This Row],[Item Cost]]*Table4[[#This Row],[In Stock]]</f>
        <v>0</v>
      </c>
      <c r="H919" s="12" t="s">
        <v>4661</v>
      </c>
      <c r="I919" s="13" t="s">
        <v>4666</v>
      </c>
      <c r="J919" s="13" t="s">
        <v>4674</v>
      </c>
      <c r="K919" s="13" t="s">
        <v>4672</v>
      </c>
      <c r="L919" s="12" t="s">
        <v>4672</v>
      </c>
      <c r="M919" s="17" t="str">
        <f>IF(LEN(COUNTIFS($H$1:H919,$H919,$I$1:I919,$I919,$J$1:J919,$J919,$K$1:K919,K919,$L$1:L919,L919))=1,"00"&amp;COUNTIFS($H$1:H919,$H919,$I$1:I919,$I919,$J$1:J919,$J919,$K$1:K919,K919,$L$1:L919,L919),IF(LEN(COUNTIFS($H$1:H919,$H919,$I$1:I919,$I919,$J$1:J919,$J919,$K$1:K919,K919,$L$1:L919,L919))=2,"0"&amp;COUNTIFS($H$1:H919,$H919,$I$1:I919,$I919,$J$1:J919,$J919,$K$1:K919,K919,$L$1:L919,L919),COUNTIFS($H$1:H919,$H919,$I$1:I919,$I919,$J$1:J919,$J919,$K$1:K919,K919,$L$1:L919,L919)))</f>
        <v>021</v>
      </c>
      <c r="N91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19" s="14" t="e">
        <f>+LEN(Table4[[#This Row],[New Item Code]])</f>
        <v>#N/A</v>
      </c>
      <c r="P919" s="15" t="s">
        <v>4747</v>
      </c>
      <c r="Q919" s="15" t="s">
        <v>4749</v>
      </c>
      <c r="R919" s="15"/>
      <c r="S919" s="15"/>
      <c r="T919" s="15" t="s">
        <v>4674</v>
      </c>
    </row>
    <row r="920" spans="1:20" x14ac:dyDescent="0.35">
      <c r="A920" s="2" t="s">
        <v>1842</v>
      </c>
      <c r="B920" s="2" t="s">
        <v>1843</v>
      </c>
      <c r="C920" s="2" t="s">
        <v>15</v>
      </c>
      <c r="D920" s="2">
        <v>155</v>
      </c>
      <c r="E920" s="2" t="s">
        <v>10</v>
      </c>
      <c r="F920" s="2">
        <v>0</v>
      </c>
      <c r="G920" s="22">
        <f>Table4[[#This Row],[Item Cost]]*Table4[[#This Row],[In Stock]]</f>
        <v>0</v>
      </c>
      <c r="H920" s="12" t="s">
        <v>4661</v>
      </c>
      <c r="I920" s="13" t="s">
        <v>4666</v>
      </c>
      <c r="J920" s="13" t="s">
        <v>4674</v>
      </c>
      <c r="K920" s="13" t="s">
        <v>4672</v>
      </c>
      <c r="L920" s="12" t="s">
        <v>4672</v>
      </c>
      <c r="M920" s="17" t="str">
        <f>IF(LEN(COUNTIFS($H$1:H920,$H920,$I$1:I920,$I920,$J$1:J920,$J920,$K$1:K920,K920,$L$1:L920,L920))=1,"00"&amp;COUNTIFS($H$1:H920,$H920,$I$1:I920,$I920,$J$1:J920,$J920,$K$1:K920,K920,$L$1:L920,L920),IF(LEN(COUNTIFS($H$1:H920,$H920,$I$1:I920,$I920,$J$1:J920,$J920,$K$1:K920,K920,$L$1:L920,L920))=2,"0"&amp;COUNTIFS($H$1:H920,$H920,$I$1:I920,$I920,$J$1:J920,$J920,$K$1:K920,K920,$L$1:L920,L920),COUNTIFS($H$1:H920,$H920,$I$1:I920,$I920,$J$1:J920,$J920,$K$1:K920,K920,$L$1:L920,L920)))</f>
        <v>022</v>
      </c>
      <c r="N92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20" s="14" t="e">
        <f>+LEN(Table4[[#This Row],[New Item Code]])</f>
        <v>#N/A</v>
      </c>
      <c r="P920" s="15" t="s">
        <v>4747</v>
      </c>
      <c r="Q920" s="15" t="s">
        <v>4749</v>
      </c>
      <c r="R920" s="15"/>
      <c r="S920" s="15"/>
      <c r="T920" s="15" t="s">
        <v>4674</v>
      </c>
    </row>
    <row r="921" spans="1:20" x14ac:dyDescent="0.35">
      <c r="A921" s="3" t="s">
        <v>1844</v>
      </c>
      <c r="B921" s="3" t="s">
        <v>1845</v>
      </c>
      <c r="C921" s="3" t="s">
        <v>15</v>
      </c>
      <c r="D921" s="3">
        <v>115</v>
      </c>
      <c r="E921" s="3" t="s">
        <v>10</v>
      </c>
      <c r="F921" s="3">
        <v>0</v>
      </c>
      <c r="G921" s="21">
        <f>Table4[[#This Row],[Item Cost]]*Table4[[#This Row],[In Stock]]</f>
        <v>0</v>
      </c>
      <c r="H921" s="12" t="s">
        <v>4661</v>
      </c>
      <c r="I921" s="13" t="s">
        <v>4666</v>
      </c>
      <c r="J921" s="13" t="s">
        <v>4674</v>
      </c>
      <c r="K921" s="13" t="s">
        <v>4672</v>
      </c>
      <c r="L921" s="12" t="s">
        <v>4672</v>
      </c>
      <c r="M921" s="17" t="str">
        <f>IF(LEN(COUNTIFS($H$1:H921,$H921,$I$1:I921,$I921,$J$1:J921,$J921,$K$1:K921,K921,$L$1:L921,L921))=1,"00"&amp;COUNTIFS($H$1:H921,$H921,$I$1:I921,$I921,$J$1:J921,$J921,$K$1:K921,K921,$L$1:L921,L921),IF(LEN(COUNTIFS($H$1:H921,$H921,$I$1:I921,$I921,$J$1:J921,$J921,$K$1:K921,K921,$L$1:L921,L921))=2,"0"&amp;COUNTIFS($H$1:H921,$H921,$I$1:I921,$I921,$J$1:J921,$J921,$K$1:K921,K921,$L$1:L921,L921),COUNTIFS($H$1:H921,$H921,$I$1:I921,$I921,$J$1:J921,$J921,$K$1:K921,K921,$L$1:L921,L921)))</f>
        <v>023</v>
      </c>
      <c r="N92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21" s="14" t="e">
        <f>+LEN(Table4[[#This Row],[New Item Code]])</f>
        <v>#N/A</v>
      </c>
      <c r="P921" s="15" t="s">
        <v>4747</v>
      </c>
      <c r="Q921" s="15" t="s">
        <v>4749</v>
      </c>
      <c r="R921" s="15"/>
      <c r="S921" s="15"/>
      <c r="T921" s="15" t="s">
        <v>4674</v>
      </c>
    </row>
    <row r="922" spans="1:20" x14ac:dyDescent="0.35">
      <c r="A922" s="2" t="s">
        <v>1846</v>
      </c>
      <c r="B922" s="2" t="s">
        <v>1847</v>
      </c>
      <c r="C922" s="2" t="s">
        <v>15</v>
      </c>
      <c r="D922" s="2">
        <v>250</v>
      </c>
      <c r="E922" s="2" t="s">
        <v>10</v>
      </c>
      <c r="F922" s="2">
        <v>25</v>
      </c>
      <c r="G922" s="22">
        <f>Table4[[#This Row],[Item Cost]]*Table4[[#This Row],[In Stock]]</f>
        <v>6250</v>
      </c>
      <c r="H922" s="12" t="s">
        <v>4661</v>
      </c>
      <c r="I922" s="13" t="s">
        <v>4666</v>
      </c>
      <c r="J922" s="13" t="s">
        <v>4674</v>
      </c>
      <c r="K922" s="13" t="s">
        <v>4672</v>
      </c>
      <c r="L922" s="12" t="s">
        <v>4672</v>
      </c>
      <c r="M922" s="17" t="str">
        <f>IF(LEN(COUNTIFS($H$1:H922,$H922,$I$1:I922,$I922,$J$1:J922,$J922,$K$1:K922,K922,$L$1:L922,L922))=1,"00"&amp;COUNTIFS($H$1:H922,$H922,$I$1:I922,$I922,$J$1:J922,$J922,$K$1:K922,K922,$L$1:L922,L922),IF(LEN(COUNTIFS($H$1:H922,$H922,$I$1:I922,$I922,$J$1:J922,$J922,$K$1:K922,K922,$L$1:L922,L922))=2,"0"&amp;COUNTIFS($H$1:H922,$H922,$I$1:I922,$I922,$J$1:J922,$J922,$K$1:K922,K922,$L$1:L922,L922),COUNTIFS($H$1:H922,$H922,$I$1:I922,$I922,$J$1:J922,$J922,$K$1:K922,K922,$L$1:L922,L922)))</f>
        <v>024</v>
      </c>
      <c r="N92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22" s="14" t="e">
        <f>+LEN(Table4[[#This Row],[New Item Code]])</f>
        <v>#N/A</v>
      </c>
      <c r="P922" s="15" t="s">
        <v>4747</v>
      </c>
      <c r="Q922" s="15" t="s">
        <v>4749</v>
      </c>
      <c r="R922" s="15"/>
      <c r="S922" s="15"/>
      <c r="T922" s="15" t="s">
        <v>4674</v>
      </c>
    </row>
    <row r="923" spans="1:20" x14ac:dyDescent="0.35">
      <c r="A923" s="3" t="s">
        <v>1848</v>
      </c>
      <c r="B923" s="3" t="s">
        <v>1849</v>
      </c>
      <c r="C923" s="3" t="s">
        <v>15</v>
      </c>
      <c r="D923" s="3">
        <v>95</v>
      </c>
      <c r="E923" s="3" t="s">
        <v>10</v>
      </c>
      <c r="F923" s="3">
        <v>7</v>
      </c>
      <c r="G923" s="21">
        <f>Table4[[#This Row],[Item Cost]]*Table4[[#This Row],[In Stock]]</f>
        <v>665</v>
      </c>
      <c r="H923" s="12" t="s">
        <v>4661</v>
      </c>
      <c r="I923" s="13" t="s">
        <v>4666</v>
      </c>
      <c r="J923" s="13" t="s">
        <v>4674</v>
      </c>
      <c r="K923" s="13" t="s">
        <v>4672</v>
      </c>
      <c r="L923" s="12" t="s">
        <v>4672</v>
      </c>
      <c r="M923" s="17" t="str">
        <f>IF(LEN(COUNTIFS($H$1:H923,$H923,$I$1:I923,$I923,$J$1:J923,$J923,$K$1:K923,K923,$L$1:L923,L923))=1,"00"&amp;COUNTIFS($H$1:H923,$H923,$I$1:I923,$I923,$J$1:J923,$J923,$K$1:K923,K923,$L$1:L923,L923),IF(LEN(COUNTIFS($H$1:H923,$H923,$I$1:I923,$I923,$J$1:J923,$J923,$K$1:K923,K923,$L$1:L923,L923))=2,"0"&amp;COUNTIFS($H$1:H923,$H923,$I$1:I923,$I923,$J$1:J923,$J923,$K$1:K923,K923,$L$1:L923,L923),COUNTIFS($H$1:H923,$H923,$I$1:I923,$I923,$J$1:J923,$J923,$K$1:K923,K923,$L$1:L923,L923)))</f>
        <v>025</v>
      </c>
      <c r="N92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23" s="14" t="e">
        <f>+LEN(Table4[[#This Row],[New Item Code]])</f>
        <v>#N/A</v>
      </c>
      <c r="P923" s="15" t="s">
        <v>4747</v>
      </c>
      <c r="Q923" s="15" t="s">
        <v>4749</v>
      </c>
      <c r="R923" s="15"/>
      <c r="S923" s="15"/>
      <c r="T923" s="15" t="s">
        <v>4674</v>
      </c>
    </row>
    <row r="924" spans="1:20" x14ac:dyDescent="0.35">
      <c r="A924" s="2" t="s">
        <v>1850</v>
      </c>
      <c r="B924" s="2" t="s">
        <v>1851</v>
      </c>
      <c r="C924" s="2" t="s">
        <v>15</v>
      </c>
      <c r="D924" s="2">
        <v>0</v>
      </c>
      <c r="E924" s="2" t="s">
        <v>10</v>
      </c>
      <c r="F924" s="2">
        <v>0</v>
      </c>
      <c r="G924" s="22">
        <f>Table4[[#This Row],[Item Cost]]*Table4[[#This Row],[In Stock]]</f>
        <v>0</v>
      </c>
      <c r="H924" s="12" t="s">
        <v>4661</v>
      </c>
      <c r="I924" s="13" t="s">
        <v>4666</v>
      </c>
      <c r="J924" s="13" t="s">
        <v>4674</v>
      </c>
      <c r="K924" t="s">
        <v>4797</v>
      </c>
      <c r="L924" s="12" t="s">
        <v>4672</v>
      </c>
      <c r="M924" s="17" t="str">
        <f>IF(LEN(COUNTIFS($H$1:H924,$H924,$I$1:I924,$I924,$J$1:J924,$J924,$K$1:K924,K924,$L$1:L924,L924))=1,"00"&amp;COUNTIFS($H$1:H924,$H924,$I$1:I924,$I924,$J$1:J924,$J924,$K$1:K924,K924,$L$1:L924,L924),IF(LEN(COUNTIFS($H$1:H924,$H924,$I$1:I924,$I924,$J$1:J924,$J924,$K$1:K924,K924,$L$1:L924,L924))=2,"0"&amp;COUNTIFS($H$1:H924,$H924,$I$1:I924,$I924,$J$1:J924,$J924,$K$1:K924,K924,$L$1:L924,L924),COUNTIFS($H$1:H924,$H924,$I$1:I924,$I924,$J$1:J924,$J924,$K$1:K924,K924,$L$1:L924,L924)))</f>
        <v>002</v>
      </c>
      <c r="N92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24" s="14" t="e">
        <f>+LEN(Table4[[#This Row],[New Item Code]])</f>
        <v>#N/A</v>
      </c>
      <c r="P924" s="15" t="s">
        <v>4747</v>
      </c>
      <c r="Q924" s="15" t="s">
        <v>4749</v>
      </c>
      <c r="R924" s="15"/>
      <c r="S924" s="15"/>
      <c r="T924" s="15" t="s">
        <v>4674</v>
      </c>
    </row>
    <row r="925" spans="1:20" x14ac:dyDescent="0.35">
      <c r="A925" s="3" t="s">
        <v>1852</v>
      </c>
      <c r="B925" s="3" t="s">
        <v>1853</v>
      </c>
      <c r="C925" s="3" t="s">
        <v>15</v>
      </c>
      <c r="D925" s="3">
        <v>0</v>
      </c>
      <c r="E925" s="3" t="s">
        <v>10</v>
      </c>
      <c r="F925" s="3">
        <v>0</v>
      </c>
      <c r="G925" s="21">
        <f>Table4[[#This Row],[Item Cost]]*Table4[[#This Row],[In Stock]]</f>
        <v>0</v>
      </c>
      <c r="H925" s="12" t="s">
        <v>4661</v>
      </c>
      <c r="I925" s="13" t="s">
        <v>4666</v>
      </c>
      <c r="J925" s="13" t="s">
        <v>4674</v>
      </c>
      <c r="K925" s="13" t="s">
        <v>4672</v>
      </c>
      <c r="L925" s="12" t="s">
        <v>4672</v>
      </c>
      <c r="M925" s="17" t="str">
        <f>IF(LEN(COUNTIFS($H$1:H925,$H925,$I$1:I925,$I925,$J$1:J925,$J925,$K$1:K925,K925,$L$1:L925,L925))=1,"00"&amp;COUNTIFS($H$1:H925,$H925,$I$1:I925,$I925,$J$1:J925,$J925,$K$1:K925,K925,$L$1:L925,L925),IF(LEN(COUNTIFS($H$1:H925,$H925,$I$1:I925,$I925,$J$1:J925,$J925,$K$1:K925,K925,$L$1:L925,L925))=2,"0"&amp;COUNTIFS($H$1:H925,$H925,$I$1:I925,$I925,$J$1:J925,$J925,$K$1:K925,K925,$L$1:L925,L925),COUNTIFS($H$1:H925,$H925,$I$1:I925,$I925,$J$1:J925,$J925,$K$1:K925,K925,$L$1:L925,L925)))</f>
        <v>026</v>
      </c>
      <c r="N92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25" s="14" t="e">
        <f>+LEN(Table4[[#This Row],[New Item Code]])</f>
        <v>#N/A</v>
      </c>
      <c r="P925" s="15" t="s">
        <v>4747</v>
      </c>
      <c r="Q925" s="15" t="s">
        <v>4749</v>
      </c>
      <c r="R925" s="15"/>
      <c r="S925" s="15"/>
      <c r="T925" s="15" t="s">
        <v>4674</v>
      </c>
    </row>
    <row r="926" spans="1:20" x14ac:dyDescent="0.35">
      <c r="A926" s="3" t="s">
        <v>1854</v>
      </c>
      <c r="B926" s="3" t="s">
        <v>1855</v>
      </c>
      <c r="C926" s="3" t="s">
        <v>15</v>
      </c>
      <c r="D926" s="3">
        <v>0</v>
      </c>
      <c r="E926" s="3" t="s">
        <v>10</v>
      </c>
      <c r="F926" s="3">
        <v>0</v>
      </c>
      <c r="G926" s="21">
        <f>Table4[[#This Row],[Item Cost]]*Table4[[#This Row],[In Stock]]</f>
        <v>0</v>
      </c>
      <c r="H926" s="12" t="s">
        <v>4661</v>
      </c>
      <c r="I926" s="13" t="s">
        <v>4666</v>
      </c>
      <c r="J926" s="13" t="s">
        <v>4674</v>
      </c>
      <c r="K926" s="13" t="s">
        <v>4672</v>
      </c>
      <c r="L926" s="12" t="s">
        <v>4672</v>
      </c>
      <c r="M926" s="17" t="str">
        <f>IF(LEN(COUNTIFS($H$1:H926,$H926,$I$1:I926,$I926,$J$1:J926,$J926,$K$1:K926,K926,$L$1:L926,L926))=1,"00"&amp;COUNTIFS($H$1:H926,$H926,$I$1:I926,$I926,$J$1:J926,$J926,$K$1:K926,K926,$L$1:L926,L926),IF(LEN(COUNTIFS($H$1:H926,$H926,$I$1:I926,$I926,$J$1:J926,$J926,$K$1:K926,K926,$L$1:L926,L926))=2,"0"&amp;COUNTIFS($H$1:H926,$H926,$I$1:I926,$I926,$J$1:J926,$J926,$K$1:K926,K926,$L$1:L926,L926),COUNTIFS($H$1:H926,$H926,$I$1:I926,$I926,$J$1:J926,$J926,$K$1:K926,K926,$L$1:L926,L926)))</f>
        <v>027</v>
      </c>
      <c r="N92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26" s="14" t="e">
        <f>+LEN(Table4[[#This Row],[New Item Code]])</f>
        <v>#N/A</v>
      </c>
      <c r="P926" s="15" t="s">
        <v>4747</v>
      </c>
      <c r="Q926" s="15" t="s">
        <v>4749</v>
      </c>
      <c r="R926" s="15"/>
      <c r="S926" s="15"/>
      <c r="T926" s="15" t="s">
        <v>4674</v>
      </c>
    </row>
    <row r="927" spans="1:20" x14ac:dyDescent="0.35">
      <c r="A927" s="2" t="s">
        <v>1856</v>
      </c>
      <c r="B927" s="2" t="s">
        <v>1640</v>
      </c>
      <c r="C927" s="2" t="s">
        <v>15</v>
      </c>
      <c r="D927" s="2">
        <v>0</v>
      </c>
      <c r="E927" s="2" t="s">
        <v>10</v>
      </c>
      <c r="F927" s="2">
        <v>0</v>
      </c>
      <c r="G927" s="22">
        <f>Table4[[#This Row],[Item Cost]]*Table4[[#This Row],[In Stock]]</f>
        <v>0</v>
      </c>
      <c r="H927" s="12" t="s">
        <v>4661</v>
      </c>
      <c r="I927" s="13" t="s">
        <v>4666</v>
      </c>
      <c r="J927" s="13" t="s">
        <v>4674</v>
      </c>
      <c r="K927" s="13" t="s">
        <v>4672</v>
      </c>
      <c r="L927" s="12" t="s">
        <v>4672</v>
      </c>
      <c r="M927" s="17" t="str">
        <f>IF(LEN(COUNTIFS($H$1:H927,$H927,$I$1:I927,$I927,$J$1:J927,$J927,$K$1:K927,K927,$L$1:L927,L927))=1,"00"&amp;COUNTIFS($H$1:H927,$H927,$I$1:I927,$I927,$J$1:J927,$J927,$K$1:K927,K927,$L$1:L927,L927),IF(LEN(COUNTIFS($H$1:H927,$H927,$I$1:I927,$I927,$J$1:J927,$J927,$K$1:K927,K927,$L$1:L927,L927))=2,"0"&amp;COUNTIFS($H$1:H927,$H927,$I$1:I927,$I927,$J$1:J927,$J927,$K$1:K927,K927,$L$1:L927,L927),COUNTIFS($H$1:H927,$H927,$I$1:I927,$I927,$J$1:J927,$J927,$K$1:K927,K927,$L$1:L927,L927)))</f>
        <v>028</v>
      </c>
      <c r="N92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27" s="14" t="e">
        <f>+LEN(Table4[[#This Row],[New Item Code]])</f>
        <v>#N/A</v>
      </c>
      <c r="P927" s="15" t="s">
        <v>4747</v>
      </c>
      <c r="Q927" s="15" t="s">
        <v>4749</v>
      </c>
      <c r="R927" s="15"/>
      <c r="S927" s="15"/>
      <c r="T927" s="15" t="s">
        <v>4674</v>
      </c>
    </row>
    <row r="928" spans="1:20" x14ac:dyDescent="0.35">
      <c r="A928" s="3" t="s">
        <v>1858</v>
      </c>
      <c r="B928" s="3" t="s">
        <v>1859</v>
      </c>
      <c r="C928" s="3" t="s">
        <v>15</v>
      </c>
      <c r="D928" s="5">
        <v>5147.1400000000003</v>
      </c>
      <c r="E928" s="3" t="s">
        <v>10</v>
      </c>
      <c r="F928" s="3">
        <v>2</v>
      </c>
      <c r="G928" s="21">
        <f>Table4[[#This Row],[Item Cost]]*Table4[[#This Row],[In Stock]]</f>
        <v>10294.280000000001</v>
      </c>
      <c r="H928" s="12" t="s">
        <v>4661</v>
      </c>
      <c r="I928" s="13" t="s">
        <v>4666</v>
      </c>
      <c r="J928" s="13" t="s">
        <v>4674</v>
      </c>
      <c r="K928" s="13" t="s">
        <v>4672</v>
      </c>
      <c r="L928" s="12" t="s">
        <v>4672</v>
      </c>
      <c r="M928" s="17" t="str">
        <f>IF(LEN(COUNTIFS($H$1:H928,$H928,$I$1:I928,$I928,$J$1:J928,$J928,$K$1:K928,K928,$L$1:L928,L928))=1,"00"&amp;COUNTIFS($H$1:H928,$H928,$I$1:I928,$I928,$J$1:J928,$J928,$K$1:K928,K928,$L$1:L928,L928),IF(LEN(COUNTIFS($H$1:H928,$H928,$I$1:I928,$I928,$J$1:J928,$J928,$K$1:K928,K928,$L$1:L928,L928))=2,"0"&amp;COUNTIFS($H$1:H928,$H928,$I$1:I928,$I928,$J$1:J928,$J928,$K$1:K928,K928,$L$1:L928,L928),COUNTIFS($H$1:H928,$H928,$I$1:I928,$I928,$J$1:J928,$J928,$K$1:K928,K928,$L$1:L928,L928)))</f>
        <v>029</v>
      </c>
      <c r="N92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28" s="14" t="e">
        <f>+LEN(Table4[[#This Row],[New Item Code]])</f>
        <v>#N/A</v>
      </c>
      <c r="P928" s="15" t="s">
        <v>4747</v>
      </c>
      <c r="Q928" s="15" t="s">
        <v>4749</v>
      </c>
      <c r="R928" s="15"/>
      <c r="S928" s="15"/>
      <c r="T928" s="15" t="s">
        <v>4674</v>
      </c>
    </row>
    <row r="929" spans="1:20" x14ac:dyDescent="0.35">
      <c r="A929" s="2" t="s">
        <v>1860</v>
      </c>
      <c r="B929" s="2" t="s">
        <v>1861</v>
      </c>
      <c r="C929" s="2" t="s">
        <v>15</v>
      </c>
      <c r="D929" s="2">
        <v>0</v>
      </c>
      <c r="E929" s="2" t="s">
        <v>10</v>
      </c>
      <c r="F929" s="2">
        <v>0</v>
      </c>
      <c r="G929" s="22">
        <f>Table4[[#This Row],[Item Cost]]*Table4[[#This Row],[In Stock]]</f>
        <v>0</v>
      </c>
      <c r="H929" s="12" t="s">
        <v>4661</v>
      </c>
      <c r="I929" s="13" t="s">
        <v>4666</v>
      </c>
      <c r="J929" s="13" t="s">
        <v>4674</v>
      </c>
      <c r="K929" s="13" t="s">
        <v>4672</v>
      </c>
      <c r="L929" s="12" t="s">
        <v>4672</v>
      </c>
      <c r="M929" s="17" t="str">
        <f>IF(LEN(COUNTIFS($H$1:H929,$H929,$I$1:I929,$I929,$J$1:J929,$J929,$K$1:K929,K929,$L$1:L929,L929))=1,"00"&amp;COUNTIFS($H$1:H929,$H929,$I$1:I929,$I929,$J$1:J929,$J929,$K$1:K929,K929,$L$1:L929,L929),IF(LEN(COUNTIFS($H$1:H929,$H929,$I$1:I929,$I929,$J$1:J929,$J929,$K$1:K929,K929,$L$1:L929,L929))=2,"0"&amp;COUNTIFS($H$1:H929,$H929,$I$1:I929,$I929,$J$1:J929,$J929,$K$1:K929,K929,$L$1:L929,L929),COUNTIFS($H$1:H929,$H929,$I$1:I929,$I929,$J$1:J929,$J929,$K$1:K929,K929,$L$1:L929,L929)))</f>
        <v>030</v>
      </c>
      <c r="N92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29" s="14" t="e">
        <f>+LEN(Table4[[#This Row],[New Item Code]])</f>
        <v>#N/A</v>
      </c>
      <c r="P929" s="15" t="s">
        <v>4747</v>
      </c>
      <c r="Q929" s="15" t="s">
        <v>4749</v>
      </c>
      <c r="R929" s="15"/>
      <c r="S929" s="15"/>
      <c r="T929" s="15" t="s">
        <v>4674</v>
      </c>
    </row>
    <row r="930" spans="1:20" x14ac:dyDescent="0.35">
      <c r="A930" s="3" t="s">
        <v>1862</v>
      </c>
      <c r="B930" s="3" t="s">
        <v>1863</v>
      </c>
      <c r="C930" s="3" t="s">
        <v>15</v>
      </c>
      <c r="D930" s="3">
        <v>680</v>
      </c>
      <c r="E930" s="3" t="s">
        <v>10</v>
      </c>
      <c r="F930" s="3">
        <v>2</v>
      </c>
      <c r="G930" s="21">
        <f>Table4[[#This Row],[Item Cost]]*Table4[[#This Row],[In Stock]]</f>
        <v>1360</v>
      </c>
      <c r="H930" s="12" t="s">
        <v>4661</v>
      </c>
      <c r="I930" s="13" t="s">
        <v>4666</v>
      </c>
      <c r="J930" s="13" t="s">
        <v>4674</v>
      </c>
      <c r="K930" s="13" t="s">
        <v>4672</v>
      </c>
      <c r="L930" s="12" t="s">
        <v>4672</v>
      </c>
      <c r="M930" s="17" t="str">
        <f>IF(LEN(COUNTIFS($H$1:H930,$H930,$I$1:I930,$I930,$J$1:J930,$J930,$K$1:K930,K930,$L$1:L930,L930))=1,"00"&amp;COUNTIFS($H$1:H930,$H930,$I$1:I930,$I930,$J$1:J930,$J930,$K$1:K930,K930,$L$1:L930,L930),IF(LEN(COUNTIFS($H$1:H930,$H930,$I$1:I930,$I930,$J$1:J930,$J930,$K$1:K930,K930,$L$1:L930,L930))=2,"0"&amp;COUNTIFS($H$1:H930,$H930,$I$1:I930,$I930,$J$1:J930,$J930,$K$1:K930,K930,$L$1:L930,L930),COUNTIFS($H$1:H930,$H930,$I$1:I930,$I930,$J$1:J930,$J930,$K$1:K930,K930,$L$1:L930,L930)))</f>
        <v>031</v>
      </c>
      <c r="N93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30" s="14" t="e">
        <f>+LEN(Table4[[#This Row],[New Item Code]])</f>
        <v>#N/A</v>
      </c>
      <c r="P930" s="15" t="s">
        <v>4747</v>
      </c>
      <c r="Q930" s="15" t="s">
        <v>4749</v>
      </c>
      <c r="R930" s="15"/>
      <c r="S930" s="15"/>
      <c r="T930" s="15" t="s">
        <v>4674</v>
      </c>
    </row>
    <row r="931" spans="1:20" x14ac:dyDescent="0.35">
      <c r="A931" s="2" t="s">
        <v>1864</v>
      </c>
      <c r="B931" s="2" t="s">
        <v>1865</v>
      </c>
      <c r="C931" s="2" t="s">
        <v>15</v>
      </c>
      <c r="D931" s="4">
        <v>2500</v>
      </c>
      <c r="E931" s="2" t="s">
        <v>10</v>
      </c>
      <c r="F931" s="2">
        <v>0</v>
      </c>
      <c r="G931" s="22">
        <f>Table4[[#This Row],[Item Cost]]*Table4[[#This Row],[In Stock]]</f>
        <v>0</v>
      </c>
      <c r="H931" s="12" t="s">
        <v>4661</v>
      </c>
      <c r="I931" s="13" t="s">
        <v>4666</v>
      </c>
      <c r="J931" s="13" t="s">
        <v>4674</v>
      </c>
      <c r="K931" s="13" t="s">
        <v>4672</v>
      </c>
      <c r="L931" s="12" t="s">
        <v>4672</v>
      </c>
      <c r="M931" s="17" t="str">
        <f>IF(LEN(COUNTIFS($H$1:H931,$H931,$I$1:I931,$I931,$J$1:J931,$J931,$K$1:K931,K931,$L$1:L931,L931))=1,"00"&amp;COUNTIFS($H$1:H931,$H931,$I$1:I931,$I931,$J$1:J931,$J931,$K$1:K931,K931,$L$1:L931,L931),IF(LEN(COUNTIFS($H$1:H931,$H931,$I$1:I931,$I931,$J$1:J931,$J931,$K$1:K931,K931,$L$1:L931,L931))=2,"0"&amp;COUNTIFS($H$1:H931,$H931,$I$1:I931,$I931,$J$1:J931,$J931,$K$1:K931,K931,$L$1:L931,L931),COUNTIFS($H$1:H931,$H931,$I$1:I931,$I931,$J$1:J931,$J931,$K$1:K931,K931,$L$1:L931,L931)))</f>
        <v>032</v>
      </c>
      <c r="N93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31" s="14" t="e">
        <f>+LEN(Table4[[#This Row],[New Item Code]])</f>
        <v>#N/A</v>
      </c>
      <c r="P931" s="15" t="s">
        <v>4747</v>
      </c>
      <c r="Q931" s="15" t="s">
        <v>4749</v>
      </c>
      <c r="R931" s="15"/>
      <c r="S931" s="15"/>
      <c r="T931" s="15" t="s">
        <v>4674</v>
      </c>
    </row>
    <row r="932" spans="1:20" x14ac:dyDescent="0.35">
      <c r="A932" s="3" t="s">
        <v>1866</v>
      </c>
      <c r="B932" s="3" t="s">
        <v>1867</v>
      </c>
      <c r="C932" s="3" t="s">
        <v>15</v>
      </c>
      <c r="D932" s="3">
        <v>750</v>
      </c>
      <c r="E932" s="3" t="s">
        <v>10</v>
      </c>
      <c r="F932" s="3">
        <v>2</v>
      </c>
      <c r="G932" s="21">
        <f>Table4[[#This Row],[Item Cost]]*Table4[[#This Row],[In Stock]]</f>
        <v>1500</v>
      </c>
      <c r="H932" s="12" t="s">
        <v>4661</v>
      </c>
      <c r="I932" s="13" t="s">
        <v>4666</v>
      </c>
      <c r="J932" s="13" t="s">
        <v>4674</v>
      </c>
      <c r="K932" s="13" t="s">
        <v>4672</v>
      </c>
      <c r="L932" s="12" t="s">
        <v>4672</v>
      </c>
      <c r="M932" s="17" t="str">
        <f>IF(LEN(COUNTIFS($H$1:H932,$H932,$I$1:I932,$I932,$J$1:J932,$J932,$K$1:K932,K932,$L$1:L932,L932))=1,"00"&amp;COUNTIFS($H$1:H932,$H932,$I$1:I932,$I932,$J$1:J932,$J932,$K$1:K932,K932,$L$1:L932,L932),IF(LEN(COUNTIFS($H$1:H932,$H932,$I$1:I932,$I932,$J$1:J932,$J932,$K$1:K932,K932,$L$1:L932,L932))=2,"0"&amp;COUNTIFS($H$1:H932,$H932,$I$1:I932,$I932,$J$1:J932,$J932,$K$1:K932,K932,$L$1:L932,L932),COUNTIFS($H$1:H932,$H932,$I$1:I932,$I932,$J$1:J932,$J932,$K$1:K932,K932,$L$1:L932,L932)))</f>
        <v>033</v>
      </c>
      <c r="N93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32" s="14" t="e">
        <f>+LEN(Table4[[#This Row],[New Item Code]])</f>
        <v>#N/A</v>
      </c>
      <c r="P932" s="15" t="s">
        <v>4747</v>
      </c>
      <c r="Q932" s="15" t="s">
        <v>4749</v>
      </c>
      <c r="R932" s="15"/>
      <c r="S932" s="15"/>
      <c r="T932" s="15" t="s">
        <v>4674</v>
      </c>
    </row>
    <row r="933" spans="1:20" x14ac:dyDescent="0.35">
      <c r="A933" s="2" t="s">
        <v>1868</v>
      </c>
      <c r="B933" s="2" t="s">
        <v>1869</v>
      </c>
      <c r="C933" s="2" t="s">
        <v>56</v>
      </c>
      <c r="D933" s="2">
        <v>33.9</v>
      </c>
      <c r="E933" s="2" t="s">
        <v>10</v>
      </c>
      <c r="F933" s="2">
        <v>3</v>
      </c>
      <c r="G933" s="22">
        <f>Table4[[#This Row],[Item Cost]]*Table4[[#This Row],[In Stock]]</f>
        <v>101.69999999999999</v>
      </c>
      <c r="H933" s="12" t="s">
        <v>4661</v>
      </c>
      <c r="I933" s="13" t="s">
        <v>4668</v>
      </c>
      <c r="J933" s="13" t="s">
        <v>4674</v>
      </c>
      <c r="K933" s="13" t="s">
        <v>4672</v>
      </c>
      <c r="L933" s="12" t="s">
        <v>4672</v>
      </c>
      <c r="M933" s="17" t="str">
        <f>IF(LEN(COUNTIFS($H$1:H933,$H933,$I$1:I933,$I933,$J$1:J933,$J933,$K$1:K933,K933,$L$1:L933,L933))=1,"00"&amp;COUNTIFS($H$1:H933,$H933,$I$1:I933,$I933,$J$1:J933,$J933,$K$1:K933,K933,$L$1:L933,L933),IF(LEN(COUNTIFS($H$1:H933,$H933,$I$1:I933,$I933,$J$1:J933,$J933,$K$1:K933,K933,$L$1:L933,L933))=2,"0"&amp;COUNTIFS($H$1:H933,$H933,$I$1:I933,$I933,$J$1:J933,$J933,$K$1:K933,K933,$L$1:L933,L933),COUNTIFS($H$1:H933,$H933,$I$1:I933,$I933,$J$1:J933,$J933,$K$1:K933,K933,$L$1:L933,L933)))</f>
        <v>003</v>
      </c>
      <c r="N93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33" s="14" t="e">
        <f>+LEN(Table4[[#This Row],[New Item Code]])</f>
        <v>#N/A</v>
      </c>
      <c r="P933" s="15" t="s">
        <v>4747</v>
      </c>
      <c r="Q933" s="15" t="s">
        <v>4749</v>
      </c>
      <c r="R933" s="15"/>
      <c r="S933" s="15"/>
      <c r="T933" s="15" t="s">
        <v>4674</v>
      </c>
    </row>
    <row r="934" spans="1:20" x14ac:dyDescent="0.35">
      <c r="A934" s="3" t="s">
        <v>1870</v>
      </c>
      <c r="B934" s="3" t="s">
        <v>1871</v>
      </c>
      <c r="C934" s="3" t="s">
        <v>15</v>
      </c>
      <c r="D934" s="3">
        <v>0</v>
      </c>
      <c r="E934" s="3" t="s">
        <v>10</v>
      </c>
      <c r="F934" s="3">
        <v>0</v>
      </c>
      <c r="G934" s="21">
        <f>Table4[[#This Row],[Item Cost]]*Table4[[#This Row],[In Stock]]</f>
        <v>0</v>
      </c>
      <c r="H934" s="12" t="s">
        <v>4661</v>
      </c>
      <c r="I934" s="13" t="s">
        <v>4666</v>
      </c>
      <c r="J934" s="13" t="s">
        <v>4674</v>
      </c>
      <c r="K934" s="13" t="s">
        <v>4672</v>
      </c>
      <c r="L934" s="12" t="s">
        <v>4672</v>
      </c>
      <c r="M934" s="17" t="str">
        <f>IF(LEN(COUNTIFS($H$1:H934,$H934,$I$1:I934,$I934,$J$1:J934,$J934,$K$1:K934,K934,$L$1:L934,L934))=1,"00"&amp;COUNTIFS($H$1:H934,$H934,$I$1:I934,$I934,$J$1:J934,$J934,$K$1:K934,K934,$L$1:L934,L934),IF(LEN(COUNTIFS($H$1:H934,$H934,$I$1:I934,$I934,$J$1:J934,$J934,$K$1:K934,K934,$L$1:L934,L934))=2,"0"&amp;COUNTIFS($H$1:H934,$H934,$I$1:I934,$I934,$J$1:J934,$J934,$K$1:K934,K934,$L$1:L934,L934),COUNTIFS($H$1:H934,$H934,$I$1:I934,$I934,$J$1:J934,$J934,$K$1:K934,K934,$L$1:L934,L934)))</f>
        <v>034</v>
      </c>
      <c r="N93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34" s="14" t="e">
        <f>+LEN(Table4[[#This Row],[New Item Code]])</f>
        <v>#N/A</v>
      </c>
      <c r="P934" s="15" t="s">
        <v>4747</v>
      </c>
      <c r="Q934" s="15" t="s">
        <v>4749</v>
      </c>
      <c r="R934" s="15"/>
      <c r="S934" s="15"/>
      <c r="T934" s="15" t="s">
        <v>4674</v>
      </c>
    </row>
    <row r="935" spans="1:20" x14ac:dyDescent="0.35">
      <c r="A935" s="2" t="s">
        <v>1872</v>
      </c>
      <c r="B935" s="2" t="s">
        <v>1873</v>
      </c>
      <c r="C935" s="2" t="s">
        <v>15</v>
      </c>
      <c r="D935" s="2">
        <v>0</v>
      </c>
      <c r="E935" s="2" t="s">
        <v>10</v>
      </c>
      <c r="F935" s="2">
        <v>0</v>
      </c>
      <c r="G935" s="22">
        <f>Table4[[#This Row],[Item Cost]]*Table4[[#This Row],[In Stock]]</f>
        <v>0</v>
      </c>
      <c r="H935" s="12" t="s">
        <v>4661</v>
      </c>
      <c r="I935" s="13" t="s">
        <v>4666</v>
      </c>
      <c r="J935" s="13" t="s">
        <v>4674</v>
      </c>
      <c r="K935" s="13" t="s">
        <v>4672</v>
      </c>
      <c r="L935" s="12" t="s">
        <v>4672</v>
      </c>
      <c r="M935" s="17" t="str">
        <f>IF(LEN(COUNTIFS($H$1:H935,$H935,$I$1:I935,$I935,$J$1:J935,$J935,$K$1:K935,K935,$L$1:L935,L935))=1,"00"&amp;COUNTIFS($H$1:H935,$H935,$I$1:I935,$I935,$J$1:J935,$J935,$K$1:K935,K935,$L$1:L935,L935),IF(LEN(COUNTIFS($H$1:H935,$H935,$I$1:I935,$I935,$J$1:J935,$J935,$K$1:K935,K935,$L$1:L935,L935))=2,"0"&amp;COUNTIFS($H$1:H935,$H935,$I$1:I935,$I935,$J$1:J935,$J935,$K$1:K935,K935,$L$1:L935,L935),COUNTIFS($H$1:H935,$H935,$I$1:I935,$I935,$J$1:J935,$J935,$K$1:K935,K935,$L$1:L935,L935)))</f>
        <v>035</v>
      </c>
      <c r="N93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35" s="14" t="e">
        <f>+LEN(Table4[[#This Row],[New Item Code]])</f>
        <v>#N/A</v>
      </c>
      <c r="P935" s="15" t="s">
        <v>4747</v>
      </c>
      <c r="Q935" s="15" t="s">
        <v>4749</v>
      </c>
      <c r="R935" s="15"/>
      <c r="S935" s="15"/>
      <c r="T935" s="15" t="s">
        <v>4674</v>
      </c>
    </row>
    <row r="936" spans="1:20" x14ac:dyDescent="0.35">
      <c r="A936" s="3" t="s">
        <v>1874</v>
      </c>
      <c r="B936" s="3" t="s">
        <v>1875</v>
      </c>
      <c r="C936" s="3" t="s">
        <v>15</v>
      </c>
      <c r="D936" s="3">
        <v>16.28</v>
      </c>
      <c r="E936" s="3" t="s">
        <v>10</v>
      </c>
      <c r="F936" s="3">
        <v>0</v>
      </c>
      <c r="G936" s="21">
        <f>Table4[[#This Row],[Item Cost]]*Table4[[#This Row],[In Stock]]</f>
        <v>0</v>
      </c>
      <c r="H936" s="12" t="s">
        <v>4661</v>
      </c>
      <c r="I936" s="13" t="s">
        <v>4666</v>
      </c>
      <c r="J936" s="13" t="s">
        <v>4674</v>
      </c>
      <c r="K936" s="13" t="s">
        <v>4672</v>
      </c>
      <c r="L936" s="12" t="s">
        <v>4672</v>
      </c>
      <c r="M936" s="17" t="str">
        <f>IF(LEN(COUNTIFS($H$1:H936,$H936,$I$1:I936,$I936,$J$1:J936,$J936,$K$1:K936,K936,$L$1:L936,L936))=1,"00"&amp;COUNTIFS($H$1:H936,$H936,$I$1:I936,$I936,$J$1:J936,$J936,$K$1:K936,K936,$L$1:L936,L936),IF(LEN(COUNTIFS($H$1:H936,$H936,$I$1:I936,$I936,$J$1:J936,$J936,$K$1:K936,K936,$L$1:L936,L936))=2,"0"&amp;COUNTIFS($H$1:H936,$H936,$I$1:I936,$I936,$J$1:J936,$J936,$K$1:K936,K936,$L$1:L936,L936),COUNTIFS($H$1:H936,$H936,$I$1:I936,$I936,$J$1:J936,$J936,$K$1:K936,K936,$L$1:L936,L936)))</f>
        <v>036</v>
      </c>
      <c r="N93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36" s="14" t="e">
        <f>+LEN(Table4[[#This Row],[New Item Code]])</f>
        <v>#N/A</v>
      </c>
      <c r="P936" s="15" t="s">
        <v>4747</v>
      </c>
      <c r="Q936" s="15" t="s">
        <v>4749</v>
      </c>
      <c r="R936" s="15"/>
      <c r="S936" s="15"/>
      <c r="T936" s="15" t="s">
        <v>4674</v>
      </c>
    </row>
    <row r="937" spans="1:20" x14ac:dyDescent="0.35">
      <c r="A937" s="2" t="s">
        <v>1876</v>
      </c>
      <c r="B937" s="2" t="s">
        <v>1877</v>
      </c>
      <c r="C937" s="2" t="s">
        <v>15</v>
      </c>
      <c r="D937" s="2">
        <v>15.962</v>
      </c>
      <c r="E937" s="2" t="s">
        <v>10</v>
      </c>
      <c r="F937" s="2">
        <v>5</v>
      </c>
      <c r="G937" s="22">
        <f>Table4[[#This Row],[Item Cost]]*Table4[[#This Row],[In Stock]]</f>
        <v>79.81</v>
      </c>
      <c r="H937" s="12" t="s">
        <v>4661</v>
      </c>
      <c r="I937" s="13" t="s">
        <v>4666</v>
      </c>
      <c r="J937" s="13" t="s">
        <v>4674</v>
      </c>
      <c r="K937" s="13" t="s">
        <v>4672</v>
      </c>
      <c r="L937" s="12" t="s">
        <v>4672</v>
      </c>
      <c r="M937" s="17" t="str">
        <f>IF(LEN(COUNTIFS($H$1:H937,$H937,$I$1:I937,$I937,$J$1:J937,$J937,$K$1:K937,K937,$L$1:L937,L937))=1,"00"&amp;COUNTIFS($H$1:H937,$H937,$I$1:I937,$I937,$J$1:J937,$J937,$K$1:K937,K937,$L$1:L937,L937),IF(LEN(COUNTIFS($H$1:H937,$H937,$I$1:I937,$I937,$J$1:J937,$J937,$K$1:K937,K937,$L$1:L937,L937))=2,"0"&amp;COUNTIFS($H$1:H937,$H937,$I$1:I937,$I937,$J$1:J937,$J937,$K$1:K937,K937,$L$1:L937,L937),COUNTIFS($H$1:H937,$H937,$I$1:I937,$I937,$J$1:J937,$J937,$K$1:K937,K937,$L$1:L937,L937)))</f>
        <v>037</v>
      </c>
      <c r="N93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37" s="14" t="e">
        <f>+LEN(Table4[[#This Row],[New Item Code]])</f>
        <v>#N/A</v>
      </c>
      <c r="P937" s="15" t="s">
        <v>4747</v>
      </c>
      <c r="Q937" s="15" t="s">
        <v>4749</v>
      </c>
      <c r="R937" s="15"/>
      <c r="S937" s="15"/>
      <c r="T937" s="15" t="s">
        <v>4674</v>
      </c>
    </row>
    <row r="938" spans="1:20" x14ac:dyDescent="0.35">
      <c r="A938" s="3" t="s">
        <v>1878</v>
      </c>
      <c r="B938" s="3" t="s">
        <v>1879</v>
      </c>
      <c r="C938" s="3" t="s">
        <v>15</v>
      </c>
      <c r="D938" s="3">
        <v>22.347000000000001</v>
      </c>
      <c r="E938" s="3" t="s">
        <v>10</v>
      </c>
      <c r="F938" s="3">
        <v>6</v>
      </c>
      <c r="G938" s="21">
        <f>Table4[[#This Row],[Item Cost]]*Table4[[#This Row],[In Stock]]</f>
        <v>134.08199999999999</v>
      </c>
      <c r="H938" s="12" t="s">
        <v>4661</v>
      </c>
      <c r="I938" s="13" t="s">
        <v>4666</v>
      </c>
      <c r="J938" s="13" t="s">
        <v>4674</v>
      </c>
      <c r="K938" s="13" t="s">
        <v>4672</v>
      </c>
      <c r="L938" s="12" t="s">
        <v>4672</v>
      </c>
      <c r="M938" s="17" t="str">
        <f>IF(LEN(COUNTIFS($H$1:H938,$H938,$I$1:I938,$I938,$J$1:J938,$J938,$K$1:K938,K938,$L$1:L938,L938))=1,"00"&amp;COUNTIFS($H$1:H938,$H938,$I$1:I938,$I938,$J$1:J938,$J938,$K$1:K938,K938,$L$1:L938,L938),IF(LEN(COUNTIFS($H$1:H938,$H938,$I$1:I938,$I938,$J$1:J938,$J938,$K$1:K938,K938,$L$1:L938,L938))=2,"0"&amp;COUNTIFS($H$1:H938,$H938,$I$1:I938,$I938,$J$1:J938,$J938,$K$1:K938,K938,$L$1:L938,L938),COUNTIFS($H$1:H938,$H938,$I$1:I938,$I938,$J$1:J938,$J938,$K$1:K938,K938,$L$1:L938,L938)))</f>
        <v>038</v>
      </c>
      <c r="N93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38" s="14" t="e">
        <f>+LEN(Table4[[#This Row],[New Item Code]])</f>
        <v>#N/A</v>
      </c>
      <c r="P938" s="15" t="s">
        <v>4747</v>
      </c>
      <c r="Q938" s="15" t="s">
        <v>4749</v>
      </c>
      <c r="R938" s="15"/>
      <c r="S938" s="15"/>
      <c r="T938" s="15" t="s">
        <v>4674</v>
      </c>
    </row>
    <row r="939" spans="1:20" x14ac:dyDescent="0.35">
      <c r="A939" s="2" t="s">
        <v>1880</v>
      </c>
      <c r="B939" s="2" t="s">
        <v>1881</v>
      </c>
      <c r="C939" s="2" t="s">
        <v>15</v>
      </c>
      <c r="D939" s="2">
        <v>0</v>
      </c>
      <c r="E939" s="2" t="s">
        <v>10</v>
      </c>
      <c r="F939" s="2">
        <v>0</v>
      </c>
      <c r="G939" s="22">
        <f>Table4[[#This Row],[Item Cost]]*Table4[[#This Row],[In Stock]]</f>
        <v>0</v>
      </c>
      <c r="H939" s="12" t="s">
        <v>4661</v>
      </c>
      <c r="I939" s="13" t="s">
        <v>4666</v>
      </c>
      <c r="J939" s="13" t="s">
        <v>4674</v>
      </c>
      <c r="K939" s="13" t="s">
        <v>4672</v>
      </c>
      <c r="L939" s="12" t="s">
        <v>4672</v>
      </c>
      <c r="M939" s="17" t="str">
        <f>IF(LEN(COUNTIFS($H$1:H939,$H939,$I$1:I939,$I939,$J$1:J939,$J939,$K$1:K939,K939,$L$1:L939,L939))=1,"00"&amp;COUNTIFS($H$1:H939,$H939,$I$1:I939,$I939,$J$1:J939,$J939,$K$1:K939,K939,$L$1:L939,L939),IF(LEN(COUNTIFS($H$1:H939,$H939,$I$1:I939,$I939,$J$1:J939,$J939,$K$1:K939,K939,$L$1:L939,L939))=2,"0"&amp;COUNTIFS($H$1:H939,$H939,$I$1:I939,$I939,$J$1:J939,$J939,$K$1:K939,K939,$L$1:L939,L939),COUNTIFS($H$1:H939,$H939,$I$1:I939,$I939,$J$1:J939,$J939,$K$1:K939,K939,$L$1:L939,L939)))</f>
        <v>039</v>
      </c>
      <c r="N93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39" s="14" t="e">
        <f>+LEN(Table4[[#This Row],[New Item Code]])</f>
        <v>#N/A</v>
      </c>
      <c r="P939" s="15" t="s">
        <v>4747</v>
      </c>
      <c r="Q939" s="15" t="s">
        <v>4749</v>
      </c>
      <c r="R939" s="15"/>
      <c r="S939" s="15"/>
      <c r="T939" s="15" t="s">
        <v>4674</v>
      </c>
    </row>
    <row r="940" spans="1:20" x14ac:dyDescent="0.35">
      <c r="A940" s="3" t="s">
        <v>1882</v>
      </c>
      <c r="B940" s="3" t="s">
        <v>1883</v>
      </c>
      <c r="C940" s="3" t="s">
        <v>15</v>
      </c>
      <c r="D940" s="3">
        <v>175</v>
      </c>
      <c r="E940" s="3" t="s">
        <v>10</v>
      </c>
      <c r="F940" s="3">
        <v>23</v>
      </c>
      <c r="G940" s="21">
        <f>Table4[[#This Row],[Item Cost]]*Table4[[#This Row],[In Stock]]</f>
        <v>4025</v>
      </c>
      <c r="H940" s="12" t="s">
        <v>4661</v>
      </c>
      <c r="I940" s="13" t="s">
        <v>4666</v>
      </c>
      <c r="J940" s="13" t="s">
        <v>4674</v>
      </c>
      <c r="K940" s="13" t="s">
        <v>4672</v>
      </c>
      <c r="L940" s="12" t="s">
        <v>4672</v>
      </c>
      <c r="M940" s="17" t="str">
        <f>IF(LEN(COUNTIFS($H$1:H940,$H940,$I$1:I940,$I940,$J$1:J940,$J940,$K$1:K940,K940,$L$1:L940,L940))=1,"00"&amp;COUNTIFS($H$1:H940,$H940,$I$1:I940,$I940,$J$1:J940,$J940,$K$1:K940,K940,$L$1:L940,L940),IF(LEN(COUNTIFS($H$1:H940,$H940,$I$1:I940,$I940,$J$1:J940,$J940,$K$1:K940,K940,$L$1:L940,L940))=2,"0"&amp;COUNTIFS($H$1:H940,$H940,$I$1:I940,$I940,$J$1:J940,$J940,$K$1:K940,K940,$L$1:L940,L940),COUNTIFS($H$1:H940,$H940,$I$1:I940,$I940,$J$1:J940,$J940,$K$1:K940,K940,$L$1:L940,L940)))</f>
        <v>040</v>
      </c>
      <c r="N94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40" s="14" t="e">
        <f>+LEN(Table4[[#This Row],[New Item Code]])</f>
        <v>#N/A</v>
      </c>
      <c r="P940" s="15" t="s">
        <v>4747</v>
      </c>
      <c r="Q940" s="15" t="s">
        <v>4749</v>
      </c>
      <c r="R940" s="15"/>
      <c r="S940" s="15"/>
      <c r="T940" s="15" t="s">
        <v>4674</v>
      </c>
    </row>
    <row r="941" spans="1:20" x14ac:dyDescent="0.35">
      <c r="A941" s="2" t="s">
        <v>1884</v>
      </c>
      <c r="B941" s="2" t="s">
        <v>1885</v>
      </c>
      <c r="C941" s="2" t="s">
        <v>15</v>
      </c>
      <c r="D941" s="2">
        <v>0</v>
      </c>
      <c r="E941" s="2" t="s">
        <v>10</v>
      </c>
      <c r="F941" s="2">
        <v>0</v>
      </c>
      <c r="G941" s="22">
        <f>Table4[[#This Row],[Item Cost]]*Table4[[#This Row],[In Stock]]</f>
        <v>0</v>
      </c>
      <c r="H941" s="12" t="s">
        <v>4661</v>
      </c>
      <c r="I941" s="13" t="s">
        <v>4666</v>
      </c>
      <c r="J941" s="13" t="s">
        <v>4674</v>
      </c>
      <c r="K941" s="13" t="s">
        <v>4672</v>
      </c>
      <c r="L941" s="12" t="s">
        <v>4672</v>
      </c>
      <c r="M941" s="17" t="str">
        <f>IF(LEN(COUNTIFS($H$1:H941,$H941,$I$1:I941,$I941,$J$1:J941,$J941,$K$1:K941,K941,$L$1:L941,L941))=1,"00"&amp;COUNTIFS($H$1:H941,$H941,$I$1:I941,$I941,$J$1:J941,$J941,$K$1:K941,K941,$L$1:L941,L941),IF(LEN(COUNTIFS($H$1:H941,$H941,$I$1:I941,$I941,$J$1:J941,$J941,$K$1:K941,K941,$L$1:L941,L941))=2,"0"&amp;COUNTIFS($H$1:H941,$H941,$I$1:I941,$I941,$J$1:J941,$J941,$K$1:K941,K941,$L$1:L941,L941),COUNTIFS($H$1:H941,$H941,$I$1:I941,$I941,$J$1:J941,$J941,$K$1:K941,K941,$L$1:L941,L941)))</f>
        <v>041</v>
      </c>
      <c r="N94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41" s="14" t="e">
        <f>+LEN(Table4[[#This Row],[New Item Code]])</f>
        <v>#N/A</v>
      </c>
      <c r="P941" s="15" t="s">
        <v>4747</v>
      </c>
      <c r="Q941" s="15" t="s">
        <v>4749</v>
      </c>
      <c r="R941" s="15"/>
      <c r="S941" s="15"/>
      <c r="T941" s="15" t="s">
        <v>4674</v>
      </c>
    </row>
    <row r="942" spans="1:20" x14ac:dyDescent="0.35">
      <c r="A942" s="3" t="s">
        <v>1886</v>
      </c>
      <c r="B942" s="3" t="s">
        <v>1887</v>
      </c>
      <c r="C942" s="3" t="s">
        <v>15</v>
      </c>
      <c r="D942" s="3">
        <v>0</v>
      </c>
      <c r="E942" s="3" t="s">
        <v>10</v>
      </c>
      <c r="F942" s="3">
        <v>0</v>
      </c>
      <c r="G942" s="21">
        <f>Table4[[#This Row],[Item Cost]]*Table4[[#This Row],[In Stock]]</f>
        <v>0</v>
      </c>
      <c r="H942" s="12" t="s">
        <v>4661</v>
      </c>
      <c r="I942" s="13" t="s">
        <v>4666</v>
      </c>
      <c r="J942" s="13" t="s">
        <v>4674</v>
      </c>
      <c r="K942" s="13" t="s">
        <v>4672</v>
      </c>
      <c r="L942" s="12" t="s">
        <v>4672</v>
      </c>
      <c r="M942" s="17" t="str">
        <f>IF(LEN(COUNTIFS($H$1:H942,$H942,$I$1:I942,$I942,$J$1:J942,$J942,$K$1:K942,K942,$L$1:L942,L942))=1,"00"&amp;COUNTIFS($H$1:H942,$H942,$I$1:I942,$I942,$J$1:J942,$J942,$K$1:K942,K942,$L$1:L942,L942),IF(LEN(COUNTIFS($H$1:H942,$H942,$I$1:I942,$I942,$J$1:J942,$J942,$K$1:K942,K942,$L$1:L942,L942))=2,"0"&amp;COUNTIFS($H$1:H942,$H942,$I$1:I942,$I942,$J$1:J942,$J942,$K$1:K942,K942,$L$1:L942,L942),COUNTIFS($H$1:H942,$H942,$I$1:I942,$I942,$J$1:J942,$J942,$K$1:K942,K942,$L$1:L942,L942)))</f>
        <v>042</v>
      </c>
      <c r="N94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42" s="14" t="e">
        <f>+LEN(Table4[[#This Row],[New Item Code]])</f>
        <v>#N/A</v>
      </c>
      <c r="P942" s="15" t="s">
        <v>4747</v>
      </c>
      <c r="Q942" s="15" t="s">
        <v>4749</v>
      </c>
      <c r="R942" s="15"/>
      <c r="S942" s="15"/>
      <c r="T942" s="15" t="s">
        <v>4674</v>
      </c>
    </row>
    <row r="943" spans="1:20" x14ac:dyDescent="0.35">
      <c r="A943" s="2" t="s">
        <v>1888</v>
      </c>
      <c r="B943" s="2" t="s">
        <v>1889</v>
      </c>
      <c r="C943" s="2" t="s">
        <v>15</v>
      </c>
      <c r="D943" s="2">
        <v>113</v>
      </c>
      <c r="E943" s="2" t="s">
        <v>10</v>
      </c>
      <c r="F943" s="2">
        <v>1</v>
      </c>
      <c r="G943" s="22">
        <f>Table4[[#This Row],[Item Cost]]*Table4[[#This Row],[In Stock]]</f>
        <v>113</v>
      </c>
      <c r="H943" s="12" t="s">
        <v>4661</v>
      </c>
      <c r="I943" s="13" t="s">
        <v>4666</v>
      </c>
      <c r="J943" s="13" t="s">
        <v>4674</v>
      </c>
      <c r="K943" s="13" t="s">
        <v>4672</v>
      </c>
      <c r="L943" s="12" t="s">
        <v>4672</v>
      </c>
      <c r="M943" s="17" t="str">
        <f>IF(LEN(COUNTIFS($H$1:H943,$H943,$I$1:I943,$I943,$J$1:J943,$J943,$K$1:K943,K943,$L$1:L943,L943))=1,"00"&amp;COUNTIFS($H$1:H943,$H943,$I$1:I943,$I943,$J$1:J943,$J943,$K$1:K943,K943,$L$1:L943,L943),IF(LEN(COUNTIFS($H$1:H943,$H943,$I$1:I943,$I943,$J$1:J943,$J943,$K$1:K943,K943,$L$1:L943,L943))=2,"0"&amp;COUNTIFS($H$1:H943,$H943,$I$1:I943,$I943,$J$1:J943,$J943,$K$1:K943,K943,$L$1:L943,L943),COUNTIFS($H$1:H943,$H943,$I$1:I943,$I943,$J$1:J943,$J943,$K$1:K943,K943,$L$1:L943,L943)))</f>
        <v>043</v>
      </c>
      <c r="N94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43" s="14" t="e">
        <f>+LEN(Table4[[#This Row],[New Item Code]])</f>
        <v>#N/A</v>
      </c>
      <c r="P943" s="15" t="s">
        <v>4747</v>
      </c>
      <c r="Q943" s="15" t="s">
        <v>4749</v>
      </c>
      <c r="R943" s="15"/>
      <c r="S943" s="15"/>
      <c r="T943" s="15" t="s">
        <v>4674</v>
      </c>
    </row>
    <row r="944" spans="1:20" x14ac:dyDescent="0.35">
      <c r="A944" s="3" t="s">
        <v>1890</v>
      </c>
      <c r="B944" s="3" t="s">
        <v>1891</v>
      </c>
      <c r="C944" s="3" t="s">
        <v>15</v>
      </c>
      <c r="D944" s="3">
        <v>0</v>
      </c>
      <c r="E944" s="3" t="s">
        <v>10</v>
      </c>
      <c r="F944" s="3">
        <v>0</v>
      </c>
      <c r="G944" s="21">
        <f>Table4[[#This Row],[Item Cost]]*Table4[[#This Row],[In Stock]]</f>
        <v>0</v>
      </c>
      <c r="H944" s="12" t="s">
        <v>4661</v>
      </c>
      <c r="I944" s="13" t="s">
        <v>4666</v>
      </c>
      <c r="J944" s="13" t="s">
        <v>4674</v>
      </c>
      <c r="K944" s="13" t="s">
        <v>4672</v>
      </c>
      <c r="L944" s="12" t="s">
        <v>4672</v>
      </c>
      <c r="M944" s="17" t="str">
        <f>IF(LEN(COUNTIFS($H$1:H944,$H944,$I$1:I944,$I944,$J$1:J944,$J944,$K$1:K944,K944,$L$1:L944,L944))=1,"00"&amp;COUNTIFS($H$1:H944,$H944,$I$1:I944,$I944,$J$1:J944,$J944,$K$1:K944,K944,$L$1:L944,L944),IF(LEN(COUNTIFS($H$1:H944,$H944,$I$1:I944,$I944,$J$1:J944,$J944,$K$1:K944,K944,$L$1:L944,L944))=2,"0"&amp;COUNTIFS($H$1:H944,$H944,$I$1:I944,$I944,$J$1:J944,$J944,$K$1:K944,K944,$L$1:L944,L944),COUNTIFS($H$1:H944,$H944,$I$1:I944,$I944,$J$1:J944,$J944,$K$1:K944,K944,$L$1:L944,L944)))</f>
        <v>044</v>
      </c>
      <c r="N94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44" s="14" t="e">
        <f>+LEN(Table4[[#This Row],[New Item Code]])</f>
        <v>#N/A</v>
      </c>
      <c r="P944" s="15" t="s">
        <v>4747</v>
      </c>
      <c r="Q944" s="15" t="s">
        <v>4749</v>
      </c>
      <c r="R944" s="15"/>
      <c r="S944" s="15"/>
      <c r="T944" s="15" t="s">
        <v>4674</v>
      </c>
    </row>
    <row r="945" spans="1:20" x14ac:dyDescent="0.35">
      <c r="A945" s="2" t="s">
        <v>1892</v>
      </c>
      <c r="B945" s="2" t="s">
        <v>1893</v>
      </c>
      <c r="C945" s="2" t="s">
        <v>15</v>
      </c>
      <c r="D945" s="4">
        <v>3500</v>
      </c>
      <c r="E945" s="2" t="s">
        <v>10</v>
      </c>
      <c r="F945" s="2">
        <v>1</v>
      </c>
      <c r="G945" s="22">
        <f>Table4[[#This Row],[Item Cost]]*Table4[[#This Row],[In Stock]]</f>
        <v>3500</v>
      </c>
      <c r="H945" s="12" t="s">
        <v>4661</v>
      </c>
      <c r="I945" s="13" t="s">
        <v>4666</v>
      </c>
      <c r="J945" s="13" t="s">
        <v>4674</v>
      </c>
      <c r="K945" s="13" t="s">
        <v>4672</v>
      </c>
      <c r="L945" s="12" t="s">
        <v>4672</v>
      </c>
      <c r="M945" s="17" t="str">
        <f>IF(LEN(COUNTIFS($H$1:H945,$H945,$I$1:I945,$I945,$J$1:J945,$J945,$K$1:K945,K945,$L$1:L945,L945))=1,"00"&amp;COUNTIFS($H$1:H945,$H945,$I$1:I945,$I945,$J$1:J945,$J945,$K$1:K945,K945,$L$1:L945,L945),IF(LEN(COUNTIFS($H$1:H945,$H945,$I$1:I945,$I945,$J$1:J945,$J945,$K$1:K945,K945,$L$1:L945,L945))=2,"0"&amp;COUNTIFS($H$1:H945,$H945,$I$1:I945,$I945,$J$1:J945,$J945,$K$1:K945,K945,$L$1:L945,L945),COUNTIFS($H$1:H945,$H945,$I$1:I945,$I945,$J$1:J945,$J945,$K$1:K945,K945,$L$1:L945,L945)))</f>
        <v>045</v>
      </c>
      <c r="N94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45" s="14" t="e">
        <f>+LEN(Table4[[#This Row],[New Item Code]])</f>
        <v>#N/A</v>
      </c>
      <c r="P945" s="15" t="s">
        <v>4747</v>
      </c>
      <c r="Q945" s="15" t="s">
        <v>4749</v>
      </c>
      <c r="R945" s="15"/>
      <c r="S945" s="15"/>
      <c r="T945" s="15" t="s">
        <v>4674</v>
      </c>
    </row>
    <row r="946" spans="1:20" x14ac:dyDescent="0.35">
      <c r="A946" s="3" t="s">
        <v>1894</v>
      </c>
      <c r="B946" s="3" t="s">
        <v>1895</v>
      </c>
      <c r="C946" s="3" t="s">
        <v>15</v>
      </c>
      <c r="D946" s="5">
        <v>1400</v>
      </c>
      <c r="E946" s="3" t="s">
        <v>10</v>
      </c>
      <c r="F946" s="3">
        <v>0</v>
      </c>
      <c r="G946" s="21">
        <f>Table4[[#This Row],[Item Cost]]*Table4[[#This Row],[In Stock]]</f>
        <v>0</v>
      </c>
      <c r="H946" s="12" t="s">
        <v>4661</v>
      </c>
      <c r="I946" s="13" t="s">
        <v>4666</v>
      </c>
      <c r="J946" s="13" t="s">
        <v>4674</v>
      </c>
      <c r="K946" t="s">
        <v>4798</v>
      </c>
      <c r="L946" s="12" t="s">
        <v>4672</v>
      </c>
      <c r="M946" s="17" t="str">
        <f>IF(LEN(COUNTIFS($H$1:H946,$H946,$I$1:I946,$I946,$J$1:J946,$J946,$K$1:K946,K946,$L$1:L946,L946))=1,"00"&amp;COUNTIFS($H$1:H946,$H946,$I$1:I946,$I946,$J$1:J946,$J946,$K$1:K946,K946,$L$1:L946,L946),IF(LEN(COUNTIFS($H$1:H946,$H946,$I$1:I946,$I946,$J$1:J946,$J946,$K$1:K946,K946,$L$1:L946,L946))=2,"0"&amp;COUNTIFS($H$1:H946,$H946,$I$1:I946,$I946,$J$1:J946,$J946,$K$1:K946,K946,$L$1:L946,L946),COUNTIFS($H$1:H946,$H946,$I$1:I946,$I946,$J$1:J946,$J946,$K$1:K946,K946,$L$1:L946,L946)))</f>
        <v>007</v>
      </c>
      <c r="N94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46" s="14" t="e">
        <f>+LEN(Table4[[#This Row],[New Item Code]])</f>
        <v>#N/A</v>
      </c>
      <c r="P946" s="15" t="s">
        <v>4747</v>
      </c>
      <c r="Q946" s="15" t="s">
        <v>4749</v>
      </c>
      <c r="R946" s="15"/>
      <c r="S946" s="15"/>
      <c r="T946" s="15" t="s">
        <v>4674</v>
      </c>
    </row>
    <row r="947" spans="1:20" x14ac:dyDescent="0.35">
      <c r="A947" s="3" t="s">
        <v>1896</v>
      </c>
      <c r="B947" s="3" t="s">
        <v>1897</v>
      </c>
      <c r="C947" s="3" t="s">
        <v>9</v>
      </c>
      <c r="D947" s="5">
        <v>3875</v>
      </c>
      <c r="E947" s="3" t="s">
        <v>10</v>
      </c>
      <c r="F947" s="3">
        <v>1</v>
      </c>
      <c r="G947" s="21">
        <f>Table4[[#This Row],[Item Cost]]*Table4[[#This Row],[In Stock]]</f>
        <v>3875</v>
      </c>
      <c r="H947" s="12" t="s">
        <v>4661</v>
      </c>
      <c r="I947" s="13" t="s">
        <v>4664</v>
      </c>
      <c r="J947" s="13" t="s">
        <v>4674</v>
      </c>
      <c r="K947" s="13" t="s">
        <v>4672</v>
      </c>
      <c r="L947" s="12" t="s">
        <v>4672</v>
      </c>
      <c r="M947" s="17" t="str">
        <f>IF(LEN(COUNTIFS($H$1:H947,$H947,$I$1:I947,$I947,$J$1:J947,$J947,$K$1:K947,K947,$L$1:L947,L947))=1,"00"&amp;COUNTIFS($H$1:H947,$H947,$I$1:I947,$I947,$J$1:J947,$J947,$K$1:K947,K947,$L$1:L947,L947),IF(LEN(COUNTIFS($H$1:H947,$H947,$I$1:I947,$I947,$J$1:J947,$J947,$K$1:K947,K947,$L$1:L947,L947))=2,"0"&amp;COUNTIFS($H$1:H947,$H947,$I$1:I947,$I947,$J$1:J947,$J947,$K$1:K947,K947,$L$1:L947,L947),COUNTIFS($H$1:H947,$H947,$I$1:I947,$I947,$J$1:J947,$J947,$K$1:K947,K947,$L$1:L947,L947)))</f>
        <v>032</v>
      </c>
      <c r="N94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47" s="14" t="e">
        <f>+LEN(Table4[[#This Row],[New Item Code]])</f>
        <v>#N/A</v>
      </c>
      <c r="P947" s="15" t="s">
        <v>4747</v>
      </c>
      <c r="Q947" s="15" t="s">
        <v>4749</v>
      </c>
      <c r="R947" s="15"/>
      <c r="S947" s="15"/>
      <c r="T947" s="15" t="s">
        <v>4674</v>
      </c>
    </row>
    <row r="948" spans="1:20" x14ac:dyDescent="0.35">
      <c r="A948" s="2" t="s">
        <v>1898</v>
      </c>
      <c r="B948" s="2" t="s">
        <v>1899</v>
      </c>
      <c r="C948" s="2" t="s">
        <v>15</v>
      </c>
      <c r="D948" s="2">
        <v>0</v>
      </c>
      <c r="E948" s="2" t="s">
        <v>57</v>
      </c>
      <c r="F948" s="2">
        <v>0</v>
      </c>
      <c r="G948" s="22">
        <f>Table4[[#This Row],[Item Cost]]*Table4[[#This Row],[In Stock]]</f>
        <v>0</v>
      </c>
      <c r="H948" s="12" t="s">
        <v>4661</v>
      </c>
      <c r="I948" s="13" t="s">
        <v>4666</v>
      </c>
      <c r="J948" s="13" t="s">
        <v>4674</v>
      </c>
      <c r="K948" s="13" t="s">
        <v>4672</v>
      </c>
      <c r="L948" s="12" t="s">
        <v>4672</v>
      </c>
      <c r="M948" s="17" t="str">
        <f>IF(LEN(COUNTIFS($H$1:H948,$H948,$I$1:I948,$I948,$J$1:J948,$J948,$K$1:K948,K948,$L$1:L948,L948))=1,"00"&amp;COUNTIFS($H$1:H948,$H948,$I$1:I948,$I948,$J$1:J948,$J948,$K$1:K948,K948,$L$1:L948,L948),IF(LEN(COUNTIFS($H$1:H948,$H948,$I$1:I948,$I948,$J$1:J948,$J948,$K$1:K948,K948,$L$1:L948,L948))=2,"0"&amp;COUNTIFS($H$1:H948,$H948,$I$1:I948,$I948,$J$1:J948,$J948,$K$1:K948,K948,$L$1:L948,L948),COUNTIFS($H$1:H948,$H948,$I$1:I948,$I948,$J$1:J948,$J948,$K$1:K948,K948,$L$1:L948,L948)))</f>
        <v>046</v>
      </c>
      <c r="N94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48" s="14" t="e">
        <f>+LEN(Table4[[#This Row],[New Item Code]])</f>
        <v>#N/A</v>
      </c>
      <c r="P948" s="15" t="s">
        <v>4747</v>
      </c>
      <c r="Q948" s="15" t="s">
        <v>4749</v>
      </c>
      <c r="R948" s="15"/>
      <c r="S948" s="15"/>
      <c r="T948" s="15" t="s">
        <v>4674</v>
      </c>
    </row>
    <row r="949" spans="1:20" x14ac:dyDescent="0.35">
      <c r="A949" s="3" t="s">
        <v>1900</v>
      </c>
      <c r="B949" s="3" t="s">
        <v>1901</v>
      </c>
      <c r="C949" s="3" t="s">
        <v>15</v>
      </c>
      <c r="D949" s="3">
        <v>0</v>
      </c>
      <c r="E949" s="3" t="s">
        <v>57</v>
      </c>
      <c r="F949" s="3">
        <v>0</v>
      </c>
      <c r="G949" s="21">
        <f>Table4[[#This Row],[Item Cost]]*Table4[[#This Row],[In Stock]]</f>
        <v>0</v>
      </c>
      <c r="H949" s="12" t="s">
        <v>4661</v>
      </c>
      <c r="I949" s="13" t="s">
        <v>4666</v>
      </c>
      <c r="J949" s="13" t="s">
        <v>4674</v>
      </c>
      <c r="K949" s="13" t="s">
        <v>4672</v>
      </c>
      <c r="L949" s="12" t="s">
        <v>4672</v>
      </c>
      <c r="M949" s="17" t="str">
        <f>IF(LEN(COUNTIFS($H$1:H949,$H949,$I$1:I949,$I949,$J$1:J949,$J949,$K$1:K949,K949,$L$1:L949,L949))=1,"00"&amp;COUNTIFS($H$1:H949,$H949,$I$1:I949,$I949,$J$1:J949,$J949,$K$1:K949,K949,$L$1:L949,L949),IF(LEN(COUNTIFS($H$1:H949,$H949,$I$1:I949,$I949,$J$1:J949,$J949,$K$1:K949,K949,$L$1:L949,L949))=2,"0"&amp;COUNTIFS($H$1:H949,$H949,$I$1:I949,$I949,$J$1:J949,$J949,$K$1:K949,K949,$L$1:L949,L949),COUNTIFS($H$1:H949,$H949,$I$1:I949,$I949,$J$1:J949,$J949,$K$1:K949,K949,$L$1:L949,L949)))</f>
        <v>047</v>
      </c>
      <c r="N94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49" s="14" t="e">
        <f>+LEN(Table4[[#This Row],[New Item Code]])</f>
        <v>#N/A</v>
      </c>
      <c r="P949" s="15" t="s">
        <v>4747</v>
      </c>
      <c r="Q949" s="15" t="s">
        <v>4749</v>
      </c>
      <c r="R949" s="15"/>
      <c r="S949" s="15"/>
      <c r="T949" s="15" t="s">
        <v>4674</v>
      </c>
    </row>
    <row r="950" spans="1:20" x14ac:dyDescent="0.35">
      <c r="A950" s="2" t="s">
        <v>1902</v>
      </c>
      <c r="B950" s="2" t="s">
        <v>1903</v>
      </c>
      <c r="C950" s="2" t="s">
        <v>15</v>
      </c>
      <c r="D950" s="2">
        <v>720</v>
      </c>
      <c r="E950" s="2" t="s">
        <v>10</v>
      </c>
      <c r="F950" s="2">
        <v>2</v>
      </c>
      <c r="G950" s="22">
        <f>Table4[[#This Row],[Item Cost]]*Table4[[#This Row],[In Stock]]</f>
        <v>1440</v>
      </c>
      <c r="H950" s="12" t="s">
        <v>4661</v>
      </c>
      <c r="I950" s="13" t="s">
        <v>4666</v>
      </c>
      <c r="J950" s="13" t="s">
        <v>4674</v>
      </c>
      <c r="K950" t="s">
        <v>4798</v>
      </c>
      <c r="L950" s="12" t="s">
        <v>4672</v>
      </c>
      <c r="M950" s="17" t="str">
        <f>IF(LEN(COUNTIFS($H$1:H950,$H950,$I$1:I950,$I950,$J$1:J950,$J950,$K$1:K950,K950,$L$1:L950,L950))=1,"00"&amp;COUNTIFS($H$1:H950,$H950,$I$1:I950,$I950,$J$1:J950,$J950,$K$1:K950,K950,$L$1:L950,L950),IF(LEN(COUNTIFS($H$1:H950,$H950,$I$1:I950,$I950,$J$1:J950,$J950,$K$1:K950,K950,$L$1:L950,L950))=2,"0"&amp;COUNTIFS($H$1:H950,$H950,$I$1:I950,$I950,$J$1:J950,$J950,$K$1:K950,K950,$L$1:L950,L950),COUNTIFS($H$1:H950,$H950,$I$1:I950,$I950,$J$1:J950,$J950,$K$1:K950,K950,$L$1:L950,L950)))</f>
        <v>008</v>
      </c>
      <c r="N95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50" s="14" t="e">
        <f>+LEN(Table4[[#This Row],[New Item Code]])</f>
        <v>#N/A</v>
      </c>
      <c r="P950" s="15" t="s">
        <v>4747</v>
      </c>
      <c r="Q950" s="15" t="s">
        <v>4749</v>
      </c>
      <c r="R950" s="15"/>
      <c r="S950" s="15"/>
      <c r="T950" s="15" t="s">
        <v>4674</v>
      </c>
    </row>
    <row r="951" spans="1:20" x14ac:dyDescent="0.35">
      <c r="A951" s="3" t="s">
        <v>1904</v>
      </c>
      <c r="B951" s="3" t="s">
        <v>1905</v>
      </c>
      <c r="C951" s="3" t="s">
        <v>15</v>
      </c>
      <c r="D951" s="5">
        <v>1825</v>
      </c>
      <c r="E951" s="3" t="s">
        <v>10</v>
      </c>
      <c r="F951" s="3">
        <v>0</v>
      </c>
      <c r="G951" s="21">
        <f>Table4[[#This Row],[Item Cost]]*Table4[[#This Row],[In Stock]]</f>
        <v>0</v>
      </c>
      <c r="H951" s="12" t="s">
        <v>4661</v>
      </c>
      <c r="I951" s="13" t="s">
        <v>4666</v>
      </c>
      <c r="J951" s="13" t="s">
        <v>4674</v>
      </c>
      <c r="K951" s="13" t="s">
        <v>4672</v>
      </c>
      <c r="L951" s="12" t="s">
        <v>4672</v>
      </c>
      <c r="M951" s="17" t="str">
        <f>IF(LEN(COUNTIFS($H$1:H951,$H951,$I$1:I951,$I951,$J$1:J951,$J951,$K$1:K951,K951,$L$1:L951,L951))=1,"00"&amp;COUNTIFS($H$1:H951,$H951,$I$1:I951,$I951,$J$1:J951,$J951,$K$1:K951,K951,$L$1:L951,L951),IF(LEN(COUNTIFS($H$1:H951,$H951,$I$1:I951,$I951,$J$1:J951,$J951,$K$1:K951,K951,$L$1:L951,L951))=2,"0"&amp;COUNTIFS($H$1:H951,$H951,$I$1:I951,$I951,$J$1:J951,$J951,$K$1:K951,K951,$L$1:L951,L951),COUNTIFS($H$1:H951,$H951,$I$1:I951,$I951,$J$1:J951,$J951,$K$1:K951,K951,$L$1:L951,L951)))</f>
        <v>048</v>
      </c>
      <c r="N95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51" s="14" t="e">
        <f>+LEN(Table4[[#This Row],[New Item Code]])</f>
        <v>#N/A</v>
      </c>
      <c r="P951" s="15" t="s">
        <v>4747</v>
      </c>
      <c r="Q951" s="15" t="s">
        <v>4749</v>
      </c>
      <c r="R951" s="15"/>
      <c r="S951" s="15"/>
      <c r="T951" s="15" t="s">
        <v>4674</v>
      </c>
    </row>
    <row r="952" spans="1:20" x14ac:dyDescent="0.35">
      <c r="A952" s="2" t="s">
        <v>1906</v>
      </c>
      <c r="B952" s="2" t="s">
        <v>1907</v>
      </c>
      <c r="C952" s="2" t="s">
        <v>9</v>
      </c>
      <c r="D952" s="2">
        <v>832</v>
      </c>
      <c r="E952" s="2" t="s">
        <v>10</v>
      </c>
      <c r="F952" s="2">
        <v>2</v>
      </c>
      <c r="G952" s="22">
        <f>Table4[[#This Row],[Item Cost]]*Table4[[#This Row],[In Stock]]</f>
        <v>1664</v>
      </c>
      <c r="H952" s="12" t="s">
        <v>4661</v>
      </c>
      <c r="I952" s="13" t="s">
        <v>4664</v>
      </c>
      <c r="J952" s="13" t="s">
        <v>4674</v>
      </c>
      <c r="K952" s="13" t="s">
        <v>4672</v>
      </c>
      <c r="L952" s="12" t="s">
        <v>4672</v>
      </c>
      <c r="M952" s="17" t="str">
        <f>IF(LEN(COUNTIFS($H$1:H952,$H952,$I$1:I952,$I952,$J$1:J952,$J952,$K$1:K952,K952,$L$1:L952,L952))=1,"00"&amp;COUNTIFS($H$1:H952,$H952,$I$1:I952,$I952,$J$1:J952,$J952,$K$1:K952,K952,$L$1:L952,L952),IF(LEN(COUNTIFS($H$1:H952,$H952,$I$1:I952,$I952,$J$1:J952,$J952,$K$1:K952,K952,$L$1:L952,L952))=2,"0"&amp;COUNTIFS($H$1:H952,$H952,$I$1:I952,$I952,$J$1:J952,$J952,$K$1:K952,K952,$L$1:L952,L952),COUNTIFS($H$1:H952,$H952,$I$1:I952,$I952,$J$1:J952,$J952,$K$1:K952,K952,$L$1:L952,L952)))</f>
        <v>033</v>
      </c>
      <c r="N95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52" s="14" t="e">
        <f>+LEN(Table4[[#This Row],[New Item Code]])</f>
        <v>#N/A</v>
      </c>
      <c r="P952" s="15" t="s">
        <v>4747</v>
      </c>
      <c r="Q952" s="15" t="s">
        <v>4749</v>
      </c>
      <c r="R952" s="15"/>
      <c r="S952" s="15"/>
      <c r="T952" s="15" t="s">
        <v>4674</v>
      </c>
    </row>
    <row r="953" spans="1:20" x14ac:dyDescent="0.35">
      <c r="A953" s="3" t="s">
        <v>1908</v>
      </c>
      <c r="B953" s="3" t="s">
        <v>1909</v>
      </c>
      <c r="C953" s="3" t="s">
        <v>9</v>
      </c>
      <c r="D953" s="3">
        <v>453.66</v>
      </c>
      <c r="E953" s="3" t="s">
        <v>10</v>
      </c>
      <c r="F953" s="3">
        <v>1</v>
      </c>
      <c r="G953" s="21">
        <f>Table4[[#This Row],[Item Cost]]*Table4[[#This Row],[In Stock]]</f>
        <v>453.66</v>
      </c>
      <c r="H953" s="12" t="s">
        <v>4661</v>
      </c>
      <c r="I953" s="13" t="s">
        <v>4664</v>
      </c>
      <c r="J953" s="13" t="s">
        <v>4674</v>
      </c>
      <c r="K953" s="13" t="s">
        <v>4672</v>
      </c>
      <c r="L953" s="12" t="s">
        <v>4672</v>
      </c>
      <c r="M953" s="17" t="str">
        <f>IF(LEN(COUNTIFS($H$1:H953,$H953,$I$1:I953,$I953,$J$1:J953,$J953,$K$1:K953,K953,$L$1:L953,L953))=1,"00"&amp;COUNTIFS($H$1:H953,$H953,$I$1:I953,$I953,$J$1:J953,$J953,$K$1:K953,K953,$L$1:L953,L953),IF(LEN(COUNTIFS($H$1:H953,$H953,$I$1:I953,$I953,$J$1:J953,$J953,$K$1:K953,K953,$L$1:L953,L953))=2,"0"&amp;COUNTIFS($H$1:H953,$H953,$I$1:I953,$I953,$J$1:J953,$J953,$K$1:K953,K953,$L$1:L953,L953),COUNTIFS($H$1:H953,$H953,$I$1:I953,$I953,$J$1:J953,$J953,$K$1:K953,K953,$L$1:L953,L953)))</f>
        <v>034</v>
      </c>
      <c r="N95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53" s="14" t="e">
        <f>+LEN(Table4[[#This Row],[New Item Code]])</f>
        <v>#N/A</v>
      </c>
      <c r="P953" s="15" t="s">
        <v>4747</v>
      </c>
      <c r="Q953" s="15" t="s">
        <v>4749</v>
      </c>
      <c r="R953" s="15"/>
      <c r="S953" s="15"/>
      <c r="T953" s="15" t="s">
        <v>4674</v>
      </c>
    </row>
    <row r="954" spans="1:20" x14ac:dyDescent="0.35">
      <c r="A954" s="2" t="s">
        <v>1910</v>
      </c>
      <c r="B954" s="2" t="s">
        <v>1911</v>
      </c>
      <c r="C954" s="2" t="s">
        <v>9</v>
      </c>
      <c r="D954" s="2">
        <v>15</v>
      </c>
      <c r="E954" s="2" t="s">
        <v>10</v>
      </c>
      <c r="F954" s="2">
        <v>16</v>
      </c>
      <c r="G954" s="22">
        <f>Table4[[#This Row],[Item Cost]]*Table4[[#This Row],[In Stock]]</f>
        <v>240</v>
      </c>
      <c r="H954" s="12" t="s">
        <v>4661</v>
      </c>
      <c r="I954" s="13" t="s">
        <v>4664</v>
      </c>
      <c r="J954" s="13" t="s">
        <v>4674</v>
      </c>
      <c r="K954" s="13" t="s">
        <v>4672</v>
      </c>
      <c r="L954" s="12" t="s">
        <v>4672</v>
      </c>
      <c r="M954" s="17" t="str">
        <f>IF(LEN(COUNTIFS($H$1:H954,$H954,$I$1:I954,$I954,$J$1:J954,$J954,$K$1:K954,K954,$L$1:L954,L954))=1,"00"&amp;COUNTIFS($H$1:H954,$H954,$I$1:I954,$I954,$J$1:J954,$J954,$K$1:K954,K954,$L$1:L954,L954),IF(LEN(COUNTIFS($H$1:H954,$H954,$I$1:I954,$I954,$J$1:J954,$J954,$K$1:K954,K954,$L$1:L954,L954))=2,"0"&amp;COUNTIFS($H$1:H954,$H954,$I$1:I954,$I954,$J$1:J954,$J954,$K$1:K954,K954,$L$1:L954,L954),COUNTIFS($H$1:H954,$H954,$I$1:I954,$I954,$J$1:J954,$J954,$K$1:K954,K954,$L$1:L954,L954)))</f>
        <v>035</v>
      </c>
      <c r="N95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54" s="14" t="e">
        <f>+LEN(Table4[[#This Row],[New Item Code]])</f>
        <v>#N/A</v>
      </c>
      <c r="P954" s="15" t="s">
        <v>4747</v>
      </c>
      <c r="Q954" s="15" t="s">
        <v>4749</v>
      </c>
      <c r="R954" s="15"/>
      <c r="S954" s="15"/>
      <c r="T954" s="15" t="s">
        <v>4674</v>
      </c>
    </row>
    <row r="955" spans="1:20" x14ac:dyDescent="0.35">
      <c r="A955" s="3" t="s">
        <v>1912</v>
      </c>
      <c r="B955" s="3" t="s">
        <v>1913</v>
      </c>
      <c r="C955" s="3" t="s">
        <v>9</v>
      </c>
      <c r="D955" s="3">
        <v>83</v>
      </c>
      <c r="E955" s="3" t="s">
        <v>10</v>
      </c>
      <c r="F955" s="3">
        <v>16</v>
      </c>
      <c r="G955" s="21">
        <f>Table4[[#This Row],[Item Cost]]*Table4[[#This Row],[In Stock]]</f>
        <v>1328</v>
      </c>
      <c r="H955" s="12" t="s">
        <v>4661</v>
      </c>
      <c r="I955" s="13" t="s">
        <v>4664</v>
      </c>
      <c r="J955" s="13" t="s">
        <v>4674</v>
      </c>
      <c r="K955" s="13" t="s">
        <v>4672</v>
      </c>
      <c r="L955" s="12" t="s">
        <v>4672</v>
      </c>
      <c r="M955" s="17" t="str">
        <f>IF(LEN(COUNTIFS($H$1:H955,$H955,$I$1:I955,$I955,$J$1:J955,$J955,$K$1:K955,K955,$L$1:L955,L955))=1,"00"&amp;COUNTIFS($H$1:H955,$H955,$I$1:I955,$I955,$J$1:J955,$J955,$K$1:K955,K955,$L$1:L955,L955),IF(LEN(COUNTIFS($H$1:H955,$H955,$I$1:I955,$I955,$J$1:J955,$J955,$K$1:K955,K955,$L$1:L955,L955))=2,"0"&amp;COUNTIFS($H$1:H955,$H955,$I$1:I955,$I955,$J$1:J955,$J955,$K$1:K955,K955,$L$1:L955,L955),COUNTIFS($H$1:H955,$H955,$I$1:I955,$I955,$J$1:J955,$J955,$K$1:K955,K955,$L$1:L955,L955)))</f>
        <v>036</v>
      </c>
      <c r="N95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55" s="14" t="e">
        <f>+LEN(Table4[[#This Row],[New Item Code]])</f>
        <v>#N/A</v>
      </c>
      <c r="P955" s="15" t="s">
        <v>4747</v>
      </c>
      <c r="Q955" s="15" t="s">
        <v>4749</v>
      </c>
      <c r="R955" s="15"/>
      <c r="S955" s="15"/>
      <c r="T955" s="15" t="s">
        <v>4674</v>
      </c>
    </row>
    <row r="956" spans="1:20" x14ac:dyDescent="0.35">
      <c r="A956" s="2" t="s">
        <v>1914</v>
      </c>
      <c r="B956" s="2" t="s">
        <v>1915</v>
      </c>
      <c r="C956" s="2" t="s">
        <v>9</v>
      </c>
      <c r="D956" s="4">
        <v>3824.39</v>
      </c>
      <c r="E956" s="2" t="s">
        <v>10</v>
      </c>
      <c r="F956" s="2">
        <v>1</v>
      </c>
      <c r="G956" s="22">
        <f>Table4[[#This Row],[Item Cost]]*Table4[[#This Row],[In Stock]]</f>
        <v>3824.39</v>
      </c>
      <c r="H956" s="12" t="s">
        <v>4661</v>
      </c>
      <c r="I956" s="13" t="s">
        <v>4664</v>
      </c>
      <c r="J956" s="13" t="s">
        <v>4674</v>
      </c>
      <c r="K956" s="13" t="s">
        <v>4672</v>
      </c>
      <c r="L956" s="12" t="s">
        <v>4672</v>
      </c>
      <c r="M956" s="17" t="str">
        <f>IF(LEN(COUNTIFS($H$1:H956,$H956,$I$1:I956,$I956,$J$1:J956,$J956,$K$1:K956,K956,$L$1:L956,L956))=1,"00"&amp;COUNTIFS($H$1:H956,$H956,$I$1:I956,$I956,$J$1:J956,$J956,$K$1:K956,K956,$L$1:L956,L956),IF(LEN(COUNTIFS($H$1:H956,$H956,$I$1:I956,$I956,$J$1:J956,$J956,$K$1:K956,K956,$L$1:L956,L956))=2,"0"&amp;COUNTIFS($H$1:H956,$H956,$I$1:I956,$I956,$J$1:J956,$J956,$K$1:K956,K956,$L$1:L956,L956),COUNTIFS($H$1:H956,$H956,$I$1:I956,$I956,$J$1:J956,$J956,$K$1:K956,K956,$L$1:L956,L956)))</f>
        <v>037</v>
      </c>
      <c r="N95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56" s="14" t="e">
        <f>+LEN(Table4[[#This Row],[New Item Code]])</f>
        <v>#N/A</v>
      </c>
      <c r="P956" s="15" t="s">
        <v>4747</v>
      </c>
      <c r="Q956" s="15" t="s">
        <v>4749</v>
      </c>
      <c r="R956" s="15"/>
      <c r="S956" s="15"/>
      <c r="T956" s="15" t="s">
        <v>4674</v>
      </c>
    </row>
    <row r="957" spans="1:20" x14ac:dyDescent="0.35">
      <c r="A957" s="3" t="s">
        <v>1916</v>
      </c>
      <c r="B957" s="3" t="s">
        <v>1917</v>
      </c>
      <c r="C957" s="3" t="s">
        <v>9</v>
      </c>
      <c r="D957" s="3">
        <v>130</v>
      </c>
      <c r="E957" s="3" t="s">
        <v>10</v>
      </c>
      <c r="F957" s="3">
        <v>1</v>
      </c>
      <c r="G957" s="21">
        <f>Table4[[#This Row],[Item Cost]]*Table4[[#This Row],[In Stock]]</f>
        <v>130</v>
      </c>
      <c r="H957" s="12" t="s">
        <v>4661</v>
      </c>
      <c r="I957" s="13" t="s">
        <v>4664</v>
      </c>
      <c r="J957" s="13" t="s">
        <v>4674</v>
      </c>
      <c r="K957" s="13" t="s">
        <v>4672</v>
      </c>
      <c r="L957" s="12" t="s">
        <v>4672</v>
      </c>
      <c r="M957" s="17" t="str">
        <f>IF(LEN(COUNTIFS($H$1:H957,$H957,$I$1:I957,$I957,$J$1:J957,$J957,$K$1:K957,K957,$L$1:L957,L957))=1,"00"&amp;COUNTIFS($H$1:H957,$H957,$I$1:I957,$I957,$J$1:J957,$J957,$K$1:K957,K957,$L$1:L957,L957),IF(LEN(COUNTIFS($H$1:H957,$H957,$I$1:I957,$I957,$J$1:J957,$J957,$K$1:K957,K957,$L$1:L957,L957))=2,"0"&amp;COUNTIFS($H$1:H957,$H957,$I$1:I957,$I957,$J$1:J957,$J957,$K$1:K957,K957,$L$1:L957,L957),COUNTIFS($H$1:H957,$H957,$I$1:I957,$I957,$J$1:J957,$J957,$K$1:K957,K957,$L$1:L957,L957)))</f>
        <v>038</v>
      </c>
      <c r="N95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57" s="14" t="e">
        <f>+LEN(Table4[[#This Row],[New Item Code]])</f>
        <v>#N/A</v>
      </c>
      <c r="P957" s="15" t="s">
        <v>4747</v>
      </c>
      <c r="Q957" s="15" t="s">
        <v>4749</v>
      </c>
      <c r="R957" s="15"/>
      <c r="S957" s="15"/>
      <c r="T957" s="15" t="s">
        <v>4674</v>
      </c>
    </row>
    <row r="958" spans="1:20" x14ac:dyDescent="0.35">
      <c r="A958" s="2" t="s">
        <v>1918</v>
      </c>
      <c r="B958" s="2" t="s">
        <v>1919</v>
      </c>
      <c r="C958" s="2" t="s">
        <v>9</v>
      </c>
      <c r="D958" s="4">
        <v>21684</v>
      </c>
      <c r="E958" s="2" t="s">
        <v>10</v>
      </c>
      <c r="F958" s="2">
        <v>1</v>
      </c>
      <c r="G958" s="22">
        <f>Table4[[#This Row],[Item Cost]]*Table4[[#This Row],[In Stock]]</f>
        <v>21684</v>
      </c>
      <c r="H958" s="12" t="s">
        <v>4661</v>
      </c>
      <c r="I958" s="13" t="s">
        <v>4664</v>
      </c>
      <c r="J958" s="13" t="s">
        <v>4674</v>
      </c>
      <c r="K958" s="13" t="s">
        <v>4672</v>
      </c>
      <c r="L958" s="12" t="s">
        <v>4672</v>
      </c>
      <c r="M958" s="17" t="str">
        <f>IF(LEN(COUNTIFS($H$1:H958,$H958,$I$1:I958,$I958,$J$1:J958,$J958,$K$1:K958,K958,$L$1:L958,L958))=1,"00"&amp;COUNTIFS($H$1:H958,$H958,$I$1:I958,$I958,$J$1:J958,$J958,$K$1:K958,K958,$L$1:L958,L958),IF(LEN(COUNTIFS($H$1:H958,$H958,$I$1:I958,$I958,$J$1:J958,$J958,$K$1:K958,K958,$L$1:L958,L958))=2,"0"&amp;COUNTIFS($H$1:H958,$H958,$I$1:I958,$I958,$J$1:J958,$J958,$K$1:K958,K958,$L$1:L958,L958),COUNTIFS($H$1:H958,$H958,$I$1:I958,$I958,$J$1:J958,$J958,$K$1:K958,K958,$L$1:L958,L958)))</f>
        <v>039</v>
      </c>
      <c r="N95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58" s="14" t="e">
        <f>+LEN(Table4[[#This Row],[New Item Code]])</f>
        <v>#N/A</v>
      </c>
      <c r="P958" s="15" t="s">
        <v>4747</v>
      </c>
      <c r="Q958" s="15" t="s">
        <v>4749</v>
      </c>
      <c r="R958" s="15"/>
      <c r="S958" s="15"/>
      <c r="T958" s="15" t="s">
        <v>4674</v>
      </c>
    </row>
    <row r="959" spans="1:20" x14ac:dyDescent="0.35">
      <c r="A959" s="3" t="s">
        <v>1920</v>
      </c>
      <c r="B959" s="3" t="s">
        <v>1921</v>
      </c>
      <c r="C959" s="3" t="s">
        <v>9</v>
      </c>
      <c r="D959" s="3">
        <v>291.2</v>
      </c>
      <c r="E959" s="3" t="s">
        <v>10</v>
      </c>
      <c r="F959" s="3">
        <v>1</v>
      </c>
      <c r="G959" s="21">
        <f>Table4[[#This Row],[Item Cost]]*Table4[[#This Row],[In Stock]]</f>
        <v>291.2</v>
      </c>
      <c r="H959" s="12" t="s">
        <v>4661</v>
      </c>
      <c r="I959" s="13" t="s">
        <v>4664</v>
      </c>
      <c r="J959" s="13" t="s">
        <v>4674</v>
      </c>
      <c r="K959" s="13" t="s">
        <v>4672</v>
      </c>
      <c r="L959" s="12" t="s">
        <v>4672</v>
      </c>
      <c r="M959" s="17" t="str">
        <f>IF(LEN(COUNTIFS($H$1:H959,$H959,$I$1:I959,$I959,$J$1:J959,$J959,$K$1:K959,K959,$L$1:L959,L959))=1,"00"&amp;COUNTIFS($H$1:H959,$H959,$I$1:I959,$I959,$J$1:J959,$J959,$K$1:K959,K959,$L$1:L959,L959),IF(LEN(COUNTIFS($H$1:H959,$H959,$I$1:I959,$I959,$J$1:J959,$J959,$K$1:K959,K959,$L$1:L959,L959))=2,"0"&amp;COUNTIFS($H$1:H959,$H959,$I$1:I959,$I959,$J$1:J959,$J959,$K$1:K959,K959,$L$1:L959,L959),COUNTIFS($H$1:H959,$H959,$I$1:I959,$I959,$J$1:J959,$J959,$K$1:K959,K959,$L$1:L959,L959)))</f>
        <v>040</v>
      </c>
      <c r="N95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59" s="14" t="e">
        <f>+LEN(Table4[[#This Row],[New Item Code]])</f>
        <v>#N/A</v>
      </c>
      <c r="P959" s="15" t="s">
        <v>4747</v>
      </c>
      <c r="Q959" s="15" t="s">
        <v>4749</v>
      </c>
      <c r="R959" s="15"/>
      <c r="S959" s="15"/>
      <c r="T959" s="15" t="s">
        <v>4674</v>
      </c>
    </row>
    <row r="960" spans="1:20" x14ac:dyDescent="0.35">
      <c r="A960" s="2" t="s">
        <v>1922</v>
      </c>
      <c r="B960" s="2" t="s">
        <v>1923</v>
      </c>
      <c r="C960" s="2" t="s">
        <v>9</v>
      </c>
      <c r="D960" s="4">
        <v>1924</v>
      </c>
      <c r="E960" s="2" t="s">
        <v>10</v>
      </c>
      <c r="F960" s="2">
        <v>1</v>
      </c>
      <c r="G960" s="22">
        <f>Table4[[#This Row],[Item Cost]]*Table4[[#This Row],[In Stock]]</f>
        <v>1924</v>
      </c>
      <c r="H960" s="12" t="s">
        <v>4661</v>
      </c>
      <c r="I960" s="13" t="s">
        <v>4664</v>
      </c>
      <c r="J960" s="13" t="s">
        <v>4674</v>
      </c>
      <c r="K960" s="13" t="s">
        <v>4672</v>
      </c>
      <c r="L960" s="12" t="s">
        <v>4672</v>
      </c>
      <c r="M960" s="17" t="str">
        <f>IF(LEN(COUNTIFS($H$1:H960,$H960,$I$1:I960,$I960,$J$1:J960,$J960,$K$1:K960,K960,$L$1:L960,L960))=1,"00"&amp;COUNTIFS($H$1:H960,$H960,$I$1:I960,$I960,$J$1:J960,$J960,$K$1:K960,K960,$L$1:L960,L960),IF(LEN(COUNTIFS($H$1:H960,$H960,$I$1:I960,$I960,$J$1:J960,$J960,$K$1:K960,K960,$L$1:L960,L960))=2,"0"&amp;COUNTIFS($H$1:H960,$H960,$I$1:I960,$I960,$J$1:J960,$J960,$K$1:K960,K960,$L$1:L960,L960),COUNTIFS($H$1:H960,$H960,$I$1:I960,$I960,$J$1:J960,$J960,$K$1:K960,K960,$L$1:L960,L960)))</f>
        <v>041</v>
      </c>
      <c r="N96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60" s="14" t="e">
        <f>+LEN(Table4[[#This Row],[New Item Code]])</f>
        <v>#N/A</v>
      </c>
      <c r="P960" s="15" t="s">
        <v>4747</v>
      </c>
      <c r="Q960" s="15" t="s">
        <v>4749</v>
      </c>
      <c r="R960" s="15"/>
      <c r="S960" s="15"/>
      <c r="T960" s="15" t="s">
        <v>4674</v>
      </c>
    </row>
    <row r="961" spans="1:20" x14ac:dyDescent="0.35">
      <c r="A961" s="3" t="s">
        <v>1924</v>
      </c>
      <c r="B961" s="3" t="s">
        <v>1925</v>
      </c>
      <c r="C961" s="3" t="s">
        <v>9</v>
      </c>
      <c r="D961" s="3">
        <v>57.2</v>
      </c>
      <c r="E961" s="3" t="s">
        <v>10</v>
      </c>
      <c r="F961" s="3">
        <v>1</v>
      </c>
      <c r="G961" s="21">
        <f>Table4[[#This Row],[Item Cost]]*Table4[[#This Row],[In Stock]]</f>
        <v>57.2</v>
      </c>
      <c r="H961" s="12" t="s">
        <v>4661</v>
      </c>
      <c r="I961" s="13" t="s">
        <v>4664</v>
      </c>
      <c r="J961" s="13" t="s">
        <v>4674</v>
      </c>
      <c r="K961" t="s">
        <v>4798</v>
      </c>
      <c r="L961" s="12" t="s">
        <v>4672</v>
      </c>
      <c r="M961" s="17" t="str">
        <f>IF(LEN(COUNTIFS($H$1:H961,$H961,$I$1:I961,$I961,$J$1:J961,$J961,$K$1:K961,K961,$L$1:L961,L961))=1,"00"&amp;COUNTIFS($H$1:H961,$H961,$I$1:I961,$I961,$J$1:J961,$J961,$K$1:K961,K961,$L$1:L961,L961),IF(LEN(COUNTIFS($H$1:H961,$H961,$I$1:I961,$I961,$J$1:J961,$J961,$K$1:K961,K961,$L$1:L961,L961))=2,"0"&amp;COUNTIFS($H$1:H961,$H961,$I$1:I961,$I961,$J$1:J961,$J961,$K$1:K961,K961,$L$1:L961,L961),COUNTIFS($H$1:H961,$H961,$I$1:I961,$I961,$J$1:J961,$J961,$K$1:K961,K961,$L$1:L961,L961)))</f>
        <v>003</v>
      </c>
      <c r="N96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61" s="14" t="e">
        <f>+LEN(Table4[[#This Row],[New Item Code]])</f>
        <v>#N/A</v>
      </c>
      <c r="P961" s="15" t="s">
        <v>4747</v>
      </c>
      <c r="Q961" s="15" t="s">
        <v>4749</v>
      </c>
      <c r="R961" s="15"/>
      <c r="S961" s="15"/>
      <c r="T961" s="15" t="s">
        <v>4674</v>
      </c>
    </row>
    <row r="962" spans="1:20" x14ac:dyDescent="0.35">
      <c r="A962" s="2" t="s">
        <v>1926</v>
      </c>
      <c r="B962" s="2" t="s">
        <v>1927</v>
      </c>
      <c r="C962" s="2" t="s">
        <v>9</v>
      </c>
      <c r="D962" s="2">
        <v>62.4</v>
      </c>
      <c r="E962" s="2" t="s">
        <v>10</v>
      </c>
      <c r="F962" s="2">
        <v>1</v>
      </c>
      <c r="G962" s="22">
        <f>Table4[[#This Row],[Item Cost]]*Table4[[#This Row],[In Stock]]</f>
        <v>62.4</v>
      </c>
      <c r="H962" s="12" t="s">
        <v>4661</v>
      </c>
      <c r="I962" s="13" t="s">
        <v>4664</v>
      </c>
      <c r="J962" s="13" t="s">
        <v>4674</v>
      </c>
      <c r="K962" s="13" t="s">
        <v>4672</v>
      </c>
      <c r="L962" s="12" t="s">
        <v>4672</v>
      </c>
      <c r="M962" s="17" t="str">
        <f>IF(LEN(COUNTIFS($H$1:H962,$H962,$I$1:I962,$I962,$J$1:J962,$J962,$K$1:K962,K962,$L$1:L962,L962))=1,"00"&amp;COUNTIFS($H$1:H962,$H962,$I$1:I962,$I962,$J$1:J962,$J962,$K$1:K962,K962,$L$1:L962,L962),IF(LEN(COUNTIFS($H$1:H962,$H962,$I$1:I962,$I962,$J$1:J962,$J962,$K$1:K962,K962,$L$1:L962,L962))=2,"0"&amp;COUNTIFS($H$1:H962,$H962,$I$1:I962,$I962,$J$1:J962,$J962,$K$1:K962,K962,$L$1:L962,L962),COUNTIFS($H$1:H962,$H962,$I$1:I962,$I962,$J$1:J962,$J962,$K$1:K962,K962,$L$1:L962,L962)))</f>
        <v>042</v>
      </c>
      <c r="N96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62" s="14" t="e">
        <f>+LEN(Table4[[#This Row],[New Item Code]])</f>
        <v>#N/A</v>
      </c>
      <c r="P962" s="15" t="s">
        <v>4747</v>
      </c>
      <c r="Q962" s="15" t="s">
        <v>4749</v>
      </c>
      <c r="R962" s="15"/>
      <c r="S962" s="15"/>
      <c r="T962" s="15" t="s">
        <v>4674</v>
      </c>
    </row>
    <row r="963" spans="1:20" x14ac:dyDescent="0.35">
      <c r="A963" s="3" t="s">
        <v>1928</v>
      </c>
      <c r="B963" s="3" t="s">
        <v>1929</v>
      </c>
      <c r="C963" s="3" t="s">
        <v>9</v>
      </c>
      <c r="D963" s="3">
        <v>10.4</v>
      </c>
      <c r="E963" s="3" t="s">
        <v>10</v>
      </c>
      <c r="F963" s="3">
        <v>1</v>
      </c>
      <c r="G963" s="21">
        <f>Table4[[#This Row],[Item Cost]]*Table4[[#This Row],[In Stock]]</f>
        <v>10.4</v>
      </c>
      <c r="H963" s="12" t="s">
        <v>4661</v>
      </c>
      <c r="I963" s="13" t="s">
        <v>4664</v>
      </c>
      <c r="J963" s="13" t="s">
        <v>4674</v>
      </c>
      <c r="K963" t="s">
        <v>4800</v>
      </c>
      <c r="L963" s="12" t="s">
        <v>4672</v>
      </c>
      <c r="M963" s="17" t="str">
        <f>IF(LEN(COUNTIFS($H$1:H963,$H963,$I$1:I963,$I963,$J$1:J963,$J963,$K$1:K963,K963,$L$1:L963,L963))=1,"00"&amp;COUNTIFS($H$1:H963,$H963,$I$1:I963,$I963,$J$1:J963,$J963,$K$1:K963,K963,$L$1:L963,L963),IF(LEN(COUNTIFS($H$1:H963,$H963,$I$1:I963,$I963,$J$1:J963,$J963,$K$1:K963,K963,$L$1:L963,L963))=2,"0"&amp;COUNTIFS($H$1:H963,$H963,$I$1:I963,$I963,$J$1:J963,$J963,$K$1:K963,K963,$L$1:L963,L963),COUNTIFS($H$1:H963,$H963,$I$1:I963,$I963,$J$1:J963,$J963,$K$1:K963,K963,$L$1:L963,L963)))</f>
        <v>001</v>
      </c>
      <c r="N96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63" s="14" t="e">
        <f>+LEN(Table4[[#This Row],[New Item Code]])</f>
        <v>#N/A</v>
      </c>
      <c r="P963" s="15" t="s">
        <v>4747</v>
      </c>
      <c r="Q963" s="15" t="s">
        <v>4749</v>
      </c>
      <c r="R963" s="15"/>
      <c r="S963" s="15"/>
      <c r="T963" s="15" t="s">
        <v>4674</v>
      </c>
    </row>
    <row r="964" spans="1:20" x14ac:dyDescent="0.35">
      <c r="A964" s="2" t="s">
        <v>1930</v>
      </c>
      <c r="B964" s="2" t="s">
        <v>1931</v>
      </c>
      <c r="C964" s="2" t="s">
        <v>9</v>
      </c>
      <c r="D964" s="2">
        <v>374.4</v>
      </c>
      <c r="E964" s="2" t="s">
        <v>10</v>
      </c>
      <c r="F964" s="2">
        <v>1</v>
      </c>
      <c r="G964" s="22">
        <f>Table4[[#This Row],[Item Cost]]*Table4[[#This Row],[In Stock]]</f>
        <v>374.4</v>
      </c>
      <c r="H964" s="12" t="s">
        <v>4661</v>
      </c>
      <c r="I964" s="13" t="s">
        <v>4664</v>
      </c>
      <c r="J964" s="13" t="s">
        <v>4674</v>
      </c>
      <c r="K964" s="13" t="s">
        <v>4672</v>
      </c>
      <c r="L964" s="12" t="s">
        <v>4672</v>
      </c>
      <c r="M964" s="17" t="str">
        <f>IF(LEN(COUNTIFS($H$1:H964,$H964,$I$1:I964,$I964,$J$1:J964,$J964,$K$1:K964,K964,$L$1:L964,L964))=1,"00"&amp;COUNTIFS($H$1:H964,$H964,$I$1:I964,$I964,$J$1:J964,$J964,$K$1:K964,K964,$L$1:L964,L964),IF(LEN(COUNTIFS($H$1:H964,$H964,$I$1:I964,$I964,$J$1:J964,$J964,$K$1:K964,K964,$L$1:L964,L964))=2,"0"&amp;COUNTIFS($H$1:H964,$H964,$I$1:I964,$I964,$J$1:J964,$J964,$K$1:K964,K964,$L$1:L964,L964),COUNTIFS($H$1:H964,$H964,$I$1:I964,$I964,$J$1:J964,$J964,$K$1:K964,K964,$L$1:L964,L964)))</f>
        <v>043</v>
      </c>
      <c r="N96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64" s="14" t="e">
        <f>+LEN(Table4[[#This Row],[New Item Code]])</f>
        <v>#N/A</v>
      </c>
      <c r="P964" s="15" t="s">
        <v>4747</v>
      </c>
      <c r="Q964" s="15" t="s">
        <v>4749</v>
      </c>
      <c r="R964" s="15"/>
      <c r="S964" s="15"/>
      <c r="T964" s="15" t="s">
        <v>4674</v>
      </c>
    </row>
    <row r="965" spans="1:20" x14ac:dyDescent="0.35">
      <c r="A965" s="3" t="s">
        <v>1932</v>
      </c>
      <c r="B965" s="3" t="s">
        <v>1933</v>
      </c>
      <c r="C965" s="3" t="s">
        <v>9</v>
      </c>
      <c r="D965" s="3">
        <v>260</v>
      </c>
      <c r="E965" s="3" t="s">
        <v>10</v>
      </c>
      <c r="F965" s="3">
        <v>1</v>
      </c>
      <c r="G965" s="21">
        <f>Table4[[#This Row],[Item Cost]]*Table4[[#This Row],[In Stock]]</f>
        <v>260</v>
      </c>
      <c r="H965" s="12" t="s">
        <v>4661</v>
      </c>
      <c r="I965" s="13" t="s">
        <v>4664</v>
      </c>
      <c r="J965" s="13" t="s">
        <v>4674</v>
      </c>
      <c r="K965" s="13" t="s">
        <v>4672</v>
      </c>
      <c r="L965" s="12" t="s">
        <v>4672</v>
      </c>
      <c r="M965" s="17" t="str">
        <f>IF(LEN(COUNTIFS($H$1:H965,$H965,$I$1:I965,$I965,$J$1:J965,$J965,$K$1:K965,K965,$L$1:L965,L965))=1,"00"&amp;COUNTIFS($H$1:H965,$H965,$I$1:I965,$I965,$J$1:J965,$J965,$K$1:K965,K965,$L$1:L965,L965),IF(LEN(COUNTIFS($H$1:H965,$H965,$I$1:I965,$I965,$J$1:J965,$J965,$K$1:K965,K965,$L$1:L965,L965))=2,"0"&amp;COUNTIFS($H$1:H965,$H965,$I$1:I965,$I965,$J$1:J965,$J965,$K$1:K965,K965,$L$1:L965,L965),COUNTIFS($H$1:H965,$H965,$I$1:I965,$I965,$J$1:J965,$J965,$K$1:K965,K965,$L$1:L965,L965)))</f>
        <v>044</v>
      </c>
      <c r="N96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65" s="14" t="e">
        <f>+LEN(Table4[[#This Row],[New Item Code]])</f>
        <v>#N/A</v>
      </c>
      <c r="P965" s="15" t="s">
        <v>4747</v>
      </c>
      <c r="Q965" s="15" t="s">
        <v>4749</v>
      </c>
      <c r="R965" s="15"/>
      <c r="S965" s="15"/>
      <c r="T965" s="15" t="s">
        <v>4674</v>
      </c>
    </row>
    <row r="966" spans="1:20" x14ac:dyDescent="0.35">
      <c r="A966" s="2" t="s">
        <v>1934</v>
      </c>
      <c r="B966" s="2" t="s">
        <v>1935</v>
      </c>
      <c r="C966" s="2" t="s">
        <v>9</v>
      </c>
      <c r="D966" s="2">
        <v>5.2</v>
      </c>
      <c r="E966" s="2" t="s">
        <v>10</v>
      </c>
      <c r="F966" s="2">
        <v>1</v>
      </c>
      <c r="G966" s="22">
        <f>Table4[[#This Row],[Item Cost]]*Table4[[#This Row],[In Stock]]</f>
        <v>5.2</v>
      </c>
      <c r="H966" s="12" t="s">
        <v>4661</v>
      </c>
      <c r="I966" s="13" t="s">
        <v>4664</v>
      </c>
      <c r="J966" s="13" t="s">
        <v>4674</v>
      </c>
      <c r="K966" s="13" t="s">
        <v>4672</v>
      </c>
      <c r="L966" s="12" t="s">
        <v>4672</v>
      </c>
      <c r="M966" s="17" t="str">
        <f>IF(LEN(COUNTIFS($H$1:H966,$H966,$I$1:I966,$I966,$J$1:J966,$J966,$K$1:K966,K966,$L$1:L966,L966))=1,"00"&amp;COUNTIFS($H$1:H966,$H966,$I$1:I966,$I966,$J$1:J966,$J966,$K$1:K966,K966,$L$1:L966,L966),IF(LEN(COUNTIFS($H$1:H966,$H966,$I$1:I966,$I966,$J$1:J966,$J966,$K$1:K966,K966,$L$1:L966,L966))=2,"0"&amp;COUNTIFS($H$1:H966,$H966,$I$1:I966,$I966,$J$1:J966,$J966,$K$1:K966,K966,$L$1:L966,L966),COUNTIFS($H$1:H966,$H966,$I$1:I966,$I966,$J$1:J966,$J966,$K$1:K966,K966,$L$1:L966,L966)))</f>
        <v>045</v>
      </c>
      <c r="N96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66" s="14" t="e">
        <f>+LEN(Table4[[#This Row],[New Item Code]])</f>
        <v>#N/A</v>
      </c>
      <c r="P966" s="15" t="s">
        <v>4747</v>
      </c>
      <c r="Q966" s="15" t="s">
        <v>4749</v>
      </c>
      <c r="R966" s="15"/>
      <c r="S966" s="15"/>
      <c r="T966" s="15" t="s">
        <v>4674</v>
      </c>
    </row>
    <row r="967" spans="1:20" x14ac:dyDescent="0.35">
      <c r="A967" s="3" t="s">
        <v>1936</v>
      </c>
      <c r="B967" s="3" t="s">
        <v>1937</v>
      </c>
      <c r="C967" s="3" t="s">
        <v>9</v>
      </c>
      <c r="D967" s="3">
        <v>5.2</v>
      </c>
      <c r="E967" s="3" t="s">
        <v>10</v>
      </c>
      <c r="F967" s="3">
        <v>1</v>
      </c>
      <c r="G967" s="21">
        <f>Table4[[#This Row],[Item Cost]]*Table4[[#This Row],[In Stock]]</f>
        <v>5.2</v>
      </c>
      <c r="H967" s="12" t="s">
        <v>4661</v>
      </c>
      <c r="I967" s="13" t="s">
        <v>4664</v>
      </c>
      <c r="J967" s="13" t="s">
        <v>4674</v>
      </c>
      <c r="K967" s="13" t="s">
        <v>4672</v>
      </c>
      <c r="L967" s="12" t="s">
        <v>4672</v>
      </c>
      <c r="M967" s="17" t="str">
        <f>IF(LEN(COUNTIFS($H$1:H967,$H967,$I$1:I967,$I967,$J$1:J967,$J967,$K$1:K967,K967,$L$1:L967,L967))=1,"00"&amp;COUNTIFS($H$1:H967,$H967,$I$1:I967,$I967,$J$1:J967,$J967,$K$1:K967,K967,$L$1:L967,L967),IF(LEN(COUNTIFS($H$1:H967,$H967,$I$1:I967,$I967,$J$1:J967,$J967,$K$1:K967,K967,$L$1:L967,L967))=2,"0"&amp;COUNTIFS($H$1:H967,$H967,$I$1:I967,$I967,$J$1:J967,$J967,$K$1:K967,K967,$L$1:L967,L967),COUNTIFS($H$1:H967,$H967,$I$1:I967,$I967,$J$1:J967,$J967,$K$1:K967,K967,$L$1:L967,L967)))</f>
        <v>046</v>
      </c>
      <c r="N96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67" s="14" t="e">
        <f>+LEN(Table4[[#This Row],[New Item Code]])</f>
        <v>#N/A</v>
      </c>
      <c r="P967" s="15" t="s">
        <v>4747</v>
      </c>
      <c r="Q967" s="15" t="s">
        <v>4749</v>
      </c>
      <c r="R967" s="15"/>
      <c r="S967" s="15"/>
      <c r="T967" s="15" t="s">
        <v>4674</v>
      </c>
    </row>
    <row r="968" spans="1:20" x14ac:dyDescent="0.35">
      <c r="A968" s="2" t="s">
        <v>1938</v>
      </c>
      <c r="B968" s="2" t="s">
        <v>1939</v>
      </c>
      <c r="C968" s="2" t="s">
        <v>9</v>
      </c>
      <c r="D968" s="2">
        <v>499.2</v>
      </c>
      <c r="E968" s="2" t="s">
        <v>10</v>
      </c>
      <c r="F968" s="2">
        <v>1</v>
      </c>
      <c r="G968" s="22">
        <f>Table4[[#This Row],[Item Cost]]*Table4[[#This Row],[In Stock]]</f>
        <v>499.2</v>
      </c>
      <c r="H968" s="12" t="s">
        <v>4661</v>
      </c>
      <c r="I968" s="13" t="s">
        <v>4664</v>
      </c>
      <c r="J968" s="13" t="s">
        <v>4674</v>
      </c>
      <c r="K968" s="13" t="s">
        <v>4672</v>
      </c>
      <c r="L968" s="12" t="s">
        <v>4672</v>
      </c>
      <c r="M968" s="17" t="str">
        <f>IF(LEN(COUNTIFS($H$1:H968,$H968,$I$1:I968,$I968,$J$1:J968,$J968,$K$1:K968,K968,$L$1:L968,L968))=1,"00"&amp;COUNTIFS($H$1:H968,$H968,$I$1:I968,$I968,$J$1:J968,$J968,$K$1:K968,K968,$L$1:L968,L968),IF(LEN(COUNTIFS($H$1:H968,$H968,$I$1:I968,$I968,$J$1:J968,$J968,$K$1:K968,K968,$L$1:L968,L968))=2,"0"&amp;COUNTIFS($H$1:H968,$H968,$I$1:I968,$I968,$J$1:J968,$J968,$K$1:K968,K968,$L$1:L968,L968),COUNTIFS($H$1:H968,$H968,$I$1:I968,$I968,$J$1:J968,$J968,$K$1:K968,K968,$L$1:L968,L968)))</f>
        <v>047</v>
      </c>
      <c r="N96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68" s="14" t="e">
        <f>+LEN(Table4[[#This Row],[New Item Code]])</f>
        <v>#N/A</v>
      </c>
      <c r="P968" s="15" t="s">
        <v>4747</v>
      </c>
      <c r="Q968" s="15" t="s">
        <v>4749</v>
      </c>
      <c r="R968" s="15"/>
      <c r="S968" s="15"/>
      <c r="T968" s="15" t="s">
        <v>4674</v>
      </c>
    </row>
    <row r="969" spans="1:20" x14ac:dyDescent="0.35">
      <c r="A969" s="3" t="s">
        <v>1940</v>
      </c>
      <c r="B969" s="3" t="s">
        <v>1941</v>
      </c>
      <c r="C969" s="3" t="s">
        <v>9</v>
      </c>
      <c r="D969" s="3">
        <v>20.8</v>
      </c>
      <c r="E969" s="3" t="s">
        <v>10</v>
      </c>
      <c r="F969" s="3">
        <v>1</v>
      </c>
      <c r="G969" s="21">
        <f>Table4[[#This Row],[Item Cost]]*Table4[[#This Row],[In Stock]]</f>
        <v>20.8</v>
      </c>
      <c r="H969" s="12" t="s">
        <v>4661</v>
      </c>
      <c r="I969" s="13" t="s">
        <v>4664</v>
      </c>
      <c r="J969" s="13" t="s">
        <v>4674</v>
      </c>
      <c r="K969" s="13" t="s">
        <v>4672</v>
      </c>
      <c r="L969" s="12" t="s">
        <v>4672</v>
      </c>
      <c r="M969" s="17" t="str">
        <f>IF(LEN(COUNTIFS($H$1:H969,$H969,$I$1:I969,$I969,$J$1:J969,$J969,$K$1:K969,K969,$L$1:L969,L969))=1,"00"&amp;COUNTIFS($H$1:H969,$H969,$I$1:I969,$I969,$J$1:J969,$J969,$K$1:K969,K969,$L$1:L969,L969),IF(LEN(COUNTIFS($H$1:H969,$H969,$I$1:I969,$I969,$J$1:J969,$J969,$K$1:K969,K969,$L$1:L969,L969))=2,"0"&amp;COUNTIFS($H$1:H969,$H969,$I$1:I969,$I969,$J$1:J969,$J969,$K$1:K969,K969,$L$1:L969,L969),COUNTIFS($H$1:H969,$H969,$I$1:I969,$I969,$J$1:J969,$J969,$K$1:K969,K969,$L$1:L969,L969)))</f>
        <v>048</v>
      </c>
      <c r="N96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69" s="14" t="e">
        <f>+LEN(Table4[[#This Row],[New Item Code]])</f>
        <v>#N/A</v>
      </c>
      <c r="P969" s="15" t="s">
        <v>4747</v>
      </c>
      <c r="Q969" s="15" t="s">
        <v>4749</v>
      </c>
      <c r="R969" s="15"/>
      <c r="S969" s="15"/>
      <c r="T969" s="15" t="s">
        <v>4674</v>
      </c>
    </row>
    <row r="970" spans="1:20" x14ac:dyDescent="0.35">
      <c r="A970" s="2" t="s">
        <v>1942</v>
      </c>
      <c r="B970" s="2" t="s">
        <v>1943</v>
      </c>
      <c r="C970" s="2" t="s">
        <v>9</v>
      </c>
      <c r="D970" s="2">
        <v>197.6</v>
      </c>
      <c r="E970" s="2" t="s">
        <v>10</v>
      </c>
      <c r="F970" s="2">
        <v>1</v>
      </c>
      <c r="G970" s="22">
        <f>Table4[[#This Row],[Item Cost]]*Table4[[#This Row],[In Stock]]</f>
        <v>197.6</v>
      </c>
      <c r="H970" s="12" t="s">
        <v>4661</v>
      </c>
      <c r="I970" s="13" t="s">
        <v>4664</v>
      </c>
      <c r="J970" s="13" t="s">
        <v>4674</v>
      </c>
      <c r="K970" s="13" t="s">
        <v>4672</v>
      </c>
      <c r="L970" s="12" t="s">
        <v>4672</v>
      </c>
      <c r="M970" s="17" t="str">
        <f>IF(LEN(COUNTIFS($H$1:H970,$H970,$I$1:I970,$I970,$J$1:J970,$J970,$K$1:K970,K970,$L$1:L970,L970))=1,"00"&amp;COUNTIFS($H$1:H970,$H970,$I$1:I970,$I970,$J$1:J970,$J970,$K$1:K970,K970,$L$1:L970,L970),IF(LEN(COUNTIFS($H$1:H970,$H970,$I$1:I970,$I970,$J$1:J970,$J970,$K$1:K970,K970,$L$1:L970,L970))=2,"0"&amp;COUNTIFS($H$1:H970,$H970,$I$1:I970,$I970,$J$1:J970,$J970,$K$1:K970,K970,$L$1:L970,L970),COUNTIFS($H$1:H970,$H970,$I$1:I970,$I970,$J$1:J970,$J970,$K$1:K970,K970,$L$1:L970,L970)))</f>
        <v>049</v>
      </c>
      <c r="N97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70" s="14" t="e">
        <f>+LEN(Table4[[#This Row],[New Item Code]])</f>
        <v>#N/A</v>
      </c>
      <c r="P970" s="15" t="s">
        <v>4747</v>
      </c>
      <c r="Q970" s="15" t="s">
        <v>4749</v>
      </c>
      <c r="R970" s="15"/>
      <c r="S970" s="15"/>
      <c r="T970" s="15" t="s">
        <v>4674</v>
      </c>
    </row>
    <row r="971" spans="1:20" x14ac:dyDescent="0.35">
      <c r="A971" s="3" t="s">
        <v>1944</v>
      </c>
      <c r="B971" s="3" t="s">
        <v>1945</v>
      </c>
      <c r="C971" s="3" t="s">
        <v>9</v>
      </c>
      <c r="D971" s="3">
        <v>31.2</v>
      </c>
      <c r="E971" s="3" t="s">
        <v>10</v>
      </c>
      <c r="F971" s="3">
        <v>1</v>
      </c>
      <c r="G971" s="21">
        <f>Table4[[#This Row],[Item Cost]]*Table4[[#This Row],[In Stock]]</f>
        <v>31.2</v>
      </c>
      <c r="H971" s="12" t="s">
        <v>4661</v>
      </c>
      <c r="I971" s="13" t="s">
        <v>4664</v>
      </c>
      <c r="J971" s="13" t="s">
        <v>4674</v>
      </c>
      <c r="K971" s="13" t="s">
        <v>4672</v>
      </c>
      <c r="L971" s="12" t="s">
        <v>4672</v>
      </c>
      <c r="M971" s="17" t="str">
        <f>IF(LEN(COUNTIFS($H$1:H971,$H971,$I$1:I971,$I971,$J$1:J971,$J971,$K$1:K971,K971,$L$1:L971,L971))=1,"00"&amp;COUNTIFS($H$1:H971,$H971,$I$1:I971,$I971,$J$1:J971,$J971,$K$1:K971,K971,$L$1:L971,L971),IF(LEN(COUNTIFS($H$1:H971,$H971,$I$1:I971,$I971,$J$1:J971,$J971,$K$1:K971,K971,$L$1:L971,L971))=2,"0"&amp;COUNTIFS($H$1:H971,$H971,$I$1:I971,$I971,$J$1:J971,$J971,$K$1:K971,K971,$L$1:L971,L971),COUNTIFS($H$1:H971,$H971,$I$1:I971,$I971,$J$1:J971,$J971,$K$1:K971,K971,$L$1:L971,L971)))</f>
        <v>050</v>
      </c>
      <c r="N97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71" s="14" t="e">
        <f>+LEN(Table4[[#This Row],[New Item Code]])</f>
        <v>#N/A</v>
      </c>
      <c r="P971" s="15" t="s">
        <v>4747</v>
      </c>
      <c r="Q971" s="15" t="s">
        <v>4749</v>
      </c>
      <c r="R971" s="15"/>
      <c r="S971" s="15"/>
      <c r="T971" s="15" t="s">
        <v>4674</v>
      </c>
    </row>
    <row r="972" spans="1:20" x14ac:dyDescent="0.35">
      <c r="A972" s="2" t="s">
        <v>1946</v>
      </c>
      <c r="B972" s="2" t="s">
        <v>1947</v>
      </c>
      <c r="C972" s="2" t="s">
        <v>9</v>
      </c>
      <c r="D972" s="2">
        <v>20.8</v>
      </c>
      <c r="E972" s="2" t="s">
        <v>10</v>
      </c>
      <c r="F972" s="2">
        <v>2</v>
      </c>
      <c r="G972" s="22">
        <f>Table4[[#This Row],[Item Cost]]*Table4[[#This Row],[In Stock]]</f>
        <v>41.6</v>
      </c>
      <c r="H972" s="12" t="s">
        <v>4661</v>
      </c>
      <c r="I972" s="13" t="s">
        <v>4664</v>
      </c>
      <c r="J972" s="13" t="s">
        <v>4674</v>
      </c>
      <c r="K972" s="13" t="s">
        <v>4672</v>
      </c>
      <c r="L972" s="12" t="s">
        <v>4672</v>
      </c>
      <c r="M972" s="17" t="str">
        <f>IF(LEN(COUNTIFS($H$1:H972,$H972,$I$1:I972,$I972,$J$1:J972,$J972,$K$1:K972,K972,$L$1:L972,L972))=1,"00"&amp;COUNTIFS($H$1:H972,$H972,$I$1:I972,$I972,$J$1:J972,$J972,$K$1:K972,K972,$L$1:L972,L972),IF(LEN(COUNTIFS($H$1:H972,$H972,$I$1:I972,$I972,$J$1:J972,$J972,$K$1:K972,K972,$L$1:L972,L972))=2,"0"&amp;COUNTIFS($H$1:H972,$H972,$I$1:I972,$I972,$J$1:J972,$J972,$K$1:K972,K972,$L$1:L972,L972),COUNTIFS($H$1:H972,$H972,$I$1:I972,$I972,$J$1:J972,$J972,$K$1:K972,K972,$L$1:L972,L972)))</f>
        <v>051</v>
      </c>
      <c r="N97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72" s="14" t="e">
        <f>+LEN(Table4[[#This Row],[New Item Code]])</f>
        <v>#N/A</v>
      </c>
      <c r="P972" s="15" t="s">
        <v>4747</v>
      </c>
      <c r="Q972" s="15" t="s">
        <v>4749</v>
      </c>
      <c r="R972" s="15"/>
      <c r="S972" s="15"/>
      <c r="T972" s="15" t="s">
        <v>4674</v>
      </c>
    </row>
    <row r="973" spans="1:20" x14ac:dyDescent="0.35">
      <c r="A973" s="3" t="s">
        <v>1948</v>
      </c>
      <c r="B973" s="3" t="s">
        <v>1949</v>
      </c>
      <c r="C973" s="3" t="s">
        <v>9</v>
      </c>
      <c r="D973" s="3">
        <v>50.627000000000002</v>
      </c>
      <c r="E973" s="3" t="s">
        <v>10</v>
      </c>
      <c r="F973" s="3">
        <v>14</v>
      </c>
      <c r="G973" s="21">
        <f>Table4[[#This Row],[Item Cost]]*Table4[[#This Row],[In Stock]]</f>
        <v>708.77800000000002</v>
      </c>
      <c r="H973" s="12" t="s">
        <v>4661</v>
      </c>
      <c r="I973" s="13" t="s">
        <v>4664</v>
      </c>
      <c r="J973" s="13" t="s">
        <v>4674</v>
      </c>
      <c r="K973" s="13" t="s">
        <v>4672</v>
      </c>
      <c r="L973" s="12" t="s">
        <v>4672</v>
      </c>
      <c r="M973" s="17" t="str">
        <f>IF(LEN(COUNTIFS($H$1:H973,$H973,$I$1:I973,$I973,$J$1:J973,$J973,$K$1:K973,K973,$L$1:L973,L973))=1,"00"&amp;COUNTIFS($H$1:H973,$H973,$I$1:I973,$I973,$J$1:J973,$J973,$K$1:K973,K973,$L$1:L973,L973),IF(LEN(COUNTIFS($H$1:H973,$H973,$I$1:I973,$I973,$J$1:J973,$J973,$K$1:K973,K973,$L$1:L973,L973))=2,"0"&amp;COUNTIFS($H$1:H973,$H973,$I$1:I973,$I973,$J$1:J973,$J973,$K$1:K973,K973,$L$1:L973,L973),COUNTIFS($H$1:H973,$H973,$I$1:I973,$I973,$J$1:J973,$J973,$K$1:K973,K973,$L$1:L973,L973)))</f>
        <v>052</v>
      </c>
      <c r="N97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73" s="14" t="e">
        <f>+LEN(Table4[[#This Row],[New Item Code]])</f>
        <v>#N/A</v>
      </c>
      <c r="P973" s="15" t="s">
        <v>4747</v>
      </c>
      <c r="Q973" s="15" t="s">
        <v>4749</v>
      </c>
      <c r="R973" s="15"/>
      <c r="S973" s="15"/>
      <c r="T973" s="15" t="s">
        <v>4674</v>
      </c>
    </row>
    <row r="974" spans="1:20" x14ac:dyDescent="0.35">
      <c r="A974" s="2" t="s">
        <v>1950</v>
      </c>
      <c r="B974" s="2" t="s">
        <v>1951</v>
      </c>
      <c r="C974" s="2" t="s">
        <v>9</v>
      </c>
      <c r="D974" s="4">
        <v>7310.75</v>
      </c>
      <c r="E974" s="2" t="s">
        <v>10</v>
      </c>
      <c r="F974" s="2">
        <v>1</v>
      </c>
      <c r="G974" s="22">
        <f>Table4[[#This Row],[Item Cost]]*Table4[[#This Row],[In Stock]]</f>
        <v>7310.75</v>
      </c>
      <c r="H974" s="12" t="s">
        <v>4661</v>
      </c>
      <c r="I974" s="13" t="s">
        <v>4664</v>
      </c>
      <c r="J974" s="13" t="s">
        <v>4674</v>
      </c>
      <c r="K974" s="13" t="s">
        <v>4672</v>
      </c>
      <c r="L974" s="12" t="s">
        <v>4672</v>
      </c>
      <c r="M974" s="17" t="str">
        <f>IF(LEN(COUNTIFS($H$1:H974,$H974,$I$1:I974,$I974,$J$1:J974,$J974,$K$1:K974,K974,$L$1:L974,L974))=1,"00"&amp;COUNTIFS($H$1:H974,$H974,$I$1:I974,$I974,$J$1:J974,$J974,$K$1:K974,K974,$L$1:L974,L974),IF(LEN(COUNTIFS($H$1:H974,$H974,$I$1:I974,$I974,$J$1:J974,$J974,$K$1:K974,K974,$L$1:L974,L974))=2,"0"&amp;COUNTIFS($H$1:H974,$H974,$I$1:I974,$I974,$J$1:J974,$J974,$K$1:K974,K974,$L$1:L974,L974),COUNTIFS($H$1:H974,$H974,$I$1:I974,$I974,$J$1:J974,$J974,$K$1:K974,K974,$L$1:L974,L974)))</f>
        <v>053</v>
      </c>
      <c r="N97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74" s="14" t="e">
        <f>+LEN(Table4[[#This Row],[New Item Code]])</f>
        <v>#N/A</v>
      </c>
      <c r="P974" s="15" t="s">
        <v>4747</v>
      </c>
      <c r="Q974" s="15" t="s">
        <v>4749</v>
      </c>
      <c r="R974" s="15"/>
      <c r="S974" s="15"/>
      <c r="T974" s="15" t="s">
        <v>4674</v>
      </c>
    </row>
    <row r="975" spans="1:20" x14ac:dyDescent="0.35">
      <c r="A975" s="3" t="s">
        <v>1952</v>
      </c>
      <c r="B975" s="3" t="s">
        <v>1953</v>
      </c>
      <c r="C975" s="3" t="s">
        <v>9</v>
      </c>
      <c r="D975" s="5">
        <v>3266.5050000000001</v>
      </c>
      <c r="E975" s="3" t="s">
        <v>10</v>
      </c>
      <c r="F975" s="3">
        <v>2</v>
      </c>
      <c r="G975" s="21">
        <f>Table4[[#This Row],[Item Cost]]*Table4[[#This Row],[In Stock]]</f>
        <v>6533.01</v>
      </c>
      <c r="H975" s="12" t="s">
        <v>4661</v>
      </c>
      <c r="I975" s="13" t="s">
        <v>4664</v>
      </c>
      <c r="J975" s="13" t="s">
        <v>4674</v>
      </c>
      <c r="K975" s="13" t="s">
        <v>4672</v>
      </c>
      <c r="L975" s="12" t="s">
        <v>4672</v>
      </c>
      <c r="M975" s="17" t="str">
        <f>IF(LEN(COUNTIFS($H$1:H975,$H975,$I$1:I975,$I975,$J$1:J975,$J975,$K$1:K975,K975,$L$1:L975,L975))=1,"00"&amp;COUNTIFS($H$1:H975,$H975,$I$1:I975,$I975,$J$1:J975,$J975,$K$1:K975,K975,$L$1:L975,L975),IF(LEN(COUNTIFS($H$1:H975,$H975,$I$1:I975,$I975,$J$1:J975,$J975,$K$1:K975,K975,$L$1:L975,L975))=2,"0"&amp;COUNTIFS($H$1:H975,$H975,$I$1:I975,$I975,$J$1:J975,$J975,$K$1:K975,K975,$L$1:L975,L975),COUNTIFS($H$1:H975,$H975,$I$1:I975,$I975,$J$1:J975,$J975,$K$1:K975,K975,$L$1:L975,L975)))</f>
        <v>054</v>
      </c>
      <c r="N97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75" s="14" t="e">
        <f>+LEN(Table4[[#This Row],[New Item Code]])</f>
        <v>#N/A</v>
      </c>
      <c r="P975" s="15" t="s">
        <v>4747</v>
      </c>
      <c r="Q975" s="15" t="s">
        <v>4749</v>
      </c>
      <c r="R975" s="15"/>
      <c r="S975" s="15"/>
      <c r="T975" s="15" t="s">
        <v>4674</v>
      </c>
    </row>
    <row r="976" spans="1:20" x14ac:dyDescent="0.35">
      <c r="A976" s="2" t="s">
        <v>1954</v>
      </c>
      <c r="B976" s="2" t="s">
        <v>1955</v>
      </c>
      <c r="C976" s="2" t="s">
        <v>9</v>
      </c>
      <c r="D976" s="2">
        <v>373.31400000000002</v>
      </c>
      <c r="E976" s="2" t="s">
        <v>10</v>
      </c>
      <c r="F976" s="2">
        <v>9</v>
      </c>
      <c r="G976" s="22">
        <f>Table4[[#This Row],[Item Cost]]*Table4[[#This Row],[In Stock]]</f>
        <v>3359.826</v>
      </c>
      <c r="H976" s="12" t="s">
        <v>4661</v>
      </c>
      <c r="I976" s="13" t="s">
        <v>4664</v>
      </c>
      <c r="J976" s="13" t="s">
        <v>4674</v>
      </c>
      <c r="K976" s="13" t="s">
        <v>4672</v>
      </c>
      <c r="L976" s="12" t="s">
        <v>4672</v>
      </c>
      <c r="M976" s="17" t="str">
        <f>IF(LEN(COUNTIFS($H$1:H976,$H976,$I$1:I976,$I976,$J$1:J976,$J976,$K$1:K976,K976,$L$1:L976,L976))=1,"00"&amp;COUNTIFS($H$1:H976,$H976,$I$1:I976,$I976,$J$1:J976,$J976,$K$1:K976,K976,$L$1:L976,L976),IF(LEN(COUNTIFS($H$1:H976,$H976,$I$1:I976,$I976,$J$1:J976,$J976,$K$1:K976,K976,$L$1:L976,L976))=2,"0"&amp;COUNTIFS($H$1:H976,$H976,$I$1:I976,$I976,$J$1:J976,$J976,$K$1:K976,K976,$L$1:L976,L976),COUNTIFS($H$1:H976,$H976,$I$1:I976,$I976,$J$1:J976,$J976,$K$1:K976,K976,$L$1:L976,L976)))</f>
        <v>055</v>
      </c>
      <c r="N97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76" s="14" t="e">
        <f>+LEN(Table4[[#This Row],[New Item Code]])</f>
        <v>#N/A</v>
      </c>
      <c r="P976" s="15" t="s">
        <v>4747</v>
      </c>
      <c r="Q976" s="15" t="s">
        <v>4749</v>
      </c>
      <c r="R976" s="15"/>
      <c r="S976" s="15"/>
      <c r="T976" s="15" t="s">
        <v>4674</v>
      </c>
    </row>
    <row r="977" spans="1:20" x14ac:dyDescent="0.35">
      <c r="A977" s="3" t="s">
        <v>1956</v>
      </c>
      <c r="B977" s="3" t="s">
        <v>1957</v>
      </c>
      <c r="C977" s="3" t="s">
        <v>9</v>
      </c>
      <c r="D977" s="3">
        <v>128.327</v>
      </c>
      <c r="E977" s="3" t="s">
        <v>10</v>
      </c>
      <c r="F977" s="3">
        <v>9</v>
      </c>
      <c r="G977" s="21">
        <f>Table4[[#This Row],[Item Cost]]*Table4[[#This Row],[In Stock]]</f>
        <v>1154.943</v>
      </c>
      <c r="H977" s="12" t="s">
        <v>4661</v>
      </c>
      <c r="I977" s="13" t="s">
        <v>4664</v>
      </c>
      <c r="J977" s="13" t="s">
        <v>4674</v>
      </c>
      <c r="K977" s="13" t="s">
        <v>4672</v>
      </c>
      <c r="L977" s="12" t="s">
        <v>4672</v>
      </c>
      <c r="M977" s="17" t="str">
        <f>IF(LEN(COUNTIFS($H$1:H977,$H977,$I$1:I977,$I977,$J$1:J977,$J977,$K$1:K977,K977,$L$1:L977,L977))=1,"00"&amp;COUNTIFS($H$1:H977,$H977,$I$1:I977,$I977,$J$1:J977,$J977,$K$1:K977,K977,$L$1:L977,L977),IF(LEN(COUNTIFS($H$1:H977,$H977,$I$1:I977,$I977,$J$1:J977,$J977,$K$1:K977,K977,$L$1:L977,L977))=2,"0"&amp;COUNTIFS($H$1:H977,$H977,$I$1:I977,$I977,$J$1:J977,$J977,$K$1:K977,K977,$L$1:L977,L977),COUNTIFS($H$1:H977,$H977,$I$1:I977,$I977,$J$1:J977,$J977,$K$1:K977,K977,$L$1:L977,L977)))</f>
        <v>056</v>
      </c>
      <c r="N97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77" s="14" t="e">
        <f>+LEN(Table4[[#This Row],[New Item Code]])</f>
        <v>#N/A</v>
      </c>
      <c r="P977" s="15" t="s">
        <v>4747</v>
      </c>
      <c r="Q977" s="15" t="s">
        <v>4749</v>
      </c>
      <c r="R977" s="15"/>
      <c r="S977" s="15"/>
      <c r="T977" s="15" t="s">
        <v>4674</v>
      </c>
    </row>
    <row r="978" spans="1:20" x14ac:dyDescent="0.35">
      <c r="A978" s="2" t="s">
        <v>1958</v>
      </c>
      <c r="B978" s="2" t="s">
        <v>1959</v>
      </c>
      <c r="C978" s="2" t="s">
        <v>9</v>
      </c>
      <c r="D978" s="4">
        <v>5500</v>
      </c>
      <c r="E978" s="2" t="s">
        <v>10</v>
      </c>
      <c r="F978" s="2">
        <v>1</v>
      </c>
      <c r="G978" s="22">
        <f>Table4[[#This Row],[Item Cost]]*Table4[[#This Row],[In Stock]]</f>
        <v>5500</v>
      </c>
      <c r="H978" s="12" t="s">
        <v>4661</v>
      </c>
      <c r="I978" s="13" t="s">
        <v>4664</v>
      </c>
      <c r="J978" s="13" t="s">
        <v>4674</v>
      </c>
      <c r="K978" s="13" t="s">
        <v>4672</v>
      </c>
      <c r="L978" s="12" t="s">
        <v>4672</v>
      </c>
      <c r="M978" s="17" t="str">
        <f>IF(LEN(COUNTIFS($H$1:H978,$H978,$I$1:I978,$I978,$J$1:J978,$J978,$K$1:K978,K978,$L$1:L978,L978))=1,"00"&amp;COUNTIFS($H$1:H978,$H978,$I$1:I978,$I978,$J$1:J978,$J978,$K$1:K978,K978,$L$1:L978,L978),IF(LEN(COUNTIFS($H$1:H978,$H978,$I$1:I978,$I978,$J$1:J978,$J978,$K$1:K978,K978,$L$1:L978,L978))=2,"0"&amp;COUNTIFS($H$1:H978,$H978,$I$1:I978,$I978,$J$1:J978,$J978,$K$1:K978,K978,$L$1:L978,L978),COUNTIFS($H$1:H978,$H978,$I$1:I978,$I978,$J$1:J978,$J978,$K$1:K978,K978,$L$1:L978,L978)))</f>
        <v>057</v>
      </c>
      <c r="N97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78" s="14" t="e">
        <f>+LEN(Table4[[#This Row],[New Item Code]])</f>
        <v>#N/A</v>
      </c>
      <c r="P978" s="15" t="s">
        <v>4747</v>
      </c>
      <c r="Q978" s="15" t="s">
        <v>4749</v>
      </c>
      <c r="R978" s="15"/>
      <c r="S978" s="15"/>
      <c r="T978" s="15" t="s">
        <v>4674</v>
      </c>
    </row>
    <row r="979" spans="1:20" x14ac:dyDescent="0.35">
      <c r="A979" s="3" t="s">
        <v>1960</v>
      </c>
      <c r="B979" s="3" t="s">
        <v>1961</v>
      </c>
      <c r="C979" s="3" t="s">
        <v>9</v>
      </c>
      <c r="D979" s="5">
        <v>2500</v>
      </c>
      <c r="E979" s="3" t="s">
        <v>10</v>
      </c>
      <c r="F979" s="3">
        <v>0</v>
      </c>
      <c r="G979" s="21">
        <f>Table4[[#This Row],[Item Cost]]*Table4[[#This Row],[In Stock]]</f>
        <v>0</v>
      </c>
      <c r="H979" s="12" t="s">
        <v>4661</v>
      </c>
      <c r="I979" s="13" t="s">
        <v>4664</v>
      </c>
      <c r="J979" s="13" t="s">
        <v>4674</v>
      </c>
      <c r="K979" s="13" t="s">
        <v>4672</v>
      </c>
      <c r="L979" s="12" t="s">
        <v>4672</v>
      </c>
      <c r="M979" s="17" t="str">
        <f>IF(LEN(COUNTIFS($H$1:H979,$H979,$I$1:I979,$I979,$J$1:J979,$J979,$K$1:K979,K979,$L$1:L979,L979))=1,"00"&amp;COUNTIFS($H$1:H979,$H979,$I$1:I979,$I979,$J$1:J979,$J979,$K$1:K979,K979,$L$1:L979,L979),IF(LEN(COUNTIFS($H$1:H979,$H979,$I$1:I979,$I979,$J$1:J979,$J979,$K$1:K979,K979,$L$1:L979,L979))=2,"0"&amp;COUNTIFS($H$1:H979,$H979,$I$1:I979,$I979,$J$1:J979,$J979,$K$1:K979,K979,$L$1:L979,L979),COUNTIFS($H$1:H979,$H979,$I$1:I979,$I979,$J$1:J979,$J979,$K$1:K979,K979,$L$1:L979,L979)))</f>
        <v>058</v>
      </c>
      <c r="N97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79" s="14" t="e">
        <f>+LEN(Table4[[#This Row],[New Item Code]])</f>
        <v>#N/A</v>
      </c>
      <c r="P979" s="15" t="s">
        <v>4747</v>
      </c>
      <c r="Q979" s="15" t="s">
        <v>4749</v>
      </c>
      <c r="R979" s="15"/>
      <c r="S979" s="15"/>
      <c r="T979" s="15" t="s">
        <v>4674</v>
      </c>
    </row>
    <row r="980" spans="1:20" x14ac:dyDescent="0.35">
      <c r="A980" s="2" t="s">
        <v>1962</v>
      </c>
      <c r="B980" s="2" t="s">
        <v>1963</v>
      </c>
      <c r="C980" s="2" t="s">
        <v>9</v>
      </c>
      <c r="D980" s="4">
        <v>2095.6</v>
      </c>
      <c r="E980" s="2" t="s">
        <v>10</v>
      </c>
      <c r="F980" s="2">
        <v>1</v>
      </c>
      <c r="G980" s="22">
        <f>Table4[[#This Row],[Item Cost]]*Table4[[#This Row],[In Stock]]</f>
        <v>2095.6</v>
      </c>
      <c r="H980" s="12" t="s">
        <v>4661</v>
      </c>
      <c r="I980" s="13" t="s">
        <v>4664</v>
      </c>
      <c r="J980" s="13" t="s">
        <v>4674</v>
      </c>
      <c r="K980" s="13" t="s">
        <v>4672</v>
      </c>
      <c r="L980" s="12" t="s">
        <v>4672</v>
      </c>
      <c r="M980" s="17" t="str">
        <f>IF(LEN(COUNTIFS($H$1:H980,$H980,$I$1:I980,$I980,$J$1:J980,$J980,$K$1:K980,K980,$L$1:L980,L980))=1,"00"&amp;COUNTIFS($H$1:H980,$H980,$I$1:I980,$I980,$J$1:J980,$J980,$K$1:K980,K980,$L$1:L980,L980),IF(LEN(COUNTIFS($H$1:H980,$H980,$I$1:I980,$I980,$J$1:J980,$J980,$K$1:K980,K980,$L$1:L980,L980))=2,"0"&amp;COUNTIFS($H$1:H980,$H980,$I$1:I980,$I980,$J$1:J980,$J980,$K$1:K980,K980,$L$1:L980,L980),COUNTIFS($H$1:H980,$H980,$I$1:I980,$I980,$J$1:J980,$J980,$K$1:K980,K980,$L$1:L980,L980)))</f>
        <v>059</v>
      </c>
      <c r="N98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80" s="14" t="e">
        <f>+LEN(Table4[[#This Row],[New Item Code]])</f>
        <v>#N/A</v>
      </c>
      <c r="P980" s="15" t="s">
        <v>4747</v>
      </c>
      <c r="Q980" s="15" t="s">
        <v>4749</v>
      </c>
      <c r="R980" s="15"/>
      <c r="S980" s="15"/>
      <c r="T980" s="15" t="s">
        <v>4674</v>
      </c>
    </row>
    <row r="981" spans="1:20" x14ac:dyDescent="0.35">
      <c r="A981" s="3" t="s">
        <v>1964</v>
      </c>
      <c r="B981" s="3" t="s">
        <v>1965</v>
      </c>
      <c r="C981" s="3" t="s">
        <v>15</v>
      </c>
      <c r="D981" s="3">
        <v>0</v>
      </c>
      <c r="E981" s="3" t="s">
        <v>10</v>
      </c>
      <c r="F981" s="3">
        <v>0</v>
      </c>
      <c r="G981" s="21">
        <f>Table4[[#This Row],[Item Cost]]*Table4[[#This Row],[In Stock]]</f>
        <v>0</v>
      </c>
      <c r="H981" s="12" t="s">
        <v>4661</v>
      </c>
      <c r="I981" s="13" t="s">
        <v>4666</v>
      </c>
      <c r="J981" s="13" t="s">
        <v>4674</v>
      </c>
      <c r="K981" s="13" t="s">
        <v>4672</v>
      </c>
      <c r="L981" s="12" t="s">
        <v>4672</v>
      </c>
      <c r="M981" s="17" t="str">
        <f>IF(LEN(COUNTIFS($H$1:H981,$H981,$I$1:I981,$I981,$J$1:J981,$J981,$K$1:K981,K981,$L$1:L981,L981))=1,"00"&amp;COUNTIFS($H$1:H981,$H981,$I$1:I981,$I981,$J$1:J981,$J981,$K$1:K981,K981,$L$1:L981,L981),IF(LEN(COUNTIFS($H$1:H981,$H981,$I$1:I981,$I981,$J$1:J981,$J981,$K$1:K981,K981,$L$1:L981,L981))=2,"0"&amp;COUNTIFS($H$1:H981,$H981,$I$1:I981,$I981,$J$1:J981,$J981,$K$1:K981,K981,$L$1:L981,L981),COUNTIFS($H$1:H981,$H981,$I$1:I981,$I981,$J$1:J981,$J981,$K$1:K981,K981,$L$1:L981,L981)))</f>
        <v>049</v>
      </c>
      <c r="N98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81" s="14" t="e">
        <f>+LEN(Table4[[#This Row],[New Item Code]])</f>
        <v>#N/A</v>
      </c>
      <c r="P981" s="15" t="s">
        <v>4747</v>
      </c>
      <c r="Q981" s="15" t="s">
        <v>4749</v>
      </c>
      <c r="R981" s="15"/>
      <c r="S981" s="15"/>
      <c r="T981" s="15" t="s">
        <v>4674</v>
      </c>
    </row>
    <row r="982" spans="1:20" x14ac:dyDescent="0.35">
      <c r="A982" s="2" t="s">
        <v>1966</v>
      </c>
      <c r="B982" s="2" t="s">
        <v>1967</v>
      </c>
      <c r="C982" s="2" t="s">
        <v>56</v>
      </c>
      <c r="D982" s="2">
        <v>0</v>
      </c>
      <c r="E982" s="2" t="s">
        <v>57</v>
      </c>
      <c r="F982" s="2">
        <v>0</v>
      </c>
      <c r="G982" s="22">
        <f>Table4[[#This Row],[Item Cost]]*Table4[[#This Row],[In Stock]]</f>
        <v>0</v>
      </c>
      <c r="H982" s="12" t="s">
        <v>4661</v>
      </c>
      <c r="I982" s="13" t="s">
        <v>4668</v>
      </c>
      <c r="J982" s="13" t="s">
        <v>4674</v>
      </c>
      <c r="K982" s="13" t="s">
        <v>4672</v>
      </c>
      <c r="L982" s="12" t="s">
        <v>4672</v>
      </c>
      <c r="M982" s="17" t="str">
        <f>IF(LEN(COUNTIFS($H$1:H982,$H982,$I$1:I982,$I982,$J$1:J982,$J982,$K$1:K982,K982,$L$1:L982,L982))=1,"00"&amp;COUNTIFS($H$1:H982,$H982,$I$1:I982,$I982,$J$1:J982,$J982,$K$1:K982,K982,$L$1:L982,L982),IF(LEN(COUNTIFS($H$1:H982,$H982,$I$1:I982,$I982,$J$1:J982,$J982,$K$1:K982,K982,$L$1:L982,L982))=2,"0"&amp;COUNTIFS($H$1:H982,$H982,$I$1:I982,$I982,$J$1:J982,$J982,$K$1:K982,K982,$L$1:L982,L982),COUNTIFS($H$1:H982,$H982,$I$1:I982,$I982,$J$1:J982,$J982,$K$1:K982,K982,$L$1:L982,L982)))</f>
        <v>004</v>
      </c>
      <c r="N98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82" s="14" t="e">
        <f>+LEN(Table4[[#This Row],[New Item Code]])</f>
        <v>#N/A</v>
      </c>
      <c r="P982" s="15" t="s">
        <v>4747</v>
      </c>
      <c r="Q982" s="15" t="s">
        <v>4749</v>
      </c>
      <c r="R982" s="15"/>
      <c r="S982" s="15"/>
      <c r="T982" s="15" t="s">
        <v>4674</v>
      </c>
    </row>
    <row r="983" spans="1:20" x14ac:dyDescent="0.35">
      <c r="A983" s="3" t="s">
        <v>1968</v>
      </c>
      <c r="B983" s="3" t="s">
        <v>1969</v>
      </c>
      <c r="C983" s="3" t="s">
        <v>56</v>
      </c>
      <c r="D983" s="3">
        <v>0</v>
      </c>
      <c r="E983" s="3" t="s">
        <v>57</v>
      </c>
      <c r="F983" s="3">
        <v>0</v>
      </c>
      <c r="G983" s="21">
        <f>Table4[[#This Row],[Item Cost]]*Table4[[#This Row],[In Stock]]</f>
        <v>0</v>
      </c>
      <c r="H983" s="12" t="s">
        <v>4661</v>
      </c>
      <c r="I983" s="13" t="s">
        <v>4668</v>
      </c>
      <c r="J983" s="13" t="s">
        <v>4674</v>
      </c>
      <c r="K983" s="13" t="s">
        <v>4672</v>
      </c>
      <c r="L983" s="12" t="s">
        <v>4672</v>
      </c>
      <c r="M983" s="17" t="str">
        <f>IF(LEN(COUNTIFS($H$1:H983,$H983,$I$1:I983,$I983,$J$1:J983,$J983,$K$1:K983,K983,$L$1:L983,L983))=1,"00"&amp;COUNTIFS($H$1:H983,$H983,$I$1:I983,$I983,$J$1:J983,$J983,$K$1:K983,K983,$L$1:L983,L983),IF(LEN(COUNTIFS($H$1:H983,$H983,$I$1:I983,$I983,$J$1:J983,$J983,$K$1:K983,K983,$L$1:L983,L983))=2,"0"&amp;COUNTIFS($H$1:H983,$H983,$I$1:I983,$I983,$J$1:J983,$J983,$K$1:K983,K983,$L$1:L983,L983),COUNTIFS($H$1:H983,$H983,$I$1:I983,$I983,$J$1:J983,$J983,$K$1:K983,K983,$L$1:L983,L983)))</f>
        <v>005</v>
      </c>
      <c r="N98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83" s="14" t="e">
        <f>+LEN(Table4[[#This Row],[New Item Code]])</f>
        <v>#N/A</v>
      </c>
      <c r="P983" s="15" t="s">
        <v>4747</v>
      </c>
      <c r="Q983" s="15" t="s">
        <v>4749</v>
      </c>
      <c r="R983" s="15"/>
      <c r="S983" s="15"/>
      <c r="T983" s="15" t="s">
        <v>4674</v>
      </c>
    </row>
    <row r="984" spans="1:20" x14ac:dyDescent="0.35">
      <c r="A984" s="2" t="s">
        <v>1970</v>
      </c>
      <c r="B984" s="2" t="s">
        <v>1971</v>
      </c>
      <c r="C984" s="2" t="s">
        <v>56</v>
      </c>
      <c r="D984" s="2">
        <v>0</v>
      </c>
      <c r="E984" s="2" t="s">
        <v>57</v>
      </c>
      <c r="F984" s="2">
        <v>0</v>
      </c>
      <c r="G984" s="22">
        <f>Table4[[#This Row],[Item Cost]]*Table4[[#This Row],[In Stock]]</f>
        <v>0</v>
      </c>
      <c r="H984" s="12" t="s">
        <v>4661</v>
      </c>
      <c r="I984" s="13" t="s">
        <v>4668</v>
      </c>
      <c r="J984" s="13" t="s">
        <v>4674</v>
      </c>
      <c r="K984" s="13" t="s">
        <v>4672</v>
      </c>
      <c r="L984" s="12" t="s">
        <v>4672</v>
      </c>
      <c r="M984" s="17" t="str">
        <f>IF(LEN(COUNTIFS($H$1:H984,$H984,$I$1:I984,$I984,$J$1:J984,$J984,$K$1:K984,K984,$L$1:L984,L984))=1,"00"&amp;COUNTIFS($H$1:H984,$H984,$I$1:I984,$I984,$J$1:J984,$J984,$K$1:K984,K984,$L$1:L984,L984),IF(LEN(COUNTIFS($H$1:H984,$H984,$I$1:I984,$I984,$J$1:J984,$J984,$K$1:K984,K984,$L$1:L984,L984))=2,"0"&amp;COUNTIFS($H$1:H984,$H984,$I$1:I984,$I984,$J$1:J984,$J984,$K$1:K984,K984,$L$1:L984,L984),COUNTIFS($H$1:H984,$H984,$I$1:I984,$I984,$J$1:J984,$J984,$K$1:K984,K984,$L$1:L984,L984)))</f>
        <v>006</v>
      </c>
      <c r="N98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84" s="14" t="e">
        <f>+LEN(Table4[[#This Row],[New Item Code]])</f>
        <v>#N/A</v>
      </c>
      <c r="P984" s="15" t="s">
        <v>4747</v>
      </c>
      <c r="Q984" s="15" t="s">
        <v>4749</v>
      </c>
      <c r="R984" s="15"/>
      <c r="S984" s="15"/>
      <c r="T984" s="15" t="s">
        <v>4674</v>
      </c>
    </row>
    <row r="985" spans="1:20" x14ac:dyDescent="0.35">
      <c r="A985" s="3" t="s">
        <v>1972</v>
      </c>
      <c r="B985" s="3" t="s">
        <v>1973</v>
      </c>
      <c r="C985" s="3" t="s">
        <v>15</v>
      </c>
      <c r="D985" s="3">
        <v>0</v>
      </c>
      <c r="E985" s="3" t="s">
        <v>57</v>
      </c>
      <c r="F985" s="3">
        <v>0</v>
      </c>
      <c r="G985" s="21">
        <f>Table4[[#This Row],[Item Cost]]*Table4[[#This Row],[In Stock]]</f>
        <v>0</v>
      </c>
      <c r="H985" s="12" t="s">
        <v>4661</v>
      </c>
      <c r="I985" s="13" t="s">
        <v>4666</v>
      </c>
      <c r="J985" s="13" t="s">
        <v>4674</v>
      </c>
      <c r="K985" s="13" t="s">
        <v>4672</v>
      </c>
      <c r="L985" s="12" t="s">
        <v>4672</v>
      </c>
      <c r="M985" s="17" t="str">
        <f>IF(LEN(COUNTIFS($H$1:H985,$H985,$I$1:I985,$I985,$J$1:J985,$J985,$K$1:K985,K985,$L$1:L985,L985))=1,"00"&amp;COUNTIFS($H$1:H985,$H985,$I$1:I985,$I985,$J$1:J985,$J985,$K$1:K985,K985,$L$1:L985,L985),IF(LEN(COUNTIFS($H$1:H985,$H985,$I$1:I985,$I985,$J$1:J985,$J985,$K$1:K985,K985,$L$1:L985,L985))=2,"0"&amp;COUNTIFS($H$1:H985,$H985,$I$1:I985,$I985,$J$1:J985,$J985,$K$1:K985,K985,$L$1:L985,L985),COUNTIFS($H$1:H985,$H985,$I$1:I985,$I985,$J$1:J985,$J985,$K$1:K985,K985,$L$1:L985,L985)))</f>
        <v>050</v>
      </c>
      <c r="N98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85" s="14" t="e">
        <f>+LEN(Table4[[#This Row],[New Item Code]])</f>
        <v>#N/A</v>
      </c>
      <c r="P985" s="15" t="s">
        <v>4747</v>
      </c>
      <c r="Q985" s="15" t="s">
        <v>4749</v>
      </c>
      <c r="R985" s="15"/>
      <c r="S985" s="15"/>
      <c r="T985" s="15" t="s">
        <v>4674</v>
      </c>
    </row>
    <row r="986" spans="1:20" x14ac:dyDescent="0.35">
      <c r="A986" s="2" t="s">
        <v>1974</v>
      </c>
      <c r="B986" s="2" t="s">
        <v>1975</v>
      </c>
      <c r="C986" s="2" t="s">
        <v>15</v>
      </c>
      <c r="D986" s="2">
        <v>0</v>
      </c>
      <c r="E986" s="2" t="s">
        <v>57</v>
      </c>
      <c r="F986" s="2">
        <v>0</v>
      </c>
      <c r="G986" s="22">
        <f>Table4[[#This Row],[Item Cost]]*Table4[[#This Row],[In Stock]]</f>
        <v>0</v>
      </c>
      <c r="H986" s="12" t="s">
        <v>4661</v>
      </c>
      <c r="I986" s="13" t="s">
        <v>4666</v>
      </c>
      <c r="J986" s="13" t="s">
        <v>4674</v>
      </c>
      <c r="K986" s="13" t="s">
        <v>4672</v>
      </c>
      <c r="L986" s="12" t="s">
        <v>4672</v>
      </c>
      <c r="M986" s="17" t="str">
        <f>IF(LEN(COUNTIFS($H$1:H986,$H986,$I$1:I986,$I986,$J$1:J986,$J986,$K$1:K986,K986,$L$1:L986,L986))=1,"00"&amp;COUNTIFS($H$1:H986,$H986,$I$1:I986,$I986,$J$1:J986,$J986,$K$1:K986,K986,$L$1:L986,L986),IF(LEN(COUNTIFS($H$1:H986,$H986,$I$1:I986,$I986,$J$1:J986,$J986,$K$1:K986,K986,$L$1:L986,L986))=2,"0"&amp;COUNTIFS($H$1:H986,$H986,$I$1:I986,$I986,$J$1:J986,$J986,$K$1:K986,K986,$L$1:L986,L986),COUNTIFS($H$1:H986,$H986,$I$1:I986,$I986,$J$1:J986,$J986,$K$1:K986,K986,$L$1:L986,L986)))</f>
        <v>051</v>
      </c>
      <c r="N98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86" s="14" t="e">
        <f>+LEN(Table4[[#This Row],[New Item Code]])</f>
        <v>#N/A</v>
      </c>
      <c r="P986" s="15" t="s">
        <v>4747</v>
      </c>
      <c r="Q986" s="15" t="s">
        <v>4749</v>
      </c>
      <c r="R986" s="15"/>
      <c r="S986" s="15"/>
      <c r="T986" s="15" t="s">
        <v>4674</v>
      </c>
    </row>
    <row r="987" spans="1:20" x14ac:dyDescent="0.35">
      <c r="A987" s="3" t="s">
        <v>1976</v>
      </c>
      <c r="B987" s="3" t="s">
        <v>1977</v>
      </c>
      <c r="C987" s="3" t="s">
        <v>15</v>
      </c>
      <c r="D987" s="3">
        <v>0</v>
      </c>
      <c r="E987" s="3" t="s">
        <v>57</v>
      </c>
      <c r="F987" s="3">
        <v>0</v>
      </c>
      <c r="G987" s="21">
        <f>Table4[[#This Row],[Item Cost]]*Table4[[#This Row],[In Stock]]</f>
        <v>0</v>
      </c>
      <c r="H987" s="12" t="s">
        <v>4661</v>
      </c>
      <c r="I987" s="13" t="s">
        <v>4666</v>
      </c>
      <c r="J987" s="13" t="s">
        <v>4674</v>
      </c>
      <c r="K987" s="13" t="s">
        <v>4672</v>
      </c>
      <c r="L987" s="12" t="s">
        <v>4672</v>
      </c>
      <c r="M987" s="17" t="str">
        <f>IF(LEN(COUNTIFS($H$1:H987,$H987,$I$1:I987,$I987,$J$1:J987,$J987,$K$1:K987,K987,$L$1:L987,L987))=1,"00"&amp;COUNTIFS($H$1:H987,$H987,$I$1:I987,$I987,$J$1:J987,$J987,$K$1:K987,K987,$L$1:L987,L987),IF(LEN(COUNTIFS($H$1:H987,$H987,$I$1:I987,$I987,$J$1:J987,$J987,$K$1:K987,K987,$L$1:L987,L987))=2,"0"&amp;COUNTIFS($H$1:H987,$H987,$I$1:I987,$I987,$J$1:J987,$J987,$K$1:K987,K987,$L$1:L987,L987),COUNTIFS($H$1:H987,$H987,$I$1:I987,$I987,$J$1:J987,$J987,$K$1:K987,K987,$L$1:L987,L987)))</f>
        <v>052</v>
      </c>
      <c r="N98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87" s="14" t="e">
        <f>+LEN(Table4[[#This Row],[New Item Code]])</f>
        <v>#N/A</v>
      </c>
      <c r="P987" s="15" t="s">
        <v>4747</v>
      </c>
      <c r="Q987" s="15" t="s">
        <v>4749</v>
      </c>
      <c r="R987" s="15"/>
      <c r="S987" s="15"/>
      <c r="T987" s="15" t="s">
        <v>4674</v>
      </c>
    </row>
    <row r="988" spans="1:20" x14ac:dyDescent="0.35">
      <c r="A988" s="2" t="s">
        <v>1978</v>
      </c>
      <c r="B988" s="2" t="s">
        <v>1979</v>
      </c>
      <c r="C988" s="2" t="s">
        <v>9</v>
      </c>
      <c r="D988" s="2">
        <v>500</v>
      </c>
      <c r="E988" s="2" t="s">
        <v>10</v>
      </c>
      <c r="F988" s="2">
        <v>2</v>
      </c>
      <c r="G988" s="22">
        <f>Table4[[#This Row],[Item Cost]]*Table4[[#This Row],[In Stock]]</f>
        <v>1000</v>
      </c>
      <c r="H988" s="12" t="s">
        <v>4661</v>
      </c>
      <c r="I988" s="13" t="s">
        <v>4664</v>
      </c>
      <c r="J988" s="13" t="s">
        <v>4674</v>
      </c>
      <c r="K988" t="s">
        <v>4797</v>
      </c>
      <c r="L988" s="12" t="s">
        <v>4672</v>
      </c>
      <c r="M988" s="17" t="str">
        <f>IF(LEN(COUNTIFS($H$1:H988,$H988,$I$1:I988,$I988,$J$1:J988,$J988,$K$1:K988,K988,$L$1:L988,L988))=1,"00"&amp;COUNTIFS($H$1:H988,$H988,$I$1:I988,$I988,$J$1:J988,$J988,$K$1:K988,K988,$L$1:L988,L988),IF(LEN(COUNTIFS($H$1:H988,$H988,$I$1:I988,$I988,$J$1:J988,$J988,$K$1:K988,K988,$L$1:L988,L988))=2,"0"&amp;COUNTIFS($H$1:H988,$H988,$I$1:I988,$I988,$J$1:J988,$J988,$K$1:K988,K988,$L$1:L988,L988),COUNTIFS($H$1:H988,$H988,$I$1:I988,$I988,$J$1:J988,$J988,$K$1:K988,K988,$L$1:L988,L988)))</f>
        <v>005</v>
      </c>
      <c r="N98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88" s="14" t="e">
        <f>+LEN(Table4[[#This Row],[New Item Code]])</f>
        <v>#N/A</v>
      </c>
      <c r="P988" s="15" t="s">
        <v>4747</v>
      </c>
      <c r="Q988" s="15" t="s">
        <v>4749</v>
      </c>
      <c r="R988" s="15"/>
      <c r="S988" s="15"/>
      <c r="T988" s="15" t="s">
        <v>4674</v>
      </c>
    </row>
    <row r="989" spans="1:20" x14ac:dyDescent="0.35">
      <c r="A989" s="3" t="s">
        <v>1980</v>
      </c>
      <c r="B989" s="3" t="s">
        <v>1981</v>
      </c>
      <c r="C989" s="3" t="s">
        <v>9</v>
      </c>
      <c r="D989" s="5">
        <v>12000</v>
      </c>
      <c r="E989" s="3" t="s">
        <v>10</v>
      </c>
      <c r="F989" s="3">
        <v>1</v>
      </c>
      <c r="G989" s="21">
        <f>Table4[[#This Row],[Item Cost]]*Table4[[#This Row],[In Stock]]</f>
        <v>12000</v>
      </c>
      <c r="H989" s="12" t="s">
        <v>4661</v>
      </c>
      <c r="I989" s="13" t="s">
        <v>4664</v>
      </c>
      <c r="J989" s="13" t="s">
        <v>4674</v>
      </c>
      <c r="K989" s="13" t="s">
        <v>4672</v>
      </c>
      <c r="L989" s="12" t="s">
        <v>4672</v>
      </c>
      <c r="M989" s="17" t="str">
        <f>IF(LEN(COUNTIFS($H$1:H989,$H989,$I$1:I989,$I989,$J$1:J989,$J989,$K$1:K989,K989,$L$1:L989,L989))=1,"00"&amp;COUNTIFS($H$1:H989,$H989,$I$1:I989,$I989,$J$1:J989,$J989,$K$1:K989,K989,$L$1:L989,L989),IF(LEN(COUNTIFS($H$1:H989,$H989,$I$1:I989,$I989,$J$1:J989,$J989,$K$1:K989,K989,$L$1:L989,L989))=2,"0"&amp;COUNTIFS($H$1:H989,$H989,$I$1:I989,$I989,$J$1:J989,$J989,$K$1:K989,K989,$L$1:L989,L989),COUNTIFS($H$1:H989,$H989,$I$1:I989,$I989,$J$1:J989,$J989,$K$1:K989,K989,$L$1:L989,L989)))</f>
        <v>060</v>
      </c>
      <c r="N98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89" s="14" t="e">
        <f>+LEN(Table4[[#This Row],[New Item Code]])</f>
        <v>#N/A</v>
      </c>
      <c r="P989" s="15" t="s">
        <v>4747</v>
      </c>
      <c r="Q989" s="15" t="s">
        <v>4749</v>
      </c>
      <c r="R989" s="15"/>
      <c r="S989" s="15"/>
      <c r="T989" s="15" t="s">
        <v>4674</v>
      </c>
    </row>
    <row r="990" spans="1:20" x14ac:dyDescent="0.35">
      <c r="A990" s="2" t="s">
        <v>1982</v>
      </c>
      <c r="B990" s="2" t="s">
        <v>1983</v>
      </c>
      <c r="C990" s="2" t="s">
        <v>15</v>
      </c>
      <c r="D990" s="2">
        <v>0</v>
      </c>
      <c r="E990" s="2" t="s">
        <v>10</v>
      </c>
      <c r="F990" s="2">
        <v>0</v>
      </c>
      <c r="G990" s="22">
        <f>Table4[[#This Row],[Item Cost]]*Table4[[#This Row],[In Stock]]</f>
        <v>0</v>
      </c>
      <c r="H990" s="12" t="s">
        <v>4661</v>
      </c>
      <c r="I990" s="13" t="s">
        <v>4666</v>
      </c>
      <c r="J990" s="13" t="s">
        <v>4674</v>
      </c>
      <c r="K990" t="s">
        <v>4797</v>
      </c>
      <c r="L990" s="12" t="s">
        <v>4672</v>
      </c>
      <c r="M990" s="17" t="str">
        <f>IF(LEN(COUNTIFS($H$1:H990,$H990,$I$1:I990,$I990,$J$1:J990,$J990,$K$1:K990,K990,$L$1:L990,L990))=1,"00"&amp;COUNTIFS($H$1:H990,$H990,$I$1:I990,$I990,$J$1:J990,$J990,$K$1:K990,K990,$L$1:L990,L990),IF(LEN(COUNTIFS($H$1:H990,$H990,$I$1:I990,$I990,$J$1:J990,$J990,$K$1:K990,K990,$L$1:L990,L990))=2,"0"&amp;COUNTIFS($H$1:H990,$H990,$I$1:I990,$I990,$J$1:J990,$J990,$K$1:K990,K990,$L$1:L990,L990),COUNTIFS($H$1:H990,$H990,$I$1:I990,$I990,$J$1:J990,$J990,$K$1:K990,K990,$L$1:L990,L990)))</f>
        <v>003</v>
      </c>
      <c r="N99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90" s="14" t="e">
        <f>+LEN(Table4[[#This Row],[New Item Code]])</f>
        <v>#N/A</v>
      </c>
      <c r="P990" s="15" t="s">
        <v>4747</v>
      </c>
      <c r="Q990" s="15" t="s">
        <v>4749</v>
      </c>
      <c r="R990" s="15"/>
      <c r="S990" s="15"/>
      <c r="T990" s="15" t="s">
        <v>4674</v>
      </c>
    </row>
    <row r="991" spans="1:20" x14ac:dyDescent="0.35">
      <c r="A991" s="3" t="s">
        <v>1984</v>
      </c>
      <c r="B991" s="3" t="s">
        <v>1985</v>
      </c>
      <c r="C991" s="3" t="s">
        <v>9</v>
      </c>
      <c r="D991" s="3">
        <v>504.4</v>
      </c>
      <c r="E991" s="3" t="s">
        <v>10</v>
      </c>
      <c r="F991" s="3">
        <v>2</v>
      </c>
      <c r="G991" s="21">
        <f>Table4[[#This Row],[Item Cost]]*Table4[[#This Row],[In Stock]]</f>
        <v>1008.8</v>
      </c>
      <c r="H991" s="12" t="s">
        <v>4661</v>
      </c>
      <c r="I991" s="13" t="s">
        <v>4664</v>
      </c>
      <c r="J991" s="13" t="s">
        <v>4674</v>
      </c>
      <c r="K991" s="13" t="s">
        <v>4672</v>
      </c>
      <c r="L991" s="12" t="s">
        <v>4672</v>
      </c>
      <c r="M991" s="17" t="str">
        <f>IF(LEN(COUNTIFS($H$1:H991,$H991,$I$1:I991,$I991,$J$1:J991,$J991,$K$1:K991,K991,$L$1:L991,L991))=1,"00"&amp;COUNTIFS($H$1:H991,$H991,$I$1:I991,$I991,$J$1:J991,$J991,$K$1:K991,K991,$L$1:L991,L991),IF(LEN(COUNTIFS($H$1:H991,$H991,$I$1:I991,$I991,$J$1:J991,$J991,$K$1:K991,K991,$L$1:L991,L991))=2,"0"&amp;COUNTIFS($H$1:H991,$H991,$I$1:I991,$I991,$J$1:J991,$J991,$K$1:K991,K991,$L$1:L991,L991),COUNTIFS($H$1:H991,$H991,$I$1:I991,$I991,$J$1:J991,$J991,$K$1:K991,K991,$L$1:L991,L991)))</f>
        <v>061</v>
      </c>
      <c r="N99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91" s="14" t="e">
        <f>+LEN(Table4[[#This Row],[New Item Code]])</f>
        <v>#N/A</v>
      </c>
      <c r="P991" s="15" t="s">
        <v>4747</v>
      </c>
      <c r="Q991" s="15" t="s">
        <v>4749</v>
      </c>
      <c r="R991" s="15"/>
      <c r="S991" s="15"/>
      <c r="T991" s="15" t="s">
        <v>4674</v>
      </c>
    </row>
    <row r="992" spans="1:20" x14ac:dyDescent="0.35">
      <c r="A992" s="2" t="s">
        <v>1986</v>
      </c>
      <c r="B992" s="2" t="s">
        <v>1987</v>
      </c>
      <c r="C992" s="2" t="s">
        <v>9</v>
      </c>
      <c r="D992" s="4">
        <v>2860</v>
      </c>
      <c r="E992" s="2" t="s">
        <v>10</v>
      </c>
      <c r="F992" s="2">
        <v>1</v>
      </c>
      <c r="G992" s="22">
        <f>Table4[[#This Row],[Item Cost]]*Table4[[#This Row],[In Stock]]</f>
        <v>2860</v>
      </c>
      <c r="H992" s="12" t="s">
        <v>4661</v>
      </c>
      <c r="I992" s="13" t="s">
        <v>4664</v>
      </c>
      <c r="J992" s="13" t="s">
        <v>4674</v>
      </c>
      <c r="K992" s="13" t="s">
        <v>4672</v>
      </c>
      <c r="L992" s="12" t="s">
        <v>4672</v>
      </c>
      <c r="M992" s="17" t="str">
        <f>IF(LEN(COUNTIFS($H$1:H992,$H992,$I$1:I992,$I992,$J$1:J992,$J992,$K$1:K992,K992,$L$1:L992,L992))=1,"00"&amp;COUNTIFS($H$1:H992,$H992,$I$1:I992,$I992,$J$1:J992,$J992,$K$1:K992,K992,$L$1:L992,L992),IF(LEN(COUNTIFS($H$1:H992,$H992,$I$1:I992,$I992,$J$1:J992,$J992,$K$1:K992,K992,$L$1:L992,L992))=2,"0"&amp;COUNTIFS($H$1:H992,$H992,$I$1:I992,$I992,$J$1:J992,$J992,$K$1:K992,K992,$L$1:L992,L992),COUNTIFS($H$1:H992,$H992,$I$1:I992,$I992,$J$1:J992,$J992,$K$1:K992,K992,$L$1:L992,L992)))</f>
        <v>062</v>
      </c>
      <c r="N99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92" s="14" t="e">
        <f>+LEN(Table4[[#This Row],[New Item Code]])</f>
        <v>#N/A</v>
      </c>
      <c r="P992" s="15" t="s">
        <v>4747</v>
      </c>
      <c r="Q992" s="15" t="s">
        <v>4749</v>
      </c>
      <c r="R992" s="15"/>
      <c r="S992" s="15"/>
      <c r="T992" s="15" t="s">
        <v>4674</v>
      </c>
    </row>
    <row r="993" spans="1:20" x14ac:dyDescent="0.35">
      <c r="A993" s="3" t="s">
        <v>1988</v>
      </c>
      <c r="B993" s="3" t="s">
        <v>1989</v>
      </c>
      <c r="C993" s="3" t="s">
        <v>15</v>
      </c>
      <c r="D993" s="5">
        <v>1420</v>
      </c>
      <c r="E993" s="3" t="s">
        <v>10</v>
      </c>
      <c r="F993" s="3">
        <v>2</v>
      </c>
      <c r="G993" s="21">
        <f>Table4[[#This Row],[Item Cost]]*Table4[[#This Row],[In Stock]]</f>
        <v>2840</v>
      </c>
      <c r="H993" s="12" t="s">
        <v>4661</v>
      </c>
      <c r="I993" s="13" t="s">
        <v>4666</v>
      </c>
      <c r="J993" s="13" t="s">
        <v>4674</v>
      </c>
      <c r="K993" s="13" t="s">
        <v>4672</v>
      </c>
      <c r="L993" s="12" t="s">
        <v>4672</v>
      </c>
      <c r="M993" s="17" t="str">
        <f>IF(LEN(COUNTIFS($H$1:H993,$H993,$I$1:I993,$I993,$J$1:J993,$J993,$K$1:K993,K993,$L$1:L993,L993))=1,"00"&amp;COUNTIFS($H$1:H993,$H993,$I$1:I993,$I993,$J$1:J993,$J993,$K$1:K993,K993,$L$1:L993,L993),IF(LEN(COUNTIFS($H$1:H993,$H993,$I$1:I993,$I993,$J$1:J993,$J993,$K$1:K993,K993,$L$1:L993,L993))=2,"0"&amp;COUNTIFS($H$1:H993,$H993,$I$1:I993,$I993,$J$1:J993,$J993,$K$1:K993,K993,$L$1:L993,L993),COUNTIFS($H$1:H993,$H993,$I$1:I993,$I993,$J$1:J993,$J993,$K$1:K993,K993,$L$1:L993,L993)))</f>
        <v>053</v>
      </c>
      <c r="N99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93" s="14" t="e">
        <f>+LEN(Table4[[#This Row],[New Item Code]])</f>
        <v>#N/A</v>
      </c>
      <c r="P993" s="15" t="s">
        <v>4747</v>
      </c>
      <c r="Q993" s="15" t="s">
        <v>4749</v>
      </c>
      <c r="R993" s="15"/>
      <c r="S993" s="15"/>
      <c r="T993" s="15" t="s">
        <v>4674</v>
      </c>
    </row>
    <row r="994" spans="1:20" x14ac:dyDescent="0.35">
      <c r="A994" s="2" t="s">
        <v>1990</v>
      </c>
      <c r="B994" s="2" t="s">
        <v>1991</v>
      </c>
      <c r="C994" s="2" t="s">
        <v>9</v>
      </c>
      <c r="D994" s="4">
        <v>6675</v>
      </c>
      <c r="E994" s="2" t="s">
        <v>10</v>
      </c>
      <c r="F994" s="2">
        <v>2</v>
      </c>
      <c r="G994" s="22">
        <f>Table4[[#This Row],[Item Cost]]*Table4[[#This Row],[In Stock]]</f>
        <v>13350</v>
      </c>
      <c r="H994" s="12" t="s">
        <v>4661</v>
      </c>
      <c r="I994" s="13" t="s">
        <v>4664</v>
      </c>
      <c r="J994" s="13" t="s">
        <v>4674</v>
      </c>
      <c r="K994" s="13" t="s">
        <v>4672</v>
      </c>
      <c r="L994" s="12" t="s">
        <v>4672</v>
      </c>
      <c r="M994" s="17" t="str">
        <f>IF(LEN(COUNTIFS($H$1:H994,$H994,$I$1:I994,$I994,$J$1:J994,$J994,$K$1:K994,K994,$L$1:L994,L994))=1,"00"&amp;COUNTIFS($H$1:H994,$H994,$I$1:I994,$I994,$J$1:J994,$J994,$K$1:K994,K994,$L$1:L994,L994),IF(LEN(COUNTIFS($H$1:H994,$H994,$I$1:I994,$I994,$J$1:J994,$J994,$K$1:K994,K994,$L$1:L994,L994))=2,"0"&amp;COUNTIFS($H$1:H994,$H994,$I$1:I994,$I994,$J$1:J994,$J994,$K$1:K994,K994,$L$1:L994,L994),COUNTIFS($H$1:H994,$H994,$I$1:I994,$I994,$J$1:J994,$J994,$K$1:K994,K994,$L$1:L994,L994)))</f>
        <v>063</v>
      </c>
      <c r="N99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94" s="14" t="e">
        <f>+LEN(Table4[[#This Row],[New Item Code]])</f>
        <v>#N/A</v>
      </c>
      <c r="P994" s="15" t="s">
        <v>4747</v>
      </c>
      <c r="Q994" s="15" t="s">
        <v>4749</v>
      </c>
      <c r="R994" s="15"/>
      <c r="S994" s="15"/>
      <c r="T994" s="15" t="s">
        <v>4674</v>
      </c>
    </row>
    <row r="995" spans="1:20" x14ac:dyDescent="0.35">
      <c r="A995" s="3" t="s">
        <v>1992</v>
      </c>
      <c r="B995" s="3" t="s">
        <v>1993</v>
      </c>
      <c r="C995" s="3" t="s">
        <v>9</v>
      </c>
      <c r="D995" s="5">
        <v>3500</v>
      </c>
      <c r="E995" s="3" t="s">
        <v>10</v>
      </c>
      <c r="F995" s="3">
        <v>3</v>
      </c>
      <c r="G995" s="21">
        <f>Table4[[#This Row],[Item Cost]]*Table4[[#This Row],[In Stock]]</f>
        <v>10500</v>
      </c>
      <c r="H995" s="12" t="s">
        <v>4661</v>
      </c>
      <c r="I995" s="13" t="s">
        <v>4664</v>
      </c>
      <c r="J995" s="13" t="s">
        <v>4674</v>
      </c>
      <c r="K995" s="13" t="s">
        <v>4672</v>
      </c>
      <c r="L995" s="12" t="s">
        <v>4672</v>
      </c>
      <c r="M995" s="17" t="str">
        <f>IF(LEN(COUNTIFS($H$1:H995,$H995,$I$1:I995,$I995,$J$1:J995,$J995,$K$1:K995,K995,$L$1:L995,L995))=1,"00"&amp;COUNTIFS($H$1:H995,$H995,$I$1:I995,$I995,$J$1:J995,$J995,$K$1:K995,K995,$L$1:L995,L995),IF(LEN(COUNTIFS($H$1:H995,$H995,$I$1:I995,$I995,$J$1:J995,$J995,$K$1:K995,K995,$L$1:L995,L995))=2,"0"&amp;COUNTIFS($H$1:H995,$H995,$I$1:I995,$I995,$J$1:J995,$J995,$K$1:K995,K995,$L$1:L995,L995),COUNTIFS($H$1:H995,$H995,$I$1:I995,$I995,$J$1:J995,$J995,$K$1:K995,K995,$L$1:L995,L995)))</f>
        <v>064</v>
      </c>
      <c r="N99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95" s="14" t="e">
        <f>+LEN(Table4[[#This Row],[New Item Code]])</f>
        <v>#N/A</v>
      </c>
      <c r="P995" s="15" t="s">
        <v>4747</v>
      </c>
      <c r="Q995" s="15" t="s">
        <v>4749</v>
      </c>
      <c r="R995" s="15"/>
      <c r="S995" s="15"/>
      <c r="T995" s="15" t="s">
        <v>4674</v>
      </c>
    </row>
    <row r="996" spans="1:20" x14ac:dyDescent="0.35">
      <c r="A996" s="2" t="s">
        <v>1994</v>
      </c>
      <c r="B996" s="2" t="s">
        <v>1995</v>
      </c>
      <c r="C996" s="2" t="s">
        <v>15</v>
      </c>
      <c r="D996" s="4">
        <v>3500</v>
      </c>
      <c r="E996" s="2" t="s">
        <v>10</v>
      </c>
      <c r="F996" s="2">
        <v>1</v>
      </c>
      <c r="G996" s="22">
        <f>Table4[[#This Row],[Item Cost]]*Table4[[#This Row],[In Stock]]</f>
        <v>3500</v>
      </c>
      <c r="H996" s="12" t="s">
        <v>4661</v>
      </c>
      <c r="I996" s="13" t="s">
        <v>4666</v>
      </c>
      <c r="J996" s="13" t="s">
        <v>4674</v>
      </c>
      <c r="K996" s="13" t="s">
        <v>4672</v>
      </c>
      <c r="L996" s="12" t="s">
        <v>4672</v>
      </c>
      <c r="M996" s="17" t="str">
        <f>IF(LEN(COUNTIFS($H$1:H996,$H996,$I$1:I996,$I996,$J$1:J996,$J996,$K$1:K996,K996,$L$1:L996,L996))=1,"00"&amp;COUNTIFS($H$1:H996,$H996,$I$1:I996,$I996,$J$1:J996,$J996,$K$1:K996,K996,$L$1:L996,L996),IF(LEN(COUNTIFS($H$1:H996,$H996,$I$1:I996,$I996,$J$1:J996,$J996,$K$1:K996,K996,$L$1:L996,L996))=2,"0"&amp;COUNTIFS($H$1:H996,$H996,$I$1:I996,$I996,$J$1:J996,$J996,$K$1:K996,K996,$L$1:L996,L996),COUNTIFS($H$1:H996,$H996,$I$1:I996,$I996,$J$1:J996,$J996,$K$1:K996,K996,$L$1:L996,L996)))</f>
        <v>054</v>
      </c>
      <c r="N99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96" s="14" t="e">
        <f>+LEN(Table4[[#This Row],[New Item Code]])</f>
        <v>#N/A</v>
      </c>
      <c r="P996" s="15" t="s">
        <v>4747</v>
      </c>
      <c r="Q996" s="15" t="s">
        <v>4749</v>
      </c>
      <c r="R996" s="15"/>
      <c r="S996" s="15"/>
      <c r="T996" s="15" t="s">
        <v>4674</v>
      </c>
    </row>
    <row r="997" spans="1:20" x14ac:dyDescent="0.35">
      <c r="A997" s="3" t="s">
        <v>1996</v>
      </c>
      <c r="B997" s="3" t="s">
        <v>1997</v>
      </c>
      <c r="C997" s="3" t="s">
        <v>15</v>
      </c>
      <c r="D997" s="3">
        <v>0</v>
      </c>
      <c r="E997" s="3" t="s">
        <v>10</v>
      </c>
      <c r="F997" s="3">
        <v>0</v>
      </c>
      <c r="G997" s="21">
        <f>Table4[[#This Row],[Item Cost]]*Table4[[#This Row],[In Stock]]</f>
        <v>0</v>
      </c>
      <c r="H997" s="12" t="s">
        <v>4661</v>
      </c>
      <c r="I997" s="13" t="s">
        <v>4666</v>
      </c>
      <c r="J997" s="13"/>
      <c r="K997" s="13" t="s">
        <v>4672</v>
      </c>
      <c r="L997" s="12" t="s">
        <v>4672</v>
      </c>
      <c r="M997" s="17" t="str">
        <f>IF(LEN(COUNTIFS($H$1:H997,$H997,$I$1:I997,$I997,$J$1:J997,$J997,$K$1:K997,K997,$L$1:L997,L997))=1,"00"&amp;COUNTIFS($H$1:H997,$H997,$I$1:I997,$I997,$J$1:J997,$J997,$K$1:K997,K997,$L$1:L997,L997),IF(LEN(COUNTIFS($H$1:H997,$H997,$I$1:I997,$I997,$J$1:J997,$J997,$K$1:K997,K997,$L$1:L997,L997))=2,"0"&amp;COUNTIFS($H$1:H997,$H997,$I$1:I997,$I997,$J$1:J997,$J997,$K$1:K997,K997,$L$1:L997,L997),COUNTIFS($H$1:H997,$H997,$I$1:I997,$I997,$J$1:J997,$J997,$K$1:K997,K997,$L$1:L997,L997)))</f>
        <v>000</v>
      </c>
      <c r="N99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97" s="14" t="e">
        <f>+LEN(Table4[[#This Row],[New Item Code]])</f>
        <v>#N/A</v>
      </c>
      <c r="P997" s="15" t="s">
        <v>4747</v>
      </c>
      <c r="Q997" s="15" t="s">
        <v>4749</v>
      </c>
      <c r="R997" s="15"/>
      <c r="S997" s="15"/>
      <c r="T997" s="15" t="e">
        <v>#N/A</v>
      </c>
    </row>
    <row r="998" spans="1:20" x14ac:dyDescent="0.35">
      <c r="A998" s="2" t="s">
        <v>1998</v>
      </c>
      <c r="B998" s="2" t="s">
        <v>1999</v>
      </c>
      <c r="C998" s="2" t="s">
        <v>15</v>
      </c>
      <c r="D998" s="2">
        <v>0</v>
      </c>
      <c r="E998" s="2" t="s">
        <v>10</v>
      </c>
      <c r="F998" s="2">
        <v>0</v>
      </c>
      <c r="G998" s="22">
        <f>Table4[[#This Row],[Item Cost]]*Table4[[#This Row],[In Stock]]</f>
        <v>0</v>
      </c>
      <c r="H998" s="12" t="s">
        <v>4661</v>
      </c>
      <c r="I998" s="13" t="s">
        <v>4666</v>
      </c>
      <c r="J998" s="13"/>
      <c r="K998" s="13" t="s">
        <v>4672</v>
      </c>
      <c r="L998" s="12" t="s">
        <v>4672</v>
      </c>
      <c r="M998" s="17" t="str">
        <f>IF(LEN(COUNTIFS($H$1:H998,$H998,$I$1:I998,$I998,$J$1:J998,$J998,$K$1:K998,K998,$L$1:L998,L998))=1,"00"&amp;COUNTIFS($H$1:H998,$H998,$I$1:I998,$I998,$J$1:J998,$J998,$K$1:K998,K998,$L$1:L998,L998),IF(LEN(COUNTIFS($H$1:H998,$H998,$I$1:I998,$I998,$J$1:J998,$J998,$K$1:K998,K998,$L$1:L998,L998))=2,"0"&amp;COUNTIFS($H$1:H998,$H998,$I$1:I998,$I998,$J$1:J998,$J998,$K$1:K998,K998,$L$1:L998,L998),COUNTIFS($H$1:H998,$H998,$I$1:I998,$I998,$J$1:J998,$J998,$K$1:K998,K998,$L$1:L998,L998)))</f>
        <v>000</v>
      </c>
      <c r="N99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98" s="14" t="e">
        <f>+LEN(Table4[[#This Row],[New Item Code]])</f>
        <v>#N/A</v>
      </c>
      <c r="P998" s="15" t="s">
        <v>4747</v>
      </c>
      <c r="Q998" s="15" t="s">
        <v>4749</v>
      </c>
      <c r="R998" s="15"/>
      <c r="S998" s="15"/>
      <c r="T998" s="15" t="e">
        <v>#N/A</v>
      </c>
    </row>
    <row r="999" spans="1:20" x14ac:dyDescent="0.35">
      <c r="A999" s="3" t="s">
        <v>2000</v>
      </c>
      <c r="B999" s="3" t="s">
        <v>2001</v>
      </c>
      <c r="C999" s="3" t="s">
        <v>15</v>
      </c>
      <c r="D999" s="5">
        <v>54536.63</v>
      </c>
      <c r="E999" s="3" t="s">
        <v>10</v>
      </c>
      <c r="F999" s="3">
        <v>1</v>
      </c>
      <c r="G999" s="21">
        <f>Table4[[#This Row],[Item Cost]]*Table4[[#This Row],[In Stock]]</f>
        <v>54536.63</v>
      </c>
      <c r="H999" s="12" t="s">
        <v>4661</v>
      </c>
      <c r="I999" s="13" t="s">
        <v>4666</v>
      </c>
      <c r="J999" s="13" t="s">
        <v>4695</v>
      </c>
      <c r="K999" s="13" t="s">
        <v>4734</v>
      </c>
      <c r="L999" s="12" t="s">
        <v>4672</v>
      </c>
      <c r="M999" s="17" t="str">
        <f>IF(LEN(COUNTIFS($H$1:H999,$H999,$I$1:I999,$I999,$J$1:J999,$J999,$K$1:K999,K999,$L$1:L999,L999))=1,"00"&amp;COUNTIFS($H$1:H999,$H999,$I$1:I999,$I999,$J$1:J999,$J999,$K$1:K999,K999,$L$1:L999,L999),IF(LEN(COUNTIFS($H$1:H999,$H999,$I$1:I999,$I999,$J$1:J999,$J999,$K$1:K999,K999,$L$1:L999,L999))=2,"0"&amp;COUNTIFS($H$1:H999,$H999,$I$1:I999,$I999,$J$1:J999,$J999,$K$1:K999,K999,$L$1:L999,L999),COUNTIFS($H$1:H999,$H999,$I$1:I999,$I999,$J$1:J999,$J999,$K$1:K999,K999,$L$1:L999,L999)))</f>
        <v>001</v>
      </c>
      <c r="N99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999" s="14" t="e">
        <f>+LEN(Table4[[#This Row],[New Item Code]])</f>
        <v>#N/A</v>
      </c>
      <c r="P999" s="15" t="s">
        <v>4747</v>
      </c>
      <c r="Q999" s="15" t="s">
        <v>4749</v>
      </c>
      <c r="R999" s="15"/>
      <c r="S999" s="15"/>
      <c r="T999" s="15" t="s">
        <v>4695</v>
      </c>
    </row>
    <row r="1000" spans="1:20" x14ac:dyDescent="0.35">
      <c r="A1000" s="2" t="s">
        <v>2002</v>
      </c>
      <c r="B1000" s="2" t="s">
        <v>2003</v>
      </c>
      <c r="C1000" s="2" t="s">
        <v>15</v>
      </c>
      <c r="D1000" s="2">
        <v>0</v>
      </c>
      <c r="E1000" s="2" t="s">
        <v>10</v>
      </c>
      <c r="F1000" s="2">
        <v>0</v>
      </c>
      <c r="G1000" s="22">
        <f>Table4[[#This Row],[Item Cost]]*Table4[[#This Row],[In Stock]]</f>
        <v>0</v>
      </c>
      <c r="H1000" s="12" t="s">
        <v>4661</v>
      </c>
      <c r="I1000" s="13" t="s">
        <v>4666</v>
      </c>
      <c r="J1000" s="13" t="s">
        <v>4695</v>
      </c>
      <c r="K1000" s="13" t="s">
        <v>4672</v>
      </c>
      <c r="L1000" s="12" t="s">
        <v>4672</v>
      </c>
      <c r="M1000" s="17" t="str">
        <f>IF(LEN(COUNTIFS($H$1:H1000,$H1000,$I$1:I1000,$I1000,$J$1:J1000,$J1000,$K$1:K1000,K1000,$L$1:L1000,L1000))=1,"00"&amp;COUNTIFS($H$1:H1000,$H1000,$I$1:I1000,$I1000,$J$1:J1000,$J1000,$K$1:K1000,K1000,$L$1:L1000,L1000),IF(LEN(COUNTIFS($H$1:H1000,$H1000,$I$1:I1000,$I1000,$J$1:J1000,$J1000,$K$1:K1000,K1000,$L$1:L1000,L1000))=2,"0"&amp;COUNTIFS($H$1:H1000,$H1000,$I$1:I1000,$I1000,$J$1:J1000,$J1000,$K$1:K1000,K1000,$L$1:L1000,L1000),COUNTIFS($H$1:H1000,$H1000,$I$1:I1000,$I1000,$J$1:J1000,$J1000,$K$1:K1000,K1000,$L$1:L1000,L1000)))</f>
        <v>001</v>
      </c>
      <c r="N100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00" s="14" t="e">
        <f>+LEN(Table4[[#This Row],[New Item Code]])</f>
        <v>#N/A</v>
      </c>
      <c r="P1000" s="15" t="s">
        <v>4747</v>
      </c>
      <c r="Q1000" s="15" t="s">
        <v>4749</v>
      </c>
      <c r="R1000" s="15"/>
      <c r="S1000" s="15"/>
      <c r="T1000" s="15" t="s">
        <v>4695</v>
      </c>
    </row>
    <row r="1001" spans="1:20" x14ac:dyDescent="0.35">
      <c r="A1001" s="3" t="s">
        <v>2004</v>
      </c>
      <c r="B1001" s="3" t="s">
        <v>2005</v>
      </c>
      <c r="C1001" s="3" t="s">
        <v>15</v>
      </c>
      <c r="D1001" s="3">
        <v>0</v>
      </c>
      <c r="E1001" s="3" t="s">
        <v>10</v>
      </c>
      <c r="F1001" s="3">
        <v>0</v>
      </c>
      <c r="G1001" s="21">
        <f>Table4[[#This Row],[Item Cost]]*Table4[[#This Row],[In Stock]]</f>
        <v>0</v>
      </c>
      <c r="H1001" s="12" t="s">
        <v>4661</v>
      </c>
      <c r="I1001" s="13" t="s">
        <v>4666</v>
      </c>
      <c r="J1001" s="13" t="s">
        <v>4695</v>
      </c>
      <c r="K1001" s="13" t="s">
        <v>4672</v>
      </c>
      <c r="L1001" s="12" t="s">
        <v>4672</v>
      </c>
      <c r="M1001" s="17" t="str">
        <f>IF(LEN(COUNTIFS($H$1:H1001,$H1001,$I$1:I1001,$I1001,$J$1:J1001,$J1001,$K$1:K1001,K1001,$L$1:L1001,L1001))=1,"00"&amp;COUNTIFS($H$1:H1001,$H1001,$I$1:I1001,$I1001,$J$1:J1001,$J1001,$K$1:K1001,K1001,$L$1:L1001,L1001),IF(LEN(COUNTIFS($H$1:H1001,$H1001,$I$1:I1001,$I1001,$J$1:J1001,$J1001,$K$1:K1001,K1001,$L$1:L1001,L1001))=2,"0"&amp;COUNTIFS($H$1:H1001,$H1001,$I$1:I1001,$I1001,$J$1:J1001,$J1001,$K$1:K1001,K1001,$L$1:L1001,L1001),COUNTIFS($H$1:H1001,$H1001,$I$1:I1001,$I1001,$J$1:J1001,$J1001,$K$1:K1001,K1001,$L$1:L1001,L1001)))</f>
        <v>002</v>
      </c>
      <c r="N100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01" s="14" t="e">
        <f>+LEN(Table4[[#This Row],[New Item Code]])</f>
        <v>#N/A</v>
      </c>
      <c r="P1001" s="15" t="s">
        <v>4747</v>
      </c>
      <c r="Q1001" s="15" t="s">
        <v>4749</v>
      </c>
      <c r="R1001" s="15"/>
      <c r="S1001" s="15"/>
      <c r="T1001" s="15" t="s">
        <v>4695</v>
      </c>
    </row>
    <row r="1002" spans="1:20" x14ac:dyDescent="0.35">
      <c r="A1002" s="2" t="s">
        <v>2006</v>
      </c>
      <c r="B1002" s="2" t="s">
        <v>2007</v>
      </c>
      <c r="C1002" s="2" t="s">
        <v>15</v>
      </c>
      <c r="D1002" s="2">
        <v>0</v>
      </c>
      <c r="E1002" s="2" t="s">
        <v>10</v>
      </c>
      <c r="F1002" s="2">
        <v>0</v>
      </c>
      <c r="G1002" s="22">
        <f>Table4[[#This Row],[Item Cost]]*Table4[[#This Row],[In Stock]]</f>
        <v>0</v>
      </c>
      <c r="H1002" s="12" t="s">
        <v>4661</v>
      </c>
      <c r="I1002" s="13" t="s">
        <v>4666</v>
      </c>
      <c r="J1002" s="13" t="s">
        <v>4695</v>
      </c>
      <c r="K1002" t="s">
        <v>4797</v>
      </c>
      <c r="L1002" s="12" t="s">
        <v>4672</v>
      </c>
      <c r="M1002" s="17" t="str">
        <f>IF(LEN(COUNTIFS($H$1:H1002,$H1002,$I$1:I1002,$I1002,$J$1:J1002,$J1002,$K$1:K1002,K1002,$L$1:L1002,L1002))=1,"00"&amp;COUNTIFS($H$1:H1002,$H1002,$I$1:I1002,$I1002,$J$1:J1002,$J1002,$K$1:K1002,K1002,$L$1:L1002,L1002),IF(LEN(COUNTIFS($H$1:H1002,$H1002,$I$1:I1002,$I1002,$J$1:J1002,$J1002,$K$1:K1002,K1002,$L$1:L1002,L1002))=2,"0"&amp;COUNTIFS($H$1:H1002,$H1002,$I$1:I1002,$I1002,$J$1:J1002,$J1002,$K$1:K1002,K1002,$L$1:L1002,L1002),COUNTIFS($H$1:H1002,$H1002,$I$1:I1002,$I1002,$J$1:J1002,$J1002,$K$1:K1002,K1002,$L$1:L1002,L1002)))</f>
        <v>001</v>
      </c>
      <c r="N100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02" s="14" t="e">
        <f>+LEN(Table4[[#This Row],[New Item Code]])</f>
        <v>#N/A</v>
      </c>
      <c r="P1002" s="15" t="s">
        <v>4747</v>
      </c>
      <c r="Q1002" s="15" t="s">
        <v>4749</v>
      </c>
      <c r="R1002" s="15"/>
      <c r="S1002" s="15"/>
      <c r="T1002" s="15" t="s">
        <v>4695</v>
      </c>
    </row>
    <row r="1003" spans="1:20" x14ac:dyDescent="0.35">
      <c r="A1003" s="3" t="s">
        <v>2008</v>
      </c>
      <c r="B1003" s="3" t="s">
        <v>2009</v>
      </c>
      <c r="C1003" s="3" t="s">
        <v>15</v>
      </c>
      <c r="D1003" s="3">
        <v>0</v>
      </c>
      <c r="E1003" s="3" t="s">
        <v>10</v>
      </c>
      <c r="F1003" s="3">
        <v>0</v>
      </c>
      <c r="G1003" s="21">
        <f>Table4[[#This Row],[Item Cost]]*Table4[[#This Row],[In Stock]]</f>
        <v>0</v>
      </c>
      <c r="H1003" s="12" t="s">
        <v>4661</v>
      </c>
      <c r="I1003" s="13" t="s">
        <v>4666</v>
      </c>
      <c r="J1003" s="13" t="s">
        <v>4695</v>
      </c>
      <c r="K1003" s="13" t="s">
        <v>4672</v>
      </c>
      <c r="L1003" s="12" t="s">
        <v>4672</v>
      </c>
      <c r="M1003" s="17" t="str">
        <f>IF(LEN(COUNTIFS($H$1:H1003,$H1003,$I$1:I1003,$I1003,$J$1:J1003,$J1003,$K$1:K1003,K1003,$L$1:L1003,L1003))=1,"00"&amp;COUNTIFS($H$1:H1003,$H1003,$I$1:I1003,$I1003,$J$1:J1003,$J1003,$K$1:K1003,K1003,$L$1:L1003,L1003),IF(LEN(COUNTIFS($H$1:H1003,$H1003,$I$1:I1003,$I1003,$J$1:J1003,$J1003,$K$1:K1003,K1003,$L$1:L1003,L1003))=2,"0"&amp;COUNTIFS($H$1:H1003,$H1003,$I$1:I1003,$I1003,$J$1:J1003,$J1003,$K$1:K1003,K1003,$L$1:L1003,L1003),COUNTIFS($H$1:H1003,$H1003,$I$1:I1003,$I1003,$J$1:J1003,$J1003,$K$1:K1003,K1003,$L$1:L1003,L1003)))</f>
        <v>003</v>
      </c>
      <c r="N100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03" s="14" t="e">
        <f>+LEN(Table4[[#This Row],[New Item Code]])</f>
        <v>#N/A</v>
      </c>
      <c r="P1003" s="15" t="s">
        <v>4747</v>
      </c>
      <c r="Q1003" s="15" t="s">
        <v>4749</v>
      </c>
      <c r="R1003" s="15"/>
      <c r="S1003" s="15"/>
      <c r="T1003" s="15" t="s">
        <v>4695</v>
      </c>
    </row>
    <row r="1004" spans="1:20" x14ac:dyDescent="0.35">
      <c r="A1004" s="2" t="s">
        <v>2010</v>
      </c>
      <c r="B1004" s="2" t="s">
        <v>2011</v>
      </c>
      <c r="C1004" s="2" t="s">
        <v>15</v>
      </c>
      <c r="D1004" s="2">
        <v>0</v>
      </c>
      <c r="E1004" s="2" t="s">
        <v>10</v>
      </c>
      <c r="F1004" s="2">
        <v>0</v>
      </c>
      <c r="G1004" s="22">
        <f>Table4[[#This Row],[Item Cost]]*Table4[[#This Row],[In Stock]]</f>
        <v>0</v>
      </c>
      <c r="H1004" s="12" t="s">
        <v>4661</v>
      </c>
      <c r="I1004" s="13" t="s">
        <v>4666</v>
      </c>
      <c r="J1004" s="13" t="s">
        <v>4695</v>
      </c>
      <c r="K1004" s="13" t="s">
        <v>4672</v>
      </c>
      <c r="L1004" s="12" t="s">
        <v>4672</v>
      </c>
      <c r="M1004" s="17" t="str">
        <f>IF(LEN(COUNTIFS($H$1:H1004,$H1004,$I$1:I1004,$I1004,$J$1:J1004,$J1004,$K$1:K1004,K1004,$L$1:L1004,L1004))=1,"00"&amp;COUNTIFS($H$1:H1004,$H1004,$I$1:I1004,$I1004,$J$1:J1004,$J1004,$K$1:K1004,K1004,$L$1:L1004,L1004),IF(LEN(COUNTIFS($H$1:H1004,$H1004,$I$1:I1004,$I1004,$J$1:J1004,$J1004,$K$1:K1004,K1004,$L$1:L1004,L1004))=2,"0"&amp;COUNTIFS($H$1:H1004,$H1004,$I$1:I1004,$I1004,$J$1:J1004,$J1004,$K$1:K1004,K1004,$L$1:L1004,L1004),COUNTIFS($H$1:H1004,$H1004,$I$1:I1004,$I1004,$J$1:J1004,$J1004,$K$1:K1004,K1004,$L$1:L1004,L1004)))</f>
        <v>004</v>
      </c>
      <c r="N100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04" s="14" t="e">
        <f>+LEN(Table4[[#This Row],[New Item Code]])</f>
        <v>#N/A</v>
      </c>
      <c r="P1004" s="15" t="s">
        <v>4747</v>
      </c>
      <c r="Q1004" s="15" t="s">
        <v>4749</v>
      </c>
      <c r="R1004" s="15"/>
      <c r="S1004" s="15"/>
      <c r="T1004" s="15" t="s">
        <v>4695</v>
      </c>
    </row>
    <row r="1005" spans="1:20" x14ac:dyDescent="0.35">
      <c r="A1005" s="3" t="s">
        <v>2012</v>
      </c>
      <c r="B1005" s="3" t="s">
        <v>2013</v>
      </c>
      <c r="C1005" s="3" t="s">
        <v>15</v>
      </c>
      <c r="D1005" s="3">
        <v>0</v>
      </c>
      <c r="E1005" s="3" t="s">
        <v>10</v>
      </c>
      <c r="F1005" s="3">
        <v>0</v>
      </c>
      <c r="G1005" s="21">
        <f>Table4[[#This Row],[Item Cost]]*Table4[[#This Row],[In Stock]]</f>
        <v>0</v>
      </c>
      <c r="H1005" s="12" t="s">
        <v>4661</v>
      </c>
      <c r="I1005" s="13" t="s">
        <v>4666</v>
      </c>
      <c r="J1005" s="13" t="s">
        <v>4695</v>
      </c>
      <c r="K1005" t="s">
        <v>4797</v>
      </c>
      <c r="L1005" s="12" t="s">
        <v>4672</v>
      </c>
      <c r="M1005" s="17" t="str">
        <f>IF(LEN(COUNTIFS($H$1:H1005,$H1005,$I$1:I1005,$I1005,$J$1:J1005,$J1005,$K$1:K1005,K1005,$L$1:L1005,L1005))=1,"00"&amp;COUNTIFS($H$1:H1005,$H1005,$I$1:I1005,$I1005,$J$1:J1005,$J1005,$K$1:K1005,K1005,$L$1:L1005,L1005),IF(LEN(COUNTIFS($H$1:H1005,$H1005,$I$1:I1005,$I1005,$J$1:J1005,$J1005,$K$1:K1005,K1005,$L$1:L1005,L1005))=2,"0"&amp;COUNTIFS($H$1:H1005,$H1005,$I$1:I1005,$I1005,$J$1:J1005,$J1005,$K$1:K1005,K1005,$L$1:L1005,L1005),COUNTIFS($H$1:H1005,$H1005,$I$1:I1005,$I1005,$J$1:J1005,$J1005,$K$1:K1005,K1005,$L$1:L1005,L1005)))</f>
        <v>002</v>
      </c>
      <c r="N100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05" s="14" t="e">
        <f>+LEN(Table4[[#This Row],[New Item Code]])</f>
        <v>#N/A</v>
      </c>
      <c r="P1005" s="15" t="s">
        <v>4747</v>
      </c>
      <c r="Q1005" s="15" t="s">
        <v>4749</v>
      </c>
      <c r="R1005" s="15"/>
      <c r="S1005" s="15"/>
      <c r="T1005" s="15" t="s">
        <v>4695</v>
      </c>
    </row>
    <row r="1006" spans="1:20" x14ac:dyDescent="0.35">
      <c r="A1006" s="2" t="s">
        <v>2014</v>
      </c>
      <c r="B1006" s="2" t="s">
        <v>2015</v>
      </c>
      <c r="C1006" s="2" t="s">
        <v>15</v>
      </c>
      <c r="D1006" s="2">
        <v>0</v>
      </c>
      <c r="E1006" s="2" t="s">
        <v>10</v>
      </c>
      <c r="F1006" s="2">
        <v>0</v>
      </c>
      <c r="G1006" s="22">
        <f>Table4[[#This Row],[Item Cost]]*Table4[[#This Row],[In Stock]]</f>
        <v>0</v>
      </c>
      <c r="H1006" s="12" t="s">
        <v>4661</v>
      </c>
      <c r="I1006" s="13" t="s">
        <v>4666</v>
      </c>
      <c r="J1006" s="13" t="s">
        <v>4695</v>
      </c>
      <c r="K1006" s="13" t="s">
        <v>4672</v>
      </c>
      <c r="L1006" s="12" t="s">
        <v>4672</v>
      </c>
      <c r="M1006" s="17" t="str">
        <f>IF(LEN(COUNTIFS($H$1:H1006,$H1006,$I$1:I1006,$I1006,$J$1:J1006,$J1006,$K$1:K1006,K1006,$L$1:L1006,L1006))=1,"00"&amp;COUNTIFS($H$1:H1006,$H1006,$I$1:I1006,$I1006,$J$1:J1006,$J1006,$K$1:K1006,K1006,$L$1:L1006,L1006),IF(LEN(COUNTIFS($H$1:H1006,$H1006,$I$1:I1006,$I1006,$J$1:J1006,$J1006,$K$1:K1006,K1006,$L$1:L1006,L1006))=2,"0"&amp;COUNTIFS($H$1:H1006,$H1006,$I$1:I1006,$I1006,$J$1:J1006,$J1006,$K$1:K1006,K1006,$L$1:L1006,L1006),COUNTIFS($H$1:H1006,$H1006,$I$1:I1006,$I1006,$J$1:J1006,$J1006,$K$1:K1006,K1006,$L$1:L1006,L1006)))</f>
        <v>005</v>
      </c>
      <c r="N100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06" s="14" t="e">
        <f>+LEN(Table4[[#This Row],[New Item Code]])</f>
        <v>#N/A</v>
      </c>
      <c r="P1006" s="15" t="s">
        <v>4747</v>
      </c>
      <c r="Q1006" s="15" t="s">
        <v>4749</v>
      </c>
      <c r="R1006" s="15"/>
      <c r="S1006" s="15"/>
      <c r="T1006" s="15" t="s">
        <v>4695</v>
      </c>
    </row>
    <row r="1007" spans="1:20" x14ac:dyDescent="0.35">
      <c r="A1007" s="3" t="s">
        <v>2016</v>
      </c>
      <c r="B1007" s="3" t="s">
        <v>2017</v>
      </c>
      <c r="C1007" s="3" t="s">
        <v>15</v>
      </c>
      <c r="D1007" s="3">
        <v>0</v>
      </c>
      <c r="E1007" s="3" t="s">
        <v>10</v>
      </c>
      <c r="F1007" s="3">
        <v>0</v>
      </c>
      <c r="G1007" s="21">
        <f>Table4[[#This Row],[Item Cost]]*Table4[[#This Row],[In Stock]]</f>
        <v>0</v>
      </c>
      <c r="H1007" s="12" t="s">
        <v>4661</v>
      </c>
      <c r="I1007" s="13" t="s">
        <v>4666</v>
      </c>
      <c r="J1007" s="13" t="s">
        <v>4695</v>
      </c>
      <c r="K1007" s="13" t="s">
        <v>4672</v>
      </c>
      <c r="L1007" s="12" t="s">
        <v>4672</v>
      </c>
      <c r="M1007" s="17" t="str">
        <f>IF(LEN(COUNTIFS($H$1:H1007,$H1007,$I$1:I1007,$I1007,$J$1:J1007,$J1007,$K$1:K1007,K1007,$L$1:L1007,L1007))=1,"00"&amp;COUNTIFS($H$1:H1007,$H1007,$I$1:I1007,$I1007,$J$1:J1007,$J1007,$K$1:K1007,K1007,$L$1:L1007,L1007),IF(LEN(COUNTIFS($H$1:H1007,$H1007,$I$1:I1007,$I1007,$J$1:J1007,$J1007,$K$1:K1007,K1007,$L$1:L1007,L1007))=2,"0"&amp;COUNTIFS($H$1:H1007,$H1007,$I$1:I1007,$I1007,$J$1:J1007,$J1007,$K$1:K1007,K1007,$L$1:L1007,L1007),COUNTIFS($H$1:H1007,$H1007,$I$1:I1007,$I1007,$J$1:J1007,$J1007,$K$1:K1007,K1007,$L$1:L1007,L1007)))</f>
        <v>006</v>
      </c>
      <c r="N100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07" s="14" t="e">
        <f>+LEN(Table4[[#This Row],[New Item Code]])</f>
        <v>#N/A</v>
      </c>
      <c r="P1007" s="15" t="s">
        <v>4747</v>
      </c>
      <c r="Q1007" s="15" t="s">
        <v>4749</v>
      </c>
      <c r="R1007" s="15"/>
      <c r="S1007" s="15"/>
      <c r="T1007" s="15" t="s">
        <v>4695</v>
      </c>
    </row>
    <row r="1008" spans="1:20" x14ac:dyDescent="0.35">
      <c r="A1008" s="2" t="s">
        <v>2018</v>
      </c>
      <c r="B1008" s="2" t="s">
        <v>2019</v>
      </c>
      <c r="C1008" s="2" t="s">
        <v>15</v>
      </c>
      <c r="D1008" s="2">
        <v>0</v>
      </c>
      <c r="E1008" s="2" t="s">
        <v>10</v>
      </c>
      <c r="F1008" s="2">
        <v>0</v>
      </c>
      <c r="G1008" s="22">
        <f>Table4[[#This Row],[Item Cost]]*Table4[[#This Row],[In Stock]]</f>
        <v>0</v>
      </c>
      <c r="H1008" s="12" t="s">
        <v>4661</v>
      </c>
      <c r="I1008" s="13" t="s">
        <v>4666</v>
      </c>
      <c r="J1008" s="13" t="s">
        <v>4695</v>
      </c>
      <c r="K1008" s="13" t="s">
        <v>4672</v>
      </c>
      <c r="L1008" s="12" t="s">
        <v>4672</v>
      </c>
      <c r="M1008" s="17" t="str">
        <f>IF(LEN(COUNTIFS($H$1:H1008,$H1008,$I$1:I1008,$I1008,$J$1:J1008,$J1008,$K$1:K1008,K1008,$L$1:L1008,L1008))=1,"00"&amp;COUNTIFS($H$1:H1008,$H1008,$I$1:I1008,$I1008,$J$1:J1008,$J1008,$K$1:K1008,K1008,$L$1:L1008,L1008),IF(LEN(COUNTIFS($H$1:H1008,$H1008,$I$1:I1008,$I1008,$J$1:J1008,$J1008,$K$1:K1008,K1008,$L$1:L1008,L1008))=2,"0"&amp;COUNTIFS($H$1:H1008,$H1008,$I$1:I1008,$I1008,$J$1:J1008,$J1008,$K$1:K1008,K1008,$L$1:L1008,L1008),COUNTIFS($H$1:H1008,$H1008,$I$1:I1008,$I1008,$J$1:J1008,$J1008,$K$1:K1008,K1008,$L$1:L1008,L1008)))</f>
        <v>007</v>
      </c>
      <c r="N100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08" s="14" t="e">
        <f>+LEN(Table4[[#This Row],[New Item Code]])</f>
        <v>#N/A</v>
      </c>
      <c r="P1008" s="15" t="s">
        <v>4747</v>
      </c>
      <c r="Q1008" s="15" t="s">
        <v>4749</v>
      </c>
      <c r="R1008" s="15"/>
      <c r="S1008" s="15"/>
      <c r="T1008" s="15" t="s">
        <v>4695</v>
      </c>
    </row>
    <row r="1009" spans="1:20" x14ac:dyDescent="0.35">
      <c r="A1009" s="3" t="s">
        <v>2020</v>
      </c>
      <c r="B1009" s="3" t="s">
        <v>2021</v>
      </c>
      <c r="C1009" s="3" t="s">
        <v>15</v>
      </c>
      <c r="D1009" s="3">
        <v>0</v>
      </c>
      <c r="E1009" s="3" t="s">
        <v>10</v>
      </c>
      <c r="F1009" s="3">
        <v>0</v>
      </c>
      <c r="G1009" s="21">
        <f>Table4[[#This Row],[Item Cost]]*Table4[[#This Row],[In Stock]]</f>
        <v>0</v>
      </c>
      <c r="H1009" s="12" t="s">
        <v>4661</v>
      </c>
      <c r="I1009" s="13" t="s">
        <v>4666</v>
      </c>
      <c r="J1009" s="13" t="s">
        <v>4695</v>
      </c>
      <c r="K1009" s="13" t="s">
        <v>4672</v>
      </c>
      <c r="L1009" s="12" t="s">
        <v>4672</v>
      </c>
      <c r="M1009" s="17" t="str">
        <f>IF(LEN(COUNTIFS($H$1:H1009,$H1009,$I$1:I1009,$I1009,$J$1:J1009,$J1009,$K$1:K1009,K1009,$L$1:L1009,L1009))=1,"00"&amp;COUNTIFS($H$1:H1009,$H1009,$I$1:I1009,$I1009,$J$1:J1009,$J1009,$K$1:K1009,K1009,$L$1:L1009,L1009),IF(LEN(COUNTIFS($H$1:H1009,$H1009,$I$1:I1009,$I1009,$J$1:J1009,$J1009,$K$1:K1009,K1009,$L$1:L1009,L1009))=2,"0"&amp;COUNTIFS($H$1:H1009,$H1009,$I$1:I1009,$I1009,$J$1:J1009,$J1009,$K$1:K1009,K1009,$L$1:L1009,L1009),COUNTIFS($H$1:H1009,$H1009,$I$1:I1009,$I1009,$J$1:J1009,$J1009,$K$1:K1009,K1009,$L$1:L1009,L1009)))</f>
        <v>008</v>
      </c>
      <c r="N100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09" s="14" t="e">
        <f>+LEN(Table4[[#This Row],[New Item Code]])</f>
        <v>#N/A</v>
      </c>
      <c r="P1009" s="15" t="s">
        <v>4747</v>
      </c>
      <c r="Q1009" s="15" t="s">
        <v>4749</v>
      </c>
      <c r="R1009" s="15"/>
      <c r="S1009" s="15"/>
      <c r="T1009" s="15" t="s">
        <v>4695</v>
      </c>
    </row>
    <row r="1010" spans="1:20" x14ac:dyDescent="0.35">
      <c r="A1010" s="2" t="s">
        <v>2022</v>
      </c>
      <c r="B1010" s="2" t="s">
        <v>2023</v>
      </c>
      <c r="C1010" s="2" t="s">
        <v>9</v>
      </c>
      <c r="D1010" s="4">
        <v>8950</v>
      </c>
      <c r="E1010" s="2" t="s">
        <v>10</v>
      </c>
      <c r="F1010" s="2">
        <v>1</v>
      </c>
      <c r="G1010" s="22">
        <f>Table4[[#This Row],[Item Cost]]*Table4[[#This Row],[In Stock]]</f>
        <v>8950</v>
      </c>
      <c r="H1010" s="12" t="s">
        <v>4661</v>
      </c>
      <c r="I1010" s="13" t="s">
        <v>4664</v>
      </c>
      <c r="J1010" s="13" t="s">
        <v>4695</v>
      </c>
      <c r="K1010" s="13" t="s">
        <v>4672</v>
      </c>
      <c r="L1010" s="12" t="s">
        <v>4672</v>
      </c>
      <c r="M1010" s="17" t="str">
        <f>IF(LEN(COUNTIFS($H$1:H1010,$H1010,$I$1:I1010,$I1010,$J$1:J1010,$J1010,$K$1:K1010,K1010,$L$1:L1010,L1010))=1,"00"&amp;COUNTIFS($H$1:H1010,$H1010,$I$1:I1010,$I1010,$J$1:J1010,$J1010,$K$1:K1010,K1010,$L$1:L1010,L1010),IF(LEN(COUNTIFS($H$1:H1010,$H1010,$I$1:I1010,$I1010,$J$1:J1010,$J1010,$K$1:K1010,K1010,$L$1:L1010,L1010))=2,"0"&amp;COUNTIFS($H$1:H1010,$H1010,$I$1:I1010,$I1010,$J$1:J1010,$J1010,$K$1:K1010,K1010,$L$1:L1010,L1010),COUNTIFS($H$1:H1010,$H1010,$I$1:I1010,$I1010,$J$1:J1010,$J1010,$K$1:K1010,K1010,$L$1:L1010,L1010)))</f>
        <v>001</v>
      </c>
      <c r="N101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10" s="14" t="e">
        <f>+LEN(Table4[[#This Row],[New Item Code]])</f>
        <v>#N/A</v>
      </c>
      <c r="P1010" s="15" t="s">
        <v>4747</v>
      </c>
      <c r="Q1010" s="15" t="s">
        <v>4749</v>
      </c>
      <c r="R1010" s="15"/>
      <c r="S1010" s="15"/>
      <c r="T1010" s="15" t="s">
        <v>4695</v>
      </c>
    </row>
    <row r="1011" spans="1:20" x14ac:dyDescent="0.35">
      <c r="A1011" s="3" t="s">
        <v>2024</v>
      </c>
      <c r="B1011" s="3" t="s">
        <v>2025</v>
      </c>
      <c r="C1011" s="3" t="s">
        <v>15</v>
      </c>
      <c r="D1011" s="5">
        <v>8250</v>
      </c>
      <c r="E1011" s="3" t="s">
        <v>10</v>
      </c>
      <c r="F1011" s="3">
        <v>0</v>
      </c>
      <c r="G1011" s="21">
        <f>Table4[[#This Row],[Item Cost]]*Table4[[#This Row],[In Stock]]</f>
        <v>0</v>
      </c>
      <c r="H1011" s="12" t="s">
        <v>4661</v>
      </c>
      <c r="I1011" s="13" t="s">
        <v>4666</v>
      </c>
      <c r="J1011" s="13" t="s">
        <v>4695</v>
      </c>
      <c r="K1011" s="13" t="s">
        <v>4672</v>
      </c>
      <c r="L1011" s="12" t="s">
        <v>4672</v>
      </c>
      <c r="M1011" s="17" t="str">
        <f>IF(LEN(COUNTIFS($H$1:H1011,$H1011,$I$1:I1011,$I1011,$J$1:J1011,$J1011,$K$1:K1011,K1011,$L$1:L1011,L1011))=1,"00"&amp;COUNTIFS($H$1:H1011,$H1011,$I$1:I1011,$I1011,$J$1:J1011,$J1011,$K$1:K1011,K1011,$L$1:L1011,L1011),IF(LEN(COUNTIFS($H$1:H1011,$H1011,$I$1:I1011,$I1011,$J$1:J1011,$J1011,$K$1:K1011,K1011,$L$1:L1011,L1011))=2,"0"&amp;COUNTIFS($H$1:H1011,$H1011,$I$1:I1011,$I1011,$J$1:J1011,$J1011,$K$1:K1011,K1011,$L$1:L1011,L1011),COUNTIFS($H$1:H1011,$H1011,$I$1:I1011,$I1011,$J$1:J1011,$J1011,$K$1:K1011,K1011,$L$1:L1011,L1011)))</f>
        <v>009</v>
      </c>
      <c r="N101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11" s="14" t="e">
        <f>+LEN(Table4[[#This Row],[New Item Code]])</f>
        <v>#N/A</v>
      </c>
      <c r="P1011" s="15" t="s">
        <v>4747</v>
      </c>
      <c r="Q1011" s="15" t="s">
        <v>4749</v>
      </c>
      <c r="R1011" s="15"/>
      <c r="S1011" s="15"/>
      <c r="T1011" s="15" t="s">
        <v>4695</v>
      </c>
    </row>
    <row r="1012" spans="1:20" x14ac:dyDescent="0.35">
      <c r="A1012" s="2" t="s">
        <v>2026</v>
      </c>
      <c r="B1012" s="2" t="s">
        <v>2027</v>
      </c>
      <c r="C1012" s="2" t="s">
        <v>56</v>
      </c>
      <c r="D1012" s="2">
        <v>0</v>
      </c>
      <c r="E1012" s="2" t="s">
        <v>57</v>
      </c>
      <c r="F1012" s="2">
        <v>0</v>
      </c>
      <c r="G1012" s="22">
        <f>Table4[[#This Row],[Item Cost]]*Table4[[#This Row],[In Stock]]</f>
        <v>0</v>
      </c>
      <c r="H1012" s="12" t="s">
        <v>4661</v>
      </c>
      <c r="I1012" s="13" t="s">
        <v>4668</v>
      </c>
      <c r="J1012" s="13" t="s">
        <v>4695</v>
      </c>
      <c r="K1012" s="13" t="s">
        <v>4672</v>
      </c>
      <c r="L1012" s="12" t="s">
        <v>4672</v>
      </c>
      <c r="M1012" s="17" t="str">
        <f>IF(LEN(COUNTIFS($H$1:H1012,$H1012,$I$1:I1012,$I1012,$J$1:J1012,$J1012,$K$1:K1012,K1012,$L$1:L1012,L1012))=1,"00"&amp;COUNTIFS($H$1:H1012,$H1012,$I$1:I1012,$I1012,$J$1:J1012,$J1012,$K$1:K1012,K1012,$L$1:L1012,L1012),IF(LEN(COUNTIFS($H$1:H1012,$H1012,$I$1:I1012,$I1012,$J$1:J1012,$J1012,$K$1:K1012,K1012,$L$1:L1012,L1012))=2,"0"&amp;COUNTIFS($H$1:H1012,$H1012,$I$1:I1012,$I1012,$J$1:J1012,$J1012,$K$1:K1012,K1012,$L$1:L1012,L1012),COUNTIFS($H$1:H1012,$H1012,$I$1:I1012,$I1012,$J$1:J1012,$J1012,$K$1:K1012,K1012,$L$1:L1012,L1012)))</f>
        <v>001</v>
      </c>
      <c r="N101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12" s="14" t="e">
        <f>+LEN(Table4[[#This Row],[New Item Code]])</f>
        <v>#N/A</v>
      </c>
      <c r="P1012" s="15" t="s">
        <v>4747</v>
      </c>
      <c r="Q1012" s="15" t="s">
        <v>4749</v>
      </c>
      <c r="R1012" s="15"/>
      <c r="S1012" s="15"/>
      <c r="T1012" s="15" t="s">
        <v>4695</v>
      </c>
    </row>
    <row r="1013" spans="1:20" x14ac:dyDescent="0.35">
      <c r="A1013" s="2" t="s">
        <v>2028</v>
      </c>
      <c r="B1013" s="2" t="s">
        <v>2029</v>
      </c>
      <c r="C1013" s="2" t="s">
        <v>15</v>
      </c>
      <c r="D1013" s="2">
        <v>0</v>
      </c>
      <c r="E1013" s="2" t="s">
        <v>57</v>
      </c>
      <c r="F1013" s="2">
        <v>0</v>
      </c>
      <c r="G1013" s="22">
        <f>Table4[[#This Row],[Item Cost]]*Table4[[#This Row],[In Stock]]</f>
        <v>0</v>
      </c>
      <c r="H1013" s="12" t="s">
        <v>4661</v>
      </c>
      <c r="I1013" s="13" t="s">
        <v>4666</v>
      </c>
      <c r="J1013" s="13" t="s">
        <v>4695</v>
      </c>
      <c r="K1013" s="13" t="s">
        <v>4672</v>
      </c>
      <c r="L1013" s="12" t="s">
        <v>4672</v>
      </c>
      <c r="M1013" s="17" t="str">
        <f>IF(LEN(COUNTIFS($H$1:H1013,$H1013,$I$1:I1013,$I1013,$J$1:J1013,$J1013,$K$1:K1013,K1013,$L$1:L1013,L1013))=1,"00"&amp;COUNTIFS($H$1:H1013,$H1013,$I$1:I1013,$I1013,$J$1:J1013,$J1013,$K$1:K1013,K1013,$L$1:L1013,L1013),IF(LEN(COUNTIFS($H$1:H1013,$H1013,$I$1:I1013,$I1013,$J$1:J1013,$J1013,$K$1:K1013,K1013,$L$1:L1013,L1013))=2,"0"&amp;COUNTIFS($H$1:H1013,$H1013,$I$1:I1013,$I1013,$J$1:J1013,$J1013,$K$1:K1013,K1013,$L$1:L1013,L1013),COUNTIFS($H$1:H1013,$H1013,$I$1:I1013,$I1013,$J$1:J1013,$J1013,$K$1:K1013,K1013,$L$1:L1013,L1013)))</f>
        <v>010</v>
      </c>
      <c r="N101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13" s="14" t="e">
        <f>+LEN(Table4[[#This Row],[New Item Code]])</f>
        <v>#N/A</v>
      </c>
      <c r="P1013" s="15" t="s">
        <v>4747</v>
      </c>
      <c r="Q1013" s="15" t="s">
        <v>4749</v>
      </c>
      <c r="R1013" s="15"/>
      <c r="S1013" s="15"/>
      <c r="T1013" s="15" t="s">
        <v>4695</v>
      </c>
    </row>
    <row r="1014" spans="1:20" x14ac:dyDescent="0.35">
      <c r="A1014" s="3" t="s">
        <v>2030</v>
      </c>
      <c r="B1014" s="3" t="s">
        <v>2031</v>
      </c>
      <c r="C1014" s="3" t="s">
        <v>15</v>
      </c>
      <c r="D1014" s="3">
        <v>0</v>
      </c>
      <c r="E1014" s="3" t="s">
        <v>10</v>
      </c>
      <c r="F1014" s="3">
        <v>0</v>
      </c>
      <c r="G1014" s="21">
        <f>Table4[[#This Row],[Item Cost]]*Table4[[#This Row],[In Stock]]</f>
        <v>0</v>
      </c>
      <c r="H1014" s="12" t="s">
        <v>4661</v>
      </c>
      <c r="I1014" s="13" t="s">
        <v>4666</v>
      </c>
      <c r="J1014" s="13" t="s">
        <v>4695</v>
      </c>
      <c r="K1014" s="13" t="s">
        <v>4672</v>
      </c>
      <c r="L1014" s="12" t="s">
        <v>4672</v>
      </c>
      <c r="M1014" s="17" t="str">
        <f>IF(LEN(COUNTIFS($H$1:H1014,$H1014,$I$1:I1014,$I1014,$J$1:J1014,$J1014,$K$1:K1014,K1014,$L$1:L1014,L1014))=1,"00"&amp;COUNTIFS($H$1:H1014,$H1014,$I$1:I1014,$I1014,$J$1:J1014,$J1014,$K$1:K1014,K1014,$L$1:L1014,L1014),IF(LEN(COUNTIFS($H$1:H1014,$H1014,$I$1:I1014,$I1014,$J$1:J1014,$J1014,$K$1:K1014,K1014,$L$1:L1014,L1014))=2,"0"&amp;COUNTIFS($H$1:H1014,$H1014,$I$1:I1014,$I1014,$J$1:J1014,$J1014,$K$1:K1014,K1014,$L$1:L1014,L1014),COUNTIFS($H$1:H1014,$H1014,$I$1:I1014,$I1014,$J$1:J1014,$J1014,$K$1:K1014,K1014,$L$1:L1014,L1014)))</f>
        <v>011</v>
      </c>
      <c r="N101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14" s="14" t="e">
        <f>+LEN(Table4[[#This Row],[New Item Code]])</f>
        <v>#N/A</v>
      </c>
      <c r="P1014" s="15" t="s">
        <v>4747</v>
      </c>
      <c r="Q1014" s="15" t="s">
        <v>4749</v>
      </c>
      <c r="R1014" s="15"/>
      <c r="S1014" s="15"/>
      <c r="T1014" s="15" t="s">
        <v>4695</v>
      </c>
    </row>
    <row r="1015" spans="1:20" x14ac:dyDescent="0.35">
      <c r="A1015" s="2" t="s">
        <v>2032</v>
      </c>
      <c r="B1015" s="2" t="s">
        <v>2033</v>
      </c>
      <c r="C1015" s="2" t="s">
        <v>15</v>
      </c>
      <c r="D1015" s="2">
        <v>0</v>
      </c>
      <c r="E1015" s="2" t="s">
        <v>10</v>
      </c>
      <c r="F1015" s="2">
        <v>0</v>
      </c>
      <c r="G1015" s="22">
        <f>Table4[[#This Row],[Item Cost]]*Table4[[#This Row],[In Stock]]</f>
        <v>0</v>
      </c>
      <c r="H1015" s="12" t="s">
        <v>4661</v>
      </c>
      <c r="I1015" s="13" t="s">
        <v>4666</v>
      </c>
      <c r="J1015" s="13" t="s">
        <v>4695</v>
      </c>
      <c r="K1015" s="13" t="s">
        <v>4672</v>
      </c>
      <c r="L1015" s="12" t="s">
        <v>4672</v>
      </c>
      <c r="M1015" s="17" t="str">
        <f>IF(LEN(COUNTIFS($H$1:H1015,$H1015,$I$1:I1015,$I1015,$J$1:J1015,$J1015,$K$1:K1015,K1015,$L$1:L1015,L1015))=1,"00"&amp;COUNTIFS($H$1:H1015,$H1015,$I$1:I1015,$I1015,$J$1:J1015,$J1015,$K$1:K1015,K1015,$L$1:L1015,L1015),IF(LEN(COUNTIFS($H$1:H1015,$H1015,$I$1:I1015,$I1015,$J$1:J1015,$J1015,$K$1:K1015,K1015,$L$1:L1015,L1015))=2,"0"&amp;COUNTIFS($H$1:H1015,$H1015,$I$1:I1015,$I1015,$J$1:J1015,$J1015,$K$1:K1015,K1015,$L$1:L1015,L1015),COUNTIFS($H$1:H1015,$H1015,$I$1:I1015,$I1015,$J$1:J1015,$J1015,$K$1:K1015,K1015,$L$1:L1015,L1015)))</f>
        <v>012</v>
      </c>
      <c r="N101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15" s="14" t="e">
        <f>+LEN(Table4[[#This Row],[New Item Code]])</f>
        <v>#N/A</v>
      </c>
      <c r="P1015" s="15" t="s">
        <v>4747</v>
      </c>
      <c r="Q1015" s="15" t="s">
        <v>4749</v>
      </c>
      <c r="R1015" s="15"/>
      <c r="S1015" s="15"/>
      <c r="T1015" s="15" t="s">
        <v>4695</v>
      </c>
    </row>
    <row r="1016" spans="1:20" x14ac:dyDescent="0.35">
      <c r="A1016" s="3" t="s">
        <v>2034</v>
      </c>
      <c r="B1016" s="3" t="s">
        <v>2035</v>
      </c>
      <c r="C1016" s="3" t="s">
        <v>15</v>
      </c>
      <c r="D1016" s="3">
        <v>0</v>
      </c>
      <c r="E1016" s="3" t="s">
        <v>10</v>
      </c>
      <c r="F1016" s="3">
        <v>0</v>
      </c>
      <c r="G1016" s="21">
        <f>Table4[[#This Row],[Item Cost]]*Table4[[#This Row],[In Stock]]</f>
        <v>0</v>
      </c>
      <c r="H1016" s="12" t="s">
        <v>4661</v>
      </c>
      <c r="I1016" s="13" t="s">
        <v>4666</v>
      </c>
      <c r="J1016" s="13" t="s">
        <v>4695</v>
      </c>
      <c r="K1016" s="13" t="s">
        <v>4672</v>
      </c>
      <c r="L1016" s="12" t="s">
        <v>4672</v>
      </c>
      <c r="M1016" s="17" t="str">
        <f>IF(LEN(COUNTIFS($H$1:H1016,$H1016,$I$1:I1016,$I1016,$J$1:J1016,$J1016,$K$1:K1016,K1016,$L$1:L1016,L1016))=1,"00"&amp;COUNTIFS($H$1:H1016,$H1016,$I$1:I1016,$I1016,$J$1:J1016,$J1016,$K$1:K1016,K1016,$L$1:L1016,L1016),IF(LEN(COUNTIFS($H$1:H1016,$H1016,$I$1:I1016,$I1016,$J$1:J1016,$J1016,$K$1:K1016,K1016,$L$1:L1016,L1016))=2,"0"&amp;COUNTIFS($H$1:H1016,$H1016,$I$1:I1016,$I1016,$J$1:J1016,$J1016,$K$1:K1016,K1016,$L$1:L1016,L1016),COUNTIFS($H$1:H1016,$H1016,$I$1:I1016,$I1016,$J$1:J1016,$J1016,$K$1:K1016,K1016,$L$1:L1016,L1016)))</f>
        <v>013</v>
      </c>
      <c r="N101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16" s="14" t="e">
        <f>+LEN(Table4[[#This Row],[New Item Code]])</f>
        <v>#N/A</v>
      </c>
      <c r="P1016" s="15" t="s">
        <v>4747</v>
      </c>
      <c r="Q1016" s="15" t="s">
        <v>4749</v>
      </c>
      <c r="R1016" s="15"/>
      <c r="S1016" s="15"/>
      <c r="T1016" s="15" t="s">
        <v>4695</v>
      </c>
    </row>
    <row r="1017" spans="1:20" x14ac:dyDescent="0.35">
      <c r="A1017" s="2" t="s">
        <v>2036</v>
      </c>
      <c r="B1017" s="2" t="s">
        <v>2037</v>
      </c>
      <c r="C1017" s="2" t="s">
        <v>15</v>
      </c>
      <c r="D1017" s="2">
        <v>0</v>
      </c>
      <c r="E1017" s="2" t="s">
        <v>10</v>
      </c>
      <c r="F1017" s="2">
        <v>0</v>
      </c>
      <c r="G1017" s="22">
        <f>Table4[[#This Row],[Item Cost]]*Table4[[#This Row],[In Stock]]</f>
        <v>0</v>
      </c>
      <c r="H1017" s="12" t="s">
        <v>4661</v>
      </c>
      <c r="I1017" s="13" t="s">
        <v>4666</v>
      </c>
      <c r="J1017" s="13" t="s">
        <v>4695</v>
      </c>
      <c r="K1017" t="s">
        <v>4797</v>
      </c>
      <c r="L1017" s="12" t="s">
        <v>4672</v>
      </c>
      <c r="M1017" s="17" t="str">
        <f>IF(LEN(COUNTIFS($H$1:H1017,$H1017,$I$1:I1017,$I1017,$J$1:J1017,$J1017,$K$1:K1017,K1017,$L$1:L1017,L1017))=1,"00"&amp;COUNTIFS($H$1:H1017,$H1017,$I$1:I1017,$I1017,$J$1:J1017,$J1017,$K$1:K1017,K1017,$L$1:L1017,L1017),IF(LEN(COUNTIFS($H$1:H1017,$H1017,$I$1:I1017,$I1017,$J$1:J1017,$J1017,$K$1:K1017,K1017,$L$1:L1017,L1017))=2,"0"&amp;COUNTIFS($H$1:H1017,$H1017,$I$1:I1017,$I1017,$J$1:J1017,$J1017,$K$1:K1017,K1017,$L$1:L1017,L1017),COUNTIFS($H$1:H1017,$H1017,$I$1:I1017,$I1017,$J$1:J1017,$J1017,$K$1:K1017,K1017,$L$1:L1017,L1017)))</f>
        <v>003</v>
      </c>
      <c r="N101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17" s="14" t="e">
        <f>+LEN(Table4[[#This Row],[New Item Code]])</f>
        <v>#N/A</v>
      </c>
      <c r="P1017" s="15" t="s">
        <v>4747</v>
      </c>
      <c r="Q1017" s="15" t="s">
        <v>4749</v>
      </c>
      <c r="R1017" s="15"/>
      <c r="S1017" s="15"/>
      <c r="T1017" s="15" t="s">
        <v>4695</v>
      </c>
    </row>
    <row r="1018" spans="1:20" x14ac:dyDescent="0.35">
      <c r="A1018" s="3" t="s">
        <v>2038</v>
      </c>
      <c r="B1018" s="3" t="s">
        <v>2039</v>
      </c>
      <c r="C1018" s="3" t="s">
        <v>15</v>
      </c>
      <c r="D1018" s="3">
        <v>477.10300000000001</v>
      </c>
      <c r="E1018" s="3" t="s">
        <v>10</v>
      </c>
      <c r="F1018" s="3">
        <v>7</v>
      </c>
      <c r="G1018" s="21">
        <f>Table4[[#This Row],[Item Cost]]*Table4[[#This Row],[In Stock]]</f>
        <v>3339.721</v>
      </c>
      <c r="H1018" s="12" t="s">
        <v>4661</v>
      </c>
      <c r="I1018" s="13" t="s">
        <v>4666</v>
      </c>
      <c r="J1018" s="13" t="s">
        <v>4695</v>
      </c>
      <c r="K1018" s="13" t="s">
        <v>4672</v>
      </c>
      <c r="L1018" s="12" t="s">
        <v>4672</v>
      </c>
      <c r="M1018" s="17" t="str">
        <f>IF(LEN(COUNTIFS($H$1:H1018,$H1018,$I$1:I1018,$I1018,$J$1:J1018,$J1018,$K$1:K1018,K1018,$L$1:L1018,L1018))=1,"00"&amp;COUNTIFS($H$1:H1018,$H1018,$I$1:I1018,$I1018,$J$1:J1018,$J1018,$K$1:K1018,K1018,$L$1:L1018,L1018),IF(LEN(COUNTIFS($H$1:H1018,$H1018,$I$1:I1018,$I1018,$J$1:J1018,$J1018,$K$1:K1018,K1018,$L$1:L1018,L1018))=2,"0"&amp;COUNTIFS($H$1:H1018,$H1018,$I$1:I1018,$I1018,$J$1:J1018,$J1018,$K$1:K1018,K1018,$L$1:L1018,L1018),COUNTIFS($H$1:H1018,$H1018,$I$1:I1018,$I1018,$J$1:J1018,$J1018,$K$1:K1018,K1018,$L$1:L1018,L1018)))</f>
        <v>014</v>
      </c>
      <c r="N101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18" s="14" t="e">
        <f>+LEN(Table4[[#This Row],[New Item Code]])</f>
        <v>#N/A</v>
      </c>
      <c r="P1018" s="15" t="s">
        <v>4747</v>
      </c>
      <c r="Q1018" s="15" t="s">
        <v>4749</v>
      </c>
      <c r="R1018" s="15"/>
      <c r="S1018" s="15"/>
      <c r="T1018" s="15" t="s">
        <v>4695</v>
      </c>
    </row>
    <row r="1019" spans="1:20" x14ac:dyDescent="0.35">
      <c r="A1019" s="2" t="s">
        <v>2040</v>
      </c>
      <c r="B1019" s="2" t="s">
        <v>2041</v>
      </c>
      <c r="C1019" s="2" t="s">
        <v>15</v>
      </c>
      <c r="D1019" s="2">
        <v>0</v>
      </c>
      <c r="E1019" s="2" t="s">
        <v>10</v>
      </c>
      <c r="F1019" s="2">
        <v>0</v>
      </c>
      <c r="G1019" s="22">
        <f>Table4[[#This Row],[Item Cost]]*Table4[[#This Row],[In Stock]]</f>
        <v>0</v>
      </c>
      <c r="H1019" s="12" t="s">
        <v>4661</v>
      </c>
      <c r="I1019" s="13" t="s">
        <v>4666</v>
      </c>
      <c r="J1019" s="13" t="s">
        <v>4695</v>
      </c>
      <c r="K1019" s="13" t="s">
        <v>4672</v>
      </c>
      <c r="L1019" s="12" t="s">
        <v>4672</v>
      </c>
      <c r="M1019" s="17" t="str">
        <f>IF(LEN(COUNTIFS($H$1:H1019,$H1019,$I$1:I1019,$I1019,$J$1:J1019,$J1019,$K$1:K1019,K1019,$L$1:L1019,L1019))=1,"00"&amp;COUNTIFS($H$1:H1019,$H1019,$I$1:I1019,$I1019,$J$1:J1019,$J1019,$K$1:K1019,K1019,$L$1:L1019,L1019),IF(LEN(COUNTIFS($H$1:H1019,$H1019,$I$1:I1019,$I1019,$J$1:J1019,$J1019,$K$1:K1019,K1019,$L$1:L1019,L1019))=2,"0"&amp;COUNTIFS($H$1:H1019,$H1019,$I$1:I1019,$I1019,$J$1:J1019,$J1019,$K$1:K1019,K1019,$L$1:L1019,L1019),COUNTIFS($H$1:H1019,$H1019,$I$1:I1019,$I1019,$J$1:J1019,$J1019,$K$1:K1019,K1019,$L$1:L1019,L1019)))</f>
        <v>015</v>
      </c>
      <c r="N101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19" s="14" t="e">
        <f>+LEN(Table4[[#This Row],[New Item Code]])</f>
        <v>#N/A</v>
      </c>
      <c r="P1019" s="15" t="s">
        <v>4747</v>
      </c>
      <c r="Q1019" s="15" t="s">
        <v>4749</v>
      </c>
      <c r="R1019" s="15"/>
      <c r="S1019" s="15"/>
      <c r="T1019" s="15" t="s">
        <v>4695</v>
      </c>
    </row>
    <row r="1020" spans="1:20" x14ac:dyDescent="0.35">
      <c r="A1020" s="3" t="s">
        <v>2042</v>
      </c>
      <c r="B1020" s="3" t="s">
        <v>2043</v>
      </c>
      <c r="C1020" s="3" t="s">
        <v>56</v>
      </c>
      <c r="D1020" s="5">
        <v>14986.15</v>
      </c>
      <c r="E1020" s="3" t="s">
        <v>57</v>
      </c>
      <c r="F1020" s="3">
        <v>1</v>
      </c>
      <c r="G1020" s="21">
        <f>Table4[[#This Row],[Item Cost]]*Table4[[#This Row],[In Stock]]</f>
        <v>14986.15</v>
      </c>
      <c r="H1020" s="12" t="s">
        <v>4661</v>
      </c>
      <c r="I1020" s="13" t="s">
        <v>4668</v>
      </c>
      <c r="J1020" s="13" t="s">
        <v>4695</v>
      </c>
      <c r="K1020" s="13" t="s">
        <v>4672</v>
      </c>
      <c r="L1020" s="12" t="s">
        <v>4672</v>
      </c>
      <c r="M1020" s="17" t="str">
        <f>IF(LEN(COUNTIFS($H$1:H1020,$H1020,$I$1:I1020,$I1020,$J$1:J1020,$J1020,$K$1:K1020,K1020,$L$1:L1020,L1020))=1,"00"&amp;COUNTIFS($H$1:H1020,$H1020,$I$1:I1020,$I1020,$J$1:J1020,$J1020,$K$1:K1020,K1020,$L$1:L1020,L1020),IF(LEN(COUNTIFS($H$1:H1020,$H1020,$I$1:I1020,$I1020,$J$1:J1020,$J1020,$K$1:K1020,K1020,$L$1:L1020,L1020))=2,"0"&amp;COUNTIFS($H$1:H1020,$H1020,$I$1:I1020,$I1020,$J$1:J1020,$J1020,$K$1:K1020,K1020,$L$1:L1020,L1020),COUNTIFS($H$1:H1020,$H1020,$I$1:I1020,$I1020,$J$1:J1020,$J1020,$K$1:K1020,K1020,$L$1:L1020,L1020)))</f>
        <v>002</v>
      </c>
      <c r="N102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20" s="14" t="e">
        <f>+LEN(Table4[[#This Row],[New Item Code]])</f>
        <v>#N/A</v>
      </c>
      <c r="P1020" s="15" t="s">
        <v>4747</v>
      </c>
      <c r="Q1020" s="15" t="s">
        <v>4749</v>
      </c>
      <c r="R1020" s="15"/>
      <c r="S1020" s="15"/>
      <c r="T1020" s="15" t="s">
        <v>4695</v>
      </c>
    </row>
    <row r="1021" spans="1:20" x14ac:dyDescent="0.35">
      <c r="A1021" s="2" t="s">
        <v>2044</v>
      </c>
      <c r="B1021" s="2" t="s">
        <v>2045</v>
      </c>
      <c r="C1021" s="2" t="s">
        <v>15</v>
      </c>
      <c r="D1021" s="4">
        <v>20162.03</v>
      </c>
      <c r="E1021" s="2" t="s">
        <v>10</v>
      </c>
      <c r="F1021" s="2">
        <v>1</v>
      </c>
      <c r="G1021" s="22">
        <f>Table4[[#This Row],[Item Cost]]*Table4[[#This Row],[In Stock]]</f>
        <v>20162.03</v>
      </c>
      <c r="H1021" s="12" t="s">
        <v>4661</v>
      </c>
      <c r="I1021" s="13" t="s">
        <v>4666</v>
      </c>
      <c r="J1021" s="13" t="s">
        <v>4695</v>
      </c>
      <c r="K1021" s="13" t="s">
        <v>4672</v>
      </c>
      <c r="L1021" s="12" t="s">
        <v>4672</v>
      </c>
      <c r="M1021" s="17" t="str">
        <f>IF(LEN(COUNTIFS($H$1:H1021,$H1021,$I$1:I1021,$I1021,$J$1:J1021,$J1021,$K$1:K1021,K1021,$L$1:L1021,L1021))=1,"00"&amp;COUNTIFS($H$1:H1021,$H1021,$I$1:I1021,$I1021,$J$1:J1021,$J1021,$K$1:K1021,K1021,$L$1:L1021,L1021),IF(LEN(COUNTIFS($H$1:H1021,$H1021,$I$1:I1021,$I1021,$J$1:J1021,$J1021,$K$1:K1021,K1021,$L$1:L1021,L1021))=2,"0"&amp;COUNTIFS($H$1:H1021,$H1021,$I$1:I1021,$I1021,$J$1:J1021,$J1021,$K$1:K1021,K1021,$L$1:L1021,L1021),COUNTIFS($H$1:H1021,$H1021,$I$1:I1021,$I1021,$J$1:J1021,$J1021,$K$1:K1021,K1021,$L$1:L1021,L1021)))</f>
        <v>016</v>
      </c>
      <c r="N102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21" s="14" t="e">
        <f>+LEN(Table4[[#This Row],[New Item Code]])</f>
        <v>#N/A</v>
      </c>
      <c r="P1021" s="15" t="s">
        <v>4747</v>
      </c>
      <c r="Q1021" s="15" t="s">
        <v>4749</v>
      </c>
      <c r="R1021" s="15"/>
      <c r="S1021" s="15"/>
      <c r="T1021" s="15" t="s">
        <v>4695</v>
      </c>
    </row>
    <row r="1022" spans="1:20" x14ac:dyDescent="0.35">
      <c r="A1022" s="3" t="s">
        <v>2046</v>
      </c>
      <c r="B1022" s="3" t="s">
        <v>2047</v>
      </c>
      <c r="C1022" s="3" t="s">
        <v>15</v>
      </c>
      <c r="D1022" s="3">
        <v>250</v>
      </c>
      <c r="E1022" s="3" t="s">
        <v>10</v>
      </c>
      <c r="F1022" s="3">
        <v>3</v>
      </c>
      <c r="G1022" s="21">
        <f>Table4[[#This Row],[Item Cost]]*Table4[[#This Row],[In Stock]]</f>
        <v>750</v>
      </c>
      <c r="H1022" s="12" t="s">
        <v>4661</v>
      </c>
      <c r="I1022" s="13" t="s">
        <v>4666</v>
      </c>
      <c r="J1022" s="13" t="s">
        <v>4695</v>
      </c>
      <c r="K1022" s="13" t="s">
        <v>4672</v>
      </c>
      <c r="L1022" s="12" t="s">
        <v>4672</v>
      </c>
      <c r="M1022" s="17" t="str">
        <f>IF(LEN(COUNTIFS($H$1:H1022,$H1022,$I$1:I1022,$I1022,$J$1:J1022,$J1022,$K$1:K1022,K1022,$L$1:L1022,L1022))=1,"00"&amp;COUNTIFS($H$1:H1022,$H1022,$I$1:I1022,$I1022,$J$1:J1022,$J1022,$K$1:K1022,K1022,$L$1:L1022,L1022),IF(LEN(COUNTIFS($H$1:H1022,$H1022,$I$1:I1022,$I1022,$J$1:J1022,$J1022,$K$1:K1022,K1022,$L$1:L1022,L1022))=2,"0"&amp;COUNTIFS($H$1:H1022,$H1022,$I$1:I1022,$I1022,$J$1:J1022,$J1022,$K$1:K1022,K1022,$L$1:L1022,L1022),COUNTIFS($H$1:H1022,$H1022,$I$1:I1022,$I1022,$J$1:J1022,$J1022,$K$1:K1022,K1022,$L$1:L1022,L1022)))</f>
        <v>017</v>
      </c>
      <c r="N102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22" s="14" t="e">
        <f>+LEN(Table4[[#This Row],[New Item Code]])</f>
        <v>#N/A</v>
      </c>
      <c r="P1022" s="15" t="s">
        <v>4747</v>
      </c>
      <c r="Q1022" s="15" t="s">
        <v>4749</v>
      </c>
      <c r="R1022" s="15"/>
      <c r="S1022" s="15"/>
      <c r="T1022" s="15" t="s">
        <v>4695</v>
      </c>
    </row>
    <row r="1023" spans="1:20" x14ac:dyDescent="0.35">
      <c r="A1023" s="2" t="s">
        <v>2048</v>
      </c>
      <c r="B1023" s="2" t="s">
        <v>2049</v>
      </c>
      <c r="C1023" s="2" t="s">
        <v>9</v>
      </c>
      <c r="D1023" s="2">
        <v>911.4</v>
      </c>
      <c r="E1023" s="2" t="s">
        <v>10</v>
      </c>
      <c r="F1023" s="2">
        <v>2</v>
      </c>
      <c r="G1023" s="22">
        <f>Table4[[#This Row],[Item Cost]]*Table4[[#This Row],[In Stock]]</f>
        <v>1822.8</v>
      </c>
      <c r="H1023" s="12" t="s">
        <v>4661</v>
      </c>
      <c r="I1023" s="13" t="s">
        <v>4664</v>
      </c>
      <c r="J1023" s="13" t="s">
        <v>4755</v>
      </c>
      <c r="K1023" s="13" t="s">
        <v>4672</v>
      </c>
      <c r="L1023" s="12" t="s">
        <v>4697</v>
      </c>
      <c r="M1023" s="17" t="str">
        <f>IF(LEN(COUNTIFS($H$1:H1023,$H1023,$I$1:I1023,$I1023,$J$1:J1023,$J1023,$K$1:K1023,K1023,$L$1:L1023,L1023))=1,"00"&amp;COUNTIFS($H$1:H1023,$H1023,$I$1:I1023,$I1023,$J$1:J1023,$J1023,$K$1:K1023,K1023,$L$1:L1023,L1023),IF(LEN(COUNTIFS($H$1:H1023,$H1023,$I$1:I1023,$I1023,$J$1:J1023,$J1023,$K$1:K1023,K1023,$L$1:L1023,L1023))=2,"0"&amp;COUNTIFS($H$1:H1023,$H1023,$I$1:I1023,$I1023,$J$1:J1023,$J1023,$K$1:K1023,K1023,$L$1:L1023,L1023),COUNTIFS($H$1:H1023,$H1023,$I$1:I1023,$I1023,$J$1:J1023,$J1023,$K$1:K1023,K1023,$L$1:L1023,L1023)))</f>
        <v>001</v>
      </c>
      <c r="N102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23" s="14" t="e">
        <f>+LEN(Table4[[#This Row],[New Item Code]])</f>
        <v>#N/A</v>
      </c>
      <c r="P1023" s="15" t="s">
        <v>4747</v>
      </c>
      <c r="Q1023" s="15" t="s">
        <v>4749</v>
      </c>
      <c r="R1023" s="15"/>
      <c r="S1023" s="15"/>
      <c r="T1023" s="15" t="s">
        <v>4697</v>
      </c>
    </row>
    <row r="1024" spans="1:20" x14ac:dyDescent="0.35">
      <c r="A1024" s="3" t="s">
        <v>2050</v>
      </c>
      <c r="B1024" s="3" t="s">
        <v>2051</v>
      </c>
      <c r="C1024" s="3" t="s">
        <v>9</v>
      </c>
      <c r="D1024" s="5">
        <v>2325.1950000000002</v>
      </c>
      <c r="E1024" s="3" t="s">
        <v>10</v>
      </c>
      <c r="F1024" s="3">
        <v>2</v>
      </c>
      <c r="G1024" s="21">
        <f>Table4[[#This Row],[Item Cost]]*Table4[[#This Row],[In Stock]]</f>
        <v>4650.3900000000003</v>
      </c>
      <c r="H1024" s="12" t="s">
        <v>4661</v>
      </c>
      <c r="I1024" s="13" t="s">
        <v>4664</v>
      </c>
      <c r="J1024" s="13" t="s">
        <v>4755</v>
      </c>
      <c r="K1024" s="13" t="s">
        <v>4672</v>
      </c>
      <c r="L1024" s="12" t="s">
        <v>4697</v>
      </c>
      <c r="M1024" s="17" t="str">
        <f>IF(LEN(COUNTIFS($H$1:H1024,$H1024,$I$1:I1024,$I1024,$J$1:J1024,$J1024,$K$1:K1024,K1024,$L$1:L1024,L1024))=1,"00"&amp;COUNTIFS($H$1:H1024,$H1024,$I$1:I1024,$I1024,$J$1:J1024,$J1024,$K$1:K1024,K1024,$L$1:L1024,L1024),IF(LEN(COUNTIFS($H$1:H1024,$H1024,$I$1:I1024,$I1024,$J$1:J1024,$J1024,$K$1:K1024,K1024,$L$1:L1024,L1024))=2,"0"&amp;COUNTIFS($H$1:H1024,$H1024,$I$1:I1024,$I1024,$J$1:J1024,$J1024,$K$1:K1024,K1024,$L$1:L1024,L1024),COUNTIFS($H$1:H1024,$H1024,$I$1:I1024,$I1024,$J$1:J1024,$J1024,$K$1:K1024,K1024,$L$1:L1024,L1024)))</f>
        <v>002</v>
      </c>
      <c r="N102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24" s="14" t="e">
        <f>+LEN(Table4[[#This Row],[New Item Code]])</f>
        <v>#N/A</v>
      </c>
      <c r="P1024" s="15" t="s">
        <v>4747</v>
      </c>
      <c r="Q1024" s="15" t="s">
        <v>4749</v>
      </c>
      <c r="R1024" s="15"/>
      <c r="S1024" s="15"/>
      <c r="T1024" s="15" t="s">
        <v>4697</v>
      </c>
    </row>
    <row r="1025" spans="1:20" x14ac:dyDescent="0.35">
      <c r="A1025" s="2" t="s">
        <v>2052</v>
      </c>
      <c r="B1025" s="2" t="s">
        <v>2053</v>
      </c>
      <c r="C1025" s="2" t="s">
        <v>9</v>
      </c>
      <c r="D1025" s="4">
        <v>2119.09</v>
      </c>
      <c r="E1025" s="2" t="s">
        <v>10</v>
      </c>
      <c r="F1025" s="2">
        <v>2</v>
      </c>
      <c r="G1025" s="22">
        <f>Table4[[#This Row],[Item Cost]]*Table4[[#This Row],[In Stock]]</f>
        <v>4238.18</v>
      </c>
      <c r="H1025" s="12" t="s">
        <v>4661</v>
      </c>
      <c r="I1025" s="13" t="s">
        <v>4664</v>
      </c>
      <c r="J1025" s="13" t="s">
        <v>4755</v>
      </c>
      <c r="K1025" s="13" t="s">
        <v>4672</v>
      </c>
      <c r="L1025" s="12" t="s">
        <v>4697</v>
      </c>
      <c r="M1025" s="17" t="str">
        <f>IF(LEN(COUNTIFS($H$1:H1025,$H1025,$I$1:I1025,$I1025,$J$1:J1025,$J1025,$K$1:K1025,K1025,$L$1:L1025,L1025))=1,"00"&amp;COUNTIFS($H$1:H1025,$H1025,$I$1:I1025,$I1025,$J$1:J1025,$J1025,$K$1:K1025,K1025,$L$1:L1025,L1025),IF(LEN(COUNTIFS($H$1:H1025,$H1025,$I$1:I1025,$I1025,$J$1:J1025,$J1025,$K$1:K1025,K1025,$L$1:L1025,L1025))=2,"0"&amp;COUNTIFS($H$1:H1025,$H1025,$I$1:I1025,$I1025,$J$1:J1025,$J1025,$K$1:K1025,K1025,$L$1:L1025,L1025),COUNTIFS($H$1:H1025,$H1025,$I$1:I1025,$I1025,$J$1:J1025,$J1025,$K$1:K1025,K1025,$L$1:L1025,L1025)))</f>
        <v>003</v>
      </c>
      <c r="N102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25" s="14" t="e">
        <f>+LEN(Table4[[#This Row],[New Item Code]])</f>
        <v>#N/A</v>
      </c>
      <c r="P1025" s="15" t="s">
        <v>4747</v>
      </c>
      <c r="Q1025" s="15" t="s">
        <v>4749</v>
      </c>
      <c r="R1025" s="15"/>
      <c r="S1025" s="15"/>
      <c r="T1025" s="15" t="s">
        <v>4697</v>
      </c>
    </row>
    <row r="1026" spans="1:20" x14ac:dyDescent="0.35">
      <c r="A1026" s="3" t="s">
        <v>2054</v>
      </c>
      <c r="B1026" s="3" t="s">
        <v>2055</v>
      </c>
      <c r="C1026" s="3" t="s">
        <v>9</v>
      </c>
      <c r="D1026" s="3">
        <v>405.78</v>
      </c>
      <c r="E1026" s="3" t="s">
        <v>10</v>
      </c>
      <c r="F1026" s="3">
        <v>2</v>
      </c>
      <c r="G1026" s="21">
        <f>Table4[[#This Row],[Item Cost]]*Table4[[#This Row],[In Stock]]</f>
        <v>811.56</v>
      </c>
      <c r="H1026" s="12" t="s">
        <v>4661</v>
      </c>
      <c r="I1026" s="13" t="s">
        <v>4664</v>
      </c>
      <c r="J1026" s="13" t="s">
        <v>4755</v>
      </c>
      <c r="K1026" s="13" t="s">
        <v>4672</v>
      </c>
      <c r="L1026" s="12" t="s">
        <v>4697</v>
      </c>
      <c r="M1026" s="17" t="str">
        <f>IF(LEN(COUNTIFS($H$1:H1026,$H1026,$I$1:I1026,$I1026,$J$1:J1026,$J1026,$K$1:K1026,K1026,$L$1:L1026,L1026))=1,"00"&amp;COUNTIFS($H$1:H1026,$H1026,$I$1:I1026,$I1026,$J$1:J1026,$J1026,$K$1:K1026,K1026,$L$1:L1026,L1026),IF(LEN(COUNTIFS($H$1:H1026,$H1026,$I$1:I1026,$I1026,$J$1:J1026,$J1026,$K$1:K1026,K1026,$L$1:L1026,L1026))=2,"0"&amp;COUNTIFS($H$1:H1026,$H1026,$I$1:I1026,$I1026,$J$1:J1026,$J1026,$K$1:K1026,K1026,$L$1:L1026,L1026),COUNTIFS($H$1:H1026,$H1026,$I$1:I1026,$I1026,$J$1:J1026,$J1026,$K$1:K1026,K1026,$L$1:L1026,L1026)))</f>
        <v>004</v>
      </c>
      <c r="N102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26" s="14" t="e">
        <f>+LEN(Table4[[#This Row],[New Item Code]])</f>
        <v>#N/A</v>
      </c>
      <c r="P1026" s="15" t="s">
        <v>4747</v>
      </c>
      <c r="Q1026" s="15" t="s">
        <v>4749</v>
      </c>
      <c r="R1026" s="15"/>
      <c r="S1026" s="15"/>
      <c r="T1026" s="15" t="s">
        <v>4697</v>
      </c>
    </row>
    <row r="1027" spans="1:20" x14ac:dyDescent="0.35">
      <c r="A1027" s="2" t="s">
        <v>2056</v>
      </c>
      <c r="B1027" s="2" t="s">
        <v>2057</v>
      </c>
      <c r="C1027" s="2" t="s">
        <v>9</v>
      </c>
      <c r="D1027" s="4">
        <v>2325.1950000000002</v>
      </c>
      <c r="E1027" s="2" t="s">
        <v>10</v>
      </c>
      <c r="F1027" s="2">
        <v>2</v>
      </c>
      <c r="G1027" s="22">
        <f>Table4[[#This Row],[Item Cost]]*Table4[[#This Row],[In Stock]]</f>
        <v>4650.3900000000003</v>
      </c>
      <c r="H1027" s="12" t="s">
        <v>4661</v>
      </c>
      <c r="I1027" s="13" t="s">
        <v>4664</v>
      </c>
      <c r="J1027" s="13" t="s">
        <v>4755</v>
      </c>
      <c r="K1027" s="13" t="s">
        <v>4672</v>
      </c>
      <c r="L1027" s="12" t="s">
        <v>4697</v>
      </c>
      <c r="M1027" s="17" t="str">
        <f>IF(LEN(COUNTIFS($H$1:H1027,$H1027,$I$1:I1027,$I1027,$J$1:J1027,$J1027,$K$1:K1027,K1027,$L$1:L1027,L1027))=1,"00"&amp;COUNTIFS($H$1:H1027,$H1027,$I$1:I1027,$I1027,$J$1:J1027,$J1027,$K$1:K1027,K1027,$L$1:L1027,L1027),IF(LEN(COUNTIFS($H$1:H1027,$H1027,$I$1:I1027,$I1027,$J$1:J1027,$J1027,$K$1:K1027,K1027,$L$1:L1027,L1027))=2,"0"&amp;COUNTIFS($H$1:H1027,$H1027,$I$1:I1027,$I1027,$J$1:J1027,$J1027,$K$1:K1027,K1027,$L$1:L1027,L1027),COUNTIFS($H$1:H1027,$H1027,$I$1:I1027,$I1027,$J$1:J1027,$J1027,$K$1:K1027,K1027,$L$1:L1027,L1027)))</f>
        <v>005</v>
      </c>
      <c r="N102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27" s="14" t="e">
        <f>+LEN(Table4[[#This Row],[New Item Code]])</f>
        <v>#N/A</v>
      </c>
      <c r="P1027" s="15" t="s">
        <v>4747</v>
      </c>
      <c r="Q1027" s="15" t="s">
        <v>4749</v>
      </c>
      <c r="R1027" s="15"/>
      <c r="S1027" s="15"/>
      <c r="T1027" s="15" t="s">
        <v>4697</v>
      </c>
    </row>
    <row r="1028" spans="1:20" x14ac:dyDescent="0.35">
      <c r="A1028" s="3" t="s">
        <v>2058</v>
      </c>
      <c r="B1028" s="3" t="s">
        <v>2059</v>
      </c>
      <c r="C1028" s="3" t="s">
        <v>9</v>
      </c>
      <c r="D1028" s="3">
        <v>428.95299999999997</v>
      </c>
      <c r="E1028" s="3" t="s">
        <v>10</v>
      </c>
      <c r="F1028" s="3">
        <v>6</v>
      </c>
      <c r="G1028" s="21">
        <f>Table4[[#This Row],[Item Cost]]*Table4[[#This Row],[In Stock]]</f>
        <v>2573.7179999999998</v>
      </c>
      <c r="H1028" s="12" t="s">
        <v>4661</v>
      </c>
      <c r="I1028" s="13" t="s">
        <v>4664</v>
      </c>
      <c r="J1028" s="13" t="s">
        <v>4755</v>
      </c>
      <c r="K1028" s="13" t="s">
        <v>4672</v>
      </c>
      <c r="L1028" s="12" t="s">
        <v>4697</v>
      </c>
      <c r="M1028" s="17" t="str">
        <f>IF(LEN(COUNTIFS($H$1:H1028,$H1028,$I$1:I1028,$I1028,$J$1:J1028,$J1028,$K$1:K1028,K1028,$L$1:L1028,L1028))=1,"00"&amp;COUNTIFS($H$1:H1028,$H1028,$I$1:I1028,$I1028,$J$1:J1028,$J1028,$K$1:K1028,K1028,$L$1:L1028,L1028),IF(LEN(COUNTIFS($H$1:H1028,$H1028,$I$1:I1028,$I1028,$J$1:J1028,$J1028,$K$1:K1028,K1028,$L$1:L1028,L1028))=2,"0"&amp;COUNTIFS($H$1:H1028,$H1028,$I$1:I1028,$I1028,$J$1:J1028,$J1028,$K$1:K1028,K1028,$L$1:L1028,L1028),COUNTIFS($H$1:H1028,$H1028,$I$1:I1028,$I1028,$J$1:J1028,$J1028,$K$1:K1028,K1028,$L$1:L1028,L1028)))</f>
        <v>006</v>
      </c>
      <c r="N102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28" s="14" t="e">
        <f>+LEN(Table4[[#This Row],[New Item Code]])</f>
        <v>#N/A</v>
      </c>
      <c r="P1028" s="15" t="s">
        <v>4747</v>
      </c>
      <c r="Q1028" s="15" t="s">
        <v>4749</v>
      </c>
      <c r="R1028" s="15"/>
      <c r="S1028" s="15"/>
      <c r="T1028" s="15" t="s">
        <v>4697</v>
      </c>
    </row>
    <row r="1029" spans="1:20" x14ac:dyDescent="0.35">
      <c r="A1029" s="2" t="s">
        <v>2060</v>
      </c>
      <c r="B1029" s="2" t="s">
        <v>2061</v>
      </c>
      <c r="C1029" s="2" t="s">
        <v>9</v>
      </c>
      <c r="D1029" s="2">
        <v>53.618000000000002</v>
      </c>
      <c r="E1029" s="2" t="s">
        <v>10</v>
      </c>
      <c r="F1029" s="2">
        <v>5</v>
      </c>
      <c r="G1029" s="22">
        <f>Table4[[#This Row],[Item Cost]]*Table4[[#This Row],[In Stock]]</f>
        <v>268.09000000000003</v>
      </c>
      <c r="H1029" s="12" t="s">
        <v>4661</v>
      </c>
      <c r="I1029" s="13" t="s">
        <v>4664</v>
      </c>
      <c r="J1029" s="13" t="s">
        <v>4755</v>
      </c>
      <c r="K1029" s="13" t="s">
        <v>4672</v>
      </c>
      <c r="L1029" s="12" t="s">
        <v>4697</v>
      </c>
      <c r="M1029" s="17" t="str">
        <f>IF(LEN(COUNTIFS($H$1:H1029,$H1029,$I$1:I1029,$I1029,$J$1:J1029,$J1029,$K$1:K1029,K1029,$L$1:L1029,L1029))=1,"00"&amp;COUNTIFS($H$1:H1029,$H1029,$I$1:I1029,$I1029,$J$1:J1029,$J1029,$K$1:K1029,K1029,$L$1:L1029,L1029),IF(LEN(COUNTIFS($H$1:H1029,$H1029,$I$1:I1029,$I1029,$J$1:J1029,$J1029,$K$1:K1029,K1029,$L$1:L1029,L1029))=2,"0"&amp;COUNTIFS($H$1:H1029,$H1029,$I$1:I1029,$I1029,$J$1:J1029,$J1029,$K$1:K1029,K1029,$L$1:L1029,L1029),COUNTIFS($H$1:H1029,$H1029,$I$1:I1029,$I1029,$J$1:J1029,$J1029,$K$1:K1029,K1029,$L$1:L1029,L1029)))</f>
        <v>007</v>
      </c>
      <c r="N102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29" s="14" t="e">
        <f>+LEN(Table4[[#This Row],[New Item Code]])</f>
        <v>#N/A</v>
      </c>
      <c r="P1029" s="15" t="s">
        <v>4747</v>
      </c>
      <c r="Q1029" s="15" t="s">
        <v>4749</v>
      </c>
      <c r="R1029" s="15"/>
      <c r="S1029" s="15"/>
      <c r="T1029" s="15" t="s">
        <v>4697</v>
      </c>
    </row>
    <row r="1030" spans="1:20" x14ac:dyDescent="0.35">
      <c r="A1030" s="3" t="s">
        <v>2062</v>
      </c>
      <c r="B1030" s="3" t="s">
        <v>2063</v>
      </c>
      <c r="C1030" s="3" t="s">
        <v>9</v>
      </c>
      <c r="D1030" s="3">
        <v>369.82</v>
      </c>
      <c r="E1030" s="3" t="s">
        <v>10</v>
      </c>
      <c r="F1030" s="3">
        <v>2</v>
      </c>
      <c r="G1030" s="21">
        <f>Table4[[#This Row],[Item Cost]]*Table4[[#This Row],[In Stock]]</f>
        <v>739.64</v>
      </c>
      <c r="H1030" s="12" t="s">
        <v>4661</v>
      </c>
      <c r="I1030" s="13" t="s">
        <v>4664</v>
      </c>
      <c r="J1030" s="13" t="s">
        <v>4755</v>
      </c>
      <c r="K1030" s="13" t="s">
        <v>4672</v>
      </c>
      <c r="L1030" s="12" t="s">
        <v>4697</v>
      </c>
      <c r="M1030" s="17" t="str">
        <f>IF(LEN(COUNTIFS($H$1:H1030,$H1030,$I$1:I1030,$I1030,$J$1:J1030,$J1030,$K$1:K1030,K1030,$L$1:L1030,L1030))=1,"00"&amp;COUNTIFS($H$1:H1030,$H1030,$I$1:I1030,$I1030,$J$1:J1030,$J1030,$K$1:K1030,K1030,$L$1:L1030,L1030),IF(LEN(COUNTIFS($H$1:H1030,$H1030,$I$1:I1030,$I1030,$J$1:J1030,$J1030,$K$1:K1030,K1030,$L$1:L1030,L1030))=2,"0"&amp;COUNTIFS($H$1:H1030,$H1030,$I$1:I1030,$I1030,$J$1:J1030,$J1030,$K$1:K1030,K1030,$L$1:L1030,L1030),COUNTIFS($H$1:H1030,$H1030,$I$1:I1030,$I1030,$J$1:J1030,$J1030,$K$1:K1030,K1030,$L$1:L1030,L1030)))</f>
        <v>008</v>
      </c>
      <c r="N103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30" s="14" t="e">
        <f>+LEN(Table4[[#This Row],[New Item Code]])</f>
        <v>#N/A</v>
      </c>
      <c r="P1030" s="15" t="s">
        <v>4747</v>
      </c>
      <c r="Q1030" s="15" t="s">
        <v>4749</v>
      </c>
      <c r="R1030" s="15"/>
      <c r="S1030" s="15"/>
      <c r="T1030" s="15" t="s">
        <v>4697</v>
      </c>
    </row>
    <row r="1031" spans="1:20" x14ac:dyDescent="0.35">
      <c r="A1031" s="2" t="s">
        <v>2064</v>
      </c>
      <c r="B1031" s="2" t="s">
        <v>2065</v>
      </c>
      <c r="C1031" s="2" t="s">
        <v>9</v>
      </c>
      <c r="D1031" s="2">
        <v>107.604</v>
      </c>
      <c r="E1031" s="2" t="s">
        <v>10</v>
      </c>
      <c r="F1031" s="2">
        <v>5</v>
      </c>
      <c r="G1031" s="22">
        <f>Table4[[#This Row],[Item Cost]]*Table4[[#This Row],[In Stock]]</f>
        <v>538.02</v>
      </c>
      <c r="H1031" s="12" t="s">
        <v>4661</v>
      </c>
      <c r="I1031" s="13" t="s">
        <v>4664</v>
      </c>
      <c r="J1031" s="13" t="s">
        <v>4755</v>
      </c>
      <c r="K1031" s="13" t="s">
        <v>4672</v>
      </c>
      <c r="L1031" s="12" t="s">
        <v>4697</v>
      </c>
      <c r="M1031" s="17" t="str">
        <f>IF(LEN(COUNTIFS($H$1:H1031,$H1031,$I$1:I1031,$I1031,$J$1:J1031,$J1031,$K$1:K1031,K1031,$L$1:L1031,L1031))=1,"00"&amp;COUNTIFS($H$1:H1031,$H1031,$I$1:I1031,$I1031,$J$1:J1031,$J1031,$K$1:K1031,K1031,$L$1:L1031,L1031),IF(LEN(COUNTIFS($H$1:H1031,$H1031,$I$1:I1031,$I1031,$J$1:J1031,$J1031,$K$1:K1031,K1031,$L$1:L1031,L1031))=2,"0"&amp;COUNTIFS($H$1:H1031,$H1031,$I$1:I1031,$I1031,$J$1:J1031,$J1031,$K$1:K1031,K1031,$L$1:L1031,L1031),COUNTIFS($H$1:H1031,$H1031,$I$1:I1031,$I1031,$J$1:J1031,$J1031,$K$1:K1031,K1031,$L$1:L1031,L1031)))</f>
        <v>009</v>
      </c>
      <c r="N103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31" s="14" t="e">
        <f>+LEN(Table4[[#This Row],[New Item Code]])</f>
        <v>#N/A</v>
      </c>
      <c r="P1031" s="15" t="s">
        <v>4747</v>
      </c>
      <c r="Q1031" s="15" t="s">
        <v>4749</v>
      </c>
      <c r="R1031" s="15"/>
      <c r="S1031" s="15"/>
      <c r="T1031" s="15" t="s">
        <v>4697</v>
      </c>
    </row>
    <row r="1032" spans="1:20" x14ac:dyDescent="0.35">
      <c r="A1032" s="3" t="s">
        <v>2066</v>
      </c>
      <c r="B1032" s="3" t="s">
        <v>2067</v>
      </c>
      <c r="C1032" s="3" t="s">
        <v>9</v>
      </c>
      <c r="D1032" s="3">
        <v>59.13</v>
      </c>
      <c r="E1032" s="3" t="s">
        <v>10</v>
      </c>
      <c r="F1032" s="3">
        <v>1</v>
      </c>
      <c r="G1032" s="21">
        <f>Table4[[#This Row],[Item Cost]]*Table4[[#This Row],[In Stock]]</f>
        <v>59.13</v>
      </c>
      <c r="H1032" s="12" t="s">
        <v>4661</v>
      </c>
      <c r="I1032" s="13" t="s">
        <v>4664</v>
      </c>
      <c r="J1032" s="13" t="s">
        <v>4755</v>
      </c>
      <c r="K1032" s="13" t="s">
        <v>4672</v>
      </c>
      <c r="L1032" s="12" t="s">
        <v>4697</v>
      </c>
      <c r="M1032" s="17" t="str">
        <f>IF(LEN(COUNTIFS($H$1:H1032,$H1032,$I$1:I1032,$I1032,$J$1:J1032,$J1032,$K$1:K1032,K1032,$L$1:L1032,L1032))=1,"00"&amp;COUNTIFS($H$1:H1032,$H1032,$I$1:I1032,$I1032,$J$1:J1032,$J1032,$K$1:K1032,K1032,$L$1:L1032,L1032),IF(LEN(COUNTIFS($H$1:H1032,$H1032,$I$1:I1032,$I1032,$J$1:J1032,$J1032,$K$1:K1032,K1032,$L$1:L1032,L1032))=2,"0"&amp;COUNTIFS($H$1:H1032,$H1032,$I$1:I1032,$I1032,$J$1:J1032,$J1032,$K$1:K1032,K1032,$L$1:L1032,L1032),COUNTIFS($H$1:H1032,$H1032,$I$1:I1032,$I1032,$J$1:J1032,$J1032,$K$1:K1032,K1032,$L$1:L1032,L1032)))</f>
        <v>010</v>
      </c>
      <c r="N103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32" s="14" t="e">
        <f>+LEN(Table4[[#This Row],[New Item Code]])</f>
        <v>#N/A</v>
      </c>
      <c r="P1032" s="15" t="s">
        <v>4747</v>
      </c>
      <c r="Q1032" s="15" t="s">
        <v>4749</v>
      </c>
      <c r="R1032" s="15"/>
      <c r="S1032" s="15"/>
      <c r="T1032" s="15" t="s">
        <v>4697</v>
      </c>
    </row>
    <row r="1033" spans="1:20" x14ac:dyDescent="0.35">
      <c r="A1033" s="2" t="s">
        <v>2068</v>
      </c>
      <c r="B1033" s="2" t="s">
        <v>2069</v>
      </c>
      <c r="C1033" s="2" t="s">
        <v>9</v>
      </c>
      <c r="D1033" s="2">
        <v>140</v>
      </c>
      <c r="E1033" s="2" t="s">
        <v>10</v>
      </c>
      <c r="F1033" s="2">
        <v>12</v>
      </c>
      <c r="G1033" s="22">
        <f>Table4[[#This Row],[Item Cost]]*Table4[[#This Row],[In Stock]]</f>
        <v>1680</v>
      </c>
      <c r="H1033" s="12" t="s">
        <v>4661</v>
      </c>
      <c r="I1033" s="13" t="s">
        <v>4664</v>
      </c>
      <c r="J1033" s="13" t="s">
        <v>4755</v>
      </c>
      <c r="K1033" s="13" t="s">
        <v>4672</v>
      </c>
      <c r="L1033" s="12" t="s">
        <v>4697</v>
      </c>
      <c r="M1033" s="17" t="str">
        <f>IF(LEN(COUNTIFS($H$1:H1033,$H1033,$I$1:I1033,$I1033,$J$1:J1033,$J1033,$K$1:K1033,K1033,$L$1:L1033,L1033))=1,"00"&amp;COUNTIFS($H$1:H1033,$H1033,$I$1:I1033,$I1033,$J$1:J1033,$J1033,$K$1:K1033,K1033,$L$1:L1033,L1033),IF(LEN(COUNTIFS($H$1:H1033,$H1033,$I$1:I1033,$I1033,$J$1:J1033,$J1033,$K$1:K1033,K1033,$L$1:L1033,L1033))=2,"0"&amp;COUNTIFS($H$1:H1033,$H1033,$I$1:I1033,$I1033,$J$1:J1033,$J1033,$K$1:K1033,K1033,$L$1:L1033,L1033),COUNTIFS($H$1:H1033,$H1033,$I$1:I1033,$I1033,$J$1:J1033,$J1033,$K$1:K1033,K1033,$L$1:L1033,L1033)))</f>
        <v>011</v>
      </c>
      <c r="N103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33" s="14" t="e">
        <f>+LEN(Table4[[#This Row],[New Item Code]])</f>
        <v>#N/A</v>
      </c>
      <c r="P1033" s="15" t="s">
        <v>4747</v>
      </c>
      <c r="Q1033" s="15" t="s">
        <v>4749</v>
      </c>
      <c r="R1033" s="15"/>
      <c r="S1033" s="15"/>
      <c r="T1033" s="15" t="s">
        <v>4697</v>
      </c>
    </row>
    <row r="1034" spans="1:20" x14ac:dyDescent="0.35">
      <c r="A1034" s="3" t="s">
        <v>2070</v>
      </c>
      <c r="B1034" s="3" t="s">
        <v>2071</v>
      </c>
      <c r="C1034" s="3" t="s">
        <v>9</v>
      </c>
      <c r="D1034" s="3">
        <v>706</v>
      </c>
      <c r="E1034" s="3" t="s">
        <v>10</v>
      </c>
      <c r="F1034" s="3">
        <v>4</v>
      </c>
      <c r="G1034" s="21">
        <f>Table4[[#This Row],[Item Cost]]*Table4[[#This Row],[In Stock]]</f>
        <v>2824</v>
      </c>
      <c r="H1034" s="12" t="s">
        <v>4661</v>
      </c>
      <c r="I1034" s="13" t="s">
        <v>4664</v>
      </c>
      <c r="J1034" s="13" t="s">
        <v>4755</v>
      </c>
      <c r="K1034" s="13" t="s">
        <v>4672</v>
      </c>
      <c r="L1034" s="12" t="s">
        <v>4697</v>
      </c>
      <c r="M1034" s="17" t="str">
        <f>IF(LEN(COUNTIFS($H$1:H1034,$H1034,$I$1:I1034,$I1034,$J$1:J1034,$J1034,$K$1:K1034,K1034,$L$1:L1034,L1034))=1,"00"&amp;COUNTIFS($H$1:H1034,$H1034,$I$1:I1034,$I1034,$J$1:J1034,$J1034,$K$1:K1034,K1034,$L$1:L1034,L1034),IF(LEN(COUNTIFS($H$1:H1034,$H1034,$I$1:I1034,$I1034,$J$1:J1034,$J1034,$K$1:K1034,K1034,$L$1:L1034,L1034))=2,"0"&amp;COUNTIFS($H$1:H1034,$H1034,$I$1:I1034,$I1034,$J$1:J1034,$J1034,$K$1:K1034,K1034,$L$1:L1034,L1034),COUNTIFS($H$1:H1034,$H1034,$I$1:I1034,$I1034,$J$1:J1034,$J1034,$K$1:K1034,K1034,$L$1:L1034,L1034)))</f>
        <v>012</v>
      </c>
      <c r="N103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34" s="14" t="e">
        <f>+LEN(Table4[[#This Row],[New Item Code]])</f>
        <v>#N/A</v>
      </c>
      <c r="P1034" s="15" t="s">
        <v>4747</v>
      </c>
      <c r="Q1034" s="15" t="s">
        <v>4749</v>
      </c>
      <c r="R1034" s="15"/>
      <c r="S1034" s="15"/>
      <c r="T1034" s="15" t="s">
        <v>4697</v>
      </c>
    </row>
    <row r="1035" spans="1:20" x14ac:dyDescent="0.35">
      <c r="A1035" s="2" t="s">
        <v>2072</v>
      </c>
      <c r="B1035" s="2" t="s">
        <v>2073</v>
      </c>
      <c r="C1035" s="2" t="s">
        <v>56</v>
      </c>
      <c r="D1035" s="2">
        <v>110</v>
      </c>
      <c r="E1035" s="2" t="s">
        <v>57</v>
      </c>
      <c r="F1035" s="2">
        <v>1</v>
      </c>
      <c r="G1035" s="22">
        <f>Table4[[#This Row],[Item Cost]]*Table4[[#This Row],[In Stock]]</f>
        <v>110</v>
      </c>
      <c r="H1035" s="12" t="s">
        <v>4661</v>
      </c>
      <c r="I1035" s="13" t="s">
        <v>4668</v>
      </c>
      <c r="J1035" s="13" t="s">
        <v>4755</v>
      </c>
      <c r="K1035" s="13" t="s">
        <v>4672</v>
      </c>
      <c r="L1035" s="12" t="s">
        <v>4697</v>
      </c>
      <c r="M1035" s="17" t="str">
        <f>IF(LEN(COUNTIFS($H$1:H1035,$H1035,$I$1:I1035,$I1035,$J$1:J1035,$J1035,$K$1:K1035,K1035,$L$1:L1035,L1035))=1,"00"&amp;COUNTIFS($H$1:H1035,$H1035,$I$1:I1035,$I1035,$J$1:J1035,$J1035,$K$1:K1035,K1035,$L$1:L1035,L1035),IF(LEN(COUNTIFS($H$1:H1035,$H1035,$I$1:I1035,$I1035,$J$1:J1035,$J1035,$K$1:K1035,K1035,$L$1:L1035,L1035))=2,"0"&amp;COUNTIFS($H$1:H1035,$H1035,$I$1:I1035,$I1035,$J$1:J1035,$J1035,$K$1:K1035,K1035,$L$1:L1035,L1035),COUNTIFS($H$1:H1035,$H1035,$I$1:I1035,$I1035,$J$1:J1035,$J1035,$K$1:K1035,K1035,$L$1:L1035,L1035)))</f>
        <v>001</v>
      </c>
      <c r="N103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35" s="14" t="e">
        <f>+LEN(Table4[[#This Row],[New Item Code]])</f>
        <v>#N/A</v>
      </c>
      <c r="P1035" s="15" t="s">
        <v>4747</v>
      </c>
      <c r="Q1035" s="15" t="s">
        <v>4749</v>
      </c>
      <c r="R1035" s="15"/>
      <c r="S1035" s="15"/>
      <c r="T1035" s="15" t="s">
        <v>4697</v>
      </c>
    </row>
    <row r="1036" spans="1:20" x14ac:dyDescent="0.35">
      <c r="A1036" s="3" t="s">
        <v>2074</v>
      </c>
      <c r="B1036" s="3" t="s">
        <v>2075</v>
      </c>
      <c r="C1036" s="3" t="s">
        <v>56</v>
      </c>
      <c r="D1036" s="3">
        <v>0</v>
      </c>
      <c r="E1036" s="3" t="s">
        <v>57</v>
      </c>
      <c r="F1036" s="3">
        <v>0</v>
      </c>
      <c r="G1036" s="21">
        <f>Table4[[#This Row],[Item Cost]]*Table4[[#This Row],[In Stock]]</f>
        <v>0</v>
      </c>
      <c r="H1036" s="12" t="s">
        <v>4661</v>
      </c>
      <c r="I1036" s="13" t="s">
        <v>4668</v>
      </c>
      <c r="J1036" s="13" t="s">
        <v>4755</v>
      </c>
      <c r="K1036" s="13" t="s">
        <v>4672</v>
      </c>
      <c r="L1036" s="12" t="s">
        <v>4697</v>
      </c>
      <c r="M1036" s="17" t="str">
        <f>IF(LEN(COUNTIFS($H$1:H1036,$H1036,$I$1:I1036,$I1036,$J$1:J1036,$J1036,$K$1:K1036,K1036,$L$1:L1036,L1036))=1,"00"&amp;COUNTIFS($H$1:H1036,$H1036,$I$1:I1036,$I1036,$J$1:J1036,$J1036,$K$1:K1036,K1036,$L$1:L1036,L1036),IF(LEN(COUNTIFS($H$1:H1036,$H1036,$I$1:I1036,$I1036,$J$1:J1036,$J1036,$K$1:K1036,K1036,$L$1:L1036,L1036))=2,"0"&amp;COUNTIFS($H$1:H1036,$H1036,$I$1:I1036,$I1036,$J$1:J1036,$J1036,$K$1:K1036,K1036,$L$1:L1036,L1036),COUNTIFS($H$1:H1036,$H1036,$I$1:I1036,$I1036,$J$1:J1036,$J1036,$K$1:K1036,K1036,$L$1:L1036,L1036)))</f>
        <v>002</v>
      </c>
      <c r="N103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36" s="14" t="e">
        <f>+LEN(Table4[[#This Row],[New Item Code]])</f>
        <v>#N/A</v>
      </c>
      <c r="P1036" s="15" t="s">
        <v>4747</v>
      </c>
      <c r="Q1036" s="15" t="s">
        <v>4749</v>
      </c>
      <c r="R1036" s="15"/>
      <c r="S1036" s="15"/>
      <c r="T1036" s="15" t="s">
        <v>4697</v>
      </c>
    </row>
    <row r="1037" spans="1:20" x14ac:dyDescent="0.35">
      <c r="A1037" s="2" t="s">
        <v>2076</v>
      </c>
      <c r="B1037" s="2" t="s">
        <v>2077</v>
      </c>
      <c r="C1037" s="2" t="s">
        <v>15</v>
      </c>
      <c r="D1037" s="2">
        <v>440.38499999999999</v>
      </c>
      <c r="E1037" s="2" t="s">
        <v>10</v>
      </c>
      <c r="F1037" s="2">
        <v>12</v>
      </c>
      <c r="G1037" s="22">
        <f>Table4[[#This Row],[Item Cost]]*Table4[[#This Row],[In Stock]]</f>
        <v>5284.62</v>
      </c>
      <c r="H1037" s="12" t="s">
        <v>4661</v>
      </c>
      <c r="I1037" s="13" t="s">
        <v>4666</v>
      </c>
      <c r="J1037" s="13" t="s">
        <v>4755</v>
      </c>
      <c r="K1037" t="s">
        <v>4800</v>
      </c>
      <c r="L1037" s="12" t="s">
        <v>4697</v>
      </c>
      <c r="M1037" s="17" t="str">
        <f>IF(LEN(COUNTIFS($H$1:H1037,$H1037,$I$1:I1037,$I1037,$J$1:J1037,$J1037,$K$1:K1037,K1037,$L$1:L1037,L1037))=1,"00"&amp;COUNTIFS($H$1:H1037,$H1037,$I$1:I1037,$I1037,$J$1:J1037,$J1037,$K$1:K1037,K1037,$L$1:L1037,L1037),IF(LEN(COUNTIFS($H$1:H1037,$H1037,$I$1:I1037,$I1037,$J$1:J1037,$J1037,$K$1:K1037,K1037,$L$1:L1037,L1037))=2,"0"&amp;COUNTIFS($H$1:H1037,$H1037,$I$1:I1037,$I1037,$J$1:J1037,$J1037,$K$1:K1037,K1037,$L$1:L1037,L1037),COUNTIFS($H$1:H1037,$H1037,$I$1:I1037,$I1037,$J$1:J1037,$J1037,$K$1:K1037,K1037,$L$1:L1037,L1037)))</f>
        <v>001</v>
      </c>
      <c r="N103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37" s="14" t="e">
        <f>+LEN(Table4[[#This Row],[New Item Code]])</f>
        <v>#N/A</v>
      </c>
      <c r="P1037" s="15" t="s">
        <v>4747</v>
      </c>
      <c r="Q1037" s="15" t="s">
        <v>4749</v>
      </c>
      <c r="R1037" s="15"/>
      <c r="S1037" s="15"/>
      <c r="T1037" s="15" t="s">
        <v>4697</v>
      </c>
    </row>
    <row r="1038" spans="1:20" x14ac:dyDescent="0.35">
      <c r="A1038" s="3" t="s">
        <v>2078</v>
      </c>
      <c r="B1038" s="3" t="s">
        <v>2079</v>
      </c>
      <c r="C1038" s="3" t="s">
        <v>15</v>
      </c>
      <c r="D1038" s="3">
        <v>0</v>
      </c>
      <c r="E1038" s="3" t="s">
        <v>57</v>
      </c>
      <c r="F1038" s="3">
        <v>0</v>
      </c>
      <c r="G1038" s="21">
        <f>Table4[[#This Row],[Item Cost]]*Table4[[#This Row],[In Stock]]</f>
        <v>0</v>
      </c>
      <c r="H1038" s="12" t="s">
        <v>4661</v>
      </c>
      <c r="I1038" s="13" t="s">
        <v>4666</v>
      </c>
      <c r="J1038" s="13" t="s">
        <v>4755</v>
      </c>
      <c r="K1038" s="13" t="s">
        <v>4672</v>
      </c>
      <c r="L1038" s="12" t="s">
        <v>4697</v>
      </c>
      <c r="M1038" s="17" t="str">
        <f>IF(LEN(COUNTIFS($H$1:H1038,$H1038,$I$1:I1038,$I1038,$J$1:J1038,$J1038,$K$1:K1038,K1038,$L$1:L1038,L1038))=1,"00"&amp;COUNTIFS($H$1:H1038,$H1038,$I$1:I1038,$I1038,$J$1:J1038,$J1038,$K$1:K1038,K1038,$L$1:L1038,L1038),IF(LEN(COUNTIFS($H$1:H1038,$H1038,$I$1:I1038,$I1038,$J$1:J1038,$J1038,$K$1:K1038,K1038,$L$1:L1038,L1038))=2,"0"&amp;COUNTIFS($H$1:H1038,$H1038,$I$1:I1038,$I1038,$J$1:J1038,$J1038,$K$1:K1038,K1038,$L$1:L1038,L1038),COUNTIFS($H$1:H1038,$H1038,$I$1:I1038,$I1038,$J$1:J1038,$J1038,$K$1:K1038,K1038,$L$1:L1038,L1038)))</f>
        <v>001</v>
      </c>
      <c r="N103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38" s="14" t="e">
        <f>+LEN(Table4[[#This Row],[New Item Code]])</f>
        <v>#N/A</v>
      </c>
      <c r="P1038" s="15" t="s">
        <v>4747</v>
      </c>
      <c r="Q1038" s="15" t="s">
        <v>4749</v>
      </c>
      <c r="R1038" s="15"/>
      <c r="S1038" s="15"/>
      <c r="T1038" s="15" t="s">
        <v>4697</v>
      </c>
    </row>
    <row r="1039" spans="1:20" x14ac:dyDescent="0.35">
      <c r="A1039" s="2" t="s">
        <v>2080</v>
      </c>
      <c r="B1039" s="2" t="s">
        <v>2081</v>
      </c>
      <c r="C1039" s="2" t="s">
        <v>15</v>
      </c>
      <c r="D1039" s="2">
        <v>0</v>
      </c>
      <c r="E1039" s="2" t="s">
        <v>10</v>
      </c>
      <c r="F1039" s="2">
        <v>0</v>
      </c>
      <c r="G1039" s="22">
        <f>Table4[[#This Row],[Item Cost]]*Table4[[#This Row],[In Stock]]</f>
        <v>0</v>
      </c>
      <c r="H1039" s="12" t="s">
        <v>4661</v>
      </c>
      <c r="I1039" s="13" t="s">
        <v>4666</v>
      </c>
      <c r="J1039" s="13" t="s">
        <v>4699</v>
      </c>
      <c r="K1039" s="13" t="s">
        <v>4672</v>
      </c>
      <c r="L1039" s="12" t="s">
        <v>4672</v>
      </c>
      <c r="M1039" s="17" t="str">
        <f>IF(LEN(COUNTIFS($H$1:H1039,$H1039,$I$1:I1039,$I1039,$J$1:J1039,$J1039,$K$1:K1039,K1039,$L$1:L1039,L1039))=1,"00"&amp;COUNTIFS($H$1:H1039,$H1039,$I$1:I1039,$I1039,$J$1:J1039,$J1039,$K$1:K1039,K1039,$L$1:L1039,L1039),IF(LEN(COUNTIFS($H$1:H1039,$H1039,$I$1:I1039,$I1039,$J$1:J1039,$J1039,$K$1:K1039,K1039,$L$1:L1039,L1039))=2,"0"&amp;COUNTIFS($H$1:H1039,$H1039,$I$1:I1039,$I1039,$J$1:J1039,$J1039,$K$1:K1039,K1039,$L$1:L1039,L1039),COUNTIFS($H$1:H1039,$H1039,$I$1:I1039,$I1039,$J$1:J1039,$J1039,$K$1:K1039,K1039,$L$1:L1039,L1039)))</f>
        <v>001</v>
      </c>
      <c r="N103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39" s="14" t="e">
        <f>+LEN(Table4[[#This Row],[New Item Code]])</f>
        <v>#N/A</v>
      </c>
      <c r="P1039" s="15" t="s">
        <v>4747</v>
      </c>
      <c r="Q1039" s="15" t="s">
        <v>4749</v>
      </c>
      <c r="R1039" s="15"/>
      <c r="S1039" s="15"/>
      <c r="T1039" s="15" t="s">
        <v>4699</v>
      </c>
    </row>
    <row r="1040" spans="1:20" x14ac:dyDescent="0.35">
      <c r="A1040" s="3" t="s">
        <v>2082</v>
      </c>
      <c r="B1040" s="3" t="s">
        <v>2083</v>
      </c>
      <c r="C1040" s="3" t="s">
        <v>9</v>
      </c>
      <c r="D1040" s="5">
        <v>22847.18</v>
      </c>
      <c r="E1040" s="3" t="s">
        <v>10</v>
      </c>
      <c r="F1040" s="3">
        <v>1</v>
      </c>
      <c r="G1040" s="21">
        <f>Table4[[#This Row],[Item Cost]]*Table4[[#This Row],[In Stock]]</f>
        <v>22847.18</v>
      </c>
      <c r="H1040" s="12" t="s">
        <v>4661</v>
      </c>
      <c r="I1040" s="13" t="s">
        <v>4664</v>
      </c>
      <c r="J1040" s="13" t="s">
        <v>4699</v>
      </c>
      <c r="K1040" s="13" t="s">
        <v>4672</v>
      </c>
      <c r="L1040" s="12" t="s">
        <v>4672</v>
      </c>
      <c r="M1040" s="17" t="str">
        <f>IF(LEN(COUNTIFS($H$1:H1040,$H1040,$I$1:I1040,$I1040,$J$1:J1040,$J1040,$K$1:K1040,K1040,$L$1:L1040,L1040))=1,"00"&amp;COUNTIFS($H$1:H1040,$H1040,$I$1:I1040,$I1040,$J$1:J1040,$J1040,$K$1:K1040,K1040,$L$1:L1040,L1040),IF(LEN(COUNTIFS($H$1:H1040,$H1040,$I$1:I1040,$I1040,$J$1:J1040,$J1040,$K$1:K1040,K1040,$L$1:L1040,L1040))=2,"0"&amp;COUNTIFS($H$1:H1040,$H1040,$I$1:I1040,$I1040,$J$1:J1040,$J1040,$K$1:K1040,K1040,$L$1:L1040,L1040),COUNTIFS($H$1:H1040,$H1040,$I$1:I1040,$I1040,$J$1:J1040,$J1040,$K$1:K1040,K1040,$L$1:L1040,L1040)))</f>
        <v>001</v>
      </c>
      <c r="N104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40" s="14" t="e">
        <f>+LEN(Table4[[#This Row],[New Item Code]])</f>
        <v>#N/A</v>
      </c>
      <c r="P1040" s="15" t="s">
        <v>4747</v>
      </c>
      <c r="Q1040" s="15" t="s">
        <v>4749</v>
      </c>
      <c r="R1040" s="15"/>
      <c r="S1040" s="15"/>
      <c r="T1040" s="15" t="s">
        <v>4699</v>
      </c>
    </row>
    <row r="1041" spans="1:20" x14ac:dyDescent="0.35">
      <c r="A1041" s="2" t="s">
        <v>2084</v>
      </c>
      <c r="B1041" s="2" t="s">
        <v>2085</v>
      </c>
      <c r="C1041" s="2" t="s">
        <v>9</v>
      </c>
      <c r="D1041" s="4">
        <v>2329.4349999999999</v>
      </c>
      <c r="E1041" s="2" t="s">
        <v>10</v>
      </c>
      <c r="F1041" s="2">
        <v>4</v>
      </c>
      <c r="G1041" s="22">
        <f>Table4[[#This Row],[Item Cost]]*Table4[[#This Row],[In Stock]]</f>
        <v>9317.74</v>
      </c>
      <c r="H1041" s="12" t="s">
        <v>4661</v>
      </c>
      <c r="I1041" s="13" t="s">
        <v>4664</v>
      </c>
      <c r="J1041" s="13" t="s">
        <v>4699</v>
      </c>
      <c r="K1041" s="13" t="s">
        <v>4672</v>
      </c>
      <c r="L1041" s="12" t="s">
        <v>4672</v>
      </c>
      <c r="M1041" s="17" t="str">
        <f>IF(LEN(COUNTIFS($H$1:H1041,$H1041,$I$1:I1041,$I1041,$J$1:J1041,$J1041,$K$1:K1041,K1041,$L$1:L1041,L1041))=1,"00"&amp;COUNTIFS($H$1:H1041,$H1041,$I$1:I1041,$I1041,$J$1:J1041,$J1041,$K$1:K1041,K1041,$L$1:L1041,L1041),IF(LEN(COUNTIFS($H$1:H1041,$H1041,$I$1:I1041,$I1041,$J$1:J1041,$J1041,$K$1:K1041,K1041,$L$1:L1041,L1041))=2,"0"&amp;COUNTIFS($H$1:H1041,$H1041,$I$1:I1041,$I1041,$J$1:J1041,$J1041,$K$1:K1041,K1041,$L$1:L1041,L1041),COUNTIFS($H$1:H1041,$H1041,$I$1:I1041,$I1041,$J$1:J1041,$J1041,$K$1:K1041,K1041,$L$1:L1041,L1041)))</f>
        <v>002</v>
      </c>
      <c r="N104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41" s="14" t="e">
        <f>+LEN(Table4[[#This Row],[New Item Code]])</f>
        <v>#N/A</v>
      </c>
      <c r="P1041" s="15" t="s">
        <v>4747</v>
      </c>
      <c r="Q1041" s="15" t="s">
        <v>4749</v>
      </c>
      <c r="R1041" s="15"/>
      <c r="S1041" s="15"/>
      <c r="T1041" s="15" t="s">
        <v>4699</v>
      </c>
    </row>
    <row r="1042" spans="1:20" x14ac:dyDescent="0.35">
      <c r="A1042" s="3" t="s">
        <v>2086</v>
      </c>
      <c r="B1042" s="3" t="s">
        <v>2087</v>
      </c>
      <c r="C1042" s="3" t="s">
        <v>9</v>
      </c>
      <c r="D1042" s="5">
        <v>2381.1999999999998</v>
      </c>
      <c r="E1042" s="3" t="s">
        <v>10</v>
      </c>
      <c r="F1042" s="3">
        <v>1</v>
      </c>
      <c r="G1042" s="21">
        <f>Table4[[#This Row],[Item Cost]]*Table4[[#This Row],[In Stock]]</f>
        <v>2381.1999999999998</v>
      </c>
      <c r="H1042" s="12" t="s">
        <v>4661</v>
      </c>
      <c r="I1042" s="13" t="s">
        <v>4664</v>
      </c>
      <c r="J1042" s="13" t="s">
        <v>4699</v>
      </c>
      <c r="K1042" s="13" t="s">
        <v>4672</v>
      </c>
      <c r="L1042" s="12" t="s">
        <v>4672</v>
      </c>
      <c r="M1042" s="17" t="str">
        <f>IF(LEN(COUNTIFS($H$1:H1042,$H1042,$I$1:I1042,$I1042,$J$1:J1042,$J1042,$K$1:K1042,K1042,$L$1:L1042,L1042))=1,"00"&amp;COUNTIFS($H$1:H1042,$H1042,$I$1:I1042,$I1042,$J$1:J1042,$J1042,$K$1:K1042,K1042,$L$1:L1042,L1042),IF(LEN(COUNTIFS($H$1:H1042,$H1042,$I$1:I1042,$I1042,$J$1:J1042,$J1042,$K$1:K1042,K1042,$L$1:L1042,L1042))=2,"0"&amp;COUNTIFS($H$1:H1042,$H1042,$I$1:I1042,$I1042,$J$1:J1042,$J1042,$K$1:K1042,K1042,$L$1:L1042,L1042),COUNTIFS($H$1:H1042,$H1042,$I$1:I1042,$I1042,$J$1:J1042,$J1042,$K$1:K1042,K1042,$L$1:L1042,L1042)))</f>
        <v>003</v>
      </c>
      <c r="N104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42" s="14" t="e">
        <f>+LEN(Table4[[#This Row],[New Item Code]])</f>
        <v>#N/A</v>
      </c>
      <c r="P1042" s="15" t="s">
        <v>4747</v>
      </c>
      <c r="Q1042" s="15" t="s">
        <v>4749</v>
      </c>
      <c r="R1042" s="15"/>
      <c r="S1042" s="15"/>
      <c r="T1042" s="15" t="s">
        <v>4699</v>
      </c>
    </row>
    <row r="1043" spans="1:20" x14ac:dyDescent="0.35">
      <c r="A1043" s="2" t="s">
        <v>2088</v>
      </c>
      <c r="B1043" s="2" t="s">
        <v>2089</v>
      </c>
      <c r="C1043" s="2" t="s">
        <v>9</v>
      </c>
      <c r="D1043" s="4">
        <v>2241.6170000000002</v>
      </c>
      <c r="E1043" s="2" t="s">
        <v>10</v>
      </c>
      <c r="F1043" s="2">
        <v>3</v>
      </c>
      <c r="G1043" s="22">
        <f>Table4[[#This Row],[Item Cost]]*Table4[[#This Row],[In Stock]]</f>
        <v>6724.8510000000006</v>
      </c>
      <c r="H1043" s="12" t="s">
        <v>4661</v>
      </c>
      <c r="I1043" s="13" t="s">
        <v>4664</v>
      </c>
      <c r="J1043" s="13" t="s">
        <v>4699</v>
      </c>
      <c r="K1043" s="13" t="s">
        <v>4672</v>
      </c>
      <c r="L1043" s="12" t="s">
        <v>4672</v>
      </c>
      <c r="M1043" s="17" t="str">
        <f>IF(LEN(COUNTIFS($H$1:H1043,$H1043,$I$1:I1043,$I1043,$J$1:J1043,$J1043,$K$1:K1043,K1043,$L$1:L1043,L1043))=1,"00"&amp;COUNTIFS($H$1:H1043,$H1043,$I$1:I1043,$I1043,$J$1:J1043,$J1043,$K$1:K1043,K1043,$L$1:L1043,L1043),IF(LEN(COUNTIFS($H$1:H1043,$H1043,$I$1:I1043,$I1043,$J$1:J1043,$J1043,$K$1:K1043,K1043,$L$1:L1043,L1043))=2,"0"&amp;COUNTIFS($H$1:H1043,$H1043,$I$1:I1043,$I1043,$J$1:J1043,$J1043,$K$1:K1043,K1043,$L$1:L1043,L1043),COUNTIFS($H$1:H1043,$H1043,$I$1:I1043,$I1043,$J$1:J1043,$J1043,$K$1:K1043,K1043,$L$1:L1043,L1043)))</f>
        <v>004</v>
      </c>
      <c r="N104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43" s="14" t="e">
        <f>+LEN(Table4[[#This Row],[New Item Code]])</f>
        <v>#N/A</v>
      </c>
      <c r="P1043" s="15" t="s">
        <v>4747</v>
      </c>
      <c r="Q1043" s="15" t="s">
        <v>4749</v>
      </c>
      <c r="R1043" s="15"/>
      <c r="S1043" s="15"/>
      <c r="T1043" s="15" t="s">
        <v>4699</v>
      </c>
    </row>
    <row r="1044" spans="1:20" x14ac:dyDescent="0.35">
      <c r="A1044" s="3" t="s">
        <v>2090</v>
      </c>
      <c r="B1044" s="3" t="s">
        <v>2091</v>
      </c>
      <c r="C1044" s="3" t="s">
        <v>9</v>
      </c>
      <c r="D1044" s="5">
        <v>4020.18</v>
      </c>
      <c r="E1044" s="3" t="s">
        <v>10</v>
      </c>
      <c r="F1044" s="3">
        <v>1</v>
      </c>
      <c r="G1044" s="21">
        <f>Table4[[#This Row],[Item Cost]]*Table4[[#This Row],[In Stock]]</f>
        <v>4020.18</v>
      </c>
      <c r="H1044" s="12" t="s">
        <v>4661</v>
      </c>
      <c r="I1044" s="13" t="s">
        <v>4664</v>
      </c>
      <c r="J1044" s="13" t="s">
        <v>4699</v>
      </c>
      <c r="K1044" s="13" t="s">
        <v>4672</v>
      </c>
      <c r="L1044" s="12" t="s">
        <v>4672</v>
      </c>
      <c r="M1044" s="17" t="str">
        <f>IF(LEN(COUNTIFS($H$1:H1044,$H1044,$I$1:I1044,$I1044,$J$1:J1044,$J1044,$K$1:K1044,K1044,$L$1:L1044,L1044))=1,"00"&amp;COUNTIFS($H$1:H1044,$H1044,$I$1:I1044,$I1044,$J$1:J1044,$J1044,$K$1:K1044,K1044,$L$1:L1044,L1044),IF(LEN(COUNTIFS($H$1:H1044,$H1044,$I$1:I1044,$I1044,$J$1:J1044,$J1044,$K$1:K1044,K1044,$L$1:L1044,L1044))=2,"0"&amp;COUNTIFS($H$1:H1044,$H1044,$I$1:I1044,$I1044,$J$1:J1044,$J1044,$K$1:K1044,K1044,$L$1:L1044,L1044),COUNTIFS($H$1:H1044,$H1044,$I$1:I1044,$I1044,$J$1:J1044,$J1044,$K$1:K1044,K1044,$L$1:L1044,L1044)))</f>
        <v>005</v>
      </c>
      <c r="N104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44" s="14" t="e">
        <f>+LEN(Table4[[#This Row],[New Item Code]])</f>
        <v>#N/A</v>
      </c>
      <c r="P1044" s="15" t="s">
        <v>4747</v>
      </c>
      <c r="Q1044" s="15" t="s">
        <v>4749</v>
      </c>
      <c r="R1044" s="15"/>
      <c r="S1044" s="15"/>
      <c r="T1044" s="15" t="s">
        <v>4699</v>
      </c>
    </row>
    <row r="1045" spans="1:20" x14ac:dyDescent="0.35">
      <c r="A1045" s="2" t="s">
        <v>2092</v>
      </c>
      <c r="B1045" s="2" t="s">
        <v>2093</v>
      </c>
      <c r="C1045" s="2" t="s">
        <v>9</v>
      </c>
      <c r="D1045" s="4">
        <v>2832.732</v>
      </c>
      <c r="E1045" s="2" t="s">
        <v>10</v>
      </c>
      <c r="F1045" s="2">
        <v>5</v>
      </c>
      <c r="G1045" s="22">
        <f>Table4[[#This Row],[Item Cost]]*Table4[[#This Row],[In Stock]]</f>
        <v>14163.66</v>
      </c>
      <c r="H1045" s="12" t="s">
        <v>4661</v>
      </c>
      <c r="I1045" s="13" t="s">
        <v>4664</v>
      </c>
      <c r="J1045" s="13" t="s">
        <v>4699</v>
      </c>
      <c r="K1045" s="13" t="s">
        <v>4672</v>
      </c>
      <c r="L1045" s="12" t="s">
        <v>4672</v>
      </c>
      <c r="M1045" s="17" t="str">
        <f>IF(LEN(COUNTIFS($H$1:H1045,$H1045,$I$1:I1045,$I1045,$J$1:J1045,$J1045,$K$1:K1045,K1045,$L$1:L1045,L1045))=1,"00"&amp;COUNTIFS($H$1:H1045,$H1045,$I$1:I1045,$I1045,$J$1:J1045,$J1045,$K$1:K1045,K1045,$L$1:L1045,L1045),IF(LEN(COUNTIFS($H$1:H1045,$H1045,$I$1:I1045,$I1045,$J$1:J1045,$J1045,$K$1:K1045,K1045,$L$1:L1045,L1045))=2,"0"&amp;COUNTIFS($H$1:H1045,$H1045,$I$1:I1045,$I1045,$J$1:J1045,$J1045,$K$1:K1045,K1045,$L$1:L1045,L1045),COUNTIFS($H$1:H1045,$H1045,$I$1:I1045,$I1045,$J$1:J1045,$J1045,$K$1:K1045,K1045,$L$1:L1045,L1045)))</f>
        <v>006</v>
      </c>
      <c r="N104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45" s="14" t="e">
        <f>+LEN(Table4[[#This Row],[New Item Code]])</f>
        <v>#N/A</v>
      </c>
      <c r="P1045" s="15" t="s">
        <v>4747</v>
      </c>
      <c r="Q1045" s="15" t="s">
        <v>4749</v>
      </c>
      <c r="R1045" s="15"/>
      <c r="S1045" s="15"/>
      <c r="T1045" s="15" t="s">
        <v>4699</v>
      </c>
    </row>
    <row r="1046" spans="1:20" x14ac:dyDescent="0.35">
      <c r="A1046" s="3" t="s">
        <v>2094</v>
      </c>
      <c r="B1046" s="3" t="s">
        <v>2095</v>
      </c>
      <c r="C1046" s="3" t="s">
        <v>15</v>
      </c>
      <c r="D1046" s="3">
        <v>676</v>
      </c>
      <c r="E1046" s="3" t="s">
        <v>10</v>
      </c>
      <c r="F1046" s="3">
        <v>2</v>
      </c>
      <c r="G1046" s="21">
        <f>Table4[[#This Row],[Item Cost]]*Table4[[#This Row],[In Stock]]</f>
        <v>1352</v>
      </c>
      <c r="H1046" s="12" t="s">
        <v>4661</v>
      </c>
      <c r="I1046" s="13" t="s">
        <v>4666</v>
      </c>
      <c r="J1046" s="13" t="s">
        <v>4699</v>
      </c>
      <c r="K1046" s="13" t="s">
        <v>4672</v>
      </c>
      <c r="L1046" s="12" t="s">
        <v>4672</v>
      </c>
      <c r="M1046" s="17" t="str">
        <f>IF(LEN(COUNTIFS($H$1:H1046,$H1046,$I$1:I1046,$I1046,$J$1:J1046,$J1046,$K$1:K1046,K1046,$L$1:L1046,L1046))=1,"00"&amp;COUNTIFS($H$1:H1046,$H1046,$I$1:I1046,$I1046,$J$1:J1046,$J1046,$K$1:K1046,K1046,$L$1:L1046,L1046),IF(LEN(COUNTIFS($H$1:H1046,$H1046,$I$1:I1046,$I1046,$J$1:J1046,$J1046,$K$1:K1046,K1046,$L$1:L1046,L1046))=2,"0"&amp;COUNTIFS($H$1:H1046,$H1046,$I$1:I1046,$I1046,$J$1:J1046,$J1046,$K$1:K1046,K1046,$L$1:L1046,L1046),COUNTIFS($H$1:H1046,$H1046,$I$1:I1046,$I1046,$J$1:J1046,$J1046,$K$1:K1046,K1046,$L$1:L1046,L1046)))</f>
        <v>002</v>
      </c>
      <c r="N104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46" s="14" t="e">
        <f>+LEN(Table4[[#This Row],[New Item Code]])</f>
        <v>#N/A</v>
      </c>
      <c r="P1046" s="15" t="s">
        <v>4747</v>
      </c>
      <c r="Q1046" s="15" t="s">
        <v>4749</v>
      </c>
      <c r="R1046" s="15"/>
      <c r="S1046" s="15"/>
      <c r="T1046" s="15" t="s">
        <v>4699</v>
      </c>
    </row>
    <row r="1047" spans="1:20" x14ac:dyDescent="0.35">
      <c r="A1047" s="2" t="s">
        <v>2096</v>
      </c>
      <c r="B1047" s="2" t="s">
        <v>2097</v>
      </c>
      <c r="C1047" s="2" t="s">
        <v>9</v>
      </c>
      <c r="D1047" s="2">
        <v>53</v>
      </c>
      <c r="E1047" s="2" t="s">
        <v>10</v>
      </c>
      <c r="F1047" s="2">
        <v>1</v>
      </c>
      <c r="G1047" s="22">
        <f>Table4[[#This Row],[Item Cost]]*Table4[[#This Row],[In Stock]]</f>
        <v>53</v>
      </c>
      <c r="H1047" s="12" t="s">
        <v>4661</v>
      </c>
      <c r="I1047" s="13" t="s">
        <v>4664</v>
      </c>
      <c r="J1047" s="13" t="s">
        <v>4699</v>
      </c>
      <c r="K1047" s="13" t="s">
        <v>4776</v>
      </c>
      <c r="L1047" s="12" t="s">
        <v>4672</v>
      </c>
      <c r="M1047" s="17" t="str">
        <f>IF(LEN(COUNTIFS($H$1:H1047,$H1047,$I$1:I1047,$I1047,$J$1:J1047,$J1047,$K$1:K1047,K1047,$L$1:L1047,L1047))=1,"00"&amp;COUNTIFS($H$1:H1047,$H1047,$I$1:I1047,$I1047,$J$1:J1047,$J1047,$K$1:K1047,K1047,$L$1:L1047,L1047),IF(LEN(COUNTIFS($H$1:H1047,$H1047,$I$1:I1047,$I1047,$J$1:J1047,$J1047,$K$1:K1047,K1047,$L$1:L1047,L1047))=2,"0"&amp;COUNTIFS($H$1:H1047,$H1047,$I$1:I1047,$I1047,$J$1:J1047,$J1047,$K$1:K1047,K1047,$L$1:L1047,L1047),COUNTIFS($H$1:H1047,$H1047,$I$1:I1047,$I1047,$J$1:J1047,$J1047,$K$1:K1047,K1047,$L$1:L1047,L1047)))</f>
        <v>001</v>
      </c>
      <c r="N104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47" s="14" t="e">
        <f>+LEN(Table4[[#This Row],[New Item Code]])</f>
        <v>#N/A</v>
      </c>
      <c r="P1047" s="15" t="s">
        <v>4747</v>
      </c>
      <c r="Q1047" s="15" t="s">
        <v>4749</v>
      </c>
      <c r="R1047" s="15"/>
      <c r="S1047" s="15"/>
      <c r="T1047" s="15" t="s">
        <v>4699</v>
      </c>
    </row>
    <row r="1048" spans="1:20" x14ac:dyDescent="0.35">
      <c r="A1048" s="3" t="s">
        <v>2098</v>
      </c>
      <c r="B1048" s="3" t="s">
        <v>2099</v>
      </c>
      <c r="C1048" s="3" t="s">
        <v>9</v>
      </c>
      <c r="D1048" s="3">
        <v>70</v>
      </c>
      <c r="E1048" s="3" t="s">
        <v>10</v>
      </c>
      <c r="F1048" s="3">
        <v>1</v>
      </c>
      <c r="G1048" s="21">
        <f>Table4[[#This Row],[Item Cost]]*Table4[[#This Row],[In Stock]]</f>
        <v>70</v>
      </c>
      <c r="H1048" s="12" t="s">
        <v>4661</v>
      </c>
      <c r="I1048" s="13" t="s">
        <v>4664</v>
      </c>
      <c r="J1048" s="13" t="s">
        <v>4699</v>
      </c>
      <c r="K1048" s="13" t="s">
        <v>4776</v>
      </c>
      <c r="L1048" s="12" t="s">
        <v>4672</v>
      </c>
      <c r="M1048" s="17" t="str">
        <f>IF(LEN(COUNTIFS($H$1:H1048,$H1048,$I$1:I1048,$I1048,$J$1:J1048,$J1048,$K$1:K1048,K1048,$L$1:L1048,L1048))=1,"00"&amp;COUNTIFS($H$1:H1048,$H1048,$I$1:I1048,$I1048,$J$1:J1048,$J1048,$K$1:K1048,K1048,$L$1:L1048,L1048),IF(LEN(COUNTIFS($H$1:H1048,$H1048,$I$1:I1048,$I1048,$J$1:J1048,$J1048,$K$1:K1048,K1048,$L$1:L1048,L1048))=2,"0"&amp;COUNTIFS($H$1:H1048,$H1048,$I$1:I1048,$I1048,$J$1:J1048,$J1048,$K$1:K1048,K1048,$L$1:L1048,L1048),COUNTIFS($H$1:H1048,$H1048,$I$1:I1048,$I1048,$J$1:J1048,$J1048,$K$1:K1048,K1048,$L$1:L1048,L1048)))</f>
        <v>002</v>
      </c>
      <c r="N104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48" s="14" t="e">
        <f>+LEN(Table4[[#This Row],[New Item Code]])</f>
        <v>#N/A</v>
      </c>
      <c r="P1048" s="15" t="s">
        <v>4747</v>
      </c>
      <c r="Q1048" s="15" t="s">
        <v>4749</v>
      </c>
      <c r="R1048" s="15"/>
      <c r="S1048" s="15"/>
      <c r="T1048" s="15" t="s">
        <v>4699</v>
      </c>
    </row>
    <row r="1049" spans="1:20" x14ac:dyDescent="0.35">
      <c r="A1049" s="2" t="s">
        <v>2100</v>
      </c>
      <c r="B1049" s="2" t="s">
        <v>2101</v>
      </c>
      <c r="C1049" s="2" t="s">
        <v>9</v>
      </c>
      <c r="D1049" s="2">
        <v>127.5</v>
      </c>
      <c r="E1049" s="2" t="s">
        <v>10</v>
      </c>
      <c r="F1049" s="2">
        <v>1</v>
      </c>
      <c r="G1049" s="22">
        <f>Table4[[#This Row],[Item Cost]]*Table4[[#This Row],[In Stock]]</f>
        <v>127.5</v>
      </c>
      <c r="H1049" s="12" t="s">
        <v>4661</v>
      </c>
      <c r="I1049" s="13" t="s">
        <v>4664</v>
      </c>
      <c r="J1049" s="13" t="s">
        <v>4699</v>
      </c>
      <c r="K1049" s="13" t="s">
        <v>4776</v>
      </c>
      <c r="L1049" s="12" t="s">
        <v>4672</v>
      </c>
      <c r="M1049" s="17" t="str">
        <f>IF(LEN(COUNTIFS($H$1:H1049,$H1049,$I$1:I1049,$I1049,$J$1:J1049,$J1049,$K$1:K1049,K1049,$L$1:L1049,L1049))=1,"00"&amp;COUNTIFS($H$1:H1049,$H1049,$I$1:I1049,$I1049,$J$1:J1049,$J1049,$K$1:K1049,K1049,$L$1:L1049,L1049),IF(LEN(COUNTIFS($H$1:H1049,$H1049,$I$1:I1049,$I1049,$J$1:J1049,$J1049,$K$1:K1049,K1049,$L$1:L1049,L1049))=2,"0"&amp;COUNTIFS($H$1:H1049,$H1049,$I$1:I1049,$I1049,$J$1:J1049,$J1049,$K$1:K1049,K1049,$L$1:L1049,L1049),COUNTIFS($H$1:H1049,$H1049,$I$1:I1049,$I1049,$J$1:J1049,$J1049,$K$1:K1049,K1049,$L$1:L1049,L1049)))</f>
        <v>003</v>
      </c>
      <c r="N104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49" s="14" t="e">
        <f>+LEN(Table4[[#This Row],[New Item Code]])</f>
        <v>#N/A</v>
      </c>
      <c r="P1049" s="15" t="s">
        <v>4747</v>
      </c>
      <c r="Q1049" s="15" t="s">
        <v>4749</v>
      </c>
      <c r="R1049" s="15"/>
      <c r="S1049" s="15"/>
      <c r="T1049" s="15" t="s">
        <v>4699</v>
      </c>
    </row>
    <row r="1050" spans="1:20" x14ac:dyDescent="0.35">
      <c r="A1050" s="3" t="s">
        <v>2102</v>
      </c>
      <c r="B1050" s="3" t="s">
        <v>2103</v>
      </c>
      <c r="C1050" s="3" t="s">
        <v>9</v>
      </c>
      <c r="D1050" s="3">
        <v>241</v>
      </c>
      <c r="E1050" s="3" t="s">
        <v>10</v>
      </c>
      <c r="F1050" s="3">
        <v>1</v>
      </c>
      <c r="G1050" s="21">
        <f>Table4[[#This Row],[Item Cost]]*Table4[[#This Row],[In Stock]]</f>
        <v>241</v>
      </c>
      <c r="H1050" s="12" t="s">
        <v>4661</v>
      </c>
      <c r="I1050" s="13" t="s">
        <v>4664</v>
      </c>
      <c r="J1050" s="13" t="s">
        <v>4699</v>
      </c>
      <c r="K1050" s="13" t="s">
        <v>4672</v>
      </c>
      <c r="L1050" s="12" t="s">
        <v>4672</v>
      </c>
      <c r="M1050" s="17" t="str">
        <f>IF(LEN(COUNTIFS($H$1:H1050,$H1050,$I$1:I1050,$I1050,$J$1:J1050,$J1050,$K$1:K1050,K1050,$L$1:L1050,L1050))=1,"00"&amp;COUNTIFS($H$1:H1050,$H1050,$I$1:I1050,$I1050,$J$1:J1050,$J1050,$K$1:K1050,K1050,$L$1:L1050,L1050),IF(LEN(COUNTIFS($H$1:H1050,$H1050,$I$1:I1050,$I1050,$J$1:J1050,$J1050,$K$1:K1050,K1050,$L$1:L1050,L1050))=2,"0"&amp;COUNTIFS($H$1:H1050,$H1050,$I$1:I1050,$I1050,$J$1:J1050,$J1050,$K$1:K1050,K1050,$L$1:L1050,L1050),COUNTIFS($H$1:H1050,$H1050,$I$1:I1050,$I1050,$J$1:J1050,$J1050,$K$1:K1050,K1050,$L$1:L1050,L1050)))</f>
        <v>007</v>
      </c>
      <c r="N105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50" s="14" t="e">
        <f>+LEN(Table4[[#This Row],[New Item Code]])</f>
        <v>#N/A</v>
      </c>
      <c r="P1050" s="15" t="s">
        <v>4747</v>
      </c>
      <c r="Q1050" s="15" t="s">
        <v>4749</v>
      </c>
      <c r="R1050" s="15"/>
      <c r="S1050" s="15"/>
      <c r="T1050" s="15" t="s">
        <v>4699</v>
      </c>
    </row>
    <row r="1051" spans="1:20" x14ac:dyDescent="0.35">
      <c r="A1051" s="2" t="s">
        <v>2104</v>
      </c>
      <c r="B1051" s="2" t="s">
        <v>2105</v>
      </c>
      <c r="C1051" s="2" t="s">
        <v>9</v>
      </c>
      <c r="D1051" s="2">
        <v>317</v>
      </c>
      <c r="E1051" s="2" t="s">
        <v>10</v>
      </c>
      <c r="F1051" s="2">
        <v>1</v>
      </c>
      <c r="G1051" s="22">
        <f>Table4[[#This Row],[Item Cost]]*Table4[[#This Row],[In Stock]]</f>
        <v>317</v>
      </c>
      <c r="H1051" s="12" t="s">
        <v>4661</v>
      </c>
      <c r="I1051" s="13" t="s">
        <v>4664</v>
      </c>
      <c r="J1051" s="13" t="s">
        <v>4699</v>
      </c>
      <c r="K1051" s="13" t="s">
        <v>4672</v>
      </c>
      <c r="L1051" s="12" t="s">
        <v>4672</v>
      </c>
      <c r="M1051" s="17" t="str">
        <f>IF(LEN(COUNTIFS($H$1:H1051,$H1051,$I$1:I1051,$I1051,$J$1:J1051,$J1051,$K$1:K1051,K1051,$L$1:L1051,L1051))=1,"00"&amp;COUNTIFS($H$1:H1051,$H1051,$I$1:I1051,$I1051,$J$1:J1051,$J1051,$K$1:K1051,K1051,$L$1:L1051,L1051),IF(LEN(COUNTIFS($H$1:H1051,$H1051,$I$1:I1051,$I1051,$J$1:J1051,$J1051,$K$1:K1051,K1051,$L$1:L1051,L1051))=2,"0"&amp;COUNTIFS($H$1:H1051,$H1051,$I$1:I1051,$I1051,$J$1:J1051,$J1051,$K$1:K1051,K1051,$L$1:L1051,L1051),COUNTIFS($H$1:H1051,$H1051,$I$1:I1051,$I1051,$J$1:J1051,$J1051,$K$1:K1051,K1051,$L$1:L1051,L1051)))</f>
        <v>008</v>
      </c>
      <c r="N105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51" s="14" t="e">
        <f>+LEN(Table4[[#This Row],[New Item Code]])</f>
        <v>#N/A</v>
      </c>
      <c r="P1051" s="15" t="s">
        <v>4747</v>
      </c>
      <c r="Q1051" s="15" t="s">
        <v>4749</v>
      </c>
      <c r="R1051" s="15"/>
      <c r="S1051" s="15"/>
      <c r="T1051" s="15" t="s">
        <v>4699</v>
      </c>
    </row>
    <row r="1052" spans="1:20" x14ac:dyDescent="0.35">
      <c r="A1052" s="3" t="s">
        <v>2106</v>
      </c>
      <c r="B1052" s="3" t="s">
        <v>2107</v>
      </c>
      <c r="C1052" s="3" t="s">
        <v>9</v>
      </c>
      <c r="D1052" s="3">
        <v>419</v>
      </c>
      <c r="E1052" s="3" t="s">
        <v>10</v>
      </c>
      <c r="F1052" s="3">
        <v>1</v>
      </c>
      <c r="G1052" s="21">
        <f>Table4[[#This Row],[Item Cost]]*Table4[[#This Row],[In Stock]]</f>
        <v>419</v>
      </c>
      <c r="H1052" s="12" t="s">
        <v>4661</v>
      </c>
      <c r="I1052" s="13" t="s">
        <v>4664</v>
      </c>
      <c r="J1052" s="13" t="s">
        <v>4699</v>
      </c>
      <c r="K1052" s="13" t="s">
        <v>4672</v>
      </c>
      <c r="L1052" s="12" t="s">
        <v>4672</v>
      </c>
      <c r="M1052" s="17" t="str">
        <f>IF(LEN(COUNTIFS($H$1:H1052,$H1052,$I$1:I1052,$I1052,$J$1:J1052,$J1052,$K$1:K1052,K1052,$L$1:L1052,L1052))=1,"00"&amp;COUNTIFS($H$1:H1052,$H1052,$I$1:I1052,$I1052,$J$1:J1052,$J1052,$K$1:K1052,K1052,$L$1:L1052,L1052),IF(LEN(COUNTIFS($H$1:H1052,$H1052,$I$1:I1052,$I1052,$J$1:J1052,$J1052,$K$1:K1052,K1052,$L$1:L1052,L1052))=2,"0"&amp;COUNTIFS($H$1:H1052,$H1052,$I$1:I1052,$I1052,$J$1:J1052,$J1052,$K$1:K1052,K1052,$L$1:L1052,L1052),COUNTIFS($H$1:H1052,$H1052,$I$1:I1052,$I1052,$J$1:J1052,$J1052,$K$1:K1052,K1052,$L$1:L1052,L1052)))</f>
        <v>009</v>
      </c>
      <c r="N105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52" s="14" t="e">
        <f>+LEN(Table4[[#This Row],[New Item Code]])</f>
        <v>#N/A</v>
      </c>
      <c r="P1052" s="15" t="s">
        <v>4747</v>
      </c>
      <c r="Q1052" s="15" t="s">
        <v>4749</v>
      </c>
      <c r="R1052" s="15"/>
      <c r="S1052" s="15"/>
      <c r="T1052" s="15" t="s">
        <v>4699</v>
      </c>
    </row>
    <row r="1053" spans="1:20" x14ac:dyDescent="0.35">
      <c r="A1053" s="2" t="s">
        <v>2108</v>
      </c>
      <c r="B1053" s="2" t="s">
        <v>2109</v>
      </c>
      <c r="C1053" s="2" t="s">
        <v>9</v>
      </c>
      <c r="D1053" s="2">
        <v>229</v>
      </c>
      <c r="E1053" s="2" t="s">
        <v>10</v>
      </c>
      <c r="F1053" s="2">
        <v>1</v>
      </c>
      <c r="G1053" s="22">
        <f>Table4[[#This Row],[Item Cost]]*Table4[[#This Row],[In Stock]]</f>
        <v>229</v>
      </c>
      <c r="H1053" s="12" t="s">
        <v>4661</v>
      </c>
      <c r="I1053" s="13" t="s">
        <v>4664</v>
      </c>
      <c r="J1053" s="13" t="s">
        <v>4699</v>
      </c>
      <c r="K1053" s="13" t="s">
        <v>4672</v>
      </c>
      <c r="L1053" s="12" t="s">
        <v>4672</v>
      </c>
      <c r="M1053" s="17" t="str">
        <f>IF(LEN(COUNTIFS($H$1:H1053,$H1053,$I$1:I1053,$I1053,$J$1:J1053,$J1053,$K$1:K1053,K1053,$L$1:L1053,L1053))=1,"00"&amp;COUNTIFS($H$1:H1053,$H1053,$I$1:I1053,$I1053,$J$1:J1053,$J1053,$K$1:K1053,K1053,$L$1:L1053,L1053),IF(LEN(COUNTIFS($H$1:H1053,$H1053,$I$1:I1053,$I1053,$J$1:J1053,$J1053,$K$1:K1053,K1053,$L$1:L1053,L1053))=2,"0"&amp;COUNTIFS($H$1:H1053,$H1053,$I$1:I1053,$I1053,$J$1:J1053,$J1053,$K$1:K1053,K1053,$L$1:L1053,L1053),COUNTIFS($H$1:H1053,$H1053,$I$1:I1053,$I1053,$J$1:J1053,$J1053,$K$1:K1053,K1053,$L$1:L1053,L1053)))</f>
        <v>010</v>
      </c>
      <c r="N105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53" s="14" t="e">
        <f>+LEN(Table4[[#This Row],[New Item Code]])</f>
        <v>#N/A</v>
      </c>
      <c r="P1053" s="15" t="s">
        <v>4747</v>
      </c>
      <c r="Q1053" s="15" t="s">
        <v>4749</v>
      </c>
      <c r="R1053" s="15"/>
      <c r="S1053" s="15"/>
      <c r="T1053" s="15" t="s">
        <v>4699</v>
      </c>
    </row>
    <row r="1054" spans="1:20" x14ac:dyDescent="0.35">
      <c r="A1054" s="3" t="s">
        <v>2110</v>
      </c>
      <c r="B1054" s="3" t="s">
        <v>2103</v>
      </c>
      <c r="C1054" s="3" t="s">
        <v>9</v>
      </c>
      <c r="D1054" s="3">
        <v>241</v>
      </c>
      <c r="E1054" s="3" t="s">
        <v>10</v>
      </c>
      <c r="F1054" s="3">
        <v>1</v>
      </c>
      <c r="G1054" s="21">
        <f>Table4[[#This Row],[Item Cost]]*Table4[[#This Row],[In Stock]]</f>
        <v>241</v>
      </c>
      <c r="H1054" s="12" t="s">
        <v>4661</v>
      </c>
      <c r="I1054" s="13" t="s">
        <v>4664</v>
      </c>
      <c r="J1054" s="13" t="s">
        <v>4699</v>
      </c>
      <c r="K1054" s="13" t="s">
        <v>4672</v>
      </c>
      <c r="L1054" s="12" t="s">
        <v>4672</v>
      </c>
      <c r="M1054" s="17" t="str">
        <f>IF(LEN(COUNTIFS($H$1:H1054,$H1054,$I$1:I1054,$I1054,$J$1:J1054,$J1054,$K$1:K1054,K1054,$L$1:L1054,L1054))=1,"00"&amp;COUNTIFS($H$1:H1054,$H1054,$I$1:I1054,$I1054,$J$1:J1054,$J1054,$K$1:K1054,K1054,$L$1:L1054,L1054),IF(LEN(COUNTIFS($H$1:H1054,$H1054,$I$1:I1054,$I1054,$J$1:J1054,$J1054,$K$1:K1054,K1054,$L$1:L1054,L1054))=2,"0"&amp;COUNTIFS($H$1:H1054,$H1054,$I$1:I1054,$I1054,$J$1:J1054,$J1054,$K$1:K1054,K1054,$L$1:L1054,L1054),COUNTIFS($H$1:H1054,$H1054,$I$1:I1054,$I1054,$J$1:J1054,$J1054,$K$1:K1054,K1054,$L$1:L1054,L1054)))</f>
        <v>011</v>
      </c>
      <c r="N105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54" s="14" t="e">
        <f>+LEN(Table4[[#This Row],[New Item Code]])</f>
        <v>#N/A</v>
      </c>
      <c r="P1054" s="15" t="s">
        <v>4747</v>
      </c>
      <c r="Q1054" s="15" t="s">
        <v>4749</v>
      </c>
      <c r="R1054" s="15"/>
      <c r="S1054" s="15"/>
      <c r="T1054" s="15" t="s">
        <v>4699</v>
      </c>
    </row>
    <row r="1055" spans="1:20" x14ac:dyDescent="0.35">
      <c r="A1055" s="2" t="s">
        <v>2111</v>
      </c>
      <c r="B1055" s="2" t="s">
        <v>2112</v>
      </c>
      <c r="C1055" s="2" t="s">
        <v>9</v>
      </c>
      <c r="D1055" s="2">
        <v>288</v>
      </c>
      <c r="E1055" s="2" t="s">
        <v>10</v>
      </c>
      <c r="F1055" s="2">
        <v>1</v>
      </c>
      <c r="G1055" s="22">
        <f>Table4[[#This Row],[Item Cost]]*Table4[[#This Row],[In Stock]]</f>
        <v>288</v>
      </c>
      <c r="H1055" s="12" t="s">
        <v>4661</v>
      </c>
      <c r="I1055" s="13" t="s">
        <v>4664</v>
      </c>
      <c r="J1055" s="13" t="s">
        <v>4699</v>
      </c>
      <c r="K1055" s="13" t="s">
        <v>4672</v>
      </c>
      <c r="L1055" s="12" t="s">
        <v>4672</v>
      </c>
      <c r="M1055" s="17" t="str">
        <f>IF(LEN(COUNTIFS($H$1:H1055,$H1055,$I$1:I1055,$I1055,$J$1:J1055,$J1055,$K$1:K1055,K1055,$L$1:L1055,L1055))=1,"00"&amp;COUNTIFS($H$1:H1055,$H1055,$I$1:I1055,$I1055,$J$1:J1055,$J1055,$K$1:K1055,K1055,$L$1:L1055,L1055),IF(LEN(COUNTIFS($H$1:H1055,$H1055,$I$1:I1055,$I1055,$J$1:J1055,$J1055,$K$1:K1055,K1055,$L$1:L1055,L1055))=2,"0"&amp;COUNTIFS($H$1:H1055,$H1055,$I$1:I1055,$I1055,$J$1:J1055,$J1055,$K$1:K1055,K1055,$L$1:L1055,L1055),COUNTIFS($H$1:H1055,$H1055,$I$1:I1055,$I1055,$J$1:J1055,$J1055,$K$1:K1055,K1055,$L$1:L1055,L1055)))</f>
        <v>012</v>
      </c>
      <c r="N105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55" s="14" t="e">
        <f>+LEN(Table4[[#This Row],[New Item Code]])</f>
        <v>#N/A</v>
      </c>
      <c r="P1055" s="15" t="s">
        <v>4747</v>
      </c>
      <c r="Q1055" s="15" t="s">
        <v>4749</v>
      </c>
      <c r="R1055" s="15"/>
      <c r="S1055" s="15"/>
      <c r="T1055" s="15" t="s">
        <v>4699</v>
      </c>
    </row>
    <row r="1056" spans="1:20" x14ac:dyDescent="0.35">
      <c r="A1056" s="3" t="s">
        <v>2113</v>
      </c>
      <c r="B1056" s="3" t="s">
        <v>2114</v>
      </c>
      <c r="C1056" s="3" t="s">
        <v>9</v>
      </c>
      <c r="D1056" s="3">
        <v>17</v>
      </c>
      <c r="E1056" s="3" t="s">
        <v>10</v>
      </c>
      <c r="F1056" s="3">
        <v>1</v>
      </c>
      <c r="G1056" s="21">
        <f>Table4[[#This Row],[Item Cost]]*Table4[[#This Row],[In Stock]]</f>
        <v>17</v>
      </c>
      <c r="H1056" s="12" t="s">
        <v>4661</v>
      </c>
      <c r="I1056" s="13" t="s">
        <v>4664</v>
      </c>
      <c r="J1056" s="13" t="s">
        <v>4699</v>
      </c>
      <c r="K1056" s="13" t="s">
        <v>4672</v>
      </c>
      <c r="L1056" s="12" t="s">
        <v>4672</v>
      </c>
      <c r="M1056" s="17" t="str">
        <f>IF(LEN(COUNTIFS($H$1:H1056,$H1056,$I$1:I1056,$I1056,$J$1:J1056,$J1056,$K$1:K1056,K1056,$L$1:L1056,L1056))=1,"00"&amp;COUNTIFS($H$1:H1056,$H1056,$I$1:I1056,$I1056,$J$1:J1056,$J1056,$K$1:K1056,K1056,$L$1:L1056,L1056),IF(LEN(COUNTIFS($H$1:H1056,$H1056,$I$1:I1056,$I1056,$J$1:J1056,$J1056,$K$1:K1056,K1056,$L$1:L1056,L1056))=2,"0"&amp;COUNTIFS($H$1:H1056,$H1056,$I$1:I1056,$I1056,$J$1:J1056,$J1056,$K$1:K1056,K1056,$L$1:L1056,L1056),COUNTIFS($H$1:H1056,$H1056,$I$1:I1056,$I1056,$J$1:J1056,$J1056,$K$1:K1056,K1056,$L$1:L1056,L1056)))</f>
        <v>013</v>
      </c>
      <c r="N105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56" s="14" t="e">
        <f>+LEN(Table4[[#This Row],[New Item Code]])</f>
        <v>#N/A</v>
      </c>
      <c r="P1056" s="15" t="s">
        <v>4747</v>
      </c>
      <c r="Q1056" s="15" t="s">
        <v>4749</v>
      </c>
      <c r="R1056" s="15"/>
      <c r="S1056" s="15"/>
      <c r="T1056" s="15" t="s">
        <v>4699</v>
      </c>
    </row>
    <row r="1057" spans="1:20" x14ac:dyDescent="0.35">
      <c r="A1057" s="2" t="s">
        <v>2115</v>
      </c>
      <c r="B1057" s="2" t="s">
        <v>2116</v>
      </c>
      <c r="C1057" s="2" t="s">
        <v>9</v>
      </c>
      <c r="D1057" s="2">
        <v>16</v>
      </c>
      <c r="E1057" s="2" t="s">
        <v>10</v>
      </c>
      <c r="F1057" s="2">
        <v>1</v>
      </c>
      <c r="G1057" s="22">
        <f>Table4[[#This Row],[Item Cost]]*Table4[[#This Row],[In Stock]]</f>
        <v>16</v>
      </c>
      <c r="H1057" s="12" t="s">
        <v>4661</v>
      </c>
      <c r="I1057" s="13" t="s">
        <v>4664</v>
      </c>
      <c r="J1057" s="13" t="s">
        <v>4699</v>
      </c>
      <c r="K1057" s="13" t="s">
        <v>4672</v>
      </c>
      <c r="L1057" s="12" t="s">
        <v>4672</v>
      </c>
      <c r="M1057" s="17" t="str">
        <f>IF(LEN(COUNTIFS($H$1:H1057,$H1057,$I$1:I1057,$I1057,$J$1:J1057,$J1057,$K$1:K1057,K1057,$L$1:L1057,L1057))=1,"00"&amp;COUNTIFS($H$1:H1057,$H1057,$I$1:I1057,$I1057,$J$1:J1057,$J1057,$K$1:K1057,K1057,$L$1:L1057,L1057),IF(LEN(COUNTIFS($H$1:H1057,$H1057,$I$1:I1057,$I1057,$J$1:J1057,$J1057,$K$1:K1057,K1057,$L$1:L1057,L1057))=2,"0"&amp;COUNTIFS($H$1:H1057,$H1057,$I$1:I1057,$I1057,$J$1:J1057,$J1057,$K$1:K1057,K1057,$L$1:L1057,L1057),COUNTIFS($H$1:H1057,$H1057,$I$1:I1057,$I1057,$J$1:J1057,$J1057,$K$1:K1057,K1057,$L$1:L1057,L1057)))</f>
        <v>014</v>
      </c>
      <c r="N105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57" s="14" t="e">
        <f>+LEN(Table4[[#This Row],[New Item Code]])</f>
        <v>#N/A</v>
      </c>
      <c r="P1057" s="15" t="s">
        <v>4747</v>
      </c>
      <c r="Q1057" s="15" t="s">
        <v>4749</v>
      </c>
      <c r="R1057" s="15"/>
      <c r="S1057" s="15"/>
      <c r="T1057" s="15" t="s">
        <v>4699</v>
      </c>
    </row>
    <row r="1058" spans="1:20" x14ac:dyDescent="0.35">
      <c r="A1058" s="3" t="s">
        <v>2117</v>
      </c>
      <c r="B1058" s="3" t="s">
        <v>2118</v>
      </c>
      <c r="C1058" s="3" t="s">
        <v>9</v>
      </c>
      <c r="D1058" s="3">
        <v>54</v>
      </c>
      <c r="E1058" s="3" t="s">
        <v>10</v>
      </c>
      <c r="F1058" s="3">
        <v>1</v>
      </c>
      <c r="G1058" s="21">
        <f>Table4[[#This Row],[Item Cost]]*Table4[[#This Row],[In Stock]]</f>
        <v>54</v>
      </c>
      <c r="H1058" s="12" t="s">
        <v>4661</v>
      </c>
      <c r="I1058" s="13" t="s">
        <v>4664</v>
      </c>
      <c r="J1058" s="13" t="s">
        <v>4699</v>
      </c>
      <c r="K1058" s="13" t="s">
        <v>4672</v>
      </c>
      <c r="L1058" s="12" t="s">
        <v>4672</v>
      </c>
      <c r="M1058" s="17" t="str">
        <f>IF(LEN(COUNTIFS($H$1:H1058,$H1058,$I$1:I1058,$I1058,$J$1:J1058,$J1058,$K$1:K1058,K1058,$L$1:L1058,L1058))=1,"00"&amp;COUNTIFS($H$1:H1058,$H1058,$I$1:I1058,$I1058,$J$1:J1058,$J1058,$K$1:K1058,K1058,$L$1:L1058,L1058),IF(LEN(COUNTIFS($H$1:H1058,$H1058,$I$1:I1058,$I1058,$J$1:J1058,$J1058,$K$1:K1058,K1058,$L$1:L1058,L1058))=2,"0"&amp;COUNTIFS($H$1:H1058,$H1058,$I$1:I1058,$I1058,$J$1:J1058,$J1058,$K$1:K1058,K1058,$L$1:L1058,L1058),COUNTIFS($H$1:H1058,$H1058,$I$1:I1058,$I1058,$J$1:J1058,$J1058,$K$1:K1058,K1058,$L$1:L1058,L1058)))</f>
        <v>015</v>
      </c>
      <c r="N105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58" s="14" t="e">
        <f>+LEN(Table4[[#This Row],[New Item Code]])</f>
        <v>#N/A</v>
      </c>
      <c r="P1058" s="15" t="s">
        <v>4747</v>
      </c>
      <c r="Q1058" s="15" t="s">
        <v>4749</v>
      </c>
      <c r="R1058" s="15"/>
      <c r="S1058" s="15"/>
      <c r="T1058" s="15" t="s">
        <v>4699</v>
      </c>
    </row>
    <row r="1059" spans="1:20" x14ac:dyDescent="0.35">
      <c r="A1059" s="2" t="s">
        <v>2119</v>
      </c>
      <c r="B1059" s="2" t="s">
        <v>2120</v>
      </c>
      <c r="C1059" s="2" t="s">
        <v>9</v>
      </c>
      <c r="D1059" s="2">
        <v>46</v>
      </c>
      <c r="E1059" s="2" t="s">
        <v>10</v>
      </c>
      <c r="F1059" s="2">
        <v>1</v>
      </c>
      <c r="G1059" s="22">
        <f>Table4[[#This Row],[Item Cost]]*Table4[[#This Row],[In Stock]]</f>
        <v>46</v>
      </c>
      <c r="H1059" s="12" t="s">
        <v>4661</v>
      </c>
      <c r="I1059" s="13" t="s">
        <v>4664</v>
      </c>
      <c r="J1059" s="13" t="s">
        <v>4699</v>
      </c>
      <c r="K1059" s="13" t="s">
        <v>4672</v>
      </c>
      <c r="L1059" s="12" t="s">
        <v>4672</v>
      </c>
      <c r="M1059" s="17" t="str">
        <f>IF(LEN(COUNTIFS($H$1:H1059,$H1059,$I$1:I1059,$I1059,$J$1:J1059,$J1059,$K$1:K1059,K1059,$L$1:L1059,L1059))=1,"00"&amp;COUNTIFS($H$1:H1059,$H1059,$I$1:I1059,$I1059,$J$1:J1059,$J1059,$K$1:K1059,K1059,$L$1:L1059,L1059),IF(LEN(COUNTIFS($H$1:H1059,$H1059,$I$1:I1059,$I1059,$J$1:J1059,$J1059,$K$1:K1059,K1059,$L$1:L1059,L1059))=2,"0"&amp;COUNTIFS($H$1:H1059,$H1059,$I$1:I1059,$I1059,$J$1:J1059,$J1059,$K$1:K1059,K1059,$L$1:L1059,L1059),COUNTIFS($H$1:H1059,$H1059,$I$1:I1059,$I1059,$J$1:J1059,$J1059,$K$1:K1059,K1059,$L$1:L1059,L1059)))</f>
        <v>016</v>
      </c>
      <c r="N105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59" s="14" t="e">
        <f>+LEN(Table4[[#This Row],[New Item Code]])</f>
        <v>#N/A</v>
      </c>
      <c r="P1059" s="15" t="s">
        <v>4747</v>
      </c>
      <c r="Q1059" s="15" t="s">
        <v>4749</v>
      </c>
      <c r="R1059" s="15"/>
      <c r="S1059" s="15"/>
      <c r="T1059" s="15" t="s">
        <v>4699</v>
      </c>
    </row>
    <row r="1060" spans="1:20" x14ac:dyDescent="0.35">
      <c r="A1060" s="3" t="s">
        <v>2121</v>
      </c>
      <c r="B1060" s="3" t="s">
        <v>2122</v>
      </c>
      <c r="C1060" s="3" t="s">
        <v>9</v>
      </c>
      <c r="D1060" s="3">
        <v>5</v>
      </c>
      <c r="E1060" s="3" t="s">
        <v>10</v>
      </c>
      <c r="F1060" s="3">
        <v>1</v>
      </c>
      <c r="G1060" s="21">
        <f>Table4[[#This Row],[Item Cost]]*Table4[[#This Row],[In Stock]]</f>
        <v>5</v>
      </c>
      <c r="H1060" s="12" t="s">
        <v>4661</v>
      </c>
      <c r="I1060" s="13" t="s">
        <v>4664</v>
      </c>
      <c r="J1060" s="13" t="s">
        <v>4699</v>
      </c>
      <c r="K1060" s="13" t="s">
        <v>4672</v>
      </c>
      <c r="L1060" s="12" t="s">
        <v>4672</v>
      </c>
      <c r="M1060" s="17" t="str">
        <f>IF(LEN(COUNTIFS($H$1:H1060,$H1060,$I$1:I1060,$I1060,$J$1:J1060,$J1060,$K$1:K1060,K1060,$L$1:L1060,L1060))=1,"00"&amp;COUNTIFS($H$1:H1060,$H1060,$I$1:I1060,$I1060,$J$1:J1060,$J1060,$K$1:K1060,K1060,$L$1:L1060,L1060),IF(LEN(COUNTIFS($H$1:H1060,$H1060,$I$1:I1060,$I1060,$J$1:J1060,$J1060,$K$1:K1060,K1060,$L$1:L1060,L1060))=2,"0"&amp;COUNTIFS($H$1:H1060,$H1060,$I$1:I1060,$I1060,$J$1:J1060,$J1060,$K$1:K1060,K1060,$L$1:L1060,L1060),COUNTIFS($H$1:H1060,$H1060,$I$1:I1060,$I1060,$J$1:J1060,$J1060,$K$1:K1060,K1060,$L$1:L1060,L1060)))</f>
        <v>017</v>
      </c>
      <c r="N106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60" s="14" t="e">
        <f>+LEN(Table4[[#This Row],[New Item Code]])</f>
        <v>#N/A</v>
      </c>
      <c r="P1060" s="15" t="s">
        <v>4747</v>
      </c>
      <c r="Q1060" s="15" t="s">
        <v>4749</v>
      </c>
      <c r="R1060" s="15"/>
      <c r="S1060" s="15"/>
      <c r="T1060" s="15" t="s">
        <v>4699</v>
      </c>
    </row>
    <row r="1061" spans="1:20" x14ac:dyDescent="0.35">
      <c r="A1061" s="2" t="s">
        <v>2123</v>
      </c>
      <c r="B1061" s="2" t="s">
        <v>2124</v>
      </c>
      <c r="C1061" s="2" t="s">
        <v>9</v>
      </c>
      <c r="D1061" s="2">
        <v>50</v>
      </c>
      <c r="E1061" s="2" t="s">
        <v>10</v>
      </c>
      <c r="F1061" s="2">
        <v>5</v>
      </c>
      <c r="G1061" s="22">
        <f>Table4[[#This Row],[Item Cost]]*Table4[[#This Row],[In Stock]]</f>
        <v>250</v>
      </c>
      <c r="H1061" s="12" t="s">
        <v>4661</v>
      </c>
      <c r="I1061" s="13" t="s">
        <v>4664</v>
      </c>
      <c r="J1061" s="13" t="s">
        <v>4699</v>
      </c>
      <c r="K1061" s="13" t="s">
        <v>4672</v>
      </c>
      <c r="L1061" s="12" t="s">
        <v>4672</v>
      </c>
      <c r="M1061" s="17" t="str">
        <f>IF(LEN(COUNTIFS($H$1:H1061,$H1061,$I$1:I1061,$I1061,$J$1:J1061,$J1061,$K$1:K1061,K1061,$L$1:L1061,L1061))=1,"00"&amp;COUNTIFS($H$1:H1061,$H1061,$I$1:I1061,$I1061,$J$1:J1061,$J1061,$K$1:K1061,K1061,$L$1:L1061,L1061),IF(LEN(COUNTIFS($H$1:H1061,$H1061,$I$1:I1061,$I1061,$J$1:J1061,$J1061,$K$1:K1061,K1061,$L$1:L1061,L1061))=2,"0"&amp;COUNTIFS($H$1:H1061,$H1061,$I$1:I1061,$I1061,$J$1:J1061,$J1061,$K$1:K1061,K1061,$L$1:L1061,L1061),COUNTIFS($H$1:H1061,$H1061,$I$1:I1061,$I1061,$J$1:J1061,$J1061,$K$1:K1061,K1061,$L$1:L1061,L1061)))</f>
        <v>018</v>
      </c>
      <c r="N106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61" s="14" t="e">
        <f>+LEN(Table4[[#This Row],[New Item Code]])</f>
        <v>#N/A</v>
      </c>
      <c r="P1061" s="15" t="s">
        <v>4747</v>
      </c>
      <c r="Q1061" s="15" t="s">
        <v>4749</v>
      </c>
      <c r="R1061" s="15"/>
      <c r="S1061" s="15"/>
      <c r="T1061" s="15" t="s">
        <v>4699</v>
      </c>
    </row>
    <row r="1062" spans="1:20" x14ac:dyDescent="0.35">
      <c r="A1062" s="3" t="s">
        <v>2125</v>
      </c>
      <c r="B1062" s="3" t="s">
        <v>2126</v>
      </c>
      <c r="C1062" s="3" t="s">
        <v>9</v>
      </c>
      <c r="D1062" s="3">
        <v>425</v>
      </c>
      <c r="E1062" s="3" t="s">
        <v>10</v>
      </c>
      <c r="F1062" s="3">
        <v>1</v>
      </c>
      <c r="G1062" s="21">
        <f>Table4[[#This Row],[Item Cost]]*Table4[[#This Row],[In Stock]]</f>
        <v>425</v>
      </c>
      <c r="H1062" s="12" t="s">
        <v>4661</v>
      </c>
      <c r="I1062" s="13" t="s">
        <v>4664</v>
      </c>
      <c r="J1062" s="13" t="s">
        <v>4699</v>
      </c>
      <c r="K1062" s="13" t="s">
        <v>4776</v>
      </c>
      <c r="L1062" s="12" t="s">
        <v>4672</v>
      </c>
      <c r="M1062" s="17" t="str">
        <f>IF(LEN(COUNTIFS($H$1:H1062,$H1062,$I$1:I1062,$I1062,$J$1:J1062,$J1062,$K$1:K1062,K1062,$L$1:L1062,L1062))=1,"00"&amp;COUNTIFS($H$1:H1062,$H1062,$I$1:I1062,$I1062,$J$1:J1062,$J1062,$K$1:K1062,K1062,$L$1:L1062,L1062),IF(LEN(COUNTIFS($H$1:H1062,$H1062,$I$1:I1062,$I1062,$J$1:J1062,$J1062,$K$1:K1062,K1062,$L$1:L1062,L1062))=2,"0"&amp;COUNTIFS($H$1:H1062,$H1062,$I$1:I1062,$I1062,$J$1:J1062,$J1062,$K$1:K1062,K1062,$L$1:L1062,L1062),COUNTIFS($H$1:H1062,$H1062,$I$1:I1062,$I1062,$J$1:J1062,$J1062,$K$1:K1062,K1062,$L$1:L1062,L1062)))</f>
        <v>004</v>
      </c>
      <c r="N106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62" s="14" t="e">
        <f>+LEN(Table4[[#This Row],[New Item Code]])</f>
        <v>#N/A</v>
      </c>
      <c r="P1062" s="15" t="s">
        <v>4747</v>
      </c>
      <c r="Q1062" s="15" t="s">
        <v>4749</v>
      </c>
      <c r="R1062" s="15"/>
      <c r="S1062" s="15"/>
      <c r="T1062" s="15" t="s">
        <v>4699</v>
      </c>
    </row>
    <row r="1063" spans="1:20" x14ac:dyDescent="0.35">
      <c r="A1063" s="2" t="s">
        <v>2127</v>
      </c>
      <c r="B1063" s="2" t="s">
        <v>2128</v>
      </c>
      <c r="C1063" s="2" t="s">
        <v>9</v>
      </c>
      <c r="D1063" s="2">
        <v>236</v>
      </c>
      <c r="E1063" s="2" t="s">
        <v>10</v>
      </c>
      <c r="F1063" s="2">
        <v>1</v>
      </c>
      <c r="G1063" s="22">
        <f>Table4[[#This Row],[Item Cost]]*Table4[[#This Row],[In Stock]]</f>
        <v>236</v>
      </c>
      <c r="H1063" s="12" t="s">
        <v>4661</v>
      </c>
      <c r="I1063" s="13" t="s">
        <v>4664</v>
      </c>
      <c r="J1063" s="13" t="s">
        <v>4699</v>
      </c>
      <c r="K1063" s="13" t="s">
        <v>4776</v>
      </c>
      <c r="L1063" s="12" t="s">
        <v>4672</v>
      </c>
      <c r="M1063" s="17" t="str">
        <f>IF(LEN(COUNTIFS($H$1:H1063,$H1063,$I$1:I1063,$I1063,$J$1:J1063,$J1063,$K$1:K1063,K1063,$L$1:L1063,L1063))=1,"00"&amp;COUNTIFS($H$1:H1063,$H1063,$I$1:I1063,$I1063,$J$1:J1063,$J1063,$K$1:K1063,K1063,$L$1:L1063,L1063),IF(LEN(COUNTIFS($H$1:H1063,$H1063,$I$1:I1063,$I1063,$J$1:J1063,$J1063,$K$1:K1063,K1063,$L$1:L1063,L1063))=2,"0"&amp;COUNTIFS($H$1:H1063,$H1063,$I$1:I1063,$I1063,$J$1:J1063,$J1063,$K$1:K1063,K1063,$L$1:L1063,L1063),COUNTIFS($H$1:H1063,$H1063,$I$1:I1063,$I1063,$J$1:J1063,$J1063,$K$1:K1063,K1063,$L$1:L1063,L1063)))</f>
        <v>005</v>
      </c>
      <c r="N106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63" s="14" t="e">
        <f>+LEN(Table4[[#This Row],[New Item Code]])</f>
        <v>#N/A</v>
      </c>
      <c r="P1063" s="15" t="s">
        <v>4747</v>
      </c>
      <c r="Q1063" s="15" t="s">
        <v>4749</v>
      </c>
      <c r="R1063" s="15"/>
      <c r="S1063" s="15"/>
      <c r="T1063" s="15" t="s">
        <v>4699</v>
      </c>
    </row>
    <row r="1064" spans="1:20" x14ac:dyDescent="0.35">
      <c r="A1064" s="3" t="s">
        <v>2129</v>
      </c>
      <c r="B1064" s="3" t="s">
        <v>2130</v>
      </c>
      <c r="C1064" s="3" t="s">
        <v>9</v>
      </c>
      <c r="D1064" s="3">
        <v>186</v>
      </c>
      <c r="E1064" s="3" t="s">
        <v>10</v>
      </c>
      <c r="F1064" s="3">
        <v>1</v>
      </c>
      <c r="G1064" s="21">
        <f>Table4[[#This Row],[Item Cost]]*Table4[[#This Row],[In Stock]]</f>
        <v>186</v>
      </c>
      <c r="H1064" s="12" t="s">
        <v>4661</v>
      </c>
      <c r="I1064" s="13" t="s">
        <v>4664</v>
      </c>
      <c r="J1064" s="13" t="s">
        <v>4699</v>
      </c>
      <c r="K1064" s="13" t="s">
        <v>4776</v>
      </c>
      <c r="L1064" s="12" t="s">
        <v>4672</v>
      </c>
      <c r="M1064" s="17" t="str">
        <f>IF(LEN(COUNTIFS($H$1:H1064,$H1064,$I$1:I1064,$I1064,$J$1:J1064,$J1064,$K$1:K1064,K1064,$L$1:L1064,L1064))=1,"00"&amp;COUNTIFS($H$1:H1064,$H1064,$I$1:I1064,$I1064,$J$1:J1064,$J1064,$K$1:K1064,K1064,$L$1:L1064,L1064),IF(LEN(COUNTIFS($H$1:H1064,$H1064,$I$1:I1064,$I1064,$J$1:J1064,$J1064,$K$1:K1064,K1064,$L$1:L1064,L1064))=2,"0"&amp;COUNTIFS($H$1:H1064,$H1064,$I$1:I1064,$I1064,$J$1:J1064,$J1064,$K$1:K1064,K1064,$L$1:L1064,L1064),COUNTIFS($H$1:H1064,$H1064,$I$1:I1064,$I1064,$J$1:J1064,$J1064,$K$1:K1064,K1064,$L$1:L1064,L1064)))</f>
        <v>006</v>
      </c>
      <c r="N106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64" s="14" t="e">
        <f>+LEN(Table4[[#This Row],[New Item Code]])</f>
        <v>#N/A</v>
      </c>
      <c r="P1064" s="15" t="s">
        <v>4747</v>
      </c>
      <c r="Q1064" s="15" t="s">
        <v>4749</v>
      </c>
      <c r="R1064" s="15"/>
      <c r="S1064" s="15"/>
      <c r="T1064" s="15" t="s">
        <v>4699</v>
      </c>
    </row>
    <row r="1065" spans="1:20" x14ac:dyDescent="0.35">
      <c r="A1065" s="2" t="s">
        <v>2131</v>
      </c>
      <c r="B1065" s="2" t="s">
        <v>2132</v>
      </c>
      <c r="C1065" s="2" t="s">
        <v>9</v>
      </c>
      <c r="D1065" s="2">
        <v>196</v>
      </c>
      <c r="E1065" s="2" t="s">
        <v>10</v>
      </c>
      <c r="F1065" s="2">
        <v>1</v>
      </c>
      <c r="G1065" s="22">
        <f>Table4[[#This Row],[Item Cost]]*Table4[[#This Row],[In Stock]]</f>
        <v>196</v>
      </c>
      <c r="H1065" s="12" t="s">
        <v>4661</v>
      </c>
      <c r="I1065" s="13" t="s">
        <v>4664</v>
      </c>
      <c r="J1065" s="13" t="s">
        <v>4699</v>
      </c>
      <c r="K1065" s="13" t="s">
        <v>4776</v>
      </c>
      <c r="L1065" s="12" t="s">
        <v>4672</v>
      </c>
      <c r="M1065" s="17" t="str">
        <f>IF(LEN(COUNTIFS($H$1:H1065,$H1065,$I$1:I1065,$I1065,$J$1:J1065,$J1065,$K$1:K1065,K1065,$L$1:L1065,L1065))=1,"00"&amp;COUNTIFS($H$1:H1065,$H1065,$I$1:I1065,$I1065,$J$1:J1065,$J1065,$K$1:K1065,K1065,$L$1:L1065,L1065),IF(LEN(COUNTIFS($H$1:H1065,$H1065,$I$1:I1065,$I1065,$J$1:J1065,$J1065,$K$1:K1065,K1065,$L$1:L1065,L1065))=2,"0"&amp;COUNTIFS($H$1:H1065,$H1065,$I$1:I1065,$I1065,$J$1:J1065,$J1065,$K$1:K1065,K1065,$L$1:L1065,L1065),COUNTIFS($H$1:H1065,$H1065,$I$1:I1065,$I1065,$J$1:J1065,$J1065,$K$1:K1065,K1065,$L$1:L1065,L1065)))</f>
        <v>007</v>
      </c>
      <c r="N106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65" s="14" t="e">
        <f>+LEN(Table4[[#This Row],[New Item Code]])</f>
        <v>#N/A</v>
      </c>
      <c r="P1065" s="15" t="s">
        <v>4747</v>
      </c>
      <c r="Q1065" s="15" t="s">
        <v>4749</v>
      </c>
      <c r="R1065" s="15"/>
      <c r="S1065" s="15"/>
      <c r="T1065" s="15" t="s">
        <v>4699</v>
      </c>
    </row>
    <row r="1066" spans="1:20" x14ac:dyDescent="0.35">
      <c r="A1066" s="3" t="s">
        <v>2133</v>
      </c>
      <c r="B1066" s="3" t="s">
        <v>2134</v>
      </c>
      <c r="C1066" s="3" t="s">
        <v>9</v>
      </c>
      <c r="D1066" s="5">
        <v>5500</v>
      </c>
      <c r="E1066" s="3" t="s">
        <v>10</v>
      </c>
      <c r="F1066" s="3">
        <v>1</v>
      </c>
      <c r="G1066" s="21">
        <f>Table4[[#This Row],[Item Cost]]*Table4[[#This Row],[In Stock]]</f>
        <v>5500</v>
      </c>
      <c r="H1066" s="12" t="s">
        <v>4661</v>
      </c>
      <c r="I1066" s="13" t="s">
        <v>4664</v>
      </c>
      <c r="J1066" s="13" t="s">
        <v>4699</v>
      </c>
      <c r="K1066" t="s">
        <v>4798</v>
      </c>
      <c r="L1066" s="12" t="s">
        <v>4672</v>
      </c>
      <c r="M1066" s="17" t="str">
        <f>IF(LEN(COUNTIFS($H$1:H1066,$H1066,$I$1:I1066,$I1066,$J$1:J1066,$J1066,$K$1:K1066,K1066,$L$1:L1066,L1066))=1,"00"&amp;COUNTIFS($H$1:H1066,$H1066,$I$1:I1066,$I1066,$J$1:J1066,$J1066,$K$1:K1066,K1066,$L$1:L1066,L1066),IF(LEN(COUNTIFS($H$1:H1066,$H1066,$I$1:I1066,$I1066,$J$1:J1066,$J1066,$K$1:K1066,K1066,$L$1:L1066,L1066))=2,"0"&amp;COUNTIFS($H$1:H1066,$H1066,$I$1:I1066,$I1066,$J$1:J1066,$J1066,$K$1:K1066,K1066,$L$1:L1066,L1066),COUNTIFS($H$1:H1066,$H1066,$I$1:I1066,$I1066,$J$1:J1066,$J1066,$K$1:K1066,K1066,$L$1:L1066,L1066)))</f>
        <v>001</v>
      </c>
      <c r="N106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66" s="14" t="e">
        <f>+LEN(Table4[[#This Row],[New Item Code]])</f>
        <v>#N/A</v>
      </c>
      <c r="P1066" s="15" t="s">
        <v>4747</v>
      </c>
      <c r="Q1066" s="15" t="s">
        <v>4749</v>
      </c>
      <c r="R1066" s="15"/>
      <c r="S1066" s="15"/>
      <c r="T1066" s="15" t="s">
        <v>4699</v>
      </c>
    </row>
    <row r="1067" spans="1:20" x14ac:dyDescent="0.35">
      <c r="A1067" s="2" t="s">
        <v>2135</v>
      </c>
      <c r="B1067" s="2" t="s">
        <v>2136</v>
      </c>
      <c r="C1067" s="2" t="s">
        <v>9</v>
      </c>
      <c r="D1067" s="2">
        <v>631.47</v>
      </c>
      <c r="E1067" s="2" t="s">
        <v>10</v>
      </c>
      <c r="F1067" s="2">
        <v>1</v>
      </c>
      <c r="G1067" s="22">
        <f>Table4[[#This Row],[Item Cost]]*Table4[[#This Row],[In Stock]]</f>
        <v>631.47</v>
      </c>
      <c r="H1067" s="12" t="s">
        <v>4661</v>
      </c>
      <c r="I1067" s="13" t="s">
        <v>4664</v>
      </c>
      <c r="J1067" s="13" t="s">
        <v>4699</v>
      </c>
      <c r="K1067" s="13" t="s">
        <v>4672</v>
      </c>
      <c r="L1067" s="12" t="s">
        <v>4672</v>
      </c>
      <c r="M1067" s="17" t="str">
        <f>IF(LEN(COUNTIFS($H$1:H1067,$H1067,$I$1:I1067,$I1067,$J$1:J1067,$J1067,$K$1:K1067,K1067,$L$1:L1067,L1067))=1,"00"&amp;COUNTIFS($H$1:H1067,$H1067,$I$1:I1067,$I1067,$J$1:J1067,$J1067,$K$1:K1067,K1067,$L$1:L1067,L1067),IF(LEN(COUNTIFS($H$1:H1067,$H1067,$I$1:I1067,$I1067,$J$1:J1067,$J1067,$K$1:K1067,K1067,$L$1:L1067,L1067))=2,"0"&amp;COUNTIFS($H$1:H1067,$H1067,$I$1:I1067,$I1067,$J$1:J1067,$J1067,$K$1:K1067,K1067,$L$1:L1067,L1067),COUNTIFS($H$1:H1067,$H1067,$I$1:I1067,$I1067,$J$1:J1067,$J1067,$K$1:K1067,K1067,$L$1:L1067,L1067)))</f>
        <v>019</v>
      </c>
      <c r="N106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67" s="14" t="e">
        <f>+LEN(Table4[[#This Row],[New Item Code]])</f>
        <v>#N/A</v>
      </c>
      <c r="P1067" s="15" t="s">
        <v>4747</v>
      </c>
      <c r="Q1067" s="15" t="s">
        <v>4749</v>
      </c>
      <c r="R1067" s="15"/>
      <c r="S1067" s="15"/>
      <c r="T1067" s="15" t="s">
        <v>4699</v>
      </c>
    </row>
    <row r="1068" spans="1:20" x14ac:dyDescent="0.35">
      <c r="A1068" s="3" t="s">
        <v>2137</v>
      </c>
      <c r="B1068" s="3" t="s">
        <v>2138</v>
      </c>
      <c r="C1068" s="3" t="s">
        <v>9</v>
      </c>
      <c r="D1068" s="5">
        <v>1079.7</v>
      </c>
      <c r="E1068" s="3" t="s">
        <v>10</v>
      </c>
      <c r="F1068" s="3">
        <v>1</v>
      </c>
      <c r="G1068" s="21">
        <f>Table4[[#This Row],[Item Cost]]*Table4[[#This Row],[In Stock]]</f>
        <v>1079.7</v>
      </c>
      <c r="H1068" s="12" t="s">
        <v>4661</v>
      </c>
      <c r="I1068" s="13" t="s">
        <v>4664</v>
      </c>
      <c r="J1068" s="13" t="s">
        <v>4699</v>
      </c>
      <c r="K1068" s="13" t="s">
        <v>4672</v>
      </c>
      <c r="L1068" s="12" t="s">
        <v>4672</v>
      </c>
      <c r="M1068" s="17" t="str">
        <f>IF(LEN(COUNTIFS($H$1:H1068,$H1068,$I$1:I1068,$I1068,$J$1:J1068,$J1068,$K$1:K1068,K1068,$L$1:L1068,L1068))=1,"00"&amp;COUNTIFS($H$1:H1068,$H1068,$I$1:I1068,$I1068,$J$1:J1068,$J1068,$K$1:K1068,K1068,$L$1:L1068,L1068),IF(LEN(COUNTIFS($H$1:H1068,$H1068,$I$1:I1068,$I1068,$J$1:J1068,$J1068,$K$1:K1068,K1068,$L$1:L1068,L1068))=2,"0"&amp;COUNTIFS($H$1:H1068,$H1068,$I$1:I1068,$I1068,$J$1:J1068,$J1068,$K$1:K1068,K1068,$L$1:L1068,L1068),COUNTIFS($H$1:H1068,$H1068,$I$1:I1068,$I1068,$J$1:J1068,$J1068,$K$1:K1068,K1068,$L$1:L1068,L1068)))</f>
        <v>020</v>
      </c>
      <c r="N106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68" s="14" t="e">
        <f>+LEN(Table4[[#This Row],[New Item Code]])</f>
        <v>#N/A</v>
      </c>
      <c r="P1068" s="15" t="s">
        <v>4747</v>
      </c>
      <c r="Q1068" s="15" t="s">
        <v>4749</v>
      </c>
      <c r="R1068" s="15"/>
      <c r="S1068" s="15"/>
      <c r="T1068" s="15" t="s">
        <v>4699</v>
      </c>
    </row>
    <row r="1069" spans="1:20" x14ac:dyDescent="0.35">
      <c r="A1069" s="2" t="s">
        <v>2139</v>
      </c>
      <c r="B1069" s="2" t="s">
        <v>2140</v>
      </c>
      <c r="C1069" s="2" t="s">
        <v>9</v>
      </c>
      <c r="D1069" s="4">
        <v>2371.65</v>
      </c>
      <c r="E1069" s="2" t="s">
        <v>10</v>
      </c>
      <c r="F1069" s="2">
        <v>1</v>
      </c>
      <c r="G1069" s="22">
        <f>Table4[[#This Row],[Item Cost]]*Table4[[#This Row],[In Stock]]</f>
        <v>2371.65</v>
      </c>
      <c r="H1069" s="12" t="s">
        <v>4661</v>
      </c>
      <c r="I1069" s="13" t="s">
        <v>4664</v>
      </c>
      <c r="J1069" s="13" t="s">
        <v>4699</v>
      </c>
      <c r="K1069" s="13" t="s">
        <v>4672</v>
      </c>
      <c r="L1069" s="12" t="s">
        <v>4672</v>
      </c>
      <c r="M1069" s="17" t="str">
        <f>IF(LEN(COUNTIFS($H$1:H1069,$H1069,$I$1:I1069,$I1069,$J$1:J1069,$J1069,$K$1:K1069,K1069,$L$1:L1069,L1069))=1,"00"&amp;COUNTIFS($H$1:H1069,$H1069,$I$1:I1069,$I1069,$J$1:J1069,$J1069,$K$1:K1069,K1069,$L$1:L1069,L1069),IF(LEN(COUNTIFS($H$1:H1069,$H1069,$I$1:I1069,$I1069,$J$1:J1069,$J1069,$K$1:K1069,K1069,$L$1:L1069,L1069))=2,"0"&amp;COUNTIFS($H$1:H1069,$H1069,$I$1:I1069,$I1069,$J$1:J1069,$J1069,$K$1:K1069,K1069,$L$1:L1069,L1069),COUNTIFS($H$1:H1069,$H1069,$I$1:I1069,$I1069,$J$1:J1069,$J1069,$K$1:K1069,K1069,$L$1:L1069,L1069)))</f>
        <v>021</v>
      </c>
      <c r="N106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69" s="14" t="e">
        <f>+LEN(Table4[[#This Row],[New Item Code]])</f>
        <v>#N/A</v>
      </c>
      <c r="P1069" s="15" t="s">
        <v>4747</v>
      </c>
      <c r="Q1069" s="15" t="s">
        <v>4749</v>
      </c>
      <c r="R1069" s="15"/>
      <c r="S1069" s="15"/>
      <c r="T1069" s="15" t="s">
        <v>4699</v>
      </c>
    </row>
    <row r="1070" spans="1:20" x14ac:dyDescent="0.35">
      <c r="A1070" s="3" t="s">
        <v>2141</v>
      </c>
      <c r="B1070" s="3" t="s">
        <v>2142</v>
      </c>
      <c r="C1070" s="3" t="s">
        <v>9</v>
      </c>
      <c r="D1070" s="3">
        <v>458.81</v>
      </c>
      <c r="E1070" s="3" t="s">
        <v>10</v>
      </c>
      <c r="F1070" s="3">
        <v>1</v>
      </c>
      <c r="G1070" s="21">
        <f>Table4[[#This Row],[Item Cost]]*Table4[[#This Row],[In Stock]]</f>
        <v>458.81</v>
      </c>
      <c r="H1070" s="12" t="s">
        <v>4661</v>
      </c>
      <c r="I1070" s="13" t="s">
        <v>4664</v>
      </c>
      <c r="J1070" s="13" t="s">
        <v>4699</v>
      </c>
      <c r="K1070" s="13" t="s">
        <v>4672</v>
      </c>
      <c r="L1070" s="12" t="s">
        <v>4672</v>
      </c>
      <c r="M1070" s="17" t="str">
        <f>IF(LEN(COUNTIFS($H$1:H1070,$H1070,$I$1:I1070,$I1070,$J$1:J1070,$J1070,$K$1:K1070,K1070,$L$1:L1070,L1070))=1,"00"&amp;COUNTIFS($H$1:H1070,$H1070,$I$1:I1070,$I1070,$J$1:J1070,$J1070,$K$1:K1070,K1070,$L$1:L1070,L1070),IF(LEN(COUNTIFS($H$1:H1070,$H1070,$I$1:I1070,$I1070,$J$1:J1070,$J1070,$K$1:K1070,K1070,$L$1:L1070,L1070))=2,"0"&amp;COUNTIFS($H$1:H1070,$H1070,$I$1:I1070,$I1070,$J$1:J1070,$J1070,$K$1:K1070,K1070,$L$1:L1070,L1070),COUNTIFS($H$1:H1070,$H1070,$I$1:I1070,$I1070,$J$1:J1070,$J1070,$K$1:K1070,K1070,$L$1:L1070,L1070)))</f>
        <v>022</v>
      </c>
      <c r="N107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70" s="14" t="e">
        <f>+LEN(Table4[[#This Row],[New Item Code]])</f>
        <v>#N/A</v>
      </c>
      <c r="P1070" s="15" t="s">
        <v>4747</v>
      </c>
      <c r="Q1070" s="15" t="s">
        <v>4749</v>
      </c>
      <c r="R1070" s="15"/>
      <c r="S1070" s="15"/>
      <c r="T1070" s="15" t="s">
        <v>4699</v>
      </c>
    </row>
    <row r="1071" spans="1:20" x14ac:dyDescent="0.35">
      <c r="A1071" s="2" t="s">
        <v>2143</v>
      </c>
      <c r="B1071" s="2" t="s">
        <v>2144</v>
      </c>
      <c r="C1071" s="2" t="s">
        <v>9</v>
      </c>
      <c r="D1071" s="2">
        <v>933.14</v>
      </c>
      <c r="E1071" s="2" t="s">
        <v>10</v>
      </c>
      <c r="F1071" s="2">
        <v>1</v>
      </c>
      <c r="G1071" s="22">
        <f>Table4[[#This Row],[Item Cost]]*Table4[[#This Row],[In Stock]]</f>
        <v>933.14</v>
      </c>
      <c r="H1071" s="12" t="s">
        <v>4661</v>
      </c>
      <c r="I1071" s="13" t="s">
        <v>4664</v>
      </c>
      <c r="J1071" s="13" t="s">
        <v>4699</v>
      </c>
      <c r="K1071" s="13" t="s">
        <v>4672</v>
      </c>
      <c r="L1071" s="12" t="s">
        <v>4672</v>
      </c>
      <c r="M1071" s="17" t="str">
        <f>IF(LEN(COUNTIFS($H$1:H1071,$H1071,$I$1:I1071,$I1071,$J$1:J1071,$J1071,$K$1:K1071,K1071,$L$1:L1071,L1071))=1,"00"&amp;COUNTIFS($H$1:H1071,$H1071,$I$1:I1071,$I1071,$J$1:J1071,$J1071,$K$1:K1071,K1071,$L$1:L1071,L1071),IF(LEN(COUNTIFS($H$1:H1071,$H1071,$I$1:I1071,$I1071,$J$1:J1071,$J1071,$K$1:K1071,K1071,$L$1:L1071,L1071))=2,"0"&amp;COUNTIFS($H$1:H1071,$H1071,$I$1:I1071,$I1071,$J$1:J1071,$J1071,$K$1:K1071,K1071,$L$1:L1071,L1071),COUNTIFS($H$1:H1071,$H1071,$I$1:I1071,$I1071,$J$1:J1071,$J1071,$K$1:K1071,K1071,$L$1:L1071,L1071)))</f>
        <v>023</v>
      </c>
      <c r="N107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71" s="14" t="e">
        <f>+LEN(Table4[[#This Row],[New Item Code]])</f>
        <v>#N/A</v>
      </c>
      <c r="P1071" s="15" t="s">
        <v>4747</v>
      </c>
      <c r="Q1071" s="15" t="s">
        <v>4749</v>
      </c>
      <c r="R1071" s="15"/>
      <c r="S1071" s="15"/>
      <c r="T1071" s="15" t="s">
        <v>4699</v>
      </c>
    </row>
    <row r="1072" spans="1:20" x14ac:dyDescent="0.35">
      <c r="A1072" s="3" t="s">
        <v>2145</v>
      </c>
      <c r="B1072" s="3" t="s">
        <v>2146</v>
      </c>
      <c r="C1072" s="3" t="s">
        <v>9</v>
      </c>
      <c r="D1072" s="5">
        <v>1676.16</v>
      </c>
      <c r="E1072" s="3" t="s">
        <v>10</v>
      </c>
      <c r="F1072" s="3">
        <v>1</v>
      </c>
      <c r="G1072" s="21">
        <f>Table4[[#This Row],[Item Cost]]*Table4[[#This Row],[In Stock]]</f>
        <v>1676.16</v>
      </c>
      <c r="H1072" s="12" t="s">
        <v>4661</v>
      </c>
      <c r="I1072" s="13" t="s">
        <v>4664</v>
      </c>
      <c r="J1072" s="13" t="s">
        <v>4699</v>
      </c>
      <c r="K1072" s="13" t="s">
        <v>4672</v>
      </c>
      <c r="L1072" s="12" t="s">
        <v>4672</v>
      </c>
      <c r="M1072" s="17" t="str">
        <f>IF(LEN(COUNTIFS($H$1:H1072,$H1072,$I$1:I1072,$I1072,$J$1:J1072,$J1072,$K$1:K1072,K1072,$L$1:L1072,L1072))=1,"00"&amp;COUNTIFS($H$1:H1072,$H1072,$I$1:I1072,$I1072,$J$1:J1072,$J1072,$K$1:K1072,K1072,$L$1:L1072,L1072),IF(LEN(COUNTIFS($H$1:H1072,$H1072,$I$1:I1072,$I1072,$J$1:J1072,$J1072,$K$1:K1072,K1072,$L$1:L1072,L1072))=2,"0"&amp;COUNTIFS($H$1:H1072,$H1072,$I$1:I1072,$I1072,$J$1:J1072,$J1072,$K$1:K1072,K1072,$L$1:L1072,L1072),COUNTIFS($H$1:H1072,$H1072,$I$1:I1072,$I1072,$J$1:J1072,$J1072,$K$1:K1072,K1072,$L$1:L1072,L1072)))</f>
        <v>024</v>
      </c>
      <c r="N107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72" s="14" t="e">
        <f>+LEN(Table4[[#This Row],[New Item Code]])</f>
        <v>#N/A</v>
      </c>
      <c r="P1072" s="15" t="s">
        <v>4747</v>
      </c>
      <c r="Q1072" s="15" t="s">
        <v>4749</v>
      </c>
      <c r="R1072" s="15"/>
      <c r="S1072" s="15"/>
      <c r="T1072" s="15" t="s">
        <v>4699</v>
      </c>
    </row>
    <row r="1073" spans="1:20" x14ac:dyDescent="0.35">
      <c r="A1073" s="2" t="s">
        <v>2147</v>
      </c>
      <c r="B1073" s="2" t="s">
        <v>2148</v>
      </c>
      <c r="C1073" s="2" t="s">
        <v>9</v>
      </c>
      <c r="D1073" s="2">
        <v>91</v>
      </c>
      <c r="E1073" s="2" t="s">
        <v>10</v>
      </c>
      <c r="F1073" s="2">
        <v>2</v>
      </c>
      <c r="G1073" s="22">
        <f>Table4[[#This Row],[Item Cost]]*Table4[[#This Row],[In Stock]]</f>
        <v>182</v>
      </c>
      <c r="H1073" s="12" t="s">
        <v>4661</v>
      </c>
      <c r="I1073" s="13" t="s">
        <v>4664</v>
      </c>
      <c r="J1073" s="13" t="s">
        <v>4699</v>
      </c>
      <c r="K1073" s="13" t="s">
        <v>4672</v>
      </c>
      <c r="L1073" s="12" t="s">
        <v>4672</v>
      </c>
      <c r="M1073" s="17" t="str">
        <f>IF(LEN(COUNTIFS($H$1:H1073,$H1073,$I$1:I1073,$I1073,$J$1:J1073,$J1073,$K$1:K1073,K1073,$L$1:L1073,L1073))=1,"00"&amp;COUNTIFS($H$1:H1073,$H1073,$I$1:I1073,$I1073,$J$1:J1073,$J1073,$K$1:K1073,K1073,$L$1:L1073,L1073),IF(LEN(COUNTIFS($H$1:H1073,$H1073,$I$1:I1073,$I1073,$J$1:J1073,$J1073,$K$1:K1073,K1073,$L$1:L1073,L1073))=2,"0"&amp;COUNTIFS($H$1:H1073,$H1073,$I$1:I1073,$I1073,$J$1:J1073,$J1073,$K$1:K1073,K1073,$L$1:L1073,L1073),COUNTIFS($H$1:H1073,$H1073,$I$1:I1073,$I1073,$J$1:J1073,$J1073,$K$1:K1073,K1073,$L$1:L1073,L1073)))</f>
        <v>025</v>
      </c>
      <c r="N107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73" s="14" t="e">
        <f>+LEN(Table4[[#This Row],[New Item Code]])</f>
        <v>#N/A</v>
      </c>
      <c r="P1073" s="15" t="s">
        <v>4747</v>
      </c>
      <c r="Q1073" s="15" t="s">
        <v>4749</v>
      </c>
      <c r="R1073" s="15"/>
      <c r="S1073" s="15"/>
      <c r="T1073" s="15" t="s">
        <v>4699</v>
      </c>
    </row>
    <row r="1074" spans="1:20" x14ac:dyDescent="0.35">
      <c r="A1074" s="3" t="s">
        <v>2149</v>
      </c>
      <c r="B1074" s="3" t="s">
        <v>2150</v>
      </c>
      <c r="C1074" s="3" t="s">
        <v>9</v>
      </c>
      <c r="D1074" s="3">
        <v>105</v>
      </c>
      <c r="E1074" s="3" t="s">
        <v>10</v>
      </c>
      <c r="F1074" s="3">
        <v>2</v>
      </c>
      <c r="G1074" s="21">
        <f>Table4[[#This Row],[Item Cost]]*Table4[[#This Row],[In Stock]]</f>
        <v>210</v>
      </c>
      <c r="H1074" s="12" t="s">
        <v>4661</v>
      </c>
      <c r="I1074" s="13" t="s">
        <v>4664</v>
      </c>
      <c r="J1074" s="13" t="s">
        <v>4699</v>
      </c>
      <c r="K1074" s="13" t="s">
        <v>4672</v>
      </c>
      <c r="L1074" s="12" t="s">
        <v>4672</v>
      </c>
      <c r="M1074" s="17" t="str">
        <f>IF(LEN(COUNTIFS($H$1:H1074,$H1074,$I$1:I1074,$I1074,$J$1:J1074,$J1074,$K$1:K1074,K1074,$L$1:L1074,L1074))=1,"00"&amp;COUNTIFS($H$1:H1074,$H1074,$I$1:I1074,$I1074,$J$1:J1074,$J1074,$K$1:K1074,K1074,$L$1:L1074,L1074),IF(LEN(COUNTIFS($H$1:H1074,$H1074,$I$1:I1074,$I1074,$J$1:J1074,$J1074,$K$1:K1074,K1074,$L$1:L1074,L1074))=2,"0"&amp;COUNTIFS($H$1:H1074,$H1074,$I$1:I1074,$I1074,$J$1:J1074,$J1074,$K$1:K1074,K1074,$L$1:L1074,L1074),COUNTIFS($H$1:H1074,$H1074,$I$1:I1074,$I1074,$J$1:J1074,$J1074,$K$1:K1074,K1074,$L$1:L1074,L1074)))</f>
        <v>026</v>
      </c>
      <c r="N107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74" s="14" t="e">
        <f>+LEN(Table4[[#This Row],[New Item Code]])</f>
        <v>#N/A</v>
      </c>
      <c r="P1074" s="15" t="s">
        <v>4747</v>
      </c>
      <c r="Q1074" s="15" t="s">
        <v>4749</v>
      </c>
      <c r="R1074" s="15"/>
      <c r="S1074" s="15"/>
      <c r="T1074" s="15" t="s">
        <v>4699</v>
      </c>
    </row>
    <row r="1075" spans="1:20" x14ac:dyDescent="0.35">
      <c r="A1075" s="2" t="s">
        <v>2151</v>
      </c>
      <c r="B1075" s="2" t="s">
        <v>2152</v>
      </c>
      <c r="C1075" s="2" t="s">
        <v>9</v>
      </c>
      <c r="D1075" s="2">
        <v>71</v>
      </c>
      <c r="E1075" s="2" t="s">
        <v>10</v>
      </c>
      <c r="F1075" s="2">
        <v>1</v>
      </c>
      <c r="G1075" s="22">
        <f>Table4[[#This Row],[Item Cost]]*Table4[[#This Row],[In Stock]]</f>
        <v>71</v>
      </c>
      <c r="H1075" s="12" t="s">
        <v>4661</v>
      </c>
      <c r="I1075" s="13" t="s">
        <v>4664</v>
      </c>
      <c r="J1075" s="13" t="s">
        <v>4699</v>
      </c>
      <c r="K1075" s="13" t="s">
        <v>4672</v>
      </c>
      <c r="L1075" s="12" t="s">
        <v>4672</v>
      </c>
      <c r="M1075" s="17" t="str">
        <f>IF(LEN(COUNTIFS($H$1:H1075,$H1075,$I$1:I1075,$I1075,$J$1:J1075,$J1075,$K$1:K1075,K1075,$L$1:L1075,L1075))=1,"00"&amp;COUNTIFS($H$1:H1075,$H1075,$I$1:I1075,$I1075,$J$1:J1075,$J1075,$K$1:K1075,K1075,$L$1:L1075,L1075),IF(LEN(COUNTIFS($H$1:H1075,$H1075,$I$1:I1075,$I1075,$J$1:J1075,$J1075,$K$1:K1075,K1075,$L$1:L1075,L1075))=2,"0"&amp;COUNTIFS($H$1:H1075,$H1075,$I$1:I1075,$I1075,$J$1:J1075,$J1075,$K$1:K1075,K1075,$L$1:L1075,L1075),COUNTIFS($H$1:H1075,$H1075,$I$1:I1075,$I1075,$J$1:J1075,$J1075,$K$1:K1075,K1075,$L$1:L1075,L1075)))</f>
        <v>027</v>
      </c>
      <c r="N107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75" s="14" t="e">
        <f>+LEN(Table4[[#This Row],[New Item Code]])</f>
        <v>#N/A</v>
      </c>
      <c r="P1075" s="15" t="s">
        <v>4747</v>
      </c>
      <c r="Q1075" s="15" t="s">
        <v>4749</v>
      </c>
      <c r="R1075" s="15"/>
      <c r="S1075" s="15"/>
      <c r="T1075" s="15" t="s">
        <v>4699</v>
      </c>
    </row>
    <row r="1076" spans="1:20" x14ac:dyDescent="0.35">
      <c r="A1076" s="3" t="s">
        <v>2153</v>
      </c>
      <c r="B1076" s="3" t="s">
        <v>2154</v>
      </c>
      <c r="C1076" s="3" t="s">
        <v>9</v>
      </c>
      <c r="D1076" s="3">
        <v>126</v>
      </c>
      <c r="E1076" s="3" t="s">
        <v>10</v>
      </c>
      <c r="F1076" s="3">
        <v>2</v>
      </c>
      <c r="G1076" s="21">
        <f>Table4[[#This Row],[Item Cost]]*Table4[[#This Row],[In Stock]]</f>
        <v>252</v>
      </c>
      <c r="H1076" s="12" t="s">
        <v>4661</v>
      </c>
      <c r="I1076" s="13" t="s">
        <v>4664</v>
      </c>
      <c r="J1076" s="13" t="s">
        <v>4699</v>
      </c>
      <c r="K1076" s="13" t="s">
        <v>4672</v>
      </c>
      <c r="L1076" s="12" t="s">
        <v>4672</v>
      </c>
      <c r="M1076" s="17" t="str">
        <f>IF(LEN(COUNTIFS($H$1:H1076,$H1076,$I$1:I1076,$I1076,$J$1:J1076,$J1076,$K$1:K1076,K1076,$L$1:L1076,L1076))=1,"00"&amp;COUNTIFS($H$1:H1076,$H1076,$I$1:I1076,$I1076,$J$1:J1076,$J1076,$K$1:K1076,K1076,$L$1:L1076,L1076),IF(LEN(COUNTIFS($H$1:H1076,$H1076,$I$1:I1076,$I1076,$J$1:J1076,$J1076,$K$1:K1076,K1076,$L$1:L1076,L1076))=2,"0"&amp;COUNTIFS($H$1:H1076,$H1076,$I$1:I1076,$I1076,$J$1:J1076,$J1076,$K$1:K1076,K1076,$L$1:L1076,L1076),COUNTIFS($H$1:H1076,$H1076,$I$1:I1076,$I1076,$J$1:J1076,$J1076,$K$1:K1076,K1076,$L$1:L1076,L1076)))</f>
        <v>028</v>
      </c>
      <c r="N107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76" s="14" t="e">
        <f>+LEN(Table4[[#This Row],[New Item Code]])</f>
        <v>#N/A</v>
      </c>
      <c r="P1076" s="15" t="s">
        <v>4747</v>
      </c>
      <c r="Q1076" s="15" t="s">
        <v>4749</v>
      </c>
      <c r="R1076" s="15"/>
      <c r="S1076" s="15"/>
      <c r="T1076" s="15" t="s">
        <v>4699</v>
      </c>
    </row>
    <row r="1077" spans="1:20" x14ac:dyDescent="0.35">
      <c r="A1077" s="2" t="s">
        <v>2155</v>
      </c>
      <c r="B1077" s="2" t="s">
        <v>2156</v>
      </c>
      <c r="C1077" s="2" t="s">
        <v>9</v>
      </c>
      <c r="D1077" s="4">
        <v>2600</v>
      </c>
      <c r="E1077" s="2" t="s">
        <v>10</v>
      </c>
      <c r="F1077" s="2">
        <v>1</v>
      </c>
      <c r="G1077" s="22">
        <f>Table4[[#This Row],[Item Cost]]*Table4[[#This Row],[In Stock]]</f>
        <v>2600</v>
      </c>
      <c r="H1077" s="12" t="s">
        <v>4661</v>
      </c>
      <c r="I1077" s="13" t="s">
        <v>4664</v>
      </c>
      <c r="J1077" s="13" t="s">
        <v>4699</v>
      </c>
      <c r="K1077" s="13" t="s">
        <v>4672</v>
      </c>
      <c r="L1077" s="12" t="s">
        <v>4672</v>
      </c>
      <c r="M1077" s="17" t="str">
        <f>IF(LEN(COUNTIFS($H$1:H1077,$H1077,$I$1:I1077,$I1077,$J$1:J1077,$J1077,$K$1:K1077,K1077,$L$1:L1077,L1077))=1,"00"&amp;COUNTIFS($H$1:H1077,$H1077,$I$1:I1077,$I1077,$J$1:J1077,$J1077,$K$1:K1077,K1077,$L$1:L1077,L1077),IF(LEN(COUNTIFS($H$1:H1077,$H1077,$I$1:I1077,$I1077,$J$1:J1077,$J1077,$K$1:K1077,K1077,$L$1:L1077,L1077))=2,"0"&amp;COUNTIFS($H$1:H1077,$H1077,$I$1:I1077,$I1077,$J$1:J1077,$J1077,$K$1:K1077,K1077,$L$1:L1077,L1077),COUNTIFS($H$1:H1077,$H1077,$I$1:I1077,$I1077,$J$1:J1077,$J1077,$K$1:K1077,K1077,$L$1:L1077,L1077)))</f>
        <v>029</v>
      </c>
      <c r="N107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77" s="14" t="e">
        <f>+LEN(Table4[[#This Row],[New Item Code]])</f>
        <v>#N/A</v>
      </c>
      <c r="P1077" s="15" t="s">
        <v>4747</v>
      </c>
      <c r="Q1077" s="15" t="s">
        <v>4749</v>
      </c>
      <c r="R1077" s="15"/>
      <c r="S1077" s="15"/>
      <c r="T1077" s="15" t="s">
        <v>4699</v>
      </c>
    </row>
    <row r="1078" spans="1:20" x14ac:dyDescent="0.35">
      <c r="A1078" s="3" t="s">
        <v>2157</v>
      </c>
      <c r="B1078" s="3" t="s">
        <v>2158</v>
      </c>
      <c r="C1078" s="3" t="s">
        <v>9</v>
      </c>
      <c r="D1078" s="3">
        <v>324.5</v>
      </c>
      <c r="E1078" s="3" t="s">
        <v>10</v>
      </c>
      <c r="F1078" s="3">
        <v>1</v>
      </c>
      <c r="G1078" s="21">
        <f>Table4[[#This Row],[Item Cost]]*Table4[[#This Row],[In Stock]]</f>
        <v>324.5</v>
      </c>
      <c r="H1078" s="12" t="s">
        <v>4661</v>
      </c>
      <c r="I1078" s="13" t="s">
        <v>4664</v>
      </c>
      <c r="J1078" s="13" t="s">
        <v>4699</v>
      </c>
      <c r="K1078" s="13" t="s">
        <v>4672</v>
      </c>
      <c r="L1078" s="12" t="s">
        <v>4672</v>
      </c>
      <c r="M1078" s="17" t="str">
        <f>IF(LEN(COUNTIFS($H$1:H1078,$H1078,$I$1:I1078,$I1078,$J$1:J1078,$J1078,$K$1:K1078,K1078,$L$1:L1078,L1078))=1,"00"&amp;COUNTIFS($H$1:H1078,$H1078,$I$1:I1078,$I1078,$J$1:J1078,$J1078,$K$1:K1078,K1078,$L$1:L1078,L1078),IF(LEN(COUNTIFS($H$1:H1078,$H1078,$I$1:I1078,$I1078,$J$1:J1078,$J1078,$K$1:K1078,K1078,$L$1:L1078,L1078))=2,"0"&amp;COUNTIFS($H$1:H1078,$H1078,$I$1:I1078,$I1078,$J$1:J1078,$J1078,$K$1:K1078,K1078,$L$1:L1078,L1078),COUNTIFS($H$1:H1078,$H1078,$I$1:I1078,$I1078,$J$1:J1078,$J1078,$K$1:K1078,K1078,$L$1:L1078,L1078)))</f>
        <v>030</v>
      </c>
      <c r="N107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78" s="14" t="e">
        <f>+LEN(Table4[[#This Row],[New Item Code]])</f>
        <v>#N/A</v>
      </c>
      <c r="P1078" s="15" t="s">
        <v>4747</v>
      </c>
      <c r="Q1078" s="15" t="s">
        <v>4749</v>
      </c>
      <c r="R1078" s="15"/>
      <c r="S1078" s="15"/>
      <c r="T1078" s="15" t="s">
        <v>4699</v>
      </c>
    </row>
    <row r="1079" spans="1:20" x14ac:dyDescent="0.35">
      <c r="A1079" s="2" t="s">
        <v>2159</v>
      </c>
      <c r="B1079" s="2" t="s">
        <v>2160</v>
      </c>
      <c r="C1079" s="2" t="s">
        <v>9</v>
      </c>
      <c r="D1079" s="2">
        <v>66.08</v>
      </c>
      <c r="E1079" s="2" t="s">
        <v>10</v>
      </c>
      <c r="F1079" s="2">
        <v>1</v>
      </c>
      <c r="G1079" s="22">
        <f>Table4[[#This Row],[Item Cost]]*Table4[[#This Row],[In Stock]]</f>
        <v>66.08</v>
      </c>
      <c r="H1079" s="12" t="s">
        <v>4661</v>
      </c>
      <c r="I1079" s="13" t="s">
        <v>4664</v>
      </c>
      <c r="J1079" s="13" t="s">
        <v>4699</v>
      </c>
      <c r="K1079" s="13" t="s">
        <v>4672</v>
      </c>
      <c r="L1079" s="12" t="s">
        <v>4672</v>
      </c>
      <c r="M1079" s="17" t="str">
        <f>IF(LEN(COUNTIFS($H$1:H1079,$H1079,$I$1:I1079,$I1079,$J$1:J1079,$J1079,$K$1:K1079,K1079,$L$1:L1079,L1079))=1,"00"&amp;COUNTIFS($H$1:H1079,$H1079,$I$1:I1079,$I1079,$J$1:J1079,$J1079,$K$1:K1079,K1079,$L$1:L1079,L1079),IF(LEN(COUNTIFS($H$1:H1079,$H1079,$I$1:I1079,$I1079,$J$1:J1079,$J1079,$K$1:K1079,K1079,$L$1:L1079,L1079))=2,"0"&amp;COUNTIFS($H$1:H1079,$H1079,$I$1:I1079,$I1079,$J$1:J1079,$J1079,$K$1:K1079,K1079,$L$1:L1079,L1079),COUNTIFS($H$1:H1079,$H1079,$I$1:I1079,$I1079,$J$1:J1079,$J1079,$K$1:K1079,K1079,$L$1:L1079,L1079)))</f>
        <v>031</v>
      </c>
      <c r="N107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79" s="14" t="e">
        <f>+LEN(Table4[[#This Row],[New Item Code]])</f>
        <v>#N/A</v>
      </c>
      <c r="P1079" s="15" t="s">
        <v>4747</v>
      </c>
      <c r="Q1079" s="15" t="s">
        <v>4749</v>
      </c>
      <c r="R1079" s="15"/>
      <c r="S1079" s="15"/>
      <c r="T1079" s="15" t="s">
        <v>4699</v>
      </c>
    </row>
    <row r="1080" spans="1:20" x14ac:dyDescent="0.35">
      <c r="A1080" s="3" t="s">
        <v>2161</v>
      </c>
      <c r="B1080" s="3" t="s">
        <v>2162</v>
      </c>
      <c r="C1080" s="3" t="s">
        <v>9</v>
      </c>
      <c r="D1080" s="5">
        <v>2242</v>
      </c>
      <c r="E1080" s="3" t="s">
        <v>10</v>
      </c>
      <c r="F1080" s="3">
        <v>1</v>
      </c>
      <c r="G1080" s="21">
        <f>Table4[[#This Row],[Item Cost]]*Table4[[#This Row],[In Stock]]</f>
        <v>2242</v>
      </c>
      <c r="H1080" s="12" t="s">
        <v>4661</v>
      </c>
      <c r="I1080" s="13" t="s">
        <v>4664</v>
      </c>
      <c r="J1080" s="13" t="s">
        <v>4699</v>
      </c>
      <c r="K1080" s="13" t="s">
        <v>4672</v>
      </c>
      <c r="L1080" s="12" t="s">
        <v>4672</v>
      </c>
      <c r="M1080" s="17" t="str">
        <f>IF(LEN(COUNTIFS($H$1:H1080,$H1080,$I$1:I1080,$I1080,$J$1:J1080,$J1080,$K$1:K1080,K1080,$L$1:L1080,L1080))=1,"00"&amp;COUNTIFS($H$1:H1080,$H1080,$I$1:I1080,$I1080,$J$1:J1080,$J1080,$K$1:K1080,K1080,$L$1:L1080,L1080),IF(LEN(COUNTIFS($H$1:H1080,$H1080,$I$1:I1080,$I1080,$J$1:J1080,$J1080,$K$1:K1080,K1080,$L$1:L1080,L1080))=2,"0"&amp;COUNTIFS($H$1:H1080,$H1080,$I$1:I1080,$I1080,$J$1:J1080,$J1080,$K$1:K1080,K1080,$L$1:L1080,L1080),COUNTIFS($H$1:H1080,$H1080,$I$1:I1080,$I1080,$J$1:J1080,$J1080,$K$1:K1080,K1080,$L$1:L1080,L1080)))</f>
        <v>032</v>
      </c>
      <c r="N108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80" s="14" t="e">
        <f>+LEN(Table4[[#This Row],[New Item Code]])</f>
        <v>#N/A</v>
      </c>
      <c r="P1080" s="15" t="s">
        <v>4747</v>
      </c>
      <c r="Q1080" s="15" t="s">
        <v>4749</v>
      </c>
      <c r="R1080" s="15"/>
      <c r="S1080" s="15"/>
      <c r="T1080" s="15" t="s">
        <v>4699</v>
      </c>
    </row>
    <row r="1081" spans="1:20" x14ac:dyDescent="0.35">
      <c r="A1081" s="2" t="s">
        <v>2163</v>
      </c>
      <c r="B1081" s="2" t="s">
        <v>2164</v>
      </c>
      <c r="C1081" s="2" t="s">
        <v>9</v>
      </c>
      <c r="D1081" s="4">
        <v>1260</v>
      </c>
      <c r="E1081" s="2" t="s">
        <v>10</v>
      </c>
      <c r="F1081" s="2">
        <v>1</v>
      </c>
      <c r="G1081" s="22">
        <f>Table4[[#This Row],[Item Cost]]*Table4[[#This Row],[In Stock]]</f>
        <v>1260</v>
      </c>
      <c r="H1081" s="12" t="s">
        <v>4661</v>
      </c>
      <c r="I1081" s="13" t="s">
        <v>4664</v>
      </c>
      <c r="J1081" s="13" t="s">
        <v>4699</v>
      </c>
      <c r="K1081" s="13" t="s">
        <v>4672</v>
      </c>
      <c r="L1081" s="12" t="s">
        <v>4672</v>
      </c>
      <c r="M1081" s="17" t="str">
        <f>IF(LEN(COUNTIFS($H$1:H1081,$H1081,$I$1:I1081,$I1081,$J$1:J1081,$J1081,$K$1:K1081,K1081,$L$1:L1081,L1081))=1,"00"&amp;COUNTIFS($H$1:H1081,$H1081,$I$1:I1081,$I1081,$J$1:J1081,$J1081,$K$1:K1081,K1081,$L$1:L1081,L1081),IF(LEN(COUNTIFS($H$1:H1081,$H1081,$I$1:I1081,$I1081,$J$1:J1081,$J1081,$K$1:K1081,K1081,$L$1:L1081,L1081))=2,"0"&amp;COUNTIFS($H$1:H1081,$H1081,$I$1:I1081,$I1081,$J$1:J1081,$J1081,$K$1:K1081,K1081,$L$1:L1081,L1081),COUNTIFS($H$1:H1081,$H1081,$I$1:I1081,$I1081,$J$1:J1081,$J1081,$K$1:K1081,K1081,$L$1:L1081,L1081)))</f>
        <v>033</v>
      </c>
      <c r="N108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81" s="14" t="e">
        <f>+LEN(Table4[[#This Row],[New Item Code]])</f>
        <v>#N/A</v>
      </c>
      <c r="P1081" s="15" t="s">
        <v>4747</v>
      </c>
      <c r="Q1081" s="15" t="s">
        <v>4749</v>
      </c>
      <c r="R1081" s="15"/>
      <c r="S1081" s="15"/>
      <c r="T1081" s="15" t="s">
        <v>4699</v>
      </c>
    </row>
    <row r="1082" spans="1:20" x14ac:dyDescent="0.35">
      <c r="A1082" s="3" t="s">
        <v>2165</v>
      </c>
      <c r="B1082" s="3" t="s">
        <v>2166</v>
      </c>
      <c r="C1082" s="3" t="s">
        <v>9</v>
      </c>
      <c r="D1082" s="5">
        <v>6931.32</v>
      </c>
      <c r="E1082" s="3" t="s">
        <v>10</v>
      </c>
      <c r="F1082" s="3">
        <v>1</v>
      </c>
      <c r="G1082" s="21">
        <f>Table4[[#This Row],[Item Cost]]*Table4[[#This Row],[In Stock]]</f>
        <v>6931.32</v>
      </c>
      <c r="H1082" s="12" t="s">
        <v>4661</v>
      </c>
      <c r="I1082" s="13" t="s">
        <v>4664</v>
      </c>
      <c r="J1082" s="13" t="s">
        <v>4699</v>
      </c>
      <c r="K1082" s="13" t="s">
        <v>4672</v>
      </c>
      <c r="L1082" s="12" t="s">
        <v>4672</v>
      </c>
      <c r="M1082" s="17" t="str">
        <f>IF(LEN(COUNTIFS($H$1:H1082,$H1082,$I$1:I1082,$I1082,$J$1:J1082,$J1082,$K$1:K1082,K1082,$L$1:L1082,L1082))=1,"00"&amp;COUNTIFS($H$1:H1082,$H1082,$I$1:I1082,$I1082,$J$1:J1082,$J1082,$K$1:K1082,K1082,$L$1:L1082,L1082),IF(LEN(COUNTIFS($H$1:H1082,$H1082,$I$1:I1082,$I1082,$J$1:J1082,$J1082,$K$1:K1082,K1082,$L$1:L1082,L1082))=2,"0"&amp;COUNTIFS($H$1:H1082,$H1082,$I$1:I1082,$I1082,$J$1:J1082,$J1082,$K$1:K1082,K1082,$L$1:L1082,L1082),COUNTIFS($H$1:H1082,$H1082,$I$1:I1082,$I1082,$J$1:J1082,$J1082,$K$1:K1082,K1082,$L$1:L1082,L1082)))</f>
        <v>034</v>
      </c>
      <c r="N108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82" s="14" t="e">
        <f>+LEN(Table4[[#This Row],[New Item Code]])</f>
        <v>#N/A</v>
      </c>
      <c r="P1082" s="15" t="s">
        <v>4747</v>
      </c>
      <c r="Q1082" s="15" t="s">
        <v>4749</v>
      </c>
      <c r="R1082" s="15"/>
      <c r="S1082" s="15"/>
      <c r="T1082" s="15" t="s">
        <v>4699</v>
      </c>
    </row>
    <row r="1083" spans="1:20" x14ac:dyDescent="0.35">
      <c r="A1083" s="2" t="s">
        <v>2167</v>
      </c>
      <c r="B1083" s="2" t="s">
        <v>2168</v>
      </c>
      <c r="C1083" s="2" t="s">
        <v>9</v>
      </c>
      <c r="D1083" s="2">
        <v>108.48</v>
      </c>
      <c r="E1083" s="2" t="s">
        <v>10</v>
      </c>
      <c r="F1083" s="2">
        <v>1</v>
      </c>
      <c r="G1083" s="22">
        <f>Table4[[#This Row],[Item Cost]]*Table4[[#This Row],[In Stock]]</f>
        <v>108.48</v>
      </c>
      <c r="H1083" s="12" t="s">
        <v>4661</v>
      </c>
      <c r="I1083" s="13" t="s">
        <v>4664</v>
      </c>
      <c r="J1083" s="13" t="s">
        <v>4699</v>
      </c>
      <c r="K1083" t="s">
        <v>4793</v>
      </c>
      <c r="L1083" s="12" t="s">
        <v>4672</v>
      </c>
      <c r="M1083" s="17" t="str">
        <f>IF(LEN(COUNTIFS($H$1:H1083,$H1083,$I$1:I1083,$I1083,$J$1:J1083,$J1083,$K$1:K1083,K1083,$L$1:L1083,L1083))=1,"00"&amp;COUNTIFS($H$1:H1083,$H1083,$I$1:I1083,$I1083,$J$1:J1083,$J1083,$K$1:K1083,K1083,$L$1:L1083,L1083),IF(LEN(COUNTIFS($H$1:H1083,$H1083,$I$1:I1083,$I1083,$J$1:J1083,$J1083,$K$1:K1083,K1083,$L$1:L1083,L1083))=2,"0"&amp;COUNTIFS($H$1:H1083,$H1083,$I$1:I1083,$I1083,$J$1:J1083,$J1083,$K$1:K1083,K1083,$L$1:L1083,L1083),COUNTIFS($H$1:H1083,$H1083,$I$1:I1083,$I1083,$J$1:J1083,$J1083,$K$1:K1083,K1083,$L$1:L1083,L1083)))</f>
        <v>001</v>
      </c>
      <c r="N108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83" s="14" t="e">
        <f>+LEN(Table4[[#This Row],[New Item Code]])</f>
        <v>#N/A</v>
      </c>
      <c r="P1083" s="15" t="s">
        <v>4747</v>
      </c>
      <c r="Q1083" s="15" t="s">
        <v>4749</v>
      </c>
      <c r="R1083" s="15"/>
      <c r="S1083" s="15"/>
      <c r="T1083" s="15" t="s">
        <v>4699</v>
      </c>
    </row>
    <row r="1084" spans="1:20" x14ac:dyDescent="0.35">
      <c r="A1084" s="3" t="s">
        <v>2169</v>
      </c>
      <c r="B1084" s="3" t="s">
        <v>2170</v>
      </c>
      <c r="C1084" s="3" t="s">
        <v>9</v>
      </c>
      <c r="D1084" s="3">
        <v>294.72000000000003</v>
      </c>
      <c r="E1084" s="3" t="s">
        <v>10</v>
      </c>
      <c r="F1084" s="3">
        <v>2</v>
      </c>
      <c r="G1084" s="21">
        <f>Table4[[#This Row],[Item Cost]]*Table4[[#This Row],[In Stock]]</f>
        <v>589.44000000000005</v>
      </c>
      <c r="H1084" s="12" t="s">
        <v>4661</v>
      </c>
      <c r="I1084" s="13" t="s">
        <v>4664</v>
      </c>
      <c r="J1084" s="13" t="s">
        <v>4699</v>
      </c>
      <c r="K1084" s="13" t="s">
        <v>4672</v>
      </c>
      <c r="L1084" s="12" t="s">
        <v>4672</v>
      </c>
      <c r="M1084" s="17" t="str">
        <f>IF(LEN(COUNTIFS($H$1:H1084,$H1084,$I$1:I1084,$I1084,$J$1:J1084,$J1084,$K$1:K1084,K1084,$L$1:L1084,L1084))=1,"00"&amp;COUNTIFS($H$1:H1084,$H1084,$I$1:I1084,$I1084,$J$1:J1084,$J1084,$K$1:K1084,K1084,$L$1:L1084,L1084),IF(LEN(COUNTIFS($H$1:H1084,$H1084,$I$1:I1084,$I1084,$J$1:J1084,$J1084,$K$1:K1084,K1084,$L$1:L1084,L1084))=2,"0"&amp;COUNTIFS($H$1:H1084,$H1084,$I$1:I1084,$I1084,$J$1:J1084,$J1084,$K$1:K1084,K1084,$L$1:L1084,L1084),COUNTIFS($H$1:H1084,$H1084,$I$1:I1084,$I1084,$J$1:J1084,$J1084,$K$1:K1084,K1084,$L$1:L1084,L1084)))</f>
        <v>035</v>
      </c>
      <c r="N108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84" s="14" t="e">
        <f>+LEN(Table4[[#This Row],[New Item Code]])</f>
        <v>#N/A</v>
      </c>
      <c r="P1084" s="15" t="s">
        <v>4747</v>
      </c>
      <c r="Q1084" s="15" t="s">
        <v>4749</v>
      </c>
      <c r="R1084" s="15"/>
      <c r="S1084" s="15"/>
      <c r="T1084" s="15" t="s">
        <v>4699</v>
      </c>
    </row>
    <row r="1085" spans="1:20" x14ac:dyDescent="0.35">
      <c r="A1085" s="2" t="s">
        <v>2171</v>
      </c>
      <c r="B1085" s="2" t="s">
        <v>2172</v>
      </c>
      <c r="C1085" s="2" t="s">
        <v>9</v>
      </c>
      <c r="D1085" s="4">
        <v>18374.96</v>
      </c>
      <c r="E1085" s="2" t="s">
        <v>10</v>
      </c>
      <c r="F1085" s="2">
        <v>1</v>
      </c>
      <c r="G1085" s="22">
        <f>Table4[[#This Row],[Item Cost]]*Table4[[#This Row],[In Stock]]</f>
        <v>18374.96</v>
      </c>
      <c r="H1085" s="12" t="s">
        <v>4661</v>
      </c>
      <c r="I1085" s="13" t="s">
        <v>4664</v>
      </c>
      <c r="J1085" s="13" t="s">
        <v>4699</v>
      </c>
      <c r="K1085" s="13" t="s">
        <v>4672</v>
      </c>
      <c r="L1085" s="12" t="s">
        <v>4672</v>
      </c>
      <c r="M1085" s="17" t="str">
        <f>IF(LEN(COUNTIFS($H$1:H1085,$H1085,$I$1:I1085,$I1085,$J$1:J1085,$J1085,$K$1:K1085,K1085,$L$1:L1085,L1085))=1,"00"&amp;COUNTIFS($H$1:H1085,$H1085,$I$1:I1085,$I1085,$J$1:J1085,$J1085,$K$1:K1085,K1085,$L$1:L1085,L1085),IF(LEN(COUNTIFS($H$1:H1085,$H1085,$I$1:I1085,$I1085,$J$1:J1085,$J1085,$K$1:K1085,K1085,$L$1:L1085,L1085))=2,"0"&amp;COUNTIFS($H$1:H1085,$H1085,$I$1:I1085,$I1085,$J$1:J1085,$J1085,$K$1:K1085,K1085,$L$1:L1085,L1085),COUNTIFS($H$1:H1085,$H1085,$I$1:I1085,$I1085,$J$1:J1085,$J1085,$K$1:K1085,K1085,$L$1:L1085,L1085)))</f>
        <v>036</v>
      </c>
      <c r="N108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85" s="14" t="e">
        <f>+LEN(Table4[[#This Row],[New Item Code]])</f>
        <v>#N/A</v>
      </c>
      <c r="P1085" s="15" t="s">
        <v>4747</v>
      </c>
      <c r="Q1085" s="15" t="s">
        <v>4749</v>
      </c>
      <c r="R1085" s="15"/>
      <c r="S1085" s="15"/>
      <c r="T1085" s="15" t="s">
        <v>4699</v>
      </c>
    </row>
    <row r="1086" spans="1:20" x14ac:dyDescent="0.35">
      <c r="A1086" s="3" t="s">
        <v>2173</v>
      </c>
      <c r="B1086" s="3" t="s">
        <v>2174</v>
      </c>
      <c r="C1086" s="3" t="s">
        <v>9</v>
      </c>
      <c r="D1086" s="3">
        <v>123.5</v>
      </c>
      <c r="E1086" s="3" t="s">
        <v>10</v>
      </c>
      <c r="F1086" s="3">
        <v>1</v>
      </c>
      <c r="G1086" s="21">
        <f>Table4[[#This Row],[Item Cost]]*Table4[[#This Row],[In Stock]]</f>
        <v>123.5</v>
      </c>
      <c r="H1086" s="12" t="s">
        <v>4661</v>
      </c>
      <c r="I1086" s="13" t="s">
        <v>4664</v>
      </c>
      <c r="J1086" s="13" t="s">
        <v>4699</v>
      </c>
      <c r="K1086" t="s">
        <v>4793</v>
      </c>
      <c r="L1086" s="12" t="s">
        <v>4672</v>
      </c>
      <c r="M1086" s="17" t="str">
        <f>IF(LEN(COUNTIFS($H$1:H1086,$H1086,$I$1:I1086,$I1086,$J$1:J1086,$J1086,$K$1:K1086,K1086,$L$1:L1086,L1086))=1,"00"&amp;COUNTIFS($H$1:H1086,$H1086,$I$1:I1086,$I1086,$J$1:J1086,$J1086,$K$1:K1086,K1086,$L$1:L1086,L1086),IF(LEN(COUNTIFS($H$1:H1086,$H1086,$I$1:I1086,$I1086,$J$1:J1086,$J1086,$K$1:K1086,K1086,$L$1:L1086,L1086))=2,"0"&amp;COUNTIFS($H$1:H1086,$H1086,$I$1:I1086,$I1086,$J$1:J1086,$J1086,$K$1:K1086,K1086,$L$1:L1086,L1086),COUNTIFS($H$1:H1086,$H1086,$I$1:I1086,$I1086,$J$1:J1086,$J1086,$K$1:K1086,K1086,$L$1:L1086,L1086)))</f>
        <v>002</v>
      </c>
      <c r="N108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86" s="14" t="e">
        <f>+LEN(Table4[[#This Row],[New Item Code]])</f>
        <v>#N/A</v>
      </c>
      <c r="P1086" s="15" t="s">
        <v>4747</v>
      </c>
      <c r="Q1086" s="15" t="s">
        <v>4749</v>
      </c>
      <c r="R1086" s="15"/>
      <c r="S1086" s="15"/>
      <c r="T1086" s="15" t="s">
        <v>4699</v>
      </c>
    </row>
    <row r="1087" spans="1:20" x14ac:dyDescent="0.35">
      <c r="A1087" s="2" t="s">
        <v>2175</v>
      </c>
      <c r="B1087" s="2" t="s">
        <v>2176</v>
      </c>
      <c r="C1087" s="2" t="s">
        <v>9</v>
      </c>
      <c r="D1087" s="4">
        <v>2440</v>
      </c>
      <c r="E1087" s="2" t="s">
        <v>10</v>
      </c>
      <c r="F1087" s="2">
        <v>1</v>
      </c>
      <c r="G1087" s="22">
        <f>Table4[[#This Row],[Item Cost]]*Table4[[#This Row],[In Stock]]</f>
        <v>2440</v>
      </c>
      <c r="H1087" s="12" t="s">
        <v>4661</v>
      </c>
      <c r="I1087" s="13" t="s">
        <v>4664</v>
      </c>
      <c r="J1087" s="13" t="s">
        <v>4699</v>
      </c>
      <c r="K1087" s="13" t="s">
        <v>4672</v>
      </c>
      <c r="L1087" s="12" t="s">
        <v>4672</v>
      </c>
      <c r="M1087" s="17" t="str">
        <f>IF(LEN(COUNTIFS($H$1:H1087,$H1087,$I$1:I1087,$I1087,$J$1:J1087,$J1087,$K$1:K1087,K1087,$L$1:L1087,L1087))=1,"00"&amp;COUNTIFS($H$1:H1087,$H1087,$I$1:I1087,$I1087,$J$1:J1087,$J1087,$K$1:K1087,K1087,$L$1:L1087,L1087),IF(LEN(COUNTIFS($H$1:H1087,$H1087,$I$1:I1087,$I1087,$J$1:J1087,$J1087,$K$1:K1087,K1087,$L$1:L1087,L1087))=2,"0"&amp;COUNTIFS($H$1:H1087,$H1087,$I$1:I1087,$I1087,$J$1:J1087,$J1087,$K$1:K1087,K1087,$L$1:L1087,L1087),COUNTIFS($H$1:H1087,$H1087,$I$1:I1087,$I1087,$J$1:J1087,$J1087,$K$1:K1087,K1087,$L$1:L1087,L1087)))</f>
        <v>037</v>
      </c>
      <c r="N108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87" s="14" t="e">
        <f>+LEN(Table4[[#This Row],[New Item Code]])</f>
        <v>#N/A</v>
      </c>
      <c r="P1087" s="15" t="s">
        <v>4747</v>
      </c>
      <c r="Q1087" s="15" t="s">
        <v>4749</v>
      </c>
      <c r="R1087" s="15"/>
      <c r="S1087" s="15"/>
      <c r="T1087" s="15" t="s">
        <v>4699</v>
      </c>
    </row>
    <row r="1088" spans="1:20" x14ac:dyDescent="0.35">
      <c r="A1088" s="3" t="s">
        <v>2177</v>
      </c>
      <c r="B1088" s="3" t="s">
        <v>2178</v>
      </c>
      <c r="C1088" s="3" t="s">
        <v>9</v>
      </c>
      <c r="D1088" s="5">
        <v>11045</v>
      </c>
      <c r="E1088" s="3" t="s">
        <v>10</v>
      </c>
      <c r="F1088" s="3">
        <v>2</v>
      </c>
      <c r="G1088" s="21">
        <f>Table4[[#This Row],[Item Cost]]*Table4[[#This Row],[In Stock]]</f>
        <v>22090</v>
      </c>
      <c r="H1088" s="12" t="s">
        <v>4661</v>
      </c>
      <c r="I1088" s="13" t="s">
        <v>4664</v>
      </c>
      <c r="J1088" s="13" t="s">
        <v>4699</v>
      </c>
      <c r="K1088" s="13" t="s">
        <v>4672</v>
      </c>
      <c r="L1088" s="12" t="s">
        <v>4672</v>
      </c>
      <c r="M1088" s="17" t="str">
        <f>IF(LEN(COUNTIFS($H$1:H1088,$H1088,$I$1:I1088,$I1088,$J$1:J1088,$J1088,$K$1:K1088,K1088,$L$1:L1088,L1088))=1,"00"&amp;COUNTIFS($H$1:H1088,$H1088,$I$1:I1088,$I1088,$J$1:J1088,$J1088,$K$1:K1088,K1088,$L$1:L1088,L1088),IF(LEN(COUNTIFS($H$1:H1088,$H1088,$I$1:I1088,$I1088,$J$1:J1088,$J1088,$K$1:K1088,K1088,$L$1:L1088,L1088))=2,"0"&amp;COUNTIFS($H$1:H1088,$H1088,$I$1:I1088,$I1088,$J$1:J1088,$J1088,$K$1:K1088,K1088,$L$1:L1088,L1088),COUNTIFS($H$1:H1088,$H1088,$I$1:I1088,$I1088,$J$1:J1088,$J1088,$K$1:K1088,K1088,$L$1:L1088,L1088)))</f>
        <v>038</v>
      </c>
      <c r="N108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88" s="14" t="e">
        <f>+LEN(Table4[[#This Row],[New Item Code]])</f>
        <v>#N/A</v>
      </c>
      <c r="P1088" s="15" t="s">
        <v>4747</v>
      </c>
      <c r="Q1088" s="15" t="s">
        <v>4749</v>
      </c>
      <c r="R1088" s="15"/>
      <c r="S1088" s="15"/>
      <c r="T1088" s="15" t="s">
        <v>4699</v>
      </c>
    </row>
    <row r="1089" spans="1:20" x14ac:dyDescent="0.35">
      <c r="A1089" s="2" t="s">
        <v>2179</v>
      </c>
      <c r="B1089" s="2" t="s">
        <v>2180</v>
      </c>
      <c r="C1089" s="2" t="s">
        <v>9</v>
      </c>
      <c r="D1089" s="4">
        <v>3787.85</v>
      </c>
      <c r="E1089" s="2" t="s">
        <v>10</v>
      </c>
      <c r="F1089" s="2">
        <v>1</v>
      </c>
      <c r="G1089" s="22">
        <f>Table4[[#This Row],[Item Cost]]*Table4[[#This Row],[In Stock]]</f>
        <v>3787.85</v>
      </c>
      <c r="H1089" s="12" t="s">
        <v>4661</v>
      </c>
      <c r="I1089" s="13" t="s">
        <v>4664</v>
      </c>
      <c r="J1089" s="13" t="s">
        <v>4699</v>
      </c>
      <c r="K1089" s="13" t="s">
        <v>4672</v>
      </c>
      <c r="L1089" s="12" t="s">
        <v>4672</v>
      </c>
      <c r="M1089" s="17" t="str">
        <f>IF(LEN(COUNTIFS($H$1:H1089,$H1089,$I$1:I1089,$I1089,$J$1:J1089,$J1089,$K$1:K1089,K1089,$L$1:L1089,L1089))=1,"00"&amp;COUNTIFS($H$1:H1089,$H1089,$I$1:I1089,$I1089,$J$1:J1089,$J1089,$K$1:K1089,K1089,$L$1:L1089,L1089),IF(LEN(COUNTIFS($H$1:H1089,$H1089,$I$1:I1089,$I1089,$J$1:J1089,$J1089,$K$1:K1089,K1089,$L$1:L1089,L1089))=2,"0"&amp;COUNTIFS($H$1:H1089,$H1089,$I$1:I1089,$I1089,$J$1:J1089,$J1089,$K$1:K1089,K1089,$L$1:L1089,L1089),COUNTIFS($H$1:H1089,$H1089,$I$1:I1089,$I1089,$J$1:J1089,$J1089,$K$1:K1089,K1089,$L$1:L1089,L1089)))</f>
        <v>039</v>
      </c>
      <c r="N108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89" s="14" t="e">
        <f>+LEN(Table4[[#This Row],[New Item Code]])</f>
        <v>#N/A</v>
      </c>
      <c r="P1089" s="15" t="s">
        <v>4747</v>
      </c>
      <c r="Q1089" s="15" t="s">
        <v>4749</v>
      </c>
      <c r="R1089" s="15"/>
      <c r="S1089" s="15"/>
      <c r="T1089" s="15" t="s">
        <v>4699</v>
      </c>
    </row>
    <row r="1090" spans="1:20" x14ac:dyDescent="0.35">
      <c r="A1090" s="3" t="s">
        <v>2181</v>
      </c>
      <c r="B1090" s="3" t="s">
        <v>2182</v>
      </c>
      <c r="C1090" s="3" t="s">
        <v>9</v>
      </c>
      <c r="D1090" s="5">
        <v>4764.6400000000003</v>
      </c>
      <c r="E1090" s="3" t="s">
        <v>10</v>
      </c>
      <c r="F1090" s="3">
        <v>1</v>
      </c>
      <c r="G1090" s="21">
        <f>Table4[[#This Row],[Item Cost]]*Table4[[#This Row],[In Stock]]</f>
        <v>4764.6400000000003</v>
      </c>
      <c r="H1090" s="12" t="s">
        <v>4661</v>
      </c>
      <c r="I1090" s="13" t="s">
        <v>4664</v>
      </c>
      <c r="J1090" s="13" t="s">
        <v>4699</v>
      </c>
      <c r="K1090" s="13" t="s">
        <v>4672</v>
      </c>
      <c r="L1090" s="12" t="s">
        <v>4672</v>
      </c>
      <c r="M1090" s="17" t="str">
        <f>IF(LEN(COUNTIFS($H$1:H1090,$H1090,$I$1:I1090,$I1090,$J$1:J1090,$J1090,$K$1:K1090,K1090,$L$1:L1090,L1090))=1,"00"&amp;COUNTIFS($H$1:H1090,$H1090,$I$1:I1090,$I1090,$J$1:J1090,$J1090,$K$1:K1090,K1090,$L$1:L1090,L1090),IF(LEN(COUNTIFS($H$1:H1090,$H1090,$I$1:I1090,$I1090,$J$1:J1090,$J1090,$K$1:K1090,K1090,$L$1:L1090,L1090))=2,"0"&amp;COUNTIFS($H$1:H1090,$H1090,$I$1:I1090,$I1090,$J$1:J1090,$J1090,$K$1:K1090,K1090,$L$1:L1090,L1090),COUNTIFS($H$1:H1090,$H1090,$I$1:I1090,$I1090,$J$1:J1090,$J1090,$K$1:K1090,K1090,$L$1:L1090,L1090)))</f>
        <v>040</v>
      </c>
      <c r="N109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90" s="14" t="e">
        <f>+LEN(Table4[[#This Row],[New Item Code]])</f>
        <v>#N/A</v>
      </c>
      <c r="P1090" s="15" t="s">
        <v>4747</v>
      </c>
      <c r="Q1090" s="15" t="s">
        <v>4749</v>
      </c>
      <c r="R1090" s="15"/>
      <c r="S1090" s="15"/>
      <c r="T1090" s="15" t="s">
        <v>4699</v>
      </c>
    </row>
    <row r="1091" spans="1:20" x14ac:dyDescent="0.35">
      <c r="A1091" s="2" t="s">
        <v>2183</v>
      </c>
      <c r="B1091" s="2" t="s">
        <v>2184</v>
      </c>
      <c r="C1091" s="2" t="s">
        <v>9</v>
      </c>
      <c r="D1091" s="4">
        <v>3246.59</v>
      </c>
      <c r="E1091" s="2" t="s">
        <v>10</v>
      </c>
      <c r="F1091" s="2">
        <v>1</v>
      </c>
      <c r="G1091" s="22">
        <f>Table4[[#This Row],[Item Cost]]*Table4[[#This Row],[In Stock]]</f>
        <v>3246.59</v>
      </c>
      <c r="H1091" s="12" t="s">
        <v>4661</v>
      </c>
      <c r="I1091" s="13" t="s">
        <v>4664</v>
      </c>
      <c r="J1091" s="13" t="s">
        <v>4699</v>
      </c>
      <c r="K1091" s="13" t="s">
        <v>4672</v>
      </c>
      <c r="L1091" s="12" t="s">
        <v>4672</v>
      </c>
      <c r="M1091" s="17" t="str">
        <f>IF(LEN(COUNTIFS($H$1:H1091,$H1091,$I$1:I1091,$I1091,$J$1:J1091,$J1091,$K$1:K1091,K1091,$L$1:L1091,L1091))=1,"00"&amp;COUNTIFS($H$1:H1091,$H1091,$I$1:I1091,$I1091,$J$1:J1091,$J1091,$K$1:K1091,K1091,$L$1:L1091,L1091),IF(LEN(COUNTIFS($H$1:H1091,$H1091,$I$1:I1091,$I1091,$J$1:J1091,$J1091,$K$1:K1091,K1091,$L$1:L1091,L1091))=2,"0"&amp;COUNTIFS($H$1:H1091,$H1091,$I$1:I1091,$I1091,$J$1:J1091,$J1091,$K$1:K1091,K1091,$L$1:L1091,L1091),COUNTIFS($H$1:H1091,$H1091,$I$1:I1091,$I1091,$J$1:J1091,$J1091,$K$1:K1091,K1091,$L$1:L1091,L1091)))</f>
        <v>041</v>
      </c>
      <c r="N109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91" s="14" t="e">
        <f>+LEN(Table4[[#This Row],[New Item Code]])</f>
        <v>#N/A</v>
      </c>
      <c r="P1091" s="15" t="s">
        <v>4747</v>
      </c>
      <c r="Q1091" s="15" t="s">
        <v>4749</v>
      </c>
      <c r="R1091" s="15"/>
      <c r="S1091" s="15"/>
      <c r="T1091" s="15" t="s">
        <v>4699</v>
      </c>
    </row>
    <row r="1092" spans="1:20" x14ac:dyDescent="0.35">
      <c r="A1092" s="3" t="s">
        <v>2185</v>
      </c>
      <c r="B1092" s="3" t="s">
        <v>2186</v>
      </c>
      <c r="C1092" s="3" t="s">
        <v>9</v>
      </c>
      <c r="D1092" s="5">
        <v>4231.1400000000003</v>
      </c>
      <c r="E1092" s="3" t="s">
        <v>10</v>
      </c>
      <c r="F1092" s="3">
        <v>1</v>
      </c>
      <c r="G1092" s="21">
        <f>Table4[[#This Row],[Item Cost]]*Table4[[#This Row],[In Stock]]</f>
        <v>4231.1400000000003</v>
      </c>
      <c r="H1092" s="12" t="s">
        <v>4661</v>
      </c>
      <c r="I1092" s="13" t="s">
        <v>4664</v>
      </c>
      <c r="J1092" s="13" t="s">
        <v>4699</v>
      </c>
      <c r="K1092" s="13" t="s">
        <v>4672</v>
      </c>
      <c r="L1092" s="12" t="s">
        <v>4672</v>
      </c>
      <c r="M1092" s="17" t="str">
        <f>IF(LEN(COUNTIFS($H$1:H1092,$H1092,$I$1:I1092,$I1092,$J$1:J1092,$J1092,$K$1:K1092,K1092,$L$1:L1092,L1092))=1,"00"&amp;COUNTIFS($H$1:H1092,$H1092,$I$1:I1092,$I1092,$J$1:J1092,$J1092,$K$1:K1092,K1092,$L$1:L1092,L1092),IF(LEN(COUNTIFS($H$1:H1092,$H1092,$I$1:I1092,$I1092,$J$1:J1092,$J1092,$K$1:K1092,K1092,$L$1:L1092,L1092))=2,"0"&amp;COUNTIFS($H$1:H1092,$H1092,$I$1:I1092,$I1092,$J$1:J1092,$J1092,$K$1:K1092,K1092,$L$1:L1092,L1092),COUNTIFS($H$1:H1092,$H1092,$I$1:I1092,$I1092,$J$1:J1092,$J1092,$K$1:K1092,K1092,$L$1:L1092,L1092)))</f>
        <v>042</v>
      </c>
      <c r="N109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92" s="14" t="e">
        <f>+LEN(Table4[[#This Row],[New Item Code]])</f>
        <v>#N/A</v>
      </c>
      <c r="P1092" s="15" t="s">
        <v>4747</v>
      </c>
      <c r="Q1092" s="15" t="s">
        <v>4749</v>
      </c>
      <c r="R1092" s="15"/>
      <c r="S1092" s="15"/>
      <c r="T1092" s="15" t="s">
        <v>4699</v>
      </c>
    </row>
    <row r="1093" spans="1:20" x14ac:dyDescent="0.35">
      <c r="A1093" s="2" t="s">
        <v>2187</v>
      </c>
      <c r="B1093" s="2" t="s">
        <v>2188</v>
      </c>
      <c r="C1093" s="2" t="s">
        <v>9</v>
      </c>
      <c r="D1093" s="2">
        <v>39.54</v>
      </c>
      <c r="E1093" s="2" t="s">
        <v>10</v>
      </c>
      <c r="F1093" s="2">
        <v>1</v>
      </c>
      <c r="G1093" s="22">
        <f>Table4[[#This Row],[Item Cost]]*Table4[[#This Row],[In Stock]]</f>
        <v>39.54</v>
      </c>
      <c r="H1093" s="12" t="s">
        <v>4661</v>
      </c>
      <c r="I1093" s="13" t="s">
        <v>4664</v>
      </c>
      <c r="J1093" s="13" t="s">
        <v>4699</v>
      </c>
      <c r="K1093" s="13" t="s">
        <v>4672</v>
      </c>
      <c r="L1093" s="12" t="s">
        <v>4672</v>
      </c>
      <c r="M1093" s="17" t="str">
        <f>IF(LEN(COUNTIFS($H$1:H1093,$H1093,$I$1:I1093,$I1093,$J$1:J1093,$J1093,$K$1:K1093,K1093,$L$1:L1093,L1093))=1,"00"&amp;COUNTIFS($H$1:H1093,$H1093,$I$1:I1093,$I1093,$J$1:J1093,$J1093,$K$1:K1093,K1093,$L$1:L1093,L1093),IF(LEN(COUNTIFS($H$1:H1093,$H1093,$I$1:I1093,$I1093,$J$1:J1093,$J1093,$K$1:K1093,K1093,$L$1:L1093,L1093))=2,"0"&amp;COUNTIFS($H$1:H1093,$H1093,$I$1:I1093,$I1093,$J$1:J1093,$J1093,$K$1:K1093,K1093,$L$1:L1093,L1093),COUNTIFS($H$1:H1093,$H1093,$I$1:I1093,$I1093,$J$1:J1093,$J1093,$K$1:K1093,K1093,$L$1:L1093,L1093)))</f>
        <v>043</v>
      </c>
      <c r="N109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93" s="14" t="e">
        <f>+LEN(Table4[[#This Row],[New Item Code]])</f>
        <v>#N/A</v>
      </c>
      <c r="P1093" s="15" t="s">
        <v>4747</v>
      </c>
      <c r="Q1093" s="15" t="s">
        <v>4749</v>
      </c>
      <c r="R1093" s="15"/>
      <c r="S1093" s="15"/>
      <c r="T1093" s="15" t="s">
        <v>4699</v>
      </c>
    </row>
    <row r="1094" spans="1:20" x14ac:dyDescent="0.35">
      <c r="A1094" s="3" t="s">
        <v>2189</v>
      </c>
      <c r="B1094" s="3" t="s">
        <v>2190</v>
      </c>
      <c r="C1094" s="3" t="s">
        <v>9</v>
      </c>
      <c r="D1094" s="3">
        <v>62.85</v>
      </c>
      <c r="E1094" s="3" t="s">
        <v>10</v>
      </c>
      <c r="F1094" s="3">
        <v>1</v>
      </c>
      <c r="G1094" s="21">
        <f>Table4[[#This Row],[Item Cost]]*Table4[[#This Row],[In Stock]]</f>
        <v>62.85</v>
      </c>
      <c r="H1094" s="12" t="s">
        <v>4661</v>
      </c>
      <c r="I1094" s="13" t="s">
        <v>4664</v>
      </c>
      <c r="J1094" s="13" t="s">
        <v>4699</v>
      </c>
      <c r="K1094" s="13" t="s">
        <v>4672</v>
      </c>
      <c r="L1094" s="12" t="s">
        <v>4672</v>
      </c>
      <c r="M1094" s="17" t="str">
        <f>IF(LEN(COUNTIFS($H$1:H1094,$H1094,$I$1:I1094,$I1094,$J$1:J1094,$J1094,$K$1:K1094,K1094,$L$1:L1094,L1094))=1,"00"&amp;COUNTIFS($H$1:H1094,$H1094,$I$1:I1094,$I1094,$J$1:J1094,$J1094,$K$1:K1094,K1094,$L$1:L1094,L1094),IF(LEN(COUNTIFS($H$1:H1094,$H1094,$I$1:I1094,$I1094,$J$1:J1094,$J1094,$K$1:K1094,K1094,$L$1:L1094,L1094))=2,"0"&amp;COUNTIFS($H$1:H1094,$H1094,$I$1:I1094,$I1094,$J$1:J1094,$J1094,$K$1:K1094,K1094,$L$1:L1094,L1094),COUNTIFS($H$1:H1094,$H1094,$I$1:I1094,$I1094,$J$1:J1094,$J1094,$K$1:K1094,K1094,$L$1:L1094,L1094)))</f>
        <v>044</v>
      </c>
      <c r="N109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94" s="14" t="e">
        <f>+LEN(Table4[[#This Row],[New Item Code]])</f>
        <v>#N/A</v>
      </c>
      <c r="P1094" s="15" t="s">
        <v>4747</v>
      </c>
      <c r="Q1094" s="15" t="s">
        <v>4749</v>
      </c>
      <c r="R1094" s="15"/>
      <c r="S1094" s="15"/>
      <c r="T1094" s="15" t="s">
        <v>4699</v>
      </c>
    </row>
    <row r="1095" spans="1:20" x14ac:dyDescent="0.35">
      <c r="A1095" s="2" t="s">
        <v>2191</v>
      </c>
      <c r="B1095" s="2" t="s">
        <v>2192</v>
      </c>
      <c r="C1095" s="2" t="s">
        <v>9</v>
      </c>
      <c r="D1095" s="2">
        <v>100.3</v>
      </c>
      <c r="E1095" s="2" t="s">
        <v>10</v>
      </c>
      <c r="F1095" s="2">
        <v>1</v>
      </c>
      <c r="G1095" s="22">
        <f>Table4[[#This Row],[Item Cost]]*Table4[[#This Row],[In Stock]]</f>
        <v>100.3</v>
      </c>
      <c r="H1095" s="12" t="s">
        <v>4661</v>
      </c>
      <c r="I1095" s="13" t="s">
        <v>4664</v>
      </c>
      <c r="J1095" s="13" t="s">
        <v>4699</v>
      </c>
      <c r="K1095" s="13" t="s">
        <v>4672</v>
      </c>
      <c r="L1095" s="12" t="s">
        <v>4672</v>
      </c>
      <c r="M1095" s="17" t="str">
        <f>IF(LEN(COUNTIFS($H$1:H1095,$H1095,$I$1:I1095,$I1095,$J$1:J1095,$J1095,$K$1:K1095,K1095,$L$1:L1095,L1095))=1,"00"&amp;COUNTIFS($H$1:H1095,$H1095,$I$1:I1095,$I1095,$J$1:J1095,$J1095,$K$1:K1095,K1095,$L$1:L1095,L1095),IF(LEN(COUNTIFS($H$1:H1095,$H1095,$I$1:I1095,$I1095,$J$1:J1095,$J1095,$K$1:K1095,K1095,$L$1:L1095,L1095))=2,"0"&amp;COUNTIFS($H$1:H1095,$H1095,$I$1:I1095,$I1095,$J$1:J1095,$J1095,$K$1:K1095,K1095,$L$1:L1095,L1095),COUNTIFS($H$1:H1095,$H1095,$I$1:I1095,$I1095,$J$1:J1095,$J1095,$K$1:K1095,K1095,$L$1:L1095,L1095)))</f>
        <v>045</v>
      </c>
      <c r="N109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95" s="14" t="e">
        <f>+LEN(Table4[[#This Row],[New Item Code]])</f>
        <v>#N/A</v>
      </c>
      <c r="P1095" s="15" t="s">
        <v>4747</v>
      </c>
      <c r="Q1095" s="15" t="s">
        <v>4749</v>
      </c>
      <c r="R1095" s="15"/>
      <c r="S1095" s="15"/>
      <c r="T1095" s="15" t="s">
        <v>4699</v>
      </c>
    </row>
    <row r="1096" spans="1:20" x14ac:dyDescent="0.35">
      <c r="A1096" s="3" t="s">
        <v>2193</v>
      </c>
      <c r="B1096" s="3" t="s">
        <v>2194</v>
      </c>
      <c r="C1096" s="3" t="s">
        <v>9</v>
      </c>
      <c r="D1096" s="3">
        <v>151.04</v>
      </c>
      <c r="E1096" s="3" t="s">
        <v>10</v>
      </c>
      <c r="F1096" s="3">
        <v>1</v>
      </c>
      <c r="G1096" s="21">
        <f>Table4[[#This Row],[Item Cost]]*Table4[[#This Row],[In Stock]]</f>
        <v>151.04</v>
      </c>
      <c r="H1096" s="12" t="s">
        <v>4661</v>
      </c>
      <c r="I1096" s="13" t="s">
        <v>4664</v>
      </c>
      <c r="J1096" s="13" t="s">
        <v>4699</v>
      </c>
      <c r="K1096" s="13" t="s">
        <v>4672</v>
      </c>
      <c r="L1096" s="12" t="s">
        <v>4672</v>
      </c>
      <c r="M1096" s="17" t="str">
        <f>IF(LEN(COUNTIFS($H$1:H1096,$H1096,$I$1:I1096,$I1096,$J$1:J1096,$J1096,$K$1:K1096,K1096,$L$1:L1096,L1096))=1,"00"&amp;COUNTIFS($H$1:H1096,$H1096,$I$1:I1096,$I1096,$J$1:J1096,$J1096,$K$1:K1096,K1096,$L$1:L1096,L1096),IF(LEN(COUNTIFS($H$1:H1096,$H1096,$I$1:I1096,$I1096,$J$1:J1096,$J1096,$K$1:K1096,K1096,$L$1:L1096,L1096))=2,"0"&amp;COUNTIFS($H$1:H1096,$H1096,$I$1:I1096,$I1096,$J$1:J1096,$J1096,$K$1:K1096,K1096,$L$1:L1096,L1096),COUNTIFS($H$1:H1096,$H1096,$I$1:I1096,$I1096,$J$1:J1096,$J1096,$K$1:K1096,K1096,$L$1:L1096,L1096)))</f>
        <v>046</v>
      </c>
      <c r="N109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96" s="14" t="e">
        <f>+LEN(Table4[[#This Row],[New Item Code]])</f>
        <v>#N/A</v>
      </c>
      <c r="P1096" s="15" t="s">
        <v>4747</v>
      </c>
      <c r="Q1096" s="15" t="s">
        <v>4749</v>
      </c>
      <c r="R1096" s="15"/>
      <c r="S1096" s="15"/>
      <c r="T1096" s="15" t="s">
        <v>4699</v>
      </c>
    </row>
    <row r="1097" spans="1:20" x14ac:dyDescent="0.35">
      <c r="A1097" s="2" t="s">
        <v>2195</v>
      </c>
      <c r="B1097" s="2" t="s">
        <v>2196</v>
      </c>
      <c r="C1097" s="2" t="s">
        <v>9</v>
      </c>
      <c r="D1097" s="2">
        <v>152.6</v>
      </c>
      <c r="E1097" s="2" t="s">
        <v>10</v>
      </c>
      <c r="F1097" s="2">
        <v>1</v>
      </c>
      <c r="G1097" s="22">
        <f>Table4[[#This Row],[Item Cost]]*Table4[[#This Row],[In Stock]]</f>
        <v>152.6</v>
      </c>
      <c r="H1097" s="12" t="s">
        <v>4661</v>
      </c>
      <c r="I1097" s="13" t="s">
        <v>4664</v>
      </c>
      <c r="J1097" s="13" t="s">
        <v>4699</v>
      </c>
      <c r="K1097" s="13" t="s">
        <v>4672</v>
      </c>
      <c r="L1097" s="12" t="s">
        <v>4672</v>
      </c>
      <c r="M1097" s="17" t="str">
        <f>IF(LEN(COUNTIFS($H$1:H1097,$H1097,$I$1:I1097,$I1097,$J$1:J1097,$J1097,$K$1:K1097,K1097,$L$1:L1097,L1097))=1,"00"&amp;COUNTIFS($H$1:H1097,$H1097,$I$1:I1097,$I1097,$J$1:J1097,$J1097,$K$1:K1097,K1097,$L$1:L1097,L1097),IF(LEN(COUNTIFS($H$1:H1097,$H1097,$I$1:I1097,$I1097,$J$1:J1097,$J1097,$K$1:K1097,K1097,$L$1:L1097,L1097))=2,"0"&amp;COUNTIFS($H$1:H1097,$H1097,$I$1:I1097,$I1097,$J$1:J1097,$J1097,$K$1:K1097,K1097,$L$1:L1097,L1097),COUNTIFS($H$1:H1097,$H1097,$I$1:I1097,$I1097,$J$1:J1097,$J1097,$K$1:K1097,K1097,$L$1:L1097,L1097)))</f>
        <v>047</v>
      </c>
      <c r="N109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97" s="14" t="e">
        <f>+LEN(Table4[[#This Row],[New Item Code]])</f>
        <v>#N/A</v>
      </c>
      <c r="P1097" s="15" t="s">
        <v>4747</v>
      </c>
      <c r="Q1097" s="15" t="s">
        <v>4749</v>
      </c>
      <c r="R1097" s="15"/>
      <c r="S1097" s="15"/>
      <c r="T1097" s="15" t="s">
        <v>4699</v>
      </c>
    </row>
    <row r="1098" spans="1:20" x14ac:dyDescent="0.35">
      <c r="A1098" s="3" t="s">
        <v>2197</v>
      </c>
      <c r="B1098" s="3" t="s">
        <v>2198</v>
      </c>
      <c r="C1098" s="3" t="s">
        <v>9</v>
      </c>
      <c r="D1098" s="5">
        <v>1764.1</v>
      </c>
      <c r="E1098" s="3" t="s">
        <v>10</v>
      </c>
      <c r="F1098" s="3">
        <v>1</v>
      </c>
      <c r="G1098" s="21">
        <f>Table4[[#This Row],[Item Cost]]*Table4[[#This Row],[In Stock]]</f>
        <v>1764.1</v>
      </c>
      <c r="H1098" s="12" t="s">
        <v>4661</v>
      </c>
      <c r="I1098" s="13" t="s">
        <v>4664</v>
      </c>
      <c r="J1098" s="13" t="s">
        <v>4699</v>
      </c>
      <c r="K1098" s="13" t="s">
        <v>4672</v>
      </c>
      <c r="L1098" s="12" t="s">
        <v>4672</v>
      </c>
      <c r="M1098" s="17" t="str">
        <f>IF(LEN(COUNTIFS($H$1:H1098,$H1098,$I$1:I1098,$I1098,$J$1:J1098,$J1098,$K$1:K1098,K1098,$L$1:L1098,L1098))=1,"00"&amp;COUNTIFS($H$1:H1098,$H1098,$I$1:I1098,$I1098,$J$1:J1098,$J1098,$K$1:K1098,K1098,$L$1:L1098,L1098),IF(LEN(COUNTIFS($H$1:H1098,$H1098,$I$1:I1098,$I1098,$J$1:J1098,$J1098,$K$1:K1098,K1098,$L$1:L1098,L1098))=2,"0"&amp;COUNTIFS($H$1:H1098,$H1098,$I$1:I1098,$I1098,$J$1:J1098,$J1098,$K$1:K1098,K1098,$L$1:L1098,L1098),COUNTIFS($H$1:H1098,$H1098,$I$1:I1098,$I1098,$J$1:J1098,$J1098,$K$1:K1098,K1098,$L$1:L1098,L1098)))</f>
        <v>048</v>
      </c>
      <c r="N109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98" s="14" t="e">
        <f>+LEN(Table4[[#This Row],[New Item Code]])</f>
        <v>#N/A</v>
      </c>
      <c r="P1098" s="15" t="s">
        <v>4747</v>
      </c>
      <c r="Q1098" s="15" t="s">
        <v>4749</v>
      </c>
      <c r="R1098" s="15"/>
      <c r="S1098" s="15"/>
      <c r="T1098" s="15" t="s">
        <v>4699</v>
      </c>
    </row>
    <row r="1099" spans="1:20" x14ac:dyDescent="0.35">
      <c r="A1099" s="2" t="s">
        <v>2199</v>
      </c>
      <c r="B1099" s="2" t="s">
        <v>2200</v>
      </c>
      <c r="C1099" s="2" t="s">
        <v>9</v>
      </c>
      <c r="D1099" s="2">
        <v>15.48</v>
      </c>
      <c r="E1099" s="2" t="s">
        <v>10</v>
      </c>
      <c r="F1099" s="2">
        <v>1</v>
      </c>
      <c r="G1099" s="22">
        <f>Table4[[#This Row],[Item Cost]]*Table4[[#This Row],[In Stock]]</f>
        <v>15.48</v>
      </c>
      <c r="H1099" s="12" t="s">
        <v>4661</v>
      </c>
      <c r="I1099" s="13" t="s">
        <v>4664</v>
      </c>
      <c r="J1099" s="13" t="s">
        <v>4699</v>
      </c>
      <c r="K1099" t="s">
        <v>4793</v>
      </c>
      <c r="L1099" s="12" t="s">
        <v>4672</v>
      </c>
      <c r="M1099" s="17" t="str">
        <f>IF(LEN(COUNTIFS($H$1:H1099,$H1099,$I$1:I1099,$I1099,$J$1:J1099,$J1099,$K$1:K1099,K1099,$L$1:L1099,L1099))=1,"00"&amp;COUNTIFS($H$1:H1099,$H1099,$I$1:I1099,$I1099,$J$1:J1099,$J1099,$K$1:K1099,K1099,$L$1:L1099,L1099),IF(LEN(COUNTIFS($H$1:H1099,$H1099,$I$1:I1099,$I1099,$J$1:J1099,$J1099,$K$1:K1099,K1099,$L$1:L1099,L1099))=2,"0"&amp;COUNTIFS($H$1:H1099,$H1099,$I$1:I1099,$I1099,$J$1:J1099,$J1099,$K$1:K1099,K1099,$L$1:L1099,L1099),COUNTIFS($H$1:H1099,$H1099,$I$1:I1099,$I1099,$J$1:J1099,$J1099,$K$1:K1099,K1099,$L$1:L1099,L1099)))</f>
        <v>003</v>
      </c>
      <c r="N109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099" s="14" t="e">
        <f>+LEN(Table4[[#This Row],[New Item Code]])</f>
        <v>#N/A</v>
      </c>
      <c r="P1099" s="15" t="s">
        <v>4747</v>
      </c>
      <c r="Q1099" s="15" t="s">
        <v>4749</v>
      </c>
      <c r="R1099" s="15"/>
      <c r="S1099" s="15"/>
      <c r="T1099" s="15" t="s">
        <v>4699</v>
      </c>
    </row>
    <row r="1100" spans="1:20" x14ac:dyDescent="0.35">
      <c r="A1100" s="3" t="s">
        <v>2201</v>
      </c>
      <c r="B1100" s="3" t="s">
        <v>2202</v>
      </c>
      <c r="C1100" s="3" t="s">
        <v>9</v>
      </c>
      <c r="D1100" s="5">
        <v>4591.28</v>
      </c>
      <c r="E1100" s="3" t="s">
        <v>10</v>
      </c>
      <c r="F1100" s="3">
        <v>1</v>
      </c>
      <c r="G1100" s="21">
        <f>Table4[[#This Row],[Item Cost]]*Table4[[#This Row],[In Stock]]</f>
        <v>4591.28</v>
      </c>
      <c r="H1100" s="12" t="s">
        <v>4661</v>
      </c>
      <c r="I1100" s="13" t="s">
        <v>4664</v>
      </c>
      <c r="J1100" s="13" t="s">
        <v>4699</v>
      </c>
      <c r="K1100" s="13" t="s">
        <v>4672</v>
      </c>
      <c r="L1100" s="12" t="s">
        <v>4672</v>
      </c>
      <c r="M1100" s="17" t="str">
        <f>IF(LEN(COUNTIFS($H$1:H1100,$H1100,$I$1:I1100,$I1100,$J$1:J1100,$J1100,$K$1:K1100,K1100,$L$1:L1100,L1100))=1,"00"&amp;COUNTIFS($H$1:H1100,$H1100,$I$1:I1100,$I1100,$J$1:J1100,$J1100,$K$1:K1100,K1100,$L$1:L1100,L1100),IF(LEN(COUNTIFS($H$1:H1100,$H1100,$I$1:I1100,$I1100,$J$1:J1100,$J1100,$K$1:K1100,K1100,$L$1:L1100,L1100))=2,"0"&amp;COUNTIFS($H$1:H1100,$H1100,$I$1:I1100,$I1100,$J$1:J1100,$J1100,$K$1:K1100,K1100,$L$1:L1100,L1100),COUNTIFS($H$1:H1100,$H1100,$I$1:I1100,$I1100,$J$1:J1100,$J1100,$K$1:K1100,K1100,$L$1:L1100,L1100)))</f>
        <v>049</v>
      </c>
      <c r="N110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00" s="14" t="e">
        <f>+LEN(Table4[[#This Row],[New Item Code]])</f>
        <v>#N/A</v>
      </c>
      <c r="P1100" s="15" t="s">
        <v>4747</v>
      </c>
      <c r="Q1100" s="15" t="s">
        <v>4749</v>
      </c>
      <c r="R1100" s="15"/>
      <c r="S1100" s="15"/>
      <c r="T1100" s="15" t="s">
        <v>4699</v>
      </c>
    </row>
    <row r="1101" spans="1:20" x14ac:dyDescent="0.35">
      <c r="A1101" s="2" t="s">
        <v>2203</v>
      </c>
      <c r="B1101" s="2" t="s">
        <v>2204</v>
      </c>
      <c r="C1101" s="2" t="s">
        <v>9</v>
      </c>
      <c r="D1101" s="2">
        <v>223.28</v>
      </c>
      <c r="E1101" s="2" t="s">
        <v>10</v>
      </c>
      <c r="F1101" s="2">
        <v>1</v>
      </c>
      <c r="G1101" s="22">
        <f>Table4[[#This Row],[Item Cost]]*Table4[[#This Row],[In Stock]]</f>
        <v>223.28</v>
      </c>
      <c r="H1101" s="12" t="s">
        <v>4661</v>
      </c>
      <c r="I1101" s="13" t="s">
        <v>4664</v>
      </c>
      <c r="J1101" s="13" t="s">
        <v>4699</v>
      </c>
      <c r="K1101" s="13" t="s">
        <v>4672</v>
      </c>
      <c r="L1101" s="12" t="s">
        <v>4672</v>
      </c>
      <c r="M1101" s="17" t="str">
        <f>IF(LEN(COUNTIFS($H$1:H1101,$H1101,$I$1:I1101,$I1101,$J$1:J1101,$J1101,$K$1:K1101,K1101,$L$1:L1101,L1101))=1,"00"&amp;COUNTIFS($H$1:H1101,$H1101,$I$1:I1101,$I1101,$J$1:J1101,$J1101,$K$1:K1101,K1101,$L$1:L1101,L1101),IF(LEN(COUNTIFS($H$1:H1101,$H1101,$I$1:I1101,$I1101,$J$1:J1101,$J1101,$K$1:K1101,K1101,$L$1:L1101,L1101))=2,"0"&amp;COUNTIFS($H$1:H1101,$H1101,$I$1:I1101,$I1101,$J$1:J1101,$J1101,$K$1:K1101,K1101,$L$1:L1101,L1101),COUNTIFS($H$1:H1101,$H1101,$I$1:I1101,$I1101,$J$1:J1101,$J1101,$K$1:K1101,K1101,$L$1:L1101,L1101)))</f>
        <v>050</v>
      </c>
      <c r="N110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01" s="14" t="e">
        <f>+LEN(Table4[[#This Row],[New Item Code]])</f>
        <v>#N/A</v>
      </c>
      <c r="P1101" s="15" t="s">
        <v>4747</v>
      </c>
      <c r="Q1101" s="15" t="s">
        <v>4749</v>
      </c>
      <c r="R1101" s="15"/>
      <c r="S1101" s="15"/>
      <c r="T1101" s="15" t="s">
        <v>4699</v>
      </c>
    </row>
    <row r="1102" spans="1:20" x14ac:dyDescent="0.35">
      <c r="A1102" s="3" t="s">
        <v>2205</v>
      </c>
      <c r="B1102" s="3" t="s">
        <v>2206</v>
      </c>
      <c r="C1102" s="3" t="s">
        <v>9</v>
      </c>
      <c r="D1102" s="3">
        <v>234.16</v>
      </c>
      <c r="E1102" s="3" t="s">
        <v>10</v>
      </c>
      <c r="F1102" s="3">
        <v>1</v>
      </c>
      <c r="G1102" s="21">
        <f>Table4[[#This Row],[Item Cost]]*Table4[[#This Row],[In Stock]]</f>
        <v>234.16</v>
      </c>
      <c r="H1102" s="12" t="s">
        <v>4661</v>
      </c>
      <c r="I1102" s="13" t="s">
        <v>4664</v>
      </c>
      <c r="J1102" s="13" t="s">
        <v>4699</v>
      </c>
      <c r="K1102" s="13" t="s">
        <v>4672</v>
      </c>
      <c r="L1102" s="12" t="s">
        <v>4672</v>
      </c>
      <c r="M1102" s="17" t="str">
        <f>IF(LEN(COUNTIFS($H$1:H1102,$H1102,$I$1:I1102,$I1102,$J$1:J1102,$J1102,$K$1:K1102,K1102,$L$1:L1102,L1102))=1,"00"&amp;COUNTIFS($H$1:H1102,$H1102,$I$1:I1102,$I1102,$J$1:J1102,$J1102,$K$1:K1102,K1102,$L$1:L1102,L1102),IF(LEN(COUNTIFS($H$1:H1102,$H1102,$I$1:I1102,$I1102,$J$1:J1102,$J1102,$K$1:K1102,K1102,$L$1:L1102,L1102))=2,"0"&amp;COUNTIFS($H$1:H1102,$H1102,$I$1:I1102,$I1102,$J$1:J1102,$J1102,$K$1:K1102,K1102,$L$1:L1102,L1102),COUNTIFS($H$1:H1102,$H1102,$I$1:I1102,$I1102,$J$1:J1102,$J1102,$K$1:K1102,K1102,$L$1:L1102,L1102)))</f>
        <v>051</v>
      </c>
      <c r="N110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02" s="14" t="e">
        <f>+LEN(Table4[[#This Row],[New Item Code]])</f>
        <v>#N/A</v>
      </c>
      <c r="P1102" s="15" t="s">
        <v>4747</v>
      </c>
      <c r="Q1102" s="15" t="s">
        <v>4749</v>
      </c>
      <c r="R1102" s="15"/>
      <c r="S1102" s="15"/>
      <c r="T1102" s="15" t="s">
        <v>4699</v>
      </c>
    </row>
    <row r="1103" spans="1:20" x14ac:dyDescent="0.35">
      <c r="A1103" s="2" t="s">
        <v>2207</v>
      </c>
      <c r="B1103" s="2" t="s">
        <v>2208</v>
      </c>
      <c r="C1103" s="2" t="s">
        <v>9</v>
      </c>
      <c r="D1103" s="2">
        <v>971.03</v>
      </c>
      <c r="E1103" s="2" t="s">
        <v>10</v>
      </c>
      <c r="F1103" s="2">
        <v>1</v>
      </c>
      <c r="G1103" s="22">
        <f>Table4[[#This Row],[Item Cost]]*Table4[[#This Row],[In Stock]]</f>
        <v>971.03</v>
      </c>
      <c r="H1103" s="12" t="s">
        <v>4661</v>
      </c>
      <c r="I1103" s="13" t="s">
        <v>4664</v>
      </c>
      <c r="J1103" s="13" t="s">
        <v>4699</v>
      </c>
      <c r="K1103" s="13" t="s">
        <v>4672</v>
      </c>
      <c r="L1103" s="12" t="s">
        <v>4672</v>
      </c>
      <c r="M1103" s="17" t="str">
        <f>IF(LEN(COUNTIFS($H$1:H1103,$H1103,$I$1:I1103,$I1103,$J$1:J1103,$J1103,$K$1:K1103,K1103,$L$1:L1103,L1103))=1,"00"&amp;COUNTIFS($H$1:H1103,$H1103,$I$1:I1103,$I1103,$J$1:J1103,$J1103,$K$1:K1103,K1103,$L$1:L1103,L1103),IF(LEN(COUNTIFS($H$1:H1103,$H1103,$I$1:I1103,$I1103,$J$1:J1103,$J1103,$K$1:K1103,K1103,$L$1:L1103,L1103))=2,"0"&amp;COUNTIFS($H$1:H1103,$H1103,$I$1:I1103,$I1103,$J$1:J1103,$J1103,$K$1:K1103,K1103,$L$1:L1103,L1103),COUNTIFS($H$1:H1103,$H1103,$I$1:I1103,$I1103,$J$1:J1103,$J1103,$K$1:K1103,K1103,$L$1:L1103,L1103)))</f>
        <v>052</v>
      </c>
      <c r="N110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03" s="14" t="e">
        <f>+LEN(Table4[[#This Row],[New Item Code]])</f>
        <v>#N/A</v>
      </c>
      <c r="P1103" s="15" t="s">
        <v>4747</v>
      </c>
      <c r="Q1103" s="15" t="s">
        <v>4749</v>
      </c>
      <c r="R1103" s="15"/>
      <c r="S1103" s="15"/>
      <c r="T1103" s="15" t="s">
        <v>4699</v>
      </c>
    </row>
    <row r="1104" spans="1:20" x14ac:dyDescent="0.35">
      <c r="A1104" s="3" t="s">
        <v>2209</v>
      </c>
      <c r="B1104" s="3" t="s">
        <v>2210</v>
      </c>
      <c r="C1104" s="3" t="s">
        <v>9</v>
      </c>
      <c r="D1104" s="3">
        <v>414.31</v>
      </c>
      <c r="E1104" s="3" t="s">
        <v>10</v>
      </c>
      <c r="F1104" s="3">
        <v>1</v>
      </c>
      <c r="G1104" s="21">
        <f>Table4[[#This Row],[Item Cost]]*Table4[[#This Row],[In Stock]]</f>
        <v>414.31</v>
      </c>
      <c r="H1104" s="12" t="s">
        <v>4661</v>
      </c>
      <c r="I1104" s="13" t="s">
        <v>4664</v>
      </c>
      <c r="J1104" s="13" t="s">
        <v>4699</v>
      </c>
      <c r="K1104" s="13" t="s">
        <v>4672</v>
      </c>
      <c r="L1104" s="12" t="s">
        <v>4672</v>
      </c>
      <c r="M1104" s="17" t="str">
        <f>IF(LEN(COUNTIFS($H$1:H1104,$H1104,$I$1:I1104,$I1104,$J$1:J1104,$J1104,$K$1:K1104,K1104,$L$1:L1104,L1104))=1,"00"&amp;COUNTIFS($H$1:H1104,$H1104,$I$1:I1104,$I1104,$J$1:J1104,$J1104,$K$1:K1104,K1104,$L$1:L1104,L1104),IF(LEN(COUNTIFS($H$1:H1104,$H1104,$I$1:I1104,$I1104,$J$1:J1104,$J1104,$K$1:K1104,K1104,$L$1:L1104,L1104))=2,"0"&amp;COUNTIFS($H$1:H1104,$H1104,$I$1:I1104,$I1104,$J$1:J1104,$J1104,$K$1:K1104,K1104,$L$1:L1104,L1104),COUNTIFS($H$1:H1104,$H1104,$I$1:I1104,$I1104,$J$1:J1104,$J1104,$K$1:K1104,K1104,$L$1:L1104,L1104)))</f>
        <v>053</v>
      </c>
      <c r="N110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04" s="14" t="e">
        <f>+LEN(Table4[[#This Row],[New Item Code]])</f>
        <v>#N/A</v>
      </c>
      <c r="P1104" s="15" t="s">
        <v>4747</v>
      </c>
      <c r="Q1104" s="15" t="s">
        <v>4749</v>
      </c>
      <c r="R1104" s="15"/>
      <c r="S1104" s="15"/>
      <c r="T1104" s="15" t="s">
        <v>4699</v>
      </c>
    </row>
    <row r="1105" spans="1:20" x14ac:dyDescent="0.35">
      <c r="A1105" s="2" t="s">
        <v>2211</v>
      </c>
      <c r="B1105" s="2" t="s">
        <v>2212</v>
      </c>
      <c r="C1105" s="2" t="s">
        <v>9</v>
      </c>
      <c r="D1105" s="4">
        <v>5710.72</v>
      </c>
      <c r="E1105" s="2" t="s">
        <v>10</v>
      </c>
      <c r="F1105" s="2">
        <v>1</v>
      </c>
      <c r="G1105" s="22">
        <f>Table4[[#This Row],[Item Cost]]*Table4[[#This Row],[In Stock]]</f>
        <v>5710.72</v>
      </c>
      <c r="H1105" s="12" t="s">
        <v>4661</v>
      </c>
      <c r="I1105" s="13" t="s">
        <v>4664</v>
      </c>
      <c r="J1105" s="13" t="s">
        <v>4699</v>
      </c>
      <c r="K1105" s="13" t="s">
        <v>4672</v>
      </c>
      <c r="L1105" s="12" t="s">
        <v>4672</v>
      </c>
      <c r="M1105" s="17" t="str">
        <f>IF(LEN(COUNTIFS($H$1:H1105,$H1105,$I$1:I1105,$I1105,$J$1:J1105,$J1105,$K$1:K1105,K1105,$L$1:L1105,L1105))=1,"00"&amp;COUNTIFS($H$1:H1105,$H1105,$I$1:I1105,$I1105,$J$1:J1105,$J1105,$K$1:K1105,K1105,$L$1:L1105,L1105),IF(LEN(COUNTIFS($H$1:H1105,$H1105,$I$1:I1105,$I1105,$J$1:J1105,$J1105,$K$1:K1105,K1105,$L$1:L1105,L1105))=2,"0"&amp;COUNTIFS($H$1:H1105,$H1105,$I$1:I1105,$I1105,$J$1:J1105,$J1105,$K$1:K1105,K1105,$L$1:L1105,L1105),COUNTIFS($H$1:H1105,$H1105,$I$1:I1105,$I1105,$J$1:J1105,$J1105,$K$1:K1105,K1105,$L$1:L1105,L1105)))</f>
        <v>054</v>
      </c>
      <c r="N110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05" s="14" t="e">
        <f>+LEN(Table4[[#This Row],[New Item Code]])</f>
        <v>#N/A</v>
      </c>
      <c r="P1105" s="15" t="s">
        <v>4747</v>
      </c>
      <c r="Q1105" s="15" t="s">
        <v>4749</v>
      </c>
      <c r="R1105" s="15"/>
      <c r="S1105" s="15"/>
      <c r="T1105" s="15" t="s">
        <v>4699</v>
      </c>
    </row>
    <row r="1106" spans="1:20" x14ac:dyDescent="0.35">
      <c r="A1106" s="3" t="s">
        <v>2213</v>
      </c>
      <c r="B1106" s="3" t="s">
        <v>2214</v>
      </c>
      <c r="C1106" s="3" t="s">
        <v>9</v>
      </c>
      <c r="D1106" s="3">
        <v>674.59</v>
      </c>
      <c r="E1106" s="3" t="s">
        <v>10</v>
      </c>
      <c r="F1106" s="3">
        <v>1</v>
      </c>
      <c r="G1106" s="21">
        <f>Table4[[#This Row],[Item Cost]]*Table4[[#This Row],[In Stock]]</f>
        <v>674.59</v>
      </c>
      <c r="H1106" s="12" t="s">
        <v>4661</v>
      </c>
      <c r="I1106" s="13" t="s">
        <v>4664</v>
      </c>
      <c r="J1106" s="13" t="s">
        <v>4699</v>
      </c>
      <c r="K1106" s="13" t="s">
        <v>4672</v>
      </c>
      <c r="L1106" s="12" t="s">
        <v>4672</v>
      </c>
      <c r="M1106" s="17" t="str">
        <f>IF(LEN(COUNTIFS($H$1:H1106,$H1106,$I$1:I1106,$I1106,$J$1:J1106,$J1106,$K$1:K1106,K1106,$L$1:L1106,L1106))=1,"00"&amp;COUNTIFS($H$1:H1106,$H1106,$I$1:I1106,$I1106,$J$1:J1106,$J1106,$K$1:K1106,K1106,$L$1:L1106,L1106),IF(LEN(COUNTIFS($H$1:H1106,$H1106,$I$1:I1106,$I1106,$J$1:J1106,$J1106,$K$1:K1106,K1106,$L$1:L1106,L1106))=2,"0"&amp;COUNTIFS($H$1:H1106,$H1106,$I$1:I1106,$I1106,$J$1:J1106,$J1106,$K$1:K1106,K1106,$L$1:L1106,L1106),COUNTIFS($H$1:H1106,$H1106,$I$1:I1106,$I1106,$J$1:J1106,$J1106,$K$1:K1106,K1106,$L$1:L1106,L1106)))</f>
        <v>055</v>
      </c>
      <c r="N110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06" s="14" t="e">
        <f>+LEN(Table4[[#This Row],[New Item Code]])</f>
        <v>#N/A</v>
      </c>
      <c r="P1106" s="15" t="s">
        <v>4747</v>
      </c>
      <c r="Q1106" s="15" t="s">
        <v>4749</v>
      </c>
      <c r="R1106" s="15"/>
      <c r="S1106" s="15"/>
      <c r="T1106" s="15" t="s">
        <v>4699</v>
      </c>
    </row>
    <row r="1107" spans="1:20" x14ac:dyDescent="0.35">
      <c r="A1107" s="2" t="s">
        <v>2215</v>
      </c>
      <c r="B1107" s="2" t="s">
        <v>2216</v>
      </c>
      <c r="C1107" s="2" t="s">
        <v>9</v>
      </c>
      <c r="D1107" s="2">
        <v>233.64</v>
      </c>
      <c r="E1107" s="2" t="s">
        <v>10</v>
      </c>
      <c r="F1107" s="2">
        <v>1</v>
      </c>
      <c r="G1107" s="22">
        <f>Table4[[#This Row],[Item Cost]]*Table4[[#This Row],[In Stock]]</f>
        <v>233.64</v>
      </c>
      <c r="H1107" s="12" t="s">
        <v>4661</v>
      </c>
      <c r="I1107" s="13" t="s">
        <v>4664</v>
      </c>
      <c r="J1107" s="13" t="s">
        <v>4699</v>
      </c>
      <c r="K1107" s="13" t="s">
        <v>4672</v>
      </c>
      <c r="L1107" s="12" t="s">
        <v>4672</v>
      </c>
      <c r="M1107" s="17" t="str">
        <f>IF(LEN(COUNTIFS($H$1:H1107,$H1107,$I$1:I1107,$I1107,$J$1:J1107,$J1107,$K$1:K1107,K1107,$L$1:L1107,L1107))=1,"00"&amp;COUNTIFS($H$1:H1107,$H1107,$I$1:I1107,$I1107,$J$1:J1107,$J1107,$K$1:K1107,K1107,$L$1:L1107,L1107),IF(LEN(COUNTIFS($H$1:H1107,$H1107,$I$1:I1107,$I1107,$J$1:J1107,$J1107,$K$1:K1107,K1107,$L$1:L1107,L1107))=2,"0"&amp;COUNTIFS($H$1:H1107,$H1107,$I$1:I1107,$I1107,$J$1:J1107,$J1107,$K$1:K1107,K1107,$L$1:L1107,L1107),COUNTIFS($H$1:H1107,$H1107,$I$1:I1107,$I1107,$J$1:J1107,$J1107,$K$1:K1107,K1107,$L$1:L1107,L1107)))</f>
        <v>056</v>
      </c>
      <c r="N110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07" s="14" t="e">
        <f>+LEN(Table4[[#This Row],[New Item Code]])</f>
        <v>#N/A</v>
      </c>
      <c r="P1107" s="15" t="s">
        <v>4747</v>
      </c>
      <c r="Q1107" s="15" t="s">
        <v>4749</v>
      </c>
      <c r="R1107" s="15"/>
      <c r="S1107" s="15"/>
      <c r="T1107" s="15" t="s">
        <v>4699</v>
      </c>
    </row>
    <row r="1108" spans="1:20" x14ac:dyDescent="0.35">
      <c r="A1108" s="3" t="s">
        <v>2217</v>
      </c>
      <c r="B1108" s="3" t="s">
        <v>2218</v>
      </c>
      <c r="C1108" s="3" t="s">
        <v>9</v>
      </c>
      <c r="D1108" s="3">
        <v>538.16</v>
      </c>
      <c r="E1108" s="3" t="s">
        <v>10</v>
      </c>
      <c r="F1108" s="3">
        <v>1</v>
      </c>
      <c r="G1108" s="21">
        <f>Table4[[#This Row],[Item Cost]]*Table4[[#This Row],[In Stock]]</f>
        <v>538.16</v>
      </c>
      <c r="H1108" s="12" t="s">
        <v>4661</v>
      </c>
      <c r="I1108" s="13" t="s">
        <v>4664</v>
      </c>
      <c r="J1108" s="13" t="s">
        <v>4699</v>
      </c>
      <c r="K1108" s="13" t="s">
        <v>4672</v>
      </c>
      <c r="L1108" s="12" t="s">
        <v>4672</v>
      </c>
      <c r="M1108" s="17" t="str">
        <f>IF(LEN(COUNTIFS($H$1:H1108,$H1108,$I$1:I1108,$I1108,$J$1:J1108,$J1108,$K$1:K1108,K1108,$L$1:L1108,L1108))=1,"00"&amp;COUNTIFS($H$1:H1108,$H1108,$I$1:I1108,$I1108,$J$1:J1108,$J1108,$K$1:K1108,K1108,$L$1:L1108,L1108),IF(LEN(COUNTIFS($H$1:H1108,$H1108,$I$1:I1108,$I1108,$J$1:J1108,$J1108,$K$1:K1108,K1108,$L$1:L1108,L1108))=2,"0"&amp;COUNTIFS($H$1:H1108,$H1108,$I$1:I1108,$I1108,$J$1:J1108,$J1108,$K$1:K1108,K1108,$L$1:L1108,L1108),COUNTIFS($H$1:H1108,$H1108,$I$1:I1108,$I1108,$J$1:J1108,$J1108,$K$1:K1108,K1108,$L$1:L1108,L1108)))</f>
        <v>057</v>
      </c>
      <c r="N110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08" s="14" t="e">
        <f>+LEN(Table4[[#This Row],[New Item Code]])</f>
        <v>#N/A</v>
      </c>
      <c r="P1108" s="15" t="s">
        <v>4747</v>
      </c>
      <c r="Q1108" s="15" t="s">
        <v>4749</v>
      </c>
      <c r="R1108" s="15"/>
      <c r="S1108" s="15"/>
      <c r="T1108" s="15" t="s">
        <v>4699</v>
      </c>
    </row>
    <row r="1109" spans="1:20" x14ac:dyDescent="0.35">
      <c r="A1109" s="2" t="s">
        <v>2219</v>
      </c>
      <c r="B1109" s="2" t="s">
        <v>2220</v>
      </c>
      <c r="C1109" s="2" t="s">
        <v>9</v>
      </c>
      <c r="D1109" s="4">
        <v>1167.1199999999999</v>
      </c>
      <c r="E1109" s="2" t="s">
        <v>10</v>
      </c>
      <c r="F1109" s="2">
        <v>1</v>
      </c>
      <c r="G1109" s="22">
        <f>Table4[[#This Row],[Item Cost]]*Table4[[#This Row],[In Stock]]</f>
        <v>1167.1199999999999</v>
      </c>
      <c r="H1109" s="12" t="s">
        <v>4661</v>
      </c>
      <c r="I1109" s="13" t="s">
        <v>4664</v>
      </c>
      <c r="J1109" s="13" t="s">
        <v>4699</v>
      </c>
      <c r="K1109" s="13" t="s">
        <v>4672</v>
      </c>
      <c r="L1109" s="12" t="s">
        <v>4672</v>
      </c>
      <c r="M1109" s="17" t="str">
        <f>IF(LEN(COUNTIFS($H$1:H1109,$H1109,$I$1:I1109,$I1109,$J$1:J1109,$J1109,$K$1:K1109,K1109,$L$1:L1109,L1109))=1,"00"&amp;COUNTIFS($H$1:H1109,$H1109,$I$1:I1109,$I1109,$J$1:J1109,$J1109,$K$1:K1109,K1109,$L$1:L1109,L1109),IF(LEN(COUNTIFS($H$1:H1109,$H1109,$I$1:I1109,$I1109,$J$1:J1109,$J1109,$K$1:K1109,K1109,$L$1:L1109,L1109))=2,"0"&amp;COUNTIFS($H$1:H1109,$H1109,$I$1:I1109,$I1109,$J$1:J1109,$J1109,$K$1:K1109,K1109,$L$1:L1109,L1109),COUNTIFS($H$1:H1109,$H1109,$I$1:I1109,$I1109,$J$1:J1109,$J1109,$K$1:K1109,K1109,$L$1:L1109,L1109)))</f>
        <v>058</v>
      </c>
      <c r="N110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09" s="14" t="e">
        <f>+LEN(Table4[[#This Row],[New Item Code]])</f>
        <v>#N/A</v>
      </c>
      <c r="P1109" s="15" t="s">
        <v>4747</v>
      </c>
      <c r="Q1109" s="15" t="s">
        <v>4749</v>
      </c>
      <c r="R1109" s="15"/>
      <c r="S1109" s="15"/>
      <c r="T1109" s="15" t="s">
        <v>4699</v>
      </c>
    </row>
    <row r="1110" spans="1:20" x14ac:dyDescent="0.35">
      <c r="A1110" s="3" t="s">
        <v>2221</v>
      </c>
      <c r="B1110" s="3" t="s">
        <v>2222</v>
      </c>
      <c r="C1110" s="3" t="s">
        <v>9</v>
      </c>
      <c r="D1110" s="5">
        <v>1401.84</v>
      </c>
      <c r="E1110" s="3" t="s">
        <v>10</v>
      </c>
      <c r="F1110" s="3">
        <v>1</v>
      </c>
      <c r="G1110" s="21">
        <f>Table4[[#This Row],[Item Cost]]*Table4[[#This Row],[In Stock]]</f>
        <v>1401.84</v>
      </c>
      <c r="H1110" s="12" t="s">
        <v>4661</v>
      </c>
      <c r="I1110" s="13" t="s">
        <v>4664</v>
      </c>
      <c r="J1110" s="13" t="s">
        <v>4699</v>
      </c>
      <c r="K1110" s="13" t="s">
        <v>4672</v>
      </c>
      <c r="L1110" s="12" t="s">
        <v>4672</v>
      </c>
      <c r="M1110" s="17" t="str">
        <f>IF(LEN(COUNTIFS($H$1:H1110,$H1110,$I$1:I1110,$I1110,$J$1:J1110,$J1110,$K$1:K1110,K1110,$L$1:L1110,L1110))=1,"00"&amp;COUNTIFS($H$1:H1110,$H1110,$I$1:I1110,$I1110,$J$1:J1110,$J1110,$K$1:K1110,K1110,$L$1:L1110,L1110),IF(LEN(COUNTIFS($H$1:H1110,$H1110,$I$1:I1110,$I1110,$J$1:J1110,$J1110,$K$1:K1110,K1110,$L$1:L1110,L1110))=2,"0"&amp;COUNTIFS($H$1:H1110,$H1110,$I$1:I1110,$I1110,$J$1:J1110,$J1110,$K$1:K1110,K1110,$L$1:L1110,L1110),COUNTIFS($H$1:H1110,$H1110,$I$1:I1110,$I1110,$J$1:J1110,$J1110,$K$1:K1110,K1110,$L$1:L1110,L1110)))</f>
        <v>059</v>
      </c>
      <c r="N111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10" s="14" t="e">
        <f>+LEN(Table4[[#This Row],[New Item Code]])</f>
        <v>#N/A</v>
      </c>
      <c r="P1110" s="15" t="s">
        <v>4747</v>
      </c>
      <c r="Q1110" s="15" t="s">
        <v>4749</v>
      </c>
      <c r="R1110" s="15"/>
      <c r="S1110" s="15"/>
      <c r="T1110" s="15" t="s">
        <v>4699</v>
      </c>
    </row>
    <row r="1111" spans="1:20" x14ac:dyDescent="0.35">
      <c r="A1111" s="2" t="s">
        <v>2223</v>
      </c>
      <c r="B1111" s="2" t="s">
        <v>2224</v>
      </c>
      <c r="C1111" s="2" t="s">
        <v>9</v>
      </c>
      <c r="D1111" s="4">
        <v>1851</v>
      </c>
      <c r="E1111" s="2" t="s">
        <v>10</v>
      </c>
      <c r="F1111" s="2">
        <v>2</v>
      </c>
      <c r="G1111" s="22">
        <f>Table4[[#This Row],[Item Cost]]*Table4[[#This Row],[In Stock]]</f>
        <v>3702</v>
      </c>
      <c r="H1111" s="12" t="s">
        <v>4661</v>
      </c>
      <c r="I1111" s="13" t="s">
        <v>4664</v>
      </c>
      <c r="J1111" s="13" t="s">
        <v>4699</v>
      </c>
      <c r="K1111" s="13" t="s">
        <v>4672</v>
      </c>
      <c r="L1111" s="12" t="s">
        <v>4672</v>
      </c>
      <c r="M1111" s="17" t="str">
        <f>IF(LEN(COUNTIFS($H$1:H1111,$H1111,$I$1:I1111,$I1111,$J$1:J1111,$J1111,$K$1:K1111,K1111,$L$1:L1111,L1111))=1,"00"&amp;COUNTIFS($H$1:H1111,$H1111,$I$1:I1111,$I1111,$J$1:J1111,$J1111,$K$1:K1111,K1111,$L$1:L1111,L1111),IF(LEN(COUNTIFS($H$1:H1111,$H1111,$I$1:I1111,$I1111,$J$1:J1111,$J1111,$K$1:K1111,K1111,$L$1:L1111,L1111))=2,"0"&amp;COUNTIFS($H$1:H1111,$H1111,$I$1:I1111,$I1111,$J$1:J1111,$J1111,$K$1:K1111,K1111,$L$1:L1111,L1111),COUNTIFS($H$1:H1111,$H1111,$I$1:I1111,$I1111,$J$1:J1111,$J1111,$K$1:K1111,K1111,$L$1:L1111,L1111)))</f>
        <v>060</v>
      </c>
      <c r="N111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11" s="14" t="e">
        <f>+LEN(Table4[[#This Row],[New Item Code]])</f>
        <v>#N/A</v>
      </c>
      <c r="P1111" s="15" t="s">
        <v>4747</v>
      </c>
      <c r="Q1111" s="15" t="s">
        <v>4749</v>
      </c>
      <c r="R1111" s="15"/>
      <c r="S1111" s="15"/>
      <c r="T1111" s="15" t="s">
        <v>4699</v>
      </c>
    </row>
    <row r="1112" spans="1:20" x14ac:dyDescent="0.35">
      <c r="A1112" s="3" t="s">
        <v>2225</v>
      </c>
      <c r="B1112" s="3" t="s">
        <v>2226</v>
      </c>
      <c r="C1112" s="3" t="s">
        <v>9</v>
      </c>
      <c r="D1112" s="3">
        <v>222</v>
      </c>
      <c r="E1112" s="3" t="s">
        <v>10</v>
      </c>
      <c r="F1112" s="3">
        <v>1</v>
      </c>
      <c r="G1112" s="21">
        <f>Table4[[#This Row],[Item Cost]]*Table4[[#This Row],[In Stock]]</f>
        <v>222</v>
      </c>
      <c r="H1112" s="12" t="s">
        <v>4661</v>
      </c>
      <c r="I1112" s="13" t="s">
        <v>4664</v>
      </c>
      <c r="J1112" s="13" t="s">
        <v>4699</v>
      </c>
      <c r="K1112" s="13" t="s">
        <v>4672</v>
      </c>
      <c r="L1112" s="12" t="s">
        <v>4672</v>
      </c>
      <c r="M1112" s="17" t="str">
        <f>IF(LEN(COUNTIFS($H$1:H1112,$H1112,$I$1:I1112,$I1112,$J$1:J1112,$J1112,$K$1:K1112,K1112,$L$1:L1112,L1112))=1,"00"&amp;COUNTIFS($H$1:H1112,$H1112,$I$1:I1112,$I1112,$J$1:J1112,$J1112,$K$1:K1112,K1112,$L$1:L1112,L1112),IF(LEN(COUNTIFS($H$1:H1112,$H1112,$I$1:I1112,$I1112,$J$1:J1112,$J1112,$K$1:K1112,K1112,$L$1:L1112,L1112))=2,"0"&amp;COUNTIFS($H$1:H1112,$H1112,$I$1:I1112,$I1112,$J$1:J1112,$J1112,$K$1:K1112,K1112,$L$1:L1112,L1112),COUNTIFS($H$1:H1112,$H1112,$I$1:I1112,$I1112,$J$1:J1112,$J1112,$K$1:K1112,K1112,$L$1:L1112,L1112)))</f>
        <v>061</v>
      </c>
      <c r="N111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12" s="14" t="e">
        <f>+LEN(Table4[[#This Row],[New Item Code]])</f>
        <v>#N/A</v>
      </c>
      <c r="P1112" s="15" t="s">
        <v>4747</v>
      </c>
      <c r="Q1112" s="15" t="s">
        <v>4749</v>
      </c>
      <c r="R1112" s="15"/>
      <c r="S1112" s="15"/>
      <c r="T1112" s="15" t="s">
        <v>4699</v>
      </c>
    </row>
    <row r="1113" spans="1:20" x14ac:dyDescent="0.35">
      <c r="A1113" s="2" t="s">
        <v>2227</v>
      </c>
      <c r="B1113" s="2" t="s">
        <v>2228</v>
      </c>
      <c r="C1113" s="2" t="s">
        <v>9</v>
      </c>
      <c r="D1113" s="2">
        <v>69</v>
      </c>
      <c r="E1113" s="2" t="s">
        <v>10</v>
      </c>
      <c r="F1113" s="2">
        <v>1</v>
      </c>
      <c r="G1113" s="22">
        <f>Table4[[#This Row],[Item Cost]]*Table4[[#This Row],[In Stock]]</f>
        <v>69</v>
      </c>
      <c r="H1113" s="12" t="s">
        <v>4661</v>
      </c>
      <c r="I1113" s="13" t="s">
        <v>4664</v>
      </c>
      <c r="J1113" s="13" t="s">
        <v>4699</v>
      </c>
      <c r="K1113" s="13" t="s">
        <v>4776</v>
      </c>
      <c r="L1113" s="12" t="s">
        <v>4672</v>
      </c>
      <c r="M1113" s="17" t="str">
        <f>IF(LEN(COUNTIFS($H$1:H1113,$H1113,$I$1:I1113,$I1113,$J$1:J1113,$J1113,$K$1:K1113,K1113,$L$1:L1113,L1113))=1,"00"&amp;COUNTIFS($H$1:H1113,$H1113,$I$1:I1113,$I1113,$J$1:J1113,$J1113,$K$1:K1113,K1113,$L$1:L1113,L1113),IF(LEN(COUNTIFS($H$1:H1113,$H1113,$I$1:I1113,$I1113,$J$1:J1113,$J1113,$K$1:K1113,K1113,$L$1:L1113,L1113))=2,"0"&amp;COUNTIFS($H$1:H1113,$H1113,$I$1:I1113,$I1113,$J$1:J1113,$J1113,$K$1:K1113,K1113,$L$1:L1113,L1113),COUNTIFS($H$1:H1113,$H1113,$I$1:I1113,$I1113,$J$1:J1113,$J1113,$K$1:K1113,K1113,$L$1:L1113,L1113)))</f>
        <v>008</v>
      </c>
      <c r="N111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13" s="14" t="e">
        <f>+LEN(Table4[[#This Row],[New Item Code]])</f>
        <v>#N/A</v>
      </c>
      <c r="P1113" s="15" t="s">
        <v>4747</v>
      </c>
      <c r="Q1113" s="15" t="s">
        <v>4749</v>
      </c>
      <c r="R1113" s="15"/>
      <c r="S1113" s="15"/>
      <c r="T1113" s="15" t="s">
        <v>4699</v>
      </c>
    </row>
    <row r="1114" spans="1:20" x14ac:dyDescent="0.35">
      <c r="A1114" s="3" t="s">
        <v>2229</v>
      </c>
      <c r="B1114" s="3" t="s">
        <v>2230</v>
      </c>
      <c r="C1114" s="3" t="s">
        <v>9</v>
      </c>
      <c r="D1114" s="5">
        <v>1229.9000000000001</v>
      </c>
      <c r="E1114" s="3" t="s">
        <v>10</v>
      </c>
      <c r="F1114" s="3">
        <v>1</v>
      </c>
      <c r="G1114" s="21">
        <f>Table4[[#This Row],[Item Cost]]*Table4[[#This Row],[In Stock]]</f>
        <v>1229.9000000000001</v>
      </c>
      <c r="H1114" s="12" t="s">
        <v>4661</v>
      </c>
      <c r="I1114" s="13" t="s">
        <v>4664</v>
      </c>
      <c r="J1114" s="13" t="s">
        <v>4699</v>
      </c>
      <c r="K1114" s="13" t="s">
        <v>4672</v>
      </c>
      <c r="L1114" s="12" t="s">
        <v>4672</v>
      </c>
      <c r="M1114" s="17" t="str">
        <f>IF(LEN(COUNTIFS($H$1:H1114,$H1114,$I$1:I1114,$I1114,$J$1:J1114,$J1114,$K$1:K1114,K1114,$L$1:L1114,L1114))=1,"00"&amp;COUNTIFS($H$1:H1114,$H1114,$I$1:I1114,$I1114,$J$1:J1114,$J1114,$K$1:K1114,K1114,$L$1:L1114,L1114),IF(LEN(COUNTIFS($H$1:H1114,$H1114,$I$1:I1114,$I1114,$J$1:J1114,$J1114,$K$1:K1114,K1114,$L$1:L1114,L1114))=2,"0"&amp;COUNTIFS($H$1:H1114,$H1114,$I$1:I1114,$I1114,$J$1:J1114,$J1114,$K$1:K1114,K1114,$L$1:L1114,L1114),COUNTIFS($H$1:H1114,$H1114,$I$1:I1114,$I1114,$J$1:J1114,$J1114,$K$1:K1114,K1114,$L$1:L1114,L1114)))</f>
        <v>062</v>
      </c>
      <c r="N111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14" s="14" t="e">
        <f>+LEN(Table4[[#This Row],[New Item Code]])</f>
        <v>#N/A</v>
      </c>
      <c r="P1114" s="15" t="s">
        <v>4747</v>
      </c>
      <c r="Q1114" s="15" t="s">
        <v>4749</v>
      </c>
      <c r="R1114" s="15"/>
      <c r="S1114" s="15"/>
      <c r="T1114" s="15" t="s">
        <v>4699</v>
      </c>
    </row>
    <row r="1115" spans="1:20" x14ac:dyDescent="0.35">
      <c r="A1115" s="2" t="s">
        <v>2231</v>
      </c>
      <c r="B1115" s="2" t="s">
        <v>2232</v>
      </c>
      <c r="C1115" s="2" t="s">
        <v>9</v>
      </c>
      <c r="D1115" s="2">
        <v>31.36</v>
      </c>
      <c r="E1115" s="2" t="s">
        <v>10</v>
      </c>
      <c r="F1115" s="2">
        <v>2</v>
      </c>
      <c r="G1115" s="22">
        <f>Table4[[#This Row],[Item Cost]]*Table4[[#This Row],[In Stock]]</f>
        <v>62.72</v>
      </c>
      <c r="H1115" s="12" t="s">
        <v>4661</v>
      </c>
      <c r="I1115" s="13" t="s">
        <v>4664</v>
      </c>
      <c r="J1115" s="13" t="s">
        <v>4699</v>
      </c>
      <c r="K1115" s="13" t="s">
        <v>4672</v>
      </c>
      <c r="L1115" s="12" t="s">
        <v>4672</v>
      </c>
      <c r="M1115" s="17" t="str">
        <f>IF(LEN(COUNTIFS($H$1:H1115,$H1115,$I$1:I1115,$I1115,$J$1:J1115,$J1115,$K$1:K1115,K1115,$L$1:L1115,L1115))=1,"00"&amp;COUNTIFS($H$1:H1115,$H1115,$I$1:I1115,$I1115,$J$1:J1115,$J1115,$K$1:K1115,K1115,$L$1:L1115,L1115),IF(LEN(COUNTIFS($H$1:H1115,$H1115,$I$1:I1115,$I1115,$J$1:J1115,$J1115,$K$1:K1115,K1115,$L$1:L1115,L1115))=2,"0"&amp;COUNTIFS($H$1:H1115,$H1115,$I$1:I1115,$I1115,$J$1:J1115,$J1115,$K$1:K1115,K1115,$L$1:L1115,L1115),COUNTIFS($H$1:H1115,$H1115,$I$1:I1115,$I1115,$J$1:J1115,$J1115,$K$1:K1115,K1115,$L$1:L1115,L1115)))</f>
        <v>063</v>
      </c>
      <c r="N111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15" s="14" t="e">
        <f>+LEN(Table4[[#This Row],[New Item Code]])</f>
        <v>#N/A</v>
      </c>
      <c r="P1115" s="15" t="s">
        <v>4747</v>
      </c>
      <c r="Q1115" s="15" t="s">
        <v>4749</v>
      </c>
      <c r="R1115" s="15"/>
      <c r="S1115" s="15"/>
      <c r="T1115" s="15" t="s">
        <v>4699</v>
      </c>
    </row>
    <row r="1116" spans="1:20" x14ac:dyDescent="0.35">
      <c r="A1116" s="3" t="s">
        <v>2233</v>
      </c>
      <c r="B1116" s="3" t="s">
        <v>2234</v>
      </c>
      <c r="C1116" s="3" t="s">
        <v>15</v>
      </c>
      <c r="D1116" s="3">
        <v>0</v>
      </c>
      <c r="E1116" s="3" t="s">
        <v>10</v>
      </c>
      <c r="F1116" s="3">
        <v>0</v>
      </c>
      <c r="G1116" s="21">
        <f>Table4[[#This Row],[Item Cost]]*Table4[[#This Row],[In Stock]]</f>
        <v>0</v>
      </c>
      <c r="H1116" s="12" t="s">
        <v>4661</v>
      </c>
      <c r="I1116" s="13" t="s">
        <v>4666</v>
      </c>
      <c r="J1116" s="13" t="s">
        <v>4699</v>
      </c>
      <c r="K1116" s="13" t="s">
        <v>4672</v>
      </c>
      <c r="L1116" s="12" t="s">
        <v>4672</v>
      </c>
      <c r="M1116" s="17" t="str">
        <f>IF(LEN(COUNTIFS($H$1:H1116,$H1116,$I$1:I1116,$I1116,$J$1:J1116,$J1116,$K$1:K1116,K1116,$L$1:L1116,L1116))=1,"00"&amp;COUNTIFS($H$1:H1116,$H1116,$I$1:I1116,$I1116,$J$1:J1116,$J1116,$K$1:K1116,K1116,$L$1:L1116,L1116),IF(LEN(COUNTIFS($H$1:H1116,$H1116,$I$1:I1116,$I1116,$J$1:J1116,$J1116,$K$1:K1116,K1116,$L$1:L1116,L1116))=2,"0"&amp;COUNTIFS($H$1:H1116,$H1116,$I$1:I1116,$I1116,$J$1:J1116,$J1116,$K$1:K1116,K1116,$L$1:L1116,L1116),COUNTIFS($H$1:H1116,$H1116,$I$1:I1116,$I1116,$J$1:J1116,$J1116,$K$1:K1116,K1116,$L$1:L1116,L1116)))</f>
        <v>003</v>
      </c>
      <c r="N111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16" s="14" t="e">
        <f>+LEN(Table4[[#This Row],[New Item Code]])</f>
        <v>#N/A</v>
      </c>
      <c r="P1116" s="15" t="s">
        <v>4747</v>
      </c>
      <c r="Q1116" s="15" t="s">
        <v>4749</v>
      </c>
      <c r="R1116" s="15"/>
      <c r="S1116" s="15"/>
      <c r="T1116" s="15" t="s">
        <v>4699</v>
      </c>
    </row>
    <row r="1117" spans="1:20" x14ac:dyDescent="0.35">
      <c r="A1117" s="2" t="s">
        <v>2235</v>
      </c>
      <c r="B1117" s="2" t="s">
        <v>2236</v>
      </c>
      <c r="C1117" s="2" t="s">
        <v>15</v>
      </c>
      <c r="D1117" s="2">
        <v>0</v>
      </c>
      <c r="E1117" s="2" t="s">
        <v>10</v>
      </c>
      <c r="F1117" s="2">
        <v>0</v>
      </c>
      <c r="G1117" s="22">
        <f>Table4[[#This Row],[Item Cost]]*Table4[[#This Row],[In Stock]]</f>
        <v>0</v>
      </c>
      <c r="H1117" s="12" t="s">
        <v>4661</v>
      </c>
      <c r="I1117" s="13" t="s">
        <v>4666</v>
      </c>
      <c r="J1117" s="13" t="s">
        <v>4699</v>
      </c>
      <c r="K1117" s="13" t="s">
        <v>4672</v>
      </c>
      <c r="L1117" s="12" t="s">
        <v>4672</v>
      </c>
      <c r="M1117" s="17" t="str">
        <f>IF(LEN(COUNTIFS($H$1:H1117,$H1117,$I$1:I1117,$I1117,$J$1:J1117,$J1117,$K$1:K1117,K1117,$L$1:L1117,L1117))=1,"00"&amp;COUNTIFS($H$1:H1117,$H1117,$I$1:I1117,$I1117,$J$1:J1117,$J1117,$K$1:K1117,K1117,$L$1:L1117,L1117),IF(LEN(COUNTIFS($H$1:H1117,$H1117,$I$1:I1117,$I1117,$J$1:J1117,$J1117,$K$1:K1117,K1117,$L$1:L1117,L1117))=2,"0"&amp;COUNTIFS($H$1:H1117,$H1117,$I$1:I1117,$I1117,$J$1:J1117,$J1117,$K$1:K1117,K1117,$L$1:L1117,L1117),COUNTIFS($H$1:H1117,$H1117,$I$1:I1117,$I1117,$J$1:J1117,$J1117,$K$1:K1117,K1117,$L$1:L1117,L1117)))</f>
        <v>004</v>
      </c>
      <c r="N111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17" s="14" t="e">
        <f>+LEN(Table4[[#This Row],[New Item Code]])</f>
        <v>#N/A</v>
      </c>
      <c r="P1117" s="15" t="s">
        <v>4747</v>
      </c>
      <c r="Q1117" s="15" t="s">
        <v>4749</v>
      </c>
      <c r="R1117" s="15"/>
      <c r="S1117" s="15"/>
      <c r="T1117" s="15" t="s">
        <v>4699</v>
      </c>
    </row>
    <row r="1118" spans="1:20" x14ac:dyDescent="0.35">
      <c r="A1118" s="3" t="s">
        <v>2237</v>
      </c>
      <c r="B1118" s="3" t="s">
        <v>2238</v>
      </c>
      <c r="C1118" s="3" t="s">
        <v>15</v>
      </c>
      <c r="D1118" s="3">
        <v>0</v>
      </c>
      <c r="E1118" s="3" t="s">
        <v>10</v>
      </c>
      <c r="F1118" s="3">
        <v>0</v>
      </c>
      <c r="G1118" s="21">
        <f>Table4[[#This Row],[Item Cost]]*Table4[[#This Row],[In Stock]]</f>
        <v>0</v>
      </c>
      <c r="H1118" s="12" t="s">
        <v>4661</v>
      </c>
      <c r="I1118" s="13" t="s">
        <v>4666</v>
      </c>
      <c r="J1118" s="13" t="s">
        <v>4699</v>
      </c>
      <c r="K1118" s="13" t="s">
        <v>4672</v>
      </c>
      <c r="L1118" s="12" t="s">
        <v>4672</v>
      </c>
      <c r="M1118" s="17" t="str">
        <f>IF(LEN(COUNTIFS($H$1:H1118,$H1118,$I$1:I1118,$I1118,$J$1:J1118,$J1118,$K$1:K1118,K1118,$L$1:L1118,L1118))=1,"00"&amp;COUNTIFS($H$1:H1118,$H1118,$I$1:I1118,$I1118,$J$1:J1118,$J1118,$K$1:K1118,K1118,$L$1:L1118,L1118),IF(LEN(COUNTIFS($H$1:H1118,$H1118,$I$1:I1118,$I1118,$J$1:J1118,$J1118,$K$1:K1118,K1118,$L$1:L1118,L1118))=2,"0"&amp;COUNTIFS($H$1:H1118,$H1118,$I$1:I1118,$I1118,$J$1:J1118,$J1118,$K$1:K1118,K1118,$L$1:L1118,L1118),COUNTIFS($H$1:H1118,$H1118,$I$1:I1118,$I1118,$J$1:J1118,$J1118,$K$1:K1118,K1118,$L$1:L1118,L1118)))</f>
        <v>005</v>
      </c>
      <c r="N111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18" s="14" t="e">
        <f>+LEN(Table4[[#This Row],[New Item Code]])</f>
        <v>#N/A</v>
      </c>
      <c r="P1118" s="15" t="s">
        <v>4747</v>
      </c>
      <c r="Q1118" s="15" t="s">
        <v>4749</v>
      </c>
      <c r="R1118" s="15"/>
      <c r="S1118" s="15"/>
      <c r="T1118" s="15" t="s">
        <v>4699</v>
      </c>
    </row>
    <row r="1119" spans="1:20" x14ac:dyDescent="0.35">
      <c r="A1119" s="2" t="s">
        <v>2239</v>
      </c>
      <c r="B1119" s="2" t="s">
        <v>2240</v>
      </c>
      <c r="C1119" s="2" t="s">
        <v>15</v>
      </c>
      <c r="D1119" s="4">
        <v>1250</v>
      </c>
      <c r="E1119" s="2" t="s">
        <v>10</v>
      </c>
      <c r="F1119" s="2">
        <v>3</v>
      </c>
      <c r="G1119" s="22">
        <f>Table4[[#This Row],[Item Cost]]*Table4[[#This Row],[In Stock]]</f>
        <v>3750</v>
      </c>
      <c r="H1119" s="12" t="s">
        <v>4661</v>
      </c>
      <c r="I1119" s="13" t="s">
        <v>4666</v>
      </c>
      <c r="J1119" s="13" t="s">
        <v>4699</v>
      </c>
      <c r="K1119" t="s">
        <v>4793</v>
      </c>
      <c r="L1119" s="12" t="s">
        <v>4672</v>
      </c>
      <c r="M1119" s="17" t="str">
        <f>IF(LEN(COUNTIFS($H$1:H1119,$H1119,$I$1:I1119,$I1119,$J$1:J1119,$J1119,$K$1:K1119,K1119,$L$1:L1119,L1119))=1,"00"&amp;COUNTIFS($H$1:H1119,$H1119,$I$1:I1119,$I1119,$J$1:J1119,$J1119,$K$1:K1119,K1119,$L$1:L1119,L1119),IF(LEN(COUNTIFS($H$1:H1119,$H1119,$I$1:I1119,$I1119,$J$1:J1119,$J1119,$K$1:K1119,K1119,$L$1:L1119,L1119))=2,"0"&amp;COUNTIFS($H$1:H1119,$H1119,$I$1:I1119,$I1119,$J$1:J1119,$J1119,$K$1:K1119,K1119,$L$1:L1119,L1119),COUNTIFS($H$1:H1119,$H1119,$I$1:I1119,$I1119,$J$1:J1119,$J1119,$K$1:K1119,K1119,$L$1:L1119,L1119)))</f>
        <v>001</v>
      </c>
      <c r="N111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19" s="14" t="e">
        <f>+LEN(Table4[[#This Row],[New Item Code]])</f>
        <v>#N/A</v>
      </c>
      <c r="P1119" s="15" t="s">
        <v>4747</v>
      </c>
      <c r="Q1119" s="15" t="s">
        <v>4749</v>
      </c>
      <c r="R1119" s="15"/>
      <c r="S1119" s="15"/>
      <c r="T1119" s="15" t="s">
        <v>4699</v>
      </c>
    </row>
    <row r="1120" spans="1:20" x14ac:dyDescent="0.35">
      <c r="A1120" s="3" t="s">
        <v>2241</v>
      </c>
      <c r="B1120" s="3" t="s">
        <v>2242</v>
      </c>
      <c r="C1120" s="3" t="s">
        <v>15</v>
      </c>
      <c r="D1120" s="3">
        <v>52.62</v>
      </c>
      <c r="E1120" s="3" t="s">
        <v>10</v>
      </c>
      <c r="F1120" s="3">
        <v>10</v>
      </c>
      <c r="G1120" s="21">
        <f>Table4[[#This Row],[Item Cost]]*Table4[[#This Row],[In Stock]]</f>
        <v>526.19999999999993</v>
      </c>
      <c r="H1120" s="12" t="s">
        <v>4661</v>
      </c>
      <c r="I1120" s="13" t="s">
        <v>4666</v>
      </c>
      <c r="J1120" s="13" t="s">
        <v>4699</v>
      </c>
      <c r="K1120" s="13" t="s">
        <v>4672</v>
      </c>
      <c r="L1120" s="12" t="s">
        <v>4672</v>
      </c>
      <c r="M1120" s="17" t="str">
        <f>IF(LEN(COUNTIFS($H$1:H1120,$H1120,$I$1:I1120,$I1120,$J$1:J1120,$J1120,$K$1:K1120,K1120,$L$1:L1120,L1120))=1,"00"&amp;COUNTIFS($H$1:H1120,$H1120,$I$1:I1120,$I1120,$J$1:J1120,$J1120,$K$1:K1120,K1120,$L$1:L1120,L1120),IF(LEN(COUNTIFS($H$1:H1120,$H1120,$I$1:I1120,$I1120,$J$1:J1120,$J1120,$K$1:K1120,K1120,$L$1:L1120,L1120))=2,"0"&amp;COUNTIFS($H$1:H1120,$H1120,$I$1:I1120,$I1120,$J$1:J1120,$J1120,$K$1:K1120,K1120,$L$1:L1120,L1120),COUNTIFS($H$1:H1120,$H1120,$I$1:I1120,$I1120,$J$1:J1120,$J1120,$K$1:K1120,K1120,$L$1:L1120,L1120)))</f>
        <v>006</v>
      </c>
      <c r="N112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20" s="14" t="e">
        <f>+LEN(Table4[[#This Row],[New Item Code]])</f>
        <v>#N/A</v>
      </c>
      <c r="P1120" s="15" t="s">
        <v>4747</v>
      </c>
      <c r="Q1120" s="15" t="s">
        <v>4749</v>
      </c>
      <c r="R1120" s="15"/>
      <c r="S1120" s="15"/>
      <c r="T1120" s="15" t="s">
        <v>4699</v>
      </c>
    </row>
    <row r="1121" spans="1:20" x14ac:dyDescent="0.35">
      <c r="A1121" s="2" t="s">
        <v>2243</v>
      </c>
      <c r="B1121" s="2" t="s">
        <v>2244</v>
      </c>
      <c r="C1121" s="2" t="s">
        <v>15</v>
      </c>
      <c r="D1121" s="2">
        <v>64.31</v>
      </c>
      <c r="E1121" s="2" t="s">
        <v>10</v>
      </c>
      <c r="F1121" s="2">
        <v>10</v>
      </c>
      <c r="G1121" s="22">
        <f>Table4[[#This Row],[Item Cost]]*Table4[[#This Row],[In Stock]]</f>
        <v>643.1</v>
      </c>
      <c r="H1121" s="12" t="s">
        <v>4661</v>
      </c>
      <c r="I1121" s="13" t="s">
        <v>4666</v>
      </c>
      <c r="J1121" s="13" t="s">
        <v>4699</v>
      </c>
      <c r="K1121" s="13" t="s">
        <v>4672</v>
      </c>
      <c r="L1121" s="12" t="s">
        <v>4672</v>
      </c>
      <c r="M1121" s="17" t="str">
        <f>IF(LEN(COUNTIFS($H$1:H1121,$H1121,$I$1:I1121,$I1121,$J$1:J1121,$J1121,$K$1:K1121,K1121,$L$1:L1121,L1121))=1,"00"&amp;COUNTIFS($H$1:H1121,$H1121,$I$1:I1121,$I1121,$J$1:J1121,$J1121,$K$1:K1121,K1121,$L$1:L1121,L1121),IF(LEN(COUNTIFS($H$1:H1121,$H1121,$I$1:I1121,$I1121,$J$1:J1121,$J1121,$K$1:K1121,K1121,$L$1:L1121,L1121))=2,"0"&amp;COUNTIFS($H$1:H1121,$H1121,$I$1:I1121,$I1121,$J$1:J1121,$J1121,$K$1:K1121,K1121,$L$1:L1121,L1121),COUNTIFS($H$1:H1121,$H1121,$I$1:I1121,$I1121,$J$1:J1121,$J1121,$K$1:K1121,K1121,$L$1:L1121,L1121)))</f>
        <v>007</v>
      </c>
      <c r="N112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21" s="14" t="e">
        <f>+LEN(Table4[[#This Row],[New Item Code]])</f>
        <v>#N/A</v>
      </c>
      <c r="P1121" s="15" t="s">
        <v>4747</v>
      </c>
      <c r="Q1121" s="15" t="s">
        <v>4749</v>
      </c>
      <c r="R1121" s="15"/>
      <c r="S1121" s="15"/>
      <c r="T1121" s="15" t="s">
        <v>4699</v>
      </c>
    </row>
    <row r="1122" spans="1:20" x14ac:dyDescent="0.35">
      <c r="A1122" s="3" t="s">
        <v>2245</v>
      </c>
      <c r="B1122" s="3" t="s">
        <v>2246</v>
      </c>
      <c r="C1122" s="3" t="s">
        <v>15</v>
      </c>
      <c r="D1122" s="3">
        <v>29.23</v>
      </c>
      <c r="E1122" s="3" t="s">
        <v>10</v>
      </c>
      <c r="F1122" s="3">
        <v>10</v>
      </c>
      <c r="G1122" s="21">
        <f>Table4[[#This Row],[Item Cost]]*Table4[[#This Row],[In Stock]]</f>
        <v>292.3</v>
      </c>
      <c r="H1122" s="12" t="s">
        <v>4661</v>
      </c>
      <c r="I1122" s="13" t="s">
        <v>4666</v>
      </c>
      <c r="J1122" s="13" t="s">
        <v>4699</v>
      </c>
      <c r="K1122" s="13" t="s">
        <v>4672</v>
      </c>
      <c r="L1122" s="12" t="s">
        <v>4672</v>
      </c>
      <c r="M1122" s="17" t="str">
        <f>IF(LEN(COUNTIFS($H$1:H1122,$H1122,$I$1:I1122,$I1122,$J$1:J1122,$J1122,$K$1:K1122,K1122,$L$1:L1122,L1122))=1,"00"&amp;COUNTIFS($H$1:H1122,$H1122,$I$1:I1122,$I1122,$J$1:J1122,$J1122,$K$1:K1122,K1122,$L$1:L1122,L1122),IF(LEN(COUNTIFS($H$1:H1122,$H1122,$I$1:I1122,$I1122,$J$1:J1122,$J1122,$K$1:K1122,K1122,$L$1:L1122,L1122))=2,"0"&amp;COUNTIFS($H$1:H1122,$H1122,$I$1:I1122,$I1122,$J$1:J1122,$J1122,$K$1:K1122,K1122,$L$1:L1122,L1122),COUNTIFS($H$1:H1122,$H1122,$I$1:I1122,$I1122,$J$1:J1122,$J1122,$K$1:K1122,K1122,$L$1:L1122,L1122)))</f>
        <v>008</v>
      </c>
      <c r="N112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22" s="14" t="e">
        <f>+LEN(Table4[[#This Row],[New Item Code]])</f>
        <v>#N/A</v>
      </c>
      <c r="P1122" s="15" t="s">
        <v>4747</v>
      </c>
      <c r="Q1122" s="15" t="s">
        <v>4749</v>
      </c>
      <c r="R1122" s="15"/>
      <c r="S1122" s="15"/>
      <c r="T1122" s="15" t="s">
        <v>4699</v>
      </c>
    </row>
    <row r="1123" spans="1:20" x14ac:dyDescent="0.35">
      <c r="A1123" s="2" t="s">
        <v>2247</v>
      </c>
      <c r="B1123" s="2" t="s">
        <v>2248</v>
      </c>
      <c r="C1123" s="2" t="s">
        <v>15</v>
      </c>
      <c r="D1123" s="2">
        <v>11.69</v>
      </c>
      <c r="E1123" s="2" t="s">
        <v>10</v>
      </c>
      <c r="F1123" s="2">
        <v>10</v>
      </c>
      <c r="G1123" s="22">
        <f>Table4[[#This Row],[Item Cost]]*Table4[[#This Row],[In Stock]]</f>
        <v>116.89999999999999</v>
      </c>
      <c r="H1123" s="12" t="s">
        <v>4661</v>
      </c>
      <c r="I1123" s="13" t="s">
        <v>4666</v>
      </c>
      <c r="J1123" s="13" t="s">
        <v>4699</v>
      </c>
      <c r="K1123" s="13" t="s">
        <v>4672</v>
      </c>
      <c r="L1123" s="12" t="s">
        <v>4672</v>
      </c>
      <c r="M1123" s="17" t="str">
        <f>IF(LEN(COUNTIFS($H$1:H1123,$H1123,$I$1:I1123,$I1123,$J$1:J1123,$J1123,$K$1:K1123,K1123,$L$1:L1123,L1123))=1,"00"&amp;COUNTIFS($H$1:H1123,$H1123,$I$1:I1123,$I1123,$J$1:J1123,$J1123,$K$1:K1123,K1123,$L$1:L1123,L1123),IF(LEN(COUNTIFS($H$1:H1123,$H1123,$I$1:I1123,$I1123,$J$1:J1123,$J1123,$K$1:K1123,K1123,$L$1:L1123,L1123))=2,"0"&amp;COUNTIFS($H$1:H1123,$H1123,$I$1:I1123,$I1123,$J$1:J1123,$J1123,$K$1:K1123,K1123,$L$1:L1123,L1123),COUNTIFS($H$1:H1123,$H1123,$I$1:I1123,$I1123,$J$1:J1123,$J1123,$K$1:K1123,K1123,$L$1:L1123,L1123)))</f>
        <v>009</v>
      </c>
      <c r="N112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23" s="14" t="e">
        <f>+LEN(Table4[[#This Row],[New Item Code]])</f>
        <v>#N/A</v>
      </c>
      <c r="P1123" s="15" t="s">
        <v>4747</v>
      </c>
      <c r="Q1123" s="15" t="s">
        <v>4749</v>
      </c>
      <c r="R1123" s="15"/>
      <c r="S1123" s="15"/>
      <c r="T1123" s="15" t="s">
        <v>4699</v>
      </c>
    </row>
    <row r="1124" spans="1:20" x14ac:dyDescent="0.35">
      <c r="A1124" s="3" t="s">
        <v>2249</v>
      </c>
      <c r="B1124" s="3" t="s">
        <v>2250</v>
      </c>
      <c r="C1124" s="3" t="s">
        <v>15</v>
      </c>
      <c r="D1124" s="3">
        <v>17.54</v>
      </c>
      <c r="E1124" s="3" t="s">
        <v>10</v>
      </c>
      <c r="F1124" s="3">
        <v>10</v>
      </c>
      <c r="G1124" s="21">
        <f>Table4[[#This Row],[Item Cost]]*Table4[[#This Row],[In Stock]]</f>
        <v>175.39999999999998</v>
      </c>
      <c r="H1124" s="12" t="s">
        <v>4661</v>
      </c>
      <c r="I1124" s="13" t="s">
        <v>4666</v>
      </c>
      <c r="J1124" s="13" t="s">
        <v>4699</v>
      </c>
      <c r="K1124" s="13" t="s">
        <v>4672</v>
      </c>
      <c r="L1124" s="12" t="s">
        <v>4672</v>
      </c>
      <c r="M1124" s="17" t="str">
        <f>IF(LEN(COUNTIFS($H$1:H1124,$H1124,$I$1:I1124,$I1124,$J$1:J1124,$J1124,$K$1:K1124,K1124,$L$1:L1124,L1124))=1,"00"&amp;COUNTIFS($H$1:H1124,$H1124,$I$1:I1124,$I1124,$J$1:J1124,$J1124,$K$1:K1124,K1124,$L$1:L1124,L1124),IF(LEN(COUNTIFS($H$1:H1124,$H1124,$I$1:I1124,$I1124,$J$1:J1124,$J1124,$K$1:K1124,K1124,$L$1:L1124,L1124))=2,"0"&amp;COUNTIFS($H$1:H1124,$H1124,$I$1:I1124,$I1124,$J$1:J1124,$J1124,$K$1:K1124,K1124,$L$1:L1124,L1124),COUNTIFS($H$1:H1124,$H1124,$I$1:I1124,$I1124,$J$1:J1124,$J1124,$K$1:K1124,K1124,$L$1:L1124,L1124)))</f>
        <v>010</v>
      </c>
      <c r="N112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24" s="14" t="e">
        <f>+LEN(Table4[[#This Row],[New Item Code]])</f>
        <v>#N/A</v>
      </c>
      <c r="P1124" s="15" t="s">
        <v>4747</v>
      </c>
      <c r="Q1124" s="15" t="s">
        <v>4749</v>
      </c>
      <c r="R1124" s="15"/>
      <c r="S1124" s="15"/>
      <c r="T1124" s="15" t="s">
        <v>4699</v>
      </c>
    </row>
    <row r="1125" spans="1:20" x14ac:dyDescent="0.35">
      <c r="A1125" s="2" t="s">
        <v>2251</v>
      </c>
      <c r="B1125" s="2" t="s">
        <v>2252</v>
      </c>
      <c r="C1125" s="2" t="s">
        <v>15</v>
      </c>
      <c r="D1125" s="2">
        <v>5.85</v>
      </c>
      <c r="E1125" s="2" t="s">
        <v>10</v>
      </c>
      <c r="F1125" s="2">
        <v>10</v>
      </c>
      <c r="G1125" s="22">
        <f>Table4[[#This Row],[Item Cost]]*Table4[[#This Row],[In Stock]]</f>
        <v>58.5</v>
      </c>
      <c r="H1125" s="12" t="s">
        <v>4661</v>
      </c>
      <c r="I1125" s="13" t="s">
        <v>4666</v>
      </c>
      <c r="J1125" s="13" t="s">
        <v>4699</v>
      </c>
      <c r="K1125" s="13" t="s">
        <v>4672</v>
      </c>
      <c r="L1125" s="12" t="s">
        <v>4672</v>
      </c>
      <c r="M1125" s="17" t="str">
        <f>IF(LEN(COUNTIFS($H$1:H1125,$H1125,$I$1:I1125,$I1125,$J$1:J1125,$J1125,$K$1:K1125,K1125,$L$1:L1125,L1125))=1,"00"&amp;COUNTIFS($H$1:H1125,$H1125,$I$1:I1125,$I1125,$J$1:J1125,$J1125,$K$1:K1125,K1125,$L$1:L1125,L1125),IF(LEN(COUNTIFS($H$1:H1125,$H1125,$I$1:I1125,$I1125,$J$1:J1125,$J1125,$K$1:K1125,K1125,$L$1:L1125,L1125))=2,"0"&amp;COUNTIFS($H$1:H1125,$H1125,$I$1:I1125,$I1125,$J$1:J1125,$J1125,$K$1:K1125,K1125,$L$1:L1125,L1125),COUNTIFS($H$1:H1125,$H1125,$I$1:I1125,$I1125,$J$1:J1125,$J1125,$K$1:K1125,K1125,$L$1:L1125,L1125)))</f>
        <v>011</v>
      </c>
      <c r="N112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25" s="14" t="e">
        <f>+LEN(Table4[[#This Row],[New Item Code]])</f>
        <v>#N/A</v>
      </c>
      <c r="P1125" s="15" t="s">
        <v>4747</v>
      </c>
      <c r="Q1125" s="15" t="s">
        <v>4749</v>
      </c>
      <c r="R1125" s="15"/>
      <c r="S1125" s="15"/>
      <c r="T1125" s="15" t="s">
        <v>4699</v>
      </c>
    </row>
    <row r="1126" spans="1:20" x14ac:dyDescent="0.35">
      <c r="A1126" s="3" t="s">
        <v>2253</v>
      </c>
      <c r="B1126" s="3" t="s">
        <v>2254</v>
      </c>
      <c r="C1126" s="3" t="s">
        <v>15</v>
      </c>
      <c r="D1126" s="3">
        <v>11.69</v>
      </c>
      <c r="E1126" s="3" t="s">
        <v>10</v>
      </c>
      <c r="F1126" s="3">
        <v>10</v>
      </c>
      <c r="G1126" s="21">
        <f>Table4[[#This Row],[Item Cost]]*Table4[[#This Row],[In Stock]]</f>
        <v>116.89999999999999</v>
      </c>
      <c r="H1126" s="12" t="s">
        <v>4661</v>
      </c>
      <c r="I1126" s="13" t="s">
        <v>4666</v>
      </c>
      <c r="J1126" s="13" t="s">
        <v>4699</v>
      </c>
      <c r="K1126" s="13" t="s">
        <v>4672</v>
      </c>
      <c r="L1126" s="12" t="s">
        <v>4672</v>
      </c>
      <c r="M1126" s="17" t="str">
        <f>IF(LEN(COUNTIFS($H$1:H1126,$H1126,$I$1:I1126,$I1126,$J$1:J1126,$J1126,$K$1:K1126,K1126,$L$1:L1126,L1126))=1,"00"&amp;COUNTIFS($H$1:H1126,$H1126,$I$1:I1126,$I1126,$J$1:J1126,$J1126,$K$1:K1126,K1126,$L$1:L1126,L1126),IF(LEN(COUNTIFS($H$1:H1126,$H1126,$I$1:I1126,$I1126,$J$1:J1126,$J1126,$K$1:K1126,K1126,$L$1:L1126,L1126))=2,"0"&amp;COUNTIFS($H$1:H1126,$H1126,$I$1:I1126,$I1126,$J$1:J1126,$J1126,$K$1:K1126,K1126,$L$1:L1126,L1126),COUNTIFS($H$1:H1126,$H1126,$I$1:I1126,$I1126,$J$1:J1126,$J1126,$K$1:K1126,K1126,$L$1:L1126,L1126)))</f>
        <v>012</v>
      </c>
      <c r="N112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26" s="14" t="e">
        <f>+LEN(Table4[[#This Row],[New Item Code]])</f>
        <v>#N/A</v>
      </c>
      <c r="P1126" s="15" t="s">
        <v>4747</v>
      </c>
      <c r="Q1126" s="15" t="s">
        <v>4749</v>
      </c>
      <c r="R1126" s="15"/>
      <c r="S1126" s="15"/>
      <c r="T1126" s="15" t="s">
        <v>4699</v>
      </c>
    </row>
    <row r="1127" spans="1:20" x14ac:dyDescent="0.35">
      <c r="A1127" s="2" t="s">
        <v>2255</v>
      </c>
      <c r="B1127" s="2" t="s">
        <v>2256</v>
      </c>
      <c r="C1127" s="2" t="s">
        <v>15</v>
      </c>
      <c r="D1127" s="4">
        <v>1650</v>
      </c>
      <c r="E1127" s="2" t="s">
        <v>10</v>
      </c>
      <c r="F1127" s="2">
        <v>1</v>
      </c>
      <c r="G1127" s="22">
        <f>Table4[[#This Row],[Item Cost]]*Table4[[#This Row],[In Stock]]</f>
        <v>1650</v>
      </c>
      <c r="H1127" s="12" t="s">
        <v>4661</v>
      </c>
      <c r="I1127" s="13" t="s">
        <v>4666</v>
      </c>
      <c r="J1127" s="13" t="s">
        <v>4701</v>
      </c>
      <c r="K1127" s="13" t="s">
        <v>4672</v>
      </c>
      <c r="L1127" s="12" t="s">
        <v>4672</v>
      </c>
      <c r="M1127" s="17" t="str">
        <f>IF(LEN(COUNTIFS($H$1:H1127,$H1127,$I$1:I1127,$I1127,$J$1:J1127,$J1127,$K$1:K1127,K1127,$L$1:L1127,L1127))=1,"00"&amp;COUNTIFS($H$1:H1127,$H1127,$I$1:I1127,$I1127,$J$1:J1127,$J1127,$K$1:K1127,K1127,$L$1:L1127,L1127),IF(LEN(COUNTIFS($H$1:H1127,$H1127,$I$1:I1127,$I1127,$J$1:J1127,$J1127,$K$1:K1127,K1127,$L$1:L1127,L1127))=2,"0"&amp;COUNTIFS($H$1:H1127,$H1127,$I$1:I1127,$I1127,$J$1:J1127,$J1127,$K$1:K1127,K1127,$L$1:L1127,L1127),COUNTIFS($H$1:H1127,$H1127,$I$1:I1127,$I1127,$J$1:J1127,$J1127,$K$1:K1127,K1127,$L$1:L1127,L1127)))</f>
        <v>001</v>
      </c>
      <c r="N112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27" s="14" t="e">
        <f>+LEN(Table4[[#This Row],[New Item Code]])</f>
        <v>#N/A</v>
      </c>
      <c r="P1127" s="15" t="s">
        <v>4747</v>
      </c>
      <c r="Q1127" s="15" t="s">
        <v>4749</v>
      </c>
      <c r="R1127" s="15"/>
      <c r="S1127" s="15"/>
      <c r="T1127" s="15" t="s">
        <v>4701</v>
      </c>
    </row>
    <row r="1128" spans="1:20" x14ac:dyDescent="0.35">
      <c r="A1128" s="3" t="s">
        <v>2257</v>
      </c>
      <c r="B1128" s="3" t="s">
        <v>2258</v>
      </c>
      <c r="C1128" s="3" t="s">
        <v>15</v>
      </c>
      <c r="D1128" s="5">
        <v>1750</v>
      </c>
      <c r="E1128" s="3" t="s">
        <v>10</v>
      </c>
      <c r="F1128" s="3">
        <v>1</v>
      </c>
      <c r="G1128" s="21">
        <f>Table4[[#This Row],[Item Cost]]*Table4[[#This Row],[In Stock]]</f>
        <v>1750</v>
      </c>
      <c r="H1128" s="12" t="s">
        <v>4661</v>
      </c>
      <c r="I1128" s="13" t="s">
        <v>4666</v>
      </c>
      <c r="J1128" s="13" t="s">
        <v>4701</v>
      </c>
      <c r="K1128" s="13" t="s">
        <v>4672</v>
      </c>
      <c r="L1128" s="12" t="s">
        <v>4672</v>
      </c>
      <c r="M1128" s="17" t="str">
        <f>IF(LEN(COUNTIFS($H$1:H1128,$H1128,$I$1:I1128,$I1128,$J$1:J1128,$J1128,$K$1:K1128,K1128,$L$1:L1128,L1128))=1,"00"&amp;COUNTIFS($H$1:H1128,$H1128,$I$1:I1128,$I1128,$J$1:J1128,$J1128,$K$1:K1128,K1128,$L$1:L1128,L1128),IF(LEN(COUNTIFS($H$1:H1128,$H1128,$I$1:I1128,$I1128,$J$1:J1128,$J1128,$K$1:K1128,K1128,$L$1:L1128,L1128))=2,"0"&amp;COUNTIFS($H$1:H1128,$H1128,$I$1:I1128,$I1128,$J$1:J1128,$J1128,$K$1:K1128,K1128,$L$1:L1128,L1128),COUNTIFS($H$1:H1128,$H1128,$I$1:I1128,$I1128,$J$1:J1128,$J1128,$K$1:K1128,K1128,$L$1:L1128,L1128)))</f>
        <v>002</v>
      </c>
      <c r="N112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28" s="14" t="e">
        <f>+LEN(Table4[[#This Row],[New Item Code]])</f>
        <v>#N/A</v>
      </c>
      <c r="P1128" s="15" t="s">
        <v>4747</v>
      </c>
      <c r="Q1128" s="15" t="s">
        <v>4749</v>
      </c>
      <c r="R1128" s="15"/>
      <c r="S1128" s="15"/>
      <c r="T1128" s="15" t="s">
        <v>4701</v>
      </c>
    </row>
    <row r="1129" spans="1:20" x14ac:dyDescent="0.35">
      <c r="A1129" s="3" t="s">
        <v>2259</v>
      </c>
      <c r="B1129" s="3" t="s">
        <v>2260</v>
      </c>
      <c r="C1129" s="3" t="s">
        <v>9</v>
      </c>
      <c r="D1129" s="5">
        <v>29250</v>
      </c>
      <c r="E1129" s="3" t="s">
        <v>10</v>
      </c>
      <c r="F1129" s="3">
        <v>1</v>
      </c>
      <c r="G1129" s="21">
        <f>Table4[[#This Row],[Item Cost]]*Table4[[#This Row],[In Stock]]</f>
        <v>29250</v>
      </c>
      <c r="H1129" s="12" t="s">
        <v>4661</v>
      </c>
      <c r="I1129" s="13" t="s">
        <v>4664</v>
      </c>
      <c r="J1129" s="13" t="s">
        <v>4703</v>
      </c>
      <c r="K1129" s="13" t="s">
        <v>4672</v>
      </c>
      <c r="L1129" s="12" t="s">
        <v>4672</v>
      </c>
      <c r="M1129" s="17" t="str">
        <f>IF(LEN(COUNTIFS($H$1:H1129,$H1129,$I$1:I1129,$I1129,$J$1:J1129,$J1129,$K$1:K1129,K1129,$L$1:L1129,L1129))=1,"00"&amp;COUNTIFS($H$1:H1129,$H1129,$I$1:I1129,$I1129,$J$1:J1129,$J1129,$K$1:K1129,K1129,$L$1:L1129,L1129),IF(LEN(COUNTIFS($H$1:H1129,$H1129,$I$1:I1129,$I1129,$J$1:J1129,$J1129,$K$1:K1129,K1129,$L$1:L1129,L1129))=2,"0"&amp;COUNTIFS($H$1:H1129,$H1129,$I$1:I1129,$I1129,$J$1:J1129,$J1129,$K$1:K1129,K1129,$L$1:L1129,L1129),COUNTIFS($H$1:H1129,$H1129,$I$1:I1129,$I1129,$J$1:J1129,$J1129,$K$1:K1129,K1129,$L$1:L1129,L1129)))</f>
        <v>001</v>
      </c>
      <c r="N112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29" s="14" t="e">
        <f>+LEN(Table4[[#This Row],[New Item Code]])</f>
        <v>#N/A</v>
      </c>
      <c r="P1129" s="15" t="s">
        <v>4747</v>
      </c>
      <c r="Q1129" s="15" t="s">
        <v>4749</v>
      </c>
      <c r="R1129" s="15"/>
      <c r="S1129" s="15"/>
      <c r="T1129" s="15" t="s">
        <v>4703</v>
      </c>
    </row>
    <row r="1130" spans="1:20" x14ac:dyDescent="0.35">
      <c r="A1130" s="2" t="s">
        <v>2261</v>
      </c>
      <c r="B1130" s="2" t="s">
        <v>2262</v>
      </c>
      <c r="C1130" s="2" t="s">
        <v>9</v>
      </c>
      <c r="D1130" s="4">
        <v>1651</v>
      </c>
      <c r="E1130" s="2" t="s">
        <v>10</v>
      </c>
      <c r="F1130" s="2">
        <v>1</v>
      </c>
      <c r="G1130" s="22">
        <f>Table4[[#This Row],[Item Cost]]*Table4[[#This Row],[In Stock]]</f>
        <v>1651</v>
      </c>
      <c r="H1130" s="12" t="s">
        <v>4661</v>
      </c>
      <c r="I1130" s="13" t="s">
        <v>4664</v>
      </c>
      <c r="J1130" s="13" t="s">
        <v>4703</v>
      </c>
      <c r="K1130" s="13" t="s">
        <v>4672</v>
      </c>
      <c r="L1130" s="12" t="s">
        <v>4672</v>
      </c>
      <c r="M1130" s="17" t="str">
        <f>IF(LEN(COUNTIFS($H$1:H1130,$H1130,$I$1:I1130,$I1130,$J$1:J1130,$J1130,$K$1:K1130,K1130,$L$1:L1130,L1130))=1,"00"&amp;COUNTIFS($H$1:H1130,$H1130,$I$1:I1130,$I1130,$J$1:J1130,$J1130,$K$1:K1130,K1130,$L$1:L1130,L1130),IF(LEN(COUNTIFS($H$1:H1130,$H1130,$I$1:I1130,$I1130,$J$1:J1130,$J1130,$K$1:K1130,K1130,$L$1:L1130,L1130))=2,"0"&amp;COUNTIFS($H$1:H1130,$H1130,$I$1:I1130,$I1130,$J$1:J1130,$J1130,$K$1:K1130,K1130,$L$1:L1130,L1130),COUNTIFS($H$1:H1130,$H1130,$I$1:I1130,$I1130,$J$1:J1130,$J1130,$K$1:K1130,K1130,$L$1:L1130,L1130)))</f>
        <v>002</v>
      </c>
      <c r="N113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30" s="14" t="e">
        <f>+LEN(Table4[[#This Row],[New Item Code]])</f>
        <v>#N/A</v>
      </c>
      <c r="P1130" s="15" t="s">
        <v>4747</v>
      </c>
      <c r="Q1130" s="15" t="s">
        <v>4749</v>
      </c>
      <c r="R1130" s="15"/>
      <c r="S1130" s="15"/>
      <c r="T1130" s="15" t="s">
        <v>4703</v>
      </c>
    </row>
    <row r="1131" spans="1:20" x14ac:dyDescent="0.35">
      <c r="A1131" s="3" t="s">
        <v>2263</v>
      </c>
      <c r="B1131" s="3" t="s">
        <v>2264</v>
      </c>
      <c r="C1131" s="3" t="s">
        <v>15</v>
      </c>
      <c r="D1131" s="3">
        <v>145</v>
      </c>
      <c r="E1131" s="3" t="s">
        <v>10</v>
      </c>
      <c r="F1131" s="3">
        <v>12</v>
      </c>
      <c r="G1131" s="21">
        <f>Table4[[#This Row],[Item Cost]]*Table4[[#This Row],[In Stock]]</f>
        <v>1740</v>
      </c>
      <c r="H1131" s="12" t="s">
        <v>4661</v>
      </c>
      <c r="I1131" s="13" t="s">
        <v>4666</v>
      </c>
      <c r="J1131" s="13" t="s">
        <v>4672</v>
      </c>
      <c r="K1131" s="13" t="s">
        <v>4672</v>
      </c>
      <c r="L1131" s="12" t="s">
        <v>4672</v>
      </c>
      <c r="M1131" s="17" t="str">
        <f>IF(LEN(COUNTIFS($H$1:H1131,$H1131,$I$1:I1131,$I1131,$J$1:J1131,$J1131,$K$1:K1131,K1131,$L$1:L1131,L1131))=1,"00"&amp;COUNTIFS($H$1:H1131,$H1131,$I$1:I1131,$I1131,$J$1:J1131,$J1131,$K$1:K1131,K1131,$L$1:L1131,L1131),IF(LEN(COUNTIFS($H$1:H1131,$H1131,$I$1:I1131,$I1131,$J$1:J1131,$J1131,$K$1:K1131,K1131,$L$1:L1131,L1131))=2,"0"&amp;COUNTIFS($H$1:H1131,$H1131,$I$1:I1131,$I1131,$J$1:J1131,$J1131,$K$1:K1131,K1131,$L$1:L1131,L1131),COUNTIFS($H$1:H1131,$H1131,$I$1:I1131,$I1131,$J$1:J1131,$J1131,$K$1:K1131,K1131,$L$1:L1131,L1131)))</f>
        <v>006</v>
      </c>
      <c r="N113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31" s="14" t="e">
        <f>+LEN(Table4[[#This Row],[New Item Code]])</f>
        <v>#N/A</v>
      </c>
      <c r="P1131" s="15" t="s">
        <v>4747</v>
      </c>
      <c r="Q1131" s="15" t="s">
        <v>4749</v>
      </c>
      <c r="R1131" s="15"/>
      <c r="S1131" s="15"/>
      <c r="T1131" s="15" t="s">
        <v>4672</v>
      </c>
    </row>
    <row r="1132" spans="1:20" x14ac:dyDescent="0.35">
      <c r="A1132" s="2" t="s">
        <v>2265</v>
      </c>
      <c r="B1132" s="2" t="s">
        <v>2266</v>
      </c>
      <c r="C1132" s="2" t="s">
        <v>15</v>
      </c>
      <c r="D1132" s="2">
        <v>145</v>
      </c>
      <c r="E1132" s="2" t="s">
        <v>10</v>
      </c>
      <c r="F1132" s="2">
        <v>8</v>
      </c>
      <c r="G1132" s="22">
        <f>Table4[[#This Row],[Item Cost]]*Table4[[#This Row],[In Stock]]</f>
        <v>1160</v>
      </c>
      <c r="H1132" s="12" t="s">
        <v>4661</v>
      </c>
      <c r="I1132" s="13" t="s">
        <v>4666</v>
      </c>
      <c r="J1132" s="13" t="s">
        <v>4672</v>
      </c>
      <c r="K1132" s="13" t="s">
        <v>4672</v>
      </c>
      <c r="L1132" s="12" t="s">
        <v>4672</v>
      </c>
      <c r="M1132" s="17" t="str">
        <f>IF(LEN(COUNTIFS($H$1:H1132,$H1132,$I$1:I1132,$I1132,$J$1:J1132,$J1132,$K$1:K1132,K1132,$L$1:L1132,L1132))=1,"00"&amp;COUNTIFS($H$1:H1132,$H1132,$I$1:I1132,$I1132,$J$1:J1132,$J1132,$K$1:K1132,K1132,$L$1:L1132,L1132),IF(LEN(COUNTIFS($H$1:H1132,$H1132,$I$1:I1132,$I1132,$J$1:J1132,$J1132,$K$1:K1132,K1132,$L$1:L1132,L1132))=2,"0"&amp;COUNTIFS($H$1:H1132,$H1132,$I$1:I1132,$I1132,$J$1:J1132,$J1132,$K$1:K1132,K1132,$L$1:L1132,L1132),COUNTIFS($H$1:H1132,$H1132,$I$1:I1132,$I1132,$J$1:J1132,$J1132,$K$1:K1132,K1132,$L$1:L1132,L1132)))</f>
        <v>007</v>
      </c>
      <c r="N113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32" s="14" t="e">
        <f>+LEN(Table4[[#This Row],[New Item Code]])</f>
        <v>#N/A</v>
      </c>
      <c r="P1132" s="15" t="s">
        <v>4747</v>
      </c>
      <c r="Q1132" s="15" t="s">
        <v>4749</v>
      </c>
      <c r="R1132" s="15"/>
      <c r="S1132" s="15"/>
      <c r="T1132" s="15" t="s">
        <v>4672</v>
      </c>
    </row>
    <row r="1133" spans="1:20" x14ac:dyDescent="0.35">
      <c r="A1133" s="3" t="s">
        <v>2267</v>
      </c>
      <c r="B1133" s="3" t="s">
        <v>2268</v>
      </c>
      <c r="C1133" s="3" t="s">
        <v>15</v>
      </c>
      <c r="D1133" s="3">
        <v>100</v>
      </c>
      <c r="E1133" s="3" t="s">
        <v>10</v>
      </c>
      <c r="F1133" s="3">
        <v>18</v>
      </c>
      <c r="G1133" s="21">
        <f>Table4[[#This Row],[Item Cost]]*Table4[[#This Row],[In Stock]]</f>
        <v>1800</v>
      </c>
      <c r="H1133" s="12" t="s">
        <v>4661</v>
      </c>
      <c r="I1133" s="13" t="s">
        <v>4666</v>
      </c>
      <c r="J1133" s="13" t="s">
        <v>4672</v>
      </c>
      <c r="K1133" s="13" t="s">
        <v>4672</v>
      </c>
      <c r="L1133" s="12" t="s">
        <v>4672</v>
      </c>
      <c r="M1133" s="17" t="str">
        <f>IF(LEN(COUNTIFS($H$1:H1133,$H1133,$I$1:I1133,$I1133,$J$1:J1133,$J1133,$K$1:K1133,K1133,$L$1:L1133,L1133))=1,"00"&amp;COUNTIFS($H$1:H1133,$H1133,$I$1:I1133,$I1133,$J$1:J1133,$J1133,$K$1:K1133,K1133,$L$1:L1133,L1133),IF(LEN(COUNTIFS($H$1:H1133,$H1133,$I$1:I1133,$I1133,$J$1:J1133,$J1133,$K$1:K1133,K1133,$L$1:L1133,L1133))=2,"0"&amp;COUNTIFS($H$1:H1133,$H1133,$I$1:I1133,$I1133,$J$1:J1133,$J1133,$K$1:K1133,K1133,$L$1:L1133,L1133),COUNTIFS($H$1:H1133,$H1133,$I$1:I1133,$I1133,$J$1:J1133,$J1133,$K$1:K1133,K1133,$L$1:L1133,L1133)))</f>
        <v>008</v>
      </c>
      <c r="N113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33" s="14" t="e">
        <f>+LEN(Table4[[#This Row],[New Item Code]])</f>
        <v>#N/A</v>
      </c>
      <c r="P1133" s="15" t="s">
        <v>4747</v>
      </c>
      <c r="Q1133" s="15" t="s">
        <v>4749</v>
      </c>
      <c r="R1133" s="15"/>
      <c r="S1133" s="15"/>
      <c r="T1133" s="15" t="s">
        <v>4672</v>
      </c>
    </row>
    <row r="1134" spans="1:20" x14ac:dyDescent="0.35">
      <c r="A1134" s="2" t="s">
        <v>2269</v>
      </c>
      <c r="B1134" s="2" t="s">
        <v>2270</v>
      </c>
      <c r="C1134" s="2" t="s">
        <v>15</v>
      </c>
      <c r="D1134" s="2">
        <v>100</v>
      </c>
      <c r="E1134" s="2" t="s">
        <v>10</v>
      </c>
      <c r="F1134" s="2">
        <v>21</v>
      </c>
      <c r="G1134" s="22">
        <f>Table4[[#This Row],[Item Cost]]*Table4[[#This Row],[In Stock]]</f>
        <v>2100</v>
      </c>
      <c r="H1134" s="12" t="s">
        <v>4661</v>
      </c>
      <c r="I1134" s="13" t="s">
        <v>4666</v>
      </c>
      <c r="J1134" s="13" t="s">
        <v>4672</v>
      </c>
      <c r="K1134" s="13" t="s">
        <v>4672</v>
      </c>
      <c r="L1134" s="12" t="s">
        <v>4672</v>
      </c>
      <c r="M1134" s="17" t="str">
        <f>IF(LEN(COUNTIFS($H$1:H1134,$H1134,$I$1:I1134,$I1134,$J$1:J1134,$J1134,$K$1:K1134,K1134,$L$1:L1134,L1134))=1,"00"&amp;COUNTIFS($H$1:H1134,$H1134,$I$1:I1134,$I1134,$J$1:J1134,$J1134,$K$1:K1134,K1134,$L$1:L1134,L1134),IF(LEN(COUNTIFS($H$1:H1134,$H1134,$I$1:I1134,$I1134,$J$1:J1134,$J1134,$K$1:K1134,K1134,$L$1:L1134,L1134))=2,"0"&amp;COUNTIFS($H$1:H1134,$H1134,$I$1:I1134,$I1134,$J$1:J1134,$J1134,$K$1:K1134,K1134,$L$1:L1134,L1134),COUNTIFS($H$1:H1134,$H1134,$I$1:I1134,$I1134,$J$1:J1134,$J1134,$K$1:K1134,K1134,$L$1:L1134,L1134)))</f>
        <v>009</v>
      </c>
      <c r="N113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34" s="14" t="e">
        <f>+LEN(Table4[[#This Row],[New Item Code]])</f>
        <v>#N/A</v>
      </c>
      <c r="P1134" s="15" t="s">
        <v>4747</v>
      </c>
      <c r="Q1134" s="15" t="s">
        <v>4749</v>
      </c>
      <c r="R1134" s="15"/>
      <c r="S1134" s="15"/>
      <c r="T1134" s="15" t="s">
        <v>4672</v>
      </c>
    </row>
    <row r="1135" spans="1:20" x14ac:dyDescent="0.35">
      <c r="A1135" s="3" t="s">
        <v>2271</v>
      </c>
      <c r="B1135" s="3" t="s">
        <v>2272</v>
      </c>
      <c r="C1135" s="3" t="s">
        <v>15</v>
      </c>
      <c r="D1135" s="3">
        <v>200</v>
      </c>
      <c r="E1135" s="3" t="s">
        <v>10</v>
      </c>
      <c r="F1135" s="3">
        <v>14</v>
      </c>
      <c r="G1135" s="21">
        <f>Table4[[#This Row],[Item Cost]]*Table4[[#This Row],[In Stock]]</f>
        <v>2800</v>
      </c>
      <c r="H1135" s="12" t="s">
        <v>4661</v>
      </c>
      <c r="I1135" s="13" t="s">
        <v>4666</v>
      </c>
      <c r="J1135" s="13" t="s">
        <v>4672</v>
      </c>
      <c r="K1135" s="13" t="s">
        <v>4672</v>
      </c>
      <c r="L1135" s="12" t="s">
        <v>4672</v>
      </c>
      <c r="M1135" s="17" t="str">
        <f>IF(LEN(COUNTIFS($H$1:H1135,$H1135,$I$1:I1135,$I1135,$J$1:J1135,$J1135,$K$1:K1135,K1135,$L$1:L1135,L1135))=1,"00"&amp;COUNTIFS($H$1:H1135,$H1135,$I$1:I1135,$I1135,$J$1:J1135,$J1135,$K$1:K1135,K1135,$L$1:L1135,L1135),IF(LEN(COUNTIFS($H$1:H1135,$H1135,$I$1:I1135,$I1135,$J$1:J1135,$J1135,$K$1:K1135,K1135,$L$1:L1135,L1135))=2,"0"&amp;COUNTIFS($H$1:H1135,$H1135,$I$1:I1135,$I1135,$J$1:J1135,$J1135,$K$1:K1135,K1135,$L$1:L1135,L1135),COUNTIFS($H$1:H1135,$H1135,$I$1:I1135,$I1135,$J$1:J1135,$J1135,$K$1:K1135,K1135,$L$1:L1135,L1135)))</f>
        <v>010</v>
      </c>
      <c r="N113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35" s="14" t="e">
        <f>+LEN(Table4[[#This Row],[New Item Code]])</f>
        <v>#N/A</v>
      </c>
      <c r="P1135" s="15" t="s">
        <v>4747</v>
      </c>
      <c r="Q1135" s="15" t="s">
        <v>4749</v>
      </c>
      <c r="R1135" s="15"/>
      <c r="S1135" s="15"/>
      <c r="T1135" s="15" t="s">
        <v>4672</v>
      </c>
    </row>
    <row r="1136" spans="1:20" x14ac:dyDescent="0.35">
      <c r="A1136" s="2" t="s">
        <v>2273</v>
      </c>
      <c r="B1136" s="2" t="s">
        <v>2274</v>
      </c>
      <c r="C1136" s="2" t="s">
        <v>15</v>
      </c>
      <c r="D1136" s="2">
        <v>200</v>
      </c>
      <c r="E1136" s="2" t="s">
        <v>10</v>
      </c>
      <c r="F1136" s="2">
        <v>6</v>
      </c>
      <c r="G1136" s="22">
        <f>Table4[[#This Row],[Item Cost]]*Table4[[#This Row],[In Stock]]</f>
        <v>1200</v>
      </c>
      <c r="H1136" s="12" t="s">
        <v>4661</v>
      </c>
      <c r="I1136" s="13" t="s">
        <v>4666</v>
      </c>
      <c r="J1136" s="13" t="s">
        <v>4672</v>
      </c>
      <c r="K1136" s="13" t="s">
        <v>4672</v>
      </c>
      <c r="L1136" s="12" t="s">
        <v>4672</v>
      </c>
      <c r="M1136" s="17" t="str">
        <f>IF(LEN(COUNTIFS($H$1:H1136,$H1136,$I$1:I1136,$I1136,$J$1:J1136,$J1136,$K$1:K1136,K1136,$L$1:L1136,L1136))=1,"00"&amp;COUNTIFS($H$1:H1136,$H1136,$I$1:I1136,$I1136,$J$1:J1136,$J1136,$K$1:K1136,K1136,$L$1:L1136,L1136),IF(LEN(COUNTIFS($H$1:H1136,$H1136,$I$1:I1136,$I1136,$J$1:J1136,$J1136,$K$1:K1136,K1136,$L$1:L1136,L1136))=2,"0"&amp;COUNTIFS($H$1:H1136,$H1136,$I$1:I1136,$I1136,$J$1:J1136,$J1136,$K$1:K1136,K1136,$L$1:L1136,L1136),COUNTIFS($H$1:H1136,$H1136,$I$1:I1136,$I1136,$J$1:J1136,$J1136,$K$1:K1136,K1136,$L$1:L1136,L1136)))</f>
        <v>011</v>
      </c>
      <c r="N113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36" s="14" t="e">
        <f>+LEN(Table4[[#This Row],[New Item Code]])</f>
        <v>#N/A</v>
      </c>
      <c r="P1136" s="15" t="s">
        <v>4747</v>
      </c>
      <c r="Q1136" s="15" t="s">
        <v>4749</v>
      </c>
      <c r="R1136" s="15"/>
      <c r="S1136" s="15"/>
      <c r="T1136" s="15" t="s">
        <v>4672</v>
      </c>
    </row>
    <row r="1137" spans="1:20" x14ac:dyDescent="0.35">
      <c r="A1137" s="3" t="s">
        <v>2275</v>
      </c>
      <c r="B1137" s="3" t="s">
        <v>2276</v>
      </c>
      <c r="C1137" s="3" t="s">
        <v>15</v>
      </c>
      <c r="D1137" s="3">
        <v>150</v>
      </c>
      <c r="E1137" s="3" t="s">
        <v>10</v>
      </c>
      <c r="F1137" s="3">
        <v>12</v>
      </c>
      <c r="G1137" s="21">
        <f>Table4[[#This Row],[Item Cost]]*Table4[[#This Row],[In Stock]]</f>
        <v>1800</v>
      </c>
      <c r="H1137" s="12" t="s">
        <v>4661</v>
      </c>
      <c r="I1137" s="13" t="s">
        <v>4666</v>
      </c>
      <c r="J1137" s="13" t="s">
        <v>4672</v>
      </c>
      <c r="K1137" s="13" t="s">
        <v>4672</v>
      </c>
      <c r="L1137" s="12" t="s">
        <v>4672</v>
      </c>
      <c r="M1137" s="17" t="str">
        <f>IF(LEN(COUNTIFS($H$1:H1137,$H1137,$I$1:I1137,$I1137,$J$1:J1137,$J1137,$K$1:K1137,K1137,$L$1:L1137,L1137))=1,"00"&amp;COUNTIFS($H$1:H1137,$H1137,$I$1:I1137,$I1137,$J$1:J1137,$J1137,$K$1:K1137,K1137,$L$1:L1137,L1137),IF(LEN(COUNTIFS($H$1:H1137,$H1137,$I$1:I1137,$I1137,$J$1:J1137,$J1137,$K$1:K1137,K1137,$L$1:L1137,L1137))=2,"0"&amp;COUNTIFS($H$1:H1137,$H1137,$I$1:I1137,$I1137,$J$1:J1137,$J1137,$K$1:K1137,K1137,$L$1:L1137,L1137),COUNTIFS($H$1:H1137,$H1137,$I$1:I1137,$I1137,$J$1:J1137,$J1137,$K$1:K1137,K1137,$L$1:L1137,L1137)))</f>
        <v>012</v>
      </c>
      <c r="N113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37" s="14" t="e">
        <f>+LEN(Table4[[#This Row],[New Item Code]])</f>
        <v>#N/A</v>
      </c>
      <c r="P1137" s="15" t="s">
        <v>4747</v>
      </c>
      <c r="Q1137" s="15" t="s">
        <v>4749</v>
      </c>
      <c r="R1137" s="15"/>
      <c r="S1137" s="15"/>
      <c r="T1137" s="15" t="s">
        <v>4672</v>
      </c>
    </row>
    <row r="1138" spans="1:20" x14ac:dyDescent="0.35">
      <c r="A1138" s="2" t="s">
        <v>2277</v>
      </c>
      <c r="B1138" s="2" t="s">
        <v>2278</v>
      </c>
      <c r="C1138" s="2" t="s">
        <v>15</v>
      </c>
      <c r="D1138" s="2">
        <v>150</v>
      </c>
      <c r="E1138" s="2" t="s">
        <v>10</v>
      </c>
      <c r="F1138" s="2">
        <v>12</v>
      </c>
      <c r="G1138" s="22">
        <f>Table4[[#This Row],[Item Cost]]*Table4[[#This Row],[In Stock]]</f>
        <v>1800</v>
      </c>
      <c r="H1138" s="12" t="s">
        <v>4661</v>
      </c>
      <c r="I1138" s="13" t="s">
        <v>4666</v>
      </c>
      <c r="J1138" s="13" t="s">
        <v>4672</v>
      </c>
      <c r="K1138" s="13" t="s">
        <v>4672</v>
      </c>
      <c r="L1138" s="12" t="s">
        <v>4672</v>
      </c>
      <c r="M1138" s="17" t="str">
        <f>IF(LEN(COUNTIFS($H$1:H1138,$H1138,$I$1:I1138,$I1138,$J$1:J1138,$J1138,$K$1:K1138,K1138,$L$1:L1138,L1138))=1,"00"&amp;COUNTIFS($H$1:H1138,$H1138,$I$1:I1138,$I1138,$J$1:J1138,$J1138,$K$1:K1138,K1138,$L$1:L1138,L1138),IF(LEN(COUNTIFS($H$1:H1138,$H1138,$I$1:I1138,$I1138,$J$1:J1138,$J1138,$K$1:K1138,K1138,$L$1:L1138,L1138))=2,"0"&amp;COUNTIFS($H$1:H1138,$H1138,$I$1:I1138,$I1138,$J$1:J1138,$J1138,$K$1:K1138,K1138,$L$1:L1138,L1138),COUNTIFS($H$1:H1138,$H1138,$I$1:I1138,$I1138,$J$1:J1138,$J1138,$K$1:K1138,K1138,$L$1:L1138,L1138)))</f>
        <v>013</v>
      </c>
      <c r="N113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38" s="14" t="e">
        <f>+LEN(Table4[[#This Row],[New Item Code]])</f>
        <v>#N/A</v>
      </c>
      <c r="P1138" s="15" t="s">
        <v>4747</v>
      </c>
      <c r="Q1138" s="15" t="s">
        <v>4749</v>
      </c>
      <c r="R1138" s="15"/>
      <c r="S1138" s="15"/>
      <c r="T1138" s="15" t="s">
        <v>4672</v>
      </c>
    </row>
    <row r="1139" spans="1:20" x14ac:dyDescent="0.35">
      <c r="A1139" s="3" t="s">
        <v>2279</v>
      </c>
      <c r="B1139" s="3" t="s">
        <v>2280</v>
      </c>
      <c r="C1139" s="3" t="s">
        <v>15</v>
      </c>
      <c r="D1139" s="5">
        <v>6000</v>
      </c>
      <c r="E1139" s="3" t="s">
        <v>10</v>
      </c>
      <c r="F1139" s="3">
        <v>1</v>
      </c>
      <c r="G1139" s="21">
        <f>Table4[[#This Row],[Item Cost]]*Table4[[#This Row],[In Stock]]</f>
        <v>6000</v>
      </c>
      <c r="H1139" s="12" t="s">
        <v>4661</v>
      </c>
      <c r="I1139" s="13" t="s">
        <v>4666</v>
      </c>
      <c r="J1139" s="13" t="s">
        <v>4705</v>
      </c>
      <c r="K1139" s="13" t="s">
        <v>4672</v>
      </c>
      <c r="L1139" s="12" t="s">
        <v>4672</v>
      </c>
      <c r="M1139" s="17" t="str">
        <f>IF(LEN(COUNTIFS($H$1:H1139,$H1139,$I$1:I1139,$I1139,$J$1:J1139,$J1139,$K$1:K1139,K1139,$L$1:L1139,L1139))=1,"00"&amp;COUNTIFS($H$1:H1139,$H1139,$I$1:I1139,$I1139,$J$1:J1139,$J1139,$K$1:K1139,K1139,$L$1:L1139,L1139),IF(LEN(COUNTIFS($H$1:H1139,$H1139,$I$1:I1139,$I1139,$J$1:J1139,$J1139,$K$1:K1139,K1139,$L$1:L1139,L1139))=2,"0"&amp;COUNTIFS($H$1:H1139,$H1139,$I$1:I1139,$I1139,$J$1:J1139,$J1139,$K$1:K1139,K1139,$L$1:L1139,L1139),COUNTIFS($H$1:H1139,$H1139,$I$1:I1139,$I1139,$J$1:J1139,$J1139,$K$1:K1139,K1139,$L$1:L1139,L1139)))</f>
        <v>001</v>
      </c>
      <c r="N113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39" s="14" t="e">
        <f>+LEN(Table4[[#This Row],[New Item Code]])</f>
        <v>#N/A</v>
      </c>
      <c r="P1139" s="15" t="s">
        <v>4747</v>
      </c>
      <c r="Q1139" s="15" t="s">
        <v>4749</v>
      </c>
      <c r="R1139" s="15"/>
      <c r="S1139" s="15"/>
      <c r="T1139" s="15" t="s">
        <v>4705</v>
      </c>
    </row>
    <row r="1140" spans="1:20" x14ac:dyDescent="0.35">
      <c r="A1140" s="2" t="s">
        <v>2281</v>
      </c>
      <c r="B1140" s="2" t="s">
        <v>2282</v>
      </c>
      <c r="C1140" s="2" t="s">
        <v>15</v>
      </c>
      <c r="D1140" s="4">
        <v>6000</v>
      </c>
      <c r="E1140" s="2" t="s">
        <v>10</v>
      </c>
      <c r="F1140" s="2">
        <v>0</v>
      </c>
      <c r="G1140" s="22">
        <f>Table4[[#This Row],[Item Cost]]*Table4[[#This Row],[In Stock]]</f>
        <v>0</v>
      </c>
      <c r="H1140" s="12" t="s">
        <v>4661</v>
      </c>
      <c r="I1140" s="13" t="s">
        <v>4666</v>
      </c>
      <c r="J1140" s="13" t="s">
        <v>4705</v>
      </c>
      <c r="K1140" s="13" t="s">
        <v>4672</v>
      </c>
      <c r="L1140" s="12" t="s">
        <v>4672</v>
      </c>
      <c r="M1140" s="17" t="str">
        <f>IF(LEN(COUNTIFS($H$1:H1140,$H1140,$I$1:I1140,$I1140,$J$1:J1140,$J1140,$K$1:K1140,K1140,$L$1:L1140,L1140))=1,"00"&amp;COUNTIFS($H$1:H1140,$H1140,$I$1:I1140,$I1140,$J$1:J1140,$J1140,$K$1:K1140,K1140,$L$1:L1140,L1140),IF(LEN(COUNTIFS($H$1:H1140,$H1140,$I$1:I1140,$I1140,$J$1:J1140,$J1140,$K$1:K1140,K1140,$L$1:L1140,L1140))=2,"0"&amp;COUNTIFS($H$1:H1140,$H1140,$I$1:I1140,$I1140,$J$1:J1140,$J1140,$K$1:K1140,K1140,$L$1:L1140,L1140),COUNTIFS($H$1:H1140,$H1140,$I$1:I1140,$I1140,$J$1:J1140,$J1140,$K$1:K1140,K1140,$L$1:L1140,L1140)))</f>
        <v>002</v>
      </c>
      <c r="N114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40" s="14" t="e">
        <f>+LEN(Table4[[#This Row],[New Item Code]])</f>
        <v>#N/A</v>
      </c>
      <c r="P1140" s="15" t="s">
        <v>4747</v>
      </c>
      <c r="Q1140" s="15" t="s">
        <v>4749</v>
      </c>
      <c r="R1140" s="15"/>
      <c r="S1140" s="15"/>
      <c r="T1140" s="15" t="s">
        <v>4705</v>
      </c>
    </row>
    <row r="1141" spans="1:20" x14ac:dyDescent="0.35">
      <c r="A1141" s="3" t="s">
        <v>2283</v>
      </c>
      <c r="B1141" s="3" t="s">
        <v>2284</v>
      </c>
      <c r="C1141" s="3" t="s">
        <v>15</v>
      </c>
      <c r="D1141" s="3">
        <v>850</v>
      </c>
      <c r="E1141" s="3" t="s">
        <v>10</v>
      </c>
      <c r="F1141" s="3">
        <v>1</v>
      </c>
      <c r="G1141" s="21">
        <f>Table4[[#This Row],[Item Cost]]*Table4[[#This Row],[In Stock]]</f>
        <v>850</v>
      </c>
      <c r="H1141" s="12" t="s">
        <v>4661</v>
      </c>
      <c r="I1141" s="13" t="s">
        <v>4666</v>
      </c>
      <c r="J1141" s="13" t="s">
        <v>4705</v>
      </c>
      <c r="K1141" s="13" t="s">
        <v>4672</v>
      </c>
      <c r="L1141" s="12" t="s">
        <v>4672</v>
      </c>
      <c r="M1141" s="17" t="str">
        <f>IF(LEN(COUNTIFS($H$1:H1141,$H1141,$I$1:I1141,$I1141,$J$1:J1141,$J1141,$K$1:K1141,K1141,$L$1:L1141,L1141))=1,"00"&amp;COUNTIFS($H$1:H1141,$H1141,$I$1:I1141,$I1141,$J$1:J1141,$J1141,$K$1:K1141,K1141,$L$1:L1141,L1141),IF(LEN(COUNTIFS($H$1:H1141,$H1141,$I$1:I1141,$I1141,$J$1:J1141,$J1141,$K$1:K1141,K1141,$L$1:L1141,L1141))=2,"0"&amp;COUNTIFS($H$1:H1141,$H1141,$I$1:I1141,$I1141,$J$1:J1141,$J1141,$K$1:K1141,K1141,$L$1:L1141,L1141),COUNTIFS($H$1:H1141,$H1141,$I$1:I1141,$I1141,$J$1:J1141,$J1141,$K$1:K1141,K1141,$L$1:L1141,L1141)))</f>
        <v>003</v>
      </c>
      <c r="N114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41" s="14" t="e">
        <f>+LEN(Table4[[#This Row],[New Item Code]])</f>
        <v>#N/A</v>
      </c>
      <c r="P1141" s="15" t="s">
        <v>4747</v>
      </c>
      <c r="Q1141" s="15" t="s">
        <v>4749</v>
      </c>
      <c r="R1141" s="15"/>
      <c r="S1141" s="15"/>
      <c r="T1141" s="15" t="s">
        <v>4705</v>
      </c>
    </row>
    <row r="1142" spans="1:20" x14ac:dyDescent="0.35">
      <c r="A1142" s="2" t="s">
        <v>2285</v>
      </c>
      <c r="B1142" s="2" t="s">
        <v>2286</v>
      </c>
      <c r="C1142" s="2" t="s">
        <v>15</v>
      </c>
      <c r="D1142" s="4">
        <v>5500</v>
      </c>
      <c r="E1142" s="2" t="s">
        <v>10</v>
      </c>
      <c r="F1142" s="2">
        <v>2</v>
      </c>
      <c r="G1142" s="22">
        <f>Table4[[#This Row],[Item Cost]]*Table4[[#This Row],[In Stock]]</f>
        <v>11000</v>
      </c>
      <c r="H1142" s="12" t="s">
        <v>4661</v>
      </c>
      <c r="I1142" s="13" t="s">
        <v>4666</v>
      </c>
      <c r="J1142" s="13" t="s">
        <v>4705</v>
      </c>
      <c r="K1142" s="13" t="s">
        <v>4672</v>
      </c>
      <c r="L1142" s="12" t="s">
        <v>4672</v>
      </c>
      <c r="M1142" s="17" t="str">
        <f>IF(LEN(COUNTIFS($H$1:H1142,$H1142,$I$1:I1142,$I1142,$J$1:J1142,$J1142,$K$1:K1142,K1142,$L$1:L1142,L1142))=1,"00"&amp;COUNTIFS($H$1:H1142,$H1142,$I$1:I1142,$I1142,$J$1:J1142,$J1142,$K$1:K1142,K1142,$L$1:L1142,L1142),IF(LEN(COUNTIFS($H$1:H1142,$H1142,$I$1:I1142,$I1142,$J$1:J1142,$J1142,$K$1:K1142,K1142,$L$1:L1142,L1142))=2,"0"&amp;COUNTIFS($H$1:H1142,$H1142,$I$1:I1142,$I1142,$J$1:J1142,$J1142,$K$1:K1142,K1142,$L$1:L1142,L1142),COUNTIFS($H$1:H1142,$H1142,$I$1:I1142,$I1142,$J$1:J1142,$J1142,$K$1:K1142,K1142,$L$1:L1142,L1142)))</f>
        <v>004</v>
      </c>
      <c r="N114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42" s="14" t="e">
        <f>+LEN(Table4[[#This Row],[New Item Code]])</f>
        <v>#N/A</v>
      </c>
      <c r="P1142" s="15" t="s">
        <v>4747</v>
      </c>
      <c r="Q1142" s="15" t="s">
        <v>4749</v>
      </c>
      <c r="R1142" s="15"/>
      <c r="S1142" s="15"/>
      <c r="T1142" s="15" t="s">
        <v>4705</v>
      </c>
    </row>
    <row r="1143" spans="1:20" x14ac:dyDescent="0.35">
      <c r="A1143" s="3" t="s">
        <v>2287</v>
      </c>
      <c r="B1143" s="3" t="s">
        <v>2288</v>
      </c>
      <c r="C1143" s="3" t="s">
        <v>56</v>
      </c>
      <c r="D1143" s="3">
        <v>0</v>
      </c>
      <c r="E1143" s="3" t="s">
        <v>57</v>
      </c>
      <c r="F1143" s="3">
        <v>0</v>
      </c>
      <c r="G1143" s="21">
        <f>Table4[[#This Row],[Item Cost]]*Table4[[#This Row],[In Stock]]</f>
        <v>0</v>
      </c>
      <c r="H1143" s="12" t="s">
        <v>4661</v>
      </c>
      <c r="I1143" s="13" t="s">
        <v>4668</v>
      </c>
      <c r="J1143" s="13" t="s">
        <v>4705</v>
      </c>
      <c r="K1143" s="13" t="s">
        <v>4672</v>
      </c>
      <c r="L1143" s="12" t="s">
        <v>4672</v>
      </c>
      <c r="M1143" s="17" t="str">
        <f>IF(LEN(COUNTIFS($H$1:H1143,$H1143,$I$1:I1143,$I1143,$J$1:J1143,$J1143,$K$1:K1143,K1143,$L$1:L1143,L1143))=1,"00"&amp;COUNTIFS($H$1:H1143,$H1143,$I$1:I1143,$I1143,$J$1:J1143,$J1143,$K$1:K1143,K1143,$L$1:L1143,L1143),IF(LEN(COUNTIFS($H$1:H1143,$H1143,$I$1:I1143,$I1143,$J$1:J1143,$J1143,$K$1:K1143,K1143,$L$1:L1143,L1143))=2,"0"&amp;COUNTIFS($H$1:H1143,$H1143,$I$1:I1143,$I1143,$J$1:J1143,$J1143,$K$1:K1143,K1143,$L$1:L1143,L1143),COUNTIFS($H$1:H1143,$H1143,$I$1:I1143,$I1143,$J$1:J1143,$J1143,$K$1:K1143,K1143,$L$1:L1143,L1143)))</f>
        <v>001</v>
      </c>
      <c r="N114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43" s="14" t="e">
        <f>+LEN(Table4[[#This Row],[New Item Code]])</f>
        <v>#N/A</v>
      </c>
      <c r="P1143" s="15" t="s">
        <v>4747</v>
      </c>
      <c r="Q1143" s="15" t="s">
        <v>4749</v>
      </c>
      <c r="R1143" s="15"/>
      <c r="S1143" s="15"/>
      <c r="T1143" s="15" t="s">
        <v>4705</v>
      </c>
    </row>
    <row r="1144" spans="1:20" x14ac:dyDescent="0.35">
      <c r="A1144" s="2" t="s">
        <v>2289</v>
      </c>
      <c r="B1144" s="2" t="s">
        <v>2290</v>
      </c>
      <c r="C1144" s="2" t="e">
        <v>#N/A</v>
      </c>
      <c r="D1144" s="2">
        <v>0</v>
      </c>
      <c r="E1144" s="2" t="e">
        <v>#N/A</v>
      </c>
      <c r="F1144" s="2">
        <v>0</v>
      </c>
      <c r="G1144" s="22">
        <f>Table4[[#This Row],[Item Cost]]*Table4[[#This Row],[In Stock]]</f>
        <v>0</v>
      </c>
      <c r="H1144" s="12" t="s">
        <v>4752</v>
      </c>
      <c r="I1144" s="13"/>
      <c r="J1144" s="13"/>
      <c r="K1144" s="13"/>
      <c r="L1144" s="12" t="s">
        <v>4672</v>
      </c>
      <c r="M1144" s="17" t="str">
        <f>IF(LEN(COUNTIFS($H$1:H1144,$H1144,$I$1:I1144,$I1144,$J$1:J1144,$J1144,$K$1:K1144,K1144,$L$1:L1144,L1144))=1,"00"&amp;COUNTIFS($H$1:H1144,$H1144,$I$1:I1144,$I1144,$J$1:J1144,$J1144,$K$1:K1144,K1144,$L$1:L1144,L1144),IF(LEN(COUNTIFS($H$1:H1144,$H1144,$I$1:I1144,$I1144,$J$1:J1144,$J1144,$K$1:K1144,K1144,$L$1:L1144,L1144))=2,"0"&amp;COUNTIFS($H$1:H1144,$H1144,$I$1:I1144,$I1144,$J$1:J1144,$J1144,$K$1:K1144,K1144,$L$1:L1144,L1144),COUNTIFS($H$1:H1144,$H1144,$I$1:I1144,$I1144,$J$1:J1144,$J1144,$K$1:K1144,K1144,$L$1:L1144,L1144)))</f>
        <v>000</v>
      </c>
      <c r="N114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44" s="14" t="e">
        <f>+LEN(Table4[[#This Row],[New Item Code]])</f>
        <v>#N/A</v>
      </c>
      <c r="P1144" s="15" t="s">
        <v>4747</v>
      </c>
      <c r="Q1144" s="15" t="s">
        <v>4749</v>
      </c>
      <c r="R1144" s="15"/>
      <c r="S1144" s="15"/>
      <c r="T1144" s="15" t="e">
        <v>#N/A</v>
      </c>
    </row>
    <row r="1145" spans="1:20" x14ac:dyDescent="0.35">
      <c r="A1145" s="3" t="s">
        <v>2291</v>
      </c>
      <c r="B1145" s="3" t="s">
        <v>2292</v>
      </c>
      <c r="C1145" s="3" t="e">
        <v>#N/A</v>
      </c>
      <c r="D1145" s="3">
        <v>0</v>
      </c>
      <c r="E1145" s="3" t="e">
        <v>#N/A</v>
      </c>
      <c r="F1145" s="3">
        <v>0</v>
      </c>
      <c r="G1145" s="21">
        <f>Table4[[#This Row],[Item Cost]]*Table4[[#This Row],[In Stock]]</f>
        <v>0</v>
      </c>
      <c r="H1145" s="12" t="s">
        <v>4752</v>
      </c>
      <c r="I1145" s="13"/>
      <c r="J1145" s="13"/>
      <c r="K1145" s="13"/>
      <c r="L1145" s="12" t="s">
        <v>4672</v>
      </c>
      <c r="M1145" s="17" t="str">
        <f>IF(LEN(COUNTIFS($H$1:H1145,$H1145,$I$1:I1145,$I1145,$J$1:J1145,$J1145,$K$1:K1145,K1145,$L$1:L1145,L1145))=1,"00"&amp;COUNTIFS($H$1:H1145,$H1145,$I$1:I1145,$I1145,$J$1:J1145,$J1145,$K$1:K1145,K1145,$L$1:L1145,L1145),IF(LEN(COUNTIFS($H$1:H1145,$H1145,$I$1:I1145,$I1145,$J$1:J1145,$J1145,$K$1:K1145,K1145,$L$1:L1145,L1145))=2,"0"&amp;COUNTIFS($H$1:H1145,$H1145,$I$1:I1145,$I1145,$J$1:J1145,$J1145,$K$1:K1145,K1145,$L$1:L1145,L1145),COUNTIFS($H$1:H1145,$H1145,$I$1:I1145,$I1145,$J$1:J1145,$J1145,$K$1:K1145,K1145,$L$1:L1145,L1145)))</f>
        <v>000</v>
      </c>
      <c r="N114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45" s="14" t="e">
        <f>+LEN(Table4[[#This Row],[New Item Code]])</f>
        <v>#N/A</v>
      </c>
      <c r="P1145" s="15" t="s">
        <v>4747</v>
      </c>
      <c r="Q1145" s="15" t="s">
        <v>4749</v>
      </c>
      <c r="R1145" s="15"/>
      <c r="S1145" s="15"/>
      <c r="T1145" s="15" t="e">
        <v>#N/A</v>
      </c>
    </row>
    <row r="1146" spans="1:20" x14ac:dyDescent="0.35">
      <c r="A1146" s="2" t="s">
        <v>2293</v>
      </c>
      <c r="B1146" s="2" t="s">
        <v>2294</v>
      </c>
      <c r="C1146" s="2" t="e">
        <v>#N/A</v>
      </c>
      <c r="D1146" s="2">
        <v>0</v>
      </c>
      <c r="E1146" s="2" t="e">
        <v>#N/A</v>
      </c>
      <c r="F1146" s="2">
        <v>0</v>
      </c>
      <c r="G1146" s="22">
        <f>Table4[[#This Row],[Item Cost]]*Table4[[#This Row],[In Stock]]</f>
        <v>0</v>
      </c>
      <c r="H1146" s="12" t="s">
        <v>4752</v>
      </c>
      <c r="I1146" s="13"/>
      <c r="J1146" s="13"/>
      <c r="K1146" s="13"/>
      <c r="L1146" s="12" t="s">
        <v>4672</v>
      </c>
      <c r="M1146" s="17" t="str">
        <f>IF(LEN(COUNTIFS($H$1:H1146,$H1146,$I$1:I1146,$I1146,$J$1:J1146,$J1146,$K$1:K1146,K1146,$L$1:L1146,L1146))=1,"00"&amp;COUNTIFS($H$1:H1146,$H1146,$I$1:I1146,$I1146,$J$1:J1146,$J1146,$K$1:K1146,K1146,$L$1:L1146,L1146),IF(LEN(COUNTIFS($H$1:H1146,$H1146,$I$1:I1146,$I1146,$J$1:J1146,$J1146,$K$1:K1146,K1146,$L$1:L1146,L1146))=2,"0"&amp;COUNTIFS($H$1:H1146,$H1146,$I$1:I1146,$I1146,$J$1:J1146,$J1146,$K$1:K1146,K1146,$L$1:L1146,L1146),COUNTIFS($H$1:H1146,$H1146,$I$1:I1146,$I1146,$J$1:J1146,$J1146,$K$1:K1146,K1146,$L$1:L1146,L1146)))</f>
        <v>000</v>
      </c>
      <c r="N114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46" s="14" t="e">
        <f>+LEN(Table4[[#This Row],[New Item Code]])</f>
        <v>#N/A</v>
      </c>
      <c r="P1146" s="15" t="s">
        <v>4747</v>
      </c>
      <c r="Q1146" s="15" t="s">
        <v>4749</v>
      </c>
      <c r="R1146" s="15"/>
      <c r="S1146" s="15"/>
      <c r="T1146" s="15" t="e">
        <v>#N/A</v>
      </c>
    </row>
    <row r="1147" spans="1:20" x14ac:dyDescent="0.35">
      <c r="A1147" s="3" t="s">
        <v>2295</v>
      </c>
      <c r="B1147" s="3" t="s">
        <v>2296</v>
      </c>
      <c r="C1147" s="3" t="e">
        <v>#N/A</v>
      </c>
      <c r="D1147" s="3">
        <v>0</v>
      </c>
      <c r="E1147" s="3" t="e">
        <v>#N/A</v>
      </c>
      <c r="F1147" s="3">
        <v>0</v>
      </c>
      <c r="G1147" s="21">
        <f>Table4[[#This Row],[Item Cost]]*Table4[[#This Row],[In Stock]]</f>
        <v>0</v>
      </c>
      <c r="H1147" s="12" t="s">
        <v>4752</v>
      </c>
      <c r="I1147" s="13"/>
      <c r="J1147" s="13"/>
      <c r="K1147" s="13"/>
      <c r="L1147" s="12" t="s">
        <v>4672</v>
      </c>
      <c r="M1147" s="17" t="str">
        <f>IF(LEN(COUNTIFS($H$1:H1147,$H1147,$I$1:I1147,$I1147,$J$1:J1147,$J1147,$K$1:K1147,K1147,$L$1:L1147,L1147))=1,"00"&amp;COUNTIFS($H$1:H1147,$H1147,$I$1:I1147,$I1147,$J$1:J1147,$J1147,$K$1:K1147,K1147,$L$1:L1147,L1147),IF(LEN(COUNTIFS($H$1:H1147,$H1147,$I$1:I1147,$I1147,$J$1:J1147,$J1147,$K$1:K1147,K1147,$L$1:L1147,L1147))=2,"0"&amp;COUNTIFS($H$1:H1147,$H1147,$I$1:I1147,$I1147,$J$1:J1147,$J1147,$K$1:K1147,K1147,$L$1:L1147,L1147),COUNTIFS($H$1:H1147,$H1147,$I$1:I1147,$I1147,$J$1:J1147,$J1147,$K$1:K1147,K1147,$L$1:L1147,L1147)))</f>
        <v>000</v>
      </c>
      <c r="N114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47" s="14" t="e">
        <f>+LEN(Table4[[#This Row],[New Item Code]])</f>
        <v>#N/A</v>
      </c>
      <c r="P1147" s="15" t="s">
        <v>4747</v>
      </c>
      <c r="Q1147" s="15" t="s">
        <v>4749</v>
      </c>
      <c r="R1147" s="15"/>
      <c r="S1147" s="15"/>
      <c r="T1147" s="15" t="e">
        <v>#N/A</v>
      </c>
    </row>
    <row r="1148" spans="1:20" x14ac:dyDescent="0.35">
      <c r="A1148" s="2" t="s">
        <v>2297</v>
      </c>
      <c r="B1148" s="2" t="s">
        <v>2298</v>
      </c>
      <c r="C1148" s="2" t="e">
        <v>#N/A</v>
      </c>
      <c r="D1148" s="2">
        <v>0</v>
      </c>
      <c r="E1148" s="2" t="e">
        <v>#N/A</v>
      </c>
      <c r="F1148" s="2">
        <v>0</v>
      </c>
      <c r="G1148" s="22">
        <f>Table4[[#This Row],[Item Cost]]*Table4[[#This Row],[In Stock]]</f>
        <v>0</v>
      </c>
      <c r="H1148" s="12" t="s">
        <v>4752</v>
      </c>
      <c r="I1148" s="13"/>
      <c r="J1148" s="13"/>
      <c r="K1148" s="13"/>
      <c r="L1148" s="12" t="s">
        <v>4672</v>
      </c>
      <c r="M1148" s="17" t="str">
        <f>IF(LEN(COUNTIFS($H$1:H1148,$H1148,$I$1:I1148,$I1148,$J$1:J1148,$J1148,$K$1:K1148,K1148,$L$1:L1148,L1148))=1,"00"&amp;COUNTIFS($H$1:H1148,$H1148,$I$1:I1148,$I1148,$J$1:J1148,$J1148,$K$1:K1148,K1148,$L$1:L1148,L1148),IF(LEN(COUNTIFS($H$1:H1148,$H1148,$I$1:I1148,$I1148,$J$1:J1148,$J1148,$K$1:K1148,K1148,$L$1:L1148,L1148))=2,"0"&amp;COUNTIFS($H$1:H1148,$H1148,$I$1:I1148,$I1148,$J$1:J1148,$J1148,$K$1:K1148,K1148,$L$1:L1148,L1148),COUNTIFS($H$1:H1148,$H1148,$I$1:I1148,$I1148,$J$1:J1148,$J1148,$K$1:K1148,K1148,$L$1:L1148,L1148)))</f>
        <v>000</v>
      </c>
      <c r="N114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48" s="14" t="e">
        <f>+LEN(Table4[[#This Row],[New Item Code]])</f>
        <v>#N/A</v>
      </c>
      <c r="P1148" s="15" t="s">
        <v>4747</v>
      </c>
      <c r="Q1148" s="15" t="s">
        <v>4749</v>
      </c>
      <c r="R1148" s="15"/>
      <c r="S1148" s="15"/>
      <c r="T1148" s="15" t="e">
        <v>#N/A</v>
      </c>
    </row>
    <row r="1149" spans="1:20" x14ac:dyDescent="0.35">
      <c r="A1149" s="3" t="s">
        <v>2299</v>
      </c>
      <c r="B1149" s="3" t="s">
        <v>2300</v>
      </c>
      <c r="C1149" s="3" t="e">
        <v>#N/A</v>
      </c>
      <c r="D1149" s="3">
        <v>0</v>
      </c>
      <c r="E1149" s="3" t="e">
        <v>#N/A</v>
      </c>
      <c r="F1149" s="3">
        <v>0</v>
      </c>
      <c r="G1149" s="21">
        <f>Table4[[#This Row],[Item Cost]]*Table4[[#This Row],[In Stock]]</f>
        <v>0</v>
      </c>
      <c r="H1149" s="12" t="s">
        <v>4752</v>
      </c>
      <c r="I1149" s="13"/>
      <c r="J1149" s="13"/>
      <c r="K1149" s="13"/>
      <c r="L1149" s="12" t="s">
        <v>4672</v>
      </c>
      <c r="M1149" s="17" t="str">
        <f>IF(LEN(COUNTIFS($H$1:H1149,$H1149,$I$1:I1149,$I1149,$J$1:J1149,$J1149,$K$1:K1149,K1149,$L$1:L1149,L1149))=1,"00"&amp;COUNTIFS($H$1:H1149,$H1149,$I$1:I1149,$I1149,$J$1:J1149,$J1149,$K$1:K1149,K1149,$L$1:L1149,L1149),IF(LEN(COUNTIFS($H$1:H1149,$H1149,$I$1:I1149,$I1149,$J$1:J1149,$J1149,$K$1:K1149,K1149,$L$1:L1149,L1149))=2,"0"&amp;COUNTIFS($H$1:H1149,$H1149,$I$1:I1149,$I1149,$J$1:J1149,$J1149,$K$1:K1149,K1149,$L$1:L1149,L1149),COUNTIFS($H$1:H1149,$H1149,$I$1:I1149,$I1149,$J$1:J1149,$J1149,$K$1:K1149,K1149,$L$1:L1149,L1149)))</f>
        <v>000</v>
      </c>
      <c r="N114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49" s="14" t="e">
        <f>+LEN(Table4[[#This Row],[New Item Code]])</f>
        <v>#N/A</v>
      </c>
      <c r="P1149" s="15" t="s">
        <v>4747</v>
      </c>
      <c r="Q1149" s="15" t="s">
        <v>4749</v>
      </c>
      <c r="R1149" s="15"/>
      <c r="S1149" s="15"/>
      <c r="T1149" s="15" t="e">
        <v>#N/A</v>
      </c>
    </row>
    <row r="1150" spans="1:20" x14ac:dyDescent="0.35">
      <c r="A1150" s="2" t="s">
        <v>2301</v>
      </c>
      <c r="B1150" s="2" t="s">
        <v>2302</v>
      </c>
      <c r="C1150" s="2" t="e">
        <v>#N/A</v>
      </c>
      <c r="D1150" s="2">
        <v>0</v>
      </c>
      <c r="E1150" s="2" t="e">
        <v>#N/A</v>
      </c>
      <c r="F1150" s="2">
        <v>0</v>
      </c>
      <c r="G1150" s="22">
        <f>Table4[[#This Row],[Item Cost]]*Table4[[#This Row],[In Stock]]</f>
        <v>0</v>
      </c>
      <c r="H1150" s="12" t="s">
        <v>4752</v>
      </c>
      <c r="I1150" s="13"/>
      <c r="J1150" s="13"/>
      <c r="K1150" s="13"/>
      <c r="L1150" s="12" t="s">
        <v>4672</v>
      </c>
      <c r="M1150" s="17" t="str">
        <f>IF(LEN(COUNTIFS($H$1:H1150,$H1150,$I$1:I1150,$I1150,$J$1:J1150,$J1150,$K$1:K1150,K1150,$L$1:L1150,L1150))=1,"00"&amp;COUNTIFS($H$1:H1150,$H1150,$I$1:I1150,$I1150,$J$1:J1150,$J1150,$K$1:K1150,K1150,$L$1:L1150,L1150),IF(LEN(COUNTIFS($H$1:H1150,$H1150,$I$1:I1150,$I1150,$J$1:J1150,$J1150,$K$1:K1150,K1150,$L$1:L1150,L1150))=2,"0"&amp;COUNTIFS($H$1:H1150,$H1150,$I$1:I1150,$I1150,$J$1:J1150,$J1150,$K$1:K1150,K1150,$L$1:L1150,L1150),COUNTIFS($H$1:H1150,$H1150,$I$1:I1150,$I1150,$J$1:J1150,$J1150,$K$1:K1150,K1150,$L$1:L1150,L1150)))</f>
        <v>000</v>
      </c>
      <c r="N115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50" s="14" t="e">
        <f>+LEN(Table4[[#This Row],[New Item Code]])</f>
        <v>#N/A</v>
      </c>
      <c r="P1150" s="15" t="s">
        <v>4747</v>
      </c>
      <c r="Q1150" s="15" t="s">
        <v>4749</v>
      </c>
      <c r="R1150" s="15"/>
      <c r="S1150" s="15"/>
      <c r="T1150" s="15" t="e">
        <v>#N/A</v>
      </c>
    </row>
    <row r="1151" spans="1:20" x14ac:dyDescent="0.35">
      <c r="A1151" s="3" t="s">
        <v>2303</v>
      </c>
      <c r="B1151" s="3" t="s">
        <v>2304</v>
      </c>
      <c r="C1151" s="3" t="e">
        <v>#N/A</v>
      </c>
      <c r="D1151" s="3">
        <v>0</v>
      </c>
      <c r="E1151" s="3" t="e">
        <v>#N/A</v>
      </c>
      <c r="F1151" s="3">
        <v>0</v>
      </c>
      <c r="G1151" s="21">
        <f>Table4[[#This Row],[Item Cost]]*Table4[[#This Row],[In Stock]]</f>
        <v>0</v>
      </c>
      <c r="H1151" s="12" t="s">
        <v>4752</v>
      </c>
      <c r="I1151" s="13"/>
      <c r="J1151" s="13"/>
      <c r="K1151" s="13"/>
      <c r="L1151" s="12" t="s">
        <v>4672</v>
      </c>
      <c r="M1151" s="17" t="str">
        <f>IF(LEN(COUNTIFS($H$1:H1151,$H1151,$I$1:I1151,$I1151,$J$1:J1151,$J1151,$K$1:K1151,K1151,$L$1:L1151,L1151))=1,"00"&amp;COUNTIFS($H$1:H1151,$H1151,$I$1:I1151,$I1151,$J$1:J1151,$J1151,$K$1:K1151,K1151,$L$1:L1151,L1151),IF(LEN(COUNTIFS($H$1:H1151,$H1151,$I$1:I1151,$I1151,$J$1:J1151,$J1151,$K$1:K1151,K1151,$L$1:L1151,L1151))=2,"0"&amp;COUNTIFS($H$1:H1151,$H1151,$I$1:I1151,$I1151,$J$1:J1151,$J1151,$K$1:K1151,K1151,$L$1:L1151,L1151),COUNTIFS($H$1:H1151,$H1151,$I$1:I1151,$I1151,$J$1:J1151,$J1151,$K$1:K1151,K1151,$L$1:L1151,L1151)))</f>
        <v>000</v>
      </c>
      <c r="N115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51" s="14" t="e">
        <f>+LEN(Table4[[#This Row],[New Item Code]])</f>
        <v>#N/A</v>
      </c>
      <c r="P1151" s="15" t="s">
        <v>4747</v>
      </c>
      <c r="Q1151" s="15" t="s">
        <v>4749</v>
      </c>
      <c r="R1151" s="15"/>
      <c r="S1151" s="15"/>
      <c r="T1151" s="15" t="e">
        <v>#N/A</v>
      </c>
    </row>
    <row r="1152" spans="1:20" x14ac:dyDescent="0.35">
      <c r="A1152" s="2" t="s">
        <v>2305</v>
      </c>
      <c r="B1152" s="2" t="s">
        <v>2306</v>
      </c>
      <c r="C1152" s="2" t="e">
        <v>#N/A</v>
      </c>
      <c r="D1152" s="2">
        <v>0</v>
      </c>
      <c r="E1152" s="2" t="e">
        <v>#N/A</v>
      </c>
      <c r="F1152" s="2">
        <v>0</v>
      </c>
      <c r="G1152" s="22">
        <f>Table4[[#This Row],[Item Cost]]*Table4[[#This Row],[In Stock]]</f>
        <v>0</v>
      </c>
      <c r="H1152" s="12" t="s">
        <v>4752</v>
      </c>
      <c r="I1152" s="13"/>
      <c r="J1152" s="13"/>
      <c r="K1152" s="13"/>
      <c r="L1152" s="12" t="s">
        <v>4672</v>
      </c>
      <c r="M1152" s="17" t="str">
        <f>IF(LEN(COUNTIFS($H$1:H1152,$H1152,$I$1:I1152,$I1152,$J$1:J1152,$J1152,$K$1:K1152,K1152,$L$1:L1152,L1152))=1,"00"&amp;COUNTIFS($H$1:H1152,$H1152,$I$1:I1152,$I1152,$J$1:J1152,$J1152,$K$1:K1152,K1152,$L$1:L1152,L1152),IF(LEN(COUNTIFS($H$1:H1152,$H1152,$I$1:I1152,$I1152,$J$1:J1152,$J1152,$K$1:K1152,K1152,$L$1:L1152,L1152))=2,"0"&amp;COUNTIFS($H$1:H1152,$H1152,$I$1:I1152,$I1152,$J$1:J1152,$J1152,$K$1:K1152,K1152,$L$1:L1152,L1152),COUNTIFS($H$1:H1152,$H1152,$I$1:I1152,$I1152,$J$1:J1152,$J1152,$K$1:K1152,K1152,$L$1:L1152,L1152)))</f>
        <v>000</v>
      </c>
      <c r="N115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52" s="14" t="e">
        <f>+LEN(Table4[[#This Row],[New Item Code]])</f>
        <v>#N/A</v>
      </c>
      <c r="P1152" s="15" t="s">
        <v>4747</v>
      </c>
      <c r="Q1152" s="15" t="s">
        <v>4749</v>
      </c>
      <c r="R1152" s="15"/>
      <c r="S1152" s="15"/>
      <c r="T1152" s="15" t="e">
        <v>#N/A</v>
      </c>
    </row>
    <row r="1153" spans="1:20" x14ac:dyDescent="0.35">
      <c r="A1153" s="3" t="s">
        <v>2307</v>
      </c>
      <c r="B1153" s="3" t="s">
        <v>2308</v>
      </c>
      <c r="C1153" s="3" t="e">
        <v>#N/A</v>
      </c>
      <c r="D1153" s="3">
        <v>0</v>
      </c>
      <c r="E1153" s="3" t="e">
        <v>#N/A</v>
      </c>
      <c r="F1153" s="3">
        <v>0</v>
      </c>
      <c r="G1153" s="21">
        <f>Table4[[#This Row],[Item Cost]]*Table4[[#This Row],[In Stock]]</f>
        <v>0</v>
      </c>
      <c r="H1153" s="12" t="s">
        <v>4752</v>
      </c>
      <c r="I1153" s="13"/>
      <c r="J1153" s="13"/>
      <c r="K1153" s="13"/>
      <c r="L1153" s="12" t="s">
        <v>4672</v>
      </c>
      <c r="M1153" s="17" t="str">
        <f>IF(LEN(COUNTIFS($H$1:H1153,$H1153,$I$1:I1153,$I1153,$J$1:J1153,$J1153,$K$1:K1153,K1153,$L$1:L1153,L1153))=1,"00"&amp;COUNTIFS($H$1:H1153,$H1153,$I$1:I1153,$I1153,$J$1:J1153,$J1153,$K$1:K1153,K1153,$L$1:L1153,L1153),IF(LEN(COUNTIFS($H$1:H1153,$H1153,$I$1:I1153,$I1153,$J$1:J1153,$J1153,$K$1:K1153,K1153,$L$1:L1153,L1153))=2,"0"&amp;COUNTIFS($H$1:H1153,$H1153,$I$1:I1153,$I1153,$J$1:J1153,$J1153,$K$1:K1153,K1153,$L$1:L1153,L1153),COUNTIFS($H$1:H1153,$H1153,$I$1:I1153,$I1153,$J$1:J1153,$J1153,$K$1:K1153,K1153,$L$1:L1153,L1153)))</f>
        <v>000</v>
      </c>
      <c r="N115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53" s="14" t="e">
        <f>+LEN(Table4[[#This Row],[New Item Code]])</f>
        <v>#N/A</v>
      </c>
      <c r="P1153" s="15" t="s">
        <v>4747</v>
      </c>
      <c r="Q1153" s="15" t="s">
        <v>4749</v>
      </c>
      <c r="R1153" s="15"/>
      <c r="S1153" s="15"/>
      <c r="T1153" s="15" t="e">
        <v>#N/A</v>
      </c>
    </row>
    <row r="1154" spans="1:20" x14ac:dyDescent="0.35">
      <c r="A1154" s="2" t="s">
        <v>2309</v>
      </c>
      <c r="B1154" s="2" t="s">
        <v>2310</v>
      </c>
      <c r="C1154" s="2" t="e">
        <v>#N/A</v>
      </c>
      <c r="D1154" s="2">
        <v>0</v>
      </c>
      <c r="E1154" s="2" t="e">
        <v>#N/A</v>
      </c>
      <c r="F1154" s="2">
        <v>0</v>
      </c>
      <c r="G1154" s="22">
        <f>Table4[[#This Row],[Item Cost]]*Table4[[#This Row],[In Stock]]</f>
        <v>0</v>
      </c>
      <c r="H1154" s="12" t="s">
        <v>4752</v>
      </c>
      <c r="I1154" s="13"/>
      <c r="J1154" s="13"/>
      <c r="K1154" s="13"/>
      <c r="L1154" s="12" t="s">
        <v>4672</v>
      </c>
      <c r="M1154" s="17" t="str">
        <f>IF(LEN(COUNTIFS($H$1:H1154,$H1154,$I$1:I1154,$I1154,$J$1:J1154,$J1154,$K$1:K1154,K1154,$L$1:L1154,L1154))=1,"00"&amp;COUNTIFS($H$1:H1154,$H1154,$I$1:I1154,$I1154,$J$1:J1154,$J1154,$K$1:K1154,K1154,$L$1:L1154,L1154),IF(LEN(COUNTIFS($H$1:H1154,$H1154,$I$1:I1154,$I1154,$J$1:J1154,$J1154,$K$1:K1154,K1154,$L$1:L1154,L1154))=2,"0"&amp;COUNTIFS($H$1:H1154,$H1154,$I$1:I1154,$I1154,$J$1:J1154,$J1154,$K$1:K1154,K1154,$L$1:L1154,L1154),COUNTIFS($H$1:H1154,$H1154,$I$1:I1154,$I1154,$J$1:J1154,$J1154,$K$1:K1154,K1154,$L$1:L1154,L1154)))</f>
        <v>000</v>
      </c>
      <c r="N115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54" s="14" t="e">
        <f>+LEN(Table4[[#This Row],[New Item Code]])</f>
        <v>#N/A</v>
      </c>
      <c r="P1154" s="15" t="s">
        <v>4747</v>
      </c>
      <c r="Q1154" s="15" t="s">
        <v>4749</v>
      </c>
      <c r="R1154" s="15"/>
      <c r="S1154" s="15"/>
      <c r="T1154" s="15" t="e">
        <v>#N/A</v>
      </c>
    </row>
    <row r="1155" spans="1:20" x14ac:dyDescent="0.35">
      <c r="A1155" s="3" t="s">
        <v>2311</v>
      </c>
      <c r="B1155" s="3" t="s">
        <v>2312</v>
      </c>
      <c r="C1155" s="3" t="e">
        <v>#N/A</v>
      </c>
      <c r="D1155" s="3">
        <v>0</v>
      </c>
      <c r="E1155" s="3" t="e">
        <v>#N/A</v>
      </c>
      <c r="F1155" s="3">
        <v>0</v>
      </c>
      <c r="G1155" s="21">
        <f>Table4[[#This Row],[Item Cost]]*Table4[[#This Row],[In Stock]]</f>
        <v>0</v>
      </c>
      <c r="H1155" s="12" t="s">
        <v>4752</v>
      </c>
      <c r="I1155" s="13"/>
      <c r="J1155" s="13"/>
      <c r="K1155" s="13"/>
      <c r="L1155" s="12" t="s">
        <v>4672</v>
      </c>
      <c r="M1155" s="17" t="str">
        <f>IF(LEN(COUNTIFS($H$1:H1155,$H1155,$I$1:I1155,$I1155,$J$1:J1155,$J1155,$K$1:K1155,K1155,$L$1:L1155,L1155))=1,"00"&amp;COUNTIFS($H$1:H1155,$H1155,$I$1:I1155,$I1155,$J$1:J1155,$J1155,$K$1:K1155,K1155,$L$1:L1155,L1155),IF(LEN(COUNTIFS($H$1:H1155,$H1155,$I$1:I1155,$I1155,$J$1:J1155,$J1155,$K$1:K1155,K1155,$L$1:L1155,L1155))=2,"0"&amp;COUNTIFS($H$1:H1155,$H1155,$I$1:I1155,$I1155,$J$1:J1155,$J1155,$K$1:K1155,K1155,$L$1:L1155,L1155),COUNTIFS($H$1:H1155,$H1155,$I$1:I1155,$I1155,$J$1:J1155,$J1155,$K$1:K1155,K1155,$L$1:L1155,L1155)))</f>
        <v>000</v>
      </c>
      <c r="N115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55" s="14" t="e">
        <f>+LEN(Table4[[#This Row],[New Item Code]])</f>
        <v>#N/A</v>
      </c>
      <c r="P1155" s="15" t="s">
        <v>4747</v>
      </c>
      <c r="Q1155" s="15" t="s">
        <v>4749</v>
      </c>
      <c r="R1155" s="15"/>
      <c r="S1155" s="15"/>
      <c r="T1155" s="15" t="e">
        <v>#N/A</v>
      </c>
    </row>
    <row r="1156" spans="1:20" x14ac:dyDescent="0.35">
      <c r="A1156" s="2" t="s">
        <v>2313</v>
      </c>
      <c r="B1156" s="2" t="s">
        <v>2314</v>
      </c>
      <c r="C1156" s="2" t="e">
        <v>#N/A</v>
      </c>
      <c r="D1156" s="2">
        <v>0</v>
      </c>
      <c r="E1156" s="2" t="e">
        <v>#N/A</v>
      </c>
      <c r="F1156" s="2">
        <v>0</v>
      </c>
      <c r="G1156" s="22">
        <f>Table4[[#This Row],[Item Cost]]*Table4[[#This Row],[In Stock]]</f>
        <v>0</v>
      </c>
      <c r="H1156" s="12" t="s">
        <v>4752</v>
      </c>
      <c r="I1156" s="13"/>
      <c r="J1156" s="13"/>
      <c r="K1156" s="13"/>
      <c r="L1156" s="12" t="s">
        <v>4672</v>
      </c>
      <c r="M1156" s="17" t="str">
        <f>IF(LEN(COUNTIFS($H$1:H1156,$H1156,$I$1:I1156,$I1156,$J$1:J1156,$J1156,$K$1:K1156,K1156,$L$1:L1156,L1156))=1,"00"&amp;COUNTIFS($H$1:H1156,$H1156,$I$1:I1156,$I1156,$J$1:J1156,$J1156,$K$1:K1156,K1156,$L$1:L1156,L1156),IF(LEN(COUNTIFS($H$1:H1156,$H1156,$I$1:I1156,$I1156,$J$1:J1156,$J1156,$K$1:K1156,K1156,$L$1:L1156,L1156))=2,"0"&amp;COUNTIFS($H$1:H1156,$H1156,$I$1:I1156,$I1156,$J$1:J1156,$J1156,$K$1:K1156,K1156,$L$1:L1156,L1156),COUNTIFS($H$1:H1156,$H1156,$I$1:I1156,$I1156,$J$1:J1156,$J1156,$K$1:K1156,K1156,$L$1:L1156,L1156)))</f>
        <v>000</v>
      </c>
      <c r="N115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56" s="14" t="e">
        <f>+LEN(Table4[[#This Row],[New Item Code]])</f>
        <v>#N/A</v>
      </c>
      <c r="P1156" s="15" t="s">
        <v>4747</v>
      </c>
      <c r="Q1156" s="15" t="s">
        <v>4749</v>
      </c>
      <c r="R1156" s="15"/>
      <c r="S1156" s="15"/>
      <c r="T1156" s="15" t="e">
        <v>#N/A</v>
      </c>
    </row>
    <row r="1157" spans="1:20" x14ac:dyDescent="0.35">
      <c r="A1157" s="3" t="s">
        <v>2315</v>
      </c>
      <c r="B1157" s="3" t="s">
        <v>2316</v>
      </c>
      <c r="C1157" s="3" t="e">
        <v>#N/A</v>
      </c>
      <c r="D1157" s="3">
        <v>0</v>
      </c>
      <c r="E1157" s="3" t="e">
        <v>#N/A</v>
      </c>
      <c r="F1157" s="3">
        <v>0</v>
      </c>
      <c r="G1157" s="21">
        <f>Table4[[#This Row],[Item Cost]]*Table4[[#This Row],[In Stock]]</f>
        <v>0</v>
      </c>
      <c r="H1157" s="12" t="s">
        <v>4752</v>
      </c>
      <c r="I1157" s="13"/>
      <c r="J1157" s="13"/>
      <c r="K1157" s="13"/>
      <c r="L1157" s="12" t="s">
        <v>4672</v>
      </c>
      <c r="M1157" s="17" t="str">
        <f>IF(LEN(COUNTIFS($H$1:H1157,$H1157,$I$1:I1157,$I1157,$J$1:J1157,$J1157,$K$1:K1157,K1157,$L$1:L1157,L1157))=1,"00"&amp;COUNTIFS($H$1:H1157,$H1157,$I$1:I1157,$I1157,$J$1:J1157,$J1157,$K$1:K1157,K1157,$L$1:L1157,L1157),IF(LEN(COUNTIFS($H$1:H1157,$H1157,$I$1:I1157,$I1157,$J$1:J1157,$J1157,$K$1:K1157,K1157,$L$1:L1157,L1157))=2,"0"&amp;COUNTIFS($H$1:H1157,$H1157,$I$1:I1157,$I1157,$J$1:J1157,$J1157,$K$1:K1157,K1157,$L$1:L1157,L1157),COUNTIFS($H$1:H1157,$H1157,$I$1:I1157,$I1157,$J$1:J1157,$J1157,$K$1:K1157,K1157,$L$1:L1157,L1157)))</f>
        <v>000</v>
      </c>
      <c r="N115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57" s="14" t="e">
        <f>+LEN(Table4[[#This Row],[New Item Code]])</f>
        <v>#N/A</v>
      </c>
      <c r="P1157" s="15" t="s">
        <v>4747</v>
      </c>
      <c r="Q1157" s="15" t="s">
        <v>4749</v>
      </c>
      <c r="R1157" s="15"/>
      <c r="S1157" s="15"/>
      <c r="T1157" s="15" t="e">
        <v>#N/A</v>
      </c>
    </row>
    <row r="1158" spans="1:20" x14ac:dyDescent="0.35">
      <c r="A1158" s="2" t="s">
        <v>2317</v>
      </c>
      <c r="B1158" s="2" t="s">
        <v>2318</v>
      </c>
      <c r="C1158" s="2" t="e">
        <v>#N/A</v>
      </c>
      <c r="D1158" s="2">
        <v>0</v>
      </c>
      <c r="E1158" s="2" t="e">
        <v>#N/A</v>
      </c>
      <c r="F1158" s="2">
        <v>0</v>
      </c>
      <c r="G1158" s="22">
        <f>Table4[[#This Row],[Item Cost]]*Table4[[#This Row],[In Stock]]</f>
        <v>0</v>
      </c>
      <c r="H1158" s="12" t="s">
        <v>4752</v>
      </c>
      <c r="I1158" s="13"/>
      <c r="J1158" s="13"/>
      <c r="K1158" s="13"/>
      <c r="L1158" s="12" t="s">
        <v>4672</v>
      </c>
      <c r="M1158" s="17" t="str">
        <f>IF(LEN(COUNTIFS($H$1:H1158,$H1158,$I$1:I1158,$I1158,$J$1:J1158,$J1158,$K$1:K1158,K1158,$L$1:L1158,L1158))=1,"00"&amp;COUNTIFS($H$1:H1158,$H1158,$I$1:I1158,$I1158,$J$1:J1158,$J1158,$K$1:K1158,K1158,$L$1:L1158,L1158),IF(LEN(COUNTIFS($H$1:H1158,$H1158,$I$1:I1158,$I1158,$J$1:J1158,$J1158,$K$1:K1158,K1158,$L$1:L1158,L1158))=2,"0"&amp;COUNTIFS($H$1:H1158,$H1158,$I$1:I1158,$I1158,$J$1:J1158,$J1158,$K$1:K1158,K1158,$L$1:L1158,L1158),COUNTIFS($H$1:H1158,$H1158,$I$1:I1158,$I1158,$J$1:J1158,$J1158,$K$1:K1158,K1158,$L$1:L1158,L1158)))</f>
        <v>000</v>
      </c>
      <c r="N115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58" s="14" t="e">
        <f>+LEN(Table4[[#This Row],[New Item Code]])</f>
        <v>#N/A</v>
      </c>
      <c r="P1158" s="15" t="s">
        <v>4747</v>
      </c>
      <c r="Q1158" s="15" t="s">
        <v>4749</v>
      </c>
      <c r="R1158" s="15"/>
      <c r="S1158" s="15"/>
      <c r="T1158" s="15" t="e">
        <v>#N/A</v>
      </c>
    </row>
    <row r="1159" spans="1:20" x14ac:dyDescent="0.35">
      <c r="A1159" s="3" t="s">
        <v>2319</v>
      </c>
      <c r="B1159" s="3" t="s">
        <v>2320</v>
      </c>
      <c r="C1159" s="3" t="e">
        <v>#N/A</v>
      </c>
      <c r="D1159" s="3">
        <v>0</v>
      </c>
      <c r="E1159" s="3" t="e">
        <v>#N/A</v>
      </c>
      <c r="F1159" s="3">
        <v>0</v>
      </c>
      <c r="G1159" s="21">
        <f>Table4[[#This Row],[Item Cost]]*Table4[[#This Row],[In Stock]]</f>
        <v>0</v>
      </c>
      <c r="H1159" s="12" t="s">
        <v>4752</v>
      </c>
      <c r="I1159" s="13"/>
      <c r="J1159" s="13"/>
      <c r="K1159" s="13"/>
      <c r="L1159" s="12" t="s">
        <v>4672</v>
      </c>
      <c r="M1159" s="17" t="str">
        <f>IF(LEN(COUNTIFS($H$1:H1159,$H1159,$I$1:I1159,$I1159,$J$1:J1159,$J1159,$K$1:K1159,K1159,$L$1:L1159,L1159))=1,"00"&amp;COUNTIFS($H$1:H1159,$H1159,$I$1:I1159,$I1159,$J$1:J1159,$J1159,$K$1:K1159,K1159,$L$1:L1159,L1159),IF(LEN(COUNTIFS($H$1:H1159,$H1159,$I$1:I1159,$I1159,$J$1:J1159,$J1159,$K$1:K1159,K1159,$L$1:L1159,L1159))=2,"0"&amp;COUNTIFS($H$1:H1159,$H1159,$I$1:I1159,$I1159,$J$1:J1159,$J1159,$K$1:K1159,K1159,$L$1:L1159,L1159),COUNTIFS($H$1:H1159,$H1159,$I$1:I1159,$I1159,$J$1:J1159,$J1159,$K$1:K1159,K1159,$L$1:L1159,L1159)))</f>
        <v>000</v>
      </c>
      <c r="N115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59" s="14" t="e">
        <f>+LEN(Table4[[#This Row],[New Item Code]])</f>
        <v>#N/A</v>
      </c>
      <c r="P1159" s="15" t="s">
        <v>4747</v>
      </c>
      <c r="Q1159" s="15" t="s">
        <v>4749</v>
      </c>
      <c r="R1159" s="15"/>
      <c r="S1159" s="15"/>
      <c r="T1159" s="15" t="e">
        <v>#N/A</v>
      </c>
    </row>
    <row r="1160" spans="1:20" x14ac:dyDescent="0.35">
      <c r="A1160" s="2" t="s">
        <v>2321</v>
      </c>
      <c r="B1160" s="2" t="s">
        <v>2322</v>
      </c>
      <c r="C1160" s="2" t="e">
        <v>#N/A</v>
      </c>
      <c r="D1160" s="2">
        <v>0</v>
      </c>
      <c r="E1160" s="2" t="e">
        <v>#N/A</v>
      </c>
      <c r="F1160" s="2">
        <v>0</v>
      </c>
      <c r="G1160" s="22">
        <f>Table4[[#This Row],[Item Cost]]*Table4[[#This Row],[In Stock]]</f>
        <v>0</v>
      </c>
      <c r="H1160" s="12" t="s">
        <v>4752</v>
      </c>
      <c r="I1160" s="13"/>
      <c r="J1160" s="13"/>
      <c r="K1160" s="13"/>
      <c r="L1160" s="12" t="s">
        <v>4672</v>
      </c>
      <c r="M1160" s="17" t="str">
        <f>IF(LEN(COUNTIFS($H$1:H1160,$H1160,$I$1:I1160,$I1160,$J$1:J1160,$J1160,$K$1:K1160,K1160,$L$1:L1160,L1160))=1,"00"&amp;COUNTIFS($H$1:H1160,$H1160,$I$1:I1160,$I1160,$J$1:J1160,$J1160,$K$1:K1160,K1160,$L$1:L1160,L1160),IF(LEN(COUNTIFS($H$1:H1160,$H1160,$I$1:I1160,$I1160,$J$1:J1160,$J1160,$K$1:K1160,K1160,$L$1:L1160,L1160))=2,"0"&amp;COUNTIFS($H$1:H1160,$H1160,$I$1:I1160,$I1160,$J$1:J1160,$J1160,$K$1:K1160,K1160,$L$1:L1160,L1160),COUNTIFS($H$1:H1160,$H1160,$I$1:I1160,$I1160,$J$1:J1160,$J1160,$K$1:K1160,K1160,$L$1:L1160,L1160)))</f>
        <v>000</v>
      </c>
      <c r="N116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60" s="14" t="e">
        <f>+LEN(Table4[[#This Row],[New Item Code]])</f>
        <v>#N/A</v>
      </c>
      <c r="P1160" s="15" t="s">
        <v>4747</v>
      </c>
      <c r="Q1160" s="15" t="s">
        <v>4749</v>
      </c>
      <c r="R1160" s="15"/>
      <c r="S1160" s="15"/>
      <c r="T1160" s="15" t="e">
        <v>#N/A</v>
      </c>
    </row>
    <row r="1161" spans="1:20" x14ac:dyDescent="0.35">
      <c r="A1161" s="3" t="s">
        <v>2323</v>
      </c>
      <c r="B1161" s="3" t="s">
        <v>2324</v>
      </c>
      <c r="C1161" s="3" t="e">
        <v>#N/A</v>
      </c>
      <c r="D1161" s="3">
        <v>0</v>
      </c>
      <c r="E1161" s="3" t="e">
        <v>#N/A</v>
      </c>
      <c r="F1161" s="3">
        <v>0</v>
      </c>
      <c r="G1161" s="21">
        <f>Table4[[#This Row],[Item Cost]]*Table4[[#This Row],[In Stock]]</f>
        <v>0</v>
      </c>
      <c r="H1161" s="12" t="s">
        <v>4752</v>
      </c>
      <c r="I1161" s="13"/>
      <c r="J1161" s="13"/>
      <c r="K1161" s="13"/>
      <c r="L1161" s="12" t="s">
        <v>4672</v>
      </c>
      <c r="M1161" s="17" t="str">
        <f>IF(LEN(COUNTIFS($H$1:H1161,$H1161,$I$1:I1161,$I1161,$J$1:J1161,$J1161,$K$1:K1161,K1161,$L$1:L1161,L1161))=1,"00"&amp;COUNTIFS($H$1:H1161,$H1161,$I$1:I1161,$I1161,$J$1:J1161,$J1161,$K$1:K1161,K1161,$L$1:L1161,L1161),IF(LEN(COUNTIFS($H$1:H1161,$H1161,$I$1:I1161,$I1161,$J$1:J1161,$J1161,$K$1:K1161,K1161,$L$1:L1161,L1161))=2,"0"&amp;COUNTIFS($H$1:H1161,$H1161,$I$1:I1161,$I1161,$J$1:J1161,$J1161,$K$1:K1161,K1161,$L$1:L1161,L1161),COUNTIFS($H$1:H1161,$H1161,$I$1:I1161,$I1161,$J$1:J1161,$J1161,$K$1:K1161,K1161,$L$1:L1161,L1161)))</f>
        <v>000</v>
      </c>
      <c r="N116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61" s="14" t="e">
        <f>+LEN(Table4[[#This Row],[New Item Code]])</f>
        <v>#N/A</v>
      </c>
      <c r="P1161" s="15" t="s">
        <v>4747</v>
      </c>
      <c r="Q1161" s="15" t="s">
        <v>4749</v>
      </c>
      <c r="R1161" s="15"/>
      <c r="S1161" s="15"/>
      <c r="T1161" s="15" t="e">
        <v>#N/A</v>
      </c>
    </row>
    <row r="1162" spans="1:20" x14ac:dyDescent="0.35">
      <c r="A1162" s="2" t="s">
        <v>2325</v>
      </c>
      <c r="B1162" s="2" t="s">
        <v>2326</v>
      </c>
      <c r="C1162" s="2" t="e">
        <v>#N/A</v>
      </c>
      <c r="D1162" s="2">
        <v>0</v>
      </c>
      <c r="E1162" s="2" t="e">
        <v>#N/A</v>
      </c>
      <c r="F1162" s="2">
        <v>0</v>
      </c>
      <c r="G1162" s="22">
        <f>Table4[[#This Row],[Item Cost]]*Table4[[#This Row],[In Stock]]</f>
        <v>0</v>
      </c>
      <c r="H1162" s="12" t="s">
        <v>4752</v>
      </c>
      <c r="I1162" s="13"/>
      <c r="J1162" s="13"/>
      <c r="K1162" s="13"/>
      <c r="L1162" s="12" t="s">
        <v>4672</v>
      </c>
      <c r="M1162" s="17" t="str">
        <f>IF(LEN(COUNTIFS($H$1:H1162,$H1162,$I$1:I1162,$I1162,$J$1:J1162,$J1162,$K$1:K1162,K1162,$L$1:L1162,L1162))=1,"00"&amp;COUNTIFS($H$1:H1162,$H1162,$I$1:I1162,$I1162,$J$1:J1162,$J1162,$K$1:K1162,K1162,$L$1:L1162,L1162),IF(LEN(COUNTIFS($H$1:H1162,$H1162,$I$1:I1162,$I1162,$J$1:J1162,$J1162,$K$1:K1162,K1162,$L$1:L1162,L1162))=2,"0"&amp;COUNTIFS($H$1:H1162,$H1162,$I$1:I1162,$I1162,$J$1:J1162,$J1162,$K$1:K1162,K1162,$L$1:L1162,L1162),COUNTIFS($H$1:H1162,$H1162,$I$1:I1162,$I1162,$J$1:J1162,$J1162,$K$1:K1162,K1162,$L$1:L1162,L1162)))</f>
        <v>000</v>
      </c>
      <c r="N116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62" s="14" t="e">
        <f>+LEN(Table4[[#This Row],[New Item Code]])</f>
        <v>#N/A</v>
      </c>
      <c r="P1162" s="15" t="s">
        <v>4747</v>
      </c>
      <c r="Q1162" s="15" t="s">
        <v>4749</v>
      </c>
      <c r="R1162" s="15"/>
      <c r="S1162" s="15"/>
      <c r="T1162" s="15" t="e">
        <v>#N/A</v>
      </c>
    </row>
    <row r="1163" spans="1:20" x14ac:dyDescent="0.35">
      <c r="A1163" s="3" t="s">
        <v>2327</v>
      </c>
      <c r="B1163" s="3" t="s">
        <v>2328</v>
      </c>
      <c r="C1163" s="3" t="e">
        <v>#N/A</v>
      </c>
      <c r="D1163" s="3">
        <v>0</v>
      </c>
      <c r="E1163" s="3" t="e">
        <v>#N/A</v>
      </c>
      <c r="F1163" s="3">
        <v>0</v>
      </c>
      <c r="G1163" s="21">
        <f>Table4[[#This Row],[Item Cost]]*Table4[[#This Row],[In Stock]]</f>
        <v>0</v>
      </c>
      <c r="H1163" s="12" t="s">
        <v>4752</v>
      </c>
      <c r="I1163" s="13"/>
      <c r="J1163" s="13"/>
      <c r="K1163" s="13"/>
      <c r="L1163" s="12" t="s">
        <v>4672</v>
      </c>
      <c r="M1163" s="17" t="str">
        <f>IF(LEN(COUNTIFS($H$1:H1163,$H1163,$I$1:I1163,$I1163,$J$1:J1163,$J1163,$K$1:K1163,K1163,$L$1:L1163,L1163))=1,"00"&amp;COUNTIFS($H$1:H1163,$H1163,$I$1:I1163,$I1163,$J$1:J1163,$J1163,$K$1:K1163,K1163,$L$1:L1163,L1163),IF(LEN(COUNTIFS($H$1:H1163,$H1163,$I$1:I1163,$I1163,$J$1:J1163,$J1163,$K$1:K1163,K1163,$L$1:L1163,L1163))=2,"0"&amp;COUNTIFS($H$1:H1163,$H1163,$I$1:I1163,$I1163,$J$1:J1163,$J1163,$K$1:K1163,K1163,$L$1:L1163,L1163),COUNTIFS($H$1:H1163,$H1163,$I$1:I1163,$I1163,$J$1:J1163,$J1163,$K$1:K1163,K1163,$L$1:L1163,L1163)))</f>
        <v>000</v>
      </c>
      <c r="N116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63" s="14" t="e">
        <f>+LEN(Table4[[#This Row],[New Item Code]])</f>
        <v>#N/A</v>
      </c>
      <c r="P1163" s="15" t="s">
        <v>4747</v>
      </c>
      <c r="Q1163" s="15" t="s">
        <v>4749</v>
      </c>
      <c r="R1163" s="15"/>
      <c r="S1163" s="15"/>
      <c r="T1163" s="15" t="e">
        <v>#N/A</v>
      </c>
    </row>
    <row r="1164" spans="1:20" x14ac:dyDescent="0.35">
      <c r="A1164" s="2" t="s">
        <v>2329</v>
      </c>
      <c r="B1164" s="2" t="s">
        <v>2330</v>
      </c>
      <c r="C1164" s="2" t="e">
        <v>#N/A</v>
      </c>
      <c r="D1164" s="2">
        <v>0</v>
      </c>
      <c r="E1164" s="2" t="e">
        <v>#N/A</v>
      </c>
      <c r="F1164" s="2">
        <v>0</v>
      </c>
      <c r="G1164" s="22">
        <f>Table4[[#This Row],[Item Cost]]*Table4[[#This Row],[In Stock]]</f>
        <v>0</v>
      </c>
      <c r="H1164" s="12" t="s">
        <v>4752</v>
      </c>
      <c r="I1164" s="13"/>
      <c r="J1164" s="13"/>
      <c r="K1164" s="13"/>
      <c r="L1164" s="12" t="s">
        <v>4672</v>
      </c>
      <c r="M1164" s="17" t="str">
        <f>IF(LEN(COUNTIFS($H$1:H1164,$H1164,$I$1:I1164,$I1164,$J$1:J1164,$J1164,$K$1:K1164,K1164,$L$1:L1164,L1164))=1,"00"&amp;COUNTIFS($H$1:H1164,$H1164,$I$1:I1164,$I1164,$J$1:J1164,$J1164,$K$1:K1164,K1164,$L$1:L1164,L1164),IF(LEN(COUNTIFS($H$1:H1164,$H1164,$I$1:I1164,$I1164,$J$1:J1164,$J1164,$K$1:K1164,K1164,$L$1:L1164,L1164))=2,"0"&amp;COUNTIFS($H$1:H1164,$H1164,$I$1:I1164,$I1164,$J$1:J1164,$J1164,$K$1:K1164,K1164,$L$1:L1164,L1164),COUNTIFS($H$1:H1164,$H1164,$I$1:I1164,$I1164,$J$1:J1164,$J1164,$K$1:K1164,K1164,$L$1:L1164,L1164)))</f>
        <v>000</v>
      </c>
      <c r="N116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64" s="14" t="e">
        <f>+LEN(Table4[[#This Row],[New Item Code]])</f>
        <v>#N/A</v>
      </c>
      <c r="P1164" s="15" t="s">
        <v>4747</v>
      </c>
      <c r="Q1164" s="15" t="s">
        <v>4749</v>
      </c>
      <c r="R1164" s="15"/>
      <c r="S1164" s="15"/>
      <c r="T1164" s="15" t="e">
        <v>#N/A</v>
      </c>
    </row>
    <row r="1165" spans="1:20" x14ac:dyDescent="0.35">
      <c r="A1165" s="3" t="s">
        <v>2331</v>
      </c>
      <c r="B1165" s="3" t="s">
        <v>2332</v>
      </c>
      <c r="C1165" s="3" t="e">
        <v>#N/A</v>
      </c>
      <c r="D1165" s="3">
        <v>0</v>
      </c>
      <c r="E1165" s="3" t="e">
        <v>#N/A</v>
      </c>
      <c r="F1165" s="3">
        <v>0</v>
      </c>
      <c r="G1165" s="21">
        <f>Table4[[#This Row],[Item Cost]]*Table4[[#This Row],[In Stock]]</f>
        <v>0</v>
      </c>
      <c r="H1165" s="12" t="s">
        <v>4752</v>
      </c>
      <c r="I1165" s="13"/>
      <c r="J1165" s="13"/>
      <c r="K1165" s="13"/>
      <c r="L1165" s="12" t="s">
        <v>4672</v>
      </c>
      <c r="M1165" s="17" t="str">
        <f>IF(LEN(COUNTIFS($H$1:H1165,$H1165,$I$1:I1165,$I1165,$J$1:J1165,$J1165,$K$1:K1165,K1165,$L$1:L1165,L1165))=1,"00"&amp;COUNTIFS($H$1:H1165,$H1165,$I$1:I1165,$I1165,$J$1:J1165,$J1165,$K$1:K1165,K1165,$L$1:L1165,L1165),IF(LEN(COUNTIFS($H$1:H1165,$H1165,$I$1:I1165,$I1165,$J$1:J1165,$J1165,$K$1:K1165,K1165,$L$1:L1165,L1165))=2,"0"&amp;COUNTIFS($H$1:H1165,$H1165,$I$1:I1165,$I1165,$J$1:J1165,$J1165,$K$1:K1165,K1165,$L$1:L1165,L1165),COUNTIFS($H$1:H1165,$H1165,$I$1:I1165,$I1165,$J$1:J1165,$J1165,$K$1:K1165,K1165,$L$1:L1165,L1165)))</f>
        <v>000</v>
      </c>
      <c r="N116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65" s="14" t="e">
        <f>+LEN(Table4[[#This Row],[New Item Code]])</f>
        <v>#N/A</v>
      </c>
      <c r="P1165" s="15" t="s">
        <v>4747</v>
      </c>
      <c r="Q1165" s="15" t="s">
        <v>4749</v>
      </c>
      <c r="R1165" s="15"/>
      <c r="S1165" s="15"/>
      <c r="T1165" s="15" t="e">
        <v>#N/A</v>
      </c>
    </row>
    <row r="1166" spans="1:20" x14ac:dyDescent="0.35">
      <c r="A1166" s="2" t="s">
        <v>2333</v>
      </c>
      <c r="B1166" s="2" t="s">
        <v>2334</v>
      </c>
      <c r="C1166" s="2" t="e">
        <v>#N/A</v>
      </c>
      <c r="D1166" s="2">
        <v>0</v>
      </c>
      <c r="E1166" s="2" t="e">
        <v>#N/A</v>
      </c>
      <c r="F1166" s="2">
        <v>0</v>
      </c>
      <c r="G1166" s="22">
        <f>Table4[[#This Row],[Item Cost]]*Table4[[#This Row],[In Stock]]</f>
        <v>0</v>
      </c>
      <c r="H1166" s="12" t="s">
        <v>4752</v>
      </c>
      <c r="I1166" s="13"/>
      <c r="J1166" s="13"/>
      <c r="K1166" s="13"/>
      <c r="L1166" s="12" t="s">
        <v>4672</v>
      </c>
      <c r="M1166" s="17" t="str">
        <f>IF(LEN(COUNTIFS($H$1:H1166,$H1166,$I$1:I1166,$I1166,$J$1:J1166,$J1166,$K$1:K1166,K1166,$L$1:L1166,L1166))=1,"00"&amp;COUNTIFS($H$1:H1166,$H1166,$I$1:I1166,$I1166,$J$1:J1166,$J1166,$K$1:K1166,K1166,$L$1:L1166,L1166),IF(LEN(COUNTIFS($H$1:H1166,$H1166,$I$1:I1166,$I1166,$J$1:J1166,$J1166,$K$1:K1166,K1166,$L$1:L1166,L1166))=2,"0"&amp;COUNTIFS($H$1:H1166,$H1166,$I$1:I1166,$I1166,$J$1:J1166,$J1166,$K$1:K1166,K1166,$L$1:L1166,L1166),COUNTIFS($H$1:H1166,$H1166,$I$1:I1166,$I1166,$J$1:J1166,$J1166,$K$1:K1166,K1166,$L$1:L1166,L1166)))</f>
        <v>000</v>
      </c>
      <c r="N116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66" s="14" t="e">
        <f>+LEN(Table4[[#This Row],[New Item Code]])</f>
        <v>#N/A</v>
      </c>
      <c r="P1166" s="15" t="s">
        <v>4747</v>
      </c>
      <c r="Q1166" s="15" t="s">
        <v>4749</v>
      </c>
      <c r="R1166" s="15"/>
      <c r="S1166" s="15"/>
      <c r="T1166" s="15" t="e">
        <v>#N/A</v>
      </c>
    </row>
    <row r="1167" spans="1:20" x14ac:dyDescent="0.35">
      <c r="A1167" s="3" t="s">
        <v>2335</v>
      </c>
      <c r="B1167" s="3" t="s">
        <v>2336</v>
      </c>
      <c r="C1167" s="3" t="e">
        <v>#N/A</v>
      </c>
      <c r="D1167" s="3">
        <v>0</v>
      </c>
      <c r="E1167" s="3" t="e">
        <v>#N/A</v>
      </c>
      <c r="F1167" s="3">
        <v>0</v>
      </c>
      <c r="G1167" s="21">
        <f>Table4[[#This Row],[Item Cost]]*Table4[[#This Row],[In Stock]]</f>
        <v>0</v>
      </c>
      <c r="H1167" s="12" t="s">
        <v>4752</v>
      </c>
      <c r="I1167" s="13"/>
      <c r="J1167" s="13"/>
      <c r="K1167" s="13"/>
      <c r="L1167" s="12" t="s">
        <v>4672</v>
      </c>
      <c r="M1167" s="17" t="str">
        <f>IF(LEN(COUNTIFS($H$1:H1167,$H1167,$I$1:I1167,$I1167,$J$1:J1167,$J1167,$K$1:K1167,K1167,$L$1:L1167,L1167))=1,"00"&amp;COUNTIFS($H$1:H1167,$H1167,$I$1:I1167,$I1167,$J$1:J1167,$J1167,$K$1:K1167,K1167,$L$1:L1167,L1167),IF(LEN(COUNTIFS($H$1:H1167,$H1167,$I$1:I1167,$I1167,$J$1:J1167,$J1167,$K$1:K1167,K1167,$L$1:L1167,L1167))=2,"0"&amp;COUNTIFS($H$1:H1167,$H1167,$I$1:I1167,$I1167,$J$1:J1167,$J1167,$K$1:K1167,K1167,$L$1:L1167,L1167),COUNTIFS($H$1:H1167,$H1167,$I$1:I1167,$I1167,$J$1:J1167,$J1167,$K$1:K1167,K1167,$L$1:L1167,L1167)))</f>
        <v>000</v>
      </c>
      <c r="N116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67" s="14" t="e">
        <f>+LEN(Table4[[#This Row],[New Item Code]])</f>
        <v>#N/A</v>
      </c>
      <c r="P1167" s="15" t="s">
        <v>4747</v>
      </c>
      <c r="Q1167" s="15" t="s">
        <v>4749</v>
      </c>
      <c r="R1167" s="15"/>
      <c r="S1167" s="15"/>
      <c r="T1167" s="15" t="e">
        <v>#N/A</v>
      </c>
    </row>
    <row r="1168" spans="1:20" x14ac:dyDescent="0.35">
      <c r="A1168" s="2" t="s">
        <v>2337</v>
      </c>
      <c r="B1168" s="2" t="s">
        <v>2338</v>
      </c>
      <c r="C1168" s="2" t="e">
        <v>#N/A</v>
      </c>
      <c r="D1168" s="2">
        <v>0</v>
      </c>
      <c r="E1168" s="2" t="e">
        <v>#N/A</v>
      </c>
      <c r="F1168" s="2">
        <v>0</v>
      </c>
      <c r="G1168" s="22">
        <f>Table4[[#This Row],[Item Cost]]*Table4[[#This Row],[In Stock]]</f>
        <v>0</v>
      </c>
      <c r="H1168" s="12" t="s">
        <v>4752</v>
      </c>
      <c r="I1168" s="13"/>
      <c r="J1168" s="13"/>
      <c r="K1168" s="13"/>
      <c r="L1168" s="12" t="s">
        <v>4672</v>
      </c>
      <c r="M1168" s="17" t="str">
        <f>IF(LEN(COUNTIFS($H$1:H1168,$H1168,$I$1:I1168,$I1168,$J$1:J1168,$J1168,$K$1:K1168,K1168,$L$1:L1168,L1168))=1,"00"&amp;COUNTIFS($H$1:H1168,$H1168,$I$1:I1168,$I1168,$J$1:J1168,$J1168,$K$1:K1168,K1168,$L$1:L1168,L1168),IF(LEN(COUNTIFS($H$1:H1168,$H1168,$I$1:I1168,$I1168,$J$1:J1168,$J1168,$K$1:K1168,K1168,$L$1:L1168,L1168))=2,"0"&amp;COUNTIFS($H$1:H1168,$H1168,$I$1:I1168,$I1168,$J$1:J1168,$J1168,$K$1:K1168,K1168,$L$1:L1168,L1168),COUNTIFS($H$1:H1168,$H1168,$I$1:I1168,$I1168,$J$1:J1168,$J1168,$K$1:K1168,K1168,$L$1:L1168,L1168)))</f>
        <v>000</v>
      </c>
      <c r="N116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68" s="14" t="e">
        <f>+LEN(Table4[[#This Row],[New Item Code]])</f>
        <v>#N/A</v>
      </c>
      <c r="P1168" s="15" t="s">
        <v>4747</v>
      </c>
      <c r="Q1168" s="15" t="s">
        <v>4749</v>
      </c>
      <c r="R1168" s="15"/>
      <c r="S1168" s="15"/>
      <c r="T1168" s="15" t="e">
        <v>#N/A</v>
      </c>
    </row>
    <row r="1169" spans="1:20" x14ac:dyDescent="0.35">
      <c r="A1169" s="3" t="s">
        <v>2339</v>
      </c>
      <c r="B1169" s="3" t="s">
        <v>2340</v>
      </c>
      <c r="C1169" s="3" t="e">
        <v>#N/A</v>
      </c>
      <c r="D1169" s="3">
        <v>0</v>
      </c>
      <c r="E1169" s="3" t="e">
        <v>#N/A</v>
      </c>
      <c r="F1169" s="3">
        <v>0</v>
      </c>
      <c r="G1169" s="21">
        <f>Table4[[#This Row],[Item Cost]]*Table4[[#This Row],[In Stock]]</f>
        <v>0</v>
      </c>
      <c r="H1169" s="12" t="s">
        <v>4752</v>
      </c>
      <c r="I1169" s="13"/>
      <c r="J1169" s="13"/>
      <c r="K1169" s="13"/>
      <c r="L1169" s="12" t="s">
        <v>4672</v>
      </c>
      <c r="M1169" s="17" t="str">
        <f>IF(LEN(COUNTIFS($H$1:H1169,$H1169,$I$1:I1169,$I1169,$J$1:J1169,$J1169,$K$1:K1169,K1169,$L$1:L1169,L1169))=1,"00"&amp;COUNTIFS($H$1:H1169,$H1169,$I$1:I1169,$I1169,$J$1:J1169,$J1169,$K$1:K1169,K1169,$L$1:L1169,L1169),IF(LEN(COUNTIFS($H$1:H1169,$H1169,$I$1:I1169,$I1169,$J$1:J1169,$J1169,$K$1:K1169,K1169,$L$1:L1169,L1169))=2,"0"&amp;COUNTIFS($H$1:H1169,$H1169,$I$1:I1169,$I1169,$J$1:J1169,$J1169,$K$1:K1169,K1169,$L$1:L1169,L1169),COUNTIFS($H$1:H1169,$H1169,$I$1:I1169,$I1169,$J$1:J1169,$J1169,$K$1:K1169,K1169,$L$1:L1169,L1169)))</f>
        <v>000</v>
      </c>
      <c r="N116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69" s="14" t="e">
        <f>+LEN(Table4[[#This Row],[New Item Code]])</f>
        <v>#N/A</v>
      </c>
      <c r="P1169" s="15" t="s">
        <v>4747</v>
      </c>
      <c r="Q1169" s="15" t="s">
        <v>4749</v>
      </c>
      <c r="R1169" s="15"/>
      <c r="S1169" s="15"/>
      <c r="T1169" s="15" t="e">
        <v>#N/A</v>
      </c>
    </row>
    <row r="1170" spans="1:20" x14ac:dyDescent="0.35">
      <c r="A1170" s="2" t="s">
        <v>2341</v>
      </c>
      <c r="B1170" s="2" t="s">
        <v>2342</v>
      </c>
      <c r="C1170" s="2" t="e">
        <v>#N/A</v>
      </c>
      <c r="D1170" s="2">
        <v>0</v>
      </c>
      <c r="E1170" s="2" t="e">
        <v>#N/A</v>
      </c>
      <c r="F1170" s="2">
        <v>0</v>
      </c>
      <c r="G1170" s="22">
        <f>Table4[[#This Row],[Item Cost]]*Table4[[#This Row],[In Stock]]</f>
        <v>0</v>
      </c>
      <c r="H1170" s="12" t="s">
        <v>4752</v>
      </c>
      <c r="I1170" s="13"/>
      <c r="J1170" s="13"/>
      <c r="K1170" s="13"/>
      <c r="L1170" s="12" t="s">
        <v>4672</v>
      </c>
      <c r="M1170" s="17" t="str">
        <f>IF(LEN(COUNTIFS($H$1:H1170,$H1170,$I$1:I1170,$I1170,$J$1:J1170,$J1170,$K$1:K1170,K1170,$L$1:L1170,L1170))=1,"00"&amp;COUNTIFS($H$1:H1170,$H1170,$I$1:I1170,$I1170,$J$1:J1170,$J1170,$K$1:K1170,K1170,$L$1:L1170,L1170),IF(LEN(COUNTIFS($H$1:H1170,$H1170,$I$1:I1170,$I1170,$J$1:J1170,$J1170,$K$1:K1170,K1170,$L$1:L1170,L1170))=2,"0"&amp;COUNTIFS($H$1:H1170,$H1170,$I$1:I1170,$I1170,$J$1:J1170,$J1170,$K$1:K1170,K1170,$L$1:L1170,L1170),COUNTIFS($H$1:H1170,$H1170,$I$1:I1170,$I1170,$J$1:J1170,$J1170,$K$1:K1170,K1170,$L$1:L1170,L1170)))</f>
        <v>000</v>
      </c>
      <c r="N117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70" s="14" t="e">
        <f>+LEN(Table4[[#This Row],[New Item Code]])</f>
        <v>#N/A</v>
      </c>
      <c r="P1170" s="15" t="s">
        <v>4747</v>
      </c>
      <c r="Q1170" s="15" t="s">
        <v>4749</v>
      </c>
      <c r="R1170" s="15"/>
      <c r="S1170" s="15"/>
      <c r="T1170" s="15" t="e">
        <v>#N/A</v>
      </c>
    </row>
    <row r="1171" spans="1:20" x14ac:dyDescent="0.35">
      <c r="A1171" s="3" t="s">
        <v>2343</v>
      </c>
      <c r="B1171" s="3" t="s">
        <v>2344</v>
      </c>
      <c r="C1171" s="3" t="e">
        <v>#N/A</v>
      </c>
      <c r="D1171" s="3">
        <v>0</v>
      </c>
      <c r="E1171" s="3" t="e">
        <v>#N/A</v>
      </c>
      <c r="F1171" s="3">
        <v>0</v>
      </c>
      <c r="G1171" s="21">
        <f>Table4[[#This Row],[Item Cost]]*Table4[[#This Row],[In Stock]]</f>
        <v>0</v>
      </c>
      <c r="H1171" s="12" t="s">
        <v>4752</v>
      </c>
      <c r="I1171" s="13"/>
      <c r="J1171" s="13"/>
      <c r="K1171" s="13"/>
      <c r="L1171" s="12" t="s">
        <v>4672</v>
      </c>
      <c r="M1171" s="17" t="str">
        <f>IF(LEN(COUNTIFS($H$1:H1171,$H1171,$I$1:I1171,$I1171,$J$1:J1171,$J1171,$K$1:K1171,K1171,$L$1:L1171,L1171))=1,"00"&amp;COUNTIFS($H$1:H1171,$H1171,$I$1:I1171,$I1171,$J$1:J1171,$J1171,$K$1:K1171,K1171,$L$1:L1171,L1171),IF(LEN(COUNTIFS($H$1:H1171,$H1171,$I$1:I1171,$I1171,$J$1:J1171,$J1171,$K$1:K1171,K1171,$L$1:L1171,L1171))=2,"0"&amp;COUNTIFS($H$1:H1171,$H1171,$I$1:I1171,$I1171,$J$1:J1171,$J1171,$K$1:K1171,K1171,$L$1:L1171,L1171),COUNTIFS($H$1:H1171,$H1171,$I$1:I1171,$I1171,$J$1:J1171,$J1171,$K$1:K1171,K1171,$L$1:L1171,L1171)))</f>
        <v>000</v>
      </c>
      <c r="N117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71" s="14" t="e">
        <f>+LEN(Table4[[#This Row],[New Item Code]])</f>
        <v>#N/A</v>
      </c>
      <c r="P1171" s="15" t="s">
        <v>4747</v>
      </c>
      <c r="Q1171" s="15" t="s">
        <v>4749</v>
      </c>
      <c r="R1171" s="15"/>
      <c r="S1171" s="15"/>
      <c r="T1171" s="15" t="e">
        <v>#N/A</v>
      </c>
    </row>
    <row r="1172" spans="1:20" x14ac:dyDescent="0.35">
      <c r="A1172" s="2" t="s">
        <v>2345</v>
      </c>
      <c r="B1172" s="2" t="s">
        <v>2346</v>
      </c>
      <c r="C1172" s="2" t="e">
        <v>#N/A</v>
      </c>
      <c r="D1172" s="2">
        <v>0</v>
      </c>
      <c r="E1172" s="2" t="e">
        <v>#N/A</v>
      </c>
      <c r="F1172" s="2">
        <v>0</v>
      </c>
      <c r="G1172" s="22">
        <f>Table4[[#This Row],[Item Cost]]*Table4[[#This Row],[In Stock]]</f>
        <v>0</v>
      </c>
      <c r="H1172" s="12" t="s">
        <v>4752</v>
      </c>
      <c r="I1172" s="13"/>
      <c r="J1172" s="13"/>
      <c r="K1172" s="13"/>
      <c r="L1172" s="12" t="s">
        <v>4672</v>
      </c>
      <c r="M1172" s="17" t="str">
        <f>IF(LEN(COUNTIFS($H$1:H1172,$H1172,$I$1:I1172,$I1172,$J$1:J1172,$J1172,$K$1:K1172,K1172,$L$1:L1172,L1172))=1,"00"&amp;COUNTIFS($H$1:H1172,$H1172,$I$1:I1172,$I1172,$J$1:J1172,$J1172,$K$1:K1172,K1172,$L$1:L1172,L1172),IF(LEN(COUNTIFS($H$1:H1172,$H1172,$I$1:I1172,$I1172,$J$1:J1172,$J1172,$K$1:K1172,K1172,$L$1:L1172,L1172))=2,"0"&amp;COUNTIFS($H$1:H1172,$H1172,$I$1:I1172,$I1172,$J$1:J1172,$J1172,$K$1:K1172,K1172,$L$1:L1172,L1172),COUNTIFS($H$1:H1172,$H1172,$I$1:I1172,$I1172,$J$1:J1172,$J1172,$K$1:K1172,K1172,$L$1:L1172,L1172)))</f>
        <v>000</v>
      </c>
      <c r="N117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72" s="14" t="e">
        <f>+LEN(Table4[[#This Row],[New Item Code]])</f>
        <v>#N/A</v>
      </c>
      <c r="P1172" s="15" t="s">
        <v>4747</v>
      </c>
      <c r="Q1172" s="15" t="s">
        <v>4749</v>
      </c>
      <c r="R1172" s="15"/>
      <c r="S1172" s="15"/>
      <c r="T1172" s="15" t="e">
        <v>#N/A</v>
      </c>
    </row>
    <row r="1173" spans="1:20" x14ac:dyDescent="0.35">
      <c r="A1173" s="3" t="s">
        <v>2347</v>
      </c>
      <c r="B1173" s="3" t="s">
        <v>2348</v>
      </c>
      <c r="C1173" s="3" t="e">
        <v>#N/A</v>
      </c>
      <c r="D1173" s="3">
        <v>0</v>
      </c>
      <c r="E1173" s="3" t="e">
        <v>#N/A</v>
      </c>
      <c r="F1173" s="3">
        <v>0</v>
      </c>
      <c r="G1173" s="21">
        <f>Table4[[#This Row],[Item Cost]]*Table4[[#This Row],[In Stock]]</f>
        <v>0</v>
      </c>
      <c r="H1173" s="12" t="s">
        <v>4752</v>
      </c>
      <c r="I1173" s="13"/>
      <c r="J1173" s="13"/>
      <c r="K1173" s="13"/>
      <c r="L1173" s="12" t="s">
        <v>4672</v>
      </c>
      <c r="M1173" s="17" t="str">
        <f>IF(LEN(COUNTIFS($H$1:H1173,$H1173,$I$1:I1173,$I1173,$J$1:J1173,$J1173,$K$1:K1173,K1173,$L$1:L1173,L1173))=1,"00"&amp;COUNTIFS($H$1:H1173,$H1173,$I$1:I1173,$I1173,$J$1:J1173,$J1173,$K$1:K1173,K1173,$L$1:L1173,L1173),IF(LEN(COUNTIFS($H$1:H1173,$H1173,$I$1:I1173,$I1173,$J$1:J1173,$J1173,$K$1:K1173,K1173,$L$1:L1173,L1173))=2,"0"&amp;COUNTIFS($H$1:H1173,$H1173,$I$1:I1173,$I1173,$J$1:J1173,$J1173,$K$1:K1173,K1173,$L$1:L1173,L1173),COUNTIFS($H$1:H1173,$H1173,$I$1:I1173,$I1173,$J$1:J1173,$J1173,$K$1:K1173,K1173,$L$1:L1173,L1173)))</f>
        <v>000</v>
      </c>
      <c r="N117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73" s="14" t="e">
        <f>+LEN(Table4[[#This Row],[New Item Code]])</f>
        <v>#N/A</v>
      </c>
      <c r="P1173" s="15" t="s">
        <v>4747</v>
      </c>
      <c r="Q1173" s="15" t="s">
        <v>4749</v>
      </c>
      <c r="R1173" s="15"/>
      <c r="S1173" s="15"/>
      <c r="T1173" s="15" t="e">
        <v>#N/A</v>
      </c>
    </row>
    <row r="1174" spans="1:20" x14ac:dyDescent="0.35">
      <c r="A1174" s="2" t="s">
        <v>2349</v>
      </c>
      <c r="B1174" s="2" t="s">
        <v>2350</v>
      </c>
      <c r="C1174" s="2" t="e">
        <v>#N/A</v>
      </c>
      <c r="D1174" s="2">
        <v>0</v>
      </c>
      <c r="E1174" s="2" t="e">
        <v>#N/A</v>
      </c>
      <c r="F1174" s="2">
        <v>0</v>
      </c>
      <c r="G1174" s="22">
        <f>Table4[[#This Row],[Item Cost]]*Table4[[#This Row],[In Stock]]</f>
        <v>0</v>
      </c>
      <c r="H1174" s="12" t="s">
        <v>4752</v>
      </c>
      <c r="I1174" s="13"/>
      <c r="J1174" s="13"/>
      <c r="K1174" s="13"/>
      <c r="L1174" s="12" t="s">
        <v>4672</v>
      </c>
      <c r="M1174" s="17" t="str">
        <f>IF(LEN(COUNTIFS($H$1:H1174,$H1174,$I$1:I1174,$I1174,$J$1:J1174,$J1174,$K$1:K1174,K1174,$L$1:L1174,L1174))=1,"00"&amp;COUNTIFS($H$1:H1174,$H1174,$I$1:I1174,$I1174,$J$1:J1174,$J1174,$K$1:K1174,K1174,$L$1:L1174,L1174),IF(LEN(COUNTIFS($H$1:H1174,$H1174,$I$1:I1174,$I1174,$J$1:J1174,$J1174,$K$1:K1174,K1174,$L$1:L1174,L1174))=2,"0"&amp;COUNTIFS($H$1:H1174,$H1174,$I$1:I1174,$I1174,$J$1:J1174,$J1174,$K$1:K1174,K1174,$L$1:L1174,L1174),COUNTIFS($H$1:H1174,$H1174,$I$1:I1174,$I1174,$J$1:J1174,$J1174,$K$1:K1174,K1174,$L$1:L1174,L1174)))</f>
        <v>000</v>
      </c>
      <c r="N117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74" s="14" t="e">
        <f>+LEN(Table4[[#This Row],[New Item Code]])</f>
        <v>#N/A</v>
      </c>
      <c r="P1174" s="15" t="s">
        <v>4747</v>
      </c>
      <c r="Q1174" s="15" t="s">
        <v>4749</v>
      </c>
      <c r="R1174" s="15"/>
      <c r="S1174" s="15"/>
      <c r="T1174" s="15" t="e">
        <v>#N/A</v>
      </c>
    </row>
    <row r="1175" spans="1:20" x14ac:dyDescent="0.35">
      <c r="A1175" s="3" t="s">
        <v>2351</v>
      </c>
      <c r="B1175" s="3" t="s">
        <v>2352</v>
      </c>
      <c r="C1175" s="3" t="e">
        <v>#N/A</v>
      </c>
      <c r="D1175" s="3">
        <v>0</v>
      </c>
      <c r="E1175" s="3" t="e">
        <v>#N/A</v>
      </c>
      <c r="F1175" s="3">
        <v>0</v>
      </c>
      <c r="G1175" s="21">
        <f>Table4[[#This Row],[Item Cost]]*Table4[[#This Row],[In Stock]]</f>
        <v>0</v>
      </c>
      <c r="H1175" s="12" t="s">
        <v>4752</v>
      </c>
      <c r="I1175" s="13"/>
      <c r="J1175" s="13"/>
      <c r="K1175" s="13"/>
      <c r="L1175" s="12" t="s">
        <v>4672</v>
      </c>
      <c r="M1175" s="17" t="str">
        <f>IF(LEN(COUNTIFS($H$1:H1175,$H1175,$I$1:I1175,$I1175,$J$1:J1175,$J1175,$K$1:K1175,K1175,$L$1:L1175,L1175))=1,"00"&amp;COUNTIFS($H$1:H1175,$H1175,$I$1:I1175,$I1175,$J$1:J1175,$J1175,$K$1:K1175,K1175,$L$1:L1175,L1175),IF(LEN(COUNTIFS($H$1:H1175,$H1175,$I$1:I1175,$I1175,$J$1:J1175,$J1175,$K$1:K1175,K1175,$L$1:L1175,L1175))=2,"0"&amp;COUNTIFS($H$1:H1175,$H1175,$I$1:I1175,$I1175,$J$1:J1175,$J1175,$K$1:K1175,K1175,$L$1:L1175,L1175),COUNTIFS($H$1:H1175,$H1175,$I$1:I1175,$I1175,$J$1:J1175,$J1175,$K$1:K1175,K1175,$L$1:L1175,L1175)))</f>
        <v>000</v>
      </c>
      <c r="N117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75" s="14" t="e">
        <f>+LEN(Table4[[#This Row],[New Item Code]])</f>
        <v>#N/A</v>
      </c>
      <c r="P1175" s="15" t="s">
        <v>4747</v>
      </c>
      <c r="Q1175" s="15" t="s">
        <v>4749</v>
      </c>
      <c r="R1175" s="15"/>
      <c r="S1175" s="15"/>
      <c r="T1175" s="15" t="e">
        <v>#N/A</v>
      </c>
    </row>
    <row r="1176" spans="1:20" x14ac:dyDescent="0.35">
      <c r="A1176" s="2" t="s">
        <v>2353</v>
      </c>
      <c r="B1176" s="2" t="s">
        <v>2354</v>
      </c>
      <c r="C1176" s="2" t="e">
        <v>#N/A</v>
      </c>
      <c r="D1176" s="2">
        <v>0</v>
      </c>
      <c r="E1176" s="2" t="e">
        <v>#N/A</v>
      </c>
      <c r="F1176" s="2">
        <v>0</v>
      </c>
      <c r="G1176" s="22">
        <f>Table4[[#This Row],[Item Cost]]*Table4[[#This Row],[In Stock]]</f>
        <v>0</v>
      </c>
      <c r="H1176" s="12" t="s">
        <v>4752</v>
      </c>
      <c r="I1176" s="13"/>
      <c r="J1176" s="13"/>
      <c r="K1176" s="13"/>
      <c r="L1176" s="12" t="s">
        <v>4672</v>
      </c>
      <c r="M1176" s="17" t="str">
        <f>IF(LEN(COUNTIFS($H$1:H1176,$H1176,$I$1:I1176,$I1176,$J$1:J1176,$J1176,$K$1:K1176,K1176,$L$1:L1176,L1176))=1,"00"&amp;COUNTIFS($H$1:H1176,$H1176,$I$1:I1176,$I1176,$J$1:J1176,$J1176,$K$1:K1176,K1176,$L$1:L1176,L1176),IF(LEN(COUNTIFS($H$1:H1176,$H1176,$I$1:I1176,$I1176,$J$1:J1176,$J1176,$K$1:K1176,K1176,$L$1:L1176,L1176))=2,"0"&amp;COUNTIFS($H$1:H1176,$H1176,$I$1:I1176,$I1176,$J$1:J1176,$J1176,$K$1:K1176,K1176,$L$1:L1176,L1176),COUNTIFS($H$1:H1176,$H1176,$I$1:I1176,$I1176,$J$1:J1176,$J1176,$K$1:K1176,K1176,$L$1:L1176,L1176)))</f>
        <v>000</v>
      </c>
      <c r="N117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76" s="14" t="e">
        <f>+LEN(Table4[[#This Row],[New Item Code]])</f>
        <v>#N/A</v>
      </c>
      <c r="P1176" s="15" t="s">
        <v>4747</v>
      </c>
      <c r="Q1176" s="15" t="s">
        <v>4749</v>
      </c>
      <c r="R1176" s="15"/>
      <c r="S1176" s="15"/>
      <c r="T1176" s="15" t="e">
        <v>#N/A</v>
      </c>
    </row>
    <row r="1177" spans="1:20" x14ac:dyDescent="0.35">
      <c r="A1177" s="3" t="s">
        <v>2355</v>
      </c>
      <c r="B1177" s="3" t="s">
        <v>2356</v>
      </c>
      <c r="C1177" s="3" t="e">
        <v>#N/A</v>
      </c>
      <c r="D1177" s="3">
        <v>0</v>
      </c>
      <c r="E1177" s="3" t="e">
        <v>#N/A</v>
      </c>
      <c r="F1177" s="3">
        <v>0</v>
      </c>
      <c r="G1177" s="21">
        <f>Table4[[#This Row],[Item Cost]]*Table4[[#This Row],[In Stock]]</f>
        <v>0</v>
      </c>
      <c r="H1177" s="12" t="s">
        <v>4752</v>
      </c>
      <c r="I1177" s="13"/>
      <c r="J1177" s="13"/>
      <c r="K1177" s="13"/>
      <c r="L1177" s="12" t="s">
        <v>4672</v>
      </c>
      <c r="M1177" s="17" t="str">
        <f>IF(LEN(COUNTIFS($H$1:H1177,$H1177,$I$1:I1177,$I1177,$J$1:J1177,$J1177,$K$1:K1177,K1177,$L$1:L1177,L1177))=1,"00"&amp;COUNTIFS($H$1:H1177,$H1177,$I$1:I1177,$I1177,$J$1:J1177,$J1177,$K$1:K1177,K1177,$L$1:L1177,L1177),IF(LEN(COUNTIFS($H$1:H1177,$H1177,$I$1:I1177,$I1177,$J$1:J1177,$J1177,$K$1:K1177,K1177,$L$1:L1177,L1177))=2,"0"&amp;COUNTIFS($H$1:H1177,$H1177,$I$1:I1177,$I1177,$J$1:J1177,$J1177,$K$1:K1177,K1177,$L$1:L1177,L1177),COUNTIFS($H$1:H1177,$H1177,$I$1:I1177,$I1177,$J$1:J1177,$J1177,$K$1:K1177,K1177,$L$1:L1177,L1177)))</f>
        <v>000</v>
      </c>
      <c r="N117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77" s="14" t="e">
        <f>+LEN(Table4[[#This Row],[New Item Code]])</f>
        <v>#N/A</v>
      </c>
      <c r="P1177" s="15" t="s">
        <v>4747</v>
      </c>
      <c r="Q1177" s="15" t="s">
        <v>4749</v>
      </c>
      <c r="R1177" s="15"/>
      <c r="S1177" s="15"/>
      <c r="T1177" s="15" t="e">
        <v>#N/A</v>
      </c>
    </row>
    <row r="1178" spans="1:20" x14ac:dyDescent="0.35">
      <c r="A1178" s="2" t="s">
        <v>2357</v>
      </c>
      <c r="B1178" s="2" t="s">
        <v>2358</v>
      </c>
      <c r="C1178" s="2" t="e">
        <v>#N/A</v>
      </c>
      <c r="D1178" s="2">
        <v>0</v>
      </c>
      <c r="E1178" s="2" t="e">
        <v>#N/A</v>
      </c>
      <c r="F1178" s="2">
        <v>0</v>
      </c>
      <c r="G1178" s="22">
        <f>Table4[[#This Row],[Item Cost]]*Table4[[#This Row],[In Stock]]</f>
        <v>0</v>
      </c>
      <c r="H1178" s="12" t="s">
        <v>4752</v>
      </c>
      <c r="I1178" s="13"/>
      <c r="J1178" s="13"/>
      <c r="K1178" s="13"/>
      <c r="L1178" s="12" t="s">
        <v>4672</v>
      </c>
      <c r="M1178" s="17" t="str">
        <f>IF(LEN(COUNTIFS($H$1:H1178,$H1178,$I$1:I1178,$I1178,$J$1:J1178,$J1178,$K$1:K1178,K1178,$L$1:L1178,L1178))=1,"00"&amp;COUNTIFS($H$1:H1178,$H1178,$I$1:I1178,$I1178,$J$1:J1178,$J1178,$K$1:K1178,K1178,$L$1:L1178,L1178),IF(LEN(COUNTIFS($H$1:H1178,$H1178,$I$1:I1178,$I1178,$J$1:J1178,$J1178,$K$1:K1178,K1178,$L$1:L1178,L1178))=2,"0"&amp;COUNTIFS($H$1:H1178,$H1178,$I$1:I1178,$I1178,$J$1:J1178,$J1178,$K$1:K1178,K1178,$L$1:L1178,L1178),COUNTIFS($H$1:H1178,$H1178,$I$1:I1178,$I1178,$J$1:J1178,$J1178,$K$1:K1178,K1178,$L$1:L1178,L1178)))</f>
        <v>000</v>
      </c>
      <c r="N117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78" s="14" t="e">
        <f>+LEN(Table4[[#This Row],[New Item Code]])</f>
        <v>#N/A</v>
      </c>
      <c r="P1178" s="15" t="s">
        <v>4747</v>
      </c>
      <c r="Q1178" s="15" t="s">
        <v>4749</v>
      </c>
      <c r="R1178" s="15"/>
      <c r="S1178" s="15"/>
      <c r="T1178" s="15" t="e">
        <v>#N/A</v>
      </c>
    </row>
    <row r="1179" spans="1:20" x14ac:dyDescent="0.35">
      <c r="A1179" s="3" t="s">
        <v>2359</v>
      </c>
      <c r="B1179" s="3" t="s">
        <v>2360</v>
      </c>
      <c r="C1179" s="3" t="e">
        <v>#N/A</v>
      </c>
      <c r="D1179" s="3">
        <v>0</v>
      </c>
      <c r="E1179" s="3" t="e">
        <v>#N/A</v>
      </c>
      <c r="F1179" s="3">
        <v>0</v>
      </c>
      <c r="G1179" s="21">
        <f>Table4[[#This Row],[Item Cost]]*Table4[[#This Row],[In Stock]]</f>
        <v>0</v>
      </c>
      <c r="H1179" s="12" t="s">
        <v>4752</v>
      </c>
      <c r="I1179" s="13"/>
      <c r="J1179" s="13"/>
      <c r="K1179" s="13"/>
      <c r="L1179" s="12" t="s">
        <v>4672</v>
      </c>
      <c r="M1179" s="17" t="str">
        <f>IF(LEN(COUNTIFS($H$1:H1179,$H1179,$I$1:I1179,$I1179,$J$1:J1179,$J1179,$K$1:K1179,K1179,$L$1:L1179,L1179))=1,"00"&amp;COUNTIFS($H$1:H1179,$H1179,$I$1:I1179,$I1179,$J$1:J1179,$J1179,$K$1:K1179,K1179,$L$1:L1179,L1179),IF(LEN(COUNTIFS($H$1:H1179,$H1179,$I$1:I1179,$I1179,$J$1:J1179,$J1179,$K$1:K1179,K1179,$L$1:L1179,L1179))=2,"0"&amp;COUNTIFS($H$1:H1179,$H1179,$I$1:I1179,$I1179,$J$1:J1179,$J1179,$K$1:K1179,K1179,$L$1:L1179,L1179),COUNTIFS($H$1:H1179,$H1179,$I$1:I1179,$I1179,$J$1:J1179,$J1179,$K$1:K1179,K1179,$L$1:L1179,L1179)))</f>
        <v>000</v>
      </c>
      <c r="N117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79" s="14" t="e">
        <f>+LEN(Table4[[#This Row],[New Item Code]])</f>
        <v>#N/A</v>
      </c>
      <c r="P1179" s="15" t="s">
        <v>4747</v>
      </c>
      <c r="Q1179" s="15" t="s">
        <v>4749</v>
      </c>
      <c r="R1179" s="15"/>
      <c r="S1179" s="15"/>
      <c r="T1179" s="15" t="e">
        <v>#N/A</v>
      </c>
    </row>
    <row r="1180" spans="1:20" x14ac:dyDescent="0.35">
      <c r="A1180" s="2" t="s">
        <v>2361</v>
      </c>
      <c r="B1180" s="2" t="s">
        <v>2362</v>
      </c>
      <c r="C1180" s="2" t="e">
        <v>#N/A</v>
      </c>
      <c r="D1180" s="2">
        <v>0</v>
      </c>
      <c r="E1180" s="2" t="e">
        <v>#N/A</v>
      </c>
      <c r="F1180" s="2">
        <v>0</v>
      </c>
      <c r="G1180" s="22">
        <f>Table4[[#This Row],[Item Cost]]*Table4[[#This Row],[In Stock]]</f>
        <v>0</v>
      </c>
      <c r="H1180" s="12" t="s">
        <v>4752</v>
      </c>
      <c r="I1180" s="13"/>
      <c r="J1180" s="13"/>
      <c r="K1180" s="13"/>
      <c r="L1180" s="12" t="s">
        <v>4672</v>
      </c>
      <c r="M1180" s="17" t="str">
        <f>IF(LEN(COUNTIFS($H$1:H1180,$H1180,$I$1:I1180,$I1180,$J$1:J1180,$J1180,$K$1:K1180,K1180,$L$1:L1180,L1180))=1,"00"&amp;COUNTIFS($H$1:H1180,$H1180,$I$1:I1180,$I1180,$J$1:J1180,$J1180,$K$1:K1180,K1180,$L$1:L1180,L1180),IF(LEN(COUNTIFS($H$1:H1180,$H1180,$I$1:I1180,$I1180,$J$1:J1180,$J1180,$K$1:K1180,K1180,$L$1:L1180,L1180))=2,"0"&amp;COUNTIFS($H$1:H1180,$H1180,$I$1:I1180,$I1180,$J$1:J1180,$J1180,$K$1:K1180,K1180,$L$1:L1180,L1180),COUNTIFS($H$1:H1180,$H1180,$I$1:I1180,$I1180,$J$1:J1180,$J1180,$K$1:K1180,K1180,$L$1:L1180,L1180)))</f>
        <v>000</v>
      </c>
      <c r="N118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80" s="14" t="e">
        <f>+LEN(Table4[[#This Row],[New Item Code]])</f>
        <v>#N/A</v>
      </c>
      <c r="P1180" s="15" t="s">
        <v>4747</v>
      </c>
      <c r="Q1180" s="15" t="s">
        <v>4749</v>
      </c>
      <c r="R1180" s="15"/>
      <c r="S1180" s="15"/>
      <c r="T1180" s="15" t="e">
        <v>#N/A</v>
      </c>
    </row>
    <row r="1181" spans="1:20" x14ac:dyDescent="0.35">
      <c r="A1181" s="3" t="s">
        <v>2363</v>
      </c>
      <c r="B1181" s="3" t="s">
        <v>2364</v>
      </c>
      <c r="C1181" s="3" t="e">
        <v>#N/A</v>
      </c>
      <c r="D1181" s="3">
        <v>0</v>
      </c>
      <c r="E1181" s="3" t="e">
        <v>#N/A</v>
      </c>
      <c r="F1181" s="3">
        <v>0</v>
      </c>
      <c r="G1181" s="21">
        <f>Table4[[#This Row],[Item Cost]]*Table4[[#This Row],[In Stock]]</f>
        <v>0</v>
      </c>
      <c r="H1181" s="12" t="s">
        <v>4752</v>
      </c>
      <c r="I1181" s="13"/>
      <c r="J1181" s="13"/>
      <c r="K1181" s="13"/>
      <c r="L1181" s="12" t="s">
        <v>4672</v>
      </c>
      <c r="M1181" s="17" t="str">
        <f>IF(LEN(COUNTIFS($H$1:H1181,$H1181,$I$1:I1181,$I1181,$J$1:J1181,$J1181,$K$1:K1181,K1181,$L$1:L1181,L1181))=1,"00"&amp;COUNTIFS($H$1:H1181,$H1181,$I$1:I1181,$I1181,$J$1:J1181,$J1181,$K$1:K1181,K1181,$L$1:L1181,L1181),IF(LEN(COUNTIFS($H$1:H1181,$H1181,$I$1:I1181,$I1181,$J$1:J1181,$J1181,$K$1:K1181,K1181,$L$1:L1181,L1181))=2,"0"&amp;COUNTIFS($H$1:H1181,$H1181,$I$1:I1181,$I1181,$J$1:J1181,$J1181,$K$1:K1181,K1181,$L$1:L1181,L1181),COUNTIFS($H$1:H1181,$H1181,$I$1:I1181,$I1181,$J$1:J1181,$J1181,$K$1:K1181,K1181,$L$1:L1181,L1181)))</f>
        <v>000</v>
      </c>
      <c r="N118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81" s="14" t="e">
        <f>+LEN(Table4[[#This Row],[New Item Code]])</f>
        <v>#N/A</v>
      </c>
      <c r="P1181" s="15" t="s">
        <v>4747</v>
      </c>
      <c r="Q1181" s="15" t="s">
        <v>4749</v>
      </c>
      <c r="R1181" s="15"/>
      <c r="S1181" s="15"/>
      <c r="T1181" s="15" t="e">
        <v>#N/A</v>
      </c>
    </row>
    <row r="1182" spans="1:20" x14ac:dyDescent="0.35">
      <c r="A1182" s="2" t="s">
        <v>2365</v>
      </c>
      <c r="B1182" s="2" t="s">
        <v>2366</v>
      </c>
      <c r="C1182" s="2" t="e">
        <v>#N/A</v>
      </c>
      <c r="D1182" s="2">
        <v>0</v>
      </c>
      <c r="E1182" s="2" t="e">
        <v>#N/A</v>
      </c>
      <c r="F1182" s="2">
        <v>0</v>
      </c>
      <c r="G1182" s="22">
        <f>Table4[[#This Row],[Item Cost]]*Table4[[#This Row],[In Stock]]</f>
        <v>0</v>
      </c>
      <c r="H1182" s="12" t="s">
        <v>4752</v>
      </c>
      <c r="I1182" s="13"/>
      <c r="J1182" s="13"/>
      <c r="K1182" s="13"/>
      <c r="L1182" s="12" t="s">
        <v>4672</v>
      </c>
      <c r="M1182" s="17" t="str">
        <f>IF(LEN(COUNTIFS($H$1:H1182,$H1182,$I$1:I1182,$I1182,$J$1:J1182,$J1182,$K$1:K1182,K1182,$L$1:L1182,L1182))=1,"00"&amp;COUNTIFS($H$1:H1182,$H1182,$I$1:I1182,$I1182,$J$1:J1182,$J1182,$K$1:K1182,K1182,$L$1:L1182,L1182),IF(LEN(COUNTIFS($H$1:H1182,$H1182,$I$1:I1182,$I1182,$J$1:J1182,$J1182,$K$1:K1182,K1182,$L$1:L1182,L1182))=2,"0"&amp;COUNTIFS($H$1:H1182,$H1182,$I$1:I1182,$I1182,$J$1:J1182,$J1182,$K$1:K1182,K1182,$L$1:L1182,L1182),COUNTIFS($H$1:H1182,$H1182,$I$1:I1182,$I1182,$J$1:J1182,$J1182,$K$1:K1182,K1182,$L$1:L1182,L1182)))</f>
        <v>000</v>
      </c>
      <c r="N118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82" s="14" t="e">
        <f>+LEN(Table4[[#This Row],[New Item Code]])</f>
        <v>#N/A</v>
      </c>
      <c r="P1182" s="15" t="s">
        <v>4747</v>
      </c>
      <c r="Q1182" s="15" t="s">
        <v>4749</v>
      </c>
      <c r="R1182" s="15"/>
      <c r="S1182" s="15"/>
      <c r="T1182" s="15" t="e">
        <v>#N/A</v>
      </c>
    </row>
    <row r="1183" spans="1:20" x14ac:dyDescent="0.35">
      <c r="A1183" s="3" t="s">
        <v>2367</v>
      </c>
      <c r="B1183" s="3" t="s">
        <v>2368</v>
      </c>
      <c r="C1183" s="3" t="e">
        <v>#N/A</v>
      </c>
      <c r="D1183" s="3">
        <v>0</v>
      </c>
      <c r="E1183" s="3" t="e">
        <v>#N/A</v>
      </c>
      <c r="F1183" s="3">
        <v>0</v>
      </c>
      <c r="G1183" s="21">
        <f>Table4[[#This Row],[Item Cost]]*Table4[[#This Row],[In Stock]]</f>
        <v>0</v>
      </c>
      <c r="H1183" s="12" t="s">
        <v>4752</v>
      </c>
      <c r="I1183" s="13"/>
      <c r="J1183" s="13"/>
      <c r="K1183" s="13"/>
      <c r="L1183" s="12" t="s">
        <v>4672</v>
      </c>
      <c r="M1183" s="17" t="str">
        <f>IF(LEN(COUNTIFS($H$1:H1183,$H1183,$I$1:I1183,$I1183,$J$1:J1183,$J1183,$K$1:K1183,K1183,$L$1:L1183,L1183))=1,"00"&amp;COUNTIFS($H$1:H1183,$H1183,$I$1:I1183,$I1183,$J$1:J1183,$J1183,$K$1:K1183,K1183,$L$1:L1183,L1183),IF(LEN(COUNTIFS($H$1:H1183,$H1183,$I$1:I1183,$I1183,$J$1:J1183,$J1183,$K$1:K1183,K1183,$L$1:L1183,L1183))=2,"0"&amp;COUNTIFS($H$1:H1183,$H1183,$I$1:I1183,$I1183,$J$1:J1183,$J1183,$K$1:K1183,K1183,$L$1:L1183,L1183),COUNTIFS($H$1:H1183,$H1183,$I$1:I1183,$I1183,$J$1:J1183,$J1183,$K$1:K1183,K1183,$L$1:L1183,L1183)))</f>
        <v>000</v>
      </c>
      <c r="N118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83" s="14" t="e">
        <f>+LEN(Table4[[#This Row],[New Item Code]])</f>
        <v>#N/A</v>
      </c>
      <c r="P1183" s="15" t="s">
        <v>4747</v>
      </c>
      <c r="Q1183" s="15" t="s">
        <v>4749</v>
      </c>
      <c r="R1183" s="15"/>
      <c r="S1183" s="15"/>
      <c r="T1183" s="15" t="e">
        <v>#N/A</v>
      </c>
    </row>
    <row r="1184" spans="1:20" x14ac:dyDescent="0.35">
      <c r="A1184" s="2" t="s">
        <v>2369</v>
      </c>
      <c r="B1184" s="2" t="s">
        <v>2370</v>
      </c>
      <c r="C1184" s="2" t="e">
        <v>#N/A</v>
      </c>
      <c r="D1184" s="2">
        <v>0</v>
      </c>
      <c r="E1184" s="2" t="e">
        <v>#N/A</v>
      </c>
      <c r="F1184" s="2">
        <v>0</v>
      </c>
      <c r="G1184" s="22">
        <f>Table4[[#This Row],[Item Cost]]*Table4[[#This Row],[In Stock]]</f>
        <v>0</v>
      </c>
      <c r="H1184" s="12" t="s">
        <v>4752</v>
      </c>
      <c r="I1184" s="13"/>
      <c r="J1184" s="13"/>
      <c r="K1184" s="13"/>
      <c r="L1184" s="12" t="s">
        <v>4672</v>
      </c>
      <c r="M1184" s="17" t="str">
        <f>IF(LEN(COUNTIFS($H$1:H1184,$H1184,$I$1:I1184,$I1184,$J$1:J1184,$J1184,$K$1:K1184,K1184,$L$1:L1184,L1184))=1,"00"&amp;COUNTIFS($H$1:H1184,$H1184,$I$1:I1184,$I1184,$J$1:J1184,$J1184,$K$1:K1184,K1184,$L$1:L1184,L1184),IF(LEN(COUNTIFS($H$1:H1184,$H1184,$I$1:I1184,$I1184,$J$1:J1184,$J1184,$K$1:K1184,K1184,$L$1:L1184,L1184))=2,"0"&amp;COUNTIFS($H$1:H1184,$H1184,$I$1:I1184,$I1184,$J$1:J1184,$J1184,$K$1:K1184,K1184,$L$1:L1184,L1184),COUNTIFS($H$1:H1184,$H1184,$I$1:I1184,$I1184,$J$1:J1184,$J1184,$K$1:K1184,K1184,$L$1:L1184,L1184)))</f>
        <v>000</v>
      </c>
      <c r="N118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84" s="14" t="e">
        <f>+LEN(Table4[[#This Row],[New Item Code]])</f>
        <v>#N/A</v>
      </c>
      <c r="P1184" s="15" t="s">
        <v>4747</v>
      </c>
      <c r="Q1184" s="15" t="s">
        <v>4749</v>
      </c>
      <c r="R1184" s="15"/>
      <c r="S1184" s="15"/>
      <c r="T1184" s="15" t="e">
        <v>#N/A</v>
      </c>
    </row>
    <row r="1185" spans="1:20" x14ac:dyDescent="0.35">
      <c r="A1185" s="3" t="s">
        <v>2371</v>
      </c>
      <c r="B1185" s="3" t="s">
        <v>2372</v>
      </c>
      <c r="C1185" s="3" t="e">
        <v>#N/A</v>
      </c>
      <c r="D1185" s="3">
        <v>0</v>
      </c>
      <c r="E1185" s="3" t="e">
        <v>#N/A</v>
      </c>
      <c r="F1185" s="3">
        <v>0</v>
      </c>
      <c r="G1185" s="21">
        <f>Table4[[#This Row],[Item Cost]]*Table4[[#This Row],[In Stock]]</f>
        <v>0</v>
      </c>
      <c r="H1185" s="12" t="s">
        <v>4752</v>
      </c>
      <c r="I1185" s="13"/>
      <c r="J1185" s="13"/>
      <c r="K1185" s="13"/>
      <c r="L1185" s="12" t="s">
        <v>4672</v>
      </c>
      <c r="M1185" s="17" t="str">
        <f>IF(LEN(COUNTIFS($H$1:H1185,$H1185,$I$1:I1185,$I1185,$J$1:J1185,$J1185,$K$1:K1185,K1185,$L$1:L1185,L1185))=1,"00"&amp;COUNTIFS($H$1:H1185,$H1185,$I$1:I1185,$I1185,$J$1:J1185,$J1185,$K$1:K1185,K1185,$L$1:L1185,L1185),IF(LEN(COUNTIFS($H$1:H1185,$H1185,$I$1:I1185,$I1185,$J$1:J1185,$J1185,$K$1:K1185,K1185,$L$1:L1185,L1185))=2,"0"&amp;COUNTIFS($H$1:H1185,$H1185,$I$1:I1185,$I1185,$J$1:J1185,$J1185,$K$1:K1185,K1185,$L$1:L1185,L1185),COUNTIFS($H$1:H1185,$H1185,$I$1:I1185,$I1185,$J$1:J1185,$J1185,$K$1:K1185,K1185,$L$1:L1185,L1185)))</f>
        <v>000</v>
      </c>
      <c r="N118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85" s="14" t="e">
        <f>+LEN(Table4[[#This Row],[New Item Code]])</f>
        <v>#N/A</v>
      </c>
      <c r="P1185" s="15" t="s">
        <v>4747</v>
      </c>
      <c r="Q1185" s="15" t="s">
        <v>4749</v>
      </c>
      <c r="R1185" s="15"/>
      <c r="S1185" s="15"/>
      <c r="T1185" s="15" t="e">
        <v>#N/A</v>
      </c>
    </row>
    <row r="1186" spans="1:20" x14ac:dyDescent="0.35">
      <c r="A1186" s="2" t="s">
        <v>2373</v>
      </c>
      <c r="B1186" s="2" t="s">
        <v>2374</v>
      </c>
      <c r="C1186" s="2" t="e">
        <v>#N/A</v>
      </c>
      <c r="D1186" s="2">
        <v>0</v>
      </c>
      <c r="E1186" s="2" t="e">
        <v>#N/A</v>
      </c>
      <c r="F1186" s="2">
        <v>0</v>
      </c>
      <c r="G1186" s="22">
        <f>Table4[[#This Row],[Item Cost]]*Table4[[#This Row],[In Stock]]</f>
        <v>0</v>
      </c>
      <c r="H1186" s="12" t="s">
        <v>4752</v>
      </c>
      <c r="I1186" s="13"/>
      <c r="J1186" s="13"/>
      <c r="K1186" s="13"/>
      <c r="L1186" s="12" t="s">
        <v>4672</v>
      </c>
      <c r="M1186" s="17" t="str">
        <f>IF(LEN(COUNTIFS($H$1:H1186,$H1186,$I$1:I1186,$I1186,$J$1:J1186,$J1186,$K$1:K1186,K1186,$L$1:L1186,L1186))=1,"00"&amp;COUNTIFS($H$1:H1186,$H1186,$I$1:I1186,$I1186,$J$1:J1186,$J1186,$K$1:K1186,K1186,$L$1:L1186,L1186),IF(LEN(COUNTIFS($H$1:H1186,$H1186,$I$1:I1186,$I1186,$J$1:J1186,$J1186,$K$1:K1186,K1186,$L$1:L1186,L1186))=2,"0"&amp;COUNTIFS($H$1:H1186,$H1186,$I$1:I1186,$I1186,$J$1:J1186,$J1186,$K$1:K1186,K1186,$L$1:L1186,L1186),COUNTIFS($H$1:H1186,$H1186,$I$1:I1186,$I1186,$J$1:J1186,$J1186,$K$1:K1186,K1186,$L$1:L1186,L1186)))</f>
        <v>000</v>
      </c>
      <c r="N118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86" s="14" t="e">
        <f>+LEN(Table4[[#This Row],[New Item Code]])</f>
        <v>#N/A</v>
      </c>
      <c r="P1186" s="15" t="s">
        <v>4747</v>
      </c>
      <c r="Q1186" s="15" t="s">
        <v>4749</v>
      </c>
      <c r="R1186" s="15"/>
      <c r="S1186" s="15"/>
      <c r="T1186" s="15" t="e">
        <v>#N/A</v>
      </c>
    </row>
    <row r="1187" spans="1:20" x14ac:dyDescent="0.35">
      <c r="A1187" s="3" t="s">
        <v>2375</v>
      </c>
      <c r="B1187" s="3" t="s">
        <v>2376</v>
      </c>
      <c r="C1187" s="3" t="e">
        <v>#N/A</v>
      </c>
      <c r="D1187" s="3">
        <v>0</v>
      </c>
      <c r="E1187" s="3" t="e">
        <v>#N/A</v>
      </c>
      <c r="F1187" s="3">
        <v>0</v>
      </c>
      <c r="G1187" s="21">
        <f>Table4[[#This Row],[Item Cost]]*Table4[[#This Row],[In Stock]]</f>
        <v>0</v>
      </c>
      <c r="H1187" s="12" t="s">
        <v>4752</v>
      </c>
      <c r="I1187" s="13"/>
      <c r="J1187" s="13"/>
      <c r="K1187" s="13"/>
      <c r="L1187" s="12" t="s">
        <v>4672</v>
      </c>
      <c r="M1187" s="17" t="str">
        <f>IF(LEN(COUNTIFS($H$1:H1187,$H1187,$I$1:I1187,$I1187,$J$1:J1187,$J1187,$K$1:K1187,K1187,$L$1:L1187,L1187))=1,"00"&amp;COUNTIFS($H$1:H1187,$H1187,$I$1:I1187,$I1187,$J$1:J1187,$J1187,$K$1:K1187,K1187,$L$1:L1187,L1187),IF(LEN(COUNTIFS($H$1:H1187,$H1187,$I$1:I1187,$I1187,$J$1:J1187,$J1187,$K$1:K1187,K1187,$L$1:L1187,L1187))=2,"0"&amp;COUNTIFS($H$1:H1187,$H1187,$I$1:I1187,$I1187,$J$1:J1187,$J1187,$K$1:K1187,K1187,$L$1:L1187,L1187),COUNTIFS($H$1:H1187,$H1187,$I$1:I1187,$I1187,$J$1:J1187,$J1187,$K$1:K1187,K1187,$L$1:L1187,L1187)))</f>
        <v>000</v>
      </c>
      <c r="N118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87" s="14" t="e">
        <f>+LEN(Table4[[#This Row],[New Item Code]])</f>
        <v>#N/A</v>
      </c>
      <c r="P1187" s="15" t="s">
        <v>4747</v>
      </c>
      <c r="Q1187" s="15" t="s">
        <v>4749</v>
      </c>
      <c r="R1187" s="15"/>
      <c r="S1187" s="15"/>
      <c r="T1187" s="15" t="e">
        <v>#N/A</v>
      </c>
    </row>
    <row r="1188" spans="1:20" x14ac:dyDescent="0.35">
      <c r="A1188" s="2" t="s">
        <v>2377</v>
      </c>
      <c r="B1188" s="2" t="s">
        <v>2378</v>
      </c>
      <c r="C1188" s="2" t="e">
        <v>#N/A</v>
      </c>
      <c r="D1188" s="2">
        <v>0</v>
      </c>
      <c r="E1188" s="2" t="e">
        <v>#N/A</v>
      </c>
      <c r="F1188" s="2">
        <v>0</v>
      </c>
      <c r="G1188" s="22">
        <f>Table4[[#This Row],[Item Cost]]*Table4[[#This Row],[In Stock]]</f>
        <v>0</v>
      </c>
      <c r="H1188" s="12" t="s">
        <v>4752</v>
      </c>
      <c r="I1188" s="13"/>
      <c r="J1188" s="13"/>
      <c r="K1188" s="13"/>
      <c r="L1188" s="12" t="s">
        <v>4672</v>
      </c>
      <c r="M1188" s="17" t="str">
        <f>IF(LEN(COUNTIFS($H$1:H1188,$H1188,$I$1:I1188,$I1188,$J$1:J1188,$J1188,$K$1:K1188,K1188,$L$1:L1188,L1188))=1,"00"&amp;COUNTIFS($H$1:H1188,$H1188,$I$1:I1188,$I1188,$J$1:J1188,$J1188,$K$1:K1188,K1188,$L$1:L1188,L1188),IF(LEN(COUNTIFS($H$1:H1188,$H1188,$I$1:I1188,$I1188,$J$1:J1188,$J1188,$K$1:K1188,K1188,$L$1:L1188,L1188))=2,"0"&amp;COUNTIFS($H$1:H1188,$H1188,$I$1:I1188,$I1188,$J$1:J1188,$J1188,$K$1:K1188,K1188,$L$1:L1188,L1188),COUNTIFS($H$1:H1188,$H1188,$I$1:I1188,$I1188,$J$1:J1188,$J1188,$K$1:K1188,K1188,$L$1:L1188,L1188)))</f>
        <v>000</v>
      </c>
      <c r="N118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88" s="14" t="e">
        <f>+LEN(Table4[[#This Row],[New Item Code]])</f>
        <v>#N/A</v>
      </c>
      <c r="P1188" s="15" t="s">
        <v>4747</v>
      </c>
      <c r="Q1188" s="15" t="s">
        <v>4749</v>
      </c>
      <c r="R1188" s="15"/>
      <c r="S1188" s="15"/>
      <c r="T1188" s="15" t="e">
        <v>#N/A</v>
      </c>
    </row>
    <row r="1189" spans="1:20" x14ac:dyDescent="0.35">
      <c r="A1189" s="3" t="s">
        <v>2379</v>
      </c>
      <c r="B1189" s="3" t="s">
        <v>2380</v>
      </c>
      <c r="C1189" s="3" t="e">
        <v>#N/A</v>
      </c>
      <c r="D1189" s="3">
        <v>0</v>
      </c>
      <c r="E1189" s="3" t="e">
        <v>#N/A</v>
      </c>
      <c r="F1189" s="3">
        <v>0</v>
      </c>
      <c r="G1189" s="21">
        <f>Table4[[#This Row],[Item Cost]]*Table4[[#This Row],[In Stock]]</f>
        <v>0</v>
      </c>
      <c r="H1189" s="12" t="s">
        <v>4752</v>
      </c>
      <c r="I1189" s="13"/>
      <c r="J1189" s="13"/>
      <c r="K1189" s="13"/>
      <c r="L1189" s="12" t="s">
        <v>4672</v>
      </c>
      <c r="M1189" s="17" t="str">
        <f>IF(LEN(COUNTIFS($H$1:H1189,$H1189,$I$1:I1189,$I1189,$J$1:J1189,$J1189,$K$1:K1189,K1189,$L$1:L1189,L1189))=1,"00"&amp;COUNTIFS($H$1:H1189,$H1189,$I$1:I1189,$I1189,$J$1:J1189,$J1189,$K$1:K1189,K1189,$L$1:L1189,L1189),IF(LEN(COUNTIFS($H$1:H1189,$H1189,$I$1:I1189,$I1189,$J$1:J1189,$J1189,$K$1:K1189,K1189,$L$1:L1189,L1189))=2,"0"&amp;COUNTIFS($H$1:H1189,$H1189,$I$1:I1189,$I1189,$J$1:J1189,$J1189,$K$1:K1189,K1189,$L$1:L1189,L1189),COUNTIFS($H$1:H1189,$H1189,$I$1:I1189,$I1189,$J$1:J1189,$J1189,$K$1:K1189,K1189,$L$1:L1189,L1189)))</f>
        <v>000</v>
      </c>
      <c r="N118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89" s="14" t="e">
        <f>+LEN(Table4[[#This Row],[New Item Code]])</f>
        <v>#N/A</v>
      </c>
      <c r="P1189" s="15" t="s">
        <v>4747</v>
      </c>
      <c r="Q1189" s="15" t="s">
        <v>4749</v>
      </c>
      <c r="R1189" s="15"/>
      <c r="S1189" s="15"/>
      <c r="T1189" s="15" t="e">
        <v>#N/A</v>
      </c>
    </row>
    <row r="1190" spans="1:20" x14ac:dyDescent="0.35">
      <c r="A1190" s="2" t="s">
        <v>2381</v>
      </c>
      <c r="B1190" s="2" t="s">
        <v>2382</v>
      </c>
      <c r="C1190" s="2" t="e">
        <v>#N/A</v>
      </c>
      <c r="D1190" s="2">
        <v>0</v>
      </c>
      <c r="E1190" s="2" t="e">
        <v>#N/A</v>
      </c>
      <c r="F1190" s="2">
        <v>0</v>
      </c>
      <c r="G1190" s="22">
        <f>Table4[[#This Row],[Item Cost]]*Table4[[#This Row],[In Stock]]</f>
        <v>0</v>
      </c>
      <c r="H1190" s="12" t="s">
        <v>4752</v>
      </c>
      <c r="I1190" s="13"/>
      <c r="J1190" s="13"/>
      <c r="K1190" s="13"/>
      <c r="L1190" s="12" t="s">
        <v>4672</v>
      </c>
      <c r="M1190" s="17" t="str">
        <f>IF(LEN(COUNTIFS($H$1:H1190,$H1190,$I$1:I1190,$I1190,$J$1:J1190,$J1190,$K$1:K1190,K1190,$L$1:L1190,L1190))=1,"00"&amp;COUNTIFS($H$1:H1190,$H1190,$I$1:I1190,$I1190,$J$1:J1190,$J1190,$K$1:K1190,K1190,$L$1:L1190,L1190),IF(LEN(COUNTIFS($H$1:H1190,$H1190,$I$1:I1190,$I1190,$J$1:J1190,$J1190,$K$1:K1190,K1190,$L$1:L1190,L1190))=2,"0"&amp;COUNTIFS($H$1:H1190,$H1190,$I$1:I1190,$I1190,$J$1:J1190,$J1190,$K$1:K1190,K1190,$L$1:L1190,L1190),COUNTIFS($H$1:H1190,$H1190,$I$1:I1190,$I1190,$J$1:J1190,$J1190,$K$1:K1190,K1190,$L$1:L1190,L1190)))</f>
        <v>000</v>
      </c>
      <c r="N119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90" s="14" t="e">
        <f>+LEN(Table4[[#This Row],[New Item Code]])</f>
        <v>#N/A</v>
      </c>
      <c r="P1190" s="15" t="s">
        <v>4747</v>
      </c>
      <c r="Q1190" s="15" t="s">
        <v>4749</v>
      </c>
      <c r="R1190" s="15"/>
      <c r="S1190" s="15"/>
      <c r="T1190" s="15" t="e">
        <v>#N/A</v>
      </c>
    </row>
    <row r="1191" spans="1:20" x14ac:dyDescent="0.35">
      <c r="A1191" s="3" t="s">
        <v>2383</v>
      </c>
      <c r="B1191" s="3" t="s">
        <v>2384</v>
      </c>
      <c r="C1191" s="3" t="e">
        <v>#N/A</v>
      </c>
      <c r="D1191" s="3">
        <v>0</v>
      </c>
      <c r="E1191" s="3" t="e">
        <v>#N/A</v>
      </c>
      <c r="F1191" s="3">
        <v>0</v>
      </c>
      <c r="G1191" s="21">
        <f>Table4[[#This Row],[Item Cost]]*Table4[[#This Row],[In Stock]]</f>
        <v>0</v>
      </c>
      <c r="H1191" s="12" t="s">
        <v>4752</v>
      </c>
      <c r="I1191" s="13"/>
      <c r="J1191" s="13"/>
      <c r="K1191" s="13"/>
      <c r="L1191" s="12" t="s">
        <v>4672</v>
      </c>
      <c r="M1191" s="17" t="str">
        <f>IF(LEN(COUNTIFS($H$1:H1191,$H1191,$I$1:I1191,$I1191,$J$1:J1191,$J1191,$K$1:K1191,K1191,$L$1:L1191,L1191))=1,"00"&amp;COUNTIFS($H$1:H1191,$H1191,$I$1:I1191,$I1191,$J$1:J1191,$J1191,$K$1:K1191,K1191,$L$1:L1191,L1191),IF(LEN(COUNTIFS($H$1:H1191,$H1191,$I$1:I1191,$I1191,$J$1:J1191,$J1191,$K$1:K1191,K1191,$L$1:L1191,L1191))=2,"0"&amp;COUNTIFS($H$1:H1191,$H1191,$I$1:I1191,$I1191,$J$1:J1191,$J1191,$K$1:K1191,K1191,$L$1:L1191,L1191),COUNTIFS($H$1:H1191,$H1191,$I$1:I1191,$I1191,$J$1:J1191,$J1191,$K$1:K1191,K1191,$L$1:L1191,L1191)))</f>
        <v>000</v>
      </c>
      <c r="N119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91" s="14" t="e">
        <f>+LEN(Table4[[#This Row],[New Item Code]])</f>
        <v>#N/A</v>
      </c>
      <c r="P1191" s="15" t="s">
        <v>4747</v>
      </c>
      <c r="Q1191" s="15" t="s">
        <v>4749</v>
      </c>
      <c r="R1191" s="15"/>
      <c r="S1191" s="15"/>
      <c r="T1191" s="15" t="e">
        <v>#N/A</v>
      </c>
    </row>
    <row r="1192" spans="1:20" x14ac:dyDescent="0.35">
      <c r="A1192" s="2" t="s">
        <v>2385</v>
      </c>
      <c r="B1192" s="2" t="s">
        <v>2386</v>
      </c>
      <c r="C1192" s="2" t="e">
        <v>#N/A</v>
      </c>
      <c r="D1192" s="2">
        <v>0</v>
      </c>
      <c r="E1192" s="2" t="e">
        <v>#N/A</v>
      </c>
      <c r="F1192" s="2">
        <v>0</v>
      </c>
      <c r="G1192" s="22">
        <f>Table4[[#This Row],[Item Cost]]*Table4[[#This Row],[In Stock]]</f>
        <v>0</v>
      </c>
      <c r="H1192" s="12" t="s">
        <v>4752</v>
      </c>
      <c r="I1192" s="13"/>
      <c r="J1192" s="13"/>
      <c r="K1192" s="13"/>
      <c r="L1192" s="12" t="s">
        <v>4672</v>
      </c>
      <c r="M1192" s="17" t="str">
        <f>IF(LEN(COUNTIFS($H$1:H1192,$H1192,$I$1:I1192,$I1192,$J$1:J1192,$J1192,$K$1:K1192,K1192,$L$1:L1192,L1192))=1,"00"&amp;COUNTIFS($H$1:H1192,$H1192,$I$1:I1192,$I1192,$J$1:J1192,$J1192,$K$1:K1192,K1192,$L$1:L1192,L1192),IF(LEN(COUNTIFS($H$1:H1192,$H1192,$I$1:I1192,$I1192,$J$1:J1192,$J1192,$K$1:K1192,K1192,$L$1:L1192,L1192))=2,"0"&amp;COUNTIFS($H$1:H1192,$H1192,$I$1:I1192,$I1192,$J$1:J1192,$J1192,$K$1:K1192,K1192,$L$1:L1192,L1192),COUNTIFS($H$1:H1192,$H1192,$I$1:I1192,$I1192,$J$1:J1192,$J1192,$K$1:K1192,K1192,$L$1:L1192,L1192)))</f>
        <v>000</v>
      </c>
      <c r="N119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92" s="14" t="e">
        <f>+LEN(Table4[[#This Row],[New Item Code]])</f>
        <v>#N/A</v>
      </c>
      <c r="P1192" s="15" t="s">
        <v>4747</v>
      </c>
      <c r="Q1192" s="15" t="s">
        <v>4749</v>
      </c>
      <c r="R1192" s="15"/>
      <c r="S1192" s="15"/>
      <c r="T1192" s="15" t="e">
        <v>#N/A</v>
      </c>
    </row>
    <row r="1193" spans="1:20" x14ac:dyDescent="0.35">
      <c r="A1193" s="3" t="s">
        <v>2387</v>
      </c>
      <c r="B1193" s="3" t="s">
        <v>2388</v>
      </c>
      <c r="C1193" s="3" t="e">
        <v>#N/A</v>
      </c>
      <c r="D1193" s="3">
        <v>0</v>
      </c>
      <c r="E1193" s="3" t="e">
        <v>#N/A</v>
      </c>
      <c r="F1193" s="3">
        <v>0</v>
      </c>
      <c r="G1193" s="21">
        <f>Table4[[#This Row],[Item Cost]]*Table4[[#This Row],[In Stock]]</f>
        <v>0</v>
      </c>
      <c r="H1193" s="12" t="s">
        <v>4752</v>
      </c>
      <c r="I1193" s="13"/>
      <c r="J1193" s="13"/>
      <c r="K1193" s="13"/>
      <c r="L1193" s="12" t="s">
        <v>4672</v>
      </c>
      <c r="M1193" s="17" t="str">
        <f>IF(LEN(COUNTIFS($H$1:H1193,$H1193,$I$1:I1193,$I1193,$J$1:J1193,$J1193,$K$1:K1193,K1193,$L$1:L1193,L1193))=1,"00"&amp;COUNTIFS($H$1:H1193,$H1193,$I$1:I1193,$I1193,$J$1:J1193,$J1193,$K$1:K1193,K1193,$L$1:L1193,L1193),IF(LEN(COUNTIFS($H$1:H1193,$H1193,$I$1:I1193,$I1193,$J$1:J1193,$J1193,$K$1:K1193,K1193,$L$1:L1193,L1193))=2,"0"&amp;COUNTIFS($H$1:H1193,$H1193,$I$1:I1193,$I1193,$J$1:J1193,$J1193,$K$1:K1193,K1193,$L$1:L1193,L1193),COUNTIFS($H$1:H1193,$H1193,$I$1:I1193,$I1193,$J$1:J1193,$J1193,$K$1:K1193,K1193,$L$1:L1193,L1193)))</f>
        <v>000</v>
      </c>
      <c r="N119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93" s="14" t="e">
        <f>+LEN(Table4[[#This Row],[New Item Code]])</f>
        <v>#N/A</v>
      </c>
      <c r="P1193" s="15" t="s">
        <v>4747</v>
      </c>
      <c r="Q1193" s="15" t="s">
        <v>4749</v>
      </c>
      <c r="R1193" s="15"/>
      <c r="S1193" s="15"/>
      <c r="T1193" s="15" t="e">
        <v>#N/A</v>
      </c>
    </row>
    <row r="1194" spans="1:20" x14ac:dyDescent="0.35">
      <c r="A1194" s="2" t="s">
        <v>2389</v>
      </c>
      <c r="B1194" s="2" t="s">
        <v>2390</v>
      </c>
      <c r="C1194" s="2" t="e">
        <v>#N/A</v>
      </c>
      <c r="D1194" s="2">
        <v>0</v>
      </c>
      <c r="E1194" s="2" t="e">
        <v>#N/A</v>
      </c>
      <c r="F1194" s="2">
        <v>0</v>
      </c>
      <c r="G1194" s="22">
        <f>Table4[[#This Row],[Item Cost]]*Table4[[#This Row],[In Stock]]</f>
        <v>0</v>
      </c>
      <c r="H1194" s="12" t="s">
        <v>4752</v>
      </c>
      <c r="I1194" s="13"/>
      <c r="J1194" s="13"/>
      <c r="K1194" s="13"/>
      <c r="L1194" s="12" t="s">
        <v>4672</v>
      </c>
      <c r="M1194" s="17" t="str">
        <f>IF(LEN(COUNTIFS($H$1:H1194,$H1194,$I$1:I1194,$I1194,$J$1:J1194,$J1194,$K$1:K1194,K1194,$L$1:L1194,L1194))=1,"00"&amp;COUNTIFS($H$1:H1194,$H1194,$I$1:I1194,$I1194,$J$1:J1194,$J1194,$K$1:K1194,K1194,$L$1:L1194,L1194),IF(LEN(COUNTIFS($H$1:H1194,$H1194,$I$1:I1194,$I1194,$J$1:J1194,$J1194,$K$1:K1194,K1194,$L$1:L1194,L1194))=2,"0"&amp;COUNTIFS($H$1:H1194,$H1194,$I$1:I1194,$I1194,$J$1:J1194,$J1194,$K$1:K1194,K1194,$L$1:L1194,L1194),COUNTIFS($H$1:H1194,$H1194,$I$1:I1194,$I1194,$J$1:J1194,$J1194,$K$1:K1194,K1194,$L$1:L1194,L1194)))</f>
        <v>000</v>
      </c>
      <c r="N119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94" s="14" t="e">
        <f>+LEN(Table4[[#This Row],[New Item Code]])</f>
        <v>#N/A</v>
      </c>
      <c r="P1194" s="15" t="s">
        <v>4747</v>
      </c>
      <c r="Q1194" s="15" t="s">
        <v>4749</v>
      </c>
      <c r="R1194" s="15"/>
      <c r="S1194" s="15"/>
      <c r="T1194" s="15" t="e">
        <v>#N/A</v>
      </c>
    </row>
    <row r="1195" spans="1:20" x14ac:dyDescent="0.35">
      <c r="A1195" s="3" t="s">
        <v>2391</v>
      </c>
      <c r="B1195" s="3" t="s">
        <v>2392</v>
      </c>
      <c r="C1195" s="3" t="e">
        <v>#N/A</v>
      </c>
      <c r="D1195" s="3">
        <v>0</v>
      </c>
      <c r="E1195" s="3" t="e">
        <v>#N/A</v>
      </c>
      <c r="F1195" s="3">
        <v>0</v>
      </c>
      <c r="G1195" s="21">
        <f>Table4[[#This Row],[Item Cost]]*Table4[[#This Row],[In Stock]]</f>
        <v>0</v>
      </c>
      <c r="H1195" s="12" t="s">
        <v>4752</v>
      </c>
      <c r="I1195" s="13"/>
      <c r="J1195" s="13"/>
      <c r="K1195" s="13"/>
      <c r="L1195" s="12" t="s">
        <v>4672</v>
      </c>
      <c r="M1195" s="17" t="str">
        <f>IF(LEN(COUNTIFS($H$1:H1195,$H1195,$I$1:I1195,$I1195,$J$1:J1195,$J1195,$K$1:K1195,K1195,$L$1:L1195,L1195))=1,"00"&amp;COUNTIFS($H$1:H1195,$H1195,$I$1:I1195,$I1195,$J$1:J1195,$J1195,$K$1:K1195,K1195,$L$1:L1195,L1195),IF(LEN(COUNTIFS($H$1:H1195,$H1195,$I$1:I1195,$I1195,$J$1:J1195,$J1195,$K$1:K1195,K1195,$L$1:L1195,L1195))=2,"0"&amp;COUNTIFS($H$1:H1195,$H1195,$I$1:I1195,$I1195,$J$1:J1195,$J1195,$K$1:K1195,K1195,$L$1:L1195,L1195),COUNTIFS($H$1:H1195,$H1195,$I$1:I1195,$I1195,$J$1:J1195,$J1195,$K$1:K1195,K1195,$L$1:L1195,L1195)))</f>
        <v>000</v>
      </c>
      <c r="N119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95" s="14" t="e">
        <f>+LEN(Table4[[#This Row],[New Item Code]])</f>
        <v>#N/A</v>
      </c>
      <c r="P1195" s="15" t="s">
        <v>4747</v>
      </c>
      <c r="Q1195" s="15" t="s">
        <v>4749</v>
      </c>
      <c r="R1195" s="15"/>
      <c r="S1195" s="15"/>
      <c r="T1195" s="15" t="e">
        <v>#N/A</v>
      </c>
    </row>
    <row r="1196" spans="1:20" x14ac:dyDescent="0.35">
      <c r="A1196" s="2" t="s">
        <v>2393</v>
      </c>
      <c r="B1196" s="2" t="s">
        <v>2394</v>
      </c>
      <c r="C1196" s="2" t="e">
        <v>#N/A</v>
      </c>
      <c r="D1196" s="2">
        <v>0</v>
      </c>
      <c r="E1196" s="2" t="e">
        <v>#N/A</v>
      </c>
      <c r="F1196" s="2">
        <v>0</v>
      </c>
      <c r="G1196" s="22">
        <f>Table4[[#This Row],[Item Cost]]*Table4[[#This Row],[In Stock]]</f>
        <v>0</v>
      </c>
      <c r="H1196" s="12" t="s">
        <v>4752</v>
      </c>
      <c r="I1196" s="13"/>
      <c r="J1196" s="13"/>
      <c r="K1196" s="13"/>
      <c r="L1196" s="12" t="s">
        <v>4672</v>
      </c>
      <c r="M1196" s="17" t="str">
        <f>IF(LEN(COUNTIFS($H$1:H1196,$H1196,$I$1:I1196,$I1196,$J$1:J1196,$J1196,$K$1:K1196,K1196,$L$1:L1196,L1196))=1,"00"&amp;COUNTIFS($H$1:H1196,$H1196,$I$1:I1196,$I1196,$J$1:J1196,$J1196,$K$1:K1196,K1196,$L$1:L1196,L1196),IF(LEN(COUNTIFS($H$1:H1196,$H1196,$I$1:I1196,$I1196,$J$1:J1196,$J1196,$K$1:K1196,K1196,$L$1:L1196,L1196))=2,"0"&amp;COUNTIFS($H$1:H1196,$H1196,$I$1:I1196,$I1196,$J$1:J1196,$J1196,$K$1:K1196,K1196,$L$1:L1196,L1196),COUNTIFS($H$1:H1196,$H1196,$I$1:I1196,$I1196,$J$1:J1196,$J1196,$K$1:K1196,K1196,$L$1:L1196,L1196)))</f>
        <v>000</v>
      </c>
      <c r="N119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96" s="14" t="e">
        <f>+LEN(Table4[[#This Row],[New Item Code]])</f>
        <v>#N/A</v>
      </c>
      <c r="P1196" s="15" t="s">
        <v>4747</v>
      </c>
      <c r="Q1196" s="15" t="s">
        <v>4749</v>
      </c>
      <c r="R1196" s="15"/>
      <c r="S1196" s="15"/>
      <c r="T1196" s="15" t="e">
        <v>#N/A</v>
      </c>
    </row>
    <row r="1197" spans="1:20" x14ac:dyDescent="0.35">
      <c r="A1197" s="3" t="s">
        <v>2395</v>
      </c>
      <c r="B1197" s="3" t="s">
        <v>2396</v>
      </c>
      <c r="C1197" s="3" t="e">
        <v>#N/A</v>
      </c>
      <c r="D1197" s="3">
        <v>0</v>
      </c>
      <c r="E1197" s="3" t="e">
        <v>#N/A</v>
      </c>
      <c r="F1197" s="3">
        <v>0</v>
      </c>
      <c r="G1197" s="21">
        <f>Table4[[#This Row],[Item Cost]]*Table4[[#This Row],[In Stock]]</f>
        <v>0</v>
      </c>
      <c r="H1197" s="12" t="s">
        <v>4752</v>
      </c>
      <c r="I1197" s="13"/>
      <c r="J1197" s="13"/>
      <c r="K1197" s="13"/>
      <c r="L1197" s="12" t="s">
        <v>4672</v>
      </c>
      <c r="M1197" s="17" t="str">
        <f>IF(LEN(COUNTIFS($H$1:H1197,$H1197,$I$1:I1197,$I1197,$J$1:J1197,$J1197,$K$1:K1197,K1197,$L$1:L1197,L1197))=1,"00"&amp;COUNTIFS($H$1:H1197,$H1197,$I$1:I1197,$I1197,$J$1:J1197,$J1197,$K$1:K1197,K1197,$L$1:L1197,L1197),IF(LEN(COUNTIFS($H$1:H1197,$H1197,$I$1:I1197,$I1197,$J$1:J1197,$J1197,$K$1:K1197,K1197,$L$1:L1197,L1197))=2,"0"&amp;COUNTIFS($H$1:H1197,$H1197,$I$1:I1197,$I1197,$J$1:J1197,$J1197,$K$1:K1197,K1197,$L$1:L1197,L1197),COUNTIFS($H$1:H1197,$H1197,$I$1:I1197,$I1197,$J$1:J1197,$J1197,$K$1:K1197,K1197,$L$1:L1197,L1197)))</f>
        <v>000</v>
      </c>
      <c r="N119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97" s="14" t="e">
        <f>+LEN(Table4[[#This Row],[New Item Code]])</f>
        <v>#N/A</v>
      </c>
      <c r="P1197" s="15" t="s">
        <v>4747</v>
      </c>
      <c r="Q1197" s="15" t="s">
        <v>4749</v>
      </c>
      <c r="R1197" s="15"/>
      <c r="S1197" s="15"/>
      <c r="T1197" s="15" t="e">
        <v>#N/A</v>
      </c>
    </row>
    <row r="1198" spans="1:20" x14ac:dyDescent="0.35">
      <c r="A1198" s="2" t="s">
        <v>2397</v>
      </c>
      <c r="B1198" s="2" t="s">
        <v>2398</v>
      </c>
      <c r="C1198" s="2" t="e">
        <v>#N/A</v>
      </c>
      <c r="D1198" s="2">
        <v>0</v>
      </c>
      <c r="E1198" s="2" t="e">
        <v>#N/A</v>
      </c>
      <c r="F1198" s="2">
        <v>0</v>
      </c>
      <c r="G1198" s="22">
        <f>Table4[[#This Row],[Item Cost]]*Table4[[#This Row],[In Stock]]</f>
        <v>0</v>
      </c>
      <c r="H1198" s="12" t="s">
        <v>4752</v>
      </c>
      <c r="I1198" s="13"/>
      <c r="J1198" s="13"/>
      <c r="K1198" s="13"/>
      <c r="L1198" s="12" t="s">
        <v>4672</v>
      </c>
      <c r="M1198" s="17" t="str">
        <f>IF(LEN(COUNTIFS($H$1:H1198,$H1198,$I$1:I1198,$I1198,$J$1:J1198,$J1198,$K$1:K1198,K1198,$L$1:L1198,L1198))=1,"00"&amp;COUNTIFS($H$1:H1198,$H1198,$I$1:I1198,$I1198,$J$1:J1198,$J1198,$K$1:K1198,K1198,$L$1:L1198,L1198),IF(LEN(COUNTIFS($H$1:H1198,$H1198,$I$1:I1198,$I1198,$J$1:J1198,$J1198,$K$1:K1198,K1198,$L$1:L1198,L1198))=2,"0"&amp;COUNTIFS($H$1:H1198,$H1198,$I$1:I1198,$I1198,$J$1:J1198,$J1198,$K$1:K1198,K1198,$L$1:L1198,L1198),COUNTIFS($H$1:H1198,$H1198,$I$1:I1198,$I1198,$J$1:J1198,$J1198,$K$1:K1198,K1198,$L$1:L1198,L1198)))</f>
        <v>000</v>
      </c>
      <c r="N119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98" s="14" t="e">
        <f>+LEN(Table4[[#This Row],[New Item Code]])</f>
        <v>#N/A</v>
      </c>
      <c r="P1198" s="15" t="s">
        <v>4747</v>
      </c>
      <c r="Q1198" s="15" t="s">
        <v>4749</v>
      </c>
      <c r="R1198" s="15"/>
      <c r="S1198" s="15"/>
      <c r="T1198" s="15" t="e">
        <v>#N/A</v>
      </c>
    </row>
    <row r="1199" spans="1:20" x14ac:dyDescent="0.35">
      <c r="A1199" s="3" t="s">
        <v>2399</v>
      </c>
      <c r="B1199" s="3" t="s">
        <v>2400</v>
      </c>
      <c r="C1199" s="3" t="e">
        <v>#N/A</v>
      </c>
      <c r="D1199" s="3">
        <v>0</v>
      </c>
      <c r="E1199" s="3" t="e">
        <v>#N/A</v>
      </c>
      <c r="F1199" s="3">
        <v>0</v>
      </c>
      <c r="G1199" s="21">
        <f>Table4[[#This Row],[Item Cost]]*Table4[[#This Row],[In Stock]]</f>
        <v>0</v>
      </c>
      <c r="H1199" s="12" t="s">
        <v>4752</v>
      </c>
      <c r="I1199" s="13"/>
      <c r="J1199" s="13"/>
      <c r="K1199" s="13"/>
      <c r="L1199" s="12" t="s">
        <v>4672</v>
      </c>
      <c r="M1199" s="17" t="str">
        <f>IF(LEN(COUNTIFS($H$1:H1199,$H1199,$I$1:I1199,$I1199,$J$1:J1199,$J1199,$K$1:K1199,K1199,$L$1:L1199,L1199))=1,"00"&amp;COUNTIFS($H$1:H1199,$H1199,$I$1:I1199,$I1199,$J$1:J1199,$J1199,$K$1:K1199,K1199,$L$1:L1199,L1199),IF(LEN(COUNTIFS($H$1:H1199,$H1199,$I$1:I1199,$I1199,$J$1:J1199,$J1199,$K$1:K1199,K1199,$L$1:L1199,L1199))=2,"0"&amp;COUNTIFS($H$1:H1199,$H1199,$I$1:I1199,$I1199,$J$1:J1199,$J1199,$K$1:K1199,K1199,$L$1:L1199,L1199),COUNTIFS($H$1:H1199,$H1199,$I$1:I1199,$I1199,$J$1:J1199,$J1199,$K$1:K1199,K1199,$L$1:L1199,L1199)))</f>
        <v>000</v>
      </c>
      <c r="N119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199" s="14" t="e">
        <f>+LEN(Table4[[#This Row],[New Item Code]])</f>
        <v>#N/A</v>
      </c>
      <c r="P1199" s="15" t="s">
        <v>4747</v>
      </c>
      <c r="Q1199" s="15" t="s">
        <v>4749</v>
      </c>
      <c r="R1199" s="15"/>
      <c r="S1199" s="15"/>
      <c r="T1199" s="15" t="e">
        <v>#N/A</v>
      </c>
    </row>
    <row r="1200" spans="1:20" x14ac:dyDescent="0.35">
      <c r="A1200" s="2" t="s">
        <v>2401</v>
      </c>
      <c r="B1200" s="2" t="s">
        <v>2402</v>
      </c>
      <c r="C1200" s="2" t="e">
        <v>#N/A</v>
      </c>
      <c r="D1200" s="2">
        <v>0</v>
      </c>
      <c r="E1200" s="2" t="e">
        <v>#N/A</v>
      </c>
      <c r="F1200" s="2">
        <v>0</v>
      </c>
      <c r="G1200" s="22">
        <f>Table4[[#This Row],[Item Cost]]*Table4[[#This Row],[In Stock]]</f>
        <v>0</v>
      </c>
      <c r="H1200" s="12" t="s">
        <v>4752</v>
      </c>
      <c r="I1200" s="13"/>
      <c r="J1200" s="13"/>
      <c r="K1200" s="13"/>
      <c r="L1200" s="12" t="s">
        <v>4672</v>
      </c>
      <c r="M1200" s="17" t="str">
        <f>IF(LEN(COUNTIFS($H$1:H1200,$H1200,$I$1:I1200,$I1200,$J$1:J1200,$J1200,$K$1:K1200,K1200,$L$1:L1200,L1200))=1,"00"&amp;COUNTIFS($H$1:H1200,$H1200,$I$1:I1200,$I1200,$J$1:J1200,$J1200,$K$1:K1200,K1200,$L$1:L1200,L1200),IF(LEN(COUNTIFS($H$1:H1200,$H1200,$I$1:I1200,$I1200,$J$1:J1200,$J1200,$K$1:K1200,K1200,$L$1:L1200,L1200))=2,"0"&amp;COUNTIFS($H$1:H1200,$H1200,$I$1:I1200,$I1200,$J$1:J1200,$J1200,$K$1:K1200,K1200,$L$1:L1200,L1200),COUNTIFS($H$1:H1200,$H1200,$I$1:I1200,$I1200,$J$1:J1200,$J1200,$K$1:K1200,K1200,$L$1:L1200,L1200)))</f>
        <v>000</v>
      </c>
      <c r="N120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00" s="14" t="e">
        <f>+LEN(Table4[[#This Row],[New Item Code]])</f>
        <v>#N/A</v>
      </c>
      <c r="P1200" s="15" t="s">
        <v>4747</v>
      </c>
      <c r="Q1200" s="15" t="s">
        <v>4749</v>
      </c>
      <c r="R1200" s="15"/>
      <c r="S1200" s="15"/>
      <c r="T1200" s="15" t="e">
        <v>#N/A</v>
      </c>
    </row>
    <row r="1201" spans="1:20" x14ac:dyDescent="0.35">
      <c r="A1201" s="3" t="s">
        <v>2403</v>
      </c>
      <c r="B1201" s="3" t="s">
        <v>2404</v>
      </c>
      <c r="C1201" s="3" t="e">
        <v>#N/A</v>
      </c>
      <c r="D1201" s="3">
        <v>0</v>
      </c>
      <c r="E1201" s="3" t="e">
        <v>#N/A</v>
      </c>
      <c r="F1201" s="3">
        <v>0</v>
      </c>
      <c r="G1201" s="21">
        <f>Table4[[#This Row],[Item Cost]]*Table4[[#This Row],[In Stock]]</f>
        <v>0</v>
      </c>
      <c r="H1201" s="12" t="s">
        <v>4752</v>
      </c>
      <c r="I1201" s="13"/>
      <c r="J1201" s="13"/>
      <c r="K1201" s="13"/>
      <c r="L1201" s="12" t="s">
        <v>4672</v>
      </c>
      <c r="M1201" s="17" t="str">
        <f>IF(LEN(COUNTIFS($H$1:H1201,$H1201,$I$1:I1201,$I1201,$J$1:J1201,$J1201,$K$1:K1201,K1201,$L$1:L1201,L1201))=1,"00"&amp;COUNTIFS($H$1:H1201,$H1201,$I$1:I1201,$I1201,$J$1:J1201,$J1201,$K$1:K1201,K1201,$L$1:L1201,L1201),IF(LEN(COUNTIFS($H$1:H1201,$H1201,$I$1:I1201,$I1201,$J$1:J1201,$J1201,$K$1:K1201,K1201,$L$1:L1201,L1201))=2,"0"&amp;COUNTIFS($H$1:H1201,$H1201,$I$1:I1201,$I1201,$J$1:J1201,$J1201,$K$1:K1201,K1201,$L$1:L1201,L1201),COUNTIFS($H$1:H1201,$H1201,$I$1:I1201,$I1201,$J$1:J1201,$J1201,$K$1:K1201,K1201,$L$1:L1201,L1201)))</f>
        <v>000</v>
      </c>
      <c r="N120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01" s="14" t="e">
        <f>+LEN(Table4[[#This Row],[New Item Code]])</f>
        <v>#N/A</v>
      </c>
      <c r="P1201" s="15" t="s">
        <v>4747</v>
      </c>
      <c r="Q1201" s="15" t="s">
        <v>4749</v>
      </c>
      <c r="R1201" s="15"/>
      <c r="S1201" s="15"/>
      <c r="T1201" s="15" t="e">
        <v>#N/A</v>
      </c>
    </row>
    <row r="1202" spans="1:20" x14ac:dyDescent="0.35">
      <c r="A1202" s="2" t="s">
        <v>2405</v>
      </c>
      <c r="B1202" s="2" t="s">
        <v>2406</v>
      </c>
      <c r="C1202" s="2" t="e">
        <v>#N/A</v>
      </c>
      <c r="D1202" s="2">
        <v>0</v>
      </c>
      <c r="E1202" s="2" t="e">
        <v>#N/A</v>
      </c>
      <c r="F1202" s="2">
        <v>0</v>
      </c>
      <c r="G1202" s="22">
        <f>Table4[[#This Row],[Item Cost]]*Table4[[#This Row],[In Stock]]</f>
        <v>0</v>
      </c>
      <c r="H1202" s="12" t="s">
        <v>4752</v>
      </c>
      <c r="I1202" s="13"/>
      <c r="J1202" s="13"/>
      <c r="K1202" s="13"/>
      <c r="L1202" s="12" t="s">
        <v>4672</v>
      </c>
      <c r="M1202" s="17" t="str">
        <f>IF(LEN(COUNTIFS($H$1:H1202,$H1202,$I$1:I1202,$I1202,$J$1:J1202,$J1202,$K$1:K1202,K1202,$L$1:L1202,L1202))=1,"00"&amp;COUNTIFS($H$1:H1202,$H1202,$I$1:I1202,$I1202,$J$1:J1202,$J1202,$K$1:K1202,K1202,$L$1:L1202,L1202),IF(LEN(COUNTIFS($H$1:H1202,$H1202,$I$1:I1202,$I1202,$J$1:J1202,$J1202,$K$1:K1202,K1202,$L$1:L1202,L1202))=2,"0"&amp;COUNTIFS($H$1:H1202,$H1202,$I$1:I1202,$I1202,$J$1:J1202,$J1202,$K$1:K1202,K1202,$L$1:L1202,L1202),COUNTIFS($H$1:H1202,$H1202,$I$1:I1202,$I1202,$J$1:J1202,$J1202,$K$1:K1202,K1202,$L$1:L1202,L1202)))</f>
        <v>000</v>
      </c>
      <c r="N120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02" s="14" t="e">
        <f>+LEN(Table4[[#This Row],[New Item Code]])</f>
        <v>#N/A</v>
      </c>
      <c r="P1202" s="15" t="s">
        <v>4747</v>
      </c>
      <c r="Q1202" s="15" t="s">
        <v>4749</v>
      </c>
      <c r="R1202" s="15"/>
      <c r="S1202" s="15"/>
      <c r="T1202" s="15" t="e">
        <v>#N/A</v>
      </c>
    </row>
    <row r="1203" spans="1:20" x14ac:dyDescent="0.35">
      <c r="A1203" s="3" t="s">
        <v>2407</v>
      </c>
      <c r="B1203" s="3" t="s">
        <v>2408</v>
      </c>
      <c r="C1203" s="3" t="e">
        <v>#N/A</v>
      </c>
      <c r="D1203" s="3">
        <v>0</v>
      </c>
      <c r="E1203" s="3" t="e">
        <v>#N/A</v>
      </c>
      <c r="F1203" s="3">
        <v>0</v>
      </c>
      <c r="G1203" s="21">
        <f>Table4[[#This Row],[Item Cost]]*Table4[[#This Row],[In Stock]]</f>
        <v>0</v>
      </c>
      <c r="H1203" s="12" t="s">
        <v>4752</v>
      </c>
      <c r="I1203" s="13"/>
      <c r="J1203" s="13"/>
      <c r="K1203" s="13"/>
      <c r="L1203" s="12" t="s">
        <v>4672</v>
      </c>
      <c r="M1203" s="17" t="str">
        <f>IF(LEN(COUNTIFS($H$1:H1203,$H1203,$I$1:I1203,$I1203,$J$1:J1203,$J1203,$K$1:K1203,K1203,$L$1:L1203,L1203))=1,"00"&amp;COUNTIFS($H$1:H1203,$H1203,$I$1:I1203,$I1203,$J$1:J1203,$J1203,$K$1:K1203,K1203,$L$1:L1203,L1203),IF(LEN(COUNTIFS($H$1:H1203,$H1203,$I$1:I1203,$I1203,$J$1:J1203,$J1203,$K$1:K1203,K1203,$L$1:L1203,L1203))=2,"0"&amp;COUNTIFS($H$1:H1203,$H1203,$I$1:I1203,$I1203,$J$1:J1203,$J1203,$K$1:K1203,K1203,$L$1:L1203,L1203),COUNTIFS($H$1:H1203,$H1203,$I$1:I1203,$I1203,$J$1:J1203,$J1203,$K$1:K1203,K1203,$L$1:L1203,L1203)))</f>
        <v>000</v>
      </c>
      <c r="N120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03" s="14" t="e">
        <f>+LEN(Table4[[#This Row],[New Item Code]])</f>
        <v>#N/A</v>
      </c>
      <c r="P1203" s="15" t="s">
        <v>4747</v>
      </c>
      <c r="Q1203" s="15" t="s">
        <v>4749</v>
      </c>
      <c r="R1203" s="15"/>
      <c r="S1203" s="15"/>
      <c r="T1203" s="15" t="e">
        <v>#N/A</v>
      </c>
    </row>
    <row r="1204" spans="1:20" x14ac:dyDescent="0.35">
      <c r="A1204" s="2" t="s">
        <v>2409</v>
      </c>
      <c r="B1204" s="2" t="s">
        <v>2410</v>
      </c>
      <c r="C1204" s="2" t="e">
        <v>#N/A</v>
      </c>
      <c r="D1204" s="2">
        <v>0</v>
      </c>
      <c r="E1204" s="2" t="e">
        <v>#N/A</v>
      </c>
      <c r="F1204" s="2">
        <v>0</v>
      </c>
      <c r="G1204" s="22">
        <f>Table4[[#This Row],[Item Cost]]*Table4[[#This Row],[In Stock]]</f>
        <v>0</v>
      </c>
      <c r="H1204" s="12" t="s">
        <v>4752</v>
      </c>
      <c r="I1204" s="13"/>
      <c r="J1204" s="13"/>
      <c r="K1204" s="13"/>
      <c r="L1204" s="12" t="s">
        <v>4672</v>
      </c>
      <c r="M1204" s="17" t="str">
        <f>IF(LEN(COUNTIFS($H$1:H1204,$H1204,$I$1:I1204,$I1204,$J$1:J1204,$J1204,$K$1:K1204,K1204,$L$1:L1204,L1204))=1,"00"&amp;COUNTIFS($H$1:H1204,$H1204,$I$1:I1204,$I1204,$J$1:J1204,$J1204,$K$1:K1204,K1204,$L$1:L1204,L1204),IF(LEN(COUNTIFS($H$1:H1204,$H1204,$I$1:I1204,$I1204,$J$1:J1204,$J1204,$K$1:K1204,K1204,$L$1:L1204,L1204))=2,"0"&amp;COUNTIFS($H$1:H1204,$H1204,$I$1:I1204,$I1204,$J$1:J1204,$J1204,$K$1:K1204,K1204,$L$1:L1204,L1204),COUNTIFS($H$1:H1204,$H1204,$I$1:I1204,$I1204,$J$1:J1204,$J1204,$K$1:K1204,K1204,$L$1:L1204,L1204)))</f>
        <v>000</v>
      </c>
      <c r="N120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04" s="14" t="e">
        <f>+LEN(Table4[[#This Row],[New Item Code]])</f>
        <v>#N/A</v>
      </c>
      <c r="P1204" s="15" t="s">
        <v>4747</v>
      </c>
      <c r="Q1204" s="15" t="s">
        <v>4749</v>
      </c>
      <c r="R1204" s="15"/>
      <c r="S1204" s="15"/>
      <c r="T1204" s="15" t="e">
        <v>#N/A</v>
      </c>
    </row>
    <row r="1205" spans="1:20" x14ac:dyDescent="0.35">
      <c r="A1205" s="3" t="s">
        <v>2411</v>
      </c>
      <c r="B1205" s="3" t="s">
        <v>2412</v>
      </c>
      <c r="C1205" s="3" t="e">
        <v>#N/A</v>
      </c>
      <c r="D1205" s="3">
        <v>0</v>
      </c>
      <c r="E1205" s="3" t="e">
        <v>#N/A</v>
      </c>
      <c r="F1205" s="3">
        <v>0</v>
      </c>
      <c r="G1205" s="21">
        <f>Table4[[#This Row],[Item Cost]]*Table4[[#This Row],[In Stock]]</f>
        <v>0</v>
      </c>
      <c r="H1205" s="12" t="s">
        <v>4752</v>
      </c>
      <c r="I1205" s="13"/>
      <c r="J1205" s="13"/>
      <c r="K1205" s="13"/>
      <c r="L1205" s="12" t="s">
        <v>4672</v>
      </c>
      <c r="M1205" s="17" t="str">
        <f>IF(LEN(COUNTIFS($H$1:H1205,$H1205,$I$1:I1205,$I1205,$J$1:J1205,$J1205,$K$1:K1205,K1205,$L$1:L1205,L1205))=1,"00"&amp;COUNTIFS($H$1:H1205,$H1205,$I$1:I1205,$I1205,$J$1:J1205,$J1205,$K$1:K1205,K1205,$L$1:L1205,L1205),IF(LEN(COUNTIFS($H$1:H1205,$H1205,$I$1:I1205,$I1205,$J$1:J1205,$J1205,$K$1:K1205,K1205,$L$1:L1205,L1205))=2,"0"&amp;COUNTIFS($H$1:H1205,$H1205,$I$1:I1205,$I1205,$J$1:J1205,$J1205,$K$1:K1205,K1205,$L$1:L1205,L1205),COUNTIFS($H$1:H1205,$H1205,$I$1:I1205,$I1205,$J$1:J1205,$J1205,$K$1:K1205,K1205,$L$1:L1205,L1205)))</f>
        <v>000</v>
      </c>
      <c r="N120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05" s="14" t="e">
        <f>+LEN(Table4[[#This Row],[New Item Code]])</f>
        <v>#N/A</v>
      </c>
      <c r="P1205" s="15" t="s">
        <v>4747</v>
      </c>
      <c r="Q1205" s="15" t="s">
        <v>4749</v>
      </c>
      <c r="R1205" s="15"/>
      <c r="S1205" s="15"/>
      <c r="T1205" s="15" t="e">
        <v>#N/A</v>
      </c>
    </row>
    <row r="1206" spans="1:20" x14ac:dyDescent="0.35">
      <c r="A1206" s="2" t="s">
        <v>2413</v>
      </c>
      <c r="B1206" s="2" t="s">
        <v>2414</v>
      </c>
      <c r="C1206" s="2" t="e">
        <v>#N/A</v>
      </c>
      <c r="D1206" s="2">
        <v>0</v>
      </c>
      <c r="E1206" s="2" t="e">
        <v>#N/A</v>
      </c>
      <c r="F1206" s="2">
        <v>0</v>
      </c>
      <c r="G1206" s="22">
        <f>Table4[[#This Row],[Item Cost]]*Table4[[#This Row],[In Stock]]</f>
        <v>0</v>
      </c>
      <c r="H1206" s="12" t="s">
        <v>4752</v>
      </c>
      <c r="I1206" s="13"/>
      <c r="J1206" s="13"/>
      <c r="K1206" s="13"/>
      <c r="L1206" s="12" t="s">
        <v>4672</v>
      </c>
      <c r="M1206" s="17" t="str">
        <f>IF(LEN(COUNTIFS($H$1:H1206,$H1206,$I$1:I1206,$I1206,$J$1:J1206,$J1206,$K$1:K1206,K1206,$L$1:L1206,L1206))=1,"00"&amp;COUNTIFS($H$1:H1206,$H1206,$I$1:I1206,$I1206,$J$1:J1206,$J1206,$K$1:K1206,K1206,$L$1:L1206,L1206),IF(LEN(COUNTIFS($H$1:H1206,$H1206,$I$1:I1206,$I1206,$J$1:J1206,$J1206,$K$1:K1206,K1206,$L$1:L1206,L1206))=2,"0"&amp;COUNTIFS($H$1:H1206,$H1206,$I$1:I1206,$I1206,$J$1:J1206,$J1206,$K$1:K1206,K1206,$L$1:L1206,L1206),COUNTIFS($H$1:H1206,$H1206,$I$1:I1206,$I1206,$J$1:J1206,$J1206,$K$1:K1206,K1206,$L$1:L1206,L1206)))</f>
        <v>000</v>
      </c>
      <c r="N120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06" s="14" t="e">
        <f>+LEN(Table4[[#This Row],[New Item Code]])</f>
        <v>#N/A</v>
      </c>
      <c r="P1206" s="15" t="s">
        <v>4747</v>
      </c>
      <c r="Q1206" s="15" t="s">
        <v>4749</v>
      </c>
      <c r="R1206" s="15"/>
      <c r="S1206" s="15"/>
      <c r="T1206" s="15" t="e">
        <v>#N/A</v>
      </c>
    </row>
    <row r="1207" spans="1:20" x14ac:dyDescent="0.35">
      <c r="A1207" s="3" t="s">
        <v>2415</v>
      </c>
      <c r="B1207" s="3" t="s">
        <v>2416</v>
      </c>
      <c r="C1207" s="3" t="e">
        <v>#N/A</v>
      </c>
      <c r="D1207" s="3">
        <v>0</v>
      </c>
      <c r="E1207" s="3" t="e">
        <v>#N/A</v>
      </c>
      <c r="F1207" s="3">
        <v>0</v>
      </c>
      <c r="G1207" s="21">
        <f>Table4[[#This Row],[Item Cost]]*Table4[[#This Row],[In Stock]]</f>
        <v>0</v>
      </c>
      <c r="H1207" s="12" t="s">
        <v>4752</v>
      </c>
      <c r="I1207" s="13"/>
      <c r="J1207" s="13"/>
      <c r="K1207" s="13"/>
      <c r="L1207" s="12" t="s">
        <v>4672</v>
      </c>
      <c r="M1207" s="17" t="str">
        <f>IF(LEN(COUNTIFS($H$1:H1207,$H1207,$I$1:I1207,$I1207,$J$1:J1207,$J1207,$K$1:K1207,K1207,$L$1:L1207,L1207))=1,"00"&amp;COUNTIFS($H$1:H1207,$H1207,$I$1:I1207,$I1207,$J$1:J1207,$J1207,$K$1:K1207,K1207,$L$1:L1207,L1207),IF(LEN(COUNTIFS($H$1:H1207,$H1207,$I$1:I1207,$I1207,$J$1:J1207,$J1207,$K$1:K1207,K1207,$L$1:L1207,L1207))=2,"0"&amp;COUNTIFS($H$1:H1207,$H1207,$I$1:I1207,$I1207,$J$1:J1207,$J1207,$K$1:K1207,K1207,$L$1:L1207,L1207),COUNTIFS($H$1:H1207,$H1207,$I$1:I1207,$I1207,$J$1:J1207,$J1207,$K$1:K1207,K1207,$L$1:L1207,L1207)))</f>
        <v>000</v>
      </c>
      <c r="N120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07" s="14" t="e">
        <f>+LEN(Table4[[#This Row],[New Item Code]])</f>
        <v>#N/A</v>
      </c>
      <c r="P1207" s="15" t="s">
        <v>4747</v>
      </c>
      <c r="Q1207" s="15" t="s">
        <v>4749</v>
      </c>
      <c r="R1207" s="15"/>
      <c r="S1207" s="15"/>
      <c r="T1207" s="15" t="e">
        <v>#N/A</v>
      </c>
    </row>
    <row r="1208" spans="1:20" x14ac:dyDescent="0.35">
      <c r="A1208" s="2" t="s">
        <v>2417</v>
      </c>
      <c r="B1208" s="2" t="s">
        <v>2418</v>
      </c>
      <c r="C1208" s="2" t="e">
        <v>#N/A</v>
      </c>
      <c r="D1208" s="2">
        <v>0</v>
      </c>
      <c r="E1208" s="2" t="e">
        <v>#N/A</v>
      </c>
      <c r="F1208" s="2">
        <v>0</v>
      </c>
      <c r="G1208" s="22">
        <f>Table4[[#This Row],[Item Cost]]*Table4[[#This Row],[In Stock]]</f>
        <v>0</v>
      </c>
      <c r="H1208" s="12" t="s">
        <v>4752</v>
      </c>
      <c r="I1208" s="13"/>
      <c r="J1208" s="13"/>
      <c r="K1208" s="13"/>
      <c r="L1208" s="12" t="s">
        <v>4672</v>
      </c>
      <c r="M1208" s="17" t="str">
        <f>IF(LEN(COUNTIFS($H$1:H1208,$H1208,$I$1:I1208,$I1208,$J$1:J1208,$J1208,$K$1:K1208,K1208,$L$1:L1208,L1208))=1,"00"&amp;COUNTIFS($H$1:H1208,$H1208,$I$1:I1208,$I1208,$J$1:J1208,$J1208,$K$1:K1208,K1208,$L$1:L1208,L1208),IF(LEN(COUNTIFS($H$1:H1208,$H1208,$I$1:I1208,$I1208,$J$1:J1208,$J1208,$K$1:K1208,K1208,$L$1:L1208,L1208))=2,"0"&amp;COUNTIFS($H$1:H1208,$H1208,$I$1:I1208,$I1208,$J$1:J1208,$J1208,$K$1:K1208,K1208,$L$1:L1208,L1208),COUNTIFS($H$1:H1208,$H1208,$I$1:I1208,$I1208,$J$1:J1208,$J1208,$K$1:K1208,K1208,$L$1:L1208,L1208)))</f>
        <v>000</v>
      </c>
      <c r="N120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08" s="14" t="e">
        <f>+LEN(Table4[[#This Row],[New Item Code]])</f>
        <v>#N/A</v>
      </c>
      <c r="P1208" s="15" t="s">
        <v>4747</v>
      </c>
      <c r="Q1208" s="15" t="s">
        <v>4749</v>
      </c>
      <c r="R1208" s="15"/>
      <c r="S1208" s="15"/>
      <c r="T1208" s="15" t="e">
        <v>#N/A</v>
      </c>
    </row>
    <row r="1209" spans="1:20" x14ac:dyDescent="0.35">
      <c r="A1209" s="3" t="s">
        <v>2419</v>
      </c>
      <c r="B1209" s="3" t="s">
        <v>2420</v>
      </c>
      <c r="C1209" s="3" t="e">
        <v>#N/A</v>
      </c>
      <c r="D1209" s="3">
        <v>0</v>
      </c>
      <c r="E1209" s="3" t="e">
        <v>#N/A</v>
      </c>
      <c r="F1209" s="3">
        <v>0</v>
      </c>
      <c r="G1209" s="21">
        <f>Table4[[#This Row],[Item Cost]]*Table4[[#This Row],[In Stock]]</f>
        <v>0</v>
      </c>
      <c r="H1209" s="12" t="s">
        <v>4752</v>
      </c>
      <c r="I1209" s="13"/>
      <c r="J1209" s="13"/>
      <c r="K1209" s="13"/>
      <c r="L1209" s="12" t="s">
        <v>4672</v>
      </c>
      <c r="M1209" s="17" t="str">
        <f>IF(LEN(COUNTIFS($H$1:H1209,$H1209,$I$1:I1209,$I1209,$J$1:J1209,$J1209,$K$1:K1209,K1209,$L$1:L1209,L1209))=1,"00"&amp;COUNTIFS($H$1:H1209,$H1209,$I$1:I1209,$I1209,$J$1:J1209,$J1209,$K$1:K1209,K1209,$L$1:L1209,L1209),IF(LEN(COUNTIFS($H$1:H1209,$H1209,$I$1:I1209,$I1209,$J$1:J1209,$J1209,$K$1:K1209,K1209,$L$1:L1209,L1209))=2,"0"&amp;COUNTIFS($H$1:H1209,$H1209,$I$1:I1209,$I1209,$J$1:J1209,$J1209,$K$1:K1209,K1209,$L$1:L1209,L1209),COUNTIFS($H$1:H1209,$H1209,$I$1:I1209,$I1209,$J$1:J1209,$J1209,$K$1:K1209,K1209,$L$1:L1209,L1209)))</f>
        <v>000</v>
      </c>
      <c r="N120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09" s="14" t="e">
        <f>+LEN(Table4[[#This Row],[New Item Code]])</f>
        <v>#N/A</v>
      </c>
      <c r="P1209" s="15" t="s">
        <v>4747</v>
      </c>
      <c r="Q1209" s="15" t="s">
        <v>4749</v>
      </c>
      <c r="R1209" s="15"/>
      <c r="S1209" s="15"/>
      <c r="T1209" s="15" t="e">
        <v>#N/A</v>
      </c>
    </row>
    <row r="1210" spans="1:20" x14ac:dyDescent="0.35">
      <c r="A1210" s="2" t="s">
        <v>2421</v>
      </c>
      <c r="B1210" s="2" t="s">
        <v>2422</v>
      </c>
      <c r="C1210" s="2" t="e">
        <v>#N/A</v>
      </c>
      <c r="D1210" s="2">
        <v>0</v>
      </c>
      <c r="E1210" s="2" t="e">
        <v>#N/A</v>
      </c>
      <c r="F1210" s="2">
        <v>0</v>
      </c>
      <c r="G1210" s="22">
        <f>Table4[[#This Row],[Item Cost]]*Table4[[#This Row],[In Stock]]</f>
        <v>0</v>
      </c>
      <c r="H1210" s="12" t="s">
        <v>4752</v>
      </c>
      <c r="I1210" s="13"/>
      <c r="J1210" s="13"/>
      <c r="K1210" s="13"/>
      <c r="L1210" s="12" t="s">
        <v>4672</v>
      </c>
      <c r="M1210" s="17" t="str">
        <f>IF(LEN(COUNTIFS($H$1:H1210,$H1210,$I$1:I1210,$I1210,$J$1:J1210,$J1210,$K$1:K1210,K1210,$L$1:L1210,L1210))=1,"00"&amp;COUNTIFS($H$1:H1210,$H1210,$I$1:I1210,$I1210,$J$1:J1210,$J1210,$K$1:K1210,K1210,$L$1:L1210,L1210),IF(LEN(COUNTIFS($H$1:H1210,$H1210,$I$1:I1210,$I1210,$J$1:J1210,$J1210,$K$1:K1210,K1210,$L$1:L1210,L1210))=2,"0"&amp;COUNTIFS($H$1:H1210,$H1210,$I$1:I1210,$I1210,$J$1:J1210,$J1210,$K$1:K1210,K1210,$L$1:L1210,L1210),COUNTIFS($H$1:H1210,$H1210,$I$1:I1210,$I1210,$J$1:J1210,$J1210,$K$1:K1210,K1210,$L$1:L1210,L1210)))</f>
        <v>000</v>
      </c>
      <c r="N121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10" s="14" t="e">
        <f>+LEN(Table4[[#This Row],[New Item Code]])</f>
        <v>#N/A</v>
      </c>
      <c r="P1210" s="15" t="s">
        <v>4747</v>
      </c>
      <c r="Q1210" s="15" t="s">
        <v>4749</v>
      </c>
      <c r="R1210" s="15"/>
      <c r="S1210" s="15"/>
      <c r="T1210" s="15" t="e">
        <v>#N/A</v>
      </c>
    </row>
    <row r="1211" spans="1:20" x14ac:dyDescent="0.35">
      <c r="A1211" s="3" t="s">
        <v>2423</v>
      </c>
      <c r="B1211" s="3" t="s">
        <v>2424</v>
      </c>
      <c r="C1211" s="3" t="e">
        <v>#N/A</v>
      </c>
      <c r="D1211" s="3">
        <v>0</v>
      </c>
      <c r="E1211" s="3" t="e">
        <v>#N/A</v>
      </c>
      <c r="F1211" s="3">
        <v>0</v>
      </c>
      <c r="G1211" s="21">
        <f>Table4[[#This Row],[Item Cost]]*Table4[[#This Row],[In Stock]]</f>
        <v>0</v>
      </c>
      <c r="H1211" s="12" t="s">
        <v>4752</v>
      </c>
      <c r="I1211" s="13"/>
      <c r="J1211" s="13"/>
      <c r="K1211" s="13"/>
      <c r="L1211" s="12" t="s">
        <v>4672</v>
      </c>
      <c r="M1211" s="17" t="str">
        <f>IF(LEN(COUNTIFS($H$1:H1211,$H1211,$I$1:I1211,$I1211,$J$1:J1211,$J1211,$K$1:K1211,K1211,$L$1:L1211,L1211))=1,"00"&amp;COUNTIFS($H$1:H1211,$H1211,$I$1:I1211,$I1211,$J$1:J1211,$J1211,$K$1:K1211,K1211,$L$1:L1211,L1211),IF(LEN(COUNTIFS($H$1:H1211,$H1211,$I$1:I1211,$I1211,$J$1:J1211,$J1211,$K$1:K1211,K1211,$L$1:L1211,L1211))=2,"0"&amp;COUNTIFS($H$1:H1211,$H1211,$I$1:I1211,$I1211,$J$1:J1211,$J1211,$K$1:K1211,K1211,$L$1:L1211,L1211),COUNTIFS($H$1:H1211,$H1211,$I$1:I1211,$I1211,$J$1:J1211,$J1211,$K$1:K1211,K1211,$L$1:L1211,L1211)))</f>
        <v>000</v>
      </c>
      <c r="N121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11" s="14" t="e">
        <f>+LEN(Table4[[#This Row],[New Item Code]])</f>
        <v>#N/A</v>
      </c>
      <c r="P1211" s="15" t="s">
        <v>4747</v>
      </c>
      <c r="Q1211" s="15" t="s">
        <v>4749</v>
      </c>
      <c r="R1211" s="15"/>
      <c r="S1211" s="15"/>
      <c r="T1211" s="15" t="e">
        <v>#N/A</v>
      </c>
    </row>
    <row r="1212" spans="1:20" x14ac:dyDescent="0.35">
      <c r="A1212" s="2" t="s">
        <v>2425</v>
      </c>
      <c r="B1212" s="2" t="s">
        <v>2426</v>
      </c>
      <c r="C1212" s="2" t="e">
        <v>#N/A</v>
      </c>
      <c r="D1212" s="2">
        <v>0</v>
      </c>
      <c r="E1212" s="2" t="e">
        <v>#N/A</v>
      </c>
      <c r="F1212" s="2">
        <v>0</v>
      </c>
      <c r="G1212" s="22">
        <f>Table4[[#This Row],[Item Cost]]*Table4[[#This Row],[In Stock]]</f>
        <v>0</v>
      </c>
      <c r="H1212" s="12" t="s">
        <v>4752</v>
      </c>
      <c r="I1212" s="13"/>
      <c r="J1212" s="13"/>
      <c r="K1212" s="13"/>
      <c r="L1212" s="12" t="s">
        <v>4672</v>
      </c>
      <c r="M1212" s="17" t="str">
        <f>IF(LEN(COUNTIFS($H$1:H1212,$H1212,$I$1:I1212,$I1212,$J$1:J1212,$J1212,$K$1:K1212,K1212,$L$1:L1212,L1212))=1,"00"&amp;COUNTIFS($H$1:H1212,$H1212,$I$1:I1212,$I1212,$J$1:J1212,$J1212,$K$1:K1212,K1212,$L$1:L1212,L1212),IF(LEN(COUNTIFS($H$1:H1212,$H1212,$I$1:I1212,$I1212,$J$1:J1212,$J1212,$K$1:K1212,K1212,$L$1:L1212,L1212))=2,"0"&amp;COUNTIFS($H$1:H1212,$H1212,$I$1:I1212,$I1212,$J$1:J1212,$J1212,$K$1:K1212,K1212,$L$1:L1212,L1212),COUNTIFS($H$1:H1212,$H1212,$I$1:I1212,$I1212,$J$1:J1212,$J1212,$K$1:K1212,K1212,$L$1:L1212,L1212)))</f>
        <v>000</v>
      </c>
      <c r="N121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12" s="14" t="e">
        <f>+LEN(Table4[[#This Row],[New Item Code]])</f>
        <v>#N/A</v>
      </c>
      <c r="P1212" s="15" t="s">
        <v>4747</v>
      </c>
      <c r="Q1212" s="15" t="s">
        <v>4749</v>
      </c>
      <c r="R1212" s="15"/>
      <c r="S1212" s="15"/>
      <c r="T1212" s="15" t="e">
        <v>#N/A</v>
      </c>
    </row>
    <row r="1213" spans="1:20" x14ac:dyDescent="0.35">
      <c r="A1213" s="3" t="s">
        <v>2427</v>
      </c>
      <c r="B1213" s="3" t="s">
        <v>2428</v>
      </c>
      <c r="C1213" s="3" t="e">
        <v>#N/A</v>
      </c>
      <c r="D1213" s="3">
        <v>0</v>
      </c>
      <c r="E1213" s="3" t="e">
        <v>#N/A</v>
      </c>
      <c r="F1213" s="3">
        <v>0</v>
      </c>
      <c r="G1213" s="21">
        <f>Table4[[#This Row],[Item Cost]]*Table4[[#This Row],[In Stock]]</f>
        <v>0</v>
      </c>
      <c r="H1213" s="12" t="s">
        <v>4752</v>
      </c>
      <c r="I1213" s="13"/>
      <c r="J1213" s="13"/>
      <c r="K1213" s="13"/>
      <c r="L1213" s="12" t="s">
        <v>4672</v>
      </c>
      <c r="M1213" s="17" t="str">
        <f>IF(LEN(COUNTIFS($H$1:H1213,$H1213,$I$1:I1213,$I1213,$J$1:J1213,$J1213,$K$1:K1213,K1213,$L$1:L1213,L1213))=1,"00"&amp;COUNTIFS($H$1:H1213,$H1213,$I$1:I1213,$I1213,$J$1:J1213,$J1213,$K$1:K1213,K1213,$L$1:L1213,L1213),IF(LEN(COUNTIFS($H$1:H1213,$H1213,$I$1:I1213,$I1213,$J$1:J1213,$J1213,$K$1:K1213,K1213,$L$1:L1213,L1213))=2,"0"&amp;COUNTIFS($H$1:H1213,$H1213,$I$1:I1213,$I1213,$J$1:J1213,$J1213,$K$1:K1213,K1213,$L$1:L1213,L1213),COUNTIFS($H$1:H1213,$H1213,$I$1:I1213,$I1213,$J$1:J1213,$J1213,$K$1:K1213,K1213,$L$1:L1213,L1213)))</f>
        <v>000</v>
      </c>
      <c r="N121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13" s="14" t="e">
        <f>+LEN(Table4[[#This Row],[New Item Code]])</f>
        <v>#N/A</v>
      </c>
      <c r="P1213" s="15" t="s">
        <v>4747</v>
      </c>
      <c r="Q1213" s="15" t="s">
        <v>4749</v>
      </c>
      <c r="R1213" s="15"/>
      <c r="S1213" s="15"/>
      <c r="T1213" s="15" t="e">
        <v>#N/A</v>
      </c>
    </row>
    <row r="1214" spans="1:20" x14ac:dyDescent="0.35">
      <c r="A1214" s="2" t="s">
        <v>2429</v>
      </c>
      <c r="B1214" s="2" t="s">
        <v>2430</v>
      </c>
      <c r="C1214" s="2" t="e">
        <v>#N/A</v>
      </c>
      <c r="D1214" s="2">
        <v>0</v>
      </c>
      <c r="E1214" s="2" t="e">
        <v>#N/A</v>
      </c>
      <c r="F1214" s="2">
        <v>0</v>
      </c>
      <c r="G1214" s="22">
        <f>Table4[[#This Row],[Item Cost]]*Table4[[#This Row],[In Stock]]</f>
        <v>0</v>
      </c>
      <c r="H1214" s="12" t="s">
        <v>4752</v>
      </c>
      <c r="I1214" s="13"/>
      <c r="J1214" s="13"/>
      <c r="K1214" s="13"/>
      <c r="L1214" s="12" t="s">
        <v>4672</v>
      </c>
      <c r="M1214" s="17" t="str">
        <f>IF(LEN(COUNTIFS($H$1:H1214,$H1214,$I$1:I1214,$I1214,$J$1:J1214,$J1214,$K$1:K1214,K1214,$L$1:L1214,L1214))=1,"00"&amp;COUNTIFS($H$1:H1214,$H1214,$I$1:I1214,$I1214,$J$1:J1214,$J1214,$K$1:K1214,K1214,$L$1:L1214,L1214),IF(LEN(COUNTIFS($H$1:H1214,$H1214,$I$1:I1214,$I1214,$J$1:J1214,$J1214,$K$1:K1214,K1214,$L$1:L1214,L1214))=2,"0"&amp;COUNTIFS($H$1:H1214,$H1214,$I$1:I1214,$I1214,$J$1:J1214,$J1214,$K$1:K1214,K1214,$L$1:L1214,L1214),COUNTIFS($H$1:H1214,$H1214,$I$1:I1214,$I1214,$J$1:J1214,$J1214,$K$1:K1214,K1214,$L$1:L1214,L1214)))</f>
        <v>000</v>
      </c>
      <c r="N121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14" s="14" t="e">
        <f>+LEN(Table4[[#This Row],[New Item Code]])</f>
        <v>#N/A</v>
      </c>
      <c r="P1214" s="15" t="s">
        <v>4747</v>
      </c>
      <c r="Q1214" s="15" t="s">
        <v>4749</v>
      </c>
      <c r="R1214" s="15"/>
      <c r="S1214" s="15"/>
      <c r="T1214" s="15" t="e">
        <v>#N/A</v>
      </c>
    </row>
    <row r="1215" spans="1:20" x14ac:dyDescent="0.35">
      <c r="A1215" s="3" t="s">
        <v>2431</v>
      </c>
      <c r="B1215" s="3" t="s">
        <v>2432</v>
      </c>
      <c r="C1215" s="3" t="e">
        <v>#N/A</v>
      </c>
      <c r="D1215" s="3">
        <v>0</v>
      </c>
      <c r="E1215" s="3" t="e">
        <v>#N/A</v>
      </c>
      <c r="F1215" s="3">
        <v>0</v>
      </c>
      <c r="G1215" s="21">
        <f>Table4[[#This Row],[Item Cost]]*Table4[[#This Row],[In Stock]]</f>
        <v>0</v>
      </c>
      <c r="H1215" s="12" t="s">
        <v>4752</v>
      </c>
      <c r="I1215" s="13"/>
      <c r="J1215" s="13"/>
      <c r="K1215" s="13"/>
      <c r="L1215" s="12" t="s">
        <v>4672</v>
      </c>
      <c r="M1215" s="17" t="str">
        <f>IF(LEN(COUNTIFS($H$1:H1215,$H1215,$I$1:I1215,$I1215,$J$1:J1215,$J1215,$K$1:K1215,K1215,$L$1:L1215,L1215))=1,"00"&amp;COUNTIFS($H$1:H1215,$H1215,$I$1:I1215,$I1215,$J$1:J1215,$J1215,$K$1:K1215,K1215,$L$1:L1215,L1215),IF(LEN(COUNTIFS($H$1:H1215,$H1215,$I$1:I1215,$I1215,$J$1:J1215,$J1215,$K$1:K1215,K1215,$L$1:L1215,L1215))=2,"0"&amp;COUNTIFS($H$1:H1215,$H1215,$I$1:I1215,$I1215,$J$1:J1215,$J1215,$K$1:K1215,K1215,$L$1:L1215,L1215),COUNTIFS($H$1:H1215,$H1215,$I$1:I1215,$I1215,$J$1:J1215,$J1215,$K$1:K1215,K1215,$L$1:L1215,L1215)))</f>
        <v>000</v>
      </c>
      <c r="N121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15" s="14" t="e">
        <f>+LEN(Table4[[#This Row],[New Item Code]])</f>
        <v>#N/A</v>
      </c>
      <c r="P1215" s="15" t="s">
        <v>4747</v>
      </c>
      <c r="Q1215" s="15" t="s">
        <v>4749</v>
      </c>
      <c r="R1215" s="15"/>
      <c r="S1215" s="15"/>
      <c r="T1215" s="15" t="e">
        <v>#N/A</v>
      </c>
    </row>
    <row r="1216" spans="1:20" x14ac:dyDescent="0.35">
      <c r="A1216" s="2" t="s">
        <v>2433</v>
      </c>
      <c r="B1216" s="2" t="s">
        <v>2434</v>
      </c>
      <c r="C1216" s="2" t="e">
        <v>#N/A</v>
      </c>
      <c r="D1216" s="2">
        <v>0</v>
      </c>
      <c r="E1216" s="2" t="e">
        <v>#N/A</v>
      </c>
      <c r="F1216" s="2">
        <v>0</v>
      </c>
      <c r="G1216" s="22">
        <f>Table4[[#This Row],[Item Cost]]*Table4[[#This Row],[In Stock]]</f>
        <v>0</v>
      </c>
      <c r="H1216" s="12" t="s">
        <v>4752</v>
      </c>
      <c r="I1216" s="13"/>
      <c r="J1216" s="13"/>
      <c r="K1216" s="13"/>
      <c r="L1216" s="12" t="s">
        <v>4672</v>
      </c>
      <c r="M1216" s="17" t="str">
        <f>IF(LEN(COUNTIFS($H$1:H1216,$H1216,$I$1:I1216,$I1216,$J$1:J1216,$J1216,$K$1:K1216,K1216,$L$1:L1216,L1216))=1,"00"&amp;COUNTIFS($H$1:H1216,$H1216,$I$1:I1216,$I1216,$J$1:J1216,$J1216,$K$1:K1216,K1216,$L$1:L1216,L1216),IF(LEN(COUNTIFS($H$1:H1216,$H1216,$I$1:I1216,$I1216,$J$1:J1216,$J1216,$K$1:K1216,K1216,$L$1:L1216,L1216))=2,"0"&amp;COUNTIFS($H$1:H1216,$H1216,$I$1:I1216,$I1216,$J$1:J1216,$J1216,$K$1:K1216,K1216,$L$1:L1216,L1216),COUNTIFS($H$1:H1216,$H1216,$I$1:I1216,$I1216,$J$1:J1216,$J1216,$K$1:K1216,K1216,$L$1:L1216,L1216)))</f>
        <v>000</v>
      </c>
      <c r="N121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16" s="14" t="e">
        <f>+LEN(Table4[[#This Row],[New Item Code]])</f>
        <v>#N/A</v>
      </c>
      <c r="P1216" s="15" t="s">
        <v>4747</v>
      </c>
      <c r="Q1216" s="15" t="s">
        <v>4749</v>
      </c>
      <c r="R1216" s="15"/>
      <c r="S1216" s="15"/>
      <c r="T1216" s="15" t="e">
        <v>#N/A</v>
      </c>
    </row>
    <row r="1217" spans="1:20" x14ac:dyDescent="0.35">
      <c r="A1217" s="3" t="s">
        <v>2435</v>
      </c>
      <c r="B1217" s="3" t="s">
        <v>2436</v>
      </c>
      <c r="C1217" s="3" t="e">
        <v>#N/A</v>
      </c>
      <c r="D1217" s="3">
        <v>0</v>
      </c>
      <c r="E1217" s="3" t="e">
        <v>#N/A</v>
      </c>
      <c r="F1217" s="3">
        <v>0</v>
      </c>
      <c r="G1217" s="21">
        <f>Table4[[#This Row],[Item Cost]]*Table4[[#This Row],[In Stock]]</f>
        <v>0</v>
      </c>
      <c r="H1217" s="12" t="s">
        <v>4752</v>
      </c>
      <c r="I1217" s="13"/>
      <c r="J1217" s="13"/>
      <c r="K1217" s="13"/>
      <c r="L1217" s="12" t="s">
        <v>4672</v>
      </c>
      <c r="M1217" s="17" t="str">
        <f>IF(LEN(COUNTIFS($H$1:H1217,$H1217,$I$1:I1217,$I1217,$J$1:J1217,$J1217,$K$1:K1217,K1217,$L$1:L1217,L1217))=1,"00"&amp;COUNTIFS($H$1:H1217,$H1217,$I$1:I1217,$I1217,$J$1:J1217,$J1217,$K$1:K1217,K1217,$L$1:L1217,L1217),IF(LEN(COUNTIFS($H$1:H1217,$H1217,$I$1:I1217,$I1217,$J$1:J1217,$J1217,$K$1:K1217,K1217,$L$1:L1217,L1217))=2,"0"&amp;COUNTIFS($H$1:H1217,$H1217,$I$1:I1217,$I1217,$J$1:J1217,$J1217,$K$1:K1217,K1217,$L$1:L1217,L1217),COUNTIFS($H$1:H1217,$H1217,$I$1:I1217,$I1217,$J$1:J1217,$J1217,$K$1:K1217,K1217,$L$1:L1217,L1217)))</f>
        <v>000</v>
      </c>
      <c r="N121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17" s="14" t="e">
        <f>+LEN(Table4[[#This Row],[New Item Code]])</f>
        <v>#N/A</v>
      </c>
      <c r="P1217" s="15" t="s">
        <v>4747</v>
      </c>
      <c r="Q1217" s="15" t="s">
        <v>4749</v>
      </c>
      <c r="R1217" s="15"/>
      <c r="S1217" s="15"/>
      <c r="T1217" s="15" t="e">
        <v>#N/A</v>
      </c>
    </row>
    <row r="1218" spans="1:20" x14ac:dyDescent="0.35">
      <c r="A1218" s="2" t="s">
        <v>2437</v>
      </c>
      <c r="B1218" s="2" t="s">
        <v>2438</v>
      </c>
      <c r="C1218" s="2" t="e">
        <v>#N/A</v>
      </c>
      <c r="D1218" s="2">
        <v>0</v>
      </c>
      <c r="E1218" s="2" t="e">
        <v>#N/A</v>
      </c>
      <c r="F1218" s="2">
        <v>0</v>
      </c>
      <c r="G1218" s="22">
        <f>Table4[[#This Row],[Item Cost]]*Table4[[#This Row],[In Stock]]</f>
        <v>0</v>
      </c>
      <c r="H1218" s="12" t="s">
        <v>4752</v>
      </c>
      <c r="I1218" s="13"/>
      <c r="J1218" s="13"/>
      <c r="K1218" s="13"/>
      <c r="L1218" s="12" t="s">
        <v>4672</v>
      </c>
      <c r="M1218" s="17" t="str">
        <f>IF(LEN(COUNTIFS($H$1:H1218,$H1218,$I$1:I1218,$I1218,$J$1:J1218,$J1218,$K$1:K1218,K1218,$L$1:L1218,L1218))=1,"00"&amp;COUNTIFS($H$1:H1218,$H1218,$I$1:I1218,$I1218,$J$1:J1218,$J1218,$K$1:K1218,K1218,$L$1:L1218,L1218),IF(LEN(COUNTIFS($H$1:H1218,$H1218,$I$1:I1218,$I1218,$J$1:J1218,$J1218,$K$1:K1218,K1218,$L$1:L1218,L1218))=2,"0"&amp;COUNTIFS($H$1:H1218,$H1218,$I$1:I1218,$I1218,$J$1:J1218,$J1218,$K$1:K1218,K1218,$L$1:L1218,L1218),COUNTIFS($H$1:H1218,$H1218,$I$1:I1218,$I1218,$J$1:J1218,$J1218,$K$1:K1218,K1218,$L$1:L1218,L1218)))</f>
        <v>000</v>
      </c>
      <c r="N121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18" s="14" t="e">
        <f>+LEN(Table4[[#This Row],[New Item Code]])</f>
        <v>#N/A</v>
      </c>
      <c r="P1218" s="15" t="s">
        <v>4747</v>
      </c>
      <c r="Q1218" s="15" t="s">
        <v>4749</v>
      </c>
      <c r="R1218" s="15"/>
      <c r="S1218" s="15"/>
      <c r="T1218" s="15" t="e">
        <v>#N/A</v>
      </c>
    </row>
    <row r="1219" spans="1:20" x14ac:dyDescent="0.35">
      <c r="A1219" s="3" t="s">
        <v>2439</v>
      </c>
      <c r="B1219" s="3" t="s">
        <v>2440</v>
      </c>
      <c r="C1219" s="3" t="e">
        <v>#N/A</v>
      </c>
      <c r="D1219" s="3">
        <v>0</v>
      </c>
      <c r="E1219" s="3" t="e">
        <v>#N/A</v>
      </c>
      <c r="F1219" s="3">
        <v>0</v>
      </c>
      <c r="G1219" s="21">
        <f>Table4[[#This Row],[Item Cost]]*Table4[[#This Row],[In Stock]]</f>
        <v>0</v>
      </c>
      <c r="H1219" s="12" t="s">
        <v>4752</v>
      </c>
      <c r="I1219" s="13"/>
      <c r="J1219" s="13"/>
      <c r="K1219" s="13"/>
      <c r="L1219" s="12" t="s">
        <v>4672</v>
      </c>
      <c r="M1219" s="17" t="str">
        <f>IF(LEN(COUNTIFS($H$1:H1219,$H1219,$I$1:I1219,$I1219,$J$1:J1219,$J1219,$K$1:K1219,K1219,$L$1:L1219,L1219))=1,"00"&amp;COUNTIFS($H$1:H1219,$H1219,$I$1:I1219,$I1219,$J$1:J1219,$J1219,$K$1:K1219,K1219,$L$1:L1219,L1219),IF(LEN(COUNTIFS($H$1:H1219,$H1219,$I$1:I1219,$I1219,$J$1:J1219,$J1219,$K$1:K1219,K1219,$L$1:L1219,L1219))=2,"0"&amp;COUNTIFS($H$1:H1219,$H1219,$I$1:I1219,$I1219,$J$1:J1219,$J1219,$K$1:K1219,K1219,$L$1:L1219,L1219),COUNTIFS($H$1:H1219,$H1219,$I$1:I1219,$I1219,$J$1:J1219,$J1219,$K$1:K1219,K1219,$L$1:L1219,L1219)))</f>
        <v>000</v>
      </c>
      <c r="N121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19" s="14" t="e">
        <f>+LEN(Table4[[#This Row],[New Item Code]])</f>
        <v>#N/A</v>
      </c>
      <c r="P1219" s="15" t="s">
        <v>4747</v>
      </c>
      <c r="Q1219" s="15" t="s">
        <v>4749</v>
      </c>
      <c r="R1219" s="15"/>
      <c r="S1219" s="15"/>
      <c r="T1219" s="15" t="e">
        <v>#N/A</v>
      </c>
    </row>
    <row r="1220" spans="1:20" x14ac:dyDescent="0.35">
      <c r="A1220" s="2" t="s">
        <v>2441</v>
      </c>
      <c r="B1220" s="2" t="s">
        <v>2442</v>
      </c>
      <c r="C1220" s="2" t="e">
        <v>#N/A</v>
      </c>
      <c r="D1220" s="2">
        <v>0</v>
      </c>
      <c r="E1220" s="2" t="e">
        <v>#N/A</v>
      </c>
      <c r="F1220" s="2">
        <v>0</v>
      </c>
      <c r="G1220" s="22">
        <f>Table4[[#This Row],[Item Cost]]*Table4[[#This Row],[In Stock]]</f>
        <v>0</v>
      </c>
      <c r="H1220" s="12" t="s">
        <v>4752</v>
      </c>
      <c r="I1220" s="13"/>
      <c r="J1220" s="13"/>
      <c r="K1220" s="13"/>
      <c r="L1220" s="12" t="s">
        <v>4672</v>
      </c>
      <c r="M1220" s="17" t="str">
        <f>IF(LEN(COUNTIFS($H$1:H1220,$H1220,$I$1:I1220,$I1220,$J$1:J1220,$J1220,$K$1:K1220,K1220,$L$1:L1220,L1220))=1,"00"&amp;COUNTIFS($H$1:H1220,$H1220,$I$1:I1220,$I1220,$J$1:J1220,$J1220,$K$1:K1220,K1220,$L$1:L1220,L1220),IF(LEN(COUNTIFS($H$1:H1220,$H1220,$I$1:I1220,$I1220,$J$1:J1220,$J1220,$K$1:K1220,K1220,$L$1:L1220,L1220))=2,"0"&amp;COUNTIFS($H$1:H1220,$H1220,$I$1:I1220,$I1220,$J$1:J1220,$J1220,$K$1:K1220,K1220,$L$1:L1220,L1220),COUNTIFS($H$1:H1220,$H1220,$I$1:I1220,$I1220,$J$1:J1220,$J1220,$K$1:K1220,K1220,$L$1:L1220,L1220)))</f>
        <v>000</v>
      </c>
      <c r="N122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20" s="14" t="e">
        <f>+LEN(Table4[[#This Row],[New Item Code]])</f>
        <v>#N/A</v>
      </c>
      <c r="P1220" s="15" t="s">
        <v>4747</v>
      </c>
      <c r="Q1220" s="15" t="s">
        <v>4749</v>
      </c>
      <c r="R1220" s="15"/>
      <c r="S1220" s="15"/>
      <c r="T1220" s="15" t="e">
        <v>#N/A</v>
      </c>
    </row>
    <row r="1221" spans="1:20" x14ac:dyDescent="0.35">
      <c r="A1221" s="3" t="s">
        <v>2443</v>
      </c>
      <c r="B1221" s="3" t="s">
        <v>2444</v>
      </c>
      <c r="C1221" s="3" t="e">
        <v>#N/A</v>
      </c>
      <c r="D1221" s="3">
        <v>0</v>
      </c>
      <c r="E1221" s="3" t="e">
        <v>#N/A</v>
      </c>
      <c r="F1221" s="3">
        <v>0</v>
      </c>
      <c r="G1221" s="21">
        <f>Table4[[#This Row],[Item Cost]]*Table4[[#This Row],[In Stock]]</f>
        <v>0</v>
      </c>
      <c r="H1221" s="12" t="s">
        <v>4752</v>
      </c>
      <c r="I1221" s="13"/>
      <c r="J1221" s="13"/>
      <c r="K1221" s="13"/>
      <c r="L1221" s="12" t="s">
        <v>4672</v>
      </c>
      <c r="M1221" s="17" t="str">
        <f>IF(LEN(COUNTIFS($H$1:H1221,$H1221,$I$1:I1221,$I1221,$J$1:J1221,$J1221,$K$1:K1221,K1221,$L$1:L1221,L1221))=1,"00"&amp;COUNTIFS($H$1:H1221,$H1221,$I$1:I1221,$I1221,$J$1:J1221,$J1221,$K$1:K1221,K1221,$L$1:L1221,L1221),IF(LEN(COUNTIFS($H$1:H1221,$H1221,$I$1:I1221,$I1221,$J$1:J1221,$J1221,$K$1:K1221,K1221,$L$1:L1221,L1221))=2,"0"&amp;COUNTIFS($H$1:H1221,$H1221,$I$1:I1221,$I1221,$J$1:J1221,$J1221,$K$1:K1221,K1221,$L$1:L1221,L1221),COUNTIFS($H$1:H1221,$H1221,$I$1:I1221,$I1221,$J$1:J1221,$J1221,$K$1:K1221,K1221,$L$1:L1221,L1221)))</f>
        <v>000</v>
      </c>
      <c r="N122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21" s="14" t="e">
        <f>+LEN(Table4[[#This Row],[New Item Code]])</f>
        <v>#N/A</v>
      </c>
      <c r="P1221" s="15" t="s">
        <v>4747</v>
      </c>
      <c r="Q1221" s="15" t="s">
        <v>4749</v>
      </c>
      <c r="R1221" s="15"/>
      <c r="S1221" s="15"/>
      <c r="T1221" s="15" t="e">
        <v>#N/A</v>
      </c>
    </row>
    <row r="1222" spans="1:20" x14ac:dyDescent="0.35">
      <c r="A1222" s="2" t="s">
        <v>2445</v>
      </c>
      <c r="B1222" s="2" t="s">
        <v>2446</v>
      </c>
      <c r="C1222" s="2" t="e">
        <v>#N/A</v>
      </c>
      <c r="D1222" s="2">
        <v>0</v>
      </c>
      <c r="E1222" s="2" t="e">
        <v>#N/A</v>
      </c>
      <c r="F1222" s="2">
        <v>0</v>
      </c>
      <c r="G1222" s="22">
        <f>Table4[[#This Row],[Item Cost]]*Table4[[#This Row],[In Stock]]</f>
        <v>0</v>
      </c>
      <c r="H1222" s="12" t="s">
        <v>4752</v>
      </c>
      <c r="I1222" s="13"/>
      <c r="J1222" s="13"/>
      <c r="K1222" s="13"/>
      <c r="L1222" s="12" t="s">
        <v>4672</v>
      </c>
      <c r="M1222" s="17" t="str">
        <f>IF(LEN(COUNTIFS($H$1:H1222,$H1222,$I$1:I1222,$I1222,$J$1:J1222,$J1222,$K$1:K1222,K1222,$L$1:L1222,L1222))=1,"00"&amp;COUNTIFS($H$1:H1222,$H1222,$I$1:I1222,$I1222,$J$1:J1222,$J1222,$K$1:K1222,K1222,$L$1:L1222,L1222),IF(LEN(COUNTIFS($H$1:H1222,$H1222,$I$1:I1222,$I1222,$J$1:J1222,$J1222,$K$1:K1222,K1222,$L$1:L1222,L1222))=2,"0"&amp;COUNTIFS($H$1:H1222,$H1222,$I$1:I1222,$I1222,$J$1:J1222,$J1222,$K$1:K1222,K1222,$L$1:L1222,L1222),COUNTIFS($H$1:H1222,$H1222,$I$1:I1222,$I1222,$J$1:J1222,$J1222,$K$1:K1222,K1222,$L$1:L1222,L1222)))</f>
        <v>000</v>
      </c>
      <c r="N122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22" s="14" t="e">
        <f>+LEN(Table4[[#This Row],[New Item Code]])</f>
        <v>#N/A</v>
      </c>
      <c r="P1222" s="15" t="s">
        <v>4747</v>
      </c>
      <c r="Q1222" s="15" t="s">
        <v>4749</v>
      </c>
      <c r="R1222" s="15"/>
      <c r="S1222" s="15"/>
      <c r="T1222" s="15" t="e">
        <v>#N/A</v>
      </c>
    </row>
    <row r="1223" spans="1:20" x14ac:dyDescent="0.35">
      <c r="A1223" s="3" t="s">
        <v>2447</v>
      </c>
      <c r="B1223" s="3" t="s">
        <v>2448</v>
      </c>
      <c r="C1223" s="3" t="e">
        <v>#N/A</v>
      </c>
      <c r="D1223" s="3">
        <v>0</v>
      </c>
      <c r="E1223" s="3" t="e">
        <v>#N/A</v>
      </c>
      <c r="F1223" s="3">
        <v>0</v>
      </c>
      <c r="G1223" s="21">
        <f>Table4[[#This Row],[Item Cost]]*Table4[[#This Row],[In Stock]]</f>
        <v>0</v>
      </c>
      <c r="H1223" s="12" t="s">
        <v>4752</v>
      </c>
      <c r="I1223" s="13"/>
      <c r="J1223" s="13"/>
      <c r="K1223" s="13"/>
      <c r="L1223" s="12" t="s">
        <v>4672</v>
      </c>
      <c r="M1223" s="17" t="str">
        <f>IF(LEN(COUNTIFS($H$1:H1223,$H1223,$I$1:I1223,$I1223,$J$1:J1223,$J1223,$K$1:K1223,K1223,$L$1:L1223,L1223))=1,"00"&amp;COUNTIFS($H$1:H1223,$H1223,$I$1:I1223,$I1223,$J$1:J1223,$J1223,$K$1:K1223,K1223,$L$1:L1223,L1223),IF(LEN(COUNTIFS($H$1:H1223,$H1223,$I$1:I1223,$I1223,$J$1:J1223,$J1223,$K$1:K1223,K1223,$L$1:L1223,L1223))=2,"0"&amp;COUNTIFS($H$1:H1223,$H1223,$I$1:I1223,$I1223,$J$1:J1223,$J1223,$K$1:K1223,K1223,$L$1:L1223,L1223),COUNTIFS($H$1:H1223,$H1223,$I$1:I1223,$I1223,$J$1:J1223,$J1223,$K$1:K1223,K1223,$L$1:L1223,L1223)))</f>
        <v>000</v>
      </c>
      <c r="N122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23" s="14" t="e">
        <f>+LEN(Table4[[#This Row],[New Item Code]])</f>
        <v>#N/A</v>
      </c>
      <c r="P1223" s="15" t="s">
        <v>4747</v>
      </c>
      <c r="Q1223" s="15" t="s">
        <v>4749</v>
      </c>
      <c r="R1223" s="15"/>
      <c r="S1223" s="15"/>
      <c r="T1223" s="15" t="e">
        <v>#N/A</v>
      </c>
    </row>
    <row r="1224" spans="1:20" x14ac:dyDescent="0.35">
      <c r="A1224" s="2" t="s">
        <v>2449</v>
      </c>
      <c r="B1224" s="2" t="s">
        <v>2450</v>
      </c>
      <c r="C1224" s="2" t="s">
        <v>15</v>
      </c>
      <c r="D1224" s="2">
        <v>0</v>
      </c>
      <c r="E1224" s="2" t="s">
        <v>10</v>
      </c>
      <c r="F1224" s="2">
        <v>0</v>
      </c>
      <c r="G1224" s="22">
        <f>Table4[[#This Row],[Item Cost]]*Table4[[#This Row],[In Stock]]</f>
        <v>0</v>
      </c>
      <c r="H1224" s="12" t="s">
        <v>4661</v>
      </c>
      <c r="I1224" s="13" t="s">
        <v>4666</v>
      </c>
      <c r="J1224" s="13"/>
      <c r="K1224" s="13" t="s">
        <v>4672</v>
      </c>
      <c r="L1224" s="12" t="s">
        <v>4672</v>
      </c>
      <c r="M1224" s="17" t="str">
        <f>IF(LEN(COUNTIFS($H$1:H1224,$H1224,$I$1:I1224,$I1224,$J$1:J1224,$J1224,$K$1:K1224,K1224,$L$1:L1224,L1224))=1,"00"&amp;COUNTIFS($H$1:H1224,$H1224,$I$1:I1224,$I1224,$J$1:J1224,$J1224,$K$1:K1224,K1224,$L$1:L1224,L1224),IF(LEN(COUNTIFS($H$1:H1224,$H1224,$I$1:I1224,$I1224,$J$1:J1224,$J1224,$K$1:K1224,K1224,$L$1:L1224,L1224))=2,"0"&amp;COUNTIFS($H$1:H1224,$H1224,$I$1:I1224,$I1224,$J$1:J1224,$J1224,$K$1:K1224,K1224,$L$1:L1224,L1224),COUNTIFS($H$1:H1224,$H1224,$I$1:I1224,$I1224,$J$1:J1224,$J1224,$K$1:K1224,K1224,$L$1:L1224,L1224)))</f>
        <v>000</v>
      </c>
      <c r="N122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24" s="14" t="e">
        <f>+LEN(Table4[[#This Row],[New Item Code]])</f>
        <v>#N/A</v>
      </c>
      <c r="P1224" s="15" t="s">
        <v>4747</v>
      </c>
      <c r="Q1224" s="15" t="s">
        <v>4749</v>
      </c>
      <c r="R1224" s="15"/>
      <c r="S1224" s="15"/>
      <c r="T1224" s="15" t="e">
        <v>#N/A</v>
      </c>
    </row>
    <row r="1225" spans="1:20" x14ac:dyDescent="0.35">
      <c r="A1225" s="3" t="s">
        <v>2451</v>
      </c>
      <c r="B1225" s="3" t="s">
        <v>2452</v>
      </c>
      <c r="C1225" s="3" t="s">
        <v>9</v>
      </c>
      <c r="D1225" s="5">
        <v>47850</v>
      </c>
      <c r="E1225" s="3" t="s">
        <v>10</v>
      </c>
      <c r="F1225" s="3">
        <v>1</v>
      </c>
      <c r="G1225" s="21">
        <f>Table4[[#This Row],[Item Cost]]*Table4[[#This Row],[In Stock]]</f>
        <v>47850</v>
      </c>
      <c r="H1225" s="12" t="s">
        <v>4661</v>
      </c>
      <c r="I1225" s="13" t="s">
        <v>4664</v>
      </c>
      <c r="J1225" s="13" t="s">
        <v>4703</v>
      </c>
      <c r="K1225" s="13" t="s">
        <v>4672</v>
      </c>
      <c r="L1225" s="12" t="s">
        <v>4672</v>
      </c>
      <c r="M1225" s="17" t="str">
        <f>IF(LEN(COUNTIFS($H$1:H1225,$H1225,$I$1:I1225,$I1225,$J$1:J1225,$J1225,$K$1:K1225,K1225,$L$1:L1225,L1225))=1,"00"&amp;COUNTIFS($H$1:H1225,$H1225,$I$1:I1225,$I1225,$J$1:J1225,$J1225,$K$1:K1225,K1225,$L$1:L1225,L1225),IF(LEN(COUNTIFS($H$1:H1225,$H1225,$I$1:I1225,$I1225,$J$1:J1225,$J1225,$K$1:K1225,K1225,$L$1:L1225,L1225))=2,"0"&amp;COUNTIFS($H$1:H1225,$H1225,$I$1:I1225,$I1225,$J$1:J1225,$J1225,$K$1:K1225,K1225,$L$1:L1225,L1225),COUNTIFS($H$1:H1225,$H1225,$I$1:I1225,$I1225,$J$1:J1225,$J1225,$K$1:K1225,K1225,$L$1:L1225,L1225)))</f>
        <v>003</v>
      </c>
      <c r="N122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25" s="14" t="e">
        <f>+LEN(Table4[[#This Row],[New Item Code]])</f>
        <v>#N/A</v>
      </c>
      <c r="P1225" s="15" t="s">
        <v>4747</v>
      </c>
      <c r="Q1225" s="15" t="s">
        <v>4749</v>
      </c>
      <c r="R1225" s="15"/>
      <c r="S1225" s="15"/>
      <c r="T1225" s="15" t="s">
        <v>4703</v>
      </c>
    </row>
    <row r="1226" spans="1:20" x14ac:dyDescent="0.35">
      <c r="A1226" s="2" t="s">
        <v>2453</v>
      </c>
      <c r="B1226" s="2" t="s">
        <v>2262</v>
      </c>
      <c r="C1226" s="2" t="s">
        <v>9</v>
      </c>
      <c r="D1226" s="4">
        <v>1651</v>
      </c>
      <c r="E1226" s="2" t="s">
        <v>10</v>
      </c>
      <c r="F1226" s="2">
        <v>1</v>
      </c>
      <c r="G1226" s="22">
        <f>Table4[[#This Row],[Item Cost]]*Table4[[#This Row],[In Stock]]</f>
        <v>1651</v>
      </c>
      <c r="H1226" s="12" t="s">
        <v>4661</v>
      </c>
      <c r="I1226" s="13" t="s">
        <v>4664</v>
      </c>
      <c r="J1226" s="13" t="s">
        <v>4703</v>
      </c>
      <c r="K1226" s="13" t="s">
        <v>4672</v>
      </c>
      <c r="L1226" s="12" t="s">
        <v>4672</v>
      </c>
      <c r="M1226" s="17" t="str">
        <f>IF(LEN(COUNTIFS($H$1:H1226,$H1226,$I$1:I1226,$I1226,$J$1:J1226,$J1226,$K$1:K1226,K1226,$L$1:L1226,L1226))=1,"00"&amp;COUNTIFS($H$1:H1226,$H1226,$I$1:I1226,$I1226,$J$1:J1226,$J1226,$K$1:K1226,K1226,$L$1:L1226,L1226),IF(LEN(COUNTIFS($H$1:H1226,$H1226,$I$1:I1226,$I1226,$J$1:J1226,$J1226,$K$1:K1226,K1226,$L$1:L1226,L1226))=2,"0"&amp;COUNTIFS($H$1:H1226,$H1226,$I$1:I1226,$I1226,$J$1:J1226,$J1226,$K$1:K1226,K1226,$L$1:L1226,L1226),COUNTIFS($H$1:H1226,$H1226,$I$1:I1226,$I1226,$J$1:J1226,$J1226,$K$1:K1226,K1226,$L$1:L1226,L1226)))</f>
        <v>004</v>
      </c>
      <c r="N122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26" s="14" t="e">
        <f>+LEN(Table4[[#This Row],[New Item Code]])</f>
        <v>#N/A</v>
      </c>
      <c r="P1226" s="15" t="s">
        <v>4747</v>
      </c>
      <c r="Q1226" s="15" t="s">
        <v>4749</v>
      </c>
      <c r="R1226" s="15"/>
      <c r="S1226" s="15"/>
      <c r="T1226" s="15" t="s">
        <v>4703</v>
      </c>
    </row>
    <row r="1227" spans="1:20" x14ac:dyDescent="0.35">
      <c r="A1227" s="3" t="s">
        <v>2454</v>
      </c>
      <c r="B1227" s="3" t="s">
        <v>2455</v>
      </c>
      <c r="C1227" s="3" t="s">
        <v>9</v>
      </c>
      <c r="D1227" s="5">
        <v>4980</v>
      </c>
      <c r="E1227" s="3" t="s">
        <v>10</v>
      </c>
      <c r="F1227" s="3">
        <v>1</v>
      </c>
      <c r="G1227" s="21">
        <f>Table4[[#This Row],[Item Cost]]*Table4[[#This Row],[In Stock]]</f>
        <v>4980</v>
      </c>
      <c r="H1227" s="12" t="s">
        <v>4661</v>
      </c>
      <c r="I1227" s="13" t="s">
        <v>4664</v>
      </c>
      <c r="J1227" s="13" t="s">
        <v>4703</v>
      </c>
      <c r="K1227" s="13" t="s">
        <v>4672</v>
      </c>
      <c r="L1227" s="12" t="s">
        <v>4672</v>
      </c>
      <c r="M1227" s="17" t="str">
        <f>IF(LEN(COUNTIFS($H$1:H1227,$H1227,$I$1:I1227,$I1227,$J$1:J1227,$J1227,$K$1:K1227,K1227,$L$1:L1227,L1227))=1,"00"&amp;COUNTIFS($H$1:H1227,$H1227,$I$1:I1227,$I1227,$J$1:J1227,$J1227,$K$1:K1227,K1227,$L$1:L1227,L1227),IF(LEN(COUNTIFS($H$1:H1227,$H1227,$I$1:I1227,$I1227,$J$1:J1227,$J1227,$K$1:K1227,K1227,$L$1:L1227,L1227))=2,"0"&amp;COUNTIFS($H$1:H1227,$H1227,$I$1:I1227,$I1227,$J$1:J1227,$J1227,$K$1:K1227,K1227,$L$1:L1227,L1227),COUNTIFS($H$1:H1227,$H1227,$I$1:I1227,$I1227,$J$1:J1227,$J1227,$K$1:K1227,K1227,$L$1:L1227,L1227)))</f>
        <v>005</v>
      </c>
      <c r="N122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27" s="14" t="e">
        <f>+LEN(Table4[[#This Row],[New Item Code]])</f>
        <v>#N/A</v>
      </c>
      <c r="P1227" s="15" t="s">
        <v>4747</v>
      </c>
      <c r="Q1227" s="15" t="s">
        <v>4749</v>
      </c>
      <c r="R1227" s="15"/>
      <c r="S1227" s="15"/>
      <c r="T1227" s="15" t="s">
        <v>4703</v>
      </c>
    </row>
    <row r="1228" spans="1:20" x14ac:dyDescent="0.35">
      <c r="A1228" s="2" t="s">
        <v>2456</v>
      </c>
      <c r="B1228" s="2" t="s">
        <v>2457</v>
      </c>
      <c r="C1228" s="2" t="s">
        <v>15</v>
      </c>
      <c r="D1228" s="2">
        <v>0</v>
      </c>
      <c r="E1228" s="2" t="s">
        <v>10</v>
      </c>
      <c r="F1228" s="2">
        <v>0</v>
      </c>
      <c r="G1228" s="22">
        <f>Table4[[#This Row],[Item Cost]]*Table4[[#This Row],[In Stock]]</f>
        <v>0</v>
      </c>
      <c r="H1228" s="12" t="s">
        <v>4661</v>
      </c>
      <c r="I1228" s="13" t="s">
        <v>4666</v>
      </c>
      <c r="J1228" s="13" t="s">
        <v>4703</v>
      </c>
      <c r="K1228" s="13" t="s">
        <v>4672</v>
      </c>
      <c r="L1228" s="12" t="s">
        <v>4672</v>
      </c>
      <c r="M1228" s="17" t="str">
        <f>IF(LEN(COUNTIFS($H$1:H1228,$H1228,$I$1:I1228,$I1228,$J$1:J1228,$J1228,$K$1:K1228,K1228,$L$1:L1228,L1228))=1,"00"&amp;COUNTIFS($H$1:H1228,$H1228,$I$1:I1228,$I1228,$J$1:J1228,$J1228,$K$1:K1228,K1228,$L$1:L1228,L1228),IF(LEN(COUNTIFS($H$1:H1228,$H1228,$I$1:I1228,$I1228,$J$1:J1228,$J1228,$K$1:K1228,K1228,$L$1:L1228,L1228))=2,"0"&amp;COUNTIFS($H$1:H1228,$H1228,$I$1:I1228,$I1228,$J$1:J1228,$J1228,$K$1:K1228,K1228,$L$1:L1228,L1228),COUNTIFS($H$1:H1228,$H1228,$I$1:I1228,$I1228,$J$1:J1228,$J1228,$K$1:K1228,K1228,$L$1:L1228,L1228)))</f>
        <v>001</v>
      </c>
      <c r="N122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28" s="14" t="e">
        <f>+LEN(Table4[[#This Row],[New Item Code]])</f>
        <v>#N/A</v>
      </c>
      <c r="P1228" s="15" t="s">
        <v>4747</v>
      </c>
      <c r="Q1228" s="15" t="s">
        <v>4749</v>
      </c>
      <c r="R1228" s="15"/>
      <c r="S1228" s="15"/>
      <c r="T1228" s="15" t="s">
        <v>4703</v>
      </c>
    </row>
    <row r="1229" spans="1:20" x14ac:dyDescent="0.35">
      <c r="A1229" s="3" t="s">
        <v>2458</v>
      </c>
      <c r="B1229" s="3" t="s">
        <v>2459</v>
      </c>
      <c r="C1229" s="3" t="s">
        <v>15</v>
      </c>
      <c r="D1229" s="3">
        <v>0</v>
      </c>
      <c r="E1229" s="3" t="s">
        <v>10</v>
      </c>
      <c r="F1229" s="3">
        <v>0</v>
      </c>
      <c r="G1229" s="21">
        <f>Table4[[#This Row],[Item Cost]]*Table4[[#This Row],[In Stock]]</f>
        <v>0</v>
      </c>
      <c r="H1229" s="12" t="s">
        <v>4661</v>
      </c>
      <c r="I1229" s="13" t="s">
        <v>4666</v>
      </c>
      <c r="J1229" s="13" t="s">
        <v>4703</v>
      </c>
      <c r="K1229" s="13" t="s">
        <v>4672</v>
      </c>
      <c r="L1229" s="12" t="s">
        <v>4672</v>
      </c>
      <c r="M1229" s="17" t="str">
        <f>IF(LEN(COUNTIFS($H$1:H1229,$H1229,$I$1:I1229,$I1229,$J$1:J1229,$J1229,$K$1:K1229,K1229,$L$1:L1229,L1229))=1,"00"&amp;COUNTIFS($H$1:H1229,$H1229,$I$1:I1229,$I1229,$J$1:J1229,$J1229,$K$1:K1229,K1229,$L$1:L1229,L1229),IF(LEN(COUNTIFS($H$1:H1229,$H1229,$I$1:I1229,$I1229,$J$1:J1229,$J1229,$K$1:K1229,K1229,$L$1:L1229,L1229))=2,"0"&amp;COUNTIFS($H$1:H1229,$H1229,$I$1:I1229,$I1229,$J$1:J1229,$J1229,$K$1:K1229,K1229,$L$1:L1229,L1229),COUNTIFS($H$1:H1229,$H1229,$I$1:I1229,$I1229,$J$1:J1229,$J1229,$K$1:K1229,K1229,$L$1:L1229,L1229)))</f>
        <v>002</v>
      </c>
      <c r="N122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29" s="14" t="e">
        <f>+LEN(Table4[[#This Row],[New Item Code]])</f>
        <v>#N/A</v>
      </c>
      <c r="P1229" s="15" t="s">
        <v>4747</v>
      </c>
      <c r="Q1229" s="15" t="s">
        <v>4749</v>
      </c>
      <c r="R1229" s="15"/>
      <c r="S1229" s="15"/>
      <c r="T1229" s="15" t="s">
        <v>4703</v>
      </c>
    </row>
    <row r="1230" spans="1:20" x14ac:dyDescent="0.35">
      <c r="A1230" s="2" t="s">
        <v>2460</v>
      </c>
      <c r="B1230" s="2" t="s">
        <v>2461</v>
      </c>
      <c r="C1230" s="2" t="s">
        <v>15</v>
      </c>
      <c r="D1230" s="2">
        <v>0</v>
      </c>
      <c r="E1230" s="2" t="s">
        <v>10</v>
      </c>
      <c r="F1230" s="2">
        <v>0</v>
      </c>
      <c r="G1230" s="22">
        <f>Table4[[#This Row],[Item Cost]]*Table4[[#This Row],[In Stock]]</f>
        <v>0</v>
      </c>
      <c r="H1230" s="12" t="s">
        <v>4661</v>
      </c>
      <c r="I1230" s="13" t="s">
        <v>4666</v>
      </c>
      <c r="J1230" s="13" t="s">
        <v>4703</v>
      </c>
      <c r="K1230" s="13" t="s">
        <v>4672</v>
      </c>
      <c r="L1230" s="12" t="s">
        <v>4672</v>
      </c>
      <c r="M1230" s="17" t="str">
        <f>IF(LEN(COUNTIFS($H$1:H1230,$H1230,$I$1:I1230,$I1230,$J$1:J1230,$J1230,$K$1:K1230,K1230,$L$1:L1230,L1230))=1,"00"&amp;COUNTIFS($H$1:H1230,$H1230,$I$1:I1230,$I1230,$J$1:J1230,$J1230,$K$1:K1230,K1230,$L$1:L1230,L1230),IF(LEN(COUNTIFS($H$1:H1230,$H1230,$I$1:I1230,$I1230,$J$1:J1230,$J1230,$K$1:K1230,K1230,$L$1:L1230,L1230))=2,"0"&amp;COUNTIFS($H$1:H1230,$H1230,$I$1:I1230,$I1230,$J$1:J1230,$J1230,$K$1:K1230,K1230,$L$1:L1230,L1230),COUNTIFS($H$1:H1230,$H1230,$I$1:I1230,$I1230,$J$1:J1230,$J1230,$K$1:K1230,K1230,$L$1:L1230,L1230)))</f>
        <v>003</v>
      </c>
      <c r="N123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30" s="14" t="e">
        <f>+LEN(Table4[[#This Row],[New Item Code]])</f>
        <v>#N/A</v>
      </c>
      <c r="P1230" s="15" t="s">
        <v>4747</v>
      </c>
      <c r="Q1230" s="15" t="s">
        <v>4749</v>
      </c>
      <c r="R1230" s="15"/>
      <c r="S1230" s="15"/>
      <c r="T1230" s="15" t="s">
        <v>4703</v>
      </c>
    </row>
    <row r="1231" spans="1:20" x14ac:dyDescent="0.35">
      <c r="A1231" s="3" t="s">
        <v>2462</v>
      </c>
      <c r="B1231" s="3" t="s">
        <v>2463</v>
      </c>
      <c r="C1231" s="3" t="s">
        <v>9</v>
      </c>
      <c r="D1231" s="3">
        <v>230</v>
      </c>
      <c r="E1231" s="3" t="s">
        <v>10</v>
      </c>
      <c r="F1231" s="3">
        <v>1</v>
      </c>
      <c r="G1231" s="21">
        <f>Table4[[#This Row],[Item Cost]]*Table4[[#This Row],[In Stock]]</f>
        <v>230</v>
      </c>
      <c r="H1231" s="12" t="s">
        <v>4661</v>
      </c>
      <c r="I1231" s="13" t="s">
        <v>4664</v>
      </c>
      <c r="J1231" s="13" t="s">
        <v>4703</v>
      </c>
      <c r="K1231" s="13" t="s">
        <v>4672</v>
      </c>
      <c r="L1231" s="12" t="s">
        <v>4672</v>
      </c>
      <c r="M1231" s="17" t="str">
        <f>IF(LEN(COUNTIFS($H$1:H1231,$H1231,$I$1:I1231,$I1231,$J$1:J1231,$J1231,$K$1:K1231,K1231,$L$1:L1231,L1231))=1,"00"&amp;COUNTIFS($H$1:H1231,$H1231,$I$1:I1231,$I1231,$J$1:J1231,$J1231,$K$1:K1231,K1231,$L$1:L1231,L1231),IF(LEN(COUNTIFS($H$1:H1231,$H1231,$I$1:I1231,$I1231,$J$1:J1231,$J1231,$K$1:K1231,K1231,$L$1:L1231,L1231))=2,"0"&amp;COUNTIFS($H$1:H1231,$H1231,$I$1:I1231,$I1231,$J$1:J1231,$J1231,$K$1:K1231,K1231,$L$1:L1231,L1231),COUNTIFS($H$1:H1231,$H1231,$I$1:I1231,$I1231,$J$1:J1231,$J1231,$K$1:K1231,K1231,$L$1:L1231,L1231)))</f>
        <v>006</v>
      </c>
      <c r="N123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31" s="14" t="e">
        <f>+LEN(Table4[[#This Row],[New Item Code]])</f>
        <v>#N/A</v>
      </c>
      <c r="P1231" s="15" t="s">
        <v>4747</v>
      </c>
      <c r="Q1231" s="15" t="s">
        <v>4749</v>
      </c>
      <c r="R1231" s="15"/>
      <c r="S1231" s="15"/>
      <c r="T1231" s="15" t="s">
        <v>4703</v>
      </c>
    </row>
    <row r="1232" spans="1:20" x14ac:dyDescent="0.35">
      <c r="A1232" s="2" t="s">
        <v>2464</v>
      </c>
      <c r="B1232" s="2" t="s">
        <v>2465</v>
      </c>
      <c r="C1232" s="2" t="s">
        <v>9</v>
      </c>
      <c r="D1232" s="4">
        <v>1150</v>
      </c>
      <c r="E1232" s="2" t="s">
        <v>10</v>
      </c>
      <c r="F1232" s="2">
        <v>1</v>
      </c>
      <c r="G1232" s="22">
        <f>Table4[[#This Row],[Item Cost]]*Table4[[#This Row],[In Stock]]</f>
        <v>1150</v>
      </c>
      <c r="H1232" s="12" t="s">
        <v>4661</v>
      </c>
      <c r="I1232" s="13" t="s">
        <v>4664</v>
      </c>
      <c r="J1232" s="13" t="s">
        <v>4703</v>
      </c>
      <c r="K1232" s="13" t="s">
        <v>4672</v>
      </c>
      <c r="L1232" s="12" t="s">
        <v>4672</v>
      </c>
      <c r="M1232" s="17" t="str">
        <f>IF(LEN(COUNTIFS($H$1:H1232,$H1232,$I$1:I1232,$I1232,$J$1:J1232,$J1232,$K$1:K1232,K1232,$L$1:L1232,L1232))=1,"00"&amp;COUNTIFS($H$1:H1232,$H1232,$I$1:I1232,$I1232,$J$1:J1232,$J1232,$K$1:K1232,K1232,$L$1:L1232,L1232),IF(LEN(COUNTIFS($H$1:H1232,$H1232,$I$1:I1232,$I1232,$J$1:J1232,$J1232,$K$1:K1232,K1232,$L$1:L1232,L1232))=2,"0"&amp;COUNTIFS($H$1:H1232,$H1232,$I$1:I1232,$I1232,$J$1:J1232,$J1232,$K$1:K1232,K1232,$L$1:L1232,L1232),COUNTIFS($H$1:H1232,$H1232,$I$1:I1232,$I1232,$J$1:J1232,$J1232,$K$1:K1232,K1232,$L$1:L1232,L1232)))</f>
        <v>007</v>
      </c>
      <c r="N123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32" s="14" t="e">
        <f>+LEN(Table4[[#This Row],[New Item Code]])</f>
        <v>#N/A</v>
      </c>
      <c r="P1232" s="15" t="s">
        <v>4747</v>
      </c>
      <c r="Q1232" s="15" t="s">
        <v>4749</v>
      </c>
      <c r="R1232" s="15"/>
      <c r="S1232" s="15"/>
      <c r="T1232" s="15" t="s">
        <v>4703</v>
      </c>
    </row>
    <row r="1233" spans="1:20" x14ac:dyDescent="0.35">
      <c r="A1233" s="3" t="s">
        <v>2466</v>
      </c>
      <c r="B1233" s="3" t="s">
        <v>2467</v>
      </c>
      <c r="C1233" s="3" t="s">
        <v>15</v>
      </c>
      <c r="D1233" s="3">
        <v>0</v>
      </c>
      <c r="E1233" s="3" t="s">
        <v>10</v>
      </c>
      <c r="F1233" s="3">
        <v>0</v>
      </c>
      <c r="G1233" s="21">
        <f>Table4[[#This Row],[Item Cost]]*Table4[[#This Row],[In Stock]]</f>
        <v>0</v>
      </c>
      <c r="H1233" s="12" t="s">
        <v>4661</v>
      </c>
      <c r="I1233" s="13" t="s">
        <v>4666</v>
      </c>
      <c r="J1233" s="13" t="s">
        <v>4703</v>
      </c>
      <c r="K1233" s="13" t="s">
        <v>4672</v>
      </c>
      <c r="L1233" s="12" t="s">
        <v>4672</v>
      </c>
      <c r="M1233" s="17" t="str">
        <f>IF(LEN(COUNTIFS($H$1:H1233,$H1233,$I$1:I1233,$I1233,$J$1:J1233,$J1233,$K$1:K1233,K1233,$L$1:L1233,L1233))=1,"00"&amp;COUNTIFS($H$1:H1233,$H1233,$I$1:I1233,$I1233,$J$1:J1233,$J1233,$K$1:K1233,K1233,$L$1:L1233,L1233),IF(LEN(COUNTIFS($H$1:H1233,$H1233,$I$1:I1233,$I1233,$J$1:J1233,$J1233,$K$1:K1233,K1233,$L$1:L1233,L1233))=2,"0"&amp;COUNTIFS($H$1:H1233,$H1233,$I$1:I1233,$I1233,$J$1:J1233,$J1233,$K$1:K1233,K1233,$L$1:L1233,L1233),COUNTIFS($H$1:H1233,$H1233,$I$1:I1233,$I1233,$J$1:J1233,$J1233,$K$1:K1233,K1233,$L$1:L1233,L1233)))</f>
        <v>004</v>
      </c>
      <c r="N123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33" s="14" t="e">
        <f>+LEN(Table4[[#This Row],[New Item Code]])</f>
        <v>#N/A</v>
      </c>
      <c r="P1233" s="15" t="s">
        <v>4747</v>
      </c>
      <c r="Q1233" s="15" t="s">
        <v>4749</v>
      </c>
      <c r="R1233" s="15"/>
      <c r="S1233" s="15"/>
      <c r="T1233" s="15" t="s">
        <v>4703</v>
      </c>
    </row>
    <row r="1234" spans="1:20" x14ac:dyDescent="0.35">
      <c r="A1234" s="2" t="s">
        <v>2468</v>
      </c>
      <c r="B1234" s="2" t="s">
        <v>2469</v>
      </c>
      <c r="C1234" s="2" t="s">
        <v>15</v>
      </c>
      <c r="D1234" s="2">
        <v>0</v>
      </c>
      <c r="E1234" s="2" t="s">
        <v>10</v>
      </c>
      <c r="F1234" s="2">
        <v>0</v>
      </c>
      <c r="G1234" s="22">
        <f>Table4[[#This Row],[Item Cost]]*Table4[[#This Row],[In Stock]]</f>
        <v>0</v>
      </c>
      <c r="H1234" s="12" t="s">
        <v>4661</v>
      </c>
      <c r="I1234" s="13" t="s">
        <v>4666</v>
      </c>
      <c r="J1234" s="13" t="s">
        <v>4703</v>
      </c>
      <c r="K1234" s="13" t="s">
        <v>4672</v>
      </c>
      <c r="L1234" s="12" t="s">
        <v>4672</v>
      </c>
      <c r="M1234" s="17" t="str">
        <f>IF(LEN(COUNTIFS($H$1:H1234,$H1234,$I$1:I1234,$I1234,$J$1:J1234,$J1234,$K$1:K1234,K1234,$L$1:L1234,L1234))=1,"00"&amp;COUNTIFS($H$1:H1234,$H1234,$I$1:I1234,$I1234,$J$1:J1234,$J1234,$K$1:K1234,K1234,$L$1:L1234,L1234),IF(LEN(COUNTIFS($H$1:H1234,$H1234,$I$1:I1234,$I1234,$J$1:J1234,$J1234,$K$1:K1234,K1234,$L$1:L1234,L1234))=2,"0"&amp;COUNTIFS($H$1:H1234,$H1234,$I$1:I1234,$I1234,$J$1:J1234,$J1234,$K$1:K1234,K1234,$L$1:L1234,L1234),COUNTIFS($H$1:H1234,$H1234,$I$1:I1234,$I1234,$J$1:J1234,$J1234,$K$1:K1234,K1234,$L$1:L1234,L1234)))</f>
        <v>005</v>
      </c>
      <c r="N123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34" s="14" t="e">
        <f>+LEN(Table4[[#This Row],[New Item Code]])</f>
        <v>#N/A</v>
      </c>
      <c r="P1234" s="15" t="s">
        <v>4747</v>
      </c>
      <c r="Q1234" s="15" t="s">
        <v>4749</v>
      </c>
      <c r="R1234" s="15"/>
      <c r="S1234" s="15"/>
      <c r="T1234" s="15" t="s">
        <v>4703</v>
      </c>
    </row>
    <row r="1235" spans="1:20" x14ac:dyDescent="0.35">
      <c r="A1235" s="3" t="s">
        <v>2470</v>
      </c>
      <c r="B1235" s="3" t="s">
        <v>2471</v>
      </c>
      <c r="C1235" s="3" t="s">
        <v>15</v>
      </c>
      <c r="D1235" s="3">
        <v>0</v>
      </c>
      <c r="E1235" s="3" t="s">
        <v>10</v>
      </c>
      <c r="F1235" s="3">
        <v>0</v>
      </c>
      <c r="G1235" s="21">
        <f>Table4[[#This Row],[Item Cost]]*Table4[[#This Row],[In Stock]]</f>
        <v>0</v>
      </c>
      <c r="H1235" s="12" t="s">
        <v>4661</v>
      </c>
      <c r="I1235" s="13" t="s">
        <v>4666</v>
      </c>
      <c r="J1235" s="13" t="s">
        <v>4703</v>
      </c>
      <c r="K1235" s="13" t="s">
        <v>4672</v>
      </c>
      <c r="L1235" s="12" t="s">
        <v>4672</v>
      </c>
      <c r="M1235" s="17" t="str">
        <f>IF(LEN(COUNTIFS($H$1:H1235,$H1235,$I$1:I1235,$I1235,$J$1:J1235,$J1235,$K$1:K1235,K1235,$L$1:L1235,L1235))=1,"00"&amp;COUNTIFS($H$1:H1235,$H1235,$I$1:I1235,$I1235,$J$1:J1235,$J1235,$K$1:K1235,K1235,$L$1:L1235,L1235),IF(LEN(COUNTIFS($H$1:H1235,$H1235,$I$1:I1235,$I1235,$J$1:J1235,$J1235,$K$1:K1235,K1235,$L$1:L1235,L1235))=2,"0"&amp;COUNTIFS($H$1:H1235,$H1235,$I$1:I1235,$I1235,$J$1:J1235,$J1235,$K$1:K1235,K1235,$L$1:L1235,L1235),COUNTIFS($H$1:H1235,$H1235,$I$1:I1235,$I1235,$J$1:J1235,$J1235,$K$1:K1235,K1235,$L$1:L1235,L1235)))</f>
        <v>006</v>
      </c>
      <c r="N123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35" s="14" t="e">
        <f>+LEN(Table4[[#This Row],[New Item Code]])</f>
        <v>#N/A</v>
      </c>
      <c r="P1235" s="15" t="s">
        <v>4747</v>
      </c>
      <c r="Q1235" s="15" t="s">
        <v>4749</v>
      </c>
      <c r="R1235" s="15"/>
      <c r="S1235" s="15"/>
      <c r="T1235" s="15" t="s">
        <v>4703</v>
      </c>
    </row>
    <row r="1236" spans="1:20" x14ac:dyDescent="0.35">
      <c r="A1236" s="2" t="s">
        <v>2472</v>
      </c>
      <c r="B1236" s="2" t="s">
        <v>2473</v>
      </c>
      <c r="C1236" s="2" t="s">
        <v>56</v>
      </c>
      <c r="D1236" s="2">
        <v>0</v>
      </c>
      <c r="E1236" s="2" t="s">
        <v>10</v>
      </c>
      <c r="F1236" s="2">
        <v>0</v>
      </c>
      <c r="G1236" s="22">
        <f>Table4[[#This Row],[Item Cost]]*Table4[[#This Row],[In Stock]]</f>
        <v>0</v>
      </c>
      <c r="H1236" s="12" t="s">
        <v>4661</v>
      </c>
      <c r="I1236" s="13" t="s">
        <v>4668</v>
      </c>
      <c r="J1236" s="13" t="s">
        <v>4672</v>
      </c>
      <c r="K1236" t="s">
        <v>4800</v>
      </c>
      <c r="L1236" s="12" t="s">
        <v>4672</v>
      </c>
      <c r="M1236" s="17" t="str">
        <f>IF(LEN(COUNTIFS($H$1:H1236,$H1236,$I$1:I1236,$I1236,$J$1:J1236,$J1236,$K$1:K1236,K1236,$L$1:L1236,L1236))=1,"00"&amp;COUNTIFS($H$1:H1236,$H1236,$I$1:I1236,$I1236,$J$1:J1236,$J1236,$K$1:K1236,K1236,$L$1:L1236,L1236),IF(LEN(COUNTIFS($H$1:H1236,$H1236,$I$1:I1236,$I1236,$J$1:J1236,$J1236,$K$1:K1236,K1236,$L$1:L1236,L1236))=2,"0"&amp;COUNTIFS($H$1:H1236,$H1236,$I$1:I1236,$I1236,$J$1:J1236,$J1236,$K$1:K1236,K1236,$L$1:L1236,L1236),COUNTIFS($H$1:H1236,$H1236,$I$1:I1236,$I1236,$J$1:J1236,$J1236,$K$1:K1236,K1236,$L$1:L1236,L1236)))</f>
        <v>015</v>
      </c>
      <c r="N123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36" s="14" t="e">
        <f>+LEN(Table4[[#This Row],[New Item Code]])</f>
        <v>#N/A</v>
      </c>
      <c r="P1236" s="15" t="s">
        <v>4747</v>
      </c>
      <c r="Q1236" s="15" t="s">
        <v>4749</v>
      </c>
      <c r="R1236" s="15"/>
      <c r="S1236" s="15"/>
      <c r="T1236" s="15" t="s">
        <v>4672</v>
      </c>
    </row>
    <row r="1237" spans="1:20" x14ac:dyDescent="0.35">
      <c r="A1237" s="3" t="s">
        <v>2474</v>
      </c>
      <c r="B1237" s="3" t="s">
        <v>2475</v>
      </c>
      <c r="C1237" s="3" t="s">
        <v>56</v>
      </c>
      <c r="D1237" s="3">
        <v>0</v>
      </c>
      <c r="E1237" s="3" t="s">
        <v>10</v>
      </c>
      <c r="F1237" s="3">
        <v>0</v>
      </c>
      <c r="G1237" s="21">
        <f>Table4[[#This Row],[Item Cost]]*Table4[[#This Row],[In Stock]]</f>
        <v>0</v>
      </c>
      <c r="H1237" s="12" t="s">
        <v>4661</v>
      </c>
      <c r="I1237" s="13" t="s">
        <v>4668</v>
      </c>
      <c r="J1237" s="13" t="s">
        <v>4672</v>
      </c>
      <c r="K1237" t="s">
        <v>4800</v>
      </c>
      <c r="L1237" s="12" t="s">
        <v>4672</v>
      </c>
      <c r="M1237" s="17" t="str">
        <f>IF(LEN(COUNTIFS($H$1:H1237,$H1237,$I$1:I1237,$I1237,$J$1:J1237,$J1237,$K$1:K1237,K1237,$L$1:L1237,L1237))=1,"00"&amp;COUNTIFS($H$1:H1237,$H1237,$I$1:I1237,$I1237,$J$1:J1237,$J1237,$K$1:K1237,K1237,$L$1:L1237,L1237),IF(LEN(COUNTIFS($H$1:H1237,$H1237,$I$1:I1237,$I1237,$J$1:J1237,$J1237,$K$1:K1237,K1237,$L$1:L1237,L1237))=2,"0"&amp;COUNTIFS($H$1:H1237,$H1237,$I$1:I1237,$I1237,$J$1:J1237,$J1237,$K$1:K1237,K1237,$L$1:L1237,L1237),COUNTIFS($H$1:H1237,$H1237,$I$1:I1237,$I1237,$J$1:J1237,$J1237,$K$1:K1237,K1237,$L$1:L1237,L1237)))</f>
        <v>016</v>
      </c>
      <c r="N123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37" s="14" t="e">
        <f>+LEN(Table4[[#This Row],[New Item Code]])</f>
        <v>#N/A</v>
      </c>
      <c r="P1237" s="15" t="s">
        <v>4747</v>
      </c>
      <c r="Q1237" s="15" t="s">
        <v>4749</v>
      </c>
      <c r="R1237" s="15"/>
      <c r="S1237" s="15"/>
      <c r="T1237" s="15" t="s">
        <v>4672</v>
      </c>
    </row>
    <row r="1238" spans="1:20" x14ac:dyDescent="0.35">
      <c r="A1238" s="2" t="s">
        <v>2476</v>
      </c>
      <c r="B1238" s="2" t="s">
        <v>2477</v>
      </c>
      <c r="C1238" s="2" t="s">
        <v>56</v>
      </c>
      <c r="D1238" s="2">
        <v>0</v>
      </c>
      <c r="E1238" s="2" t="s">
        <v>10</v>
      </c>
      <c r="F1238" s="2">
        <v>0</v>
      </c>
      <c r="G1238" s="22">
        <f>Table4[[#This Row],[Item Cost]]*Table4[[#This Row],[In Stock]]</f>
        <v>0</v>
      </c>
      <c r="H1238" s="12" t="s">
        <v>4661</v>
      </c>
      <c r="I1238" s="13" t="s">
        <v>4668</v>
      </c>
      <c r="J1238" s="13" t="s">
        <v>4672</v>
      </c>
      <c r="K1238" t="s">
        <v>4800</v>
      </c>
      <c r="L1238" s="12" t="s">
        <v>4672</v>
      </c>
      <c r="M1238" s="17" t="str">
        <f>IF(LEN(COUNTIFS($H$1:H1238,$H1238,$I$1:I1238,$I1238,$J$1:J1238,$J1238,$K$1:K1238,K1238,$L$1:L1238,L1238))=1,"00"&amp;COUNTIFS($H$1:H1238,$H1238,$I$1:I1238,$I1238,$J$1:J1238,$J1238,$K$1:K1238,K1238,$L$1:L1238,L1238),IF(LEN(COUNTIFS($H$1:H1238,$H1238,$I$1:I1238,$I1238,$J$1:J1238,$J1238,$K$1:K1238,K1238,$L$1:L1238,L1238))=2,"0"&amp;COUNTIFS($H$1:H1238,$H1238,$I$1:I1238,$I1238,$J$1:J1238,$J1238,$K$1:K1238,K1238,$L$1:L1238,L1238),COUNTIFS($H$1:H1238,$H1238,$I$1:I1238,$I1238,$J$1:J1238,$J1238,$K$1:K1238,K1238,$L$1:L1238,L1238)))</f>
        <v>017</v>
      </c>
      <c r="N123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38" s="14" t="e">
        <f>+LEN(Table4[[#This Row],[New Item Code]])</f>
        <v>#N/A</v>
      </c>
      <c r="P1238" s="15" t="s">
        <v>4747</v>
      </c>
      <c r="Q1238" s="15" t="s">
        <v>4749</v>
      </c>
      <c r="R1238" s="15"/>
      <c r="S1238" s="15"/>
      <c r="T1238" s="15" t="s">
        <v>4672</v>
      </c>
    </row>
    <row r="1239" spans="1:20" x14ac:dyDescent="0.35">
      <c r="A1239" s="3" t="s">
        <v>2478</v>
      </c>
      <c r="B1239" s="3" t="s">
        <v>2479</v>
      </c>
      <c r="C1239" s="3" t="s">
        <v>56</v>
      </c>
      <c r="D1239" s="3">
        <v>0</v>
      </c>
      <c r="E1239" s="3" t="s">
        <v>10</v>
      </c>
      <c r="F1239" s="3">
        <v>0</v>
      </c>
      <c r="G1239" s="21">
        <f>Table4[[#This Row],[Item Cost]]*Table4[[#This Row],[In Stock]]</f>
        <v>0</v>
      </c>
      <c r="H1239" s="12" t="s">
        <v>4661</v>
      </c>
      <c r="I1239" s="13" t="s">
        <v>4668</v>
      </c>
      <c r="J1239" s="13" t="s">
        <v>4672</v>
      </c>
      <c r="K1239" t="s">
        <v>4800</v>
      </c>
      <c r="L1239" s="12" t="s">
        <v>4672</v>
      </c>
      <c r="M1239" s="17" t="str">
        <f>IF(LEN(COUNTIFS($H$1:H1239,$H1239,$I$1:I1239,$I1239,$J$1:J1239,$J1239,$K$1:K1239,K1239,$L$1:L1239,L1239))=1,"00"&amp;COUNTIFS($H$1:H1239,$H1239,$I$1:I1239,$I1239,$J$1:J1239,$J1239,$K$1:K1239,K1239,$L$1:L1239,L1239),IF(LEN(COUNTIFS($H$1:H1239,$H1239,$I$1:I1239,$I1239,$J$1:J1239,$J1239,$K$1:K1239,K1239,$L$1:L1239,L1239))=2,"0"&amp;COUNTIFS($H$1:H1239,$H1239,$I$1:I1239,$I1239,$J$1:J1239,$J1239,$K$1:K1239,K1239,$L$1:L1239,L1239),COUNTIFS($H$1:H1239,$H1239,$I$1:I1239,$I1239,$J$1:J1239,$J1239,$K$1:K1239,K1239,$L$1:L1239,L1239)))</f>
        <v>018</v>
      </c>
      <c r="N123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39" s="14" t="e">
        <f>+LEN(Table4[[#This Row],[New Item Code]])</f>
        <v>#N/A</v>
      </c>
      <c r="P1239" s="15" t="s">
        <v>4747</v>
      </c>
      <c r="Q1239" s="15" t="s">
        <v>4749</v>
      </c>
      <c r="R1239" s="15"/>
      <c r="S1239" s="15"/>
      <c r="T1239" s="15" t="s">
        <v>4672</v>
      </c>
    </row>
    <row r="1240" spans="1:20" x14ac:dyDescent="0.35">
      <c r="A1240" s="2" t="s">
        <v>2480</v>
      </c>
      <c r="B1240" s="2" t="s">
        <v>2481</v>
      </c>
      <c r="C1240" s="2" t="s">
        <v>56</v>
      </c>
      <c r="D1240" s="2">
        <v>35</v>
      </c>
      <c r="E1240" s="2" t="s">
        <v>10</v>
      </c>
      <c r="F1240" s="2">
        <v>5</v>
      </c>
      <c r="G1240" s="22">
        <f>Table4[[#This Row],[Item Cost]]*Table4[[#This Row],[In Stock]]</f>
        <v>175</v>
      </c>
      <c r="H1240" s="12" t="s">
        <v>4661</v>
      </c>
      <c r="I1240" s="13" t="s">
        <v>4668</v>
      </c>
      <c r="J1240" s="13" t="s">
        <v>4672</v>
      </c>
      <c r="K1240" t="s">
        <v>4800</v>
      </c>
      <c r="L1240" s="12" t="s">
        <v>4672</v>
      </c>
      <c r="M1240" s="17" t="str">
        <f>IF(LEN(COUNTIFS($H$1:H1240,$H1240,$I$1:I1240,$I1240,$J$1:J1240,$J1240,$K$1:K1240,K1240,$L$1:L1240,L1240))=1,"00"&amp;COUNTIFS($H$1:H1240,$H1240,$I$1:I1240,$I1240,$J$1:J1240,$J1240,$K$1:K1240,K1240,$L$1:L1240,L1240),IF(LEN(COUNTIFS($H$1:H1240,$H1240,$I$1:I1240,$I1240,$J$1:J1240,$J1240,$K$1:K1240,K1240,$L$1:L1240,L1240))=2,"0"&amp;COUNTIFS($H$1:H1240,$H1240,$I$1:I1240,$I1240,$J$1:J1240,$J1240,$K$1:K1240,K1240,$L$1:L1240,L1240),COUNTIFS($H$1:H1240,$H1240,$I$1:I1240,$I1240,$J$1:J1240,$J1240,$K$1:K1240,K1240,$L$1:L1240,L1240)))</f>
        <v>019</v>
      </c>
      <c r="N124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40" s="14" t="e">
        <f>+LEN(Table4[[#This Row],[New Item Code]])</f>
        <v>#N/A</v>
      </c>
      <c r="P1240" s="15" t="s">
        <v>4747</v>
      </c>
      <c r="Q1240" s="15" t="s">
        <v>4749</v>
      </c>
      <c r="R1240" s="15"/>
      <c r="S1240" s="15"/>
      <c r="T1240" s="15" t="s">
        <v>4672</v>
      </c>
    </row>
    <row r="1241" spans="1:20" x14ac:dyDescent="0.35">
      <c r="A1241" s="3" t="s">
        <v>2482</v>
      </c>
      <c r="B1241" s="3" t="s">
        <v>2483</v>
      </c>
      <c r="C1241" s="3" t="s">
        <v>9</v>
      </c>
      <c r="D1241" s="3">
        <v>734.5</v>
      </c>
      <c r="E1241" s="3" t="s">
        <v>10</v>
      </c>
      <c r="F1241" s="3">
        <v>1</v>
      </c>
      <c r="G1241" s="21">
        <f>Table4[[#This Row],[Item Cost]]*Table4[[#This Row],[In Stock]]</f>
        <v>734.5</v>
      </c>
      <c r="H1241" s="12" t="s">
        <v>4661</v>
      </c>
      <c r="I1241" s="13" t="s">
        <v>4664</v>
      </c>
      <c r="J1241" s="13" t="s">
        <v>4754</v>
      </c>
      <c r="K1241" s="13" t="s">
        <v>4672</v>
      </c>
      <c r="L1241" s="12" t="s">
        <v>4707</v>
      </c>
      <c r="M1241" s="17" t="str">
        <f>IF(LEN(COUNTIFS($H$1:H1241,$H1241,$I$1:I1241,$I1241,$J$1:J1241,$J1241,$K$1:K1241,K1241,$L$1:L1241,L1241))=1,"00"&amp;COUNTIFS($H$1:H1241,$H1241,$I$1:I1241,$I1241,$J$1:J1241,$J1241,$K$1:K1241,K1241,$L$1:L1241,L1241),IF(LEN(COUNTIFS($H$1:H1241,$H1241,$I$1:I1241,$I1241,$J$1:J1241,$J1241,$K$1:K1241,K1241,$L$1:L1241,L1241))=2,"0"&amp;COUNTIFS($H$1:H1241,$H1241,$I$1:I1241,$I1241,$J$1:J1241,$J1241,$K$1:K1241,K1241,$L$1:L1241,L1241),COUNTIFS($H$1:H1241,$H1241,$I$1:I1241,$I1241,$J$1:J1241,$J1241,$K$1:K1241,K1241,$L$1:L1241,L1241)))</f>
        <v>001</v>
      </c>
      <c r="N124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41" s="14" t="e">
        <f>+LEN(Table4[[#This Row],[New Item Code]])</f>
        <v>#N/A</v>
      </c>
      <c r="P1241" s="15" t="s">
        <v>4747</v>
      </c>
      <c r="Q1241" s="15" t="s">
        <v>4749</v>
      </c>
      <c r="R1241" s="15"/>
      <c r="S1241" s="15"/>
      <c r="T1241" s="15" t="s">
        <v>4707</v>
      </c>
    </row>
    <row r="1242" spans="1:20" x14ac:dyDescent="0.35">
      <c r="A1242" s="2" t="s">
        <v>2484</v>
      </c>
      <c r="B1242" s="2" t="s">
        <v>2485</v>
      </c>
      <c r="C1242" s="2" t="s">
        <v>9</v>
      </c>
      <c r="D1242" s="2">
        <v>91.81</v>
      </c>
      <c r="E1242" s="2" t="s">
        <v>10</v>
      </c>
      <c r="F1242" s="2">
        <v>1</v>
      </c>
      <c r="G1242" s="22">
        <f>Table4[[#This Row],[Item Cost]]*Table4[[#This Row],[In Stock]]</f>
        <v>91.81</v>
      </c>
      <c r="H1242" s="12" t="s">
        <v>4661</v>
      </c>
      <c r="I1242" s="13" t="s">
        <v>4664</v>
      </c>
      <c r="J1242" s="13" t="s">
        <v>4754</v>
      </c>
      <c r="K1242" s="13" t="s">
        <v>4672</v>
      </c>
      <c r="L1242" s="12" t="s">
        <v>4707</v>
      </c>
      <c r="M1242" s="17" t="str">
        <f>IF(LEN(COUNTIFS($H$1:H1242,$H1242,$I$1:I1242,$I1242,$J$1:J1242,$J1242,$K$1:K1242,K1242,$L$1:L1242,L1242))=1,"00"&amp;COUNTIFS($H$1:H1242,$H1242,$I$1:I1242,$I1242,$J$1:J1242,$J1242,$K$1:K1242,K1242,$L$1:L1242,L1242),IF(LEN(COUNTIFS($H$1:H1242,$H1242,$I$1:I1242,$I1242,$J$1:J1242,$J1242,$K$1:K1242,K1242,$L$1:L1242,L1242))=2,"0"&amp;COUNTIFS($H$1:H1242,$H1242,$I$1:I1242,$I1242,$J$1:J1242,$J1242,$K$1:K1242,K1242,$L$1:L1242,L1242),COUNTIFS($H$1:H1242,$H1242,$I$1:I1242,$I1242,$J$1:J1242,$J1242,$K$1:K1242,K1242,$L$1:L1242,L1242)))</f>
        <v>002</v>
      </c>
      <c r="N124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42" s="14" t="e">
        <f>+LEN(Table4[[#This Row],[New Item Code]])</f>
        <v>#N/A</v>
      </c>
      <c r="P1242" s="15" t="s">
        <v>4747</v>
      </c>
      <c r="Q1242" s="15" t="s">
        <v>4749</v>
      </c>
      <c r="R1242" s="15"/>
      <c r="S1242" s="15"/>
      <c r="T1242" s="15" t="s">
        <v>4707</v>
      </c>
    </row>
    <row r="1243" spans="1:20" x14ac:dyDescent="0.35">
      <c r="A1243" s="3" t="s">
        <v>2486</v>
      </c>
      <c r="B1243" s="3" t="s">
        <v>2487</v>
      </c>
      <c r="C1243" s="3" t="s">
        <v>9</v>
      </c>
      <c r="D1243" s="3">
        <v>14.69</v>
      </c>
      <c r="E1243" s="3" t="s">
        <v>10</v>
      </c>
      <c r="F1243" s="3">
        <v>1</v>
      </c>
      <c r="G1243" s="21">
        <f>Table4[[#This Row],[Item Cost]]*Table4[[#This Row],[In Stock]]</f>
        <v>14.69</v>
      </c>
      <c r="H1243" s="12" t="s">
        <v>4661</v>
      </c>
      <c r="I1243" s="13" t="s">
        <v>4664</v>
      </c>
      <c r="J1243" s="13" t="s">
        <v>4754</v>
      </c>
      <c r="K1243" s="13" t="s">
        <v>4672</v>
      </c>
      <c r="L1243" s="12" t="s">
        <v>4707</v>
      </c>
      <c r="M1243" s="17" t="str">
        <f>IF(LEN(COUNTIFS($H$1:H1243,$H1243,$I$1:I1243,$I1243,$J$1:J1243,$J1243,$K$1:K1243,K1243,$L$1:L1243,L1243))=1,"00"&amp;COUNTIFS($H$1:H1243,$H1243,$I$1:I1243,$I1243,$J$1:J1243,$J1243,$K$1:K1243,K1243,$L$1:L1243,L1243),IF(LEN(COUNTIFS($H$1:H1243,$H1243,$I$1:I1243,$I1243,$J$1:J1243,$J1243,$K$1:K1243,K1243,$L$1:L1243,L1243))=2,"0"&amp;COUNTIFS($H$1:H1243,$H1243,$I$1:I1243,$I1243,$J$1:J1243,$J1243,$K$1:K1243,K1243,$L$1:L1243,L1243),COUNTIFS($H$1:H1243,$H1243,$I$1:I1243,$I1243,$J$1:J1243,$J1243,$K$1:K1243,K1243,$L$1:L1243,L1243)))</f>
        <v>003</v>
      </c>
      <c r="N124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43" s="14" t="e">
        <f>+LEN(Table4[[#This Row],[New Item Code]])</f>
        <v>#N/A</v>
      </c>
      <c r="P1243" s="15" t="s">
        <v>4747</v>
      </c>
      <c r="Q1243" s="15" t="s">
        <v>4749</v>
      </c>
      <c r="R1243" s="15"/>
      <c r="S1243" s="15"/>
      <c r="T1243" s="15" t="s">
        <v>4707</v>
      </c>
    </row>
    <row r="1244" spans="1:20" x14ac:dyDescent="0.35">
      <c r="A1244" s="2" t="s">
        <v>2488</v>
      </c>
      <c r="B1244" s="2" t="s">
        <v>2485</v>
      </c>
      <c r="C1244" s="2" t="s">
        <v>9</v>
      </c>
      <c r="D1244" s="2">
        <v>88.14</v>
      </c>
      <c r="E1244" s="2" t="s">
        <v>10</v>
      </c>
      <c r="F1244" s="2">
        <v>1</v>
      </c>
      <c r="G1244" s="22">
        <f>Table4[[#This Row],[Item Cost]]*Table4[[#This Row],[In Stock]]</f>
        <v>88.14</v>
      </c>
      <c r="H1244" s="12" t="s">
        <v>4661</v>
      </c>
      <c r="I1244" s="13" t="s">
        <v>4664</v>
      </c>
      <c r="J1244" s="13" t="s">
        <v>4754</v>
      </c>
      <c r="K1244" s="13" t="s">
        <v>4672</v>
      </c>
      <c r="L1244" s="12" t="s">
        <v>4707</v>
      </c>
      <c r="M1244" s="17" t="str">
        <f>IF(LEN(COUNTIFS($H$1:H1244,$H1244,$I$1:I1244,$I1244,$J$1:J1244,$J1244,$K$1:K1244,K1244,$L$1:L1244,L1244))=1,"00"&amp;COUNTIFS($H$1:H1244,$H1244,$I$1:I1244,$I1244,$J$1:J1244,$J1244,$K$1:K1244,K1244,$L$1:L1244,L1244),IF(LEN(COUNTIFS($H$1:H1244,$H1244,$I$1:I1244,$I1244,$J$1:J1244,$J1244,$K$1:K1244,K1244,$L$1:L1244,L1244))=2,"0"&amp;COUNTIFS($H$1:H1244,$H1244,$I$1:I1244,$I1244,$J$1:J1244,$J1244,$K$1:K1244,K1244,$L$1:L1244,L1244),COUNTIFS($H$1:H1244,$H1244,$I$1:I1244,$I1244,$J$1:J1244,$J1244,$K$1:K1244,K1244,$L$1:L1244,L1244)))</f>
        <v>004</v>
      </c>
      <c r="N124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44" s="14" t="e">
        <f>+LEN(Table4[[#This Row],[New Item Code]])</f>
        <v>#N/A</v>
      </c>
      <c r="P1244" s="15" t="s">
        <v>4747</v>
      </c>
      <c r="Q1244" s="15" t="s">
        <v>4749</v>
      </c>
      <c r="R1244" s="15"/>
      <c r="S1244" s="15"/>
      <c r="T1244" s="15" t="s">
        <v>4707</v>
      </c>
    </row>
    <row r="1245" spans="1:20" x14ac:dyDescent="0.35">
      <c r="A1245" s="3" t="s">
        <v>2489</v>
      </c>
      <c r="B1245" s="3" t="s">
        <v>2487</v>
      </c>
      <c r="C1245" s="3" t="s">
        <v>9</v>
      </c>
      <c r="D1245" s="3">
        <v>12.12</v>
      </c>
      <c r="E1245" s="3" t="s">
        <v>10</v>
      </c>
      <c r="F1245" s="3">
        <v>1</v>
      </c>
      <c r="G1245" s="21">
        <f>Table4[[#This Row],[Item Cost]]*Table4[[#This Row],[In Stock]]</f>
        <v>12.12</v>
      </c>
      <c r="H1245" s="12" t="s">
        <v>4661</v>
      </c>
      <c r="I1245" s="13" t="s">
        <v>4664</v>
      </c>
      <c r="J1245" s="13" t="s">
        <v>4754</v>
      </c>
      <c r="K1245" s="13" t="s">
        <v>4672</v>
      </c>
      <c r="L1245" s="12" t="s">
        <v>4707</v>
      </c>
      <c r="M1245" s="17" t="str">
        <f>IF(LEN(COUNTIFS($H$1:H1245,$H1245,$I$1:I1245,$I1245,$J$1:J1245,$J1245,$K$1:K1245,K1245,$L$1:L1245,L1245))=1,"00"&amp;COUNTIFS($H$1:H1245,$H1245,$I$1:I1245,$I1245,$J$1:J1245,$J1245,$K$1:K1245,K1245,$L$1:L1245,L1245),IF(LEN(COUNTIFS($H$1:H1245,$H1245,$I$1:I1245,$I1245,$J$1:J1245,$J1245,$K$1:K1245,K1245,$L$1:L1245,L1245))=2,"0"&amp;COUNTIFS($H$1:H1245,$H1245,$I$1:I1245,$I1245,$J$1:J1245,$J1245,$K$1:K1245,K1245,$L$1:L1245,L1245),COUNTIFS($H$1:H1245,$H1245,$I$1:I1245,$I1245,$J$1:J1245,$J1245,$K$1:K1245,K1245,$L$1:L1245,L1245)))</f>
        <v>005</v>
      </c>
      <c r="N124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45" s="14" t="e">
        <f>+LEN(Table4[[#This Row],[New Item Code]])</f>
        <v>#N/A</v>
      </c>
      <c r="P1245" s="15" t="s">
        <v>4747</v>
      </c>
      <c r="Q1245" s="15" t="s">
        <v>4749</v>
      </c>
      <c r="R1245" s="15"/>
      <c r="S1245" s="15"/>
      <c r="T1245" s="15" t="s">
        <v>4707</v>
      </c>
    </row>
    <row r="1246" spans="1:20" x14ac:dyDescent="0.35">
      <c r="A1246" s="2" t="s">
        <v>2490</v>
      </c>
      <c r="B1246" s="2" t="s">
        <v>2491</v>
      </c>
      <c r="C1246" s="2" t="s">
        <v>9</v>
      </c>
      <c r="D1246" s="2">
        <v>113.48</v>
      </c>
      <c r="E1246" s="2" t="s">
        <v>10</v>
      </c>
      <c r="F1246" s="2">
        <v>1</v>
      </c>
      <c r="G1246" s="22">
        <f>Table4[[#This Row],[Item Cost]]*Table4[[#This Row],[In Stock]]</f>
        <v>113.48</v>
      </c>
      <c r="H1246" s="12" t="s">
        <v>4661</v>
      </c>
      <c r="I1246" s="13" t="s">
        <v>4664</v>
      </c>
      <c r="J1246" s="13" t="s">
        <v>4754</v>
      </c>
      <c r="K1246" s="13" t="s">
        <v>4672</v>
      </c>
      <c r="L1246" s="12" t="s">
        <v>4707</v>
      </c>
      <c r="M1246" s="17" t="str">
        <f>IF(LEN(COUNTIFS($H$1:H1246,$H1246,$I$1:I1246,$I1246,$J$1:J1246,$J1246,$K$1:K1246,K1246,$L$1:L1246,L1246))=1,"00"&amp;COUNTIFS($H$1:H1246,$H1246,$I$1:I1246,$I1246,$J$1:J1246,$J1246,$K$1:K1246,K1246,$L$1:L1246,L1246),IF(LEN(COUNTIFS($H$1:H1246,$H1246,$I$1:I1246,$I1246,$J$1:J1246,$J1246,$K$1:K1246,K1246,$L$1:L1246,L1246))=2,"0"&amp;COUNTIFS($H$1:H1246,$H1246,$I$1:I1246,$I1246,$J$1:J1246,$J1246,$K$1:K1246,K1246,$L$1:L1246,L1246),COUNTIFS($H$1:H1246,$H1246,$I$1:I1246,$I1246,$J$1:J1246,$J1246,$K$1:K1246,K1246,$L$1:L1246,L1246)))</f>
        <v>006</v>
      </c>
      <c r="N124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46" s="14" t="e">
        <f>+LEN(Table4[[#This Row],[New Item Code]])</f>
        <v>#N/A</v>
      </c>
      <c r="P1246" s="15" t="s">
        <v>4747</v>
      </c>
      <c r="Q1246" s="15" t="s">
        <v>4749</v>
      </c>
      <c r="R1246" s="15"/>
      <c r="S1246" s="15"/>
      <c r="T1246" s="15" t="s">
        <v>4707</v>
      </c>
    </row>
    <row r="1247" spans="1:20" x14ac:dyDescent="0.35">
      <c r="A1247" s="3" t="s">
        <v>2492</v>
      </c>
      <c r="B1247" s="3" t="s">
        <v>2493</v>
      </c>
      <c r="C1247" s="3" t="s">
        <v>9</v>
      </c>
      <c r="D1247" s="3">
        <v>10.28</v>
      </c>
      <c r="E1247" s="3" t="s">
        <v>10</v>
      </c>
      <c r="F1247" s="3">
        <v>1</v>
      </c>
      <c r="G1247" s="21">
        <f>Table4[[#This Row],[Item Cost]]*Table4[[#This Row],[In Stock]]</f>
        <v>10.28</v>
      </c>
      <c r="H1247" s="12" t="s">
        <v>4661</v>
      </c>
      <c r="I1247" s="13" t="s">
        <v>4664</v>
      </c>
      <c r="J1247" s="13" t="s">
        <v>4754</v>
      </c>
      <c r="K1247" s="13" t="s">
        <v>4672</v>
      </c>
      <c r="L1247" s="12" t="s">
        <v>4707</v>
      </c>
      <c r="M1247" s="17" t="str">
        <f>IF(LEN(COUNTIFS($H$1:H1247,$H1247,$I$1:I1247,$I1247,$J$1:J1247,$J1247,$K$1:K1247,K1247,$L$1:L1247,L1247))=1,"00"&amp;COUNTIFS($H$1:H1247,$H1247,$I$1:I1247,$I1247,$J$1:J1247,$J1247,$K$1:K1247,K1247,$L$1:L1247,L1247),IF(LEN(COUNTIFS($H$1:H1247,$H1247,$I$1:I1247,$I1247,$J$1:J1247,$J1247,$K$1:K1247,K1247,$L$1:L1247,L1247))=2,"0"&amp;COUNTIFS($H$1:H1247,$H1247,$I$1:I1247,$I1247,$J$1:J1247,$J1247,$K$1:K1247,K1247,$L$1:L1247,L1247),COUNTIFS($H$1:H1247,$H1247,$I$1:I1247,$I1247,$J$1:J1247,$J1247,$K$1:K1247,K1247,$L$1:L1247,L1247)))</f>
        <v>007</v>
      </c>
      <c r="N124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47" s="14" t="e">
        <f>+LEN(Table4[[#This Row],[New Item Code]])</f>
        <v>#N/A</v>
      </c>
      <c r="P1247" s="15" t="s">
        <v>4747</v>
      </c>
      <c r="Q1247" s="15" t="s">
        <v>4749</v>
      </c>
      <c r="R1247" s="15"/>
      <c r="S1247" s="15"/>
      <c r="T1247" s="15" t="s">
        <v>4707</v>
      </c>
    </row>
    <row r="1248" spans="1:20" x14ac:dyDescent="0.35">
      <c r="A1248" s="2" t="s">
        <v>2494</v>
      </c>
      <c r="B1248" s="2" t="s">
        <v>2495</v>
      </c>
      <c r="C1248" s="2" t="s">
        <v>9</v>
      </c>
      <c r="D1248" s="2">
        <v>18.36</v>
      </c>
      <c r="E1248" s="2" t="s">
        <v>10</v>
      </c>
      <c r="F1248" s="2">
        <v>1</v>
      </c>
      <c r="G1248" s="22">
        <f>Table4[[#This Row],[Item Cost]]*Table4[[#This Row],[In Stock]]</f>
        <v>18.36</v>
      </c>
      <c r="H1248" s="12" t="s">
        <v>4661</v>
      </c>
      <c r="I1248" s="13" t="s">
        <v>4664</v>
      </c>
      <c r="J1248" s="13" t="s">
        <v>4754</v>
      </c>
      <c r="K1248" s="13" t="s">
        <v>4672</v>
      </c>
      <c r="L1248" s="12" t="s">
        <v>4707</v>
      </c>
      <c r="M1248" s="17" t="str">
        <f>IF(LEN(COUNTIFS($H$1:H1248,$H1248,$I$1:I1248,$I1248,$J$1:J1248,$J1248,$K$1:K1248,K1248,$L$1:L1248,L1248))=1,"00"&amp;COUNTIFS($H$1:H1248,$H1248,$I$1:I1248,$I1248,$J$1:J1248,$J1248,$K$1:K1248,K1248,$L$1:L1248,L1248),IF(LEN(COUNTIFS($H$1:H1248,$H1248,$I$1:I1248,$I1248,$J$1:J1248,$J1248,$K$1:K1248,K1248,$L$1:L1248,L1248))=2,"0"&amp;COUNTIFS($H$1:H1248,$H1248,$I$1:I1248,$I1248,$J$1:J1248,$J1248,$K$1:K1248,K1248,$L$1:L1248,L1248),COUNTIFS($H$1:H1248,$H1248,$I$1:I1248,$I1248,$J$1:J1248,$J1248,$K$1:K1248,K1248,$L$1:L1248,L1248)))</f>
        <v>008</v>
      </c>
      <c r="N124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48" s="14" t="e">
        <f>+LEN(Table4[[#This Row],[New Item Code]])</f>
        <v>#N/A</v>
      </c>
      <c r="P1248" s="15" t="s">
        <v>4747</v>
      </c>
      <c r="Q1248" s="15" t="s">
        <v>4749</v>
      </c>
      <c r="R1248" s="15"/>
      <c r="S1248" s="15"/>
      <c r="T1248" s="15" t="s">
        <v>4707</v>
      </c>
    </row>
    <row r="1249" spans="1:20" x14ac:dyDescent="0.35">
      <c r="A1249" s="3" t="s">
        <v>2496</v>
      </c>
      <c r="B1249" s="3" t="s">
        <v>2497</v>
      </c>
      <c r="C1249" s="3" t="s">
        <v>9</v>
      </c>
      <c r="D1249" s="3">
        <v>9.92</v>
      </c>
      <c r="E1249" s="3" t="s">
        <v>10</v>
      </c>
      <c r="F1249" s="3">
        <v>1</v>
      </c>
      <c r="G1249" s="21">
        <f>Table4[[#This Row],[Item Cost]]*Table4[[#This Row],[In Stock]]</f>
        <v>9.92</v>
      </c>
      <c r="H1249" s="12" t="s">
        <v>4661</v>
      </c>
      <c r="I1249" s="13" t="s">
        <v>4664</v>
      </c>
      <c r="J1249" s="13" t="s">
        <v>4754</v>
      </c>
      <c r="K1249" s="13" t="s">
        <v>4672</v>
      </c>
      <c r="L1249" s="12" t="s">
        <v>4707</v>
      </c>
      <c r="M1249" s="17" t="str">
        <f>IF(LEN(COUNTIFS($H$1:H1249,$H1249,$I$1:I1249,$I1249,$J$1:J1249,$J1249,$K$1:K1249,K1249,$L$1:L1249,L1249))=1,"00"&amp;COUNTIFS($H$1:H1249,$H1249,$I$1:I1249,$I1249,$J$1:J1249,$J1249,$K$1:K1249,K1249,$L$1:L1249,L1249),IF(LEN(COUNTIFS($H$1:H1249,$H1249,$I$1:I1249,$I1249,$J$1:J1249,$J1249,$K$1:K1249,K1249,$L$1:L1249,L1249))=2,"0"&amp;COUNTIFS($H$1:H1249,$H1249,$I$1:I1249,$I1249,$J$1:J1249,$J1249,$K$1:K1249,K1249,$L$1:L1249,L1249),COUNTIFS($H$1:H1249,$H1249,$I$1:I1249,$I1249,$J$1:J1249,$J1249,$K$1:K1249,K1249,$L$1:L1249,L1249)))</f>
        <v>009</v>
      </c>
      <c r="N124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49" s="14" t="e">
        <f>+LEN(Table4[[#This Row],[New Item Code]])</f>
        <v>#N/A</v>
      </c>
      <c r="P1249" s="15" t="s">
        <v>4747</v>
      </c>
      <c r="Q1249" s="15" t="s">
        <v>4749</v>
      </c>
      <c r="R1249" s="15"/>
      <c r="S1249" s="15"/>
      <c r="T1249" s="15" t="s">
        <v>4707</v>
      </c>
    </row>
    <row r="1250" spans="1:20" x14ac:dyDescent="0.35">
      <c r="A1250" s="2" t="s">
        <v>2498</v>
      </c>
      <c r="B1250" s="2" t="s">
        <v>2499</v>
      </c>
      <c r="C1250" s="2" t="s">
        <v>9</v>
      </c>
      <c r="D1250" s="2">
        <v>152.04</v>
      </c>
      <c r="E1250" s="2" t="s">
        <v>10</v>
      </c>
      <c r="F1250" s="2">
        <v>1</v>
      </c>
      <c r="G1250" s="22">
        <f>Table4[[#This Row],[Item Cost]]*Table4[[#This Row],[In Stock]]</f>
        <v>152.04</v>
      </c>
      <c r="H1250" s="12" t="s">
        <v>4661</v>
      </c>
      <c r="I1250" s="13" t="s">
        <v>4664</v>
      </c>
      <c r="J1250" s="13" t="s">
        <v>4754</v>
      </c>
      <c r="K1250" s="13" t="s">
        <v>4672</v>
      </c>
      <c r="L1250" s="12" t="s">
        <v>4707</v>
      </c>
      <c r="M1250" s="17" t="str">
        <f>IF(LEN(COUNTIFS($H$1:H1250,$H1250,$I$1:I1250,$I1250,$J$1:J1250,$J1250,$K$1:K1250,K1250,$L$1:L1250,L1250))=1,"00"&amp;COUNTIFS($H$1:H1250,$H1250,$I$1:I1250,$I1250,$J$1:J1250,$J1250,$K$1:K1250,K1250,$L$1:L1250,L1250),IF(LEN(COUNTIFS($H$1:H1250,$H1250,$I$1:I1250,$I1250,$J$1:J1250,$J1250,$K$1:K1250,K1250,$L$1:L1250,L1250))=2,"0"&amp;COUNTIFS($H$1:H1250,$H1250,$I$1:I1250,$I1250,$J$1:J1250,$J1250,$K$1:K1250,K1250,$L$1:L1250,L1250),COUNTIFS($H$1:H1250,$H1250,$I$1:I1250,$I1250,$J$1:J1250,$J1250,$K$1:K1250,K1250,$L$1:L1250,L1250)))</f>
        <v>010</v>
      </c>
      <c r="N125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50" s="14" t="e">
        <f>+LEN(Table4[[#This Row],[New Item Code]])</f>
        <v>#N/A</v>
      </c>
      <c r="P1250" s="15" t="s">
        <v>4747</v>
      </c>
      <c r="Q1250" s="15" t="s">
        <v>4749</v>
      </c>
      <c r="R1250" s="15"/>
      <c r="S1250" s="15"/>
      <c r="T1250" s="15" t="s">
        <v>4707</v>
      </c>
    </row>
    <row r="1251" spans="1:20" x14ac:dyDescent="0.35">
      <c r="A1251" s="3" t="s">
        <v>2500</v>
      </c>
      <c r="B1251" s="3" t="s">
        <v>2501</v>
      </c>
      <c r="C1251" s="3" t="s">
        <v>9</v>
      </c>
      <c r="D1251" s="3">
        <v>91.08</v>
      </c>
      <c r="E1251" s="3" t="s">
        <v>10</v>
      </c>
      <c r="F1251" s="3">
        <v>1</v>
      </c>
      <c r="G1251" s="21">
        <f>Table4[[#This Row],[Item Cost]]*Table4[[#This Row],[In Stock]]</f>
        <v>91.08</v>
      </c>
      <c r="H1251" s="12" t="s">
        <v>4661</v>
      </c>
      <c r="I1251" s="13" t="s">
        <v>4664</v>
      </c>
      <c r="J1251" s="13" t="s">
        <v>4754</v>
      </c>
      <c r="K1251" s="13" t="s">
        <v>4672</v>
      </c>
      <c r="L1251" s="12" t="s">
        <v>4707</v>
      </c>
      <c r="M1251" s="17" t="str">
        <f>IF(LEN(COUNTIFS($H$1:H1251,$H1251,$I$1:I1251,$I1251,$J$1:J1251,$J1251,$K$1:K1251,K1251,$L$1:L1251,L1251))=1,"00"&amp;COUNTIFS($H$1:H1251,$H1251,$I$1:I1251,$I1251,$J$1:J1251,$J1251,$K$1:K1251,K1251,$L$1:L1251,L1251),IF(LEN(COUNTIFS($H$1:H1251,$H1251,$I$1:I1251,$I1251,$J$1:J1251,$J1251,$K$1:K1251,K1251,$L$1:L1251,L1251))=2,"0"&amp;COUNTIFS($H$1:H1251,$H1251,$I$1:I1251,$I1251,$J$1:J1251,$J1251,$K$1:K1251,K1251,$L$1:L1251,L1251),COUNTIFS($H$1:H1251,$H1251,$I$1:I1251,$I1251,$J$1:J1251,$J1251,$K$1:K1251,K1251,$L$1:L1251,L1251)))</f>
        <v>011</v>
      </c>
      <c r="N125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51" s="14" t="e">
        <f>+LEN(Table4[[#This Row],[New Item Code]])</f>
        <v>#N/A</v>
      </c>
      <c r="P1251" s="15" t="s">
        <v>4747</v>
      </c>
      <c r="Q1251" s="15" t="s">
        <v>4749</v>
      </c>
      <c r="R1251" s="15"/>
      <c r="S1251" s="15"/>
      <c r="T1251" s="15" t="s">
        <v>4707</v>
      </c>
    </row>
    <row r="1252" spans="1:20" x14ac:dyDescent="0.35">
      <c r="A1252" s="2" t="s">
        <v>2502</v>
      </c>
      <c r="B1252" s="2" t="s">
        <v>824</v>
      </c>
      <c r="C1252" s="2" t="s">
        <v>9</v>
      </c>
      <c r="D1252" s="2">
        <v>636.80999999999995</v>
      </c>
      <c r="E1252" s="2" t="s">
        <v>10</v>
      </c>
      <c r="F1252" s="2">
        <v>1</v>
      </c>
      <c r="G1252" s="22">
        <f>Table4[[#This Row],[Item Cost]]*Table4[[#This Row],[In Stock]]</f>
        <v>636.80999999999995</v>
      </c>
      <c r="H1252" s="12" t="s">
        <v>4661</v>
      </c>
      <c r="I1252" s="13" t="s">
        <v>4664</v>
      </c>
      <c r="J1252" s="13" t="s">
        <v>4754</v>
      </c>
      <c r="K1252" s="13" t="s">
        <v>4672</v>
      </c>
      <c r="L1252" s="12" t="s">
        <v>4707</v>
      </c>
      <c r="M1252" s="17" t="str">
        <f>IF(LEN(COUNTIFS($H$1:H1252,$H1252,$I$1:I1252,$I1252,$J$1:J1252,$J1252,$K$1:K1252,K1252,$L$1:L1252,L1252))=1,"00"&amp;COUNTIFS($H$1:H1252,$H1252,$I$1:I1252,$I1252,$J$1:J1252,$J1252,$K$1:K1252,K1252,$L$1:L1252,L1252),IF(LEN(COUNTIFS($H$1:H1252,$H1252,$I$1:I1252,$I1252,$J$1:J1252,$J1252,$K$1:K1252,K1252,$L$1:L1252,L1252))=2,"0"&amp;COUNTIFS($H$1:H1252,$H1252,$I$1:I1252,$I1252,$J$1:J1252,$J1252,$K$1:K1252,K1252,$L$1:L1252,L1252),COUNTIFS($H$1:H1252,$H1252,$I$1:I1252,$I1252,$J$1:J1252,$J1252,$K$1:K1252,K1252,$L$1:L1252,L1252)))</f>
        <v>012</v>
      </c>
      <c r="N125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52" s="14" t="e">
        <f>+LEN(Table4[[#This Row],[New Item Code]])</f>
        <v>#N/A</v>
      </c>
      <c r="P1252" s="15" t="s">
        <v>4747</v>
      </c>
      <c r="Q1252" s="15" t="s">
        <v>4749</v>
      </c>
      <c r="R1252" s="15"/>
      <c r="S1252" s="15"/>
      <c r="T1252" s="15" t="s">
        <v>4707</v>
      </c>
    </row>
    <row r="1253" spans="1:20" x14ac:dyDescent="0.35">
      <c r="A1253" s="3" t="s">
        <v>2503</v>
      </c>
      <c r="B1253" s="3" t="s">
        <v>2504</v>
      </c>
      <c r="C1253" s="3" t="s">
        <v>9</v>
      </c>
      <c r="D1253" s="3">
        <v>69.78</v>
      </c>
      <c r="E1253" s="3" t="s">
        <v>10</v>
      </c>
      <c r="F1253" s="3">
        <v>2</v>
      </c>
      <c r="G1253" s="21">
        <f>Table4[[#This Row],[Item Cost]]*Table4[[#This Row],[In Stock]]</f>
        <v>139.56</v>
      </c>
      <c r="H1253" s="12" t="s">
        <v>4661</v>
      </c>
      <c r="I1253" s="13" t="s">
        <v>4664</v>
      </c>
      <c r="J1253" s="13" t="s">
        <v>4754</v>
      </c>
      <c r="K1253" s="13" t="s">
        <v>4672</v>
      </c>
      <c r="L1253" s="12" t="s">
        <v>4707</v>
      </c>
      <c r="M1253" s="17" t="str">
        <f>IF(LEN(COUNTIFS($H$1:H1253,$H1253,$I$1:I1253,$I1253,$J$1:J1253,$J1253,$K$1:K1253,K1253,$L$1:L1253,L1253))=1,"00"&amp;COUNTIFS($H$1:H1253,$H1253,$I$1:I1253,$I1253,$J$1:J1253,$J1253,$K$1:K1253,K1253,$L$1:L1253,L1253),IF(LEN(COUNTIFS($H$1:H1253,$H1253,$I$1:I1253,$I1253,$J$1:J1253,$J1253,$K$1:K1253,K1253,$L$1:L1253,L1253))=2,"0"&amp;COUNTIFS($H$1:H1253,$H1253,$I$1:I1253,$I1253,$J$1:J1253,$J1253,$K$1:K1253,K1253,$L$1:L1253,L1253),COUNTIFS($H$1:H1253,$H1253,$I$1:I1253,$I1253,$J$1:J1253,$J1253,$K$1:K1253,K1253,$L$1:L1253,L1253)))</f>
        <v>013</v>
      </c>
      <c r="N125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53" s="14" t="e">
        <f>+LEN(Table4[[#This Row],[New Item Code]])</f>
        <v>#N/A</v>
      </c>
      <c r="P1253" s="15" t="s">
        <v>4747</v>
      </c>
      <c r="Q1253" s="15" t="s">
        <v>4749</v>
      </c>
      <c r="R1253" s="15"/>
      <c r="S1253" s="15"/>
      <c r="T1253" s="15" t="s">
        <v>4707</v>
      </c>
    </row>
    <row r="1254" spans="1:20" x14ac:dyDescent="0.35">
      <c r="A1254" s="2" t="s">
        <v>2505</v>
      </c>
      <c r="B1254" s="2" t="s">
        <v>2506</v>
      </c>
      <c r="C1254" s="2" t="s">
        <v>9</v>
      </c>
      <c r="D1254" s="2">
        <v>469.71</v>
      </c>
      <c r="E1254" s="2" t="s">
        <v>10</v>
      </c>
      <c r="F1254" s="2">
        <v>1</v>
      </c>
      <c r="G1254" s="22">
        <f>Table4[[#This Row],[Item Cost]]*Table4[[#This Row],[In Stock]]</f>
        <v>469.71</v>
      </c>
      <c r="H1254" s="12" t="s">
        <v>4661</v>
      </c>
      <c r="I1254" s="13" t="s">
        <v>4664</v>
      </c>
      <c r="J1254" s="13" t="s">
        <v>4754</v>
      </c>
      <c r="K1254" s="13" t="s">
        <v>4672</v>
      </c>
      <c r="L1254" s="12" t="s">
        <v>4707</v>
      </c>
      <c r="M1254" s="17" t="str">
        <f>IF(LEN(COUNTIFS($H$1:H1254,$H1254,$I$1:I1254,$I1254,$J$1:J1254,$J1254,$K$1:K1254,K1254,$L$1:L1254,L1254))=1,"00"&amp;COUNTIFS($H$1:H1254,$H1254,$I$1:I1254,$I1254,$J$1:J1254,$J1254,$K$1:K1254,K1254,$L$1:L1254,L1254),IF(LEN(COUNTIFS($H$1:H1254,$H1254,$I$1:I1254,$I1254,$J$1:J1254,$J1254,$K$1:K1254,K1254,$L$1:L1254,L1254))=2,"0"&amp;COUNTIFS($H$1:H1254,$H1254,$I$1:I1254,$I1254,$J$1:J1254,$J1254,$K$1:K1254,K1254,$L$1:L1254,L1254),COUNTIFS($H$1:H1254,$H1254,$I$1:I1254,$I1254,$J$1:J1254,$J1254,$K$1:K1254,K1254,$L$1:L1254,L1254)))</f>
        <v>014</v>
      </c>
      <c r="N125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54" s="14" t="e">
        <f>+LEN(Table4[[#This Row],[New Item Code]])</f>
        <v>#N/A</v>
      </c>
      <c r="P1254" s="15" t="s">
        <v>4747</v>
      </c>
      <c r="Q1254" s="15" t="s">
        <v>4749</v>
      </c>
      <c r="R1254" s="15"/>
      <c r="S1254" s="15"/>
      <c r="T1254" s="15" t="s">
        <v>4707</v>
      </c>
    </row>
    <row r="1255" spans="1:20" x14ac:dyDescent="0.35">
      <c r="A1255" s="3" t="s">
        <v>2507</v>
      </c>
      <c r="B1255" s="3" t="s">
        <v>2508</v>
      </c>
      <c r="C1255" s="3" t="s">
        <v>9</v>
      </c>
      <c r="D1255" s="3">
        <v>163.06</v>
      </c>
      <c r="E1255" s="3" t="s">
        <v>10</v>
      </c>
      <c r="F1255" s="3">
        <v>1</v>
      </c>
      <c r="G1255" s="21">
        <f>Table4[[#This Row],[Item Cost]]*Table4[[#This Row],[In Stock]]</f>
        <v>163.06</v>
      </c>
      <c r="H1255" s="12" t="s">
        <v>4661</v>
      </c>
      <c r="I1255" s="13" t="s">
        <v>4664</v>
      </c>
      <c r="J1255" s="13" t="s">
        <v>4754</v>
      </c>
      <c r="K1255" s="13" t="s">
        <v>4672</v>
      </c>
      <c r="L1255" s="12" t="s">
        <v>4707</v>
      </c>
      <c r="M1255" s="17" t="str">
        <f>IF(LEN(COUNTIFS($H$1:H1255,$H1255,$I$1:I1255,$I1255,$J$1:J1255,$J1255,$K$1:K1255,K1255,$L$1:L1255,L1255))=1,"00"&amp;COUNTIFS($H$1:H1255,$H1255,$I$1:I1255,$I1255,$J$1:J1255,$J1255,$K$1:K1255,K1255,$L$1:L1255,L1255),IF(LEN(COUNTIFS($H$1:H1255,$H1255,$I$1:I1255,$I1255,$J$1:J1255,$J1255,$K$1:K1255,K1255,$L$1:L1255,L1255))=2,"0"&amp;COUNTIFS($H$1:H1255,$H1255,$I$1:I1255,$I1255,$J$1:J1255,$J1255,$K$1:K1255,K1255,$L$1:L1255,L1255),COUNTIFS($H$1:H1255,$H1255,$I$1:I1255,$I1255,$J$1:J1255,$J1255,$K$1:K1255,K1255,$L$1:L1255,L1255)))</f>
        <v>015</v>
      </c>
      <c r="N125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55" s="14" t="e">
        <f>+LEN(Table4[[#This Row],[New Item Code]])</f>
        <v>#N/A</v>
      </c>
      <c r="P1255" s="15" t="s">
        <v>4747</v>
      </c>
      <c r="Q1255" s="15" t="s">
        <v>4749</v>
      </c>
      <c r="R1255" s="15"/>
      <c r="S1255" s="15"/>
      <c r="T1255" s="15" t="s">
        <v>4707</v>
      </c>
    </row>
    <row r="1256" spans="1:20" x14ac:dyDescent="0.35">
      <c r="A1256" s="2" t="s">
        <v>2509</v>
      </c>
      <c r="B1256" s="2" t="s">
        <v>2510</v>
      </c>
      <c r="C1256" s="2" t="s">
        <v>9</v>
      </c>
      <c r="D1256" s="2">
        <v>9.18</v>
      </c>
      <c r="E1256" s="2" t="s">
        <v>10</v>
      </c>
      <c r="F1256" s="2">
        <v>2</v>
      </c>
      <c r="G1256" s="22">
        <f>Table4[[#This Row],[Item Cost]]*Table4[[#This Row],[In Stock]]</f>
        <v>18.36</v>
      </c>
      <c r="H1256" s="12" t="s">
        <v>4661</v>
      </c>
      <c r="I1256" s="13" t="s">
        <v>4664</v>
      </c>
      <c r="J1256" s="13" t="s">
        <v>4754</v>
      </c>
      <c r="K1256" s="13" t="s">
        <v>4672</v>
      </c>
      <c r="L1256" s="12" t="s">
        <v>4707</v>
      </c>
      <c r="M1256" s="17" t="str">
        <f>IF(LEN(COUNTIFS($H$1:H1256,$H1256,$I$1:I1256,$I1256,$J$1:J1256,$J1256,$K$1:K1256,K1256,$L$1:L1256,L1256))=1,"00"&amp;COUNTIFS($H$1:H1256,$H1256,$I$1:I1256,$I1256,$J$1:J1256,$J1256,$K$1:K1256,K1256,$L$1:L1256,L1256),IF(LEN(COUNTIFS($H$1:H1256,$H1256,$I$1:I1256,$I1256,$J$1:J1256,$J1256,$K$1:K1256,K1256,$L$1:L1256,L1256))=2,"0"&amp;COUNTIFS($H$1:H1256,$H1256,$I$1:I1256,$I1256,$J$1:J1256,$J1256,$K$1:K1256,K1256,$L$1:L1256,L1256),COUNTIFS($H$1:H1256,$H1256,$I$1:I1256,$I1256,$J$1:J1256,$J1256,$K$1:K1256,K1256,$L$1:L1256,L1256)))</f>
        <v>016</v>
      </c>
      <c r="N125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56" s="14" t="e">
        <f>+LEN(Table4[[#This Row],[New Item Code]])</f>
        <v>#N/A</v>
      </c>
      <c r="P1256" s="15" t="s">
        <v>4747</v>
      </c>
      <c r="Q1256" s="15" t="s">
        <v>4749</v>
      </c>
      <c r="R1256" s="15"/>
      <c r="S1256" s="15"/>
      <c r="T1256" s="15" t="s">
        <v>4707</v>
      </c>
    </row>
    <row r="1257" spans="1:20" x14ac:dyDescent="0.35">
      <c r="A1257" s="3" t="s">
        <v>2511</v>
      </c>
      <c r="B1257" s="3" t="s">
        <v>848</v>
      </c>
      <c r="C1257" s="3" t="s">
        <v>9</v>
      </c>
      <c r="D1257" s="3">
        <v>13.59</v>
      </c>
      <c r="E1257" s="3" t="s">
        <v>10</v>
      </c>
      <c r="F1257" s="3">
        <v>2</v>
      </c>
      <c r="G1257" s="21">
        <f>Table4[[#This Row],[Item Cost]]*Table4[[#This Row],[In Stock]]</f>
        <v>27.18</v>
      </c>
      <c r="H1257" s="12" t="s">
        <v>4661</v>
      </c>
      <c r="I1257" s="13" t="s">
        <v>4664</v>
      </c>
      <c r="J1257" s="13" t="s">
        <v>4754</v>
      </c>
      <c r="K1257" s="13" t="s">
        <v>4672</v>
      </c>
      <c r="L1257" s="12" t="s">
        <v>4707</v>
      </c>
      <c r="M1257" s="17" t="str">
        <f>IF(LEN(COUNTIFS($H$1:H1257,$H1257,$I$1:I1257,$I1257,$J$1:J1257,$J1257,$K$1:K1257,K1257,$L$1:L1257,L1257))=1,"00"&amp;COUNTIFS($H$1:H1257,$H1257,$I$1:I1257,$I1257,$J$1:J1257,$J1257,$K$1:K1257,K1257,$L$1:L1257,L1257),IF(LEN(COUNTIFS($H$1:H1257,$H1257,$I$1:I1257,$I1257,$J$1:J1257,$J1257,$K$1:K1257,K1257,$L$1:L1257,L1257))=2,"0"&amp;COUNTIFS($H$1:H1257,$H1257,$I$1:I1257,$I1257,$J$1:J1257,$J1257,$K$1:K1257,K1257,$L$1:L1257,L1257),COUNTIFS($H$1:H1257,$H1257,$I$1:I1257,$I1257,$J$1:J1257,$J1257,$K$1:K1257,K1257,$L$1:L1257,L1257)))</f>
        <v>017</v>
      </c>
      <c r="N125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57" s="14" t="e">
        <f>+LEN(Table4[[#This Row],[New Item Code]])</f>
        <v>#N/A</v>
      </c>
      <c r="P1257" s="15" t="s">
        <v>4747</v>
      </c>
      <c r="Q1257" s="15" t="s">
        <v>4749</v>
      </c>
      <c r="R1257" s="15"/>
      <c r="S1257" s="15"/>
      <c r="T1257" s="15" t="s">
        <v>4707</v>
      </c>
    </row>
    <row r="1258" spans="1:20" x14ac:dyDescent="0.35">
      <c r="A1258" s="2" t="s">
        <v>2512</v>
      </c>
      <c r="B1258" s="2" t="s">
        <v>852</v>
      </c>
      <c r="C1258" s="2" t="s">
        <v>9</v>
      </c>
      <c r="D1258" s="2">
        <v>73.45</v>
      </c>
      <c r="E1258" s="2" t="s">
        <v>10</v>
      </c>
      <c r="F1258" s="2">
        <v>2</v>
      </c>
      <c r="G1258" s="22">
        <f>Table4[[#This Row],[Item Cost]]*Table4[[#This Row],[In Stock]]</f>
        <v>146.9</v>
      </c>
      <c r="H1258" s="12" t="s">
        <v>4661</v>
      </c>
      <c r="I1258" s="13" t="s">
        <v>4664</v>
      </c>
      <c r="J1258" s="13" t="s">
        <v>4754</v>
      </c>
      <c r="K1258" s="13" t="s">
        <v>4672</v>
      </c>
      <c r="L1258" s="12" t="s">
        <v>4707</v>
      </c>
      <c r="M1258" s="17" t="str">
        <f>IF(LEN(COUNTIFS($H$1:H1258,$H1258,$I$1:I1258,$I1258,$J$1:J1258,$J1258,$K$1:K1258,K1258,$L$1:L1258,L1258))=1,"00"&amp;COUNTIFS($H$1:H1258,$H1258,$I$1:I1258,$I1258,$J$1:J1258,$J1258,$K$1:K1258,K1258,$L$1:L1258,L1258),IF(LEN(COUNTIFS($H$1:H1258,$H1258,$I$1:I1258,$I1258,$J$1:J1258,$J1258,$K$1:K1258,K1258,$L$1:L1258,L1258))=2,"0"&amp;COUNTIFS($H$1:H1258,$H1258,$I$1:I1258,$I1258,$J$1:J1258,$J1258,$K$1:K1258,K1258,$L$1:L1258,L1258),COUNTIFS($H$1:H1258,$H1258,$I$1:I1258,$I1258,$J$1:J1258,$J1258,$K$1:K1258,K1258,$L$1:L1258,L1258)))</f>
        <v>018</v>
      </c>
      <c r="N125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58" s="14" t="e">
        <f>+LEN(Table4[[#This Row],[New Item Code]])</f>
        <v>#N/A</v>
      </c>
      <c r="P1258" s="15" t="s">
        <v>4747</v>
      </c>
      <c r="Q1258" s="15" t="s">
        <v>4749</v>
      </c>
      <c r="R1258" s="15"/>
      <c r="S1258" s="15"/>
      <c r="T1258" s="15" t="s">
        <v>4707</v>
      </c>
    </row>
    <row r="1259" spans="1:20" x14ac:dyDescent="0.35">
      <c r="A1259" s="3" t="s">
        <v>2513</v>
      </c>
      <c r="B1259" s="3" t="s">
        <v>2514</v>
      </c>
      <c r="C1259" s="3" t="s">
        <v>9</v>
      </c>
      <c r="D1259" s="3">
        <v>160.66999999999999</v>
      </c>
      <c r="E1259" s="3" t="s">
        <v>10</v>
      </c>
      <c r="F1259" s="3">
        <v>0</v>
      </c>
      <c r="G1259" s="21">
        <f>Table4[[#This Row],[Item Cost]]*Table4[[#This Row],[In Stock]]</f>
        <v>0</v>
      </c>
      <c r="H1259" s="12" t="s">
        <v>4661</v>
      </c>
      <c r="I1259" s="13" t="s">
        <v>4664</v>
      </c>
      <c r="J1259" s="13" t="s">
        <v>4754</v>
      </c>
      <c r="K1259" s="13" t="s">
        <v>4672</v>
      </c>
      <c r="L1259" s="12" t="s">
        <v>4707</v>
      </c>
      <c r="M1259" s="17" t="str">
        <f>IF(LEN(COUNTIFS($H$1:H1259,$H1259,$I$1:I1259,$I1259,$J$1:J1259,$J1259,$K$1:K1259,K1259,$L$1:L1259,L1259))=1,"00"&amp;COUNTIFS($H$1:H1259,$H1259,$I$1:I1259,$I1259,$J$1:J1259,$J1259,$K$1:K1259,K1259,$L$1:L1259,L1259),IF(LEN(COUNTIFS($H$1:H1259,$H1259,$I$1:I1259,$I1259,$J$1:J1259,$J1259,$K$1:K1259,K1259,$L$1:L1259,L1259))=2,"0"&amp;COUNTIFS($H$1:H1259,$H1259,$I$1:I1259,$I1259,$J$1:J1259,$J1259,$K$1:K1259,K1259,$L$1:L1259,L1259),COUNTIFS($H$1:H1259,$H1259,$I$1:I1259,$I1259,$J$1:J1259,$J1259,$K$1:K1259,K1259,$L$1:L1259,L1259)))</f>
        <v>019</v>
      </c>
      <c r="N125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59" s="14" t="e">
        <f>+LEN(Table4[[#This Row],[New Item Code]])</f>
        <v>#N/A</v>
      </c>
      <c r="P1259" s="15" t="s">
        <v>4747</v>
      </c>
      <c r="Q1259" s="15" t="s">
        <v>4749</v>
      </c>
      <c r="R1259" s="15"/>
      <c r="S1259" s="15"/>
      <c r="T1259" s="15" t="s">
        <v>4707</v>
      </c>
    </row>
    <row r="1260" spans="1:20" x14ac:dyDescent="0.35">
      <c r="A1260" s="2" t="s">
        <v>2515</v>
      </c>
      <c r="B1260" s="2" t="s">
        <v>2516</v>
      </c>
      <c r="C1260" s="2" t="s">
        <v>9</v>
      </c>
      <c r="D1260" s="2">
        <v>142.31</v>
      </c>
      <c r="E1260" s="2" t="s">
        <v>10</v>
      </c>
      <c r="F1260" s="2">
        <v>0</v>
      </c>
      <c r="G1260" s="22">
        <f>Table4[[#This Row],[Item Cost]]*Table4[[#This Row],[In Stock]]</f>
        <v>0</v>
      </c>
      <c r="H1260" s="12" t="s">
        <v>4661</v>
      </c>
      <c r="I1260" s="13" t="s">
        <v>4664</v>
      </c>
      <c r="J1260" s="13" t="s">
        <v>4754</v>
      </c>
      <c r="K1260" s="13" t="s">
        <v>4672</v>
      </c>
      <c r="L1260" s="12" t="s">
        <v>4707</v>
      </c>
      <c r="M1260" s="17" t="str">
        <f>IF(LEN(COUNTIFS($H$1:H1260,$H1260,$I$1:I1260,$I1260,$J$1:J1260,$J1260,$K$1:K1260,K1260,$L$1:L1260,L1260))=1,"00"&amp;COUNTIFS($H$1:H1260,$H1260,$I$1:I1260,$I1260,$J$1:J1260,$J1260,$K$1:K1260,K1260,$L$1:L1260,L1260),IF(LEN(COUNTIFS($H$1:H1260,$H1260,$I$1:I1260,$I1260,$J$1:J1260,$J1260,$K$1:K1260,K1260,$L$1:L1260,L1260))=2,"0"&amp;COUNTIFS($H$1:H1260,$H1260,$I$1:I1260,$I1260,$J$1:J1260,$J1260,$K$1:K1260,K1260,$L$1:L1260,L1260),COUNTIFS($H$1:H1260,$H1260,$I$1:I1260,$I1260,$J$1:J1260,$J1260,$K$1:K1260,K1260,$L$1:L1260,L1260)))</f>
        <v>020</v>
      </c>
      <c r="N126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60" s="14" t="e">
        <f>+LEN(Table4[[#This Row],[New Item Code]])</f>
        <v>#N/A</v>
      </c>
      <c r="P1260" s="15" t="s">
        <v>4747</v>
      </c>
      <c r="Q1260" s="15" t="s">
        <v>4749</v>
      </c>
      <c r="R1260" s="15"/>
      <c r="S1260" s="15"/>
      <c r="T1260" s="15" t="s">
        <v>4707</v>
      </c>
    </row>
    <row r="1261" spans="1:20" x14ac:dyDescent="0.35">
      <c r="A1261" s="3" t="s">
        <v>2517</v>
      </c>
      <c r="B1261" s="3" t="s">
        <v>2518</v>
      </c>
      <c r="C1261" s="3" t="s">
        <v>9</v>
      </c>
      <c r="D1261" s="3">
        <v>298.39</v>
      </c>
      <c r="E1261" s="3" t="s">
        <v>10</v>
      </c>
      <c r="F1261" s="3">
        <v>6</v>
      </c>
      <c r="G1261" s="21">
        <f>Table4[[#This Row],[Item Cost]]*Table4[[#This Row],[In Stock]]</f>
        <v>1790.34</v>
      </c>
      <c r="H1261" s="12" t="s">
        <v>4661</v>
      </c>
      <c r="I1261" s="13" t="s">
        <v>4664</v>
      </c>
      <c r="J1261" s="13" t="s">
        <v>4754</v>
      </c>
      <c r="K1261" s="13" t="s">
        <v>4672</v>
      </c>
      <c r="L1261" s="12" t="s">
        <v>4707</v>
      </c>
      <c r="M1261" s="17" t="str">
        <f>IF(LEN(COUNTIFS($H$1:H1261,$H1261,$I$1:I1261,$I1261,$J$1:J1261,$J1261,$K$1:K1261,K1261,$L$1:L1261,L1261))=1,"00"&amp;COUNTIFS($H$1:H1261,$H1261,$I$1:I1261,$I1261,$J$1:J1261,$J1261,$K$1:K1261,K1261,$L$1:L1261,L1261),IF(LEN(COUNTIFS($H$1:H1261,$H1261,$I$1:I1261,$I1261,$J$1:J1261,$J1261,$K$1:K1261,K1261,$L$1:L1261,L1261))=2,"0"&amp;COUNTIFS($H$1:H1261,$H1261,$I$1:I1261,$I1261,$J$1:J1261,$J1261,$K$1:K1261,K1261,$L$1:L1261,L1261),COUNTIFS($H$1:H1261,$H1261,$I$1:I1261,$I1261,$J$1:J1261,$J1261,$K$1:K1261,K1261,$L$1:L1261,L1261)))</f>
        <v>021</v>
      </c>
      <c r="N126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61" s="14" t="e">
        <f>+LEN(Table4[[#This Row],[New Item Code]])</f>
        <v>#N/A</v>
      </c>
      <c r="P1261" s="15" t="s">
        <v>4747</v>
      </c>
      <c r="Q1261" s="15" t="s">
        <v>4749</v>
      </c>
      <c r="R1261" s="15"/>
      <c r="S1261" s="15"/>
      <c r="T1261" s="15" t="s">
        <v>4707</v>
      </c>
    </row>
    <row r="1262" spans="1:20" x14ac:dyDescent="0.35">
      <c r="A1262" s="2" t="s">
        <v>2519</v>
      </c>
      <c r="B1262" s="2" t="s">
        <v>2520</v>
      </c>
      <c r="C1262" s="2" t="s">
        <v>9</v>
      </c>
      <c r="D1262" s="2">
        <v>367.25</v>
      </c>
      <c r="E1262" s="2" t="s">
        <v>10</v>
      </c>
      <c r="F1262" s="2">
        <v>1</v>
      </c>
      <c r="G1262" s="22">
        <f>Table4[[#This Row],[Item Cost]]*Table4[[#This Row],[In Stock]]</f>
        <v>367.25</v>
      </c>
      <c r="H1262" s="12" t="s">
        <v>4661</v>
      </c>
      <c r="I1262" s="13" t="s">
        <v>4664</v>
      </c>
      <c r="J1262" s="13" t="s">
        <v>4754</v>
      </c>
      <c r="K1262" s="13" t="s">
        <v>4672</v>
      </c>
      <c r="L1262" s="12" t="s">
        <v>4707</v>
      </c>
      <c r="M1262" s="17" t="str">
        <f>IF(LEN(COUNTIFS($H$1:H1262,$H1262,$I$1:I1262,$I1262,$J$1:J1262,$J1262,$K$1:K1262,K1262,$L$1:L1262,L1262))=1,"00"&amp;COUNTIFS($H$1:H1262,$H1262,$I$1:I1262,$I1262,$J$1:J1262,$J1262,$K$1:K1262,K1262,$L$1:L1262,L1262),IF(LEN(COUNTIFS($H$1:H1262,$H1262,$I$1:I1262,$I1262,$J$1:J1262,$J1262,$K$1:K1262,K1262,$L$1:L1262,L1262))=2,"0"&amp;COUNTIFS($H$1:H1262,$H1262,$I$1:I1262,$I1262,$J$1:J1262,$J1262,$K$1:K1262,K1262,$L$1:L1262,L1262),COUNTIFS($H$1:H1262,$H1262,$I$1:I1262,$I1262,$J$1:J1262,$J1262,$K$1:K1262,K1262,$L$1:L1262,L1262)))</f>
        <v>022</v>
      </c>
      <c r="N126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62" s="14" t="e">
        <f>+LEN(Table4[[#This Row],[New Item Code]])</f>
        <v>#N/A</v>
      </c>
      <c r="P1262" s="15" t="s">
        <v>4747</v>
      </c>
      <c r="Q1262" s="15" t="s">
        <v>4749</v>
      </c>
      <c r="R1262" s="15"/>
      <c r="S1262" s="15"/>
      <c r="T1262" s="15" t="s">
        <v>4707</v>
      </c>
    </row>
    <row r="1263" spans="1:20" x14ac:dyDescent="0.35">
      <c r="A1263" s="3" t="s">
        <v>2521</v>
      </c>
      <c r="B1263" s="3" t="s">
        <v>2522</v>
      </c>
      <c r="C1263" s="3" t="s">
        <v>9</v>
      </c>
      <c r="D1263" s="3">
        <v>367.25</v>
      </c>
      <c r="E1263" s="3" t="s">
        <v>10</v>
      </c>
      <c r="F1263" s="3">
        <v>1</v>
      </c>
      <c r="G1263" s="21">
        <f>Table4[[#This Row],[Item Cost]]*Table4[[#This Row],[In Stock]]</f>
        <v>367.25</v>
      </c>
      <c r="H1263" s="12" t="s">
        <v>4661</v>
      </c>
      <c r="I1263" s="13" t="s">
        <v>4664</v>
      </c>
      <c r="J1263" s="13" t="s">
        <v>4754</v>
      </c>
      <c r="K1263" s="13" t="s">
        <v>4672</v>
      </c>
      <c r="L1263" s="12" t="s">
        <v>4707</v>
      </c>
      <c r="M1263" s="17" t="str">
        <f>IF(LEN(COUNTIFS($H$1:H1263,$H1263,$I$1:I1263,$I1263,$J$1:J1263,$J1263,$K$1:K1263,K1263,$L$1:L1263,L1263))=1,"00"&amp;COUNTIFS($H$1:H1263,$H1263,$I$1:I1263,$I1263,$J$1:J1263,$J1263,$K$1:K1263,K1263,$L$1:L1263,L1263),IF(LEN(COUNTIFS($H$1:H1263,$H1263,$I$1:I1263,$I1263,$J$1:J1263,$J1263,$K$1:K1263,K1263,$L$1:L1263,L1263))=2,"0"&amp;COUNTIFS($H$1:H1263,$H1263,$I$1:I1263,$I1263,$J$1:J1263,$J1263,$K$1:K1263,K1263,$L$1:L1263,L1263),COUNTIFS($H$1:H1263,$H1263,$I$1:I1263,$I1263,$J$1:J1263,$J1263,$K$1:K1263,K1263,$L$1:L1263,L1263)))</f>
        <v>023</v>
      </c>
      <c r="N126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63" s="14" t="e">
        <f>+LEN(Table4[[#This Row],[New Item Code]])</f>
        <v>#N/A</v>
      </c>
      <c r="P1263" s="15" t="s">
        <v>4747</v>
      </c>
      <c r="Q1263" s="15" t="s">
        <v>4749</v>
      </c>
      <c r="R1263" s="15"/>
      <c r="S1263" s="15"/>
      <c r="T1263" s="15" t="s">
        <v>4707</v>
      </c>
    </row>
    <row r="1264" spans="1:20" x14ac:dyDescent="0.35">
      <c r="A1264" s="2" t="s">
        <v>2523</v>
      </c>
      <c r="B1264" s="2" t="s">
        <v>2524</v>
      </c>
      <c r="C1264" s="2" t="s">
        <v>9</v>
      </c>
      <c r="D1264" s="2">
        <v>367.25</v>
      </c>
      <c r="E1264" s="2" t="s">
        <v>10</v>
      </c>
      <c r="F1264" s="2">
        <v>1</v>
      </c>
      <c r="G1264" s="22">
        <f>Table4[[#This Row],[Item Cost]]*Table4[[#This Row],[In Stock]]</f>
        <v>367.25</v>
      </c>
      <c r="H1264" s="12" t="s">
        <v>4661</v>
      </c>
      <c r="I1264" s="13" t="s">
        <v>4664</v>
      </c>
      <c r="J1264" s="13" t="s">
        <v>4754</v>
      </c>
      <c r="K1264" s="13" t="s">
        <v>4672</v>
      </c>
      <c r="L1264" s="12" t="s">
        <v>4707</v>
      </c>
      <c r="M1264" s="17" t="str">
        <f>IF(LEN(COUNTIFS($H$1:H1264,$H1264,$I$1:I1264,$I1264,$J$1:J1264,$J1264,$K$1:K1264,K1264,$L$1:L1264,L1264))=1,"00"&amp;COUNTIFS($H$1:H1264,$H1264,$I$1:I1264,$I1264,$J$1:J1264,$J1264,$K$1:K1264,K1264,$L$1:L1264,L1264),IF(LEN(COUNTIFS($H$1:H1264,$H1264,$I$1:I1264,$I1264,$J$1:J1264,$J1264,$K$1:K1264,K1264,$L$1:L1264,L1264))=2,"0"&amp;COUNTIFS($H$1:H1264,$H1264,$I$1:I1264,$I1264,$J$1:J1264,$J1264,$K$1:K1264,K1264,$L$1:L1264,L1264),COUNTIFS($H$1:H1264,$H1264,$I$1:I1264,$I1264,$J$1:J1264,$J1264,$K$1:K1264,K1264,$L$1:L1264,L1264)))</f>
        <v>024</v>
      </c>
      <c r="N126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64" s="14" t="e">
        <f>+LEN(Table4[[#This Row],[New Item Code]])</f>
        <v>#N/A</v>
      </c>
      <c r="P1264" s="15" t="s">
        <v>4747</v>
      </c>
      <c r="Q1264" s="15" t="s">
        <v>4749</v>
      </c>
      <c r="R1264" s="15"/>
      <c r="S1264" s="15"/>
      <c r="T1264" s="15" t="s">
        <v>4707</v>
      </c>
    </row>
    <row r="1265" spans="1:20" x14ac:dyDescent="0.35">
      <c r="A1265" s="3" t="s">
        <v>2525</v>
      </c>
      <c r="B1265" s="3" t="s">
        <v>2526</v>
      </c>
      <c r="C1265" s="3" t="s">
        <v>9</v>
      </c>
      <c r="D1265" s="3">
        <v>367.25</v>
      </c>
      <c r="E1265" s="3" t="s">
        <v>10</v>
      </c>
      <c r="F1265" s="3">
        <v>1</v>
      </c>
      <c r="G1265" s="21">
        <f>Table4[[#This Row],[Item Cost]]*Table4[[#This Row],[In Stock]]</f>
        <v>367.25</v>
      </c>
      <c r="H1265" s="12" t="s">
        <v>4661</v>
      </c>
      <c r="I1265" s="13" t="s">
        <v>4664</v>
      </c>
      <c r="J1265" s="13" t="s">
        <v>4754</v>
      </c>
      <c r="K1265" s="13" t="s">
        <v>4672</v>
      </c>
      <c r="L1265" s="12" t="s">
        <v>4707</v>
      </c>
      <c r="M1265" s="17" t="str">
        <f>IF(LEN(COUNTIFS($H$1:H1265,$H1265,$I$1:I1265,$I1265,$J$1:J1265,$J1265,$K$1:K1265,K1265,$L$1:L1265,L1265))=1,"00"&amp;COUNTIFS($H$1:H1265,$H1265,$I$1:I1265,$I1265,$J$1:J1265,$J1265,$K$1:K1265,K1265,$L$1:L1265,L1265),IF(LEN(COUNTIFS($H$1:H1265,$H1265,$I$1:I1265,$I1265,$J$1:J1265,$J1265,$K$1:K1265,K1265,$L$1:L1265,L1265))=2,"0"&amp;COUNTIFS($H$1:H1265,$H1265,$I$1:I1265,$I1265,$J$1:J1265,$J1265,$K$1:K1265,K1265,$L$1:L1265,L1265),COUNTIFS($H$1:H1265,$H1265,$I$1:I1265,$I1265,$J$1:J1265,$J1265,$K$1:K1265,K1265,$L$1:L1265,L1265)))</f>
        <v>025</v>
      </c>
      <c r="N126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65" s="14" t="e">
        <f>+LEN(Table4[[#This Row],[New Item Code]])</f>
        <v>#N/A</v>
      </c>
      <c r="P1265" s="15" t="s">
        <v>4747</v>
      </c>
      <c r="Q1265" s="15" t="s">
        <v>4749</v>
      </c>
      <c r="R1265" s="15"/>
      <c r="S1265" s="15"/>
      <c r="T1265" s="15" t="s">
        <v>4707</v>
      </c>
    </row>
    <row r="1266" spans="1:20" x14ac:dyDescent="0.35">
      <c r="A1266" s="2" t="s">
        <v>2527</v>
      </c>
      <c r="B1266" s="2" t="s">
        <v>2528</v>
      </c>
      <c r="C1266" s="2" t="s">
        <v>9</v>
      </c>
      <c r="D1266" s="2">
        <v>908.94</v>
      </c>
      <c r="E1266" s="2" t="s">
        <v>10</v>
      </c>
      <c r="F1266" s="2">
        <v>1</v>
      </c>
      <c r="G1266" s="22">
        <f>Table4[[#This Row],[Item Cost]]*Table4[[#This Row],[In Stock]]</f>
        <v>908.94</v>
      </c>
      <c r="H1266" s="12" t="s">
        <v>4661</v>
      </c>
      <c r="I1266" s="13" t="s">
        <v>4664</v>
      </c>
      <c r="J1266" s="13" t="s">
        <v>4754</v>
      </c>
      <c r="K1266" s="13" t="s">
        <v>4672</v>
      </c>
      <c r="L1266" s="12" t="s">
        <v>4707</v>
      </c>
      <c r="M1266" s="17" t="str">
        <f>IF(LEN(COUNTIFS($H$1:H1266,$H1266,$I$1:I1266,$I1266,$J$1:J1266,$J1266,$K$1:K1266,K1266,$L$1:L1266,L1266))=1,"00"&amp;COUNTIFS($H$1:H1266,$H1266,$I$1:I1266,$I1266,$J$1:J1266,$J1266,$K$1:K1266,K1266,$L$1:L1266,L1266),IF(LEN(COUNTIFS($H$1:H1266,$H1266,$I$1:I1266,$I1266,$J$1:J1266,$J1266,$K$1:K1266,K1266,$L$1:L1266,L1266))=2,"0"&amp;COUNTIFS($H$1:H1266,$H1266,$I$1:I1266,$I1266,$J$1:J1266,$J1266,$K$1:K1266,K1266,$L$1:L1266,L1266),COUNTIFS($H$1:H1266,$H1266,$I$1:I1266,$I1266,$J$1:J1266,$J1266,$K$1:K1266,K1266,$L$1:L1266,L1266)))</f>
        <v>026</v>
      </c>
      <c r="N126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66" s="14" t="e">
        <f>+LEN(Table4[[#This Row],[New Item Code]])</f>
        <v>#N/A</v>
      </c>
      <c r="P1266" s="15" t="s">
        <v>4747</v>
      </c>
      <c r="Q1266" s="15" t="s">
        <v>4749</v>
      </c>
      <c r="R1266" s="15"/>
      <c r="S1266" s="15"/>
      <c r="T1266" s="15" t="s">
        <v>4707</v>
      </c>
    </row>
    <row r="1267" spans="1:20" x14ac:dyDescent="0.35">
      <c r="A1267" s="3" t="s">
        <v>2529</v>
      </c>
      <c r="B1267" s="3" t="s">
        <v>2530</v>
      </c>
      <c r="C1267" s="3" t="s">
        <v>15</v>
      </c>
      <c r="D1267" s="3">
        <v>0</v>
      </c>
      <c r="E1267" s="3" t="s">
        <v>10</v>
      </c>
      <c r="F1267" s="3">
        <v>0</v>
      </c>
      <c r="G1267" s="21">
        <f>Table4[[#This Row],[Item Cost]]*Table4[[#This Row],[In Stock]]</f>
        <v>0</v>
      </c>
      <c r="H1267" s="12" t="s">
        <v>4661</v>
      </c>
      <c r="I1267" s="13" t="s">
        <v>4666</v>
      </c>
      <c r="J1267" s="13" t="s">
        <v>4754</v>
      </c>
      <c r="K1267" s="13" t="s">
        <v>4672</v>
      </c>
      <c r="L1267" s="12" t="s">
        <v>4707</v>
      </c>
      <c r="M1267" s="17" t="str">
        <f>IF(LEN(COUNTIFS($H$1:H1267,$H1267,$I$1:I1267,$I1267,$J$1:J1267,$J1267,$K$1:K1267,K1267,$L$1:L1267,L1267))=1,"00"&amp;COUNTIFS($H$1:H1267,$H1267,$I$1:I1267,$I1267,$J$1:J1267,$J1267,$K$1:K1267,K1267,$L$1:L1267,L1267),IF(LEN(COUNTIFS($H$1:H1267,$H1267,$I$1:I1267,$I1267,$J$1:J1267,$J1267,$K$1:K1267,K1267,$L$1:L1267,L1267))=2,"0"&amp;COUNTIFS($H$1:H1267,$H1267,$I$1:I1267,$I1267,$J$1:J1267,$J1267,$K$1:K1267,K1267,$L$1:L1267,L1267),COUNTIFS($H$1:H1267,$H1267,$I$1:I1267,$I1267,$J$1:J1267,$J1267,$K$1:K1267,K1267,$L$1:L1267,L1267)))</f>
        <v>001</v>
      </c>
      <c r="N126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67" s="14" t="e">
        <f>+LEN(Table4[[#This Row],[New Item Code]])</f>
        <v>#N/A</v>
      </c>
      <c r="P1267" s="15" t="s">
        <v>4747</v>
      </c>
      <c r="Q1267" s="15" t="s">
        <v>4749</v>
      </c>
      <c r="R1267" s="15"/>
      <c r="S1267" s="15"/>
      <c r="T1267" s="15" t="s">
        <v>4707</v>
      </c>
    </row>
    <row r="1268" spans="1:20" x14ac:dyDescent="0.35">
      <c r="A1268" s="2" t="s">
        <v>2531</v>
      </c>
      <c r="B1268" s="2" t="s">
        <v>2532</v>
      </c>
      <c r="C1268" s="2" t="s">
        <v>15</v>
      </c>
      <c r="D1268" s="2">
        <v>0</v>
      </c>
      <c r="E1268" s="2" t="s">
        <v>10</v>
      </c>
      <c r="F1268" s="2">
        <v>0</v>
      </c>
      <c r="G1268" s="22">
        <f>Table4[[#This Row],[Item Cost]]*Table4[[#This Row],[In Stock]]</f>
        <v>0</v>
      </c>
      <c r="H1268" s="12" t="s">
        <v>4661</v>
      </c>
      <c r="I1268" s="13" t="s">
        <v>4666</v>
      </c>
      <c r="J1268" s="13" t="s">
        <v>4754</v>
      </c>
      <c r="K1268" s="13" t="s">
        <v>4672</v>
      </c>
      <c r="L1268" s="12" t="s">
        <v>4707</v>
      </c>
      <c r="M1268" s="17" t="str">
        <f>IF(LEN(COUNTIFS($H$1:H1268,$H1268,$I$1:I1268,$I1268,$J$1:J1268,$J1268,$K$1:K1268,K1268,$L$1:L1268,L1268))=1,"00"&amp;COUNTIFS($H$1:H1268,$H1268,$I$1:I1268,$I1268,$J$1:J1268,$J1268,$K$1:K1268,K1268,$L$1:L1268,L1268),IF(LEN(COUNTIFS($H$1:H1268,$H1268,$I$1:I1268,$I1268,$J$1:J1268,$J1268,$K$1:K1268,K1268,$L$1:L1268,L1268))=2,"0"&amp;COUNTIFS($H$1:H1268,$H1268,$I$1:I1268,$I1268,$J$1:J1268,$J1268,$K$1:K1268,K1268,$L$1:L1268,L1268),COUNTIFS($H$1:H1268,$H1268,$I$1:I1268,$I1268,$J$1:J1268,$J1268,$K$1:K1268,K1268,$L$1:L1268,L1268)))</f>
        <v>002</v>
      </c>
      <c r="N126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68" s="14" t="e">
        <f>+LEN(Table4[[#This Row],[New Item Code]])</f>
        <v>#N/A</v>
      </c>
      <c r="P1268" s="15" t="s">
        <v>4747</v>
      </c>
      <c r="Q1268" s="15" t="s">
        <v>4749</v>
      </c>
      <c r="R1268" s="15"/>
      <c r="S1268" s="15"/>
      <c r="T1268" s="15" t="s">
        <v>4707</v>
      </c>
    </row>
    <row r="1269" spans="1:20" x14ac:dyDescent="0.35">
      <c r="A1269" s="3" t="s">
        <v>2533</v>
      </c>
      <c r="B1269" s="3" t="s">
        <v>2534</v>
      </c>
      <c r="C1269" s="3" t="s">
        <v>15</v>
      </c>
      <c r="D1269" s="3">
        <v>0</v>
      </c>
      <c r="E1269" s="3" t="s">
        <v>10</v>
      </c>
      <c r="F1269" s="3">
        <v>0</v>
      </c>
      <c r="G1269" s="21">
        <f>Table4[[#This Row],[Item Cost]]*Table4[[#This Row],[In Stock]]</f>
        <v>0</v>
      </c>
      <c r="H1269" s="12" t="s">
        <v>4661</v>
      </c>
      <c r="I1269" s="13" t="s">
        <v>4666</v>
      </c>
      <c r="J1269" s="13" t="s">
        <v>4754</v>
      </c>
      <c r="K1269" s="13" t="s">
        <v>4672</v>
      </c>
      <c r="L1269" s="12" t="s">
        <v>4707</v>
      </c>
      <c r="M1269" s="17" t="str">
        <f>IF(LEN(COUNTIFS($H$1:H1269,$H1269,$I$1:I1269,$I1269,$J$1:J1269,$J1269,$K$1:K1269,K1269,$L$1:L1269,L1269))=1,"00"&amp;COUNTIFS($H$1:H1269,$H1269,$I$1:I1269,$I1269,$J$1:J1269,$J1269,$K$1:K1269,K1269,$L$1:L1269,L1269),IF(LEN(COUNTIFS($H$1:H1269,$H1269,$I$1:I1269,$I1269,$J$1:J1269,$J1269,$K$1:K1269,K1269,$L$1:L1269,L1269))=2,"0"&amp;COUNTIFS($H$1:H1269,$H1269,$I$1:I1269,$I1269,$J$1:J1269,$J1269,$K$1:K1269,K1269,$L$1:L1269,L1269),COUNTIFS($H$1:H1269,$H1269,$I$1:I1269,$I1269,$J$1:J1269,$J1269,$K$1:K1269,K1269,$L$1:L1269,L1269)))</f>
        <v>003</v>
      </c>
      <c r="N126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69" s="14" t="e">
        <f>+LEN(Table4[[#This Row],[New Item Code]])</f>
        <v>#N/A</v>
      </c>
      <c r="P1269" s="15" t="s">
        <v>4747</v>
      </c>
      <c r="Q1269" s="15" t="s">
        <v>4749</v>
      </c>
      <c r="R1269" s="15"/>
      <c r="S1269" s="15"/>
      <c r="T1269" s="15" t="s">
        <v>4707</v>
      </c>
    </row>
    <row r="1270" spans="1:20" x14ac:dyDescent="0.35">
      <c r="A1270" s="2" t="s">
        <v>2535</v>
      </c>
      <c r="B1270" s="2" t="s">
        <v>2536</v>
      </c>
      <c r="C1270" s="2" t="s">
        <v>15</v>
      </c>
      <c r="D1270" s="4">
        <v>1610</v>
      </c>
      <c r="E1270" s="2" t="s">
        <v>10</v>
      </c>
      <c r="F1270" s="2">
        <v>2</v>
      </c>
      <c r="G1270" s="22">
        <f>Table4[[#This Row],[Item Cost]]*Table4[[#This Row],[In Stock]]</f>
        <v>3220</v>
      </c>
      <c r="H1270" s="12" t="s">
        <v>4661</v>
      </c>
      <c r="I1270" s="13" t="s">
        <v>4666</v>
      </c>
      <c r="J1270" s="13"/>
      <c r="K1270" s="13" t="s">
        <v>4672</v>
      </c>
      <c r="L1270" s="12" t="s">
        <v>4672</v>
      </c>
      <c r="M1270" s="17" t="str">
        <f>IF(LEN(COUNTIFS($H$1:H1270,$H1270,$I$1:I1270,$I1270,$J$1:J1270,$J1270,$K$1:K1270,K1270,$L$1:L1270,L1270))=1,"00"&amp;COUNTIFS($H$1:H1270,$H1270,$I$1:I1270,$I1270,$J$1:J1270,$J1270,$K$1:K1270,K1270,$L$1:L1270,L1270),IF(LEN(COUNTIFS($H$1:H1270,$H1270,$I$1:I1270,$I1270,$J$1:J1270,$J1270,$K$1:K1270,K1270,$L$1:L1270,L1270))=2,"0"&amp;COUNTIFS($H$1:H1270,$H1270,$I$1:I1270,$I1270,$J$1:J1270,$J1270,$K$1:K1270,K1270,$L$1:L1270,L1270),COUNTIFS($H$1:H1270,$H1270,$I$1:I1270,$I1270,$J$1:J1270,$J1270,$K$1:K1270,K1270,$L$1:L1270,L1270)))</f>
        <v>000</v>
      </c>
      <c r="N127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70" s="14" t="e">
        <f>+LEN(Table4[[#This Row],[New Item Code]])</f>
        <v>#N/A</v>
      </c>
      <c r="P1270" s="15" t="s">
        <v>4747</v>
      </c>
      <c r="Q1270" s="15" t="s">
        <v>4749</v>
      </c>
      <c r="R1270" s="15"/>
      <c r="S1270" s="15"/>
      <c r="T1270" s="15" t="e">
        <v>#N/A</v>
      </c>
    </row>
    <row r="1271" spans="1:20" x14ac:dyDescent="0.35">
      <c r="A1271" s="3" t="s">
        <v>2537</v>
      </c>
      <c r="B1271" s="3" t="s">
        <v>556</v>
      </c>
      <c r="C1271" s="3" t="s">
        <v>56</v>
      </c>
      <c r="D1271" s="3">
        <v>0.2</v>
      </c>
      <c r="E1271" s="3" t="s">
        <v>10</v>
      </c>
      <c r="F1271" s="3">
        <v>100</v>
      </c>
      <c r="G1271" s="21">
        <f>Table4[[#This Row],[Item Cost]]*Table4[[#This Row],[In Stock]]</f>
        <v>20</v>
      </c>
      <c r="H1271" s="12" t="s">
        <v>4661</v>
      </c>
      <c r="I1271" s="13" t="s">
        <v>4668</v>
      </c>
      <c r="J1271" s="13" t="s">
        <v>4672</v>
      </c>
      <c r="K1271" s="13" t="s">
        <v>4672</v>
      </c>
      <c r="L1271" s="12" t="s">
        <v>4672</v>
      </c>
      <c r="M1271" s="17" t="str">
        <f>IF(LEN(COUNTIFS($H$1:H1271,$H1271,$I$1:I1271,$I1271,$J$1:J1271,$J1271,$K$1:K1271,K1271,$L$1:L1271,L1271))=1,"00"&amp;COUNTIFS($H$1:H1271,$H1271,$I$1:I1271,$I1271,$J$1:J1271,$J1271,$K$1:K1271,K1271,$L$1:L1271,L1271),IF(LEN(COUNTIFS($H$1:H1271,$H1271,$I$1:I1271,$I1271,$J$1:J1271,$J1271,$K$1:K1271,K1271,$L$1:L1271,L1271))=2,"0"&amp;COUNTIFS($H$1:H1271,$H1271,$I$1:I1271,$I1271,$J$1:J1271,$J1271,$K$1:K1271,K1271,$L$1:L1271,L1271),COUNTIFS($H$1:H1271,$H1271,$I$1:I1271,$I1271,$J$1:J1271,$J1271,$K$1:K1271,K1271,$L$1:L1271,L1271)))</f>
        <v>051</v>
      </c>
      <c r="N127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71" s="14" t="e">
        <f>+LEN(Table4[[#This Row],[New Item Code]])</f>
        <v>#N/A</v>
      </c>
      <c r="P1271" s="15" t="s">
        <v>4747</v>
      </c>
      <c r="Q1271" s="15" t="s">
        <v>4749</v>
      </c>
      <c r="R1271" s="15"/>
      <c r="S1271" s="15"/>
      <c r="T1271" s="15" t="s">
        <v>4672</v>
      </c>
    </row>
    <row r="1272" spans="1:20" x14ac:dyDescent="0.35">
      <c r="A1272" s="2" t="s">
        <v>2538</v>
      </c>
      <c r="B1272" s="2" t="s">
        <v>558</v>
      </c>
      <c r="C1272" s="2" t="s">
        <v>56</v>
      </c>
      <c r="D1272" s="2">
        <v>0.25</v>
      </c>
      <c r="E1272" s="2" t="s">
        <v>10</v>
      </c>
      <c r="F1272" s="2">
        <v>100</v>
      </c>
      <c r="G1272" s="22">
        <f>Table4[[#This Row],[Item Cost]]*Table4[[#This Row],[In Stock]]</f>
        <v>25</v>
      </c>
      <c r="H1272" s="12" t="s">
        <v>4661</v>
      </c>
      <c r="I1272" s="13" t="s">
        <v>4668</v>
      </c>
      <c r="J1272" s="13" t="s">
        <v>4672</v>
      </c>
      <c r="K1272" s="13" t="s">
        <v>4672</v>
      </c>
      <c r="L1272" s="12" t="s">
        <v>4672</v>
      </c>
      <c r="M1272" s="17" t="str">
        <f>IF(LEN(COUNTIFS($H$1:H1272,$H1272,$I$1:I1272,$I1272,$J$1:J1272,$J1272,$K$1:K1272,K1272,$L$1:L1272,L1272))=1,"00"&amp;COUNTIFS($H$1:H1272,$H1272,$I$1:I1272,$I1272,$J$1:J1272,$J1272,$K$1:K1272,K1272,$L$1:L1272,L1272),IF(LEN(COUNTIFS($H$1:H1272,$H1272,$I$1:I1272,$I1272,$J$1:J1272,$J1272,$K$1:K1272,K1272,$L$1:L1272,L1272))=2,"0"&amp;COUNTIFS($H$1:H1272,$H1272,$I$1:I1272,$I1272,$J$1:J1272,$J1272,$K$1:K1272,K1272,$L$1:L1272,L1272),COUNTIFS($H$1:H1272,$H1272,$I$1:I1272,$I1272,$J$1:J1272,$J1272,$K$1:K1272,K1272,$L$1:L1272,L1272)))</f>
        <v>052</v>
      </c>
      <c r="N127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72" s="14" t="e">
        <f>+LEN(Table4[[#This Row],[New Item Code]])</f>
        <v>#N/A</v>
      </c>
      <c r="P1272" s="15" t="s">
        <v>4747</v>
      </c>
      <c r="Q1272" s="15" t="s">
        <v>4749</v>
      </c>
      <c r="R1272" s="15"/>
      <c r="S1272" s="15"/>
      <c r="T1272" s="15" t="s">
        <v>4672</v>
      </c>
    </row>
    <row r="1273" spans="1:20" x14ac:dyDescent="0.35">
      <c r="A1273" s="3" t="s">
        <v>2539</v>
      </c>
      <c r="B1273" s="3" t="s">
        <v>560</v>
      </c>
      <c r="C1273" s="3" t="s">
        <v>56</v>
      </c>
      <c r="D1273" s="3">
        <v>0.3</v>
      </c>
      <c r="E1273" s="3" t="s">
        <v>10</v>
      </c>
      <c r="F1273" s="3">
        <v>100</v>
      </c>
      <c r="G1273" s="21">
        <f>Table4[[#This Row],[Item Cost]]*Table4[[#This Row],[In Stock]]</f>
        <v>30</v>
      </c>
      <c r="H1273" s="12" t="s">
        <v>4661</v>
      </c>
      <c r="I1273" s="13" t="s">
        <v>4668</v>
      </c>
      <c r="J1273" s="13" t="s">
        <v>4672</v>
      </c>
      <c r="K1273" s="13" t="s">
        <v>4672</v>
      </c>
      <c r="L1273" s="12" t="s">
        <v>4672</v>
      </c>
      <c r="M1273" s="17" t="str">
        <f>IF(LEN(COUNTIFS($H$1:H1273,$H1273,$I$1:I1273,$I1273,$J$1:J1273,$J1273,$K$1:K1273,K1273,$L$1:L1273,L1273))=1,"00"&amp;COUNTIFS($H$1:H1273,$H1273,$I$1:I1273,$I1273,$J$1:J1273,$J1273,$K$1:K1273,K1273,$L$1:L1273,L1273),IF(LEN(COUNTIFS($H$1:H1273,$H1273,$I$1:I1273,$I1273,$J$1:J1273,$J1273,$K$1:K1273,K1273,$L$1:L1273,L1273))=2,"0"&amp;COUNTIFS($H$1:H1273,$H1273,$I$1:I1273,$I1273,$J$1:J1273,$J1273,$K$1:K1273,K1273,$L$1:L1273,L1273),COUNTIFS($H$1:H1273,$H1273,$I$1:I1273,$I1273,$J$1:J1273,$J1273,$K$1:K1273,K1273,$L$1:L1273,L1273)))</f>
        <v>053</v>
      </c>
      <c r="N127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73" s="14" t="e">
        <f>+LEN(Table4[[#This Row],[New Item Code]])</f>
        <v>#N/A</v>
      </c>
      <c r="P1273" s="15" t="s">
        <v>4747</v>
      </c>
      <c r="Q1273" s="15" t="s">
        <v>4749</v>
      </c>
      <c r="R1273" s="15"/>
      <c r="S1273" s="15"/>
      <c r="T1273" s="15" t="s">
        <v>4672</v>
      </c>
    </row>
    <row r="1274" spans="1:20" x14ac:dyDescent="0.35">
      <c r="A1274" s="2" t="s">
        <v>2540</v>
      </c>
      <c r="B1274" s="2" t="s">
        <v>562</v>
      </c>
      <c r="C1274" s="2" t="s">
        <v>56</v>
      </c>
      <c r="D1274" s="2">
        <v>0.42</v>
      </c>
      <c r="E1274" s="2" t="s">
        <v>10</v>
      </c>
      <c r="F1274" s="2">
        <v>125</v>
      </c>
      <c r="G1274" s="22">
        <f>Table4[[#This Row],[Item Cost]]*Table4[[#This Row],[In Stock]]</f>
        <v>52.5</v>
      </c>
      <c r="H1274" s="12" t="s">
        <v>4661</v>
      </c>
      <c r="I1274" s="13" t="s">
        <v>4668</v>
      </c>
      <c r="J1274" s="13" t="s">
        <v>4672</v>
      </c>
      <c r="K1274" s="13" t="s">
        <v>4672</v>
      </c>
      <c r="L1274" s="12" t="s">
        <v>4672</v>
      </c>
      <c r="M1274" s="17" t="str">
        <f>IF(LEN(COUNTIFS($H$1:H1274,$H1274,$I$1:I1274,$I1274,$J$1:J1274,$J1274,$K$1:K1274,K1274,$L$1:L1274,L1274))=1,"00"&amp;COUNTIFS($H$1:H1274,$H1274,$I$1:I1274,$I1274,$J$1:J1274,$J1274,$K$1:K1274,K1274,$L$1:L1274,L1274),IF(LEN(COUNTIFS($H$1:H1274,$H1274,$I$1:I1274,$I1274,$J$1:J1274,$J1274,$K$1:K1274,K1274,$L$1:L1274,L1274))=2,"0"&amp;COUNTIFS($H$1:H1274,$H1274,$I$1:I1274,$I1274,$J$1:J1274,$J1274,$K$1:K1274,K1274,$L$1:L1274,L1274),COUNTIFS($H$1:H1274,$H1274,$I$1:I1274,$I1274,$J$1:J1274,$J1274,$K$1:K1274,K1274,$L$1:L1274,L1274)))</f>
        <v>054</v>
      </c>
      <c r="N127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74" s="14" t="e">
        <f>+LEN(Table4[[#This Row],[New Item Code]])</f>
        <v>#N/A</v>
      </c>
      <c r="P1274" s="15" t="s">
        <v>4747</v>
      </c>
      <c r="Q1274" s="15" t="s">
        <v>4749</v>
      </c>
      <c r="R1274" s="15"/>
      <c r="S1274" s="15"/>
      <c r="T1274" s="15" t="s">
        <v>4672</v>
      </c>
    </row>
    <row r="1275" spans="1:20" x14ac:dyDescent="0.35">
      <c r="A1275" s="3" t="s">
        <v>2541</v>
      </c>
      <c r="B1275" s="3" t="s">
        <v>564</v>
      </c>
      <c r="C1275" s="3" t="s">
        <v>56</v>
      </c>
      <c r="D1275" s="3">
        <v>0</v>
      </c>
      <c r="E1275" s="3" t="s">
        <v>10</v>
      </c>
      <c r="F1275" s="3">
        <v>0</v>
      </c>
      <c r="G1275" s="21">
        <f>Table4[[#This Row],[Item Cost]]*Table4[[#This Row],[In Stock]]</f>
        <v>0</v>
      </c>
      <c r="H1275" s="12" t="s">
        <v>4661</v>
      </c>
      <c r="I1275" s="13" t="s">
        <v>4668</v>
      </c>
      <c r="J1275" s="13" t="s">
        <v>4672</v>
      </c>
      <c r="K1275" s="13" t="s">
        <v>4672</v>
      </c>
      <c r="L1275" s="12" t="s">
        <v>4672</v>
      </c>
      <c r="M1275" s="17" t="str">
        <f>IF(LEN(COUNTIFS($H$1:H1275,$H1275,$I$1:I1275,$I1275,$J$1:J1275,$J1275,$K$1:K1275,K1275,$L$1:L1275,L1275))=1,"00"&amp;COUNTIFS($H$1:H1275,$H1275,$I$1:I1275,$I1275,$J$1:J1275,$J1275,$K$1:K1275,K1275,$L$1:L1275,L1275),IF(LEN(COUNTIFS($H$1:H1275,$H1275,$I$1:I1275,$I1275,$J$1:J1275,$J1275,$K$1:K1275,K1275,$L$1:L1275,L1275))=2,"0"&amp;COUNTIFS($H$1:H1275,$H1275,$I$1:I1275,$I1275,$J$1:J1275,$J1275,$K$1:K1275,K1275,$L$1:L1275,L1275),COUNTIFS($H$1:H1275,$H1275,$I$1:I1275,$I1275,$J$1:J1275,$J1275,$K$1:K1275,K1275,$L$1:L1275,L1275)))</f>
        <v>055</v>
      </c>
      <c r="N127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75" s="14" t="e">
        <f>+LEN(Table4[[#This Row],[New Item Code]])</f>
        <v>#N/A</v>
      </c>
      <c r="P1275" s="15" t="s">
        <v>4747</v>
      </c>
      <c r="Q1275" s="15" t="s">
        <v>4749</v>
      </c>
      <c r="R1275" s="15"/>
      <c r="S1275" s="15"/>
      <c r="T1275" s="15" t="s">
        <v>4672</v>
      </c>
    </row>
    <row r="1276" spans="1:20" x14ac:dyDescent="0.35">
      <c r="A1276" s="2" t="s">
        <v>2542</v>
      </c>
      <c r="B1276" s="2" t="s">
        <v>566</v>
      </c>
      <c r="C1276" s="2" t="s">
        <v>56</v>
      </c>
      <c r="D1276" s="2">
        <v>0</v>
      </c>
      <c r="E1276" s="2" t="s">
        <v>10</v>
      </c>
      <c r="F1276" s="2">
        <v>0</v>
      </c>
      <c r="G1276" s="22">
        <f>Table4[[#This Row],[Item Cost]]*Table4[[#This Row],[In Stock]]</f>
        <v>0</v>
      </c>
      <c r="H1276" s="12" t="s">
        <v>4661</v>
      </c>
      <c r="I1276" s="13" t="s">
        <v>4668</v>
      </c>
      <c r="J1276" s="13" t="s">
        <v>4672</v>
      </c>
      <c r="K1276" s="13" t="s">
        <v>4672</v>
      </c>
      <c r="L1276" s="12" t="s">
        <v>4672</v>
      </c>
      <c r="M1276" s="17" t="str">
        <f>IF(LEN(COUNTIFS($H$1:H1276,$H1276,$I$1:I1276,$I1276,$J$1:J1276,$J1276,$K$1:K1276,K1276,$L$1:L1276,L1276))=1,"00"&amp;COUNTIFS($H$1:H1276,$H1276,$I$1:I1276,$I1276,$J$1:J1276,$J1276,$K$1:K1276,K1276,$L$1:L1276,L1276),IF(LEN(COUNTIFS($H$1:H1276,$H1276,$I$1:I1276,$I1276,$J$1:J1276,$J1276,$K$1:K1276,K1276,$L$1:L1276,L1276))=2,"0"&amp;COUNTIFS($H$1:H1276,$H1276,$I$1:I1276,$I1276,$J$1:J1276,$J1276,$K$1:K1276,K1276,$L$1:L1276,L1276),COUNTIFS($H$1:H1276,$H1276,$I$1:I1276,$I1276,$J$1:J1276,$J1276,$K$1:K1276,K1276,$L$1:L1276,L1276)))</f>
        <v>056</v>
      </c>
      <c r="N127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76" s="14" t="e">
        <f>+LEN(Table4[[#This Row],[New Item Code]])</f>
        <v>#N/A</v>
      </c>
      <c r="P1276" s="15" t="s">
        <v>4747</v>
      </c>
      <c r="Q1276" s="15" t="s">
        <v>4749</v>
      </c>
      <c r="R1276" s="15"/>
      <c r="S1276" s="15"/>
      <c r="T1276" s="15" t="s">
        <v>4672</v>
      </c>
    </row>
    <row r="1277" spans="1:20" x14ac:dyDescent="0.35">
      <c r="A1277" s="3" t="s">
        <v>2543</v>
      </c>
      <c r="B1277" s="3" t="s">
        <v>568</v>
      </c>
      <c r="C1277" s="3" t="s">
        <v>56</v>
      </c>
      <c r="D1277" s="3">
        <v>0</v>
      </c>
      <c r="E1277" s="3" t="s">
        <v>10</v>
      </c>
      <c r="F1277" s="3">
        <v>0</v>
      </c>
      <c r="G1277" s="21">
        <f>Table4[[#This Row],[Item Cost]]*Table4[[#This Row],[In Stock]]</f>
        <v>0</v>
      </c>
      <c r="H1277" s="12" t="s">
        <v>4661</v>
      </c>
      <c r="I1277" s="13" t="s">
        <v>4668</v>
      </c>
      <c r="J1277" s="13" t="s">
        <v>4672</v>
      </c>
      <c r="K1277" s="13" t="s">
        <v>4672</v>
      </c>
      <c r="L1277" s="12" t="s">
        <v>4672</v>
      </c>
      <c r="M1277" s="17" t="str">
        <f>IF(LEN(COUNTIFS($H$1:H1277,$H1277,$I$1:I1277,$I1277,$J$1:J1277,$J1277,$K$1:K1277,K1277,$L$1:L1277,L1277))=1,"00"&amp;COUNTIFS($H$1:H1277,$H1277,$I$1:I1277,$I1277,$J$1:J1277,$J1277,$K$1:K1277,K1277,$L$1:L1277,L1277),IF(LEN(COUNTIFS($H$1:H1277,$H1277,$I$1:I1277,$I1277,$J$1:J1277,$J1277,$K$1:K1277,K1277,$L$1:L1277,L1277))=2,"0"&amp;COUNTIFS($H$1:H1277,$H1277,$I$1:I1277,$I1277,$J$1:J1277,$J1277,$K$1:K1277,K1277,$L$1:L1277,L1277),COUNTIFS($H$1:H1277,$H1277,$I$1:I1277,$I1277,$J$1:J1277,$J1277,$K$1:K1277,K1277,$L$1:L1277,L1277)))</f>
        <v>057</v>
      </c>
      <c r="N127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77" s="14" t="e">
        <f>+LEN(Table4[[#This Row],[New Item Code]])</f>
        <v>#N/A</v>
      </c>
      <c r="P1277" s="15" t="s">
        <v>4747</v>
      </c>
      <c r="Q1277" s="15" t="s">
        <v>4749</v>
      </c>
      <c r="R1277" s="15"/>
      <c r="S1277" s="15"/>
      <c r="T1277" s="15" t="s">
        <v>4672</v>
      </c>
    </row>
    <row r="1278" spans="1:20" x14ac:dyDescent="0.35">
      <c r="A1278" s="2" t="s">
        <v>2544</v>
      </c>
      <c r="B1278" s="2" t="s">
        <v>570</v>
      </c>
      <c r="C1278" s="2" t="s">
        <v>56</v>
      </c>
      <c r="D1278" s="2">
        <v>0</v>
      </c>
      <c r="E1278" s="2" t="s">
        <v>10</v>
      </c>
      <c r="F1278" s="2">
        <v>0</v>
      </c>
      <c r="G1278" s="22">
        <f>Table4[[#This Row],[Item Cost]]*Table4[[#This Row],[In Stock]]</f>
        <v>0</v>
      </c>
      <c r="H1278" s="12" t="s">
        <v>4661</v>
      </c>
      <c r="I1278" s="13" t="s">
        <v>4668</v>
      </c>
      <c r="J1278" s="13" t="s">
        <v>4672</v>
      </c>
      <c r="K1278" s="13" t="s">
        <v>4672</v>
      </c>
      <c r="L1278" s="12" t="s">
        <v>4672</v>
      </c>
      <c r="M1278" s="17" t="str">
        <f>IF(LEN(COUNTIFS($H$1:H1278,$H1278,$I$1:I1278,$I1278,$J$1:J1278,$J1278,$K$1:K1278,K1278,$L$1:L1278,L1278))=1,"00"&amp;COUNTIFS($H$1:H1278,$H1278,$I$1:I1278,$I1278,$J$1:J1278,$J1278,$K$1:K1278,K1278,$L$1:L1278,L1278),IF(LEN(COUNTIFS($H$1:H1278,$H1278,$I$1:I1278,$I1278,$J$1:J1278,$J1278,$K$1:K1278,K1278,$L$1:L1278,L1278))=2,"0"&amp;COUNTIFS($H$1:H1278,$H1278,$I$1:I1278,$I1278,$J$1:J1278,$J1278,$K$1:K1278,K1278,$L$1:L1278,L1278),COUNTIFS($H$1:H1278,$H1278,$I$1:I1278,$I1278,$J$1:J1278,$J1278,$K$1:K1278,K1278,$L$1:L1278,L1278)))</f>
        <v>058</v>
      </c>
      <c r="N127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78" s="14" t="e">
        <f>+LEN(Table4[[#This Row],[New Item Code]])</f>
        <v>#N/A</v>
      </c>
      <c r="P1278" s="15" t="s">
        <v>4747</v>
      </c>
      <c r="Q1278" s="15" t="s">
        <v>4749</v>
      </c>
      <c r="R1278" s="15"/>
      <c r="S1278" s="15"/>
      <c r="T1278" s="15" t="s">
        <v>4672</v>
      </c>
    </row>
    <row r="1279" spans="1:20" x14ac:dyDescent="0.35">
      <c r="A1279" s="3" t="s">
        <v>2545</v>
      </c>
      <c r="B1279" s="3" t="s">
        <v>572</v>
      </c>
      <c r="C1279" s="3" t="s">
        <v>56</v>
      </c>
      <c r="D1279" s="3">
        <v>0</v>
      </c>
      <c r="E1279" s="3" t="s">
        <v>10</v>
      </c>
      <c r="F1279" s="3">
        <v>0</v>
      </c>
      <c r="G1279" s="21">
        <f>Table4[[#This Row],[Item Cost]]*Table4[[#This Row],[In Stock]]</f>
        <v>0</v>
      </c>
      <c r="H1279" s="12" t="s">
        <v>4661</v>
      </c>
      <c r="I1279" s="13" t="s">
        <v>4668</v>
      </c>
      <c r="J1279" s="13" t="s">
        <v>4672</v>
      </c>
      <c r="K1279" s="13" t="s">
        <v>4672</v>
      </c>
      <c r="L1279" s="12" t="s">
        <v>4672</v>
      </c>
      <c r="M1279" s="17" t="str">
        <f>IF(LEN(COUNTIFS($H$1:H1279,$H1279,$I$1:I1279,$I1279,$J$1:J1279,$J1279,$K$1:K1279,K1279,$L$1:L1279,L1279))=1,"00"&amp;COUNTIFS($H$1:H1279,$H1279,$I$1:I1279,$I1279,$J$1:J1279,$J1279,$K$1:K1279,K1279,$L$1:L1279,L1279),IF(LEN(COUNTIFS($H$1:H1279,$H1279,$I$1:I1279,$I1279,$J$1:J1279,$J1279,$K$1:K1279,K1279,$L$1:L1279,L1279))=2,"0"&amp;COUNTIFS($H$1:H1279,$H1279,$I$1:I1279,$I1279,$J$1:J1279,$J1279,$K$1:K1279,K1279,$L$1:L1279,L1279),COUNTIFS($H$1:H1279,$H1279,$I$1:I1279,$I1279,$J$1:J1279,$J1279,$K$1:K1279,K1279,$L$1:L1279,L1279)))</f>
        <v>059</v>
      </c>
      <c r="N127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79" s="14" t="e">
        <f>+LEN(Table4[[#This Row],[New Item Code]])</f>
        <v>#N/A</v>
      </c>
      <c r="P1279" s="15" t="s">
        <v>4747</v>
      </c>
      <c r="Q1279" s="15" t="s">
        <v>4749</v>
      </c>
      <c r="R1279" s="15"/>
      <c r="S1279" s="15"/>
      <c r="T1279" s="15" t="s">
        <v>4672</v>
      </c>
    </row>
    <row r="1280" spans="1:20" x14ac:dyDescent="0.35">
      <c r="A1280" s="2" t="s">
        <v>2546</v>
      </c>
      <c r="B1280" s="2" t="s">
        <v>574</v>
      </c>
      <c r="C1280" s="2" t="s">
        <v>56</v>
      </c>
      <c r="D1280" s="2">
        <v>0</v>
      </c>
      <c r="E1280" s="2" t="s">
        <v>10</v>
      </c>
      <c r="F1280" s="2">
        <v>0</v>
      </c>
      <c r="G1280" s="22">
        <f>Table4[[#This Row],[Item Cost]]*Table4[[#This Row],[In Stock]]</f>
        <v>0</v>
      </c>
      <c r="H1280" s="12" t="s">
        <v>4661</v>
      </c>
      <c r="I1280" s="13" t="s">
        <v>4668</v>
      </c>
      <c r="J1280" s="13" t="s">
        <v>4672</v>
      </c>
      <c r="K1280" s="13" t="s">
        <v>4672</v>
      </c>
      <c r="L1280" s="12" t="s">
        <v>4672</v>
      </c>
      <c r="M1280" s="17" t="str">
        <f>IF(LEN(COUNTIFS($H$1:H1280,$H1280,$I$1:I1280,$I1280,$J$1:J1280,$J1280,$K$1:K1280,K1280,$L$1:L1280,L1280))=1,"00"&amp;COUNTIFS($H$1:H1280,$H1280,$I$1:I1280,$I1280,$J$1:J1280,$J1280,$K$1:K1280,K1280,$L$1:L1280,L1280),IF(LEN(COUNTIFS($H$1:H1280,$H1280,$I$1:I1280,$I1280,$J$1:J1280,$J1280,$K$1:K1280,K1280,$L$1:L1280,L1280))=2,"0"&amp;COUNTIFS($H$1:H1280,$H1280,$I$1:I1280,$I1280,$J$1:J1280,$J1280,$K$1:K1280,K1280,$L$1:L1280,L1280),COUNTIFS($H$1:H1280,$H1280,$I$1:I1280,$I1280,$J$1:J1280,$J1280,$K$1:K1280,K1280,$L$1:L1280,L1280)))</f>
        <v>060</v>
      </c>
      <c r="N128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80" s="14" t="e">
        <f>+LEN(Table4[[#This Row],[New Item Code]])</f>
        <v>#N/A</v>
      </c>
      <c r="P1280" s="15" t="s">
        <v>4747</v>
      </c>
      <c r="Q1280" s="15" t="s">
        <v>4749</v>
      </c>
      <c r="R1280" s="15"/>
      <c r="S1280" s="15"/>
      <c r="T1280" s="15" t="s">
        <v>4672</v>
      </c>
    </row>
    <row r="1281" spans="1:20" x14ac:dyDescent="0.35">
      <c r="A1281" s="3" t="s">
        <v>2547</v>
      </c>
      <c r="B1281" s="3" t="s">
        <v>2548</v>
      </c>
      <c r="C1281" s="3" t="s">
        <v>56</v>
      </c>
      <c r="D1281" s="3">
        <v>390</v>
      </c>
      <c r="E1281" s="3" t="s">
        <v>10</v>
      </c>
      <c r="F1281" s="3">
        <v>5</v>
      </c>
      <c r="G1281" s="21">
        <f>Table4[[#This Row],[Item Cost]]*Table4[[#This Row],[In Stock]]</f>
        <v>1950</v>
      </c>
      <c r="H1281" s="12" t="s">
        <v>4661</v>
      </c>
      <c r="I1281" s="13" t="s">
        <v>4668</v>
      </c>
      <c r="J1281" s="13" t="s">
        <v>4672</v>
      </c>
      <c r="K1281" s="13" t="s">
        <v>4672</v>
      </c>
      <c r="L1281" s="12" t="s">
        <v>4672</v>
      </c>
      <c r="M1281" s="17" t="str">
        <f>IF(LEN(COUNTIFS($H$1:H1281,$H1281,$I$1:I1281,$I1281,$J$1:J1281,$J1281,$K$1:K1281,K1281,$L$1:L1281,L1281))=1,"00"&amp;COUNTIFS($H$1:H1281,$H1281,$I$1:I1281,$I1281,$J$1:J1281,$J1281,$K$1:K1281,K1281,$L$1:L1281,L1281),IF(LEN(COUNTIFS($H$1:H1281,$H1281,$I$1:I1281,$I1281,$J$1:J1281,$J1281,$K$1:K1281,K1281,$L$1:L1281,L1281))=2,"0"&amp;COUNTIFS($H$1:H1281,$H1281,$I$1:I1281,$I1281,$J$1:J1281,$J1281,$K$1:K1281,K1281,$L$1:L1281,L1281),COUNTIFS($H$1:H1281,$H1281,$I$1:I1281,$I1281,$J$1:J1281,$J1281,$K$1:K1281,K1281,$L$1:L1281,L1281)))</f>
        <v>061</v>
      </c>
      <c r="N128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81" s="14" t="e">
        <f>+LEN(Table4[[#This Row],[New Item Code]])</f>
        <v>#N/A</v>
      </c>
      <c r="P1281" s="15" t="s">
        <v>4747</v>
      </c>
      <c r="Q1281" s="15" t="s">
        <v>4749</v>
      </c>
      <c r="R1281" s="15"/>
      <c r="S1281" s="15"/>
      <c r="T1281" s="15" t="s">
        <v>4672</v>
      </c>
    </row>
    <row r="1282" spans="1:20" x14ac:dyDescent="0.35">
      <c r="A1282" s="2" t="s">
        <v>2549</v>
      </c>
      <c r="B1282" s="2" t="s">
        <v>2550</v>
      </c>
      <c r="C1282" s="2" t="s">
        <v>56</v>
      </c>
      <c r="D1282" s="2">
        <v>500</v>
      </c>
      <c r="E1282" s="2" t="s">
        <v>10</v>
      </c>
      <c r="F1282" s="2">
        <v>0</v>
      </c>
      <c r="G1282" s="22">
        <f>Table4[[#This Row],[Item Cost]]*Table4[[#This Row],[In Stock]]</f>
        <v>0</v>
      </c>
      <c r="H1282" s="12" t="s">
        <v>4661</v>
      </c>
      <c r="I1282" s="13" t="s">
        <v>4668</v>
      </c>
      <c r="J1282" s="13" t="s">
        <v>4672</v>
      </c>
      <c r="K1282" s="13" t="s">
        <v>4672</v>
      </c>
      <c r="L1282" s="12" t="s">
        <v>4672</v>
      </c>
      <c r="M1282" s="17" t="str">
        <f>IF(LEN(COUNTIFS($H$1:H1282,$H1282,$I$1:I1282,$I1282,$J$1:J1282,$J1282,$K$1:K1282,K1282,$L$1:L1282,L1282))=1,"00"&amp;COUNTIFS($H$1:H1282,$H1282,$I$1:I1282,$I1282,$J$1:J1282,$J1282,$K$1:K1282,K1282,$L$1:L1282,L1282),IF(LEN(COUNTIFS($H$1:H1282,$H1282,$I$1:I1282,$I1282,$J$1:J1282,$J1282,$K$1:K1282,K1282,$L$1:L1282,L1282))=2,"0"&amp;COUNTIFS($H$1:H1282,$H1282,$I$1:I1282,$I1282,$J$1:J1282,$J1282,$K$1:K1282,K1282,$L$1:L1282,L1282),COUNTIFS($H$1:H1282,$H1282,$I$1:I1282,$I1282,$J$1:J1282,$J1282,$K$1:K1282,K1282,$L$1:L1282,L1282)))</f>
        <v>062</v>
      </c>
      <c r="N128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82" s="14" t="e">
        <f>+LEN(Table4[[#This Row],[New Item Code]])</f>
        <v>#N/A</v>
      </c>
      <c r="P1282" s="15" t="s">
        <v>4747</v>
      </c>
      <c r="Q1282" s="15" t="s">
        <v>4749</v>
      </c>
      <c r="R1282" s="15"/>
      <c r="S1282" s="15"/>
      <c r="T1282" s="15" t="s">
        <v>4672</v>
      </c>
    </row>
    <row r="1283" spans="1:20" x14ac:dyDescent="0.35">
      <c r="A1283" s="3" t="s">
        <v>2551</v>
      </c>
      <c r="B1283" s="3" t="s">
        <v>2552</v>
      </c>
      <c r="C1283" s="3" t="s">
        <v>56</v>
      </c>
      <c r="D1283" s="3">
        <v>3.6259999999999999</v>
      </c>
      <c r="E1283" s="3" t="s">
        <v>10</v>
      </c>
      <c r="F1283" s="3">
        <v>14</v>
      </c>
      <c r="G1283" s="21">
        <f>Table4[[#This Row],[Item Cost]]*Table4[[#This Row],[In Stock]]</f>
        <v>50.763999999999996</v>
      </c>
      <c r="H1283" s="12" t="s">
        <v>4661</v>
      </c>
      <c r="I1283" s="13" t="s">
        <v>4668</v>
      </c>
      <c r="J1283" s="13" t="s">
        <v>4672</v>
      </c>
      <c r="K1283" s="13" t="s">
        <v>4672</v>
      </c>
      <c r="L1283" s="12" t="s">
        <v>4672</v>
      </c>
      <c r="M1283" s="17" t="str">
        <f>IF(LEN(COUNTIFS($H$1:H1283,$H1283,$I$1:I1283,$I1283,$J$1:J1283,$J1283,$K$1:K1283,K1283,$L$1:L1283,L1283))=1,"00"&amp;COUNTIFS($H$1:H1283,$H1283,$I$1:I1283,$I1283,$J$1:J1283,$J1283,$K$1:K1283,K1283,$L$1:L1283,L1283),IF(LEN(COUNTIFS($H$1:H1283,$H1283,$I$1:I1283,$I1283,$J$1:J1283,$J1283,$K$1:K1283,K1283,$L$1:L1283,L1283))=2,"0"&amp;COUNTIFS($H$1:H1283,$H1283,$I$1:I1283,$I1283,$J$1:J1283,$J1283,$K$1:K1283,K1283,$L$1:L1283,L1283),COUNTIFS($H$1:H1283,$H1283,$I$1:I1283,$I1283,$J$1:J1283,$J1283,$K$1:K1283,K1283,$L$1:L1283,L1283)))</f>
        <v>063</v>
      </c>
      <c r="N128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83" s="14" t="e">
        <f>+LEN(Table4[[#This Row],[New Item Code]])</f>
        <v>#N/A</v>
      </c>
      <c r="P1283" s="15" t="s">
        <v>4747</v>
      </c>
      <c r="Q1283" s="15" t="s">
        <v>4749</v>
      </c>
      <c r="R1283" s="15"/>
      <c r="S1283" s="15"/>
      <c r="T1283" s="15" t="s">
        <v>4672</v>
      </c>
    </row>
    <row r="1284" spans="1:20" x14ac:dyDescent="0.35">
      <c r="A1284" s="2" t="s">
        <v>2553</v>
      </c>
      <c r="B1284" s="2" t="s">
        <v>2554</v>
      </c>
      <c r="C1284" s="2" t="s">
        <v>56</v>
      </c>
      <c r="D1284" s="2">
        <v>3.8580000000000001</v>
      </c>
      <c r="E1284" s="2" t="s">
        <v>10</v>
      </c>
      <c r="F1284" s="2">
        <v>4</v>
      </c>
      <c r="G1284" s="22">
        <f>Table4[[#This Row],[Item Cost]]*Table4[[#This Row],[In Stock]]</f>
        <v>15.432</v>
      </c>
      <c r="H1284" s="12" t="s">
        <v>4661</v>
      </c>
      <c r="I1284" s="13" t="s">
        <v>4668</v>
      </c>
      <c r="J1284" s="13" t="s">
        <v>4672</v>
      </c>
      <c r="K1284" s="13" t="s">
        <v>4672</v>
      </c>
      <c r="L1284" s="12" t="s">
        <v>4672</v>
      </c>
      <c r="M1284" s="17" t="str">
        <f>IF(LEN(COUNTIFS($H$1:H1284,$H1284,$I$1:I1284,$I1284,$J$1:J1284,$J1284,$K$1:K1284,K1284,$L$1:L1284,L1284))=1,"00"&amp;COUNTIFS($H$1:H1284,$H1284,$I$1:I1284,$I1284,$J$1:J1284,$J1284,$K$1:K1284,K1284,$L$1:L1284,L1284),IF(LEN(COUNTIFS($H$1:H1284,$H1284,$I$1:I1284,$I1284,$J$1:J1284,$J1284,$K$1:K1284,K1284,$L$1:L1284,L1284))=2,"0"&amp;COUNTIFS($H$1:H1284,$H1284,$I$1:I1284,$I1284,$J$1:J1284,$J1284,$K$1:K1284,K1284,$L$1:L1284,L1284),COUNTIFS($H$1:H1284,$H1284,$I$1:I1284,$I1284,$J$1:J1284,$J1284,$K$1:K1284,K1284,$L$1:L1284,L1284)))</f>
        <v>064</v>
      </c>
      <c r="N128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84" s="14" t="e">
        <f>+LEN(Table4[[#This Row],[New Item Code]])</f>
        <v>#N/A</v>
      </c>
      <c r="P1284" s="15" t="s">
        <v>4747</v>
      </c>
      <c r="Q1284" s="15" t="s">
        <v>4749</v>
      </c>
      <c r="R1284" s="15"/>
      <c r="S1284" s="15"/>
      <c r="T1284" s="15" t="s">
        <v>4672</v>
      </c>
    </row>
    <row r="1285" spans="1:20" x14ac:dyDescent="0.35">
      <c r="A1285" s="3" t="s">
        <v>2555</v>
      </c>
      <c r="B1285" s="3" t="s">
        <v>2556</v>
      </c>
      <c r="C1285" s="3" t="s">
        <v>56</v>
      </c>
      <c r="D1285" s="3">
        <v>0</v>
      </c>
      <c r="E1285" s="3" t="s">
        <v>10</v>
      </c>
      <c r="F1285" s="3">
        <v>0</v>
      </c>
      <c r="G1285" s="21">
        <f>Table4[[#This Row],[Item Cost]]*Table4[[#This Row],[In Stock]]</f>
        <v>0</v>
      </c>
      <c r="H1285" s="12" t="s">
        <v>4661</v>
      </c>
      <c r="I1285" s="13" t="s">
        <v>4668</v>
      </c>
      <c r="J1285" s="13" t="s">
        <v>4672</v>
      </c>
      <c r="K1285" s="13" t="s">
        <v>4672</v>
      </c>
      <c r="L1285" s="12" t="s">
        <v>4672</v>
      </c>
      <c r="M1285" s="17" t="str">
        <f>IF(LEN(COUNTIFS($H$1:H1285,$H1285,$I$1:I1285,$I1285,$J$1:J1285,$J1285,$K$1:K1285,K1285,$L$1:L1285,L1285))=1,"00"&amp;COUNTIFS($H$1:H1285,$H1285,$I$1:I1285,$I1285,$J$1:J1285,$J1285,$K$1:K1285,K1285,$L$1:L1285,L1285),IF(LEN(COUNTIFS($H$1:H1285,$H1285,$I$1:I1285,$I1285,$J$1:J1285,$J1285,$K$1:K1285,K1285,$L$1:L1285,L1285))=2,"0"&amp;COUNTIFS($H$1:H1285,$H1285,$I$1:I1285,$I1285,$J$1:J1285,$J1285,$K$1:K1285,K1285,$L$1:L1285,L1285),COUNTIFS($H$1:H1285,$H1285,$I$1:I1285,$I1285,$J$1:J1285,$J1285,$K$1:K1285,K1285,$L$1:L1285,L1285)))</f>
        <v>065</v>
      </c>
      <c r="N128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85" s="14" t="e">
        <f>+LEN(Table4[[#This Row],[New Item Code]])</f>
        <v>#N/A</v>
      </c>
      <c r="P1285" s="15" t="s">
        <v>4747</v>
      </c>
      <c r="Q1285" s="15" t="s">
        <v>4749</v>
      </c>
      <c r="R1285" s="15"/>
      <c r="S1285" s="15"/>
      <c r="T1285" s="15" t="s">
        <v>4672</v>
      </c>
    </row>
    <row r="1286" spans="1:20" x14ac:dyDescent="0.35">
      <c r="A1286" s="2" t="s">
        <v>2557</v>
      </c>
      <c r="B1286" s="2" t="s">
        <v>2558</v>
      </c>
      <c r="C1286" s="2" t="s">
        <v>56</v>
      </c>
      <c r="D1286" s="2">
        <v>87.391000000000005</v>
      </c>
      <c r="E1286" s="2" t="s">
        <v>10</v>
      </c>
      <c r="F1286" s="2">
        <v>23</v>
      </c>
      <c r="G1286" s="22">
        <f>Table4[[#This Row],[Item Cost]]*Table4[[#This Row],[In Stock]]</f>
        <v>2009.9930000000002</v>
      </c>
      <c r="H1286" s="12" t="s">
        <v>4661</v>
      </c>
      <c r="I1286" s="13" t="s">
        <v>4668</v>
      </c>
      <c r="J1286" s="13" t="s">
        <v>4672</v>
      </c>
      <c r="K1286" s="13" t="s">
        <v>4672</v>
      </c>
      <c r="L1286" s="12" t="s">
        <v>4672</v>
      </c>
      <c r="M1286" s="17" t="str">
        <f>IF(LEN(COUNTIFS($H$1:H1286,$H1286,$I$1:I1286,$I1286,$J$1:J1286,$J1286,$K$1:K1286,K1286,$L$1:L1286,L1286))=1,"00"&amp;COUNTIFS($H$1:H1286,$H1286,$I$1:I1286,$I1286,$J$1:J1286,$J1286,$K$1:K1286,K1286,$L$1:L1286,L1286),IF(LEN(COUNTIFS($H$1:H1286,$H1286,$I$1:I1286,$I1286,$J$1:J1286,$J1286,$K$1:K1286,K1286,$L$1:L1286,L1286))=2,"0"&amp;COUNTIFS($H$1:H1286,$H1286,$I$1:I1286,$I1286,$J$1:J1286,$J1286,$K$1:K1286,K1286,$L$1:L1286,L1286),COUNTIFS($H$1:H1286,$H1286,$I$1:I1286,$I1286,$J$1:J1286,$J1286,$K$1:K1286,K1286,$L$1:L1286,L1286)))</f>
        <v>066</v>
      </c>
      <c r="N128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86" s="14" t="e">
        <f>+LEN(Table4[[#This Row],[New Item Code]])</f>
        <v>#N/A</v>
      </c>
      <c r="P1286" s="15" t="s">
        <v>4747</v>
      </c>
      <c r="Q1286" s="15" t="s">
        <v>4749</v>
      </c>
      <c r="R1286" s="15"/>
      <c r="S1286" s="15"/>
      <c r="T1286" s="15" t="s">
        <v>4672</v>
      </c>
    </row>
    <row r="1287" spans="1:20" x14ac:dyDescent="0.35">
      <c r="A1287" s="3" t="s">
        <v>2559</v>
      </c>
      <c r="B1287" s="3" t="s">
        <v>2560</v>
      </c>
      <c r="C1287" s="3" t="s">
        <v>56</v>
      </c>
      <c r="D1287" s="3">
        <v>0</v>
      </c>
      <c r="E1287" s="3" t="s">
        <v>10</v>
      </c>
      <c r="F1287" s="3">
        <v>0</v>
      </c>
      <c r="G1287" s="21">
        <f>Table4[[#This Row],[Item Cost]]*Table4[[#This Row],[In Stock]]</f>
        <v>0</v>
      </c>
      <c r="H1287" s="12" t="s">
        <v>4661</v>
      </c>
      <c r="I1287" s="13" t="s">
        <v>4668</v>
      </c>
      <c r="J1287" s="13" t="s">
        <v>4672</v>
      </c>
      <c r="K1287" s="13" t="s">
        <v>4672</v>
      </c>
      <c r="L1287" s="12" t="s">
        <v>4672</v>
      </c>
      <c r="M1287" s="17" t="str">
        <f>IF(LEN(COUNTIFS($H$1:H1287,$H1287,$I$1:I1287,$I1287,$J$1:J1287,$J1287,$K$1:K1287,K1287,$L$1:L1287,L1287))=1,"00"&amp;COUNTIFS($H$1:H1287,$H1287,$I$1:I1287,$I1287,$J$1:J1287,$J1287,$K$1:K1287,K1287,$L$1:L1287,L1287),IF(LEN(COUNTIFS($H$1:H1287,$H1287,$I$1:I1287,$I1287,$J$1:J1287,$J1287,$K$1:K1287,K1287,$L$1:L1287,L1287))=2,"0"&amp;COUNTIFS($H$1:H1287,$H1287,$I$1:I1287,$I1287,$J$1:J1287,$J1287,$K$1:K1287,K1287,$L$1:L1287,L1287),COUNTIFS($H$1:H1287,$H1287,$I$1:I1287,$I1287,$J$1:J1287,$J1287,$K$1:K1287,K1287,$L$1:L1287,L1287)))</f>
        <v>067</v>
      </c>
      <c r="N128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87" s="14" t="e">
        <f>+LEN(Table4[[#This Row],[New Item Code]])</f>
        <v>#N/A</v>
      </c>
      <c r="P1287" s="15" t="s">
        <v>4747</v>
      </c>
      <c r="Q1287" s="15" t="s">
        <v>4749</v>
      </c>
      <c r="R1287" s="15"/>
      <c r="S1287" s="15"/>
      <c r="T1287" s="15" t="s">
        <v>4672</v>
      </c>
    </row>
    <row r="1288" spans="1:20" x14ac:dyDescent="0.35">
      <c r="A1288" s="2" t="s">
        <v>2561</v>
      </c>
      <c r="B1288" s="2" t="s">
        <v>2562</v>
      </c>
      <c r="C1288" s="2" t="s">
        <v>56</v>
      </c>
      <c r="D1288" s="2">
        <v>78.667000000000002</v>
      </c>
      <c r="E1288" s="2" t="s">
        <v>10</v>
      </c>
      <c r="F1288" s="2">
        <v>18</v>
      </c>
      <c r="G1288" s="22">
        <f>Table4[[#This Row],[Item Cost]]*Table4[[#This Row],[In Stock]]</f>
        <v>1416.0060000000001</v>
      </c>
      <c r="H1288" s="12" t="s">
        <v>4661</v>
      </c>
      <c r="I1288" s="13" t="s">
        <v>4668</v>
      </c>
      <c r="J1288" s="13" t="s">
        <v>4672</v>
      </c>
      <c r="K1288" s="13" t="s">
        <v>4672</v>
      </c>
      <c r="L1288" s="12" t="s">
        <v>4672</v>
      </c>
      <c r="M1288" s="17" t="str">
        <f>IF(LEN(COUNTIFS($H$1:H1288,$H1288,$I$1:I1288,$I1288,$J$1:J1288,$J1288,$K$1:K1288,K1288,$L$1:L1288,L1288))=1,"00"&amp;COUNTIFS($H$1:H1288,$H1288,$I$1:I1288,$I1288,$J$1:J1288,$J1288,$K$1:K1288,K1288,$L$1:L1288,L1288),IF(LEN(COUNTIFS($H$1:H1288,$H1288,$I$1:I1288,$I1288,$J$1:J1288,$J1288,$K$1:K1288,K1288,$L$1:L1288,L1288))=2,"0"&amp;COUNTIFS($H$1:H1288,$H1288,$I$1:I1288,$I1288,$J$1:J1288,$J1288,$K$1:K1288,K1288,$L$1:L1288,L1288),COUNTIFS($H$1:H1288,$H1288,$I$1:I1288,$I1288,$J$1:J1288,$J1288,$K$1:K1288,K1288,$L$1:L1288,L1288)))</f>
        <v>068</v>
      </c>
      <c r="N128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88" s="14" t="e">
        <f>+LEN(Table4[[#This Row],[New Item Code]])</f>
        <v>#N/A</v>
      </c>
      <c r="P1288" s="15" t="s">
        <v>4747</v>
      </c>
      <c r="Q1288" s="15" t="s">
        <v>4749</v>
      </c>
      <c r="R1288" s="15"/>
      <c r="S1288" s="15"/>
      <c r="T1288" s="15" t="s">
        <v>4672</v>
      </c>
    </row>
    <row r="1289" spans="1:20" x14ac:dyDescent="0.35">
      <c r="A1289" s="3" t="s">
        <v>2563</v>
      </c>
      <c r="B1289" s="3" t="s">
        <v>2564</v>
      </c>
      <c r="C1289" s="3" t="s">
        <v>56</v>
      </c>
      <c r="D1289" s="3">
        <v>0.115</v>
      </c>
      <c r="E1289" s="3" t="s">
        <v>10</v>
      </c>
      <c r="F1289" s="5">
        <v>3269</v>
      </c>
      <c r="G1289" s="21">
        <f>Table4[[#This Row],[Item Cost]]*Table4[[#This Row],[In Stock]]</f>
        <v>375.935</v>
      </c>
      <c r="H1289" s="12" t="s">
        <v>4661</v>
      </c>
      <c r="I1289" s="13" t="s">
        <v>4668</v>
      </c>
      <c r="J1289" s="13" t="s">
        <v>4672</v>
      </c>
      <c r="K1289" s="13" t="s">
        <v>4672</v>
      </c>
      <c r="L1289" s="12" t="s">
        <v>4672</v>
      </c>
      <c r="M1289" s="17" t="str">
        <f>IF(LEN(COUNTIFS($H$1:H1289,$H1289,$I$1:I1289,$I1289,$J$1:J1289,$J1289,$K$1:K1289,K1289,$L$1:L1289,L1289))=1,"00"&amp;COUNTIFS($H$1:H1289,$H1289,$I$1:I1289,$I1289,$J$1:J1289,$J1289,$K$1:K1289,K1289,$L$1:L1289,L1289),IF(LEN(COUNTIFS($H$1:H1289,$H1289,$I$1:I1289,$I1289,$J$1:J1289,$J1289,$K$1:K1289,K1289,$L$1:L1289,L1289))=2,"0"&amp;COUNTIFS($H$1:H1289,$H1289,$I$1:I1289,$I1289,$J$1:J1289,$J1289,$K$1:K1289,K1289,$L$1:L1289,L1289),COUNTIFS($H$1:H1289,$H1289,$I$1:I1289,$I1289,$J$1:J1289,$J1289,$K$1:K1289,K1289,$L$1:L1289,L1289)))</f>
        <v>069</v>
      </c>
      <c r="N128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89" s="14" t="e">
        <f>+LEN(Table4[[#This Row],[New Item Code]])</f>
        <v>#N/A</v>
      </c>
      <c r="P1289" s="15" t="s">
        <v>4747</v>
      </c>
      <c r="Q1289" s="15" t="s">
        <v>4749</v>
      </c>
      <c r="R1289" s="15"/>
      <c r="S1289" s="15"/>
      <c r="T1289" s="15" t="s">
        <v>4672</v>
      </c>
    </row>
    <row r="1290" spans="1:20" x14ac:dyDescent="0.35">
      <c r="A1290" s="2" t="s">
        <v>2565</v>
      </c>
      <c r="B1290" s="2" t="s">
        <v>2566</v>
      </c>
      <c r="C1290" s="2" t="s">
        <v>56</v>
      </c>
      <c r="D1290" s="2">
        <v>0</v>
      </c>
      <c r="E1290" s="2" t="s">
        <v>10</v>
      </c>
      <c r="F1290" s="2">
        <v>0</v>
      </c>
      <c r="G1290" s="22">
        <f>Table4[[#This Row],[Item Cost]]*Table4[[#This Row],[In Stock]]</f>
        <v>0</v>
      </c>
      <c r="H1290" s="12" t="s">
        <v>4661</v>
      </c>
      <c r="I1290" s="13" t="s">
        <v>4668</v>
      </c>
      <c r="J1290" s="13" t="s">
        <v>4672</v>
      </c>
      <c r="K1290" s="13" t="s">
        <v>4672</v>
      </c>
      <c r="L1290" s="12" t="s">
        <v>4672</v>
      </c>
      <c r="M1290" s="17" t="str">
        <f>IF(LEN(COUNTIFS($H$1:H1290,$H1290,$I$1:I1290,$I1290,$J$1:J1290,$J1290,$K$1:K1290,K1290,$L$1:L1290,L1290))=1,"00"&amp;COUNTIFS($H$1:H1290,$H1290,$I$1:I1290,$I1290,$J$1:J1290,$J1290,$K$1:K1290,K1290,$L$1:L1290,L1290),IF(LEN(COUNTIFS($H$1:H1290,$H1290,$I$1:I1290,$I1290,$J$1:J1290,$J1290,$K$1:K1290,K1290,$L$1:L1290,L1290))=2,"0"&amp;COUNTIFS($H$1:H1290,$H1290,$I$1:I1290,$I1290,$J$1:J1290,$J1290,$K$1:K1290,K1290,$L$1:L1290,L1290),COUNTIFS($H$1:H1290,$H1290,$I$1:I1290,$I1290,$J$1:J1290,$J1290,$K$1:K1290,K1290,$L$1:L1290,L1290)))</f>
        <v>070</v>
      </c>
      <c r="N129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90" s="14" t="e">
        <f>+LEN(Table4[[#This Row],[New Item Code]])</f>
        <v>#N/A</v>
      </c>
      <c r="P1290" s="15" t="s">
        <v>4747</v>
      </c>
      <c r="Q1290" s="15" t="s">
        <v>4749</v>
      </c>
      <c r="R1290" s="15"/>
      <c r="S1290" s="15"/>
      <c r="T1290" s="15" t="s">
        <v>4672</v>
      </c>
    </row>
    <row r="1291" spans="1:20" x14ac:dyDescent="0.35">
      <c r="A1291" s="3" t="s">
        <v>2567</v>
      </c>
      <c r="B1291" s="3" t="s">
        <v>2568</v>
      </c>
      <c r="C1291" s="3" t="s">
        <v>56</v>
      </c>
      <c r="D1291" s="3">
        <v>260</v>
      </c>
      <c r="E1291" s="3" t="s">
        <v>10</v>
      </c>
      <c r="F1291" s="3">
        <v>4</v>
      </c>
      <c r="G1291" s="21">
        <f>Table4[[#This Row],[Item Cost]]*Table4[[#This Row],[In Stock]]</f>
        <v>1040</v>
      </c>
      <c r="H1291" s="12" t="s">
        <v>4661</v>
      </c>
      <c r="I1291" s="13" t="s">
        <v>4668</v>
      </c>
      <c r="J1291" s="13" t="s">
        <v>4672</v>
      </c>
      <c r="K1291" s="13" t="s">
        <v>4672</v>
      </c>
      <c r="L1291" s="12" t="s">
        <v>4672</v>
      </c>
      <c r="M1291" s="17" t="str">
        <f>IF(LEN(COUNTIFS($H$1:H1291,$H1291,$I$1:I1291,$I1291,$J$1:J1291,$J1291,$K$1:K1291,K1291,$L$1:L1291,L1291))=1,"00"&amp;COUNTIFS($H$1:H1291,$H1291,$I$1:I1291,$I1291,$J$1:J1291,$J1291,$K$1:K1291,K1291,$L$1:L1291,L1291),IF(LEN(COUNTIFS($H$1:H1291,$H1291,$I$1:I1291,$I1291,$J$1:J1291,$J1291,$K$1:K1291,K1291,$L$1:L1291,L1291))=2,"0"&amp;COUNTIFS($H$1:H1291,$H1291,$I$1:I1291,$I1291,$J$1:J1291,$J1291,$K$1:K1291,K1291,$L$1:L1291,L1291),COUNTIFS($H$1:H1291,$H1291,$I$1:I1291,$I1291,$J$1:J1291,$J1291,$K$1:K1291,K1291,$L$1:L1291,L1291)))</f>
        <v>071</v>
      </c>
      <c r="N129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91" s="14" t="e">
        <f>+LEN(Table4[[#This Row],[New Item Code]])</f>
        <v>#N/A</v>
      </c>
      <c r="P1291" s="15" t="s">
        <v>4747</v>
      </c>
      <c r="Q1291" s="15" t="s">
        <v>4749</v>
      </c>
      <c r="R1291" s="15"/>
      <c r="S1291" s="15"/>
      <c r="T1291" s="15" t="s">
        <v>4672</v>
      </c>
    </row>
    <row r="1292" spans="1:20" x14ac:dyDescent="0.35">
      <c r="A1292" s="2" t="s">
        <v>2569</v>
      </c>
      <c r="B1292" s="2" t="s">
        <v>2570</v>
      </c>
      <c r="C1292" s="2" t="s">
        <v>56</v>
      </c>
      <c r="D1292" s="2">
        <v>0.25800000000000001</v>
      </c>
      <c r="E1292" s="2" t="s">
        <v>10</v>
      </c>
      <c r="F1292" s="4">
        <v>3269</v>
      </c>
      <c r="G1292" s="22">
        <f>Table4[[#This Row],[Item Cost]]*Table4[[#This Row],[In Stock]]</f>
        <v>843.40200000000004</v>
      </c>
      <c r="H1292" s="12" t="s">
        <v>4661</v>
      </c>
      <c r="I1292" s="13" t="s">
        <v>4668</v>
      </c>
      <c r="J1292" s="13" t="s">
        <v>4672</v>
      </c>
      <c r="K1292" s="13" t="s">
        <v>4672</v>
      </c>
      <c r="L1292" s="12" t="s">
        <v>4672</v>
      </c>
      <c r="M1292" s="17" t="str">
        <f>IF(LEN(COUNTIFS($H$1:H1292,$H1292,$I$1:I1292,$I1292,$J$1:J1292,$J1292,$K$1:K1292,K1292,$L$1:L1292,L1292))=1,"00"&amp;COUNTIFS($H$1:H1292,$H1292,$I$1:I1292,$I1292,$J$1:J1292,$J1292,$K$1:K1292,K1292,$L$1:L1292,L1292),IF(LEN(COUNTIFS($H$1:H1292,$H1292,$I$1:I1292,$I1292,$J$1:J1292,$J1292,$K$1:K1292,K1292,$L$1:L1292,L1292))=2,"0"&amp;COUNTIFS($H$1:H1292,$H1292,$I$1:I1292,$I1292,$J$1:J1292,$J1292,$K$1:K1292,K1292,$L$1:L1292,L1292),COUNTIFS($H$1:H1292,$H1292,$I$1:I1292,$I1292,$J$1:J1292,$J1292,$K$1:K1292,K1292,$L$1:L1292,L1292)))</f>
        <v>072</v>
      </c>
      <c r="N129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92" s="14" t="e">
        <f>+LEN(Table4[[#This Row],[New Item Code]])</f>
        <v>#N/A</v>
      </c>
      <c r="P1292" s="15" t="s">
        <v>4747</v>
      </c>
      <c r="Q1292" s="15" t="s">
        <v>4749</v>
      </c>
      <c r="R1292" s="15"/>
      <c r="S1292" s="15"/>
      <c r="T1292" s="15" t="s">
        <v>4672</v>
      </c>
    </row>
    <row r="1293" spans="1:20" x14ac:dyDescent="0.35">
      <c r="A1293" s="3" t="s">
        <v>2571</v>
      </c>
      <c r="B1293" s="3" t="s">
        <v>2572</v>
      </c>
      <c r="C1293" s="3" t="s">
        <v>56</v>
      </c>
      <c r="D1293" s="3">
        <v>0</v>
      </c>
      <c r="E1293" s="3" t="s">
        <v>57</v>
      </c>
      <c r="F1293" s="3">
        <v>0</v>
      </c>
      <c r="G1293" s="21">
        <f>Table4[[#This Row],[Item Cost]]*Table4[[#This Row],[In Stock]]</f>
        <v>0</v>
      </c>
      <c r="H1293" s="12" t="s">
        <v>4661</v>
      </c>
      <c r="I1293" s="13" t="s">
        <v>4668</v>
      </c>
      <c r="J1293" s="13" t="s">
        <v>4672</v>
      </c>
      <c r="K1293" s="13" t="s">
        <v>4672</v>
      </c>
      <c r="L1293" s="12" t="s">
        <v>4672</v>
      </c>
      <c r="M1293" s="17" t="str">
        <f>IF(LEN(COUNTIFS($H$1:H1293,$H1293,$I$1:I1293,$I1293,$J$1:J1293,$J1293,$K$1:K1293,K1293,$L$1:L1293,L1293))=1,"00"&amp;COUNTIFS($H$1:H1293,$H1293,$I$1:I1293,$I1293,$J$1:J1293,$J1293,$K$1:K1293,K1293,$L$1:L1293,L1293),IF(LEN(COUNTIFS($H$1:H1293,$H1293,$I$1:I1293,$I1293,$J$1:J1293,$J1293,$K$1:K1293,K1293,$L$1:L1293,L1293))=2,"0"&amp;COUNTIFS($H$1:H1293,$H1293,$I$1:I1293,$I1293,$J$1:J1293,$J1293,$K$1:K1293,K1293,$L$1:L1293,L1293),COUNTIFS($H$1:H1293,$H1293,$I$1:I1293,$I1293,$J$1:J1293,$J1293,$K$1:K1293,K1293,$L$1:L1293,L1293)))</f>
        <v>073</v>
      </c>
      <c r="N129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93" s="14" t="e">
        <f>+LEN(Table4[[#This Row],[New Item Code]])</f>
        <v>#N/A</v>
      </c>
      <c r="P1293" s="15" t="s">
        <v>4747</v>
      </c>
      <c r="Q1293" s="15" t="s">
        <v>4749</v>
      </c>
      <c r="R1293" s="15"/>
      <c r="S1293" s="15"/>
      <c r="T1293" s="15" t="s">
        <v>4672</v>
      </c>
    </row>
    <row r="1294" spans="1:20" x14ac:dyDescent="0.35">
      <c r="A1294" s="2" t="s">
        <v>2573</v>
      </c>
      <c r="B1294" s="2" t="s">
        <v>2574</v>
      </c>
      <c r="C1294" s="2" t="s">
        <v>56</v>
      </c>
      <c r="D1294" s="2">
        <v>0</v>
      </c>
      <c r="E1294" s="2" t="s">
        <v>57</v>
      </c>
      <c r="F1294" s="2">
        <v>0</v>
      </c>
      <c r="G1294" s="22">
        <f>Table4[[#This Row],[Item Cost]]*Table4[[#This Row],[In Stock]]</f>
        <v>0</v>
      </c>
      <c r="H1294" s="12" t="s">
        <v>4661</v>
      </c>
      <c r="I1294" s="13" t="s">
        <v>4668</v>
      </c>
      <c r="J1294" s="13" t="s">
        <v>4672</v>
      </c>
      <c r="K1294" s="13" t="s">
        <v>4672</v>
      </c>
      <c r="L1294" s="12" t="s">
        <v>4672</v>
      </c>
      <c r="M1294" s="17" t="str">
        <f>IF(LEN(COUNTIFS($H$1:H1294,$H1294,$I$1:I1294,$I1294,$J$1:J1294,$J1294,$K$1:K1294,K1294,$L$1:L1294,L1294))=1,"00"&amp;COUNTIFS($H$1:H1294,$H1294,$I$1:I1294,$I1294,$J$1:J1294,$J1294,$K$1:K1294,K1294,$L$1:L1294,L1294),IF(LEN(COUNTIFS($H$1:H1294,$H1294,$I$1:I1294,$I1294,$J$1:J1294,$J1294,$K$1:K1294,K1294,$L$1:L1294,L1294))=2,"0"&amp;COUNTIFS($H$1:H1294,$H1294,$I$1:I1294,$I1294,$J$1:J1294,$J1294,$K$1:K1294,K1294,$L$1:L1294,L1294),COUNTIFS($H$1:H1294,$H1294,$I$1:I1294,$I1294,$J$1:J1294,$J1294,$K$1:K1294,K1294,$L$1:L1294,L1294)))</f>
        <v>074</v>
      </c>
      <c r="N129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94" s="14" t="e">
        <f>+LEN(Table4[[#This Row],[New Item Code]])</f>
        <v>#N/A</v>
      </c>
      <c r="P1294" s="15" t="s">
        <v>4747</v>
      </c>
      <c r="Q1294" s="15" t="s">
        <v>4749</v>
      </c>
      <c r="R1294" s="15"/>
      <c r="S1294" s="15"/>
      <c r="T1294" s="15" t="s">
        <v>4672</v>
      </c>
    </row>
    <row r="1295" spans="1:20" x14ac:dyDescent="0.35">
      <c r="A1295" s="3" t="s">
        <v>2575</v>
      </c>
      <c r="B1295" s="3" t="s">
        <v>2576</v>
      </c>
      <c r="C1295" s="3" t="s">
        <v>56</v>
      </c>
      <c r="D1295" s="3">
        <v>0</v>
      </c>
      <c r="E1295" s="3" t="s">
        <v>57</v>
      </c>
      <c r="F1295" s="3">
        <v>0</v>
      </c>
      <c r="G1295" s="21">
        <f>Table4[[#This Row],[Item Cost]]*Table4[[#This Row],[In Stock]]</f>
        <v>0</v>
      </c>
      <c r="H1295" s="12" t="s">
        <v>4661</v>
      </c>
      <c r="I1295" s="13" t="s">
        <v>4668</v>
      </c>
      <c r="J1295" s="13" t="s">
        <v>4672</v>
      </c>
      <c r="K1295" s="13" t="s">
        <v>4672</v>
      </c>
      <c r="L1295" s="12" t="s">
        <v>4672</v>
      </c>
      <c r="M1295" s="17" t="str">
        <f>IF(LEN(COUNTIFS($H$1:H1295,$H1295,$I$1:I1295,$I1295,$J$1:J1295,$J1295,$K$1:K1295,K1295,$L$1:L1295,L1295))=1,"00"&amp;COUNTIFS($H$1:H1295,$H1295,$I$1:I1295,$I1295,$J$1:J1295,$J1295,$K$1:K1295,K1295,$L$1:L1295,L1295),IF(LEN(COUNTIFS($H$1:H1295,$H1295,$I$1:I1295,$I1295,$J$1:J1295,$J1295,$K$1:K1295,K1295,$L$1:L1295,L1295))=2,"0"&amp;COUNTIFS($H$1:H1295,$H1295,$I$1:I1295,$I1295,$J$1:J1295,$J1295,$K$1:K1295,K1295,$L$1:L1295,L1295),COUNTIFS($H$1:H1295,$H1295,$I$1:I1295,$I1295,$J$1:J1295,$J1295,$K$1:K1295,K1295,$L$1:L1295,L1295)))</f>
        <v>075</v>
      </c>
      <c r="N129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95" s="14" t="e">
        <f>+LEN(Table4[[#This Row],[New Item Code]])</f>
        <v>#N/A</v>
      </c>
      <c r="P1295" s="15" t="s">
        <v>4747</v>
      </c>
      <c r="Q1295" s="15" t="s">
        <v>4749</v>
      </c>
      <c r="R1295" s="15"/>
      <c r="S1295" s="15"/>
      <c r="T1295" s="15" t="s">
        <v>4672</v>
      </c>
    </row>
    <row r="1296" spans="1:20" x14ac:dyDescent="0.35">
      <c r="A1296" s="2" t="s">
        <v>2577</v>
      </c>
      <c r="B1296" s="2" t="s">
        <v>2578</v>
      </c>
      <c r="C1296" s="2" t="s">
        <v>56</v>
      </c>
      <c r="D1296" s="2">
        <v>0</v>
      </c>
      <c r="E1296" s="2" t="s">
        <v>57</v>
      </c>
      <c r="F1296" s="2">
        <v>0</v>
      </c>
      <c r="G1296" s="22">
        <f>Table4[[#This Row],[Item Cost]]*Table4[[#This Row],[In Stock]]</f>
        <v>0</v>
      </c>
      <c r="H1296" s="12" t="s">
        <v>4661</v>
      </c>
      <c r="I1296" s="13" t="s">
        <v>4668</v>
      </c>
      <c r="J1296" s="13" t="s">
        <v>4672</v>
      </c>
      <c r="K1296" s="13" t="s">
        <v>4672</v>
      </c>
      <c r="L1296" s="12" t="s">
        <v>4672</v>
      </c>
      <c r="M1296" s="17" t="str">
        <f>IF(LEN(COUNTIFS($H$1:H1296,$H1296,$I$1:I1296,$I1296,$J$1:J1296,$J1296,$K$1:K1296,K1296,$L$1:L1296,L1296))=1,"00"&amp;COUNTIFS($H$1:H1296,$H1296,$I$1:I1296,$I1296,$J$1:J1296,$J1296,$K$1:K1296,K1296,$L$1:L1296,L1296),IF(LEN(COUNTIFS($H$1:H1296,$H1296,$I$1:I1296,$I1296,$J$1:J1296,$J1296,$K$1:K1296,K1296,$L$1:L1296,L1296))=2,"0"&amp;COUNTIFS($H$1:H1296,$H1296,$I$1:I1296,$I1296,$J$1:J1296,$J1296,$K$1:K1296,K1296,$L$1:L1296,L1296),COUNTIFS($H$1:H1296,$H1296,$I$1:I1296,$I1296,$J$1:J1296,$J1296,$K$1:K1296,K1296,$L$1:L1296,L1296)))</f>
        <v>076</v>
      </c>
      <c r="N129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96" s="14" t="e">
        <f>+LEN(Table4[[#This Row],[New Item Code]])</f>
        <v>#N/A</v>
      </c>
      <c r="P1296" s="15" t="s">
        <v>4747</v>
      </c>
      <c r="Q1296" s="15" t="s">
        <v>4749</v>
      </c>
      <c r="R1296" s="15"/>
      <c r="S1296" s="15"/>
      <c r="T1296" s="15" t="s">
        <v>4672</v>
      </c>
    </row>
    <row r="1297" spans="1:20" x14ac:dyDescent="0.35">
      <c r="A1297" s="3" t="s">
        <v>2579</v>
      </c>
      <c r="B1297" s="3" t="s">
        <v>2580</v>
      </c>
      <c r="C1297" s="3" t="s">
        <v>56</v>
      </c>
      <c r="D1297" s="3">
        <v>0</v>
      </c>
      <c r="E1297" s="3" t="s">
        <v>57</v>
      </c>
      <c r="F1297" s="3">
        <v>0</v>
      </c>
      <c r="G1297" s="21">
        <f>Table4[[#This Row],[Item Cost]]*Table4[[#This Row],[In Stock]]</f>
        <v>0</v>
      </c>
      <c r="H1297" s="12" t="s">
        <v>4661</v>
      </c>
      <c r="I1297" s="13" t="s">
        <v>4668</v>
      </c>
      <c r="J1297" s="13" t="s">
        <v>4672</v>
      </c>
      <c r="K1297" s="13" t="s">
        <v>4672</v>
      </c>
      <c r="L1297" s="12" t="s">
        <v>4672</v>
      </c>
      <c r="M1297" s="17" t="str">
        <f>IF(LEN(COUNTIFS($H$1:H1297,$H1297,$I$1:I1297,$I1297,$J$1:J1297,$J1297,$K$1:K1297,K1297,$L$1:L1297,L1297))=1,"00"&amp;COUNTIFS($H$1:H1297,$H1297,$I$1:I1297,$I1297,$J$1:J1297,$J1297,$K$1:K1297,K1297,$L$1:L1297,L1297),IF(LEN(COUNTIFS($H$1:H1297,$H1297,$I$1:I1297,$I1297,$J$1:J1297,$J1297,$K$1:K1297,K1297,$L$1:L1297,L1297))=2,"0"&amp;COUNTIFS($H$1:H1297,$H1297,$I$1:I1297,$I1297,$J$1:J1297,$J1297,$K$1:K1297,K1297,$L$1:L1297,L1297),COUNTIFS($H$1:H1297,$H1297,$I$1:I1297,$I1297,$J$1:J1297,$J1297,$K$1:K1297,K1297,$L$1:L1297,L1297)))</f>
        <v>077</v>
      </c>
      <c r="N129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97" s="14" t="e">
        <f>+LEN(Table4[[#This Row],[New Item Code]])</f>
        <v>#N/A</v>
      </c>
      <c r="P1297" s="15" t="s">
        <v>4747</v>
      </c>
      <c r="Q1297" s="15" t="s">
        <v>4749</v>
      </c>
      <c r="R1297" s="15"/>
      <c r="S1297" s="15"/>
      <c r="T1297" s="15" t="s">
        <v>4672</v>
      </c>
    </row>
    <row r="1298" spans="1:20" x14ac:dyDescent="0.35">
      <c r="A1298" s="2" t="s">
        <v>2581</v>
      </c>
      <c r="B1298" s="2" t="s">
        <v>2582</v>
      </c>
      <c r="C1298" s="2" t="s">
        <v>56</v>
      </c>
      <c r="D1298" s="2">
        <v>0</v>
      </c>
      <c r="E1298" s="2" t="s">
        <v>57</v>
      </c>
      <c r="F1298" s="2">
        <v>0</v>
      </c>
      <c r="G1298" s="22">
        <f>Table4[[#This Row],[Item Cost]]*Table4[[#This Row],[In Stock]]</f>
        <v>0</v>
      </c>
      <c r="H1298" s="12" t="s">
        <v>4661</v>
      </c>
      <c r="I1298" s="13" t="s">
        <v>4668</v>
      </c>
      <c r="J1298" s="13" t="s">
        <v>4672</v>
      </c>
      <c r="K1298" s="13" t="s">
        <v>4672</v>
      </c>
      <c r="L1298" s="12" t="s">
        <v>4672</v>
      </c>
      <c r="M1298" s="17" t="str">
        <f>IF(LEN(COUNTIFS($H$1:H1298,$H1298,$I$1:I1298,$I1298,$J$1:J1298,$J1298,$K$1:K1298,K1298,$L$1:L1298,L1298))=1,"00"&amp;COUNTIFS($H$1:H1298,$H1298,$I$1:I1298,$I1298,$J$1:J1298,$J1298,$K$1:K1298,K1298,$L$1:L1298,L1298),IF(LEN(COUNTIFS($H$1:H1298,$H1298,$I$1:I1298,$I1298,$J$1:J1298,$J1298,$K$1:K1298,K1298,$L$1:L1298,L1298))=2,"0"&amp;COUNTIFS($H$1:H1298,$H1298,$I$1:I1298,$I1298,$J$1:J1298,$J1298,$K$1:K1298,K1298,$L$1:L1298,L1298),COUNTIFS($H$1:H1298,$H1298,$I$1:I1298,$I1298,$J$1:J1298,$J1298,$K$1:K1298,K1298,$L$1:L1298,L1298)))</f>
        <v>078</v>
      </c>
      <c r="N129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98" s="14" t="e">
        <f>+LEN(Table4[[#This Row],[New Item Code]])</f>
        <v>#N/A</v>
      </c>
      <c r="P1298" s="15" t="s">
        <v>4747</v>
      </c>
      <c r="Q1298" s="15" t="s">
        <v>4749</v>
      </c>
      <c r="R1298" s="15"/>
      <c r="S1298" s="15"/>
      <c r="T1298" s="15" t="s">
        <v>4672</v>
      </c>
    </row>
    <row r="1299" spans="1:20" x14ac:dyDescent="0.35">
      <c r="A1299" s="3" t="s">
        <v>2583</v>
      </c>
      <c r="B1299" s="3" t="s">
        <v>2584</v>
      </c>
      <c r="C1299" s="3" t="s">
        <v>56</v>
      </c>
      <c r="D1299" s="3">
        <v>0</v>
      </c>
      <c r="E1299" s="3" t="s">
        <v>57</v>
      </c>
      <c r="F1299" s="3">
        <v>0</v>
      </c>
      <c r="G1299" s="21">
        <f>Table4[[#This Row],[Item Cost]]*Table4[[#This Row],[In Stock]]</f>
        <v>0</v>
      </c>
      <c r="H1299" s="12" t="s">
        <v>4661</v>
      </c>
      <c r="I1299" s="13" t="s">
        <v>4668</v>
      </c>
      <c r="J1299" s="13" t="s">
        <v>4672</v>
      </c>
      <c r="K1299" s="13" t="s">
        <v>4672</v>
      </c>
      <c r="L1299" s="12" t="s">
        <v>4672</v>
      </c>
      <c r="M1299" s="17" t="str">
        <f>IF(LEN(COUNTIFS($H$1:H1299,$H1299,$I$1:I1299,$I1299,$J$1:J1299,$J1299,$K$1:K1299,K1299,$L$1:L1299,L1299))=1,"00"&amp;COUNTIFS($H$1:H1299,$H1299,$I$1:I1299,$I1299,$J$1:J1299,$J1299,$K$1:K1299,K1299,$L$1:L1299,L1299),IF(LEN(COUNTIFS($H$1:H1299,$H1299,$I$1:I1299,$I1299,$J$1:J1299,$J1299,$K$1:K1299,K1299,$L$1:L1299,L1299))=2,"0"&amp;COUNTIFS($H$1:H1299,$H1299,$I$1:I1299,$I1299,$J$1:J1299,$J1299,$K$1:K1299,K1299,$L$1:L1299,L1299),COUNTIFS($H$1:H1299,$H1299,$I$1:I1299,$I1299,$J$1:J1299,$J1299,$K$1:K1299,K1299,$L$1:L1299,L1299)))</f>
        <v>079</v>
      </c>
      <c r="N129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299" s="14" t="e">
        <f>+LEN(Table4[[#This Row],[New Item Code]])</f>
        <v>#N/A</v>
      </c>
      <c r="P1299" s="15" t="s">
        <v>4747</v>
      </c>
      <c r="Q1299" s="15" t="s">
        <v>4749</v>
      </c>
      <c r="R1299" s="15"/>
      <c r="S1299" s="15"/>
      <c r="T1299" s="15" t="s">
        <v>4672</v>
      </c>
    </row>
    <row r="1300" spans="1:20" x14ac:dyDescent="0.35">
      <c r="A1300" s="2" t="s">
        <v>2585</v>
      </c>
      <c r="B1300" s="2" t="s">
        <v>2586</v>
      </c>
      <c r="C1300" s="2" t="s">
        <v>56</v>
      </c>
      <c r="D1300" s="2">
        <v>0</v>
      </c>
      <c r="E1300" s="2" t="s">
        <v>57</v>
      </c>
      <c r="F1300" s="2">
        <v>0</v>
      </c>
      <c r="G1300" s="22">
        <f>Table4[[#This Row],[Item Cost]]*Table4[[#This Row],[In Stock]]</f>
        <v>0</v>
      </c>
      <c r="H1300" s="12" t="s">
        <v>4661</v>
      </c>
      <c r="I1300" s="13" t="s">
        <v>4668</v>
      </c>
      <c r="J1300" s="13" t="s">
        <v>4672</v>
      </c>
      <c r="K1300" s="13" t="s">
        <v>4672</v>
      </c>
      <c r="L1300" s="12" t="s">
        <v>4672</v>
      </c>
      <c r="M1300" s="17" t="str">
        <f>IF(LEN(COUNTIFS($H$1:H1300,$H1300,$I$1:I1300,$I1300,$J$1:J1300,$J1300,$K$1:K1300,K1300,$L$1:L1300,L1300))=1,"00"&amp;COUNTIFS($H$1:H1300,$H1300,$I$1:I1300,$I1300,$J$1:J1300,$J1300,$K$1:K1300,K1300,$L$1:L1300,L1300),IF(LEN(COUNTIFS($H$1:H1300,$H1300,$I$1:I1300,$I1300,$J$1:J1300,$J1300,$K$1:K1300,K1300,$L$1:L1300,L1300))=2,"0"&amp;COUNTIFS($H$1:H1300,$H1300,$I$1:I1300,$I1300,$J$1:J1300,$J1300,$K$1:K1300,K1300,$L$1:L1300,L1300),COUNTIFS($H$1:H1300,$H1300,$I$1:I1300,$I1300,$J$1:J1300,$J1300,$K$1:K1300,K1300,$L$1:L1300,L1300)))</f>
        <v>080</v>
      </c>
      <c r="N130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00" s="14" t="e">
        <f>+LEN(Table4[[#This Row],[New Item Code]])</f>
        <v>#N/A</v>
      </c>
      <c r="P1300" s="15" t="s">
        <v>4747</v>
      </c>
      <c r="Q1300" s="15" t="s">
        <v>4749</v>
      </c>
      <c r="R1300" s="15"/>
      <c r="S1300" s="15"/>
      <c r="T1300" s="15" t="s">
        <v>4672</v>
      </c>
    </row>
    <row r="1301" spans="1:20" x14ac:dyDescent="0.35">
      <c r="A1301" s="3" t="s">
        <v>2587</v>
      </c>
      <c r="B1301" s="3" t="s">
        <v>2588</v>
      </c>
      <c r="C1301" s="3" t="s">
        <v>56</v>
      </c>
      <c r="D1301" s="3">
        <v>0</v>
      </c>
      <c r="E1301" s="3" t="s">
        <v>57</v>
      </c>
      <c r="F1301" s="3">
        <v>0</v>
      </c>
      <c r="G1301" s="21">
        <f>Table4[[#This Row],[Item Cost]]*Table4[[#This Row],[In Stock]]</f>
        <v>0</v>
      </c>
      <c r="H1301" s="12" t="s">
        <v>4661</v>
      </c>
      <c r="I1301" s="13" t="s">
        <v>4668</v>
      </c>
      <c r="J1301" s="13" t="s">
        <v>4672</v>
      </c>
      <c r="K1301" s="13" t="s">
        <v>4672</v>
      </c>
      <c r="L1301" s="12" t="s">
        <v>4672</v>
      </c>
      <c r="M1301" s="17" t="str">
        <f>IF(LEN(COUNTIFS($H$1:H1301,$H1301,$I$1:I1301,$I1301,$J$1:J1301,$J1301,$K$1:K1301,K1301,$L$1:L1301,L1301))=1,"00"&amp;COUNTIFS($H$1:H1301,$H1301,$I$1:I1301,$I1301,$J$1:J1301,$J1301,$K$1:K1301,K1301,$L$1:L1301,L1301),IF(LEN(COUNTIFS($H$1:H1301,$H1301,$I$1:I1301,$I1301,$J$1:J1301,$J1301,$K$1:K1301,K1301,$L$1:L1301,L1301))=2,"0"&amp;COUNTIFS($H$1:H1301,$H1301,$I$1:I1301,$I1301,$J$1:J1301,$J1301,$K$1:K1301,K1301,$L$1:L1301,L1301),COUNTIFS($H$1:H1301,$H1301,$I$1:I1301,$I1301,$J$1:J1301,$J1301,$K$1:K1301,K1301,$L$1:L1301,L1301)))</f>
        <v>081</v>
      </c>
      <c r="N130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01" s="14" t="e">
        <f>+LEN(Table4[[#This Row],[New Item Code]])</f>
        <v>#N/A</v>
      </c>
      <c r="P1301" s="15" t="s">
        <v>4747</v>
      </c>
      <c r="Q1301" s="15" t="s">
        <v>4749</v>
      </c>
      <c r="R1301" s="15"/>
      <c r="S1301" s="15"/>
      <c r="T1301" s="15" t="s">
        <v>4672</v>
      </c>
    </row>
    <row r="1302" spans="1:20" x14ac:dyDescent="0.35">
      <c r="A1302" s="2" t="s">
        <v>2589</v>
      </c>
      <c r="B1302" s="2" t="s">
        <v>2590</v>
      </c>
      <c r="C1302" s="2" t="s">
        <v>56</v>
      </c>
      <c r="D1302" s="2">
        <v>0</v>
      </c>
      <c r="E1302" s="2" t="s">
        <v>57</v>
      </c>
      <c r="F1302" s="2">
        <v>0</v>
      </c>
      <c r="G1302" s="22">
        <f>Table4[[#This Row],[Item Cost]]*Table4[[#This Row],[In Stock]]</f>
        <v>0</v>
      </c>
      <c r="H1302" s="12" t="s">
        <v>4661</v>
      </c>
      <c r="I1302" s="13" t="s">
        <v>4668</v>
      </c>
      <c r="J1302" s="13" t="s">
        <v>4672</v>
      </c>
      <c r="K1302" s="13" t="s">
        <v>4672</v>
      </c>
      <c r="L1302" s="12" t="s">
        <v>4672</v>
      </c>
      <c r="M1302" s="17" t="str">
        <f>IF(LEN(COUNTIFS($H$1:H1302,$H1302,$I$1:I1302,$I1302,$J$1:J1302,$J1302,$K$1:K1302,K1302,$L$1:L1302,L1302))=1,"00"&amp;COUNTIFS($H$1:H1302,$H1302,$I$1:I1302,$I1302,$J$1:J1302,$J1302,$K$1:K1302,K1302,$L$1:L1302,L1302),IF(LEN(COUNTIFS($H$1:H1302,$H1302,$I$1:I1302,$I1302,$J$1:J1302,$J1302,$K$1:K1302,K1302,$L$1:L1302,L1302))=2,"0"&amp;COUNTIFS($H$1:H1302,$H1302,$I$1:I1302,$I1302,$J$1:J1302,$J1302,$K$1:K1302,K1302,$L$1:L1302,L1302),COUNTIFS($H$1:H1302,$H1302,$I$1:I1302,$I1302,$J$1:J1302,$J1302,$K$1:K1302,K1302,$L$1:L1302,L1302)))</f>
        <v>082</v>
      </c>
      <c r="N130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02" s="14" t="e">
        <f>+LEN(Table4[[#This Row],[New Item Code]])</f>
        <v>#N/A</v>
      </c>
      <c r="P1302" s="15" t="s">
        <v>4747</v>
      </c>
      <c r="Q1302" s="15" t="s">
        <v>4749</v>
      </c>
      <c r="R1302" s="15"/>
      <c r="S1302" s="15"/>
      <c r="T1302" s="15" t="s">
        <v>4672</v>
      </c>
    </row>
    <row r="1303" spans="1:20" x14ac:dyDescent="0.35">
      <c r="A1303" s="3" t="s">
        <v>2591</v>
      </c>
      <c r="B1303" s="3" t="s">
        <v>2592</v>
      </c>
      <c r="C1303" s="3" t="s">
        <v>56</v>
      </c>
      <c r="D1303" s="3">
        <v>0</v>
      </c>
      <c r="E1303" s="3" t="s">
        <v>57</v>
      </c>
      <c r="F1303" s="3">
        <v>0</v>
      </c>
      <c r="G1303" s="21">
        <f>Table4[[#This Row],[Item Cost]]*Table4[[#This Row],[In Stock]]</f>
        <v>0</v>
      </c>
      <c r="H1303" s="12" t="s">
        <v>4661</v>
      </c>
      <c r="I1303" s="13" t="s">
        <v>4668</v>
      </c>
      <c r="J1303" s="13" t="s">
        <v>4672</v>
      </c>
      <c r="K1303" s="13" t="s">
        <v>4672</v>
      </c>
      <c r="L1303" s="12" t="s">
        <v>4672</v>
      </c>
      <c r="M1303" s="17" t="str">
        <f>IF(LEN(COUNTIFS($H$1:H1303,$H1303,$I$1:I1303,$I1303,$J$1:J1303,$J1303,$K$1:K1303,K1303,$L$1:L1303,L1303))=1,"00"&amp;COUNTIFS($H$1:H1303,$H1303,$I$1:I1303,$I1303,$J$1:J1303,$J1303,$K$1:K1303,K1303,$L$1:L1303,L1303),IF(LEN(COUNTIFS($H$1:H1303,$H1303,$I$1:I1303,$I1303,$J$1:J1303,$J1303,$K$1:K1303,K1303,$L$1:L1303,L1303))=2,"0"&amp;COUNTIFS($H$1:H1303,$H1303,$I$1:I1303,$I1303,$J$1:J1303,$J1303,$K$1:K1303,K1303,$L$1:L1303,L1303),COUNTIFS($H$1:H1303,$H1303,$I$1:I1303,$I1303,$J$1:J1303,$J1303,$K$1:K1303,K1303,$L$1:L1303,L1303)))</f>
        <v>083</v>
      </c>
      <c r="N130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03" s="14" t="e">
        <f>+LEN(Table4[[#This Row],[New Item Code]])</f>
        <v>#N/A</v>
      </c>
      <c r="P1303" s="15" t="s">
        <v>4747</v>
      </c>
      <c r="Q1303" s="15" t="s">
        <v>4749</v>
      </c>
      <c r="R1303" s="15"/>
      <c r="S1303" s="15"/>
      <c r="T1303" s="15" t="s">
        <v>4672</v>
      </c>
    </row>
    <row r="1304" spans="1:20" x14ac:dyDescent="0.35">
      <c r="A1304" s="2" t="s">
        <v>2593</v>
      </c>
      <c r="B1304" s="2" t="s">
        <v>2594</v>
      </c>
      <c r="C1304" s="2" t="s">
        <v>56</v>
      </c>
      <c r="D1304" s="2">
        <v>0</v>
      </c>
      <c r="E1304" s="2" t="s">
        <v>57</v>
      </c>
      <c r="F1304" s="2">
        <v>0</v>
      </c>
      <c r="G1304" s="22">
        <f>Table4[[#This Row],[Item Cost]]*Table4[[#This Row],[In Stock]]</f>
        <v>0</v>
      </c>
      <c r="H1304" s="12" t="s">
        <v>4661</v>
      </c>
      <c r="I1304" s="13" t="s">
        <v>4668</v>
      </c>
      <c r="J1304" s="13" t="s">
        <v>4672</v>
      </c>
      <c r="K1304" s="13" t="s">
        <v>4672</v>
      </c>
      <c r="L1304" s="12" t="s">
        <v>4672</v>
      </c>
      <c r="M1304" s="17" t="str">
        <f>IF(LEN(COUNTIFS($H$1:H1304,$H1304,$I$1:I1304,$I1304,$J$1:J1304,$J1304,$K$1:K1304,K1304,$L$1:L1304,L1304))=1,"00"&amp;COUNTIFS($H$1:H1304,$H1304,$I$1:I1304,$I1304,$J$1:J1304,$J1304,$K$1:K1304,K1304,$L$1:L1304,L1304),IF(LEN(COUNTIFS($H$1:H1304,$H1304,$I$1:I1304,$I1304,$J$1:J1304,$J1304,$K$1:K1304,K1304,$L$1:L1304,L1304))=2,"0"&amp;COUNTIFS($H$1:H1304,$H1304,$I$1:I1304,$I1304,$J$1:J1304,$J1304,$K$1:K1304,K1304,$L$1:L1304,L1304),COUNTIFS($H$1:H1304,$H1304,$I$1:I1304,$I1304,$J$1:J1304,$J1304,$K$1:K1304,K1304,$L$1:L1304,L1304)))</f>
        <v>084</v>
      </c>
      <c r="N130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04" s="14" t="e">
        <f>+LEN(Table4[[#This Row],[New Item Code]])</f>
        <v>#N/A</v>
      </c>
      <c r="P1304" s="15" t="s">
        <v>4747</v>
      </c>
      <c r="Q1304" s="15" t="s">
        <v>4749</v>
      </c>
      <c r="R1304" s="15"/>
      <c r="S1304" s="15"/>
      <c r="T1304" s="15" t="s">
        <v>4672</v>
      </c>
    </row>
    <row r="1305" spans="1:20" x14ac:dyDescent="0.35">
      <c r="A1305" s="3" t="s">
        <v>2595</v>
      </c>
      <c r="B1305" s="3" t="s">
        <v>2596</v>
      </c>
      <c r="C1305" s="3" t="s">
        <v>56</v>
      </c>
      <c r="D1305" s="3">
        <v>0</v>
      </c>
      <c r="E1305" s="3" t="s">
        <v>57</v>
      </c>
      <c r="F1305" s="3">
        <v>0</v>
      </c>
      <c r="G1305" s="21">
        <f>Table4[[#This Row],[Item Cost]]*Table4[[#This Row],[In Stock]]</f>
        <v>0</v>
      </c>
      <c r="H1305" s="12" t="s">
        <v>4661</v>
      </c>
      <c r="I1305" s="13" t="s">
        <v>4668</v>
      </c>
      <c r="J1305" s="13" t="s">
        <v>4672</v>
      </c>
      <c r="K1305" s="13" t="s">
        <v>4672</v>
      </c>
      <c r="L1305" s="12" t="s">
        <v>4672</v>
      </c>
      <c r="M1305" s="17" t="str">
        <f>IF(LEN(COUNTIFS($H$1:H1305,$H1305,$I$1:I1305,$I1305,$J$1:J1305,$J1305,$K$1:K1305,K1305,$L$1:L1305,L1305))=1,"00"&amp;COUNTIFS($H$1:H1305,$H1305,$I$1:I1305,$I1305,$J$1:J1305,$J1305,$K$1:K1305,K1305,$L$1:L1305,L1305),IF(LEN(COUNTIFS($H$1:H1305,$H1305,$I$1:I1305,$I1305,$J$1:J1305,$J1305,$K$1:K1305,K1305,$L$1:L1305,L1305))=2,"0"&amp;COUNTIFS($H$1:H1305,$H1305,$I$1:I1305,$I1305,$J$1:J1305,$J1305,$K$1:K1305,K1305,$L$1:L1305,L1305),COUNTIFS($H$1:H1305,$H1305,$I$1:I1305,$I1305,$J$1:J1305,$J1305,$K$1:K1305,K1305,$L$1:L1305,L1305)))</f>
        <v>085</v>
      </c>
      <c r="N130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05" s="14" t="e">
        <f>+LEN(Table4[[#This Row],[New Item Code]])</f>
        <v>#N/A</v>
      </c>
      <c r="P1305" s="15" t="s">
        <v>4747</v>
      </c>
      <c r="Q1305" s="15" t="s">
        <v>4749</v>
      </c>
      <c r="R1305" s="15"/>
      <c r="S1305" s="15"/>
      <c r="T1305" s="15" t="s">
        <v>4672</v>
      </c>
    </row>
    <row r="1306" spans="1:20" x14ac:dyDescent="0.35">
      <c r="A1306" s="2" t="s">
        <v>2597</v>
      </c>
      <c r="B1306" s="2" t="s">
        <v>2598</v>
      </c>
      <c r="C1306" s="2" t="s">
        <v>56</v>
      </c>
      <c r="D1306" s="2">
        <v>0</v>
      </c>
      <c r="E1306" s="2" t="s">
        <v>57</v>
      </c>
      <c r="F1306" s="2">
        <v>0</v>
      </c>
      <c r="G1306" s="22">
        <f>Table4[[#This Row],[Item Cost]]*Table4[[#This Row],[In Stock]]</f>
        <v>0</v>
      </c>
      <c r="H1306" s="12" t="s">
        <v>4661</v>
      </c>
      <c r="I1306" s="13" t="s">
        <v>4668</v>
      </c>
      <c r="J1306" s="13" t="s">
        <v>4672</v>
      </c>
      <c r="K1306" s="13" t="s">
        <v>4672</v>
      </c>
      <c r="L1306" s="12" t="s">
        <v>4672</v>
      </c>
      <c r="M1306" s="17" t="str">
        <f>IF(LEN(COUNTIFS($H$1:H1306,$H1306,$I$1:I1306,$I1306,$J$1:J1306,$J1306,$K$1:K1306,K1306,$L$1:L1306,L1306))=1,"00"&amp;COUNTIFS($H$1:H1306,$H1306,$I$1:I1306,$I1306,$J$1:J1306,$J1306,$K$1:K1306,K1306,$L$1:L1306,L1306),IF(LEN(COUNTIFS($H$1:H1306,$H1306,$I$1:I1306,$I1306,$J$1:J1306,$J1306,$K$1:K1306,K1306,$L$1:L1306,L1306))=2,"0"&amp;COUNTIFS($H$1:H1306,$H1306,$I$1:I1306,$I1306,$J$1:J1306,$J1306,$K$1:K1306,K1306,$L$1:L1306,L1306),COUNTIFS($H$1:H1306,$H1306,$I$1:I1306,$I1306,$J$1:J1306,$J1306,$K$1:K1306,K1306,$L$1:L1306,L1306)))</f>
        <v>086</v>
      </c>
      <c r="N130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06" s="14" t="e">
        <f>+LEN(Table4[[#This Row],[New Item Code]])</f>
        <v>#N/A</v>
      </c>
      <c r="P1306" s="15" t="s">
        <v>4747</v>
      </c>
      <c r="Q1306" s="15" t="s">
        <v>4749</v>
      </c>
      <c r="R1306" s="15"/>
      <c r="S1306" s="15"/>
      <c r="T1306" s="15" t="s">
        <v>4672</v>
      </c>
    </row>
    <row r="1307" spans="1:20" x14ac:dyDescent="0.35">
      <c r="A1307" s="3" t="s">
        <v>2599</v>
      </c>
      <c r="B1307" s="3" t="s">
        <v>2600</v>
      </c>
      <c r="C1307" s="3" t="s">
        <v>56</v>
      </c>
      <c r="D1307" s="3">
        <v>0</v>
      </c>
      <c r="E1307" s="3" t="s">
        <v>57</v>
      </c>
      <c r="F1307" s="3">
        <v>0</v>
      </c>
      <c r="G1307" s="21">
        <f>Table4[[#This Row],[Item Cost]]*Table4[[#This Row],[In Stock]]</f>
        <v>0</v>
      </c>
      <c r="H1307" s="12" t="s">
        <v>4661</v>
      </c>
      <c r="I1307" s="13" t="s">
        <v>4668</v>
      </c>
      <c r="J1307" s="13" t="s">
        <v>4672</v>
      </c>
      <c r="K1307" s="13" t="s">
        <v>4672</v>
      </c>
      <c r="L1307" s="12" t="s">
        <v>4672</v>
      </c>
      <c r="M1307" s="17" t="str">
        <f>IF(LEN(COUNTIFS($H$1:H1307,$H1307,$I$1:I1307,$I1307,$J$1:J1307,$J1307,$K$1:K1307,K1307,$L$1:L1307,L1307))=1,"00"&amp;COUNTIFS($H$1:H1307,$H1307,$I$1:I1307,$I1307,$J$1:J1307,$J1307,$K$1:K1307,K1307,$L$1:L1307,L1307),IF(LEN(COUNTIFS($H$1:H1307,$H1307,$I$1:I1307,$I1307,$J$1:J1307,$J1307,$K$1:K1307,K1307,$L$1:L1307,L1307))=2,"0"&amp;COUNTIFS($H$1:H1307,$H1307,$I$1:I1307,$I1307,$J$1:J1307,$J1307,$K$1:K1307,K1307,$L$1:L1307,L1307),COUNTIFS($H$1:H1307,$H1307,$I$1:I1307,$I1307,$J$1:J1307,$J1307,$K$1:K1307,K1307,$L$1:L1307,L1307)))</f>
        <v>087</v>
      </c>
      <c r="N130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07" s="14" t="e">
        <f>+LEN(Table4[[#This Row],[New Item Code]])</f>
        <v>#N/A</v>
      </c>
      <c r="P1307" s="15" t="s">
        <v>4747</v>
      </c>
      <c r="Q1307" s="15" t="s">
        <v>4749</v>
      </c>
      <c r="R1307" s="15"/>
      <c r="S1307" s="15"/>
      <c r="T1307" s="15" t="s">
        <v>4672</v>
      </c>
    </row>
    <row r="1308" spans="1:20" x14ac:dyDescent="0.35">
      <c r="A1308" s="2" t="s">
        <v>2601</v>
      </c>
      <c r="B1308" s="2" t="s">
        <v>2602</v>
      </c>
      <c r="C1308" s="2" t="s">
        <v>56</v>
      </c>
      <c r="D1308" s="2">
        <v>0</v>
      </c>
      <c r="E1308" s="2" t="s">
        <v>57</v>
      </c>
      <c r="F1308" s="2">
        <v>0</v>
      </c>
      <c r="G1308" s="22">
        <f>Table4[[#This Row],[Item Cost]]*Table4[[#This Row],[In Stock]]</f>
        <v>0</v>
      </c>
      <c r="H1308" s="12" t="s">
        <v>4661</v>
      </c>
      <c r="I1308" s="13" t="s">
        <v>4668</v>
      </c>
      <c r="J1308" s="13" t="s">
        <v>4672</v>
      </c>
      <c r="K1308" s="13" t="s">
        <v>4672</v>
      </c>
      <c r="L1308" s="12" t="s">
        <v>4672</v>
      </c>
      <c r="M1308" s="17" t="str">
        <f>IF(LEN(COUNTIFS($H$1:H1308,$H1308,$I$1:I1308,$I1308,$J$1:J1308,$J1308,$K$1:K1308,K1308,$L$1:L1308,L1308))=1,"00"&amp;COUNTIFS($H$1:H1308,$H1308,$I$1:I1308,$I1308,$J$1:J1308,$J1308,$K$1:K1308,K1308,$L$1:L1308,L1308),IF(LEN(COUNTIFS($H$1:H1308,$H1308,$I$1:I1308,$I1308,$J$1:J1308,$J1308,$K$1:K1308,K1308,$L$1:L1308,L1308))=2,"0"&amp;COUNTIFS($H$1:H1308,$H1308,$I$1:I1308,$I1308,$J$1:J1308,$J1308,$K$1:K1308,K1308,$L$1:L1308,L1308),COUNTIFS($H$1:H1308,$H1308,$I$1:I1308,$I1308,$J$1:J1308,$J1308,$K$1:K1308,K1308,$L$1:L1308,L1308)))</f>
        <v>088</v>
      </c>
      <c r="N130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08" s="14" t="e">
        <f>+LEN(Table4[[#This Row],[New Item Code]])</f>
        <v>#N/A</v>
      </c>
      <c r="P1308" s="15" t="s">
        <v>4747</v>
      </c>
      <c r="Q1308" s="15" t="s">
        <v>4749</v>
      </c>
      <c r="R1308" s="15"/>
      <c r="S1308" s="15"/>
      <c r="T1308" s="15" t="s">
        <v>4672</v>
      </c>
    </row>
    <row r="1309" spans="1:20" x14ac:dyDescent="0.35">
      <c r="A1309" s="3" t="s">
        <v>2603</v>
      </c>
      <c r="B1309" s="3" t="s">
        <v>2604</v>
      </c>
      <c r="C1309" s="3" t="s">
        <v>56</v>
      </c>
      <c r="D1309" s="3">
        <v>0</v>
      </c>
      <c r="E1309" s="3" t="s">
        <v>57</v>
      </c>
      <c r="F1309" s="3">
        <v>0</v>
      </c>
      <c r="G1309" s="21">
        <f>Table4[[#This Row],[Item Cost]]*Table4[[#This Row],[In Stock]]</f>
        <v>0</v>
      </c>
      <c r="H1309" s="12" t="s">
        <v>4661</v>
      </c>
      <c r="I1309" s="13" t="s">
        <v>4668</v>
      </c>
      <c r="J1309" s="13" t="s">
        <v>4672</v>
      </c>
      <c r="K1309" s="13" t="s">
        <v>4672</v>
      </c>
      <c r="L1309" s="12" t="s">
        <v>4672</v>
      </c>
      <c r="M1309" s="17" t="str">
        <f>IF(LEN(COUNTIFS($H$1:H1309,$H1309,$I$1:I1309,$I1309,$J$1:J1309,$J1309,$K$1:K1309,K1309,$L$1:L1309,L1309))=1,"00"&amp;COUNTIFS($H$1:H1309,$H1309,$I$1:I1309,$I1309,$J$1:J1309,$J1309,$K$1:K1309,K1309,$L$1:L1309,L1309),IF(LEN(COUNTIFS($H$1:H1309,$H1309,$I$1:I1309,$I1309,$J$1:J1309,$J1309,$K$1:K1309,K1309,$L$1:L1309,L1309))=2,"0"&amp;COUNTIFS($H$1:H1309,$H1309,$I$1:I1309,$I1309,$J$1:J1309,$J1309,$K$1:K1309,K1309,$L$1:L1309,L1309),COUNTIFS($H$1:H1309,$H1309,$I$1:I1309,$I1309,$J$1:J1309,$J1309,$K$1:K1309,K1309,$L$1:L1309,L1309)))</f>
        <v>089</v>
      </c>
      <c r="N130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09" s="14" t="e">
        <f>+LEN(Table4[[#This Row],[New Item Code]])</f>
        <v>#N/A</v>
      </c>
      <c r="P1309" s="15" t="s">
        <v>4747</v>
      </c>
      <c r="Q1309" s="15" t="s">
        <v>4749</v>
      </c>
      <c r="R1309" s="15"/>
      <c r="S1309" s="15"/>
      <c r="T1309" s="15" t="s">
        <v>4672</v>
      </c>
    </row>
    <row r="1310" spans="1:20" x14ac:dyDescent="0.35">
      <c r="A1310" s="2" t="s">
        <v>2605</v>
      </c>
      <c r="B1310" s="2" t="s">
        <v>2606</v>
      </c>
      <c r="C1310" s="2" t="s">
        <v>56</v>
      </c>
      <c r="D1310" s="2">
        <v>0</v>
      </c>
      <c r="E1310" s="2" t="s">
        <v>57</v>
      </c>
      <c r="F1310" s="2">
        <v>0</v>
      </c>
      <c r="G1310" s="22">
        <f>Table4[[#This Row],[Item Cost]]*Table4[[#This Row],[In Stock]]</f>
        <v>0</v>
      </c>
      <c r="H1310" s="12" t="s">
        <v>4661</v>
      </c>
      <c r="I1310" s="13" t="s">
        <v>4668</v>
      </c>
      <c r="J1310" s="13" t="s">
        <v>4672</v>
      </c>
      <c r="K1310" s="13" t="s">
        <v>4672</v>
      </c>
      <c r="L1310" s="12" t="s">
        <v>4672</v>
      </c>
      <c r="M1310" s="17" t="str">
        <f>IF(LEN(COUNTIFS($H$1:H1310,$H1310,$I$1:I1310,$I1310,$J$1:J1310,$J1310,$K$1:K1310,K1310,$L$1:L1310,L1310))=1,"00"&amp;COUNTIFS($H$1:H1310,$H1310,$I$1:I1310,$I1310,$J$1:J1310,$J1310,$K$1:K1310,K1310,$L$1:L1310,L1310),IF(LEN(COUNTIFS($H$1:H1310,$H1310,$I$1:I1310,$I1310,$J$1:J1310,$J1310,$K$1:K1310,K1310,$L$1:L1310,L1310))=2,"0"&amp;COUNTIFS($H$1:H1310,$H1310,$I$1:I1310,$I1310,$J$1:J1310,$J1310,$K$1:K1310,K1310,$L$1:L1310,L1310),COUNTIFS($H$1:H1310,$H1310,$I$1:I1310,$I1310,$J$1:J1310,$J1310,$K$1:K1310,K1310,$L$1:L1310,L1310)))</f>
        <v>090</v>
      </c>
      <c r="N131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10" s="14" t="e">
        <f>+LEN(Table4[[#This Row],[New Item Code]])</f>
        <v>#N/A</v>
      </c>
      <c r="P1310" s="15" t="s">
        <v>4747</v>
      </c>
      <c r="Q1310" s="15" t="s">
        <v>4749</v>
      </c>
      <c r="R1310" s="15"/>
      <c r="S1310" s="15"/>
      <c r="T1310" s="15" t="s">
        <v>4672</v>
      </c>
    </row>
    <row r="1311" spans="1:20" x14ac:dyDescent="0.35">
      <c r="A1311" s="3" t="s">
        <v>2607</v>
      </c>
      <c r="B1311" s="3" t="s">
        <v>2608</v>
      </c>
      <c r="C1311" s="3" t="s">
        <v>56</v>
      </c>
      <c r="D1311" s="3">
        <v>0</v>
      </c>
      <c r="E1311" s="3" t="s">
        <v>57</v>
      </c>
      <c r="F1311" s="3">
        <v>0</v>
      </c>
      <c r="G1311" s="21">
        <f>Table4[[#This Row],[Item Cost]]*Table4[[#This Row],[In Stock]]</f>
        <v>0</v>
      </c>
      <c r="H1311" s="12" t="s">
        <v>4661</v>
      </c>
      <c r="I1311" s="13" t="s">
        <v>4668</v>
      </c>
      <c r="J1311" s="13" t="s">
        <v>4672</v>
      </c>
      <c r="K1311" s="13" t="s">
        <v>4672</v>
      </c>
      <c r="L1311" s="12" t="s">
        <v>4672</v>
      </c>
      <c r="M1311" s="17" t="str">
        <f>IF(LEN(COUNTIFS($H$1:H1311,$H1311,$I$1:I1311,$I1311,$J$1:J1311,$J1311,$K$1:K1311,K1311,$L$1:L1311,L1311))=1,"00"&amp;COUNTIFS($H$1:H1311,$H1311,$I$1:I1311,$I1311,$J$1:J1311,$J1311,$K$1:K1311,K1311,$L$1:L1311,L1311),IF(LEN(COUNTIFS($H$1:H1311,$H1311,$I$1:I1311,$I1311,$J$1:J1311,$J1311,$K$1:K1311,K1311,$L$1:L1311,L1311))=2,"0"&amp;COUNTIFS($H$1:H1311,$H1311,$I$1:I1311,$I1311,$J$1:J1311,$J1311,$K$1:K1311,K1311,$L$1:L1311,L1311),COUNTIFS($H$1:H1311,$H1311,$I$1:I1311,$I1311,$J$1:J1311,$J1311,$K$1:K1311,K1311,$L$1:L1311,L1311)))</f>
        <v>091</v>
      </c>
      <c r="N131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11" s="14" t="e">
        <f>+LEN(Table4[[#This Row],[New Item Code]])</f>
        <v>#N/A</v>
      </c>
      <c r="P1311" s="15" t="s">
        <v>4747</v>
      </c>
      <c r="Q1311" s="15" t="s">
        <v>4749</v>
      </c>
      <c r="R1311" s="15"/>
      <c r="S1311" s="15"/>
      <c r="T1311" s="15" t="s">
        <v>4672</v>
      </c>
    </row>
    <row r="1312" spans="1:20" x14ac:dyDescent="0.35">
      <c r="A1312" s="2" t="s">
        <v>2609</v>
      </c>
      <c r="B1312" s="2" t="s">
        <v>2610</v>
      </c>
      <c r="C1312" s="2" t="s">
        <v>56</v>
      </c>
      <c r="D1312" s="2">
        <v>0</v>
      </c>
      <c r="E1312" s="2" t="s">
        <v>57</v>
      </c>
      <c r="F1312" s="2">
        <v>0</v>
      </c>
      <c r="G1312" s="22">
        <f>Table4[[#This Row],[Item Cost]]*Table4[[#This Row],[In Stock]]</f>
        <v>0</v>
      </c>
      <c r="H1312" s="12" t="s">
        <v>4661</v>
      </c>
      <c r="I1312" s="13" t="s">
        <v>4668</v>
      </c>
      <c r="J1312" s="13" t="s">
        <v>4672</v>
      </c>
      <c r="K1312" s="13" t="s">
        <v>4672</v>
      </c>
      <c r="L1312" s="12" t="s">
        <v>4672</v>
      </c>
      <c r="M1312" s="17" t="str">
        <f>IF(LEN(COUNTIFS($H$1:H1312,$H1312,$I$1:I1312,$I1312,$J$1:J1312,$J1312,$K$1:K1312,K1312,$L$1:L1312,L1312))=1,"00"&amp;COUNTIFS($H$1:H1312,$H1312,$I$1:I1312,$I1312,$J$1:J1312,$J1312,$K$1:K1312,K1312,$L$1:L1312,L1312),IF(LEN(COUNTIFS($H$1:H1312,$H1312,$I$1:I1312,$I1312,$J$1:J1312,$J1312,$K$1:K1312,K1312,$L$1:L1312,L1312))=2,"0"&amp;COUNTIFS($H$1:H1312,$H1312,$I$1:I1312,$I1312,$J$1:J1312,$J1312,$K$1:K1312,K1312,$L$1:L1312,L1312),COUNTIFS($H$1:H1312,$H1312,$I$1:I1312,$I1312,$J$1:J1312,$J1312,$K$1:K1312,K1312,$L$1:L1312,L1312)))</f>
        <v>092</v>
      </c>
      <c r="N131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12" s="14" t="e">
        <f>+LEN(Table4[[#This Row],[New Item Code]])</f>
        <v>#N/A</v>
      </c>
      <c r="P1312" s="15" t="s">
        <v>4747</v>
      </c>
      <c r="Q1312" s="15" t="s">
        <v>4749</v>
      </c>
      <c r="R1312" s="15"/>
      <c r="S1312" s="15"/>
      <c r="T1312" s="15" t="s">
        <v>4672</v>
      </c>
    </row>
    <row r="1313" spans="1:20" x14ac:dyDescent="0.35">
      <c r="A1313" s="3" t="s">
        <v>2611</v>
      </c>
      <c r="B1313" s="3" t="s">
        <v>2612</v>
      </c>
      <c r="C1313" s="3" t="s">
        <v>56</v>
      </c>
      <c r="D1313" s="3">
        <v>0</v>
      </c>
      <c r="E1313" s="3" t="s">
        <v>57</v>
      </c>
      <c r="F1313" s="3">
        <v>0</v>
      </c>
      <c r="G1313" s="21">
        <f>Table4[[#This Row],[Item Cost]]*Table4[[#This Row],[In Stock]]</f>
        <v>0</v>
      </c>
      <c r="H1313" s="12" t="s">
        <v>4661</v>
      </c>
      <c r="I1313" s="13" t="s">
        <v>4668</v>
      </c>
      <c r="J1313" s="13" t="s">
        <v>4672</v>
      </c>
      <c r="K1313" s="13" t="s">
        <v>4672</v>
      </c>
      <c r="L1313" s="12" t="s">
        <v>4672</v>
      </c>
      <c r="M1313" s="17" t="str">
        <f>IF(LEN(COUNTIFS($H$1:H1313,$H1313,$I$1:I1313,$I1313,$J$1:J1313,$J1313,$K$1:K1313,K1313,$L$1:L1313,L1313))=1,"00"&amp;COUNTIFS($H$1:H1313,$H1313,$I$1:I1313,$I1313,$J$1:J1313,$J1313,$K$1:K1313,K1313,$L$1:L1313,L1313),IF(LEN(COUNTIFS($H$1:H1313,$H1313,$I$1:I1313,$I1313,$J$1:J1313,$J1313,$K$1:K1313,K1313,$L$1:L1313,L1313))=2,"0"&amp;COUNTIFS($H$1:H1313,$H1313,$I$1:I1313,$I1313,$J$1:J1313,$J1313,$K$1:K1313,K1313,$L$1:L1313,L1313),COUNTIFS($H$1:H1313,$H1313,$I$1:I1313,$I1313,$J$1:J1313,$J1313,$K$1:K1313,K1313,$L$1:L1313,L1313)))</f>
        <v>093</v>
      </c>
      <c r="N131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13" s="14" t="e">
        <f>+LEN(Table4[[#This Row],[New Item Code]])</f>
        <v>#N/A</v>
      </c>
      <c r="P1313" s="15" t="s">
        <v>4747</v>
      </c>
      <c r="Q1313" s="15" t="s">
        <v>4749</v>
      </c>
      <c r="R1313" s="15"/>
      <c r="S1313" s="15"/>
      <c r="T1313" s="15" t="s">
        <v>4672</v>
      </c>
    </row>
    <row r="1314" spans="1:20" x14ac:dyDescent="0.35">
      <c r="A1314" s="2" t="s">
        <v>2613</v>
      </c>
      <c r="B1314" s="2" t="s">
        <v>2614</v>
      </c>
      <c r="C1314" s="2" t="s">
        <v>56</v>
      </c>
      <c r="D1314" s="2">
        <v>0</v>
      </c>
      <c r="E1314" s="2" t="s">
        <v>57</v>
      </c>
      <c r="F1314" s="2">
        <v>0</v>
      </c>
      <c r="G1314" s="22">
        <f>Table4[[#This Row],[Item Cost]]*Table4[[#This Row],[In Stock]]</f>
        <v>0</v>
      </c>
      <c r="H1314" s="12" t="s">
        <v>4661</v>
      </c>
      <c r="I1314" s="13" t="s">
        <v>4668</v>
      </c>
      <c r="J1314" s="13" t="s">
        <v>4672</v>
      </c>
      <c r="K1314" s="13" t="s">
        <v>4672</v>
      </c>
      <c r="L1314" s="12" t="s">
        <v>4672</v>
      </c>
      <c r="M1314" s="17" t="str">
        <f>IF(LEN(COUNTIFS($H$1:H1314,$H1314,$I$1:I1314,$I1314,$J$1:J1314,$J1314,$K$1:K1314,K1314,$L$1:L1314,L1314))=1,"00"&amp;COUNTIFS($H$1:H1314,$H1314,$I$1:I1314,$I1314,$J$1:J1314,$J1314,$K$1:K1314,K1314,$L$1:L1314,L1314),IF(LEN(COUNTIFS($H$1:H1314,$H1314,$I$1:I1314,$I1314,$J$1:J1314,$J1314,$K$1:K1314,K1314,$L$1:L1314,L1314))=2,"0"&amp;COUNTIFS($H$1:H1314,$H1314,$I$1:I1314,$I1314,$J$1:J1314,$J1314,$K$1:K1314,K1314,$L$1:L1314,L1314),COUNTIFS($H$1:H1314,$H1314,$I$1:I1314,$I1314,$J$1:J1314,$J1314,$K$1:K1314,K1314,$L$1:L1314,L1314)))</f>
        <v>094</v>
      </c>
      <c r="N131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14" s="14" t="e">
        <f>+LEN(Table4[[#This Row],[New Item Code]])</f>
        <v>#N/A</v>
      </c>
      <c r="P1314" s="15" t="s">
        <v>4747</v>
      </c>
      <c r="Q1314" s="15" t="s">
        <v>4749</v>
      </c>
      <c r="R1314" s="15"/>
      <c r="S1314" s="15"/>
      <c r="T1314" s="15" t="s">
        <v>4672</v>
      </c>
    </row>
    <row r="1315" spans="1:20" x14ac:dyDescent="0.35">
      <c r="A1315" s="3" t="s">
        <v>2615</v>
      </c>
      <c r="B1315" s="3" t="s">
        <v>2616</v>
      </c>
      <c r="C1315" s="3" t="s">
        <v>56</v>
      </c>
      <c r="D1315" s="3">
        <v>0</v>
      </c>
      <c r="E1315" s="3" t="s">
        <v>57</v>
      </c>
      <c r="F1315" s="3">
        <v>0</v>
      </c>
      <c r="G1315" s="21">
        <f>Table4[[#This Row],[Item Cost]]*Table4[[#This Row],[In Stock]]</f>
        <v>0</v>
      </c>
      <c r="H1315" s="12" t="s">
        <v>4661</v>
      </c>
      <c r="I1315" s="13" t="s">
        <v>4668</v>
      </c>
      <c r="J1315" s="13" t="s">
        <v>4672</v>
      </c>
      <c r="K1315" s="13" t="s">
        <v>4672</v>
      </c>
      <c r="L1315" s="12" t="s">
        <v>4672</v>
      </c>
      <c r="M1315" s="17" t="str">
        <f>IF(LEN(COUNTIFS($H$1:H1315,$H1315,$I$1:I1315,$I1315,$J$1:J1315,$J1315,$K$1:K1315,K1315,$L$1:L1315,L1315))=1,"00"&amp;COUNTIFS($H$1:H1315,$H1315,$I$1:I1315,$I1315,$J$1:J1315,$J1315,$K$1:K1315,K1315,$L$1:L1315,L1315),IF(LEN(COUNTIFS($H$1:H1315,$H1315,$I$1:I1315,$I1315,$J$1:J1315,$J1315,$K$1:K1315,K1315,$L$1:L1315,L1315))=2,"0"&amp;COUNTIFS($H$1:H1315,$H1315,$I$1:I1315,$I1315,$J$1:J1315,$J1315,$K$1:K1315,K1315,$L$1:L1315,L1315),COUNTIFS($H$1:H1315,$H1315,$I$1:I1315,$I1315,$J$1:J1315,$J1315,$K$1:K1315,K1315,$L$1:L1315,L1315)))</f>
        <v>095</v>
      </c>
      <c r="N131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15" s="14" t="e">
        <f>+LEN(Table4[[#This Row],[New Item Code]])</f>
        <v>#N/A</v>
      </c>
      <c r="P1315" s="15" t="s">
        <v>4747</v>
      </c>
      <c r="Q1315" s="15" t="s">
        <v>4749</v>
      </c>
      <c r="R1315" s="15"/>
      <c r="S1315" s="15"/>
      <c r="T1315" s="15" t="s">
        <v>4672</v>
      </c>
    </row>
    <row r="1316" spans="1:20" x14ac:dyDescent="0.35">
      <c r="A1316" s="2" t="s">
        <v>2617</v>
      </c>
      <c r="B1316" s="2" t="s">
        <v>2618</v>
      </c>
      <c r="C1316" s="2" t="s">
        <v>56</v>
      </c>
      <c r="D1316" s="2">
        <v>0</v>
      </c>
      <c r="E1316" s="2" t="s">
        <v>57</v>
      </c>
      <c r="F1316" s="2">
        <v>0</v>
      </c>
      <c r="G1316" s="22">
        <f>Table4[[#This Row],[Item Cost]]*Table4[[#This Row],[In Stock]]</f>
        <v>0</v>
      </c>
      <c r="H1316" s="12" t="s">
        <v>4661</v>
      </c>
      <c r="I1316" s="13" t="s">
        <v>4668</v>
      </c>
      <c r="J1316" s="13" t="s">
        <v>4672</v>
      </c>
      <c r="K1316" s="13" t="s">
        <v>4672</v>
      </c>
      <c r="L1316" s="12" t="s">
        <v>4672</v>
      </c>
      <c r="M1316" s="17" t="str">
        <f>IF(LEN(COUNTIFS($H$1:H1316,$H1316,$I$1:I1316,$I1316,$J$1:J1316,$J1316,$K$1:K1316,K1316,$L$1:L1316,L1316))=1,"00"&amp;COUNTIFS($H$1:H1316,$H1316,$I$1:I1316,$I1316,$J$1:J1316,$J1316,$K$1:K1316,K1316,$L$1:L1316,L1316),IF(LEN(COUNTIFS($H$1:H1316,$H1316,$I$1:I1316,$I1316,$J$1:J1316,$J1316,$K$1:K1316,K1316,$L$1:L1316,L1316))=2,"0"&amp;COUNTIFS($H$1:H1316,$H1316,$I$1:I1316,$I1316,$J$1:J1316,$J1316,$K$1:K1316,K1316,$L$1:L1316,L1316),COUNTIFS($H$1:H1316,$H1316,$I$1:I1316,$I1316,$J$1:J1316,$J1316,$K$1:K1316,K1316,$L$1:L1316,L1316)))</f>
        <v>096</v>
      </c>
      <c r="N131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16" s="14" t="e">
        <f>+LEN(Table4[[#This Row],[New Item Code]])</f>
        <v>#N/A</v>
      </c>
      <c r="P1316" s="15" t="s">
        <v>4747</v>
      </c>
      <c r="Q1316" s="15" t="s">
        <v>4749</v>
      </c>
      <c r="R1316" s="15"/>
      <c r="S1316" s="15"/>
      <c r="T1316" s="15" t="s">
        <v>4672</v>
      </c>
    </row>
    <row r="1317" spans="1:20" x14ac:dyDescent="0.35">
      <c r="A1317" s="3" t="s">
        <v>2619</v>
      </c>
      <c r="B1317" s="3" t="s">
        <v>2620</v>
      </c>
      <c r="C1317" s="3" t="s">
        <v>56</v>
      </c>
      <c r="D1317" s="3">
        <v>0</v>
      </c>
      <c r="E1317" s="3" t="s">
        <v>57</v>
      </c>
      <c r="F1317" s="3">
        <v>0</v>
      </c>
      <c r="G1317" s="21">
        <f>Table4[[#This Row],[Item Cost]]*Table4[[#This Row],[In Stock]]</f>
        <v>0</v>
      </c>
      <c r="H1317" s="12" t="s">
        <v>4661</v>
      </c>
      <c r="I1317" s="13" t="s">
        <v>4668</v>
      </c>
      <c r="J1317" s="13" t="s">
        <v>4672</v>
      </c>
      <c r="K1317" s="13" t="s">
        <v>4672</v>
      </c>
      <c r="L1317" s="12" t="s">
        <v>4672</v>
      </c>
      <c r="M1317" s="17" t="str">
        <f>IF(LEN(COUNTIFS($H$1:H1317,$H1317,$I$1:I1317,$I1317,$J$1:J1317,$J1317,$K$1:K1317,K1317,$L$1:L1317,L1317))=1,"00"&amp;COUNTIFS($H$1:H1317,$H1317,$I$1:I1317,$I1317,$J$1:J1317,$J1317,$K$1:K1317,K1317,$L$1:L1317,L1317),IF(LEN(COUNTIFS($H$1:H1317,$H1317,$I$1:I1317,$I1317,$J$1:J1317,$J1317,$K$1:K1317,K1317,$L$1:L1317,L1317))=2,"0"&amp;COUNTIFS($H$1:H1317,$H1317,$I$1:I1317,$I1317,$J$1:J1317,$J1317,$K$1:K1317,K1317,$L$1:L1317,L1317),COUNTIFS($H$1:H1317,$H1317,$I$1:I1317,$I1317,$J$1:J1317,$J1317,$K$1:K1317,K1317,$L$1:L1317,L1317)))</f>
        <v>097</v>
      </c>
      <c r="N131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17" s="14" t="e">
        <f>+LEN(Table4[[#This Row],[New Item Code]])</f>
        <v>#N/A</v>
      </c>
      <c r="P1317" s="15" t="s">
        <v>4747</v>
      </c>
      <c r="Q1317" s="15" t="s">
        <v>4749</v>
      </c>
      <c r="R1317" s="15"/>
      <c r="S1317" s="15"/>
      <c r="T1317" s="15" t="s">
        <v>4672</v>
      </c>
    </row>
    <row r="1318" spans="1:20" x14ac:dyDescent="0.35">
      <c r="A1318" s="2" t="s">
        <v>2621</v>
      </c>
      <c r="B1318" s="2" t="s">
        <v>2622</v>
      </c>
      <c r="C1318" s="2" t="s">
        <v>56</v>
      </c>
      <c r="D1318" s="2">
        <v>0</v>
      </c>
      <c r="E1318" s="2" t="s">
        <v>57</v>
      </c>
      <c r="F1318" s="2">
        <v>0</v>
      </c>
      <c r="G1318" s="22">
        <f>Table4[[#This Row],[Item Cost]]*Table4[[#This Row],[In Stock]]</f>
        <v>0</v>
      </c>
      <c r="H1318" s="12" t="s">
        <v>4661</v>
      </c>
      <c r="I1318" s="13" t="s">
        <v>4668</v>
      </c>
      <c r="J1318" s="13" t="s">
        <v>4672</v>
      </c>
      <c r="K1318" s="13" t="s">
        <v>4672</v>
      </c>
      <c r="L1318" s="12" t="s">
        <v>4672</v>
      </c>
      <c r="M1318" s="17" t="str">
        <f>IF(LEN(COUNTIFS($H$1:H1318,$H1318,$I$1:I1318,$I1318,$J$1:J1318,$J1318,$K$1:K1318,K1318,$L$1:L1318,L1318))=1,"00"&amp;COUNTIFS($H$1:H1318,$H1318,$I$1:I1318,$I1318,$J$1:J1318,$J1318,$K$1:K1318,K1318,$L$1:L1318,L1318),IF(LEN(COUNTIFS($H$1:H1318,$H1318,$I$1:I1318,$I1318,$J$1:J1318,$J1318,$K$1:K1318,K1318,$L$1:L1318,L1318))=2,"0"&amp;COUNTIFS($H$1:H1318,$H1318,$I$1:I1318,$I1318,$J$1:J1318,$J1318,$K$1:K1318,K1318,$L$1:L1318,L1318),COUNTIFS($H$1:H1318,$H1318,$I$1:I1318,$I1318,$J$1:J1318,$J1318,$K$1:K1318,K1318,$L$1:L1318,L1318)))</f>
        <v>098</v>
      </c>
      <c r="N131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18" s="14" t="e">
        <f>+LEN(Table4[[#This Row],[New Item Code]])</f>
        <v>#N/A</v>
      </c>
      <c r="P1318" s="15" t="s">
        <v>4747</v>
      </c>
      <c r="Q1318" s="15" t="s">
        <v>4749</v>
      </c>
      <c r="R1318" s="15"/>
      <c r="S1318" s="15"/>
      <c r="T1318" s="15" t="s">
        <v>4672</v>
      </c>
    </row>
    <row r="1319" spans="1:20" x14ac:dyDescent="0.35">
      <c r="A1319" s="3" t="s">
        <v>2623</v>
      </c>
      <c r="B1319" s="3" t="s">
        <v>2624</v>
      </c>
      <c r="C1319" s="3" t="s">
        <v>56</v>
      </c>
      <c r="D1319" s="3">
        <v>0</v>
      </c>
      <c r="E1319" s="3" t="s">
        <v>57</v>
      </c>
      <c r="F1319" s="3">
        <v>0</v>
      </c>
      <c r="G1319" s="21">
        <f>Table4[[#This Row],[Item Cost]]*Table4[[#This Row],[In Stock]]</f>
        <v>0</v>
      </c>
      <c r="H1319" s="12" t="s">
        <v>4661</v>
      </c>
      <c r="I1319" s="13" t="s">
        <v>4668</v>
      </c>
      <c r="J1319" s="13" t="s">
        <v>4672</v>
      </c>
      <c r="K1319" s="13" t="s">
        <v>4672</v>
      </c>
      <c r="L1319" s="12" t="s">
        <v>4672</v>
      </c>
      <c r="M1319" s="17" t="str">
        <f>IF(LEN(COUNTIFS($H$1:H1319,$H1319,$I$1:I1319,$I1319,$J$1:J1319,$J1319,$K$1:K1319,K1319,$L$1:L1319,L1319))=1,"00"&amp;COUNTIFS($H$1:H1319,$H1319,$I$1:I1319,$I1319,$J$1:J1319,$J1319,$K$1:K1319,K1319,$L$1:L1319,L1319),IF(LEN(COUNTIFS($H$1:H1319,$H1319,$I$1:I1319,$I1319,$J$1:J1319,$J1319,$K$1:K1319,K1319,$L$1:L1319,L1319))=2,"0"&amp;COUNTIFS($H$1:H1319,$H1319,$I$1:I1319,$I1319,$J$1:J1319,$J1319,$K$1:K1319,K1319,$L$1:L1319,L1319),COUNTIFS($H$1:H1319,$H1319,$I$1:I1319,$I1319,$J$1:J1319,$J1319,$K$1:K1319,K1319,$L$1:L1319,L1319)))</f>
        <v>099</v>
      </c>
      <c r="N131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19" s="14" t="e">
        <f>+LEN(Table4[[#This Row],[New Item Code]])</f>
        <v>#N/A</v>
      </c>
      <c r="P1319" s="15" t="s">
        <v>4747</v>
      </c>
      <c r="Q1319" s="15" t="s">
        <v>4749</v>
      </c>
      <c r="R1319" s="15"/>
      <c r="S1319" s="15"/>
      <c r="T1319" s="15" t="s">
        <v>4672</v>
      </c>
    </row>
    <row r="1320" spans="1:20" x14ac:dyDescent="0.35">
      <c r="A1320" s="2" t="s">
        <v>2625</v>
      </c>
      <c r="B1320" s="2" t="s">
        <v>2626</v>
      </c>
      <c r="C1320" s="2" t="s">
        <v>56</v>
      </c>
      <c r="D1320" s="2">
        <v>0</v>
      </c>
      <c r="E1320" s="2" t="s">
        <v>57</v>
      </c>
      <c r="F1320" s="2">
        <v>0</v>
      </c>
      <c r="G1320" s="22">
        <f>Table4[[#This Row],[Item Cost]]*Table4[[#This Row],[In Stock]]</f>
        <v>0</v>
      </c>
      <c r="H1320" s="12" t="s">
        <v>4661</v>
      </c>
      <c r="I1320" s="13" t="s">
        <v>4668</v>
      </c>
      <c r="J1320" s="13" t="s">
        <v>4672</v>
      </c>
      <c r="K1320" s="13" t="s">
        <v>4672</v>
      </c>
      <c r="L1320" s="12" t="s">
        <v>4672</v>
      </c>
      <c r="M1320" s="17">
        <f>IF(LEN(COUNTIFS($H$1:H1320,$H1320,$I$1:I1320,$I1320,$J$1:J1320,$J1320,$K$1:K1320,K1320,$L$1:L1320,L1320))=1,"00"&amp;COUNTIFS($H$1:H1320,$H1320,$I$1:I1320,$I1320,$J$1:J1320,$J1320,$K$1:K1320,K1320,$L$1:L1320,L1320),IF(LEN(COUNTIFS($H$1:H1320,$H1320,$I$1:I1320,$I1320,$J$1:J1320,$J1320,$K$1:K1320,K1320,$L$1:L1320,L1320))=2,"0"&amp;COUNTIFS($H$1:H1320,$H1320,$I$1:I1320,$I1320,$J$1:J1320,$J1320,$K$1:K1320,K1320,$L$1:L1320,L1320),COUNTIFS($H$1:H1320,$H1320,$I$1:I1320,$I1320,$J$1:J1320,$J1320,$K$1:K1320,K1320,$L$1:L1320,L1320)))</f>
        <v>100</v>
      </c>
      <c r="N132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20" s="14" t="e">
        <f>+LEN(Table4[[#This Row],[New Item Code]])</f>
        <v>#N/A</v>
      </c>
      <c r="P1320" s="15" t="s">
        <v>4747</v>
      </c>
      <c r="Q1320" s="15" t="s">
        <v>4749</v>
      </c>
      <c r="R1320" s="15"/>
      <c r="S1320" s="15"/>
      <c r="T1320" s="15" t="s">
        <v>4672</v>
      </c>
    </row>
    <row r="1321" spans="1:20" x14ac:dyDescent="0.35">
      <c r="A1321" s="3" t="s">
        <v>2627</v>
      </c>
      <c r="B1321" s="3" t="s">
        <v>2628</v>
      </c>
      <c r="C1321" s="3" t="s">
        <v>56</v>
      </c>
      <c r="D1321" s="3">
        <v>0</v>
      </c>
      <c r="E1321" s="3" t="s">
        <v>57</v>
      </c>
      <c r="F1321" s="3">
        <v>0</v>
      </c>
      <c r="G1321" s="21">
        <f>Table4[[#This Row],[Item Cost]]*Table4[[#This Row],[In Stock]]</f>
        <v>0</v>
      </c>
      <c r="H1321" s="12" t="s">
        <v>4661</v>
      </c>
      <c r="I1321" s="13" t="s">
        <v>4668</v>
      </c>
      <c r="J1321" s="13" t="s">
        <v>4672</v>
      </c>
      <c r="K1321" s="13" t="s">
        <v>4672</v>
      </c>
      <c r="L1321" s="12" t="s">
        <v>4672</v>
      </c>
      <c r="M1321" s="17">
        <f>IF(LEN(COUNTIFS($H$1:H1321,$H1321,$I$1:I1321,$I1321,$J$1:J1321,$J1321,$K$1:K1321,K1321,$L$1:L1321,L1321))=1,"00"&amp;COUNTIFS($H$1:H1321,$H1321,$I$1:I1321,$I1321,$J$1:J1321,$J1321,$K$1:K1321,K1321,$L$1:L1321,L1321),IF(LEN(COUNTIFS($H$1:H1321,$H1321,$I$1:I1321,$I1321,$J$1:J1321,$J1321,$K$1:K1321,K1321,$L$1:L1321,L1321))=2,"0"&amp;COUNTIFS($H$1:H1321,$H1321,$I$1:I1321,$I1321,$J$1:J1321,$J1321,$K$1:K1321,K1321,$L$1:L1321,L1321),COUNTIFS($H$1:H1321,$H1321,$I$1:I1321,$I1321,$J$1:J1321,$J1321,$K$1:K1321,K1321,$L$1:L1321,L1321)))</f>
        <v>101</v>
      </c>
      <c r="N132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21" s="14" t="e">
        <f>+LEN(Table4[[#This Row],[New Item Code]])</f>
        <v>#N/A</v>
      </c>
      <c r="P1321" s="15" t="s">
        <v>4747</v>
      </c>
      <c r="Q1321" s="15" t="s">
        <v>4749</v>
      </c>
      <c r="R1321" s="15"/>
      <c r="S1321" s="15"/>
      <c r="T1321" s="15" t="s">
        <v>4672</v>
      </c>
    </row>
    <row r="1322" spans="1:20" x14ac:dyDescent="0.35">
      <c r="A1322" s="2" t="s">
        <v>2629</v>
      </c>
      <c r="B1322" s="2" t="s">
        <v>2630</v>
      </c>
      <c r="C1322" s="2" t="s">
        <v>56</v>
      </c>
      <c r="D1322" s="2">
        <v>0</v>
      </c>
      <c r="E1322" s="2" t="s">
        <v>57</v>
      </c>
      <c r="F1322" s="2">
        <v>0</v>
      </c>
      <c r="G1322" s="22">
        <f>Table4[[#This Row],[Item Cost]]*Table4[[#This Row],[In Stock]]</f>
        <v>0</v>
      </c>
      <c r="H1322" s="12" t="s">
        <v>4661</v>
      </c>
      <c r="I1322" s="13" t="s">
        <v>4668</v>
      </c>
      <c r="J1322" s="13" t="s">
        <v>4672</v>
      </c>
      <c r="K1322" s="13" t="s">
        <v>4672</v>
      </c>
      <c r="L1322" s="12" t="s">
        <v>4672</v>
      </c>
      <c r="M1322" s="17">
        <f>IF(LEN(COUNTIFS($H$1:H1322,$H1322,$I$1:I1322,$I1322,$J$1:J1322,$J1322,$K$1:K1322,K1322,$L$1:L1322,L1322))=1,"00"&amp;COUNTIFS($H$1:H1322,$H1322,$I$1:I1322,$I1322,$J$1:J1322,$J1322,$K$1:K1322,K1322,$L$1:L1322,L1322),IF(LEN(COUNTIFS($H$1:H1322,$H1322,$I$1:I1322,$I1322,$J$1:J1322,$J1322,$K$1:K1322,K1322,$L$1:L1322,L1322))=2,"0"&amp;COUNTIFS($H$1:H1322,$H1322,$I$1:I1322,$I1322,$J$1:J1322,$J1322,$K$1:K1322,K1322,$L$1:L1322,L1322),COUNTIFS($H$1:H1322,$H1322,$I$1:I1322,$I1322,$J$1:J1322,$J1322,$K$1:K1322,K1322,$L$1:L1322,L1322)))</f>
        <v>102</v>
      </c>
      <c r="N132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22" s="14" t="e">
        <f>+LEN(Table4[[#This Row],[New Item Code]])</f>
        <v>#N/A</v>
      </c>
      <c r="P1322" s="15" t="s">
        <v>4747</v>
      </c>
      <c r="Q1322" s="15" t="s">
        <v>4749</v>
      </c>
      <c r="R1322" s="15"/>
      <c r="S1322" s="15"/>
      <c r="T1322" s="15" t="s">
        <v>4672</v>
      </c>
    </row>
    <row r="1323" spans="1:20" x14ac:dyDescent="0.35">
      <c r="A1323" s="3" t="s">
        <v>2631</v>
      </c>
      <c r="B1323" s="3" t="s">
        <v>2632</v>
      </c>
      <c r="C1323" s="3" t="s">
        <v>56</v>
      </c>
      <c r="D1323" s="3">
        <v>0</v>
      </c>
      <c r="E1323" s="3" t="s">
        <v>57</v>
      </c>
      <c r="F1323" s="3">
        <v>0</v>
      </c>
      <c r="G1323" s="21">
        <f>Table4[[#This Row],[Item Cost]]*Table4[[#This Row],[In Stock]]</f>
        <v>0</v>
      </c>
      <c r="H1323" s="12" t="s">
        <v>4661</v>
      </c>
      <c r="I1323" s="13" t="s">
        <v>4668</v>
      </c>
      <c r="J1323" s="13" t="s">
        <v>4672</v>
      </c>
      <c r="K1323" t="s">
        <v>4801</v>
      </c>
      <c r="L1323" s="12" t="s">
        <v>4672</v>
      </c>
      <c r="M1323" s="17" t="str">
        <f>IF(LEN(COUNTIFS($H$1:H1323,$H1323,$I$1:I1323,$I1323,$J$1:J1323,$J1323,$K$1:K1323,K1323,$L$1:L1323,L1323))=1,"00"&amp;COUNTIFS($H$1:H1323,$H1323,$I$1:I1323,$I1323,$J$1:J1323,$J1323,$K$1:K1323,K1323,$L$1:L1323,L1323),IF(LEN(COUNTIFS($H$1:H1323,$H1323,$I$1:I1323,$I1323,$J$1:J1323,$J1323,$K$1:K1323,K1323,$L$1:L1323,L1323))=2,"0"&amp;COUNTIFS($H$1:H1323,$H1323,$I$1:I1323,$I1323,$J$1:J1323,$J1323,$K$1:K1323,K1323,$L$1:L1323,L1323),COUNTIFS($H$1:H1323,$H1323,$I$1:I1323,$I1323,$J$1:J1323,$J1323,$K$1:K1323,K1323,$L$1:L1323,L1323)))</f>
        <v>038</v>
      </c>
      <c r="N132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23" s="14" t="e">
        <f>+LEN(Table4[[#This Row],[New Item Code]])</f>
        <v>#N/A</v>
      </c>
      <c r="P1323" s="15" t="s">
        <v>4747</v>
      </c>
      <c r="Q1323" s="15" t="s">
        <v>4749</v>
      </c>
      <c r="R1323" s="15"/>
      <c r="S1323" s="15"/>
      <c r="T1323" s="15" t="s">
        <v>4672</v>
      </c>
    </row>
    <row r="1324" spans="1:20" x14ac:dyDescent="0.35">
      <c r="A1324" s="2" t="s">
        <v>2633</v>
      </c>
      <c r="B1324" s="2" t="s">
        <v>2634</v>
      </c>
      <c r="C1324" s="2" t="s">
        <v>56</v>
      </c>
      <c r="D1324" s="2">
        <v>0</v>
      </c>
      <c r="E1324" s="2" t="s">
        <v>57</v>
      </c>
      <c r="F1324" s="2">
        <v>0</v>
      </c>
      <c r="G1324" s="22">
        <f>Table4[[#This Row],[Item Cost]]*Table4[[#This Row],[In Stock]]</f>
        <v>0</v>
      </c>
      <c r="H1324" s="12" t="s">
        <v>4661</v>
      </c>
      <c r="I1324" s="13" t="s">
        <v>4668</v>
      </c>
      <c r="J1324" s="13" t="s">
        <v>4672</v>
      </c>
      <c r="K1324" s="13" t="s">
        <v>4672</v>
      </c>
      <c r="L1324" s="12" t="s">
        <v>4672</v>
      </c>
      <c r="M1324" s="17">
        <f>IF(LEN(COUNTIFS($H$1:H1324,$H1324,$I$1:I1324,$I1324,$J$1:J1324,$J1324,$K$1:K1324,K1324,$L$1:L1324,L1324))=1,"00"&amp;COUNTIFS($H$1:H1324,$H1324,$I$1:I1324,$I1324,$J$1:J1324,$J1324,$K$1:K1324,K1324,$L$1:L1324,L1324),IF(LEN(COUNTIFS($H$1:H1324,$H1324,$I$1:I1324,$I1324,$J$1:J1324,$J1324,$K$1:K1324,K1324,$L$1:L1324,L1324))=2,"0"&amp;COUNTIFS($H$1:H1324,$H1324,$I$1:I1324,$I1324,$J$1:J1324,$J1324,$K$1:K1324,K1324,$L$1:L1324,L1324),COUNTIFS($H$1:H1324,$H1324,$I$1:I1324,$I1324,$J$1:J1324,$J1324,$K$1:K1324,K1324,$L$1:L1324,L1324)))</f>
        <v>103</v>
      </c>
      <c r="N132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24" s="14" t="e">
        <f>+LEN(Table4[[#This Row],[New Item Code]])</f>
        <v>#N/A</v>
      </c>
      <c r="P1324" s="15" t="s">
        <v>4747</v>
      </c>
      <c r="Q1324" s="15" t="s">
        <v>4749</v>
      </c>
      <c r="R1324" s="15"/>
      <c r="S1324" s="15"/>
      <c r="T1324" s="15" t="s">
        <v>4672</v>
      </c>
    </row>
    <row r="1325" spans="1:20" x14ac:dyDescent="0.35">
      <c r="A1325" s="3" t="s">
        <v>2635</v>
      </c>
      <c r="B1325" s="3" t="s">
        <v>2636</v>
      </c>
      <c r="C1325" s="3" t="s">
        <v>56</v>
      </c>
      <c r="D1325" s="3">
        <v>0</v>
      </c>
      <c r="E1325" s="3" t="s">
        <v>57</v>
      </c>
      <c r="F1325" s="3">
        <v>0</v>
      </c>
      <c r="G1325" s="21">
        <f>Table4[[#This Row],[Item Cost]]*Table4[[#This Row],[In Stock]]</f>
        <v>0</v>
      </c>
      <c r="H1325" s="12" t="s">
        <v>4661</v>
      </c>
      <c r="I1325" s="13" t="s">
        <v>4668</v>
      </c>
      <c r="J1325" s="13" t="s">
        <v>4672</v>
      </c>
      <c r="K1325" s="13" t="s">
        <v>4672</v>
      </c>
      <c r="L1325" s="12" t="s">
        <v>4672</v>
      </c>
      <c r="M1325" s="17">
        <f>IF(LEN(COUNTIFS($H$1:H1325,$H1325,$I$1:I1325,$I1325,$J$1:J1325,$J1325,$K$1:K1325,K1325,$L$1:L1325,L1325))=1,"00"&amp;COUNTIFS($H$1:H1325,$H1325,$I$1:I1325,$I1325,$J$1:J1325,$J1325,$K$1:K1325,K1325,$L$1:L1325,L1325),IF(LEN(COUNTIFS($H$1:H1325,$H1325,$I$1:I1325,$I1325,$J$1:J1325,$J1325,$K$1:K1325,K1325,$L$1:L1325,L1325))=2,"0"&amp;COUNTIFS($H$1:H1325,$H1325,$I$1:I1325,$I1325,$J$1:J1325,$J1325,$K$1:K1325,K1325,$L$1:L1325,L1325),COUNTIFS($H$1:H1325,$H1325,$I$1:I1325,$I1325,$J$1:J1325,$J1325,$K$1:K1325,K1325,$L$1:L1325,L1325)))</f>
        <v>104</v>
      </c>
      <c r="N132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25" s="14" t="e">
        <f>+LEN(Table4[[#This Row],[New Item Code]])</f>
        <v>#N/A</v>
      </c>
      <c r="P1325" s="15" t="s">
        <v>4747</v>
      </c>
      <c r="Q1325" s="15" t="s">
        <v>4749</v>
      </c>
      <c r="R1325" s="15"/>
      <c r="S1325" s="15"/>
      <c r="T1325" s="15" t="s">
        <v>4672</v>
      </c>
    </row>
    <row r="1326" spans="1:20" x14ac:dyDescent="0.35">
      <c r="A1326" s="2" t="s">
        <v>2637</v>
      </c>
      <c r="B1326" s="2" t="s">
        <v>2638</v>
      </c>
      <c r="C1326" s="2" t="s">
        <v>56</v>
      </c>
      <c r="D1326" s="2">
        <v>0</v>
      </c>
      <c r="E1326" s="2" t="s">
        <v>57</v>
      </c>
      <c r="F1326" s="2">
        <v>0</v>
      </c>
      <c r="G1326" s="22">
        <f>Table4[[#This Row],[Item Cost]]*Table4[[#This Row],[In Stock]]</f>
        <v>0</v>
      </c>
      <c r="H1326" s="12" t="s">
        <v>4661</v>
      </c>
      <c r="I1326" s="13" t="s">
        <v>4668</v>
      </c>
      <c r="J1326" s="13" t="s">
        <v>4672</v>
      </c>
      <c r="K1326" s="13" t="s">
        <v>4672</v>
      </c>
      <c r="L1326" s="12" t="s">
        <v>4672</v>
      </c>
      <c r="M1326" s="17">
        <f>IF(LEN(COUNTIFS($H$1:H1326,$H1326,$I$1:I1326,$I1326,$J$1:J1326,$J1326,$K$1:K1326,K1326,$L$1:L1326,L1326))=1,"00"&amp;COUNTIFS($H$1:H1326,$H1326,$I$1:I1326,$I1326,$J$1:J1326,$J1326,$K$1:K1326,K1326,$L$1:L1326,L1326),IF(LEN(COUNTIFS($H$1:H1326,$H1326,$I$1:I1326,$I1326,$J$1:J1326,$J1326,$K$1:K1326,K1326,$L$1:L1326,L1326))=2,"0"&amp;COUNTIFS($H$1:H1326,$H1326,$I$1:I1326,$I1326,$J$1:J1326,$J1326,$K$1:K1326,K1326,$L$1:L1326,L1326),COUNTIFS($H$1:H1326,$H1326,$I$1:I1326,$I1326,$J$1:J1326,$J1326,$K$1:K1326,K1326,$L$1:L1326,L1326)))</f>
        <v>105</v>
      </c>
      <c r="N132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26" s="14" t="e">
        <f>+LEN(Table4[[#This Row],[New Item Code]])</f>
        <v>#N/A</v>
      </c>
      <c r="P1326" s="15" t="s">
        <v>4747</v>
      </c>
      <c r="Q1326" s="15" t="s">
        <v>4749</v>
      </c>
      <c r="R1326" s="15"/>
      <c r="S1326" s="15"/>
      <c r="T1326" s="15" t="s">
        <v>4672</v>
      </c>
    </row>
    <row r="1327" spans="1:20" x14ac:dyDescent="0.35">
      <c r="A1327" s="3" t="s">
        <v>2639</v>
      </c>
      <c r="B1327" s="3" t="s">
        <v>2640</v>
      </c>
      <c r="C1327" s="3" t="s">
        <v>56</v>
      </c>
      <c r="D1327" s="3">
        <v>0</v>
      </c>
      <c r="E1327" s="3" t="s">
        <v>57</v>
      </c>
      <c r="F1327" s="3">
        <v>0</v>
      </c>
      <c r="G1327" s="21">
        <f>Table4[[#This Row],[Item Cost]]*Table4[[#This Row],[In Stock]]</f>
        <v>0</v>
      </c>
      <c r="H1327" s="12" t="s">
        <v>4661</v>
      </c>
      <c r="I1327" s="13" t="s">
        <v>4668</v>
      </c>
      <c r="J1327" s="13" t="s">
        <v>4672</v>
      </c>
      <c r="K1327" s="13" t="s">
        <v>4672</v>
      </c>
      <c r="L1327" s="12" t="s">
        <v>4672</v>
      </c>
      <c r="M1327" s="17">
        <f>IF(LEN(COUNTIFS($H$1:H1327,$H1327,$I$1:I1327,$I1327,$J$1:J1327,$J1327,$K$1:K1327,K1327,$L$1:L1327,L1327))=1,"00"&amp;COUNTIFS($H$1:H1327,$H1327,$I$1:I1327,$I1327,$J$1:J1327,$J1327,$K$1:K1327,K1327,$L$1:L1327,L1327),IF(LEN(COUNTIFS($H$1:H1327,$H1327,$I$1:I1327,$I1327,$J$1:J1327,$J1327,$K$1:K1327,K1327,$L$1:L1327,L1327))=2,"0"&amp;COUNTIFS($H$1:H1327,$H1327,$I$1:I1327,$I1327,$J$1:J1327,$J1327,$K$1:K1327,K1327,$L$1:L1327,L1327),COUNTIFS($H$1:H1327,$H1327,$I$1:I1327,$I1327,$J$1:J1327,$J1327,$K$1:K1327,K1327,$L$1:L1327,L1327)))</f>
        <v>106</v>
      </c>
      <c r="N132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27" s="14" t="e">
        <f>+LEN(Table4[[#This Row],[New Item Code]])</f>
        <v>#N/A</v>
      </c>
      <c r="P1327" s="15" t="s">
        <v>4747</v>
      </c>
      <c r="Q1327" s="15" t="s">
        <v>4749</v>
      </c>
      <c r="R1327" s="15"/>
      <c r="S1327" s="15"/>
      <c r="T1327" s="15" t="s">
        <v>4672</v>
      </c>
    </row>
    <row r="1328" spans="1:20" x14ac:dyDescent="0.35">
      <c r="A1328" s="2" t="s">
        <v>2641</v>
      </c>
      <c r="B1328" s="2" t="s">
        <v>2642</v>
      </c>
      <c r="C1328" s="2" t="s">
        <v>56</v>
      </c>
      <c r="D1328" s="2">
        <v>0</v>
      </c>
      <c r="E1328" s="2" t="s">
        <v>57</v>
      </c>
      <c r="F1328" s="2">
        <v>0</v>
      </c>
      <c r="G1328" s="22">
        <f>Table4[[#This Row],[Item Cost]]*Table4[[#This Row],[In Stock]]</f>
        <v>0</v>
      </c>
      <c r="H1328" s="12" t="s">
        <v>4661</v>
      </c>
      <c r="I1328" s="13" t="s">
        <v>4668</v>
      </c>
      <c r="J1328" s="13" t="s">
        <v>4672</v>
      </c>
      <c r="K1328" s="13" t="s">
        <v>4672</v>
      </c>
      <c r="L1328" s="12" t="s">
        <v>4672</v>
      </c>
      <c r="M1328" s="17">
        <f>IF(LEN(COUNTIFS($H$1:H1328,$H1328,$I$1:I1328,$I1328,$J$1:J1328,$J1328,$K$1:K1328,K1328,$L$1:L1328,L1328))=1,"00"&amp;COUNTIFS($H$1:H1328,$H1328,$I$1:I1328,$I1328,$J$1:J1328,$J1328,$K$1:K1328,K1328,$L$1:L1328,L1328),IF(LEN(COUNTIFS($H$1:H1328,$H1328,$I$1:I1328,$I1328,$J$1:J1328,$J1328,$K$1:K1328,K1328,$L$1:L1328,L1328))=2,"0"&amp;COUNTIFS($H$1:H1328,$H1328,$I$1:I1328,$I1328,$J$1:J1328,$J1328,$K$1:K1328,K1328,$L$1:L1328,L1328),COUNTIFS($H$1:H1328,$H1328,$I$1:I1328,$I1328,$J$1:J1328,$J1328,$K$1:K1328,K1328,$L$1:L1328,L1328)))</f>
        <v>107</v>
      </c>
      <c r="N132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28" s="14" t="e">
        <f>+LEN(Table4[[#This Row],[New Item Code]])</f>
        <v>#N/A</v>
      </c>
      <c r="P1328" s="15" t="s">
        <v>4747</v>
      </c>
      <c r="Q1328" s="15" t="s">
        <v>4749</v>
      </c>
      <c r="R1328" s="15"/>
      <c r="S1328" s="15"/>
      <c r="T1328" s="15" t="s">
        <v>4672</v>
      </c>
    </row>
    <row r="1329" spans="1:20" x14ac:dyDescent="0.35">
      <c r="A1329" s="3" t="s">
        <v>2643</v>
      </c>
      <c r="B1329" s="3" t="s">
        <v>2644</v>
      </c>
      <c r="C1329" s="3" t="s">
        <v>56</v>
      </c>
      <c r="D1329" s="3">
        <v>0</v>
      </c>
      <c r="E1329" s="3" t="s">
        <v>57</v>
      </c>
      <c r="F1329" s="3">
        <v>0</v>
      </c>
      <c r="G1329" s="21">
        <f>Table4[[#This Row],[Item Cost]]*Table4[[#This Row],[In Stock]]</f>
        <v>0</v>
      </c>
      <c r="H1329" s="12" t="s">
        <v>4661</v>
      </c>
      <c r="I1329" s="13" t="s">
        <v>4668</v>
      </c>
      <c r="J1329" s="13" t="s">
        <v>4672</v>
      </c>
      <c r="K1329" s="13" t="s">
        <v>4672</v>
      </c>
      <c r="L1329" s="12" t="s">
        <v>4672</v>
      </c>
      <c r="M1329" s="17">
        <f>IF(LEN(COUNTIFS($H$1:H1329,$H1329,$I$1:I1329,$I1329,$J$1:J1329,$J1329,$K$1:K1329,K1329,$L$1:L1329,L1329))=1,"00"&amp;COUNTIFS($H$1:H1329,$H1329,$I$1:I1329,$I1329,$J$1:J1329,$J1329,$K$1:K1329,K1329,$L$1:L1329,L1329),IF(LEN(COUNTIFS($H$1:H1329,$H1329,$I$1:I1329,$I1329,$J$1:J1329,$J1329,$K$1:K1329,K1329,$L$1:L1329,L1329))=2,"0"&amp;COUNTIFS($H$1:H1329,$H1329,$I$1:I1329,$I1329,$J$1:J1329,$J1329,$K$1:K1329,K1329,$L$1:L1329,L1329),COUNTIFS($H$1:H1329,$H1329,$I$1:I1329,$I1329,$J$1:J1329,$J1329,$K$1:K1329,K1329,$L$1:L1329,L1329)))</f>
        <v>108</v>
      </c>
      <c r="N132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29" s="14" t="e">
        <f>+LEN(Table4[[#This Row],[New Item Code]])</f>
        <v>#N/A</v>
      </c>
      <c r="P1329" s="15" t="s">
        <v>4747</v>
      </c>
      <c r="Q1329" s="15" t="s">
        <v>4749</v>
      </c>
      <c r="R1329" s="15"/>
      <c r="S1329" s="15"/>
      <c r="T1329" s="15" t="s">
        <v>4672</v>
      </c>
    </row>
    <row r="1330" spans="1:20" x14ac:dyDescent="0.35">
      <c r="A1330" s="2" t="s">
        <v>2645</v>
      </c>
      <c r="B1330" s="2" t="s">
        <v>2646</v>
      </c>
      <c r="C1330" s="2" t="s">
        <v>56</v>
      </c>
      <c r="D1330" s="2">
        <v>0</v>
      </c>
      <c r="E1330" s="2" t="s">
        <v>57</v>
      </c>
      <c r="F1330" s="2">
        <v>0</v>
      </c>
      <c r="G1330" s="22">
        <f>Table4[[#This Row],[Item Cost]]*Table4[[#This Row],[In Stock]]</f>
        <v>0</v>
      </c>
      <c r="H1330" s="12" t="s">
        <v>4661</v>
      </c>
      <c r="I1330" s="13" t="s">
        <v>4668</v>
      </c>
      <c r="J1330" s="13" t="s">
        <v>4672</v>
      </c>
      <c r="K1330" t="s">
        <v>4800</v>
      </c>
      <c r="L1330" s="12" t="s">
        <v>4672</v>
      </c>
      <c r="M1330" s="17" t="str">
        <f>IF(LEN(COUNTIFS($H$1:H1330,$H1330,$I$1:I1330,$I1330,$J$1:J1330,$J1330,$K$1:K1330,K1330,$L$1:L1330,L1330))=1,"00"&amp;COUNTIFS($H$1:H1330,$H1330,$I$1:I1330,$I1330,$J$1:J1330,$J1330,$K$1:K1330,K1330,$L$1:L1330,L1330),IF(LEN(COUNTIFS($H$1:H1330,$H1330,$I$1:I1330,$I1330,$J$1:J1330,$J1330,$K$1:K1330,K1330,$L$1:L1330,L1330))=2,"0"&amp;COUNTIFS($H$1:H1330,$H1330,$I$1:I1330,$I1330,$J$1:J1330,$J1330,$K$1:K1330,K1330,$L$1:L1330,L1330),COUNTIFS($H$1:H1330,$H1330,$I$1:I1330,$I1330,$J$1:J1330,$J1330,$K$1:K1330,K1330,$L$1:L1330,L1330)))</f>
        <v>020</v>
      </c>
      <c r="N133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30" s="14" t="e">
        <f>+LEN(Table4[[#This Row],[New Item Code]])</f>
        <v>#N/A</v>
      </c>
      <c r="P1330" s="15" t="s">
        <v>4747</v>
      </c>
      <c r="Q1330" s="15" t="s">
        <v>4749</v>
      </c>
      <c r="R1330" s="15"/>
      <c r="S1330" s="15"/>
      <c r="T1330" s="15" t="s">
        <v>4672</v>
      </c>
    </row>
    <row r="1331" spans="1:20" x14ac:dyDescent="0.35">
      <c r="A1331" s="3" t="s">
        <v>2647</v>
      </c>
      <c r="B1331" s="3" t="s">
        <v>2648</v>
      </c>
      <c r="C1331" s="3" t="s">
        <v>56</v>
      </c>
      <c r="D1331" s="3">
        <v>0</v>
      </c>
      <c r="E1331" s="3" t="s">
        <v>57</v>
      </c>
      <c r="F1331" s="3">
        <v>0</v>
      </c>
      <c r="G1331" s="21">
        <f>Table4[[#This Row],[Item Cost]]*Table4[[#This Row],[In Stock]]</f>
        <v>0</v>
      </c>
      <c r="H1331" s="12" t="s">
        <v>4661</v>
      </c>
      <c r="I1331" s="13" t="s">
        <v>4668</v>
      </c>
      <c r="J1331" s="13" t="s">
        <v>4672</v>
      </c>
      <c r="K1331" s="13" t="s">
        <v>4672</v>
      </c>
      <c r="L1331" s="12" t="s">
        <v>4672</v>
      </c>
      <c r="M1331" s="17">
        <f>IF(LEN(COUNTIFS($H$1:H1331,$H1331,$I$1:I1331,$I1331,$J$1:J1331,$J1331,$K$1:K1331,K1331,$L$1:L1331,L1331))=1,"00"&amp;COUNTIFS($H$1:H1331,$H1331,$I$1:I1331,$I1331,$J$1:J1331,$J1331,$K$1:K1331,K1331,$L$1:L1331,L1331),IF(LEN(COUNTIFS($H$1:H1331,$H1331,$I$1:I1331,$I1331,$J$1:J1331,$J1331,$K$1:K1331,K1331,$L$1:L1331,L1331))=2,"0"&amp;COUNTIFS($H$1:H1331,$H1331,$I$1:I1331,$I1331,$J$1:J1331,$J1331,$K$1:K1331,K1331,$L$1:L1331,L1331),COUNTIFS($H$1:H1331,$H1331,$I$1:I1331,$I1331,$J$1:J1331,$J1331,$K$1:K1331,K1331,$L$1:L1331,L1331)))</f>
        <v>109</v>
      </c>
      <c r="N133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31" s="14" t="e">
        <f>+LEN(Table4[[#This Row],[New Item Code]])</f>
        <v>#N/A</v>
      </c>
      <c r="P1331" s="15" t="s">
        <v>4747</v>
      </c>
      <c r="Q1331" s="15" t="s">
        <v>4749</v>
      </c>
      <c r="R1331" s="15"/>
      <c r="S1331" s="15"/>
      <c r="T1331" s="15" t="s">
        <v>4672</v>
      </c>
    </row>
    <row r="1332" spans="1:20" x14ac:dyDescent="0.35">
      <c r="A1332" s="2" t="s">
        <v>2649</v>
      </c>
      <c r="B1332" s="2" t="s">
        <v>2650</v>
      </c>
      <c r="C1332" s="2" t="s">
        <v>56</v>
      </c>
      <c r="D1332" s="2">
        <v>0</v>
      </c>
      <c r="E1332" s="2" t="s">
        <v>57</v>
      </c>
      <c r="F1332" s="2">
        <v>0</v>
      </c>
      <c r="G1332" s="22">
        <f>Table4[[#This Row],[Item Cost]]*Table4[[#This Row],[In Stock]]</f>
        <v>0</v>
      </c>
      <c r="H1332" s="12" t="s">
        <v>4661</v>
      </c>
      <c r="I1332" s="13" t="s">
        <v>4668</v>
      </c>
      <c r="J1332" s="13" t="s">
        <v>4672</v>
      </c>
      <c r="K1332" s="13" t="s">
        <v>4672</v>
      </c>
      <c r="L1332" s="12" t="s">
        <v>4672</v>
      </c>
      <c r="M1332" s="17">
        <f>IF(LEN(COUNTIFS($H$1:H1332,$H1332,$I$1:I1332,$I1332,$J$1:J1332,$J1332,$K$1:K1332,K1332,$L$1:L1332,L1332))=1,"00"&amp;COUNTIFS($H$1:H1332,$H1332,$I$1:I1332,$I1332,$J$1:J1332,$J1332,$K$1:K1332,K1332,$L$1:L1332,L1332),IF(LEN(COUNTIFS($H$1:H1332,$H1332,$I$1:I1332,$I1332,$J$1:J1332,$J1332,$K$1:K1332,K1332,$L$1:L1332,L1332))=2,"0"&amp;COUNTIFS($H$1:H1332,$H1332,$I$1:I1332,$I1332,$J$1:J1332,$J1332,$K$1:K1332,K1332,$L$1:L1332,L1332),COUNTIFS($H$1:H1332,$H1332,$I$1:I1332,$I1332,$J$1:J1332,$J1332,$K$1:K1332,K1332,$L$1:L1332,L1332)))</f>
        <v>110</v>
      </c>
      <c r="N133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32" s="14" t="e">
        <f>+LEN(Table4[[#This Row],[New Item Code]])</f>
        <v>#N/A</v>
      </c>
      <c r="P1332" s="15" t="s">
        <v>4747</v>
      </c>
      <c r="Q1332" s="15" t="s">
        <v>4749</v>
      </c>
      <c r="R1332" s="15"/>
      <c r="S1332" s="15"/>
      <c r="T1332" s="15" t="s">
        <v>4672</v>
      </c>
    </row>
    <row r="1333" spans="1:20" x14ac:dyDescent="0.35">
      <c r="A1333" s="3" t="s">
        <v>2651</v>
      </c>
      <c r="B1333" s="3" t="s">
        <v>2652</v>
      </c>
      <c r="C1333" s="3" t="s">
        <v>56</v>
      </c>
      <c r="D1333" s="3">
        <v>0</v>
      </c>
      <c r="E1333" s="3" t="s">
        <v>57</v>
      </c>
      <c r="F1333" s="3">
        <v>0</v>
      </c>
      <c r="G1333" s="21">
        <f>Table4[[#This Row],[Item Cost]]*Table4[[#This Row],[In Stock]]</f>
        <v>0</v>
      </c>
      <c r="H1333" s="12" t="s">
        <v>4661</v>
      </c>
      <c r="I1333" s="13" t="s">
        <v>4668</v>
      </c>
      <c r="J1333" s="13" t="s">
        <v>4672</v>
      </c>
      <c r="K1333" s="13" t="s">
        <v>4672</v>
      </c>
      <c r="L1333" s="12" t="s">
        <v>4672</v>
      </c>
      <c r="M1333" s="17">
        <f>IF(LEN(COUNTIFS($H$1:H1333,$H1333,$I$1:I1333,$I1333,$J$1:J1333,$J1333,$K$1:K1333,K1333,$L$1:L1333,L1333))=1,"00"&amp;COUNTIFS($H$1:H1333,$H1333,$I$1:I1333,$I1333,$J$1:J1333,$J1333,$K$1:K1333,K1333,$L$1:L1333,L1333),IF(LEN(COUNTIFS($H$1:H1333,$H1333,$I$1:I1333,$I1333,$J$1:J1333,$J1333,$K$1:K1333,K1333,$L$1:L1333,L1333))=2,"0"&amp;COUNTIFS($H$1:H1333,$H1333,$I$1:I1333,$I1333,$J$1:J1333,$J1333,$K$1:K1333,K1333,$L$1:L1333,L1333),COUNTIFS($H$1:H1333,$H1333,$I$1:I1333,$I1333,$J$1:J1333,$J1333,$K$1:K1333,K1333,$L$1:L1333,L1333)))</f>
        <v>111</v>
      </c>
      <c r="N133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33" s="14" t="e">
        <f>+LEN(Table4[[#This Row],[New Item Code]])</f>
        <v>#N/A</v>
      </c>
      <c r="P1333" s="15" t="s">
        <v>4747</v>
      </c>
      <c r="Q1333" s="15" t="s">
        <v>4749</v>
      </c>
      <c r="R1333" s="15"/>
      <c r="S1333" s="15"/>
      <c r="T1333" s="15" t="s">
        <v>4672</v>
      </c>
    </row>
    <row r="1334" spans="1:20" x14ac:dyDescent="0.35">
      <c r="A1334" s="2" t="s">
        <v>2653</v>
      </c>
      <c r="B1334" s="2" t="s">
        <v>2654</v>
      </c>
      <c r="C1334" s="2" t="s">
        <v>56</v>
      </c>
      <c r="D1334" s="2">
        <v>0</v>
      </c>
      <c r="E1334" s="2" t="s">
        <v>57</v>
      </c>
      <c r="F1334" s="2">
        <v>0</v>
      </c>
      <c r="G1334" s="22">
        <f>Table4[[#This Row],[Item Cost]]*Table4[[#This Row],[In Stock]]</f>
        <v>0</v>
      </c>
      <c r="H1334" s="12" t="s">
        <v>4661</v>
      </c>
      <c r="I1334" s="13" t="s">
        <v>4668</v>
      </c>
      <c r="J1334" s="13" t="s">
        <v>4672</v>
      </c>
      <c r="K1334" s="13" t="s">
        <v>4672</v>
      </c>
      <c r="L1334" s="12" t="s">
        <v>4672</v>
      </c>
      <c r="M1334" s="17">
        <f>IF(LEN(COUNTIFS($H$1:H1334,$H1334,$I$1:I1334,$I1334,$J$1:J1334,$J1334,$K$1:K1334,K1334,$L$1:L1334,L1334))=1,"00"&amp;COUNTIFS($H$1:H1334,$H1334,$I$1:I1334,$I1334,$J$1:J1334,$J1334,$K$1:K1334,K1334,$L$1:L1334,L1334),IF(LEN(COUNTIFS($H$1:H1334,$H1334,$I$1:I1334,$I1334,$J$1:J1334,$J1334,$K$1:K1334,K1334,$L$1:L1334,L1334))=2,"0"&amp;COUNTIFS($H$1:H1334,$H1334,$I$1:I1334,$I1334,$J$1:J1334,$J1334,$K$1:K1334,K1334,$L$1:L1334,L1334),COUNTIFS($H$1:H1334,$H1334,$I$1:I1334,$I1334,$J$1:J1334,$J1334,$K$1:K1334,K1334,$L$1:L1334,L1334)))</f>
        <v>112</v>
      </c>
      <c r="N133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34" s="14" t="e">
        <f>+LEN(Table4[[#This Row],[New Item Code]])</f>
        <v>#N/A</v>
      </c>
      <c r="P1334" s="15" t="s">
        <v>4747</v>
      </c>
      <c r="Q1334" s="15" t="s">
        <v>4749</v>
      </c>
      <c r="R1334" s="15"/>
      <c r="S1334" s="15"/>
      <c r="T1334" s="15" t="s">
        <v>4672</v>
      </c>
    </row>
    <row r="1335" spans="1:20" x14ac:dyDescent="0.35">
      <c r="A1335" s="3" t="s">
        <v>2655</v>
      </c>
      <c r="B1335" s="3" t="s">
        <v>2656</v>
      </c>
      <c r="C1335" s="3" t="s">
        <v>56</v>
      </c>
      <c r="D1335" s="3">
        <v>0</v>
      </c>
      <c r="E1335" s="3" t="s">
        <v>57</v>
      </c>
      <c r="F1335" s="3">
        <v>0</v>
      </c>
      <c r="G1335" s="21">
        <f>Table4[[#This Row],[Item Cost]]*Table4[[#This Row],[In Stock]]</f>
        <v>0</v>
      </c>
      <c r="H1335" s="12" t="s">
        <v>4661</v>
      </c>
      <c r="I1335" s="13" t="s">
        <v>4668</v>
      </c>
      <c r="J1335" s="13" t="s">
        <v>4672</v>
      </c>
      <c r="K1335" s="13" t="s">
        <v>4672</v>
      </c>
      <c r="L1335" s="12" t="s">
        <v>4672</v>
      </c>
      <c r="M1335" s="17">
        <f>IF(LEN(COUNTIFS($H$1:H1335,$H1335,$I$1:I1335,$I1335,$J$1:J1335,$J1335,$K$1:K1335,K1335,$L$1:L1335,L1335))=1,"00"&amp;COUNTIFS($H$1:H1335,$H1335,$I$1:I1335,$I1335,$J$1:J1335,$J1335,$K$1:K1335,K1335,$L$1:L1335,L1335),IF(LEN(COUNTIFS($H$1:H1335,$H1335,$I$1:I1335,$I1335,$J$1:J1335,$J1335,$K$1:K1335,K1335,$L$1:L1335,L1335))=2,"0"&amp;COUNTIFS($H$1:H1335,$H1335,$I$1:I1335,$I1335,$J$1:J1335,$J1335,$K$1:K1335,K1335,$L$1:L1335,L1335),COUNTIFS($H$1:H1335,$H1335,$I$1:I1335,$I1335,$J$1:J1335,$J1335,$K$1:K1335,K1335,$L$1:L1335,L1335)))</f>
        <v>113</v>
      </c>
      <c r="N133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35" s="14" t="e">
        <f>+LEN(Table4[[#This Row],[New Item Code]])</f>
        <v>#N/A</v>
      </c>
      <c r="P1335" s="15" t="s">
        <v>4747</v>
      </c>
      <c r="Q1335" s="15" t="s">
        <v>4749</v>
      </c>
      <c r="R1335" s="15"/>
      <c r="S1335" s="15"/>
      <c r="T1335" s="15" t="s">
        <v>4672</v>
      </c>
    </row>
    <row r="1336" spans="1:20" x14ac:dyDescent="0.35">
      <c r="A1336" s="2" t="s">
        <v>2657</v>
      </c>
      <c r="B1336" s="2" t="s">
        <v>2658</v>
      </c>
      <c r="C1336" s="2" t="s">
        <v>56</v>
      </c>
      <c r="D1336" s="2">
        <v>0</v>
      </c>
      <c r="E1336" s="2" t="s">
        <v>57</v>
      </c>
      <c r="F1336" s="2">
        <v>0</v>
      </c>
      <c r="G1336" s="22">
        <f>Table4[[#This Row],[Item Cost]]*Table4[[#This Row],[In Stock]]</f>
        <v>0</v>
      </c>
      <c r="H1336" s="12" t="s">
        <v>4661</v>
      </c>
      <c r="I1336" s="13" t="s">
        <v>4668</v>
      </c>
      <c r="J1336" s="13" t="s">
        <v>4672</v>
      </c>
      <c r="K1336" s="13" t="s">
        <v>4672</v>
      </c>
      <c r="L1336" s="12" t="s">
        <v>4672</v>
      </c>
      <c r="M1336" s="17">
        <f>IF(LEN(COUNTIFS($H$1:H1336,$H1336,$I$1:I1336,$I1336,$J$1:J1336,$J1336,$K$1:K1336,K1336,$L$1:L1336,L1336))=1,"00"&amp;COUNTIFS($H$1:H1336,$H1336,$I$1:I1336,$I1336,$J$1:J1336,$J1336,$K$1:K1336,K1336,$L$1:L1336,L1336),IF(LEN(COUNTIFS($H$1:H1336,$H1336,$I$1:I1336,$I1336,$J$1:J1336,$J1336,$K$1:K1336,K1336,$L$1:L1336,L1336))=2,"0"&amp;COUNTIFS($H$1:H1336,$H1336,$I$1:I1336,$I1336,$J$1:J1336,$J1336,$K$1:K1336,K1336,$L$1:L1336,L1336),COUNTIFS($H$1:H1336,$H1336,$I$1:I1336,$I1336,$J$1:J1336,$J1336,$K$1:K1336,K1336,$L$1:L1336,L1336)))</f>
        <v>114</v>
      </c>
      <c r="N133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36" s="14" t="e">
        <f>+LEN(Table4[[#This Row],[New Item Code]])</f>
        <v>#N/A</v>
      </c>
      <c r="P1336" s="15" t="s">
        <v>4747</v>
      </c>
      <c r="Q1336" s="15" t="s">
        <v>4749</v>
      </c>
      <c r="R1336" s="15"/>
      <c r="S1336" s="15"/>
      <c r="T1336" s="15" t="s">
        <v>4672</v>
      </c>
    </row>
    <row r="1337" spans="1:20" x14ac:dyDescent="0.35">
      <c r="A1337" s="3" t="s">
        <v>2659</v>
      </c>
      <c r="B1337" s="3" t="s">
        <v>2660</v>
      </c>
      <c r="C1337" s="3" t="s">
        <v>56</v>
      </c>
      <c r="D1337" s="3">
        <v>0</v>
      </c>
      <c r="E1337" s="3" t="s">
        <v>57</v>
      </c>
      <c r="F1337" s="3">
        <v>0</v>
      </c>
      <c r="G1337" s="21">
        <f>Table4[[#This Row],[Item Cost]]*Table4[[#This Row],[In Stock]]</f>
        <v>0</v>
      </c>
      <c r="H1337" s="12" t="s">
        <v>4661</v>
      </c>
      <c r="I1337" s="13" t="s">
        <v>4668</v>
      </c>
      <c r="J1337" s="13" t="s">
        <v>4672</v>
      </c>
      <c r="K1337" s="13" t="s">
        <v>4672</v>
      </c>
      <c r="L1337" s="12" t="s">
        <v>4672</v>
      </c>
      <c r="M1337" s="17">
        <f>IF(LEN(COUNTIFS($H$1:H1337,$H1337,$I$1:I1337,$I1337,$J$1:J1337,$J1337,$K$1:K1337,K1337,$L$1:L1337,L1337))=1,"00"&amp;COUNTIFS($H$1:H1337,$H1337,$I$1:I1337,$I1337,$J$1:J1337,$J1337,$K$1:K1337,K1337,$L$1:L1337,L1337),IF(LEN(COUNTIFS($H$1:H1337,$H1337,$I$1:I1337,$I1337,$J$1:J1337,$J1337,$K$1:K1337,K1337,$L$1:L1337,L1337))=2,"0"&amp;COUNTIFS($H$1:H1337,$H1337,$I$1:I1337,$I1337,$J$1:J1337,$J1337,$K$1:K1337,K1337,$L$1:L1337,L1337),COUNTIFS($H$1:H1337,$H1337,$I$1:I1337,$I1337,$J$1:J1337,$J1337,$K$1:K1337,K1337,$L$1:L1337,L1337)))</f>
        <v>115</v>
      </c>
      <c r="N133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37" s="14" t="e">
        <f>+LEN(Table4[[#This Row],[New Item Code]])</f>
        <v>#N/A</v>
      </c>
      <c r="P1337" s="15" t="s">
        <v>4747</v>
      </c>
      <c r="Q1337" s="15" t="s">
        <v>4749</v>
      </c>
      <c r="R1337" s="15"/>
      <c r="S1337" s="15"/>
      <c r="T1337" s="15" t="s">
        <v>4672</v>
      </c>
    </row>
    <row r="1338" spans="1:20" x14ac:dyDescent="0.35">
      <c r="A1338" s="2" t="s">
        <v>2661</v>
      </c>
      <c r="B1338" s="2" t="s">
        <v>2662</v>
      </c>
      <c r="C1338" s="2" t="s">
        <v>56</v>
      </c>
      <c r="D1338" s="2">
        <v>0</v>
      </c>
      <c r="E1338" s="2" t="s">
        <v>57</v>
      </c>
      <c r="F1338" s="2">
        <v>0</v>
      </c>
      <c r="G1338" s="22">
        <f>Table4[[#This Row],[Item Cost]]*Table4[[#This Row],[In Stock]]</f>
        <v>0</v>
      </c>
      <c r="H1338" s="12" t="s">
        <v>4661</v>
      </c>
      <c r="I1338" s="13" t="s">
        <v>4668</v>
      </c>
      <c r="J1338" s="13" t="s">
        <v>4672</v>
      </c>
      <c r="K1338" s="13" t="s">
        <v>4672</v>
      </c>
      <c r="L1338" s="12" t="s">
        <v>4672</v>
      </c>
      <c r="M1338" s="17">
        <f>IF(LEN(COUNTIFS($H$1:H1338,$H1338,$I$1:I1338,$I1338,$J$1:J1338,$J1338,$K$1:K1338,K1338,$L$1:L1338,L1338))=1,"00"&amp;COUNTIFS($H$1:H1338,$H1338,$I$1:I1338,$I1338,$J$1:J1338,$J1338,$K$1:K1338,K1338,$L$1:L1338,L1338),IF(LEN(COUNTIFS($H$1:H1338,$H1338,$I$1:I1338,$I1338,$J$1:J1338,$J1338,$K$1:K1338,K1338,$L$1:L1338,L1338))=2,"0"&amp;COUNTIFS($H$1:H1338,$H1338,$I$1:I1338,$I1338,$J$1:J1338,$J1338,$K$1:K1338,K1338,$L$1:L1338,L1338),COUNTIFS($H$1:H1338,$H1338,$I$1:I1338,$I1338,$J$1:J1338,$J1338,$K$1:K1338,K1338,$L$1:L1338,L1338)))</f>
        <v>116</v>
      </c>
      <c r="N133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38" s="14" t="e">
        <f>+LEN(Table4[[#This Row],[New Item Code]])</f>
        <v>#N/A</v>
      </c>
      <c r="P1338" s="15" t="s">
        <v>4747</v>
      </c>
      <c r="Q1338" s="15" t="s">
        <v>4749</v>
      </c>
      <c r="R1338" s="15"/>
      <c r="S1338" s="15"/>
      <c r="T1338" s="15" t="s">
        <v>4672</v>
      </c>
    </row>
    <row r="1339" spans="1:20" x14ac:dyDescent="0.35">
      <c r="A1339" s="3" t="s">
        <v>2663</v>
      </c>
      <c r="B1339" s="3" t="s">
        <v>2664</v>
      </c>
      <c r="C1339" s="3" t="s">
        <v>56</v>
      </c>
      <c r="D1339" s="3">
        <v>0</v>
      </c>
      <c r="E1339" s="3" t="s">
        <v>57</v>
      </c>
      <c r="F1339" s="3">
        <v>0</v>
      </c>
      <c r="G1339" s="21">
        <f>Table4[[#This Row],[Item Cost]]*Table4[[#This Row],[In Stock]]</f>
        <v>0</v>
      </c>
      <c r="H1339" s="12" t="s">
        <v>4661</v>
      </c>
      <c r="I1339" s="13" t="s">
        <v>4668</v>
      </c>
      <c r="J1339" s="13" t="s">
        <v>4672</v>
      </c>
      <c r="K1339" s="13" t="s">
        <v>4672</v>
      </c>
      <c r="L1339" s="12" t="s">
        <v>4672</v>
      </c>
      <c r="M1339" s="17">
        <f>IF(LEN(COUNTIFS($H$1:H1339,$H1339,$I$1:I1339,$I1339,$J$1:J1339,$J1339,$K$1:K1339,K1339,$L$1:L1339,L1339))=1,"00"&amp;COUNTIFS($H$1:H1339,$H1339,$I$1:I1339,$I1339,$J$1:J1339,$J1339,$K$1:K1339,K1339,$L$1:L1339,L1339),IF(LEN(COUNTIFS($H$1:H1339,$H1339,$I$1:I1339,$I1339,$J$1:J1339,$J1339,$K$1:K1339,K1339,$L$1:L1339,L1339))=2,"0"&amp;COUNTIFS($H$1:H1339,$H1339,$I$1:I1339,$I1339,$J$1:J1339,$J1339,$K$1:K1339,K1339,$L$1:L1339,L1339),COUNTIFS($H$1:H1339,$H1339,$I$1:I1339,$I1339,$J$1:J1339,$J1339,$K$1:K1339,K1339,$L$1:L1339,L1339)))</f>
        <v>117</v>
      </c>
      <c r="N133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39" s="14" t="e">
        <f>+LEN(Table4[[#This Row],[New Item Code]])</f>
        <v>#N/A</v>
      </c>
      <c r="P1339" s="15" t="s">
        <v>4747</v>
      </c>
      <c r="Q1339" s="15" t="s">
        <v>4749</v>
      </c>
      <c r="R1339" s="15"/>
      <c r="S1339" s="15"/>
      <c r="T1339" s="15" t="s">
        <v>4672</v>
      </c>
    </row>
    <row r="1340" spans="1:20" x14ac:dyDescent="0.35">
      <c r="A1340" s="2" t="s">
        <v>2665</v>
      </c>
      <c r="B1340" s="2" t="s">
        <v>2666</v>
      </c>
      <c r="C1340" s="2" t="s">
        <v>56</v>
      </c>
      <c r="D1340" s="2">
        <v>0</v>
      </c>
      <c r="E1340" s="2" t="s">
        <v>57</v>
      </c>
      <c r="F1340" s="2">
        <v>0</v>
      </c>
      <c r="G1340" s="22">
        <f>Table4[[#This Row],[Item Cost]]*Table4[[#This Row],[In Stock]]</f>
        <v>0</v>
      </c>
      <c r="H1340" s="12" t="s">
        <v>4661</v>
      </c>
      <c r="I1340" s="13" t="s">
        <v>4668</v>
      </c>
      <c r="J1340" s="13" t="s">
        <v>4672</v>
      </c>
      <c r="K1340" s="13" t="s">
        <v>4672</v>
      </c>
      <c r="L1340" s="12" t="s">
        <v>4672</v>
      </c>
      <c r="M1340" s="17">
        <f>IF(LEN(COUNTIFS($H$1:H1340,$H1340,$I$1:I1340,$I1340,$J$1:J1340,$J1340,$K$1:K1340,K1340,$L$1:L1340,L1340))=1,"00"&amp;COUNTIFS($H$1:H1340,$H1340,$I$1:I1340,$I1340,$J$1:J1340,$J1340,$K$1:K1340,K1340,$L$1:L1340,L1340),IF(LEN(COUNTIFS($H$1:H1340,$H1340,$I$1:I1340,$I1340,$J$1:J1340,$J1340,$K$1:K1340,K1340,$L$1:L1340,L1340))=2,"0"&amp;COUNTIFS($H$1:H1340,$H1340,$I$1:I1340,$I1340,$J$1:J1340,$J1340,$K$1:K1340,K1340,$L$1:L1340,L1340),COUNTIFS($H$1:H1340,$H1340,$I$1:I1340,$I1340,$J$1:J1340,$J1340,$K$1:K1340,K1340,$L$1:L1340,L1340)))</f>
        <v>118</v>
      </c>
      <c r="N134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40" s="14" t="e">
        <f>+LEN(Table4[[#This Row],[New Item Code]])</f>
        <v>#N/A</v>
      </c>
      <c r="P1340" s="15" t="s">
        <v>4747</v>
      </c>
      <c r="Q1340" s="15" t="s">
        <v>4749</v>
      </c>
      <c r="R1340" s="15"/>
      <c r="S1340" s="15"/>
      <c r="T1340" s="15" t="s">
        <v>4672</v>
      </c>
    </row>
    <row r="1341" spans="1:20" x14ac:dyDescent="0.35">
      <c r="A1341" s="3" t="s">
        <v>2667</v>
      </c>
      <c r="B1341" s="3" t="s">
        <v>2668</v>
      </c>
      <c r="C1341" s="3" t="s">
        <v>15</v>
      </c>
      <c r="D1341" s="5">
        <v>1850</v>
      </c>
      <c r="E1341" s="3" t="s">
        <v>10</v>
      </c>
      <c r="F1341" s="3">
        <v>1</v>
      </c>
      <c r="G1341" s="21">
        <f>Table4[[#This Row],[Item Cost]]*Table4[[#This Row],[In Stock]]</f>
        <v>1850</v>
      </c>
      <c r="H1341" s="12" t="s">
        <v>4661</v>
      </c>
      <c r="I1341" s="13" t="s">
        <v>4666</v>
      </c>
      <c r="J1341" s="13" t="s">
        <v>4672</v>
      </c>
      <c r="K1341" s="13" t="s">
        <v>4672</v>
      </c>
      <c r="L1341" s="12" t="s">
        <v>4672</v>
      </c>
      <c r="M1341" s="17" t="str">
        <f>IF(LEN(COUNTIFS($H$1:H1341,$H1341,$I$1:I1341,$I1341,$J$1:J1341,$J1341,$K$1:K1341,K1341,$L$1:L1341,L1341))=1,"00"&amp;COUNTIFS($H$1:H1341,$H1341,$I$1:I1341,$I1341,$J$1:J1341,$J1341,$K$1:K1341,K1341,$L$1:L1341,L1341),IF(LEN(COUNTIFS($H$1:H1341,$H1341,$I$1:I1341,$I1341,$J$1:J1341,$J1341,$K$1:K1341,K1341,$L$1:L1341,L1341))=2,"0"&amp;COUNTIFS($H$1:H1341,$H1341,$I$1:I1341,$I1341,$J$1:J1341,$J1341,$K$1:K1341,K1341,$L$1:L1341,L1341),COUNTIFS($H$1:H1341,$H1341,$I$1:I1341,$I1341,$J$1:J1341,$J1341,$K$1:K1341,K1341,$L$1:L1341,L1341)))</f>
        <v>014</v>
      </c>
      <c r="N134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41" s="14" t="e">
        <f>+LEN(Table4[[#This Row],[New Item Code]])</f>
        <v>#N/A</v>
      </c>
      <c r="P1341" s="15" t="s">
        <v>4747</v>
      </c>
      <c r="Q1341" s="15" t="s">
        <v>4749</v>
      </c>
      <c r="R1341" s="15"/>
      <c r="S1341" s="15"/>
      <c r="T1341" s="15" t="s">
        <v>4672</v>
      </c>
    </row>
    <row r="1342" spans="1:20" x14ac:dyDescent="0.35">
      <c r="A1342" s="2" t="s">
        <v>2669</v>
      </c>
      <c r="B1342" s="2" t="s">
        <v>2670</v>
      </c>
      <c r="C1342" s="2" t="s">
        <v>56</v>
      </c>
      <c r="D1342" s="2">
        <v>0</v>
      </c>
      <c r="E1342" s="2" t="s">
        <v>57</v>
      </c>
      <c r="F1342" s="2">
        <v>0</v>
      </c>
      <c r="G1342" s="22">
        <f>Table4[[#This Row],[Item Cost]]*Table4[[#This Row],[In Stock]]</f>
        <v>0</v>
      </c>
      <c r="H1342" s="12" t="s">
        <v>4661</v>
      </c>
      <c r="I1342" s="13" t="s">
        <v>4668</v>
      </c>
      <c r="J1342" s="13" t="s">
        <v>4672</v>
      </c>
      <c r="K1342" s="13" t="s">
        <v>4672</v>
      </c>
      <c r="L1342" s="12" t="s">
        <v>4672</v>
      </c>
      <c r="M1342" s="17">
        <f>IF(LEN(COUNTIFS($H$1:H1342,$H1342,$I$1:I1342,$I1342,$J$1:J1342,$J1342,$K$1:K1342,K1342,$L$1:L1342,L1342))=1,"00"&amp;COUNTIFS($H$1:H1342,$H1342,$I$1:I1342,$I1342,$J$1:J1342,$J1342,$K$1:K1342,K1342,$L$1:L1342,L1342),IF(LEN(COUNTIFS($H$1:H1342,$H1342,$I$1:I1342,$I1342,$J$1:J1342,$J1342,$K$1:K1342,K1342,$L$1:L1342,L1342))=2,"0"&amp;COUNTIFS($H$1:H1342,$H1342,$I$1:I1342,$I1342,$J$1:J1342,$J1342,$K$1:K1342,K1342,$L$1:L1342,L1342),COUNTIFS($H$1:H1342,$H1342,$I$1:I1342,$I1342,$J$1:J1342,$J1342,$K$1:K1342,K1342,$L$1:L1342,L1342)))</f>
        <v>119</v>
      </c>
      <c r="N134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42" s="14" t="e">
        <f>+LEN(Table4[[#This Row],[New Item Code]])</f>
        <v>#N/A</v>
      </c>
      <c r="P1342" s="15" t="s">
        <v>4747</v>
      </c>
      <c r="Q1342" s="15" t="s">
        <v>4749</v>
      </c>
      <c r="R1342" s="15"/>
      <c r="S1342" s="15"/>
      <c r="T1342" s="15" t="s">
        <v>4672</v>
      </c>
    </row>
    <row r="1343" spans="1:20" x14ac:dyDescent="0.35">
      <c r="A1343" s="3" t="s">
        <v>2671</v>
      </c>
      <c r="B1343" s="3" t="s">
        <v>2672</v>
      </c>
      <c r="C1343" s="3" t="s">
        <v>56</v>
      </c>
      <c r="D1343" s="3">
        <v>0</v>
      </c>
      <c r="E1343" s="3" t="s">
        <v>57</v>
      </c>
      <c r="F1343" s="3">
        <v>0</v>
      </c>
      <c r="G1343" s="21">
        <f>Table4[[#This Row],[Item Cost]]*Table4[[#This Row],[In Stock]]</f>
        <v>0</v>
      </c>
      <c r="H1343" s="12" t="s">
        <v>4661</v>
      </c>
      <c r="I1343" s="13" t="s">
        <v>4668</v>
      </c>
      <c r="J1343" s="13" t="s">
        <v>4672</v>
      </c>
      <c r="K1343" s="13" t="s">
        <v>4672</v>
      </c>
      <c r="L1343" s="12" t="s">
        <v>4672</v>
      </c>
      <c r="M1343" s="17">
        <f>IF(LEN(COUNTIFS($H$1:H1343,$H1343,$I$1:I1343,$I1343,$J$1:J1343,$J1343,$K$1:K1343,K1343,$L$1:L1343,L1343))=1,"00"&amp;COUNTIFS($H$1:H1343,$H1343,$I$1:I1343,$I1343,$J$1:J1343,$J1343,$K$1:K1343,K1343,$L$1:L1343,L1343),IF(LEN(COUNTIFS($H$1:H1343,$H1343,$I$1:I1343,$I1343,$J$1:J1343,$J1343,$K$1:K1343,K1343,$L$1:L1343,L1343))=2,"0"&amp;COUNTIFS($H$1:H1343,$H1343,$I$1:I1343,$I1343,$J$1:J1343,$J1343,$K$1:K1343,K1343,$L$1:L1343,L1343),COUNTIFS($H$1:H1343,$H1343,$I$1:I1343,$I1343,$J$1:J1343,$J1343,$K$1:K1343,K1343,$L$1:L1343,L1343)))</f>
        <v>120</v>
      </c>
      <c r="N134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43" s="14" t="e">
        <f>+LEN(Table4[[#This Row],[New Item Code]])</f>
        <v>#N/A</v>
      </c>
      <c r="P1343" s="15" t="s">
        <v>4747</v>
      </c>
      <c r="Q1343" s="15" t="s">
        <v>4749</v>
      </c>
      <c r="R1343" s="15"/>
      <c r="S1343" s="15"/>
      <c r="T1343" s="15" t="s">
        <v>4672</v>
      </c>
    </row>
    <row r="1344" spans="1:20" x14ac:dyDescent="0.35">
      <c r="A1344" s="2" t="s">
        <v>2673</v>
      </c>
      <c r="B1344" s="2" t="s">
        <v>2674</v>
      </c>
      <c r="C1344" s="2" t="s">
        <v>56</v>
      </c>
      <c r="D1344" s="2">
        <v>0</v>
      </c>
      <c r="E1344" s="2" t="s">
        <v>57</v>
      </c>
      <c r="F1344" s="2">
        <v>0</v>
      </c>
      <c r="G1344" s="22">
        <f>Table4[[#This Row],[Item Cost]]*Table4[[#This Row],[In Stock]]</f>
        <v>0</v>
      </c>
      <c r="H1344" s="12" t="s">
        <v>4661</v>
      </c>
      <c r="I1344" s="13" t="s">
        <v>4668</v>
      </c>
      <c r="J1344" s="13" t="s">
        <v>4672</v>
      </c>
      <c r="K1344" s="13" t="s">
        <v>4672</v>
      </c>
      <c r="L1344" s="12" t="s">
        <v>4672</v>
      </c>
      <c r="M1344" s="17">
        <f>IF(LEN(COUNTIFS($H$1:H1344,$H1344,$I$1:I1344,$I1344,$J$1:J1344,$J1344,$K$1:K1344,K1344,$L$1:L1344,L1344))=1,"00"&amp;COUNTIFS($H$1:H1344,$H1344,$I$1:I1344,$I1344,$J$1:J1344,$J1344,$K$1:K1344,K1344,$L$1:L1344,L1344),IF(LEN(COUNTIFS($H$1:H1344,$H1344,$I$1:I1344,$I1344,$J$1:J1344,$J1344,$K$1:K1344,K1344,$L$1:L1344,L1344))=2,"0"&amp;COUNTIFS($H$1:H1344,$H1344,$I$1:I1344,$I1344,$J$1:J1344,$J1344,$K$1:K1344,K1344,$L$1:L1344,L1344),COUNTIFS($H$1:H1344,$H1344,$I$1:I1344,$I1344,$J$1:J1344,$J1344,$K$1:K1344,K1344,$L$1:L1344,L1344)))</f>
        <v>121</v>
      </c>
      <c r="N134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44" s="14" t="e">
        <f>+LEN(Table4[[#This Row],[New Item Code]])</f>
        <v>#N/A</v>
      </c>
      <c r="P1344" s="15" t="s">
        <v>4747</v>
      </c>
      <c r="Q1344" s="15" t="s">
        <v>4749</v>
      </c>
      <c r="R1344" s="15"/>
      <c r="S1344" s="15"/>
      <c r="T1344" s="15" t="s">
        <v>4672</v>
      </c>
    </row>
    <row r="1345" spans="1:20" x14ac:dyDescent="0.35">
      <c r="A1345" s="3" t="s">
        <v>2675</v>
      </c>
      <c r="B1345" s="3" t="s">
        <v>2676</v>
      </c>
      <c r="C1345" s="3" t="s">
        <v>56</v>
      </c>
      <c r="D1345" s="3">
        <v>0</v>
      </c>
      <c r="E1345" s="3" t="s">
        <v>57</v>
      </c>
      <c r="F1345" s="3">
        <v>0</v>
      </c>
      <c r="G1345" s="21">
        <f>Table4[[#This Row],[Item Cost]]*Table4[[#This Row],[In Stock]]</f>
        <v>0</v>
      </c>
      <c r="H1345" s="12" t="s">
        <v>4661</v>
      </c>
      <c r="I1345" s="13" t="s">
        <v>4668</v>
      </c>
      <c r="J1345" s="13" t="s">
        <v>4672</v>
      </c>
      <c r="K1345" s="13" t="s">
        <v>4672</v>
      </c>
      <c r="L1345" s="12" t="s">
        <v>4672</v>
      </c>
      <c r="M1345" s="17">
        <f>IF(LEN(COUNTIFS($H$1:H1345,$H1345,$I$1:I1345,$I1345,$J$1:J1345,$J1345,$K$1:K1345,K1345,$L$1:L1345,L1345))=1,"00"&amp;COUNTIFS($H$1:H1345,$H1345,$I$1:I1345,$I1345,$J$1:J1345,$J1345,$K$1:K1345,K1345,$L$1:L1345,L1345),IF(LEN(COUNTIFS($H$1:H1345,$H1345,$I$1:I1345,$I1345,$J$1:J1345,$J1345,$K$1:K1345,K1345,$L$1:L1345,L1345))=2,"0"&amp;COUNTIFS($H$1:H1345,$H1345,$I$1:I1345,$I1345,$J$1:J1345,$J1345,$K$1:K1345,K1345,$L$1:L1345,L1345),COUNTIFS($H$1:H1345,$H1345,$I$1:I1345,$I1345,$J$1:J1345,$J1345,$K$1:K1345,K1345,$L$1:L1345,L1345)))</f>
        <v>122</v>
      </c>
      <c r="N134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45" s="14" t="e">
        <f>+LEN(Table4[[#This Row],[New Item Code]])</f>
        <v>#N/A</v>
      </c>
      <c r="P1345" s="15" t="s">
        <v>4747</v>
      </c>
      <c r="Q1345" s="15" t="s">
        <v>4749</v>
      </c>
      <c r="R1345" s="15"/>
      <c r="S1345" s="15"/>
      <c r="T1345" s="15" t="s">
        <v>4672</v>
      </c>
    </row>
    <row r="1346" spans="1:20" x14ac:dyDescent="0.35">
      <c r="A1346" s="2" t="s">
        <v>2677</v>
      </c>
      <c r="B1346" s="2" t="s">
        <v>2678</v>
      </c>
      <c r="C1346" s="2" t="s">
        <v>56</v>
      </c>
      <c r="D1346" s="2">
        <v>0</v>
      </c>
      <c r="E1346" s="2" t="s">
        <v>57</v>
      </c>
      <c r="F1346" s="2">
        <v>0</v>
      </c>
      <c r="G1346" s="22">
        <f>Table4[[#This Row],[Item Cost]]*Table4[[#This Row],[In Stock]]</f>
        <v>0</v>
      </c>
      <c r="H1346" s="12" t="s">
        <v>4661</v>
      </c>
      <c r="I1346" s="13" t="s">
        <v>4668</v>
      </c>
      <c r="J1346" s="13" t="s">
        <v>4672</v>
      </c>
      <c r="K1346" s="13" t="s">
        <v>4672</v>
      </c>
      <c r="L1346" s="12" t="s">
        <v>4672</v>
      </c>
      <c r="M1346" s="17">
        <f>IF(LEN(COUNTIFS($H$1:H1346,$H1346,$I$1:I1346,$I1346,$J$1:J1346,$J1346,$K$1:K1346,K1346,$L$1:L1346,L1346))=1,"00"&amp;COUNTIFS($H$1:H1346,$H1346,$I$1:I1346,$I1346,$J$1:J1346,$J1346,$K$1:K1346,K1346,$L$1:L1346,L1346),IF(LEN(COUNTIFS($H$1:H1346,$H1346,$I$1:I1346,$I1346,$J$1:J1346,$J1346,$K$1:K1346,K1346,$L$1:L1346,L1346))=2,"0"&amp;COUNTIFS($H$1:H1346,$H1346,$I$1:I1346,$I1346,$J$1:J1346,$J1346,$K$1:K1346,K1346,$L$1:L1346,L1346),COUNTIFS($H$1:H1346,$H1346,$I$1:I1346,$I1346,$J$1:J1346,$J1346,$K$1:K1346,K1346,$L$1:L1346,L1346)))</f>
        <v>123</v>
      </c>
      <c r="N134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46" s="14" t="e">
        <f>+LEN(Table4[[#This Row],[New Item Code]])</f>
        <v>#N/A</v>
      </c>
      <c r="P1346" s="15" t="s">
        <v>4747</v>
      </c>
      <c r="Q1346" s="15" t="s">
        <v>4749</v>
      </c>
      <c r="R1346" s="15"/>
      <c r="S1346" s="15"/>
      <c r="T1346" s="15" t="s">
        <v>4672</v>
      </c>
    </row>
    <row r="1347" spans="1:20" x14ac:dyDescent="0.35">
      <c r="A1347" s="3" t="s">
        <v>2679</v>
      </c>
      <c r="B1347" s="3" t="s">
        <v>2680</v>
      </c>
      <c r="C1347" s="3" t="s">
        <v>56</v>
      </c>
      <c r="D1347" s="3">
        <v>0</v>
      </c>
      <c r="E1347" s="3" t="s">
        <v>57</v>
      </c>
      <c r="F1347" s="3">
        <v>0</v>
      </c>
      <c r="G1347" s="21">
        <f>Table4[[#This Row],[Item Cost]]*Table4[[#This Row],[In Stock]]</f>
        <v>0</v>
      </c>
      <c r="H1347" s="12" t="s">
        <v>4661</v>
      </c>
      <c r="I1347" s="13" t="s">
        <v>4668</v>
      </c>
      <c r="J1347" s="13" t="s">
        <v>4672</v>
      </c>
      <c r="K1347" s="13" t="s">
        <v>4672</v>
      </c>
      <c r="L1347" s="12" t="s">
        <v>4672</v>
      </c>
      <c r="M1347" s="17">
        <f>IF(LEN(COUNTIFS($H$1:H1347,$H1347,$I$1:I1347,$I1347,$J$1:J1347,$J1347,$K$1:K1347,K1347,$L$1:L1347,L1347))=1,"00"&amp;COUNTIFS($H$1:H1347,$H1347,$I$1:I1347,$I1347,$J$1:J1347,$J1347,$K$1:K1347,K1347,$L$1:L1347,L1347),IF(LEN(COUNTIFS($H$1:H1347,$H1347,$I$1:I1347,$I1347,$J$1:J1347,$J1347,$K$1:K1347,K1347,$L$1:L1347,L1347))=2,"0"&amp;COUNTIFS($H$1:H1347,$H1347,$I$1:I1347,$I1347,$J$1:J1347,$J1347,$K$1:K1347,K1347,$L$1:L1347,L1347),COUNTIFS($H$1:H1347,$H1347,$I$1:I1347,$I1347,$J$1:J1347,$J1347,$K$1:K1347,K1347,$L$1:L1347,L1347)))</f>
        <v>124</v>
      </c>
      <c r="N134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47" s="14" t="e">
        <f>+LEN(Table4[[#This Row],[New Item Code]])</f>
        <v>#N/A</v>
      </c>
      <c r="P1347" s="15" t="s">
        <v>4747</v>
      </c>
      <c r="Q1347" s="15" t="s">
        <v>4749</v>
      </c>
      <c r="R1347" s="15"/>
      <c r="S1347" s="15"/>
      <c r="T1347" s="15" t="s">
        <v>4672</v>
      </c>
    </row>
    <row r="1348" spans="1:20" x14ac:dyDescent="0.35">
      <c r="A1348" s="2" t="s">
        <v>2681</v>
      </c>
      <c r="B1348" s="2" t="s">
        <v>2682</v>
      </c>
      <c r="C1348" s="2" t="s">
        <v>56</v>
      </c>
      <c r="D1348" s="2">
        <v>0</v>
      </c>
      <c r="E1348" s="2" t="s">
        <v>57</v>
      </c>
      <c r="F1348" s="2">
        <v>0</v>
      </c>
      <c r="G1348" s="22">
        <f>Table4[[#This Row],[Item Cost]]*Table4[[#This Row],[In Stock]]</f>
        <v>0</v>
      </c>
      <c r="H1348" s="12" t="s">
        <v>4661</v>
      </c>
      <c r="I1348" s="13" t="s">
        <v>4668</v>
      </c>
      <c r="J1348" s="13" t="s">
        <v>4672</v>
      </c>
      <c r="K1348" s="13" t="s">
        <v>4672</v>
      </c>
      <c r="L1348" s="12" t="s">
        <v>4672</v>
      </c>
      <c r="M1348" s="17">
        <f>IF(LEN(COUNTIFS($H$1:H1348,$H1348,$I$1:I1348,$I1348,$J$1:J1348,$J1348,$K$1:K1348,K1348,$L$1:L1348,L1348))=1,"00"&amp;COUNTIFS($H$1:H1348,$H1348,$I$1:I1348,$I1348,$J$1:J1348,$J1348,$K$1:K1348,K1348,$L$1:L1348,L1348),IF(LEN(COUNTIFS($H$1:H1348,$H1348,$I$1:I1348,$I1348,$J$1:J1348,$J1348,$K$1:K1348,K1348,$L$1:L1348,L1348))=2,"0"&amp;COUNTIFS($H$1:H1348,$H1348,$I$1:I1348,$I1348,$J$1:J1348,$J1348,$K$1:K1348,K1348,$L$1:L1348,L1348),COUNTIFS($H$1:H1348,$H1348,$I$1:I1348,$I1348,$J$1:J1348,$J1348,$K$1:K1348,K1348,$L$1:L1348,L1348)))</f>
        <v>125</v>
      </c>
      <c r="N134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48" s="14" t="e">
        <f>+LEN(Table4[[#This Row],[New Item Code]])</f>
        <v>#N/A</v>
      </c>
      <c r="P1348" s="15" t="s">
        <v>4747</v>
      </c>
      <c r="Q1348" s="15" t="s">
        <v>4749</v>
      </c>
      <c r="R1348" s="15"/>
      <c r="S1348" s="15"/>
      <c r="T1348" s="15" t="s">
        <v>4672</v>
      </c>
    </row>
    <row r="1349" spans="1:20" x14ac:dyDescent="0.35">
      <c r="A1349" s="3" t="s">
        <v>2683</v>
      </c>
      <c r="B1349" s="3" t="s">
        <v>2684</v>
      </c>
      <c r="C1349" s="3" t="s">
        <v>56</v>
      </c>
      <c r="D1349" s="3">
        <v>0</v>
      </c>
      <c r="E1349" s="3" t="s">
        <v>57</v>
      </c>
      <c r="F1349" s="3">
        <v>0</v>
      </c>
      <c r="G1349" s="21">
        <f>Table4[[#This Row],[Item Cost]]*Table4[[#This Row],[In Stock]]</f>
        <v>0</v>
      </c>
      <c r="H1349" s="12" t="s">
        <v>4661</v>
      </c>
      <c r="I1349" s="13" t="s">
        <v>4668</v>
      </c>
      <c r="J1349" s="13" t="s">
        <v>4672</v>
      </c>
      <c r="K1349" s="13" t="s">
        <v>4672</v>
      </c>
      <c r="L1349" s="12" t="s">
        <v>4672</v>
      </c>
      <c r="M1349" s="17">
        <f>IF(LEN(COUNTIFS($H$1:H1349,$H1349,$I$1:I1349,$I1349,$J$1:J1349,$J1349,$K$1:K1349,K1349,$L$1:L1349,L1349))=1,"00"&amp;COUNTIFS($H$1:H1349,$H1349,$I$1:I1349,$I1349,$J$1:J1349,$J1349,$K$1:K1349,K1349,$L$1:L1349,L1349),IF(LEN(COUNTIFS($H$1:H1349,$H1349,$I$1:I1349,$I1349,$J$1:J1349,$J1349,$K$1:K1349,K1349,$L$1:L1349,L1349))=2,"0"&amp;COUNTIFS($H$1:H1349,$H1349,$I$1:I1349,$I1349,$J$1:J1349,$J1349,$K$1:K1349,K1349,$L$1:L1349,L1349),COUNTIFS($H$1:H1349,$H1349,$I$1:I1349,$I1349,$J$1:J1349,$J1349,$K$1:K1349,K1349,$L$1:L1349,L1349)))</f>
        <v>126</v>
      </c>
      <c r="N134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49" s="14" t="e">
        <f>+LEN(Table4[[#This Row],[New Item Code]])</f>
        <v>#N/A</v>
      </c>
      <c r="P1349" s="15" t="s">
        <v>4747</v>
      </c>
      <c r="Q1349" s="15" t="s">
        <v>4749</v>
      </c>
      <c r="R1349" s="15"/>
      <c r="S1349" s="15"/>
      <c r="T1349" s="15" t="s">
        <v>4672</v>
      </c>
    </row>
    <row r="1350" spans="1:20" x14ac:dyDescent="0.35">
      <c r="A1350" s="2" t="s">
        <v>2685</v>
      </c>
      <c r="B1350" s="2" t="s">
        <v>2686</v>
      </c>
      <c r="C1350" s="2" t="s">
        <v>56</v>
      </c>
      <c r="D1350" s="2">
        <v>0</v>
      </c>
      <c r="E1350" s="2" t="s">
        <v>57</v>
      </c>
      <c r="F1350" s="2">
        <v>0</v>
      </c>
      <c r="G1350" s="22">
        <f>Table4[[#This Row],[Item Cost]]*Table4[[#This Row],[In Stock]]</f>
        <v>0</v>
      </c>
      <c r="H1350" s="12" t="s">
        <v>4661</v>
      </c>
      <c r="I1350" s="13" t="s">
        <v>4668</v>
      </c>
      <c r="J1350" s="13" t="s">
        <v>4672</v>
      </c>
      <c r="K1350" s="13" t="s">
        <v>4672</v>
      </c>
      <c r="L1350" s="12" t="s">
        <v>4672</v>
      </c>
      <c r="M1350" s="17">
        <f>IF(LEN(COUNTIFS($H$1:H1350,$H1350,$I$1:I1350,$I1350,$J$1:J1350,$J1350,$K$1:K1350,K1350,$L$1:L1350,L1350))=1,"00"&amp;COUNTIFS($H$1:H1350,$H1350,$I$1:I1350,$I1350,$J$1:J1350,$J1350,$K$1:K1350,K1350,$L$1:L1350,L1350),IF(LEN(COUNTIFS($H$1:H1350,$H1350,$I$1:I1350,$I1350,$J$1:J1350,$J1350,$K$1:K1350,K1350,$L$1:L1350,L1350))=2,"0"&amp;COUNTIFS($H$1:H1350,$H1350,$I$1:I1350,$I1350,$J$1:J1350,$J1350,$K$1:K1350,K1350,$L$1:L1350,L1350),COUNTIFS($H$1:H1350,$H1350,$I$1:I1350,$I1350,$J$1:J1350,$J1350,$K$1:K1350,K1350,$L$1:L1350,L1350)))</f>
        <v>127</v>
      </c>
      <c r="N135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50" s="14" t="e">
        <f>+LEN(Table4[[#This Row],[New Item Code]])</f>
        <v>#N/A</v>
      </c>
      <c r="P1350" s="15" t="s">
        <v>4747</v>
      </c>
      <c r="Q1350" s="15" t="s">
        <v>4749</v>
      </c>
      <c r="R1350" s="15"/>
      <c r="S1350" s="15"/>
      <c r="T1350" s="15" t="s">
        <v>4672</v>
      </c>
    </row>
    <row r="1351" spans="1:20" x14ac:dyDescent="0.35">
      <c r="A1351" s="3" t="s">
        <v>2687</v>
      </c>
      <c r="B1351" s="3" t="s">
        <v>2688</v>
      </c>
      <c r="C1351" s="3" t="s">
        <v>56</v>
      </c>
      <c r="D1351" s="3">
        <v>0</v>
      </c>
      <c r="E1351" s="3" t="s">
        <v>57</v>
      </c>
      <c r="F1351" s="3">
        <v>0</v>
      </c>
      <c r="G1351" s="21">
        <f>Table4[[#This Row],[Item Cost]]*Table4[[#This Row],[In Stock]]</f>
        <v>0</v>
      </c>
      <c r="H1351" s="12" t="s">
        <v>4661</v>
      </c>
      <c r="I1351" s="13" t="s">
        <v>4668</v>
      </c>
      <c r="J1351" s="13" t="s">
        <v>4672</v>
      </c>
      <c r="K1351" s="13" t="s">
        <v>4672</v>
      </c>
      <c r="L1351" s="12" t="s">
        <v>4672</v>
      </c>
      <c r="M1351" s="17">
        <f>IF(LEN(COUNTIFS($H$1:H1351,$H1351,$I$1:I1351,$I1351,$J$1:J1351,$J1351,$K$1:K1351,K1351,$L$1:L1351,L1351))=1,"00"&amp;COUNTIFS($H$1:H1351,$H1351,$I$1:I1351,$I1351,$J$1:J1351,$J1351,$K$1:K1351,K1351,$L$1:L1351,L1351),IF(LEN(COUNTIFS($H$1:H1351,$H1351,$I$1:I1351,$I1351,$J$1:J1351,$J1351,$K$1:K1351,K1351,$L$1:L1351,L1351))=2,"0"&amp;COUNTIFS($H$1:H1351,$H1351,$I$1:I1351,$I1351,$J$1:J1351,$J1351,$K$1:K1351,K1351,$L$1:L1351,L1351),COUNTIFS($H$1:H1351,$H1351,$I$1:I1351,$I1351,$J$1:J1351,$J1351,$K$1:K1351,K1351,$L$1:L1351,L1351)))</f>
        <v>128</v>
      </c>
      <c r="N135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51" s="14" t="e">
        <f>+LEN(Table4[[#This Row],[New Item Code]])</f>
        <v>#N/A</v>
      </c>
      <c r="P1351" s="15" t="s">
        <v>4747</v>
      </c>
      <c r="Q1351" s="15" t="s">
        <v>4749</v>
      </c>
      <c r="R1351" s="15"/>
      <c r="S1351" s="15"/>
      <c r="T1351" s="15" t="s">
        <v>4672</v>
      </c>
    </row>
    <row r="1352" spans="1:20" x14ac:dyDescent="0.35">
      <c r="A1352" s="2" t="s">
        <v>2689</v>
      </c>
      <c r="B1352" s="2" t="s">
        <v>2690</v>
      </c>
      <c r="C1352" s="2" t="s">
        <v>56</v>
      </c>
      <c r="D1352" s="2">
        <v>0</v>
      </c>
      <c r="E1352" s="2" t="s">
        <v>57</v>
      </c>
      <c r="F1352" s="2">
        <v>0</v>
      </c>
      <c r="G1352" s="22">
        <f>Table4[[#This Row],[Item Cost]]*Table4[[#This Row],[In Stock]]</f>
        <v>0</v>
      </c>
      <c r="H1352" s="12" t="s">
        <v>4661</v>
      </c>
      <c r="I1352" s="13" t="s">
        <v>4668</v>
      </c>
      <c r="J1352" s="13" t="s">
        <v>4672</v>
      </c>
      <c r="K1352" s="13" t="s">
        <v>4672</v>
      </c>
      <c r="L1352" s="12" t="s">
        <v>4672</v>
      </c>
      <c r="M1352" s="17">
        <f>IF(LEN(COUNTIFS($H$1:H1352,$H1352,$I$1:I1352,$I1352,$J$1:J1352,$J1352,$K$1:K1352,K1352,$L$1:L1352,L1352))=1,"00"&amp;COUNTIFS($H$1:H1352,$H1352,$I$1:I1352,$I1352,$J$1:J1352,$J1352,$K$1:K1352,K1352,$L$1:L1352,L1352),IF(LEN(COUNTIFS($H$1:H1352,$H1352,$I$1:I1352,$I1352,$J$1:J1352,$J1352,$K$1:K1352,K1352,$L$1:L1352,L1352))=2,"0"&amp;COUNTIFS($H$1:H1352,$H1352,$I$1:I1352,$I1352,$J$1:J1352,$J1352,$K$1:K1352,K1352,$L$1:L1352,L1352),COUNTIFS($H$1:H1352,$H1352,$I$1:I1352,$I1352,$J$1:J1352,$J1352,$K$1:K1352,K1352,$L$1:L1352,L1352)))</f>
        <v>129</v>
      </c>
      <c r="N135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52" s="14" t="e">
        <f>+LEN(Table4[[#This Row],[New Item Code]])</f>
        <v>#N/A</v>
      </c>
      <c r="P1352" s="15" t="s">
        <v>4747</v>
      </c>
      <c r="Q1352" s="15" t="s">
        <v>4749</v>
      </c>
      <c r="R1352" s="15"/>
      <c r="S1352" s="15"/>
      <c r="T1352" s="15" t="s">
        <v>4672</v>
      </c>
    </row>
    <row r="1353" spans="1:20" x14ac:dyDescent="0.35">
      <c r="A1353" s="3" t="s">
        <v>2691</v>
      </c>
      <c r="B1353" s="3" t="s">
        <v>2692</v>
      </c>
      <c r="C1353" s="3" t="s">
        <v>56</v>
      </c>
      <c r="D1353" s="3">
        <v>0</v>
      </c>
      <c r="E1353" s="3" t="s">
        <v>57</v>
      </c>
      <c r="F1353" s="3">
        <v>0</v>
      </c>
      <c r="G1353" s="21">
        <f>Table4[[#This Row],[Item Cost]]*Table4[[#This Row],[In Stock]]</f>
        <v>0</v>
      </c>
      <c r="H1353" s="12" t="s">
        <v>4661</v>
      </c>
      <c r="I1353" s="13" t="s">
        <v>4668</v>
      </c>
      <c r="J1353" s="13" t="s">
        <v>4672</v>
      </c>
      <c r="K1353" s="13" t="s">
        <v>4672</v>
      </c>
      <c r="L1353" s="12" t="s">
        <v>4672</v>
      </c>
      <c r="M1353" s="17">
        <f>IF(LEN(COUNTIFS($H$1:H1353,$H1353,$I$1:I1353,$I1353,$J$1:J1353,$J1353,$K$1:K1353,K1353,$L$1:L1353,L1353))=1,"00"&amp;COUNTIFS($H$1:H1353,$H1353,$I$1:I1353,$I1353,$J$1:J1353,$J1353,$K$1:K1353,K1353,$L$1:L1353,L1353),IF(LEN(COUNTIFS($H$1:H1353,$H1353,$I$1:I1353,$I1353,$J$1:J1353,$J1353,$K$1:K1353,K1353,$L$1:L1353,L1353))=2,"0"&amp;COUNTIFS($H$1:H1353,$H1353,$I$1:I1353,$I1353,$J$1:J1353,$J1353,$K$1:K1353,K1353,$L$1:L1353,L1353),COUNTIFS($H$1:H1353,$H1353,$I$1:I1353,$I1353,$J$1:J1353,$J1353,$K$1:K1353,K1353,$L$1:L1353,L1353)))</f>
        <v>130</v>
      </c>
      <c r="N135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53" s="14" t="e">
        <f>+LEN(Table4[[#This Row],[New Item Code]])</f>
        <v>#N/A</v>
      </c>
      <c r="P1353" s="15" t="s">
        <v>4747</v>
      </c>
      <c r="Q1353" s="15" t="s">
        <v>4749</v>
      </c>
      <c r="R1353" s="15"/>
      <c r="S1353" s="15"/>
      <c r="T1353" s="15" t="s">
        <v>4672</v>
      </c>
    </row>
    <row r="1354" spans="1:20" x14ac:dyDescent="0.35">
      <c r="A1354" s="2" t="s">
        <v>2693</v>
      </c>
      <c r="B1354" s="2" t="s">
        <v>2694</v>
      </c>
      <c r="C1354" s="2" t="s">
        <v>56</v>
      </c>
      <c r="D1354" s="2">
        <v>0</v>
      </c>
      <c r="E1354" s="2" t="s">
        <v>57</v>
      </c>
      <c r="F1354" s="2">
        <v>0</v>
      </c>
      <c r="G1354" s="22">
        <f>Table4[[#This Row],[Item Cost]]*Table4[[#This Row],[In Stock]]</f>
        <v>0</v>
      </c>
      <c r="H1354" s="12" t="s">
        <v>4661</v>
      </c>
      <c r="I1354" s="13" t="s">
        <v>4668</v>
      </c>
      <c r="J1354" s="13" t="s">
        <v>4672</v>
      </c>
      <c r="K1354" s="13" t="s">
        <v>4672</v>
      </c>
      <c r="L1354" s="12" t="s">
        <v>4672</v>
      </c>
      <c r="M1354" s="17">
        <f>IF(LEN(COUNTIFS($H$1:H1354,$H1354,$I$1:I1354,$I1354,$J$1:J1354,$J1354,$K$1:K1354,K1354,$L$1:L1354,L1354))=1,"00"&amp;COUNTIFS($H$1:H1354,$H1354,$I$1:I1354,$I1354,$J$1:J1354,$J1354,$K$1:K1354,K1354,$L$1:L1354,L1354),IF(LEN(COUNTIFS($H$1:H1354,$H1354,$I$1:I1354,$I1354,$J$1:J1354,$J1354,$K$1:K1354,K1354,$L$1:L1354,L1354))=2,"0"&amp;COUNTIFS($H$1:H1354,$H1354,$I$1:I1354,$I1354,$J$1:J1354,$J1354,$K$1:K1354,K1354,$L$1:L1354,L1354),COUNTIFS($H$1:H1354,$H1354,$I$1:I1354,$I1354,$J$1:J1354,$J1354,$K$1:K1354,K1354,$L$1:L1354,L1354)))</f>
        <v>131</v>
      </c>
      <c r="N135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54" s="14" t="e">
        <f>+LEN(Table4[[#This Row],[New Item Code]])</f>
        <v>#N/A</v>
      </c>
      <c r="P1354" s="15" t="s">
        <v>4747</v>
      </c>
      <c r="Q1354" s="15" t="s">
        <v>4749</v>
      </c>
      <c r="R1354" s="15"/>
      <c r="S1354" s="15"/>
      <c r="T1354" s="15" t="s">
        <v>4672</v>
      </c>
    </row>
    <row r="1355" spans="1:20" x14ac:dyDescent="0.35">
      <c r="A1355" s="3" t="s">
        <v>2695</v>
      </c>
      <c r="B1355" s="3" t="s">
        <v>2696</v>
      </c>
      <c r="C1355" s="3" t="s">
        <v>56</v>
      </c>
      <c r="D1355" s="3">
        <v>0</v>
      </c>
      <c r="E1355" s="3" t="s">
        <v>57</v>
      </c>
      <c r="F1355" s="3">
        <v>0</v>
      </c>
      <c r="G1355" s="21">
        <f>Table4[[#This Row],[Item Cost]]*Table4[[#This Row],[In Stock]]</f>
        <v>0</v>
      </c>
      <c r="H1355" s="12" t="s">
        <v>4661</v>
      </c>
      <c r="I1355" s="13" t="s">
        <v>4668</v>
      </c>
      <c r="J1355" s="13" t="s">
        <v>4672</v>
      </c>
      <c r="K1355" s="13" t="s">
        <v>4672</v>
      </c>
      <c r="L1355" s="12" t="s">
        <v>4672</v>
      </c>
      <c r="M1355" s="17">
        <f>IF(LEN(COUNTIFS($H$1:H1355,$H1355,$I$1:I1355,$I1355,$J$1:J1355,$J1355,$K$1:K1355,K1355,$L$1:L1355,L1355))=1,"00"&amp;COUNTIFS($H$1:H1355,$H1355,$I$1:I1355,$I1355,$J$1:J1355,$J1355,$K$1:K1355,K1355,$L$1:L1355,L1355),IF(LEN(COUNTIFS($H$1:H1355,$H1355,$I$1:I1355,$I1355,$J$1:J1355,$J1355,$K$1:K1355,K1355,$L$1:L1355,L1355))=2,"0"&amp;COUNTIFS($H$1:H1355,$H1355,$I$1:I1355,$I1355,$J$1:J1355,$J1355,$K$1:K1355,K1355,$L$1:L1355,L1355),COUNTIFS($H$1:H1355,$H1355,$I$1:I1355,$I1355,$J$1:J1355,$J1355,$K$1:K1355,K1355,$L$1:L1355,L1355)))</f>
        <v>132</v>
      </c>
      <c r="N135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55" s="14" t="e">
        <f>+LEN(Table4[[#This Row],[New Item Code]])</f>
        <v>#N/A</v>
      </c>
      <c r="P1355" s="15" t="s">
        <v>4747</v>
      </c>
      <c r="Q1355" s="15" t="s">
        <v>4749</v>
      </c>
      <c r="R1355" s="15"/>
      <c r="S1355" s="15"/>
      <c r="T1355" s="15" t="s">
        <v>4672</v>
      </c>
    </row>
    <row r="1356" spans="1:20" x14ac:dyDescent="0.35">
      <c r="A1356" s="2" t="s">
        <v>2697</v>
      </c>
      <c r="B1356" s="2" t="s">
        <v>2698</v>
      </c>
      <c r="C1356" s="2" t="s">
        <v>56</v>
      </c>
      <c r="D1356" s="2">
        <v>0</v>
      </c>
      <c r="E1356" s="2" t="s">
        <v>57</v>
      </c>
      <c r="F1356" s="2">
        <v>0</v>
      </c>
      <c r="G1356" s="22">
        <f>Table4[[#This Row],[Item Cost]]*Table4[[#This Row],[In Stock]]</f>
        <v>0</v>
      </c>
      <c r="H1356" s="12" t="s">
        <v>4661</v>
      </c>
      <c r="I1356" s="13" t="s">
        <v>4668</v>
      </c>
      <c r="J1356" s="13" t="s">
        <v>4672</v>
      </c>
      <c r="K1356" s="13" t="s">
        <v>4672</v>
      </c>
      <c r="L1356" s="12" t="s">
        <v>4672</v>
      </c>
      <c r="M1356" s="17">
        <f>IF(LEN(COUNTIFS($H$1:H1356,$H1356,$I$1:I1356,$I1356,$J$1:J1356,$J1356,$K$1:K1356,K1356,$L$1:L1356,L1356))=1,"00"&amp;COUNTIFS($H$1:H1356,$H1356,$I$1:I1356,$I1356,$J$1:J1356,$J1356,$K$1:K1356,K1356,$L$1:L1356,L1356),IF(LEN(COUNTIFS($H$1:H1356,$H1356,$I$1:I1356,$I1356,$J$1:J1356,$J1356,$K$1:K1356,K1356,$L$1:L1356,L1356))=2,"0"&amp;COUNTIFS($H$1:H1356,$H1356,$I$1:I1356,$I1356,$J$1:J1356,$J1356,$K$1:K1356,K1356,$L$1:L1356,L1356),COUNTIFS($H$1:H1356,$H1356,$I$1:I1356,$I1356,$J$1:J1356,$J1356,$K$1:K1356,K1356,$L$1:L1356,L1356)))</f>
        <v>133</v>
      </c>
      <c r="N135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56" s="14" t="e">
        <f>+LEN(Table4[[#This Row],[New Item Code]])</f>
        <v>#N/A</v>
      </c>
      <c r="P1356" s="15" t="s">
        <v>4747</v>
      </c>
      <c r="Q1356" s="15" t="s">
        <v>4749</v>
      </c>
      <c r="R1356" s="15"/>
      <c r="S1356" s="15"/>
      <c r="T1356" s="15" t="s">
        <v>4672</v>
      </c>
    </row>
    <row r="1357" spans="1:20" x14ac:dyDescent="0.35">
      <c r="A1357" s="3" t="s">
        <v>2699</v>
      </c>
      <c r="B1357" s="3" t="s">
        <v>2700</v>
      </c>
      <c r="C1357" s="3" t="s">
        <v>56</v>
      </c>
      <c r="D1357" s="3">
        <v>0</v>
      </c>
      <c r="E1357" s="3" t="s">
        <v>57</v>
      </c>
      <c r="F1357" s="3">
        <v>0</v>
      </c>
      <c r="G1357" s="21">
        <f>Table4[[#This Row],[Item Cost]]*Table4[[#This Row],[In Stock]]</f>
        <v>0</v>
      </c>
      <c r="H1357" s="12" t="s">
        <v>4661</v>
      </c>
      <c r="I1357" s="13" t="s">
        <v>4668</v>
      </c>
      <c r="J1357" s="13" t="s">
        <v>4672</v>
      </c>
      <c r="K1357" s="13" t="s">
        <v>4672</v>
      </c>
      <c r="L1357" s="12" t="s">
        <v>4672</v>
      </c>
      <c r="M1357" s="17">
        <f>IF(LEN(COUNTIFS($H$1:H1357,$H1357,$I$1:I1357,$I1357,$J$1:J1357,$J1357,$K$1:K1357,K1357,$L$1:L1357,L1357))=1,"00"&amp;COUNTIFS($H$1:H1357,$H1357,$I$1:I1357,$I1357,$J$1:J1357,$J1357,$K$1:K1357,K1357,$L$1:L1357,L1357),IF(LEN(COUNTIFS($H$1:H1357,$H1357,$I$1:I1357,$I1357,$J$1:J1357,$J1357,$K$1:K1357,K1357,$L$1:L1357,L1357))=2,"0"&amp;COUNTIFS($H$1:H1357,$H1357,$I$1:I1357,$I1357,$J$1:J1357,$J1357,$K$1:K1357,K1357,$L$1:L1357,L1357),COUNTIFS($H$1:H1357,$H1357,$I$1:I1357,$I1357,$J$1:J1357,$J1357,$K$1:K1357,K1357,$L$1:L1357,L1357)))</f>
        <v>134</v>
      </c>
      <c r="N135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57" s="14" t="e">
        <f>+LEN(Table4[[#This Row],[New Item Code]])</f>
        <v>#N/A</v>
      </c>
      <c r="P1357" s="15" t="s">
        <v>4747</v>
      </c>
      <c r="Q1357" s="15" t="s">
        <v>4749</v>
      </c>
      <c r="R1357" s="15"/>
      <c r="S1357" s="15"/>
      <c r="T1357" s="15" t="s">
        <v>4672</v>
      </c>
    </row>
    <row r="1358" spans="1:20" x14ac:dyDescent="0.35">
      <c r="A1358" s="2" t="s">
        <v>2701</v>
      </c>
      <c r="B1358" s="2" t="s">
        <v>2702</v>
      </c>
      <c r="C1358" s="2" t="s">
        <v>56</v>
      </c>
      <c r="D1358" s="2">
        <v>0</v>
      </c>
      <c r="E1358" s="2" t="s">
        <v>57</v>
      </c>
      <c r="F1358" s="2">
        <v>0</v>
      </c>
      <c r="G1358" s="22">
        <f>Table4[[#This Row],[Item Cost]]*Table4[[#This Row],[In Stock]]</f>
        <v>0</v>
      </c>
      <c r="H1358" s="12" t="s">
        <v>4661</v>
      </c>
      <c r="I1358" s="13" t="s">
        <v>4668</v>
      </c>
      <c r="J1358" s="13" t="s">
        <v>4672</v>
      </c>
      <c r="K1358" s="13" t="s">
        <v>4672</v>
      </c>
      <c r="L1358" s="12" t="s">
        <v>4672</v>
      </c>
      <c r="M1358" s="17">
        <f>IF(LEN(COUNTIFS($H$1:H1358,$H1358,$I$1:I1358,$I1358,$J$1:J1358,$J1358,$K$1:K1358,K1358,$L$1:L1358,L1358))=1,"00"&amp;COUNTIFS($H$1:H1358,$H1358,$I$1:I1358,$I1358,$J$1:J1358,$J1358,$K$1:K1358,K1358,$L$1:L1358,L1358),IF(LEN(COUNTIFS($H$1:H1358,$H1358,$I$1:I1358,$I1358,$J$1:J1358,$J1358,$K$1:K1358,K1358,$L$1:L1358,L1358))=2,"0"&amp;COUNTIFS($H$1:H1358,$H1358,$I$1:I1358,$I1358,$J$1:J1358,$J1358,$K$1:K1358,K1358,$L$1:L1358,L1358),COUNTIFS($H$1:H1358,$H1358,$I$1:I1358,$I1358,$J$1:J1358,$J1358,$K$1:K1358,K1358,$L$1:L1358,L1358)))</f>
        <v>135</v>
      </c>
      <c r="N135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58" s="14" t="e">
        <f>+LEN(Table4[[#This Row],[New Item Code]])</f>
        <v>#N/A</v>
      </c>
      <c r="P1358" s="15" t="s">
        <v>4747</v>
      </c>
      <c r="Q1358" s="15" t="s">
        <v>4749</v>
      </c>
      <c r="R1358" s="15"/>
      <c r="S1358" s="15"/>
      <c r="T1358" s="15" t="s">
        <v>4672</v>
      </c>
    </row>
    <row r="1359" spans="1:20" x14ac:dyDescent="0.35">
      <c r="A1359" s="3" t="s">
        <v>2703</v>
      </c>
      <c r="B1359" s="3" t="s">
        <v>2704</v>
      </c>
      <c r="C1359" s="3" t="s">
        <v>56</v>
      </c>
      <c r="D1359" s="3">
        <v>0</v>
      </c>
      <c r="E1359" s="3" t="s">
        <v>57</v>
      </c>
      <c r="F1359" s="3">
        <v>0</v>
      </c>
      <c r="G1359" s="21">
        <f>Table4[[#This Row],[Item Cost]]*Table4[[#This Row],[In Stock]]</f>
        <v>0</v>
      </c>
      <c r="H1359" s="12" t="s">
        <v>4661</v>
      </c>
      <c r="I1359" s="13" t="s">
        <v>4668</v>
      </c>
      <c r="J1359" s="13" t="s">
        <v>4672</v>
      </c>
      <c r="K1359" s="13" t="s">
        <v>4672</v>
      </c>
      <c r="L1359" s="12" t="s">
        <v>4672</v>
      </c>
      <c r="M1359" s="17">
        <f>IF(LEN(COUNTIFS($H$1:H1359,$H1359,$I$1:I1359,$I1359,$J$1:J1359,$J1359,$K$1:K1359,K1359,$L$1:L1359,L1359))=1,"00"&amp;COUNTIFS($H$1:H1359,$H1359,$I$1:I1359,$I1359,$J$1:J1359,$J1359,$K$1:K1359,K1359,$L$1:L1359,L1359),IF(LEN(COUNTIFS($H$1:H1359,$H1359,$I$1:I1359,$I1359,$J$1:J1359,$J1359,$K$1:K1359,K1359,$L$1:L1359,L1359))=2,"0"&amp;COUNTIFS($H$1:H1359,$H1359,$I$1:I1359,$I1359,$J$1:J1359,$J1359,$K$1:K1359,K1359,$L$1:L1359,L1359),COUNTIFS($H$1:H1359,$H1359,$I$1:I1359,$I1359,$J$1:J1359,$J1359,$K$1:K1359,K1359,$L$1:L1359,L1359)))</f>
        <v>136</v>
      </c>
      <c r="N135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59" s="14" t="e">
        <f>+LEN(Table4[[#This Row],[New Item Code]])</f>
        <v>#N/A</v>
      </c>
      <c r="P1359" s="15" t="s">
        <v>4747</v>
      </c>
      <c r="Q1359" s="15" t="s">
        <v>4749</v>
      </c>
      <c r="R1359" s="15"/>
      <c r="S1359" s="15"/>
      <c r="T1359" s="15" t="s">
        <v>4672</v>
      </c>
    </row>
    <row r="1360" spans="1:20" x14ac:dyDescent="0.35">
      <c r="A1360" s="2" t="s">
        <v>2705</v>
      </c>
      <c r="B1360" s="2" t="s">
        <v>2706</v>
      </c>
      <c r="C1360" s="2" t="s">
        <v>56</v>
      </c>
      <c r="D1360" s="2">
        <v>0</v>
      </c>
      <c r="E1360" s="2" t="s">
        <v>57</v>
      </c>
      <c r="F1360" s="2">
        <v>0</v>
      </c>
      <c r="G1360" s="22">
        <f>Table4[[#This Row],[Item Cost]]*Table4[[#This Row],[In Stock]]</f>
        <v>0</v>
      </c>
      <c r="H1360" s="12" t="s">
        <v>4661</v>
      </c>
      <c r="I1360" s="13" t="s">
        <v>4668</v>
      </c>
      <c r="J1360" s="13" t="s">
        <v>4672</v>
      </c>
      <c r="K1360" s="13" t="s">
        <v>4672</v>
      </c>
      <c r="L1360" s="12" t="s">
        <v>4672</v>
      </c>
      <c r="M1360" s="17">
        <f>IF(LEN(COUNTIFS($H$1:H1360,$H1360,$I$1:I1360,$I1360,$J$1:J1360,$J1360,$K$1:K1360,K1360,$L$1:L1360,L1360))=1,"00"&amp;COUNTIFS($H$1:H1360,$H1360,$I$1:I1360,$I1360,$J$1:J1360,$J1360,$K$1:K1360,K1360,$L$1:L1360,L1360),IF(LEN(COUNTIFS($H$1:H1360,$H1360,$I$1:I1360,$I1360,$J$1:J1360,$J1360,$K$1:K1360,K1360,$L$1:L1360,L1360))=2,"0"&amp;COUNTIFS($H$1:H1360,$H1360,$I$1:I1360,$I1360,$J$1:J1360,$J1360,$K$1:K1360,K1360,$L$1:L1360,L1360),COUNTIFS($H$1:H1360,$H1360,$I$1:I1360,$I1360,$J$1:J1360,$J1360,$K$1:K1360,K1360,$L$1:L1360,L1360)))</f>
        <v>137</v>
      </c>
      <c r="N136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60" s="14" t="e">
        <f>+LEN(Table4[[#This Row],[New Item Code]])</f>
        <v>#N/A</v>
      </c>
      <c r="P1360" s="15" t="s">
        <v>4747</v>
      </c>
      <c r="Q1360" s="15" t="s">
        <v>4749</v>
      </c>
      <c r="R1360" s="15"/>
      <c r="S1360" s="15"/>
      <c r="T1360" s="15" t="s">
        <v>4672</v>
      </c>
    </row>
    <row r="1361" spans="1:20" x14ac:dyDescent="0.35">
      <c r="A1361" s="3" t="s">
        <v>2707</v>
      </c>
      <c r="B1361" s="3" t="s">
        <v>2708</v>
      </c>
      <c r="C1361" s="3" t="s">
        <v>56</v>
      </c>
      <c r="D1361" s="3">
        <v>0</v>
      </c>
      <c r="E1361" s="3" t="s">
        <v>57</v>
      </c>
      <c r="F1361" s="3">
        <v>0</v>
      </c>
      <c r="G1361" s="21">
        <f>Table4[[#This Row],[Item Cost]]*Table4[[#This Row],[In Stock]]</f>
        <v>0</v>
      </c>
      <c r="H1361" s="12" t="s">
        <v>4661</v>
      </c>
      <c r="I1361" s="13" t="s">
        <v>4668</v>
      </c>
      <c r="J1361" s="13" t="s">
        <v>4672</v>
      </c>
      <c r="K1361" s="13" t="s">
        <v>4672</v>
      </c>
      <c r="L1361" s="12" t="s">
        <v>4672</v>
      </c>
      <c r="M1361" s="17">
        <f>IF(LEN(COUNTIFS($H$1:H1361,$H1361,$I$1:I1361,$I1361,$J$1:J1361,$J1361,$K$1:K1361,K1361,$L$1:L1361,L1361))=1,"00"&amp;COUNTIFS($H$1:H1361,$H1361,$I$1:I1361,$I1361,$J$1:J1361,$J1361,$K$1:K1361,K1361,$L$1:L1361,L1361),IF(LEN(COUNTIFS($H$1:H1361,$H1361,$I$1:I1361,$I1361,$J$1:J1361,$J1361,$K$1:K1361,K1361,$L$1:L1361,L1361))=2,"0"&amp;COUNTIFS($H$1:H1361,$H1361,$I$1:I1361,$I1361,$J$1:J1361,$J1361,$K$1:K1361,K1361,$L$1:L1361,L1361),COUNTIFS($H$1:H1361,$H1361,$I$1:I1361,$I1361,$J$1:J1361,$J1361,$K$1:K1361,K1361,$L$1:L1361,L1361)))</f>
        <v>138</v>
      </c>
      <c r="N136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61" s="14" t="e">
        <f>+LEN(Table4[[#This Row],[New Item Code]])</f>
        <v>#N/A</v>
      </c>
      <c r="P1361" s="15" t="s">
        <v>4747</v>
      </c>
      <c r="Q1361" s="15" t="s">
        <v>4749</v>
      </c>
      <c r="R1361" s="15"/>
      <c r="S1361" s="15"/>
      <c r="T1361" s="15" t="s">
        <v>4672</v>
      </c>
    </row>
    <row r="1362" spans="1:20" x14ac:dyDescent="0.35">
      <c r="A1362" s="2" t="s">
        <v>2709</v>
      </c>
      <c r="B1362" s="2" t="s">
        <v>2710</v>
      </c>
      <c r="C1362" s="2" t="s">
        <v>56</v>
      </c>
      <c r="D1362" s="2">
        <v>0</v>
      </c>
      <c r="E1362" s="2" t="s">
        <v>57</v>
      </c>
      <c r="F1362" s="2">
        <v>0</v>
      </c>
      <c r="G1362" s="22">
        <f>Table4[[#This Row],[Item Cost]]*Table4[[#This Row],[In Stock]]</f>
        <v>0</v>
      </c>
      <c r="H1362" s="12" t="s">
        <v>4661</v>
      </c>
      <c r="I1362" s="13" t="s">
        <v>4668</v>
      </c>
      <c r="J1362" s="13" t="s">
        <v>4672</v>
      </c>
      <c r="K1362" s="13" t="s">
        <v>4672</v>
      </c>
      <c r="L1362" s="12" t="s">
        <v>4672</v>
      </c>
      <c r="M1362" s="17">
        <f>IF(LEN(COUNTIFS($H$1:H1362,$H1362,$I$1:I1362,$I1362,$J$1:J1362,$J1362,$K$1:K1362,K1362,$L$1:L1362,L1362))=1,"00"&amp;COUNTIFS($H$1:H1362,$H1362,$I$1:I1362,$I1362,$J$1:J1362,$J1362,$K$1:K1362,K1362,$L$1:L1362,L1362),IF(LEN(COUNTIFS($H$1:H1362,$H1362,$I$1:I1362,$I1362,$J$1:J1362,$J1362,$K$1:K1362,K1362,$L$1:L1362,L1362))=2,"0"&amp;COUNTIFS($H$1:H1362,$H1362,$I$1:I1362,$I1362,$J$1:J1362,$J1362,$K$1:K1362,K1362,$L$1:L1362,L1362),COUNTIFS($H$1:H1362,$H1362,$I$1:I1362,$I1362,$J$1:J1362,$J1362,$K$1:K1362,K1362,$L$1:L1362,L1362)))</f>
        <v>139</v>
      </c>
      <c r="N136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62" s="14" t="e">
        <f>+LEN(Table4[[#This Row],[New Item Code]])</f>
        <v>#N/A</v>
      </c>
      <c r="P1362" s="15" t="s">
        <v>4747</v>
      </c>
      <c r="Q1362" s="15" t="s">
        <v>4749</v>
      </c>
      <c r="R1362" s="15"/>
      <c r="S1362" s="15"/>
      <c r="T1362" s="15" t="s">
        <v>4672</v>
      </c>
    </row>
    <row r="1363" spans="1:20" x14ac:dyDescent="0.35">
      <c r="A1363" s="3" t="s">
        <v>2711</v>
      </c>
      <c r="B1363" s="3" t="s">
        <v>2712</v>
      </c>
      <c r="C1363" s="3" t="s">
        <v>56</v>
      </c>
      <c r="D1363" s="3">
        <v>0</v>
      </c>
      <c r="E1363" s="3" t="s">
        <v>57</v>
      </c>
      <c r="F1363" s="3">
        <v>0</v>
      </c>
      <c r="G1363" s="21">
        <f>Table4[[#This Row],[Item Cost]]*Table4[[#This Row],[In Stock]]</f>
        <v>0</v>
      </c>
      <c r="H1363" s="12" t="s">
        <v>4661</v>
      </c>
      <c r="I1363" s="13" t="s">
        <v>4668</v>
      </c>
      <c r="J1363" s="13" t="s">
        <v>4672</v>
      </c>
      <c r="K1363" t="s">
        <v>4798</v>
      </c>
      <c r="L1363" s="12" t="s">
        <v>4672</v>
      </c>
      <c r="M1363" s="17" t="str">
        <f>IF(LEN(COUNTIFS($H$1:H1363,$H1363,$I$1:I1363,$I1363,$J$1:J1363,$J1363,$K$1:K1363,K1363,$L$1:L1363,L1363))=1,"00"&amp;COUNTIFS($H$1:H1363,$H1363,$I$1:I1363,$I1363,$J$1:J1363,$J1363,$K$1:K1363,K1363,$L$1:L1363,L1363),IF(LEN(COUNTIFS($H$1:H1363,$H1363,$I$1:I1363,$I1363,$J$1:J1363,$J1363,$K$1:K1363,K1363,$L$1:L1363,L1363))=2,"0"&amp;COUNTIFS($H$1:H1363,$H1363,$I$1:I1363,$I1363,$J$1:J1363,$J1363,$K$1:K1363,K1363,$L$1:L1363,L1363),COUNTIFS($H$1:H1363,$H1363,$I$1:I1363,$I1363,$J$1:J1363,$J1363,$K$1:K1363,K1363,$L$1:L1363,L1363)))</f>
        <v>002</v>
      </c>
      <c r="N136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63" s="14" t="e">
        <f>+LEN(Table4[[#This Row],[New Item Code]])</f>
        <v>#N/A</v>
      </c>
      <c r="P1363" s="15" t="s">
        <v>4747</v>
      </c>
      <c r="Q1363" s="15" t="s">
        <v>4749</v>
      </c>
      <c r="R1363" s="15"/>
      <c r="S1363" s="15"/>
      <c r="T1363" s="15" t="s">
        <v>4672</v>
      </c>
    </row>
    <row r="1364" spans="1:20" x14ac:dyDescent="0.35">
      <c r="A1364" s="2" t="s">
        <v>2713</v>
      </c>
      <c r="B1364" s="2" t="s">
        <v>2714</v>
      </c>
      <c r="C1364" s="2" t="s">
        <v>56</v>
      </c>
      <c r="D1364" s="2">
        <v>0</v>
      </c>
      <c r="E1364" s="2" t="s">
        <v>57</v>
      </c>
      <c r="F1364" s="2">
        <v>0</v>
      </c>
      <c r="G1364" s="22">
        <f>Table4[[#This Row],[Item Cost]]*Table4[[#This Row],[In Stock]]</f>
        <v>0</v>
      </c>
      <c r="H1364" s="12" t="s">
        <v>4661</v>
      </c>
      <c r="I1364" s="13" t="s">
        <v>4668</v>
      </c>
      <c r="J1364" s="13" t="s">
        <v>4672</v>
      </c>
      <c r="K1364" t="s">
        <v>4799</v>
      </c>
      <c r="L1364" s="12" t="s">
        <v>4672</v>
      </c>
      <c r="M1364" s="17" t="str">
        <f>IF(LEN(COUNTIFS($H$1:H1364,$H1364,$I$1:I1364,$I1364,$J$1:J1364,$J1364,$K$1:K1364,K1364,$L$1:L1364,L1364))=1,"00"&amp;COUNTIFS($H$1:H1364,$H1364,$I$1:I1364,$I1364,$J$1:J1364,$J1364,$K$1:K1364,K1364,$L$1:L1364,L1364),IF(LEN(COUNTIFS($H$1:H1364,$H1364,$I$1:I1364,$I1364,$J$1:J1364,$J1364,$K$1:K1364,K1364,$L$1:L1364,L1364))=2,"0"&amp;COUNTIFS($H$1:H1364,$H1364,$I$1:I1364,$I1364,$J$1:J1364,$J1364,$K$1:K1364,K1364,$L$1:L1364,L1364),COUNTIFS($H$1:H1364,$H1364,$I$1:I1364,$I1364,$J$1:J1364,$J1364,$K$1:K1364,K1364,$L$1:L1364,L1364)))</f>
        <v>001</v>
      </c>
      <c r="N136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64" s="14" t="e">
        <f>+LEN(Table4[[#This Row],[New Item Code]])</f>
        <v>#N/A</v>
      </c>
      <c r="P1364" s="15" t="s">
        <v>4747</v>
      </c>
      <c r="Q1364" s="15" t="s">
        <v>4749</v>
      </c>
      <c r="R1364" s="15"/>
      <c r="S1364" s="15"/>
      <c r="T1364" s="15" t="s">
        <v>4672</v>
      </c>
    </row>
    <row r="1365" spans="1:20" x14ac:dyDescent="0.35">
      <c r="A1365" s="3" t="s">
        <v>2715</v>
      </c>
      <c r="B1365" s="3" t="s">
        <v>2716</v>
      </c>
      <c r="C1365" s="3" t="s">
        <v>56</v>
      </c>
      <c r="D1365" s="3">
        <v>0</v>
      </c>
      <c r="E1365" s="3" t="s">
        <v>57</v>
      </c>
      <c r="F1365" s="3">
        <v>0</v>
      </c>
      <c r="G1365" s="21">
        <f>Table4[[#This Row],[Item Cost]]*Table4[[#This Row],[In Stock]]</f>
        <v>0</v>
      </c>
      <c r="H1365" s="12" t="s">
        <v>4661</v>
      </c>
      <c r="I1365" s="13" t="s">
        <v>4668</v>
      </c>
      <c r="J1365" s="13" t="s">
        <v>4672</v>
      </c>
      <c r="K1365" s="13" t="s">
        <v>4672</v>
      </c>
      <c r="L1365" s="12" t="s">
        <v>4672</v>
      </c>
      <c r="M1365" s="17">
        <f>IF(LEN(COUNTIFS($H$1:H1365,$H1365,$I$1:I1365,$I1365,$J$1:J1365,$J1365,$K$1:K1365,K1365,$L$1:L1365,L1365))=1,"00"&amp;COUNTIFS($H$1:H1365,$H1365,$I$1:I1365,$I1365,$J$1:J1365,$J1365,$K$1:K1365,K1365,$L$1:L1365,L1365),IF(LEN(COUNTIFS($H$1:H1365,$H1365,$I$1:I1365,$I1365,$J$1:J1365,$J1365,$K$1:K1365,K1365,$L$1:L1365,L1365))=2,"0"&amp;COUNTIFS($H$1:H1365,$H1365,$I$1:I1365,$I1365,$J$1:J1365,$J1365,$K$1:K1365,K1365,$L$1:L1365,L1365),COUNTIFS($H$1:H1365,$H1365,$I$1:I1365,$I1365,$J$1:J1365,$J1365,$K$1:K1365,K1365,$L$1:L1365,L1365)))</f>
        <v>140</v>
      </c>
      <c r="N136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65" s="14" t="e">
        <f>+LEN(Table4[[#This Row],[New Item Code]])</f>
        <v>#N/A</v>
      </c>
      <c r="P1365" s="15" t="s">
        <v>4747</v>
      </c>
      <c r="Q1365" s="15" t="s">
        <v>4749</v>
      </c>
      <c r="R1365" s="15"/>
      <c r="S1365" s="15"/>
      <c r="T1365" s="15" t="s">
        <v>4672</v>
      </c>
    </row>
    <row r="1366" spans="1:20" x14ac:dyDescent="0.35">
      <c r="A1366" s="2" t="s">
        <v>2717</v>
      </c>
      <c r="B1366" s="2" t="s">
        <v>2718</v>
      </c>
      <c r="C1366" s="2" t="s">
        <v>56</v>
      </c>
      <c r="D1366" s="2">
        <v>0</v>
      </c>
      <c r="E1366" s="2" t="s">
        <v>57</v>
      </c>
      <c r="F1366" s="2">
        <v>0</v>
      </c>
      <c r="G1366" s="22">
        <f>Table4[[#This Row],[Item Cost]]*Table4[[#This Row],[In Stock]]</f>
        <v>0</v>
      </c>
      <c r="H1366" s="12" t="s">
        <v>4661</v>
      </c>
      <c r="I1366" s="13" t="s">
        <v>4668</v>
      </c>
      <c r="J1366" s="13" t="s">
        <v>4672</v>
      </c>
      <c r="K1366" s="13" t="s">
        <v>4672</v>
      </c>
      <c r="L1366" s="12" t="s">
        <v>4672</v>
      </c>
      <c r="M1366" s="17">
        <f>IF(LEN(COUNTIFS($H$1:H1366,$H1366,$I$1:I1366,$I1366,$J$1:J1366,$J1366,$K$1:K1366,K1366,$L$1:L1366,L1366))=1,"00"&amp;COUNTIFS($H$1:H1366,$H1366,$I$1:I1366,$I1366,$J$1:J1366,$J1366,$K$1:K1366,K1366,$L$1:L1366,L1366),IF(LEN(COUNTIFS($H$1:H1366,$H1366,$I$1:I1366,$I1366,$J$1:J1366,$J1366,$K$1:K1366,K1366,$L$1:L1366,L1366))=2,"0"&amp;COUNTIFS($H$1:H1366,$H1366,$I$1:I1366,$I1366,$J$1:J1366,$J1366,$K$1:K1366,K1366,$L$1:L1366,L1366),COUNTIFS($H$1:H1366,$H1366,$I$1:I1366,$I1366,$J$1:J1366,$J1366,$K$1:K1366,K1366,$L$1:L1366,L1366)))</f>
        <v>141</v>
      </c>
      <c r="N136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66" s="14" t="e">
        <f>+LEN(Table4[[#This Row],[New Item Code]])</f>
        <v>#N/A</v>
      </c>
      <c r="P1366" s="15" t="s">
        <v>4747</v>
      </c>
      <c r="Q1366" s="15" t="s">
        <v>4749</v>
      </c>
      <c r="R1366" s="15"/>
      <c r="S1366" s="15"/>
      <c r="T1366" s="15" t="s">
        <v>4672</v>
      </c>
    </row>
    <row r="1367" spans="1:20" x14ac:dyDescent="0.35">
      <c r="A1367" s="3" t="s">
        <v>2719</v>
      </c>
      <c r="B1367" s="3" t="s">
        <v>2720</v>
      </c>
      <c r="C1367" s="3" t="s">
        <v>56</v>
      </c>
      <c r="D1367" s="3">
        <v>0</v>
      </c>
      <c r="E1367" s="3" t="s">
        <v>57</v>
      </c>
      <c r="F1367" s="3">
        <v>0</v>
      </c>
      <c r="G1367" s="21">
        <f>Table4[[#This Row],[Item Cost]]*Table4[[#This Row],[In Stock]]</f>
        <v>0</v>
      </c>
      <c r="H1367" s="12" t="s">
        <v>4661</v>
      </c>
      <c r="I1367" s="13" t="s">
        <v>4668</v>
      </c>
      <c r="J1367" s="13" t="s">
        <v>4672</v>
      </c>
      <c r="K1367" s="13" t="s">
        <v>4672</v>
      </c>
      <c r="L1367" s="12" t="s">
        <v>4672</v>
      </c>
      <c r="M1367" s="17">
        <f>IF(LEN(COUNTIFS($H$1:H1367,$H1367,$I$1:I1367,$I1367,$J$1:J1367,$J1367,$K$1:K1367,K1367,$L$1:L1367,L1367))=1,"00"&amp;COUNTIFS($H$1:H1367,$H1367,$I$1:I1367,$I1367,$J$1:J1367,$J1367,$K$1:K1367,K1367,$L$1:L1367,L1367),IF(LEN(COUNTIFS($H$1:H1367,$H1367,$I$1:I1367,$I1367,$J$1:J1367,$J1367,$K$1:K1367,K1367,$L$1:L1367,L1367))=2,"0"&amp;COUNTIFS($H$1:H1367,$H1367,$I$1:I1367,$I1367,$J$1:J1367,$J1367,$K$1:K1367,K1367,$L$1:L1367,L1367),COUNTIFS($H$1:H1367,$H1367,$I$1:I1367,$I1367,$J$1:J1367,$J1367,$K$1:K1367,K1367,$L$1:L1367,L1367)))</f>
        <v>142</v>
      </c>
      <c r="N136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67" s="14" t="e">
        <f>+LEN(Table4[[#This Row],[New Item Code]])</f>
        <v>#N/A</v>
      </c>
      <c r="P1367" s="15" t="s">
        <v>4747</v>
      </c>
      <c r="Q1367" s="15" t="s">
        <v>4749</v>
      </c>
      <c r="R1367" s="15"/>
      <c r="S1367" s="15"/>
      <c r="T1367" s="15" t="s">
        <v>4672</v>
      </c>
    </row>
    <row r="1368" spans="1:20" x14ac:dyDescent="0.35">
      <c r="A1368" s="2" t="s">
        <v>2721</v>
      </c>
      <c r="B1368" s="2" t="s">
        <v>2722</v>
      </c>
      <c r="C1368" s="2" t="s">
        <v>56</v>
      </c>
      <c r="D1368" s="2">
        <v>0</v>
      </c>
      <c r="E1368" s="2" t="s">
        <v>57</v>
      </c>
      <c r="F1368" s="2">
        <v>0</v>
      </c>
      <c r="G1368" s="22">
        <f>Table4[[#This Row],[Item Cost]]*Table4[[#This Row],[In Stock]]</f>
        <v>0</v>
      </c>
      <c r="H1368" s="12" t="s">
        <v>4661</v>
      </c>
      <c r="I1368" s="13" t="s">
        <v>4668</v>
      </c>
      <c r="J1368" s="13" t="s">
        <v>4672</v>
      </c>
      <c r="K1368" s="13" t="s">
        <v>4672</v>
      </c>
      <c r="L1368" s="12" t="s">
        <v>4672</v>
      </c>
      <c r="M1368" s="17">
        <f>IF(LEN(COUNTIFS($H$1:H1368,$H1368,$I$1:I1368,$I1368,$J$1:J1368,$J1368,$K$1:K1368,K1368,$L$1:L1368,L1368))=1,"00"&amp;COUNTIFS($H$1:H1368,$H1368,$I$1:I1368,$I1368,$J$1:J1368,$J1368,$K$1:K1368,K1368,$L$1:L1368,L1368),IF(LEN(COUNTIFS($H$1:H1368,$H1368,$I$1:I1368,$I1368,$J$1:J1368,$J1368,$K$1:K1368,K1368,$L$1:L1368,L1368))=2,"0"&amp;COUNTIFS($H$1:H1368,$H1368,$I$1:I1368,$I1368,$J$1:J1368,$J1368,$K$1:K1368,K1368,$L$1:L1368,L1368),COUNTIFS($H$1:H1368,$H1368,$I$1:I1368,$I1368,$J$1:J1368,$J1368,$K$1:K1368,K1368,$L$1:L1368,L1368)))</f>
        <v>143</v>
      </c>
      <c r="N136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68" s="14" t="e">
        <f>+LEN(Table4[[#This Row],[New Item Code]])</f>
        <v>#N/A</v>
      </c>
      <c r="P1368" s="15" t="s">
        <v>4747</v>
      </c>
      <c r="Q1368" s="15" t="s">
        <v>4749</v>
      </c>
      <c r="R1368" s="15"/>
      <c r="S1368" s="15"/>
      <c r="T1368" s="15" t="s">
        <v>4672</v>
      </c>
    </row>
    <row r="1369" spans="1:20" x14ac:dyDescent="0.35">
      <c r="A1369" s="3" t="s">
        <v>2723</v>
      </c>
      <c r="B1369" s="3" t="s">
        <v>2724</v>
      </c>
      <c r="C1369" s="3" t="s">
        <v>56</v>
      </c>
      <c r="D1369" s="3">
        <v>0</v>
      </c>
      <c r="E1369" s="3" t="s">
        <v>57</v>
      </c>
      <c r="F1369" s="3">
        <v>0</v>
      </c>
      <c r="G1369" s="21">
        <f>Table4[[#This Row],[Item Cost]]*Table4[[#This Row],[In Stock]]</f>
        <v>0</v>
      </c>
      <c r="H1369" s="12" t="s">
        <v>4661</v>
      </c>
      <c r="I1369" s="13" t="s">
        <v>4668</v>
      </c>
      <c r="J1369" s="13" t="s">
        <v>4672</v>
      </c>
      <c r="K1369" s="13" t="s">
        <v>4672</v>
      </c>
      <c r="L1369" s="12" t="s">
        <v>4672</v>
      </c>
      <c r="M1369" s="17">
        <f>IF(LEN(COUNTIFS($H$1:H1369,$H1369,$I$1:I1369,$I1369,$J$1:J1369,$J1369,$K$1:K1369,K1369,$L$1:L1369,L1369))=1,"00"&amp;COUNTIFS($H$1:H1369,$H1369,$I$1:I1369,$I1369,$J$1:J1369,$J1369,$K$1:K1369,K1369,$L$1:L1369,L1369),IF(LEN(COUNTIFS($H$1:H1369,$H1369,$I$1:I1369,$I1369,$J$1:J1369,$J1369,$K$1:K1369,K1369,$L$1:L1369,L1369))=2,"0"&amp;COUNTIFS($H$1:H1369,$H1369,$I$1:I1369,$I1369,$J$1:J1369,$J1369,$K$1:K1369,K1369,$L$1:L1369,L1369),COUNTIFS($H$1:H1369,$H1369,$I$1:I1369,$I1369,$J$1:J1369,$J1369,$K$1:K1369,K1369,$L$1:L1369,L1369)))</f>
        <v>144</v>
      </c>
      <c r="N136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69" s="14" t="e">
        <f>+LEN(Table4[[#This Row],[New Item Code]])</f>
        <v>#N/A</v>
      </c>
      <c r="P1369" s="15" t="s">
        <v>4747</v>
      </c>
      <c r="Q1369" s="15" t="s">
        <v>4749</v>
      </c>
      <c r="R1369" s="15"/>
      <c r="S1369" s="15"/>
      <c r="T1369" s="15" t="s">
        <v>4672</v>
      </c>
    </row>
    <row r="1370" spans="1:20" x14ac:dyDescent="0.35">
      <c r="A1370" s="2" t="s">
        <v>2725</v>
      </c>
      <c r="B1370" s="2" t="s">
        <v>2726</v>
      </c>
      <c r="C1370" s="2" t="s">
        <v>56</v>
      </c>
      <c r="D1370" s="2">
        <v>0</v>
      </c>
      <c r="E1370" s="2" t="s">
        <v>57</v>
      </c>
      <c r="F1370" s="2">
        <v>0</v>
      </c>
      <c r="G1370" s="22">
        <f>Table4[[#This Row],[Item Cost]]*Table4[[#This Row],[In Stock]]</f>
        <v>0</v>
      </c>
      <c r="H1370" s="12" t="s">
        <v>4661</v>
      </c>
      <c r="I1370" s="13" t="s">
        <v>4668</v>
      </c>
      <c r="J1370" s="13" t="s">
        <v>4672</v>
      </c>
      <c r="K1370" s="13" t="s">
        <v>4672</v>
      </c>
      <c r="L1370" s="12" t="s">
        <v>4672</v>
      </c>
      <c r="M1370" s="17">
        <f>IF(LEN(COUNTIFS($H$1:H1370,$H1370,$I$1:I1370,$I1370,$J$1:J1370,$J1370,$K$1:K1370,K1370,$L$1:L1370,L1370))=1,"00"&amp;COUNTIFS($H$1:H1370,$H1370,$I$1:I1370,$I1370,$J$1:J1370,$J1370,$K$1:K1370,K1370,$L$1:L1370,L1370),IF(LEN(COUNTIFS($H$1:H1370,$H1370,$I$1:I1370,$I1370,$J$1:J1370,$J1370,$K$1:K1370,K1370,$L$1:L1370,L1370))=2,"0"&amp;COUNTIFS($H$1:H1370,$H1370,$I$1:I1370,$I1370,$J$1:J1370,$J1370,$K$1:K1370,K1370,$L$1:L1370,L1370),COUNTIFS($H$1:H1370,$H1370,$I$1:I1370,$I1370,$J$1:J1370,$J1370,$K$1:K1370,K1370,$L$1:L1370,L1370)))</f>
        <v>145</v>
      </c>
      <c r="N137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70" s="14" t="e">
        <f>+LEN(Table4[[#This Row],[New Item Code]])</f>
        <v>#N/A</v>
      </c>
      <c r="P1370" s="15" t="s">
        <v>4747</v>
      </c>
      <c r="Q1370" s="15" t="s">
        <v>4749</v>
      </c>
      <c r="R1370" s="15"/>
      <c r="S1370" s="15"/>
      <c r="T1370" s="15" t="s">
        <v>4672</v>
      </c>
    </row>
    <row r="1371" spans="1:20" x14ac:dyDescent="0.35">
      <c r="A1371" s="3" t="s">
        <v>2727</v>
      </c>
      <c r="B1371" s="3" t="s">
        <v>2728</v>
      </c>
      <c r="C1371" s="3" t="s">
        <v>56</v>
      </c>
      <c r="D1371" s="3">
        <v>0</v>
      </c>
      <c r="E1371" s="3" t="s">
        <v>57</v>
      </c>
      <c r="F1371" s="3">
        <v>0</v>
      </c>
      <c r="G1371" s="21">
        <f>Table4[[#This Row],[Item Cost]]*Table4[[#This Row],[In Stock]]</f>
        <v>0</v>
      </c>
      <c r="H1371" s="12" t="s">
        <v>4661</v>
      </c>
      <c r="I1371" s="13" t="s">
        <v>4668</v>
      </c>
      <c r="J1371" s="13" t="s">
        <v>4672</v>
      </c>
      <c r="K1371" s="13" t="s">
        <v>4672</v>
      </c>
      <c r="L1371" s="12" t="s">
        <v>4672</v>
      </c>
      <c r="M1371" s="17">
        <f>IF(LEN(COUNTIFS($H$1:H1371,$H1371,$I$1:I1371,$I1371,$J$1:J1371,$J1371,$K$1:K1371,K1371,$L$1:L1371,L1371))=1,"00"&amp;COUNTIFS($H$1:H1371,$H1371,$I$1:I1371,$I1371,$J$1:J1371,$J1371,$K$1:K1371,K1371,$L$1:L1371,L1371),IF(LEN(COUNTIFS($H$1:H1371,$H1371,$I$1:I1371,$I1371,$J$1:J1371,$J1371,$K$1:K1371,K1371,$L$1:L1371,L1371))=2,"0"&amp;COUNTIFS($H$1:H1371,$H1371,$I$1:I1371,$I1371,$J$1:J1371,$J1371,$K$1:K1371,K1371,$L$1:L1371,L1371),COUNTIFS($H$1:H1371,$H1371,$I$1:I1371,$I1371,$J$1:J1371,$J1371,$K$1:K1371,K1371,$L$1:L1371,L1371)))</f>
        <v>146</v>
      </c>
      <c r="N137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71" s="14" t="e">
        <f>+LEN(Table4[[#This Row],[New Item Code]])</f>
        <v>#N/A</v>
      </c>
      <c r="P1371" s="15" t="s">
        <v>4747</v>
      </c>
      <c r="Q1371" s="15" t="s">
        <v>4749</v>
      </c>
      <c r="R1371" s="15"/>
      <c r="S1371" s="15"/>
      <c r="T1371" s="15" t="s">
        <v>4672</v>
      </c>
    </row>
    <row r="1372" spans="1:20" x14ac:dyDescent="0.35">
      <c r="A1372" s="2" t="s">
        <v>2729</v>
      </c>
      <c r="B1372" s="2" t="s">
        <v>2730</v>
      </c>
      <c r="C1372" s="2" t="s">
        <v>56</v>
      </c>
      <c r="D1372" s="2">
        <v>0</v>
      </c>
      <c r="E1372" s="2" t="s">
        <v>57</v>
      </c>
      <c r="F1372" s="2">
        <v>0</v>
      </c>
      <c r="G1372" s="22">
        <f>Table4[[#This Row],[Item Cost]]*Table4[[#This Row],[In Stock]]</f>
        <v>0</v>
      </c>
      <c r="H1372" s="12" t="s">
        <v>4661</v>
      </c>
      <c r="I1372" s="13" t="s">
        <v>4668</v>
      </c>
      <c r="J1372" s="13" t="s">
        <v>4672</v>
      </c>
      <c r="K1372" s="13" t="s">
        <v>4672</v>
      </c>
      <c r="L1372" s="12" t="s">
        <v>4672</v>
      </c>
      <c r="M1372" s="17">
        <f>IF(LEN(COUNTIFS($H$1:H1372,$H1372,$I$1:I1372,$I1372,$J$1:J1372,$J1372,$K$1:K1372,K1372,$L$1:L1372,L1372))=1,"00"&amp;COUNTIFS($H$1:H1372,$H1372,$I$1:I1372,$I1372,$J$1:J1372,$J1372,$K$1:K1372,K1372,$L$1:L1372,L1372),IF(LEN(COUNTIFS($H$1:H1372,$H1372,$I$1:I1372,$I1372,$J$1:J1372,$J1372,$K$1:K1372,K1372,$L$1:L1372,L1372))=2,"0"&amp;COUNTIFS($H$1:H1372,$H1372,$I$1:I1372,$I1372,$J$1:J1372,$J1372,$K$1:K1372,K1372,$L$1:L1372,L1372),COUNTIFS($H$1:H1372,$H1372,$I$1:I1372,$I1372,$J$1:J1372,$J1372,$K$1:K1372,K1372,$L$1:L1372,L1372)))</f>
        <v>147</v>
      </c>
      <c r="N137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72" s="14" t="e">
        <f>+LEN(Table4[[#This Row],[New Item Code]])</f>
        <v>#N/A</v>
      </c>
      <c r="P1372" s="15" t="s">
        <v>4747</v>
      </c>
      <c r="Q1372" s="15" t="s">
        <v>4749</v>
      </c>
      <c r="R1372" s="15"/>
      <c r="S1372" s="15"/>
      <c r="T1372" s="15" t="s">
        <v>4672</v>
      </c>
    </row>
    <row r="1373" spans="1:20" x14ac:dyDescent="0.35">
      <c r="A1373" s="3" t="s">
        <v>2731</v>
      </c>
      <c r="B1373" s="3" t="s">
        <v>2732</v>
      </c>
      <c r="C1373" s="3" t="s">
        <v>56</v>
      </c>
      <c r="D1373" s="3">
        <v>0</v>
      </c>
      <c r="E1373" s="3" t="s">
        <v>57</v>
      </c>
      <c r="F1373" s="3">
        <v>0</v>
      </c>
      <c r="G1373" s="21">
        <f>Table4[[#This Row],[Item Cost]]*Table4[[#This Row],[In Stock]]</f>
        <v>0</v>
      </c>
      <c r="H1373" s="12" t="s">
        <v>4661</v>
      </c>
      <c r="I1373" s="13" t="s">
        <v>4668</v>
      </c>
      <c r="J1373" s="13" t="s">
        <v>4672</v>
      </c>
      <c r="K1373" s="13" t="s">
        <v>4672</v>
      </c>
      <c r="L1373" s="12" t="s">
        <v>4672</v>
      </c>
      <c r="M1373" s="17">
        <f>IF(LEN(COUNTIFS($H$1:H1373,$H1373,$I$1:I1373,$I1373,$J$1:J1373,$J1373,$K$1:K1373,K1373,$L$1:L1373,L1373))=1,"00"&amp;COUNTIFS($H$1:H1373,$H1373,$I$1:I1373,$I1373,$J$1:J1373,$J1373,$K$1:K1373,K1373,$L$1:L1373,L1373),IF(LEN(COUNTIFS($H$1:H1373,$H1373,$I$1:I1373,$I1373,$J$1:J1373,$J1373,$K$1:K1373,K1373,$L$1:L1373,L1373))=2,"0"&amp;COUNTIFS($H$1:H1373,$H1373,$I$1:I1373,$I1373,$J$1:J1373,$J1373,$K$1:K1373,K1373,$L$1:L1373,L1373),COUNTIFS($H$1:H1373,$H1373,$I$1:I1373,$I1373,$J$1:J1373,$J1373,$K$1:K1373,K1373,$L$1:L1373,L1373)))</f>
        <v>148</v>
      </c>
      <c r="N137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73" s="14" t="e">
        <f>+LEN(Table4[[#This Row],[New Item Code]])</f>
        <v>#N/A</v>
      </c>
      <c r="P1373" s="15" t="s">
        <v>4747</v>
      </c>
      <c r="Q1373" s="15" t="s">
        <v>4749</v>
      </c>
      <c r="R1373" s="15"/>
      <c r="S1373" s="15"/>
      <c r="T1373" s="15" t="s">
        <v>4672</v>
      </c>
    </row>
    <row r="1374" spans="1:20" x14ac:dyDescent="0.35">
      <c r="A1374" s="2" t="s">
        <v>2733</v>
      </c>
      <c r="B1374" s="2" t="s">
        <v>2734</v>
      </c>
      <c r="C1374" s="2" t="s">
        <v>56</v>
      </c>
      <c r="D1374" s="2">
        <v>0</v>
      </c>
      <c r="E1374" s="2" t="s">
        <v>57</v>
      </c>
      <c r="F1374" s="2">
        <v>0</v>
      </c>
      <c r="G1374" s="22">
        <f>Table4[[#This Row],[Item Cost]]*Table4[[#This Row],[In Stock]]</f>
        <v>0</v>
      </c>
      <c r="H1374" s="12" t="s">
        <v>4661</v>
      </c>
      <c r="I1374" s="13" t="s">
        <v>4668</v>
      </c>
      <c r="J1374" s="13" t="s">
        <v>4672</v>
      </c>
      <c r="K1374" s="13" t="s">
        <v>4672</v>
      </c>
      <c r="L1374" s="12" t="s">
        <v>4672</v>
      </c>
      <c r="M1374" s="17">
        <f>IF(LEN(COUNTIFS($H$1:H1374,$H1374,$I$1:I1374,$I1374,$J$1:J1374,$J1374,$K$1:K1374,K1374,$L$1:L1374,L1374))=1,"00"&amp;COUNTIFS($H$1:H1374,$H1374,$I$1:I1374,$I1374,$J$1:J1374,$J1374,$K$1:K1374,K1374,$L$1:L1374,L1374),IF(LEN(COUNTIFS($H$1:H1374,$H1374,$I$1:I1374,$I1374,$J$1:J1374,$J1374,$K$1:K1374,K1374,$L$1:L1374,L1374))=2,"0"&amp;COUNTIFS($H$1:H1374,$H1374,$I$1:I1374,$I1374,$J$1:J1374,$J1374,$K$1:K1374,K1374,$L$1:L1374,L1374),COUNTIFS($H$1:H1374,$H1374,$I$1:I1374,$I1374,$J$1:J1374,$J1374,$K$1:K1374,K1374,$L$1:L1374,L1374)))</f>
        <v>149</v>
      </c>
      <c r="N137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74" s="14" t="e">
        <f>+LEN(Table4[[#This Row],[New Item Code]])</f>
        <v>#N/A</v>
      </c>
      <c r="P1374" s="15" t="s">
        <v>4747</v>
      </c>
      <c r="Q1374" s="15" t="s">
        <v>4749</v>
      </c>
      <c r="R1374" s="15"/>
      <c r="S1374" s="15"/>
      <c r="T1374" s="15" t="s">
        <v>4672</v>
      </c>
    </row>
    <row r="1375" spans="1:20" x14ac:dyDescent="0.35">
      <c r="A1375" s="3" t="s">
        <v>2735</v>
      </c>
      <c r="B1375" s="3" t="s">
        <v>2736</v>
      </c>
      <c r="C1375" s="3" t="s">
        <v>56</v>
      </c>
      <c r="D1375" s="3">
        <v>0</v>
      </c>
      <c r="E1375" s="3" t="s">
        <v>57</v>
      </c>
      <c r="F1375" s="3">
        <v>0</v>
      </c>
      <c r="G1375" s="21">
        <f>Table4[[#This Row],[Item Cost]]*Table4[[#This Row],[In Stock]]</f>
        <v>0</v>
      </c>
      <c r="H1375" s="12" t="s">
        <v>4661</v>
      </c>
      <c r="I1375" s="13" t="s">
        <v>4668</v>
      </c>
      <c r="J1375" s="13" t="s">
        <v>4672</v>
      </c>
      <c r="K1375" s="13" t="s">
        <v>4672</v>
      </c>
      <c r="L1375" s="12" t="s">
        <v>4672</v>
      </c>
      <c r="M1375" s="17">
        <f>IF(LEN(COUNTIFS($H$1:H1375,$H1375,$I$1:I1375,$I1375,$J$1:J1375,$J1375,$K$1:K1375,K1375,$L$1:L1375,L1375))=1,"00"&amp;COUNTIFS($H$1:H1375,$H1375,$I$1:I1375,$I1375,$J$1:J1375,$J1375,$K$1:K1375,K1375,$L$1:L1375,L1375),IF(LEN(COUNTIFS($H$1:H1375,$H1375,$I$1:I1375,$I1375,$J$1:J1375,$J1375,$K$1:K1375,K1375,$L$1:L1375,L1375))=2,"0"&amp;COUNTIFS($H$1:H1375,$H1375,$I$1:I1375,$I1375,$J$1:J1375,$J1375,$K$1:K1375,K1375,$L$1:L1375,L1375),COUNTIFS($H$1:H1375,$H1375,$I$1:I1375,$I1375,$J$1:J1375,$J1375,$K$1:K1375,K1375,$L$1:L1375,L1375)))</f>
        <v>150</v>
      </c>
      <c r="N137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75" s="14" t="e">
        <f>+LEN(Table4[[#This Row],[New Item Code]])</f>
        <v>#N/A</v>
      </c>
      <c r="P1375" s="15" t="s">
        <v>4747</v>
      </c>
      <c r="Q1375" s="15" t="s">
        <v>4749</v>
      </c>
      <c r="R1375" s="15"/>
      <c r="S1375" s="15"/>
      <c r="T1375" s="15" t="s">
        <v>4672</v>
      </c>
    </row>
    <row r="1376" spans="1:20" x14ac:dyDescent="0.35">
      <c r="A1376" s="2" t="s">
        <v>2737</v>
      </c>
      <c r="B1376" s="2" t="s">
        <v>2738</v>
      </c>
      <c r="C1376" s="2" t="s">
        <v>56</v>
      </c>
      <c r="D1376" s="2">
        <v>0</v>
      </c>
      <c r="E1376" s="2" t="s">
        <v>57</v>
      </c>
      <c r="F1376" s="2">
        <v>0</v>
      </c>
      <c r="G1376" s="22">
        <f>Table4[[#This Row],[Item Cost]]*Table4[[#This Row],[In Stock]]</f>
        <v>0</v>
      </c>
      <c r="H1376" s="12" t="s">
        <v>4661</v>
      </c>
      <c r="I1376" s="13" t="s">
        <v>4668</v>
      </c>
      <c r="J1376" s="13" t="s">
        <v>4672</v>
      </c>
      <c r="K1376" s="13" t="s">
        <v>4672</v>
      </c>
      <c r="L1376" s="12" t="s">
        <v>4672</v>
      </c>
      <c r="M1376" s="17">
        <f>IF(LEN(COUNTIFS($H$1:H1376,$H1376,$I$1:I1376,$I1376,$J$1:J1376,$J1376,$K$1:K1376,K1376,$L$1:L1376,L1376))=1,"00"&amp;COUNTIFS($H$1:H1376,$H1376,$I$1:I1376,$I1376,$J$1:J1376,$J1376,$K$1:K1376,K1376,$L$1:L1376,L1376),IF(LEN(COUNTIFS($H$1:H1376,$H1376,$I$1:I1376,$I1376,$J$1:J1376,$J1376,$K$1:K1376,K1376,$L$1:L1376,L1376))=2,"0"&amp;COUNTIFS($H$1:H1376,$H1376,$I$1:I1376,$I1376,$J$1:J1376,$J1376,$K$1:K1376,K1376,$L$1:L1376,L1376),COUNTIFS($H$1:H1376,$H1376,$I$1:I1376,$I1376,$J$1:J1376,$J1376,$K$1:K1376,K1376,$L$1:L1376,L1376)))</f>
        <v>151</v>
      </c>
      <c r="N137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76" s="14" t="e">
        <f>+LEN(Table4[[#This Row],[New Item Code]])</f>
        <v>#N/A</v>
      </c>
      <c r="P1376" s="15" t="s">
        <v>4747</v>
      </c>
      <c r="Q1376" s="15" t="s">
        <v>4749</v>
      </c>
      <c r="R1376" s="15"/>
      <c r="S1376" s="15"/>
      <c r="T1376" s="15" t="s">
        <v>4672</v>
      </c>
    </row>
    <row r="1377" spans="1:20" x14ac:dyDescent="0.35">
      <c r="A1377" s="3" t="s">
        <v>2739</v>
      </c>
      <c r="B1377" s="3" t="s">
        <v>2740</v>
      </c>
      <c r="C1377" s="3" t="s">
        <v>56</v>
      </c>
      <c r="D1377" s="3">
        <v>0</v>
      </c>
      <c r="E1377" s="3" t="s">
        <v>57</v>
      </c>
      <c r="F1377" s="3">
        <v>0</v>
      </c>
      <c r="G1377" s="21">
        <f>Table4[[#This Row],[Item Cost]]*Table4[[#This Row],[In Stock]]</f>
        <v>0</v>
      </c>
      <c r="H1377" s="12" t="s">
        <v>4661</v>
      </c>
      <c r="I1377" s="13" t="s">
        <v>4668</v>
      </c>
      <c r="J1377" s="13" t="s">
        <v>4672</v>
      </c>
      <c r="K1377" s="13" t="s">
        <v>4672</v>
      </c>
      <c r="L1377" s="12" t="s">
        <v>4672</v>
      </c>
      <c r="M1377" s="17">
        <f>IF(LEN(COUNTIFS($H$1:H1377,$H1377,$I$1:I1377,$I1377,$J$1:J1377,$J1377,$K$1:K1377,K1377,$L$1:L1377,L1377))=1,"00"&amp;COUNTIFS($H$1:H1377,$H1377,$I$1:I1377,$I1377,$J$1:J1377,$J1377,$K$1:K1377,K1377,$L$1:L1377,L1377),IF(LEN(COUNTIFS($H$1:H1377,$H1377,$I$1:I1377,$I1377,$J$1:J1377,$J1377,$K$1:K1377,K1377,$L$1:L1377,L1377))=2,"0"&amp;COUNTIFS($H$1:H1377,$H1377,$I$1:I1377,$I1377,$J$1:J1377,$J1377,$K$1:K1377,K1377,$L$1:L1377,L1377),COUNTIFS($H$1:H1377,$H1377,$I$1:I1377,$I1377,$J$1:J1377,$J1377,$K$1:K1377,K1377,$L$1:L1377,L1377)))</f>
        <v>152</v>
      </c>
      <c r="N137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77" s="14" t="e">
        <f>+LEN(Table4[[#This Row],[New Item Code]])</f>
        <v>#N/A</v>
      </c>
      <c r="P1377" s="15" t="s">
        <v>4747</v>
      </c>
      <c r="Q1377" s="15" t="s">
        <v>4749</v>
      </c>
      <c r="R1377" s="15"/>
      <c r="S1377" s="15"/>
      <c r="T1377" s="15" t="s">
        <v>4672</v>
      </c>
    </row>
    <row r="1378" spans="1:20" x14ac:dyDescent="0.35">
      <c r="A1378" s="2" t="s">
        <v>2741</v>
      </c>
      <c r="B1378" s="2" t="s">
        <v>2742</v>
      </c>
      <c r="C1378" s="2" t="s">
        <v>56</v>
      </c>
      <c r="D1378" s="2">
        <v>0</v>
      </c>
      <c r="E1378" s="2" t="s">
        <v>57</v>
      </c>
      <c r="F1378" s="2">
        <v>0</v>
      </c>
      <c r="G1378" s="22">
        <f>Table4[[#This Row],[Item Cost]]*Table4[[#This Row],[In Stock]]</f>
        <v>0</v>
      </c>
      <c r="H1378" s="12" t="s">
        <v>4661</v>
      </c>
      <c r="I1378" s="13" t="s">
        <v>4668</v>
      </c>
      <c r="J1378" s="13" t="s">
        <v>4672</v>
      </c>
      <c r="K1378" s="13" t="s">
        <v>4672</v>
      </c>
      <c r="L1378" s="12" t="s">
        <v>4672</v>
      </c>
      <c r="M1378" s="17">
        <f>IF(LEN(COUNTIFS($H$1:H1378,$H1378,$I$1:I1378,$I1378,$J$1:J1378,$J1378,$K$1:K1378,K1378,$L$1:L1378,L1378))=1,"00"&amp;COUNTIFS($H$1:H1378,$H1378,$I$1:I1378,$I1378,$J$1:J1378,$J1378,$K$1:K1378,K1378,$L$1:L1378,L1378),IF(LEN(COUNTIFS($H$1:H1378,$H1378,$I$1:I1378,$I1378,$J$1:J1378,$J1378,$K$1:K1378,K1378,$L$1:L1378,L1378))=2,"0"&amp;COUNTIFS($H$1:H1378,$H1378,$I$1:I1378,$I1378,$J$1:J1378,$J1378,$K$1:K1378,K1378,$L$1:L1378,L1378),COUNTIFS($H$1:H1378,$H1378,$I$1:I1378,$I1378,$J$1:J1378,$J1378,$K$1:K1378,K1378,$L$1:L1378,L1378)))</f>
        <v>153</v>
      </c>
      <c r="N137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78" s="14" t="e">
        <f>+LEN(Table4[[#This Row],[New Item Code]])</f>
        <v>#N/A</v>
      </c>
      <c r="P1378" s="15" t="s">
        <v>4747</v>
      </c>
      <c r="Q1378" s="15" t="s">
        <v>4749</v>
      </c>
      <c r="R1378" s="15"/>
      <c r="S1378" s="15"/>
      <c r="T1378" s="15" t="s">
        <v>4672</v>
      </c>
    </row>
    <row r="1379" spans="1:20" x14ac:dyDescent="0.35">
      <c r="A1379" s="3" t="s">
        <v>2743</v>
      </c>
      <c r="B1379" s="3" t="s">
        <v>2744</v>
      </c>
      <c r="C1379" s="3" t="s">
        <v>56</v>
      </c>
      <c r="D1379" s="3">
        <v>0</v>
      </c>
      <c r="E1379" s="3" t="s">
        <v>57</v>
      </c>
      <c r="F1379" s="3">
        <v>0</v>
      </c>
      <c r="G1379" s="21">
        <f>Table4[[#This Row],[Item Cost]]*Table4[[#This Row],[In Stock]]</f>
        <v>0</v>
      </c>
      <c r="H1379" s="12" t="s">
        <v>4661</v>
      </c>
      <c r="I1379" s="13" t="s">
        <v>4668</v>
      </c>
      <c r="J1379" s="13" t="s">
        <v>4672</v>
      </c>
      <c r="K1379" s="13" t="s">
        <v>4672</v>
      </c>
      <c r="L1379" s="12" t="s">
        <v>4672</v>
      </c>
      <c r="M1379" s="17">
        <f>IF(LEN(COUNTIFS($H$1:H1379,$H1379,$I$1:I1379,$I1379,$J$1:J1379,$J1379,$K$1:K1379,K1379,$L$1:L1379,L1379))=1,"00"&amp;COUNTIFS($H$1:H1379,$H1379,$I$1:I1379,$I1379,$J$1:J1379,$J1379,$K$1:K1379,K1379,$L$1:L1379,L1379),IF(LEN(COUNTIFS($H$1:H1379,$H1379,$I$1:I1379,$I1379,$J$1:J1379,$J1379,$K$1:K1379,K1379,$L$1:L1379,L1379))=2,"0"&amp;COUNTIFS($H$1:H1379,$H1379,$I$1:I1379,$I1379,$J$1:J1379,$J1379,$K$1:K1379,K1379,$L$1:L1379,L1379),COUNTIFS($H$1:H1379,$H1379,$I$1:I1379,$I1379,$J$1:J1379,$J1379,$K$1:K1379,K1379,$L$1:L1379,L1379)))</f>
        <v>154</v>
      </c>
      <c r="N137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79" s="14" t="e">
        <f>+LEN(Table4[[#This Row],[New Item Code]])</f>
        <v>#N/A</v>
      </c>
      <c r="P1379" s="15" t="s">
        <v>4747</v>
      </c>
      <c r="Q1379" s="15" t="s">
        <v>4749</v>
      </c>
      <c r="R1379" s="15"/>
      <c r="S1379" s="15"/>
      <c r="T1379" s="15" t="s">
        <v>4672</v>
      </c>
    </row>
    <row r="1380" spans="1:20" x14ac:dyDescent="0.35">
      <c r="A1380" s="2" t="s">
        <v>2745</v>
      </c>
      <c r="B1380" s="2" t="s">
        <v>2746</v>
      </c>
      <c r="C1380" s="2" t="s">
        <v>56</v>
      </c>
      <c r="D1380" s="2">
        <v>0</v>
      </c>
      <c r="E1380" s="2" t="s">
        <v>57</v>
      </c>
      <c r="F1380" s="2">
        <v>0</v>
      </c>
      <c r="G1380" s="22">
        <f>Table4[[#This Row],[Item Cost]]*Table4[[#This Row],[In Stock]]</f>
        <v>0</v>
      </c>
      <c r="H1380" s="12" t="s">
        <v>4661</v>
      </c>
      <c r="I1380" s="13" t="s">
        <v>4668</v>
      </c>
      <c r="J1380" s="13" t="s">
        <v>4672</v>
      </c>
      <c r="K1380" s="13" t="s">
        <v>4672</v>
      </c>
      <c r="L1380" s="12" t="s">
        <v>4672</v>
      </c>
      <c r="M1380" s="17">
        <f>IF(LEN(COUNTIFS($H$1:H1380,$H1380,$I$1:I1380,$I1380,$J$1:J1380,$J1380,$K$1:K1380,K1380,$L$1:L1380,L1380))=1,"00"&amp;COUNTIFS($H$1:H1380,$H1380,$I$1:I1380,$I1380,$J$1:J1380,$J1380,$K$1:K1380,K1380,$L$1:L1380,L1380),IF(LEN(COUNTIFS($H$1:H1380,$H1380,$I$1:I1380,$I1380,$J$1:J1380,$J1380,$K$1:K1380,K1380,$L$1:L1380,L1380))=2,"0"&amp;COUNTIFS($H$1:H1380,$H1380,$I$1:I1380,$I1380,$J$1:J1380,$J1380,$K$1:K1380,K1380,$L$1:L1380,L1380),COUNTIFS($H$1:H1380,$H1380,$I$1:I1380,$I1380,$J$1:J1380,$J1380,$K$1:K1380,K1380,$L$1:L1380,L1380)))</f>
        <v>155</v>
      </c>
      <c r="N138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80" s="14" t="e">
        <f>+LEN(Table4[[#This Row],[New Item Code]])</f>
        <v>#N/A</v>
      </c>
      <c r="P1380" s="15" t="s">
        <v>4747</v>
      </c>
      <c r="Q1380" s="15" t="s">
        <v>4749</v>
      </c>
      <c r="R1380" s="15"/>
      <c r="S1380" s="15"/>
      <c r="T1380" s="15" t="s">
        <v>4672</v>
      </c>
    </row>
    <row r="1381" spans="1:20" x14ac:dyDescent="0.35">
      <c r="A1381" s="3" t="s">
        <v>2747</v>
      </c>
      <c r="B1381" s="3" t="s">
        <v>2748</v>
      </c>
      <c r="C1381" s="3" t="s">
        <v>56</v>
      </c>
      <c r="D1381" s="3">
        <v>0</v>
      </c>
      <c r="E1381" s="3" t="s">
        <v>57</v>
      </c>
      <c r="F1381" s="3">
        <v>0</v>
      </c>
      <c r="G1381" s="21">
        <f>Table4[[#This Row],[Item Cost]]*Table4[[#This Row],[In Stock]]</f>
        <v>0</v>
      </c>
      <c r="H1381" s="12" t="s">
        <v>4661</v>
      </c>
      <c r="I1381" s="13" t="s">
        <v>4668</v>
      </c>
      <c r="J1381" s="13" t="s">
        <v>4672</v>
      </c>
      <c r="K1381" t="s">
        <v>4801</v>
      </c>
      <c r="L1381" s="12" t="s">
        <v>4672</v>
      </c>
      <c r="M1381" s="17" t="str">
        <f>IF(LEN(COUNTIFS($H$1:H1381,$H1381,$I$1:I1381,$I1381,$J$1:J1381,$J1381,$K$1:K1381,K1381,$L$1:L1381,L1381))=1,"00"&amp;COUNTIFS($H$1:H1381,$H1381,$I$1:I1381,$I1381,$J$1:J1381,$J1381,$K$1:K1381,K1381,$L$1:L1381,L1381),IF(LEN(COUNTIFS($H$1:H1381,$H1381,$I$1:I1381,$I1381,$J$1:J1381,$J1381,$K$1:K1381,K1381,$L$1:L1381,L1381))=2,"0"&amp;COUNTIFS($H$1:H1381,$H1381,$I$1:I1381,$I1381,$J$1:J1381,$J1381,$K$1:K1381,K1381,$L$1:L1381,L1381),COUNTIFS($H$1:H1381,$H1381,$I$1:I1381,$I1381,$J$1:J1381,$J1381,$K$1:K1381,K1381,$L$1:L1381,L1381)))</f>
        <v>039</v>
      </c>
      <c r="N138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81" s="14" t="e">
        <f>+LEN(Table4[[#This Row],[New Item Code]])</f>
        <v>#N/A</v>
      </c>
      <c r="P1381" s="15" t="s">
        <v>4747</v>
      </c>
      <c r="Q1381" s="15" t="s">
        <v>4749</v>
      </c>
      <c r="R1381" s="15"/>
      <c r="S1381" s="15"/>
      <c r="T1381" s="15" t="s">
        <v>4672</v>
      </c>
    </row>
    <row r="1382" spans="1:20" x14ac:dyDescent="0.35">
      <c r="A1382" s="2" t="s">
        <v>2749</v>
      </c>
      <c r="B1382" s="2" t="s">
        <v>2750</v>
      </c>
      <c r="C1382" s="2" t="s">
        <v>56</v>
      </c>
      <c r="D1382" s="2">
        <v>0</v>
      </c>
      <c r="E1382" s="2" t="s">
        <v>57</v>
      </c>
      <c r="F1382" s="2">
        <v>0</v>
      </c>
      <c r="G1382" s="22">
        <f>Table4[[#This Row],[Item Cost]]*Table4[[#This Row],[In Stock]]</f>
        <v>0</v>
      </c>
      <c r="H1382" s="12" t="s">
        <v>4661</v>
      </c>
      <c r="I1382" s="13" t="s">
        <v>4668</v>
      </c>
      <c r="J1382" s="13" t="s">
        <v>4672</v>
      </c>
      <c r="K1382" s="13" t="s">
        <v>4672</v>
      </c>
      <c r="L1382" s="12" t="s">
        <v>4672</v>
      </c>
      <c r="M1382" s="17">
        <f>IF(LEN(COUNTIFS($H$1:H1382,$H1382,$I$1:I1382,$I1382,$J$1:J1382,$J1382,$K$1:K1382,K1382,$L$1:L1382,L1382))=1,"00"&amp;COUNTIFS($H$1:H1382,$H1382,$I$1:I1382,$I1382,$J$1:J1382,$J1382,$K$1:K1382,K1382,$L$1:L1382,L1382),IF(LEN(COUNTIFS($H$1:H1382,$H1382,$I$1:I1382,$I1382,$J$1:J1382,$J1382,$K$1:K1382,K1382,$L$1:L1382,L1382))=2,"0"&amp;COUNTIFS($H$1:H1382,$H1382,$I$1:I1382,$I1382,$J$1:J1382,$J1382,$K$1:K1382,K1382,$L$1:L1382,L1382),COUNTIFS($H$1:H1382,$H1382,$I$1:I1382,$I1382,$J$1:J1382,$J1382,$K$1:K1382,K1382,$L$1:L1382,L1382)))</f>
        <v>156</v>
      </c>
      <c r="N138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82" s="14" t="e">
        <f>+LEN(Table4[[#This Row],[New Item Code]])</f>
        <v>#N/A</v>
      </c>
      <c r="P1382" s="15" t="s">
        <v>4747</v>
      </c>
      <c r="Q1382" s="15" t="s">
        <v>4749</v>
      </c>
      <c r="R1382" s="15"/>
      <c r="S1382" s="15"/>
      <c r="T1382" s="15" t="s">
        <v>4672</v>
      </c>
    </row>
    <row r="1383" spans="1:20" x14ac:dyDescent="0.35">
      <c r="A1383" s="3" t="s">
        <v>2751</v>
      </c>
      <c r="B1383" s="3" t="s">
        <v>2752</v>
      </c>
      <c r="C1383" s="3" t="s">
        <v>56</v>
      </c>
      <c r="D1383" s="3">
        <v>0</v>
      </c>
      <c r="E1383" s="3" t="s">
        <v>57</v>
      </c>
      <c r="F1383" s="3">
        <v>0</v>
      </c>
      <c r="G1383" s="21">
        <f>Table4[[#This Row],[Item Cost]]*Table4[[#This Row],[In Stock]]</f>
        <v>0</v>
      </c>
      <c r="H1383" s="12" t="s">
        <v>4661</v>
      </c>
      <c r="I1383" s="13" t="s">
        <v>4668</v>
      </c>
      <c r="J1383" s="13" t="s">
        <v>4672</v>
      </c>
      <c r="K1383" s="13" t="s">
        <v>4672</v>
      </c>
      <c r="L1383" s="12" t="s">
        <v>4672</v>
      </c>
      <c r="M1383" s="17">
        <f>IF(LEN(COUNTIFS($H$1:H1383,$H1383,$I$1:I1383,$I1383,$J$1:J1383,$J1383,$K$1:K1383,K1383,$L$1:L1383,L1383))=1,"00"&amp;COUNTIFS($H$1:H1383,$H1383,$I$1:I1383,$I1383,$J$1:J1383,$J1383,$K$1:K1383,K1383,$L$1:L1383,L1383),IF(LEN(COUNTIFS($H$1:H1383,$H1383,$I$1:I1383,$I1383,$J$1:J1383,$J1383,$K$1:K1383,K1383,$L$1:L1383,L1383))=2,"0"&amp;COUNTIFS($H$1:H1383,$H1383,$I$1:I1383,$I1383,$J$1:J1383,$J1383,$K$1:K1383,K1383,$L$1:L1383,L1383),COUNTIFS($H$1:H1383,$H1383,$I$1:I1383,$I1383,$J$1:J1383,$J1383,$K$1:K1383,K1383,$L$1:L1383,L1383)))</f>
        <v>157</v>
      </c>
      <c r="N138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83" s="14" t="e">
        <f>+LEN(Table4[[#This Row],[New Item Code]])</f>
        <v>#N/A</v>
      </c>
      <c r="P1383" s="15" t="s">
        <v>4747</v>
      </c>
      <c r="Q1383" s="15" t="s">
        <v>4749</v>
      </c>
      <c r="R1383" s="15"/>
      <c r="S1383" s="15"/>
      <c r="T1383" s="15" t="s">
        <v>4672</v>
      </c>
    </row>
    <row r="1384" spans="1:20" x14ac:dyDescent="0.35">
      <c r="A1384" s="2" t="s">
        <v>2753</v>
      </c>
      <c r="B1384" s="2" t="s">
        <v>2754</v>
      </c>
      <c r="C1384" s="2" t="s">
        <v>56</v>
      </c>
      <c r="D1384" s="2">
        <v>0</v>
      </c>
      <c r="E1384" s="2" t="s">
        <v>57</v>
      </c>
      <c r="F1384" s="2">
        <v>0</v>
      </c>
      <c r="G1384" s="22">
        <f>Table4[[#This Row],[Item Cost]]*Table4[[#This Row],[In Stock]]</f>
        <v>0</v>
      </c>
      <c r="H1384" s="12" t="s">
        <v>4661</v>
      </c>
      <c r="I1384" s="13" t="s">
        <v>4668</v>
      </c>
      <c r="J1384" s="13" t="s">
        <v>4672</v>
      </c>
      <c r="K1384" s="13" t="s">
        <v>4672</v>
      </c>
      <c r="L1384" s="12" t="s">
        <v>4672</v>
      </c>
      <c r="M1384" s="17">
        <f>IF(LEN(COUNTIFS($H$1:H1384,$H1384,$I$1:I1384,$I1384,$J$1:J1384,$J1384,$K$1:K1384,K1384,$L$1:L1384,L1384))=1,"00"&amp;COUNTIFS($H$1:H1384,$H1384,$I$1:I1384,$I1384,$J$1:J1384,$J1384,$K$1:K1384,K1384,$L$1:L1384,L1384),IF(LEN(COUNTIFS($H$1:H1384,$H1384,$I$1:I1384,$I1384,$J$1:J1384,$J1384,$K$1:K1384,K1384,$L$1:L1384,L1384))=2,"0"&amp;COUNTIFS($H$1:H1384,$H1384,$I$1:I1384,$I1384,$J$1:J1384,$J1384,$K$1:K1384,K1384,$L$1:L1384,L1384),COUNTIFS($H$1:H1384,$H1384,$I$1:I1384,$I1384,$J$1:J1384,$J1384,$K$1:K1384,K1384,$L$1:L1384,L1384)))</f>
        <v>158</v>
      </c>
      <c r="N138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84" s="14" t="e">
        <f>+LEN(Table4[[#This Row],[New Item Code]])</f>
        <v>#N/A</v>
      </c>
      <c r="P1384" s="15" t="s">
        <v>4747</v>
      </c>
      <c r="Q1384" s="15" t="s">
        <v>4749</v>
      </c>
      <c r="R1384" s="15"/>
      <c r="S1384" s="15"/>
      <c r="T1384" s="15" t="s">
        <v>4672</v>
      </c>
    </row>
    <row r="1385" spans="1:20" x14ac:dyDescent="0.35">
      <c r="A1385" s="3" t="s">
        <v>2755</v>
      </c>
      <c r="B1385" s="3" t="s">
        <v>2756</v>
      </c>
      <c r="C1385" s="3" t="s">
        <v>56</v>
      </c>
      <c r="D1385" s="3">
        <v>0</v>
      </c>
      <c r="E1385" s="3" t="s">
        <v>57</v>
      </c>
      <c r="F1385" s="3">
        <v>0</v>
      </c>
      <c r="G1385" s="21">
        <f>Table4[[#This Row],[Item Cost]]*Table4[[#This Row],[In Stock]]</f>
        <v>0</v>
      </c>
      <c r="H1385" s="12" t="s">
        <v>4661</v>
      </c>
      <c r="I1385" s="13" t="s">
        <v>4668</v>
      </c>
      <c r="J1385" s="13" t="s">
        <v>4672</v>
      </c>
      <c r="K1385" s="13" t="s">
        <v>4672</v>
      </c>
      <c r="L1385" s="12" t="s">
        <v>4672</v>
      </c>
      <c r="M1385" s="17">
        <f>IF(LEN(COUNTIFS($H$1:H1385,$H1385,$I$1:I1385,$I1385,$J$1:J1385,$J1385,$K$1:K1385,K1385,$L$1:L1385,L1385))=1,"00"&amp;COUNTIFS($H$1:H1385,$H1385,$I$1:I1385,$I1385,$J$1:J1385,$J1385,$K$1:K1385,K1385,$L$1:L1385,L1385),IF(LEN(COUNTIFS($H$1:H1385,$H1385,$I$1:I1385,$I1385,$J$1:J1385,$J1385,$K$1:K1385,K1385,$L$1:L1385,L1385))=2,"0"&amp;COUNTIFS($H$1:H1385,$H1385,$I$1:I1385,$I1385,$J$1:J1385,$J1385,$K$1:K1385,K1385,$L$1:L1385,L1385),COUNTIFS($H$1:H1385,$H1385,$I$1:I1385,$I1385,$J$1:J1385,$J1385,$K$1:K1385,K1385,$L$1:L1385,L1385)))</f>
        <v>159</v>
      </c>
      <c r="N138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85" s="14" t="e">
        <f>+LEN(Table4[[#This Row],[New Item Code]])</f>
        <v>#N/A</v>
      </c>
      <c r="P1385" s="15" t="s">
        <v>4747</v>
      </c>
      <c r="Q1385" s="15" t="s">
        <v>4749</v>
      </c>
      <c r="R1385" s="15"/>
      <c r="S1385" s="15"/>
      <c r="T1385" s="15" t="s">
        <v>4672</v>
      </c>
    </row>
    <row r="1386" spans="1:20" x14ac:dyDescent="0.35">
      <c r="A1386" s="2" t="s">
        <v>2757</v>
      </c>
      <c r="B1386" s="2" t="s">
        <v>2758</v>
      </c>
      <c r="C1386" s="2" t="s">
        <v>56</v>
      </c>
      <c r="D1386" s="2">
        <v>0</v>
      </c>
      <c r="E1386" s="2" t="s">
        <v>57</v>
      </c>
      <c r="F1386" s="2">
        <v>0</v>
      </c>
      <c r="G1386" s="22">
        <f>Table4[[#This Row],[Item Cost]]*Table4[[#This Row],[In Stock]]</f>
        <v>0</v>
      </c>
      <c r="H1386" s="12" t="s">
        <v>4661</v>
      </c>
      <c r="I1386" s="13" t="s">
        <v>4668</v>
      </c>
      <c r="J1386" s="13" t="s">
        <v>4672</v>
      </c>
      <c r="K1386" s="13" t="s">
        <v>4672</v>
      </c>
      <c r="L1386" s="12" t="s">
        <v>4672</v>
      </c>
      <c r="M1386" s="17">
        <f>IF(LEN(COUNTIFS($H$1:H1386,$H1386,$I$1:I1386,$I1386,$J$1:J1386,$J1386,$K$1:K1386,K1386,$L$1:L1386,L1386))=1,"00"&amp;COUNTIFS($H$1:H1386,$H1386,$I$1:I1386,$I1386,$J$1:J1386,$J1386,$K$1:K1386,K1386,$L$1:L1386,L1386),IF(LEN(COUNTIFS($H$1:H1386,$H1386,$I$1:I1386,$I1386,$J$1:J1386,$J1386,$K$1:K1386,K1386,$L$1:L1386,L1386))=2,"0"&amp;COUNTIFS($H$1:H1386,$H1386,$I$1:I1386,$I1386,$J$1:J1386,$J1386,$K$1:K1386,K1386,$L$1:L1386,L1386),COUNTIFS($H$1:H1386,$H1386,$I$1:I1386,$I1386,$J$1:J1386,$J1386,$K$1:K1386,K1386,$L$1:L1386,L1386)))</f>
        <v>160</v>
      </c>
      <c r="N138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86" s="14" t="e">
        <f>+LEN(Table4[[#This Row],[New Item Code]])</f>
        <v>#N/A</v>
      </c>
      <c r="P1386" s="15" t="s">
        <v>4747</v>
      </c>
      <c r="Q1386" s="15" t="s">
        <v>4749</v>
      </c>
      <c r="R1386" s="15"/>
      <c r="S1386" s="15"/>
      <c r="T1386" s="15" t="s">
        <v>4672</v>
      </c>
    </row>
    <row r="1387" spans="1:20" x14ac:dyDescent="0.35">
      <c r="A1387" s="3" t="s">
        <v>2759</v>
      </c>
      <c r="B1387" s="3" t="s">
        <v>2760</v>
      </c>
      <c r="C1387" s="3" t="s">
        <v>56</v>
      </c>
      <c r="D1387" s="3">
        <v>0</v>
      </c>
      <c r="E1387" s="3" t="s">
        <v>57</v>
      </c>
      <c r="F1387" s="3">
        <v>0</v>
      </c>
      <c r="G1387" s="21">
        <f>Table4[[#This Row],[Item Cost]]*Table4[[#This Row],[In Stock]]</f>
        <v>0</v>
      </c>
      <c r="H1387" s="12" t="s">
        <v>4661</v>
      </c>
      <c r="I1387" s="13" t="s">
        <v>4668</v>
      </c>
      <c r="J1387" s="13" t="s">
        <v>4672</v>
      </c>
      <c r="K1387" s="13" t="s">
        <v>4672</v>
      </c>
      <c r="L1387" s="12" t="s">
        <v>4672</v>
      </c>
      <c r="M1387" s="17">
        <f>IF(LEN(COUNTIFS($H$1:H1387,$H1387,$I$1:I1387,$I1387,$J$1:J1387,$J1387,$K$1:K1387,K1387,$L$1:L1387,L1387))=1,"00"&amp;COUNTIFS($H$1:H1387,$H1387,$I$1:I1387,$I1387,$J$1:J1387,$J1387,$K$1:K1387,K1387,$L$1:L1387,L1387),IF(LEN(COUNTIFS($H$1:H1387,$H1387,$I$1:I1387,$I1387,$J$1:J1387,$J1387,$K$1:K1387,K1387,$L$1:L1387,L1387))=2,"0"&amp;COUNTIFS($H$1:H1387,$H1387,$I$1:I1387,$I1387,$J$1:J1387,$J1387,$K$1:K1387,K1387,$L$1:L1387,L1387),COUNTIFS($H$1:H1387,$H1387,$I$1:I1387,$I1387,$J$1:J1387,$J1387,$K$1:K1387,K1387,$L$1:L1387,L1387)))</f>
        <v>161</v>
      </c>
      <c r="N138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87" s="14" t="e">
        <f>+LEN(Table4[[#This Row],[New Item Code]])</f>
        <v>#N/A</v>
      </c>
      <c r="P1387" s="15" t="s">
        <v>4747</v>
      </c>
      <c r="Q1387" s="15" t="s">
        <v>4749</v>
      </c>
      <c r="R1387" s="15"/>
      <c r="S1387" s="15"/>
      <c r="T1387" s="15" t="s">
        <v>4672</v>
      </c>
    </row>
    <row r="1388" spans="1:20" x14ac:dyDescent="0.35">
      <c r="A1388" s="2" t="s">
        <v>2761</v>
      </c>
      <c r="B1388" s="2" t="s">
        <v>2762</v>
      </c>
      <c r="C1388" s="2" t="s">
        <v>56</v>
      </c>
      <c r="D1388" s="2">
        <v>0</v>
      </c>
      <c r="E1388" s="2" t="s">
        <v>57</v>
      </c>
      <c r="F1388" s="2">
        <v>0</v>
      </c>
      <c r="G1388" s="22">
        <f>Table4[[#This Row],[Item Cost]]*Table4[[#This Row],[In Stock]]</f>
        <v>0</v>
      </c>
      <c r="H1388" s="12" t="s">
        <v>4661</v>
      </c>
      <c r="I1388" s="13" t="s">
        <v>4668</v>
      </c>
      <c r="J1388" s="13" t="s">
        <v>4672</v>
      </c>
      <c r="K1388" s="13" t="s">
        <v>4672</v>
      </c>
      <c r="L1388" s="12" t="s">
        <v>4672</v>
      </c>
      <c r="M1388" s="17">
        <f>IF(LEN(COUNTIFS($H$1:H1388,$H1388,$I$1:I1388,$I1388,$J$1:J1388,$J1388,$K$1:K1388,K1388,$L$1:L1388,L1388))=1,"00"&amp;COUNTIFS($H$1:H1388,$H1388,$I$1:I1388,$I1388,$J$1:J1388,$J1388,$K$1:K1388,K1388,$L$1:L1388,L1388),IF(LEN(COUNTIFS($H$1:H1388,$H1388,$I$1:I1388,$I1388,$J$1:J1388,$J1388,$K$1:K1388,K1388,$L$1:L1388,L1388))=2,"0"&amp;COUNTIFS($H$1:H1388,$H1388,$I$1:I1388,$I1388,$J$1:J1388,$J1388,$K$1:K1388,K1388,$L$1:L1388,L1388),COUNTIFS($H$1:H1388,$H1388,$I$1:I1388,$I1388,$J$1:J1388,$J1388,$K$1:K1388,K1388,$L$1:L1388,L1388)))</f>
        <v>162</v>
      </c>
      <c r="N138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88" s="14" t="e">
        <f>+LEN(Table4[[#This Row],[New Item Code]])</f>
        <v>#N/A</v>
      </c>
      <c r="P1388" s="15" t="s">
        <v>4747</v>
      </c>
      <c r="Q1388" s="15" t="s">
        <v>4749</v>
      </c>
      <c r="R1388" s="15"/>
      <c r="S1388" s="15"/>
      <c r="T1388" s="15" t="s">
        <v>4672</v>
      </c>
    </row>
    <row r="1389" spans="1:20" x14ac:dyDescent="0.35">
      <c r="A1389" s="3" t="s">
        <v>2763</v>
      </c>
      <c r="B1389" s="3" t="s">
        <v>2764</v>
      </c>
      <c r="C1389" s="3" t="s">
        <v>56</v>
      </c>
      <c r="D1389" s="3">
        <v>0</v>
      </c>
      <c r="E1389" s="3" t="s">
        <v>57</v>
      </c>
      <c r="F1389" s="3">
        <v>0</v>
      </c>
      <c r="G1389" s="21">
        <f>Table4[[#This Row],[Item Cost]]*Table4[[#This Row],[In Stock]]</f>
        <v>0</v>
      </c>
      <c r="H1389" s="12" t="s">
        <v>4661</v>
      </c>
      <c r="I1389" s="13" t="s">
        <v>4668</v>
      </c>
      <c r="J1389" s="13" t="s">
        <v>4672</v>
      </c>
      <c r="K1389" s="13" t="s">
        <v>4672</v>
      </c>
      <c r="L1389" s="12" t="s">
        <v>4672</v>
      </c>
      <c r="M1389" s="17">
        <f>IF(LEN(COUNTIFS($H$1:H1389,$H1389,$I$1:I1389,$I1389,$J$1:J1389,$J1389,$K$1:K1389,K1389,$L$1:L1389,L1389))=1,"00"&amp;COUNTIFS($H$1:H1389,$H1389,$I$1:I1389,$I1389,$J$1:J1389,$J1389,$K$1:K1389,K1389,$L$1:L1389,L1389),IF(LEN(COUNTIFS($H$1:H1389,$H1389,$I$1:I1389,$I1389,$J$1:J1389,$J1389,$K$1:K1389,K1389,$L$1:L1389,L1389))=2,"0"&amp;COUNTIFS($H$1:H1389,$H1389,$I$1:I1389,$I1389,$J$1:J1389,$J1389,$K$1:K1389,K1389,$L$1:L1389,L1389),COUNTIFS($H$1:H1389,$H1389,$I$1:I1389,$I1389,$J$1:J1389,$J1389,$K$1:K1389,K1389,$L$1:L1389,L1389)))</f>
        <v>163</v>
      </c>
      <c r="N138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89" s="14" t="e">
        <f>+LEN(Table4[[#This Row],[New Item Code]])</f>
        <v>#N/A</v>
      </c>
      <c r="P1389" s="15" t="s">
        <v>4747</v>
      </c>
      <c r="Q1389" s="15" t="s">
        <v>4749</v>
      </c>
      <c r="R1389" s="15"/>
      <c r="S1389" s="15"/>
      <c r="T1389" s="15" t="s">
        <v>4672</v>
      </c>
    </row>
    <row r="1390" spans="1:20" x14ac:dyDescent="0.35">
      <c r="A1390" s="2" t="s">
        <v>2765</v>
      </c>
      <c r="B1390" s="2" t="s">
        <v>2766</v>
      </c>
      <c r="C1390" s="2" t="s">
        <v>56</v>
      </c>
      <c r="D1390" s="2">
        <v>0</v>
      </c>
      <c r="E1390" s="2" t="s">
        <v>57</v>
      </c>
      <c r="F1390" s="2">
        <v>0</v>
      </c>
      <c r="G1390" s="22">
        <f>Table4[[#This Row],[Item Cost]]*Table4[[#This Row],[In Stock]]</f>
        <v>0</v>
      </c>
      <c r="H1390" s="12" t="s">
        <v>4661</v>
      </c>
      <c r="I1390" s="13" t="s">
        <v>4668</v>
      </c>
      <c r="J1390" s="13" t="s">
        <v>4672</v>
      </c>
      <c r="K1390" s="13" t="s">
        <v>4672</v>
      </c>
      <c r="L1390" s="12" t="s">
        <v>4672</v>
      </c>
      <c r="M1390" s="17">
        <f>IF(LEN(COUNTIFS($H$1:H1390,$H1390,$I$1:I1390,$I1390,$J$1:J1390,$J1390,$K$1:K1390,K1390,$L$1:L1390,L1390))=1,"00"&amp;COUNTIFS($H$1:H1390,$H1390,$I$1:I1390,$I1390,$J$1:J1390,$J1390,$K$1:K1390,K1390,$L$1:L1390,L1390),IF(LEN(COUNTIFS($H$1:H1390,$H1390,$I$1:I1390,$I1390,$J$1:J1390,$J1390,$K$1:K1390,K1390,$L$1:L1390,L1390))=2,"0"&amp;COUNTIFS($H$1:H1390,$H1390,$I$1:I1390,$I1390,$J$1:J1390,$J1390,$K$1:K1390,K1390,$L$1:L1390,L1390),COUNTIFS($H$1:H1390,$H1390,$I$1:I1390,$I1390,$J$1:J1390,$J1390,$K$1:K1390,K1390,$L$1:L1390,L1390)))</f>
        <v>164</v>
      </c>
      <c r="N139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90" s="14" t="e">
        <f>+LEN(Table4[[#This Row],[New Item Code]])</f>
        <v>#N/A</v>
      </c>
      <c r="P1390" s="15" t="s">
        <v>4747</v>
      </c>
      <c r="Q1390" s="15" t="s">
        <v>4749</v>
      </c>
      <c r="R1390" s="15"/>
      <c r="S1390" s="15"/>
      <c r="T1390" s="15" t="s">
        <v>4672</v>
      </c>
    </row>
    <row r="1391" spans="1:20" x14ac:dyDescent="0.35">
      <c r="A1391" s="3" t="s">
        <v>2767</v>
      </c>
      <c r="B1391" s="3" t="s">
        <v>2768</v>
      </c>
      <c r="C1391" s="3" t="s">
        <v>56</v>
      </c>
      <c r="D1391" s="3">
        <v>0</v>
      </c>
      <c r="E1391" s="3" t="s">
        <v>57</v>
      </c>
      <c r="F1391" s="3">
        <v>0</v>
      </c>
      <c r="G1391" s="21">
        <f>Table4[[#This Row],[Item Cost]]*Table4[[#This Row],[In Stock]]</f>
        <v>0</v>
      </c>
      <c r="H1391" s="12" t="s">
        <v>4661</v>
      </c>
      <c r="I1391" s="13" t="s">
        <v>4668</v>
      </c>
      <c r="J1391" s="13" t="s">
        <v>4672</v>
      </c>
      <c r="K1391" s="13" t="s">
        <v>4672</v>
      </c>
      <c r="L1391" s="12" t="s">
        <v>4672</v>
      </c>
      <c r="M1391" s="17">
        <f>IF(LEN(COUNTIFS($H$1:H1391,$H1391,$I$1:I1391,$I1391,$J$1:J1391,$J1391,$K$1:K1391,K1391,$L$1:L1391,L1391))=1,"00"&amp;COUNTIFS($H$1:H1391,$H1391,$I$1:I1391,$I1391,$J$1:J1391,$J1391,$K$1:K1391,K1391,$L$1:L1391,L1391),IF(LEN(COUNTIFS($H$1:H1391,$H1391,$I$1:I1391,$I1391,$J$1:J1391,$J1391,$K$1:K1391,K1391,$L$1:L1391,L1391))=2,"0"&amp;COUNTIFS($H$1:H1391,$H1391,$I$1:I1391,$I1391,$J$1:J1391,$J1391,$K$1:K1391,K1391,$L$1:L1391,L1391),COUNTIFS($H$1:H1391,$H1391,$I$1:I1391,$I1391,$J$1:J1391,$J1391,$K$1:K1391,K1391,$L$1:L1391,L1391)))</f>
        <v>165</v>
      </c>
      <c r="N139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91" s="14" t="e">
        <f>+LEN(Table4[[#This Row],[New Item Code]])</f>
        <v>#N/A</v>
      </c>
      <c r="P1391" s="15" t="s">
        <v>4747</v>
      </c>
      <c r="Q1391" s="15" t="s">
        <v>4749</v>
      </c>
      <c r="R1391" s="15"/>
      <c r="S1391" s="15"/>
      <c r="T1391" s="15" t="s">
        <v>4672</v>
      </c>
    </row>
    <row r="1392" spans="1:20" x14ac:dyDescent="0.35">
      <c r="A1392" s="2" t="s">
        <v>2769</v>
      </c>
      <c r="B1392" s="2" t="s">
        <v>2770</v>
      </c>
      <c r="C1392" s="2" t="s">
        <v>56</v>
      </c>
      <c r="D1392" s="2">
        <v>0</v>
      </c>
      <c r="E1392" s="2" t="s">
        <v>57</v>
      </c>
      <c r="F1392" s="2">
        <v>0</v>
      </c>
      <c r="G1392" s="22">
        <f>Table4[[#This Row],[Item Cost]]*Table4[[#This Row],[In Stock]]</f>
        <v>0</v>
      </c>
      <c r="H1392" s="12" t="s">
        <v>4661</v>
      </c>
      <c r="I1392" s="13" t="s">
        <v>4668</v>
      </c>
      <c r="J1392" s="13" t="s">
        <v>4672</v>
      </c>
      <c r="K1392" s="13" t="s">
        <v>4672</v>
      </c>
      <c r="L1392" s="12" t="s">
        <v>4672</v>
      </c>
      <c r="M1392" s="17">
        <f>IF(LEN(COUNTIFS($H$1:H1392,$H1392,$I$1:I1392,$I1392,$J$1:J1392,$J1392,$K$1:K1392,K1392,$L$1:L1392,L1392))=1,"00"&amp;COUNTIFS($H$1:H1392,$H1392,$I$1:I1392,$I1392,$J$1:J1392,$J1392,$K$1:K1392,K1392,$L$1:L1392,L1392),IF(LEN(COUNTIFS($H$1:H1392,$H1392,$I$1:I1392,$I1392,$J$1:J1392,$J1392,$K$1:K1392,K1392,$L$1:L1392,L1392))=2,"0"&amp;COUNTIFS($H$1:H1392,$H1392,$I$1:I1392,$I1392,$J$1:J1392,$J1392,$K$1:K1392,K1392,$L$1:L1392,L1392),COUNTIFS($H$1:H1392,$H1392,$I$1:I1392,$I1392,$J$1:J1392,$J1392,$K$1:K1392,K1392,$L$1:L1392,L1392)))</f>
        <v>166</v>
      </c>
      <c r="N139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92" s="14" t="e">
        <f>+LEN(Table4[[#This Row],[New Item Code]])</f>
        <v>#N/A</v>
      </c>
      <c r="P1392" s="15" t="s">
        <v>4747</v>
      </c>
      <c r="Q1392" s="15" t="s">
        <v>4749</v>
      </c>
      <c r="R1392" s="15"/>
      <c r="S1392" s="15"/>
      <c r="T1392" s="15" t="s">
        <v>4672</v>
      </c>
    </row>
    <row r="1393" spans="1:20" x14ac:dyDescent="0.35">
      <c r="A1393" s="3" t="s">
        <v>2771</v>
      </c>
      <c r="B1393" s="3" t="s">
        <v>2772</v>
      </c>
      <c r="C1393" s="3" t="s">
        <v>56</v>
      </c>
      <c r="D1393" s="3">
        <v>0</v>
      </c>
      <c r="E1393" s="3" t="s">
        <v>57</v>
      </c>
      <c r="F1393" s="3">
        <v>0</v>
      </c>
      <c r="G1393" s="21">
        <f>Table4[[#This Row],[Item Cost]]*Table4[[#This Row],[In Stock]]</f>
        <v>0</v>
      </c>
      <c r="H1393" s="12" t="s">
        <v>4661</v>
      </c>
      <c r="I1393" s="13" t="s">
        <v>4668</v>
      </c>
      <c r="J1393" s="13" t="s">
        <v>4672</v>
      </c>
      <c r="K1393" s="13" t="s">
        <v>4672</v>
      </c>
      <c r="L1393" s="12" t="s">
        <v>4672</v>
      </c>
      <c r="M1393" s="17">
        <f>IF(LEN(COUNTIFS($H$1:H1393,$H1393,$I$1:I1393,$I1393,$J$1:J1393,$J1393,$K$1:K1393,K1393,$L$1:L1393,L1393))=1,"00"&amp;COUNTIFS($H$1:H1393,$H1393,$I$1:I1393,$I1393,$J$1:J1393,$J1393,$K$1:K1393,K1393,$L$1:L1393,L1393),IF(LEN(COUNTIFS($H$1:H1393,$H1393,$I$1:I1393,$I1393,$J$1:J1393,$J1393,$K$1:K1393,K1393,$L$1:L1393,L1393))=2,"0"&amp;COUNTIFS($H$1:H1393,$H1393,$I$1:I1393,$I1393,$J$1:J1393,$J1393,$K$1:K1393,K1393,$L$1:L1393,L1393),COUNTIFS($H$1:H1393,$H1393,$I$1:I1393,$I1393,$J$1:J1393,$J1393,$K$1:K1393,K1393,$L$1:L1393,L1393)))</f>
        <v>167</v>
      </c>
      <c r="N139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93" s="14" t="e">
        <f>+LEN(Table4[[#This Row],[New Item Code]])</f>
        <v>#N/A</v>
      </c>
      <c r="P1393" s="15" t="s">
        <v>4747</v>
      </c>
      <c r="Q1393" s="15" t="s">
        <v>4749</v>
      </c>
      <c r="R1393" s="15"/>
      <c r="S1393" s="15"/>
      <c r="T1393" s="15" t="s">
        <v>4672</v>
      </c>
    </row>
    <row r="1394" spans="1:20" x14ac:dyDescent="0.35">
      <c r="A1394" s="2" t="s">
        <v>2773</v>
      </c>
      <c r="B1394" s="2" t="s">
        <v>2774</v>
      </c>
      <c r="C1394" s="2" t="s">
        <v>56</v>
      </c>
      <c r="D1394" s="2">
        <v>0</v>
      </c>
      <c r="E1394" s="2" t="s">
        <v>57</v>
      </c>
      <c r="F1394" s="2">
        <v>0</v>
      </c>
      <c r="G1394" s="22">
        <f>Table4[[#This Row],[Item Cost]]*Table4[[#This Row],[In Stock]]</f>
        <v>0</v>
      </c>
      <c r="H1394" s="12" t="s">
        <v>4661</v>
      </c>
      <c r="I1394" s="13" t="s">
        <v>4668</v>
      </c>
      <c r="J1394" s="13" t="s">
        <v>4672</v>
      </c>
      <c r="K1394" s="7" t="s">
        <v>4771</v>
      </c>
      <c r="L1394" s="12" t="s">
        <v>4672</v>
      </c>
      <c r="M1394" s="17" t="str">
        <f>IF(LEN(COUNTIFS($H$1:H1394,$H1394,$I$1:I1394,$I1394,$J$1:J1394,$J1394,$K$1:K1394,K1394,$L$1:L1394,L1394))=1,"00"&amp;COUNTIFS($H$1:H1394,$H1394,$I$1:I1394,$I1394,$J$1:J1394,$J1394,$K$1:K1394,K1394,$L$1:L1394,L1394),IF(LEN(COUNTIFS($H$1:H1394,$H1394,$I$1:I1394,$I1394,$J$1:J1394,$J1394,$K$1:K1394,K1394,$L$1:L1394,L1394))=2,"0"&amp;COUNTIFS($H$1:H1394,$H1394,$I$1:I1394,$I1394,$J$1:J1394,$J1394,$K$1:K1394,K1394,$L$1:L1394,L1394),COUNTIFS($H$1:H1394,$H1394,$I$1:I1394,$I1394,$J$1:J1394,$J1394,$K$1:K1394,K1394,$L$1:L1394,L1394)))</f>
        <v>001</v>
      </c>
      <c r="N139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94" s="14" t="e">
        <f>+LEN(Table4[[#This Row],[New Item Code]])</f>
        <v>#N/A</v>
      </c>
      <c r="P1394" s="15" t="s">
        <v>4747</v>
      </c>
      <c r="Q1394" s="15" t="s">
        <v>4749</v>
      </c>
      <c r="R1394" s="15"/>
      <c r="S1394" s="15"/>
      <c r="T1394" s="15" t="s">
        <v>4672</v>
      </c>
    </row>
    <row r="1395" spans="1:20" x14ac:dyDescent="0.35">
      <c r="A1395" s="3" t="s">
        <v>2775</v>
      </c>
      <c r="B1395" s="3" t="s">
        <v>2776</v>
      </c>
      <c r="C1395" s="3" t="s">
        <v>56</v>
      </c>
      <c r="D1395" s="3">
        <v>0</v>
      </c>
      <c r="E1395" s="3" t="s">
        <v>57</v>
      </c>
      <c r="F1395" s="3">
        <v>0</v>
      </c>
      <c r="G1395" s="21">
        <f>Table4[[#This Row],[Item Cost]]*Table4[[#This Row],[In Stock]]</f>
        <v>0</v>
      </c>
      <c r="H1395" s="12" t="s">
        <v>4661</v>
      </c>
      <c r="I1395" s="13" t="s">
        <v>4668</v>
      </c>
      <c r="J1395" s="13" t="s">
        <v>4672</v>
      </c>
      <c r="K1395" s="13" t="s">
        <v>4672</v>
      </c>
      <c r="L1395" s="12" t="s">
        <v>4672</v>
      </c>
      <c r="M1395" s="17">
        <f>IF(LEN(COUNTIFS($H$1:H1395,$H1395,$I$1:I1395,$I1395,$J$1:J1395,$J1395,$K$1:K1395,K1395,$L$1:L1395,L1395))=1,"00"&amp;COUNTIFS($H$1:H1395,$H1395,$I$1:I1395,$I1395,$J$1:J1395,$J1395,$K$1:K1395,K1395,$L$1:L1395,L1395),IF(LEN(COUNTIFS($H$1:H1395,$H1395,$I$1:I1395,$I1395,$J$1:J1395,$J1395,$K$1:K1395,K1395,$L$1:L1395,L1395))=2,"0"&amp;COUNTIFS($H$1:H1395,$H1395,$I$1:I1395,$I1395,$J$1:J1395,$J1395,$K$1:K1395,K1395,$L$1:L1395,L1395),COUNTIFS($H$1:H1395,$H1395,$I$1:I1395,$I1395,$J$1:J1395,$J1395,$K$1:K1395,K1395,$L$1:L1395,L1395)))</f>
        <v>168</v>
      </c>
      <c r="N139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95" s="14" t="e">
        <f>+LEN(Table4[[#This Row],[New Item Code]])</f>
        <v>#N/A</v>
      </c>
      <c r="P1395" s="15" t="s">
        <v>4747</v>
      </c>
      <c r="Q1395" s="15" t="s">
        <v>4749</v>
      </c>
      <c r="R1395" s="15"/>
      <c r="S1395" s="15"/>
      <c r="T1395" s="15" t="s">
        <v>4672</v>
      </c>
    </row>
    <row r="1396" spans="1:20" x14ac:dyDescent="0.35">
      <c r="A1396" s="2" t="s">
        <v>2777</v>
      </c>
      <c r="B1396" s="2" t="s">
        <v>2778</v>
      </c>
      <c r="C1396" s="2" t="s">
        <v>15</v>
      </c>
      <c r="D1396" s="2">
        <v>165</v>
      </c>
      <c r="E1396" s="2" t="s">
        <v>10</v>
      </c>
      <c r="F1396" s="2">
        <v>1</v>
      </c>
      <c r="G1396" s="22">
        <f>Table4[[#This Row],[Item Cost]]*Table4[[#This Row],[In Stock]]</f>
        <v>165</v>
      </c>
      <c r="H1396" s="12" t="s">
        <v>4661</v>
      </c>
      <c r="I1396" s="13" t="s">
        <v>4666</v>
      </c>
      <c r="J1396" s="13" t="s">
        <v>4672</v>
      </c>
      <c r="K1396" s="13" t="s">
        <v>4672</v>
      </c>
      <c r="L1396" s="12" t="s">
        <v>4672</v>
      </c>
      <c r="M1396" s="17" t="str">
        <f>IF(LEN(COUNTIFS($H$1:H1396,$H1396,$I$1:I1396,$I1396,$J$1:J1396,$J1396,$K$1:K1396,K1396,$L$1:L1396,L1396))=1,"00"&amp;COUNTIFS($H$1:H1396,$H1396,$I$1:I1396,$I1396,$J$1:J1396,$J1396,$K$1:K1396,K1396,$L$1:L1396,L1396),IF(LEN(COUNTIFS($H$1:H1396,$H1396,$I$1:I1396,$I1396,$J$1:J1396,$J1396,$K$1:K1396,K1396,$L$1:L1396,L1396))=2,"0"&amp;COUNTIFS($H$1:H1396,$H1396,$I$1:I1396,$I1396,$J$1:J1396,$J1396,$K$1:K1396,K1396,$L$1:L1396,L1396),COUNTIFS($H$1:H1396,$H1396,$I$1:I1396,$I1396,$J$1:J1396,$J1396,$K$1:K1396,K1396,$L$1:L1396,L1396)))</f>
        <v>015</v>
      </c>
      <c r="N139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96" s="14" t="e">
        <f>+LEN(Table4[[#This Row],[New Item Code]])</f>
        <v>#N/A</v>
      </c>
      <c r="P1396" s="15" t="s">
        <v>4747</v>
      </c>
      <c r="Q1396" s="15" t="s">
        <v>4749</v>
      </c>
      <c r="R1396" s="15"/>
      <c r="S1396" s="15"/>
      <c r="T1396" s="15" t="s">
        <v>4672</v>
      </c>
    </row>
    <row r="1397" spans="1:20" x14ac:dyDescent="0.35">
      <c r="A1397" s="3" t="s">
        <v>2779</v>
      </c>
      <c r="B1397" s="3" t="s">
        <v>2780</v>
      </c>
      <c r="C1397" s="3" t="s">
        <v>15</v>
      </c>
      <c r="D1397" s="3">
        <v>0</v>
      </c>
      <c r="E1397" s="3" t="s">
        <v>10</v>
      </c>
      <c r="F1397" s="3">
        <v>0</v>
      </c>
      <c r="G1397" s="21">
        <f>Table4[[#This Row],[Item Cost]]*Table4[[#This Row],[In Stock]]</f>
        <v>0</v>
      </c>
      <c r="H1397" s="12" t="s">
        <v>4661</v>
      </c>
      <c r="I1397" s="13" t="s">
        <v>4666</v>
      </c>
      <c r="J1397" s="13" t="s">
        <v>4672</v>
      </c>
      <c r="K1397" s="13" t="s">
        <v>4672</v>
      </c>
      <c r="L1397" s="12" t="s">
        <v>4672</v>
      </c>
      <c r="M1397" s="17" t="str">
        <f>IF(LEN(COUNTIFS($H$1:H1397,$H1397,$I$1:I1397,$I1397,$J$1:J1397,$J1397,$K$1:K1397,K1397,$L$1:L1397,L1397))=1,"00"&amp;COUNTIFS($H$1:H1397,$H1397,$I$1:I1397,$I1397,$J$1:J1397,$J1397,$K$1:K1397,K1397,$L$1:L1397,L1397),IF(LEN(COUNTIFS($H$1:H1397,$H1397,$I$1:I1397,$I1397,$J$1:J1397,$J1397,$K$1:K1397,K1397,$L$1:L1397,L1397))=2,"0"&amp;COUNTIFS($H$1:H1397,$H1397,$I$1:I1397,$I1397,$J$1:J1397,$J1397,$K$1:K1397,K1397,$L$1:L1397,L1397),COUNTIFS($H$1:H1397,$H1397,$I$1:I1397,$I1397,$J$1:J1397,$J1397,$K$1:K1397,K1397,$L$1:L1397,L1397)))</f>
        <v>016</v>
      </c>
      <c r="N139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97" s="14" t="e">
        <f>+LEN(Table4[[#This Row],[New Item Code]])</f>
        <v>#N/A</v>
      </c>
      <c r="P1397" s="15" t="s">
        <v>4747</v>
      </c>
      <c r="Q1397" s="15" t="s">
        <v>4749</v>
      </c>
      <c r="R1397" s="15"/>
      <c r="S1397" s="15"/>
      <c r="T1397" s="15" t="s">
        <v>4672</v>
      </c>
    </row>
    <row r="1398" spans="1:20" x14ac:dyDescent="0.35">
      <c r="A1398" s="2" t="s">
        <v>2781</v>
      </c>
      <c r="B1398" s="2" t="s">
        <v>2782</v>
      </c>
      <c r="C1398" s="2" t="s">
        <v>15</v>
      </c>
      <c r="D1398" s="2">
        <v>120</v>
      </c>
      <c r="E1398" s="2" t="s">
        <v>10</v>
      </c>
      <c r="F1398" s="2">
        <v>3</v>
      </c>
      <c r="G1398" s="22">
        <f>Table4[[#This Row],[Item Cost]]*Table4[[#This Row],[In Stock]]</f>
        <v>360</v>
      </c>
      <c r="H1398" s="12" t="s">
        <v>4661</v>
      </c>
      <c r="I1398" s="13" t="s">
        <v>4666</v>
      </c>
      <c r="J1398" s="13" t="s">
        <v>4672</v>
      </c>
      <c r="K1398" s="13" t="s">
        <v>4672</v>
      </c>
      <c r="L1398" s="12" t="s">
        <v>4672</v>
      </c>
      <c r="M1398" s="17" t="str">
        <f>IF(LEN(COUNTIFS($H$1:H1398,$H1398,$I$1:I1398,$I1398,$J$1:J1398,$J1398,$K$1:K1398,K1398,$L$1:L1398,L1398))=1,"00"&amp;COUNTIFS($H$1:H1398,$H1398,$I$1:I1398,$I1398,$J$1:J1398,$J1398,$K$1:K1398,K1398,$L$1:L1398,L1398),IF(LEN(COUNTIFS($H$1:H1398,$H1398,$I$1:I1398,$I1398,$J$1:J1398,$J1398,$K$1:K1398,K1398,$L$1:L1398,L1398))=2,"0"&amp;COUNTIFS($H$1:H1398,$H1398,$I$1:I1398,$I1398,$J$1:J1398,$J1398,$K$1:K1398,K1398,$L$1:L1398,L1398),COUNTIFS($H$1:H1398,$H1398,$I$1:I1398,$I1398,$J$1:J1398,$J1398,$K$1:K1398,K1398,$L$1:L1398,L1398)))</f>
        <v>017</v>
      </c>
      <c r="N139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98" s="14" t="e">
        <f>+LEN(Table4[[#This Row],[New Item Code]])</f>
        <v>#N/A</v>
      </c>
      <c r="P1398" s="15" t="s">
        <v>4747</v>
      </c>
      <c r="Q1398" s="15" t="s">
        <v>4749</v>
      </c>
      <c r="R1398" s="15"/>
      <c r="S1398" s="15"/>
      <c r="T1398" s="15" t="s">
        <v>4672</v>
      </c>
    </row>
    <row r="1399" spans="1:20" x14ac:dyDescent="0.35">
      <c r="A1399" s="3" t="s">
        <v>2783</v>
      </c>
      <c r="B1399" s="3" t="s">
        <v>2784</v>
      </c>
      <c r="C1399" s="3" t="s">
        <v>15</v>
      </c>
      <c r="D1399" s="3">
        <v>52</v>
      </c>
      <c r="E1399" s="3" t="s">
        <v>10</v>
      </c>
      <c r="F1399" s="3">
        <v>0</v>
      </c>
      <c r="G1399" s="21">
        <f>Table4[[#This Row],[Item Cost]]*Table4[[#This Row],[In Stock]]</f>
        <v>0</v>
      </c>
      <c r="H1399" s="12" t="s">
        <v>4661</v>
      </c>
      <c r="I1399" s="13" t="s">
        <v>4666</v>
      </c>
      <c r="J1399" s="13" t="s">
        <v>4672</v>
      </c>
      <c r="K1399" s="13" t="s">
        <v>4672</v>
      </c>
      <c r="L1399" s="12" t="s">
        <v>4672</v>
      </c>
      <c r="M1399" s="17" t="str">
        <f>IF(LEN(COUNTIFS($H$1:H1399,$H1399,$I$1:I1399,$I1399,$J$1:J1399,$J1399,$K$1:K1399,K1399,$L$1:L1399,L1399))=1,"00"&amp;COUNTIFS($H$1:H1399,$H1399,$I$1:I1399,$I1399,$J$1:J1399,$J1399,$K$1:K1399,K1399,$L$1:L1399,L1399),IF(LEN(COUNTIFS($H$1:H1399,$H1399,$I$1:I1399,$I1399,$J$1:J1399,$J1399,$K$1:K1399,K1399,$L$1:L1399,L1399))=2,"0"&amp;COUNTIFS($H$1:H1399,$H1399,$I$1:I1399,$I1399,$J$1:J1399,$J1399,$K$1:K1399,K1399,$L$1:L1399,L1399),COUNTIFS($H$1:H1399,$H1399,$I$1:I1399,$I1399,$J$1:J1399,$J1399,$K$1:K1399,K1399,$L$1:L1399,L1399)))</f>
        <v>018</v>
      </c>
      <c r="N139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399" s="14" t="e">
        <f>+LEN(Table4[[#This Row],[New Item Code]])</f>
        <v>#N/A</v>
      </c>
      <c r="P1399" s="15" t="s">
        <v>4747</v>
      </c>
      <c r="Q1399" s="15" t="s">
        <v>4749</v>
      </c>
      <c r="R1399" s="15"/>
      <c r="S1399" s="15"/>
      <c r="T1399" s="15" t="s">
        <v>4672</v>
      </c>
    </row>
    <row r="1400" spans="1:20" x14ac:dyDescent="0.35">
      <c r="A1400" s="2" t="s">
        <v>2785</v>
      </c>
      <c r="B1400" s="2" t="s">
        <v>2786</v>
      </c>
      <c r="C1400" s="2" t="s">
        <v>15</v>
      </c>
      <c r="D1400" s="2">
        <v>0</v>
      </c>
      <c r="E1400" s="2" t="s">
        <v>10</v>
      </c>
      <c r="F1400" s="2">
        <v>0</v>
      </c>
      <c r="G1400" s="22">
        <f>Table4[[#This Row],[Item Cost]]*Table4[[#This Row],[In Stock]]</f>
        <v>0</v>
      </c>
      <c r="H1400" s="12" t="s">
        <v>4661</v>
      </c>
      <c r="I1400" s="13" t="s">
        <v>4666</v>
      </c>
      <c r="J1400" s="13" t="s">
        <v>4672</v>
      </c>
      <c r="K1400" s="13" t="s">
        <v>4672</v>
      </c>
      <c r="L1400" s="12" t="s">
        <v>4672</v>
      </c>
      <c r="M1400" s="17" t="str">
        <f>IF(LEN(COUNTIFS($H$1:H1400,$H1400,$I$1:I1400,$I1400,$J$1:J1400,$J1400,$K$1:K1400,K1400,$L$1:L1400,L1400))=1,"00"&amp;COUNTIFS($H$1:H1400,$H1400,$I$1:I1400,$I1400,$J$1:J1400,$J1400,$K$1:K1400,K1400,$L$1:L1400,L1400),IF(LEN(COUNTIFS($H$1:H1400,$H1400,$I$1:I1400,$I1400,$J$1:J1400,$J1400,$K$1:K1400,K1400,$L$1:L1400,L1400))=2,"0"&amp;COUNTIFS($H$1:H1400,$H1400,$I$1:I1400,$I1400,$J$1:J1400,$J1400,$K$1:K1400,K1400,$L$1:L1400,L1400),COUNTIFS($H$1:H1400,$H1400,$I$1:I1400,$I1400,$J$1:J1400,$J1400,$K$1:K1400,K1400,$L$1:L1400,L1400)))</f>
        <v>019</v>
      </c>
      <c r="N140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00" s="14" t="e">
        <f>+LEN(Table4[[#This Row],[New Item Code]])</f>
        <v>#N/A</v>
      </c>
      <c r="P1400" s="15" t="s">
        <v>4747</v>
      </c>
      <c r="Q1400" s="15" t="s">
        <v>4749</v>
      </c>
      <c r="R1400" s="15"/>
      <c r="S1400" s="15"/>
      <c r="T1400" s="15" t="s">
        <v>4672</v>
      </c>
    </row>
    <row r="1401" spans="1:20" x14ac:dyDescent="0.35">
      <c r="A1401" s="3" t="s">
        <v>2787</v>
      </c>
      <c r="B1401" s="3" t="s">
        <v>2788</v>
      </c>
      <c r="C1401" s="3" t="s">
        <v>15</v>
      </c>
      <c r="D1401" s="3">
        <v>85</v>
      </c>
      <c r="E1401" s="3" t="s">
        <v>10</v>
      </c>
      <c r="F1401" s="3">
        <v>1</v>
      </c>
      <c r="G1401" s="21">
        <f>Table4[[#This Row],[Item Cost]]*Table4[[#This Row],[In Stock]]</f>
        <v>85</v>
      </c>
      <c r="H1401" s="12" t="s">
        <v>4661</v>
      </c>
      <c r="I1401" s="13" t="s">
        <v>4666</v>
      </c>
      <c r="J1401" s="13" t="s">
        <v>4672</v>
      </c>
      <c r="K1401" s="13" t="s">
        <v>4672</v>
      </c>
      <c r="L1401" s="12" t="s">
        <v>4672</v>
      </c>
      <c r="M1401" s="17" t="str">
        <f>IF(LEN(COUNTIFS($H$1:H1401,$H1401,$I$1:I1401,$I1401,$J$1:J1401,$J1401,$K$1:K1401,K1401,$L$1:L1401,L1401))=1,"00"&amp;COUNTIFS($H$1:H1401,$H1401,$I$1:I1401,$I1401,$J$1:J1401,$J1401,$K$1:K1401,K1401,$L$1:L1401,L1401),IF(LEN(COUNTIFS($H$1:H1401,$H1401,$I$1:I1401,$I1401,$J$1:J1401,$J1401,$K$1:K1401,K1401,$L$1:L1401,L1401))=2,"0"&amp;COUNTIFS($H$1:H1401,$H1401,$I$1:I1401,$I1401,$J$1:J1401,$J1401,$K$1:K1401,K1401,$L$1:L1401,L1401),COUNTIFS($H$1:H1401,$H1401,$I$1:I1401,$I1401,$J$1:J1401,$J1401,$K$1:K1401,K1401,$L$1:L1401,L1401)))</f>
        <v>020</v>
      </c>
      <c r="N140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01" s="14" t="e">
        <f>+LEN(Table4[[#This Row],[New Item Code]])</f>
        <v>#N/A</v>
      </c>
      <c r="P1401" s="15" t="s">
        <v>4747</v>
      </c>
      <c r="Q1401" s="15" t="s">
        <v>4749</v>
      </c>
      <c r="R1401" s="15"/>
      <c r="S1401" s="15"/>
      <c r="T1401" s="15" t="s">
        <v>4672</v>
      </c>
    </row>
    <row r="1402" spans="1:20" x14ac:dyDescent="0.35">
      <c r="A1402" s="2" t="s">
        <v>2789</v>
      </c>
      <c r="B1402" s="2" t="s">
        <v>2790</v>
      </c>
      <c r="C1402" s="2" t="s">
        <v>15</v>
      </c>
      <c r="D1402" s="2">
        <v>475</v>
      </c>
      <c r="E1402" s="2" t="s">
        <v>10</v>
      </c>
      <c r="F1402" s="2">
        <v>1</v>
      </c>
      <c r="G1402" s="22">
        <f>Table4[[#This Row],[Item Cost]]*Table4[[#This Row],[In Stock]]</f>
        <v>475</v>
      </c>
      <c r="H1402" s="12" t="s">
        <v>4661</v>
      </c>
      <c r="I1402" s="13" t="s">
        <v>4666</v>
      </c>
      <c r="J1402" s="13" t="s">
        <v>4672</v>
      </c>
      <c r="K1402" s="13" t="s">
        <v>4672</v>
      </c>
      <c r="L1402" s="12" t="s">
        <v>4672</v>
      </c>
      <c r="M1402" s="17" t="str">
        <f>IF(LEN(COUNTIFS($H$1:H1402,$H1402,$I$1:I1402,$I1402,$J$1:J1402,$J1402,$K$1:K1402,K1402,$L$1:L1402,L1402))=1,"00"&amp;COUNTIFS($H$1:H1402,$H1402,$I$1:I1402,$I1402,$J$1:J1402,$J1402,$K$1:K1402,K1402,$L$1:L1402,L1402),IF(LEN(COUNTIFS($H$1:H1402,$H1402,$I$1:I1402,$I1402,$J$1:J1402,$J1402,$K$1:K1402,K1402,$L$1:L1402,L1402))=2,"0"&amp;COUNTIFS($H$1:H1402,$H1402,$I$1:I1402,$I1402,$J$1:J1402,$J1402,$K$1:K1402,K1402,$L$1:L1402,L1402),COUNTIFS($H$1:H1402,$H1402,$I$1:I1402,$I1402,$J$1:J1402,$J1402,$K$1:K1402,K1402,$L$1:L1402,L1402)))</f>
        <v>021</v>
      </c>
      <c r="N140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02" s="14" t="e">
        <f>+LEN(Table4[[#This Row],[New Item Code]])</f>
        <v>#N/A</v>
      </c>
      <c r="P1402" s="15" t="s">
        <v>4747</v>
      </c>
      <c r="Q1402" s="15" t="s">
        <v>4749</v>
      </c>
      <c r="R1402" s="15"/>
      <c r="S1402" s="15"/>
      <c r="T1402" s="15" t="s">
        <v>4672</v>
      </c>
    </row>
    <row r="1403" spans="1:20" x14ac:dyDescent="0.35">
      <c r="A1403" s="3" t="s">
        <v>2791</v>
      </c>
      <c r="B1403" s="3" t="s">
        <v>2792</v>
      </c>
      <c r="C1403" s="3" t="s">
        <v>15</v>
      </c>
      <c r="D1403" s="5">
        <v>1850</v>
      </c>
      <c r="E1403" s="3" t="s">
        <v>10</v>
      </c>
      <c r="F1403" s="3">
        <v>3</v>
      </c>
      <c r="G1403" s="21">
        <f>Table4[[#This Row],[Item Cost]]*Table4[[#This Row],[In Stock]]</f>
        <v>5550</v>
      </c>
      <c r="H1403" s="12" t="s">
        <v>4661</v>
      </c>
      <c r="I1403" s="13" t="s">
        <v>4666</v>
      </c>
      <c r="J1403" s="13" t="s">
        <v>4672</v>
      </c>
      <c r="K1403" s="13" t="s">
        <v>4672</v>
      </c>
      <c r="L1403" s="12" t="s">
        <v>4672</v>
      </c>
      <c r="M1403" s="17" t="str">
        <f>IF(LEN(COUNTIFS($H$1:H1403,$H1403,$I$1:I1403,$I1403,$J$1:J1403,$J1403,$K$1:K1403,K1403,$L$1:L1403,L1403))=1,"00"&amp;COUNTIFS($H$1:H1403,$H1403,$I$1:I1403,$I1403,$J$1:J1403,$J1403,$K$1:K1403,K1403,$L$1:L1403,L1403),IF(LEN(COUNTIFS($H$1:H1403,$H1403,$I$1:I1403,$I1403,$J$1:J1403,$J1403,$K$1:K1403,K1403,$L$1:L1403,L1403))=2,"0"&amp;COUNTIFS($H$1:H1403,$H1403,$I$1:I1403,$I1403,$J$1:J1403,$J1403,$K$1:K1403,K1403,$L$1:L1403,L1403),COUNTIFS($H$1:H1403,$H1403,$I$1:I1403,$I1403,$J$1:J1403,$J1403,$K$1:K1403,K1403,$L$1:L1403,L1403)))</f>
        <v>022</v>
      </c>
      <c r="N140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03" s="14" t="e">
        <f>+LEN(Table4[[#This Row],[New Item Code]])</f>
        <v>#N/A</v>
      </c>
      <c r="P1403" s="15" t="s">
        <v>4747</v>
      </c>
      <c r="Q1403" s="15" t="s">
        <v>4749</v>
      </c>
      <c r="R1403" s="15"/>
      <c r="S1403" s="15"/>
      <c r="T1403" s="15" t="s">
        <v>4672</v>
      </c>
    </row>
    <row r="1404" spans="1:20" x14ac:dyDescent="0.35">
      <c r="A1404" s="2" t="s">
        <v>2793</v>
      </c>
      <c r="B1404" s="2" t="s">
        <v>2794</v>
      </c>
      <c r="C1404" s="2" t="s">
        <v>15</v>
      </c>
      <c r="D1404" s="2">
        <v>0</v>
      </c>
      <c r="E1404" s="2" t="s">
        <v>10</v>
      </c>
      <c r="F1404" s="2">
        <v>0</v>
      </c>
      <c r="G1404" s="22">
        <f>Table4[[#This Row],[Item Cost]]*Table4[[#This Row],[In Stock]]</f>
        <v>0</v>
      </c>
      <c r="H1404" s="12" t="s">
        <v>4661</v>
      </c>
      <c r="I1404" s="13" t="s">
        <v>4666</v>
      </c>
      <c r="J1404" s="13" t="s">
        <v>4672</v>
      </c>
      <c r="K1404" s="13" t="s">
        <v>4672</v>
      </c>
      <c r="L1404" s="12" t="s">
        <v>4672</v>
      </c>
      <c r="M1404" s="17" t="str">
        <f>IF(LEN(COUNTIFS($H$1:H1404,$H1404,$I$1:I1404,$I1404,$J$1:J1404,$J1404,$K$1:K1404,K1404,$L$1:L1404,L1404))=1,"00"&amp;COUNTIFS($H$1:H1404,$H1404,$I$1:I1404,$I1404,$J$1:J1404,$J1404,$K$1:K1404,K1404,$L$1:L1404,L1404),IF(LEN(COUNTIFS($H$1:H1404,$H1404,$I$1:I1404,$I1404,$J$1:J1404,$J1404,$K$1:K1404,K1404,$L$1:L1404,L1404))=2,"0"&amp;COUNTIFS($H$1:H1404,$H1404,$I$1:I1404,$I1404,$J$1:J1404,$J1404,$K$1:K1404,K1404,$L$1:L1404,L1404),COUNTIFS($H$1:H1404,$H1404,$I$1:I1404,$I1404,$J$1:J1404,$J1404,$K$1:K1404,K1404,$L$1:L1404,L1404)))</f>
        <v>023</v>
      </c>
      <c r="N140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04" s="14" t="e">
        <f>+LEN(Table4[[#This Row],[New Item Code]])</f>
        <v>#N/A</v>
      </c>
      <c r="P1404" s="15" t="s">
        <v>4747</v>
      </c>
      <c r="Q1404" s="15" t="s">
        <v>4749</v>
      </c>
      <c r="R1404" s="15"/>
      <c r="S1404" s="15"/>
      <c r="T1404" s="15" t="s">
        <v>4672</v>
      </c>
    </row>
    <row r="1405" spans="1:20" x14ac:dyDescent="0.35">
      <c r="A1405" s="3" t="s">
        <v>2795</v>
      </c>
      <c r="B1405" s="3" t="s">
        <v>2796</v>
      </c>
      <c r="C1405" s="3" t="s">
        <v>15</v>
      </c>
      <c r="D1405" s="3">
        <v>0</v>
      </c>
      <c r="E1405" s="3" t="s">
        <v>10</v>
      </c>
      <c r="F1405" s="3">
        <v>0</v>
      </c>
      <c r="G1405" s="21">
        <f>Table4[[#This Row],[Item Cost]]*Table4[[#This Row],[In Stock]]</f>
        <v>0</v>
      </c>
      <c r="H1405" s="12" t="s">
        <v>4661</v>
      </c>
      <c r="I1405" s="13" t="s">
        <v>4666</v>
      </c>
      <c r="J1405" s="13" t="s">
        <v>4672</v>
      </c>
      <c r="K1405" s="13" t="s">
        <v>4672</v>
      </c>
      <c r="L1405" s="12" t="s">
        <v>4672</v>
      </c>
      <c r="M1405" s="17" t="str">
        <f>IF(LEN(COUNTIFS($H$1:H1405,$H1405,$I$1:I1405,$I1405,$J$1:J1405,$J1405,$K$1:K1405,K1405,$L$1:L1405,L1405))=1,"00"&amp;COUNTIFS($H$1:H1405,$H1405,$I$1:I1405,$I1405,$J$1:J1405,$J1405,$K$1:K1405,K1405,$L$1:L1405,L1405),IF(LEN(COUNTIFS($H$1:H1405,$H1405,$I$1:I1405,$I1405,$J$1:J1405,$J1405,$K$1:K1405,K1405,$L$1:L1405,L1405))=2,"0"&amp;COUNTIFS($H$1:H1405,$H1405,$I$1:I1405,$I1405,$J$1:J1405,$J1405,$K$1:K1405,K1405,$L$1:L1405,L1405),COUNTIFS($H$1:H1405,$H1405,$I$1:I1405,$I1405,$J$1:J1405,$J1405,$K$1:K1405,K1405,$L$1:L1405,L1405)))</f>
        <v>024</v>
      </c>
      <c r="N140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05" s="14" t="e">
        <f>+LEN(Table4[[#This Row],[New Item Code]])</f>
        <v>#N/A</v>
      </c>
      <c r="P1405" s="15" t="s">
        <v>4747</v>
      </c>
      <c r="Q1405" s="15" t="s">
        <v>4749</v>
      </c>
      <c r="R1405" s="15"/>
      <c r="S1405" s="15"/>
      <c r="T1405" s="15" t="s">
        <v>4672</v>
      </c>
    </row>
    <row r="1406" spans="1:20" x14ac:dyDescent="0.35">
      <c r="A1406" s="2" t="s">
        <v>2797</v>
      </c>
      <c r="B1406" s="2" t="s">
        <v>2798</v>
      </c>
      <c r="C1406" s="2" t="s">
        <v>15</v>
      </c>
      <c r="D1406" s="2">
        <v>0</v>
      </c>
      <c r="E1406" s="2" t="s">
        <v>10</v>
      </c>
      <c r="F1406" s="2">
        <v>0</v>
      </c>
      <c r="G1406" s="22">
        <f>Table4[[#This Row],[Item Cost]]*Table4[[#This Row],[In Stock]]</f>
        <v>0</v>
      </c>
      <c r="H1406" s="12" t="s">
        <v>4661</v>
      </c>
      <c r="I1406" s="13" t="s">
        <v>4666</v>
      </c>
      <c r="J1406" s="13" t="s">
        <v>4672</v>
      </c>
      <c r="K1406" s="13" t="s">
        <v>4672</v>
      </c>
      <c r="L1406" s="12" t="s">
        <v>4672</v>
      </c>
      <c r="M1406" s="17" t="str">
        <f>IF(LEN(COUNTIFS($H$1:H1406,$H1406,$I$1:I1406,$I1406,$J$1:J1406,$J1406,$K$1:K1406,K1406,$L$1:L1406,L1406))=1,"00"&amp;COUNTIFS($H$1:H1406,$H1406,$I$1:I1406,$I1406,$J$1:J1406,$J1406,$K$1:K1406,K1406,$L$1:L1406,L1406),IF(LEN(COUNTIFS($H$1:H1406,$H1406,$I$1:I1406,$I1406,$J$1:J1406,$J1406,$K$1:K1406,K1406,$L$1:L1406,L1406))=2,"0"&amp;COUNTIFS($H$1:H1406,$H1406,$I$1:I1406,$I1406,$J$1:J1406,$J1406,$K$1:K1406,K1406,$L$1:L1406,L1406),COUNTIFS($H$1:H1406,$H1406,$I$1:I1406,$I1406,$J$1:J1406,$J1406,$K$1:K1406,K1406,$L$1:L1406,L1406)))</f>
        <v>025</v>
      </c>
      <c r="N140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06" s="14" t="e">
        <f>+LEN(Table4[[#This Row],[New Item Code]])</f>
        <v>#N/A</v>
      </c>
      <c r="P1406" s="15" t="s">
        <v>4747</v>
      </c>
      <c r="Q1406" s="15" t="s">
        <v>4749</v>
      </c>
      <c r="R1406" s="15"/>
      <c r="S1406" s="15"/>
      <c r="T1406" s="15" t="s">
        <v>4672</v>
      </c>
    </row>
    <row r="1407" spans="1:20" x14ac:dyDescent="0.35">
      <c r="A1407" s="3" t="s">
        <v>2799</v>
      </c>
      <c r="B1407" s="3" t="s">
        <v>2800</v>
      </c>
      <c r="C1407" s="3" t="s">
        <v>15</v>
      </c>
      <c r="D1407" s="3">
        <v>30</v>
      </c>
      <c r="E1407" s="3" t="s">
        <v>10</v>
      </c>
      <c r="F1407" s="3">
        <v>5</v>
      </c>
      <c r="G1407" s="21">
        <f>Table4[[#This Row],[Item Cost]]*Table4[[#This Row],[In Stock]]</f>
        <v>150</v>
      </c>
      <c r="H1407" s="12" t="s">
        <v>4661</v>
      </c>
      <c r="I1407" s="13" t="s">
        <v>4666</v>
      </c>
      <c r="J1407" s="13" t="s">
        <v>4672</v>
      </c>
      <c r="K1407" s="13" t="s">
        <v>4672</v>
      </c>
      <c r="L1407" s="12" t="s">
        <v>4672</v>
      </c>
      <c r="M1407" s="17" t="str">
        <f>IF(LEN(COUNTIFS($H$1:H1407,$H1407,$I$1:I1407,$I1407,$J$1:J1407,$J1407,$K$1:K1407,K1407,$L$1:L1407,L1407))=1,"00"&amp;COUNTIFS($H$1:H1407,$H1407,$I$1:I1407,$I1407,$J$1:J1407,$J1407,$K$1:K1407,K1407,$L$1:L1407,L1407),IF(LEN(COUNTIFS($H$1:H1407,$H1407,$I$1:I1407,$I1407,$J$1:J1407,$J1407,$K$1:K1407,K1407,$L$1:L1407,L1407))=2,"0"&amp;COUNTIFS($H$1:H1407,$H1407,$I$1:I1407,$I1407,$J$1:J1407,$J1407,$K$1:K1407,K1407,$L$1:L1407,L1407),COUNTIFS($H$1:H1407,$H1407,$I$1:I1407,$I1407,$J$1:J1407,$J1407,$K$1:K1407,K1407,$L$1:L1407,L1407)))</f>
        <v>026</v>
      </c>
      <c r="N140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07" s="14" t="e">
        <f>+LEN(Table4[[#This Row],[New Item Code]])</f>
        <v>#N/A</v>
      </c>
      <c r="P1407" s="15" t="s">
        <v>4747</v>
      </c>
      <c r="Q1407" s="15" t="s">
        <v>4749</v>
      </c>
      <c r="R1407" s="15"/>
      <c r="S1407" s="15"/>
      <c r="T1407" s="15" t="s">
        <v>4672</v>
      </c>
    </row>
    <row r="1408" spans="1:20" x14ac:dyDescent="0.35">
      <c r="A1408" s="2" t="s">
        <v>2801</v>
      </c>
      <c r="B1408" s="2" t="s">
        <v>2802</v>
      </c>
      <c r="C1408" s="2" t="s">
        <v>15</v>
      </c>
      <c r="D1408" s="2">
        <v>30</v>
      </c>
      <c r="E1408" s="2" t="s">
        <v>10</v>
      </c>
      <c r="F1408" s="2">
        <v>5</v>
      </c>
      <c r="G1408" s="22">
        <f>Table4[[#This Row],[Item Cost]]*Table4[[#This Row],[In Stock]]</f>
        <v>150</v>
      </c>
      <c r="H1408" s="12" t="s">
        <v>4661</v>
      </c>
      <c r="I1408" s="13" t="s">
        <v>4666</v>
      </c>
      <c r="J1408" s="13" t="s">
        <v>4672</v>
      </c>
      <c r="K1408" s="13" t="s">
        <v>4672</v>
      </c>
      <c r="L1408" s="12" t="s">
        <v>4672</v>
      </c>
      <c r="M1408" s="17" t="str">
        <f>IF(LEN(COUNTIFS($H$1:H1408,$H1408,$I$1:I1408,$I1408,$J$1:J1408,$J1408,$K$1:K1408,K1408,$L$1:L1408,L1408))=1,"00"&amp;COUNTIFS($H$1:H1408,$H1408,$I$1:I1408,$I1408,$J$1:J1408,$J1408,$K$1:K1408,K1408,$L$1:L1408,L1408),IF(LEN(COUNTIFS($H$1:H1408,$H1408,$I$1:I1408,$I1408,$J$1:J1408,$J1408,$K$1:K1408,K1408,$L$1:L1408,L1408))=2,"0"&amp;COUNTIFS($H$1:H1408,$H1408,$I$1:I1408,$I1408,$J$1:J1408,$J1408,$K$1:K1408,K1408,$L$1:L1408,L1408),COUNTIFS($H$1:H1408,$H1408,$I$1:I1408,$I1408,$J$1:J1408,$J1408,$K$1:K1408,K1408,$L$1:L1408,L1408)))</f>
        <v>027</v>
      </c>
      <c r="N140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08" s="14" t="e">
        <f>+LEN(Table4[[#This Row],[New Item Code]])</f>
        <v>#N/A</v>
      </c>
      <c r="P1408" s="15" t="s">
        <v>4747</v>
      </c>
      <c r="Q1408" s="15" t="s">
        <v>4749</v>
      </c>
      <c r="R1408" s="15"/>
      <c r="S1408" s="15"/>
      <c r="T1408" s="15" t="s">
        <v>4672</v>
      </c>
    </row>
    <row r="1409" spans="1:20" x14ac:dyDescent="0.35">
      <c r="A1409" s="3" t="s">
        <v>2803</v>
      </c>
      <c r="B1409" s="3" t="s">
        <v>2804</v>
      </c>
      <c r="C1409" s="3" t="s">
        <v>15</v>
      </c>
      <c r="D1409" s="3">
        <v>34</v>
      </c>
      <c r="E1409" s="3" t="s">
        <v>10</v>
      </c>
      <c r="F1409" s="3">
        <v>5</v>
      </c>
      <c r="G1409" s="21">
        <f>Table4[[#This Row],[Item Cost]]*Table4[[#This Row],[In Stock]]</f>
        <v>170</v>
      </c>
      <c r="H1409" s="12" t="s">
        <v>4661</v>
      </c>
      <c r="I1409" s="13" t="s">
        <v>4666</v>
      </c>
      <c r="J1409" s="13" t="s">
        <v>4672</v>
      </c>
      <c r="K1409" s="13" t="s">
        <v>4672</v>
      </c>
      <c r="L1409" s="12" t="s">
        <v>4672</v>
      </c>
      <c r="M1409" s="17" t="str">
        <f>IF(LEN(COUNTIFS($H$1:H1409,$H1409,$I$1:I1409,$I1409,$J$1:J1409,$J1409,$K$1:K1409,K1409,$L$1:L1409,L1409))=1,"00"&amp;COUNTIFS($H$1:H1409,$H1409,$I$1:I1409,$I1409,$J$1:J1409,$J1409,$K$1:K1409,K1409,$L$1:L1409,L1409),IF(LEN(COUNTIFS($H$1:H1409,$H1409,$I$1:I1409,$I1409,$J$1:J1409,$J1409,$K$1:K1409,K1409,$L$1:L1409,L1409))=2,"0"&amp;COUNTIFS($H$1:H1409,$H1409,$I$1:I1409,$I1409,$J$1:J1409,$J1409,$K$1:K1409,K1409,$L$1:L1409,L1409),COUNTIFS($H$1:H1409,$H1409,$I$1:I1409,$I1409,$J$1:J1409,$J1409,$K$1:K1409,K1409,$L$1:L1409,L1409)))</f>
        <v>028</v>
      </c>
      <c r="N140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09" s="14" t="e">
        <f>+LEN(Table4[[#This Row],[New Item Code]])</f>
        <v>#N/A</v>
      </c>
      <c r="P1409" s="15" t="s">
        <v>4747</v>
      </c>
      <c r="Q1409" s="15" t="s">
        <v>4749</v>
      </c>
      <c r="R1409" s="15"/>
      <c r="S1409" s="15"/>
      <c r="T1409" s="15" t="s">
        <v>4672</v>
      </c>
    </row>
    <row r="1410" spans="1:20" x14ac:dyDescent="0.35">
      <c r="A1410" s="2" t="s">
        <v>2805</v>
      </c>
      <c r="B1410" s="2" t="s">
        <v>2806</v>
      </c>
      <c r="C1410" s="2" t="s">
        <v>15</v>
      </c>
      <c r="D1410" s="2">
        <v>37</v>
      </c>
      <c r="E1410" s="2" t="s">
        <v>10</v>
      </c>
      <c r="F1410" s="2">
        <v>0</v>
      </c>
      <c r="G1410" s="22">
        <f>Table4[[#This Row],[Item Cost]]*Table4[[#This Row],[In Stock]]</f>
        <v>0</v>
      </c>
      <c r="H1410" s="12" t="s">
        <v>4661</v>
      </c>
      <c r="I1410" s="13" t="s">
        <v>4666</v>
      </c>
      <c r="J1410" s="13" t="s">
        <v>4672</v>
      </c>
      <c r="K1410" s="13" t="s">
        <v>4672</v>
      </c>
      <c r="L1410" s="12" t="s">
        <v>4672</v>
      </c>
      <c r="M1410" s="17" t="str">
        <f>IF(LEN(COUNTIFS($H$1:H1410,$H1410,$I$1:I1410,$I1410,$J$1:J1410,$J1410,$K$1:K1410,K1410,$L$1:L1410,L1410))=1,"00"&amp;COUNTIFS($H$1:H1410,$H1410,$I$1:I1410,$I1410,$J$1:J1410,$J1410,$K$1:K1410,K1410,$L$1:L1410,L1410),IF(LEN(COUNTIFS($H$1:H1410,$H1410,$I$1:I1410,$I1410,$J$1:J1410,$J1410,$K$1:K1410,K1410,$L$1:L1410,L1410))=2,"0"&amp;COUNTIFS($H$1:H1410,$H1410,$I$1:I1410,$I1410,$J$1:J1410,$J1410,$K$1:K1410,K1410,$L$1:L1410,L1410),COUNTIFS($H$1:H1410,$H1410,$I$1:I1410,$I1410,$J$1:J1410,$J1410,$K$1:K1410,K1410,$L$1:L1410,L1410)))</f>
        <v>029</v>
      </c>
      <c r="N141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10" s="14" t="e">
        <f>+LEN(Table4[[#This Row],[New Item Code]])</f>
        <v>#N/A</v>
      </c>
      <c r="P1410" s="15" t="s">
        <v>4747</v>
      </c>
      <c r="Q1410" s="15" t="s">
        <v>4749</v>
      </c>
      <c r="R1410" s="15"/>
      <c r="S1410" s="15"/>
      <c r="T1410" s="15" t="s">
        <v>4672</v>
      </c>
    </row>
    <row r="1411" spans="1:20" x14ac:dyDescent="0.35">
      <c r="A1411" s="3" t="s">
        <v>2807</v>
      </c>
      <c r="B1411" s="3" t="s">
        <v>2808</v>
      </c>
      <c r="C1411" s="3" t="s">
        <v>15</v>
      </c>
      <c r="D1411" s="3">
        <v>38</v>
      </c>
      <c r="E1411" s="3" t="s">
        <v>10</v>
      </c>
      <c r="F1411" s="3">
        <v>0</v>
      </c>
      <c r="G1411" s="21">
        <f>Table4[[#This Row],[Item Cost]]*Table4[[#This Row],[In Stock]]</f>
        <v>0</v>
      </c>
      <c r="H1411" s="12" t="s">
        <v>4661</v>
      </c>
      <c r="I1411" s="13" t="s">
        <v>4666</v>
      </c>
      <c r="J1411" s="13" t="s">
        <v>4672</v>
      </c>
      <c r="K1411" s="13" t="s">
        <v>4672</v>
      </c>
      <c r="L1411" s="12" t="s">
        <v>4672</v>
      </c>
      <c r="M1411" s="17" t="str">
        <f>IF(LEN(COUNTIFS($H$1:H1411,$H1411,$I$1:I1411,$I1411,$J$1:J1411,$J1411,$K$1:K1411,K1411,$L$1:L1411,L1411))=1,"00"&amp;COUNTIFS($H$1:H1411,$H1411,$I$1:I1411,$I1411,$J$1:J1411,$J1411,$K$1:K1411,K1411,$L$1:L1411,L1411),IF(LEN(COUNTIFS($H$1:H1411,$H1411,$I$1:I1411,$I1411,$J$1:J1411,$J1411,$K$1:K1411,K1411,$L$1:L1411,L1411))=2,"0"&amp;COUNTIFS($H$1:H1411,$H1411,$I$1:I1411,$I1411,$J$1:J1411,$J1411,$K$1:K1411,K1411,$L$1:L1411,L1411),COUNTIFS($H$1:H1411,$H1411,$I$1:I1411,$I1411,$J$1:J1411,$J1411,$K$1:K1411,K1411,$L$1:L1411,L1411)))</f>
        <v>030</v>
      </c>
      <c r="N141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11" s="14" t="e">
        <f>+LEN(Table4[[#This Row],[New Item Code]])</f>
        <v>#N/A</v>
      </c>
      <c r="P1411" s="15" t="s">
        <v>4747</v>
      </c>
      <c r="Q1411" s="15" t="s">
        <v>4749</v>
      </c>
      <c r="R1411" s="15"/>
      <c r="S1411" s="15"/>
      <c r="T1411" s="15" t="s">
        <v>4672</v>
      </c>
    </row>
    <row r="1412" spans="1:20" x14ac:dyDescent="0.35">
      <c r="A1412" s="2" t="s">
        <v>2809</v>
      </c>
      <c r="B1412" s="2" t="s">
        <v>2810</v>
      </c>
      <c r="C1412" s="2" t="s">
        <v>15</v>
      </c>
      <c r="D1412" s="2">
        <v>48</v>
      </c>
      <c r="E1412" s="2" t="s">
        <v>10</v>
      </c>
      <c r="F1412" s="2">
        <v>0</v>
      </c>
      <c r="G1412" s="22">
        <f>Table4[[#This Row],[Item Cost]]*Table4[[#This Row],[In Stock]]</f>
        <v>0</v>
      </c>
      <c r="H1412" s="12" t="s">
        <v>4661</v>
      </c>
      <c r="I1412" s="13" t="s">
        <v>4666</v>
      </c>
      <c r="J1412" s="13" t="s">
        <v>4672</v>
      </c>
      <c r="K1412" s="13" t="s">
        <v>4672</v>
      </c>
      <c r="L1412" s="12" t="s">
        <v>4672</v>
      </c>
      <c r="M1412" s="17" t="str">
        <f>IF(LEN(COUNTIFS($H$1:H1412,$H1412,$I$1:I1412,$I1412,$J$1:J1412,$J1412,$K$1:K1412,K1412,$L$1:L1412,L1412))=1,"00"&amp;COUNTIFS($H$1:H1412,$H1412,$I$1:I1412,$I1412,$J$1:J1412,$J1412,$K$1:K1412,K1412,$L$1:L1412,L1412),IF(LEN(COUNTIFS($H$1:H1412,$H1412,$I$1:I1412,$I1412,$J$1:J1412,$J1412,$K$1:K1412,K1412,$L$1:L1412,L1412))=2,"0"&amp;COUNTIFS($H$1:H1412,$H1412,$I$1:I1412,$I1412,$J$1:J1412,$J1412,$K$1:K1412,K1412,$L$1:L1412,L1412),COUNTIFS($H$1:H1412,$H1412,$I$1:I1412,$I1412,$J$1:J1412,$J1412,$K$1:K1412,K1412,$L$1:L1412,L1412)))</f>
        <v>031</v>
      </c>
      <c r="N141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12" s="14" t="e">
        <f>+LEN(Table4[[#This Row],[New Item Code]])</f>
        <v>#N/A</v>
      </c>
      <c r="P1412" s="15" t="s">
        <v>4747</v>
      </c>
      <c r="Q1412" s="15" t="s">
        <v>4749</v>
      </c>
      <c r="R1412" s="15"/>
      <c r="S1412" s="15"/>
      <c r="T1412" s="15" t="s">
        <v>4672</v>
      </c>
    </row>
    <row r="1413" spans="1:20" x14ac:dyDescent="0.35">
      <c r="A1413" s="3" t="s">
        <v>2811</v>
      </c>
      <c r="B1413" s="3" t="s">
        <v>2812</v>
      </c>
      <c r="C1413" s="3" t="s">
        <v>15</v>
      </c>
      <c r="D1413" s="3">
        <v>21.332999999999998</v>
      </c>
      <c r="E1413" s="3" t="s">
        <v>10</v>
      </c>
      <c r="F1413" s="3">
        <v>15</v>
      </c>
      <c r="G1413" s="21">
        <f>Table4[[#This Row],[Item Cost]]*Table4[[#This Row],[In Stock]]</f>
        <v>319.995</v>
      </c>
      <c r="H1413" s="12" t="s">
        <v>4661</v>
      </c>
      <c r="I1413" s="13" t="s">
        <v>4666</v>
      </c>
      <c r="J1413" s="13" t="s">
        <v>4672</v>
      </c>
      <c r="K1413" s="13" t="s">
        <v>4672</v>
      </c>
      <c r="L1413" s="12" t="s">
        <v>4672</v>
      </c>
      <c r="M1413" s="17" t="str">
        <f>IF(LEN(COUNTIFS($H$1:H1413,$H1413,$I$1:I1413,$I1413,$J$1:J1413,$J1413,$K$1:K1413,K1413,$L$1:L1413,L1413))=1,"00"&amp;COUNTIFS($H$1:H1413,$H1413,$I$1:I1413,$I1413,$J$1:J1413,$J1413,$K$1:K1413,K1413,$L$1:L1413,L1413),IF(LEN(COUNTIFS($H$1:H1413,$H1413,$I$1:I1413,$I1413,$J$1:J1413,$J1413,$K$1:K1413,K1413,$L$1:L1413,L1413))=2,"0"&amp;COUNTIFS($H$1:H1413,$H1413,$I$1:I1413,$I1413,$J$1:J1413,$J1413,$K$1:K1413,K1413,$L$1:L1413,L1413),COUNTIFS($H$1:H1413,$H1413,$I$1:I1413,$I1413,$J$1:J1413,$J1413,$K$1:K1413,K1413,$L$1:L1413,L1413)))</f>
        <v>032</v>
      </c>
      <c r="N141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13" s="14" t="e">
        <f>+LEN(Table4[[#This Row],[New Item Code]])</f>
        <v>#N/A</v>
      </c>
      <c r="P1413" s="15" t="s">
        <v>4747</v>
      </c>
      <c r="Q1413" s="15" t="s">
        <v>4749</v>
      </c>
      <c r="R1413" s="15"/>
      <c r="S1413" s="15"/>
      <c r="T1413" s="15" t="s">
        <v>4672</v>
      </c>
    </row>
    <row r="1414" spans="1:20" x14ac:dyDescent="0.35">
      <c r="A1414" s="2" t="s">
        <v>2813</v>
      </c>
      <c r="B1414" s="2" t="s">
        <v>2814</v>
      </c>
      <c r="C1414" s="2" t="s">
        <v>15</v>
      </c>
      <c r="D1414" s="2">
        <v>24.667000000000002</v>
      </c>
      <c r="E1414" s="2" t="s">
        <v>10</v>
      </c>
      <c r="F1414" s="2">
        <v>15</v>
      </c>
      <c r="G1414" s="22">
        <f>Table4[[#This Row],[Item Cost]]*Table4[[#This Row],[In Stock]]</f>
        <v>370.005</v>
      </c>
      <c r="H1414" s="12" t="s">
        <v>4661</v>
      </c>
      <c r="I1414" s="13" t="s">
        <v>4666</v>
      </c>
      <c r="J1414" s="13" t="s">
        <v>4672</v>
      </c>
      <c r="K1414" s="13" t="s">
        <v>4672</v>
      </c>
      <c r="L1414" s="12" t="s">
        <v>4672</v>
      </c>
      <c r="M1414" s="17" t="str">
        <f>IF(LEN(COUNTIFS($H$1:H1414,$H1414,$I$1:I1414,$I1414,$J$1:J1414,$J1414,$K$1:K1414,K1414,$L$1:L1414,L1414))=1,"00"&amp;COUNTIFS($H$1:H1414,$H1414,$I$1:I1414,$I1414,$J$1:J1414,$J1414,$K$1:K1414,K1414,$L$1:L1414,L1414),IF(LEN(COUNTIFS($H$1:H1414,$H1414,$I$1:I1414,$I1414,$J$1:J1414,$J1414,$K$1:K1414,K1414,$L$1:L1414,L1414))=2,"0"&amp;COUNTIFS($H$1:H1414,$H1414,$I$1:I1414,$I1414,$J$1:J1414,$J1414,$K$1:K1414,K1414,$L$1:L1414,L1414),COUNTIFS($H$1:H1414,$H1414,$I$1:I1414,$I1414,$J$1:J1414,$J1414,$K$1:K1414,K1414,$L$1:L1414,L1414)))</f>
        <v>033</v>
      </c>
      <c r="N141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14" s="14" t="e">
        <f>+LEN(Table4[[#This Row],[New Item Code]])</f>
        <v>#N/A</v>
      </c>
      <c r="P1414" s="15" t="s">
        <v>4747</v>
      </c>
      <c r="Q1414" s="15" t="s">
        <v>4749</v>
      </c>
      <c r="R1414" s="15"/>
      <c r="S1414" s="15"/>
      <c r="T1414" s="15" t="s">
        <v>4672</v>
      </c>
    </row>
    <row r="1415" spans="1:20" x14ac:dyDescent="0.35">
      <c r="A1415" s="3" t="s">
        <v>2815</v>
      </c>
      <c r="B1415" s="3" t="s">
        <v>2816</v>
      </c>
      <c r="C1415" s="3" t="s">
        <v>15</v>
      </c>
      <c r="D1415" s="3">
        <v>25.385000000000002</v>
      </c>
      <c r="E1415" s="3" t="s">
        <v>10</v>
      </c>
      <c r="F1415" s="3">
        <v>13</v>
      </c>
      <c r="G1415" s="21">
        <f>Table4[[#This Row],[Item Cost]]*Table4[[#This Row],[In Stock]]</f>
        <v>330.005</v>
      </c>
      <c r="H1415" s="12" t="s">
        <v>4661</v>
      </c>
      <c r="I1415" s="13" t="s">
        <v>4666</v>
      </c>
      <c r="J1415" s="13" t="s">
        <v>4672</v>
      </c>
      <c r="K1415" s="13" t="s">
        <v>4672</v>
      </c>
      <c r="L1415" s="12" t="s">
        <v>4672</v>
      </c>
      <c r="M1415" s="17" t="str">
        <f>IF(LEN(COUNTIFS($H$1:H1415,$H1415,$I$1:I1415,$I1415,$J$1:J1415,$J1415,$K$1:K1415,K1415,$L$1:L1415,L1415))=1,"00"&amp;COUNTIFS($H$1:H1415,$H1415,$I$1:I1415,$I1415,$J$1:J1415,$J1415,$K$1:K1415,K1415,$L$1:L1415,L1415),IF(LEN(COUNTIFS($H$1:H1415,$H1415,$I$1:I1415,$I1415,$J$1:J1415,$J1415,$K$1:K1415,K1415,$L$1:L1415,L1415))=2,"0"&amp;COUNTIFS($H$1:H1415,$H1415,$I$1:I1415,$I1415,$J$1:J1415,$J1415,$K$1:K1415,K1415,$L$1:L1415,L1415),COUNTIFS($H$1:H1415,$H1415,$I$1:I1415,$I1415,$J$1:J1415,$J1415,$K$1:K1415,K1415,$L$1:L1415,L1415)))</f>
        <v>034</v>
      </c>
      <c r="N141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15" s="14" t="e">
        <f>+LEN(Table4[[#This Row],[New Item Code]])</f>
        <v>#N/A</v>
      </c>
      <c r="P1415" s="15" t="s">
        <v>4747</v>
      </c>
      <c r="Q1415" s="15" t="s">
        <v>4749</v>
      </c>
      <c r="R1415" s="15"/>
      <c r="S1415" s="15"/>
      <c r="T1415" s="15" t="s">
        <v>4672</v>
      </c>
    </row>
    <row r="1416" spans="1:20" x14ac:dyDescent="0.35">
      <c r="A1416" s="2" t="s">
        <v>2817</v>
      </c>
      <c r="B1416" s="2" t="s">
        <v>2818</v>
      </c>
      <c r="C1416" s="2" t="s">
        <v>15</v>
      </c>
      <c r="D1416" s="2">
        <v>28.538</v>
      </c>
      <c r="E1416" s="2" t="s">
        <v>10</v>
      </c>
      <c r="F1416" s="2">
        <v>13</v>
      </c>
      <c r="G1416" s="22">
        <f>Table4[[#This Row],[Item Cost]]*Table4[[#This Row],[In Stock]]</f>
        <v>370.99400000000003</v>
      </c>
      <c r="H1416" s="12" t="s">
        <v>4661</v>
      </c>
      <c r="I1416" s="13" t="s">
        <v>4666</v>
      </c>
      <c r="J1416" s="13" t="s">
        <v>4672</v>
      </c>
      <c r="K1416" s="13" t="s">
        <v>4672</v>
      </c>
      <c r="L1416" s="12" t="s">
        <v>4672</v>
      </c>
      <c r="M1416" s="17" t="str">
        <f>IF(LEN(COUNTIFS($H$1:H1416,$H1416,$I$1:I1416,$I1416,$J$1:J1416,$J1416,$K$1:K1416,K1416,$L$1:L1416,L1416))=1,"00"&amp;COUNTIFS($H$1:H1416,$H1416,$I$1:I1416,$I1416,$J$1:J1416,$J1416,$K$1:K1416,K1416,$L$1:L1416,L1416),IF(LEN(COUNTIFS($H$1:H1416,$H1416,$I$1:I1416,$I1416,$J$1:J1416,$J1416,$K$1:K1416,K1416,$L$1:L1416,L1416))=2,"0"&amp;COUNTIFS($H$1:H1416,$H1416,$I$1:I1416,$I1416,$J$1:J1416,$J1416,$K$1:K1416,K1416,$L$1:L1416,L1416),COUNTIFS($H$1:H1416,$H1416,$I$1:I1416,$I1416,$J$1:J1416,$J1416,$K$1:K1416,K1416,$L$1:L1416,L1416)))</f>
        <v>035</v>
      </c>
      <c r="N141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16" s="14" t="e">
        <f>+LEN(Table4[[#This Row],[New Item Code]])</f>
        <v>#N/A</v>
      </c>
      <c r="P1416" s="15" t="s">
        <v>4747</v>
      </c>
      <c r="Q1416" s="15" t="s">
        <v>4749</v>
      </c>
      <c r="R1416" s="15"/>
      <c r="S1416" s="15"/>
      <c r="T1416" s="15" t="s">
        <v>4672</v>
      </c>
    </row>
    <row r="1417" spans="1:20" x14ac:dyDescent="0.35">
      <c r="A1417" s="3" t="s">
        <v>2819</v>
      </c>
      <c r="B1417" s="3" t="s">
        <v>2820</v>
      </c>
      <c r="C1417" s="3" t="s">
        <v>15</v>
      </c>
      <c r="D1417" s="3">
        <v>20.5</v>
      </c>
      <c r="E1417" s="3" t="s">
        <v>10</v>
      </c>
      <c r="F1417" s="3">
        <v>10</v>
      </c>
      <c r="G1417" s="21">
        <f>Table4[[#This Row],[Item Cost]]*Table4[[#This Row],[In Stock]]</f>
        <v>205</v>
      </c>
      <c r="H1417" s="12" t="s">
        <v>4661</v>
      </c>
      <c r="I1417" s="13" t="s">
        <v>4666</v>
      </c>
      <c r="J1417" s="13" t="s">
        <v>4672</v>
      </c>
      <c r="K1417" s="13" t="s">
        <v>4672</v>
      </c>
      <c r="L1417" s="12" t="s">
        <v>4672</v>
      </c>
      <c r="M1417" s="17" t="str">
        <f>IF(LEN(COUNTIFS($H$1:H1417,$H1417,$I$1:I1417,$I1417,$J$1:J1417,$J1417,$K$1:K1417,K1417,$L$1:L1417,L1417))=1,"00"&amp;COUNTIFS($H$1:H1417,$H1417,$I$1:I1417,$I1417,$J$1:J1417,$J1417,$K$1:K1417,K1417,$L$1:L1417,L1417),IF(LEN(COUNTIFS($H$1:H1417,$H1417,$I$1:I1417,$I1417,$J$1:J1417,$J1417,$K$1:K1417,K1417,$L$1:L1417,L1417))=2,"0"&amp;COUNTIFS($H$1:H1417,$H1417,$I$1:I1417,$I1417,$J$1:J1417,$J1417,$K$1:K1417,K1417,$L$1:L1417,L1417),COUNTIFS($H$1:H1417,$H1417,$I$1:I1417,$I1417,$J$1:J1417,$J1417,$K$1:K1417,K1417,$L$1:L1417,L1417)))</f>
        <v>036</v>
      </c>
      <c r="N141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17" s="14" t="e">
        <f>+LEN(Table4[[#This Row],[New Item Code]])</f>
        <v>#N/A</v>
      </c>
      <c r="P1417" s="15" t="s">
        <v>4747</v>
      </c>
      <c r="Q1417" s="15" t="s">
        <v>4749</v>
      </c>
      <c r="R1417" s="15"/>
      <c r="S1417" s="15"/>
      <c r="T1417" s="15" t="s">
        <v>4672</v>
      </c>
    </row>
    <row r="1418" spans="1:20" x14ac:dyDescent="0.35">
      <c r="A1418" s="2" t="s">
        <v>2821</v>
      </c>
      <c r="B1418" s="2" t="s">
        <v>2822</v>
      </c>
      <c r="C1418" s="2" t="s">
        <v>15</v>
      </c>
      <c r="D1418" s="2">
        <v>33.636000000000003</v>
      </c>
      <c r="E1418" s="2" t="s">
        <v>10</v>
      </c>
      <c r="F1418" s="2">
        <v>11</v>
      </c>
      <c r="G1418" s="22">
        <f>Table4[[#This Row],[Item Cost]]*Table4[[#This Row],[In Stock]]</f>
        <v>369.99600000000004</v>
      </c>
      <c r="H1418" s="12" t="s">
        <v>4661</v>
      </c>
      <c r="I1418" s="13" t="s">
        <v>4666</v>
      </c>
      <c r="J1418" s="13" t="s">
        <v>4672</v>
      </c>
      <c r="K1418" s="13" t="s">
        <v>4672</v>
      </c>
      <c r="L1418" s="12" t="s">
        <v>4672</v>
      </c>
      <c r="M1418" s="17" t="str">
        <f>IF(LEN(COUNTIFS($H$1:H1418,$H1418,$I$1:I1418,$I1418,$J$1:J1418,$J1418,$K$1:K1418,K1418,$L$1:L1418,L1418))=1,"00"&amp;COUNTIFS($H$1:H1418,$H1418,$I$1:I1418,$I1418,$J$1:J1418,$J1418,$K$1:K1418,K1418,$L$1:L1418,L1418),IF(LEN(COUNTIFS($H$1:H1418,$H1418,$I$1:I1418,$I1418,$J$1:J1418,$J1418,$K$1:K1418,K1418,$L$1:L1418,L1418))=2,"0"&amp;COUNTIFS($H$1:H1418,$H1418,$I$1:I1418,$I1418,$J$1:J1418,$J1418,$K$1:K1418,K1418,$L$1:L1418,L1418),COUNTIFS($H$1:H1418,$H1418,$I$1:I1418,$I1418,$J$1:J1418,$J1418,$K$1:K1418,K1418,$L$1:L1418,L1418)))</f>
        <v>037</v>
      </c>
      <c r="N141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18" s="14" t="e">
        <f>+LEN(Table4[[#This Row],[New Item Code]])</f>
        <v>#N/A</v>
      </c>
      <c r="P1418" s="15" t="s">
        <v>4747</v>
      </c>
      <c r="Q1418" s="15" t="s">
        <v>4749</v>
      </c>
      <c r="R1418" s="15"/>
      <c r="S1418" s="15"/>
      <c r="T1418" s="15" t="s">
        <v>4672</v>
      </c>
    </row>
    <row r="1419" spans="1:20" x14ac:dyDescent="0.35">
      <c r="A1419" s="3" t="s">
        <v>2823</v>
      </c>
      <c r="B1419" s="3" t="s">
        <v>2824</v>
      </c>
      <c r="C1419" s="3" t="s">
        <v>15</v>
      </c>
      <c r="D1419" s="3">
        <v>195</v>
      </c>
      <c r="E1419" s="3" t="s">
        <v>10</v>
      </c>
      <c r="F1419" s="3">
        <v>0</v>
      </c>
      <c r="G1419" s="21">
        <f>Table4[[#This Row],[Item Cost]]*Table4[[#This Row],[In Stock]]</f>
        <v>0</v>
      </c>
      <c r="H1419" s="12" t="s">
        <v>4661</v>
      </c>
      <c r="I1419" s="13" t="s">
        <v>4666</v>
      </c>
      <c r="J1419" s="13" t="s">
        <v>4672</v>
      </c>
      <c r="K1419" s="13" t="s">
        <v>4672</v>
      </c>
      <c r="L1419" s="12" t="s">
        <v>4672</v>
      </c>
      <c r="M1419" s="17" t="str">
        <f>IF(LEN(COUNTIFS($H$1:H1419,$H1419,$I$1:I1419,$I1419,$J$1:J1419,$J1419,$K$1:K1419,K1419,$L$1:L1419,L1419))=1,"00"&amp;COUNTIFS($H$1:H1419,$H1419,$I$1:I1419,$I1419,$J$1:J1419,$J1419,$K$1:K1419,K1419,$L$1:L1419,L1419),IF(LEN(COUNTIFS($H$1:H1419,$H1419,$I$1:I1419,$I1419,$J$1:J1419,$J1419,$K$1:K1419,K1419,$L$1:L1419,L1419))=2,"0"&amp;COUNTIFS($H$1:H1419,$H1419,$I$1:I1419,$I1419,$J$1:J1419,$J1419,$K$1:K1419,K1419,$L$1:L1419,L1419),COUNTIFS($H$1:H1419,$H1419,$I$1:I1419,$I1419,$J$1:J1419,$J1419,$K$1:K1419,K1419,$L$1:L1419,L1419)))</f>
        <v>038</v>
      </c>
      <c r="N141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19" s="14" t="e">
        <f>+LEN(Table4[[#This Row],[New Item Code]])</f>
        <v>#N/A</v>
      </c>
      <c r="P1419" s="15" t="s">
        <v>4747</v>
      </c>
      <c r="Q1419" s="15" t="s">
        <v>4749</v>
      </c>
      <c r="R1419" s="15"/>
      <c r="S1419" s="15"/>
      <c r="T1419" s="15" t="s">
        <v>4672</v>
      </c>
    </row>
    <row r="1420" spans="1:20" x14ac:dyDescent="0.35">
      <c r="A1420" s="2" t="s">
        <v>2825</v>
      </c>
      <c r="B1420" s="2" t="s">
        <v>2826</v>
      </c>
      <c r="C1420" s="2" t="s">
        <v>15</v>
      </c>
      <c r="D1420" s="2">
        <v>220</v>
      </c>
      <c r="E1420" s="2" t="s">
        <v>10</v>
      </c>
      <c r="F1420" s="2">
        <v>2</v>
      </c>
      <c r="G1420" s="22">
        <f>Table4[[#This Row],[Item Cost]]*Table4[[#This Row],[In Stock]]</f>
        <v>440</v>
      </c>
      <c r="H1420" s="12" t="s">
        <v>4661</v>
      </c>
      <c r="I1420" s="13" t="s">
        <v>4666</v>
      </c>
      <c r="J1420" s="13" t="s">
        <v>4672</v>
      </c>
      <c r="K1420" s="13" t="s">
        <v>4672</v>
      </c>
      <c r="L1420" s="12" t="s">
        <v>4672</v>
      </c>
      <c r="M1420" s="17" t="str">
        <f>IF(LEN(COUNTIFS($H$1:H1420,$H1420,$I$1:I1420,$I1420,$J$1:J1420,$J1420,$K$1:K1420,K1420,$L$1:L1420,L1420))=1,"00"&amp;COUNTIFS($H$1:H1420,$H1420,$I$1:I1420,$I1420,$J$1:J1420,$J1420,$K$1:K1420,K1420,$L$1:L1420,L1420),IF(LEN(COUNTIFS($H$1:H1420,$H1420,$I$1:I1420,$I1420,$J$1:J1420,$J1420,$K$1:K1420,K1420,$L$1:L1420,L1420))=2,"0"&amp;COUNTIFS($H$1:H1420,$H1420,$I$1:I1420,$I1420,$J$1:J1420,$J1420,$K$1:K1420,K1420,$L$1:L1420,L1420),COUNTIFS($H$1:H1420,$H1420,$I$1:I1420,$I1420,$J$1:J1420,$J1420,$K$1:K1420,K1420,$L$1:L1420,L1420)))</f>
        <v>039</v>
      </c>
      <c r="N142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20" s="14" t="e">
        <f>+LEN(Table4[[#This Row],[New Item Code]])</f>
        <v>#N/A</v>
      </c>
      <c r="P1420" s="15" t="s">
        <v>4747</v>
      </c>
      <c r="Q1420" s="15" t="s">
        <v>4749</v>
      </c>
      <c r="R1420" s="15"/>
      <c r="S1420" s="15"/>
      <c r="T1420" s="15" t="s">
        <v>4672</v>
      </c>
    </row>
    <row r="1421" spans="1:20" x14ac:dyDescent="0.35">
      <c r="A1421" s="3" t="s">
        <v>2827</v>
      </c>
      <c r="B1421" s="3" t="s">
        <v>2782</v>
      </c>
      <c r="C1421" s="3" t="s">
        <v>15</v>
      </c>
      <c r="D1421" s="3">
        <v>35</v>
      </c>
      <c r="E1421" s="3" t="s">
        <v>10</v>
      </c>
      <c r="F1421" s="3">
        <v>1</v>
      </c>
      <c r="G1421" s="21">
        <f>Table4[[#This Row],[Item Cost]]*Table4[[#This Row],[In Stock]]</f>
        <v>35</v>
      </c>
      <c r="H1421" s="12" t="s">
        <v>4661</v>
      </c>
      <c r="I1421" s="13" t="s">
        <v>4666</v>
      </c>
      <c r="J1421" s="13" t="s">
        <v>4672</v>
      </c>
      <c r="K1421" s="13" t="s">
        <v>4672</v>
      </c>
      <c r="L1421" s="12" t="s">
        <v>4672</v>
      </c>
      <c r="M1421" s="17" t="str">
        <f>IF(LEN(COUNTIFS($H$1:H1421,$H1421,$I$1:I1421,$I1421,$J$1:J1421,$J1421,$K$1:K1421,K1421,$L$1:L1421,L1421))=1,"00"&amp;COUNTIFS($H$1:H1421,$H1421,$I$1:I1421,$I1421,$J$1:J1421,$J1421,$K$1:K1421,K1421,$L$1:L1421,L1421),IF(LEN(COUNTIFS($H$1:H1421,$H1421,$I$1:I1421,$I1421,$J$1:J1421,$J1421,$K$1:K1421,K1421,$L$1:L1421,L1421))=2,"0"&amp;COUNTIFS($H$1:H1421,$H1421,$I$1:I1421,$I1421,$J$1:J1421,$J1421,$K$1:K1421,K1421,$L$1:L1421,L1421),COUNTIFS($H$1:H1421,$H1421,$I$1:I1421,$I1421,$J$1:J1421,$J1421,$K$1:K1421,K1421,$L$1:L1421,L1421)))</f>
        <v>040</v>
      </c>
      <c r="N142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21" s="14" t="e">
        <f>+LEN(Table4[[#This Row],[New Item Code]])</f>
        <v>#N/A</v>
      </c>
      <c r="P1421" s="15" t="s">
        <v>4747</v>
      </c>
      <c r="Q1421" s="15" t="s">
        <v>4749</v>
      </c>
      <c r="R1421" s="15"/>
      <c r="S1421" s="15"/>
      <c r="T1421" s="15" t="s">
        <v>4672</v>
      </c>
    </row>
    <row r="1422" spans="1:20" x14ac:dyDescent="0.35">
      <c r="A1422" s="2" t="s">
        <v>2828</v>
      </c>
      <c r="B1422" s="2" t="s">
        <v>2829</v>
      </c>
      <c r="C1422" s="2" t="s">
        <v>56</v>
      </c>
      <c r="D1422" s="2">
        <v>0</v>
      </c>
      <c r="E1422" s="2" t="s">
        <v>57</v>
      </c>
      <c r="F1422" s="2">
        <v>0</v>
      </c>
      <c r="G1422" s="22">
        <f>Table4[[#This Row],[Item Cost]]*Table4[[#This Row],[In Stock]]</f>
        <v>0</v>
      </c>
      <c r="H1422" s="12" t="s">
        <v>4661</v>
      </c>
      <c r="I1422" s="13" t="s">
        <v>4668</v>
      </c>
      <c r="J1422" s="13" t="s">
        <v>4672</v>
      </c>
      <c r="K1422" s="13" t="s">
        <v>4672</v>
      </c>
      <c r="L1422" s="12" t="s">
        <v>4672</v>
      </c>
      <c r="M1422" s="17">
        <f>IF(LEN(COUNTIFS($H$1:H1422,$H1422,$I$1:I1422,$I1422,$J$1:J1422,$J1422,$K$1:K1422,K1422,$L$1:L1422,L1422))=1,"00"&amp;COUNTIFS($H$1:H1422,$H1422,$I$1:I1422,$I1422,$J$1:J1422,$J1422,$K$1:K1422,K1422,$L$1:L1422,L1422),IF(LEN(COUNTIFS($H$1:H1422,$H1422,$I$1:I1422,$I1422,$J$1:J1422,$J1422,$K$1:K1422,K1422,$L$1:L1422,L1422))=2,"0"&amp;COUNTIFS($H$1:H1422,$H1422,$I$1:I1422,$I1422,$J$1:J1422,$J1422,$K$1:K1422,K1422,$L$1:L1422,L1422),COUNTIFS($H$1:H1422,$H1422,$I$1:I1422,$I1422,$J$1:J1422,$J1422,$K$1:K1422,K1422,$L$1:L1422,L1422)))</f>
        <v>169</v>
      </c>
      <c r="N142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22" s="14" t="e">
        <f>+LEN(Table4[[#This Row],[New Item Code]])</f>
        <v>#N/A</v>
      </c>
      <c r="P1422" s="15" t="s">
        <v>4747</v>
      </c>
      <c r="Q1422" s="15" t="s">
        <v>4749</v>
      </c>
      <c r="R1422" s="15"/>
      <c r="S1422" s="15"/>
      <c r="T1422" s="15" t="s">
        <v>4672</v>
      </c>
    </row>
    <row r="1423" spans="1:20" x14ac:dyDescent="0.35">
      <c r="A1423" s="3" t="s">
        <v>2830</v>
      </c>
      <c r="B1423" s="3" t="s">
        <v>2831</v>
      </c>
      <c r="C1423" s="3" t="s">
        <v>56</v>
      </c>
      <c r="D1423" s="3">
        <v>0</v>
      </c>
      <c r="E1423" s="3" t="s">
        <v>57</v>
      </c>
      <c r="F1423" s="3">
        <v>0</v>
      </c>
      <c r="G1423" s="21">
        <f>Table4[[#This Row],[Item Cost]]*Table4[[#This Row],[In Stock]]</f>
        <v>0</v>
      </c>
      <c r="H1423" s="12" t="s">
        <v>4661</v>
      </c>
      <c r="I1423" s="13" t="s">
        <v>4668</v>
      </c>
      <c r="J1423" s="13" t="s">
        <v>4672</v>
      </c>
      <c r="K1423" s="13" t="s">
        <v>4672</v>
      </c>
      <c r="L1423" s="12" t="s">
        <v>4672</v>
      </c>
      <c r="M1423" s="17">
        <f>IF(LEN(COUNTIFS($H$1:H1423,$H1423,$I$1:I1423,$I1423,$J$1:J1423,$J1423,$K$1:K1423,K1423,$L$1:L1423,L1423))=1,"00"&amp;COUNTIFS($H$1:H1423,$H1423,$I$1:I1423,$I1423,$J$1:J1423,$J1423,$K$1:K1423,K1423,$L$1:L1423,L1423),IF(LEN(COUNTIFS($H$1:H1423,$H1423,$I$1:I1423,$I1423,$J$1:J1423,$J1423,$K$1:K1423,K1423,$L$1:L1423,L1423))=2,"0"&amp;COUNTIFS($H$1:H1423,$H1423,$I$1:I1423,$I1423,$J$1:J1423,$J1423,$K$1:K1423,K1423,$L$1:L1423,L1423),COUNTIFS($H$1:H1423,$H1423,$I$1:I1423,$I1423,$J$1:J1423,$J1423,$K$1:K1423,K1423,$L$1:L1423,L1423)))</f>
        <v>170</v>
      </c>
      <c r="N142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23" s="14" t="e">
        <f>+LEN(Table4[[#This Row],[New Item Code]])</f>
        <v>#N/A</v>
      </c>
      <c r="P1423" s="15" t="s">
        <v>4747</v>
      </c>
      <c r="Q1423" s="15" t="s">
        <v>4749</v>
      </c>
      <c r="R1423" s="15"/>
      <c r="S1423" s="15"/>
      <c r="T1423" s="15" t="s">
        <v>4672</v>
      </c>
    </row>
    <row r="1424" spans="1:20" x14ac:dyDescent="0.35">
      <c r="A1424" s="2" t="s">
        <v>2832</v>
      </c>
      <c r="B1424" s="2" t="s">
        <v>2833</v>
      </c>
      <c r="C1424" s="2" t="s">
        <v>56</v>
      </c>
      <c r="D1424" s="2">
        <v>0</v>
      </c>
      <c r="E1424" s="2" t="s">
        <v>57</v>
      </c>
      <c r="F1424" s="2">
        <v>0</v>
      </c>
      <c r="G1424" s="22">
        <f>Table4[[#This Row],[Item Cost]]*Table4[[#This Row],[In Stock]]</f>
        <v>0</v>
      </c>
      <c r="H1424" s="12" t="s">
        <v>4661</v>
      </c>
      <c r="I1424" s="13" t="s">
        <v>4668</v>
      </c>
      <c r="J1424" s="13" t="s">
        <v>4672</v>
      </c>
      <c r="K1424" s="13" t="s">
        <v>4672</v>
      </c>
      <c r="L1424" s="12" t="s">
        <v>4672</v>
      </c>
      <c r="M1424" s="17">
        <f>IF(LEN(COUNTIFS($H$1:H1424,$H1424,$I$1:I1424,$I1424,$J$1:J1424,$J1424,$K$1:K1424,K1424,$L$1:L1424,L1424))=1,"00"&amp;COUNTIFS($H$1:H1424,$H1424,$I$1:I1424,$I1424,$J$1:J1424,$J1424,$K$1:K1424,K1424,$L$1:L1424,L1424),IF(LEN(COUNTIFS($H$1:H1424,$H1424,$I$1:I1424,$I1424,$J$1:J1424,$J1424,$K$1:K1424,K1424,$L$1:L1424,L1424))=2,"0"&amp;COUNTIFS($H$1:H1424,$H1424,$I$1:I1424,$I1424,$J$1:J1424,$J1424,$K$1:K1424,K1424,$L$1:L1424,L1424),COUNTIFS($H$1:H1424,$H1424,$I$1:I1424,$I1424,$J$1:J1424,$J1424,$K$1:K1424,K1424,$L$1:L1424,L1424)))</f>
        <v>171</v>
      </c>
      <c r="N142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24" s="14" t="e">
        <f>+LEN(Table4[[#This Row],[New Item Code]])</f>
        <v>#N/A</v>
      </c>
      <c r="P1424" s="15" t="s">
        <v>4747</v>
      </c>
      <c r="Q1424" s="15" t="s">
        <v>4749</v>
      </c>
      <c r="R1424" s="15"/>
      <c r="S1424" s="15"/>
      <c r="T1424" s="15" t="s">
        <v>4672</v>
      </c>
    </row>
    <row r="1425" spans="1:20" x14ac:dyDescent="0.35">
      <c r="A1425" s="3" t="s">
        <v>2834</v>
      </c>
      <c r="B1425" s="3" t="s">
        <v>2835</v>
      </c>
      <c r="C1425" s="3" t="s">
        <v>56</v>
      </c>
      <c r="D1425" s="3">
        <v>0</v>
      </c>
      <c r="E1425" s="3" t="s">
        <v>57</v>
      </c>
      <c r="F1425" s="3">
        <v>0</v>
      </c>
      <c r="G1425" s="21">
        <f>Table4[[#This Row],[Item Cost]]*Table4[[#This Row],[In Stock]]</f>
        <v>0</v>
      </c>
      <c r="H1425" s="12" t="s">
        <v>4661</v>
      </c>
      <c r="I1425" s="13" t="s">
        <v>4668</v>
      </c>
      <c r="J1425" s="13" t="s">
        <v>4672</v>
      </c>
      <c r="K1425" s="13" t="s">
        <v>4672</v>
      </c>
      <c r="L1425" s="12" t="s">
        <v>4672</v>
      </c>
      <c r="M1425" s="17">
        <f>IF(LEN(COUNTIFS($H$1:H1425,$H1425,$I$1:I1425,$I1425,$J$1:J1425,$J1425,$K$1:K1425,K1425,$L$1:L1425,L1425))=1,"00"&amp;COUNTIFS($H$1:H1425,$H1425,$I$1:I1425,$I1425,$J$1:J1425,$J1425,$K$1:K1425,K1425,$L$1:L1425,L1425),IF(LEN(COUNTIFS($H$1:H1425,$H1425,$I$1:I1425,$I1425,$J$1:J1425,$J1425,$K$1:K1425,K1425,$L$1:L1425,L1425))=2,"0"&amp;COUNTIFS($H$1:H1425,$H1425,$I$1:I1425,$I1425,$J$1:J1425,$J1425,$K$1:K1425,K1425,$L$1:L1425,L1425),COUNTIFS($H$1:H1425,$H1425,$I$1:I1425,$I1425,$J$1:J1425,$J1425,$K$1:K1425,K1425,$L$1:L1425,L1425)))</f>
        <v>172</v>
      </c>
      <c r="N142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25" s="14" t="e">
        <f>+LEN(Table4[[#This Row],[New Item Code]])</f>
        <v>#N/A</v>
      </c>
      <c r="P1425" s="15" t="s">
        <v>4747</v>
      </c>
      <c r="Q1425" s="15" t="s">
        <v>4749</v>
      </c>
      <c r="R1425" s="15"/>
      <c r="S1425" s="15"/>
      <c r="T1425" s="15" t="s">
        <v>4672</v>
      </c>
    </row>
    <row r="1426" spans="1:20" x14ac:dyDescent="0.35">
      <c r="A1426" s="2" t="s">
        <v>2836</v>
      </c>
      <c r="B1426" s="2" t="s">
        <v>2837</v>
      </c>
      <c r="C1426" s="2" t="s">
        <v>56</v>
      </c>
      <c r="D1426" s="2">
        <v>0</v>
      </c>
      <c r="E1426" s="2" t="s">
        <v>57</v>
      </c>
      <c r="F1426" s="2">
        <v>0</v>
      </c>
      <c r="G1426" s="22">
        <f>Table4[[#This Row],[Item Cost]]*Table4[[#This Row],[In Stock]]</f>
        <v>0</v>
      </c>
      <c r="H1426" s="12" t="s">
        <v>4661</v>
      </c>
      <c r="I1426" s="13" t="s">
        <v>4668</v>
      </c>
      <c r="J1426" s="13" t="s">
        <v>4672</v>
      </c>
      <c r="K1426" t="s">
        <v>4801</v>
      </c>
      <c r="L1426" s="12" t="s">
        <v>4672</v>
      </c>
      <c r="M1426" s="17" t="str">
        <f>IF(LEN(COUNTIFS($H$1:H1426,$H1426,$I$1:I1426,$I1426,$J$1:J1426,$J1426,$K$1:K1426,K1426,$L$1:L1426,L1426))=1,"00"&amp;COUNTIFS($H$1:H1426,$H1426,$I$1:I1426,$I1426,$J$1:J1426,$J1426,$K$1:K1426,K1426,$L$1:L1426,L1426),IF(LEN(COUNTIFS($H$1:H1426,$H1426,$I$1:I1426,$I1426,$J$1:J1426,$J1426,$K$1:K1426,K1426,$L$1:L1426,L1426))=2,"0"&amp;COUNTIFS($H$1:H1426,$H1426,$I$1:I1426,$I1426,$J$1:J1426,$J1426,$K$1:K1426,K1426,$L$1:L1426,L1426),COUNTIFS($H$1:H1426,$H1426,$I$1:I1426,$I1426,$J$1:J1426,$J1426,$K$1:K1426,K1426,$L$1:L1426,L1426)))</f>
        <v>040</v>
      </c>
      <c r="N142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26" s="14" t="e">
        <f>+LEN(Table4[[#This Row],[New Item Code]])</f>
        <v>#N/A</v>
      </c>
      <c r="P1426" s="15" t="s">
        <v>4747</v>
      </c>
      <c r="Q1426" s="15" t="s">
        <v>4749</v>
      </c>
      <c r="R1426" s="15"/>
      <c r="S1426" s="15"/>
      <c r="T1426" s="15" t="s">
        <v>4672</v>
      </c>
    </row>
    <row r="1427" spans="1:20" x14ac:dyDescent="0.35">
      <c r="A1427" s="3" t="s">
        <v>2838</v>
      </c>
      <c r="B1427" s="3" t="s">
        <v>2839</v>
      </c>
      <c r="C1427" s="3" t="s">
        <v>56</v>
      </c>
      <c r="D1427" s="3">
        <v>0</v>
      </c>
      <c r="E1427" s="3" t="s">
        <v>57</v>
      </c>
      <c r="F1427" s="3">
        <v>0</v>
      </c>
      <c r="G1427" s="21">
        <f>Table4[[#This Row],[Item Cost]]*Table4[[#This Row],[In Stock]]</f>
        <v>0</v>
      </c>
      <c r="H1427" s="12" t="s">
        <v>4661</v>
      </c>
      <c r="I1427" s="13" t="s">
        <v>4668</v>
      </c>
      <c r="J1427" s="13" t="s">
        <v>4672</v>
      </c>
      <c r="K1427" s="13" t="s">
        <v>4672</v>
      </c>
      <c r="L1427" s="12" t="s">
        <v>4672</v>
      </c>
      <c r="M1427" s="17">
        <f>IF(LEN(COUNTIFS($H$1:H1427,$H1427,$I$1:I1427,$I1427,$J$1:J1427,$J1427,$K$1:K1427,K1427,$L$1:L1427,L1427))=1,"00"&amp;COUNTIFS($H$1:H1427,$H1427,$I$1:I1427,$I1427,$J$1:J1427,$J1427,$K$1:K1427,K1427,$L$1:L1427,L1427),IF(LEN(COUNTIFS($H$1:H1427,$H1427,$I$1:I1427,$I1427,$J$1:J1427,$J1427,$K$1:K1427,K1427,$L$1:L1427,L1427))=2,"0"&amp;COUNTIFS($H$1:H1427,$H1427,$I$1:I1427,$I1427,$J$1:J1427,$J1427,$K$1:K1427,K1427,$L$1:L1427,L1427),COUNTIFS($H$1:H1427,$H1427,$I$1:I1427,$I1427,$J$1:J1427,$J1427,$K$1:K1427,K1427,$L$1:L1427,L1427)))</f>
        <v>173</v>
      </c>
      <c r="N142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27" s="14" t="e">
        <f>+LEN(Table4[[#This Row],[New Item Code]])</f>
        <v>#N/A</v>
      </c>
      <c r="P1427" s="15" t="s">
        <v>4747</v>
      </c>
      <c r="Q1427" s="15" t="s">
        <v>4749</v>
      </c>
      <c r="R1427" s="15"/>
      <c r="S1427" s="15"/>
      <c r="T1427" s="15" t="s">
        <v>4672</v>
      </c>
    </row>
    <row r="1428" spans="1:20" x14ac:dyDescent="0.35">
      <c r="A1428" s="2" t="s">
        <v>2840</v>
      </c>
      <c r="B1428" s="2" t="s">
        <v>2841</v>
      </c>
      <c r="C1428" s="2" t="s">
        <v>56</v>
      </c>
      <c r="D1428" s="2">
        <v>0</v>
      </c>
      <c r="E1428" s="2" t="s">
        <v>57</v>
      </c>
      <c r="F1428" s="2">
        <v>0</v>
      </c>
      <c r="G1428" s="22">
        <f>Table4[[#This Row],[Item Cost]]*Table4[[#This Row],[In Stock]]</f>
        <v>0</v>
      </c>
      <c r="H1428" s="12" t="s">
        <v>4661</v>
      </c>
      <c r="I1428" s="13" t="s">
        <v>4668</v>
      </c>
      <c r="J1428" s="13" t="s">
        <v>4672</v>
      </c>
      <c r="K1428" s="13" t="s">
        <v>4672</v>
      </c>
      <c r="L1428" s="12" t="s">
        <v>4672</v>
      </c>
      <c r="M1428" s="17">
        <f>IF(LEN(COUNTIFS($H$1:H1428,$H1428,$I$1:I1428,$I1428,$J$1:J1428,$J1428,$K$1:K1428,K1428,$L$1:L1428,L1428))=1,"00"&amp;COUNTIFS($H$1:H1428,$H1428,$I$1:I1428,$I1428,$J$1:J1428,$J1428,$K$1:K1428,K1428,$L$1:L1428,L1428),IF(LEN(COUNTIFS($H$1:H1428,$H1428,$I$1:I1428,$I1428,$J$1:J1428,$J1428,$K$1:K1428,K1428,$L$1:L1428,L1428))=2,"0"&amp;COUNTIFS($H$1:H1428,$H1428,$I$1:I1428,$I1428,$J$1:J1428,$J1428,$K$1:K1428,K1428,$L$1:L1428,L1428),COUNTIFS($H$1:H1428,$H1428,$I$1:I1428,$I1428,$J$1:J1428,$J1428,$K$1:K1428,K1428,$L$1:L1428,L1428)))</f>
        <v>174</v>
      </c>
      <c r="N142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28" s="14" t="e">
        <f>+LEN(Table4[[#This Row],[New Item Code]])</f>
        <v>#N/A</v>
      </c>
      <c r="P1428" s="15" t="s">
        <v>4747</v>
      </c>
      <c r="Q1428" s="15" t="s">
        <v>4749</v>
      </c>
      <c r="R1428" s="15"/>
      <c r="S1428" s="15"/>
      <c r="T1428" s="15" t="s">
        <v>4672</v>
      </c>
    </row>
    <row r="1429" spans="1:20" x14ac:dyDescent="0.35">
      <c r="A1429" s="3" t="s">
        <v>2842</v>
      </c>
      <c r="B1429" s="3" t="s">
        <v>2843</v>
      </c>
      <c r="C1429" s="3" t="s">
        <v>56</v>
      </c>
      <c r="D1429" s="3">
        <v>0</v>
      </c>
      <c r="E1429" s="3" t="s">
        <v>57</v>
      </c>
      <c r="F1429" s="3">
        <v>0</v>
      </c>
      <c r="G1429" s="21">
        <f>Table4[[#This Row],[Item Cost]]*Table4[[#This Row],[In Stock]]</f>
        <v>0</v>
      </c>
      <c r="H1429" s="12" t="s">
        <v>4661</v>
      </c>
      <c r="I1429" s="13" t="s">
        <v>4668</v>
      </c>
      <c r="J1429" s="13" t="s">
        <v>4672</v>
      </c>
      <c r="K1429" s="13" t="s">
        <v>4672</v>
      </c>
      <c r="L1429" s="12" t="s">
        <v>4672</v>
      </c>
      <c r="M1429" s="17">
        <f>IF(LEN(COUNTIFS($H$1:H1429,$H1429,$I$1:I1429,$I1429,$J$1:J1429,$J1429,$K$1:K1429,K1429,$L$1:L1429,L1429))=1,"00"&amp;COUNTIFS($H$1:H1429,$H1429,$I$1:I1429,$I1429,$J$1:J1429,$J1429,$K$1:K1429,K1429,$L$1:L1429,L1429),IF(LEN(COUNTIFS($H$1:H1429,$H1429,$I$1:I1429,$I1429,$J$1:J1429,$J1429,$K$1:K1429,K1429,$L$1:L1429,L1429))=2,"0"&amp;COUNTIFS($H$1:H1429,$H1429,$I$1:I1429,$I1429,$J$1:J1429,$J1429,$K$1:K1429,K1429,$L$1:L1429,L1429),COUNTIFS($H$1:H1429,$H1429,$I$1:I1429,$I1429,$J$1:J1429,$J1429,$K$1:K1429,K1429,$L$1:L1429,L1429)))</f>
        <v>175</v>
      </c>
      <c r="N142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29" s="14" t="e">
        <f>+LEN(Table4[[#This Row],[New Item Code]])</f>
        <v>#N/A</v>
      </c>
      <c r="P1429" s="15" t="s">
        <v>4747</v>
      </c>
      <c r="Q1429" s="15" t="s">
        <v>4749</v>
      </c>
      <c r="R1429" s="15"/>
      <c r="S1429" s="15"/>
      <c r="T1429" s="15" t="s">
        <v>4672</v>
      </c>
    </row>
    <row r="1430" spans="1:20" x14ac:dyDescent="0.35">
      <c r="A1430" s="2" t="s">
        <v>2844</v>
      </c>
      <c r="B1430" s="2" t="s">
        <v>2845</v>
      </c>
      <c r="C1430" s="2" t="s">
        <v>56</v>
      </c>
      <c r="D1430" s="2">
        <v>0</v>
      </c>
      <c r="E1430" s="2" t="s">
        <v>57</v>
      </c>
      <c r="F1430" s="2">
        <v>0</v>
      </c>
      <c r="G1430" s="22">
        <f>Table4[[#This Row],[Item Cost]]*Table4[[#This Row],[In Stock]]</f>
        <v>0</v>
      </c>
      <c r="H1430" s="12" t="s">
        <v>4661</v>
      </c>
      <c r="I1430" s="13" t="s">
        <v>4668</v>
      </c>
      <c r="J1430" s="13" t="s">
        <v>4672</v>
      </c>
      <c r="K1430" s="13" t="s">
        <v>4672</v>
      </c>
      <c r="L1430" s="12" t="s">
        <v>4672</v>
      </c>
      <c r="M1430" s="17">
        <f>IF(LEN(COUNTIFS($H$1:H1430,$H1430,$I$1:I1430,$I1430,$J$1:J1430,$J1430,$K$1:K1430,K1430,$L$1:L1430,L1430))=1,"00"&amp;COUNTIFS($H$1:H1430,$H1430,$I$1:I1430,$I1430,$J$1:J1430,$J1430,$K$1:K1430,K1430,$L$1:L1430,L1430),IF(LEN(COUNTIFS($H$1:H1430,$H1430,$I$1:I1430,$I1430,$J$1:J1430,$J1430,$K$1:K1430,K1430,$L$1:L1430,L1430))=2,"0"&amp;COUNTIFS($H$1:H1430,$H1430,$I$1:I1430,$I1430,$J$1:J1430,$J1430,$K$1:K1430,K1430,$L$1:L1430,L1430),COUNTIFS($H$1:H1430,$H1430,$I$1:I1430,$I1430,$J$1:J1430,$J1430,$K$1:K1430,K1430,$L$1:L1430,L1430)))</f>
        <v>176</v>
      </c>
      <c r="N143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30" s="14" t="e">
        <f>+LEN(Table4[[#This Row],[New Item Code]])</f>
        <v>#N/A</v>
      </c>
      <c r="P1430" s="15" t="s">
        <v>4747</v>
      </c>
      <c r="Q1430" s="15" t="s">
        <v>4749</v>
      </c>
      <c r="R1430" s="15"/>
      <c r="S1430" s="15"/>
      <c r="T1430" s="15" t="s">
        <v>4672</v>
      </c>
    </row>
    <row r="1431" spans="1:20" x14ac:dyDescent="0.35">
      <c r="A1431" s="3" t="s">
        <v>2846</v>
      </c>
      <c r="B1431" s="3" t="s">
        <v>2847</v>
      </c>
      <c r="C1431" s="3" t="s">
        <v>56</v>
      </c>
      <c r="D1431" s="3">
        <v>0</v>
      </c>
      <c r="E1431" s="3" t="s">
        <v>57</v>
      </c>
      <c r="F1431" s="3">
        <v>0</v>
      </c>
      <c r="G1431" s="21">
        <f>Table4[[#This Row],[Item Cost]]*Table4[[#This Row],[In Stock]]</f>
        <v>0</v>
      </c>
      <c r="H1431" s="12" t="s">
        <v>4661</v>
      </c>
      <c r="I1431" s="13" t="s">
        <v>4668</v>
      </c>
      <c r="J1431" s="13" t="s">
        <v>4672</v>
      </c>
      <c r="K1431" s="13" t="s">
        <v>4672</v>
      </c>
      <c r="L1431" s="12" t="s">
        <v>4672</v>
      </c>
      <c r="M1431" s="17">
        <f>IF(LEN(COUNTIFS($H$1:H1431,$H1431,$I$1:I1431,$I1431,$J$1:J1431,$J1431,$K$1:K1431,K1431,$L$1:L1431,L1431))=1,"00"&amp;COUNTIFS($H$1:H1431,$H1431,$I$1:I1431,$I1431,$J$1:J1431,$J1431,$K$1:K1431,K1431,$L$1:L1431,L1431),IF(LEN(COUNTIFS($H$1:H1431,$H1431,$I$1:I1431,$I1431,$J$1:J1431,$J1431,$K$1:K1431,K1431,$L$1:L1431,L1431))=2,"0"&amp;COUNTIFS($H$1:H1431,$H1431,$I$1:I1431,$I1431,$J$1:J1431,$J1431,$K$1:K1431,K1431,$L$1:L1431,L1431),COUNTIFS($H$1:H1431,$H1431,$I$1:I1431,$I1431,$J$1:J1431,$J1431,$K$1:K1431,K1431,$L$1:L1431,L1431)))</f>
        <v>177</v>
      </c>
      <c r="N143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31" s="14" t="e">
        <f>+LEN(Table4[[#This Row],[New Item Code]])</f>
        <v>#N/A</v>
      </c>
      <c r="P1431" s="15" t="s">
        <v>4747</v>
      </c>
      <c r="Q1431" s="15" t="s">
        <v>4749</v>
      </c>
      <c r="R1431" s="15"/>
      <c r="S1431" s="15"/>
      <c r="T1431" s="15" t="s">
        <v>4672</v>
      </c>
    </row>
    <row r="1432" spans="1:20" x14ac:dyDescent="0.35">
      <c r="A1432" s="2" t="s">
        <v>2848</v>
      </c>
      <c r="B1432" s="2" t="s">
        <v>2849</v>
      </c>
      <c r="C1432" s="2" t="s">
        <v>56</v>
      </c>
      <c r="D1432" s="2">
        <v>0</v>
      </c>
      <c r="E1432" s="2" t="s">
        <v>57</v>
      </c>
      <c r="F1432" s="2">
        <v>0</v>
      </c>
      <c r="G1432" s="22">
        <f>Table4[[#This Row],[Item Cost]]*Table4[[#This Row],[In Stock]]</f>
        <v>0</v>
      </c>
      <c r="H1432" s="12" t="s">
        <v>4661</v>
      </c>
      <c r="I1432" s="13" t="s">
        <v>4668</v>
      </c>
      <c r="J1432" s="13" t="s">
        <v>4672</v>
      </c>
      <c r="K1432" s="13" t="s">
        <v>4672</v>
      </c>
      <c r="L1432" s="12" t="s">
        <v>4672</v>
      </c>
      <c r="M1432" s="17">
        <f>IF(LEN(COUNTIFS($H$1:H1432,$H1432,$I$1:I1432,$I1432,$J$1:J1432,$J1432,$K$1:K1432,K1432,$L$1:L1432,L1432))=1,"00"&amp;COUNTIFS($H$1:H1432,$H1432,$I$1:I1432,$I1432,$J$1:J1432,$J1432,$K$1:K1432,K1432,$L$1:L1432,L1432),IF(LEN(COUNTIFS($H$1:H1432,$H1432,$I$1:I1432,$I1432,$J$1:J1432,$J1432,$K$1:K1432,K1432,$L$1:L1432,L1432))=2,"0"&amp;COUNTIFS($H$1:H1432,$H1432,$I$1:I1432,$I1432,$J$1:J1432,$J1432,$K$1:K1432,K1432,$L$1:L1432,L1432),COUNTIFS($H$1:H1432,$H1432,$I$1:I1432,$I1432,$J$1:J1432,$J1432,$K$1:K1432,K1432,$L$1:L1432,L1432)))</f>
        <v>178</v>
      </c>
      <c r="N143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32" s="14" t="e">
        <f>+LEN(Table4[[#This Row],[New Item Code]])</f>
        <v>#N/A</v>
      </c>
      <c r="P1432" s="15" t="s">
        <v>4747</v>
      </c>
      <c r="Q1432" s="15" t="s">
        <v>4749</v>
      </c>
      <c r="R1432" s="15"/>
      <c r="S1432" s="15"/>
      <c r="T1432" s="15" t="s">
        <v>4672</v>
      </c>
    </row>
    <row r="1433" spans="1:20" x14ac:dyDescent="0.35">
      <c r="A1433" s="3" t="s">
        <v>2850</v>
      </c>
      <c r="B1433" s="3" t="s">
        <v>2851</v>
      </c>
      <c r="C1433" s="3" t="s">
        <v>56</v>
      </c>
      <c r="D1433" s="3">
        <v>0</v>
      </c>
      <c r="E1433" s="3" t="s">
        <v>57</v>
      </c>
      <c r="F1433" s="3">
        <v>0</v>
      </c>
      <c r="G1433" s="21">
        <f>Table4[[#This Row],[Item Cost]]*Table4[[#This Row],[In Stock]]</f>
        <v>0</v>
      </c>
      <c r="H1433" s="12" t="s">
        <v>4661</v>
      </c>
      <c r="I1433" s="13" t="s">
        <v>4668</v>
      </c>
      <c r="J1433" s="13" t="s">
        <v>4672</v>
      </c>
      <c r="K1433" s="13" t="s">
        <v>4672</v>
      </c>
      <c r="L1433" s="12" t="s">
        <v>4672</v>
      </c>
      <c r="M1433" s="17">
        <f>IF(LEN(COUNTIFS($H$1:H1433,$H1433,$I$1:I1433,$I1433,$J$1:J1433,$J1433,$K$1:K1433,K1433,$L$1:L1433,L1433))=1,"00"&amp;COUNTIFS($H$1:H1433,$H1433,$I$1:I1433,$I1433,$J$1:J1433,$J1433,$K$1:K1433,K1433,$L$1:L1433,L1433),IF(LEN(COUNTIFS($H$1:H1433,$H1433,$I$1:I1433,$I1433,$J$1:J1433,$J1433,$K$1:K1433,K1433,$L$1:L1433,L1433))=2,"0"&amp;COUNTIFS($H$1:H1433,$H1433,$I$1:I1433,$I1433,$J$1:J1433,$J1433,$K$1:K1433,K1433,$L$1:L1433,L1433),COUNTIFS($H$1:H1433,$H1433,$I$1:I1433,$I1433,$J$1:J1433,$J1433,$K$1:K1433,K1433,$L$1:L1433,L1433)))</f>
        <v>179</v>
      </c>
      <c r="N143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33" s="14" t="e">
        <f>+LEN(Table4[[#This Row],[New Item Code]])</f>
        <v>#N/A</v>
      </c>
      <c r="P1433" s="15" t="s">
        <v>4747</v>
      </c>
      <c r="Q1433" s="15" t="s">
        <v>4749</v>
      </c>
      <c r="R1433" s="15"/>
      <c r="S1433" s="15"/>
      <c r="T1433" s="15" t="s">
        <v>4672</v>
      </c>
    </row>
    <row r="1434" spans="1:20" x14ac:dyDescent="0.35">
      <c r="A1434" s="2" t="s">
        <v>2852</v>
      </c>
      <c r="B1434" s="2" t="s">
        <v>2853</v>
      </c>
      <c r="C1434" s="2" t="s">
        <v>56</v>
      </c>
      <c r="D1434" s="2">
        <v>0</v>
      </c>
      <c r="E1434" s="2" t="s">
        <v>57</v>
      </c>
      <c r="F1434" s="2">
        <v>0</v>
      </c>
      <c r="G1434" s="22">
        <f>Table4[[#This Row],[Item Cost]]*Table4[[#This Row],[In Stock]]</f>
        <v>0</v>
      </c>
      <c r="H1434" s="12" t="s">
        <v>4661</v>
      </c>
      <c r="I1434" s="13" t="s">
        <v>4668</v>
      </c>
      <c r="J1434" s="13" t="s">
        <v>4672</v>
      </c>
      <c r="K1434" s="13" t="s">
        <v>4672</v>
      </c>
      <c r="L1434" s="12" t="s">
        <v>4672</v>
      </c>
      <c r="M1434" s="17">
        <f>IF(LEN(COUNTIFS($H$1:H1434,$H1434,$I$1:I1434,$I1434,$J$1:J1434,$J1434,$K$1:K1434,K1434,$L$1:L1434,L1434))=1,"00"&amp;COUNTIFS($H$1:H1434,$H1434,$I$1:I1434,$I1434,$J$1:J1434,$J1434,$K$1:K1434,K1434,$L$1:L1434,L1434),IF(LEN(COUNTIFS($H$1:H1434,$H1434,$I$1:I1434,$I1434,$J$1:J1434,$J1434,$K$1:K1434,K1434,$L$1:L1434,L1434))=2,"0"&amp;COUNTIFS($H$1:H1434,$H1434,$I$1:I1434,$I1434,$J$1:J1434,$J1434,$K$1:K1434,K1434,$L$1:L1434,L1434),COUNTIFS($H$1:H1434,$H1434,$I$1:I1434,$I1434,$J$1:J1434,$J1434,$K$1:K1434,K1434,$L$1:L1434,L1434)))</f>
        <v>180</v>
      </c>
      <c r="N143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34" s="14" t="e">
        <f>+LEN(Table4[[#This Row],[New Item Code]])</f>
        <v>#N/A</v>
      </c>
      <c r="P1434" s="15" t="s">
        <v>4747</v>
      </c>
      <c r="Q1434" s="15" t="s">
        <v>4749</v>
      </c>
      <c r="R1434" s="15"/>
      <c r="S1434" s="15"/>
      <c r="T1434" s="15" t="s">
        <v>4672</v>
      </c>
    </row>
    <row r="1435" spans="1:20" x14ac:dyDescent="0.35">
      <c r="A1435" s="3" t="s">
        <v>2854</v>
      </c>
      <c r="B1435" s="3" t="s">
        <v>2855</v>
      </c>
      <c r="C1435" s="3" t="s">
        <v>56</v>
      </c>
      <c r="D1435" s="3">
        <v>0</v>
      </c>
      <c r="E1435" s="3" t="s">
        <v>57</v>
      </c>
      <c r="F1435" s="3">
        <v>0</v>
      </c>
      <c r="G1435" s="21">
        <f>Table4[[#This Row],[Item Cost]]*Table4[[#This Row],[In Stock]]</f>
        <v>0</v>
      </c>
      <c r="H1435" s="12" t="s">
        <v>4661</v>
      </c>
      <c r="I1435" s="13" t="s">
        <v>4668</v>
      </c>
      <c r="J1435" s="13" t="s">
        <v>4672</v>
      </c>
      <c r="K1435" s="13" t="s">
        <v>4672</v>
      </c>
      <c r="L1435" s="12" t="s">
        <v>4672</v>
      </c>
      <c r="M1435" s="17">
        <f>IF(LEN(COUNTIFS($H$1:H1435,$H1435,$I$1:I1435,$I1435,$J$1:J1435,$J1435,$K$1:K1435,K1435,$L$1:L1435,L1435))=1,"00"&amp;COUNTIFS($H$1:H1435,$H1435,$I$1:I1435,$I1435,$J$1:J1435,$J1435,$K$1:K1435,K1435,$L$1:L1435,L1435),IF(LEN(COUNTIFS($H$1:H1435,$H1435,$I$1:I1435,$I1435,$J$1:J1435,$J1435,$K$1:K1435,K1435,$L$1:L1435,L1435))=2,"0"&amp;COUNTIFS($H$1:H1435,$H1435,$I$1:I1435,$I1435,$J$1:J1435,$J1435,$K$1:K1435,K1435,$L$1:L1435,L1435),COUNTIFS($H$1:H1435,$H1435,$I$1:I1435,$I1435,$J$1:J1435,$J1435,$K$1:K1435,K1435,$L$1:L1435,L1435)))</f>
        <v>181</v>
      </c>
      <c r="N143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35" s="14" t="e">
        <f>+LEN(Table4[[#This Row],[New Item Code]])</f>
        <v>#N/A</v>
      </c>
      <c r="P1435" s="15" t="s">
        <v>4747</v>
      </c>
      <c r="Q1435" s="15" t="s">
        <v>4749</v>
      </c>
      <c r="R1435" s="15"/>
      <c r="S1435" s="15"/>
      <c r="T1435" s="15" t="s">
        <v>4672</v>
      </c>
    </row>
    <row r="1436" spans="1:20" x14ac:dyDescent="0.35">
      <c r="A1436" s="2" t="s">
        <v>2856</v>
      </c>
      <c r="B1436" s="2" t="s">
        <v>2857</v>
      </c>
      <c r="C1436" s="2" t="s">
        <v>56</v>
      </c>
      <c r="D1436" s="2">
        <v>0</v>
      </c>
      <c r="E1436" s="2" t="s">
        <v>57</v>
      </c>
      <c r="F1436" s="2">
        <v>0</v>
      </c>
      <c r="G1436" s="22">
        <f>Table4[[#This Row],[Item Cost]]*Table4[[#This Row],[In Stock]]</f>
        <v>0</v>
      </c>
      <c r="H1436" s="12" t="s">
        <v>4661</v>
      </c>
      <c r="I1436" s="13" t="s">
        <v>4668</v>
      </c>
      <c r="J1436" s="13" t="s">
        <v>4672</v>
      </c>
      <c r="K1436" s="13" t="s">
        <v>4672</v>
      </c>
      <c r="L1436" s="12" t="s">
        <v>4672</v>
      </c>
      <c r="M1436" s="17">
        <f>IF(LEN(COUNTIFS($H$1:H1436,$H1436,$I$1:I1436,$I1436,$J$1:J1436,$J1436,$K$1:K1436,K1436,$L$1:L1436,L1436))=1,"00"&amp;COUNTIFS($H$1:H1436,$H1436,$I$1:I1436,$I1436,$J$1:J1436,$J1436,$K$1:K1436,K1436,$L$1:L1436,L1436),IF(LEN(COUNTIFS($H$1:H1436,$H1436,$I$1:I1436,$I1436,$J$1:J1436,$J1436,$K$1:K1436,K1436,$L$1:L1436,L1436))=2,"0"&amp;COUNTIFS($H$1:H1436,$H1436,$I$1:I1436,$I1436,$J$1:J1436,$J1436,$K$1:K1436,K1436,$L$1:L1436,L1436),COUNTIFS($H$1:H1436,$H1436,$I$1:I1436,$I1436,$J$1:J1436,$J1436,$K$1:K1436,K1436,$L$1:L1436,L1436)))</f>
        <v>182</v>
      </c>
      <c r="N143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36" s="14" t="e">
        <f>+LEN(Table4[[#This Row],[New Item Code]])</f>
        <v>#N/A</v>
      </c>
      <c r="P1436" s="15" t="s">
        <v>4747</v>
      </c>
      <c r="Q1436" s="15" t="s">
        <v>4749</v>
      </c>
      <c r="R1436" s="15"/>
      <c r="S1436" s="15"/>
      <c r="T1436" s="15" t="s">
        <v>4672</v>
      </c>
    </row>
    <row r="1437" spans="1:20" x14ac:dyDescent="0.35">
      <c r="A1437" s="3" t="s">
        <v>2858</v>
      </c>
      <c r="B1437" s="3" t="s">
        <v>2859</v>
      </c>
      <c r="C1437" s="3" t="s">
        <v>56</v>
      </c>
      <c r="D1437" s="3">
        <v>0</v>
      </c>
      <c r="E1437" s="3" t="s">
        <v>57</v>
      </c>
      <c r="F1437" s="3">
        <v>0</v>
      </c>
      <c r="G1437" s="21">
        <f>Table4[[#This Row],[Item Cost]]*Table4[[#This Row],[In Stock]]</f>
        <v>0</v>
      </c>
      <c r="H1437" s="12" t="s">
        <v>4661</v>
      </c>
      <c r="I1437" s="13" t="s">
        <v>4668</v>
      </c>
      <c r="J1437" s="13" t="s">
        <v>4672</v>
      </c>
      <c r="K1437" s="13" t="s">
        <v>4672</v>
      </c>
      <c r="L1437" s="12" t="s">
        <v>4672</v>
      </c>
      <c r="M1437" s="17">
        <f>IF(LEN(COUNTIFS($H$1:H1437,$H1437,$I$1:I1437,$I1437,$J$1:J1437,$J1437,$K$1:K1437,K1437,$L$1:L1437,L1437))=1,"00"&amp;COUNTIFS($H$1:H1437,$H1437,$I$1:I1437,$I1437,$J$1:J1437,$J1437,$K$1:K1437,K1437,$L$1:L1437,L1437),IF(LEN(COUNTIFS($H$1:H1437,$H1437,$I$1:I1437,$I1437,$J$1:J1437,$J1437,$K$1:K1437,K1437,$L$1:L1437,L1437))=2,"0"&amp;COUNTIFS($H$1:H1437,$H1437,$I$1:I1437,$I1437,$J$1:J1437,$J1437,$K$1:K1437,K1437,$L$1:L1437,L1437),COUNTIFS($H$1:H1437,$H1437,$I$1:I1437,$I1437,$J$1:J1437,$J1437,$K$1:K1437,K1437,$L$1:L1437,L1437)))</f>
        <v>183</v>
      </c>
      <c r="N143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37" s="14" t="e">
        <f>+LEN(Table4[[#This Row],[New Item Code]])</f>
        <v>#N/A</v>
      </c>
      <c r="P1437" s="15" t="s">
        <v>4747</v>
      </c>
      <c r="Q1437" s="15" t="s">
        <v>4749</v>
      </c>
      <c r="R1437" s="15"/>
      <c r="S1437" s="15"/>
      <c r="T1437" s="15" t="s">
        <v>4672</v>
      </c>
    </row>
    <row r="1438" spans="1:20" x14ac:dyDescent="0.35">
      <c r="A1438" s="2" t="s">
        <v>2860</v>
      </c>
      <c r="B1438" s="2" t="s">
        <v>2861</v>
      </c>
      <c r="C1438" s="2" t="s">
        <v>56</v>
      </c>
      <c r="D1438" s="2">
        <v>0</v>
      </c>
      <c r="E1438" s="2" t="s">
        <v>57</v>
      </c>
      <c r="F1438" s="2">
        <v>0</v>
      </c>
      <c r="G1438" s="22">
        <f>Table4[[#This Row],[Item Cost]]*Table4[[#This Row],[In Stock]]</f>
        <v>0</v>
      </c>
      <c r="H1438" s="12" t="s">
        <v>4661</v>
      </c>
      <c r="I1438" s="13" t="s">
        <v>4668</v>
      </c>
      <c r="J1438" s="13" t="s">
        <v>4672</v>
      </c>
      <c r="K1438" s="13" t="s">
        <v>4672</v>
      </c>
      <c r="L1438" s="12" t="s">
        <v>4672</v>
      </c>
      <c r="M1438" s="17">
        <f>IF(LEN(COUNTIFS($H$1:H1438,$H1438,$I$1:I1438,$I1438,$J$1:J1438,$J1438,$K$1:K1438,K1438,$L$1:L1438,L1438))=1,"00"&amp;COUNTIFS($H$1:H1438,$H1438,$I$1:I1438,$I1438,$J$1:J1438,$J1438,$K$1:K1438,K1438,$L$1:L1438,L1438),IF(LEN(COUNTIFS($H$1:H1438,$H1438,$I$1:I1438,$I1438,$J$1:J1438,$J1438,$K$1:K1438,K1438,$L$1:L1438,L1438))=2,"0"&amp;COUNTIFS($H$1:H1438,$H1438,$I$1:I1438,$I1438,$J$1:J1438,$J1438,$K$1:K1438,K1438,$L$1:L1438,L1438),COUNTIFS($H$1:H1438,$H1438,$I$1:I1438,$I1438,$J$1:J1438,$J1438,$K$1:K1438,K1438,$L$1:L1438,L1438)))</f>
        <v>184</v>
      </c>
      <c r="N143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38" s="14" t="e">
        <f>+LEN(Table4[[#This Row],[New Item Code]])</f>
        <v>#N/A</v>
      </c>
      <c r="P1438" s="15" t="s">
        <v>4747</v>
      </c>
      <c r="Q1438" s="15" t="s">
        <v>4749</v>
      </c>
      <c r="R1438" s="15"/>
      <c r="S1438" s="15"/>
      <c r="T1438" s="15" t="s">
        <v>4672</v>
      </c>
    </row>
    <row r="1439" spans="1:20" x14ac:dyDescent="0.35">
      <c r="A1439" s="3" t="s">
        <v>2862</v>
      </c>
      <c r="B1439" s="3" t="s">
        <v>2863</v>
      </c>
      <c r="C1439" s="3" t="s">
        <v>56</v>
      </c>
      <c r="D1439" s="3">
        <v>0</v>
      </c>
      <c r="E1439" s="3" t="s">
        <v>57</v>
      </c>
      <c r="F1439" s="3">
        <v>0</v>
      </c>
      <c r="G1439" s="21">
        <f>Table4[[#This Row],[Item Cost]]*Table4[[#This Row],[In Stock]]</f>
        <v>0</v>
      </c>
      <c r="H1439" s="12" t="s">
        <v>4661</v>
      </c>
      <c r="I1439" s="13" t="s">
        <v>4668</v>
      </c>
      <c r="J1439" s="13" t="s">
        <v>4672</v>
      </c>
      <c r="K1439" s="13" t="s">
        <v>4672</v>
      </c>
      <c r="L1439" s="12" t="s">
        <v>4672</v>
      </c>
      <c r="M1439" s="17">
        <f>IF(LEN(COUNTIFS($H$1:H1439,$H1439,$I$1:I1439,$I1439,$J$1:J1439,$J1439,$K$1:K1439,K1439,$L$1:L1439,L1439))=1,"00"&amp;COUNTIFS($H$1:H1439,$H1439,$I$1:I1439,$I1439,$J$1:J1439,$J1439,$K$1:K1439,K1439,$L$1:L1439,L1439),IF(LEN(COUNTIFS($H$1:H1439,$H1439,$I$1:I1439,$I1439,$J$1:J1439,$J1439,$K$1:K1439,K1439,$L$1:L1439,L1439))=2,"0"&amp;COUNTIFS($H$1:H1439,$H1439,$I$1:I1439,$I1439,$J$1:J1439,$J1439,$K$1:K1439,K1439,$L$1:L1439,L1439),COUNTIFS($H$1:H1439,$H1439,$I$1:I1439,$I1439,$J$1:J1439,$J1439,$K$1:K1439,K1439,$L$1:L1439,L1439)))</f>
        <v>185</v>
      </c>
      <c r="N143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39" s="14" t="e">
        <f>+LEN(Table4[[#This Row],[New Item Code]])</f>
        <v>#N/A</v>
      </c>
      <c r="P1439" s="15" t="s">
        <v>4747</v>
      </c>
      <c r="Q1439" s="15" t="s">
        <v>4749</v>
      </c>
      <c r="R1439" s="15"/>
      <c r="S1439" s="15"/>
      <c r="T1439" s="15" t="s">
        <v>4672</v>
      </c>
    </row>
    <row r="1440" spans="1:20" x14ac:dyDescent="0.35">
      <c r="A1440" s="2" t="s">
        <v>2864</v>
      </c>
      <c r="B1440" s="2" t="s">
        <v>2865</v>
      </c>
      <c r="C1440" s="2" t="s">
        <v>56</v>
      </c>
      <c r="D1440" s="2">
        <v>0</v>
      </c>
      <c r="E1440" s="2" t="s">
        <v>57</v>
      </c>
      <c r="F1440" s="2">
        <v>0</v>
      </c>
      <c r="G1440" s="22">
        <f>Table4[[#This Row],[Item Cost]]*Table4[[#This Row],[In Stock]]</f>
        <v>0</v>
      </c>
      <c r="H1440" s="12" t="s">
        <v>4661</v>
      </c>
      <c r="I1440" s="13" t="s">
        <v>4668</v>
      </c>
      <c r="J1440" s="13" t="s">
        <v>4672</v>
      </c>
      <c r="K1440" s="13" t="s">
        <v>4672</v>
      </c>
      <c r="L1440" s="12" t="s">
        <v>4672</v>
      </c>
      <c r="M1440" s="17">
        <f>IF(LEN(COUNTIFS($H$1:H1440,$H1440,$I$1:I1440,$I1440,$J$1:J1440,$J1440,$K$1:K1440,K1440,$L$1:L1440,L1440))=1,"00"&amp;COUNTIFS($H$1:H1440,$H1440,$I$1:I1440,$I1440,$J$1:J1440,$J1440,$K$1:K1440,K1440,$L$1:L1440,L1440),IF(LEN(COUNTIFS($H$1:H1440,$H1440,$I$1:I1440,$I1440,$J$1:J1440,$J1440,$K$1:K1440,K1440,$L$1:L1440,L1440))=2,"0"&amp;COUNTIFS($H$1:H1440,$H1440,$I$1:I1440,$I1440,$J$1:J1440,$J1440,$K$1:K1440,K1440,$L$1:L1440,L1440),COUNTIFS($H$1:H1440,$H1440,$I$1:I1440,$I1440,$J$1:J1440,$J1440,$K$1:K1440,K1440,$L$1:L1440,L1440)))</f>
        <v>186</v>
      </c>
      <c r="N144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40" s="14" t="e">
        <f>+LEN(Table4[[#This Row],[New Item Code]])</f>
        <v>#N/A</v>
      </c>
      <c r="P1440" s="15" t="s">
        <v>4747</v>
      </c>
      <c r="Q1440" s="15" t="s">
        <v>4749</v>
      </c>
      <c r="R1440" s="15"/>
      <c r="S1440" s="15"/>
      <c r="T1440" s="15" t="s">
        <v>4672</v>
      </c>
    </row>
    <row r="1441" spans="1:20" x14ac:dyDescent="0.35">
      <c r="A1441" s="3" t="s">
        <v>2866</v>
      </c>
      <c r="B1441" s="3" t="s">
        <v>2867</v>
      </c>
      <c r="C1441" s="3" t="s">
        <v>56</v>
      </c>
      <c r="D1441" s="3">
        <v>0</v>
      </c>
      <c r="E1441" s="3" t="s">
        <v>57</v>
      </c>
      <c r="F1441" s="3">
        <v>0</v>
      </c>
      <c r="G1441" s="21">
        <f>Table4[[#This Row],[Item Cost]]*Table4[[#This Row],[In Stock]]</f>
        <v>0</v>
      </c>
      <c r="H1441" s="12" t="s">
        <v>4661</v>
      </c>
      <c r="I1441" s="13" t="s">
        <v>4668</v>
      </c>
      <c r="J1441" s="13" t="s">
        <v>4672</v>
      </c>
      <c r="K1441" s="13" t="s">
        <v>4672</v>
      </c>
      <c r="L1441" s="12" t="s">
        <v>4672</v>
      </c>
      <c r="M1441" s="17">
        <f>IF(LEN(COUNTIFS($H$1:H1441,$H1441,$I$1:I1441,$I1441,$J$1:J1441,$J1441,$K$1:K1441,K1441,$L$1:L1441,L1441))=1,"00"&amp;COUNTIFS($H$1:H1441,$H1441,$I$1:I1441,$I1441,$J$1:J1441,$J1441,$K$1:K1441,K1441,$L$1:L1441,L1441),IF(LEN(COUNTIFS($H$1:H1441,$H1441,$I$1:I1441,$I1441,$J$1:J1441,$J1441,$K$1:K1441,K1441,$L$1:L1441,L1441))=2,"0"&amp;COUNTIFS($H$1:H1441,$H1441,$I$1:I1441,$I1441,$J$1:J1441,$J1441,$K$1:K1441,K1441,$L$1:L1441,L1441),COUNTIFS($H$1:H1441,$H1441,$I$1:I1441,$I1441,$J$1:J1441,$J1441,$K$1:K1441,K1441,$L$1:L1441,L1441)))</f>
        <v>187</v>
      </c>
      <c r="N144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41" s="14" t="e">
        <f>+LEN(Table4[[#This Row],[New Item Code]])</f>
        <v>#N/A</v>
      </c>
      <c r="P1441" s="15" t="s">
        <v>4747</v>
      </c>
      <c r="Q1441" s="15" t="s">
        <v>4749</v>
      </c>
      <c r="R1441" s="15"/>
      <c r="S1441" s="15"/>
      <c r="T1441" s="15" t="s">
        <v>4672</v>
      </c>
    </row>
    <row r="1442" spans="1:20" x14ac:dyDescent="0.35">
      <c r="A1442" s="2" t="s">
        <v>2868</v>
      </c>
      <c r="B1442" s="2" t="s">
        <v>2869</v>
      </c>
      <c r="C1442" s="2" t="s">
        <v>56</v>
      </c>
      <c r="D1442" s="2">
        <v>0</v>
      </c>
      <c r="E1442" s="2" t="s">
        <v>57</v>
      </c>
      <c r="F1442" s="2">
        <v>0</v>
      </c>
      <c r="G1442" s="22">
        <f>Table4[[#This Row],[Item Cost]]*Table4[[#This Row],[In Stock]]</f>
        <v>0</v>
      </c>
      <c r="H1442" s="12" t="s">
        <v>4661</v>
      </c>
      <c r="I1442" s="13" t="s">
        <v>4668</v>
      </c>
      <c r="J1442" s="13" t="s">
        <v>4672</v>
      </c>
      <c r="K1442" s="13" t="s">
        <v>4672</v>
      </c>
      <c r="L1442" s="12" t="s">
        <v>4672</v>
      </c>
      <c r="M1442" s="17">
        <f>IF(LEN(COUNTIFS($H$1:H1442,$H1442,$I$1:I1442,$I1442,$J$1:J1442,$J1442,$K$1:K1442,K1442,$L$1:L1442,L1442))=1,"00"&amp;COUNTIFS($H$1:H1442,$H1442,$I$1:I1442,$I1442,$J$1:J1442,$J1442,$K$1:K1442,K1442,$L$1:L1442,L1442),IF(LEN(COUNTIFS($H$1:H1442,$H1442,$I$1:I1442,$I1442,$J$1:J1442,$J1442,$K$1:K1442,K1442,$L$1:L1442,L1442))=2,"0"&amp;COUNTIFS($H$1:H1442,$H1442,$I$1:I1442,$I1442,$J$1:J1442,$J1442,$K$1:K1442,K1442,$L$1:L1442,L1442),COUNTIFS($H$1:H1442,$H1442,$I$1:I1442,$I1442,$J$1:J1442,$J1442,$K$1:K1442,K1442,$L$1:L1442,L1442)))</f>
        <v>188</v>
      </c>
      <c r="N144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42" s="14" t="e">
        <f>+LEN(Table4[[#This Row],[New Item Code]])</f>
        <v>#N/A</v>
      </c>
      <c r="P1442" s="15" t="s">
        <v>4747</v>
      </c>
      <c r="Q1442" s="15" t="s">
        <v>4749</v>
      </c>
      <c r="R1442" s="15"/>
      <c r="S1442" s="15"/>
      <c r="T1442" s="15" t="s">
        <v>4672</v>
      </c>
    </row>
    <row r="1443" spans="1:20" x14ac:dyDescent="0.35">
      <c r="A1443" s="3" t="s">
        <v>2870</v>
      </c>
      <c r="B1443" s="3" t="s">
        <v>2871</v>
      </c>
      <c r="C1443" s="3" t="s">
        <v>56</v>
      </c>
      <c r="D1443" s="3">
        <v>0</v>
      </c>
      <c r="E1443" s="3" t="s">
        <v>57</v>
      </c>
      <c r="F1443" s="3">
        <v>0</v>
      </c>
      <c r="G1443" s="21">
        <f>Table4[[#This Row],[Item Cost]]*Table4[[#This Row],[In Stock]]</f>
        <v>0</v>
      </c>
      <c r="H1443" s="12" t="s">
        <v>4661</v>
      </c>
      <c r="I1443" s="13" t="s">
        <v>4668</v>
      </c>
      <c r="J1443" s="13" t="s">
        <v>4672</v>
      </c>
      <c r="K1443" s="13" t="s">
        <v>4672</v>
      </c>
      <c r="L1443" s="12" t="s">
        <v>4672</v>
      </c>
      <c r="M1443" s="17">
        <f>IF(LEN(COUNTIFS($H$1:H1443,$H1443,$I$1:I1443,$I1443,$J$1:J1443,$J1443,$K$1:K1443,K1443,$L$1:L1443,L1443))=1,"00"&amp;COUNTIFS($H$1:H1443,$H1443,$I$1:I1443,$I1443,$J$1:J1443,$J1443,$K$1:K1443,K1443,$L$1:L1443,L1443),IF(LEN(COUNTIFS($H$1:H1443,$H1443,$I$1:I1443,$I1443,$J$1:J1443,$J1443,$K$1:K1443,K1443,$L$1:L1443,L1443))=2,"0"&amp;COUNTIFS($H$1:H1443,$H1443,$I$1:I1443,$I1443,$J$1:J1443,$J1443,$K$1:K1443,K1443,$L$1:L1443,L1443),COUNTIFS($H$1:H1443,$H1443,$I$1:I1443,$I1443,$J$1:J1443,$J1443,$K$1:K1443,K1443,$L$1:L1443,L1443)))</f>
        <v>189</v>
      </c>
      <c r="N144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43" s="14" t="e">
        <f>+LEN(Table4[[#This Row],[New Item Code]])</f>
        <v>#N/A</v>
      </c>
      <c r="P1443" s="15" t="s">
        <v>4747</v>
      </c>
      <c r="Q1443" s="15" t="s">
        <v>4749</v>
      </c>
      <c r="R1443" s="15"/>
      <c r="S1443" s="15"/>
      <c r="T1443" s="15" t="s">
        <v>4672</v>
      </c>
    </row>
    <row r="1444" spans="1:20" x14ac:dyDescent="0.35">
      <c r="A1444" s="2" t="s">
        <v>2872</v>
      </c>
      <c r="B1444" s="2" t="s">
        <v>2873</v>
      </c>
      <c r="C1444" s="2" t="s">
        <v>56</v>
      </c>
      <c r="D1444" s="2">
        <v>0</v>
      </c>
      <c r="E1444" s="2" t="s">
        <v>57</v>
      </c>
      <c r="F1444" s="2">
        <v>0</v>
      </c>
      <c r="G1444" s="22">
        <f>Table4[[#This Row],[Item Cost]]*Table4[[#This Row],[In Stock]]</f>
        <v>0</v>
      </c>
      <c r="H1444" s="12" t="s">
        <v>4661</v>
      </c>
      <c r="I1444" s="13" t="s">
        <v>4668</v>
      </c>
      <c r="J1444" s="13" t="s">
        <v>4672</v>
      </c>
      <c r="K1444" s="13" t="s">
        <v>4672</v>
      </c>
      <c r="L1444" s="12" t="s">
        <v>4672</v>
      </c>
      <c r="M1444" s="17">
        <f>IF(LEN(COUNTIFS($H$1:H1444,$H1444,$I$1:I1444,$I1444,$J$1:J1444,$J1444,$K$1:K1444,K1444,$L$1:L1444,L1444))=1,"00"&amp;COUNTIFS($H$1:H1444,$H1444,$I$1:I1444,$I1444,$J$1:J1444,$J1444,$K$1:K1444,K1444,$L$1:L1444,L1444),IF(LEN(COUNTIFS($H$1:H1444,$H1444,$I$1:I1444,$I1444,$J$1:J1444,$J1444,$K$1:K1444,K1444,$L$1:L1444,L1444))=2,"0"&amp;COUNTIFS($H$1:H1444,$H1444,$I$1:I1444,$I1444,$J$1:J1444,$J1444,$K$1:K1444,K1444,$L$1:L1444,L1444),COUNTIFS($H$1:H1444,$H1444,$I$1:I1444,$I1444,$J$1:J1444,$J1444,$K$1:K1444,K1444,$L$1:L1444,L1444)))</f>
        <v>190</v>
      </c>
      <c r="N144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44" s="14" t="e">
        <f>+LEN(Table4[[#This Row],[New Item Code]])</f>
        <v>#N/A</v>
      </c>
      <c r="P1444" s="15" t="s">
        <v>4747</v>
      </c>
      <c r="Q1444" s="15" t="s">
        <v>4749</v>
      </c>
      <c r="R1444" s="15"/>
      <c r="S1444" s="15"/>
      <c r="T1444" s="15" t="s">
        <v>4672</v>
      </c>
    </row>
    <row r="1445" spans="1:20" x14ac:dyDescent="0.35">
      <c r="A1445" s="3" t="s">
        <v>2874</v>
      </c>
      <c r="B1445" s="3" t="s">
        <v>2875</v>
      </c>
      <c r="C1445" s="3" t="s">
        <v>56</v>
      </c>
      <c r="D1445" s="3">
        <v>0</v>
      </c>
      <c r="E1445" s="3" t="s">
        <v>57</v>
      </c>
      <c r="F1445" s="3">
        <v>0</v>
      </c>
      <c r="G1445" s="21">
        <f>Table4[[#This Row],[Item Cost]]*Table4[[#This Row],[In Stock]]</f>
        <v>0</v>
      </c>
      <c r="H1445" s="12" t="s">
        <v>4661</v>
      </c>
      <c r="I1445" s="13" t="s">
        <v>4668</v>
      </c>
      <c r="J1445" s="13" t="s">
        <v>4672</v>
      </c>
      <c r="K1445" s="13" t="s">
        <v>4672</v>
      </c>
      <c r="L1445" s="12" t="s">
        <v>4672</v>
      </c>
      <c r="M1445" s="17">
        <f>IF(LEN(COUNTIFS($H$1:H1445,$H1445,$I$1:I1445,$I1445,$J$1:J1445,$J1445,$K$1:K1445,K1445,$L$1:L1445,L1445))=1,"00"&amp;COUNTIFS($H$1:H1445,$H1445,$I$1:I1445,$I1445,$J$1:J1445,$J1445,$K$1:K1445,K1445,$L$1:L1445,L1445),IF(LEN(COUNTIFS($H$1:H1445,$H1445,$I$1:I1445,$I1445,$J$1:J1445,$J1445,$K$1:K1445,K1445,$L$1:L1445,L1445))=2,"0"&amp;COUNTIFS($H$1:H1445,$H1445,$I$1:I1445,$I1445,$J$1:J1445,$J1445,$K$1:K1445,K1445,$L$1:L1445,L1445),COUNTIFS($H$1:H1445,$H1445,$I$1:I1445,$I1445,$J$1:J1445,$J1445,$K$1:K1445,K1445,$L$1:L1445,L1445)))</f>
        <v>191</v>
      </c>
      <c r="N144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45" s="14" t="e">
        <f>+LEN(Table4[[#This Row],[New Item Code]])</f>
        <v>#N/A</v>
      </c>
      <c r="P1445" s="15" t="s">
        <v>4747</v>
      </c>
      <c r="Q1445" s="15" t="s">
        <v>4749</v>
      </c>
      <c r="R1445" s="15"/>
      <c r="S1445" s="15"/>
      <c r="T1445" s="15" t="s">
        <v>4672</v>
      </c>
    </row>
    <row r="1446" spans="1:20" x14ac:dyDescent="0.35">
      <c r="A1446" s="2" t="s">
        <v>2876</v>
      </c>
      <c r="B1446" s="2" t="s">
        <v>2877</v>
      </c>
      <c r="C1446" s="2" t="s">
        <v>56</v>
      </c>
      <c r="D1446" s="2">
        <v>0</v>
      </c>
      <c r="E1446" s="2" t="s">
        <v>57</v>
      </c>
      <c r="F1446" s="2">
        <v>0</v>
      </c>
      <c r="G1446" s="22">
        <f>Table4[[#This Row],[Item Cost]]*Table4[[#This Row],[In Stock]]</f>
        <v>0</v>
      </c>
      <c r="H1446" s="12" t="s">
        <v>4661</v>
      </c>
      <c r="I1446" s="13" t="s">
        <v>4668</v>
      </c>
      <c r="J1446" s="13" t="s">
        <v>4672</v>
      </c>
      <c r="K1446" s="13" t="s">
        <v>4672</v>
      </c>
      <c r="L1446" s="12" t="s">
        <v>4672</v>
      </c>
      <c r="M1446" s="17">
        <f>IF(LEN(COUNTIFS($H$1:H1446,$H1446,$I$1:I1446,$I1446,$J$1:J1446,$J1446,$K$1:K1446,K1446,$L$1:L1446,L1446))=1,"00"&amp;COUNTIFS($H$1:H1446,$H1446,$I$1:I1446,$I1446,$J$1:J1446,$J1446,$K$1:K1446,K1446,$L$1:L1446,L1446),IF(LEN(COUNTIFS($H$1:H1446,$H1446,$I$1:I1446,$I1446,$J$1:J1446,$J1446,$K$1:K1446,K1446,$L$1:L1446,L1446))=2,"0"&amp;COUNTIFS($H$1:H1446,$H1446,$I$1:I1446,$I1446,$J$1:J1446,$J1446,$K$1:K1446,K1446,$L$1:L1446,L1446),COUNTIFS($H$1:H1446,$H1446,$I$1:I1446,$I1446,$J$1:J1446,$J1446,$K$1:K1446,K1446,$L$1:L1446,L1446)))</f>
        <v>192</v>
      </c>
      <c r="N144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46" s="14" t="e">
        <f>+LEN(Table4[[#This Row],[New Item Code]])</f>
        <v>#N/A</v>
      </c>
      <c r="P1446" s="15" t="s">
        <v>4747</v>
      </c>
      <c r="Q1446" s="15" t="s">
        <v>4749</v>
      </c>
      <c r="R1446" s="15"/>
      <c r="S1446" s="15"/>
      <c r="T1446" s="15" t="s">
        <v>4672</v>
      </c>
    </row>
    <row r="1447" spans="1:20" x14ac:dyDescent="0.35">
      <c r="A1447" s="3" t="s">
        <v>2878</v>
      </c>
      <c r="B1447" s="3" t="s">
        <v>2879</v>
      </c>
      <c r="C1447" s="3" t="s">
        <v>56</v>
      </c>
      <c r="D1447" s="3">
        <v>0</v>
      </c>
      <c r="E1447" s="3" t="s">
        <v>57</v>
      </c>
      <c r="F1447" s="3">
        <v>0</v>
      </c>
      <c r="G1447" s="21">
        <f>Table4[[#This Row],[Item Cost]]*Table4[[#This Row],[In Stock]]</f>
        <v>0</v>
      </c>
      <c r="H1447" s="12" t="s">
        <v>4661</v>
      </c>
      <c r="I1447" s="13" t="s">
        <v>4668</v>
      </c>
      <c r="J1447" s="13" t="s">
        <v>4672</v>
      </c>
      <c r="K1447" s="13" t="s">
        <v>4672</v>
      </c>
      <c r="L1447" s="12" t="s">
        <v>4672</v>
      </c>
      <c r="M1447" s="17">
        <f>IF(LEN(COUNTIFS($H$1:H1447,$H1447,$I$1:I1447,$I1447,$J$1:J1447,$J1447,$K$1:K1447,K1447,$L$1:L1447,L1447))=1,"00"&amp;COUNTIFS($H$1:H1447,$H1447,$I$1:I1447,$I1447,$J$1:J1447,$J1447,$K$1:K1447,K1447,$L$1:L1447,L1447),IF(LEN(COUNTIFS($H$1:H1447,$H1447,$I$1:I1447,$I1447,$J$1:J1447,$J1447,$K$1:K1447,K1447,$L$1:L1447,L1447))=2,"0"&amp;COUNTIFS($H$1:H1447,$H1447,$I$1:I1447,$I1447,$J$1:J1447,$J1447,$K$1:K1447,K1447,$L$1:L1447,L1447),COUNTIFS($H$1:H1447,$H1447,$I$1:I1447,$I1447,$J$1:J1447,$J1447,$K$1:K1447,K1447,$L$1:L1447,L1447)))</f>
        <v>193</v>
      </c>
      <c r="N144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47" s="14" t="e">
        <f>+LEN(Table4[[#This Row],[New Item Code]])</f>
        <v>#N/A</v>
      </c>
      <c r="P1447" s="15" t="s">
        <v>4747</v>
      </c>
      <c r="Q1447" s="15" t="s">
        <v>4749</v>
      </c>
      <c r="R1447" s="15"/>
      <c r="S1447" s="15"/>
      <c r="T1447" s="15" t="s">
        <v>4672</v>
      </c>
    </row>
    <row r="1448" spans="1:20" x14ac:dyDescent="0.35">
      <c r="A1448" s="2" t="s">
        <v>2880</v>
      </c>
      <c r="B1448" s="2" t="s">
        <v>2881</v>
      </c>
      <c r="C1448" s="2" t="s">
        <v>56</v>
      </c>
      <c r="D1448" s="2">
        <v>0</v>
      </c>
      <c r="E1448" s="2" t="s">
        <v>57</v>
      </c>
      <c r="F1448" s="2">
        <v>0</v>
      </c>
      <c r="G1448" s="22">
        <f>Table4[[#This Row],[Item Cost]]*Table4[[#This Row],[In Stock]]</f>
        <v>0</v>
      </c>
      <c r="H1448" s="12" t="s">
        <v>4661</v>
      </c>
      <c r="I1448" s="13" t="s">
        <v>4668</v>
      </c>
      <c r="J1448" s="13" t="s">
        <v>4672</v>
      </c>
      <c r="K1448" s="13" t="s">
        <v>4672</v>
      </c>
      <c r="L1448" s="12" t="s">
        <v>4672</v>
      </c>
      <c r="M1448" s="17">
        <f>IF(LEN(COUNTIFS($H$1:H1448,$H1448,$I$1:I1448,$I1448,$J$1:J1448,$J1448,$K$1:K1448,K1448,$L$1:L1448,L1448))=1,"00"&amp;COUNTIFS($H$1:H1448,$H1448,$I$1:I1448,$I1448,$J$1:J1448,$J1448,$K$1:K1448,K1448,$L$1:L1448,L1448),IF(LEN(COUNTIFS($H$1:H1448,$H1448,$I$1:I1448,$I1448,$J$1:J1448,$J1448,$K$1:K1448,K1448,$L$1:L1448,L1448))=2,"0"&amp;COUNTIFS($H$1:H1448,$H1448,$I$1:I1448,$I1448,$J$1:J1448,$J1448,$K$1:K1448,K1448,$L$1:L1448,L1448),COUNTIFS($H$1:H1448,$H1448,$I$1:I1448,$I1448,$J$1:J1448,$J1448,$K$1:K1448,K1448,$L$1:L1448,L1448)))</f>
        <v>194</v>
      </c>
      <c r="N144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48" s="14" t="e">
        <f>+LEN(Table4[[#This Row],[New Item Code]])</f>
        <v>#N/A</v>
      </c>
      <c r="P1448" s="15" t="s">
        <v>4747</v>
      </c>
      <c r="Q1448" s="15" t="s">
        <v>4749</v>
      </c>
      <c r="R1448" s="15"/>
      <c r="S1448" s="15"/>
      <c r="T1448" s="15" t="s">
        <v>4672</v>
      </c>
    </row>
    <row r="1449" spans="1:20" x14ac:dyDescent="0.35">
      <c r="A1449" s="3" t="s">
        <v>2882</v>
      </c>
      <c r="B1449" s="3" t="s">
        <v>2883</v>
      </c>
      <c r="C1449" s="3" t="s">
        <v>56</v>
      </c>
      <c r="D1449" s="3">
        <v>0</v>
      </c>
      <c r="E1449" s="3" t="s">
        <v>57</v>
      </c>
      <c r="F1449" s="3">
        <v>0</v>
      </c>
      <c r="G1449" s="21">
        <f>Table4[[#This Row],[Item Cost]]*Table4[[#This Row],[In Stock]]</f>
        <v>0</v>
      </c>
      <c r="H1449" s="12" t="s">
        <v>4661</v>
      </c>
      <c r="I1449" s="13" t="s">
        <v>4668</v>
      </c>
      <c r="J1449" s="13" t="s">
        <v>4672</v>
      </c>
      <c r="K1449" s="13" t="s">
        <v>4672</v>
      </c>
      <c r="L1449" s="12" t="s">
        <v>4672</v>
      </c>
      <c r="M1449" s="17">
        <f>IF(LEN(COUNTIFS($H$1:H1449,$H1449,$I$1:I1449,$I1449,$J$1:J1449,$J1449,$K$1:K1449,K1449,$L$1:L1449,L1449))=1,"00"&amp;COUNTIFS($H$1:H1449,$H1449,$I$1:I1449,$I1449,$J$1:J1449,$J1449,$K$1:K1449,K1449,$L$1:L1449,L1449),IF(LEN(COUNTIFS($H$1:H1449,$H1449,$I$1:I1449,$I1449,$J$1:J1449,$J1449,$K$1:K1449,K1449,$L$1:L1449,L1449))=2,"0"&amp;COUNTIFS($H$1:H1449,$H1449,$I$1:I1449,$I1449,$J$1:J1449,$J1449,$K$1:K1449,K1449,$L$1:L1449,L1449),COUNTIFS($H$1:H1449,$H1449,$I$1:I1449,$I1449,$J$1:J1449,$J1449,$K$1:K1449,K1449,$L$1:L1449,L1449)))</f>
        <v>195</v>
      </c>
      <c r="N144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49" s="14" t="e">
        <f>+LEN(Table4[[#This Row],[New Item Code]])</f>
        <v>#N/A</v>
      </c>
      <c r="P1449" s="15" t="s">
        <v>4747</v>
      </c>
      <c r="Q1449" s="15" t="s">
        <v>4749</v>
      </c>
      <c r="R1449" s="15"/>
      <c r="S1449" s="15"/>
      <c r="T1449" s="15" t="s">
        <v>4672</v>
      </c>
    </row>
    <row r="1450" spans="1:20" x14ac:dyDescent="0.35">
      <c r="A1450" s="2" t="s">
        <v>2884</v>
      </c>
      <c r="B1450" s="2" t="s">
        <v>2885</v>
      </c>
      <c r="C1450" s="2" t="s">
        <v>56</v>
      </c>
      <c r="D1450" s="2">
        <v>0</v>
      </c>
      <c r="E1450" s="2" t="s">
        <v>57</v>
      </c>
      <c r="F1450" s="2">
        <v>0</v>
      </c>
      <c r="G1450" s="22">
        <f>Table4[[#This Row],[Item Cost]]*Table4[[#This Row],[In Stock]]</f>
        <v>0</v>
      </c>
      <c r="H1450" s="12" t="s">
        <v>4661</v>
      </c>
      <c r="I1450" s="13" t="s">
        <v>4668</v>
      </c>
      <c r="J1450" s="13" t="s">
        <v>4672</v>
      </c>
      <c r="K1450" s="13" t="s">
        <v>4672</v>
      </c>
      <c r="L1450" s="12" t="s">
        <v>4672</v>
      </c>
      <c r="M1450" s="17">
        <f>IF(LEN(COUNTIFS($H$1:H1450,$H1450,$I$1:I1450,$I1450,$J$1:J1450,$J1450,$K$1:K1450,K1450,$L$1:L1450,L1450))=1,"00"&amp;COUNTIFS($H$1:H1450,$H1450,$I$1:I1450,$I1450,$J$1:J1450,$J1450,$K$1:K1450,K1450,$L$1:L1450,L1450),IF(LEN(COUNTIFS($H$1:H1450,$H1450,$I$1:I1450,$I1450,$J$1:J1450,$J1450,$K$1:K1450,K1450,$L$1:L1450,L1450))=2,"0"&amp;COUNTIFS($H$1:H1450,$H1450,$I$1:I1450,$I1450,$J$1:J1450,$J1450,$K$1:K1450,K1450,$L$1:L1450,L1450),COUNTIFS($H$1:H1450,$H1450,$I$1:I1450,$I1450,$J$1:J1450,$J1450,$K$1:K1450,K1450,$L$1:L1450,L1450)))</f>
        <v>196</v>
      </c>
      <c r="N145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50" s="14" t="e">
        <f>+LEN(Table4[[#This Row],[New Item Code]])</f>
        <v>#N/A</v>
      </c>
      <c r="P1450" s="15" t="s">
        <v>4747</v>
      </c>
      <c r="Q1450" s="15" t="s">
        <v>4749</v>
      </c>
      <c r="R1450" s="15"/>
      <c r="S1450" s="15"/>
      <c r="T1450" s="15" t="s">
        <v>4672</v>
      </c>
    </row>
    <row r="1451" spans="1:20" x14ac:dyDescent="0.35">
      <c r="A1451" s="3" t="s">
        <v>2886</v>
      </c>
      <c r="B1451" s="3" t="s">
        <v>2887</v>
      </c>
      <c r="C1451" s="3" t="s">
        <v>56</v>
      </c>
      <c r="D1451" s="3">
        <v>0</v>
      </c>
      <c r="E1451" s="3" t="s">
        <v>57</v>
      </c>
      <c r="F1451" s="3">
        <v>0</v>
      </c>
      <c r="G1451" s="21">
        <f>Table4[[#This Row],[Item Cost]]*Table4[[#This Row],[In Stock]]</f>
        <v>0</v>
      </c>
      <c r="H1451" s="12" t="s">
        <v>4661</v>
      </c>
      <c r="I1451" s="13" t="s">
        <v>4668</v>
      </c>
      <c r="J1451" s="13" t="s">
        <v>4672</v>
      </c>
      <c r="K1451" s="13" t="s">
        <v>4672</v>
      </c>
      <c r="L1451" s="12" t="s">
        <v>4672</v>
      </c>
      <c r="M1451" s="17">
        <f>IF(LEN(COUNTIFS($H$1:H1451,$H1451,$I$1:I1451,$I1451,$J$1:J1451,$J1451,$K$1:K1451,K1451,$L$1:L1451,L1451))=1,"00"&amp;COUNTIFS($H$1:H1451,$H1451,$I$1:I1451,$I1451,$J$1:J1451,$J1451,$K$1:K1451,K1451,$L$1:L1451,L1451),IF(LEN(COUNTIFS($H$1:H1451,$H1451,$I$1:I1451,$I1451,$J$1:J1451,$J1451,$K$1:K1451,K1451,$L$1:L1451,L1451))=2,"0"&amp;COUNTIFS($H$1:H1451,$H1451,$I$1:I1451,$I1451,$J$1:J1451,$J1451,$K$1:K1451,K1451,$L$1:L1451,L1451),COUNTIFS($H$1:H1451,$H1451,$I$1:I1451,$I1451,$J$1:J1451,$J1451,$K$1:K1451,K1451,$L$1:L1451,L1451)))</f>
        <v>197</v>
      </c>
      <c r="N145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51" s="14" t="e">
        <f>+LEN(Table4[[#This Row],[New Item Code]])</f>
        <v>#N/A</v>
      </c>
      <c r="P1451" s="15" t="s">
        <v>4747</v>
      </c>
      <c r="Q1451" s="15" t="s">
        <v>4749</v>
      </c>
      <c r="R1451" s="15"/>
      <c r="S1451" s="15"/>
      <c r="T1451" s="15" t="s">
        <v>4672</v>
      </c>
    </row>
    <row r="1452" spans="1:20" x14ac:dyDescent="0.35">
      <c r="A1452" s="2" t="s">
        <v>2888</v>
      </c>
      <c r="B1452" s="2" t="s">
        <v>2889</v>
      </c>
      <c r="C1452" s="2" t="s">
        <v>56</v>
      </c>
      <c r="D1452" s="2">
        <v>0</v>
      </c>
      <c r="E1452" s="2" t="s">
        <v>57</v>
      </c>
      <c r="F1452" s="2">
        <v>0</v>
      </c>
      <c r="G1452" s="22">
        <f>Table4[[#This Row],[Item Cost]]*Table4[[#This Row],[In Stock]]</f>
        <v>0</v>
      </c>
      <c r="H1452" s="12" t="s">
        <v>4661</v>
      </c>
      <c r="I1452" s="13" t="s">
        <v>4668</v>
      </c>
      <c r="J1452" s="13" t="s">
        <v>4672</v>
      </c>
      <c r="K1452" s="13" t="s">
        <v>4672</v>
      </c>
      <c r="L1452" s="12" t="s">
        <v>4672</v>
      </c>
      <c r="M1452" s="17">
        <f>IF(LEN(COUNTIFS($H$1:H1452,$H1452,$I$1:I1452,$I1452,$J$1:J1452,$J1452,$K$1:K1452,K1452,$L$1:L1452,L1452))=1,"00"&amp;COUNTIFS($H$1:H1452,$H1452,$I$1:I1452,$I1452,$J$1:J1452,$J1452,$K$1:K1452,K1452,$L$1:L1452,L1452),IF(LEN(COUNTIFS($H$1:H1452,$H1452,$I$1:I1452,$I1452,$J$1:J1452,$J1452,$K$1:K1452,K1452,$L$1:L1452,L1452))=2,"0"&amp;COUNTIFS($H$1:H1452,$H1452,$I$1:I1452,$I1452,$J$1:J1452,$J1452,$K$1:K1452,K1452,$L$1:L1452,L1452),COUNTIFS($H$1:H1452,$H1452,$I$1:I1452,$I1452,$J$1:J1452,$J1452,$K$1:K1452,K1452,$L$1:L1452,L1452)))</f>
        <v>198</v>
      </c>
      <c r="N145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52" s="14" t="e">
        <f>+LEN(Table4[[#This Row],[New Item Code]])</f>
        <v>#N/A</v>
      </c>
      <c r="P1452" s="15" t="s">
        <v>4747</v>
      </c>
      <c r="Q1452" s="15" t="s">
        <v>4749</v>
      </c>
      <c r="R1452" s="15"/>
      <c r="S1452" s="15"/>
      <c r="T1452" s="15" t="s">
        <v>4672</v>
      </c>
    </row>
    <row r="1453" spans="1:20" x14ac:dyDescent="0.35">
      <c r="A1453" s="3" t="s">
        <v>2890</v>
      </c>
      <c r="B1453" s="3" t="s">
        <v>2891</v>
      </c>
      <c r="C1453" s="3" t="s">
        <v>56</v>
      </c>
      <c r="D1453" s="3">
        <v>0</v>
      </c>
      <c r="E1453" s="3" t="s">
        <v>57</v>
      </c>
      <c r="F1453" s="3">
        <v>0</v>
      </c>
      <c r="G1453" s="21">
        <f>Table4[[#This Row],[Item Cost]]*Table4[[#This Row],[In Stock]]</f>
        <v>0</v>
      </c>
      <c r="H1453" s="12" t="s">
        <v>4661</v>
      </c>
      <c r="I1453" s="13" t="s">
        <v>4668</v>
      </c>
      <c r="J1453" s="13" t="s">
        <v>4672</v>
      </c>
      <c r="K1453" s="13" t="s">
        <v>4672</v>
      </c>
      <c r="L1453" s="12" t="s">
        <v>4672</v>
      </c>
      <c r="M1453" s="17">
        <f>IF(LEN(COUNTIFS($H$1:H1453,$H1453,$I$1:I1453,$I1453,$J$1:J1453,$J1453,$K$1:K1453,K1453,$L$1:L1453,L1453))=1,"00"&amp;COUNTIFS($H$1:H1453,$H1453,$I$1:I1453,$I1453,$J$1:J1453,$J1453,$K$1:K1453,K1453,$L$1:L1453,L1453),IF(LEN(COUNTIFS($H$1:H1453,$H1453,$I$1:I1453,$I1453,$J$1:J1453,$J1453,$K$1:K1453,K1453,$L$1:L1453,L1453))=2,"0"&amp;COUNTIFS($H$1:H1453,$H1453,$I$1:I1453,$I1453,$J$1:J1453,$J1453,$K$1:K1453,K1453,$L$1:L1453,L1453),COUNTIFS($H$1:H1453,$H1453,$I$1:I1453,$I1453,$J$1:J1453,$J1453,$K$1:K1453,K1453,$L$1:L1453,L1453)))</f>
        <v>199</v>
      </c>
      <c r="N145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53" s="14" t="e">
        <f>+LEN(Table4[[#This Row],[New Item Code]])</f>
        <v>#N/A</v>
      </c>
      <c r="P1453" s="15" t="s">
        <v>4747</v>
      </c>
      <c r="Q1453" s="15" t="s">
        <v>4749</v>
      </c>
      <c r="R1453" s="15"/>
      <c r="S1453" s="15"/>
      <c r="T1453" s="15" t="s">
        <v>4672</v>
      </c>
    </row>
    <row r="1454" spans="1:20" x14ac:dyDescent="0.35">
      <c r="A1454" s="2" t="s">
        <v>2892</v>
      </c>
      <c r="B1454" s="2" t="s">
        <v>2893</v>
      </c>
      <c r="C1454" s="2" t="s">
        <v>56</v>
      </c>
      <c r="D1454" s="2">
        <v>0</v>
      </c>
      <c r="E1454" s="2" t="s">
        <v>57</v>
      </c>
      <c r="F1454" s="2">
        <v>0</v>
      </c>
      <c r="G1454" s="22">
        <f>Table4[[#This Row],[Item Cost]]*Table4[[#This Row],[In Stock]]</f>
        <v>0</v>
      </c>
      <c r="H1454" s="12" t="s">
        <v>4661</v>
      </c>
      <c r="I1454" s="13" t="s">
        <v>4668</v>
      </c>
      <c r="J1454" s="13" t="s">
        <v>4672</v>
      </c>
      <c r="K1454" s="13" t="s">
        <v>4672</v>
      </c>
      <c r="L1454" s="12" t="s">
        <v>4672</v>
      </c>
      <c r="M1454" s="17">
        <f>IF(LEN(COUNTIFS($H$1:H1454,$H1454,$I$1:I1454,$I1454,$J$1:J1454,$J1454,$K$1:K1454,K1454,$L$1:L1454,L1454))=1,"00"&amp;COUNTIFS($H$1:H1454,$H1454,$I$1:I1454,$I1454,$J$1:J1454,$J1454,$K$1:K1454,K1454,$L$1:L1454,L1454),IF(LEN(COUNTIFS($H$1:H1454,$H1454,$I$1:I1454,$I1454,$J$1:J1454,$J1454,$K$1:K1454,K1454,$L$1:L1454,L1454))=2,"0"&amp;COUNTIFS($H$1:H1454,$H1454,$I$1:I1454,$I1454,$J$1:J1454,$J1454,$K$1:K1454,K1454,$L$1:L1454,L1454),COUNTIFS($H$1:H1454,$H1454,$I$1:I1454,$I1454,$J$1:J1454,$J1454,$K$1:K1454,K1454,$L$1:L1454,L1454)))</f>
        <v>200</v>
      </c>
      <c r="N145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54" s="14" t="e">
        <f>+LEN(Table4[[#This Row],[New Item Code]])</f>
        <v>#N/A</v>
      </c>
      <c r="P1454" s="15" t="s">
        <v>4747</v>
      </c>
      <c r="Q1454" s="15" t="s">
        <v>4749</v>
      </c>
      <c r="R1454" s="15"/>
      <c r="S1454" s="15"/>
      <c r="T1454" s="15" t="s">
        <v>4672</v>
      </c>
    </row>
    <row r="1455" spans="1:20" x14ac:dyDescent="0.35">
      <c r="A1455" s="3" t="s">
        <v>2894</v>
      </c>
      <c r="B1455" s="3" t="s">
        <v>2895</v>
      </c>
      <c r="C1455" s="3" t="s">
        <v>56</v>
      </c>
      <c r="D1455" s="3">
        <v>0</v>
      </c>
      <c r="E1455" s="3" t="s">
        <v>57</v>
      </c>
      <c r="F1455" s="3">
        <v>0</v>
      </c>
      <c r="G1455" s="21">
        <f>Table4[[#This Row],[Item Cost]]*Table4[[#This Row],[In Stock]]</f>
        <v>0</v>
      </c>
      <c r="H1455" s="12" t="s">
        <v>4661</v>
      </c>
      <c r="I1455" s="13" t="s">
        <v>4668</v>
      </c>
      <c r="J1455" s="13" t="s">
        <v>4672</v>
      </c>
      <c r="K1455" s="13" t="s">
        <v>4672</v>
      </c>
      <c r="L1455" s="12" t="s">
        <v>4672</v>
      </c>
      <c r="M1455" s="17">
        <f>IF(LEN(COUNTIFS($H$1:H1455,$H1455,$I$1:I1455,$I1455,$J$1:J1455,$J1455,$K$1:K1455,K1455,$L$1:L1455,L1455))=1,"00"&amp;COUNTIFS($H$1:H1455,$H1455,$I$1:I1455,$I1455,$J$1:J1455,$J1455,$K$1:K1455,K1455,$L$1:L1455,L1455),IF(LEN(COUNTIFS($H$1:H1455,$H1455,$I$1:I1455,$I1455,$J$1:J1455,$J1455,$K$1:K1455,K1455,$L$1:L1455,L1455))=2,"0"&amp;COUNTIFS($H$1:H1455,$H1455,$I$1:I1455,$I1455,$J$1:J1455,$J1455,$K$1:K1455,K1455,$L$1:L1455,L1455),COUNTIFS($H$1:H1455,$H1455,$I$1:I1455,$I1455,$J$1:J1455,$J1455,$K$1:K1455,K1455,$L$1:L1455,L1455)))</f>
        <v>201</v>
      </c>
      <c r="N145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55" s="14" t="e">
        <f>+LEN(Table4[[#This Row],[New Item Code]])</f>
        <v>#N/A</v>
      </c>
      <c r="P1455" s="15" t="s">
        <v>4747</v>
      </c>
      <c r="Q1455" s="15" t="s">
        <v>4749</v>
      </c>
      <c r="R1455" s="15"/>
      <c r="S1455" s="15"/>
      <c r="T1455" s="15" t="s">
        <v>4672</v>
      </c>
    </row>
    <row r="1456" spans="1:20" x14ac:dyDescent="0.35">
      <c r="A1456" s="2" t="s">
        <v>2896</v>
      </c>
      <c r="B1456" s="2" t="s">
        <v>2897</v>
      </c>
      <c r="C1456" s="2" t="s">
        <v>56</v>
      </c>
      <c r="D1456" s="2">
        <v>0</v>
      </c>
      <c r="E1456" s="2" t="s">
        <v>57</v>
      </c>
      <c r="F1456" s="2">
        <v>0</v>
      </c>
      <c r="G1456" s="22">
        <f>Table4[[#This Row],[Item Cost]]*Table4[[#This Row],[In Stock]]</f>
        <v>0</v>
      </c>
      <c r="H1456" s="12" t="s">
        <v>4661</v>
      </c>
      <c r="I1456" s="13" t="s">
        <v>4668</v>
      </c>
      <c r="J1456" s="13" t="s">
        <v>4672</v>
      </c>
      <c r="K1456" t="s">
        <v>4797</v>
      </c>
      <c r="L1456" s="12" t="s">
        <v>4672</v>
      </c>
      <c r="M1456" s="17" t="str">
        <f>IF(LEN(COUNTIFS($H$1:H1456,$H1456,$I$1:I1456,$I1456,$J$1:J1456,$J1456,$K$1:K1456,K1456,$L$1:L1456,L1456))=1,"00"&amp;COUNTIFS($H$1:H1456,$H1456,$I$1:I1456,$I1456,$J$1:J1456,$J1456,$K$1:K1456,K1456,$L$1:L1456,L1456),IF(LEN(COUNTIFS($H$1:H1456,$H1456,$I$1:I1456,$I1456,$J$1:J1456,$J1456,$K$1:K1456,K1456,$L$1:L1456,L1456))=2,"0"&amp;COUNTIFS($H$1:H1456,$H1456,$I$1:I1456,$I1456,$J$1:J1456,$J1456,$K$1:K1456,K1456,$L$1:L1456,L1456),COUNTIFS($H$1:H1456,$H1456,$I$1:I1456,$I1456,$J$1:J1456,$J1456,$K$1:K1456,K1456,$L$1:L1456,L1456)))</f>
        <v>001</v>
      </c>
      <c r="N145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56" s="14" t="e">
        <f>+LEN(Table4[[#This Row],[New Item Code]])</f>
        <v>#N/A</v>
      </c>
      <c r="P1456" s="15" t="s">
        <v>4747</v>
      </c>
      <c r="Q1456" s="15" t="s">
        <v>4749</v>
      </c>
      <c r="R1456" s="15"/>
      <c r="S1456" s="15"/>
      <c r="T1456" s="15" t="s">
        <v>4672</v>
      </c>
    </row>
    <row r="1457" spans="1:20" x14ac:dyDescent="0.35">
      <c r="A1457" s="3" t="s">
        <v>2898</v>
      </c>
      <c r="B1457" s="3" t="s">
        <v>2899</v>
      </c>
      <c r="C1457" s="3" t="s">
        <v>56</v>
      </c>
      <c r="D1457" s="3">
        <v>0</v>
      </c>
      <c r="E1457" s="3" t="s">
        <v>57</v>
      </c>
      <c r="F1457" s="3">
        <v>0</v>
      </c>
      <c r="G1457" s="21">
        <f>Table4[[#This Row],[Item Cost]]*Table4[[#This Row],[In Stock]]</f>
        <v>0</v>
      </c>
      <c r="H1457" s="12" t="s">
        <v>4661</v>
      </c>
      <c r="I1457" s="13" t="s">
        <v>4668</v>
      </c>
      <c r="J1457" s="13" t="s">
        <v>4672</v>
      </c>
      <c r="K1457" s="13" t="s">
        <v>4672</v>
      </c>
      <c r="L1457" s="12" t="s">
        <v>4672</v>
      </c>
      <c r="M1457" s="17">
        <f>IF(LEN(COUNTIFS($H$1:H1457,$H1457,$I$1:I1457,$I1457,$J$1:J1457,$J1457,$K$1:K1457,K1457,$L$1:L1457,L1457))=1,"00"&amp;COUNTIFS($H$1:H1457,$H1457,$I$1:I1457,$I1457,$J$1:J1457,$J1457,$K$1:K1457,K1457,$L$1:L1457,L1457),IF(LEN(COUNTIFS($H$1:H1457,$H1457,$I$1:I1457,$I1457,$J$1:J1457,$J1457,$K$1:K1457,K1457,$L$1:L1457,L1457))=2,"0"&amp;COUNTIFS($H$1:H1457,$H1457,$I$1:I1457,$I1457,$J$1:J1457,$J1457,$K$1:K1457,K1457,$L$1:L1457,L1457),COUNTIFS($H$1:H1457,$H1457,$I$1:I1457,$I1457,$J$1:J1457,$J1457,$K$1:K1457,K1457,$L$1:L1457,L1457)))</f>
        <v>202</v>
      </c>
      <c r="N145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57" s="14" t="e">
        <f>+LEN(Table4[[#This Row],[New Item Code]])</f>
        <v>#N/A</v>
      </c>
      <c r="P1457" s="15" t="s">
        <v>4747</v>
      </c>
      <c r="Q1457" s="15" t="s">
        <v>4749</v>
      </c>
      <c r="R1457" s="15"/>
      <c r="S1457" s="15"/>
      <c r="T1457" s="15" t="s">
        <v>4672</v>
      </c>
    </row>
    <row r="1458" spans="1:20" x14ac:dyDescent="0.35">
      <c r="A1458" s="2" t="s">
        <v>2900</v>
      </c>
      <c r="B1458" s="2" t="s">
        <v>2901</v>
      </c>
      <c r="C1458" s="2" t="s">
        <v>56</v>
      </c>
      <c r="D1458" s="2">
        <v>0</v>
      </c>
      <c r="E1458" s="2" t="s">
        <v>57</v>
      </c>
      <c r="F1458" s="2">
        <v>0</v>
      </c>
      <c r="G1458" s="22">
        <f>Table4[[#This Row],[Item Cost]]*Table4[[#This Row],[In Stock]]</f>
        <v>0</v>
      </c>
      <c r="H1458" s="12" t="s">
        <v>4661</v>
      </c>
      <c r="I1458" s="13" t="s">
        <v>4668</v>
      </c>
      <c r="J1458" s="13" t="s">
        <v>4672</v>
      </c>
      <c r="K1458" s="13" t="s">
        <v>4672</v>
      </c>
      <c r="L1458" s="12" t="s">
        <v>4672</v>
      </c>
      <c r="M1458" s="17">
        <f>IF(LEN(COUNTIFS($H$1:H1458,$H1458,$I$1:I1458,$I1458,$J$1:J1458,$J1458,$K$1:K1458,K1458,$L$1:L1458,L1458))=1,"00"&amp;COUNTIFS($H$1:H1458,$H1458,$I$1:I1458,$I1458,$J$1:J1458,$J1458,$K$1:K1458,K1458,$L$1:L1458,L1458),IF(LEN(COUNTIFS($H$1:H1458,$H1458,$I$1:I1458,$I1458,$J$1:J1458,$J1458,$K$1:K1458,K1458,$L$1:L1458,L1458))=2,"0"&amp;COUNTIFS($H$1:H1458,$H1458,$I$1:I1458,$I1458,$J$1:J1458,$J1458,$K$1:K1458,K1458,$L$1:L1458,L1458),COUNTIFS($H$1:H1458,$H1458,$I$1:I1458,$I1458,$J$1:J1458,$J1458,$K$1:K1458,K1458,$L$1:L1458,L1458)))</f>
        <v>203</v>
      </c>
      <c r="N145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58" s="14" t="e">
        <f>+LEN(Table4[[#This Row],[New Item Code]])</f>
        <v>#N/A</v>
      </c>
      <c r="P1458" s="15" t="s">
        <v>4747</v>
      </c>
      <c r="Q1458" s="15" t="s">
        <v>4749</v>
      </c>
      <c r="R1458" s="15"/>
      <c r="S1458" s="15"/>
      <c r="T1458" s="15" t="s">
        <v>4672</v>
      </c>
    </row>
    <row r="1459" spans="1:20" x14ac:dyDescent="0.35">
      <c r="A1459" s="3" t="s">
        <v>2902</v>
      </c>
      <c r="B1459" s="3" t="s">
        <v>2903</v>
      </c>
      <c r="C1459" s="3" t="s">
        <v>56</v>
      </c>
      <c r="D1459" s="3">
        <v>0</v>
      </c>
      <c r="E1459" s="3" t="s">
        <v>57</v>
      </c>
      <c r="F1459" s="3">
        <v>0</v>
      </c>
      <c r="G1459" s="21">
        <f>Table4[[#This Row],[Item Cost]]*Table4[[#This Row],[In Stock]]</f>
        <v>0</v>
      </c>
      <c r="H1459" s="12" t="s">
        <v>4661</v>
      </c>
      <c r="I1459" s="13" t="s">
        <v>4668</v>
      </c>
      <c r="J1459" s="13" t="s">
        <v>4672</v>
      </c>
      <c r="K1459" s="13" t="s">
        <v>4672</v>
      </c>
      <c r="L1459" s="12" t="s">
        <v>4672</v>
      </c>
      <c r="M1459" s="17">
        <f>IF(LEN(COUNTIFS($H$1:H1459,$H1459,$I$1:I1459,$I1459,$J$1:J1459,$J1459,$K$1:K1459,K1459,$L$1:L1459,L1459))=1,"00"&amp;COUNTIFS($H$1:H1459,$H1459,$I$1:I1459,$I1459,$J$1:J1459,$J1459,$K$1:K1459,K1459,$L$1:L1459,L1459),IF(LEN(COUNTIFS($H$1:H1459,$H1459,$I$1:I1459,$I1459,$J$1:J1459,$J1459,$K$1:K1459,K1459,$L$1:L1459,L1459))=2,"0"&amp;COUNTIFS($H$1:H1459,$H1459,$I$1:I1459,$I1459,$J$1:J1459,$J1459,$K$1:K1459,K1459,$L$1:L1459,L1459),COUNTIFS($H$1:H1459,$H1459,$I$1:I1459,$I1459,$J$1:J1459,$J1459,$K$1:K1459,K1459,$L$1:L1459,L1459)))</f>
        <v>204</v>
      </c>
      <c r="N145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59" s="14" t="e">
        <f>+LEN(Table4[[#This Row],[New Item Code]])</f>
        <v>#N/A</v>
      </c>
      <c r="P1459" s="15" t="s">
        <v>4747</v>
      </c>
      <c r="Q1459" s="15" t="s">
        <v>4749</v>
      </c>
      <c r="R1459" s="15"/>
      <c r="S1459" s="15"/>
      <c r="T1459" s="15" t="s">
        <v>4672</v>
      </c>
    </row>
    <row r="1460" spans="1:20" x14ac:dyDescent="0.35">
      <c r="A1460" s="2" t="s">
        <v>2904</v>
      </c>
      <c r="B1460" s="2" t="s">
        <v>2905</v>
      </c>
      <c r="C1460" s="2" t="s">
        <v>56</v>
      </c>
      <c r="D1460" s="2">
        <v>0</v>
      </c>
      <c r="E1460" s="2" t="s">
        <v>57</v>
      </c>
      <c r="F1460" s="2">
        <v>0</v>
      </c>
      <c r="G1460" s="22">
        <f>Table4[[#This Row],[Item Cost]]*Table4[[#This Row],[In Stock]]</f>
        <v>0</v>
      </c>
      <c r="H1460" s="12" t="s">
        <v>4661</v>
      </c>
      <c r="I1460" s="13" t="s">
        <v>4668</v>
      </c>
      <c r="J1460" s="13" t="s">
        <v>4672</v>
      </c>
      <c r="K1460" s="13" t="s">
        <v>4672</v>
      </c>
      <c r="L1460" s="12" t="s">
        <v>4672</v>
      </c>
      <c r="M1460" s="17">
        <f>IF(LEN(COUNTIFS($H$1:H1460,$H1460,$I$1:I1460,$I1460,$J$1:J1460,$J1460,$K$1:K1460,K1460,$L$1:L1460,L1460))=1,"00"&amp;COUNTIFS($H$1:H1460,$H1460,$I$1:I1460,$I1460,$J$1:J1460,$J1460,$K$1:K1460,K1460,$L$1:L1460,L1460),IF(LEN(COUNTIFS($H$1:H1460,$H1460,$I$1:I1460,$I1460,$J$1:J1460,$J1460,$K$1:K1460,K1460,$L$1:L1460,L1460))=2,"0"&amp;COUNTIFS($H$1:H1460,$H1460,$I$1:I1460,$I1460,$J$1:J1460,$J1460,$K$1:K1460,K1460,$L$1:L1460,L1460),COUNTIFS($H$1:H1460,$H1460,$I$1:I1460,$I1460,$J$1:J1460,$J1460,$K$1:K1460,K1460,$L$1:L1460,L1460)))</f>
        <v>205</v>
      </c>
      <c r="N146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60" s="14" t="e">
        <f>+LEN(Table4[[#This Row],[New Item Code]])</f>
        <v>#N/A</v>
      </c>
      <c r="P1460" s="15" t="s">
        <v>4747</v>
      </c>
      <c r="Q1460" s="15" t="s">
        <v>4749</v>
      </c>
      <c r="R1460" s="15"/>
      <c r="S1460" s="15"/>
      <c r="T1460" s="15" t="s">
        <v>4672</v>
      </c>
    </row>
    <row r="1461" spans="1:20" x14ac:dyDescent="0.35">
      <c r="A1461" s="3" t="s">
        <v>2906</v>
      </c>
      <c r="B1461" s="3" t="s">
        <v>2907</v>
      </c>
      <c r="C1461" s="3" t="s">
        <v>56</v>
      </c>
      <c r="D1461" s="3">
        <v>0</v>
      </c>
      <c r="E1461" s="3" t="s">
        <v>57</v>
      </c>
      <c r="F1461" s="3">
        <v>0</v>
      </c>
      <c r="G1461" s="21">
        <f>Table4[[#This Row],[Item Cost]]*Table4[[#This Row],[In Stock]]</f>
        <v>0</v>
      </c>
      <c r="H1461" s="12" t="s">
        <v>4661</v>
      </c>
      <c r="I1461" s="13" t="s">
        <v>4668</v>
      </c>
      <c r="J1461" s="13" t="s">
        <v>4672</v>
      </c>
      <c r="K1461" s="13" t="s">
        <v>4672</v>
      </c>
      <c r="L1461" s="12" t="s">
        <v>4672</v>
      </c>
      <c r="M1461" s="17">
        <f>IF(LEN(COUNTIFS($H$1:H1461,$H1461,$I$1:I1461,$I1461,$J$1:J1461,$J1461,$K$1:K1461,K1461,$L$1:L1461,L1461))=1,"00"&amp;COUNTIFS($H$1:H1461,$H1461,$I$1:I1461,$I1461,$J$1:J1461,$J1461,$K$1:K1461,K1461,$L$1:L1461,L1461),IF(LEN(COUNTIFS($H$1:H1461,$H1461,$I$1:I1461,$I1461,$J$1:J1461,$J1461,$K$1:K1461,K1461,$L$1:L1461,L1461))=2,"0"&amp;COUNTIFS($H$1:H1461,$H1461,$I$1:I1461,$I1461,$J$1:J1461,$J1461,$K$1:K1461,K1461,$L$1:L1461,L1461),COUNTIFS($H$1:H1461,$H1461,$I$1:I1461,$I1461,$J$1:J1461,$J1461,$K$1:K1461,K1461,$L$1:L1461,L1461)))</f>
        <v>206</v>
      </c>
      <c r="N146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61" s="14" t="e">
        <f>+LEN(Table4[[#This Row],[New Item Code]])</f>
        <v>#N/A</v>
      </c>
      <c r="P1461" s="15" t="s">
        <v>4747</v>
      </c>
      <c r="Q1461" s="15" t="s">
        <v>4749</v>
      </c>
      <c r="R1461" s="15"/>
      <c r="S1461" s="15"/>
      <c r="T1461" s="15" t="s">
        <v>4672</v>
      </c>
    </row>
    <row r="1462" spans="1:20" x14ac:dyDescent="0.35">
      <c r="A1462" s="2" t="s">
        <v>2908</v>
      </c>
      <c r="B1462" s="2" t="s">
        <v>2909</v>
      </c>
      <c r="C1462" s="2" t="s">
        <v>56</v>
      </c>
      <c r="D1462" s="2">
        <v>0</v>
      </c>
      <c r="E1462" s="2" t="s">
        <v>57</v>
      </c>
      <c r="F1462" s="2">
        <v>0</v>
      </c>
      <c r="G1462" s="22">
        <f>Table4[[#This Row],[Item Cost]]*Table4[[#This Row],[In Stock]]</f>
        <v>0</v>
      </c>
      <c r="H1462" s="12" t="s">
        <v>4661</v>
      </c>
      <c r="I1462" s="13" t="s">
        <v>4668</v>
      </c>
      <c r="J1462" s="13" t="s">
        <v>4672</v>
      </c>
      <c r="K1462" s="13" t="s">
        <v>4672</v>
      </c>
      <c r="L1462" s="12" t="s">
        <v>4672</v>
      </c>
      <c r="M1462" s="17">
        <f>IF(LEN(COUNTIFS($H$1:H1462,$H1462,$I$1:I1462,$I1462,$J$1:J1462,$J1462,$K$1:K1462,K1462,$L$1:L1462,L1462))=1,"00"&amp;COUNTIFS($H$1:H1462,$H1462,$I$1:I1462,$I1462,$J$1:J1462,$J1462,$K$1:K1462,K1462,$L$1:L1462,L1462),IF(LEN(COUNTIFS($H$1:H1462,$H1462,$I$1:I1462,$I1462,$J$1:J1462,$J1462,$K$1:K1462,K1462,$L$1:L1462,L1462))=2,"0"&amp;COUNTIFS($H$1:H1462,$H1462,$I$1:I1462,$I1462,$J$1:J1462,$J1462,$K$1:K1462,K1462,$L$1:L1462,L1462),COUNTIFS($H$1:H1462,$H1462,$I$1:I1462,$I1462,$J$1:J1462,$J1462,$K$1:K1462,K1462,$L$1:L1462,L1462)))</f>
        <v>207</v>
      </c>
      <c r="N146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62" s="14" t="e">
        <f>+LEN(Table4[[#This Row],[New Item Code]])</f>
        <v>#N/A</v>
      </c>
      <c r="P1462" s="15" t="s">
        <v>4747</v>
      </c>
      <c r="Q1462" s="15" t="s">
        <v>4749</v>
      </c>
      <c r="R1462" s="15"/>
      <c r="S1462" s="15"/>
      <c r="T1462" s="15" t="s">
        <v>4672</v>
      </c>
    </row>
    <row r="1463" spans="1:20" x14ac:dyDescent="0.35">
      <c r="A1463" s="3" t="s">
        <v>2910</v>
      </c>
      <c r="B1463" s="3" t="s">
        <v>2911</v>
      </c>
      <c r="C1463" s="3" t="s">
        <v>56</v>
      </c>
      <c r="D1463" s="3">
        <v>0</v>
      </c>
      <c r="E1463" s="3" t="s">
        <v>57</v>
      </c>
      <c r="F1463" s="3">
        <v>0</v>
      </c>
      <c r="G1463" s="21">
        <f>Table4[[#This Row],[Item Cost]]*Table4[[#This Row],[In Stock]]</f>
        <v>0</v>
      </c>
      <c r="H1463" s="12" t="s">
        <v>4661</v>
      </c>
      <c r="I1463" s="13" t="s">
        <v>4668</v>
      </c>
      <c r="J1463" s="13" t="s">
        <v>4672</v>
      </c>
      <c r="K1463" s="13" t="s">
        <v>4672</v>
      </c>
      <c r="L1463" s="12" t="s">
        <v>4672</v>
      </c>
      <c r="M1463" s="17">
        <f>IF(LEN(COUNTIFS($H$1:H1463,$H1463,$I$1:I1463,$I1463,$J$1:J1463,$J1463,$K$1:K1463,K1463,$L$1:L1463,L1463))=1,"00"&amp;COUNTIFS($H$1:H1463,$H1463,$I$1:I1463,$I1463,$J$1:J1463,$J1463,$K$1:K1463,K1463,$L$1:L1463,L1463),IF(LEN(COUNTIFS($H$1:H1463,$H1463,$I$1:I1463,$I1463,$J$1:J1463,$J1463,$K$1:K1463,K1463,$L$1:L1463,L1463))=2,"0"&amp;COUNTIFS($H$1:H1463,$H1463,$I$1:I1463,$I1463,$J$1:J1463,$J1463,$K$1:K1463,K1463,$L$1:L1463,L1463),COUNTIFS($H$1:H1463,$H1463,$I$1:I1463,$I1463,$J$1:J1463,$J1463,$K$1:K1463,K1463,$L$1:L1463,L1463)))</f>
        <v>208</v>
      </c>
      <c r="N146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63" s="14" t="e">
        <f>+LEN(Table4[[#This Row],[New Item Code]])</f>
        <v>#N/A</v>
      </c>
      <c r="P1463" s="15" t="s">
        <v>4747</v>
      </c>
      <c r="Q1463" s="15" t="s">
        <v>4749</v>
      </c>
      <c r="R1463" s="15"/>
      <c r="S1463" s="15"/>
      <c r="T1463" s="15" t="s">
        <v>4672</v>
      </c>
    </row>
    <row r="1464" spans="1:20" x14ac:dyDescent="0.35">
      <c r="A1464" s="2" t="s">
        <v>2912</v>
      </c>
      <c r="B1464" s="2" t="s">
        <v>2913</v>
      </c>
      <c r="C1464" s="2" t="s">
        <v>56</v>
      </c>
      <c r="D1464" s="2">
        <v>0</v>
      </c>
      <c r="E1464" s="2" t="s">
        <v>57</v>
      </c>
      <c r="F1464" s="2">
        <v>0</v>
      </c>
      <c r="G1464" s="22">
        <f>Table4[[#This Row],[Item Cost]]*Table4[[#This Row],[In Stock]]</f>
        <v>0</v>
      </c>
      <c r="H1464" s="12" t="s">
        <v>4661</v>
      </c>
      <c r="I1464" s="13" t="s">
        <v>4668</v>
      </c>
      <c r="J1464" s="13" t="s">
        <v>4672</v>
      </c>
      <c r="K1464" s="13" t="s">
        <v>4672</v>
      </c>
      <c r="L1464" s="12" t="s">
        <v>4672</v>
      </c>
      <c r="M1464" s="17">
        <f>IF(LEN(COUNTIFS($H$1:H1464,$H1464,$I$1:I1464,$I1464,$J$1:J1464,$J1464,$K$1:K1464,K1464,$L$1:L1464,L1464))=1,"00"&amp;COUNTIFS($H$1:H1464,$H1464,$I$1:I1464,$I1464,$J$1:J1464,$J1464,$K$1:K1464,K1464,$L$1:L1464,L1464),IF(LEN(COUNTIFS($H$1:H1464,$H1464,$I$1:I1464,$I1464,$J$1:J1464,$J1464,$K$1:K1464,K1464,$L$1:L1464,L1464))=2,"0"&amp;COUNTIFS($H$1:H1464,$H1464,$I$1:I1464,$I1464,$J$1:J1464,$J1464,$K$1:K1464,K1464,$L$1:L1464,L1464),COUNTIFS($H$1:H1464,$H1464,$I$1:I1464,$I1464,$J$1:J1464,$J1464,$K$1:K1464,K1464,$L$1:L1464,L1464)))</f>
        <v>209</v>
      </c>
      <c r="N146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64" s="14" t="e">
        <f>+LEN(Table4[[#This Row],[New Item Code]])</f>
        <v>#N/A</v>
      </c>
      <c r="P1464" s="15" t="s">
        <v>4747</v>
      </c>
      <c r="Q1464" s="15" t="s">
        <v>4749</v>
      </c>
      <c r="R1464" s="15"/>
      <c r="S1464" s="15"/>
      <c r="T1464" s="15" t="s">
        <v>4672</v>
      </c>
    </row>
    <row r="1465" spans="1:20" x14ac:dyDescent="0.35">
      <c r="A1465" s="3" t="s">
        <v>2914</v>
      </c>
      <c r="B1465" s="3" t="s">
        <v>2915</v>
      </c>
      <c r="C1465" s="3" t="s">
        <v>56</v>
      </c>
      <c r="D1465" s="3">
        <v>0</v>
      </c>
      <c r="E1465" s="3" t="s">
        <v>57</v>
      </c>
      <c r="F1465" s="3">
        <v>0</v>
      </c>
      <c r="G1465" s="21">
        <f>Table4[[#This Row],[Item Cost]]*Table4[[#This Row],[In Stock]]</f>
        <v>0</v>
      </c>
      <c r="H1465" s="12" t="s">
        <v>4661</v>
      </c>
      <c r="I1465" s="13" t="s">
        <v>4668</v>
      </c>
      <c r="J1465" s="13" t="s">
        <v>4672</v>
      </c>
      <c r="K1465" s="13" t="s">
        <v>4672</v>
      </c>
      <c r="L1465" s="12" t="s">
        <v>4672</v>
      </c>
      <c r="M1465" s="17">
        <f>IF(LEN(COUNTIFS($H$1:H1465,$H1465,$I$1:I1465,$I1465,$J$1:J1465,$J1465,$K$1:K1465,K1465,$L$1:L1465,L1465))=1,"00"&amp;COUNTIFS($H$1:H1465,$H1465,$I$1:I1465,$I1465,$J$1:J1465,$J1465,$K$1:K1465,K1465,$L$1:L1465,L1465),IF(LEN(COUNTIFS($H$1:H1465,$H1465,$I$1:I1465,$I1465,$J$1:J1465,$J1465,$K$1:K1465,K1465,$L$1:L1465,L1465))=2,"0"&amp;COUNTIFS($H$1:H1465,$H1465,$I$1:I1465,$I1465,$J$1:J1465,$J1465,$K$1:K1465,K1465,$L$1:L1465,L1465),COUNTIFS($H$1:H1465,$H1465,$I$1:I1465,$I1465,$J$1:J1465,$J1465,$K$1:K1465,K1465,$L$1:L1465,L1465)))</f>
        <v>210</v>
      </c>
      <c r="N146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65" s="14" t="e">
        <f>+LEN(Table4[[#This Row],[New Item Code]])</f>
        <v>#N/A</v>
      </c>
      <c r="P1465" s="15" t="s">
        <v>4747</v>
      </c>
      <c r="Q1465" s="15" t="s">
        <v>4749</v>
      </c>
      <c r="R1465" s="15"/>
      <c r="S1465" s="15"/>
      <c r="T1465" s="15" t="s">
        <v>4672</v>
      </c>
    </row>
    <row r="1466" spans="1:20" x14ac:dyDescent="0.35">
      <c r="A1466" s="2" t="s">
        <v>2916</v>
      </c>
      <c r="B1466" s="2" t="s">
        <v>2917</v>
      </c>
      <c r="C1466" s="2" t="s">
        <v>56</v>
      </c>
      <c r="D1466" s="2">
        <v>0</v>
      </c>
      <c r="E1466" s="2" t="s">
        <v>57</v>
      </c>
      <c r="F1466" s="2">
        <v>0</v>
      </c>
      <c r="G1466" s="22">
        <f>Table4[[#This Row],[Item Cost]]*Table4[[#This Row],[In Stock]]</f>
        <v>0</v>
      </c>
      <c r="H1466" s="12" t="s">
        <v>4661</v>
      </c>
      <c r="I1466" s="13" t="s">
        <v>4668</v>
      </c>
      <c r="J1466" s="13" t="s">
        <v>4672</v>
      </c>
      <c r="K1466" s="13" t="s">
        <v>4672</v>
      </c>
      <c r="L1466" s="12" t="s">
        <v>4672</v>
      </c>
      <c r="M1466" s="17">
        <f>IF(LEN(COUNTIFS($H$1:H1466,$H1466,$I$1:I1466,$I1466,$J$1:J1466,$J1466,$K$1:K1466,K1466,$L$1:L1466,L1466))=1,"00"&amp;COUNTIFS($H$1:H1466,$H1466,$I$1:I1466,$I1466,$J$1:J1466,$J1466,$K$1:K1466,K1466,$L$1:L1466,L1466),IF(LEN(COUNTIFS($H$1:H1466,$H1466,$I$1:I1466,$I1466,$J$1:J1466,$J1466,$K$1:K1466,K1466,$L$1:L1466,L1466))=2,"0"&amp;COUNTIFS($H$1:H1466,$H1466,$I$1:I1466,$I1466,$J$1:J1466,$J1466,$K$1:K1466,K1466,$L$1:L1466,L1466),COUNTIFS($H$1:H1466,$H1466,$I$1:I1466,$I1466,$J$1:J1466,$J1466,$K$1:K1466,K1466,$L$1:L1466,L1466)))</f>
        <v>211</v>
      </c>
      <c r="N146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66" s="14" t="e">
        <f>+LEN(Table4[[#This Row],[New Item Code]])</f>
        <v>#N/A</v>
      </c>
      <c r="P1466" s="15" t="s">
        <v>4747</v>
      </c>
      <c r="Q1466" s="15" t="s">
        <v>4749</v>
      </c>
      <c r="R1466" s="15"/>
      <c r="S1466" s="15"/>
      <c r="T1466" s="15" t="s">
        <v>4672</v>
      </c>
    </row>
    <row r="1467" spans="1:20" x14ac:dyDescent="0.35">
      <c r="A1467" s="3" t="s">
        <v>2918</v>
      </c>
      <c r="B1467" s="3" t="s">
        <v>2919</v>
      </c>
      <c r="C1467" s="3" t="s">
        <v>56</v>
      </c>
      <c r="D1467" s="3">
        <v>0</v>
      </c>
      <c r="E1467" s="3" t="s">
        <v>57</v>
      </c>
      <c r="F1467" s="3">
        <v>0</v>
      </c>
      <c r="G1467" s="21">
        <f>Table4[[#This Row],[Item Cost]]*Table4[[#This Row],[In Stock]]</f>
        <v>0</v>
      </c>
      <c r="H1467" s="12" t="s">
        <v>4661</v>
      </c>
      <c r="I1467" s="13" t="s">
        <v>4668</v>
      </c>
      <c r="J1467" s="13" t="s">
        <v>4672</v>
      </c>
      <c r="K1467" s="13" t="s">
        <v>4672</v>
      </c>
      <c r="L1467" s="12" t="s">
        <v>4672</v>
      </c>
      <c r="M1467" s="17">
        <f>IF(LEN(COUNTIFS($H$1:H1467,$H1467,$I$1:I1467,$I1467,$J$1:J1467,$J1467,$K$1:K1467,K1467,$L$1:L1467,L1467))=1,"00"&amp;COUNTIFS($H$1:H1467,$H1467,$I$1:I1467,$I1467,$J$1:J1467,$J1467,$K$1:K1467,K1467,$L$1:L1467,L1467),IF(LEN(COUNTIFS($H$1:H1467,$H1467,$I$1:I1467,$I1467,$J$1:J1467,$J1467,$K$1:K1467,K1467,$L$1:L1467,L1467))=2,"0"&amp;COUNTIFS($H$1:H1467,$H1467,$I$1:I1467,$I1467,$J$1:J1467,$J1467,$K$1:K1467,K1467,$L$1:L1467,L1467),COUNTIFS($H$1:H1467,$H1467,$I$1:I1467,$I1467,$J$1:J1467,$J1467,$K$1:K1467,K1467,$L$1:L1467,L1467)))</f>
        <v>212</v>
      </c>
      <c r="N146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67" s="14" t="e">
        <f>+LEN(Table4[[#This Row],[New Item Code]])</f>
        <v>#N/A</v>
      </c>
      <c r="P1467" s="15" t="s">
        <v>4747</v>
      </c>
      <c r="Q1467" s="15" t="s">
        <v>4749</v>
      </c>
      <c r="R1467" s="15"/>
      <c r="S1467" s="15"/>
      <c r="T1467" s="15" t="s">
        <v>4672</v>
      </c>
    </row>
    <row r="1468" spans="1:20" x14ac:dyDescent="0.35">
      <c r="A1468" s="2" t="s">
        <v>2920</v>
      </c>
      <c r="B1468" s="2" t="s">
        <v>2921</v>
      </c>
      <c r="C1468" s="2" t="s">
        <v>56</v>
      </c>
      <c r="D1468" s="2">
        <v>0</v>
      </c>
      <c r="E1468" s="2" t="s">
        <v>57</v>
      </c>
      <c r="F1468" s="2">
        <v>0</v>
      </c>
      <c r="G1468" s="22">
        <f>Table4[[#This Row],[Item Cost]]*Table4[[#This Row],[In Stock]]</f>
        <v>0</v>
      </c>
      <c r="H1468" s="12" t="s">
        <v>4661</v>
      </c>
      <c r="I1468" s="13" t="s">
        <v>4668</v>
      </c>
      <c r="J1468" s="13" t="s">
        <v>4672</v>
      </c>
      <c r="K1468" s="13" t="s">
        <v>4672</v>
      </c>
      <c r="L1468" s="12" t="s">
        <v>4672</v>
      </c>
      <c r="M1468" s="17">
        <f>IF(LEN(COUNTIFS($H$1:H1468,$H1468,$I$1:I1468,$I1468,$J$1:J1468,$J1468,$K$1:K1468,K1468,$L$1:L1468,L1468))=1,"00"&amp;COUNTIFS($H$1:H1468,$H1468,$I$1:I1468,$I1468,$J$1:J1468,$J1468,$K$1:K1468,K1468,$L$1:L1468,L1468),IF(LEN(COUNTIFS($H$1:H1468,$H1468,$I$1:I1468,$I1468,$J$1:J1468,$J1468,$K$1:K1468,K1468,$L$1:L1468,L1468))=2,"0"&amp;COUNTIFS($H$1:H1468,$H1468,$I$1:I1468,$I1468,$J$1:J1468,$J1468,$K$1:K1468,K1468,$L$1:L1468,L1468),COUNTIFS($H$1:H1468,$H1468,$I$1:I1468,$I1468,$J$1:J1468,$J1468,$K$1:K1468,K1468,$L$1:L1468,L1468)))</f>
        <v>213</v>
      </c>
      <c r="N146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68" s="14" t="e">
        <f>+LEN(Table4[[#This Row],[New Item Code]])</f>
        <v>#N/A</v>
      </c>
      <c r="P1468" s="15" t="s">
        <v>4747</v>
      </c>
      <c r="Q1468" s="15" t="s">
        <v>4749</v>
      </c>
      <c r="R1468" s="15"/>
      <c r="S1468" s="15"/>
      <c r="T1468" s="15" t="s">
        <v>4672</v>
      </c>
    </row>
    <row r="1469" spans="1:20" x14ac:dyDescent="0.35">
      <c r="A1469" s="3" t="s">
        <v>2922</v>
      </c>
      <c r="B1469" s="3" t="s">
        <v>2923</v>
      </c>
      <c r="C1469" s="3" t="s">
        <v>56</v>
      </c>
      <c r="D1469" s="3">
        <v>0</v>
      </c>
      <c r="E1469" s="3" t="s">
        <v>57</v>
      </c>
      <c r="F1469" s="3">
        <v>0</v>
      </c>
      <c r="G1469" s="21">
        <f>Table4[[#This Row],[Item Cost]]*Table4[[#This Row],[In Stock]]</f>
        <v>0</v>
      </c>
      <c r="H1469" s="12" t="s">
        <v>4661</v>
      </c>
      <c r="I1469" s="13" t="s">
        <v>4668</v>
      </c>
      <c r="J1469" s="13" t="s">
        <v>4672</v>
      </c>
      <c r="K1469" s="13" t="s">
        <v>4672</v>
      </c>
      <c r="L1469" s="12" t="s">
        <v>4672</v>
      </c>
      <c r="M1469" s="17">
        <f>IF(LEN(COUNTIFS($H$1:H1469,$H1469,$I$1:I1469,$I1469,$J$1:J1469,$J1469,$K$1:K1469,K1469,$L$1:L1469,L1469))=1,"00"&amp;COUNTIFS($H$1:H1469,$H1469,$I$1:I1469,$I1469,$J$1:J1469,$J1469,$K$1:K1469,K1469,$L$1:L1469,L1469),IF(LEN(COUNTIFS($H$1:H1469,$H1469,$I$1:I1469,$I1469,$J$1:J1469,$J1469,$K$1:K1469,K1469,$L$1:L1469,L1469))=2,"0"&amp;COUNTIFS($H$1:H1469,$H1469,$I$1:I1469,$I1469,$J$1:J1469,$J1469,$K$1:K1469,K1469,$L$1:L1469,L1469),COUNTIFS($H$1:H1469,$H1469,$I$1:I1469,$I1469,$J$1:J1469,$J1469,$K$1:K1469,K1469,$L$1:L1469,L1469)))</f>
        <v>214</v>
      </c>
      <c r="N146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69" s="14" t="e">
        <f>+LEN(Table4[[#This Row],[New Item Code]])</f>
        <v>#N/A</v>
      </c>
      <c r="P1469" s="15" t="s">
        <v>4747</v>
      </c>
      <c r="Q1469" s="15" t="s">
        <v>4749</v>
      </c>
      <c r="R1469" s="15"/>
      <c r="S1469" s="15"/>
      <c r="T1469" s="15" t="s">
        <v>4672</v>
      </c>
    </row>
    <row r="1470" spans="1:20" x14ac:dyDescent="0.35">
      <c r="A1470" s="2" t="s">
        <v>2924</v>
      </c>
      <c r="B1470" s="2" t="s">
        <v>2925</v>
      </c>
      <c r="C1470" s="2" t="s">
        <v>56</v>
      </c>
      <c r="D1470" s="2">
        <v>0</v>
      </c>
      <c r="E1470" s="2" t="s">
        <v>57</v>
      </c>
      <c r="F1470" s="2">
        <v>0</v>
      </c>
      <c r="G1470" s="22">
        <f>Table4[[#This Row],[Item Cost]]*Table4[[#This Row],[In Stock]]</f>
        <v>0</v>
      </c>
      <c r="H1470" s="12" t="s">
        <v>4661</v>
      </c>
      <c r="I1470" s="13" t="s">
        <v>4668</v>
      </c>
      <c r="J1470" s="13" t="s">
        <v>4672</v>
      </c>
      <c r="K1470" s="13" t="s">
        <v>4672</v>
      </c>
      <c r="L1470" s="12" t="s">
        <v>4672</v>
      </c>
      <c r="M1470" s="17">
        <f>IF(LEN(COUNTIFS($H$1:H1470,$H1470,$I$1:I1470,$I1470,$J$1:J1470,$J1470,$K$1:K1470,K1470,$L$1:L1470,L1470))=1,"00"&amp;COUNTIFS($H$1:H1470,$H1470,$I$1:I1470,$I1470,$J$1:J1470,$J1470,$K$1:K1470,K1470,$L$1:L1470,L1470),IF(LEN(COUNTIFS($H$1:H1470,$H1470,$I$1:I1470,$I1470,$J$1:J1470,$J1470,$K$1:K1470,K1470,$L$1:L1470,L1470))=2,"0"&amp;COUNTIFS($H$1:H1470,$H1470,$I$1:I1470,$I1470,$J$1:J1470,$J1470,$K$1:K1470,K1470,$L$1:L1470,L1470),COUNTIFS($H$1:H1470,$H1470,$I$1:I1470,$I1470,$J$1:J1470,$J1470,$K$1:K1470,K1470,$L$1:L1470,L1470)))</f>
        <v>215</v>
      </c>
      <c r="N147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70" s="14" t="e">
        <f>+LEN(Table4[[#This Row],[New Item Code]])</f>
        <v>#N/A</v>
      </c>
      <c r="P1470" s="15" t="s">
        <v>4747</v>
      </c>
      <c r="Q1470" s="15" t="s">
        <v>4749</v>
      </c>
      <c r="R1470" s="15"/>
      <c r="S1470" s="15"/>
      <c r="T1470" s="15" t="s">
        <v>4672</v>
      </c>
    </row>
    <row r="1471" spans="1:20" x14ac:dyDescent="0.35">
      <c r="A1471" s="3" t="s">
        <v>2926</v>
      </c>
      <c r="B1471" s="3" t="s">
        <v>2927</v>
      </c>
      <c r="C1471" s="3" t="s">
        <v>56</v>
      </c>
      <c r="D1471" s="3">
        <v>0</v>
      </c>
      <c r="E1471" s="3" t="s">
        <v>57</v>
      </c>
      <c r="F1471" s="3">
        <v>0</v>
      </c>
      <c r="G1471" s="21">
        <f>Table4[[#This Row],[Item Cost]]*Table4[[#This Row],[In Stock]]</f>
        <v>0</v>
      </c>
      <c r="H1471" s="12" t="s">
        <v>4661</v>
      </c>
      <c r="I1471" s="13" t="s">
        <v>4668</v>
      </c>
      <c r="J1471" s="13" t="s">
        <v>4672</v>
      </c>
      <c r="K1471" s="13" t="s">
        <v>4672</v>
      </c>
      <c r="L1471" s="12" t="s">
        <v>4672</v>
      </c>
      <c r="M1471" s="17">
        <f>IF(LEN(COUNTIFS($H$1:H1471,$H1471,$I$1:I1471,$I1471,$J$1:J1471,$J1471,$K$1:K1471,K1471,$L$1:L1471,L1471))=1,"00"&amp;COUNTIFS($H$1:H1471,$H1471,$I$1:I1471,$I1471,$J$1:J1471,$J1471,$K$1:K1471,K1471,$L$1:L1471,L1471),IF(LEN(COUNTIFS($H$1:H1471,$H1471,$I$1:I1471,$I1471,$J$1:J1471,$J1471,$K$1:K1471,K1471,$L$1:L1471,L1471))=2,"0"&amp;COUNTIFS($H$1:H1471,$H1471,$I$1:I1471,$I1471,$J$1:J1471,$J1471,$K$1:K1471,K1471,$L$1:L1471,L1471),COUNTIFS($H$1:H1471,$H1471,$I$1:I1471,$I1471,$J$1:J1471,$J1471,$K$1:K1471,K1471,$L$1:L1471,L1471)))</f>
        <v>216</v>
      </c>
      <c r="N147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71" s="14" t="e">
        <f>+LEN(Table4[[#This Row],[New Item Code]])</f>
        <v>#N/A</v>
      </c>
      <c r="P1471" s="15" t="s">
        <v>4747</v>
      </c>
      <c r="Q1471" s="15" t="s">
        <v>4749</v>
      </c>
      <c r="R1471" s="15"/>
      <c r="S1471" s="15"/>
      <c r="T1471" s="15" t="s">
        <v>4672</v>
      </c>
    </row>
    <row r="1472" spans="1:20" x14ac:dyDescent="0.35">
      <c r="A1472" s="2" t="s">
        <v>2928</v>
      </c>
      <c r="B1472" s="2" t="s">
        <v>2929</v>
      </c>
      <c r="C1472" s="2" t="s">
        <v>56</v>
      </c>
      <c r="D1472" s="2">
        <v>0</v>
      </c>
      <c r="E1472" s="2" t="s">
        <v>57</v>
      </c>
      <c r="F1472" s="2">
        <v>0</v>
      </c>
      <c r="G1472" s="22">
        <f>Table4[[#This Row],[Item Cost]]*Table4[[#This Row],[In Stock]]</f>
        <v>0</v>
      </c>
      <c r="H1472" s="12" t="s">
        <v>4661</v>
      </c>
      <c r="I1472" s="13" t="s">
        <v>4668</v>
      </c>
      <c r="J1472" s="13" t="s">
        <v>4672</v>
      </c>
      <c r="K1472" s="13" t="s">
        <v>4672</v>
      </c>
      <c r="L1472" s="12" t="s">
        <v>4672</v>
      </c>
      <c r="M1472" s="17">
        <f>IF(LEN(COUNTIFS($H$1:H1472,$H1472,$I$1:I1472,$I1472,$J$1:J1472,$J1472,$K$1:K1472,K1472,$L$1:L1472,L1472))=1,"00"&amp;COUNTIFS($H$1:H1472,$H1472,$I$1:I1472,$I1472,$J$1:J1472,$J1472,$K$1:K1472,K1472,$L$1:L1472,L1472),IF(LEN(COUNTIFS($H$1:H1472,$H1472,$I$1:I1472,$I1472,$J$1:J1472,$J1472,$K$1:K1472,K1472,$L$1:L1472,L1472))=2,"0"&amp;COUNTIFS($H$1:H1472,$H1472,$I$1:I1472,$I1472,$J$1:J1472,$J1472,$K$1:K1472,K1472,$L$1:L1472,L1472),COUNTIFS($H$1:H1472,$H1472,$I$1:I1472,$I1472,$J$1:J1472,$J1472,$K$1:K1472,K1472,$L$1:L1472,L1472)))</f>
        <v>217</v>
      </c>
      <c r="N147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72" s="14" t="e">
        <f>+LEN(Table4[[#This Row],[New Item Code]])</f>
        <v>#N/A</v>
      </c>
      <c r="P1472" s="15" t="s">
        <v>4747</v>
      </c>
      <c r="Q1472" s="15" t="s">
        <v>4749</v>
      </c>
      <c r="R1472" s="15"/>
      <c r="S1472" s="15"/>
      <c r="T1472" s="15" t="s">
        <v>4672</v>
      </c>
    </row>
    <row r="1473" spans="1:20" x14ac:dyDescent="0.35">
      <c r="A1473" s="3" t="s">
        <v>2930</v>
      </c>
      <c r="B1473" s="3" t="s">
        <v>2931</v>
      </c>
      <c r="C1473" s="3" t="s">
        <v>56</v>
      </c>
      <c r="D1473" s="3">
        <v>0</v>
      </c>
      <c r="E1473" s="3" t="s">
        <v>57</v>
      </c>
      <c r="F1473" s="3">
        <v>0</v>
      </c>
      <c r="G1473" s="21">
        <f>Table4[[#This Row],[Item Cost]]*Table4[[#This Row],[In Stock]]</f>
        <v>0</v>
      </c>
      <c r="H1473" s="12" t="s">
        <v>4661</v>
      </c>
      <c r="I1473" s="13" t="s">
        <v>4668</v>
      </c>
      <c r="J1473" s="13" t="s">
        <v>4672</v>
      </c>
      <c r="K1473" s="13" t="s">
        <v>4672</v>
      </c>
      <c r="L1473" s="12" t="s">
        <v>4672</v>
      </c>
      <c r="M1473" s="17">
        <f>IF(LEN(COUNTIFS($H$1:H1473,$H1473,$I$1:I1473,$I1473,$J$1:J1473,$J1473,$K$1:K1473,K1473,$L$1:L1473,L1473))=1,"00"&amp;COUNTIFS($H$1:H1473,$H1473,$I$1:I1473,$I1473,$J$1:J1473,$J1473,$K$1:K1473,K1473,$L$1:L1473,L1473),IF(LEN(COUNTIFS($H$1:H1473,$H1473,$I$1:I1473,$I1473,$J$1:J1473,$J1473,$K$1:K1473,K1473,$L$1:L1473,L1473))=2,"0"&amp;COUNTIFS($H$1:H1473,$H1473,$I$1:I1473,$I1473,$J$1:J1473,$J1473,$K$1:K1473,K1473,$L$1:L1473,L1473),COUNTIFS($H$1:H1473,$H1473,$I$1:I1473,$I1473,$J$1:J1473,$J1473,$K$1:K1473,K1473,$L$1:L1473,L1473)))</f>
        <v>218</v>
      </c>
      <c r="N147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73" s="14" t="e">
        <f>+LEN(Table4[[#This Row],[New Item Code]])</f>
        <v>#N/A</v>
      </c>
      <c r="P1473" s="15" t="s">
        <v>4747</v>
      </c>
      <c r="Q1473" s="15" t="s">
        <v>4749</v>
      </c>
      <c r="R1473" s="15"/>
      <c r="S1473" s="15"/>
      <c r="T1473" s="15" t="s">
        <v>4672</v>
      </c>
    </row>
    <row r="1474" spans="1:20" x14ac:dyDescent="0.35">
      <c r="A1474" s="2" t="s">
        <v>2932</v>
      </c>
      <c r="B1474" s="2" t="s">
        <v>2933</v>
      </c>
      <c r="C1474" s="2" t="s">
        <v>56</v>
      </c>
      <c r="D1474" s="2">
        <v>0</v>
      </c>
      <c r="E1474" s="2" t="s">
        <v>57</v>
      </c>
      <c r="F1474" s="2">
        <v>0</v>
      </c>
      <c r="G1474" s="22">
        <f>Table4[[#This Row],[Item Cost]]*Table4[[#This Row],[In Stock]]</f>
        <v>0</v>
      </c>
      <c r="H1474" s="12" t="s">
        <v>4661</v>
      </c>
      <c r="I1474" s="13" t="s">
        <v>4668</v>
      </c>
      <c r="J1474" s="13" t="s">
        <v>4672</v>
      </c>
      <c r="K1474" s="13" t="s">
        <v>4672</v>
      </c>
      <c r="L1474" s="12" t="s">
        <v>4672</v>
      </c>
      <c r="M1474" s="17">
        <f>IF(LEN(COUNTIFS($H$1:H1474,$H1474,$I$1:I1474,$I1474,$J$1:J1474,$J1474,$K$1:K1474,K1474,$L$1:L1474,L1474))=1,"00"&amp;COUNTIFS($H$1:H1474,$H1474,$I$1:I1474,$I1474,$J$1:J1474,$J1474,$K$1:K1474,K1474,$L$1:L1474,L1474),IF(LEN(COUNTIFS($H$1:H1474,$H1474,$I$1:I1474,$I1474,$J$1:J1474,$J1474,$K$1:K1474,K1474,$L$1:L1474,L1474))=2,"0"&amp;COUNTIFS($H$1:H1474,$H1474,$I$1:I1474,$I1474,$J$1:J1474,$J1474,$K$1:K1474,K1474,$L$1:L1474,L1474),COUNTIFS($H$1:H1474,$H1474,$I$1:I1474,$I1474,$J$1:J1474,$J1474,$K$1:K1474,K1474,$L$1:L1474,L1474)))</f>
        <v>219</v>
      </c>
      <c r="N147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74" s="14" t="e">
        <f>+LEN(Table4[[#This Row],[New Item Code]])</f>
        <v>#N/A</v>
      </c>
      <c r="P1474" s="15" t="s">
        <v>4747</v>
      </c>
      <c r="Q1474" s="15" t="s">
        <v>4749</v>
      </c>
      <c r="R1474" s="15"/>
      <c r="S1474" s="15"/>
      <c r="T1474" s="15" t="s">
        <v>4672</v>
      </c>
    </row>
    <row r="1475" spans="1:20" x14ac:dyDescent="0.35">
      <c r="A1475" s="3" t="s">
        <v>2934</v>
      </c>
      <c r="B1475" s="3" t="s">
        <v>2935</v>
      </c>
      <c r="C1475" s="3" t="s">
        <v>56</v>
      </c>
      <c r="D1475" s="3">
        <v>0</v>
      </c>
      <c r="E1475" s="3" t="s">
        <v>57</v>
      </c>
      <c r="F1475" s="3">
        <v>0</v>
      </c>
      <c r="G1475" s="21">
        <f>Table4[[#This Row],[Item Cost]]*Table4[[#This Row],[In Stock]]</f>
        <v>0</v>
      </c>
      <c r="H1475" s="12" t="s">
        <v>4661</v>
      </c>
      <c r="I1475" s="13" t="s">
        <v>4668</v>
      </c>
      <c r="J1475" s="13" t="s">
        <v>4672</v>
      </c>
      <c r="K1475" s="13" t="s">
        <v>4672</v>
      </c>
      <c r="L1475" s="12" t="s">
        <v>4672</v>
      </c>
      <c r="M1475" s="17">
        <f>IF(LEN(COUNTIFS($H$1:H1475,$H1475,$I$1:I1475,$I1475,$J$1:J1475,$J1475,$K$1:K1475,K1475,$L$1:L1475,L1475))=1,"00"&amp;COUNTIFS($H$1:H1475,$H1475,$I$1:I1475,$I1475,$J$1:J1475,$J1475,$K$1:K1475,K1475,$L$1:L1475,L1475),IF(LEN(COUNTIFS($H$1:H1475,$H1475,$I$1:I1475,$I1475,$J$1:J1475,$J1475,$K$1:K1475,K1475,$L$1:L1475,L1475))=2,"0"&amp;COUNTIFS($H$1:H1475,$H1475,$I$1:I1475,$I1475,$J$1:J1475,$J1475,$K$1:K1475,K1475,$L$1:L1475,L1475),COUNTIFS($H$1:H1475,$H1475,$I$1:I1475,$I1475,$J$1:J1475,$J1475,$K$1:K1475,K1475,$L$1:L1475,L1475)))</f>
        <v>220</v>
      </c>
      <c r="N147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75" s="14" t="e">
        <f>+LEN(Table4[[#This Row],[New Item Code]])</f>
        <v>#N/A</v>
      </c>
      <c r="P1475" s="15" t="s">
        <v>4747</v>
      </c>
      <c r="Q1475" s="15" t="s">
        <v>4749</v>
      </c>
      <c r="R1475" s="15"/>
      <c r="S1475" s="15"/>
      <c r="T1475" s="15" t="s">
        <v>4672</v>
      </c>
    </row>
    <row r="1476" spans="1:20" x14ac:dyDescent="0.35">
      <c r="A1476" s="2" t="s">
        <v>2936</v>
      </c>
      <c r="B1476" s="2" t="s">
        <v>2937</v>
      </c>
      <c r="C1476" s="2" t="s">
        <v>56</v>
      </c>
      <c r="D1476" s="2">
        <v>0</v>
      </c>
      <c r="E1476" s="2" t="s">
        <v>57</v>
      </c>
      <c r="F1476" s="2">
        <v>0</v>
      </c>
      <c r="G1476" s="22">
        <f>Table4[[#This Row],[Item Cost]]*Table4[[#This Row],[In Stock]]</f>
        <v>0</v>
      </c>
      <c r="H1476" s="12" t="s">
        <v>4661</v>
      </c>
      <c r="I1476" s="13" t="s">
        <v>4668</v>
      </c>
      <c r="J1476" s="13" t="s">
        <v>4672</v>
      </c>
      <c r="K1476" s="13" t="s">
        <v>4672</v>
      </c>
      <c r="L1476" s="12" t="s">
        <v>4672</v>
      </c>
      <c r="M1476" s="17">
        <f>IF(LEN(COUNTIFS($H$1:H1476,$H1476,$I$1:I1476,$I1476,$J$1:J1476,$J1476,$K$1:K1476,K1476,$L$1:L1476,L1476))=1,"00"&amp;COUNTIFS($H$1:H1476,$H1476,$I$1:I1476,$I1476,$J$1:J1476,$J1476,$K$1:K1476,K1476,$L$1:L1476,L1476),IF(LEN(COUNTIFS($H$1:H1476,$H1476,$I$1:I1476,$I1476,$J$1:J1476,$J1476,$K$1:K1476,K1476,$L$1:L1476,L1476))=2,"0"&amp;COUNTIFS($H$1:H1476,$H1476,$I$1:I1476,$I1476,$J$1:J1476,$J1476,$K$1:K1476,K1476,$L$1:L1476,L1476),COUNTIFS($H$1:H1476,$H1476,$I$1:I1476,$I1476,$J$1:J1476,$J1476,$K$1:K1476,K1476,$L$1:L1476,L1476)))</f>
        <v>221</v>
      </c>
      <c r="N147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76" s="14" t="e">
        <f>+LEN(Table4[[#This Row],[New Item Code]])</f>
        <v>#N/A</v>
      </c>
      <c r="P1476" s="15" t="s">
        <v>4747</v>
      </c>
      <c r="Q1476" s="15" t="s">
        <v>4749</v>
      </c>
      <c r="R1476" s="15"/>
      <c r="S1476" s="15"/>
      <c r="T1476" s="15" t="s">
        <v>4672</v>
      </c>
    </row>
    <row r="1477" spans="1:20" x14ac:dyDescent="0.35">
      <c r="A1477" s="3" t="s">
        <v>2938</v>
      </c>
      <c r="B1477" s="3" t="s">
        <v>2939</v>
      </c>
      <c r="C1477" s="3" t="s">
        <v>56</v>
      </c>
      <c r="D1477" s="3">
        <v>0</v>
      </c>
      <c r="E1477" s="3" t="s">
        <v>57</v>
      </c>
      <c r="F1477" s="3">
        <v>0</v>
      </c>
      <c r="G1477" s="21">
        <f>Table4[[#This Row],[Item Cost]]*Table4[[#This Row],[In Stock]]</f>
        <v>0</v>
      </c>
      <c r="H1477" s="12" t="s">
        <v>4661</v>
      </c>
      <c r="I1477" s="13" t="s">
        <v>4668</v>
      </c>
      <c r="J1477" s="13" t="s">
        <v>4672</v>
      </c>
      <c r="K1477" s="13" t="s">
        <v>4672</v>
      </c>
      <c r="L1477" s="12" t="s">
        <v>4672</v>
      </c>
      <c r="M1477" s="17">
        <f>IF(LEN(COUNTIFS($H$1:H1477,$H1477,$I$1:I1477,$I1477,$J$1:J1477,$J1477,$K$1:K1477,K1477,$L$1:L1477,L1477))=1,"00"&amp;COUNTIFS($H$1:H1477,$H1477,$I$1:I1477,$I1477,$J$1:J1477,$J1477,$K$1:K1477,K1477,$L$1:L1477,L1477),IF(LEN(COUNTIFS($H$1:H1477,$H1477,$I$1:I1477,$I1477,$J$1:J1477,$J1477,$K$1:K1477,K1477,$L$1:L1477,L1477))=2,"0"&amp;COUNTIFS($H$1:H1477,$H1477,$I$1:I1477,$I1477,$J$1:J1477,$J1477,$K$1:K1477,K1477,$L$1:L1477,L1477),COUNTIFS($H$1:H1477,$H1477,$I$1:I1477,$I1477,$J$1:J1477,$J1477,$K$1:K1477,K1477,$L$1:L1477,L1477)))</f>
        <v>222</v>
      </c>
      <c r="N147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77" s="14" t="e">
        <f>+LEN(Table4[[#This Row],[New Item Code]])</f>
        <v>#N/A</v>
      </c>
      <c r="P1477" s="15" t="s">
        <v>4747</v>
      </c>
      <c r="Q1477" s="15" t="s">
        <v>4749</v>
      </c>
      <c r="R1477" s="15"/>
      <c r="S1477" s="15"/>
      <c r="T1477" s="15" t="s">
        <v>4672</v>
      </c>
    </row>
    <row r="1478" spans="1:20" x14ac:dyDescent="0.35">
      <c r="A1478" s="2" t="s">
        <v>2940</v>
      </c>
      <c r="B1478" s="2" t="s">
        <v>2941</v>
      </c>
      <c r="C1478" s="2" t="s">
        <v>15</v>
      </c>
      <c r="D1478" s="2">
        <v>0</v>
      </c>
      <c r="E1478" s="2" t="s">
        <v>57</v>
      </c>
      <c r="F1478" s="2">
        <v>0</v>
      </c>
      <c r="G1478" s="22">
        <f>Table4[[#This Row],[Item Cost]]*Table4[[#This Row],[In Stock]]</f>
        <v>0</v>
      </c>
      <c r="H1478" s="12" t="s">
        <v>4661</v>
      </c>
      <c r="I1478" s="13" t="s">
        <v>4666</v>
      </c>
      <c r="J1478" s="13" t="s">
        <v>4672</v>
      </c>
      <c r="K1478" s="13" t="s">
        <v>4672</v>
      </c>
      <c r="L1478" s="12" t="s">
        <v>4672</v>
      </c>
      <c r="M1478" s="17" t="str">
        <f>IF(LEN(COUNTIFS($H$1:H1478,$H1478,$I$1:I1478,$I1478,$J$1:J1478,$J1478,$K$1:K1478,K1478,$L$1:L1478,L1478))=1,"00"&amp;COUNTIFS($H$1:H1478,$H1478,$I$1:I1478,$I1478,$J$1:J1478,$J1478,$K$1:K1478,K1478,$L$1:L1478,L1478),IF(LEN(COUNTIFS($H$1:H1478,$H1478,$I$1:I1478,$I1478,$J$1:J1478,$J1478,$K$1:K1478,K1478,$L$1:L1478,L1478))=2,"0"&amp;COUNTIFS($H$1:H1478,$H1478,$I$1:I1478,$I1478,$J$1:J1478,$J1478,$K$1:K1478,K1478,$L$1:L1478,L1478),COUNTIFS($H$1:H1478,$H1478,$I$1:I1478,$I1478,$J$1:J1478,$J1478,$K$1:K1478,K1478,$L$1:L1478,L1478)))</f>
        <v>041</v>
      </c>
      <c r="N147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78" s="14" t="e">
        <f>+LEN(Table4[[#This Row],[New Item Code]])</f>
        <v>#N/A</v>
      </c>
      <c r="P1478" s="15" t="s">
        <v>4747</v>
      </c>
      <c r="Q1478" s="15" t="s">
        <v>4749</v>
      </c>
      <c r="R1478" s="15"/>
      <c r="S1478" s="15"/>
      <c r="T1478" s="15" t="s">
        <v>4672</v>
      </c>
    </row>
    <row r="1479" spans="1:20" x14ac:dyDescent="0.35">
      <c r="A1479" s="3" t="s">
        <v>2942</v>
      </c>
      <c r="B1479" s="3" t="s">
        <v>2943</v>
      </c>
      <c r="C1479" s="3" t="s">
        <v>15</v>
      </c>
      <c r="D1479" s="3">
        <v>0</v>
      </c>
      <c r="E1479" s="3" t="s">
        <v>57</v>
      </c>
      <c r="F1479" s="3">
        <v>0</v>
      </c>
      <c r="G1479" s="21">
        <f>Table4[[#This Row],[Item Cost]]*Table4[[#This Row],[In Stock]]</f>
        <v>0</v>
      </c>
      <c r="H1479" s="12" t="s">
        <v>4661</v>
      </c>
      <c r="I1479" s="13" t="s">
        <v>4666</v>
      </c>
      <c r="J1479" s="13" t="s">
        <v>4672</v>
      </c>
      <c r="K1479" s="13" t="s">
        <v>4672</v>
      </c>
      <c r="L1479" s="12" t="s">
        <v>4672</v>
      </c>
      <c r="M1479" s="17" t="str">
        <f>IF(LEN(COUNTIFS($H$1:H1479,$H1479,$I$1:I1479,$I1479,$J$1:J1479,$J1479,$K$1:K1479,K1479,$L$1:L1479,L1479))=1,"00"&amp;COUNTIFS($H$1:H1479,$H1479,$I$1:I1479,$I1479,$J$1:J1479,$J1479,$K$1:K1479,K1479,$L$1:L1479,L1479),IF(LEN(COUNTIFS($H$1:H1479,$H1479,$I$1:I1479,$I1479,$J$1:J1479,$J1479,$K$1:K1479,K1479,$L$1:L1479,L1479))=2,"0"&amp;COUNTIFS($H$1:H1479,$H1479,$I$1:I1479,$I1479,$J$1:J1479,$J1479,$K$1:K1479,K1479,$L$1:L1479,L1479),COUNTIFS($H$1:H1479,$H1479,$I$1:I1479,$I1479,$J$1:J1479,$J1479,$K$1:K1479,K1479,$L$1:L1479,L1479)))</f>
        <v>042</v>
      </c>
      <c r="N147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79" s="14" t="e">
        <f>+LEN(Table4[[#This Row],[New Item Code]])</f>
        <v>#N/A</v>
      </c>
      <c r="P1479" s="15" t="s">
        <v>4747</v>
      </c>
      <c r="Q1479" s="15" t="s">
        <v>4749</v>
      </c>
      <c r="R1479" s="15"/>
      <c r="S1479" s="15"/>
      <c r="T1479" s="15" t="s">
        <v>4672</v>
      </c>
    </row>
    <row r="1480" spans="1:20" x14ac:dyDescent="0.35">
      <c r="A1480" s="2" t="s">
        <v>2944</v>
      </c>
      <c r="B1480" s="2" t="s">
        <v>2945</v>
      </c>
      <c r="C1480" s="2" t="s">
        <v>56</v>
      </c>
      <c r="D1480" s="2">
        <v>0</v>
      </c>
      <c r="E1480" s="2" t="s">
        <v>57</v>
      </c>
      <c r="F1480" s="2">
        <v>0</v>
      </c>
      <c r="G1480" s="22">
        <f>Table4[[#This Row],[Item Cost]]*Table4[[#This Row],[In Stock]]</f>
        <v>0</v>
      </c>
      <c r="H1480" s="12" t="s">
        <v>4661</v>
      </c>
      <c r="I1480" s="13" t="s">
        <v>4668</v>
      </c>
      <c r="J1480" s="13" t="s">
        <v>4672</v>
      </c>
      <c r="K1480" s="13" t="s">
        <v>4672</v>
      </c>
      <c r="L1480" s="12" t="s">
        <v>4672</v>
      </c>
      <c r="M1480" s="17">
        <f>IF(LEN(COUNTIFS($H$1:H1480,$H1480,$I$1:I1480,$I1480,$J$1:J1480,$J1480,$K$1:K1480,K1480,$L$1:L1480,L1480))=1,"00"&amp;COUNTIFS($H$1:H1480,$H1480,$I$1:I1480,$I1480,$J$1:J1480,$J1480,$K$1:K1480,K1480,$L$1:L1480,L1480),IF(LEN(COUNTIFS($H$1:H1480,$H1480,$I$1:I1480,$I1480,$J$1:J1480,$J1480,$K$1:K1480,K1480,$L$1:L1480,L1480))=2,"0"&amp;COUNTIFS($H$1:H1480,$H1480,$I$1:I1480,$I1480,$J$1:J1480,$J1480,$K$1:K1480,K1480,$L$1:L1480,L1480),COUNTIFS($H$1:H1480,$H1480,$I$1:I1480,$I1480,$J$1:J1480,$J1480,$K$1:K1480,K1480,$L$1:L1480,L1480)))</f>
        <v>223</v>
      </c>
      <c r="N148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80" s="14" t="e">
        <f>+LEN(Table4[[#This Row],[New Item Code]])</f>
        <v>#N/A</v>
      </c>
      <c r="P1480" s="15" t="s">
        <v>4747</v>
      </c>
      <c r="Q1480" s="15" t="s">
        <v>4749</v>
      </c>
      <c r="R1480" s="15"/>
      <c r="S1480" s="15"/>
      <c r="T1480" s="15" t="s">
        <v>4672</v>
      </c>
    </row>
    <row r="1481" spans="1:20" x14ac:dyDescent="0.35">
      <c r="A1481" s="3" t="s">
        <v>2946</v>
      </c>
      <c r="B1481" s="3" t="s">
        <v>2947</v>
      </c>
      <c r="C1481" s="3" t="s">
        <v>56</v>
      </c>
      <c r="D1481" s="3">
        <v>0</v>
      </c>
      <c r="E1481" s="3" t="s">
        <v>57</v>
      </c>
      <c r="F1481" s="3">
        <v>0</v>
      </c>
      <c r="G1481" s="21">
        <f>Table4[[#This Row],[Item Cost]]*Table4[[#This Row],[In Stock]]</f>
        <v>0</v>
      </c>
      <c r="H1481" s="12" t="s">
        <v>4661</v>
      </c>
      <c r="I1481" s="13" t="s">
        <v>4668</v>
      </c>
      <c r="J1481" s="13" t="s">
        <v>4672</v>
      </c>
      <c r="K1481" s="13" t="s">
        <v>4672</v>
      </c>
      <c r="L1481" s="12" t="s">
        <v>4672</v>
      </c>
      <c r="M1481" s="17">
        <f>IF(LEN(COUNTIFS($H$1:H1481,$H1481,$I$1:I1481,$I1481,$J$1:J1481,$J1481,$K$1:K1481,K1481,$L$1:L1481,L1481))=1,"00"&amp;COUNTIFS($H$1:H1481,$H1481,$I$1:I1481,$I1481,$J$1:J1481,$J1481,$K$1:K1481,K1481,$L$1:L1481,L1481),IF(LEN(COUNTIFS($H$1:H1481,$H1481,$I$1:I1481,$I1481,$J$1:J1481,$J1481,$K$1:K1481,K1481,$L$1:L1481,L1481))=2,"0"&amp;COUNTIFS($H$1:H1481,$H1481,$I$1:I1481,$I1481,$J$1:J1481,$J1481,$K$1:K1481,K1481,$L$1:L1481,L1481),COUNTIFS($H$1:H1481,$H1481,$I$1:I1481,$I1481,$J$1:J1481,$J1481,$K$1:K1481,K1481,$L$1:L1481,L1481)))</f>
        <v>224</v>
      </c>
      <c r="N148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81" s="14" t="e">
        <f>+LEN(Table4[[#This Row],[New Item Code]])</f>
        <v>#N/A</v>
      </c>
      <c r="P1481" s="15" t="s">
        <v>4747</v>
      </c>
      <c r="Q1481" s="15" t="s">
        <v>4749</v>
      </c>
      <c r="R1481" s="15"/>
      <c r="S1481" s="15"/>
      <c r="T1481" s="15" t="s">
        <v>4672</v>
      </c>
    </row>
    <row r="1482" spans="1:20" x14ac:dyDescent="0.35">
      <c r="A1482" s="2" t="s">
        <v>2948</v>
      </c>
      <c r="B1482" s="2" t="s">
        <v>2949</v>
      </c>
      <c r="C1482" s="2" t="s">
        <v>56</v>
      </c>
      <c r="D1482" s="2">
        <v>0</v>
      </c>
      <c r="E1482" s="2" t="s">
        <v>57</v>
      </c>
      <c r="F1482" s="2">
        <v>0</v>
      </c>
      <c r="G1482" s="22">
        <f>Table4[[#This Row],[Item Cost]]*Table4[[#This Row],[In Stock]]</f>
        <v>0</v>
      </c>
      <c r="H1482" s="12" t="s">
        <v>4661</v>
      </c>
      <c r="I1482" s="13" t="s">
        <v>4668</v>
      </c>
      <c r="J1482" s="13" t="s">
        <v>4672</v>
      </c>
      <c r="K1482" s="13" t="s">
        <v>4672</v>
      </c>
      <c r="L1482" s="12" t="s">
        <v>4672</v>
      </c>
      <c r="M1482" s="17">
        <f>IF(LEN(COUNTIFS($H$1:H1482,$H1482,$I$1:I1482,$I1482,$J$1:J1482,$J1482,$K$1:K1482,K1482,$L$1:L1482,L1482))=1,"00"&amp;COUNTIFS($H$1:H1482,$H1482,$I$1:I1482,$I1482,$J$1:J1482,$J1482,$K$1:K1482,K1482,$L$1:L1482,L1482),IF(LEN(COUNTIFS($H$1:H1482,$H1482,$I$1:I1482,$I1482,$J$1:J1482,$J1482,$K$1:K1482,K1482,$L$1:L1482,L1482))=2,"0"&amp;COUNTIFS($H$1:H1482,$H1482,$I$1:I1482,$I1482,$J$1:J1482,$J1482,$K$1:K1482,K1482,$L$1:L1482,L1482),COUNTIFS($H$1:H1482,$H1482,$I$1:I1482,$I1482,$J$1:J1482,$J1482,$K$1:K1482,K1482,$L$1:L1482,L1482)))</f>
        <v>225</v>
      </c>
      <c r="N148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82" s="14" t="e">
        <f>+LEN(Table4[[#This Row],[New Item Code]])</f>
        <v>#N/A</v>
      </c>
      <c r="P1482" s="15" t="s">
        <v>4747</v>
      </c>
      <c r="Q1482" s="15" t="s">
        <v>4749</v>
      </c>
      <c r="R1482" s="15"/>
      <c r="S1482" s="15"/>
      <c r="T1482" s="15" t="s">
        <v>4672</v>
      </c>
    </row>
    <row r="1483" spans="1:20" x14ac:dyDescent="0.35">
      <c r="A1483" s="3" t="s">
        <v>2950</v>
      </c>
      <c r="B1483" s="3" t="s">
        <v>2949</v>
      </c>
      <c r="C1483" s="3" t="s">
        <v>56</v>
      </c>
      <c r="D1483" s="3">
        <v>0</v>
      </c>
      <c r="E1483" s="3" t="s">
        <v>57</v>
      </c>
      <c r="F1483" s="3">
        <v>0</v>
      </c>
      <c r="G1483" s="21">
        <f>Table4[[#This Row],[Item Cost]]*Table4[[#This Row],[In Stock]]</f>
        <v>0</v>
      </c>
      <c r="H1483" s="12" t="s">
        <v>4661</v>
      </c>
      <c r="I1483" s="13" t="s">
        <v>4668</v>
      </c>
      <c r="J1483" s="13" t="s">
        <v>4672</v>
      </c>
      <c r="K1483" s="13" t="s">
        <v>4672</v>
      </c>
      <c r="L1483" s="12" t="s">
        <v>4672</v>
      </c>
      <c r="M1483" s="17">
        <f>IF(LEN(COUNTIFS($H$1:H1483,$H1483,$I$1:I1483,$I1483,$J$1:J1483,$J1483,$K$1:K1483,K1483,$L$1:L1483,L1483))=1,"00"&amp;COUNTIFS($H$1:H1483,$H1483,$I$1:I1483,$I1483,$J$1:J1483,$J1483,$K$1:K1483,K1483,$L$1:L1483,L1483),IF(LEN(COUNTIFS($H$1:H1483,$H1483,$I$1:I1483,$I1483,$J$1:J1483,$J1483,$K$1:K1483,K1483,$L$1:L1483,L1483))=2,"0"&amp;COUNTIFS($H$1:H1483,$H1483,$I$1:I1483,$I1483,$J$1:J1483,$J1483,$K$1:K1483,K1483,$L$1:L1483,L1483),COUNTIFS($H$1:H1483,$H1483,$I$1:I1483,$I1483,$J$1:J1483,$J1483,$K$1:K1483,K1483,$L$1:L1483,L1483)))</f>
        <v>226</v>
      </c>
      <c r="N148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83" s="14" t="e">
        <f>+LEN(Table4[[#This Row],[New Item Code]])</f>
        <v>#N/A</v>
      </c>
      <c r="P1483" s="15" t="s">
        <v>4747</v>
      </c>
      <c r="Q1483" s="15" t="s">
        <v>4749</v>
      </c>
      <c r="R1483" s="15"/>
      <c r="S1483" s="15"/>
      <c r="T1483" s="15" t="s">
        <v>4672</v>
      </c>
    </row>
    <row r="1484" spans="1:20" x14ac:dyDescent="0.35">
      <c r="A1484" s="2" t="s">
        <v>2951</v>
      </c>
      <c r="B1484" s="2" t="s">
        <v>2952</v>
      </c>
      <c r="C1484" s="2" t="s">
        <v>56</v>
      </c>
      <c r="D1484" s="2">
        <v>0</v>
      </c>
      <c r="E1484" s="2" t="s">
        <v>57</v>
      </c>
      <c r="F1484" s="2">
        <v>0</v>
      </c>
      <c r="G1484" s="22">
        <f>Table4[[#This Row],[Item Cost]]*Table4[[#This Row],[In Stock]]</f>
        <v>0</v>
      </c>
      <c r="H1484" s="12" t="s">
        <v>4661</v>
      </c>
      <c r="I1484" s="13" t="s">
        <v>4668</v>
      </c>
      <c r="J1484" s="13" t="s">
        <v>4672</v>
      </c>
      <c r="K1484" s="13" t="s">
        <v>4672</v>
      </c>
      <c r="L1484" s="12" t="s">
        <v>4672</v>
      </c>
      <c r="M1484" s="17">
        <f>IF(LEN(COUNTIFS($H$1:H1484,$H1484,$I$1:I1484,$I1484,$J$1:J1484,$J1484,$K$1:K1484,K1484,$L$1:L1484,L1484))=1,"00"&amp;COUNTIFS($H$1:H1484,$H1484,$I$1:I1484,$I1484,$J$1:J1484,$J1484,$K$1:K1484,K1484,$L$1:L1484,L1484),IF(LEN(COUNTIFS($H$1:H1484,$H1484,$I$1:I1484,$I1484,$J$1:J1484,$J1484,$K$1:K1484,K1484,$L$1:L1484,L1484))=2,"0"&amp;COUNTIFS($H$1:H1484,$H1484,$I$1:I1484,$I1484,$J$1:J1484,$J1484,$K$1:K1484,K1484,$L$1:L1484,L1484),COUNTIFS($H$1:H1484,$H1484,$I$1:I1484,$I1484,$J$1:J1484,$J1484,$K$1:K1484,K1484,$L$1:L1484,L1484)))</f>
        <v>227</v>
      </c>
      <c r="N148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84" s="14" t="e">
        <f>+LEN(Table4[[#This Row],[New Item Code]])</f>
        <v>#N/A</v>
      </c>
      <c r="P1484" s="15" t="s">
        <v>4747</v>
      </c>
      <c r="Q1484" s="15" t="s">
        <v>4749</v>
      </c>
      <c r="R1484" s="15"/>
      <c r="S1484" s="15"/>
      <c r="T1484" s="15" t="s">
        <v>4672</v>
      </c>
    </row>
    <row r="1485" spans="1:20" x14ac:dyDescent="0.35">
      <c r="A1485" s="3" t="s">
        <v>2953</v>
      </c>
      <c r="B1485" s="3" t="s">
        <v>2954</v>
      </c>
      <c r="C1485" s="3" t="s">
        <v>56</v>
      </c>
      <c r="D1485" s="3">
        <v>0</v>
      </c>
      <c r="E1485" s="3" t="s">
        <v>57</v>
      </c>
      <c r="F1485" s="3">
        <v>0</v>
      </c>
      <c r="G1485" s="21">
        <f>Table4[[#This Row],[Item Cost]]*Table4[[#This Row],[In Stock]]</f>
        <v>0</v>
      </c>
      <c r="H1485" s="12" t="s">
        <v>4661</v>
      </c>
      <c r="I1485" s="13" t="s">
        <v>4668</v>
      </c>
      <c r="J1485" s="13" t="s">
        <v>4672</v>
      </c>
      <c r="K1485" s="13" t="s">
        <v>4672</v>
      </c>
      <c r="L1485" s="12" t="s">
        <v>4672</v>
      </c>
      <c r="M1485" s="17">
        <f>IF(LEN(COUNTIFS($H$1:H1485,$H1485,$I$1:I1485,$I1485,$J$1:J1485,$J1485,$K$1:K1485,K1485,$L$1:L1485,L1485))=1,"00"&amp;COUNTIFS($H$1:H1485,$H1485,$I$1:I1485,$I1485,$J$1:J1485,$J1485,$K$1:K1485,K1485,$L$1:L1485,L1485),IF(LEN(COUNTIFS($H$1:H1485,$H1485,$I$1:I1485,$I1485,$J$1:J1485,$J1485,$K$1:K1485,K1485,$L$1:L1485,L1485))=2,"0"&amp;COUNTIFS($H$1:H1485,$H1485,$I$1:I1485,$I1485,$J$1:J1485,$J1485,$K$1:K1485,K1485,$L$1:L1485,L1485),COUNTIFS($H$1:H1485,$H1485,$I$1:I1485,$I1485,$J$1:J1485,$J1485,$K$1:K1485,K1485,$L$1:L1485,L1485)))</f>
        <v>228</v>
      </c>
      <c r="N148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85" s="14" t="e">
        <f>+LEN(Table4[[#This Row],[New Item Code]])</f>
        <v>#N/A</v>
      </c>
      <c r="P1485" s="15" t="s">
        <v>4747</v>
      </c>
      <c r="Q1485" s="15" t="s">
        <v>4749</v>
      </c>
      <c r="R1485" s="15"/>
      <c r="S1485" s="15"/>
      <c r="T1485" s="15" t="s">
        <v>4672</v>
      </c>
    </row>
    <row r="1486" spans="1:20" x14ac:dyDescent="0.35">
      <c r="A1486" s="2" t="s">
        <v>2955</v>
      </c>
      <c r="B1486" s="2" t="s">
        <v>2956</v>
      </c>
      <c r="C1486" s="2" t="s">
        <v>56</v>
      </c>
      <c r="D1486" s="2">
        <v>0</v>
      </c>
      <c r="E1486" s="2" t="s">
        <v>57</v>
      </c>
      <c r="F1486" s="2">
        <v>0</v>
      </c>
      <c r="G1486" s="22">
        <f>Table4[[#This Row],[Item Cost]]*Table4[[#This Row],[In Stock]]</f>
        <v>0</v>
      </c>
      <c r="H1486" s="12" t="s">
        <v>4661</v>
      </c>
      <c r="I1486" s="13" t="s">
        <v>4668</v>
      </c>
      <c r="J1486" s="13" t="s">
        <v>4672</v>
      </c>
      <c r="K1486" s="13" t="s">
        <v>4672</v>
      </c>
      <c r="L1486" s="12" t="s">
        <v>4672</v>
      </c>
      <c r="M1486" s="17">
        <f>IF(LEN(COUNTIFS($H$1:H1486,$H1486,$I$1:I1486,$I1486,$J$1:J1486,$J1486,$K$1:K1486,K1486,$L$1:L1486,L1486))=1,"00"&amp;COUNTIFS($H$1:H1486,$H1486,$I$1:I1486,$I1486,$J$1:J1486,$J1486,$K$1:K1486,K1486,$L$1:L1486,L1486),IF(LEN(COUNTIFS($H$1:H1486,$H1486,$I$1:I1486,$I1486,$J$1:J1486,$J1486,$K$1:K1486,K1486,$L$1:L1486,L1486))=2,"0"&amp;COUNTIFS($H$1:H1486,$H1486,$I$1:I1486,$I1486,$J$1:J1486,$J1486,$K$1:K1486,K1486,$L$1:L1486,L1486),COUNTIFS($H$1:H1486,$H1486,$I$1:I1486,$I1486,$J$1:J1486,$J1486,$K$1:K1486,K1486,$L$1:L1486,L1486)))</f>
        <v>229</v>
      </c>
      <c r="N148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86" s="14" t="e">
        <f>+LEN(Table4[[#This Row],[New Item Code]])</f>
        <v>#N/A</v>
      </c>
      <c r="P1486" s="15" t="s">
        <v>4747</v>
      </c>
      <c r="Q1486" s="15" t="s">
        <v>4749</v>
      </c>
      <c r="R1486" s="15"/>
      <c r="S1486" s="15"/>
      <c r="T1486" s="15" t="s">
        <v>4672</v>
      </c>
    </row>
    <row r="1487" spans="1:20" x14ac:dyDescent="0.35">
      <c r="A1487" s="3" t="s">
        <v>2957</v>
      </c>
      <c r="B1487" s="3" t="s">
        <v>2958</v>
      </c>
      <c r="C1487" s="3" t="s">
        <v>56</v>
      </c>
      <c r="D1487" s="3">
        <v>0</v>
      </c>
      <c r="E1487" s="3" t="s">
        <v>57</v>
      </c>
      <c r="F1487" s="3">
        <v>0</v>
      </c>
      <c r="G1487" s="21">
        <f>Table4[[#This Row],[Item Cost]]*Table4[[#This Row],[In Stock]]</f>
        <v>0</v>
      </c>
      <c r="H1487" s="12" t="s">
        <v>4661</v>
      </c>
      <c r="I1487" s="13" t="s">
        <v>4668</v>
      </c>
      <c r="J1487" s="13" t="s">
        <v>4672</v>
      </c>
      <c r="K1487" s="13" t="s">
        <v>4672</v>
      </c>
      <c r="L1487" s="12" t="s">
        <v>4672</v>
      </c>
      <c r="M1487" s="17">
        <f>IF(LEN(COUNTIFS($H$1:H1487,$H1487,$I$1:I1487,$I1487,$J$1:J1487,$J1487,$K$1:K1487,K1487,$L$1:L1487,L1487))=1,"00"&amp;COUNTIFS($H$1:H1487,$H1487,$I$1:I1487,$I1487,$J$1:J1487,$J1487,$K$1:K1487,K1487,$L$1:L1487,L1487),IF(LEN(COUNTIFS($H$1:H1487,$H1487,$I$1:I1487,$I1487,$J$1:J1487,$J1487,$K$1:K1487,K1487,$L$1:L1487,L1487))=2,"0"&amp;COUNTIFS($H$1:H1487,$H1487,$I$1:I1487,$I1487,$J$1:J1487,$J1487,$K$1:K1487,K1487,$L$1:L1487,L1487),COUNTIFS($H$1:H1487,$H1487,$I$1:I1487,$I1487,$J$1:J1487,$J1487,$K$1:K1487,K1487,$L$1:L1487,L1487)))</f>
        <v>230</v>
      </c>
      <c r="N148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87" s="14" t="e">
        <f>+LEN(Table4[[#This Row],[New Item Code]])</f>
        <v>#N/A</v>
      </c>
      <c r="P1487" s="15" t="s">
        <v>4747</v>
      </c>
      <c r="Q1487" s="15" t="s">
        <v>4749</v>
      </c>
      <c r="R1487" s="15"/>
      <c r="S1487" s="15"/>
      <c r="T1487" s="15" t="s">
        <v>4672</v>
      </c>
    </row>
    <row r="1488" spans="1:20" x14ac:dyDescent="0.35">
      <c r="A1488" s="2" t="s">
        <v>2959</v>
      </c>
      <c r="B1488" s="2" t="s">
        <v>2960</v>
      </c>
      <c r="C1488" s="2" t="s">
        <v>15</v>
      </c>
      <c r="D1488" s="2">
        <v>0</v>
      </c>
      <c r="E1488" s="2" t="s">
        <v>57</v>
      </c>
      <c r="F1488" s="2">
        <v>0</v>
      </c>
      <c r="G1488" s="22">
        <f>Table4[[#This Row],[Item Cost]]*Table4[[#This Row],[In Stock]]</f>
        <v>0</v>
      </c>
      <c r="H1488" s="12" t="s">
        <v>4661</v>
      </c>
      <c r="I1488" s="13" t="s">
        <v>4666</v>
      </c>
      <c r="J1488" s="13" t="s">
        <v>4672</v>
      </c>
      <c r="K1488" s="13" t="s">
        <v>4672</v>
      </c>
      <c r="L1488" s="12" t="s">
        <v>4672</v>
      </c>
      <c r="M1488" s="17" t="str">
        <f>IF(LEN(COUNTIFS($H$1:H1488,$H1488,$I$1:I1488,$I1488,$J$1:J1488,$J1488,$K$1:K1488,K1488,$L$1:L1488,L1488))=1,"00"&amp;COUNTIFS($H$1:H1488,$H1488,$I$1:I1488,$I1488,$J$1:J1488,$J1488,$K$1:K1488,K1488,$L$1:L1488,L1488),IF(LEN(COUNTIFS($H$1:H1488,$H1488,$I$1:I1488,$I1488,$J$1:J1488,$J1488,$K$1:K1488,K1488,$L$1:L1488,L1488))=2,"0"&amp;COUNTIFS($H$1:H1488,$H1488,$I$1:I1488,$I1488,$J$1:J1488,$J1488,$K$1:K1488,K1488,$L$1:L1488,L1488),COUNTIFS($H$1:H1488,$H1488,$I$1:I1488,$I1488,$J$1:J1488,$J1488,$K$1:K1488,K1488,$L$1:L1488,L1488)))</f>
        <v>043</v>
      </c>
      <c r="N148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88" s="14" t="e">
        <f>+LEN(Table4[[#This Row],[New Item Code]])</f>
        <v>#N/A</v>
      </c>
      <c r="P1488" s="15" t="s">
        <v>4747</v>
      </c>
      <c r="Q1488" s="15" t="s">
        <v>4749</v>
      </c>
      <c r="R1488" s="15"/>
      <c r="S1488" s="15"/>
      <c r="T1488" s="15" t="s">
        <v>4672</v>
      </c>
    </row>
    <row r="1489" spans="1:20" x14ac:dyDescent="0.35">
      <c r="A1489" s="3" t="s">
        <v>2961</v>
      </c>
      <c r="B1489" s="3" t="s">
        <v>2962</v>
      </c>
      <c r="C1489" s="3" t="s">
        <v>15</v>
      </c>
      <c r="D1489" s="3">
        <v>0</v>
      </c>
      <c r="E1489" s="3" t="s">
        <v>57</v>
      </c>
      <c r="F1489" s="3">
        <v>0</v>
      </c>
      <c r="G1489" s="21">
        <f>Table4[[#This Row],[Item Cost]]*Table4[[#This Row],[In Stock]]</f>
        <v>0</v>
      </c>
      <c r="H1489" s="12" t="s">
        <v>4661</v>
      </c>
      <c r="I1489" s="13" t="s">
        <v>4666</v>
      </c>
      <c r="J1489" s="13" t="s">
        <v>4672</v>
      </c>
      <c r="K1489" s="13" t="s">
        <v>4672</v>
      </c>
      <c r="L1489" s="12" t="s">
        <v>4672</v>
      </c>
      <c r="M1489" s="17" t="str">
        <f>IF(LEN(COUNTIFS($H$1:H1489,$H1489,$I$1:I1489,$I1489,$J$1:J1489,$J1489,$K$1:K1489,K1489,$L$1:L1489,L1489))=1,"00"&amp;COUNTIFS($H$1:H1489,$H1489,$I$1:I1489,$I1489,$J$1:J1489,$J1489,$K$1:K1489,K1489,$L$1:L1489,L1489),IF(LEN(COUNTIFS($H$1:H1489,$H1489,$I$1:I1489,$I1489,$J$1:J1489,$J1489,$K$1:K1489,K1489,$L$1:L1489,L1489))=2,"0"&amp;COUNTIFS($H$1:H1489,$H1489,$I$1:I1489,$I1489,$J$1:J1489,$J1489,$K$1:K1489,K1489,$L$1:L1489,L1489),COUNTIFS($H$1:H1489,$H1489,$I$1:I1489,$I1489,$J$1:J1489,$J1489,$K$1:K1489,K1489,$L$1:L1489,L1489)))</f>
        <v>044</v>
      </c>
      <c r="N148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89" s="14" t="e">
        <f>+LEN(Table4[[#This Row],[New Item Code]])</f>
        <v>#N/A</v>
      </c>
      <c r="P1489" s="15" t="s">
        <v>4747</v>
      </c>
      <c r="Q1489" s="15" t="s">
        <v>4749</v>
      </c>
      <c r="R1489" s="15"/>
      <c r="S1489" s="15"/>
      <c r="T1489" s="15" t="s">
        <v>4672</v>
      </c>
    </row>
    <row r="1490" spans="1:20" x14ac:dyDescent="0.35">
      <c r="A1490" s="2" t="s">
        <v>2963</v>
      </c>
      <c r="B1490" s="2" t="s">
        <v>2964</v>
      </c>
      <c r="C1490" s="2" t="s">
        <v>15</v>
      </c>
      <c r="D1490" s="2">
        <v>0</v>
      </c>
      <c r="E1490" s="2" t="s">
        <v>57</v>
      </c>
      <c r="F1490" s="2">
        <v>0</v>
      </c>
      <c r="G1490" s="22">
        <f>Table4[[#This Row],[Item Cost]]*Table4[[#This Row],[In Stock]]</f>
        <v>0</v>
      </c>
      <c r="H1490" s="12" t="s">
        <v>4661</v>
      </c>
      <c r="I1490" s="13" t="s">
        <v>4666</v>
      </c>
      <c r="J1490" s="13" t="s">
        <v>4672</v>
      </c>
      <c r="K1490" s="13" t="s">
        <v>4672</v>
      </c>
      <c r="L1490" s="12" t="s">
        <v>4672</v>
      </c>
      <c r="M1490" s="17" t="str">
        <f>IF(LEN(COUNTIFS($H$1:H1490,$H1490,$I$1:I1490,$I1490,$J$1:J1490,$J1490,$K$1:K1490,K1490,$L$1:L1490,L1490))=1,"00"&amp;COUNTIFS($H$1:H1490,$H1490,$I$1:I1490,$I1490,$J$1:J1490,$J1490,$K$1:K1490,K1490,$L$1:L1490,L1490),IF(LEN(COUNTIFS($H$1:H1490,$H1490,$I$1:I1490,$I1490,$J$1:J1490,$J1490,$K$1:K1490,K1490,$L$1:L1490,L1490))=2,"0"&amp;COUNTIFS($H$1:H1490,$H1490,$I$1:I1490,$I1490,$J$1:J1490,$J1490,$K$1:K1490,K1490,$L$1:L1490,L1490),COUNTIFS($H$1:H1490,$H1490,$I$1:I1490,$I1490,$J$1:J1490,$J1490,$K$1:K1490,K1490,$L$1:L1490,L1490)))</f>
        <v>045</v>
      </c>
      <c r="N149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90" s="14" t="e">
        <f>+LEN(Table4[[#This Row],[New Item Code]])</f>
        <v>#N/A</v>
      </c>
      <c r="P1490" s="15" t="s">
        <v>4747</v>
      </c>
      <c r="Q1490" s="15" t="s">
        <v>4749</v>
      </c>
      <c r="R1490" s="15"/>
      <c r="S1490" s="15"/>
      <c r="T1490" s="15" t="s">
        <v>4672</v>
      </c>
    </row>
    <row r="1491" spans="1:20" x14ac:dyDescent="0.35">
      <c r="A1491" s="3" t="s">
        <v>2965</v>
      </c>
      <c r="B1491" s="3" t="s">
        <v>2966</v>
      </c>
      <c r="C1491" s="3" t="s">
        <v>15</v>
      </c>
      <c r="D1491" s="3">
        <v>0</v>
      </c>
      <c r="E1491" s="3" t="s">
        <v>57</v>
      </c>
      <c r="F1491" s="3">
        <v>0</v>
      </c>
      <c r="G1491" s="21">
        <f>Table4[[#This Row],[Item Cost]]*Table4[[#This Row],[In Stock]]</f>
        <v>0</v>
      </c>
      <c r="H1491" s="12" t="s">
        <v>4661</v>
      </c>
      <c r="I1491" s="13" t="s">
        <v>4666</v>
      </c>
      <c r="J1491" s="13" t="s">
        <v>4672</v>
      </c>
      <c r="K1491" s="13" t="s">
        <v>4672</v>
      </c>
      <c r="L1491" s="12" t="s">
        <v>4672</v>
      </c>
      <c r="M1491" s="17" t="str">
        <f>IF(LEN(COUNTIFS($H$1:H1491,$H1491,$I$1:I1491,$I1491,$J$1:J1491,$J1491,$K$1:K1491,K1491,$L$1:L1491,L1491))=1,"00"&amp;COUNTIFS($H$1:H1491,$H1491,$I$1:I1491,$I1491,$J$1:J1491,$J1491,$K$1:K1491,K1491,$L$1:L1491,L1491),IF(LEN(COUNTIFS($H$1:H1491,$H1491,$I$1:I1491,$I1491,$J$1:J1491,$J1491,$K$1:K1491,K1491,$L$1:L1491,L1491))=2,"0"&amp;COUNTIFS($H$1:H1491,$H1491,$I$1:I1491,$I1491,$J$1:J1491,$J1491,$K$1:K1491,K1491,$L$1:L1491,L1491),COUNTIFS($H$1:H1491,$H1491,$I$1:I1491,$I1491,$J$1:J1491,$J1491,$K$1:K1491,K1491,$L$1:L1491,L1491)))</f>
        <v>046</v>
      </c>
      <c r="N149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91" s="14" t="e">
        <f>+LEN(Table4[[#This Row],[New Item Code]])</f>
        <v>#N/A</v>
      </c>
      <c r="P1491" s="15" t="s">
        <v>4747</v>
      </c>
      <c r="Q1491" s="15" t="s">
        <v>4749</v>
      </c>
      <c r="R1491" s="15"/>
      <c r="S1491" s="15"/>
      <c r="T1491" s="15" t="s">
        <v>4672</v>
      </c>
    </row>
    <row r="1492" spans="1:20" x14ac:dyDescent="0.35">
      <c r="A1492" s="2" t="s">
        <v>2967</v>
      </c>
      <c r="B1492" s="2" t="s">
        <v>2968</v>
      </c>
      <c r="C1492" s="2" t="s">
        <v>15</v>
      </c>
      <c r="D1492" s="2">
        <v>0</v>
      </c>
      <c r="E1492" s="2" t="s">
        <v>57</v>
      </c>
      <c r="F1492" s="2">
        <v>0</v>
      </c>
      <c r="G1492" s="22">
        <f>Table4[[#This Row],[Item Cost]]*Table4[[#This Row],[In Stock]]</f>
        <v>0</v>
      </c>
      <c r="H1492" s="12" t="s">
        <v>4661</v>
      </c>
      <c r="I1492" s="13" t="s">
        <v>4666</v>
      </c>
      <c r="J1492" s="13" t="s">
        <v>4672</v>
      </c>
      <c r="K1492" s="13" t="s">
        <v>4672</v>
      </c>
      <c r="L1492" s="12" t="s">
        <v>4672</v>
      </c>
      <c r="M1492" s="17" t="str">
        <f>IF(LEN(COUNTIFS($H$1:H1492,$H1492,$I$1:I1492,$I1492,$J$1:J1492,$J1492,$K$1:K1492,K1492,$L$1:L1492,L1492))=1,"00"&amp;COUNTIFS($H$1:H1492,$H1492,$I$1:I1492,$I1492,$J$1:J1492,$J1492,$K$1:K1492,K1492,$L$1:L1492,L1492),IF(LEN(COUNTIFS($H$1:H1492,$H1492,$I$1:I1492,$I1492,$J$1:J1492,$J1492,$K$1:K1492,K1492,$L$1:L1492,L1492))=2,"0"&amp;COUNTIFS($H$1:H1492,$H1492,$I$1:I1492,$I1492,$J$1:J1492,$J1492,$K$1:K1492,K1492,$L$1:L1492,L1492),COUNTIFS($H$1:H1492,$H1492,$I$1:I1492,$I1492,$J$1:J1492,$J1492,$K$1:K1492,K1492,$L$1:L1492,L1492)))</f>
        <v>047</v>
      </c>
      <c r="N149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92" s="14" t="e">
        <f>+LEN(Table4[[#This Row],[New Item Code]])</f>
        <v>#N/A</v>
      </c>
      <c r="P1492" s="15" t="s">
        <v>4747</v>
      </c>
      <c r="Q1492" s="15" t="s">
        <v>4749</v>
      </c>
      <c r="R1492" s="15"/>
      <c r="S1492" s="15"/>
      <c r="T1492" s="15" t="s">
        <v>4672</v>
      </c>
    </row>
    <row r="1493" spans="1:20" x14ac:dyDescent="0.35">
      <c r="A1493" s="3" t="s">
        <v>2969</v>
      </c>
      <c r="B1493" s="3" t="s">
        <v>2970</v>
      </c>
      <c r="C1493" s="3" t="s">
        <v>56</v>
      </c>
      <c r="D1493" s="3">
        <v>175</v>
      </c>
      <c r="E1493" s="3" t="s">
        <v>10</v>
      </c>
      <c r="F1493" s="3">
        <v>1</v>
      </c>
      <c r="G1493" s="21">
        <f>Table4[[#This Row],[Item Cost]]*Table4[[#This Row],[In Stock]]</f>
        <v>175</v>
      </c>
      <c r="H1493" s="12" t="s">
        <v>4661</v>
      </c>
      <c r="I1493" s="13" t="s">
        <v>4668</v>
      </c>
      <c r="J1493" s="13" t="s">
        <v>4672</v>
      </c>
      <c r="K1493" s="13" t="s">
        <v>4672</v>
      </c>
      <c r="L1493" s="12" t="s">
        <v>4672</v>
      </c>
      <c r="M1493" s="17">
        <f>IF(LEN(COUNTIFS($H$1:H1493,$H1493,$I$1:I1493,$I1493,$J$1:J1493,$J1493,$K$1:K1493,K1493,$L$1:L1493,L1493))=1,"00"&amp;COUNTIFS($H$1:H1493,$H1493,$I$1:I1493,$I1493,$J$1:J1493,$J1493,$K$1:K1493,K1493,$L$1:L1493,L1493),IF(LEN(COUNTIFS($H$1:H1493,$H1493,$I$1:I1493,$I1493,$J$1:J1493,$J1493,$K$1:K1493,K1493,$L$1:L1493,L1493))=2,"0"&amp;COUNTIFS($H$1:H1493,$H1493,$I$1:I1493,$I1493,$J$1:J1493,$J1493,$K$1:K1493,K1493,$L$1:L1493,L1493),COUNTIFS($H$1:H1493,$H1493,$I$1:I1493,$I1493,$J$1:J1493,$J1493,$K$1:K1493,K1493,$L$1:L1493,L1493)))</f>
        <v>231</v>
      </c>
      <c r="N149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93" s="14" t="e">
        <f>+LEN(Table4[[#This Row],[New Item Code]])</f>
        <v>#N/A</v>
      </c>
      <c r="P1493" s="15" t="s">
        <v>4747</v>
      </c>
      <c r="Q1493" s="15" t="s">
        <v>4749</v>
      </c>
      <c r="R1493" s="15"/>
      <c r="S1493" s="15"/>
      <c r="T1493" s="15" t="s">
        <v>4672</v>
      </c>
    </row>
    <row r="1494" spans="1:20" x14ac:dyDescent="0.35">
      <c r="A1494" s="2" t="s">
        <v>2971</v>
      </c>
      <c r="B1494" s="2" t="s">
        <v>2972</v>
      </c>
      <c r="C1494" s="2" t="s">
        <v>56</v>
      </c>
      <c r="D1494" s="4">
        <v>1120</v>
      </c>
      <c r="E1494" s="2" t="s">
        <v>10</v>
      </c>
      <c r="F1494" s="2">
        <v>1</v>
      </c>
      <c r="G1494" s="22">
        <f>Table4[[#This Row],[Item Cost]]*Table4[[#This Row],[In Stock]]</f>
        <v>1120</v>
      </c>
      <c r="H1494" s="12" t="s">
        <v>4661</v>
      </c>
      <c r="I1494" s="13" t="s">
        <v>4668</v>
      </c>
      <c r="J1494" s="13" t="s">
        <v>4672</v>
      </c>
      <c r="K1494" s="13" t="s">
        <v>4672</v>
      </c>
      <c r="L1494" s="12" t="s">
        <v>4672</v>
      </c>
      <c r="M1494" s="17">
        <f>IF(LEN(COUNTIFS($H$1:H1494,$H1494,$I$1:I1494,$I1494,$J$1:J1494,$J1494,$K$1:K1494,K1494,$L$1:L1494,L1494))=1,"00"&amp;COUNTIFS($H$1:H1494,$H1494,$I$1:I1494,$I1494,$J$1:J1494,$J1494,$K$1:K1494,K1494,$L$1:L1494,L1494),IF(LEN(COUNTIFS($H$1:H1494,$H1494,$I$1:I1494,$I1494,$J$1:J1494,$J1494,$K$1:K1494,K1494,$L$1:L1494,L1494))=2,"0"&amp;COUNTIFS($H$1:H1494,$H1494,$I$1:I1494,$I1494,$J$1:J1494,$J1494,$K$1:K1494,K1494,$L$1:L1494,L1494),COUNTIFS($H$1:H1494,$H1494,$I$1:I1494,$I1494,$J$1:J1494,$J1494,$K$1:K1494,K1494,$L$1:L1494,L1494)))</f>
        <v>232</v>
      </c>
      <c r="N149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94" s="14" t="e">
        <f>+LEN(Table4[[#This Row],[New Item Code]])</f>
        <v>#N/A</v>
      </c>
      <c r="P1494" s="15" t="s">
        <v>4747</v>
      </c>
      <c r="Q1494" s="15" t="s">
        <v>4749</v>
      </c>
      <c r="R1494" s="15"/>
      <c r="S1494" s="15"/>
      <c r="T1494" s="15" t="s">
        <v>4672</v>
      </c>
    </row>
    <row r="1495" spans="1:20" x14ac:dyDescent="0.35">
      <c r="A1495" s="3" t="s">
        <v>2973</v>
      </c>
      <c r="B1495" s="3" t="s">
        <v>2974</v>
      </c>
      <c r="C1495" s="3" t="s">
        <v>56</v>
      </c>
      <c r="D1495" s="3">
        <v>0</v>
      </c>
      <c r="E1495" s="3" t="s">
        <v>10</v>
      </c>
      <c r="F1495" s="3">
        <v>0</v>
      </c>
      <c r="G1495" s="21">
        <f>Table4[[#This Row],[Item Cost]]*Table4[[#This Row],[In Stock]]</f>
        <v>0</v>
      </c>
      <c r="H1495" s="12" t="s">
        <v>4661</v>
      </c>
      <c r="I1495" s="13" t="s">
        <v>4668</v>
      </c>
      <c r="J1495" s="13" t="s">
        <v>4672</v>
      </c>
      <c r="K1495" s="13" t="s">
        <v>4672</v>
      </c>
      <c r="L1495" s="12" t="s">
        <v>4672</v>
      </c>
      <c r="M1495" s="17">
        <f>IF(LEN(COUNTIFS($H$1:H1495,$H1495,$I$1:I1495,$I1495,$J$1:J1495,$J1495,$K$1:K1495,K1495,$L$1:L1495,L1495))=1,"00"&amp;COUNTIFS($H$1:H1495,$H1495,$I$1:I1495,$I1495,$J$1:J1495,$J1495,$K$1:K1495,K1495,$L$1:L1495,L1495),IF(LEN(COUNTIFS($H$1:H1495,$H1495,$I$1:I1495,$I1495,$J$1:J1495,$J1495,$K$1:K1495,K1495,$L$1:L1495,L1495))=2,"0"&amp;COUNTIFS($H$1:H1495,$H1495,$I$1:I1495,$I1495,$J$1:J1495,$J1495,$K$1:K1495,K1495,$L$1:L1495,L1495),COUNTIFS($H$1:H1495,$H1495,$I$1:I1495,$I1495,$J$1:J1495,$J1495,$K$1:K1495,K1495,$L$1:L1495,L1495)))</f>
        <v>233</v>
      </c>
      <c r="N149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95" s="14" t="e">
        <f>+LEN(Table4[[#This Row],[New Item Code]])</f>
        <v>#N/A</v>
      </c>
      <c r="P1495" s="15" t="s">
        <v>4747</v>
      </c>
      <c r="Q1495" s="15" t="s">
        <v>4749</v>
      </c>
      <c r="R1495" s="15"/>
      <c r="S1495" s="15"/>
      <c r="T1495" s="15" t="s">
        <v>4672</v>
      </c>
    </row>
    <row r="1496" spans="1:20" x14ac:dyDescent="0.35">
      <c r="A1496" s="2" t="s">
        <v>2975</v>
      </c>
      <c r="B1496" s="2" t="s">
        <v>2976</v>
      </c>
      <c r="C1496" s="2" t="s">
        <v>56</v>
      </c>
      <c r="D1496" s="2">
        <v>0</v>
      </c>
      <c r="E1496" s="2" t="s">
        <v>10</v>
      </c>
      <c r="F1496" s="2">
        <v>0</v>
      </c>
      <c r="G1496" s="22">
        <f>Table4[[#This Row],[Item Cost]]*Table4[[#This Row],[In Stock]]</f>
        <v>0</v>
      </c>
      <c r="H1496" s="12" t="s">
        <v>4661</v>
      </c>
      <c r="I1496" s="13" t="s">
        <v>4668</v>
      </c>
      <c r="J1496" s="13" t="s">
        <v>4672</v>
      </c>
      <c r="K1496" s="13" t="s">
        <v>4672</v>
      </c>
      <c r="L1496" s="12" t="s">
        <v>4672</v>
      </c>
      <c r="M1496" s="17">
        <f>IF(LEN(COUNTIFS($H$1:H1496,$H1496,$I$1:I1496,$I1496,$J$1:J1496,$J1496,$K$1:K1496,K1496,$L$1:L1496,L1496))=1,"00"&amp;COUNTIFS($H$1:H1496,$H1496,$I$1:I1496,$I1496,$J$1:J1496,$J1496,$K$1:K1496,K1496,$L$1:L1496,L1496),IF(LEN(COUNTIFS($H$1:H1496,$H1496,$I$1:I1496,$I1496,$J$1:J1496,$J1496,$K$1:K1496,K1496,$L$1:L1496,L1496))=2,"0"&amp;COUNTIFS($H$1:H1496,$H1496,$I$1:I1496,$I1496,$J$1:J1496,$J1496,$K$1:K1496,K1496,$L$1:L1496,L1496),COUNTIFS($H$1:H1496,$H1496,$I$1:I1496,$I1496,$J$1:J1496,$J1496,$K$1:K1496,K1496,$L$1:L1496,L1496)))</f>
        <v>234</v>
      </c>
      <c r="N149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96" s="14" t="e">
        <f>+LEN(Table4[[#This Row],[New Item Code]])</f>
        <v>#N/A</v>
      </c>
      <c r="P1496" s="15" t="s">
        <v>4747</v>
      </c>
      <c r="Q1496" s="15" t="s">
        <v>4749</v>
      </c>
      <c r="R1496" s="15"/>
      <c r="S1496" s="15"/>
      <c r="T1496" s="15" t="s">
        <v>4672</v>
      </c>
    </row>
    <row r="1497" spans="1:20" x14ac:dyDescent="0.35">
      <c r="A1497" s="3" t="s">
        <v>2977</v>
      </c>
      <c r="B1497" s="3" t="s">
        <v>2978</v>
      </c>
      <c r="C1497" s="3" t="s">
        <v>56</v>
      </c>
      <c r="D1497" s="3">
        <v>0</v>
      </c>
      <c r="E1497" s="3" t="s">
        <v>57</v>
      </c>
      <c r="F1497" s="3">
        <v>0</v>
      </c>
      <c r="G1497" s="21">
        <f>Table4[[#This Row],[Item Cost]]*Table4[[#This Row],[In Stock]]</f>
        <v>0</v>
      </c>
      <c r="H1497" s="12" t="s">
        <v>4661</v>
      </c>
      <c r="I1497" s="13" t="s">
        <v>4668</v>
      </c>
      <c r="J1497" s="13" t="s">
        <v>4672</v>
      </c>
      <c r="K1497" s="13" t="s">
        <v>4672</v>
      </c>
      <c r="L1497" s="12" t="s">
        <v>4672</v>
      </c>
      <c r="M1497" s="17">
        <f>IF(LEN(COUNTIFS($H$1:H1497,$H1497,$I$1:I1497,$I1497,$J$1:J1497,$J1497,$K$1:K1497,K1497,$L$1:L1497,L1497))=1,"00"&amp;COUNTIFS($H$1:H1497,$H1497,$I$1:I1497,$I1497,$J$1:J1497,$J1497,$K$1:K1497,K1497,$L$1:L1497,L1497),IF(LEN(COUNTIFS($H$1:H1497,$H1497,$I$1:I1497,$I1497,$J$1:J1497,$J1497,$K$1:K1497,K1497,$L$1:L1497,L1497))=2,"0"&amp;COUNTIFS($H$1:H1497,$H1497,$I$1:I1497,$I1497,$J$1:J1497,$J1497,$K$1:K1497,K1497,$L$1:L1497,L1497),COUNTIFS($H$1:H1497,$H1497,$I$1:I1497,$I1497,$J$1:J1497,$J1497,$K$1:K1497,K1497,$L$1:L1497,L1497)))</f>
        <v>235</v>
      </c>
      <c r="N149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97" s="14" t="e">
        <f>+LEN(Table4[[#This Row],[New Item Code]])</f>
        <v>#N/A</v>
      </c>
      <c r="P1497" s="15" t="s">
        <v>4747</v>
      </c>
      <c r="Q1497" s="15" t="s">
        <v>4749</v>
      </c>
      <c r="R1497" s="15"/>
      <c r="S1497" s="15"/>
      <c r="T1497" s="15" t="s">
        <v>4672</v>
      </c>
    </row>
    <row r="1498" spans="1:20" x14ac:dyDescent="0.35">
      <c r="A1498" s="2" t="s">
        <v>2979</v>
      </c>
      <c r="B1498" s="2" t="s">
        <v>2980</v>
      </c>
      <c r="C1498" s="2" t="s">
        <v>56</v>
      </c>
      <c r="D1498" s="2">
        <v>110</v>
      </c>
      <c r="E1498" s="2" t="s">
        <v>10</v>
      </c>
      <c r="F1498" s="2">
        <v>8</v>
      </c>
      <c r="G1498" s="22">
        <f>Table4[[#This Row],[Item Cost]]*Table4[[#This Row],[In Stock]]</f>
        <v>880</v>
      </c>
      <c r="H1498" s="12" t="s">
        <v>4661</v>
      </c>
      <c r="I1498" s="13" t="s">
        <v>4668</v>
      </c>
      <c r="J1498" s="13" t="s">
        <v>4672</v>
      </c>
      <c r="K1498" s="13" t="s">
        <v>4672</v>
      </c>
      <c r="L1498" s="12" t="s">
        <v>4672</v>
      </c>
      <c r="M1498" s="17">
        <f>IF(LEN(COUNTIFS($H$1:H1498,$H1498,$I$1:I1498,$I1498,$J$1:J1498,$J1498,$K$1:K1498,K1498,$L$1:L1498,L1498))=1,"00"&amp;COUNTIFS($H$1:H1498,$H1498,$I$1:I1498,$I1498,$J$1:J1498,$J1498,$K$1:K1498,K1498,$L$1:L1498,L1498),IF(LEN(COUNTIFS($H$1:H1498,$H1498,$I$1:I1498,$I1498,$J$1:J1498,$J1498,$K$1:K1498,K1498,$L$1:L1498,L1498))=2,"0"&amp;COUNTIFS($H$1:H1498,$H1498,$I$1:I1498,$I1498,$J$1:J1498,$J1498,$K$1:K1498,K1498,$L$1:L1498,L1498),COUNTIFS($H$1:H1498,$H1498,$I$1:I1498,$I1498,$J$1:J1498,$J1498,$K$1:K1498,K1498,$L$1:L1498,L1498)))</f>
        <v>236</v>
      </c>
      <c r="N149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98" s="14" t="e">
        <f>+LEN(Table4[[#This Row],[New Item Code]])</f>
        <v>#N/A</v>
      </c>
      <c r="P1498" s="15" t="s">
        <v>4747</v>
      </c>
      <c r="Q1498" s="15" t="s">
        <v>4749</v>
      </c>
      <c r="R1498" s="15"/>
      <c r="S1498" s="15"/>
      <c r="T1498" s="15" t="s">
        <v>4672</v>
      </c>
    </row>
    <row r="1499" spans="1:20" x14ac:dyDescent="0.35">
      <c r="A1499" s="3" t="s">
        <v>2981</v>
      </c>
      <c r="B1499" s="3" t="s">
        <v>2982</v>
      </c>
      <c r="C1499" s="3" t="s">
        <v>56</v>
      </c>
      <c r="D1499" s="3">
        <v>0</v>
      </c>
      <c r="E1499" s="3" t="s">
        <v>57</v>
      </c>
      <c r="F1499" s="3">
        <v>0</v>
      </c>
      <c r="G1499" s="21">
        <f>Table4[[#This Row],[Item Cost]]*Table4[[#This Row],[In Stock]]</f>
        <v>0</v>
      </c>
      <c r="H1499" s="12" t="s">
        <v>4661</v>
      </c>
      <c r="I1499" s="13" t="s">
        <v>4668</v>
      </c>
      <c r="J1499" s="13" t="s">
        <v>4672</v>
      </c>
      <c r="K1499" s="13" t="s">
        <v>4672</v>
      </c>
      <c r="L1499" s="12" t="s">
        <v>4672</v>
      </c>
      <c r="M1499" s="17">
        <f>IF(LEN(COUNTIFS($H$1:H1499,$H1499,$I$1:I1499,$I1499,$J$1:J1499,$J1499,$K$1:K1499,K1499,$L$1:L1499,L1499))=1,"00"&amp;COUNTIFS($H$1:H1499,$H1499,$I$1:I1499,$I1499,$J$1:J1499,$J1499,$K$1:K1499,K1499,$L$1:L1499,L1499),IF(LEN(COUNTIFS($H$1:H1499,$H1499,$I$1:I1499,$I1499,$J$1:J1499,$J1499,$K$1:K1499,K1499,$L$1:L1499,L1499))=2,"0"&amp;COUNTIFS($H$1:H1499,$H1499,$I$1:I1499,$I1499,$J$1:J1499,$J1499,$K$1:K1499,K1499,$L$1:L1499,L1499),COUNTIFS($H$1:H1499,$H1499,$I$1:I1499,$I1499,$J$1:J1499,$J1499,$K$1:K1499,K1499,$L$1:L1499,L1499)))</f>
        <v>237</v>
      </c>
      <c r="N149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499" s="14" t="e">
        <f>+LEN(Table4[[#This Row],[New Item Code]])</f>
        <v>#N/A</v>
      </c>
      <c r="P1499" s="15" t="s">
        <v>4747</v>
      </c>
      <c r="Q1499" s="15" t="s">
        <v>4749</v>
      </c>
      <c r="R1499" s="15"/>
      <c r="S1499" s="15"/>
      <c r="T1499" s="15" t="s">
        <v>4672</v>
      </c>
    </row>
    <row r="1500" spans="1:20" x14ac:dyDescent="0.35">
      <c r="A1500" s="2" t="s">
        <v>2983</v>
      </c>
      <c r="B1500" s="2" t="s">
        <v>2984</v>
      </c>
      <c r="C1500" s="2" t="s">
        <v>56</v>
      </c>
      <c r="D1500" s="2">
        <v>0</v>
      </c>
      <c r="E1500" s="2" t="s">
        <v>57</v>
      </c>
      <c r="F1500" s="2">
        <v>0</v>
      </c>
      <c r="G1500" s="22">
        <f>Table4[[#This Row],[Item Cost]]*Table4[[#This Row],[In Stock]]</f>
        <v>0</v>
      </c>
      <c r="H1500" s="12" t="s">
        <v>4661</v>
      </c>
      <c r="I1500" s="13" t="s">
        <v>4668</v>
      </c>
      <c r="J1500" s="13" t="s">
        <v>4672</v>
      </c>
      <c r="K1500" s="13" t="s">
        <v>4672</v>
      </c>
      <c r="L1500" s="12" t="s">
        <v>4672</v>
      </c>
      <c r="M1500" s="17">
        <f>IF(LEN(COUNTIFS($H$1:H1500,$H1500,$I$1:I1500,$I1500,$J$1:J1500,$J1500,$K$1:K1500,K1500,$L$1:L1500,L1500))=1,"00"&amp;COUNTIFS($H$1:H1500,$H1500,$I$1:I1500,$I1500,$J$1:J1500,$J1500,$K$1:K1500,K1500,$L$1:L1500,L1500),IF(LEN(COUNTIFS($H$1:H1500,$H1500,$I$1:I1500,$I1500,$J$1:J1500,$J1500,$K$1:K1500,K1500,$L$1:L1500,L1500))=2,"0"&amp;COUNTIFS($H$1:H1500,$H1500,$I$1:I1500,$I1500,$J$1:J1500,$J1500,$K$1:K1500,K1500,$L$1:L1500,L1500),COUNTIFS($H$1:H1500,$H1500,$I$1:I1500,$I1500,$J$1:J1500,$J1500,$K$1:K1500,K1500,$L$1:L1500,L1500)))</f>
        <v>238</v>
      </c>
      <c r="N150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00" s="14" t="e">
        <f>+LEN(Table4[[#This Row],[New Item Code]])</f>
        <v>#N/A</v>
      </c>
      <c r="P1500" s="15" t="s">
        <v>4747</v>
      </c>
      <c r="Q1500" s="15" t="s">
        <v>4749</v>
      </c>
      <c r="R1500" s="15"/>
      <c r="S1500" s="15"/>
      <c r="T1500" s="15" t="s">
        <v>4672</v>
      </c>
    </row>
    <row r="1501" spans="1:20" x14ac:dyDescent="0.35">
      <c r="A1501" s="3" t="s">
        <v>2985</v>
      </c>
      <c r="B1501" s="3" t="s">
        <v>2986</v>
      </c>
      <c r="C1501" s="3" t="s">
        <v>56</v>
      </c>
      <c r="D1501" s="3">
        <v>0</v>
      </c>
      <c r="E1501" s="3" t="s">
        <v>57</v>
      </c>
      <c r="F1501" s="3">
        <v>0</v>
      </c>
      <c r="G1501" s="21">
        <f>Table4[[#This Row],[Item Cost]]*Table4[[#This Row],[In Stock]]</f>
        <v>0</v>
      </c>
      <c r="H1501" s="12" t="s">
        <v>4661</v>
      </c>
      <c r="I1501" s="13" t="s">
        <v>4668</v>
      </c>
      <c r="J1501" s="13" t="s">
        <v>4672</v>
      </c>
      <c r="K1501" s="13" t="s">
        <v>4672</v>
      </c>
      <c r="L1501" s="12" t="s">
        <v>4672</v>
      </c>
      <c r="M1501" s="17">
        <f>IF(LEN(COUNTIFS($H$1:H1501,$H1501,$I$1:I1501,$I1501,$J$1:J1501,$J1501,$K$1:K1501,K1501,$L$1:L1501,L1501))=1,"00"&amp;COUNTIFS($H$1:H1501,$H1501,$I$1:I1501,$I1501,$J$1:J1501,$J1501,$K$1:K1501,K1501,$L$1:L1501,L1501),IF(LEN(COUNTIFS($H$1:H1501,$H1501,$I$1:I1501,$I1501,$J$1:J1501,$J1501,$K$1:K1501,K1501,$L$1:L1501,L1501))=2,"0"&amp;COUNTIFS($H$1:H1501,$H1501,$I$1:I1501,$I1501,$J$1:J1501,$J1501,$K$1:K1501,K1501,$L$1:L1501,L1501),COUNTIFS($H$1:H1501,$H1501,$I$1:I1501,$I1501,$J$1:J1501,$J1501,$K$1:K1501,K1501,$L$1:L1501,L1501)))</f>
        <v>239</v>
      </c>
      <c r="N150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01" s="14" t="e">
        <f>+LEN(Table4[[#This Row],[New Item Code]])</f>
        <v>#N/A</v>
      </c>
      <c r="P1501" s="15" t="s">
        <v>4747</v>
      </c>
      <c r="Q1501" s="15" t="s">
        <v>4749</v>
      </c>
      <c r="R1501" s="15"/>
      <c r="S1501" s="15"/>
      <c r="T1501" s="15" t="s">
        <v>4672</v>
      </c>
    </row>
    <row r="1502" spans="1:20" x14ac:dyDescent="0.35">
      <c r="A1502" s="2" t="s">
        <v>2987</v>
      </c>
      <c r="B1502" s="2" t="s">
        <v>2988</v>
      </c>
      <c r="C1502" s="2" t="s">
        <v>56</v>
      </c>
      <c r="D1502" s="2">
        <v>0</v>
      </c>
      <c r="E1502" s="2" t="s">
        <v>57</v>
      </c>
      <c r="F1502" s="2">
        <v>0</v>
      </c>
      <c r="G1502" s="22">
        <f>Table4[[#This Row],[Item Cost]]*Table4[[#This Row],[In Stock]]</f>
        <v>0</v>
      </c>
      <c r="H1502" s="12" t="s">
        <v>4661</v>
      </c>
      <c r="I1502" s="13" t="s">
        <v>4668</v>
      </c>
      <c r="J1502" s="13" t="s">
        <v>4672</v>
      </c>
      <c r="K1502" s="13" t="s">
        <v>4672</v>
      </c>
      <c r="L1502" s="12" t="s">
        <v>4672</v>
      </c>
      <c r="M1502" s="17">
        <f>IF(LEN(COUNTIFS($H$1:H1502,$H1502,$I$1:I1502,$I1502,$J$1:J1502,$J1502,$K$1:K1502,K1502,$L$1:L1502,L1502))=1,"00"&amp;COUNTIFS($H$1:H1502,$H1502,$I$1:I1502,$I1502,$J$1:J1502,$J1502,$K$1:K1502,K1502,$L$1:L1502,L1502),IF(LEN(COUNTIFS($H$1:H1502,$H1502,$I$1:I1502,$I1502,$J$1:J1502,$J1502,$K$1:K1502,K1502,$L$1:L1502,L1502))=2,"0"&amp;COUNTIFS($H$1:H1502,$H1502,$I$1:I1502,$I1502,$J$1:J1502,$J1502,$K$1:K1502,K1502,$L$1:L1502,L1502),COUNTIFS($H$1:H1502,$H1502,$I$1:I1502,$I1502,$J$1:J1502,$J1502,$K$1:K1502,K1502,$L$1:L1502,L1502)))</f>
        <v>240</v>
      </c>
      <c r="N150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02" s="14" t="e">
        <f>+LEN(Table4[[#This Row],[New Item Code]])</f>
        <v>#N/A</v>
      </c>
      <c r="P1502" s="15" t="s">
        <v>4747</v>
      </c>
      <c r="Q1502" s="15" t="s">
        <v>4749</v>
      </c>
      <c r="R1502" s="15"/>
      <c r="S1502" s="15"/>
      <c r="T1502" s="15" t="s">
        <v>4672</v>
      </c>
    </row>
    <row r="1503" spans="1:20" x14ac:dyDescent="0.35">
      <c r="A1503" s="3" t="s">
        <v>2989</v>
      </c>
      <c r="B1503" s="3" t="s">
        <v>2990</v>
      </c>
      <c r="C1503" s="3" t="s">
        <v>56</v>
      </c>
      <c r="D1503" s="3">
        <v>0</v>
      </c>
      <c r="E1503" s="3" t="s">
        <v>57</v>
      </c>
      <c r="F1503" s="3">
        <v>0</v>
      </c>
      <c r="G1503" s="21">
        <f>Table4[[#This Row],[Item Cost]]*Table4[[#This Row],[In Stock]]</f>
        <v>0</v>
      </c>
      <c r="H1503" s="12" t="s">
        <v>4661</v>
      </c>
      <c r="I1503" s="13" t="s">
        <v>4668</v>
      </c>
      <c r="J1503" s="13" t="s">
        <v>4672</v>
      </c>
      <c r="K1503" s="13" t="s">
        <v>4672</v>
      </c>
      <c r="L1503" s="12" t="s">
        <v>4672</v>
      </c>
      <c r="M1503" s="17">
        <f>IF(LEN(COUNTIFS($H$1:H1503,$H1503,$I$1:I1503,$I1503,$J$1:J1503,$J1503,$K$1:K1503,K1503,$L$1:L1503,L1503))=1,"00"&amp;COUNTIFS($H$1:H1503,$H1503,$I$1:I1503,$I1503,$J$1:J1503,$J1503,$K$1:K1503,K1503,$L$1:L1503,L1503),IF(LEN(COUNTIFS($H$1:H1503,$H1503,$I$1:I1503,$I1503,$J$1:J1503,$J1503,$K$1:K1503,K1503,$L$1:L1503,L1503))=2,"0"&amp;COUNTIFS($H$1:H1503,$H1503,$I$1:I1503,$I1503,$J$1:J1503,$J1503,$K$1:K1503,K1503,$L$1:L1503,L1503),COUNTIFS($H$1:H1503,$H1503,$I$1:I1503,$I1503,$J$1:J1503,$J1503,$K$1:K1503,K1503,$L$1:L1503,L1503)))</f>
        <v>241</v>
      </c>
      <c r="N150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03" s="14" t="e">
        <f>+LEN(Table4[[#This Row],[New Item Code]])</f>
        <v>#N/A</v>
      </c>
      <c r="P1503" s="15" t="s">
        <v>4747</v>
      </c>
      <c r="Q1503" s="15" t="s">
        <v>4749</v>
      </c>
      <c r="R1503" s="15"/>
      <c r="S1503" s="15"/>
      <c r="T1503" s="15" t="s">
        <v>4672</v>
      </c>
    </row>
    <row r="1504" spans="1:20" x14ac:dyDescent="0.35">
      <c r="A1504" s="2" t="s">
        <v>2991</v>
      </c>
      <c r="B1504" s="2" t="s">
        <v>2992</v>
      </c>
      <c r="C1504" s="2" t="s">
        <v>15</v>
      </c>
      <c r="D1504" s="2">
        <v>20.72</v>
      </c>
      <c r="E1504" s="2" t="s">
        <v>10</v>
      </c>
      <c r="F1504" s="2">
        <v>6</v>
      </c>
      <c r="G1504" s="22">
        <f>Table4[[#This Row],[Item Cost]]*Table4[[#This Row],[In Stock]]</f>
        <v>124.32</v>
      </c>
      <c r="H1504" s="12" t="s">
        <v>4661</v>
      </c>
      <c r="I1504" s="13" t="s">
        <v>4666</v>
      </c>
      <c r="J1504" s="13" t="s">
        <v>4672</v>
      </c>
      <c r="K1504" s="13" t="s">
        <v>4672</v>
      </c>
      <c r="L1504" s="12" t="s">
        <v>4672</v>
      </c>
      <c r="M1504" s="17" t="str">
        <f>IF(LEN(COUNTIFS($H$1:H1504,$H1504,$I$1:I1504,$I1504,$J$1:J1504,$J1504,$K$1:K1504,K1504,$L$1:L1504,L1504))=1,"00"&amp;COUNTIFS($H$1:H1504,$H1504,$I$1:I1504,$I1504,$J$1:J1504,$J1504,$K$1:K1504,K1504,$L$1:L1504,L1504),IF(LEN(COUNTIFS($H$1:H1504,$H1504,$I$1:I1504,$I1504,$J$1:J1504,$J1504,$K$1:K1504,K1504,$L$1:L1504,L1504))=2,"0"&amp;COUNTIFS($H$1:H1504,$H1504,$I$1:I1504,$I1504,$J$1:J1504,$J1504,$K$1:K1504,K1504,$L$1:L1504,L1504),COUNTIFS($H$1:H1504,$H1504,$I$1:I1504,$I1504,$J$1:J1504,$J1504,$K$1:K1504,K1504,$L$1:L1504,L1504)))</f>
        <v>048</v>
      </c>
      <c r="N150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04" s="14" t="e">
        <f>+LEN(Table4[[#This Row],[New Item Code]])</f>
        <v>#N/A</v>
      </c>
      <c r="P1504" s="15" t="s">
        <v>4747</v>
      </c>
      <c r="Q1504" s="15" t="s">
        <v>4749</v>
      </c>
      <c r="R1504" s="15"/>
      <c r="S1504" s="15"/>
      <c r="T1504" s="15" t="s">
        <v>4672</v>
      </c>
    </row>
    <row r="1505" spans="1:20" x14ac:dyDescent="0.35">
      <c r="A1505" s="3" t="s">
        <v>2993</v>
      </c>
      <c r="B1505" s="3" t="s">
        <v>2994</v>
      </c>
      <c r="C1505" s="3" t="s">
        <v>56</v>
      </c>
      <c r="D1505" s="3">
        <v>0</v>
      </c>
      <c r="E1505" s="3" t="s">
        <v>57</v>
      </c>
      <c r="F1505" s="3">
        <v>0</v>
      </c>
      <c r="G1505" s="21">
        <f>Table4[[#This Row],[Item Cost]]*Table4[[#This Row],[In Stock]]</f>
        <v>0</v>
      </c>
      <c r="H1505" s="12" t="s">
        <v>4661</v>
      </c>
      <c r="I1505" s="13" t="s">
        <v>4668</v>
      </c>
      <c r="J1505" s="13"/>
      <c r="K1505" s="13" t="s">
        <v>4672</v>
      </c>
      <c r="L1505" s="12" t="s">
        <v>4672</v>
      </c>
      <c r="M1505" s="17" t="str">
        <f>IF(LEN(COUNTIFS($H$1:H1505,$H1505,$I$1:I1505,$I1505,$J$1:J1505,$J1505,$K$1:K1505,K1505,$L$1:L1505,L1505))=1,"00"&amp;COUNTIFS($H$1:H1505,$H1505,$I$1:I1505,$I1505,$J$1:J1505,$J1505,$K$1:K1505,K1505,$L$1:L1505,L1505),IF(LEN(COUNTIFS($H$1:H1505,$H1505,$I$1:I1505,$I1505,$J$1:J1505,$J1505,$K$1:K1505,K1505,$L$1:L1505,L1505))=2,"0"&amp;COUNTIFS($H$1:H1505,$H1505,$I$1:I1505,$I1505,$J$1:J1505,$J1505,$K$1:K1505,K1505,$L$1:L1505,L1505),COUNTIFS($H$1:H1505,$H1505,$I$1:I1505,$I1505,$J$1:J1505,$J1505,$K$1:K1505,K1505,$L$1:L1505,L1505)))</f>
        <v>000</v>
      </c>
      <c r="N150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05" s="14" t="e">
        <f>+LEN(Table4[[#This Row],[New Item Code]])</f>
        <v>#N/A</v>
      </c>
      <c r="P1505" s="15" t="s">
        <v>4747</v>
      </c>
      <c r="Q1505" s="15" t="s">
        <v>4749</v>
      </c>
      <c r="R1505" s="15"/>
      <c r="S1505" s="15"/>
      <c r="T1505" s="15" t="e">
        <v>#N/A</v>
      </c>
    </row>
    <row r="1506" spans="1:20" x14ac:dyDescent="0.35">
      <c r="A1506" s="2" t="s">
        <v>2995</v>
      </c>
      <c r="B1506" s="2" t="s">
        <v>2996</v>
      </c>
      <c r="C1506" s="2" t="s">
        <v>56</v>
      </c>
      <c r="D1506" s="2">
        <v>0</v>
      </c>
      <c r="E1506" s="2" t="s">
        <v>57</v>
      </c>
      <c r="F1506" s="2">
        <v>0</v>
      </c>
      <c r="G1506" s="22">
        <f>Table4[[#This Row],[Item Cost]]*Table4[[#This Row],[In Stock]]</f>
        <v>0</v>
      </c>
      <c r="H1506" s="12" t="s">
        <v>4661</v>
      </c>
      <c r="I1506" s="13" t="s">
        <v>4668</v>
      </c>
      <c r="J1506" s="13"/>
      <c r="K1506" s="13" t="s">
        <v>4672</v>
      </c>
      <c r="L1506" s="12" t="s">
        <v>4672</v>
      </c>
      <c r="M1506" s="17" t="str">
        <f>IF(LEN(COUNTIFS($H$1:H1506,$H1506,$I$1:I1506,$I1506,$J$1:J1506,$J1506,$K$1:K1506,K1506,$L$1:L1506,L1506))=1,"00"&amp;COUNTIFS($H$1:H1506,$H1506,$I$1:I1506,$I1506,$J$1:J1506,$J1506,$K$1:K1506,K1506,$L$1:L1506,L1506),IF(LEN(COUNTIFS($H$1:H1506,$H1506,$I$1:I1506,$I1506,$J$1:J1506,$J1506,$K$1:K1506,K1506,$L$1:L1506,L1506))=2,"0"&amp;COUNTIFS($H$1:H1506,$H1506,$I$1:I1506,$I1506,$J$1:J1506,$J1506,$K$1:K1506,K1506,$L$1:L1506,L1506),COUNTIFS($H$1:H1506,$H1506,$I$1:I1506,$I1506,$J$1:J1506,$J1506,$K$1:K1506,K1506,$L$1:L1506,L1506)))</f>
        <v>000</v>
      </c>
      <c r="N150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06" s="14" t="e">
        <f>+LEN(Table4[[#This Row],[New Item Code]])</f>
        <v>#N/A</v>
      </c>
      <c r="P1506" s="15" t="s">
        <v>4747</v>
      </c>
      <c r="Q1506" s="15" t="s">
        <v>4749</v>
      </c>
      <c r="R1506" s="15"/>
      <c r="S1506" s="15"/>
      <c r="T1506" s="15" t="e">
        <v>#N/A</v>
      </c>
    </row>
    <row r="1507" spans="1:20" x14ac:dyDescent="0.35">
      <c r="A1507" s="3" t="s">
        <v>2997</v>
      </c>
      <c r="B1507" s="3" t="s">
        <v>2998</v>
      </c>
      <c r="C1507" s="3" t="s">
        <v>56</v>
      </c>
      <c r="D1507" s="3">
        <v>0</v>
      </c>
      <c r="E1507" s="3" t="s">
        <v>57</v>
      </c>
      <c r="F1507" s="3">
        <v>0</v>
      </c>
      <c r="G1507" s="21">
        <f>Table4[[#This Row],[Item Cost]]*Table4[[#This Row],[In Stock]]</f>
        <v>0</v>
      </c>
      <c r="H1507" s="12" t="s">
        <v>4661</v>
      </c>
      <c r="I1507" s="13" t="s">
        <v>4668</v>
      </c>
      <c r="J1507" s="13"/>
      <c r="K1507" s="13" t="s">
        <v>4672</v>
      </c>
      <c r="L1507" s="12" t="s">
        <v>4672</v>
      </c>
      <c r="M1507" s="17" t="str">
        <f>IF(LEN(COUNTIFS($H$1:H1507,$H1507,$I$1:I1507,$I1507,$J$1:J1507,$J1507,$K$1:K1507,K1507,$L$1:L1507,L1507))=1,"00"&amp;COUNTIFS($H$1:H1507,$H1507,$I$1:I1507,$I1507,$J$1:J1507,$J1507,$K$1:K1507,K1507,$L$1:L1507,L1507),IF(LEN(COUNTIFS($H$1:H1507,$H1507,$I$1:I1507,$I1507,$J$1:J1507,$J1507,$K$1:K1507,K1507,$L$1:L1507,L1507))=2,"0"&amp;COUNTIFS($H$1:H1507,$H1507,$I$1:I1507,$I1507,$J$1:J1507,$J1507,$K$1:K1507,K1507,$L$1:L1507,L1507),COUNTIFS($H$1:H1507,$H1507,$I$1:I1507,$I1507,$J$1:J1507,$J1507,$K$1:K1507,K1507,$L$1:L1507,L1507)))</f>
        <v>000</v>
      </c>
      <c r="N150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07" s="14" t="e">
        <f>+LEN(Table4[[#This Row],[New Item Code]])</f>
        <v>#N/A</v>
      </c>
      <c r="P1507" s="15" t="s">
        <v>4747</v>
      </c>
      <c r="Q1507" s="15" t="s">
        <v>4749</v>
      </c>
      <c r="R1507" s="15"/>
      <c r="S1507" s="15"/>
      <c r="T1507" s="15" t="e">
        <v>#N/A</v>
      </c>
    </row>
    <row r="1508" spans="1:20" x14ac:dyDescent="0.35">
      <c r="A1508" s="2" t="s">
        <v>2999</v>
      </c>
      <c r="B1508" s="2" t="s">
        <v>3000</v>
      </c>
      <c r="C1508" s="2" t="s">
        <v>56</v>
      </c>
      <c r="D1508" s="2">
        <v>0</v>
      </c>
      <c r="E1508" s="2" t="s">
        <v>57</v>
      </c>
      <c r="F1508" s="2">
        <v>0</v>
      </c>
      <c r="G1508" s="22">
        <f>Table4[[#This Row],[Item Cost]]*Table4[[#This Row],[In Stock]]</f>
        <v>0</v>
      </c>
      <c r="H1508" s="12" t="s">
        <v>4661</v>
      </c>
      <c r="I1508" s="13" t="s">
        <v>4668</v>
      </c>
      <c r="J1508" s="13"/>
      <c r="K1508" s="13" t="s">
        <v>4672</v>
      </c>
      <c r="L1508" s="12" t="s">
        <v>4672</v>
      </c>
      <c r="M1508" s="17" t="str">
        <f>IF(LEN(COUNTIFS($H$1:H1508,$H1508,$I$1:I1508,$I1508,$J$1:J1508,$J1508,$K$1:K1508,K1508,$L$1:L1508,L1508))=1,"00"&amp;COUNTIFS($H$1:H1508,$H1508,$I$1:I1508,$I1508,$J$1:J1508,$J1508,$K$1:K1508,K1508,$L$1:L1508,L1508),IF(LEN(COUNTIFS($H$1:H1508,$H1508,$I$1:I1508,$I1508,$J$1:J1508,$J1508,$K$1:K1508,K1508,$L$1:L1508,L1508))=2,"0"&amp;COUNTIFS($H$1:H1508,$H1508,$I$1:I1508,$I1508,$J$1:J1508,$J1508,$K$1:K1508,K1508,$L$1:L1508,L1508),COUNTIFS($H$1:H1508,$H1508,$I$1:I1508,$I1508,$J$1:J1508,$J1508,$K$1:K1508,K1508,$L$1:L1508,L1508)))</f>
        <v>000</v>
      </c>
      <c r="N150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08" s="14" t="e">
        <f>+LEN(Table4[[#This Row],[New Item Code]])</f>
        <v>#N/A</v>
      </c>
      <c r="P1508" s="15" t="s">
        <v>4747</v>
      </c>
      <c r="Q1508" s="15" t="s">
        <v>4749</v>
      </c>
      <c r="R1508" s="15"/>
      <c r="S1508" s="15"/>
      <c r="T1508" s="15" t="e">
        <v>#N/A</v>
      </c>
    </row>
    <row r="1509" spans="1:20" x14ac:dyDescent="0.35">
      <c r="A1509" s="3" t="s">
        <v>3001</v>
      </c>
      <c r="B1509" s="3" t="s">
        <v>3002</v>
      </c>
      <c r="C1509" s="3" t="s">
        <v>56</v>
      </c>
      <c r="D1509" s="3">
        <v>0</v>
      </c>
      <c r="E1509" s="3" t="s">
        <v>57</v>
      </c>
      <c r="F1509" s="3">
        <v>0</v>
      </c>
      <c r="G1509" s="21">
        <f>Table4[[#This Row],[Item Cost]]*Table4[[#This Row],[In Stock]]</f>
        <v>0</v>
      </c>
      <c r="H1509" s="12" t="s">
        <v>4661</v>
      </c>
      <c r="I1509" s="13" t="s">
        <v>4668</v>
      </c>
      <c r="J1509" s="13"/>
      <c r="K1509" s="13" t="s">
        <v>4672</v>
      </c>
      <c r="L1509" s="12" t="s">
        <v>4672</v>
      </c>
      <c r="M1509" s="17" t="str">
        <f>IF(LEN(COUNTIFS($H$1:H1509,$H1509,$I$1:I1509,$I1509,$J$1:J1509,$J1509,$K$1:K1509,K1509,$L$1:L1509,L1509))=1,"00"&amp;COUNTIFS($H$1:H1509,$H1509,$I$1:I1509,$I1509,$J$1:J1509,$J1509,$K$1:K1509,K1509,$L$1:L1509,L1509),IF(LEN(COUNTIFS($H$1:H1509,$H1509,$I$1:I1509,$I1509,$J$1:J1509,$J1509,$K$1:K1509,K1509,$L$1:L1509,L1509))=2,"0"&amp;COUNTIFS($H$1:H1509,$H1509,$I$1:I1509,$I1509,$J$1:J1509,$J1509,$K$1:K1509,K1509,$L$1:L1509,L1509),COUNTIFS($H$1:H1509,$H1509,$I$1:I1509,$I1509,$J$1:J1509,$J1509,$K$1:K1509,K1509,$L$1:L1509,L1509)))</f>
        <v>000</v>
      </c>
      <c r="N150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09" s="14" t="e">
        <f>+LEN(Table4[[#This Row],[New Item Code]])</f>
        <v>#N/A</v>
      </c>
      <c r="P1509" s="15" t="s">
        <v>4747</v>
      </c>
      <c r="Q1509" s="15" t="s">
        <v>4749</v>
      </c>
      <c r="R1509" s="15"/>
      <c r="S1509" s="15"/>
      <c r="T1509" s="15" t="e">
        <v>#N/A</v>
      </c>
    </row>
    <row r="1510" spans="1:20" x14ac:dyDescent="0.35">
      <c r="A1510" s="2" t="s">
        <v>3003</v>
      </c>
      <c r="B1510" s="2" t="s">
        <v>3004</v>
      </c>
      <c r="C1510" s="2" t="s">
        <v>56</v>
      </c>
      <c r="D1510" s="2">
        <v>0</v>
      </c>
      <c r="E1510" s="2" t="s">
        <v>57</v>
      </c>
      <c r="F1510" s="2">
        <v>0</v>
      </c>
      <c r="G1510" s="22">
        <f>Table4[[#This Row],[Item Cost]]*Table4[[#This Row],[In Stock]]</f>
        <v>0</v>
      </c>
      <c r="H1510" s="12" t="s">
        <v>4661</v>
      </c>
      <c r="I1510" s="13" t="s">
        <v>4668</v>
      </c>
      <c r="J1510" s="13"/>
      <c r="K1510" s="13" t="s">
        <v>4672</v>
      </c>
      <c r="L1510" s="12" t="s">
        <v>4672</v>
      </c>
      <c r="M1510" s="17" t="str">
        <f>IF(LEN(COUNTIFS($H$1:H1510,$H1510,$I$1:I1510,$I1510,$J$1:J1510,$J1510,$K$1:K1510,K1510,$L$1:L1510,L1510))=1,"00"&amp;COUNTIFS($H$1:H1510,$H1510,$I$1:I1510,$I1510,$J$1:J1510,$J1510,$K$1:K1510,K1510,$L$1:L1510,L1510),IF(LEN(COUNTIFS($H$1:H1510,$H1510,$I$1:I1510,$I1510,$J$1:J1510,$J1510,$K$1:K1510,K1510,$L$1:L1510,L1510))=2,"0"&amp;COUNTIFS($H$1:H1510,$H1510,$I$1:I1510,$I1510,$J$1:J1510,$J1510,$K$1:K1510,K1510,$L$1:L1510,L1510),COUNTIFS($H$1:H1510,$H1510,$I$1:I1510,$I1510,$J$1:J1510,$J1510,$K$1:K1510,K1510,$L$1:L1510,L1510)))</f>
        <v>000</v>
      </c>
      <c r="N151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10" s="14" t="e">
        <f>+LEN(Table4[[#This Row],[New Item Code]])</f>
        <v>#N/A</v>
      </c>
      <c r="P1510" s="15" t="s">
        <v>4747</v>
      </c>
      <c r="Q1510" s="15" t="s">
        <v>4749</v>
      </c>
      <c r="R1510" s="15"/>
      <c r="S1510" s="15"/>
      <c r="T1510" s="15" t="e">
        <v>#N/A</v>
      </c>
    </row>
    <row r="1511" spans="1:20" x14ac:dyDescent="0.35">
      <c r="A1511" s="3" t="s">
        <v>3005</v>
      </c>
      <c r="B1511" s="3" t="s">
        <v>3006</v>
      </c>
      <c r="C1511" s="3" t="s">
        <v>15</v>
      </c>
      <c r="D1511" s="3">
        <v>850</v>
      </c>
      <c r="E1511" s="3" t="s">
        <v>10</v>
      </c>
      <c r="F1511" s="3">
        <v>2</v>
      </c>
      <c r="G1511" s="21">
        <f>Table4[[#This Row],[Item Cost]]*Table4[[#This Row],[In Stock]]</f>
        <v>1700</v>
      </c>
      <c r="H1511" s="12" t="s">
        <v>4661</v>
      </c>
      <c r="I1511" s="13" t="s">
        <v>4666</v>
      </c>
      <c r="J1511" s="13"/>
      <c r="K1511" s="13" t="s">
        <v>4672</v>
      </c>
      <c r="L1511" s="12" t="s">
        <v>4672</v>
      </c>
      <c r="M1511" s="17" t="str">
        <f>IF(LEN(COUNTIFS($H$1:H1511,$H1511,$I$1:I1511,$I1511,$J$1:J1511,$J1511,$K$1:K1511,K1511,$L$1:L1511,L1511))=1,"00"&amp;COUNTIFS($H$1:H1511,$H1511,$I$1:I1511,$I1511,$J$1:J1511,$J1511,$K$1:K1511,K1511,$L$1:L1511,L1511),IF(LEN(COUNTIFS($H$1:H1511,$H1511,$I$1:I1511,$I1511,$J$1:J1511,$J1511,$K$1:K1511,K1511,$L$1:L1511,L1511))=2,"0"&amp;COUNTIFS($H$1:H1511,$H1511,$I$1:I1511,$I1511,$J$1:J1511,$J1511,$K$1:K1511,K1511,$L$1:L1511,L1511),COUNTIFS($H$1:H1511,$H1511,$I$1:I1511,$I1511,$J$1:J1511,$J1511,$K$1:K1511,K1511,$L$1:L1511,L1511)))</f>
        <v>000</v>
      </c>
      <c r="N151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11" s="14" t="e">
        <f>+LEN(Table4[[#This Row],[New Item Code]])</f>
        <v>#N/A</v>
      </c>
      <c r="P1511" s="15" t="s">
        <v>4747</v>
      </c>
      <c r="Q1511" s="15" t="s">
        <v>4749</v>
      </c>
      <c r="R1511" s="15"/>
      <c r="S1511" s="15"/>
      <c r="T1511" s="15" t="e">
        <v>#N/A</v>
      </c>
    </row>
    <row r="1512" spans="1:20" x14ac:dyDescent="0.35">
      <c r="A1512" s="2" t="s">
        <v>3007</v>
      </c>
      <c r="B1512" s="2" t="s">
        <v>3008</v>
      </c>
      <c r="C1512" s="2" t="s">
        <v>56</v>
      </c>
      <c r="D1512" s="2">
        <v>0</v>
      </c>
      <c r="E1512" s="2" t="s">
        <v>57</v>
      </c>
      <c r="F1512" s="2">
        <v>0</v>
      </c>
      <c r="G1512" s="22">
        <f>Table4[[#This Row],[Item Cost]]*Table4[[#This Row],[In Stock]]</f>
        <v>0</v>
      </c>
      <c r="H1512" s="12" t="s">
        <v>4661</v>
      </c>
      <c r="I1512" s="13" t="s">
        <v>4668</v>
      </c>
      <c r="J1512" s="13"/>
      <c r="K1512" s="13" t="s">
        <v>4672</v>
      </c>
      <c r="L1512" s="12" t="s">
        <v>4672</v>
      </c>
      <c r="M1512" s="17" t="str">
        <f>IF(LEN(COUNTIFS($H$1:H1512,$H1512,$I$1:I1512,$I1512,$J$1:J1512,$J1512,$K$1:K1512,K1512,$L$1:L1512,L1512))=1,"00"&amp;COUNTIFS($H$1:H1512,$H1512,$I$1:I1512,$I1512,$J$1:J1512,$J1512,$K$1:K1512,K1512,$L$1:L1512,L1512),IF(LEN(COUNTIFS($H$1:H1512,$H1512,$I$1:I1512,$I1512,$J$1:J1512,$J1512,$K$1:K1512,K1512,$L$1:L1512,L1512))=2,"0"&amp;COUNTIFS($H$1:H1512,$H1512,$I$1:I1512,$I1512,$J$1:J1512,$J1512,$K$1:K1512,K1512,$L$1:L1512,L1512),COUNTIFS($H$1:H1512,$H1512,$I$1:I1512,$I1512,$J$1:J1512,$J1512,$K$1:K1512,K1512,$L$1:L1512,L1512)))</f>
        <v>000</v>
      </c>
      <c r="N151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12" s="14" t="e">
        <f>+LEN(Table4[[#This Row],[New Item Code]])</f>
        <v>#N/A</v>
      </c>
      <c r="P1512" s="15" t="s">
        <v>4747</v>
      </c>
      <c r="Q1512" s="15" t="s">
        <v>4749</v>
      </c>
      <c r="R1512" s="15"/>
      <c r="S1512" s="15"/>
      <c r="T1512" s="15" t="e">
        <v>#N/A</v>
      </c>
    </row>
    <row r="1513" spans="1:20" x14ac:dyDescent="0.35">
      <c r="A1513" s="3" t="s">
        <v>3009</v>
      </c>
      <c r="B1513" s="3" t="s">
        <v>3010</v>
      </c>
      <c r="C1513" s="3" t="s">
        <v>56</v>
      </c>
      <c r="D1513" s="3">
        <v>0</v>
      </c>
      <c r="E1513" s="3" t="s">
        <v>57</v>
      </c>
      <c r="F1513" s="3">
        <v>0</v>
      </c>
      <c r="G1513" s="21">
        <f>Table4[[#This Row],[Item Cost]]*Table4[[#This Row],[In Stock]]</f>
        <v>0</v>
      </c>
      <c r="H1513" s="12" t="s">
        <v>4661</v>
      </c>
      <c r="I1513" s="13" t="s">
        <v>4668</v>
      </c>
      <c r="J1513" s="13"/>
      <c r="K1513" s="13" t="s">
        <v>4672</v>
      </c>
      <c r="L1513" s="12" t="s">
        <v>4672</v>
      </c>
      <c r="M1513" s="17" t="str">
        <f>IF(LEN(COUNTIFS($H$1:H1513,$H1513,$I$1:I1513,$I1513,$J$1:J1513,$J1513,$K$1:K1513,K1513,$L$1:L1513,L1513))=1,"00"&amp;COUNTIFS($H$1:H1513,$H1513,$I$1:I1513,$I1513,$J$1:J1513,$J1513,$K$1:K1513,K1513,$L$1:L1513,L1513),IF(LEN(COUNTIFS($H$1:H1513,$H1513,$I$1:I1513,$I1513,$J$1:J1513,$J1513,$K$1:K1513,K1513,$L$1:L1513,L1513))=2,"0"&amp;COUNTIFS($H$1:H1513,$H1513,$I$1:I1513,$I1513,$J$1:J1513,$J1513,$K$1:K1513,K1513,$L$1:L1513,L1513),COUNTIFS($H$1:H1513,$H1513,$I$1:I1513,$I1513,$J$1:J1513,$J1513,$K$1:K1513,K1513,$L$1:L1513,L1513)))</f>
        <v>000</v>
      </c>
      <c r="N151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13" s="14" t="e">
        <f>+LEN(Table4[[#This Row],[New Item Code]])</f>
        <v>#N/A</v>
      </c>
      <c r="P1513" s="15" t="s">
        <v>4747</v>
      </c>
      <c r="Q1513" s="15" t="s">
        <v>4749</v>
      </c>
      <c r="R1513" s="15"/>
      <c r="S1513" s="15"/>
      <c r="T1513" s="15" t="e">
        <v>#N/A</v>
      </c>
    </row>
    <row r="1514" spans="1:20" x14ac:dyDescent="0.35">
      <c r="A1514" s="2" t="s">
        <v>3011</v>
      </c>
      <c r="B1514" s="2" t="s">
        <v>3012</v>
      </c>
      <c r="C1514" s="2" t="s">
        <v>56</v>
      </c>
      <c r="D1514" s="2">
        <v>0</v>
      </c>
      <c r="E1514" s="2" t="s">
        <v>57</v>
      </c>
      <c r="F1514" s="2">
        <v>0</v>
      </c>
      <c r="G1514" s="22">
        <f>Table4[[#This Row],[Item Cost]]*Table4[[#This Row],[In Stock]]</f>
        <v>0</v>
      </c>
      <c r="H1514" s="12" t="s">
        <v>4661</v>
      </c>
      <c r="I1514" s="13" t="s">
        <v>4668</v>
      </c>
      <c r="J1514" s="13"/>
      <c r="K1514" s="13" t="s">
        <v>4672</v>
      </c>
      <c r="L1514" s="12" t="s">
        <v>4672</v>
      </c>
      <c r="M1514" s="17" t="str">
        <f>IF(LEN(COUNTIFS($H$1:H1514,$H1514,$I$1:I1514,$I1514,$J$1:J1514,$J1514,$K$1:K1514,K1514,$L$1:L1514,L1514))=1,"00"&amp;COUNTIFS($H$1:H1514,$H1514,$I$1:I1514,$I1514,$J$1:J1514,$J1514,$K$1:K1514,K1514,$L$1:L1514,L1514),IF(LEN(COUNTIFS($H$1:H1514,$H1514,$I$1:I1514,$I1514,$J$1:J1514,$J1514,$K$1:K1514,K1514,$L$1:L1514,L1514))=2,"0"&amp;COUNTIFS($H$1:H1514,$H1514,$I$1:I1514,$I1514,$J$1:J1514,$J1514,$K$1:K1514,K1514,$L$1:L1514,L1514),COUNTIFS($H$1:H1514,$H1514,$I$1:I1514,$I1514,$J$1:J1514,$J1514,$K$1:K1514,K1514,$L$1:L1514,L1514)))</f>
        <v>000</v>
      </c>
      <c r="N151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14" s="14" t="e">
        <f>+LEN(Table4[[#This Row],[New Item Code]])</f>
        <v>#N/A</v>
      </c>
      <c r="P1514" s="15" t="s">
        <v>4747</v>
      </c>
      <c r="Q1514" s="15" t="s">
        <v>4749</v>
      </c>
      <c r="R1514" s="15"/>
      <c r="S1514" s="15"/>
      <c r="T1514" s="15" t="e">
        <v>#N/A</v>
      </c>
    </row>
    <row r="1515" spans="1:20" x14ac:dyDescent="0.35">
      <c r="A1515" s="3" t="s">
        <v>3013</v>
      </c>
      <c r="B1515" s="3" t="s">
        <v>3014</v>
      </c>
      <c r="C1515" s="3" t="s">
        <v>56</v>
      </c>
      <c r="D1515" s="3">
        <v>0</v>
      </c>
      <c r="E1515" s="3" t="s">
        <v>57</v>
      </c>
      <c r="F1515" s="3">
        <v>0</v>
      </c>
      <c r="G1515" s="21">
        <f>Table4[[#This Row],[Item Cost]]*Table4[[#This Row],[In Stock]]</f>
        <v>0</v>
      </c>
      <c r="H1515" s="12" t="s">
        <v>4661</v>
      </c>
      <c r="I1515" s="13" t="s">
        <v>4668</v>
      </c>
      <c r="J1515" s="13"/>
      <c r="K1515" s="13" t="s">
        <v>4672</v>
      </c>
      <c r="L1515" s="12" t="s">
        <v>4672</v>
      </c>
      <c r="M1515" s="17" t="str">
        <f>IF(LEN(COUNTIFS($H$1:H1515,$H1515,$I$1:I1515,$I1515,$J$1:J1515,$J1515,$K$1:K1515,K1515,$L$1:L1515,L1515))=1,"00"&amp;COUNTIFS($H$1:H1515,$H1515,$I$1:I1515,$I1515,$J$1:J1515,$J1515,$K$1:K1515,K1515,$L$1:L1515,L1515),IF(LEN(COUNTIFS($H$1:H1515,$H1515,$I$1:I1515,$I1515,$J$1:J1515,$J1515,$K$1:K1515,K1515,$L$1:L1515,L1515))=2,"0"&amp;COUNTIFS($H$1:H1515,$H1515,$I$1:I1515,$I1515,$J$1:J1515,$J1515,$K$1:K1515,K1515,$L$1:L1515,L1515),COUNTIFS($H$1:H1515,$H1515,$I$1:I1515,$I1515,$J$1:J1515,$J1515,$K$1:K1515,K1515,$L$1:L1515,L1515)))</f>
        <v>000</v>
      </c>
      <c r="N151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15" s="14" t="e">
        <f>+LEN(Table4[[#This Row],[New Item Code]])</f>
        <v>#N/A</v>
      </c>
      <c r="P1515" s="15" t="s">
        <v>4747</v>
      </c>
      <c r="Q1515" s="15" t="s">
        <v>4749</v>
      </c>
      <c r="R1515" s="15"/>
      <c r="S1515" s="15"/>
      <c r="T1515" s="15" t="e">
        <v>#N/A</v>
      </c>
    </row>
    <row r="1516" spans="1:20" x14ac:dyDescent="0.35">
      <c r="A1516" s="2" t="s">
        <v>3015</v>
      </c>
      <c r="B1516" s="2" t="s">
        <v>3016</v>
      </c>
      <c r="C1516" s="2" t="s">
        <v>9</v>
      </c>
      <c r="D1516" s="2">
        <v>98.28</v>
      </c>
      <c r="E1516" s="2" t="s">
        <v>10</v>
      </c>
      <c r="F1516" s="2">
        <v>1</v>
      </c>
      <c r="G1516" s="22">
        <f>Table4[[#This Row],[Item Cost]]*Table4[[#This Row],[In Stock]]</f>
        <v>98.28</v>
      </c>
      <c r="H1516" s="12" t="s">
        <v>4661</v>
      </c>
      <c r="I1516" s="13" t="s">
        <v>4664</v>
      </c>
      <c r="J1516" s="13" t="s">
        <v>4709</v>
      </c>
      <c r="K1516" s="13" t="s">
        <v>4672</v>
      </c>
      <c r="L1516" s="12" t="s">
        <v>4672</v>
      </c>
      <c r="M1516" s="17" t="str">
        <f>IF(LEN(COUNTIFS($H$1:H1516,$H1516,$I$1:I1516,$I1516,$J$1:J1516,$J1516,$K$1:K1516,K1516,$L$1:L1516,L1516))=1,"00"&amp;COUNTIFS($H$1:H1516,$H1516,$I$1:I1516,$I1516,$J$1:J1516,$J1516,$K$1:K1516,K1516,$L$1:L1516,L1516),IF(LEN(COUNTIFS($H$1:H1516,$H1516,$I$1:I1516,$I1516,$J$1:J1516,$J1516,$K$1:K1516,K1516,$L$1:L1516,L1516))=2,"0"&amp;COUNTIFS($H$1:H1516,$H1516,$I$1:I1516,$I1516,$J$1:J1516,$J1516,$K$1:K1516,K1516,$L$1:L1516,L1516),COUNTIFS($H$1:H1516,$H1516,$I$1:I1516,$I1516,$J$1:J1516,$J1516,$K$1:K1516,K1516,$L$1:L1516,L1516)))</f>
        <v>001</v>
      </c>
      <c r="N151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16" s="14" t="e">
        <f>+LEN(Table4[[#This Row],[New Item Code]])</f>
        <v>#N/A</v>
      </c>
      <c r="P1516" s="15" t="s">
        <v>4747</v>
      </c>
      <c r="Q1516" s="15" t="s">
        <v>4749</v>
      </c>
      <c r="R1516" s="15"/>
      <c r="S1516" s="15"/>
      <c r="T1516" s="15" t="s">
        <v>4709</v>
      </c>
    </row>
    <row r="1517" spans="1:20" x14ac:dyDescent="0.35">
      <c r="A1517" s="3" t="s">
        <v>3017</v>
      </c>
      <c r="B1517" s="3" t="s">
        <v>3018</v>
      </c>
      <c r="C1517" s="3" t="s">
        <v>9</v>
      </c>
      <c r="D1517" s="3">
        <v>829</v>
      </c>
      <c r="E1517" s="3" t="s">
        <v>10</v>
      </c>
      <c r="F1517" s="3">
        <v>1</v>
      </c>
      <c r="G1517" s="21">
        <f>Table4[[#This Row],[Item Cost]]*Table4[[#This Row],[In Stock]]</f>
        <v>829</v>
      </c>
      <c r="H1517" s="12" t="s">
        <v>4661</v>
      </c>
      <c r="I1517" s="13" t="s">
        <v>4664</v>
      </c>
      <c r="J1517" s="13" t="s">
        <v>4709</v>
      </c>
      <c r="K1517" s="13" t="s">
        <v>4672</v>
      </c>
      <c r="L1517" s="12" t="s">
        <v>4672</v>
      </c>
      <c r="M1517" s="17" t="str">
        <f>IF(LEN(COUNTIFS($H$1:H1517,$H1517,$I$1:I1517,$I1517,$J$1:J1517,$J1517,$K$1:K1517,K1517,$L$1:L1517,L1517))=1,"00"&amp;COUNTIFS($H$1:H1517,$H1517,$I$1:I1517,$I1517,$J$1:J1517,$J1517,$K$1:K1517,K1517,$L$1:L1517,L1517),IF(LEN(COUNTIFS($H$1:H1517,$H1517,$I$1:I1517,$I1517,$J$1:J1517,$J1517,$K$1:K1517,K1517,$L$1:L1517,L1517))=2,"0"&amp;COUNTIFS($H$1:H1517,$H1517,$I$1:I1517,$I1517,$J$1:J1517,$J1517,$K$1:K1517,K1517,$L$1:L1517,L1517),COUNTIFS($H$1:H1517,$H1517,$I$1:I1517,$I1517,$J$1:J1517,$J1517,$K$1:K1517,K1517,$L$1:L1517,L1517)))</f>
        <v>002</v>
      </c>
      <c r="N151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17" s="14" t="e">
        <f>+LEN(Table4[[#This Row],[New Item Code]])</f>
        <v>#N/A</v>
      </c>
      <c r="P1517" s="15" t="s">
        <v>4747</v>
      </c>
      <c r="Q1517" s="15" t="s">
        <v>4749</v>
      </c>
      <c r="R1517" s="15"/>
      <c r="S1517" s="15"/>
      <c r="T1517" s="15" t="s">
        <v>4709</v>
      </c>
    </row>
    <row r="1518" spans="1:20" x14ac:dyDescent="0.35">
      <c r="A1518" s="2" t="s">
        <v>3019</v>
      </c>
      <c r="B1518" s="2" t="s">
        <v>3020</v>
      </c>
      <c r="C1518" s="2" t="s">
        <v>9</v>
      </c>
      <c r="D1518" s="2">
        <v>198.45</v>
      </c>
      <c r="E1518" s="2" t="s">
        <v>10</v>
      </c>
      <c r="F1518" s="2">
        <v>1</v>
      </c>
      <c r="G1518" s="22">
        <f>Table4[[#This Row],[Item Cost]]*Table4[[#This Row],[In Stock]]</f>
        <v>198.45</v>
      </c>
      <c r="H1518" s="12" t="s">
        <v>4661</v>
      </c>
      <c r="I1518" s="13" t="s">
        <v>4664</v>
      </c>
      <c r="J1518" s="13" t="s">
        <v>4709</v>
      </c>
      <c r="K1518" s="13" t="s">
        <v>4672</v>
      </c>
      <c r="L1518" s="12" t="s">
        <v>4672</v>
      </c>
      <c r="M1518" s="17" t="str">
        <f>IF(LEN(COUNTIFS($H$1:H1518,$H1518,$I$1:I1518,$I1518,$J$1:J1518,$J1518,$K$1:K1518,K1518,$L$1:L1518,L1518))=1,"00"&amp;COUNTIFS($H$1:H1518,$H1518,$I$1:I1518,$I1518,$J$1:J1518,$J1518,$K$1:K1518,K1518,$L$1:L1518,L1518),IF(LEN(COUNTIFS($H$1:H1518,$H1518,$I$1:I1518,$I1518,$J$1:J1518,$J1518,$K$1:K1518,K1518,$L$1:L1518,L1518))=2,"0"&amp;COUNTIFS($H$1:H1518,$H1518,$I$1:I1518,$I1518,$J$1:J1518,$J1518,$K$1:K1518,K1518,$L$1:L1518,L1518),COUNTIFS($H$1:H1518,$H1518,$I$1:I1518,$I1518,$J$1:J1518,$J1518,$K$1:K1518,K1518,$L$1:L1518,L1518)))</f>
        <v>003</v>
      </c>
      <c r="N151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18" s="14" t="e">
        <f>+LEN(Table4[[#This Row],[New Item Code]])</f>
        <v>#N/A</v>
      </c>
      <c r="P1518" s="15" t="s">
        <v>4747</v>
      </c>
      <c r="Q1518" s="15" t="s">
        <v>4749</v>
      </c>
      <c r="R1518" s="15"/>
      <c r="S1518" s="15"/>
      <c r="T1518" s="15" t="s">
        <v>4709</v>
      </c>
    </row>
    <row r="1519" spans="1:20" x14ac:dyDescent="0.35">
      <c r="A1519" s="3" t="s">
        <v>3021</v>
      </c>
      <c r="B1519" s="3" t="s">
        <v>3022</v>
      </c>
      <c r="C1519" s="3" t="s">
        <v>15</v>
      </c>
      <c r="D1519" s="3">
        <v>823.68</v>
      </c>
      <c r="E1519" s="3" t="s">
        <v>10</v>
      </c>
      <c r="F1519" s="3">
        <v>0</v>
      </c>
      <c r="G1519" s="21">
        <f>Table4[[#This Row],[Item Cost]]*Table4[[#This Row],[In Stock]]</f>
        <v>0</v>
      </c>
      <c r="H1519" s="12" t="s">
        <v>4661</v>
      </c>
      <c r="I1519" s="13" t="s">
        <v>4666</v>
      </c>
      <c r="J1519" s="13" t="s">
        <v>4709</v>
      </c>
      <c r="K1519" s="13" t="s">
        <v>4672</v>
      </c>
      <c r="L1519" s="12" t="s">
        <v>4672</v>
      </c>
      <c r="M1519" s="17" t="str">
        <f>IF(LEN(COUNTIFS($H$1:H1519,$H1519,$I$1:I1519,$I1519,$J$1:J1519,$J1519,$K$1:K1519,K1519,$L$1:L1519,L1519))=1,"00"&amp;COUNTIFS($H$1:H1519,$H1519,$I$1:I1519,$I1519,$J$1:J1519,$J1519,$K$1:K1519,K1519,$L$1:L1519,L1519),IF(LEN(COUNTIFS($H$1:H1519,$H1519,$I$1:I1519,$I1519,$J$1:J1519,$J1519,$K$1:K1519,K1519,$L$1:L1519,L1519))=2,"0"&amp;COUNTIFS($H$1:H1519,$H1519,$I$1:I1519,$I1519,$J$1:J1519,$J1519,$K$1:K1519,K1519,$L$1:L1519,L1519),COUNTIFS($H$1:H1519,$H1519,$I$1:I1519,$I1519,$J$1:J1519,$J1519,$K$1:K1519,K1519,$L$1:L1519,L1519)))</f>
        <v>001</v>
      </c>
      <c r="N151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19" s="14" t="e">
        <f>+LEN(Table4[[#This Row],[New Item Code]])</f>
        <v>#N/A</v>
      </c>
      <c r="P1519" s="15" t="s">
        <v>4747</v>
      </c>
      <c r="Q1519" s="15" t="s">
        <v>4749</v>
      </c>
      <c r="R1519" s="15"/>
      <c r="S1519" s="15"/>
      <c r="T1519" s="15" t="s">
        <v>4709</v>
      </c>
    </row>
    <row r="1520" spans="1:20" x14ac:dyDescent="0.35">
      <c r="A1520" s="2" t="s">
        <v>3023</v>
      </c>
      <c r="B1520" s="2" t="s">
        <v>3024</v>
      </c>
      <c r="C1520" s="2" t="s">
        <v>9</v>
      </c>
      <c r="D1520" s="4">
        <v>1797.91</v>
      </c>
      <c r="E1520" s="2" t="s">
        <v>10</v>
      </c>
      <c r="F1520" s="2">
        <v>1</v>
      </c>
      <c r="G1520" s="22">
        <f>Table4[[#This Row],[Item Cost]]*Table4[[#This Row],[In Stock]]</f>
        <v>1797.91</v>
      </c>
      <c r="H1520" s="12" t="s">
        <v>4661</v>
      </c>
      <c r="I1520" s="13" t="s">
        <v>4664</v>
      </c>
      <c r="J1520" s="13" t="s">
        <v>4709</v>
      </c>
      <c r="K1520" s="13" t="s">
        <v>4672</v>
      </c>
      <c r="L1520" s="12" t="s">
        <v>4672</v>
      </c>
      <c r="M1520" s="17" t="str">
        <f>IF(LEN(COUNTIFS($H$1:H1520,$H1520,$I$1:I1520,$I1520,$J$1:J1520,$J1520,$K$1:K1520,K1520,$L$1:L1520,L1520))=1,"00"&amp;COUNTIFS($H$1:H1520,$H1520,$I$1:I1520,$I1520,$J$1:J1520,$J1520,$K$1:K1520,K1520,$L$1:L1520,L1520),IF(LEN(COUNTIFS($H$1:H1520,$H1520,$I$1:I1520,$I1520,$J$1:J1520,$J1520,$K$1:K1520,K1520,$L$1:L1520,L1520))=2,"0"&amp;COUNTIFS($H$1:H1520,$H1520,$I$1:I1520,$I1520,$J$1:J1520,$J1520,$K$1:K1520,K1520,$L$1:L1520,L1520),COUNTIFS($H$1:H1520,$H1520,$I$1:I1520,$I1520,$J$1:J1520,$J1520,$K$1:K1520,K1520,$L$1:L1520,L1520)))</f>
        <v>004</v>
      </c>
      <c r="N152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20" s="14" t="e">
        <f>+LEN(Table4[[#This Row],[New Item Code]])</f>
        <v>#N/A</v>
      </c>
      <c r="P1520" s="15" t="s">
        <v>4747</v>
      </c>
      <c r="Q1520" s="15" t="s">
        <v>4749</v>
      </c>
      <c r="R1520" s="15"/>
      <c r="S1520" s="15"/>
      <c r="T1520" s="15" t="s">
        <v>4709</v>
      </c>
    </row>
    <row r="1521" spans="1:20" x14ac:dyDescent="0.35">
      <c r="A1521" s="3" t="s">
        <v>3025</v>
      </c>
      <c r="B1521" s="3" t="s">
        <v>3026</v>
      </c>
      <c r="C1521" s="3" t="s">
        <v>9</v>
      </c>
      <c r="D1521" s="5">
        <v>4481</v>
      </c>
      <c r="E1521" s="3" t="s">
        <v>10</v>
      </c>
      <c r="F1521" s="3">
        <v>1</v>
      </c>
      <c r="G1521" s="21">
        <f>Table4[[#This Row],[Item Cost]]*Table4[[#This Row],[In Stock]]</f>
        <v>4481</v>
      </c>
      <c r="H1521" s="12" t="s">
        <v>4661</v>
      </c>
      <c r="I1521" s="13" t="s">
        <v>4664</v>
      </c>
      <c r="J1521" s="13" t="s">
        <v>4709</v>
      </c>
      <c r="K1521" s="13" t="s">
        <v>4672</v>
      </c>
      <c r="L1521" s="12" t="s">
        <v>4672</v>
      </c>
      <c r="M1521" s="17" t="str">
        <f>IF(LEN(COUNTIFS($H$1:H1521,$H1521,$I$1:I1521,$I1521,$J$1:J1521,$J1521,$K$1:K1521,K1521,$L$1:L1521,L1521))=1,"00"&amp;COUNTIFS($H$1:H1521,$H1521,$I$1:I1521,$I1521,$J$1:J1521,$J1521,$K$1:K1521,K1521,$L$1:L1521,L1521),IF(LEN(COUNTIFS($H$1:H1521,$H1521,$I$1:I1521,$I1521,$J$1:J1521,$J1521,$K$1:K1521,K1521,$L$1:L1521,L1521))=2,"0"&amp;COUNTIFS($H$1:H1521,$H1521,$I$1:I1521,$I1521,$J$1:J1521,$J1521,$K$1:K1521,K1521,$L$1:L1521,L1521),COUNTIFS($H$1:H1521,$H1521,$I$1:I1521,$I1521,$J$1:J1521,$J1521,$K$1:K1521,K1521,$L$1:L1521,L1521)))</f>
        <v>005</v>
      </c>
      <c r="N152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21" s="14" t="e">
        <f>+LEN(Table4[[#This Row],[New Item Code]])</f>
        <v>#N/A</v>
      </c>
      <c r="P1521" s="15" t="s">
        <v>4747</v>
      </c>
      <c r="Q1521" s="15" t="s">
        <v>4749</v>
      </c>
      <c r="R1521" s="15"/>
      <c r="S1521" s="15"/>
      <c r="T1521" s="15" t="s">
        <v>4709</v>
      </c>
    </row>
    <row r="1522" spans="1:20" x14ac:dyDescent="0.35">
      <c r="A1522" s="2" t="s">
        <v>3027</v>
      </c>
      <c r="B1522" s="2" t="s">
        <v>3028</v>
      </c>
      <c r="C1522" s="2" t="s">
        <v>9</v>
      </c>
      <c r="D1522" s="2">
        <v>787</v>
      </c>
      <c r="E1522" s="2" t="s">
        <v>10</v>
      </c>
      <c r="F1522" s="2">
        <v>0</v>
      </c>
      <c r="G1522" s="22">
        <f>Table4[[#This Row],[Item Cost]]*Table4[[#This Row],[In Stock]]</f>
        <v>0</v>
      </c>
      <c r="H1522" s="12" t="s">
        <v>4661</v>
      </c>
      <c r="I1522" s="13" t="s">
        <v>4664</v>
      </c>
      <c r="J1522" s="13" t="s">
        <v>4709</v>
      </c>
      <c r="K1522" s="13" t="s">
        <v>4672</v>
      </c>
      <c r="L1522" s="12" t="s">
        <v>4672</v>
      </c>
      <c r="M1522" s="17" t="str">
        <f>IF(LEN(COUNTIFS($H$1:H1522,$H1522,$I$1:I1522,$I1522,$J$1:J1522,$J1522,$K$1:K1522,K1522,$L$1:L1522,L1522))=1,"00"&amp;COUNTIFS($H$1:H1522,$H1522,$I$1:I1522,$I1522,$J$1:J1522,$J1522,$K$1:K1522,K1522,$L$1:L1522,L1522),IF(LEN(COUNTIFS($H$1:H1522,$H1522,$I$1:I1522,$I1522,$J$1:J1522,$J1522,$K$1:K1522,K1522,$L$1:L1522,L1522))=2,"0"&amp;COUNTIFS($H$1:H1522,$H1522,$I$1:I1522,$I1522,$J$1:J1522,$J1522,$K$1:K1522,K1522,$L$1:L1522,L1522),COUNTIFS($H$1:H1522,$H1522,$I$1:I1522,$I1522,$J$1:J1522,$J1522,$K$1:K1522,K1522,$L$1:L1522,L1522)))</f>
        <v>006</v>
      </c>
      <c r="N152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22" s="14" t="e">
        <f>+LEN(Table4[[#This Row],[New Item Code]])</f>
        <v>#N/A</v>
      </c>
      <c r="P1522" s="15" t="s">
        <v>4747</v>
      </c>
      <c r="Q1522" s="15" t="s">
        <v>4749</v>
      </c>
      <c r="R1522" s="15"/>
      <c r="S1522" s="15"/>
      <c r="T1522" s="15" t="s">
        <v>4709</v>
      </c>
    </row>
    <row r="1523" spans="1:20" x14ac:dyDescent="0.35">
      <c r="A1523" s="3" t="s">
        <v>3029</v>
      </c>
      <c r="B1523" s="3" t="s">
        <v>3030</v>
      </c>
      <c r="C1523" s="3" t="s">
        <v>9</v>
      </c>
      <c r="D1523" s="3">
        <v>675.15</v>
      </c>
      <c r="E1523" s="3" t="s">
        <v>10</v>
      </c>
      <c r="F1523" s="3">
        <v>0</v>
      </c>
      <c r="G1523" s="21">
        <f>Table4[[#This Row],[Item Cost]]*Table4[[#This Row],[In Stock]]</f>
        <v>0</v>
      </c>
      <c r="H1523" s="12" t="s">
        <v>4661</v>
      </c>
      <c r="I1523" s="13" t="s">
        <v>4664</v>
      </c>
      <c r="J1523" s="13" t="s">
        <v>4709</v>
      </c>
      <c r="K1523" s="13" t="s">
        <v>4672</v>
      </c>
      <c r="L1523" s="12" t="s">
        <v>4672</v>
      </c>
      <c r="M1523" s="17" t="str">
        <f>IF(LEN(COUNTIFS($H$1:H1523,$H1523,$I$1:I1523,$I1523,$J$1:J1523,$J1523,$K$1:K1523,K1523,$L$1:L1523,L1523))=1,"00"&amp;COUNTIFS($H$1:H1523,$H1523,$I$1:I1523,$I1523,$J$1:J1523,$J1523,$K$1:K1523,K1523,$L$1:L1523,L1523),IF(LEN(COUNTIFS($H$1:H1523,$H1523,$I$1:I1523,$I1523,$J$1:J1523,$J1523,$K$1:K1523,K1523,$L$1:L1523,L1523))=2,"0"&amp;COUNTIFS($H$1:H1523,$H1523,$I$1:I1523,$I1523,$J$1:J1523,$J1523,$K$1:K1523,K1523,$L$1:L1523,L1523),COUNTIFS($H$1:H1523,$H1523,$I$1:I1523,$I1523,$J$1:J1523,$J1523,$K$1:K1523,K1523,$L$1:L1523,L1523)))</f>
        <v>007</v>
      </c>
      <c r="N152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23" s="14" t="e">
        <f>+LEN(Table4[[#This Row],[New Item Code]])</f>
        <v>#N/A</v>
      </c>
      <c r="P1523" s="15" t="s">
        <v>4747</v>
      </c>
      <c r="Q1523" s="15" t="s">
        <v>4749</v>
      </c>
      <c r="R1523" s="15"/>
      <c r="S1523" s="15"/>
      <c r="T1523" s="15" t="s">
        <v>4709</v>
      </c>
    </row>
    <row r="1524" spans="1:20" x14ac:dyDescent="0.35">
      <c r="A1524" s="2" t="s">
        <v>3031</v>
      </c>
      <c r="B1524" s="2" t="s">
        <v>3032</v>
      </c>
      <c r="C1524" s="2" t="s">
        <v>9</v>
      </c>
      <c r="D1524" s="2">
        <v>787</v>
      </c>
      <c r="E1524" s="2" t="s">
        <v>10</v>
      </c>
      <c r="F1524" s="2">
        <v>0</v>
      </c>
      <c r="G1524" s="22">
        <f>Table4[[#This Row],[Item Cost]]*Table4[[#This Row],[In Stock]]</f>
        <v>0</v>
      </c>
      <c r="H1524" s="12" t="s">
        <v>4661</v>
      </c>
      <c r="I1524" s="13" t="s">
        <v>4664</v>
      </c>
      <c r="J1524" s="13" t="s">
        <v>4709</v>
      </c>
      <c r="K1524" s="13" t="s">
        <v>4672</v>
      </c>
      <c r="L1524" s="12" t="s">
        <v>4672</v>
      </c>
      <c r="M1524" s="17" t="str">
        <f>IF(LEN(COUNTIFS($H$1:H1524,$H1524,$I$1:I1524,$I1524,$J$1:J1524,$J1524,$K$1:K1524,K1524,$L$1:L1524,L1524))=1,"00"&amp;COUNTIFS($H$1:H1524,$H1524,$I$1:I1524,$I1524,$J$1:J1524,$J1524,$K$1:K1524,K1524,$L$1:L1524,L1524),IF(LEN(COUNTIFS($H$1:H1524,$H1524,$I$1:I1524,$I1524,$J$1:J1524,$J1524,$K$1:K1524,K1524,$L$1:L1524,L1524))=2,"0"&amp;COUNTIFS($H$1:H1524,$H1524,$I$1:I1524,$I1524,$J$1:J1524,$J1524,$K$1:K1524,K1524,$L$1:L1524,L1524),COUNTIFS($H$1:H1524,$H1524,$I$1:I1524,$I1524,$J$1:J1524,$J1524,$K$1:K1524,K1524,$L$1:L1524,L1524)))</f>
        <v>008</v>
      </c>
      <c r="N152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24" s="14" t="e">
        <f>+LEN(Table4[[#This Row],[New Item Code]])</f>
        <v>#N/A</v>
      </c>
      <c r="P1524" s="15" t="s">
        <v>4747</v>
      </c>
      <c r="Q1524" s="15" t="s">
        <v>4749</v>
      </c>
      <c r="R1524" s="15"/>
      <c r="S1524" s="15"/>
      <c r="T1524" s="15" t="s">
        <v>4709</v>
      </c>
    </row>
    <row r="1525" spans="1:20" x14ac:dyDescent="0.35">
      <c r="A1525" s="3" t="s">
        <v>3033</v>
      </c>
      <c r="B1525" s="3" t="s">
        <v>3034</v>
      </c>
      <c r="C1525" s="3" t="s">
        <v>9</v>
      </c>
      <c r="D1525" s="3">
        <v>355.834</v>
      </c>
      <c r="E1525" s="3" t="s">
        <v>10</v>
      </c>
      <c r="F1525" s="3">
        <v>7</v>
      </c>
      <c r="G1525" s="21">
        <f>Table4[[#This Row],[Item Cost]]*Table4[[#This Row],[In Stock]]</f>
        <v>2490.8380000000002</v>
      </c>
      <c r="H1525" s="12" t="s">
        <v>4661</v>
      </c>
      <c r="I1525" s="13" t="s">
        <v>4664</v>
      </c>
      <c r="J1525" s="13" t="s">
        <v>4709</v>
      </c>
      <c r="K1525" s="13" t="s">
        <v>4672</v>
      </c>
      <c r="L1525" s="12" t="s">
        <v>4672</v>
      </c>
      <c r="M1525" s="17" t="str">
        <f>IF(LEN(COUNTIFS($H$1:H1525,$H1525,$I$1:I1525,$I1525,$J$1:J1525,$J1525,$K$1:K1525,K1525,$L$1:L1525,L1525))=1,"00"&amp;COUNTIFS($H$1:H1525,$H1525,$I$1:I1525,$I1525,$J$1:J1525,$J1525,$K$1:K1525,K1525,$L$1:L1525,L1525),IF(LEN(COUNTIFS($H$1:H1525,$H1525,$I$1:I1525,$I1525,$J$1:J1525,$J1525,$K$1:K1525,K1525,$L$1:L1525,L1525))=2,"0"&amp;COUNTIFS($H$1:H1525,$H1525,$I$1:I1525,$I1525,$J$1:J1525,$J1525,$K$1:K1525,K1525,$L$1:L1525,L1525),COUNTIFS($H$1:H1525,$H1525,$I$1:I1525,$I1525,$J$1:J1525,$J1525,$K$1:K1525,K1525,$L$1:L1525,L1525)))</f>
        <v>009</v>
      </c>
      <c r="N152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25" s="14" t="e">
        <f>+LEN(Table4[[#This Row],[New Item Code]])</f>
        <v>#N/A</v>
      </c>
      <c r="P1525" s="15" t="s">
        <v>4747</v>
      </c>
      <c r="Q1525" s="15" t="s">
        <v>4749</v>
      </c>
      <c r="R1525" s="15"/>
      <c r="S1525" s="15"/>
      <c r="T1525" s="15" t="s">
        <v>4709</v>
      </c>
    </row>
    <row r="1526" spans="1:20" x14ac:dyDescent="0.35">
      <c r="A1526" s="2" t="s">
        <v>3035</v>
      </c>
      <c r="B1526" s="2" t="s">
        <v>3036</v>
      </c>
      <c r="C1526" s="2" t="s">
        <v>9</v>
      </c>
      <c r="D1526" s="2">
        <v>667</v>
      </c>
      <c r="E1526" s="2" t="s">
        <v>10</v>
      </c>
      <c r="F1526" s="2">
        <v>1</v>
      </c>
      <c r="G1526" s="22">
        <f>Table4[[#This Row],[Item Cost]]*Table4[[#This Row],[In Stock]]</f>
        <v>667</v>
      </c>
      <c r="H1526" s="12" t="s">
        <v>4661</v>
      </c>
      <c r="I1526" s="13" t="s">
        <v>4664</v>
      </c>
      <c r="J1526" s="13" t="s">
        <v>4709</v>
      </c>
      <c r="K1526" s="13" t="s">
        <v>4672</v>
      </c>
      <c r="L1526" s="12" t="s">
        <v>4672</v>
      </c>
      <c r="M1526" s="17" t="str">
        <f>IF(LEN(COUNTIFS($H$1:H1526,$H1526,$I$1:I1526,$I1526,$J$1:J1526,$J1526,$K$1:K1526,K1526,$L$1:L1526,L1526))=1,"00"&amp;COUNTIFS($H$1:H1526,$H1526,$I$1:I1526,$I1526,$J$1:J1526,$J1526,$K$1:K1526,K1526,$L$1:L1526,L1526),IF(LEN(COUNTIFS($H$1:H1526,$H1526,$I$1:I1526,$I1526,$J$1:J1526,$J1526,$K$1:K1526,K1526,$L$1:L1526,L1526))=2,"0"&amp;COUNTIFS($H$1:H1526,$H1526,$I$1:I1526,$I1526,$J$1:J1526,$J1526,$K$1:K1526,K1526,$L$1:L1526,L1526),COUNTIFS($H$1:H1526,$H1526,$I$1:I1526,$I1526,$J$1:J1526,$J1526,$K$1:K1526,K1526,$L$1:L1526,L1526)))</f>
        <v>010</v>
      </c>
      <c r="N152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26" s="14" t="e">
        <f>+LEN(Table4[[#This Row],[New Item Code]])</f>
        <v>#N/A</v>
      </c>
      <c r="P1526" s="15" t="s">
        <v>4747</v>
      </c>
      <c r="Q1526" s="15" t="s">
        <v>4749</v>
      </c>
      <c r="R1526" s="15"/>
      <c r="S1526" s="15"/>
      <c r="T1526" s="15" t="s">
        <v>4709</v>
      </c>
    </row>
    <row r="1527" spans="1:20" x14ac:dyDescent="0.35">
      <c r="A1527" s="3" t="s">
        <v>3037</v>
      </c>
      <c r="B1527" s="3" t="s">
        <v>3038</v>
      </c>
      <c r="C1527" s="3" t="s">
        <v>9</v>
      </c>
      <c r="D1527" s="3">
        <v>36.840000000000003</v>
      </c>
      <c r="E1527" s="3" t="s">
        <v>10</v>
      </c>
      <c r="F1527" s="3">
        <v>2</v>
      </c>
      <c r="G1527" s="21">
        <f>Table4[[#This Row],[Item Cost]]*Table4[[#This Row],[In Stock]]</f>
        <v>73.680000000000007</v>
      </c>
      <c r="H1527" s="12" t="s">
        <v>4661</v>
      </c>
      <c r="I1527" s="13" t="s">
        <v>4664</v>
      </c>
      <c r="J1527" s="13" t="s">
        <v>4709</v>
      </c>
      <c r="K1527" s="13" t="s">
        <v>4672</v>
      </c>
      <c r="L1527" s="12" t="s">
        <v>4672</v>
      </c>
      <c r="M1527" s="17" t="str">
        <f>IF(LEN(COUNTIFS($H$1:H1527,$H1527,$I$1:I1527,$I1527,$J$1:J1527,$J1527,$K$1:K1527,K1527,$L$1:L1527,L1527))=1,"00"&amp;COUNTIFS($H$1:H1527,$H1527,$I$1:I1527,$I1527,$J$1:J1527,$J1527,$K$1:K1527,K1527,$L$1:L1527,L1527),IF(LEN(COUNTIFS($H$1:H1527,$H1527,$I$1:I1527,$I1527,$J$1:J1527,$J1527,$K$1:K1527,K1527,$L$1:L1527,L1527))=2,"0"&amp;COUNTIFS($H$1:H1527,$H1527,$I$1:I1527,$I1527,$J$1:J1527,$J1527,$K$1:K1527,K1527,$L$1:L1527,L1527),COUNTIFS($H$1:H1527,$H1527,$I$1:I1527,$I1527,$J$1:J1527,$J1527,$K$1:K1527,K1527,$L$1:L1527,L1527)))</f>
        <v>011</v>
      </c>
      <c r="N152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27" s="14" t="e">
        <f>+LEN(Table4[[#This Row],[New Item Code]])</f>
        <v>#N/A</v>
      </c>
      <c r="P1527" s="15" t="s">
        <v>4747</v>
      </c>
      <c r="Q1527" s="15" t="s">
        <v>4749</v>
      </c>
      <c r="R1527" s="15"/>
      <c r="S1527" s="15"/>
      <c r="T1527" s="15" t="s">
        <v>4709</v>
      </c>
    </row>
    <row r="1528" spans="1:20" x14ac:dyDescent="0.35">
      <c r="A1528" s="2" t="s">
        <v>3039</v>
      </c>
      <c r="B1528" s="2" t="s">
        <v>3040</v>
      </c>
      <c r="C1528" s="2" t="s">
        <v>9</v>
      </c>
      <c r="D1528" s="2">
        <v>401.36</v>
      </c>
      <c r="E1528" s="2" t="s">
        <v>10</v>
      </c>
      <c r="F1528" s="2">
        <v>1</v>
      </c>
      <c r="G1528" s="22">
        <f>Table4[[#This Row],[Item Cost]]*Table4[[#This Row],[In Stock]]</f>
        <v>401.36</v>
      </c>
      <c r="H1528" s="12" t="s">
        <v>4661</v>
      </c>
      <c r="I1528" s="13" t="s">
        <v>4664</v>
      </c>
      <c r="J1528" s="13" t="s">
        <v>4709</v>
      </c>
      <c r="K1528" s="13" t="s">
        <v>4672</v>
      </c>
      <c r="L1528" s="12" t="s">
        <v>4672</v>
      </c>
      <c r="M1528" s="17" t="str">
        <f>IF(LEN(COUNTIFS($H$1:H1528,$H1528,$I$1:I1528,$I1528,$J$1:J1528,$J1528,$K$1:K1528,K1528,$L$1:L1528,L1528))=1,"00"&amp;COUNTIFS($H$1:H1528,$H1528,$I$1:I1528,$I1528,$J$1:J1528,$J1528,$K$1:K1528,K1528,$L$1:L1528,L1528),IF(LEN(COUNTIFS($H$1:H1528,$H1528,$I$1:I1528,$I1528,$J$1:J1528,$J1528,$K$1:K1528,K1528,$L$1:L1528,L1528))=2,"0"&amp;COUNTIFS($H$1:H1528,$H1528,$I$1:I1528,$I1528,$J$1:J1528,$J1528,$K$1:K1528,K1528,$L$1:L1528,L1528),COUNTIFS($H$1:H1528,$H1528,$I$1:I1528,$I1528,$J$1:J1528,$J1528,$K$1:K1528,K1528,$L$1:L1528,L1528)))</f>
        <v>012</v>
      </c>
      <c r="N152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28" s="14" t="e">
        <f>+LEN(Table4[[#This Row],[New Item Code]])</f>
        <v>#N/A</v>
      </c>
      <c r="P1528" s="15" t="s">
        <v>4747</v>
      </c>
      <c r="Q1528" s="15" t="s">
        <v>4749</v>
      </c>
      <c r="R1528" s="15"/>
      <c r="S1528" s="15"/>
      <c r="T1528" s="15" t="s">
        <v>4709</v>
      </c>
    </row>
    <row r="1529" spans="1:20" x14ac:dyDescent="0.35">
      <c r="A1529" s="3" t="s">
        <v>3041</v>
      </c>
      <c r="B1529" s="3" t="s">
        <v>3042</v>
      </c>
      <c r="C1529" s="3" t="s">
        <v>9</v>
      </c>
      <c r="D1529" s="3">
        <v>18.899999999999999</v>
      </c>
      <c r="E1529" s="3" t="s">
        <v>10</v>
      </c>
      <c r="F1529" s="3">
        <v>0</v>
      </c>
      <c r="G1529" s="21">
        <f>Table4[[#This Row],[Item Cost]]*Table4[[#This Row],[In Stock]]</f>
        <v>0</v>
      </c>
      <c r="H1529" s="12" t="s">
        <v>4661</v>
      </c>
      <c r="I1529" s="13" t="s">
        <v>4664</v>
      </c>
      <c r="J1529" s="13" t="s">
        <v>4709</v>
      </c>
      <c r="K1529" s="13" t="s">
        <v>4672</v>
      </c>
      <c r="L1529" s="12" t="s">
        <v>4672</v>
      </c>
      <c r="M1529" s="17" t="str">
        <f>IF(LEN(COUNTIFS($H$1:H1529,$H1529,$I$1:I1529,$I1529,$J$1:J1529,$J1529,$K$1:K1529,K1529,$L$1:L1529,L1529))=1,"00"&amp;COUNTIFS($H$1:H1529,$H1529,$I$1:I1529,$I1529,$J$1:J1529,$J1529,$K$1:K1529,K1529,$L$1:L1529,L1529),IF(LEN(COUNTIFS($H$1:H1529,$H1529,$I$1:I1529,$I1529,$J$1:J1529,$J1529,$K$1:K1529,K1529,$L$1:L1529,L1529))=2,"0"&amp;COUNTIFS($H$1:H1529,$H1529,$I$1:I1529,$I1529,$J$1:J1529,$J1529,$K$1:K1529,K1529,$L$1:L1529,L1529),COUNTIFS($H$1:H1529,$H1529,$I$1:I1529,$I1529,$J$1:J1529,$J1529,$K$1:K1529,K1529,$L$1:L1529,L1529)))</f>
        <v>013</v>
      </c>
      <c r="N152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29" s="14" t="e">
        <f>+LEN(Table4[[#This Row],[New Item Code]])</f>
        <v>#N/A</v>
      </c>
      <c r="P1529" s="15" t="s">
        <v>4747</v>
      </c>
      <c r="Q1529" s="15" t="s">
        <v>4749</v>
      </c>
      <c r="R1529" s="15"/>
      <c r="S1529" s="15"/>
      <c r="T1529" s="15" t="s">
        <v>4709</v>
      </c>
    </row>
    <row r="1530" spans="1:20" x14ac:dyDescent="0.35">
      <c r="A1530" s="2" t="s">
        <v>3043</v>
      </c>
      <c r="B1530" s="2" t="s">
        <v>3044</v>
      </c>
      <c r="C1530" s="2" t="s">
        <v>9</v>
      </c>
      <c r="D1530" s="4">
        <v>1085.8150000000001</v>
      </c>
      <c r="E1530" s="2" t="s">
        <v>10</v>
      </c>
      <c r="F1530" s="2">
        <v>2</v>
      </c>
      <c r="G1530" s="22">
        <f>Table4[[#This Row],[Item Cost]]*Table4[[#This Row],[In Stock]]</f>
        <v>2171.63</v>
      </c>
      <c r="H1530" s="12" t="s">
        <v>4661</v>
      </c>
      <c r="I1530" s="13" t="s">
        <v>4664</v>
      </c>
      <c r="J1530" s="13" t="s">
        <v>4709</v>
      </c>
      <c r="K1530" s="13" t="s">
        <v>4672</v>
      </c>
      <c r="L1530" s="12" t="s">
        <v>4672</v>
      </c>
      <c r="M1530" s="17" t="str">
        <f>IF(LEN(COUNTIFS($H$1:H1530,$H1530,$I$1:I1530,$I1530,$J$1:J1530,$J1530,$K$1:K1530,K1530,$L$1:L1530,L1530))=1,"00"&amp;COUNTIFS($H$1:H1530,$H1530,$I$1:I1530,$I1530,$J$1:J1530,$J1530,$K$1:K1530,K1530,$L$1:L1530,L1530),IF(LEN(COUNTIFS($H$1:H1530,$H1530,$I$1:I1530,$I1530,$J$1:J1530,$J1530,$K$1:K1530,K1530,$L$1:L1530,L1530))=2,"0"&amp;COUNTIFS($H$1:H1530,$H1530,$I$1:I1530,$I1530,$J$1:J1530,$J1530,$K$1:K1530,K1530,$L$1:L1530,L1530),COUNTIFS($H$1:H1530,$H1530,$I$1:I1530,$I1530,$J$1:J1530,$J1530,$K$1:K1530,K1530,$L$1:L1530,L1530)))</f>
        <v>014</v>
      </c>
      <c r="N153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30" s="14" t="e">
        <f>+LEN(Table4[[#This Row],[New Item Code]])</f>
        <v>#N/A</v>
      </c>
      <c r="P1530" s="15" t="s">
        <v>4747</v>
      </c>
      <c r="Q1530" s="15" t="s">
        <v>4749</v>
      </c>
      <c r="R1530" s="15"/>
      <c r="S1530" s="15"/>
      <c r="T1530" s="15" t="s">
        <v>4709</v>
      </c>
    </row>
    <row r="1531" spans="1:20" x14ac:dyDescent="0.35">
      <c r="A1531" s="3" t="s">
        <v>3045</v>
      </c>
      <c r="B1531" s="3" t="s">
        <v>3046</v>
      </c>
      <c r="C1531" s="3" t="s">
        <v>9</v>
      </c>
      <c r="D1531" s="5">
        <v>1275</v>
      </c>
      <c r="E1531" s="3" t="s">
        <v>10</v>
      </c>
      <c r="F1531" s="3">
        <v>2</v>
      </c>
      <c r="G1531" s="21">
        <f>Table4[[#This Row],[Item Cost]]*Table4[[#This Row],[In Stock]]</f>
        <v>2550</v>
      </c>
      <c r="H1531" s="12" t="s">
        <v>4661</v>
      </c>
      <c r="I1531" s="13" t="s">
        <v>4664</v>
      </c>
      <c r="J1531" s="13" t="s">
        <v>4709</v>
      </c>
      <c r="K1531" s="13" t="s">
        <v>4672</v>
      </c>
      <c r="L1531" s="12" t="s">
        <v>4672</v>
      </c>
      <c r="M1531" s="17" t="str">
        <f>IF(LEN(COUNTIFS($H$1:H1531,$H1531,$I$1:I1531,$I1531,$J$1:J1531,$J1531,$K$1:K1531,K1531,$L$1:L1531,L1531))=1,"00"&amp;COUNTIFS($H$1:H1531,$H1531,$I$1:I1531,$I1531,$J$1:J1531,$J1531,$K$1:K1531,K1531,$L$1:L1531,L1531),IF(LEN(COUNTIFS($H$1:H1531,$H1531,$I$1:I1531,$I1531,$J$1:J1531,$J1531,$K$1:K1531,K1531,$L$1:L1531,L1531))=2,"0"&amp;COUNTIFS($H$1:H1531,$H1531,$I$1:I1531,$I1531,$J$1:J1531,$J1531,$K$1:K1531,K1531,$L$1:L1531,L1531),COUNTIFS($H$1:H1531,$H1531,$I$1:I1531,$I1531,$J$1:J1531,$J1531,$K$1:K1531,K1531,$L$1:L1531,L1531)))</f>
        <v>015</v>
      </c>
      <c r="N153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31" s="14" t="e">
        <f>+LEN(Table4[[#This Row],[New Item Code]])</f>
        <v>#N/A</v>
      </c>
      <c r="P1531" s="15" t="s">
        <v>4747</v>
      </c>
      <c r="Q1531" s="15" t="s">
        <v>4749</v>
      </c>
      <c r="R1531" s="15"/>
      <c r="S1531" s="15"/>
      <c r="T1531" s="15" t="s">
        <v>4709</v>
      </c>
    </row>
    <row r="1532" spans="1:20" x14ac:dyDescent="0.35">
      <c r="A1532" s="2" t="s">
        <v>3047</v>
      </c>
      <c r="B1532" s="2" t="s">
        <v>3048</v>
      </c>
      <c r="C1532" s="2" t="s">
        <v>9</v>
      </c>
      <c r="D1532" s="4">
        <v>1746.175</v>
      </c>
      <c r="E1532" s="2" t="s">
        <v>10</v>
      </c>
      <c r="F1532" s="2">
        <v>2</v>
      </c>
      <c r="G1532" s="22">
        <f>Table4[[#This Row],[Item Cost]]*Table4[[#This Row],[In Stock]]</f>
        <v>3492.35</v>
      </c>
      <c r="H1532" s="12" t="s">
        <v>4661</v>
      </c>
      <c r="I1532" s="13" t="s">
        <v>4664</v>
      </c>
      <c r="J1532" s="13" t="s">
        <v>4709</v>
      </c>
      <c r="K1532" s="13" t="s">
        <v>4672</v>
      </c>
      <c r="L1532" s="12" t="s">
        <v>4672</v>
      </c>
      <c r="M1532" s="17" t="str">
        <f>IF(LEN(COUNTIFS($H$1:H1532,$H1532,$I$1:I1532,$I1532,$J$1:J1532,$J1532,$K$1:K1532,K1532,$L$1:L1532,L1532))=1,"00"&amp;COUNTIFS($H$1:H1532,$H1532,$I$1:I1532,$I1532,$J$1:J1532,$J1532,$K$1:K1532,K1532,$L$1:L1532,L1532),IF(LEN(COUNTIFS($H$1:H1532,$H1532,$I$1:I1532,$I1532,$J$1:J1532,$J1532,$K$1:K1532,K1532,$L$1:L1532,L1532))=2,"0"&amp;COUNTIFS($H$1:H1532,$H1532,$I$1:I1532,$I1532,$J$1:J1532,$J1532,$K$1:K1532,K1532,$L$1:L1532,L1532),COUNTIFS($H$1:H1532,$H1532,$I$1:I1532,$I1532,$J$1:J1532,$J1532,$K$1:K1532,K1532,$L$1:L1532,L1532)))</f>
        <v>016</v>
      </c>
      <c r="N153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32" s="14" t="e">
        <f>+LEN(Table4[[#This Row],[New Item Code]])</f>
        <v>#N/A</v>
      </c>
      <c r="P1532" s="15" t="s">
        <v>4747</v>
      </c>
      <c r="Q1532" s="15" t="s">
        <v>4749</v>
      </c>
      <c r="R1532" s="15"/>
      <c r="S1532" s="15"/>
      <c r="T1532" s="15" t="s">
        <v>4709</v>
      </c>
    </row>
    <row r="1533" spans="1:20" x14ac:dyDescent="0.35">
      <c r="A1533" s="3" t="s">
        <v>3049</v>
      </c>
      <c r="B1533" s="3" t="s">
        <v>3050</v>
      </c>
      <c r="C1533" s="3" t="s">
        <v>9</v>
      </c>
      <c r="D1533" s="3">
        <v>272.26</v>
      </c>
      <c r="E1533" s="3" t="s">
        <v>10</v>
      </c>
      <c r="F1533" s="3">
        <v>1</v>
      </c>
      <c r="G1533" s="21">
        <f>Table4[[#This Row],[Item Cost]]*Table4[[#This Row],[In Stock]]</f>
        <v>272.26</v>
      </c>
      <c r="H1533" s="12" t="s">
        <v>4661</v>
      </c>
      <c r="I1533" s="13" t="s">
        <v>4664</v>
      </c>
      <c r="J1533" s="13" t="s">
        <v>4709</v>
      </c>
      <c r="K1533" s="13" t="s">
        <v>4672</v>
      </c>
      <c r="L1533" s="12" t="s">
        <v>4672</v>
      </c>
      <c r="M1533" s="17" t="str">
        <f>IF(LEN(COUNTIFS($H$1:H1533,$H1533,$I$1:I1533,$I1533,$J$1:J1533,$J1533,$K$1:K1533,K1533,$L$1:L1533,L1533))=1,"00"&amp;COUNTIFS($H$1:H1533,$H1533,$I$1:I1533,$I1533,$J$1:J1533,$J1533,$K$1:K1533,K1533,$L$1:L1533,L1533),IF(LEN(COUNTIFS($H$1:H1533,$H1533,$I$1:I1533,$I1533,$J$1:J1533,$J1533,$K$1:K1533,K1533,$L$1:L1533,L1533))=2,"0"&amp;COUNTIFS($H$1:H1533,$H1533,$I$1:I1533,$I1533,$J$1:J1533,$J1533,$K$1:K1533,K1533,$L$1:L1533,L1533),COUNTIFS($H$1:H1533,$H1533,$I$1:I1533,$I1533,$J$1:J1533,$J1533,$K$1:K1533,K1533,$L$1:L1533,L1533)))</f>
        <v>017</v>
      </c>
      <c r="N153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33" s="14" t="e">
        <f>+LEN(Table4[[#This Row],[New Item Code]])</f>
        <v>#N/A</v>
      </c>
      <c r="P1533" s="15" t="s">
        <v>4747</v>
      </c>
      <c r="Q1533" s="15" t="s">
        <v>4749</v>
      </c>
      <c r="R1533" s="15"/>
      <c r="S1533" s="15"/>
      <c r="T1533" s="15" t="s">
        <v>4709</v>
      </c>
    </row>
    <row r="1534" spans="1:20" x14ac:dyDescent="0.35">
      <c r="A1534" s="2" t="s">
        <v>3051</v>
      </c>
      <c r="B1534" s="2" t="s">
        <v>3052</v>
      </c>
      <c r="C1534" s="2" t="s">
        <v>9</v>
      </c>
      <c r="D1534" s="4">
        <v>1489</v>
      </c>
      <c r="E1534" s="2" t="s">
        <v>10</v>
      </c>
      <c r="F1534" s="2">
        <v>2</v>
      </c>
      <c r="G1534" s="22">
        <f>Table4[[#This Row],[Item Cost]]*Table4[[#This Row],[In Stock]]</f>
        <v>2978</v>
      </c>
      <c r="H1534" s="12" t="s">
        <v>4661</v>
      </c>
      <c r="I1534" s="13" t="s">
        <v>4664</v>
      </c>
      <c r="J1534" s="13" t="s">
        <v>4709</v>
      </c>
      <c r="K1534" s="13" t="s">
        <v>4672</v>
      </c>
      <c r="L1534" s="12" t="s">
        <v>4672</v>
      </c>
      <c r="M1534" s="17" t="str">
        <f>IF(LEN(COUNTIFS($H$1:H1534,$H1534,$I$1:I1534,$I1534,$J$1:J1534,$J1534,$K$1:K1534,K1534,$L$1:L1534,L1534))=1,"00"&amp;COUNTIFS($H$1:H1534,$H1534,$I$1:I1534,$I1534,$J$1:J1534,$J1534,$K$1:K1534,K1534,$L$1:L1534,L1534),IF(LEN(COUNTIFS($H$1:H1534,$H1534,$I$1:I1534,$I1534,$J$1:J1534,$J1534,$K$1:K1534,K1534,$L$1:L1534,L1534))=2,"0"&amp;COUNTIFS($H$1:H1534,$H1534,$I$1:I1534,$I1534,$J$1:J1534,$J1534,$K$1:K1534,K1534,$L$1:L1534,L1534),COUNTIFS($H$1:H1534,$H1534,$I$1:I1534,$I1534,$J$1:J1534,$J1534,$K$1:K1534,K1534,$L$1:L1534,L1534)))</f>
        <v>018</v>
      </c>
      <c r="N153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34" s="14" t="e">
        <f>+LEN(Table4[[#This Row],[New Item Code]])</f>
        <v>#N/A</v>
      </c>
      <c r="P1534" s="15" t="s">
        <v>4747</v>
      </c>
      <c r="Q1534" s="15" t="s">
        <v>4749</v>
      </c>
      <c r="R1534" s="15"/>
      <c r="S1534" s="15"/>
      <c r="T1534" s="15" t="s">
        <v>4709</v>
      </c>
    </row>
    <row r="1535" spans="1:20" x14ac:dyDescent="0.35">
      <c r="A1535" s="3" t="s">
        <v>3053</v>
      </c>
      <c r="B1535" s="3" t="s">
        <v>3054</v>
      </c>
      <c r="C1535" s="3" t="s">
        <v>9</v>
      </c>
      <c r="D1535" s="3">
        <v>38.43</v>
      </c>
      <c r="E1535" s="3" t="s">
        <v>10</v>
      </c>
      <c r="F1535" s="3">
        <v>0</v>
      </c>
      <c r="G1535" s="21">
        <f>Table4[[#This Row],[Item Cost]]*Table4[[#This Row],[In Stock]]</f>
        <v>0</v>
      </c>
      <c r="H1535" s="12" t="s">
        <v>4661</v>
      </c>
      <c r="I1535" s="13" t="s">
        <v>4664</v>
      </c>
      <c r="J1535" s="13" t="s">
        <v>4709</v>
      </c>
      <c r="K1535" s="13" t="s">
        <v>4672</v>
      </c>
      <c r="L1535" s="12" t="s">
        <v>4672</v>
      </c>
      <c r="M1535" s="17" t="str">
        <f>IF(LEN(COUNTIFS($H$1:H1535,$H1535,$I$1:I1535,$I1535,$J$1:J1535,$J1535,$K$1:K1535,K1535,$L$1:L1535,L1535))=1,"00"&amp;COUNTIFS($H$1:H1535,$H1535,$I$1:I1535,$I1535,$J$1:J1535,$J1535,$K$1:K1535,K1535,$L$1:L1535,L1535),IF(LEN(COUNTIFS($H$1:H1535,$H1535,$I$1:I1535,$I1535,$J$1:J1535,$J1535,$K$1:K1535,K1535,$L$1:L1535,L1535))=2,"0"&amp;COUNTIFS($H$1:H1535,$H1535,$I$1:I1535,$I1535,$J$1:J1535,$J1535,$K$1:K1535,K1535,$L$1:L1535,L1535),COUNTIFS($H$1:H1535,$H1535,$I$1:I1535,$I1535,$J$1:J1535,$J1535,$K$1:K1535,K1535,$L$1:L1535,L1535)))</f>
        <v>019</v>
      </c>
      <c r="N153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35" s="14" t="e">
        <f>+LEN(Table4[[#This Row],[New Item Code]])</f>
        <v>#N/A</v>
      </c>
      <c r="P1535" s="15" t="s">
        <v>4747</v>
      </c>
      <c r="Q1535" s="15" t="s">
        <v>4749</v>
      </c>
      <c r="R1535" s="15"/>
      <c r="S1535" s="15"/>
      <c r="T1535" s="15" t="s">
        <v>4709</v>
      </c>
    </row>
    <row r="1536" spans="1:20" x14ac:dyDescent="0.35">
      <c r="A1536" s="2" t="s">
        <v>3055</v>
      </c>
      <c r="B1536" s="2" t="s">
        <v>3056</v>
      </c>
      <c r="C1536" s="2" t="s">
        <v>9</v>
      </c>
      <c r="D1536" s="2">
        <v>33.71</v>
      </c>
      <c r="E1536" s="2" t="s">
        <v>10</v>
      </c>
      <c r="F1536" s="2">
        <v>2</v>
      </c>
      <c r="G1536" s="22">
        <f>Table4[[#This Row],[Item Cost]]*Table4[[#This Row],[In Stock]]</f>
        <v>67.42</v>
      </c>
      <c r="H1536" s="12" t="s">
        <v>4661</v>
      </c>
      <c r="I1536" s="13" t="s">
        <v>4664</v>
      </c>
      <c r="J1536" s="13" t="s">
        <v>4709</v>
      </c>
      <c r="K1536" s="13" t="s">
        <v>4672</v>
      </c>
      <c r="L1536" s="12" t="s">
        <v>4672</v>
      </c>
      <c r="M1536" s="17" t="str">
        <f>IF(LEN(COUNTIFS($H$1:H1536,$H1536,$I$1:I1536,$I1536,$J$1:J1536,$J1536,$K$1:K1536,K1536,$L$1:L1536,L1536))=1,"00"&amp;COUNTIFS($H$1:H1536,$H1536,$I$1:I1536,$I1536,$J$1:J1536,$J1536,$K$1:K1536,K1536,$L$1:L1536,L1536),IF(LEN(COUNTIFS($H$1:H1536,$H1536,$I$1:I1536,$I1536,$J$1:J1536,$J1536,$K$1:K1536,K1536,$L$1:L1536,L1536))=2,"0"&amp;COUNTIFS($H$1:H1536,$H1536,$I$1:I1536,$I1536,$J$1:J1536,$J1536,$K$1:K1536,K1536,$L$1:L1536,L1536),COUNTIFS($H$1:H1536,$H1536,$I$1:I1536,$I1536,$J$1:J1536,$J1536,$K$1:K1536,K1536,$L$1:L1536,L1536)))</f>
        <v>020</v>
      </c>
      <c r="N153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36" s="14" t="e">
        <f>+LEN(Table4[[#This Row],[New Item Code]])</f>
        <v>#N/A</v>
      </c>
      <c r="P1536" s="15" t="s">
        <v>4747</v>
      </c>
      <c r="Q1536" s="15" t="s">
        <v>4749</v>
      </c>
      <c r="R1536" s="15"/>
      <c r="S1536" s="15"/>
      <c r="T1536" s="15" t="s">
        <v>4709</v>
      </c>
    </row>
    <row r="1537" spans="1:20" x14ac:dyDescent="0.35">
      <c r="A1537" s="3" t="s">
        <v>3057</v>
      </c>
      <c r="B1537" s="3" t="s">
        <v>3058</v>
      </c>
      <c r="C1537" s="3" t="s">
        <v>9</v>
      </c>
      <c r="D1537" s="3">
        <v>10.82</v>
      </c>
      <c r="E1537" s="3" t="s">
        <v>10</v>
      </c>
      <c r="F1537" s="3">
        <v>4</v>
      </c>
      <c r="G1537" s="21">
        <f>Table4[[#This Row],[Item Cost]]*Table4[[#This Row],[In Stock]]</f>
        <v>43.28</v>
      </c>
      <c r="H1537" s="12" t="s">
        <v>4661</v>
      </c>
      <c r="I1537" s="13" t="s">
        <v>4664</v>
      </c>
      <c r="J1537" s="13" t="s">
        <v>4709</v>
      </c>
      <c r="K1537" s="13" t="s">
        <v>4672</v>
      </c>
      <c r="L1537" s="12" t="s">
        <v>4672</v>
      </c>
      <c r="M1537" s="17" t="str">
        <f>IF(LEN(COUNTIFS($H$1:H1537,$H1537,$I$1:I1537,$I1537,$J$1:J1537,$J1537,$K$1:K1537,K1537,$L$1:L1537,L1537))=1,"00"&amp;COUNTIFS($H$1:H1537,$H1537,$I$1:I1537,$I1537,$J$1:J1537,$J1537,$K$1:K1537,K1537,$L$1:L1537,L1537),IF(LEN(COUNTIFS($H$1:H1537,$H1537,$I$1:I1537,$I1537,$J$1:J1537,$J1537,$K$1:K1537,K1537,$L$1:L1537,L1537))=2,"0"&amp;COUNTIFS($H$1:H1537,$H1537,$I$1:I1537,$I1537,$J$1:J1537,$J1537,$K$1:K1537,K1537,$L$1:L1537,L1537),COUNTIFS($H$1:H1537,$H1537,$I$1:I1537,$I1537,$J$1:J1537,$J1537,$K$1:K1537,K1537,$L$1:L1537,L1537)))</f>
        <v>021</v>
      </c>
      <c r="N153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37" s="14" t="e">
        <f>+LEN(Table4[[#This Row],[New Item Code]])</f>
        <v>#N/A</v>
      </c>
      <c r="P1537" s="15" t="s">
        <v>4747</v>
      </c>
      <c r="Q1537" s="15" t="s">
        <v>4749</v>
      </c>
      <c r="R1537" s="15"/>
      <c r="S1537" s="15"/>
      <c r="T1537" s="15" t="s">
        <v>4709</v>
      </c>
    </row>
    <row r="1538" spans="1:20" x14ac:dyDescent="0.35">
      <c r="A1538" s="2" t="s">
        <v>3059</v>
      </c>
      <c r="B1538" s="2" t="s">
        <v>3060</v>
      </c>
      <c r="C1538" s="2" t="s">
        <v>9</v>
      </c>
      <c r="D1538" s="2">
        <v>819</v>
      </c>
      <c r="E1538" s="2" t="s">
        <v>10</v>
      </c>
      <c r="F1538" s="2">
        <v>2</v>
      </c>
      <c r="G1538" s="22">
        <f>Table4[[#This Row],[Item Cost]]*Table4[[#This Row],[In Stock]]</f>
        <v>1638</v>
      </c>
      <c r="H1538" s="12" t="s">
        <v>4661</v>
      </c>
      <c r="I1538" s="13" t="s">
        <v>4664</v>
      </c>
      <c r="J1538" s="13" t="s">
        <v>4709</v>
      </c>
      <c r="K1538" s="13" t="s">
        <v>4776</v>
      </c>
      <c r="L1538" s="12" t="s">
        <v>4672</v>
      </c>
      <c r="M1538" s="17" t="str">
        <f>IF(LEN(COUNTIFS($H$1:H1538,$H1538,$I$1:I1538,$I1538,$J$1:J1538,$J1538,$K$1:K1538,K1538,$L$1:L1538,L1538))=1,"00"&amp;COUNTIFS($H$1:H1538,$H1538,$I$1:I1538,$I1538,$J$1:J1538,$J1538,$K$1:K1538,K1538,$L$1:L1538,L1538),IF(LEN(COUNTIFS($H$1:H1538,$H1538,$I$1:I1538,$I1538,$J$1:J1538,$J1538,$K$1:K1538,K1538,$L$1:L1538,L1538))=2,"0"&amp;COUNTIFS($H$1:H1538,$H1538,$I$1:I1538,$I1538,$J$1:J1538,$J1538,$K$1:K1538,K1538,$L$1:L1538,L1538),COUNTIFS($H$1:H1538,$H1538,$I$1:I1538,$I1538,$J$1:J1538,$J1538,$K$1:K1538,K1538,$L$1:L1538,L1538)))</f>
        <v>001</v>
      </c>
      <c r="N153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38" s="14" t="e">
        <f>+LEN(Table4[[#This Row],[New Item Code]])</f>
        <v>#N/A</v>
      </c>
      <c r="P1538" s="15" t="s">
        <v>4747</v>
      </c>
      <c r="Q1538" s="15" t="s">
        <v>4749</v>
      </c>
      <c r="R1538" s="15"/>
      <c r="S1538" s="15"/>
      <c r="T1538" s="15" t="s">
        <v>4709</v>
      </c>
    </row>
    <row r="1539" spans="1:20" x14ac:dyDescent="0.35">
      <c r="A1539" s="3" t="s">
        <v>3061</v>
      </c>
      <c r="B1539" s="3" t="s">
        <v>3062</v>
      </c>
      <c r="C1539" s="3" t="s">
        <v>9</v>
      </c>
      <c r="D1539" s="3">
        <v>46.83</v>
      </c>
      <c r="E1539" s="3" t="s">
        <v>10</v>
      </c>
      <c r="F1539" s="3">
        <v>2</v>
      </c>
      <c r="G1539" s="21">
        <f>Table4[[#This Row],[Item Cost]]*Table4[[#This Row],[In Stock]]</f>
        <v>93.66</v>
      </c>
      <c r="H1539" s="12" t="s">
        <v>4661</v>
      </c>
      <c r="I1539" s="13" t="s">
        <v>4664</v>
      </c>
      <c r="J1539" s="13" t="s">
        <v>4709</v>
      </c>
      <c r="K1539" s="13" t="s">
        <v>4776</v>
      </c>
      <c r="L1539" s="12" t="s">
        <v>4672</v>
      </c>
      <c r="M1539" s="17" t="str">
        <f>IF(LEN(COUNTIFS($H$1:H1539,$H1539,$I$1:I1539,$I1539,$J$1:J1539,$J1539,$K$1:K1539,K1539,$L$1:L1539,L1539))=1,"00"&amp;COUNTIFS($H$1:H1539,$H1539,$I$1:I1539,$I1539,$J$1:J1539,$J1539,$K$1:K1539,K1539,$L$1:L1539,L1539),IF(LEN(COUNTIFS($H$1:H1539,$H1539,$I$1:I1539,$I1539,$J$1:J1539,$J1539,$K$1:K1539,K1539,$L$1:L1539,L1539))=2,"0"&amp;COUNTIFS($H$1:H1539,$H1539,$I$1:I1539,$I1539,$J$1:J1539,$J1539,$K$1:K1539,K1539,$L$1:L1539,L1539),COUNTIFS($H$1:H1539,$H1539,$I$1:I1539,$I1539,$J$1:J1539,$J1539,$K$1:K1539,K1539,$L$1:L1539,L1539)))</f>
        <v>002</v>
      </c>
      <c r="N153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39" s="14" t="e">
        <f>+LEN(Table4[[#This Row],[New Item Code]])</f>
        <v>#N/A</v>
      </c>
      <c r="P1539" s="15" t="s">
        <v>4747</v>
      </c>
      <c r="Q1539" s="15" t="s">
        <v>4749</v>
      </c>
      <c r="R1539" s="15"/>
      <c r="S1539" s="15"/>
      <c r="T1539" s="15" t="s">
        <v>4709</v>
      </c>
    </row>
    <row r="1540" spans="1:20" x14ac:dyDescent="0.35">
      <c r="A1540" s="2" t="s">
        <v>3063</v>
      </c>
      <c r="B1540" s="2" t="s">
        <v>3064</v>
      </c>
      <c r="C1540" s="2" t="s">
        <v>9</v>
      </c>
      <c r="D1540" s="4">
        <v>4569</v>
      </c>
      <c r="E1540" s="2" t="s">
        <v>10</v>
      </c>
      <c r="F1540" s="2">
        <v>1</v>
      </c>
      <c r="G1540" s="22">
        <f>Table4[[#This Row],[Item Cost]]*Table4[[#This Row],[In Stock]]</f>
        <v>4569</v>
      </c>
      <c r="H1540" s="12" t="s">
        <v>4661</v>
      </c>
      <c r="I1540" s="13" t="s">
        <v>4664</v>
      </c>
      <c r="J1540" s="13" t="s">
        <v>4709</v>
      </c>
      <c r="K1540" s="13" t="s">
        <v>4672</v>
      </c>
      <c r="L1540" s="12" t="s">
        <v>4672</v>
      </c>
      <c r="M1540" s="17" t="str">
        <f>IF(LEN(COUNTIFS($H$1:H1540,$H1540,$I$1:I1540,$I1540,$J$1:J1540,$J1540,$K$1:K1540,K1540,$L$1:L1540,L1540))=1,"00"&amp;COUNTIFS($H$1:H1540,$H1540,$I$1:I1540,$I1540,$J$1:J1540,$J1540,$K$1:K1540,K1540,$L$1:L1540,L1540),IF(LEN(COUNTIFS($H$1:H1540,$H1540,$I$1:I1540,$I1540,$J$1:J1540,$J1540,$K$1:K1540,K1540,$L$1:L1540,L1540))=2,"0"&amp;COUNTIFS($H$1:H1540,$H1540,$I$1:I1540,$I1540,$J$1:J1540,$J1540,$K$1:K1540,K1540,$L$1:L1540,L1540),COUNTIFS($H$1:H1540,$H1540,$I$1:I1540,$I1540,$J$1:J1540,$J1540,$K$1:K1540,K1540,$L$1:L1540,L1540)))</f>
        <v>022</v>
      </c>
      <c r="N154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40" s="14" t="e">
        <f>+LEN(Table4[[#This Row],[New Item Code]])</f>
        <v>#N/A</v>
      </c>
      <c r="P1540" s="15" t="s">
        <v>4747</v>
      </c>
      <c r="Q1540" s="15" t="s">
        <v>4749</v>
      </c>
      <c r="R1540" s="15"/>
      <c r="S1540" s="15"/>
      <c r="T1540" s="15" t="s">
        <v>4709</v>
      </c>
    </row>
    <row r="1541" spans="1:20" x14ac:dyDescent="0.35">
      <c r="A1541" s="3" t="s">
        <v>3065</v>
      </c>
      <c r="B1541" s="3" t="s">
        <v>3066</v>
      </c>
      <c r="C1541" s="3" t="s">
        <v>9</v>
      </c>
      <c r="D1541" s="5">
        <v>1817.0239999999999</v>
      </c>
      <c r="E1541" s="3" t="s">
        <v>10</v>
      </c>
      <c r="F1541" s="3">
        <v>28</v>
      </c>
      <c r="G1541" s="21">
        <f>Table4[[#This Row],[Item Cost]]*Table4[[#This Row],[In Stock]]</f>
        <v>50876.671999999999</v>
      </c>
      <c r="H1541" s="12" t="s">
        <v>4661</v>
      </c>
      <c r="I1541" s="13" t="s">
        <v>4664</v>
      </c>
      <c r="J1541" s="13" t="s">
        <v>4709</v>
      </c>
      <c r="K1541" s="13" t="s">
        <v>4672</v>
      </c>
      <c r="L1541" s="12" t="s">
        <v>4672</v>
      </c>
      <c r="M1541" s="17" t="str">
        <f>IF(LEN(COUNTIFS($H$1:H1541,$H1541,$I$1:I1541,$I1541,$J$1:J1541,$J1541,$K$1:K1541,K1541,$L$1:L1541,L1541))=1,"00"&amp;COUNTIFS($H$1:H1541,$H1541,$I$1:I1541,$I1541,$J$1:J1541,$J1541,$K$1:K1541,K1541,$L$1:L1541,L1541),IF(LEN(COUNTIFS($H$1:H1541,$H1541,$I$1:I1541,$I1541,$J$1:J1541,$J1541,$K$1:K1541,K1541,$L$1:L1541,L1541))=2,"0"&amp;COUNTIFS($H$1:H1541,$H1541,$I$1:I1541,$I1541,$J$1:J1541,$J1541,$K$1:K1541,K1541,$L$1:L1541,L1541),COUNTIFS($H$1:H1541,$H1541,$I$1:I1541,$I1541,$J$1:J1541,$J1541,$K$1:K1541,K1541,$L$1:L1541,L1541)))</f>
        <v>023</v>
      </c>
      <c r="N154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41" s="14" t="e">
        <f>+LEN(Table4[[#This Row],[New Item Code]])</f>
        <v>#N/A</v>
      </c>
      <c r="P1541" s="15" t="s">
        <v>4747</v>
      </c>
      <c r="Q1541" s="15" t="s">
        <v>4749</v>
      </c>
      <c r="R1541" s="15"/>
      <c r="S1541" s="15"/>
      <c r="T1541" s="15" t="s">
        <v>4709</v>
      </c>
    </row>
    <row r="1542" spans="1:20" x14ac:dyDescent="0.35">
      <c r="A1542" s="2" t="s">
        <v>3067</v>
      </c>
      <c r="B1542" s="2" t="s">
        <v>3068</v>
      </c>
      <c r="C1542" s="2" t="s">
        <v>9</v>
      </c>
      <c r="D1542" s="2">
        <v>111.818</v>
      </c>
      <c r="E1542" s="2" t="s">
        <v>10</v>
      </c>
      <c r="F1542" s="2">
        <v>11</v>
      </c>
      <c r="G1542" s="22">
        <f>Table4[[#This Row],[Item Cost]]*Table4[[#This Row],[In Stock]]</f>
        <v>1229.998</v>
      </c>
      <c r="H1542" s="12" t="s">
        <v>4661</v>
      </c>
      <c r="I1542" s="13" t="s">
        <v>4664</v>
      </c>
      <c r="J1542" s="13" t="s">
        <v>4709</v>
      </c>
      <c r="K1542" s="7" t="s">
        <v>4771</v>
      </c>
      <c r="L1542" s="12" t="s">
        <v>4672</v>
      </c>
      <c r="M1542" s="17" t="str">
        <f>IF(LEN(COUNTIFS($H$1:H1542,$H1542,$I$1:I1542,$I1542,$J$1:J1542,$J1542,$K$1:K1542,K1542,$L$1:L1542,L1542))=1,"00"&amp;COUNTIFS($H$1:H1542,$H1542,$I$1:I1542,$I1542,$J$1:J1542,$J1542,$K$1:K1542,K1542,$L$1:L1542,L1542),IF(LEN(COUNTIFS($H$1:H1542,$H1542,$I$1:I1542,$I1542,$J$1:J1542,$J1542,$K$1:K1542,K1542,$L$1:L1542,L1542))=2,"0"&amp;COUNTIFS($H$1:H1542,$H1542,$I$1:I1542,$I1542,$J$1:J1542,$J1542,$K$1:K1542,K1542,$L$1:L1542,L1542),COUNTIFS($H$1:H1542,$H1542,$I$1:I1542,$I1542,$J$1:J1542,$J1542,$K$1:K1542,K1542,$L$1:L1542,L1542)))</f>
        <v>001</v>
      </c>
      <c r="N154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42" s="14" t="e">
        <f>+LEN(Table4[[#This Row],[New Item Code]])</f>
        <v>#N/A</v>
      </c>
      <c r="P1542" s="15" t="s">
        <v>4747</v>
      </c>
      <c r="Q1542" s="15" t="s">
        <v>4749</v>
      </c>
      <c r="R1542" s="15"/>
      <c r="S1542" s="15"/>
      <c r="T1542" s="15" t="s">
        <v>4709</v>
      </c>
    </row>
    <row r="1543" spans="1:20" x14ac:dyDescent="0.35">
      <c r="A1543" s="3" t="s">
        <v>3069</v>
      </c>
      <c r="B1543" s="3" t="s">
        <v>3070</v>
      </c>
      <c r="C1543" s="3" t="s">
        <v>9</v>
      </c>
      <c r="D1543" s="3">
        <v>480</v>
      </c>
      <c r="E1543" s="3" t="s">
        <v>10</v>
      </c>
      <c r="F1543" s="3">
        <v>2</v>
      </c>
      <c r="G1543" s="21">
        <f>Table4[[#This Row],[Item Cost]]*Table4[[#This Row],[In Stock]]</f>
        <v>960</v>
      </c>
      <c r="H1543" s="12" t="s">
        <v>4661</v>
      </c>
      <c r="I1543" s="13" t="s">
        <v>4664</v>
      </c>
      <c r="J1543" s="13" t="s">
        <v>4709</v>
      </c>
      <c r="K1543" s="13" t="s">
        <v>4672</v>
      </c>
      <c r="L1543" s="12" t="s">
        <v>4672</v>
      </c>
      <c r="M1543" s="17" t="str">
        <f>IF(LEN(COUNTIFS($H$1:H1543,$H1543,$I$1:I1543,$I1543,$J$1:J1543,$J1543,$K$1:K1543,K1543,$L$1:L1543,L1543))=1,"00"&amp;COUNTIFS($H$1:H1543,$H1543,$I$1:I1543,$I1543,$J$1:J1543,$J1543,$K$1:K1543,K1543,$L$1:L1543,L1543),IF(LEN(COUNTIFS($H$1:H1543,$H1543,$I$1:I1543,$I1543,$J$1:J1543,$J1543,$K$1:K1543,K1543,$L$1:L1543,L1543))=2,"0"&amp;COUNTIFS($H$1:H1543,$H1543,$I$1:I1543,$I1543,$J$1:J1543,$J1543,$K$1:K1543,K1543,$L$1:L1543,L1543),COUNTIFS($H$1:H1543,$H1543,$I$1:I1543,$I1543,$J$1:J1543,$J1543,$K$1:K1543,K1543,$L$1:L1543,L1543)))</f>
        <v>024</v>
      </c>
      <c r="N154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43" s="14" t="e">
        <f>+LEN(Table4[[#This Row],[New Item Code]])</f>
        <v>#N/A</v>
      </c>
      <c r="P1543" s="15" t="s">
        <v>4747</v>
      </c>
      <c r="Q1543" s="15" t="s">
        <v>4749</v>
      </c>
      <c r="R1543" s="15"/>
      <c r="S1543" s="15"/>
      <c r="T1543" s="15" t="s">
        <v>4709</v>
      </c>
    </row>
    <row r="1544" spans="1:20" x14ac:dyDescent="0.35">
      <c r="A1544" s="2" t="s">
        <v>3071</v>
      </c>
      <c r="B1544" s="2" t="s">
        <v>3072</v>
      </c>
      <c r="C1544" s="2" t="s">
        <v>9</v>
      </c>
      <c r="D1544" s="4">
        <v>1490</v>
      </c>
      <c r="E1544" s="2" t="s">
        <v>10</v>
      </c>
      <c r="F1544" s="2">
        <v>2</v>
      </c>
      <c r="G1544" s="22">
        <f>Table4[[#This Row],[Item Cost]]*Table4[[#This Row],[In Stock]]</f>
        <v>2980</v>
      </c>
      <c r="H1544" s="12" t="s">
        <v>4661</v>
      </c>
      <c r="I1544" s="13" t="s">
        <v>4664</v>
      </c>
      <c r="J1544" s="13" t="s">
        <v>4709</v>
      </c>
      <c r="K1544" s="13" t="s">
        <v>4672</v>
      </c>
      <c r="L1544" s="12" t="s">
        <v>4672</v>
      </c>
      <c r="M1544" s="17" t="str">
        <f>IF(LEN(COUNTIFS($H$1:H1544,$H1544,$I$1:I1544,$I1544,$J$1:J1544,$J1544,$K$1:K1544,K1544,$L$1:L1544,L1544))=1,"00"&amp;COUNTIFS($H$1:H1544,$H1544,$I$1:I1544,$I1544,$J$1:J1544,$J1544,$K$1:K1544,K1544,$L$1:L1544,L1544),IF(LEN(COUNTIFS($H$1:H1544,$H1544,$I$1:I1544,$I1544,$J$1:J1544,$J1544,$K$1:K1544,K1544,$L$1:L1544,L1544))=2,"0"&amp;COUNTIFS($H$1:H1544,$H1544,$I$1:I1544,$I1544,$J$1:J1544,$J1544,$K$1:K1544,K1544,$L$1:L1544,L1544),COUNTIFS($H$1:H1544,$H1544,$I$1:I1544,$I1544,$J$1:J1544,$J1544,$K$1:K1544,K1544,$L$1:L1544,L1544)))</f>
        <v>025</v>
      </c>
      <c r="N154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44" s="14" t="e">
        <f>+LEN(Table4[[#This Row],[New Item Code]])</f>
        <v>#N/A</v>
      </c>
      <c r="P1544" s="15" t="s">
        <v>4747</v>
      </c>
      <c r="Q1544" s="15" t="s">
        <v>4749</v>
      </c>
      <c r="R1544" s="15"/>
      <c r="S1544" s="15"/>
      <c r="T1544" s="15" t="s">
        <v>4709</v>
      </c>
    </row>
    <row r="1545" spans="1:20" x14ac:dyDescent="0.35">
      <c r="A1545" s="3" t="s">
        <v>3073</v>
      </c>
      <c r="B1545" s="3" t="s">
        <v>3074</v>
      </c>
      <c r="C1545" s="3" t="s">
        <v>9</v>
      </c>
      <c r="D1545" s="3">
        <v>120</v>
      </c>
      <c r="E1545" s="3" t="s">
        <v>10</v>
      </c>
      <c r="F1545" s="3">
        <v>4</v>
      </c>
      <c r="G1545" s="21">
        <f>Table4[[#This Row],[Item Cost]]*Table4[[#This Row],[In Stock]]</f>
        <v>480</v>
      </c>
      <c r="H1545" s="12" t="s">
        <v>4661</v>
      </c>
      <c r="I1545" s="13" t="s">
        <v>4664</v>
      </c>
      <c r="J1545" s="13" t="s">
        <v>4709</v>
      </c>
      <c r="K1545" s="13" t="s">
        <v>4672</v>
      </c>
      <c r="L1545" s="12" t="s">
        <v>4672</v>
      </c>
      <c r="M1545" s="17" t="str">
        <f>IF(LEN(COUNTIFS($H$1:H1545,$H1545,$I$1:I1545,$I1545,$J$1:J1545,$J1545,$K$1:K1545,K1545,$L$1:L1545,L1545))=1,"00"&amp;COUNTIFS($H$1:H1545,$H1545,$I$1:I1545,$I1545,$J$1:J1545,$J1545,$K$1:K1545,K1545,$L$1:L1545,L1545),IF(LEN(COUNTIFS($H$1:H1545,$H1545,$I$1:I1545,$I1545,$J$1:J1545,$J1545,$K$1:K1545,K1545,$L$1:L1545,L1545))=2,"0"&amp;COUNTIFS($H$1:H1545,$H1545,$I$1:I1545,$I1545,$J$1:J1545,$J1545,$K$1:K1545,K1545,$L$1:L1545,L1545),COUNTIFS($H$1:H1545,$H1545,$I$1:I1545,$I1545,$J$1:J1545,$J1545,$K$1:K1545,K1545,$L$1:L1545,L1545)))</f>
        <v>026</v>
      </c>
      <c r="N154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45" s="14" t="e">
        <f>+LEN(Table4[[#This Row],[New Item Code]])</f>
        <v>#N/A</v>
      </c>
      <c r="P1545" s="15" t="s">
        <v>4747</v>
      </c>
      <c r="Q1545" s="15" t="s">
        <v>4749</v>
      </c>
      <c r="R1545" s="15"/>
      <c r="S1545" s="15"/>
      <c r="T1545" s="15" t="s">
        <v>4709</v>
      </c>
    </row>
    <row r="1546" spans="1:20" x14ac:dyDescent="0.35">
      <c r="A1546" s="2" t="s">
        <v>3075</v>
      </c>
      <c r="B1546" s="2" t="s">
        <v>3076</v>
      </c>
      <c r="C1546" s="2" t="s">
        <v>9</v>
      </c>
      <c r="D1546" s="4">
        <v>2500</v>
      </c>
      <c r="E1546" s="2" t="s">
        <v>10</v>
      </c>
      <c r="F1546" s="2">
        <v>1</v>
      </c>
      <c r="G1546" s="22">
        <f>Table4[[#This Row],[Item Cost]]*Table4[[#This Row],[In Stock]]</f>
        <v>2500</v>
      </c>
      <c r="H1546" s="12" t="s">
        <v>4661</v>
      </c>
      <c r="I1546" s="13" t="s">
        <v>4664</v>
      </c>
      <c r="J1546" s="13" t="s">
        <v>4709</v>
      </c>
      <c r="K1546" s="13" t="s">
        <v>4672</v>
      </c>
      <c r="L1546" s="12" t="s">
        <v>4672</v>
      </c>
      <c r="M1546" s="17" t="str">
        <f>IF(LEN(COUNTIFS($H$1:H1546,$H1546,$I$1:I1546,$I1546,$J$1:J1546,$J1546,$K$1:K1546,K1546,$L$1:L1546,L1546))=1,"00"&amp;COUNTIFS($H$1:H1546,$H1546,$I$1:I1546,$I1546,$J$1:J1546,$J1546,$K$1:K1546,K1546,$L$1:L1546,L1546),IF(LEN(COUNTIFS($H$1:H1546,$H1546,$I$1:I1546,$I1546,$J$1:J1546,$J1546,$K$1:K1546,K1546,$L$1:L1546,L1546))=2,"0"&amp;COUNTIFS($H$1:H1546,$H1546,$I$1:I1546,$I1546,$J$1:J1546,$J1546,$K$1:K1546,K1546,$L$1:L1546,L1546),COUNTIFS($H$1:H1546,$H1546,$I$1:I1546,$I1546,$J$1:J1546,$J1546,$K$1:K1546,K1546,$L$1:L1546,L1546)))</f>
        <v>027</v>
      </c>
      <c r="N154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46" s="14" t="e">
        <f>+LEN(Table4[[#This Row],[New Item Code]])</f>
        <v>#N/A</v>
      </c>
      <c r="P1546" s="15" t="s">
        <v>4747</v>
      </c>
      <c r="Q1546" s="15" t="s">
        <v>4749</v>
      </c>
      <c r="R1546" s="15"/>
      <c r="S1546" s="15"/>
      <c r="T1546" s="15" t="s">
        <v>4709</v>
      </c>
    </row>
    <row r="1547" spans="1:20" x14ac:dyDescent="0.35">
      <c r="A1547" s="3" t="s">
        <v>3077</v>
      </c>
      <c r="B1547" s="3" t="s">
        <v>3078</v>
      </c>
      <c r="C1547" s="3" t="s">
        <v>9</v>
      </c>
      <c r="D1547" s="3">
        <v>350</v>
      </c>
      <c r="E1547" s="3" t="s">
        <v>10</v>
      </c>
      <c r="F1547" s="3">
        <v>1</v>
      </c>
      <c r="G1547" s="21">
        <f>Table4[[#This Row],[Item Cost]]*Table4[[#This Row],[In Stock]]</f>
        <v>350</v>
      </c>
      <c r="H1547" s="12" t="s">
        <v>4661</v>
      </c>
      <c r="I1547" s="13" t="s">
        <v>4664</v>
      </c>
      <c r="J1547" s="13"/>
      <c r="K1547" s="7" t="s">
        <v>4771</v>
      </c>
      <c r="L1547" s="12" t="s">
        <v>4672</v>
      </c>
      <c r="M1547" s="17" t="str">
        <f>IF(LEN(COUNTIFS($H$1:H1547,$H1547,$I$1:I1547,$I1547,$J$1:J1547,$J1547,$K$1:K1547,K1547,$L$1:L1547,L1547))=1,"00"&amp;COUNTIFS($H$1:H1547,$H1547,$I$1:I1547,$I1547,$J$1:J1547,$J1547,$K$1:K1547,K1547,$L$1:L1547,L1547),IF(LEN(COUNTIFS($H$1:H1547,$H1547,$I$1:I1547,$I1547,$J$1:J1547,$J1547,$K$1:K1547,K1547,$L$1:L1547,L1547))=2,"0"&amp;COUNTIFS($H$1:H1547,$H1547,$I$1:I1547,$I1547,$J$1:J1547,$J1547,$K$1:K1547,K1547,$L$1:L1547,L1547),COUNTIFS($H$1:H1547,$H1547,$I$1:I1547,$I1547,$J$1:J1547,$J1547,$K$1:K1547,K1547,$L$1:L1547,L1547)))</f>
        <v>000</v>
      </c>
      <c r="N154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47" s="14" t="e">
        <f>+LEN(Table4[[#This Row],[New Item Code]])</f>
        <v>#N/A</v>
      </c>
      <c r="P1547" s="15" t="s">
        <v>4747</v>
      </c>
      <c r="Q1547" s="15" t="s">
        <v>4749</v>
      </c>
      <c r="R1547" s="15"/>
      <c r="S1547" s="15"/>
      <c r="T1547" s="15" t="e">
        <v>#N/A</v>
      </c>
    </row>
    <row r="1548" spans="1:20" x14ac:dyDescent="0.35">
      <c r="A1548" s="2" t="s">
        <v>3079</v>
      </c>
      <c r="B1548" s="2" t="s">
        <v>3080</v>
      </c>
      <c r="C1548" s="2" t="s">
        <v>15</v>
      </c>
      <c r="D1548" s="4">
        <v>1500</v>
      </c>
      <c r="E1548" s="2" t="s">
        <v>10</v>
      </c>
      <c r="F1548" s="2">
        <v>1</v>
      </c>
      <c r="G1548" s="22">
        <f>Table4[[#This Row],[Item Cost]]*Table4[[#This Row],[In Stock]]</f>
        <v>1500</v>
      </c>
      <c r="H1548" s="12" t="s">
        <v>4661</v>
      </c>
      <c r="I1548" s="13" t="s">
        <v>4666</v>
      </c>
      <c r="J1548" s="13"/>
      <c r="K1548" s="13" t="s">
        <v>4672</v>
      </c>
      <c r="L1548" s="12" t="s">
        <v>4672</v>
      </c>
      <c r="M1548" s="17" t="str">
        <f>IF(LEN(COUNTIFS($H$1:H1548,$H1548,$I$1:I1548,$I1548,$J$1:J1548,$J1548,$K$1:K1548,K1548,$L$1:L1548,L1548))=1,"00"&amp;COUNTIFS($H$1:H1548,$H1548,$I$1:I1548,$I1548,$J$1:J1548,$J1548,$K$1:K1548,K1548,$L$1:L1548,L1548),IF(LEN(COUNTIFS($H$1:H1548,$H1548,$I$1:I1548,$I1548,$J$1:J1548,$J1548,$K$1:K1548,K1548,$L$1:L1548,L1548))=2,"0"&amp;COUNTIFS($H$1:H1548,$H1548,$I$1:I1548,$I1548,$J$1:J1548,$J1548,$K$1:K1548,K1548,$L$1:L1548,L1548),COUNTIFS($H$1:H1548,$H1548,$I$1:I1548,$I1548,$J$1:J1548,$J1548,$K$1:K1548,K1548,$L$1:L1548,L1548)))</f>
        <v>000</v>
      </c>
      <c r="N154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48" s="14" t="e">
        <f>+LEN(Table4[[#This Row],[New Item Code]])</f>
        <v>#N/A</v>
      </c>
      <c r="P1548" s="15" t="s">
        <v>4747</v>
      </c>
      <c r="Q1548" s="15" t="s">
        <v>4749</v>
      </c>
      <c r="R1548" s="15"/>
      <c r="S1548" s="15"/>
      <c r="T1548" s="15" t="e">
        <v>#N/A</v>
      </c>
    </row>
    <row r="1549" spans="1:20" x14ac:dyDescent="0.35">
      <c r="A1549" s="3" t="s">
        <v>3081</v>
      </c>
      <c r="B1549" s="3" t="s">
        <v>3082</v>
      </c>
      <c r="C1549" s="3" t="s">
        <v>15</v>
      </c>
      <c r="D1549" s="5">
        <v>10000</v>
      </c>
      <c r="E1549" s="3" t="s">
        <v>10</v>
      </c>
      <c r="F1549" s="3">
        <v>2</v>
      </c>
      <c r="G1549" s="21">
        <f>Table4[[#This Row],[Item Cost]]*Table4[[#This Row],[In Stock]]</f>
        <v>20000</v>
      </c>
      <c r="H1549" s="12" t="s">
        <v>4661</v>
      </c>
      <c r="I1549" s="13" t="s">
        <v>4666</v>
      </c>
      <c r="J1549" s="13" t="s">
        <v>4672</v>
      </c>
      <c r="K1549" s="13" t="s">
        <v>4672</v>
      </c>
      <c r="L1549" s="12" t="s">
        <v>4672</v>
      </c>
      <c r="M1549" s="17" t="str">
        <f>IF(LEN(COUNTIFS($H$1:H1549,$H1549,$I$1:I1549,$I1549,$J$1:J1549,$J1549,$K$1:K1549,K1549,$L$1:L1549,L1549))=1,"00"&amp;COUNTIFS($H$1:H1549,$H1549,$I$1:I1549,$I1549,$J$1:J1549,$J1549,$K$1:K1549,K1549,$L$1:L1549,L1549),IF(LEN(COUNTIFS($H$1:H1549,$H1549,$I$1:I1549,$I1549,$J$1:J1549,$J1549,$K$1:K1549,K1549,$L$1:L1549,L1549))=2,"0"&amp;COUNTIFS($H$1:H1549,$H1549,$I$1:I1549,$I1549,$J$1:J1549,$J1549,$K$1:K1549,K1549,$L$1:L1549,L1549),COUNTIFS($H$1:H1549,$H1549,$I$1:I1549,$I1549,$J$1:J1549,$J1549,$K$1:K1549,K1549,$L$1:L1549,L1549)))</f>
        <v>049</v>
      </c>
      <c r="N154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49" s="14" t="e">
        <f>+LEN(Table4[[#This Row],[New Item Code]])</f>
        <v>#N/A</v>
      </c>
      <c r="P1549" s="15" t="s">
        <v>4747</v>
      </c>
      <c r="Q1549" s="15" t="s">
        <v>4749</v>
      </c>
      <c r="R1549" s="15"/>
      <c r="S1549" s="15"/>
      <c r="T1549" s="15" t="s">
        <v>4672</v>
      </c>
    </row>
    <row r="1550" spans="1:20" x14ac:dyDescent="0.35">
      <c r="A1550" s="2" t="s">
        <v>3083</v>
      </c>
      <c r="B1550" s="2" t="s">
        <v>3084</v>
      </c>
      <c r="C1550" s="2" t="s">
        <v>15</v>
      </c>
      <c r="D1550" s="2">
        <v>850</v>
      </c>
      <c r="E1550" s="2" t="s">
        <v>10</v>
      </c>
      <c r="F1550" s="2">
        <v>4</v>
      </c>
      <c r="G1550" s="22">
        <f>Table4[[#This Row],[Item Cost]]*Table4[[#This Row],[In Stock]]</f>
        <v>3400</v>
      </c>
      <c r="H1550" s="12" t="s">
        <v>4661</v>
      </c>
      <c r="I1550" s="13" t="s">
        <v>4666</v>
      </c>
      <c r="J1550" s="13" t="s">
        <v>4672</v>
      </c>
      <c r="K1550" s="13" t="s">
        <v>4672</v>
      </c>
      <c r="L1550" s="12" t="s">
        <v>4672</v>
      </c>
      <c r="M1550" s="17" t="str">
        <f>IF(LEN(COUNTIFS($H$1:H1550,$H1550,$I$1:I1550,$I1550,$J$1:J1550,$J1550,$K$1:K1550,K1550,$L$1:L1550,L1550))=1,"00"&amp;COUNTIFS($H$1:H1550,$H1550,$I$1:I1550,$I1550,$J$1:J1550,$J1550,$K$1:K1550,K1550,$L$1:L1550,L1550),IF(LEN(COUNTIFS($H$1:H1550,$H1550,$I$1:I1550,$I1550,$J$1:J1550,$J1550,$K$1:K1550,K1550,$L$1:L1550,L1550))=2,"0"&amp;COUNTIFS($H$1:H1550,$H1550,$I$1:I1550,$I1550,$J$1:J1550,$J1550,$K$1:K1550,K1550,$L$1:L1550,L1550),COUNTIFS($H$1:H1550,$H1550,$I$1:I1550,$I1550,$J$1:J1550,$J1550,$K$1:K1550,K1550,$L$1:L1550,L1550)))</f>
        <v>050</v>
      </c>
      <c r="N155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50" s="14" t="e">
        <f>+LEN(Table4[[#This Row],[New Item Code]])</f>
        <v>#N/A</v>
      </c>
      <c r="P1550" s="15" t="s">
        <v>4747</v>
      </c>
      <c r="Q1550" s="15" t="s">
        <v>4749</v>
      </c>
      <c r="R1550" s="15"/>
      <c r="S1550" s="15"/>
      <c r="T1550" s="15" t="s">
        <v>4672</v>
      </c>
    </row>
    <row r="1551" spans="1:20" x14ac:dyDescent="0.35">
      <c r="A1551" s="3" t="s">
        <v>3085</v>
      </c>
      <c r="B1551" s="3" t="s">
        <v>3086</v>
      </c>
      <c r="C1551" s="2" t="s">
        <v>15</v>
      </c>
      <c r="D1551" s="5">
        <v>8000</v>
      </c>
      <c r="E1551" s="3" t="s">
        <v>10</v>
      </c>
      <c r="F1551" s="3">
        <v>1</v>
      </c>
      <c r="G1551" s="21">
        <f>Table4[[#This Row],[Item Cost]]*Table4[[#This Row],[In Stock]]</f>
        <v>8000</v>
      </c>
      <c r="H1551" s="12" t="s">
        <v>4661</v>
      </c>
      <c r="I1551" s="13" t="s">
        <v>4666</v>
      </c>
      <c r="J1551" s="13" t="s">
        <v>4672</v>
      </c>
      <c r="K1551" s="13" t="s">
        <v>4672</v>
      </c>
      <c r="L1551" s="12" t="s">
        <v>4672</v>
      </c>
      <c r="M1551" s="17" t="str">
        <f>IF(LEN(COUNTIFS($H$1:H1551,$H1551,$I$1:I1551,$I1551,$J$1:J1551,$J1551,$K$1:K1551,K1551,$L$1:L1551,L1551))=1,"00"&amp;COUNTIFS($H$1:H1551,$H1551,$I$1:I1551,$I1551,$J$1:J1551,$J1551,$K$1:K1551,K1551,$L$1:L1551,L1551),IF(LEN(COUNTIFS($H$1:H1551,$H1551,$I$1:I1551,$I1551,$J$1:J1551,$J1551,$K$1:K1551,K1551,$L$1:L1551,L1551))=2,"0"&amp;COUNTIFS($H$1:H1551,$H1551,$I$1:I1551,$I1551,$J$1:J1551,$J1551,$K$1:K1551,K1551,$L$1:L1551,L1551),COUNTIFS($H$1:H1551,$H1551,$I$1:I1551,$I1551,$J$1:J1551,$J1551,$K$1:K1551,K1551,$L$1:L1551,L1551)))</f>
        <v>051</v>
      </c>
      <c r="N155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51" s="14" t="e">
        <f>+LEN(Table4[[#This Row],[New Item Code]])</f>
        <v>#N/A</v>
      </c>
      <c r="P1551" s="15" t="s">
        <v>4747</v>
      </c>
      <c r="Q1551" s="15" t="s">
        <v>4749</v>
      </c>
      <c r="R1551" s="15"/>
      <c r="S1551" s="15"/>
      <c r="T1551" s="15" t="s">
        <v>4672</v>
      </c>
    </row>
    <row r="1552" spans="1:20" x14ac:dyDescent="0.35">
      <c r="A1552" s="2" t="s">
        <v>3087</v>
      </c>
      <c r="B1552" s="2" t="s">
        <v>3088</v>
      </c>
      <c r="C1552" s="3" t="s">
        <v>56</v>
      </c>
      <c r="D1552" s="2">
        <v>160</v>
      </c>
      <c r="E1552" s="2" t="s">
        <v>10</v>
      </c>
      <c r="F1552" s="2">
        <v>4</v>
      </c>
      <c r="G1552" s="22">
        <f>Table4[[#This Row],[Item Cost]]*Table4[[#This Row],[In Stock]]</f>
        <v>640</v>
      </c>
      <c r="H1552" s="12" t="s">
        <v>4661</v>
      </c>
      <c r="I1552" s="13" t="s">
        <v>4668</v>
      </c>
      <c r="J1552" s="13" t="s">
        <v>4672</v>
      </c>
      <c r="K1552" s="13" t="s">
        <v>4672</v>
      </c>
      <c r="L1552" s="12" t="s">
        <v>4672</v>
      </c>
      <c r="M1552" s="17">
        <f>IF(LEN(COUNTIFS($H$1:H1552,$H1552,$I$1:I1552,$I1552,$J$1:J1552,$J1552,$K$1:K1552,K1552,$L$1:L1552,L1552))=1,"00"&amp;COUNTIFS($H$1:H1552,$H1552,$I$1:I1552,$I1552,$J$1:J1552,$J1552,$K$1:K1552,K1552,$L$1:L1552,L1552),IF(LEN(COUNTIFS($H$1:H1552,$H1552,$I$1:I1552,$I1552,$J$1:J1552,$J1552,$K$1:K1552,K1552,$L$1:L1552,L1552))=2,"0"&amp;COUNTIFS($H$1:H1552,$H1552,$I$1:I1552,$I1552,$J$1:J1552,$J1552,$K$1:K1552,K1552,$L$1:L1552,L1552),COUNTIFS($H$1:H1552,$H1552,$I$1:I1552,$I1552,$J$1:J1552,$J1552,$K$1:K1552,K1552,$L$1:L1552,L1552)))</f>
        <v>242</v>
      </c>
      <c r="N155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52" s="14" t="e">
        <f>+LEN(Table4[[#This Row],[New Item Code]])</f>
        <v>#N/A</v>
      </c>
      <c r="P1552" s="15" t="s">
        <v>4747</v>
      </c>
      <c r="Q1552" s="15" t="s">
        <v>4749</v>
      </c>
      <c r="R1552" s="15"/>
      <c r="S1552" s="15"/>
      <c r="T1552" s="15" t="s">
        <v>4672</v>
      </c>
    </row>
    <row r="1553" spans="1:20" x14ac:dyDescent="0.35">
      <c r="A1553" s="3" t="s">
        <v>3089</v>
      </c>
      <c r="B1553" s="3" t="s">
        <v>3090</v>
      </c>
      <c r="C1553" s="2" t="s">
        <v>15</v>
      </c>
      <c r="D1553" s="5">
        <v>1000</v>
      </c>
      <c r="E1553" s="3" t="s">
        <v>10</v>
      </c>
      <c r="F1553" s="3">
        <v>2</v>
      </c>
      <c r="G1553" s="21">
        <f>Table4[[#This Row],[Item Cost]]*Table4[[#This Row],[In Stock]]</f>
        <v>2000</v>
      </c>
      <c r="H1553" s="12" t="s">
        <v>4661</v>
      </c>
      <c r="I1553" s="13" t="s">
        <v>4666</v>
      </c>
      <c r="J1553" s="13" t="s">
        <v>4672</v>
      </c>
      <c r="K1553" s="13" t="s">
        <v>4672</v>
      </c>
      <c r="L1553" s="12" t="s">
        <v>4672</v>
      </c>
      <c r="M1553" s="17" t="str">
        <f>IF(LEN(COUNTIFS($H$1:H1553,$H1553,$I$1:I1553,$I1553,$J$1:J1553,$J1553,$K$1:K1553,K1553,$L$1:L1553,L1553))=1,"00"&amp;COUNTIFS($H$1:H1553,$H1553,$I$1:I1553,$I1553,$J$1:J1553,$J1553,$K$1:K1553,K1553,$L$1:L1553,L1553),IF(LEN(COUNTIFS($H$1:H1553,$H1553,$I$1:I1553,$I1553,$J$1:J1553,$J1553,$K$1:K1553,K1553,$L$1:L1553,L1553))=2,"0"&amp;COUNTIFS($H$1:H1553,$H1553,$I$1:I1553,$I1553,$J$1:J1553,$J1553,$K$1:K1553,K1553,$L$1:L1553,L1553),COUNTIFS($H$1:H1553,$H1553,$I$1:I1553,$I1553,$J$1:J1553,$J1553,$K$1:K1553,K1553,$L$1:L1553,L1553)))</f>
        <v>052</v>
      </c>
      <c r="N155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53" s="14" t="e">
        <f>+LEN(Table4[[#This Row],[New Item Code]])</f>
        <v>#N/A</v>
      </c>
      <c r="P1553" s="15" t="s">
        <v>4747</v>
      </c>
      <c r="Q1553" s="15" t="s">
        <v>4749</v>
      </c>
      <c r="R1553" s="15"/>
      <c r="S1553" s="15"/>
      <c r="T1553" s="15" t="s">
        <v>4672</v>
      </c>
    </row>
    <row r="1554" spans="1:20" x14ac:dyDescent="0.35">
      <c r="A1554" s="2" t="s">
        <v>3091</v>
      </c>
      <c r="B1554" s="2" t="s">
        <v>3092</v>
      </c>
      <c r="C1554" s="2" t="s">
        <v>15</v>
      </c>
      <c r="D1554" s="4">
        <v>3500</v>
      </c>
      <c r="E1554" s="2" t="s">
        <v>10</v>
      </c>
      <c r="F1554" s="2">
        <v>1</v>
      </c>
      <c r="G1554" s="22">
        <f>Table4[[#This Row],[Item Cost]]*Table4[[#This Row],[In Stock]]</f>
        <v>3500</v>
      </c>
      <c r="H1554" s="12" t="s">
        <v>4661</v>
      </c>
      <c r="I1554" s="13" t="s">
        <v>4666</v>
      </c>
      <c r="J1554" s="13" t="s">
        <v>4672</v>
      </c>
      <c r="K1554" s="13" t="s">
        <v>4672</v>
      </c>
      <c r="L1554" s="12" t="s">
        <v>4672</v>
      </c>
      <c r="M1554" s="17" t="str">
        <f>IF(LEN(COUNTIFS($H$1:H1554,$H1554,$I$1:I1554,$I1554,$J$1:J1554,$J1554,$K$1:K1554,K1554,$L$1:L1554,L1554))=1,"00"&amp;COUNTIFS($H$1:H1554,$H1554,$I$1:I1554,$I1554,$J$1:J1554,$J1554,$K$1:K1554,K1554,$L$1:L1554,L1554),IF(LEN(COUNTIFS($H$1:H1554,$H1554,$I$1:I1554,$I1554,$J$1:J1554,$J1554,$K$1:K1554,K1554,$L$1:L1554,L1554))=2,"0"&amp;COUNTIFS($H$1:H1554,$H1554,$I$1:I1554,$I1554,$J$1:J1554,$J1554,$K$1:K1554,K1554,$L$1:L1554,L1554),COUNTIFS($H$1:H1554,$H1554,$I$1:I1554,$I1554,$J$1:J1554,$J1554,$K$1:K1554,K1554,$L$1:L1554,L1554)))</f>
        <v>053</v>
      </c>
      <c r="N155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54" s="14" t="e">
        <f>+LEN(Table4[[#This Row],[New Item Code]])</f>
        <v>#N/A</v>
      </c>
      <c r="P1554" s="15" t="s">
        <v>4747</v>
      </c>
      <c r="Q1554" s="15" t="s">
        <v>4749</v>
      </c>
      <c r="R1554" s="15"/>
      <c r="S1554" s="15"/>
      <c r="T1554" s="15" t="s">
        <v>4672</v>
      </c>
    </row>
    <row r="1555" spans="1:20" x14ac:dyDescent="0.35">
      <c r="A1555" s="3" t="s">
        <v>3093</v>
      </c>
      <c r="B1555" s="3" t="s">
        <v>3094</v>
      </c>
      <c r="C1555" s="2" t="s">
        <v>15</v>
      </c>
      <c r="D1555" s="5">
        <v>1500</v>
      </c>
      <c r="E1555" s="3" t="s">
        <v>10</v>
      </c>
      <c r="F1555" s="3">
        <v>1</v>
      </c>
      <c r="G1555" s="21">
        <f>Table4[[#This Row],[Item Cost]]*Table4[[#This Row],[In Stock]]</f>
        <v>1500</v>
      </c>
      <c r="H1555" s="12" t="s">
        <v>4661</v>
      </c>
      <c r="I1555" s="13" t="s">
        <v>4666</v>
      </c>
      <c r="J1555" s="13" t="s">
        <v>4672</v>
      </c>
      <c r="K1555" s="13" t="s">
        <v>4672</v>
      </c>
      <c r="L1555" s="12" t="s">
        <v>4672</v>
      </c>
      <c r="M1555" s="17" t="str">
        <f>IF(LEN(COUNTIFS($H$1:H1555,$H1555,$I$1:I1555,$I1555,$J$1:J1555,$J1555,$K$1:K1555,K1555,$L$1:L1555,L1555))=1,"00"&amp;COUNTIFS($H$1:H1555,$H1555,$I$1:I1555,$I1555,$J$1:J1555,$J1555,$K$1:K1555,K1555,$L$1:L1555,L1555),IF(LEN(COUNTIFS($H$1:H1555,$H1555,$I$1:I1555,$I1555,$J$1:J1555,$J1555,$K$1:K1555,K1555,$L$1:L1555,L1555))=2,"0"&amp;COUNTIFS($H$1:H1555,$H1555,$I$1:I1555,$I1555,$J$1:J1555,$J1555,$K$1:K1555,K1555,$L$1:L1555,L1555),COUNTIFS($H$1:H1555,$H1555,$I$1:I1555,$I1555,$J$1:J1555,$J1555,$K$1:K1555,K1555,$L$1:L1555,L1555)))</f>
        <v>054</v>
      </c>
      <c r="N155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55" s="14" t="e">
        <f>+LEN(Table4[[#This Row],[New Item Code]])</f>
        <v>#N/A</v>
      </c>
      <c r="P1555" s="15" t="s">
        <v>4747</v>
      </c>
      <c r="Q1555" s="15" t="s">
        <v>4749</v>
      </c>
      <c r="R1555" s="15"/>
      <c r="S1555" s="15"/>
      <c r="T1555" s="15" t="s">
        <v>4672</v>
      </c>
    </row>
    <row r="1556" spans="1:20" x14ac:dyDescent="0.35">
      <c r="A1556" s="2" t="s">
        <v>3095</v>
      </c>
      <c r="B1556" s="2" t="s">
        <v>3096</v>
      </c>
      <c r="C1556" s="2" t="s">
        <v>15</v>
      </c>
      <c r="D1556" s="4">
        <v>2500</v>
      </c>
      <c r="E1556" s="2" t="s">
        <v>10</v>
      </c>
      <c r="F1556" s="2">
        <v>1</v>
      </c>
      <c r="G1556" s="22">
        <f>Table4[[#This Row],[Item Cost]]*Table4[[#This Row],[In Stock]]</f>
        <v>2500</v>
      </c>
      <c r="H1556" s="12" t="s">
        <v>4661</v>
      </c>
      <c r="I1556" s="13" t="s">
        <v>4666</v>
      </c>
      <c r="J1556" s="13" t="s">
        <v>4672</v>
      </c>
      <c r="K1556" s="13" t="s">
        <v>4672</v>
      </c>
      <c r="L1556" s="12" t="s">
        <v>4672</v>
      </c>
      <c r="M1556" s="17" t="str">
        <f>IF(LEN(COUNTIFS($H$1:H1556,$H1556,$I$1:I1556,$I1556,$J$1:J1556,$J1556,$K$1:K1556,K1556,$L$1:L1556,L1556))=1,"00"&amp;COUNTIFS($H$1:H1556,$H1556,$I$1:I1556,$I1556,$J$1:J1556,$J1556,$K$1:K1556,K1556,$L$1:L1556,L1556),IF(LEN(COUNTIFS($H$1:H1556,$H1556,$I$1:I1556,$I1556,$J$1:J1556,$J1556,$K$1:K1556,K1556,$L$1:L1556,L1556))=2,"0"&amp;COUNTIFS($H$1:H1556,$H1556,$I$1:I1556,$I1556,$J$1:J1556,$J1556,$K$1:K1556,K1556,$L$1:L1556,L1556),COUNTIFS($H$1:H1556,$H1556,$I$1:I1556,$I1556,$J$1:J1556,$J1556,$K$1:K1556,K1556,$L$1:L1556,L1556)))</f>
        <v>055</v>
      </c>
      <c r="N155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56" s="14" t="e">
        <f>+LEN(Table4[[#This Row],[New Item Code]])</f>
        <v>#N/A</v>
      </c>
      <c r="P1556" s="15" t="s">
        <v>4747</v>
      </c>
      <c r="Q1556" s="15" t="s">
        <v>4749</v>
      </c>
      <c r="R1556" s="15"/>
      <c r="S1556" s="15"/>
      <c r="T1556" s="15" t="s">
        <v>4672</v>
      </c>
    </row>
    <row r="1557" spans="1:20" x14ac:dyDescent="0.35">
      <c r="A1557" s="3" t="s">
        <v>3097</v>
      </c>
      <c r="B1557" s="3" t="s">
        <v>3098</v>
      </c>
      <c r="C1557" s="3" t="s">
        <v>56</v>
      </c>
      <c r="D1557" s="5">
        <v>1500</v>
      </c>
      <c r="E1557" s="3" t="s">
        <v>10</v>
      </c>
      <c r="F1557" s="3">
        <v>1</v>
      </c>
      <c r="G1557" s="21">
        <f>Table4[[#This Row],[Item Cost]]*Table4[[#This Row],[In Stock]]</f>
        <v>1500</v>
      </c>
      <c r="H1557" s="12" t="s">
        <v>4661</v>
      </c>
      <c r="I1557" s="13" t="s">
        <v>4668</v>
      </c>
      <c r="J1557" s="13" t="s">
        <v>4672</v>
      </c>
      <c r="K1557" s="13" t="s">
        <v>4672</v>
      </c>
      <c r="L1557" s="12" t="s">
        <v>4672</v>
      </c>
      <c r="M1557" s="17">
        <f>IF(LEN(COUNTIFS($H$1:H1557,$H1557,$I$1:I1557,$I1557,$J$1:J1557,$J1557,$K$1:K1557,K1557,$L$1:L1557,L1557))=1,"00"&amp;COUNTIFS($H$1:H1557,$H1557,$I$1:I1557,$I1557,$J$1:J1557,$J1557,$K$1:K1557,K1557,$L$1:L1557,L1557),IF(LEN(COUNTIFS($H$1:H1557,$H1557,$I$1:I1557,$I1557,$J$1:J1557,$J1557,$K$1:K1557,K1557,$L$1:L1557,L1557))=2,"0"&amp;COUNTIFS($H$1:H1557,$H1557,$I$1:I1557,$I1557,$J$1:J1557,$J1557,$K$1:K1557,K1557,$L$1:L1557,L1557),COUNTIFS($H$1:H1557,$H1557,$I$1:I1557,$I1557,$J$1:J1557,$J1557,$K$1:K1557,K1557,$L$1:L1557,L1557)))</f>
        <v>243</v>
      </c>
      <c r="N155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57" s="14" t="e">
        <f>+LEN(Table4[[#This Row],[New Item Code]])</f>
        <v>#N/A</v>
      </c>
      <c r="P1557" s="15" t="s">
        <v>4747</v>
      </c>
      <c r="Q1557" s="15" t="s">
        <v>4749</v>
      </c>
      <c r="R1557" s="15"/>
      <c r="S1557" s="15"/>
      <c r="T1557" s="15" t="s">
        <v>4672</v>
      </c>
    </row>
    <row r="1558" spans="1:20" x14ac:dyDescent="0.35">
      <c r="A1558" s="2" t="s">
        <v>3099</v>
      </c>
      <c r="B1558" s="2" t="s">
        <v>3100</v>
      </c>
      <c r="C1558" s="2" t="s">
        <v>56</v>
      </c>
      <c r="D1558" s="2">
        <v>25</v>
      </c>
      <c r="E1558" s="2" t="s">
        <v>10</v>
      </c>
      <c r="F1558" s="2">
        <v>6</v>
      </c>
      <c r="G1558" s="22">
        <f>Table4[[#This Row],[Item Cost]]*Table4[[#This Row],[In Stock]]</f>
        <v>150</v>
      </c>
      <c r="H1558" s="12" t="s">
        <v>4661</v>
      </c>
      <c r="I1558" s="13" t="s">
        <v>4668</v>
      </c>
      <c r="J1558" s="13" t="s">
        <v>4672</v>
      </c>
      <c r="K1558" s="7" t="s">
        <v>4771</v>
      </c>
      <c r="L1558" s="12" t="s">
        <v>4672</v>
      </c>
      <c r="M1558" s="17" t="str">
        <f>IF(LEN(COUNTIFS($H$1:H1558,$H1558,$I$1:I1558,$I1558,$J$1:J1558,$J1558,$K$1:K1558,K1558,$L$1:L1558,L1558))=1,"00"&amp;COUNTIFS($H$1:H1558,$H1558,$I$1:I1558,$I1558,$J$1:J1558,$J1558,$K$1:K1558,K1558,$L$1:L1558,L1558),IF(LEN(COUNTIFS($H$1:H1558,$H1558,$I$1:I1558,$I1558,$J$1:J1558,$J1558,$K$1:K1558,K1558,$L$1:L1558,L1558))=2,"0"&amp;COUNTIFS($H$1:H1558,$H1558,$I$1:I1558,$I1558,$J$1:J1558,$J1558,$K$1:K1558,K1558,$L$1:L1558,L1558),COUNTIFS($H$1:H1558,$H1558,$I$1:I1558,$I1558,$J$1:J1558,$J1558,$K$1:K1558,K1558,$L$1:L1558,L1558)))</f>
        <v>002</v>
      </c>
      <c r="N155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58" s="14" t="e">
        <f>+LEN(Table4[[#This Row],[New Item Code]])</f>
        <v>#N/A</v>
      </c>
      <c r="P1558" s="15" t="s">
        <v>4747</v>
      </c>
      <c r="Q1558" s="15" t="s">
        <v>4749</v>
      </c>
      <c r="R1558" s="15"/>
      <c r="S1558" s="15"/>
      <c r="T1558" s="15" t="s">
        <v>4672</v>
      </c>
    </row>
    <row r="1559" spans="1:20" x14ac:dyDescent="0.35">
      <c r="A1559" s="3" t="s">
        <v>3101</v>
      </c>
      <c r="B1559" s="3" t="s">
        <v>3102</v>
      </c>
      <c r="C1559" s="3" t="s">
        <v>9</v>
      </c>
      <c r="D1559" s="5">
        <v>2570</v>
      </c>
      <c r="E1559" s="3" t="s">
        <v>10</v>
      </c>
      <c r="F1559" s="3">
        <v>0</v>
      </c>
      <c r="G1559" s="21">
        <f>Table4[[#This Row],[Item Cost]]*Table4[[#This Row],[In Stock]]</f>
        <v>0</v>
      </c>
      <c r="H1559" s="12" t="s">
        <v>4661</v>
      </c>
      <c r="I1559" s="13" t="s">
        <v>4664</v>
      </c>
      <c r="J1559" s="13" t="s">
        <v>4703</v>
      </c>
      <c r="K1559" s="13" t="s">
        <v>4672</v>
      </c>
      <c r="L1559" s="12" t="s">
        <v>4672</v>
      </c>
      <c r="M1559" s="17" t="str">
        <f>IF(LEN(COUNTIFS($H$1:H1559,$H1559,$I$1:I1559,$I1559,$J$1:J1559,$J1559,$K$1:K1559,K1559,$L$1:L1559,L1559))=1,"00"&amp;COUNTIFS($H$1:H1559,$H1559,$I$1:I1559,$I1559,$J$1:J1559,$J1559,$K$1:K1559,K1559,$L$1:L1559,L1559),IF(LEN(COUNTIFS($H$1:H1559,$H1559,$I$1:I1559,$I1559,$J$1:J1559,$J1559,$K$1:K1559,K1559,$L$1:L1559,L1559))=2,"0"&amp;COUNTIFS($H$1:H1559,$H1559,$I$1:I1559,$I1559,$J$1:J1559,$J1559,$K$1:K1559,K1559,$L$1:L1559,L1559),COUNTIFS($H$1:H1559,$H1559,$I$1:I1559,$I1559,$J$1:J1559,$J1559,$K$1:K1559,K1559,$L$1:L1559,L1559)))</f>
        <v>008</v>
      </c>
      <c r="N155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59" s="14" t="e">
        <f>+LEN(Table4[[#This Row],[New Item Code]])</f>
        <v>#N/A</v>
      </c>
      <c r="P1559" s="15" t="s">
        <v>4747</v>
      </c>
      <c r="Q1559" s="15" t="s">
        <v>4749</v>
      </c>
      <c r="R1559" s="15"/>
      <c r="S1559" s="15"/>
      <c r="T1559" s="15" t="s">
        <v>4703</v>
      </c>
    </row>
    <row r="1560" spans="1:20" x14ac:dyDescent="0.35">
      <c r="A1560" s="2" t="s">
        <v>3103</v>
      </c>
      <c r="B1560" s="2" t="s">
        <v>3104</v>
      </c>
      <c r="C1560" s="2" t="s">
        <v>15</v>
      </c>
      <c r="D1560" s="2">
        <v>0</v>
      </c>
      <c r="E1560" s="2" t="s">
        <v>10</v>
      </c>
      <c r="F1560" s="2">
        <v>0</v>
      </c>
      <c r="G1560" s="22">
        <f>Table4[[#This Row],[Item Cost]]*Table4[[#This Row],[In Stock]]</f>
        <v>0</v>
      </c>
      <c r="H1560" s="12" t="s">
        <v>4661</v>
      </c>
      <c r="I1560" s="13" t="s">
        <v>4666</v>
      </c>
      <c r="J1560" s="13" t="s">
        <v>4703</v>
      </c>
      <c r="K1560" s="13" t="s">
        <v>4672</v>
      </c>
      <c r="L1560" s="12" t="s">
        <v>4672</v>
      </c>
      <c r="M1560" s="17" t="str">
        <f>IF(LEN(COUNTIFS($H$1:H1560,$H1560,$I$1:I1560,$I1560,$J$1:J1560,$J1560,$K$1:K1560,K1560,$L$1:L1560,L1560))=1,"00"&amp;COUNTIFS($H$1:H1560,$H1560,$I$1:I1560,$I1560,$J$1:J1560,$J1560,$K$1:K1560,K1560,$L$1:L1560,L1560),IF(LEN(COUNTIFS($H$1:H1560,$H1560,$I$1:I1560,$I1560,$J$1:J1560,$J1560,$K$1:K1560,K1560,$L$1:L1560,L1560))=2,"0"&amp;COUNTIFS($H$1:H1560,$H1560,$I$1:I1560,$I1560,$J$1:J1560,$J1560,$K$1:K1560,K1560,$L$1:L1560,L1560),COUNTIFS($H$1:H1560,$H1560,$I$1:I1560,$I1560,$J$1:J1560,$J1560,$K$1:K1560,K1560,$L$1:L1560,L1560)))</f>
        <v>007</v>
      </c>
      <c r="N156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60" s="14" t="e">
        <f>+LEN(Table4[[#This Row],[New Item Code]])</f>
        <v>#N/A</v>
      </c>
      <c r="P1560" s="15" t="s">
        <v>4747</v>
      </c>
      <c r="Q1560" s="15" t="s">
        <v>4749</v>
      </c>
      <c r="R1560" s="15"/>
      <c r="S1560" s="15"/>
      <c r="T1560" s="15" t="s">
        <v>4703</v>
      </c>
    </row>
    <row r="1561" spans="1:20" x14ac:dyDescent="0.35">
      <c r="A1561" s="3" t="s">
        <v>3105</v>
      </c>
      <c r="B1561" s="3" t="s">
        <v>3106</v>
      </c>
      <c r="C1561" s="3" t="s">
        <v>15</v>
      </c>
      <c r="D1561" s="3">
        <v>0</v>
      </c>
      <c r="E1561" s="3" t="s">
        <v>10</v>
      </c>
      <c r="F1561" s="3">
        <v>0</v>
      </c>
      <c r="G1561" s="21">
        <f>Table4[[#This Row],[Item Cost]]*Table4[[#This Row],[In Stock]]</f>
        <v>0</v>
      </c>
      <c r="H1561" s="12" t="s">
        <v>4661</v>
      </c>
      <c r="I1561" s="13" t="s">
        <v>4666</v>
      </c>
      <c r="J1561" s="13" t="s">
        <v>4703</v>
      </c>
      <c r="K1561" s="13" t="s">
        <v>4672</v>
      </c>
      <c r="L1561" s="12" t="s">
        <v>4672</v>
      </c>
      <c r="M1561" s="17" t="str">
        <f>IF(LEN(COUNTIFS($H$1:H1561,$H1561,$I$1:I1561,$I1561,$J$1:J1561,$J1561,$K$1:K1561,K1561,$L$1:L1561,L1561))=1,"00"&amp;COUNTIFS($H$1:H1561,$H1561,$I$1:I1561,$I1561,$J$1:J1561,$J1561,$K$1:K1561,K1561,$L$1:L1561,L1561),IF(LEN(COUNTIFS($H$1:H1561,$H1561,$I$1:I1561,$I1561,$J$1:J1561,$J1561,$K$1:K1561,K1561,$L$1:L1561,L1561))=2,"0"&amp;COUNTIFS($H$1:H1561,$H1561,$I$1:I1561,$I1561,$J$1:J1561,$J1561,$K$1:K1561,K1561,$L$1:L1561,L1561),COUNTIFS($H$1:H1561,$H1561,$I$1:I1561,$I1561,$J$1:J1561,$J1561,$K$1:K1561,K1561,$L$1:L1561,L1561)))</f>
        <v>008</v>
      </c>
      <c r="N156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61" s="14" t="e">
        <f>+LEN(Table4[[#This Row],[New Item Code]])</f>
        <v>#N/A</v>
      </c>
      <c r="P1561" s="15" t="s">
        <v>4747</v>
      </c>
      <c r="Q1561" s="15" t="s">
        <v>4749</v>
      </c>
      <c r="R1561" s="15"/>
      <c r="S1561" s="15"/>
      <c r="T1561" s="15" t="s">
        <v>4703</v>
      </c>
    </row>
    <row r="1562" spans="1:20" x14ac:dyDescent="0.35">
      <c r="A1562" s="2" t="s">
        <v>3107</v>
      </c>
      <c r="B1562" s="2" t="s">
        <v>3108</v>
      </c>
      <c r="C1562" s="2" t="s">
        <v>9</v>
      </c>
      <c r="D1562" s="2">
        <v>297</v>
      </c>
      <c r="E1562" s="2" t="s">
        <v>10</v>
      </c>
      <c r="F1562" s="2">
        <v>2</v>
      </c>
      <c r="G1562" s="22">
        <f>Table4[[#This Row],[Item Cost]]*Table4[[#This Row],[In Stock]]</f>
        <v>594</v>
      </c>
      <c r="H1562" s="12" t="s">
        <v>4661</v>
      </c>
      <c r="I1562" s="13" t="s">
        <v>4664</v>
      </c>
      <c r="J1562" s="13" t="s">
        <v>4703</v>
      </c>
      <c r="K1562" s="13" t="s">
        <v>4672</v>
      </c>
      <c r="L1562" s="12" t="s">
        <v>4672</v>
      </c>
      <c r="M1562" s="17" t="str">
        <f>IF(LEN(COUNTIFS($H$1:H1562,$H1562,$I$1:I1562,$I1562,$J$1:J1562,$J1562,$K$1:K1562,K1562,$L$1:L1562,L1562))=1,"00"&amp;COUNTIFS($H$1:H1562,$H1562,$I$1:I1562,$I1562,$J$1:J1562,$J1562,$K$1:K1562,K1562,$L$1:L1562,L1562),IF(LEN(COUNTIFS($H$1:H1562,$H1562,$I$1:I1562,$I1562,$J$1:J1562,$J1562,$K$1:K1562,K1562,$L$1:L1562,L1562))=2,"0"&amp;COUNTIFS($H$1:H1562,$H1562,$I$1:I1562,$I1562,$J$1:J1562,$J1562,$K$1:K1562,K1562,$L$1:L1562,L1562),COUNTIFS($H$1:H1562,$H1562,$I$1:I1562,$I1562,$J$1:J1562,$J1562,$K$1:K1562,K1562,$L$1:L1562,L1562)))</f>
        <v>009</v>
      </c>
      <c r="N156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62" s="14" t="e">
        <f>+LEN(Table4[[#This Row],[New Item Code]])</f>
        <v>#N/A</v>
      </c>
      <c r="P1562" s="15" t="s">
        <v>4747</v>
      </c>
      <c r="Q1562" s="15" t="s">
        <v>4749</v>
      </c>
      <c r="R1562" s="15"/>
      <c r="S1562" s="15"/>
      <c r="T1562" s="15" t="s">
        <v>4703</v>
      </c>
    </row>
    <row r="1563" spans="1:20" x14ac:dyDescent="0.35">
      <c r="A1563" s="3" t="s">
        <v>3109</v>
      </c>
      <c r="B1563" s="3" t="s">
        <v>3110</v>
      </c>
      <c r="C1563" s="3" t="s">
        <v>15</v>
      </c>
      <c r="D1563" s="3">
        <v>0</v>
      </c>
      <c r="E1563" s="3" t="s">
        <v>10</v>
      </c>
      <c r="F1563" s="3">
        <v>0</v>
      </c>
      <c r="G1563" s="21">
        <f>Table4[[#This Row],[Item Cost]]*Table4[[#This Row],[In Stock]]</f>
        <v>0</v>
      </c>
      <c r="H1563" s="12" t="s">
        <v>4661</v>
      </c>
      <c r="I1563" s="13" t="s">
        <v>4666</v>
      </c>
      <c r="J1563" s="13" t="s">
        <v>4703</v>
      </c>
      <c r="K1563" s="13" t="s">
        <v>4672</v>
      </c>
      <c r="L1563" s="12" t="s">
        <v>4672</v>
      </c>
      <c r="M1563" s="17" t="str">
        <f>IF(LEN(COUNTIFS($H$1:H1563,$H1563,$I$1:I1563,$I1563,$J$1:J1563,$J1563,$K$1:K1563,K1563,$L$1:L1563,L1563))=1,"00"&amp;COUNTIFS($H$1:H1563,$H1563,$I$1:I1563,$I1563,$J$1:J1563,$J1563,$K$1:K1563,K1563,$L$1:L1563,L1563),IF(LEN(COUNTIFS($H$1:H1563,$H1563,$I$1:I1563,$I1563,$J$1:J1563,$J1563,$K$1:K1563,K1563,$L$1:L1563,L1563))=2,"0"&amp;COUNTIFS($H$1:H1563,$H1563,$I$1:I1563,$I1563,$J$1:J1563,$J1563,$K$1:K1563,K1563,$L$1:L1563,L1563),COUNTIFS($H$1:H1563,$H1563,$I$1:I1563,$I1563,$J$1:J1563,$J1563,$K$1:K1563,K1563,$L$1:L1563,L1563)))</f>
        <v>009</v>
      </c>
      <c r="N156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63" s="14" t="e">
        <f>+LEN(Table4[[#This Row],[New Item Code]])</f>
        <v>#N/A</v>
      </c>
      <c r="P1563" s="15" t="s">
        <v>4747</v>
      </c>
      <c r="Q1563" s="15" t="s">
        <v>4749</v>
      </c>
      <c r="R1563" s="15"/>
      <c r="S1563" s="15"/>
      <c r="T1563" s="15" t="s">
        <v>4703</v>
      </c>
    </row>
    <row r="1564" spans="1:20" x14ac:dyDescent="0.35">
      <c r="A1564" s="2" t="s">
        <v>3111</v>
      </c>
      <c r="B1564" s="2" t="s">
        <v>3112</v>
      </c>
      <c r="C1564" s="2" t="s">
        <v>9</v>
      </c>
      <c r="D1564" s="2">
        <v>607.04</v>
      </c>
      <c r="E1564" s="2" t="s">
        <v>10</v>
      </c>
      <c r="F1564" s="2">
        <v>1</v>
      </c>
      <c r="G1564" s="22">
        <f>Table4[[#This Row],[Item Cost]]*Table4[[#This Row],[In Stock]]</f>
        <v>607.04</v>
      </c>
      <c r="H1564" s="12" t="s">
        <v>4661</v>
      </c>
      <c r="I1564" s="13" t="s">
        <v>4664</v>
      </c>
      <c r="J1564" s="13" t="s">
        <v>4703</v>
      </c>
      <c r="K1564" s="13" t="s">
        <v>4672</v>
      </c>
      <c r="L1564" s="12" t="s">
        <v>4672</v>
      </c>
      <c r="M1564" s="17" t="str">
        <f>IF(LEN(COUNTIFS($H$1:H1564,$H1564,$I$1:I1564,$I1564,$J$1:J1564,$J1564,$K$1:K1564,K1564,$L$1:L1564,L1564))=1,"00"&amp;COUNTIFS($H$1:H1564,$H1564,$I$1:I1564,$I1564,$J$1:J1564,$J1564,$K$1:K1564,K1564,$L$1:L1564,L1564),IF(LEN(COUNTIFS($H$1:H1564,$H1564,$I$1:I1564,$I1564,$J$1:J1564,$J1564,$K$1:K1564,K1564,$L$1:L1564,L1564))=2,"0"&amp;COUNTIFS($H$1:H1564,$H1564,$I$1:I1564,$I1564,$J$1:J1564,$J1564,$K$1:K1564,K1564,$L$1:L1564,L1564),COUNTIFS($H$1:H1564,$H1564,$I$1:I1564,$I1564,$J$1:J1564,$J1564,$K$1:K1564,K1564,$L$1:L1564,L1564)))</f>
        <v>010</v>
      </c>
      <c r="N156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64" s="14" t="e">
        <f>+LEN(Table4[[#This Row],[New Item Code]])</f>
        <v>#N/A</v>
      </c>
      <c r="P1564" s="15" t="s">
        <v>4747</v>
      </c>
      <c r="Q1564" s="15" t="s">
        <v>4749</v>
      </c>
      <c r="R1564" s="15"/>
      <c r="S1564" s="15"/>
      <c r="T1564" s="15" t="s">
        <v>4703</v>
      </c>
    </row>
    <row r="1565" spans="1:20" x14ac:dyDescent="0.35">
      <c r="A1565" s="3" t="s">
        <v>3113</v>
      </c>
      <c r="B1565" s="3" t="s">
        <v>3114</v>
      </c>
      <c r="C1565" s="3" t="s">
        <v>9</v>
      </c>
      <c r="D1565" s="3">
        <v>399</v>
      </c>
      <c r="E1565" s="3" t="s">
        <v>10</v>
      </c>
      <c r="F1565" s="3">
        <v>1</v>
      </c>
      <c r="G1565" s="21">
        <f>Table4[[#This Row],[Item Cost]]*Table4[[#This Row],[In Stock]]</f>
        <v>399</v>
      </c>
      <c r="H1565" s="12" t="s">
        <v>4661</v>
      </c>
      <c r="I1565" s="13" t="s">
        <v>4664</v>
      </c>
      <c r="J1565" s="13" t="s">
        <v>4703</v>
      </c>
      <c r="K1565" s="13" t="s">
        <v>4672</v>
      </c>
      <c r="L1565" s="12" t="s">
        <v>4672</v>
      </c>
      <c r="M1565" s="17" t="str">
        <f>IF(LEN(COUNTIFS($H$1:H1565,$H1565,$I$1:I1565,$I1565,$J$1:J1565,$J1565,$K$1:K1565,K1565,$L$1:L1565,L1565))=1,"00"&amp;COUNTIFS($H$1:H1565,$H1565,$I$1:I1565,$I1565,$J$1:J1565,$J1565,$K$1:K1565,K1565,$L$1:L1565,L1565),IF(LEN(COUNTIFS($H$1:H1565,$H1565,$I$1:I1565,$I1565,$J$1:J1565,$J1565,$K$1:K1565,K1565,$L$1:L1565,L1565))=2,"0"&amp;COUNTIFS($H$1:H1565,$H1565,$I$1:I1565,$I1565,$J$1:J1565,$J1565,$K$1:K1565,K1565,$L$1:L1565,L1565),COUNTIFS($H$1:H1565,$H1565,$I$1:I1565,$I1565,$J$1:J1565,$J1565,$K$1:K1565,K1565,$L$1:L1565,L1565)))</f>
        <v>011</v>
      </c>
      <c r="N156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65" s="14" t="e">
        <f>+LEN(Table4[[#This Row],[New Item Code]])</f>
        <v>#N/A</v>
      </c>
      <c r="P1565" s="15" t="s">
        <v>4747</v>
      </c>
      <c r="Q1565" s="15" t="s">
        <v>4749</v>
      </c>
      <c r="R1565" s="15"/>
      <c r="S1565" s="15"/>
      <c r="T1565" s="15" t="s">
        <v>4703</v>
      </c>
    </row>
    <row r="1566" spans="1:20" x14ac:dyDescent="0.35">
      <c r="A1566" s="2" t="s">
        <v>3115</v>
      </c>
      <c r="B1566" s="2" t="s">
        <v>3116</v>
      </c>
      <c r="C1566" s="2" t="s">
        <v>9</v>
      </c>
      <c r="D1566" s="2">
        <v>631</v>
      </c>
      <c r="E1566" s="2" t="s">
        <v>10</v>
      </c>
      <c r="F1566" s="2">
        <v>1</v>
      </c>
      <c r="G1566" s="22">
        <f>Table4[[#This Row],[Item Cost]]*Table4[[#This Row],[In Stock]]</f>
        <v>631</v>
      </c>
      <c r="H1566" s="12" t="s">
        <v>4661</v>
      </c>
      <c r="I1566" s="13" t="s">
        <v>4664</v>
      </c>
      <c r="J1566" s="13" t="s">
        <v>4703</v>
      </c>
      <c r="K1566" s="13" t="s">
        <v>4776</v>
      </c>
      <c r="L1566" s="12" t="s">
        <v>4672</v>
      </c>
      <c r="M1566" s="17" t="str">
        <f>IF(LEN(COUNTIFS($H$1:H1566,$H1566,$I$1:I1566,$I1566,$J$1:J1566,$J1566,$K$1:K1566,K1566,$L$1:L1566,L1566))=1,"00"&amp;COUNTIFS($H$1:H1566,$H1566,$I$1:I1566,$I1566,$J$1:J1566,$J1566,$K$1:K1566,K1566,$L$1:L1566,L1566),IF(LEN(COUNTIFS($H$1:H1566,$H1566,$I$1:I1566,$I1566,$J$1:J1566,$J1566,$K$1:K1566,K1566,$L$1:L1566,L1566))=2,"0"&amp;COUNTIFS($H$1:H1566,$H1566,$I$1:I1566,$I1566,$J$1:J1566,$J1566,$K$1:K1566,K1566,$L$1:L1566,L1566),COUNTIFS($H$1:H1566,$H1566,$I$1:I1566,$I1566,$J$1:J1566,$J1566,$K$1:K1566,K1566,$L$1:L1566,L1566)))</f>
        <v>001</v>
      </c>
      <c r="N156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66" s="14" t="e">
        <f>+LEN(Table4[[#This Row],[New Item Code]])</f>
        <v>#N/A</v>
      </c>
      <c r="P1566" s="15" t="s">
        <v>4747</v>
      </c>
      <c r="Q1566" s="15" t="s">
        <v>4749</v>
      </c>
      <c r="R1566" s="15"/>
      <c r="S1566" s="15"/>
      <c r="T1566" s="15" t="s">
        <v>4703</v>
      </c>
    </row>
    <row r="1567" spans="1:20" x14ac:dyDescent="0.35">
      <c r="A1567" s="3" t="s">
        <v>3117</v>
      </c>
      <c r="B1567" s="3" t="s">
        <v>3118</v>
      </c>
      <c r="C1567" s="3" t="s">
        <v>9</v>
      </c>
      <c r="D1567" s="3">
        <v>722</v>
      </c>
      <c r="E1567" s="3" t="s">
        <v>10</v>
      </c>
      <c r="F1567" s="3">
        <v>1</v>
      </c>
      <c r="G1567" s="21">
        <f>Table4[[#This Row],[Item Cost]]*Table4[[#This Row],[In Stock]]</f>
        <v>722</v>
      </c>
      <c r="H1567" s="12" t="s">
        <v>4661</v>
      </c>
      <c r="I1567" s="13" t="s">
        <v>4664</v>
      </c>
      <c r="J1567" s="13" t="s">
        <v>4703</v>
      </c>
      <c r="K1567" s="13" t="s">
        <v>4776</v>
      </c>
      <c r="L1567" s="12" t="s">
        <v>4672</v>
      </c>
      <c r="M1567" s="17" t="str">
        <f>IF(LEN(COUNTIFS($H$1:H1567,$H1567,$I$1:I1567,$I1567,$J$1:J1567,$J1567,$K$1:K1567,K1567,$L$1:L1567,L1567))=1,"00"&amp;COUNTIFS($H$1:H1567,$H1567,$I$1:I1567,$I1567,$J$1:J1567,$J1567,$K$1:K1567,K1567,$L$1:L1567,L1567),IF(LEN(COUNTIFS($H$1:H1567,$H1567,$I$1:I1567,$I1567,$J$1:J1567,$J1567,$K$1:K1567,K1567,$L$1:L1567,L1567))=2,"0"&amp;COUNTIFS($H$1:H1567,$H1567,$I$1:I1567,$I1567,$J$1:J1567,$J1567,$K$1:K1567,K1567,$L$1:L1567,L1567),COUNTIFS($H$1:H1567,$H1567,$I$1:I1567,$I1567,$J$1:J1567,$J1567,$K$1:K1567,K1567,$L$1:L1567,L1567)))</f>
        <v>002</v>
      </c>
      <c r="N156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67" s="14" t="e">
        <f>+LEN(Table4[[#This Row],[New Item Code]])</f>
        <v>#N/A</v>
      </c>
      <c r="P1567" s="15" t="s">
        <v>4747</v>
      </c>
      <c r="Q1567" s="15" t="s">
        <v>4749</v>
      </c>
      <c r="R1567" s="15"/>
      <c r="S1567" s="15"/>
      <c r="T1567" s="15" t="s">
        <v>4703</v>
      </c>
    </row>
    <row r="1568" spans="1:20" x14ac:dyDescent="0.35">
      <c r="A1568" s="2" t="s">
        <v>3119</v>
      </c>
      <c r="B1568" s="2" t="s">
        <v>3120</v>
      </c>
      <c r="C1568" s="2" t="s">
        <v>9</v>
      </c>
      <c r="D1568" s="2">
        <v>980</v>
      </c>
      <c r="E1568" s="2" t="s">
        <v>10</v>
      </c>
      <c r="F1568" s="2">
        <v>1</v>
      </c>
      <c r="G1568" s="22">
        <f>Table4[[#This Row],[Item Cost]]*Table4[[#This Row],[In Stock]]</f>
        <v>980</v>
      </c>
      <c r="H1568" s="12" t="s">
        <v>4661</v>
      </c>
      <c r="I1568" s="13" t="s">
        <v>4664</v>
      </c>
      <c r="J1568" s="13" t="s">
        <v>4703</v>
      </c>
      <c r="K1568" s="13" t="s">
        <v>4672</v>
      </c>
      <c r="L1568" s="12" t="s">
        <v>4672</v>
      </c>
      <c r="M1568" s="17" t="str">
        <f>IF(LEN(COUNTIFS($H$1:H1568,$H1568,$I$1:I1568,$I1568,$J$1:J1568,$J1568,$K$1:K1568,K1568,$L$1:L1568,L1568))=1,"00"&amp;COUNTIFS($H$1:H1568,$H1568,$I$1:I1568,$I1568,$J$1:J1568,$J1568,$K$1:K1568,K1568,$L$1:L1568,L1568),IF(LEN(COUNTIFS($H$1:H1568,$H1568,$I$1:I1568,$I1568,$J$1:J1568,$J1568,$K$1:K1568,K1568,$L$1:L1568,L1568))=2,"0"&amp;COUNTIFS($H$1:H1568,$H1568,$I$1:I1568,$I1568,$J$1:J1568,$J1568,$K$1:K1568,K1568,$L$1:L1568,L1568),COUNTIFS($H$1:H1568,$H1568,$I$1:I1568,$I1568,$J$1:J1568,$J1568,$K$1:K1568,K1568,$L$1:L1568,L1568)))</f>
        <v>012</v>
      </c>
      <c r="N156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68" s="14" t="e">
        <f>+LEN(Table4[[#This Row],[New Item Code]])</f>
        <v>#N/A</v>
      </c>
      <c r="P1568" s="15" t="s">
        <v>4747</v>
      </c>
      <c r="Q1568" s="15" t="s">
        <v>4749</v>
      </c>
      <c r="R1568" s="15"/>
      <c r="S1568" s="15"/>
      <c r="T1568" s="15" t="s">
        <v>4703</v>
      </c>
    </row>
    <row r="1569" spans="1:20" x14ac:dyDescent="0.35">
      <c r="A1569" s="3" t="s">
        <v>3121</v>
      </c>
      <c r="B1569" s="3" t="s">
        <v>3122</v>
      </c>
      <c r="C1569" s="3" t="s">
        <v>9</v>
      </c>
      <c r="D1569" s="3">
        <v>751</v>
      </c>
      <c r="E1569" s="3" t="s">
        <v>10</v>
      </c>
      <c r="F1569" s="3">
        <v>1</v>
      </c>
      <c r="G1569" s="21">
        <f>Table4[[#This Row],[Item Cost]]*Table4[[#This Row],[In Stock]]</f>
        <v>751</v>
      </c>
      <c r="H1569" s="12" t="s">
        <v>4661</v>
      </c>
      <c r="I1569" s="13" t="s">
        <v>4664</v>
      </c>
      <c r="J1569" s="13" t="s">
        <v>4703</v>
      </c>
      <c r="K1569" s="13" t="s">
        <v>4672</v>
      </c>
      <c r="L1569" s="12" t="s">
        <v>4672</v>
      </c>
      <c r="M1569" s="17" t="str">
        <f>IF(LEN(COUNTIFS($H$1:H1569,$H1569,$I$1:I1569,$I1569,$J$1:J1569,$J1569,$K$1:K1569,K1569,$L$1:L1569,L1569))=1,"00"&amp;COUNTIFS($H$1:H1569,$H1569,$I$1:I1569,$I1569,$J$1:J1569,$J1569,$K$1:K1569,K1569,$L$1:L1569,L1569),IF(LEN(COUNTIFS($H$1:H1569,$H1569,$I$1:I1569,$I1569,$J$1:J1569,$J1569,$K$1:K1569,K1569,$L$1:L1569,L1569))=2,"0"&amp;COUNTIFS($H$1:H1569,$H1569,$I$1:I1569,$I1569,$J$1:J1569,$J1569,$K$1:K1569,K1569,$L$1:L1569,L1569),COUNTIFS($H$1:H1569,$H1569,$I$1:I1569,$I1569,$J$1:J1569,$J1569,$K$1:K1569,K1569,$L$1:L1569,L1569)))</f>
        <v>013</v>
      </c>
      <c r="N156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69" s="14" t="e">
        <f>+LEN(Table4[[#This Row],[New Item Code]])</f>
        <v>#N/A</v>
      </c>
      <c r="P1569" s="15" t="s">
        <v>4747</v>
      </c>
      <c r="Q1569" s="15" t="s">
        <v>4749</v>
      </c>
      <c r="R1569" s="15"/>
      <c r="S1569" s="15"/>
      <c r="T1569" s="15" t="s">
        <v>4703</v>
      </c>
    </row>
    <row r="1570" spans="1:20" x14ac:dyDescent="0.35">
      <c r="A1570" s="2" t="s">
        <v>3123</v>
      </c>
      <c r="B1570" s="2" t="s">
        <v>3124</v>
      </c>
      <c r="C1570" s="2" t="s">
        <v>9</v>
      </c>
      <c r="D1570" s="2">
        <v>793</v>
      </c>
      <c r="E1570" s="2" t="s">
        <v>10</v>
      </c>
      <c r="F1570" s="2">
        <v>1</v>
      </c>
      <c r="G1570" s="22">
        <f>Table4[[#This Row],[Item Cost]]*Table4[[#This Row],[In Stock]]</f>
        <v>793</v>
      </c>
      <c r="H1570" s="12" t="s">
        <v>4661</v>
      </c>
      <c r="I1570" s="13" t="s">
        <v>4664</v>
      </c>
      <c r="J1570" s="13" t="s">
        <v>4703</v>
      </c>
      <c r="K1570" s="13" t="s">
        <v>4672</v>
      </c>
      <c r="L1570" s="12" t="s">
        <v>4672</v>
      </c>
      <c r="M1570" s="17" t="str">
        <f>IF(LEN(COUNTIFS($H$1:H1570,$H1570,$I$1:I1570,$I1570,$J$1:J1570,$J1570,$K$1:K1570,K1570,$L$1:L1570,L1570))=1,"00"&amp;COUNTIFS($H$1:H1570,$H1570,$I$1:I1570,$I1570,$J$1:J1570,$J1570,$K$1:K1570,K1570,$L$1:L1570,L1570),IF(LEN(COUNTIFS($H$1:H1570,$H1570,$I$1:I1570,$I1570,$J$1:J1570,$J1570,$K$1:K1570,K1570,$L$1:L1570,L1570))=2,"0"&amp;COUNTIFS($H$1:H1570,$H1570,$I$1:I1570,$I1570,$J$1:J1570,$J1570,$K$1:K1570,K1570,$L$1:L1570,L1570),COUNTIFS($H$1:H1570,$H1570,$I$1:I1570,$I1570,$J$1:J1570,$J1570,$K$1:K1570,K1570,$L$1:L1570,L1570)))</f>
        <v>014</v>
      </c>
      <c r="N157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70" s="14" t="e">
        <f>+LEN(Table4[[#This Row],[New Item Code]])</f>
        <v>#N/A</v>
      </c>
      <c r="P1570" s="15" t="s">
        <v>4747</v>
      </c>
      <c r="Q1570" s="15" t="s">
        <v>4749</v>
      </c>
      <c r="R1570" s="15"/>
      <c r="S1570" s="15"/>
      <c r="T1570" s="15" t="s">
        <v>4703</v>
      </c>
    </row>
    <row r="1571" spans="1:20" x14ac:dyDescent="0.35">
      <c r="A1571" s="3" t="s">
        <v>3125</v>
      </c>
      <c r="B1571" s="3" t="s">
        <v>3126</v>
      </c>
      <c r="C1571" s="3" t="s">
        <v>9</v>
      </c>
      <c r="D1571" s="3">
        <v>822</v>
      </c>
      <c r="E1571" s="3" t="s">
        <v>10</v>
      </c>
      <c r="F1571" s="3">
        <v>1</v>
      </c>
      <c r="G1571" s="21">
        <f>Table4[[#This Row],[Item Cost]]*Table4[[#This Row],[In Stock]]</f>
        <v>822</v>
      </c>
      <c r="H1571" s="12" t="s">
        <v>4661</v>
      </c>
      <c r="I1571" s="13" t="s">
        <v>4664</v>
      </c>
      <c r="J1571" s="13" t="s">
        <v>4703</v>
      </c>
      <c r="K1571" s="13" t="s">
        <v>4672</v>
      </c>
      <c r="L1571" s="12" t="s">
        <v>4672</v>
      </c>
      <c r="M1571" s="17" t="str">
        <f>IF(LEN(COUNTIFS($H$1:H1571,$H1571,$I$1:I1571,$I1571,$J$1:J1571,$J1571,$K$1:K1571,K1571,$L$1:L1571,L1571))=1,"00"&amp;COUNTIFS($H$1:H1571,$H1571,$I$1:I1571,$I1571,$J$1:J1571,$J1571,$K$1:K1571,K1571,$L$1:L1571,L1571),IF(LEN(COUNTIFS($H$1:H1571,$H1571,$I$1:I1571,$I1571,$J$1:J1571,$J1571,$K$1:K1571,K1571,$L$1:L1571,L1571))=2,"0"&amp;COUNTIFS($H$1:H1571,$H1571,$I$1:I1571,$I1571,$J$1:J1571,$J1571,$K$1:K1571,K1571,$L$1:L1571,L1571),COUNTIFS($H$1:H1571,$H1571,$I$1:I1571,$I1571,$J$1:J1571,$J1571,$K$1:K1571,K1571,$L$1:L1571,L1571)))</f>
        <v>015</v>
      </c>
      <c r="N157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71" s="14" t="e">
        <f>+LEN(Table4[[#This Row],[New Item Code]])</f>
        <v>#N/A</v>
      </c>
      <c r="P1571" s="15" t="s">
        <v>4747</v>
      </c>
      <c r="Q1571" s="15" t="s">
        <v>4749</v>
      </c>
      <c r="R1571" s="15"/>
      <c r="S1571" s="15"/>
      <c r="T1571" s="15" t="s">
        <v>4703</v>
      </c>
    </row>
    <row r="1572" spans="1:20" x14ac:dyDescent="0.35">
      <c r="A1572" s="2" t="s">
        <v>3127</v>
      </c>
      <c r="B1572" s="2" t="s">
        <v>3128</v>
      </c>
      <c r="C1572" s="2" t="s">
        <v>9</v>
      </c>
      <c r="D1572" s="4">
        <v>1180</v>
      </c>
      <c r="E1572" s="2" t="s">
        <v>10</v>
      </c>
      <c r="F1572" s="2">
        <v>1</v>
      </c>
      <c r="G1572" s="22">
        <f>Table4[[#This Row],[Item Cost]]*Table4[[#This Row],[In Stock]]</f>
        <v>1180</v>
      </c>
      <c r="H1572" s="12" t="s">
        <v>4661</v>
      </c>
      <c r="I1572" s="13" t="s">
        <v>4664</v>
      </c>
      <c r="J1572" s="13" t="s">
        <v>4703</v>
      </c>
      <c r="K1572" s="13" t="s">
        <v>4672</v>
      </c>
      <c r="L1572" s="12" t="s">
        <v>4672</v>
      </c>
      <c r="M1572" s="17" t="str">
        <f>IF(LEN(COUNTIFS($H$1:H1572,$H1572,$I$1:I1572,$I1572,$J$1:J1572,$J1572,$K$1:K1572,K1572,$L$1:L1572,L1572))=1,"00"&amp;COUNTIFS($H$1:H1572,$H1572,$I$1:I1572,$I1572,$J$1:J1572,$J1572,$K$1:K1572,K1572,$L$1:L1572,L1572),IF(LEN(COUNTIFS($H$1:H1572,$H1572,$I$1:I1572,$I1572,$J$1:J1572,$J1572,$K$1:K1572,K1572,$L$1:L1572,L1572))=2,"0"&amp;COUNTIFS($H$1:H1572,$H1572,$I$1:I1572,$I1572,$J$1:J1572,$J1572,$K$1:K1572,K1572,$L$1:L1572,L1572),COUNTIFS($H$1:H1572,$H1572,$I$1:I1572,$I1572,$J$1:J1572,$J1572,$K$1:K1572,K1572,$L$1:L1572,L1572)))</f>
        <v>016</v>
      </c>
      <c r="N157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72" s="14" t="e">
        <f>+LEN(Table4[[#This Row],[New Item Code]])</f>
        <v>#N/A</v>
      </c>
      <c r="P1572" s="15" t="s">
        <v>4747</v>
      </c>
      <c r="Q1572" s="15" t="s">
        <v>4749</v>
      </c>
      <c r="R1572" s="15"/>
      <c r="S1572" s="15"/>
      <c r="T1572" s="15" t="s">
        <v>4703</v>
      </c>
    </row>
    <row r="1573" spans="1:20" x14ac:dyDescent="0.35">
      <c r="A1573" s="3" t="s">
        <v>3129</v>
      </c>
      <c r="B1573" s="3" t="s">
        <v>3130</v>
      </c>
      <c r="C1573" s="3" t="s">
        <v>15</v>
      </c>
      <c r="D1573" s="3">
        <v>0</v>
      </c>
      <c r="E1573" s="3" t="s">
        <v>10</v>
      </c>
      <c r="F1573" s="3">
        <v>0</v>
      </c>
      <c r="G1573" s="21">
        <f>Table4[[#This Row],[Item Cost]]*Table4[[#This Row],[In Stock]]</f>
        <v>0</v>
      </c>
      <c r="H1573" s="12" t="s">
        <v>4661</v>
      </c>
      <c r="I1573" s="13" t="s">
        <v>4666</v>
      </c>
      <c r="J1573" s="13" t="s">
        <v>4703</v>
      </c>
      <c r="K1573" s="13" t="s">
        <v>4672</v>
      </c>
      <c r="L1573" s="12" t="s">
        <v>4672</v>
      </c>
      <c r="M1573" s="17" t="str">
        <f>IF(LEN(COUNTIFS($H$1:H1573,$H1573,$I$1:I1573,$I1573,$J$1:J1573,$J1573,$K$1:K1573,K1573,$L$1:L1573,L1573))=1,"00"&amp;COUNTIFS($H$1:H1573,$H1573,$I$1:I1573,$I1573,$J$1:J1573,$J1573,$K$1:K1573,K1573,$L$1:L1573,L1573),IF(LEN(COUNTIFS($H$1:H1573,$H1573,$I$1:I1573,$I1573,$J$1:J1573,$J1573,$K$1:K1573,K1573,$L$1:L1573,L1573))=2,"0"&amp;COUNTIFS($H$1:H1573,$H1573,$I$1:I1573,$I1573,$J$1:J1573,$J1573,$K$1:K1573,K1573,$L$1:L1573,L1573),COUNTIFS($H$1:H1573,$H1573,$I$1:I1573,$I1573,$J$1:J1573,$J1573,$K$1:K1573,K1573,$L$1:L1573,L1573)))</f>
        <v>010</v>
      </c>
      <c r="N157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73" s="14" t="e">
        <f>+LEN(Table4[[#This Row],[New Item Code]])</f>
        <v>#N/A</v>
      </c>
      <c r="P1573" s="15" t="s">
        <v>4747</v>
      </c>
      <c r="Q1573" s="15" t="s">
        <v>4749</v>
      </c>
      <c r="R1573" s="15"/>
      <c r="S1573" s="15"/>
      <c r="T1573" s="15" t="s">
        <v>4703</v>
      </c>
    </row>
    <row r="1574" spans="1:20" x14ac:dyDescent="0.35">
      <c r="A1574" s="2" t="s">
        <v>3131</v>
      </c>
      <c r="B1574" s="2" t="s">
        <v>3132</v>
      </c>
      <c r="C1574" s="2" t="s">
        <v>15</v>
      </c>
      <c r="D1574" s="2">
        <v>0</v>
      </c>
      <c r="E1574" s="2" t="s">
        <v>10</v>
      </c>
      <c r="F1574" s="2">
        <v>0</v>
      </c>
      <c r="G1574" s="22">
        <f>Table4[[#This Row],[Item Cost]]*Table4[[#This Row],[In Stock]]</f>
        <v>0</v>
      </c>
      <c r="H1574" s="12" t="s">
        <v>4661</v>
      </c>
      <c r="I1574" s="13" t="s">
        <v>4666</v>
      </c>
      <c r="J1574" s="13" t="s">
        <v>4703</v>
      </c>
      <c r="K1574" s="13" t="s">
        <v>4672</v>
      </c>
      <c r="L1574" s="12" t="s">
        <v>4672</v>
      </c>
      <c r="M1574" s="17" t="str">
        <f>IF(LEN(COUNTIFS($H$1:H1574,$H1574,$I$1:I1574,$I1574,$J$1:J1574,$J1574,$K$1:K1574,K1574,$L$1:L1574,L1574))=1,"00"&amp;COUNTIFS($H$1:H1574,$H1574,$I$1:I1574,$I1574,$J$1:J1574,$J1574,$K$1:K1574,K1574,$L$1:L1574,L1574),IF(LEN(COUNTIFS($H$1:H1574,$H1574,$I$1:I1574,$I1574,$J$1:J1574,$J1574,$K$1:K1574,K1574,$L$1:L1574,L1574))=2,"0"&amp;COUNTIFS($H$1:H1574,$H1574,$I$1:I1574,$I1574,$J$1:J1574,$J1574,$K$1:K1574,K1574,$L$1:L1574,L1574),COUNTIFS($H$1:H1574,$H1574,$I$1:I1574,$I1574,$J$1:J1574,$J1574,$K$1:K1574,K1574,$L$1:L1574,L1574)))</f>
        <v>011</v>
      </c>
      <c r="N157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74" s="14" t="e">
        <f>+LEN(Table4[[#This Row],[New Item Code]])</f>
        <v>#N/A</v>
      </c>
      <c r="P1574" s="15" t="s">
        <v>4747</v>
      </c>
      <c r="Q1574" s="15" t="s">
        <v>4749</v>
      </c>
      <c r="R1574" s="15"/>
      <c r="S1574" s="15"/>
      <c r="T1574" s="15" t="s">
        <v>4703</v>
      </c>
    </row>
    <row r="1575" spans="1:20" x14ac:dyDescent="0.35">
      <c r="A1575" s="3" t="s">
        <v>3133</v>
      </c>
      <c r="B1575" s="3" t="s">
        <v>3134</v>
      </c>
      <c r="C1575" s="3" t="s">
        <v>15</v>
      </c>
      <c r="D1575" s="3">
        <v>0</v>
      </c>
      <c r="E1575" s="3" t="s">
        <v>10</v>
      </c>
      <c r="F1575" s="3">
        <v>0</v>
      </c>
      <c r="G1575" s="21">
        <f>Table4[[#This Row],[Item Cost]]*Table4[[#This Row],[In Stock]]</f>
        <v>0</v>
      </c>
      <c r="H1575" s="12" t="s">
        <v>4661</v>
      </c>
      <c r="I1575" s="13" t="s">
        <v>4666</v>
      </c>
      <c r="J1575" s="13" t="s">
        <v>4711</v>
      </c>
      <c r="K1575" t="s">
        <v>4797</v>
      </c>
      <c r="L1575" s="12" t="s">
        <v>4672</v>
      </c>
      <c r="M1575" s="17" t="str">
        <f>IF(LEN(COUNTIFS($H$1:H1575,$H1575,$I$1:I1575,$I1575,$J$1:J1575,$J1575,$K$1:K1575,K1575,$L$1:L1575,L1575))=1,"00"&amp;COUNTIFS($H$1:H1575,$H1575,$I$1:I1575,$I1575,$J$1:J1575,$J1575,$K$1:K1575,K1575,$L$1:L1575,L1575),IF(LEN(COUNTIFS($H$1:H1575,$H1575,$I$1:I1575,$I1575,$J$1:J1575,$J1575,$K$1:K1575,K1575,$L$1:L1575,L1575))=2,"0"&amp;COUNTIFS($H$1:H1575,$H1575,$I$1:I1575,$I1575,$J$1:J1575,$J1575,$K$1:K1575,K1575,$L$1:L1575,L1575),COUNTIFS($H$1:H1575,$H1575,$I$1:I1575,$I1575,$J$1:J1575,$J1575,$K$1:K1575,K1575,$L$1:L1575,L1575)))</f>
        <v>001</v>
      </c>
      <c r="N157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75" s="14" t="e">
        <f>+LEN(Table4[[#This Row],[New Item Code]])</f>
        <v>#N/A</v>
      </c>
      <c r="P1575" s="15" t="s">
        <v>4747</v>
      </c>
      <c r="Q1575" s="15" t="s">
        <v>4749</v>
      </c>
      <c r="R1575" s="15"/>
      <c r="S1575" s="15"/>
      <c r="T1575" s="15" t="s">
        <v>4711</v>
      </c>
    </row>
    <row r="1576" spans="1:20" x14ac:dyDescent="0.35">
      <c r="A1576" s="2" t="s">
        <v>3135</v>
      </c>
      <c r="B1576" s="2" t="s">
        <v>3136</v>
      </c>
      <c r="C1576" s="2" t="s">
        <v>15</v>
      </c>
      <c r="D1576" s="2">
        <v>0</v>
      </c>
      <c r="E1576" s="2" t="s">
        <v>10</v>
      </c>
      <c r="F1576" s="2">
        <v>0</v>
      </c>
      <c r="G1576" s="22">
        <f>Table4[[#This Row],[Item Cost]]*Table4[[#This Row],[In Stock]]</f>
        <v>0</v>
      </c>
      <c r="H1576" s="12" t="s">
        <v>4661</v>
      </c>
      <c r="I1576" s="13" t="s">
        <v>4666</v>
      </c>
      <c r="J1576" s="13" t="s">
        <v>4711</v>
      </c>
      <c r="K1576" t="s">
        <v>4797</v>
      </c>
      <c r="L1576" s="12" t="s">
        <v>4672</v>
      </c>
      <c r="M1576" s="17" t="str">
        <f>IF(LEN(COUNTIFS($H$1:H1576,$H1576,$I$1:I1576,$I1576,$J$1:J1576,$J1576,$K$1:K1576,K1576,$L$1:L1576,L1576))=1,"00"&amp;COUNTIFS($H$1:H1576,$H1576,$I$1:I1576,$I1576,$J$1:J1576,$J1576,$K$1:K1576,K1576,$L$1:L1576,L1576),IF(LEN(COUNTIFS($H$1:H1576,$H1576,$I$1:I1576,$I1576,$J$1:J1576,$J1576,$K$1:K1576,K1576,$L$1:L1576,L1576))=2,"0"&amp;COUNTIFS($H$1:H1576,$H1576,$I$1:I1576,$I1576,$J$1:J1576,$J1576,$K$1:K1576,K1576,$L$1:L1576,L1576),COUNTIFS($H$1:H1576,$H1576,$I$1:I1576,$I1576,$J$1:J1576,$J1576,$K$1:K1576,K1576,$L$1:L1576,L1576)))</f>
        <v>002</v>
      </c>
      <c r="N157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76" s="14" t="e">
        <f>+LEN(Table4[[#This Row],[New Item Code]])</f>
        <v>#N/A</v>
      </c>
      <c r="P1576" s="15" t="s">
        <v>4747</v>
      </c>
      <c r="Q1576" s="15" t="s">
        <v>4749</v>
      </c>
      <c r="R1576" s="15"/>
      <c r="S1576" s="15"/>
      <c r="T1576" s="15" t="s">
        <v>4711</v>
      </c>
    </row>
    <row r="1577" spans="1:20" x14ac:dyDescent="0.35">
      <c r="A1577" s="3" t="s">
        <v>3137</v>
      </c>
      <c r="B1577" s="3" t="s">
        <v>3138</v>
      </c>
      <c r="C1577" s="3" t="s">
        <v>15</v>
      </c>
      <c r="D1577" s="3">
        <v>0</v>
      </c>
      <c r="E1577" s="3" t="s">
        <v>10</v>
      </c>
      <c r="F1577" s="3">
        <v>0</v>
      </c>
      <c r="G1577" s="21">
        <f>Table4[[#This Row],[Item Cost]]*Table4[[#This Row],[In Stock]]</f>
        <v>0</v>
      </c>
      <c r="H1577" s="12" t="s">
        <v>4661</v>
      </c>
      <c r="I1577" s="13" t="s">
        <v>4666</v>
      </c>
      <c r="J1577" s="13" t="s">
        <v>4711</v>
      </c>
      <c r="K1577" t="s">
        <v>4797</v>
      </c>
      <c r="L1577" s="12" t="s">
        <v>4672</v>
      </c>
      <c r="M1577" s="17" t="str">
        <f>IF(LEN(COUNTIFS($H$1:H1577,$H1577,$I$1:I1577,$I1577,$J$1:J1577,$J1577,$K$1:K1577,K1577,$L$1:L1577,L1577))=1,"00"&amp;COUNTIFS($H$1:H1577,$H1577,$I$1:I1577,$I1577,$J$1:J1577,$J1577,$K$1:K1577,K1577,$L$1:L1577,L1577),IF(LEN(COUNTIFS($H$1:H1577,$H1577,$I$1:I1577,$I1577,$J$1:J1577,$J1577,$K$1:K1577,K1577,$L$1:L1577,L1577))=2,"0"&amp;COUNTIFS($H$1:H1577,$H1577,$I$1:I1577,$I1577,$J$1:J1577,$J1577,$K$1:K1577,K1577,$L$1:L1577,L1577),COUNTIFS($H$1:H1577,$H1577,$I$1:I1577,$I1577,$J$1:J1577,$J1577,$K$1:K1577,K1577,$L$1:L1577,L1577)))</f>
        <v>003</v>
      </c>
      <c r="N157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77" s="14" t="e">
        <f>+LEN(Table4[[#This Row],[New Item Code]])</f>
        <v>#N/A</v>
      </c>
      <c r="P1577" s="15" t="s">
        <v>4747</v>
      </c>
      <c r="Q1577" s="15" t="s">
        <v>4749</v>
      </c>
      <c r="R1577" s="15"/>
      <c r="S1577" s="15"/>
      <c r="T1577" s="15" t="s">
        <v>4711</v>
      </c>
    </row>
    <row r="1578" spans="1:20" x14ac:dyDescent="0.35">
      <c r="A1578" s="2" t="s">
        <v>3139</v>
      </c>
      <c r="B1578" s="2" t="s">
        <v>3140</v>
      </c>
      <c r="C1578" s="2" t="s">
        <v>15</v>
      </c>
      <c r="D1578" s="2">
        <v>0</v>
      </c>
      <c r="E1578" s="2" t="s">
        <v>10</v>
      </c>
      <c r="F1578" s="2">
        <v>0</v>
      </c>
      <c r="G1578" s="22">
        <f>Table4[[#This Row],[Item Cost]]*Table4[[#This Row],[In Stock]]</f>
        <v>0</v>
      </c>
      <c r="H1578" s="12" t="s">
        <v>4661</v>
      </c>
      <c r="I1578" s="13" t="s">
        <v>4666</v>
      </c>
      <c r="J1578" s="13" t="s">
        <v>4711</v>
      </c>
      <c r="K1578" t="s">
        <v>4797</v>
      </c>
      <c r="L1578" s="12" t="s">
        <v>4672</v>
      </c>
      <c r="M1578" s="17" t="str">
        <f>IF(LEN(COUNTIFS($H$1:H1578,$H1578,$I$1:I1578,$I1578,$J$1:J1578,$J1578,$K$1:K1578,K1578,$L$1:L1578,L1578))=1,"00"&amp;COUNTIFS($H$1:H1578,$H1578,$I$1:I1578,$I1578,$J$1:J1578,$J1578,$K$1:K1578,K1578,$L$1:L1578,L1578),IF(LEN(COUNTIFS($H$1:H1578,$H1578,$I$1:I1578,$I1578,$J$1:J1578,$J1578,$K$1:K1578,K1578,$L$1:L1578,L1578))=2,"0"&amp;COUNTIFS($H$1:H1578,$H1578,$I$1:I1578,$I1578,$J$1:J1578,$J1578,$K$1:K1578,K1578,$L$1:L1578,L1578),COUNTIFS($H$1:H1578,$H1578,$I$1:I1578,$I1578,$J$1:J1578,$J1578,$K$1:K1578,K1578,$L$1:L1578,L1578)))</f>
        <v>004</v>
      </c>
      <c r="N157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78" s="14" t="e">
        <f>+LEN(Table4[[#This Row],[New Item Code]])</f>
        <v>#N/A</v>
      </c>
      <c r="P1578" s="15" t="s">
        <v>4747</v>
      </c>
      <c r="Q1578" s="15" t="s">
        <v>4749</v>
      </c>
      <c r="R1578" s="15"/>
      <c r="S1578" s="15"/>
      <c r="T1578" s="15" t="s">
        <v>4711</v>
      </c>
    </row>
    <row r="1579" spans="1:20" x14ac:dyDescent="0.35">
      <c r="A1579" s="3" t="s">
        <v>3141</v>
      </c>
      <c r="B1579" s="3" t="s">
        <v>3142</v>
      </c>
      <c r="C1579" s="3" t="s">
        <v>15</v>
      </c>
      <c r="D1579" s="3">
        <v>0</v>
      </c>
      <c r="E1579" s="3" t="s">
        <v>10</v>
      </c>
      <c r="F1579" s="3">
        <v>0</v>
      </c>
      <c r="G1579" s="21">
        <f>Table4[[#This Row],[Item Cost]]*Table4[[#This Row],[In Stock]]</f>
        <v>0</v>
      </c>
      <c r="H1579" s="12" t="s">
        <v>4661</v>
      </c>
      <c r="I1579" s="13" t="s">
        <v>4666</v>
      </c>
      <c r="J1579" s="13" t="s">
        <v>4711</v>
      </c>
      <c r="K1579" t="s">
        <v>4797</v>
      </c>
      <c r="L1579" s="12" t="s">
        <v>4672</v>
      </c>
      <c r="M1579" s="17" t="str">
        <f>IF(LEN(COUNTIFS($H$1:H1579,$H1579,$I$1:I1579,$I1579,$J$1:J1579,$J1579,$K$1:K1579,K1579,$L$1:L1579,L1579))=1,"00"&amp;COUNTIFS($H$1:H1579,$H1579,$I$1:I1579,$I1579,$J$1:J1579,$J1579,$K$1:K1579,K1579,$L$1:L1579,L1579),IF(LEN(COUNTIFS($H$1:H1579,$H1579,$I$1:I1579,$I1579,$J$1:J1579,$J1579,$K$1:K1579,K1579,$L$1:L1579,L1579))=2,"0"&amp;COUNTIFS($H$1:H1579,$H1579,$I$1:I1579,$I1579,$J$1:J1579,$J1579,$K$1:K1579,K1579,$L$1:L1579,L1579),COUNTIFS($H$1:H1579,$H1579,$I$1:I1579,$I1579,$J$1:J1579,$J1579,$K$1:K1579,K1579,$L$1:L1579,L1579)))</f>
        <v>005</v>
      </c>
      <c r="N157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79" s="14" t="e">
        <f>+LEN(Table4[[#This Row],[New Item Code]])</f>
        <v>#N/A</v>
      </c>
      <c r="P1579" s="15" t="s">
        <v>4747</v>
      </c>
      <c r="Q1579" s="15" t="s">
        <v>4749</v>
      </c>
      <c r="R1579" s="15"/>
      <c r="S1579" s="15"/>
      <c r="T1579" s="15" t="s">
        <v>4711</v>
      </c>
    </row>
    <row r="1580" spans="1:20" x14ac:dyDescent="0.35">
      <c r="A1580" s="2" t="s">
        <v>3143</v>
      </c>
      <c r="B1580" s="2" t="s">
        <v>3144</v>
      </c>
      <c r="C1580" s="2" t="s">
        <v>15</v>
      </c>
      <c r="D1580" s="2">
        <v>0</v>
      </c>
      <c r="E1580" s="2" t="s">
        <v>10</v>
      </c>
      <c r="F1580" s="2">
        <v>0</v>
      </c>
      <c r="G1580" s="22">
        <f>Table4[[#This Row],[Item Cost]]*Table4[[#This Row],[In Stock]]</f>
        <v>0</v>
      </c>
      <c r="H1580" s="12" t="s">
        <v>4661</v>
      </c>
      <c r="I1580" s="13" t="s">
        <v>4666</v>
      </c>
      <c r="J1580" s="13" t="s">
        <v>4711</v>
      </c>
      <c r="K1580" s="13" t="s">
        <v>4672</v>
      </c>
      <c r="L1580" s="12" t="s">
        <v>4672</v>
      </c>
      <c r="M1580" s="17" t="str">
        <f>IF(LEN(COUNTIFS($H$1:H1580,$H1580,$I$1:I1580,$I1580,$J$1:J1580,$J1580,$K$1:K1580,K1580,$L$1:L1580,L1580))=1,"00"&amp;COUNTIFS($H$1:H1580,$H1580,$I$1:I1580,$I1580,$J$1:J1580,$J1580,$K$1:K1580,K1580,$L$1:L1580,L1580),IF(LEN(COUNTIFS($H$1:H1580,$H1580,$I$1:I1580,$I1580,$J$1:J1580,$J1580,$K$1:K1580,K1580,$L$1:L1580,L1580))=2,"0"&amp;COUNTIFS($H$1:H1580,$H1580,$I$1:I1580,$I1580,$J$1:J1580,$J1580,$K$1:K1580,K1580,$L$1:L1580,L1580),COUNTIFS($H$1:H1580,$H1580,$I$1:I1580,$I1580,$J$1:J1580,$J1580,$K$1:K1580,K1580,$L$1:L1580,L1580)))</f>
        <v>001</v>
      </c>
      <c r="N158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80" s="14" t="e">
        <f>+LEN(Table4[[#This Row],[New Item Code]])</f>
        <v>#N/A</v>
      </c>
      <c r="P1580" s="15" t="s">
        <v>4747</v>
      </c>
      <c r="Q1580" s="15" t="s">
        <v>4749</v>
      </c>
      <c r="R1580" s="15"/>
      <c r="S1580" s="15"/>
      <c r="T1580" s="15" t="s">
        <v>4711</v>
      </c>
    </row>
    <row r="1581" spans="1:20" x14ac:dyDescent="0.35">
      <c r="A1581" s="3" t="s">
        <v>3145</v>
      </c>
      <c r="B1581" s="3" t="s">
        <v>3146</v>
      </c>
      <c r="C1581" s="3" t="s">
        <v>15</v>
      </c>
      <c r="D1581" s="3">
        <v>0</v>
      </c>
      <c r="E1581" s="3" t="s">
        <v>10</v>
      </c>
      <c r="F1581" s="3">
        <v>0</v>
      </c>
      <c r="G1581" s="21">
        <f>Table4[[#This Row],[Item Cost]]*Table4[[#This Row],[In Stock]]</f>
        <v>0</v>
      </c>
      <c r="H1581" s="12" t="s">
        <v>4661</v>
      </c>
      <c r="I1581" s="13" t="s">
        <v>4666</v>
      </c>
      <c r="J1581" s="13" t="s">
        <v>4711</v>
      </c>
      <c r="K1581" s="13" t="s">
        <v>4672</v>
      </c>
      <c r="L1581" s="12" t="s">
        <v>4672</v>
      </c>
      <c r="M1581" s="17" t="str">
        <f>IF(LEN(COUNTIFS($H$1:H1581,$H1581,$I$1:I1581,$I1581,$J$1:J1581,$J1581,$K$1:K1581,K1581,$L$1:L1581,L1581))=1,"00"&amp;COUNTIFS($H$1:H1581,$H1581,$I$1:I1581,$I1581,$J$1:J1581,$J1581,$K$1:K1581,K1581,$L$1:L1581,L1581),IF(LEN(COUNTIFS($H$1:H1581,$H1581,$I$1:I1581,$I1581,$J$1:J1581,$J1581,$K$1:K1581,K1581,$L$1:L1581,L1581))=2,"0"&amp;COUNTIFS($H$1:H1581,$H1581,$I$1:I1581,$I1581,$J$1:J1581,$J1581,$K$1:K1581,K1581,$L$1:L1581,L1581),COUNTIFS($H$1:H1581,$H1581,$I$1:I1581,$I1581,$J$1:J1581,$J1581,$K$1:K1581,K1581,$L$1:L1581,L1581)))</f>
        <v>002</v>
      </c>
      <c r="N158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81" s="14" t="e">
        <f>+LEN(Table4[[#This Row],[New Item Code]])</f>
        <v>#N/A</v>
      </c>
      <c r="P1581" s="15" t="s">
        <v>4747</v>
      </c>
      <c r="Q1581" s="15" t="s">
        <v>4749</v>
      </c>
      <c r="R1581" s="15"/>
      <c r="S1581" s="15"/>
      <c r="T1581" s="15" t="s">
        <v>4711</v>
      </c>
    </row>
    <row r="1582" spans="1:20" x14ac:dyDescent="0.35">
      <c r="A1582" s="2" t="s">
        <v>3147</v>
      </c>
      <c r="B1582" s="2" t="s">
        <v>3148</v>
      </c>
      <c r="C1582" s="2" t="s">
        <v>15</v>
      </c>
      <c r="D1582" s="2">
        <v>0</v>
      </c>
      <c r="E1582" s="2" t="s">
        <v>10</v>
      </c>
      <c r="F1582" s="2">
        <v>0</v>
      </c>
      <c r="G1582" s="22">
        <f>Table4[[#This Row],[Item Cost]]*Table4[[#This Row],[In Stock]]</f>
        <v>0</v>
      </c>
      <c r="H1582" s="12" t="s">
        <v>4661</v>
      </c>
      <c r="I1582" s="13" t="s">
        <v>4666</v>
      </c>
      <c r="J1582" s="13" t="s">
        <v>4711</v>
      </c>
      <c r="K1582" s="13" t="s">
        <v>4672</v>
      </c>
      <c r="L1582" s="12" t="s">
        <v>4672</v>
      </c>
      <c r="M1582" s="17" t="str">
        <f>IF(LEN(COUNTIFS($H$1:H1582,$H1582,$I$1:I1582,$I1582,$J$1:J1582,$J1582,$K$1:K1582,K1582,$L$1:L1582,L1582))=1,"00"&amp;COUNTIFS($H$1:H1582,$H1582,$I$1:I1582,$I1582,$J$1:J1582,$J1582,$K$1:K1582,K1582,$L$1:L1582,L1582),IF(LEN(COUNTIFS($H$1:H1582,$H1582,$I$1:I1582,$I1582,$J$1:J1582,$J1582,$K$1:K1582,K1582,$L$1:L1582,L1582))=2,"0"&amp;COUNTIFS($H$1:H1582,$H1582,$I$1:I1582,$I1582,$J$1:J1582,$J1582,$K$1:K1582,K1582,$L$1:L1582,L1582),COUNTIFS($H$1:H1582,$H1582,$I$1:I1582,$I1582,$J$1:J1582,$J1582,$K$1:K1582,K1582,$L$1:L1582,L1582)))</f>
        <v>003</v>
      </c>
      <c r="N158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82" s="14" t="e">
        <f>+LEN(Table4[[#This Row],[New Item Code]])</f>
        <v>#N/A</v>
      </c>
      <c r="P1582" s="15" t="s">
        <v>4747</v>
      </c>
      <c r="Q1582" s="15" t="s">
        <v>4749</v>
      </c>
      <c r="R1582" s="15"/>
      <c r="S1582" s="15"/>
      <c r="T1582" s="15" t="s">
        <v>4711</v>
      </c>
    </row>
    <row r="1583" spans="1:20" x14ac:dyDescent="0.35">
      <c r="A1583" s="3" t="s">
        <v>3149</v>
      </c>
      <c r="B1583" s="3" t="s">
        <v>3150</v>
      </c>
      <c r="C1583" s="3" t="s">
        <v>15</v>
      </c>
      <c r="D1583" s="3">
        <v>0</v>
      </c>
      <c r="E1583" s="3" t="s">
        <v>10</v>
      </c>
      <c r="F1583" s="3">
        <v>0</v>
      </c>
      <c r="G1583" s="21">
        <f>Table4[[#This Row],[Item Cost]]*Table4[[#This Row],[In Stock]]</f>
        <v>0</v>
      </c>
      <c r="H1583" s="12" t="s">
        <v>4661</v>
      </c>
      <c r="I1583" s="13" t="s">
        <v>4666</v>
      </c>
      <c r="J1583" s="13" t="s">
        <v>4711</v>
      </c>
      <c r="K1583" s="13" t="s">
        <v>4672</v>
      </c>
      <c r="L1583" s="12" t="s">
        <v>4672</v>
      </c>
      <c r="M1583" s="17" t="str">
        <f>IF(LEN(COUNTIFS($H$1:H1583,$H1583,$I$1:I1583,$I1583,$J$1:J1583,$J1583,$K$1:K1583,K1583,$L$1:L1583,L1583))=1,"00"&amp;COUNTIFS($H$1:H1583,$H1583,$I$1:I1583,$I1583,$J$1:J1583,$J1583,$K$1:K1583,K1583,$L$1:L1583,L1583),IF(LEN(COUNTIFS($H$1:H1583,$H1583,$I$1:I1583,$I1583,$J$1:J1583,$J1583,$K$1:K1583,K1583,$L$1:L1583,L1583))=2,"0"&amp;COUNTIFS($H$1:H1583,$H1583,$I$1:I1583,$I1583,$J$1:J1583,$J1583,$K$1:K1583,K1583,$L$1:L1583,L1583),COUNTIFS($H$1:H1583,$H1583,$I$1:I1583,$I1583,$J$1:J1583,$J1583,$K$1:K1583,K1583,$L$1:L1583,L1583)))</f>
        <v>004</v>
      </c>
      <c r="N158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83" s="14" t="e">
        <f>+LEN(Table4[[#This Row],[New Item Code]])</f>
        <v>#N/A</v>
      </c>
      <c r="P1583" s="15" t="s">
        <v>4747</v>
      </c>
      <c r="Q1583" s="15" t="s">
        <v>4749</v>
      </c>
      <c r="R1583" s="15"/>
      <c r="S1583" s="15"/>
      <c r="T1583" s="15" t="s">
        <v>4711</v>
      </c>
    </row>
    <row r="1584" spans="1:20" x14ac:dyDescent="0.35">
      <c r="A1584" s="2" t="s">
        <v>3151</v>
      </c>
      <c r="B1584" s="2" t="s">
        <v>3152</v>
      </c>
      <c r="C1584" s="2" t="s">
        <v>15</v>
      </c>
      <c r="D1584" s="2">
        <v>0</v>
      </c>
      <c r="E1584" s="2" t="s">
        <v>10</v>
      </c>
      <c r="F1584" s="2">
        <v>0</v>
      </c>
      <c r="G1584" s="22">
        <f>Table4[[#This Row],[Item Cost]]*Table4[[#This Row],[In Stock]]</f>
        <v>0</v>
      </c>
      <c r="H1584" s="12" t="s">
        <v>4661</v>
      </c>
      <c r="I1584" s="13" t="s">
        <v>4666</v>
      </c>
      <c r="J1584" s="13" t="s">
        <v>4711</v>
      </c>
      <c r="K1584" s="13" t="s">
        <v>4672</v>
      </c>
      <c r="L1584" s="12" t="s">
        <v>4672</v>
      </c>
      <c r="M1584" s="17" t="str">
        <f>IF(LEN(COUNTIFS($H$1:H1584,$H1584,$I$1:I1584,$I1584,$J$1:J1584,$J1584,$K$1:K1584,K1584,$L$1:L1584,L1584))=1,"00"&amp;COUNTIFS($H$1:H1584,$H1584,$I$1:I1584,$I1584,$J$1:J1584,$J1584,$K$1:K1584,K1584,$L$1:L1584,L1584),IF(LEN(COUNTIFS($H$1:H1584,$H1584,$I$1:I1584,$I1584,$J$1:J1584,$J1584,$K$1:K1584,K1584,$L$1:L1584,L1584))=2,"0"&amp;COUNTIFS($H$1:H1584,$H1584,$I$1:I1584,$I1584,$J$1:J1584,$J1584,$K$1:K1584,K1584,$L$1:L1584,L1584),COUNTIFS($H$1:H1584,$H1584,$I$1:I1584,$I1584,$J$1:J1584,$J1584,$K$1:K1584,K1584,$L$1:L1584,L1584)))</f>
        <v>005</v>
      </c>
      <c r="N158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84" s="14" t="e">
        <f>+LEN(Table4[[#This Row],[New Item Code]])</f>
        <v>#N/A</v>
      </c>
      <c r="P1584" s="15" t="s">
        <v>4747</v>
      </c>
      <c r="Q1584" s="15" t="s">
        <v>4749</v>
      </c>
      <c r="R1584" s="15"/>
      <c r="S1584" s="15"/>
      <c r="T1584" s="15" t="s">
        <v>4711</v>
      </c>
    </row>
    <row r="1585" spans="1:20" x14ac:dyDescent="0.35">
      <c r="A1585" s="3" t="s">
        <v>3153</v>
      </c>
      <c r="B1585" s="3" t="s">
        <v>3154</v>
      </c>
      <c r="C1585" s="3" t="s">
        <v>15</v>
      </c>
      <c r="D1585" s="3">
        <v>0</v>
      </c>
      <c r="E1585" s="3" t="s">
        <v>10</v>
      </c>
      <c r="F1585" s="3">
        <v>0</v>
      </c>
      <c r="G1585" s="21">
        <f>Table4[[#This Row],[Item Cost]]*Table4[[#This Row],[In Stock]]</f>
        <v>0</v>
      </c>
      <c r="H1585" s="12" t="s">
        <v>4661</v>
      </c>
      <c r="I1585" s="13" t="s">
        <v>4666</v>
      </c>
      <c r="J1585" s="13" t="s">
        <v>4711</v>
      </c>
      <c r="K1585" s="13" t="s">
        <v>4672</v>
      </c>
      <c r="L1585" s="12" t="s">
        <v>4672</v>
      </c>
      <c r="M1585" s="17" t="str">
        <f>IF(LEN(COUNTIFS($H$1:H1585,$H1585,$I$1:I1585,$I1585,$J$1:J1585,$J1585,$K$1:K1585,K1585,$L$1:L1585,L1585))=1,"00"&amp;COUNTIFS($H$1:H1585,$H1585,$I$1:I1585,$I1585,$J$1:J1585,$J1585,$K$1:K1585,K1585,$L$1:L1585,L1585),IF(LEN(COUNTIFS($H$1:H1585,$H1585,$I$1:I1585,$I1585,$J$1:J1585,$J1585,$K$1:K1585,K1585,$L$1:L1585,L1585))=2,"0"&amp;COUNTIFS($H$1:H1585,$H1585,$I$1:I1585,$I1585,$J$1:J1585,$J1585,$K$1:K1585,K1585,$L$1:L1585,L1585),COUNTIFS($H$1:H1585,$H1585,$I$1:I1585,$I1585,$J$1:J1585,$J1585,$K$1:K1585,K1585,$L$1:L1585,L1585)))</f>
        <v>006</v>
      </c>
      <c r="N158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85" s="14" t="e">
        <f>+LEN(Table4[[#This Row],[New Item Code]])</f>
        <v>#N/A</v>
      </c>
      <c r="P1585" s="15" t="s">
        <v>4747</v>
      </c>
      <c r="Q1585" s="15" t="s">
        <v>4749</v>
      </c>
      <c r="R1585" s="15"/>
      <c r="S1585" s="15"/>
      <c r="T1585" s="15" t="s">
        <v>4711</v>
      </c>
    </row>
    <row r="1586" spans="1:20" x14ac:dyDescent="0.35">
      <c r="A1586" s="2" t="s">
        <v>3155</v>
      </c>
      <c r="B1586" s="2" t="s">
        <v>3156</v>
      </c>
      <c r="C1586" s="2" t="s">
        <v>15</v>
      </c>
      <c r="D1586" s="2">
        <v>0</v>
      </c>
      <c r="E1586" s="2" t="s">
        <v>10</v>
      </c>
      <c r="F1586" s="2">
        <v>0</v>
      </c>
      <c r="G1586" s="22">
        <f>Table4[[#This Row],[Item Cost]]*Table4[[#This Row],[In Stock]]</f>
        <v>0</v>
      </c>
      <c r="H1586" s="12" t="s">
        <v>4661</v>
      </c>
      <c r="I1586" s="13" t="s">
        <v>4666</v>
      </c>
      <c r="J1586" s="13" t="s">
        <v>4711</v>
      </c>
      <c r="K1586" s="13" t="s">
        <v>4672</v>
      </c>
      <c r="L1586" s="12" t="s">
        <v>4672</v>
      </c>
      <c r="M1586" s="17" t="str">
        <f>IF(LEN(COUNTIFS($H$1:H1586,$H1586,$I$1:I1586,$I1586,$J$1:J1586,$J1586,$K$1:K1586,K1586,$L$1:L1586,L1586))=1,"00"&amp;COUNTIFS($H$1:H1586,$H1586,$I$1:I1586,$I1586,$J$1:J1586,$J1586,$K$1:K1586,K1586,$L$1:L1586,L1586),IF(LEN(COUNTIFS($H$1:H1586,$H1586,$I$1:I1586,$I1586,$J$1:J1586,$J1586,$K$1:K1586,K1586,$L$1:L1586,L1586))=2,"0"&amp;COUNTIFS($H$1:H1586,$H1586,$I$1:I1586,$I1586,$J$1:J1586,$J1586,$K$1:K1586,K1586,$L$1:L1586,L1586),COUNTIFS($H$1:H1586,$H1586,$I$1:I1586,$I1586,$J$1:J1586,$J1586,$K$1:K1586,K1586,$L$1:L1586,L1586)))</f>
        <v>007</v>
      </c>
      <c r="N158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86" s="14" t="e">
        <f>+LEN(Table4[[#This Row],[New Item Code]])</f>
        <v>#N/A</v>
      </c>
      <c r="P1586" s="15" t="s">
        <v>4747</v>
      </c>
      <c r="Q1586" s="15" t="s">
        <v>4749</v>
      </c>
      <c r="R1586" s="15"/>
      <c r="S1586" s="15"/>
      <c r="T1586" s="15" t="s">
        <v>4711</v>
      </c>
    </row>
    <row r="1587" spans="1:20" x14ac:dyDescent="0.35">
      <c r="A1587" s="3" t="s">
        <v>3157</v>
      </c>
      <c r="B1587" s="3" t="s">
        <v>3158</v>
      </c>
      <c r="C1587" s="3" t="s">
        <v>15</v>
      </c>
      <c r="D1587" s="3">
        <v>0</v>
      </c>
      <c r="E1587" s="3" t="s">
        <v>10</v>
      </c>
      <c r="F1587" s="3">
        <v>0</v>
      </c>
      <c r="G1587" s="21">
        <f>Table4[[#This Row],[Item Cost]]*Table4[[#This Row],[In Stock]]</f>
        <v>0</v>
      </c>
      <c r="H1587" s="12" t="s">
        <v>4661</v>
      </c>
      <c r="I1587" s="13" t="s">
        <v>4666</v>
      </c>
      <c r="J1587" s="13" t="s">
        <v>4711</v>
      </c>
      <c r="K1587" s="13" t="s">
        <v>4672</v>
      </c>
      <c r="L1587" s="12" t="s">
        <v>4672</v>
      </c>
      <c r="M1587" s="17" t="str">
        <f>IF(LEN(COUNTIFS($H$1:H1587,$H1587,$I$1:I1587,$I1587,$J$1:J1587,$J1587,$K$1:K1587,K1587,$L$1:L1587,L1587))=1,"00"&amp;COUNTIFS($H$1:H1587,$H1587,$I$1:I1587,$I1587,$J$1:J1587,$J1587,$K$1:K1587,K1587,$L$1:L1587,L1587),IF(LEN(COUNTIFS($H$1:H1587,$H1587,$I$1:I1587,$I1587,$J$1:J1587,$J1587,$K$1:K1587,K1587,$L$1:L1587,L1587))=2,"0"&amp;COUNTIFS($H$1:H1587,$H1587,$I$1:I1587,$I1587,$J$1:J1587,$J1587,$K$1:K1587,K1587,$L$1:L1587,L1587),COUNTIFS($H$1:H1587,$H1587,$I$1:I1587,$I1587,$J$1:J1587,$J1587,$K$1:K1587,K1587,$L$1:L1587,L1587)))</f>
        <v>008</v>
      </c>
      <c r="N158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87" s="14" t="e">
        <f>+LEN(Table4[[#This Row],[New Item Code]])</f>
        <v>#N/A</v>
      </c>
      <c r="P1587" s="15" t="s">
        <v>4747</v>
      </c>
      <c r="Q1587" s="15" t="s">
        <v>4749</v>
      </c>
      <c r="R1587" s="15"/>
      <c r="S1587" s="15"/>
      <c r="T1587" s="15" t="s">
        <v>4711</v>
      </c>
    </row>
    <row r="1588" spans="1:20" x14ac:dyDescent="0.35">
      <c r="A1588" s="2" t="s">
        <v>3159</v>
      </c>
      <c r="B1588" s="2" t="s">
        <v>3160</v>
      </c>
      <c r="C1588" s="2" t="s">
        <v>15</v>
      </c>
      <c r="D1588" s="2">
        <v>0</v>
      </c>
      <c r="E1588" s="2" t="s">
        <v>10</v>
      </c>
      <c r="F1588" s="2">
        <v>0</v>
      </c>
      <c r="G1588" s="22">
        <f>Table4[[#This Row],[Item Cost]]*Table4[[#This Row],[In Stock]]</f>
        <v>0</v>
      </c>
      <c r="H1588" s="12" t="s">
        <v>4661</v>
      </c>
      <c r="I1588" s="13" t="s">
        <v>4666</v>
      </c>
      <c r="J1588" s="13" t="s">
        <v>4711</v>
      </c>
      <c r="K1588" s="13" t="s">
        <v>4672</v>
      </c>
      <c r="L1588" s="12" t="s">
        <v>4672</v>
      </c>
      <c r="M1588" s="17" t="str">
        <f>IF(LEN(COUNTIFS($H$1:H1588,$H1588,$I$1:I1588,$I1588,$J$1:J1588,$J1588,$K$1:K1588,K1588,$L$1:L1588,L1588))=1,"00"&amp;COUNTIFS($H$1:H1588,$H1588,$I$1:I1588,$I1588,$J$1:J1588,$J1588,$K$1:K1588,K1588,$L$1:L1588,L1588),IF(LEN(COUNTIFS($H$1:H1588,$H1588,$I$1:I1588,$I1588,$J$1:J1588,$J1588,$K$1:K1588,K1588,$L$1:L1588,L1588))=2,"0"&amp;COUNTIFS($H$1:H1588,$H1588,$I$1:I1588,$I1588,$J$1:J1588,$J1588,$K$1:K1588,K1588,$L$1:L1588,L1588),COUNTIFS($H$1:H1588,$H1588,$I$1:I1588,$I1588,$J$1:J1588,$J1588,$K$1:K1588,K1588,$L$1:L1588,L1588)))</f>
        <v>009</v>
      </c>
      <c r="N158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88" s="14" t="e">
        <f>+LEN(Table4[[#This Row],[New Item Code]])</f>
        <v>#N/A</v>
      </c>
      <c r="P1588" s="15" t="s">
        <v>4747</v>
      </c>
      <c r="Q1588" s="15" t="s">
        <v>4749</v>
      </c>
      <c r="R1588" s="15"/>
      <c r="S1588" s="15"/>
      <c r="T1588" s="15" t="s">
        <v>4711</v>
      </c>
    </row>
    <row r="1589" spans="1:20" x14ac:dyDescent="0.35">
      <c r="A1589" s="3" t="s">
        <v>3161</v>
      </c>
      <c r="B1589" s="3" t="s">
        <v>3162</v>
      </c>
      <c r="C1589" s="3" t="s">
        <v>15</v>
      </c>
      <c r="D1589" s="3">
        <v>0</v>
      </c>
      <c r="E1589" s="3" t="s">
        <v>10</v>
      </c>
      <c r="F1589" s="3">
        <v>0</v>
      </c>
      <c r="G1589" s="21">
        <f>Table4[[#This Row],[Item Cost]]*Table4[[#This Row],[In Stock]]</f>
        <v>0</v>
      </c>
      <c r="H1589" s="12" t="s">
        <v>4661</v>
      </c>
      <c r="I1589" s="13" t="s">
        <v>4666</v>
      </c>
      <c r="J1589" s="13" t="s">
        <v>4711</v>
      </c>
      <c r="K1589" s="13" t="s">
        <v>4672</v>
      </c>
      <c r="L1589" s="12" t="s">
        <v>4672</v>
      </c>
      <c r="M1589" s="17" t="str">
        <f>IF(LEN(COUNTIFS($H$1:H1589,$H1589,$I$1:I1589,$I1589,$J$1:J1589,$J1589,$K$1:K1589,K1589,$L$1:L1589,L1589))=1,"00"&amp;COUNTIFS($H$1:H1589,$H1589,$I$1:I1589,$I1589,$J$1:J1589,$J1589,$K$1:K1589,K1589,$L$1:L1589,L1589),IF(LEN(COUNTIFS($H$1:H1589,$H1589,$I$1:I1589,$I1589,$J$1:J1589,$J1589,$K$1:K1589,K1589,$L$1:L1589,L1589))=2,"0"&amp;COUNTIFS($H$1:H1589,$H1589,$I$1:I1589,$I1589,$J$1:J1589,$J1589,$K$1:K1589,K1589,$L$1:L1589,L1589),COUNTIFS($H$1:H1589,$H1589,$I$1:I1589,$I1589,$J$1:J1589,$J1589,$K$1:K1589,K1589,$L$1:L1589,L1589)))</f>
        <v>010</v>
      </c>
      <c r="N158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89" s="14" t="e">
        <f>+LEN(Table4[[#This Row],[New Item Code]])</f>
        <v>#N/A</v>
      </c>
      <c r="P1589" s="15" t="s">
        <v>4747</v>
      </c>
      <c r="Q1589" s="15" t="s">
        <v>4749</v>
      </c>
      <c r="R1589" s="15"/>
      <c r="S1589" s="15"/>
      <c r="T1589" s="15" t="s">
        <v>4711</v>
      </c>
    </row>
    <row r="1590" spans="1:20" x14ac:dyDescent="0.35">
      <c r="A1590" s="2" t="s">
        <v>3163</v>
      </c>
      <c r="B1590" s="2" t="s">
        <v>3164</v>
      </c>
      <c r="C1590" s="2" t="s">
        <v>15</v>
      </c>
      <c r="D1590" s="2">
        <v>0</v>
      </c>
      <c r="E1590" s="2" t="s">
        <v>10</v>
      </c>
      <c r="F1590" s="2">
        <v>0</v>
      </c>
      <c r="G1590" s="22">
        <f>Table4[[#This Row],[Item Cost]]*Table4[[#This Row],[In Stock]]</f>
        <v>0</v>
      </c>
      <c r="H1590" s="12" t="s">
        <v>4661</v>
      </c>
      <c r="I1590" s="13" t="s">
        <v>4666</v>
      </c>
      <c r="J1590" s="13" t="s">
        <v>4711</v>
      </c>
      <c r="K1590" s="13" t="s">
        <v>4672</v>
      </c>
      <c r="L1590" s="12" t="s">
        <v>4672</v>
      </c>
      <c r="M1590" s="17" t="str">
        <f>IF(LEN(COUNTIFS($H$1:H1590,$H1590,$I$1:I1590,$I1590,$J$1:J1590,$J1590,$K$1:K1590,K1590,$L$1:L1590,L1590))=1,"00"&amp;COUNTIFS($H$1:H1590,$H1590,$I$1:I1590,$I1590,$J$1:J1590,$J1590,$K$1:K1590,K1590,$L$1:L1590,L1590),IF(LEN(COUNTIFS($H$1:H1590,$H1590,$I$1:I1590,$I1590,$J$1:J1590,$J1590,$K$1:K1590,K1590,$L$1:L1590,L1590))=2,"0"&amp;COUNTIFS($H$1:H1590,$H1590,$I$1:I1590,$I1590,$J$1:J1590,$J1590,$K$1:K1590,K1590,$L$1:L1590,L1590),COUNTIFS($H$1:H1590,$H1590,$I$1:I1590,$I1590,$J$1:J1590,$J1590,$K$1:K1590,K1590,$L$1:L1590,L1590)))</f>
        <v>011</v>
      </c>
      <c r="N159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90" s="14" t="e">
        <f>+LEN(Table4[[#This Row],[New Item Code]])</f>
        <v>#N/A</v>
      </c>
      <c r="P1590" s="15" t="s">
        <v>4747</v>
      </c>
      <c r="Q1590" s="15" t="s">
        <v>4749</v>
      </c>
      <c r="R1590" s="15"/>
      <c r="S1590" s="15"/>
      <c r="T1590" s="15" t="s">
        <v>4711</v>
      </c>
    </row>
    <row r="1591" spans="1:20" x14ac:dyDescent="0.35">
      <c r="A1591" s="3" t="s">
        <v>3165</v>
      </c>
      <c r="B1591" s="3" t="s">
        <v>3166</v>
      </c>
      <c r="C1591" s="3" t="s">
        <v>15</v>
      </c>
      <c r="D1591" s="3">
        <v>0</v>
      </c>
      <c r="E1591" s="3" t="s">
        <v>10</v>
      </c>
      <c r="F1591" s="3">
        <v>0</v>
      </c>
      <c r="G1591" s="21">
        <f>Table4[[#This Row],[Item Cost]]*Table4[[#This Row],[In Stock]]</f>
        <v>0</v>
      </c>
      <c r="H1591" s="12" t="s">
        <v>4661</v>
      </c>
      <c r="I1591" s="13" t="s">
        <v>4666</v>
      </c>
      <c r="J1591" s="13" t="s">
        <v>4711</v>
      </c>
      <c r="K1591" s="13" t="s">
        <v>4672</v>
      </c>
      <c r="L1591" s="12" t="s">
        <v>4672</v>
      </c>
      <c r="M1591" s="17" t="str">
        <f>IF(LEN(COUNTIFS($H$1:H1591,$H1591,$I$1:I1591,$I1591,$J$1:J1591,$J1591,$K$1:K1591,K1591,$L$1:L1591,L1591))=1,"00"&amp;COUNTIFS($H$1:H1591,$H1591,$I$1:I1591,$I1591,$J$1:J1591,$J1591,$K$1:K1591,K1591,$L$1:L1591,L1591),IF(LEN(COUNTIFS($H$1:H1591,$H1591,$I$1:I1591,$I1591,$J$1:J1591,$J1591,$K$1:K1591,K1591,$L$1:L1591,L1591))=2,"0"&amp;COUNTIFS($H$1:H1591,$H1591,$I$1:I1591,$I1591,$J$1:J1591,$J1591,$K$1:K1591,K1591,$L$1:L1591,L1591),COUNTIFS($H$1:H1591,$H1591,$I$1:I1591,$I1591,$J$1:J1591,$J1591,$K$1:K1591,K1591,$L$1:L1591,L1591)))</f>
        <v>012</v>
      </c>
      <c r="N159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91" s="14" t="e">
        <f>+LEN(Table4[[#This Row],[New Item Code]])</f>
        <v>#N/A</v>
      </c>
      <c r="P1591" s="15" t="s">
        <v>4747</v>
      </c>
      <c r="Q1591" s="15" t="s">
        <v>4749</v>
      </c>
      <c r="R1591" s="15"/>
      <c r="S1591" s="15"/>
      <c r="T1591" s="15" t="s">
        <v>4711</v>
      </c>
    </row>
    <row r="1592" spans="1:20" x14ac:dyDescent="0.35">
      <c r="A1592" s="2" t="s">
        <v>3167</v>
      </c>
      <c r="B1592" s="2" t="s">
        <v>3168</v>
      </c>
      <c r="C1592" s="2" t="s">
        <v>56</v>
      </c>
      <c r="D1592" s="2">
        <v>0</v>
      </c>
      <c r="E1592" s="2" t="s">
        <v>10</v>
      </c>
      <c r="F1592" s="2">
        <v>0</v>
      </c>
      <c r="G1592" s="22">
        <f>Table4[[#This Row],[Item Cost]]*Table4[[#This Row],[In Stock]]</f>
        <v>0</v>
      </c>
      <c r="H1592" s="12" t="s">
        <v>4661</v>
      </c>
      <c r="I1592" s="13" t="s">
        <v>4668</v>
      </c>
      <c r="J1592" s="13" t="s">
        <v>4713</v>
      </c>
      <c r="K1592" s="13" t="s">
        <v>4672</v>
      </c>
      <c r="L1592" s="12" t="s">
        <v>4672</v>
      </c>
      <c r="M1592" s="17" t="str">
        <f>IF(LEN(COUNTIFS($H$1:H1592,$H1592,$I$1:I1592,$I1592,$J$1:J1592,$J1592,$K$1:K1592,K1592,$L$1:L1592,L1592))=1,"00"&amp;COUNTIFS($H$1:H1592,$H1592,$I$1:I1592,$I1592,$J$1:J1592,$J1592,$K$1:K1592,K1592,$L$1:L1592,L1592),IF(LEN(COUNTIFS($H$1:H1592,$H1592,$I$1:I1592,$I1592,$J$1:J1592,$J1592,$K$1:K1592,K1592,$L$1:L1592,L1592))=2,"0"&amp;COUNTIFS($H$1:H1592,$H1592,$I$1:I1592,$I1592,$J$1:J1592,$J1592,$K$1:K1592,K1592,$L$1:L1592,L1592),COUNTIFS($H$1:H1592,$H1592,$I$1:I1592,$I1592,$J$1:J1592,$J1592,$K$1:K1592,K1592,$L$1:L1592,L1592)))</f>
        <v>001</v>
      </c>
      <c r="N159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92" s="14" t="e">
        <f>+LEN(Table4[[#This Row],[New Item Code]])</f>
        <v>#N/A</v>
      </c>
      <c r="P1592" s="15" t="s">
        <v>4747</v>
      </c>
      <c r="Q1592" s="15" t="s">
        <v>4749</v>
      </c>
      <c r="R1592" s="15"/>
      <c r="S1592" s="15"/>
      <c r="T1592" s="15" t="s">
        <v>4713</v>
      </c>
    </row>
    <row r="1593" spans="1:20" x14ac:dyDescent="0.35">
      <c r="A1593" s="3" t="s">
        <v>3169</v>
      </c>
      <c r="B1593" s="3" t="s">
        <v>3170</v>
      </c>
      <c r="C1593" s="3" t="s">
        <v>56</v>
      </c>
      <c r="D1593" s="3">
        <v>0</v>
      </c>
      <c r="E1593" s="3" t="s">
        <v>10</v>
      </c>
      <c r="F1593" s="3">
        <v>0</v>
      </c>
      <c r="G1593" s="21">
        <f>Table4[[#This Row],[Item Cost]]*Table4[[#This Row],[In Stock]]</f>
        <v>0</v>
      </c>
      <c r="H1593" s="12" t="s">
        <v>4661</v>
      </c>
      <c r="I1593" s="13" t="s">
        <v>4668</v>
      </c>
      <c r="J1593" s="13" t="s">
        <v>4713</v>
      </c>
      <c r="K1593" s="13" t="s">
        <v>4672</v>
      </c>
      <c r="L1593" s="12" t="s">
        <v>4672</v>
      </c>
      <c r="M1593" s="17" t="str">
        <f>IF(LEN(COUNTIFS($H$1:H1593,$H1593,$I$1:I1593,$I1593,$J$1:J1593,$J1593,$K$1:K1593,K1593,$L$1:L1593,L1593))=1,"00"&amp;COUNTIFS($H$1:H1593,$H1593,$I$1:I1593,$I1593,$J$1:J1593,$J1593,$K$1:K1593,K1593,$L$1:L1593,L1593),IF(LEN(COUNTIFS($H$1:H1593,$H1593,$I$1:I1593,$I1593,$J$1:J1593,$J1593,$K$1:K1593,K1593,$L$1:L1593,L1593))=2,"0"&amp;COUNTIFS($H$1:H1593,$H1593,$I$1:I1593,$I1593,$J$1:J1593,$J1593,$K$1:K1593,K1593,$L$1:L1593,L1593),COUNTIFS($H$1:H1593,$H1593,$I$1:I1593,$I1593,$J$1:J1593,$J1593,$K$1:K1593,K1593,$L$1:L1593,L1593)))</f>
        <v>002</v>
      </c>
      <c r="N159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93" s="14" t="e">
        <f>+LEN(Table4[[#This Row],[New Item Code]])</f>
        <v>#N/A</v>
      </c>
      <c r="P1593" s="15" t="s">
        <v>4747</v>
      </c>
      <c r="Q1593" s="15" t="s">
        <v>4749</v>
      </c>
      <c r="R1593" s="15"/>
      <c r="S1593" s="15"/>
      <c r="T1593" s="15" t="s">
        <v>4713</v>
      </c>
    </row>
    <row r="1594" spans="1:20" x14ac:dyDescent="0.35">
      <c r="A1594" s="2" t="s">
        <v>3171</v>
      </c>
      <c r="B1594" s="2" t="s">
        <v>3172</v>
      </c>
      <c r="C1594" s="2" t="s">
        <v>56</v>
      </c>
      <c r="D1594" s="2">
        <v>0</v>
      </c>
      <c r="E1594" s="2" t="s">
        <v>10</v>
      </c>
      <c r="F1594" s="2">
        <v>0</v>
      </c>
      <c r="G1594" s="22">
        <f>Table4[[#This Row],[Item Cost]]*Table4[[#This Row],[In Stock]]</f>
        <v>0</v>
      </c>
      <c r="H1594" s="12" t="s">
        <v>4661</v>
      </c>
      <c r="I1594" s="13" t="s">
        <v>4668</v>
      </c>
      <c r="J1594" s="13" t="s">
        <v>4713</v>
      </c>
      <c r="K1594" s="13" t="s">
        <v>4672</v>
      </c>
      <c r="L1594" s="12" t="s">
        <v>4672</v>
      </c>
      <c r="M1594" s="17" t="str">
        <f>IF(LEN(COUNTIFS($H$1:H1594,$H1594,$I$1:I1594,$I1594,$J$1:J1594,$J1594,$K$1:K1594,K1594,$L$1:L1594,L1594))=1,"00"&amp;COUNTIFS($H$1:H1594,$H1594,$I$1:I1594,$I1594,$J$1:J1594,$J1594,$K$1:K1594,K1594,$L$1:L1594,L1594),IF(LEN(COUNTIFS($H$1:H1594,$H1594,$I$1:I1594,$I1594,$J$1:J1594,$J1594,$K$1:K1594,K1594,$L$1:L1594,L1594))=2,"0"&amp;COUNTIFS($H$1:H1594,$H1594,$I$1:I1594,$I1594,$J$1:J1594,$J1594,$K$1:K1594,K1594,$L$1:L1594,L1594),COUNTIFS($H$1:H1594,$H1594,$I$1:I1594,$I1594,$J$1:J1594,$J1594,$K$1:K1594,K1594,$L$1:L1594,L1594)))</f>
        <v>003</v>
      </c>
      <c r="N159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94" s="14" t="e">
        <f>+LEN(Table4[[#This Row],[New Item Code]])</f>
        <v>#N/A</v>
      </c>
      <c r="P1594" s="15" t="s">
        <v>4747</v>
      </c>
      <c r="Q1594" s="15" t="s">
        <v>4749</v>
      </c>
      <c r="R1594" s="15"/>
      <c r="S1594" s="15"/>
      <c r="T1594" s="15" t="s">
        <v>4713</v>
      </c>
    </row>
    <row r="1595" spans="1:20" x14ac:dyDescent="0.35">
      <c r="A1595" s="3" t="s">
        <v>3173</v>
      </c>
      <c r="B1595" s="3" t="s">
        <v>3174</v>
      </c>
      <c r="C1595" s="3" t="s">
        <v>56</v>
      </c>
      <c r="D1595" s="3">
        <v>0</v>
      </c>
      <c r="E1595" s="3" t="s">
        <v>10</v>
      </c>
      <c r="F1595" s="3">
        <v>0</v>
      </c>
      <c r="G1595" s="21">
        <f>Table4[[#This Row],[Item Cost]]*Table4[[#This Row],[In Stock]]</f>
        <v>0</v>
      </c>
      <c r="H1595" s="12" t="s">
        <v>4661</v>
      </c>
      <c r="I1595" s="13" t="s">
        <v>4668</v>
      </c>
      <c r="J1595" s="13" t="s">
        <v>4713</v>
      </c>
      <c r="K1595" s="13" t="s">
        <v>4672</v>
      </c>
      <c r="L1595" s="12" t="s">
        <v>4672</v>
      </c>
      <c r="M1595" s="17" t="str">
        <f>IF(LEN(COUNTIFS($H$1:H1595,$H1595,$I$1:I1595,$I1595,$J$1:J1595,$J1595,$K$1:K1595,K1595,$L$1:L1595,L1595))=1,"00"&amp;COUNTIFS($H$1:H1595,$H1595,$I$1:I1595,$I1595,$J$1:J1595,$J1595,$K$1:K1595,K1595,$L$1:L1595,L1595),IF(LEN(COUNTIFS($H$1:H1595,$H1595,$I$1:I1595,$I1595,$J$1:J1595,$J1595,$K$1:K1595,K1595,$L$1:L1595,L1595))=2,"0"&amp;COUNTIFS($H$1:H1595,$H1595,$I$1:I1595,$I1595,$J$1:J1595,$J1595,$K$1:K1595,K1595,$L$1:L1595,L1595),COUNTIFS($H$1:H1595,$H1595,$I$1:I1595,$I1595,$J$1:J1595,$J1595,$K$1:K1595,K1595,$L$1:L1595,L1595)))</f>
        <v>004</v>
      </c>
      <c r="N159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95" s="14" t="e">
        <f>+LEN(Table4[[#This Row],[New Item Code]])</f>
        <v>#N/A</v>
      </c>
      <c r="P1595" s="15" t="s">
        <v>4747</v>
      </c>
      <c r="Q1595" s="15" t="s">
        <v>4749</v>
      </c>
      <c r="R1595" s="15"/>
      <c r="S1595" s="15"/>
      <c r="T1595" s="15" t="s">
        <v>4713</v>
      </c>
    </row>
    <row r="1596" spans="1:20" x14ac:dyDescent="0.35">
      <c r="A1596" s="2" t="s">
        <v>3175</v>
      </c>
      <c r="B1596" s="2" t="s">
        <v>3176</v>
      </c>
      <c r="C1596" s="2" t="s">
        <v>56</v>
      </c>
      <c r="D1596" s="2">
        <v>0</v>
      </c>
      <c r="E1596" s="2" t="s">
        <v>10</v>
      </c>
      <c r="F1596" s="2">
        <v>0</v>
      </c>
      <c r="G1596" s="22">
        <f>Table4[[#This Row],[Item Cost]]*Table4[[#This Row],[In Stock]]</f>
        <v>0</v>
      </c>
      <c r="H1596" s="12" t="s">
        <v>4661</v>
      </c>
      <c r="I1596" s="13" t="s">
        <v>4668</v>
      </c>
      <c r="J1596" s="13" t="s">
        <v>4713</v>
      </c>
      <c r="K1596" s="13" t="s">
        <v>4672</v>
      </c>
      <c r="L1596" s="12" t="s">
        <v>4672</v>
      </c>
      <c r="M1596" s="17" t="str">
        <f>IF(LEN(COUNTIFS($H$1:H1596,$H1596,$I$1:I1596,$I1596,$J$1:J1596,$J1596,$K$1:K1596,K1596,$L$1:L1596,L1596))=1,"00"&amp;COUNTIFS($H$1:H1596,$H1596,$I$1:I1596,$I1596,$J$1:J1596,$J1596,$K$1:K1596,K1596,$L$1:L1596,L1596),IF(LEN(COUNTIFS($H$1:H1596,$H1596,$I$1:I1596,$I1596,$J$1:J1596,$J1596,$K$1:K1596,K1596,$L$1:L1596,L1596))=2,"0"&amp;COUNTIFS($H$1:H1596,$H1596,$I$1:I1596,$I1596,$J$1:J1596,$J1596,$K$1:K1596,K1596,$L$1:L1596,L1596),COUNTIFS($H$1:H1596,$H1596,$I$1:I1596,$I1596,$J$1:J1596,$J1596,$K$1:K1596,K1596,$L$1:L1596,L1596)))</f>
        <v>005</v>
      </c>
      <c r="N159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96" s="14" t="e">
        <f>+LEN(Table4[[#This Row],[New Item Code]])</f>
        <v>#N/A</v>
      </c>
      <c r="P1596" s="15" t="s">
        <v>4747</v>
      </c>
      <c r="Q1596" s="15" t="s">
        <v>4749</v>
      </c>
      <c r="R1596" s="15"/>
      <c r="S1596" s="15"/>
      <c r="T1596" s="15" t="s">
        <v>4713</v>
      </c>
    </row>
    <row r="1597" spans="1:20" x14ac:dyDescent="0.35">
      <c r="A1597" s="3" t="s">
        <v>3177</v>
      </c>
      <c r="B1597" s="3" t="s">
        <v>3178</v>
      </c>
      <c r="C1597" s="3" t="s">
        <v>56</v>
      </c>
      <c r="D1597" s="3">
        <v>0</v>
      </c>
      <c r="E1597" s="3" t="s">
        <v>10</v>
      </c>
      <c r="F1597" s="3">
        <v>0</v>
      </c>
      <c r="G1597" s="21">
        <f>Table4[[#This Row],[Item Cost]]*Table4[[#This Row],[In Stock]]</f>
        <v>0</v>
      </c>
      <c r="H1597" s="12" t="s">
        <v>4661</v>
      </c>
      <c r="I1597" s="13" t="s">
        <v>4668</v>
      </c>
      <c r="J1597" s="13" t="s">
        <v>4713</v>
      </c>
      <c r="K1597" s="13" t="s">
        <v>4672</v>
      </c>
      <c r="L1597" s="12" t="s">
        <v>4672</v>
      </c>
      <c r="M1597" s="17" t="str">
        <f>IF(LEN(COUNTIFS($H$1:H1597,$H1597,$I$1:I1597,$I1597,$J$1:J1597,$J1597,$K$1:K1597,K1597,$L$1:L1597,L1597))=1,"00"&amp;COUNTIFS($H$1:H1597,$H1597,$I$1:I1597,$I1597,$J$1:J1597,$J1597,$K$1:K1597,K1597,$L$1:L1597,L1597),IF(LEN(COUNTIFS($H$1:H1597,$H1597,$I$1:I1597,$I1597,$J$1:J1597,$J1597,$K$1:K1597,K1597,$L$1:L1597,L1597))=2,"0"&amp;COUNTIFS($H$1:H1597,$H1597,$I$1:I1597,$I1597,$J$1:J1597,$J1597,$K$1:K1597,K1597,$L$1:L1597,L1597),COUNTIFS($H$1:H1597,$H1597,$I$1:I1597,$I1597,$J$1:J1597,$J1597,$K$1:K1597,K1597,$L$1:L1597,L1597)))</f>
        <v>006</v>
      </c>
      <c r="N159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97" s="14" t="e">
        <f>+LEN(Table4[[#This Row],[New Item Code]])</f>
        <v>#N/A</v>
      </c>
      <c r="P1597" s="15" t="s">
        <v>4747</v>
      </c>
      <c r="Q1597" s="15" t="s">
        <v>4749</v>
      </c>
      <c r="R1597" s="15"/>
      <c r="S1597" s="15"/>
      <c r="T1597" s="15" t="s">
        <v>4713</v>
      </c>
    </row>
    <row r="1598" spans="1:20" x14ac:dyDescent="0.35">
      <c r="A1598" s="2" t="s">
        <v>3179</v>
      </c>
      <c r="B1598" s="2" t="s">
        <v>3180</v>
      </c>
      <c r="C1598" s="2" t="s">
        <v>56</v>
      </c>
      <c r="D1598" s="2">
        <v>0</v>
      </c>
      <c r="E1598" s="2" t="s">
        <v>10</v>
      </c>
      <c r="F1598" s="2">
        <v>0</v>
      </c>
      <c r="G1598" s="22">
        <f>Table4[[#This Row],[Item Cost]]*Table4[[#This Row],[In Stock]]</f>
        <v>0</v>
      </c>
      <c r="H1598" s="12" t="s">
        <v>4661</v>
      </c>
      <c r="I1598" s="13" t="s">
        <v>4668</v>
      </c>
      <c r="J1598" s="13" t="s">
        <v>4713</v>
      </c>
      <c r="K1598" s="13" t="s">
        <v>4672</v>
      </c>
      <c r="L1598" s="12" t="s">
        <v>4672</v>
      </c>
      <c r="M1598" s="17" t="str">
        <f>IF(LEN(COUNTIFS($H$1:H1598,$H1598,$I$1:I1598,$I1598,$J$1:J1598,$J1598,$K$1:K1598,K1598,$L$1:L1598,L1598))=1,"00"&amp;COUNTIFS($H$1:H1598,$H1598,$I$1:I1598,$I1598,$J$1:J1598,$J1598,$K$1:K1598,K1598,$L$1:L1598,L1598),IF(LEN(COUNTIFS($H$1:H1598,$H1598,$I$1:I1598,$I1598,$J$1:J1598,$J1598,$K$1:K1598,K1598,$L$1:L1598,L1598))=2,"0"&amp;COUNTIFS($H$1:H1598,$H1598,$I$1:I1598,$I1598,$J$1:J1598,$J1598,$K$1:K1598,K1598,$L$1:L1598,L1598),COUNTIFS($H$1:H1598,$H1598,$I$1:I1598,$I1598,$J$1:J1598,$J1598,$K$1:K1598,K1598,$L$1:L1598,L1598)))</f>
        <v>007</v>
      </c>
      <c r="N159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98" s="14" t="e">
        <f>+LEN(Table4[[#This Row],[New Item Code]])</f>
        <v>#N/A</v>
      </c>
      <c r="P1598" s="15" t="s">
        <v>4747</v>
      </c>
      <c r="Q1598" s="15" t="s">
        <v>4749</v>
      </c>
      <c r="R1598" s="15"/>
      <c r="S1598" s="15"/>
      <c r="T1598" s="15" t="s">
        <v>4713</v>
      </c>
    </row>
    <row r="1599" spans="1:20" x14ac:dyDescent="0.35">
      <c r="A1599" s="3" t="s">
        <v>3181</v>
      </c>
      <c r="B1599" s="3" t="s">
        <v>268</v>
      </c>
      <c r="C1599" s="3" t="s">
        <v>9</v>
      </c>
      <c r="D1599" s="5">
        <v>3600</v>
      </c>
      <c r="E1599" s="3" t="s">
        <v>10</v>
      </c>
      <c r="F1599" s="3">
        <v>2</v>
      </c>
      <c r="G1599" s="21">
        <f>Table4[[#This Row],[Item Cost]]*Table4[[#This Row],[In Stock]]</f>
        <v>7200</v>
      </c>
      <c r="H1599" s="12" t="s">
        <v>4661</v>
      </c>
      <c r="I1599" s="13" t="s">
        <v>4664</v>
      </c>
      <c r="J1599" s="13" t="s">
        <v>4713</v>
      </c>
      <c r="K1599" s="13" t="s">
        <v>4672</v>
      </c>
      <c r="L1599" s="12" t="s">
        <v>4672</v>
      </c>
      <c r="M1599" s="17" t="str">
        <f>IF(LEN(COUNTIFS($H$1:H1599,$H1599,$I$1:I1599,$I1599,$J$1:J1599,$J1599,$K$1:K1599,K1599,$L$1:L1599,L1599))=1,"00"&amp;COUNTIFS($H$1:H1599,$H1599,$I$1:I1599,$I1599,$J$1:J1599,$J1599,$K$1:K1599,K1599,$L$1:L1599,L1599),IF(LEN(COUNTIFS($H$1:H1599,$H1599,$I$1:I1599,$I1599,$J$1:J1599,$J1599,$K$1:K1599,K1599,$L$1:L1599,L1599))=2,"0"&amp;COUNTIFS($H$1:H1599,$H1599,$I$1:I1599,$I1599,$J$1:J1599,$J1599,$K$1:K1599,K1599,$L$1:L1599,L1599),COUNTIFS($H$1:H1599,$H1599,$I$1:I1599,$I1599,$J$1:J1599,$J1599,$K$1:K1599,K1599,$L$1:L1599,L1599)))</f>
        <v>001</v>
      </c>
      <c r="N159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599" s="14" t="e">
        <f>+LEN(Table4[[#This Row],[New Item Code]])</f>
        <v>#N/A</v>
      </c>
      <c r="P1599" s="15" t="s">
        <v>4747</v>
      </c>
      <c r="Q1599" s="15" t="s">
        <v>4749</v>
      </c>
      <c r="R1599" s="15"/>
      <c r="S1599" s="15"/>
      <c r="T1599" s="15" t="s">
        <v>4713</v>
      </c>
    </row>
    <row r="1600" spans="1:20" x14ac:dyDescent="0.35">
      <c r="A1600" s="2" t="s">
        <v>3182</v>
      </c>
      <c r="B1600" s="2" t="s">
        <v>3183</v>
      </c>
      <c r="C1600" s="2" t="s">
        <v>9</v>
      </c>
      <c r="D1600" s="2">
        <v>250</v>
      </c>
      <c r="E1600" s="2" t="s">
        <v>10</v>
      </c>
      <c r="F1600" s="2">
        <v>9</v>
      </c>
      <c r="G1600" s="22">
        <f>Table4[[#This Row],[Item Cost]]*Table4[[#This Row],[In Stock]]</f>
        <v>2250</v>
      </c>
      <c r="H1600" s="12" t="s">
        <v>4661</v>
      </c>
      <c r="I1600" s="13" t="s">
        <v>4664</v>
      </c>
      <c r="J1600" s="13" t="s">
        <v>4713</v>
      </c>
      <c r="K1600" s="13" t="s">
        <v>4672</v>
      </c>
      <c r="L1600" s="12" t="s">
        <v>4672</v>
      </c>
      <c r="M1600" s="17" t="str">
        <f>IF(LEN(COUNTIFS($H$1:H1600,$H1600,$I$1:I1600,$I1600,$J$1:J1600,$J1600,$K$1:K1600,K1600,$L$1:L1600,L1600))=1,"00"&amp;COUNTIFS($H$1:H1600,$H1600,$I$1:I1600,$I1600,$J$1:J1600,$J1600,$K$1:K1600,K1600,$L$1:L1600,L1600),IF(LEN(COUNTIFS($H$1:H1600,$H1600,$I$1:I1600,$I1600,$J$1:J1600,$J1600,$K$1:K1600,K1600,$L$1:L1600,L1600))=2,"0"&amp;COUNTIFS($H$1:H1600,$H1600,$I$1:I1600,$I1600,$J$1:J1600,$J1600,$K$1:K1600,K1600,$L$1:L1600,L1600),COUNTIFS($H$1:H1600,$H1600,$I$1:I1600,$I1600,$J$1:J1600,$J1600,$K$1:K1600,K1600,$L$1:L1600,L1600)))</f>
        <v>002</v>
      </c>
      <c r="N160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00" s="14" t="e">
        <f>+LEN(Table4[[#This Row],[New Item Code]])</f>
        <v>#N/A</v>
      </c>
      <c r="P1600" s="15" t="s">
        <v>4747</v>
      </c>
      <c r="Q1600" s="15" t="s">
        <v>4749</v>
      </c>
      <c r="R1600" s="15"/>
      <c r="S1600" s="15"/>
      <c r="T1600" s="15" t="s">
        <v>4713</v>
      </c>
    </row>
    <row r="1601" spans="1:20" x14ac:dyDescent="0.35">
      <c r="A1601" s="3" t="s">
        <v>3184</v>
      </c>
      <c r="B1601" s="3" t="s">
        <v>3185</v>
      </c>
      <c r="C1601" s="3" t="s">
        <v>56</v>
      </c>
      <c r="D1601" s="3">
        <v>0</v>
      </c>
      <c r="E1601" s="3" t="s">
        <v>10</v>
      </c>
      <c r="F1601" s="3">
        <v>0</v>
      </c>
      <c r="G1601" s="21">
        <f>Table4[[#This Row],[Item Cost]]*Table4[[#This Row],[In Stock]]</f>
        <v>0</v>
      </c>
      <c r="H1601" s="12" t="s">
        <v>4661</v>
      </c>
      <c r="I1601" s="13" t="s">
        <v>4668</v>
      </c>
      <c r="J1601" s="13" t="s">
        <v>4713</v>
      </c>
      <c r="K1601" s="13" t="s">
        <v>4672</v>
      </c>
      <c r="L1601" s="12" t="s">
        <v>4672</v>
      </c>
      <c r="M1601" s="17" t="str">
        <f>IF(LEN(COUNTIFS($H$1:H1601,$H1601,$I$1:I1601,$I1601,$J$1:J1601,$J1601,$K$1:K1601,K1601,$L$1:L1601,L1601))=1,"00"&amp;COUNTIFS($H$1:H1601,$H1601,$I$1:I1601,$I1601,$J$1:J1601,$J1601,$K$1:K1601,K1601,$L$1:L1601,L1601),IF(LEN(COUNTIFS($H$1:H1601,$H1601,$I$1:I1601,$I1601,$J$1:J1601,$J1601,$K$1:K1601,K1601,$L$1:L1601,L1601))=2,"0"&amp;COUNTIFS($H$1:H1601,$H1601,$I$1:I1601,$I1601,$J$1:J1601,$J1601,$K$1:K1601,K1601,$L$1:L1601,L1601),COUNTIFS($H$1:H1601,$H1601,$I$1:I1601,$I1601,$J$1:J1601,$J1601,$K$1:K1601,K1601,$L$1:L1601,L1601)))</f>
        <v>008</v>
      </c>
      <c r="N160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01" s="14" t="e">
        <f>+LEN(Table4[[#This Row],[New Item Code]])</f>
        <v>#N/A</v>
      </c>
      <c r="P1601" s="15" t="s">
        <v>4747</v>
      </c>
      <c r="Q1601" s="15" t="s">
        <v>4749</v>
      </c>
      <c r="R1601" s="15"/>
      <c r="S1601" s="15"/>
      <c r="T1601" s="15" t="s">
        <v>4713</v>
      </c>
    </row>
    <row r="1602" spans="1:20" x14ac:dyDescent="0.35">
      <c r="A1602" s="2" t="s">
        <v>3186</v>
      </c>
      <c r="B1602" s="2" t="s">
        <v>3187</v>
      </c>
      <c r="C1602" s="2" t="s">
        <v>56</v>
      </c>
      <c r="D1602" s="2">
        <v>0</v>
      </c>
      <c r="E1602" s="2" t="s">
        <v>10</v>
      </c>
      <c r="F1602" s="2">
        <v>0</v>
      </c>
      <c r="G1602" s="22">
        <f>Table4[[#This Row],[Item Cost]]*Table4[[#This Row],[In Stock]]</f>
        <v>0</v>
      </c>
      <c r="H1602" s="12" t="s">
        <v>4661</v>
      </c>
      <c r="I1602" s="13" t="s">
        <v>4668</v>
      </c>
      <c r="J1602" s="13" t="s">
        <v>4713</v>
      </c>
      <c r="K1602" s="13" t="s">
        <v>4672</v>
      </c>
      <c r="L1602" s="12" t="s">
        <v>4672</v>
      </c>
      <c r="M1602" s="17" t="str">
        <f>IF(LEN(COUNTIFS($H$1:H1602,$H1602,$I$1:I1602,$I1602,$J$1:J1602,$J1602,$K$1:K1602,K1602,$L$1:L1602,L1602))=1,"00"&amp;COUNTIFS($H$1:H1602,$H1602,$I$1:I1602,$I1602,$J$1:J1602,$J1602,$K$1:K1602,K1602,$L$1:L1602,L1602),IF(LEN(COUNTIFS($H$1:H1602,$H1602,$I$1:I1602,$I1602,$J$1:J1602,$J1602,$K$1:K1602,K1602,$L$1:L1602,L1602))=2,"0"&amp;COUNTIFS($H$1:H1602,$H1602,$I$1:I1602,$I1602,$J$1:J1602,$J1602,$K$1:K1602,K1602,$L$1:L1602,L1602),COUNTIFS($H$1:H1602,$H1602,$I$1:I1602,$I1602,$J$1:J1602,$J1602,$K$1:K1602,K1602,$L$1:L1602,L1602)))</f>
        <v>009</v>
      </c>
      <c r="N160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02" s="14" t="e">
        <f>+LEN(Table4[[#This Row],[New Item Code]])</f>
        <v>#N/A</v>
      </c>
      <c r="P1602" s="15" t="s">
        <v>4747</v>
      </c>
      <c r="Q1602" s="15" t="s">
        <v>4749</v>
      </c>
      <c r="R1602" s="15"/>
      <c r="S1602" s="15"/>
      <c r="T1602" s="15" t="s">
        <v>4713</v>
      </c>
    </row>
    <row r="1603" spans="1:20" x14ac:dyDescent="0.35">
      <c r="A1603" s="3" t="s">
        <v>3188</v>
      </c>
      <c r="B1603" s="3" t="s">
        <v>3189</v>
      </c>
      <c r="C1603" s="3" t="s">
        <v>56</v>
      </c>
      <c r="D1603" s="3">
        <v>0</v>
      </c>
      <c r="E1603" s="3" t="s">
        <v>10</v>
      </c>
      <c r="F1603" s="3">
        <v>0</v>
      </c>
      <c r="G1603" s="21">
        <f>Table4[[#This Row],[Item Cost]]*Table4[[#This Row],[In Stock]]</f>
        <v>0</v>
      </c>
      <c r="H1603" s="12" t="s">
        <v>4661</v>
      </c>
      <c r="I1603" s="13" t="s">
        <v>4668</v>
      </c>
      <c r="J1603" s="13" t="s">
        <v>4713</v>
      </c>
      <c r="K1603" s="13" t="s">
        <v>4672</v>
      </c>
      <c r="L1603" s="12" t="s">
        <v>4672</v>
      </c>
      <c r="M1603" s="17" t="str">
        <f>IF(LEN(COUNTIFS($H$1:H1603,$H1603,$I$1:I1603,$I1603,$J$1:J1603,$J1603,$K$1:K1603,K1603,$L$1:L1603,L1603))=1,"00"&amp;COUNTIFS($H$1:H1603,$H1603,$I$1:I1603,$I1603,$J$1:J1603,$J1603,$K$1:K1603,K1603,$L$1:L1603,L1603),IF(LEN(COUNTIFS($H$1:H1603,$H1603,$I$1:I1603,$I1603,$J$1:J1603,$J1603,$K$1:K1603,K1603,$L$1:L1603,L1603))=2,"0"&amp;COUNTIFS($H$1:H1603,$H1603,$I$1:I1603,$I1603,$J$1:J1603,$J1603,$K$1:K1603,K1603,$L$1:L1603,L1603),COUNTIFS($H$1:H1603,$H1603,$I$1:I1603,$I1603,$J$1:J1603,$J1603,$K$1:K1603,K1603,$L$1:L1603,L1603)))</f>
        <v>010</v>
      </c>
      <c r="N160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03" s="14" t="e">
        <f>+LEN(Table4[[#This Row],[New Item Code]])</f>
        <v>#N/A</v>
      </c>
      <c r="P1603" s="15" t="s">
        <v>4747</v>
      </c>
      <c r="Q1603" s="15" t="s">
        <v>4749</v>
      </c>
      <c r="R1603" s="15"/>
      <c r="S1603" s="15"/>
      <c r="T1603" s="15" t="s">
        <v>4713</v>
      </c>
    </row>
    <row r="1604" spans="1:20" x14ac:dyDescent="0.35">
      <c r="A1604" s="2" t="s">
        <v>3190</v>
      </c>
      <c r="B1604" s="2" t="s">
        <v>3191</v>
      </c>
      <c r="C1604" s="2" t="s">
        <v>56</v>
      </c>
      <c r="D1604" s="2">
        <v>0</v>
      </c>
      <c r="E1604" s="2" t="s">
        <v>10</v>
      </c>
      <c r="F1604" s="2">
        <v>0</v>
      </c>
      <c r="G1604" s="22">
        <f>Table4[[#This Row],[Item Cost]]*Table4[[#This Row],[In Stock]]</f>
        <v>0</v>
      </c>
      <c r="H1604" s="12" t="s">
        <v>4661</v>
      </c>
      <c r="I1604" s="13" t="s">
        <v>4668</v>
      </c>
      <c r="J1604" s="13" t="s">
        <v>4713</v>
      </c>
      <c r="K1604" s="13" t="s">
        <v>4672</v>
      </c>
      <c r="L1604" s="12" t="s">
        <v>4672</v>
      </c>
      <c r="M1604" s="17" t="str">
        <f>IF(LEN(COUNTIFS($H$1:H1604,$H1604,$I$1:I1604,$I1604,$J$1:J1604,$J1604,$K$1:K1604,K1604,$L$1:L1604,L1604))=1,"00"&amp;COUNTIFS($H$1:H1604,$H1604,$I$1:I1604,$I1604,$J$1:J1604,$J1604,$K$1:K1604,K1604,$L$1:L1604,L1604),IF(LEN(COUNTIFS($H$1:H1604,$H1604,$I$1:I1604,$I1604,$J$1:J1604,$J1604,$K$1:K1604,K1604,$L$1:L1604,L1604))=2,"0"&amp;COUNTIFS($H$1:H1604,$H1604,$I$1:I1604,$I1604,$J$1:J1604,$J1604,$K$1:K1604,K1604,$L$1:L1604,L1604),COUNTIFS($H$1:H1604,$H1604,$I$1:I1604,$I1604,$J$1:J1604,$J1604,$K$1:K1604,K1604,$L$1:L1604,L1604)))</f>
        <v>011</v>
      </c>
      <c r="N160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04" s="14" t="e">
        <f>+LEN(Table4[[#This Row],[New Item Code]])</f>
        <v>#N/A</v>
      </c>
      <c r="P1604" s="15" t="s">
        <v>4747</v>
      </c>
      <c r="Q1604" s="15" t="s">
        <v>4749</v>
      </c>
      <c r="R1604" s="15"/>
      <c r="S1604" s="15"/>
      <c r="T1604" s="15" t="s">
        <v>4713</v>
      </c>
    </row>
    <row r="1605" spans="1:20" x14ac:dyDescent="0.35">
      <c r="A1605" s="3" t="s">
        <v>3192</v>
      </c>
      <c r="B1605" s="3" t="s">
        <v>3193</v>
      </c>
      <c r="C1605" s="3" t="s">
        <v>56</v>
      </c>
      <c r="D1605" s="3">
        <v>23</v>
      </c>
      <c r="E1605" s="3" t="s">
        <v>10</v>
      </c>
      <c r="F1605" s="3">
        <v>0</v>
      </c>
      <c r="G1605" s="21">
        <f>Table4[[#This Row],[Item Cost]]*Table4[[#This Row],[In Stock]]</f>
        <v>0</v>
      </c>
      <c r="H1605" s="12" t="s">
        <v>4661</v>
      </c>
      <c r="I1605" s="13" t="s">
        <v>4668</v>
      </c>
      <c r="J1605" s="13" t="s">
        <v>4713</v>
      </c>
      <c r="K1605" s="13" t="s">
        <v>4672</v>
      </c>
      <c r="L1605" s="12" t="s">
        <v>4672</v>
      </c>
      <c r="M1605" s="17" t="str">
        <f>IF(LEN(COUNTIFS($H$1:H1605,$H1605,$I$1:I1605,$I1605,$J$1:J1605,$J1605,$K$1:K1605,K1605,$L$1:L1605,L1605))=1,"00"&amp;COUNTIFS($H$1:H1605,$H1605,$I$1:I1605,$I1605,$J$1:J1605,$J1605,$K$1:K1605,K1605,$L$1:L1605,L1605),IF(LEN(COUNTIFS($H$1:H1605,$H1605,$I$1:I1605,$I1605,$J$1:J1605,$J1605,$K$1:K1605,K1605,$L$1:L1605,L1605))=2,"0"&amp;COUNTIFS($H$1:H1605,$H1605,$I$1:I1605,$I1605,$J$1:J1605,$J1605,$K$1:K1605,K1605,$L$1:L1605,L1605),COUNTIFS($H$1:H1605,$H1605,$I$1:I1605,$I1605,$J$1:J1605,$J1605,$K$1:K1605,K1605,$L$1:L1605,L1605)))</f>
        <v>012</v>
      </c>
      <c r="N160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05" s="14" t="e">
        <f>+LEN(Table4[[#This Row],[New Item Code]])</f>
        <v>#N/A</v>
      </c>
      <c r="P1605" s="15" t="s">
        <v>4747</v>
      </c>
      <c r="Q1605" s="15" t="s">
        <v>4749</v>
      </c>
      <c r="R1605" s="15"/>
      <c r="S1605" s="15"/>
      <c r="T1605" s="15" t="s">
        <v>4713</v>
      </c>
    </row>
    <row r="1606" spans="1:20" x14ac:dyDescent="0.35">
      <c r="A1606" s="2" t="s">
        <v>3194</v>
      </c>
      <c r="B1606" s="2" t="s">
        <v>3195</v>
      </c>
      <c r="C1606" s="2" t="s">
        <v>56</v>
      </c>
      <c r="D1606" s="2">
        <v>255</v>
      </c>
      <c r="E1606" s="2" t="s">
        <v>10</v>
      </c>
      <c r="F1606" s="2">
        <v>3</v>
      </c>
      <c r="G1606" s="22">
        <f>Table4[[#This Row],[Item Cost]]*Table4[[#This Row],[In Stock]]</f>
        <v>765</v>
      </c>
      <c r="H1606" s="12" t="s">
        <v>4661</v>
      </c>
      <c r="I1606" s="13" t="s">
        <v>4668</v>
      </c>
      <c r="J1606" s="13" t="s">
        <v>4713</v>
      </c>
      <c r="K1606" s="13" t="s">
        <v>4672</v>
      </c>
      <c r="L1606" s="12" t="s">
        <v>4672</v>
      </c>
      <c r="M1606" s="17" t="str">
        <f>IF(LEN(COUNTIFS($H$1:H1606,$H1606,$I$1:I1606,$I1606,$J$1:J1606,$J1606,$K$1:K1606,K1606,$L$1:L1606,L1606))=1,"00"&amp;COUNTIFS($H$1:H1606,$H1606,$I$1:I1606,$I1606,$J$1:J1606,$J1606,$K$1:K1606,K1606,$L$1:L1606,L1606),IF(LEN(COUNTIFS($H$1:H1606,$H1606,$I$1:I1606,$I1606,$J$1:J1606,$J1606,$K$1:K1606,K1606,$L$1:L1606,L1606))=2,"0"&amp;COUNTIFS($H$1:H1606,$H1606,$I$1:I1606,$I1606,$J$1:J1606,$J1606,$K$1:K1606,K1606,$L$1:L1606,L1606),COUNTIFS($H$1:H1606,$H1606,$I$1:I1606,$I1606,$J$1:J1606,$J1606,$K$1:K1606,K1606,$L$1:L1606,L1606)))</f>
        <v>013</v>
      </c>
      <c r="N160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06" s="14" t="e">
        <f>+LEN(Table4[[#This Row],[New Item Code]])</f>
        <v>#N/A</v>
      </c>
      <c r="P1606" s="15" t="s">
        <v>4747</v>
      </c>
      <c r="Q1606" s="15" t="s">
        <v>4749</v>
      </c>
      <c r="R1606" s="15"/>
      <c r="S1606" s="15"/>
      <c r="T1606" s="15" t="s">
        <v>4713</v>
      </c>
    </row>
    <row r="1607" spans="1:20" x14ac:dyDescent="0.35">
      <c r="A1607" s="3" t="s">
        <v>3196</v>
      </c>
      <c r="B1607" s="3" t="s">
        <v>3197</v>
      </c>
      <c r="C1607" s="3" t="s">
        <v>56</v>
      </c>
      <c r="D1607" s="5">
        <v>2000</v>
      </c>
      <c r="E1607" s="3" t="s">
        <v>10</v>
      </c>
      <c r="F1607" s="3">
        <v>0</v>
      </c>
      <c r="G1607" s="21">
        <f>Table4[[#This Row],[Item Cost]]*Table4[[#This Row],[In Stock]]</f>
        <v>0</v>
      </c>
      <c r="H1607" s="12" t="s">
        <v>4661</v>
      </c>
      <c r="I1607" s="13" t="s">
        <v>4668</v>
      </c>
      <c r="J1607" s="13" t="s">
        <v>4713</v>
      </c>
      <c r="K1607" s="13" t="s">
        <v>4672</v>
      </c>
      <c r="L1607" s="12" t="s">
        <v>4672</v>
      </c>
      <c r="M1607" s="17" t="str">
        <f>IF(LEN(COUNTIFS($H$1:H1607,$H1607,$I$1:I1607,$I1607,$J$1:J1607,$J1607,$K$1:K1607,K1607,$L$1:L1607,L1607))=1,"00"&amp;COUNTIFS($H$1:H1607,$H1607,$I$1:I1607,$I1607,$J$1:J1607,$J1607,$K$1:K1607,K1607,$L$1:L1607,L1607),IF(LEN(COUNTIFS($H$1:H1607,$H1607,$I$1:I1607,$I1607,$J$1:J1607,$J1607,$K$1:K1607,K1607,$L$1:L1607,L1607))=2,"0"&amp;COUNTIFS($H$1:H1607,$H1607,$I$1:I1607,$I1607,$J$1:J1607,$J1607,$K$1:K1607,K1607,$L$1:L1607,L1607),COUNTIFS($H$1:H1607,$H1607,$I$1:I1607,$I1607,$J$1:J1607,$J1607,$K$1:K1607,K1607,$L$1:L1607,L1607)))</f>
        <v>014</v>
      </c>
      <c r="N160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07" s="14" t="e">
        <f>+LEN(Table4[[#This Row],[New Item Code]])</f>
        <v>#N/A</v>
      </c>
      <c r="P1607" s="15" t="s">
        <v>4747</v>
      </c>
      <c r="Q1607" s="15" t="s">
        <v>4749</v>
      </c>
      <c r="R1607" s="15"/>
      <c r="S1607" s="15"/>
      <c r="T1607" s="15" t="s">
        <v>4713</v>
      </c>
    </row>
    <row r="1608" spans="1:20" x14ac:dyDescent="0.35">
      <c r="A1608" s="2" t="s">
        <v>3198</v>
      </c>
      <c r="B1608" s="2" t="s">
        <v>3199</v>
      </c>
      <c r="C1608" s="2" t="s">
        <v>15</v>
      </c>
      <c r="D1608" s="2">
        <v>194</v>
      </c>
      <c r="E1608" s="2" t="s">
        <v>10</v>
      </c>
      <c r="F1608" s="2">
        <v>1</v>
      </c>
      <c r="G1608" s="22">
        <f>Table4[[#This Row],[Item Cost]]*Table4[[#This Row],[In Stock]]</f>
        <v>194</v>
      </c>
      <c r="H1608" s="12" t="s">
        <v>4661</v>
      </c>
      <c r="I1608" s="13" t="s">
        <v>4666</v>
      </c>
      <c r="J1608" s="13" t="s">
        <v>4713</v>
      </c>
      <c r="K1608" s="13" t="s">
        <v>4672</v>
      </c>
      <c r="L1608" s="12" t="s">
        <v>4672</v>
      </c>
      <c r="M1608" s="17" t="str">
        <f>IF(LEN(COUNTIFS($H$1:H1608,$H1608,$I$1:I1608,$I1608,$J$1:J1608,$J1608,$K$1:K1608,K1608,$L$1:L1608,L1608))=1,"00"&amp;COUNTIFS($H$1:H1608,$H1608,$I$1:I1608,$I1608,$J$1:J1608,$J1608,$K$1:K1608,K1608,$L$1:L1608,L1608),IF(LEN(COUNTIFS($H$1:H1608,$H1608,$I$1:I1608,$I1608,$J$1:J1608,$J1608,$K$1:K1608,K1608,$L$1:L1608,L1608))=2,"0"&amp;COUNTIFS($H$1:H1608,$H1608,$I$1:I1608,$I1608,$J$1:J1608,$J1608,$K$1:K1608,K1608,$L$1:L1608,L1608),COUNTIFS($H$1:H1608,$H1608,$I$1:I1608,$I1608,$J$1:J1608,$J1608,$K$1:K1608,K1608,$L$1:L1608,L1608)))</f>
        <v>001</v>
      </c>
      <c r="N160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08" s="14" t="e">
        <f>+LEN(Table4[[#This Row],[New Item Code]])</f>
        <v>#N/A</v>
      </c>
      <c r="P1608" s="15" t="s">
        <v>4747</v>
      </c>
      <c r="Q1608" s="15" t="s">
        <v>4749</v>
      </c>
      <c r="R1608" s="15"/>
      <c r="S1608" s="15"/>
      <c r="T1608" s="15" t="s">
        <v>4713</v>
      </c>
    </row>
    <row r="1609" spans="1:20" x14ac:dyDescent="0.35">
      <c r="A1609" s="3" t="s">
        <v>3200</v>
      </c>
      <c r="B1609" s="3" t="s">
        <v>3201</v>
      </c>
      <c r="C1609" s="3" t="s">
        <v>15</v>
      </c>
      <c r="D1609" s="3">
        <v>90</v>
      </c>
      <c r="E1609" s="3" t="s">
        <v>10</v>
      </c>
      <c r="F1609" s="3">
        <v>4</v>
      </c>
      <c r="G1609" s="21">
        <f>Table4[[#This Row],[Item Cost]]*Table4[[#This Row],[In Stock]]</f>
        <v>360</v>
      </c>
      <c r="H1609" s="12" t="s">
        <v>4661</v>
      </c>
      <c r="I1609" s="13" t="s">
        <v>4666</v>
      </c>
      <c r="J1609" s="13" t="s">
        <v>4713</v>
      </c>
      <c r="K1609" t="s">
        <v>4793</v>
      </c>
      <c r="L1609" s="12" t="s">
        <v>4672</v>
      </c>
      <c r="M1609" s="17" t="str">
        <f>IF(LEN(COUNTIFS($H$1:H1609,$H1609,$I$1:I1609,$I1609,$J$1:J1609,$J1609,$K$1:K1609,K1609,$L$1:L1609,L1609))=1,"00"&amp;COUNTIFS($H$1:H1609,$H1609,$I$1:I1609,$I1609,$J$1:J1609,$J1609,$K$1:K1609,K1609,$L$1:L1609,L1609),IF(LEN(COUNTIFS($H$1:H1609,$H1609,$I$1:I1609,$I1609,$J$1:J1609,$J1609,$K$1:K1609,K1609,$L$1:L1609,L1609))=2,"0"&amp;COUNTIFS($H$1:H1609,$H1609,$I$1:I1609,$I1609,$J$1:J1609,$J1609,$K$1:K1609,K1609,$L$1:L1609,L1609),COUNTIFS($H$1:H1609,$H1609,$I$1:I1609,$I1609,$J$1:J1609,$J1609,$K$1:K1609,K1609,$L$1:L1609,L1609)))</f>
        <v>001</v>
      </c>
      <c r="N160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09" s="14" t="e">
        <f>+LEN(Table4[[#This Row],[New Item Code]])</f>
        <v>#N/A</v>
      </c>
      <c r="P1609" s="15" t="s">
        <v>4747</v>
      </c>
      <c r="Q1609" s="15" t="s">
        <v>4749</v>
      </c>
      <c r="R1609" s="15"/>
      <c r="S1609" s="15"/>
      <c r="T1609" s="15" t="s">
        <v>4713</v>
      </c>
    </row>
    <row r="1610" spans="1:20" x14ac:dyDescent="0.35">
      <c r="A1610" s="2" t="s">
        <v>3202</v>
      </c>
      <c r="B1610" s="2" t="s">
        <v>3203</v>
      </c>
      <c r="C1610" s="2" t="s">
        <v>56</v>
      </c>
      <c r="D1610" s="4">
        <v>1562</v>
      </c>
      <c r="E1610" s="2" t="s">
        <v>10</v>
      </c>
      <c r="F1610" s="2">
        <v>0</v>
      </c>
      <c r="G1610" s="22">
        <f>Table4[[#This Row],[Item Cost]]*Table4[[#This Row],[In Stock]]</f>
        <v>0</v>
      </c>
      <c r="H1610" s="12" t="s">
        <v>4661</v>
      </c>
      <c r="I1610" s="13" t="s">
        <v>4668</v>
      </c>
      <c r="J1610" s="13" t="s">
        <v>4713</v>
      </c>
      <c r="K1610" s="13" t="s">
        <v>4672</v>
      </c>
      <c r="L1610" s="12" t="s">
        <v>4672</v>
      </c>
      <c r="M1610" s="17" t="str">
        <f>IF(LEN(COUNTIFS($H$1:H1610,$H1610,$I$1:I1610,$I1610,$J$1:J1610,$J1610,$K$1:K1610,K1610,$L$1:L1610,L1610))=1,"00"&amp;COUNTIFS($H$1:H1610,$H1610,$I$1:I1610,$I1610,$J$1:J1610,$J1610,$K$1:K1610,K1610,$L$1:L1610,L1610),IF(LEN(COUNTIFS($H$1:H1610,$H1610,$I$1:I1610,$I1610,$J$1:J1610,$J1610,$K$1:K1610,K1610,$L$1:L1610,L1610))=2,"0"&amp;COUNTIFS($H$1:H1610,$H1610,$I$1:I1610,$I1610,$J$1:J1610,$J1610,$K$1:K1610,K1610,$L$1:L1610,L1610),COUNTIFS($H$1:H1610,$H1610,$I$1:I1610,$I1610,$J$1:J1610,$J1610,$K$1:K1610,K1610,$L$1:L1610,L1610)))</f>
        <v>015</v>
      </c>
      <c r="N161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10" s="14" t="e">
        <f>+LEN(Table4[[#This Row],[New Item Code]])</f>
        <v>#N/A</v>
      </c>
      <c r="P1610" s="15" t="s">
        <v>4747</v>
      </c>
      <c r="Q1610" s="15" t="s">
        <v>4749</v>
      </c>
      <c r="R1610" s="15"/>
      <c r="S1610" s="15"/>
      <c r="T1610" s="15" t="s">
        <v>4713</v>
      </c>
    </row>
    <row r="1611" spans="1:20" x14ac:dyDescent="0.35">
      <c r="A1611" s="3" t="s">
        <v>3204</v>
      </c>
      <c r="B1611" s="3" t="s">
        <v>3205</v>
      </c>
      <c r="C1611" s="3" t="s">
        <v>15</v>
      </c>
      <c r="D1611" s="3">
        <v>144</v>
      </c>
      <c r="E1611" s="3" t="s">
        <v>10</v>
      </c>
      <c r="F1611" s="3">
        <v>2</v>
      </c>
      <c r="G1611" s="21">
        <f>Table4[[#This Row],[Item Cost]]*Table4[[#This Row],[In Stock]]</f>
        <v>288</v>
      </c>
      <c r="H1611" s="12" t="s">
        <v>4661</v>
      </c>
      <c r="I1611" s="13" t="s">
        <v>4666</v>
      </c>
      <c r="J1611" s="13" t="s">
        <v>4713</v>
      </c>
      <c r="K1611" s="13" t="s">
        <v>4672</v>
      </c>
      <c r="L1611" s="12" t="s">
        <v>4672</v>
      </c>
      <c r="M1611" s="17" t="str">
        <f>IF(LEN(COUNTIFS($H$1:H1611,$H1611,$I$1:I1611,$I1611,$J$1:J1611,$J1611,$K$1:K1611,K1611,$L$1:L1611,L1611))=1,"00"&amp;COUNTIFS($H$1:H1611,$H1611,$I$1:I1611,$I1611,$J$1:J1611,$J1611,$K$1:K1611,K1611,$L$1:L1611,L1611),IF(LEN(COUNTIFS($H$1:H1611,$H1611,$I$1:I1611,$I1611,$J$1:J1611,$J1611,$K$1:K1611,K1611,$L$1:L1611,L1611))=2,"0"&amp;COUNTIFS($H$1:H1611,$H1611,$I$1:I1611,$I1611,$J$1:J1611,$J1611,$K$1:K1611,K1611,$L$1:L1611,L1611),COUNTIFS($H$1:H1611,$H1611,$I$1:I1611,$I1611,$J$1:J1611,$J1611,$K$1:K1611,K1611,$L$1:L1611,L1611)))</f>
        <v>002</v>
      </c>
      <c r="N161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11" s="14" t="e">
        <f>+LEN(Table4[[#This Row],[New Item Code]])</f>
        <v>#N/A</v>
      </c>
      <c r="P1611" s="15" t="s">
        <v>4747</v>
      </c>
      <c r="Q1611" s="15" t="s">
        <v>4749</v>
      </c>
      <c r="R1611" s="15"/>
      <c r="S1611" s="15"/>
      <c r="T1611" s="15" t="s">
        <v>4713</v>
      </c>
    </row>
    <row r="1612" spans="1:20" x14ac:dyDescent="0.35">
      <c r="A1612" s="2" t="s">
        <v>3206</v>
      </c>
      <c r="B1612" s="2" t="s">
        <v>3207</v>
      </c>
      <c r="C1612" s="2" t="s">
        <v>15</v>
      </c>
      <c r="D1612" s="2">
        <v>152</v>
      </c>
      <c r="E1612" s="2" t="s">
        <v>10</v>
      </c>
      <c r="F1612" s="2">
        <v>2</v>
      </c>
      <c r="G1612" s="22">
        <f>Table4[[#This Row],[Item Cost]]*Table4[[#This Row],[In Stock]]</f>
        <v>304</v>
      </c>
      <c r="H1612" s="12" t="s">
        <v>4661</v>
      </c>
      <c r="I1612" s="13" t="s">
        <v>4666</v>
      </c>
      <c r="J1612" s="13" t="s">
        <v>4713</v>
      </c>
      <c r="K1612" s="13" t="s">
        <v>4672</v>
      </c>
      <c r="L1612" s="12" t="s">
        <v>4672</v>
      </c>
      <c r="M1612" s="17" t="str">
        <f>IF(LEN(COUNTIFS($H$1:H1612,$H1612,$I$1:I1612,$I1612,$J$1:J1612,$J1612,$K$1:K1612,K1612,$L$1:L1612,L1612))=1,"00"&amp;COUNTIFS($H$1:H1612,$H1612,$I$1:I1612,$I1612,$J$1:J1612,$J1612,$K$1:K1612,K1612,$L$1:L1612,L1612),IF(LEN(COUNTIFS($H$1:H1612,$H1612,$I$1:I1612,$I1612,$J$1:J1612,$J1612,$K$1:K1612,K1612,$L$1:L1612,L1612))=2,"0"&amp;COUNTIFS($H$1:H1612,$H1612,$I$1:I1612,$I1612,$J$1:J1612,$J1612,$K$1:K1612,K1612,$L$1:L1612,L1612),COUNTIFS($H$1:H1612,$H1612,$I$1:I1612,$I1612,$J$1:J1612,$J1612,$K$1:K1612,K1612,$L$1:L1612,L1612)))</f>
        <v>003</v>
      </c>
      <c r="N161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12" s="14" t="e">
        <f>+LEN(Table4[[#This Row],[New Item Code]])</f>
        <v>#N/A</v>
      </c>
      <c r="P1612" s="15" t="s">
        <v>4747</v>
      </c>
      <c r="Q1612" s="15" t="s">
        <v>4749</v>
      </c>
      <c r="R1612" s="15"/>
      <c r="S1612" s="15"/>
      <c r="T1612" s="15" t="s">
        <v>4713</v>
      </c>
    </row>
    <row r="1613" spans="1:20" x14ac:dyDescent="0.35">
      <c r="A1613" s="3" t="s">
        <v>3208</v>
      </c>
      <c r="B1613" s="3" t="s">
        <v>3209</v>
      </c>
      <c r="C1613" s="3" t="s">
        <v>56</v>
      </c>
      <c r="D1613" s="3">
        <v>0</v>
      </c>
      <c r="E1613" s="3" t="s">
        <v>10</v>
      </c>
      <c r="F1613" s="3">
        <v>0</v>
      </c>
      <c r="G1613" s="21">
        <f>Table4[[#This Row],[Item Cost]]*Table4[[#This Row],[In Stock]]</f>
        <v>0</v>
      </c>
      <c r="H1613" s="12" t="s">
        <v>4661</v>
      </c>
      <c r="I1613" s="13" t="s">
        <v>4668</v>
      </c>
      <c r="J1613" s="13" t="s">
        <v>4715</v>
      </c>
      <c r="K1613" s="13" t="s">
        <v>4672</v>
      </c>
      <c r="L1613" s="12" t="s">
        <v>4672</v>
      </c>
      <c r="M1613" s="17" t="str">
        <f>IF(LEN(COUNTIFS($H$1:H1613,$H1613,$I$1:I1613,$I1613,$J$1:J1613,$J1613,$K$1:K1613,K1613,$L$1:L1613,L1613))=1,"00"&amp;COUNTIFS($H$1:H1613,$H1613,$I$1:I1613,$I1613,$J$1:J1613,$J1613,$K$1:K1613,K1613,$L$1:L1613,L1613),IF(LEN(COUNTIFS($H$1:H1613,$H1613,$I$1:I1613,$I1613,$J$1:J1613,$J1613,$K$1:K1613,K1613,$L$1:L1613,L1613))=2,"0"&amp;COUNTIFS($H$1:H1613,$H1613,$I$1:I1613,$I1613,$J$1:J1613,$J1613,$K$1:K1613,K1613,$L$1:L1613,L1613),COUNTIFS($H$1:H1613,$H1613,$I$1:I1613,$I1613,$J$1:J1613,$J1613,$K$1:K1613,K1613,$L$1:L1613,L1613)))</f>
        <v>001</v>
      </c>
      <c r="N161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13" s="14" t="e">
        <f>+LEN(Table4[[#This Row],[New Item Code]])</f>
        <v>#N/A</v>
      </c>
      <c r="P1613" s="15" t="s">
        <v>4747</v>
      </c>
      <c r="Q1613" s="15" t="s">
        <v>4749</v>
      </c>
      <c r="R1613" s="15"/>
      <c r="S1613" s="15"/>
      <c r="T1613" s="15" t="s">
        <v>4830</v>
      </c>
    </row>
    <row r="1614" spans="1:20" x14ac:dyDescent="0.35">
      <c r="A1614" s="2" t="s">
        <v>3210</v>
      </c>
      <c r="B1614" s="2" t="s">
        <v>3211</v>
      </c>
      <c r="C1614" s="2" t="s">
        <v>56</v>
      </c>
      <c r="D1614" s="2">
        <v>0</v>
      </c>
      <c r="E1614" s="2" t="s">
        <v>10</v>
      </c>
      <c r="F1614" s="2">
        <v>0</v>
      </c>
      <c r="G1614" s="22">
        <f>Table4[[#This Row],[Item Cost]]*Table4[[#This Row],[In Stock]]</f>
        <v>0</v>
      </c>
      <c r="H1614" s="12" t="s">
        <v>4661</v>
      </c>
      <c r="I1614" s="13" t="s">
        <v>4668</v>
      </c>
      <c r="J1614" s="13" t="s">
        <v>4715</v>
      </c>
      <c r="K1614" s="13" t="s">
        <v>4672</v>
      </c>
      <c r="L1614" s="12" t="s">
        <v>4672</v>
      </c>
      <c r="M1614" s="17" t="str">
        <f>IF(LEN(COUNTIFS($H$1:H1614,$H1614,$I$1:I1614,$I1614,$J$1:J1614,$J1614,$K$1:K1614,K1614,$L$1:L1614,L1614))=1,"00"&amp;COUNTIFS($H$1:H1614,$H1614,$I$1:I1614,$I1614,$J$1:J1614,$J1614,$K$1:K1614,K1614,$L$1:L1614,L1614),IF(LEN(COUNTIFS($H$1:H1614,$H1614,$I$1:I1614,$I1614,$J$1:J1614,$J1614,$K$1:K1614,K1614,$L$1:L1614,L1614))=2,"0"&amp;COUNTIFS($H$1:H1614,$H1614,$I$1:I1614,$I1614,$J$1:J1614,$J1614,$K$1:K1614,K1614,$L$1:L1614,L1614),COUNTIFS($H$1:H1614,$H1614,$I$1:I1614,$I1614,$J$1:J1614,$J1614,$K$1:K1614,K1614,$L$1:L1614,L1614)))</f>
        <v>002</v>
      </c>
      <c r="N161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14" s="14" t="e">
        <f>+LEN(Table4[[#This Row],[New Item Code]])</f>
        <v>#N/A</v>
      </c>
      <c r="P1614" s="15" t="s">
        <v>4747</v>
      </c>
      <c r="Q1614" s="15" t="s">
        <v>4749</v>
      </c>
      <c r="R1614" s="15"/>
      <c r="S1614" s="15"/>
      <c r="T1614" s="15" t="s">
        <v>4830</v>
      </c>
    </row>
    <row r="1615" spans="1:20" x14ac:dyDescent="0.35">
      <c r="A1615" s="3" t="s">
        <v>3212</v>
      </c>
      <c r="B1615" s="3" t="s">
        <v>3213</v>
      </c>
      <c r="C1615" s="3" t="s">
        <v>56</v>
      </c>
      <c r="D1615" s="3">
        <v>0</v>
      </c>
      <c r="E1615" s="3" t="s">
        <v>10</v>
      </c>
      <c r="F1615" s="3">
        <v>0</v>
      </c>
      <c r="G1615" s="21">
        <f>Table4[[#This Row],[Item Cost]]*Table4[[#This Row],[In Stock]]</f>
        <v>0</v>
      </c>
      <c r="H1615" s="12" t="s">
        <v>4661</v>
      </c>
      <c r="I1615" s="13" t="s">
        <v>4668</v>
      </c>
      <c r="J1615" s="13" t="s">
        <v>4715</v>
      </c>
      <c r="K1615" s="13" t="s">
        <v>4672</v>
      </c>
      <c r="L1615" s="12" t="s">
        <v>4672</v>
      </c>
      <c r="M1615" s="17" t="str">
        <f>IF(LEN(COUNTIFS($H$1:H1615,$H1615,$I$1:I1615,$I1615,$J$1:J1615,$J1615,$K$1:K1615,K1615,$L$1:L1615,L1615))=1,"00"&amp;COUNTIFS($H$1:H1615,$H1615,$I$1:I1615,$I1615,$J$1:J1615,$J1615,$K$1:K1615,K1615,$L$1:L1615,L1615),IF(LEN(COUNTIFS($H$1:H1615,$H1615,$I$1:I1615,$I1615,$J$1:J1615,$J1615,$K$1:K1615,K1615,$L$1:L1615,L1615))=2,"0"&amp;COUNTIFS($H$1:H1615,$H1615,$I$1:I1615,$I1615,$J$1:J1615,$J1615,$K$1:K1615,K1615,$L$1:L1615,L1615),COUNTIFS($H$1:H1615,$H1615,$I$1:I1615,$I1615,$J$1:J1615,$J1615,$K$1:K1615,K1615,$L$1:L1615,L1615)))</f>
        <v>003</v>
      </c>
      <c r="N161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15" s="14" t="e">
        <f>+LEN(Table4[[#This Row],[New Item Code]])</f>
        <v>#N/A</v>
      </c>
      <c r="P1615" s="15" t="s">
        <v>4747</v>
      </c>
      <c r="Q1615" s="15" t="s">
        <v>4749</v>
      </c>
      <c r="R1615" s="15"/>
      <c r="S1615" s="15"/>
      <c r="T1615" s="15" t="s">
        <v>4830</v>
      </c>
    </row>
    <row r="1616" spans="1:20" x14ac:dyDescent="0.35">
      <c r="A1616" s="2" t="s">
        <v>3214</v>
      </c>
      <c r="B1616" s="2" t="s">
        <v>3215</v>
      </c>
      <c r="C1616" s="2" t="s">
        <v>56</v>
      </c>
      <c r="D1616" s="2">
        <v>0</v>
      </c>
      <c r="E1616" s="2" t="s">
        <v>10</v>
      </c>
      <c r="F1616" s="2">
        <v>0</v>
      </c>
      <c r="G1616" s="22">
        <f>Table4[[#This Row],[Item Cost]]*Table4[[#This Row],[In Stock]]</f>
        <v>0</v>
      </c>
      <c r="H1616" s="12" t="s">
        <v>4661</v>
      </c>
      <c r="I1616" s="13" t="s">
        <v>4668</v>
      </c>
      <c r="J1616" s="13" t="s">
        <v>4715</v>
      </c>
      <c r="K1616" s="13" t="s">
        <v>4672</v>
      </c>
      <c r="L1616" s="12" t="s">
        <v>4672</v>
      </c>
      <c r="M1616" s="17" t="str">
        <f>IF(LEN(COUNTIFS($H$1:H1616,$H1616,$I$1:I1616,$I1616,$J$1:J1616,$J1616,$K$1:K1616,K1616,$L$1:L1616,L1616))=1,"00"&amp;COUNTIFS($H$1:H1616,$H1616,$I$1:I1616,$I1616,$J$1:J1616,$J1616,$K$1:K1616,K1616,$L$1:L1616,L1616),IF(LEN(COUNTIFS($H$1:H1616,$H1616,$I$1:I1616,$I1616,$J$1:J1616,$J1616,$K$1:K1616,K1616,$L$1:L1616,L1616))=2,"0"&amp;COUNTIFS($H$1:H1616,$H1616,$I$1:I1616,$I1616,$J$1:J1616,$J1616,$K$1:K1616,K1616,$L$1:L1616,L1616),COUNTIFS($H$1:H1616,$H1616,$I$1:I1616,$I1616,$J$1:J1616,$J1616,$K$1:K1616,K1616,$L$1:L1616,L1616)))</f>
        <v>004</v>
      </c>
      <c r="N161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16" s="14" t="e">
        <f>+LEN(Table4[[#This Row],[New Item Code]])</f>
        <v>#N/A</v>
      </c>
      <c r="P1616" s="15" t="s">
        <v>4747</v>
      </c>
      <c r="Q1616" s="15" t="s">
        <v>4749</v>
      </c>
      <c r="R1616" s="15"/>
      <c r="S1616" s="15"/>
      <c r="T1616" s="15" t="s">
        <v>4830</v>
      </c>
    </row>
    <row r="1617" spans="1:20" x14ac:dyDescent="0.35">
      <c r="A1617" s="3" t="s">
        <v>3216</v>
      </c>
      <c r="B1617" s="3" t="s">
        <v>3217</v>
      </c>
      <c r="C1617" s="3" t="s">
        <v>56</v>
      </c>
      <c r="D1617" s="3">
        <v>450</v>
      </c>
      <c r="E1617" s="3" t="s">
        <v>10</v>
      </c>
      <c r="F1617" s="3">
        <v>0</v>
      </c>
      <c r="G1617" s="21">
        <f>Table4[[#This Row],[Item Cost]]*Table4[[#This Row],[In Stock]]</f>
        <v>0</v>
      </c>
      <c r="H1617" s="12" t="s">
        <v>4661</v>
      </c>
      <c r="I1617" s="13" t="s">
        <v>4668</v>
      </c>
      <c r="J1617" s="13" t="s">
        <v>4715</v>
      </c>
      <c r="K1617" s="13" t="s">
        <v>4672</v>
      </c>
      <c r="L1617" s="12" t="s">
        <v>4672</v>
      </c>
      <c r="M1617" s="17" t="str">
        <f>IF(LEN(COUNTIFS($H$1:H1617,$H1617,$I$1:I1617,$I1617,$J$1:J1617,$J1617,$K$1:K1617,K1617,$L$1:L1617,L1617))=1,"00"&amp;COUNTIFS($H$1:H1617,$H1617,$I$1:I1617,$I1617,$J$1:J1617,$J1617,$K$1:K1617,K1617,$L$1:L1617,L1617),IF(LEN(COUNTIFS($H$1:H1617,$H1617,$I$1:I1617,$I1617,$J$1:J1617,$J1617,$K$1:K1617,K1617,$L$1:L1617,L1617))=2,"0"&amp;COUNTIFS($H$1:H1617,$H1617,$I$1:I1617,$I1617,$J$1:J1617,$J1617,$K$1:K1617,K1617,$L$1:L1617,L1617),COUNTIFS($H$1:H1617,$H1617,$I$1:I1617,$I1617,$J$1:J1617,$J1617,$K$1:K1617,K1617,$L$1:L1617,L1617)))</f>
        <v>005</v>
      </c>
      <c r="N161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17" s="14" t="e">
        <f>+LEN(Table4[[#This Row],[New Item Code]])</f>
        <v>#N/A</v>
      </c>
      <c r="P1617" s="15" t="s">
        <v>4747</v>
      </c>
      <c r="Q1617" s="15" t="s">
        <v>4749</v>
      </c>
      <c r="R1617" s="15"/>
      <c r="S1617" s="15"/>
      <c r="T1617" s="15" t="s">
        <v>4830</v>
      </c>
    </row>
    <row r="1618" spans="1:20" x14ac:dyDescent="0.35">
      <c r="A1618" s="2" t="s">
        <v>3218</v>
      </c>
      <c r="B1618" s="2" t="s">
        <v>908</v>
      </c>
      <c r="C1618" s="2" t="s">
        <v>56</v>
      </c>
      <c r="D1618" s="2">
        <v>130</v>
      </c>
      <c r="E1618" s="2" t="s">
        <v>10</v>
      </c>
      <c r="F1618" s="2">
        <v>0</v>
      </c>
      <c r="G1618" s="22">
        <f>Table4[[#This Row],[Item Cost]]*Table4[[#This Row],[In Stock]]</f>
        <v>0</v>
      </c>
      <c r="H1618" s="12" t="s">
        <v>4661</v>
      </c>
      <c r="I1618" s="13" t="s">
        <v>4668</v>
      </c>
      <c r="J1618" s="13" t="s">
        <v>4715</v>
      </c>
      <c r="K1618" s="13" t="s">
        <v>4672</v>
      </c>
      <c r="L1618" s="12" t="s">
        <v>4672</v>
      </c>
      <c r="M1618" s="17" t="str">
        <f>IF(LEN(COUNTIFS($H$1:H1618,$H1618,$I$1:I1618,$I1618,$J$1:J1618,$J1618,$K$1:K1618,K1618,$L$1:L1618,L1618))=1,"00"&amp;COUNTIFS($H$1:H1618,$H1618,$I$1:I1618,$I1618,$J$1:J1618,$J1618,$K$1:K1618,K1618,$L$1:L1618,L1618),IF(LEN(COUNTIFS($H$1:H1618,$H1618,$I$1:I1618,$I1618,$J$1:J1618,$J1618,$K$1:K1618,K1618,$L$1:L1618,L1618))=2,"0"&amp;COUNTIFS($H$1:H1618,$H1618,$I$1:I1618,$I1618,$J$1:J1618,$J1618,$K$1:K1618,K1618,$L$1:L1618,L1618),COUNTIFS($H$1:H1618,$H1618,$I$1:I1618,$I1618,$J$1:J1618,$J1618,$K$1:K1618,K1618,$L$1:L1618,L1618)))</f>
        <v>006</v>
      </c>
      <c r="N161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18" s="14" t="e">
        <f>+LEN(Table4[[#This Row],[New Item Code]])</f>
        <v>#N/A</v>
      </c>
      <c r="P1618" s="15" t="s">
        <v>4747</v>
      </c>
      <c r="Q1618" s="15" t="s">
        <v>4749</v>
      </c>
      <c r="R1618" s="15"/>
      <c r="S1618" s="15"/>
      <c r="T1618" s="15" t="s">
        <v>4830</v>
      </c>
    </row>
    <row r="1619" spans="1:20" x14ac:dyDescent="0.35">
      <c r="A1619" s="3" t="s">
        <v>3219</v>
      </c>
      <c r="B1619" s="3" t="s">
        <v>910</v>
      </c>
      <c r="C1619" s="3" t="s">
        <v>56</v>
      </c>
      <c r="D1619" s="3">
        <v>0</v>
      </c>
      <c r="E1619" s="3" t="s">
        <v>10</v>
      </c>
      <c r="F1619" s="3">
        <v>0</v>
      </c>
      <c r="G1619" s="21">
        <f>Table4[[#This Row],[Item Cost]]*Table4[[#This Row],[In Stock]]</f>
        <v>0</v>
      </c>
      <c r="H1619" s="12" t="s">
        <v>4661</v>
      </c>
      <c r="I1619" s="13" t="s">
        <v>4668</v>
      </c>
      <c r="J1619" s="13" t="s">
        <v>4715</v>
      </c>
      <c r="K1619" s="13" t="s">
        <v>4672</v>
      </c>
      <c r="L1619" s="12" t="s">
        <v>4672</v>
      </c>
      <c r="M1619" s="17" t="str">
        <f>IF(LEN(COUNTIFS($H$1:H1619,$H1619,$I$1:I1619,$I1619,$J$1:J1619,$J1619,$K$1:K1619,K1619,$L$1:L1619,L1619))=1,"00"&amp;COUNTIFS($H$1:H1619,$H1619,$I$1:I1619,$I1619,$J$1:J1619,$J1619,$K$1:K1619,K1619,$L$1:L1619,L1619),IF(LEN(COUNTIFS($H$1:H1619,$H1619,$I$1:I1619,$I1619,$J$1:J1619,$J1619,$K$1:K1619,K1619,$L$1:L1619,L1619))=2,"0"&amp;COUNTIFS($H$1:H1619,$H1619,$I$1:I1619,$I1619,$J$1:J1619,$J1619,$K$1:K1619,K1619,$L$1:L1619,L1619),COUNTIFS($H$1:H1619,$H1619,$I$1:I1619,$I1619,$J$1:J1619,$J1619,$K$1:K1619,K1619,$L$1:L1619,L1619)))</f>
        <v>007</v>
      </c>
      <c r="N161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19" s="14" t="e">
        <f>+LEN(Table4[[#This Row],[New Item Code]])</f>
        <v>#N/A</v>
      </c>
      <c r="P1619" s="15" t="s">
        <v>4747</v>
      </c>
      <c r="Q1619" s="15" t="s">
        <v>4749</v>
      </c>
      <c r="R1619" s="15"/>
      <c r="S1619" s="15"/>
      <c r="T1619" s="15" t="s">
        <v>4830</v>
      </c>
    </row>
    <row r="1620" spans="1:20" x14ac:dyDescent="0.35">
      <c r="A1620" s="2" t="s">
        <v>3220</v>
      </c>
      <c r="B1620" s="2" t="s">
        <v>3221</v>
      </c>
      <c r="C1620" s="2" t="s">
        <v>56</v>
      </c>
      <c r="D1620" s="2">
        <v>0</v>
      </c>
      <c r="E1620" s="2" t="s">
        <v>10</v>
      </c>
      <c r="F1620" s="2">
        <v>0</v>
      </c>
      <c r="G1620" s="22">
        <f>Table4[[#This Row],[Item Cost]]*Table4[[#This Row],[In Stock]]</f>
        <v>0</v>
      </c>
      <c r="H1620" s="12" t="s">
        <v>4661</v>
      </c>
      <c r="I1620" s="13" t="s">
        <v>4668</v>
      </c>
      <c r="J1620" s="13" t="s">
        <v>4715</v>
      </c>
      <c r="K1620" s="13" t="s">
        <v>4672</v>
      </c>
      <c r="L1620" s="12" t="s">
        <v>4672</v>
      </c>
      <c r="M1620" s="17" t="str">
        <f>IF(LEN(COUNTIFS($H$1:H1620,$H1620,$I$1:I1620,$I1620,$J$1:J1620,$J1620,$K$1:K1620,K1620,$L$1:L1620,L1620))=1,"00"&amp;COUNTIFS($H$1:H1620,$H1620,$I$1:I1620,$I1620,$J$1:J1620,$J1620,$K$1:K1620,K1620,$L$1:L1620,L1620),IF(LEN(COUNTIFS($H$1:H1620,$H1620,$I$1:I1620,$I1620,$J$1:J1620,$J1620,$K$1:K1620,K1620,$L$1:L1620,L1620))=2,"0"&amp;COUNTIFS($H$1:H1620,$H1620,$I$1:I1620,$I1620,$J$1:J1620,$J1620,$K$1:K1620,K1620,$L$1:L1620,L1620),COUNTIFS($H$1:H1620,$H1620,$I$1:I1620,$I1620,$J$1:J1620,$J1620,$K$1:K1620,K1620,$L$1:L1620,L1620)))</f>
        <v>008</v>
      </c>
      <c r="N162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20" s="14" t="e">
        <f>+LEN(Table4[[#This Row],[New Item Code]])</f>
        <v>#N/A</v>
      </c>
      <c r="P1620" s="15" t="s">
        <v>4747</v>
      </c>
      <c r="Q1620" s="15" t="s">
        <v>4749</v>
      </c>
      <c r="R1620" s="15"/>
      <c r="S1620" s="15"/>
      <c r="T1620" s="15" t="s">
        <v>4830</v>
      </c>
    </row>
    <row r="1621" spans="1:20" x14ac:dyDescent="0.35">
      <c r="A1621" s="3" t="s">
        <v>3222</v>
      </c>
      <c r="B1621" s="3" t="s">
        <v>3223</v>
      </c>
      <c r="C1621" s="3" t="s">
        <v>56</v>
      </c>
      <c r="D1621" s="3">
        <v>0</v>
      </c>
      <c r="E1621" s="3" t="s">
        <v>10</v>
      </c>
      <c r="F1621" s="3">
        <v>0</v>
      </c>
      <c r="G1621" s="21">
        <f>Table4[[#This Row],[Item Cost]]*Table4[[#This Row],[In Stock]]</f>
        <v>0</v>
      </c>
      <c r="H1621" s="12" t="s">
        <v>4661</v>
      </c>
      <c r="I1621" s="13" t="s">
        <v>4668</v>
      </c>
      <c r="J1621" s="13" t="s">
        <v>4715</v>
      </c>
      <c r="K1621" s="13" t="s">
        <v>4672</v>
      </c>
      <c r="L1621" s="12" t="s">
        <v>4672</v>
      </c>
      <c r="M1621" s="17" t="str">
        <f>IF(LEN(COUNTIFS($H$1:H1621,$H1621,$I$1:I1621,$I1621,$J$1:J1621,$J1621,$K$1:K1621,K1621,$L$1:L1621,L1621))=1,"00"&amp;COUNTIFS($H$1:H1621,$H1621,$I$1:I1621,$I1621,$J$1:J1621,$J1621,$K$1:K1621,K1621,$L$1:L1621,L1621),IF(LEN(COUNTIFS($H$1:H1621,$H1621,$I$1:I1621,$I1621,$J$1:J1621,$J1621,$K$1:K1621,K1621,$L$1:L1621,L1621))=2,"0"&amp;COUNTIFS($H$1:H1621,$H1621,$I$1:I1621,$I1621,$J$1:J1621,$J1621,$K$1:K1621,K1621,$L$1:L1621,L1621),COUNTIFS($H$1:H1621,$H1621,$I$1:I1621,$I1621,$J$1:J1621,$J1621,$K$1:K1621,K1621,$L$1:L1621,L1621)))</f>
        <v>009</v>
      </c>
      <c r="N162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21" s="14" t="e">
        <f>+LEN(Table4[[#This Row],[New Item Code]])</f>
        <v>#N/A</v>
      </c>
      <c r="P1621" s="15" t="s">
        <v>4747</v>
      </c>
      <c r="Q1621" s="15" t="s">
        <v>4749</v>
      </c>
      <c r="R1621" s="15"/>
      <c r="S1621" s="15"/>
      <c r="T1621" s="15" t="s">
        <v>4830</v>
      </c>
    </row>
    <row r="1622" spans="1:20" x14ac:dyDescent="0.35">
      <c r="A1622" s="2" t="s">
        <v>3224</v>
      </c>
      <c r="B1622" s="2" t="s">
        <v>916</v>
      </c>
      <c r="C1622" s="2" t="s">
        <v>56</v>
      </c>
      <c r="D1622" s="2">
        <v>0</v>
      </c>
      <c r="E1622" s="2" t="s">
        <v>10</v>
      </c>
      <c r="F1622" s="2">
        <v>0</v>
      </c>
      <c r="G1622" s="22">
        <f>Table4[[#This Row],[Item Cost]]*Table4[[#This Row],[In Stock]]</f>
        <v>0</v>
      </c>
      <c r="H1622" s="12" t="s">
        <v>4661</v>
      </c>
      <c r="I1622" s="13" t="s">
        <v>4668</v>
      </c>
      <c r="J1622" s="13" t="s">
        <v>4715</v>
      </c>
      <c r="K1622" s="13" t="s">
        <v>4672</v>
      </c>
      <c r="L1622" s="12" t="s">
        <v>4672</v>
      </c>
      <c r="M1622" s="17" t="str">
        <f>IF(LEN(COUNTIFS($H$1:H1622,$H1622,$I$1:I1622,$I1622,$J$1:J1622,$J1622,$K$1:K1622,K1622,$L$1:L1622,L1622))=1,"00"&amp;COUNTIFS($H$1:H1622,$H1622,$I$1:I1622,$I1622,$J$1:J1622,$J1622,$K$1:K1622,K1622,$L$1:L1622,L1622),IF(LEN(COUNTIFS($H$1:H1622,$H1622,$I$1:I1622,$I1622,$J$1:J1622,$J1622,$K$1:K1622,K1622,$L$1:L1622,L1622))=2,"0"&amp;COUNTIFS($H$1:H1622,$H1622,$I$1:I1622,$I1622,$J$1:J1622,$J1622,$K$1:K1622,K1622,$L$1:L1622,L1622),COUNTIFS($H$1:H1622,$H1622,$I$1:I1622,$I1622,$J$1:J1622,$J1622,$K$1:K1622,K1622,$L$1:L1622,L1622)))</f>
        <v>010</v>
      </c>
      <c r="N162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22" s="14" t="e">
        <f>+LEN(Table4[[#This Row],[New Item Code]])</f>
        <v>#N/A</v>
      </c>
      <c r="P1622" s="15" t="s">
        <v>4747</v>
      </c>
      <c r="Q1622" s="15" t="s">
        <v>4749</v>
      </c>
      <c r="R1622" s="15"/>
      <c r="S1622" s="15"/>
      <c r="T1622" s="15" t="s">
        <v>4830</v>
      </c>
    </row>
    <row r="1623" spans="1:20" x14ac:dyDescent="0.35">
      <c r="A1623" s="3" t="s">
        <v>3225</v>
      </c>
      <c r="B1623" s="3" t="s">
        <v>3226</v>
      </c>
      <c r="C1623" s="3" t="s">
        <v>56</v>
      </c>
      <c r="D1623" s="3">
        <v>0</v>
      </c>
      <c r="E1623" s="3" t="s">
        <v>10</v>
      </c>
      <c r="F1623" s="3">
        <v>0</v>
      </c>
      <c r="G1623" s="21">
        <f>Table4[[#This Row],[Item Cost]]*Table4[[#This Row],[In Stock]]</f>
        <v>0</v>
      </c>
      <c r="H1623" s="12" t="s">
        <v>4661</v>
      </c>
      <c r="I1623" s="13" t="s">
        <v>4668</v>
      </c>
      <c r="J1623" s="13" t="s">
        <v>4715</v>
      </c>
      <c r="K1623" s="13" t="s">
        <v>4672</v>
      </c>
      <c r="L1623" s="12" t="s">
        <v>4672</v>
      </c>
      <c r="M1623" s="17" t="str">
        <f>IF(LEN(COUNTIFS($H$1:H1623,$H1623,$I$1:I1623,$I1623,$J$1:J1623,$J1623,$K$1:K1623,K1623,$L$1:L1623,L1623))=1,"00"&amp;COUNTIFS($H$1:H1623,$H1623,$I$1:I1623,$I1623,$J$1:J1623,$J1623,$K$1:K1623,K1623,$L$1:L1623,L1623),IF(LEN(COUNTIFS($H$1:H1623,$H1623,$I$1:I1623,$I1623,$J$1:J1623,$J1623,$K$1:K1623,K1623,$L$1:L1623,L1623))=2,"0"&amp;COUNTIFS($H$1:H1623,$H1623,$I$1:I1623,$I1623,$J$1:J1623,$J1623,$K$1:K1623,K1623,$L$1:L1623,L1623),COUNTIFS($H$1:H1623,$H1623,$I$1:I1623,$I1623,$J$1:J1623,$J1623,$K$1:K1623,K1623,$L$1:L1623,L1623)))</f>
        <v>011</v>
      </c>
      <c r="N162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23" s="14" t="e">
        <f>+LEN(Table4[[#This Row],[New Item Code]])</f>
        <v>#N/A</v>
      </c>
      <c r="P1623" s="15" t="s">
        <v>4747</v>
      </c>
      <c r="Q1623" s="15" t="s">
        <v>4749</v>
      </c>
      <c r="R1623" s="15"/>
      <c r="S1623" s="15"/>
      <c r="T1623" s="15" t="s">
        <v>4830</v>
      </c>
    </row>
    <row r="1624" spans="1:20" x14ac:dyDescent="0.35">
      <c r="A1624" s="2" t="s">
        <v>3227</v>
      </c>
      <c r="B1624" s="2" t="s">
        <v>3228</v>
      </c>
      <c r="C1624" s="2" t="s">
        <v>56</v>
      </c>
      <c r="D1624" s="2">
        <v>30</v>
      </c>
      <c r="E1624" s="2" t="s">
        <v>10</v>
      </c>
      <c r="F1624" s="2">
        <v>0</v>
      </c>
      <c r="G1624" s="22">
        <f>Table4[[#This Row],[Item Cost]]*Table4[[#This Row],[In Stock]]</f>
        <v>0</v>
      </c>
      <c r="H1624" s="12" t="s">
        <v>4661</v>
      </c>
      <c r="I1624" s="13" t="s">
        <v>4668</v>
      </c>
      <c r="J1624" s="13" t="s">
        <v>4715</v>
      </c>
      <c r="K1624" s="13" t="s">
        <v>4672</v>
      </c>
      <c r="L1624" s="12" t="s">
        <v>4672</v>
      </c>
      <c r="M1624" s="17" t="str">
        <f>IF(LEN(COUNTIFS($H$1:H1624,$H1624,$I$1:I1624,$I1624,$J$1:J1624,$J1624,$K$1:K1624,K1624,$L$1:L1624,L1624))=1,"00"&amp;COUNTIFS($H$1:H1624,$H1624,$I$1:I1624,$I1624,$J$1:J1624,$J1624,$K$1:K1624,K1624,$L$1:L1624,L1624),IF(LEN(COUNTIFS($H$1:H1624,$H1624,$I$1:I1624,$I1624,$J$1:J1624,$J1624,$K$1:K1624,K1624,$L$1:L1624,L1624))=2,"0"&amp;COUNTIFS($H$1:H1624,$H1624,$I$1:I1624,$I1624,$J$1:J1624,$J1624,$K$1:K1624,K1624,$L$1:L1624,L1624),COUNTIFS($H$1:H1624,$H1624,$I$1:I1624,$I1624,$J$1:J1624,$J1624,$K$1:K1624,K1624,$L$1:L1624,L1624)))</f>
        <v>012</v>
      </c>
      <c r="N162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24" s="14" t="e">
        <f>+LEN(Table4[[#This Row],[New Item Code]])</f>
        <v>#N/A</v>
      </c>
      <c r="P1624" s="15" t="s">
        <v>4747</v>
      </c>
      <c r="Q1624" s="15" t="s">
        <v>4749</v>
      </c>
      <c r="R1624" s="15"/>
      <c r="S1624" s="15"/>
      <c r="T1624" s="15" t="s">
        <v>4830</v>
      </c>
    </row>
    <row r="1625" spans="1:20" x14ac:dyDescent="0.35">
      <c r="A1625" s="3" t="s">
        <v>3229</v>
      </c>
      <c r="B1625" s="3" t="s">
        <v>3230</v>
      </c>
      <c r="C1625" s="3" t="s">
        <v>56</v>
      </c>
      <c r="D1625" s="3">
        <v>0.95</v>
      </c>
      <c r="E1625" s="3" t="s">
        <v>10</v>
      </c>
      <c r="F1625" s="3">
        <v>0</v>
      </c>
      <c r="G1625" s="21">
        <f>Table4[[#This Row],[Item Cost]]*Table4[[#This Row],[In Stock]]</f>
        <v>0</v>
      </c>
      <c r="H1625" s="12" t="s">
        <v>4661</v>
      </c>
      <c r="I1625" s="13" t="s">
        <v>4668</v>
      </c>
      <c r="J1625" s="13" t="s">
        <v>4715</v>
      </c>
      <c r="K1625" s="13" t="s">
        <v>4672</v>
      </c>
      <c r="L1625" s="12" t="s">
        <v>4672</v>
      </c>
      <c r="M1625" s="17" t="str">
        <f>IF(LEN(COUNTIFS($H$1:H1625,$H1625,$I$1:I1625,$I1625,$J$1:J1625,$J1625,$K$1:K1625,K1625,$L$1:L1625,L1625))=1,"00"&amp;COUNTIFS($H$1:H1625,$H1625,$I$1:I1625,$I1625,$J$1:J1625,$J1625,$K$1:K1625,K1625,$L$1:L1625,L1625),IF(LEN(COUNTIFS($H$1:H1625,$H1625,$I$1:I1625,$I1625,$J$1:J1625,$J1625,$K$1:K1625,K1625,$L$1:L1625,L1625))=2,"0"&amp;COUNTIFS($H$1:H1625,$H1625,$I$1:I1625,$I1625,$J$1:J1625,$J1625,$K$1:K1625,K1625,$L$1:L1625,L1625),COUNTIFS($H$1:H1625,$H1625,$I$1:I1625,$I1625,$J$1:J1625,$J1625,$K$1:K1625,K1625,$L$1:L1625,L1625)))</f>
        <v>013</v>
      </c>
      <c r="N162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25" s="14" t="e">
        <f>+LEN(Table4[[#This Row],[New Item Code]])</f>
        <v>#N/A</v>
      </c>
      <c r="P1625" s="15" t="s">
        <v>4747</v>
      </c>
      <c r="Q1625" s="15" t="s">
        <v>4749</v>
      </c>
      <c r="R1625" s="15"/>
      <c r="S1625" s="15"/>
      <c r="T1625" s="15" t="s">
        <v>4830</v>
      </c>
    </row>
    <row r="1626" spans="1:20" x14ac:dyDescent="0.35">
      <c r="A1626" s="2" t="s">
        <v>3231</v>
      </c>
      <c r="B1626" s="2" t="s">
        <v>3232</v>
      </c>
      <c r="C1626" s="2" t="s">
        <v>56</v>
      </c>
      <c r="D1626" s="2">
        <v>299.43</v>
      </c>
      <c r="E1626" s="2" t="s">
        <v>10</v>
      </c>
      <c r="F1626" s="2">
        <v>4</v>
      </c>
      <c r="G1626" s="22">
        <f>Table4[[#This Row],[Item Cost]]*Table4[[#This Row],[In Stock]]</f>
        <v>1197.72</v>
      </c>
      <c r="H1626" s="12" t="s">
        <v>4661</v>
      </c>
      <c r="I1626" s="13" t="s">
        <v>4668</v>
      </c>
      <c r="J1626" s="13" t="s">
        <v>4715</v>
      </c>
      <c r="K1626" s="13" t="s">
        <v>4672</v>
      </c>
      <c r="L1626" s="12" t="s">
        <v>4672</v>
      </c>
      <c r="M1626" s="17" t="str">
        <f>IF(LEN(COUNTIFS($H$1:H1626,$H1626,$I$1:I1626,$I1626,$J$1:J1626,$J1626,$K$1:K1626,K1626,$L$1:L1626,L1626))=1,"00"&amp;COUNTIFS($H$1:H1626,$H1626,$I$1:I1626,$I1626,$J$1:J1626,$J1626,$K$1:K1626,K1626,$L$1:L1626,L1626),IF(LEN(COUNTIFS($H$1:H1626,$H1626,$I$1:I1626,$I1626,$J$1:J1626,$J1626,$K$1:K1626,K1626,$L$1:L1626,L1626))=2,"0"&amp;COUNTIFS($H$1:H1626,$H1626,$I$1:I1626,$I1626,$J$1:J1626,$J1626,$K$1:K1626,K1626,$L$1:L1626,L1626),COUNTIFS($H$1:H1626,$H1626,$I$1:I1626,$I1626,$J$1:J1626,$J1626,$K$1:K1626,K1626,$L$1:L1626,L1626)))</f>
        <v>014</v>
      </c>
      <c r="N162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26" s="14" t="e">
        <f>+LEN(Table4[[#This Row],[New Item Code]])</f>
        <v>#N/A</v>
      </c>
      <c r="P1626" s="15" t="s">
        <v>4747</v>
      </c>
      <c r="Q1626" s="15" t="s">
        <v>4749</v>
      </c>
      <c r="R1626" s="15"/>
      <c r="S1626" s="15"/>
      <c r="T1626" s="15" t="s">
        <v>4830</v>
      </c>
    </row>
    <row r="1627" spans="1:20" x14ac:dyDescent="0.35">
      <c r="A1627" s="3" t="s">
        <v>3233</v>
      </c>
      <c r="B1627" s="3" t="s">
        <v>3234</v>
      </c>
      <c r="C1627" s="3" t="s">
        <v>9</v>
      </c>
      <c r="D1627" s="5">
        <v>10200</v>
      </c>
      <c r="E1627" s="3" t="s">
        <v>10</v>
      </c>
      <c r="F1627" s="3">
        <v>1</v>
      </c>
      <c r="G1627" s="21">
        <f>Table4[[#This Row],[Item Cost]]*Table4[[#This Row],[In Stock]]</f>
        <v>10200</v>
      </c>
      <c r="H1627" s="12" t="s">
        <v>4661</v>
      </c>
      <c r="I1627" s="13" t="s">
        <v>4664</v>
      </c>
      <c r="J1627" s="13" t="s">
        <v>4715</v>
      </c>
      <c r="K1627" s="13" t="s">
        <v>4672</v>
      </c>
      <c r="L1627" s="12" t="s">
        <v>4672</v>
      </c>
      <c r="M1627" s="17" t="str">
        <f>IF(LEN(COUNTIFS($H$1:H1627,$H1627,$I$1:I1627,$I1627,$J$1:J1627,$J1627,$K$1:K1627,K1627,$L$1:L1627,L1627))=1,"00"&amp;COUNTIFS($H$1:H1627,$H1627,$I$1:I1627,$I1627,$J$1:J1627,$J1627,$K$1:K1627,K1627,$L$1:L1627,L1627),IF(LEN(COUNTIFS($H$1:H1627,$H1627,$I$1:I1627,$I1627,$J$1:J1627,$J1627,$K$1:K1627,K1627,$L$1:L1627,L1627))=2,"0"&amp;COUNTIFS($H$1:H1627,$H1627,$I$1:I1627,$I1627,$J$1:J1627,$J1627,$K$1:K1627,K1627,$L$1:L1627,L1627),COUNTIFS($H$1:H1627,$H1627,$I$1:I1627,$I1627,$J$1:J1627,$J1627,$K$1:K1627,K1627,$L$1:L1627,L1627)))</f>
        <v>001</v>
      </c>
      <c r="N162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27" s="14" t="e">
        <f>+LEN(Table4[[#This Row],[New Item Code]])</f>
        <v>#N/A</v>
      </c>
      <c r="P1627" s="15" t="s">
        <v>4747</v>
      </c>
      <c r="Q1627" s="15" t="s">
        <v>4749</v>
      </c>
      <c r="R1627" s="15"/>
      <c r="S1627" s="15"/>
      <c r="T1627" s="15" t="s">
        <v>4830</v>
      </c>
    </row>
    <row r="1628" spans="1:20" x14ac:dyDescent="0.35">
      <c r="A1628" s="2" t="s">
        <v>3235</v>
      </c>
      <c r="B1628" s="2" t="s">
        <v>3236</v>
      </c>
      <c r="C1628" s="2" t="s">
        <v>56</v>
      </c>
      <c r="D1628" s="2">
        <v>0</v>
      </c>
      <c r="E1628" s="2" t="s">
        <v>10</v>
      </c>
      <c r="F1628" s="2">
        <v>0</v>
      </c>
      <c r="G1628" s="22">
        <f>Table4[[#This Row],[Item Cost]]*Table4[[#This Row],[In Stock]]</f>
        <v>0</v>
      </c>
      <c r="H1628" s="12" t="s">
        <v>4661</v>
      </c>
      <c r="I1628" s="13" t="s">
        <v>4668</v>
      </c>
      <c r="J1628" s="13" t="s">
        <v>4672</v>
      </c>
      <c r="K1628" s="13" t="s">
        <v>4672</v>
      </c>
      <c r="L1628" s="12" t="s">
        <v>4672</v>
      </c>
      <c r="M1628" s="17">
        <f>IF(LEN(COUNTIFS($H$1:H1628,$H1628,$I$1:I1628,$I1628,$J$1:J1628,$J1628,$K$1:K1628,K1628,$L$1:L1628,L1628))=1,"00"&amp;COUNTIFS($H$1:H1628,$H1628,$I$1:I1628,$I1628,$J$1:J1628,$J1628,$K$1:K1628,K1628,$L$1:L1628,L1628),IF(LEN(COUNTIFS($H$1:H1628,$H1628,$I$1:I1628,$I1628,$J$1:J1628,$J1628,$K$1:K1628,K1628,$L$1:L1628,L1628))=2,"0"&amp;COUNTIFS($H$1:H1628,$H1628,$I$1:I1628,$I1628,$J$1:J1628,$J1628,$K$1:K1628,K1628,$L$1:L1628,L1628),COUNTIFS($H$1:H1628,$H1628,$I$1:I1628,$I1628,$J$1:J1628,$J1628,$K$1:K1628,K1628,$L$1:L1628,L1628)))</f>
        <v>244</v>
      </c>
      <c r="N162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28" s="14" t="e">
        <f>+LEN(Table4[[#This Row],[New Item Code]])</f>
        <v>#N/A</v>
      </c>
      <c r="P1628" s="15" t="s">
        <v>4747</v>
      </c>
      <c r="Q1628" s="15" t="s">
        <v>4749</v>
      </c>
      <c r="R1628" s="15"/>
      <c r="S1628" s="15"/>
      <c r="T1628" s="15" t="s">
        <v>4672</v>
      </c>
    </row>
    <row r="1629" spans="1:20" x14ac:dyDescent="0.35">
      <c r="A1629" s="3" t="s">
        <v>3237</v>
      </c>
      <c r="B1629" s="3" t="s">
        <v>3238</v>
      </c>
      <c r="C1629" s="3" t="s">
        <v>56</v>
      </c>
      <c r="D1629" s="3">
        <v>0</v>
      </c>
      <c r="E1629" s="3" t="s">
        <v>10</v>
      </c>
      <c r="F1629" s="3">
        <v>0</v>
      </c>
      <c r="G1629" s="21">
        <f>Table4[[#This Row],[Item Cost]]*Table4[[#This Row],[In Stock]]</f>
        <v>0</v>
      </c>
      <c r="H1629" s="12" t="s">
        <v>4661</v>
      </c>
      <c r="I1629" s="13" t="s">
        <v>4668</v>
      </c>
      <c r="J1629" s="13" t="s">
        <v>4672</v>
      </c>
      <c r="K1629" s="13" t="s">
        <v>4672</v>
      </c>
      <c r="L1629" s="12" t="s">
        <v>4672</v>
      </c>
      <c r="M1629" s="17">
        <f>IF(LEN(COUNTIFS($H$1:H1629,$H1629,$I$1:I1629,$I1629,$J$1:J1629,$J1629,$K$1:K1629,K1629,$L$1:L1629,L1629))=1,"00"&amp;COUNTIFS($H$1:H1629,$H1629,$I$1:I1629,$I1629,$J$1:J1629,$J1629,$K$1:K1629,K1629,$L$1:L1629,L1629),IF(LEN(COUNTIFS($H$1:H1629,$H1629,$I$1:I1629,$I1629,$J$1:J1629,$J1629,$K$1:K1629,K1629,$L$1:L1629,L1629))=2,"0"&amp;COUNTIFS($H$1:H1629,$H1629,$I$1:I1629,$I1629,$J$1:J1629,$J1629,$K$1:K1629,K1629,$L$1:L1629,L1629),COUNTIFS($H$1:H1629,$H1629,$I$1:I1629,$I1629,$J$1:J1629,$J1629,$K$1:K1629,K1629,$L$1:L1629,L1629)))</f>
        <v>245</v>
      </c>
      <c r="N162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29" s="14" t="e">
        <f>+LEN(Table4[[#This Row],[New Item Code]])</f>
        <v>#N/A</v>
      </c>
      <c r="P1629" s="15" t="s">
        <v>4747</v>
      </c>
      <c r="Q1629" s="15" t="s">
        <v>4749</v>
      </c>
      <c r="R1629" s="15"/>
      <c r="S1629" s="15"/>
      <c r="T1629" s="15" t="s">
        <v>4672</v>
      </c>
    </row>
    <row r="1630" spans="1:20" x14ac:dyDescent="0.35">
      <c r="A1630" s="2" t="s">
        <v>3239</v>
      </c>
      <c r="B1630" s="2" t="s">
        <v>3240</v>
      </c>
      <c r="C1630" s="2" t="s">
        <v>56</v>
      </c>
      <c r="D1630" s="2">
        <v>0</v>
      </c>
      <c r="E1630" s="2" t="s">
        <v>10</v>
      </c>
      <c r="F1630" s="2">
        <v>0</v>
      </c>
      <c r="G1630" s="22">
        <f>Table4[[#This Row],[Item Cost]]*Table4[[#This Row],[In Stock]]</f>
        <v>0</v>
      </c>
      <c r="H1630" s="12" t="s">
        <v>4661</v>
      </c>
      <c r="I1630" s="13" t="s">
        <v>4668</v>
      </c>
      <c r="J1630" s="13" t="s">
        <v>4672</v>
      </c>
      <c r="K1630" s="13" t="s">
        <v>4672</v>
      </c>
      <c r="L1630" s="12" t="s">
        <v>4672</v>
      </c>
      <c r="M1630" s="17">
        <f>IF(LEN(COUNTIFS($H$1:H1630,$H1630,$I$1:I1630,$I1630,$J$1:J1630,$J1630,$K$1:K1630,K1630,$L$1:L1630,L1630))=1,"00"&amp;COUNTIFS($H$1:H1630,$H1630,$I$1:I1630,$I1630,$J$1:J1630,$J1630,$K$1:K1630,K1630,$L$1:L1630,L1630),IF(LEN(COUNTIFS($H$1:H1630,$H1630,$I$1:I1630,$I1630,$J$1:J1630,$J1630,$K$1:K1630,K1630,$L$1:L1630,L1630))=2,"0"&amp;COUNTIFS($H$1:H1630,$H1630,$I$1:I1630,$I1630,$J$1:J1630,$J1630,$K$1:K1630,K1630,$L$1:L1630,L1630),COUNTIFS($H$1:H1630,$H1630,$I$1:I1630,$I1630,$J$1:J1630,$J1630,$K$1:K1630,K1630,$L$1:L1630,L1630)))</f>
        <v>246</v>
      </c>
      <c r="N163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30" s="14" t="e">
        <f>+LEN(Table4[[#This Row],[New Item Code]])</f>
        <v>#N/A</v>
      </c>
      <c r="P1630" s="15" t="s">
        <v>4747</v>
      </c>
      <c r="Q1630" s="15" t="s">
        <v>4749</v>
      </c>
      <c r="R1630" s="15"/>
      <c r="S1630" s="15"/>
      <c r="T1630" s="15" t="s">
        <v>4672</v>
      </c>
    </row>
    <row r="1631" spans="1:20" x14ac:dyDescent="0.35">
      <c r="A1631" s="3" t="s">
        <v>3241</v>
      </c>
      <c r="B1631" s="3" t="s">
        <v>3242</v>
      </c>
      <c r="C1631" s="3" t="s">
        <v>56</v>
      </c>
      <c r="D1631" s="3">
        <v>0</v>
      </c>
      <c r="E1631" s="3" t="s">
        <v>10</v>
      </c>
      <c r="F1631" s="3">
        <v>0</v>
      </c>
      <c r="G1631" s="21">
        <f>Table4[[#This Row],[Item Cost]]*Table4[[#This Row],[In Stock]]</f>
        <v>0</v>
      </c>
      <c r="H1631" s="12" t="s">
        <v>4661</v>
      </c>
      <c r="I1631" s="13" t="s">
        <v>4668</v>
      </c>
      <c r="J1631" s="13" t="s">
        <v>4672</v>
      </c>
      <c r="K1631" s="13" t="s">
        <v>4672</v>
      </c>
      <c r="L1631" s="12" t="s">
        <v>4672</v>
      </c>
      <c r="M1631" s="17">
        <f>IF(LEN(COUNTIFS($H$1:H1631,$H1631,$I$1:I1631,$I1631,$J$1:J1631,$J1631,$K$1:K1631,K1631,$L$1:L1631,L1631))=1,"00"&amp;COUNTIFS($H$1:H1631,$H1631,$I$1:I1631,$I1631,$J$1:J1631,$J1631,$K$1:K1631,K1631,$L$1:L1631,L1631),IF(LEN(COUNTIFS($H$1:H1631,$H1631,$I$1:I1631,$I1631,$J$1:J1631,$J1631,$K$1:K1631,K1631,$L$1:L1631,L1631))=2,"0"&amp;COUNTIFS($H$1:H1631,$H1631,$I$1:I1631,$I1631,$J$1:J1631,$J1631,$K$1:K1631,K1631,$L$1:L1631,L1631),COUNTIFS($H$1:H1631,$H1631,$I$1:I1631,$I1631,$J$1:J1631,$J1631,$K$1:K1631,K1631,$L$1:L1631,L1631)))</f>
        <v>247</v>
      </c>
      <c r="N163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31" s="14" t="e">
        <f>+LEN(Table4[[#This Row],[New Item Code]])</f>
        <v>#N/A</v>
      </c>
      <c r="P1631" s="15" t="s">
        <v>4747</v>
      </c>
      <c r="Q1631" s="15" t="s">
        <v>4749</v>
      </c>
      <c r="R1631" s="15"/>
      <c r="S1631" s="15"/>
      <c r="T1631" s="15" t="s">
        <v>4672</v>
      </c>
    </row>
    <row r="1632" spans="1:20" x14ac:dyDescent="0.35">
      <c r="A1632" s="2" t="s">
        <v>3243</v>
      </c>
      <c r="B1632" s="2" t="s">
        <v>3244</v>
      </c>
      <c r="C1632" s="2" t="s">
        <v>56</v>
      </c>
      <c r="D1632" s="2">
        <v>0</v>
      </c>
      <c r="E1632" s="2" t="s">
        <v>10</v>
      </c>
      <c r="F1632" s="2">
        <v>0</v>
      </c>
      <c r="G1632" s="22">
        <f>Table4[[#This Row],[Item Cost]]*Table4[[#This Row],[In Stock]]</f>
        <v>0</v>
      </c>
      <c r="H1632" s="12" t="s">
        <v>4661</v>
      </c>
      <c r="I1632" s="13" t="s">
        <v>4668</v>
      </c>
      <c r="J1632" s="13" t="s">
        <v>4672</v>
      </c>
      <c r="K1632" s="13" t="s">
        <v>4672</v>
      </c>
      <c r="L1632" s="12" t="s">
        <v>4672</v>
      </c>
      <c r="M1632" s="17">
        <f>IF(LEN(COUNTIFS($H$1:H1632,$H1632,$I$1:I1632,$I1632,$J$1:J1632,$J1632,$K$1:K1632,K1632,$L$1:L1632,L1632))=1,"00"&amp;COUNTIFS($H$1:H1632,$H1632,$I$1:I1632,$I1632,$J$1:J1632,$J1632,$K$1:K1632,K1632,$L$1:L1632,L1632),IF(LEN(COUNTIFS($H$1:H1632,$H1632,$I$1:I1632,$I1632,$J$1:J1632,$J1632,$K$1:K1632,K1632,$L$1:L1632,L1632))=2,"0"&amp;COUNTIFS($H$1:H1632,$H1632,$I$1:I1632,$I1632,$J$1:J1632,$J1632,$K$1:K1632,K1632,$L$1:L1632,L1632),COUNTIFS($H$1:H1632,$H1632,$I$1:I1632,$I1632,$J$1:J1632,$J1632,$K$1:K1632,K1632,$L$1:L1632,L1632)))</f>
        <v>248</v>
      </c>
      <c r="N163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32" s="14" t="e">
        <f>+LEN(Table4[[#This Row],[New Item Code]])</f>
        <v>#N/A</v>
      </c>
      <c r="P1632" s="15" t="s">
        <v>4747</v>
      </c>
      <c r="Q1632" s="15" t="s">
        <v>4749</v>
      </c>
      <c r="R1632" s="15"/>
      <c r="S1632" s="15"/>
      <c r="T1632" s="15" t="s">
        <v>4672</v>
      </c>
    </row>
    <row r="1633" spans="1:20" x14ac:dyDescent="0.35">
      <c r="A1633" s="3" t="s">
        <v>3245</v>
      </c>
      <c r="B1633" s="3" t="s">
        <v>3246</v>
      </c>
      <c r="C1633" s="3" t="s">
        <v>56</v>
      </c>
      <c r="D1633" s="3">
        <v>0</v>
      </c>
      <c r="E1633" s="3" t="s">
        <v>10</v>
      </c>
      <c r="F1633" s="3">
        <v>0</v>
      </c>
      <c r="G1633" s="21">
        <f>Table4[[#This Row],[Item Cost]]*Table4[[#This Row],[In Stock]]</f>
        <v>0</v>
      </c>
      <c r="H1633" s="12" t="s">
        <v>4661</v>
      </c>
      <c r="I1633" s="13" t="s">
        <v>4668</v>
      </c>
      <c r="J1633" s="13" t="s">
        <v>4672</v>
      </c>
      <c r="K1633" s="13" t="s">
        <v>4672</v>
      </c>
      <c r="L1633" s="12" t="s">
        <v>4672</v>
      </c>
      <c r="M1633" s="17">
        <f>IF(LEN(COUNTIFS($H$1:H1633,$H1633,$I$1:I1633,$I1633,$J$1:J1633,$J1633,$K$1:K1633,K1633,$L$1:L1633,L1633))=1,"00"&amp;COUNTIFS($H$1:H1633,$H1633,$I$1:I1633,$I1633,$J$1:J1633,$J1633,$K$1:K1633,K1633,$L$1:L1633,L1633),IF(LEN(COUNTIFS($H$1:H1633,$H1633,$I$1:I1633,$I1633,$J$1:J1633,$J1633,$K$1:K1633,K1633,$L$1:L1633,L1633))=2,"0"&amp;COUNTIFS($H$1:H1633,$H1633,$I$1:I1633,$I1633,$J$1:J1633,$J1633,$K$1:K1633,K1633,$L$1:L1633,L1633),COUNTIFS($H$1:H1633,$H1633,$I$1:I1633,$I1633,$J$1:J1633,$J1633,$K$1:K1633,K1633,$L$1:L1633,L1633)))</f>
        <v>249</v>
      </c>
      <c r="N163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33" s="14" t="e">
        <f>+LEN(Table4[[#This Row],[New Item Code]])</f>
        <v>#N/A</v>
      </c>
      <c r="P1633" s="15" t="s">
        <v>4747</v>
      </c>
      <c r="Q1633" s="15" t="s">
        <v>4749</v>
      </c>
      <c r="R1633" s="15"/>
      <c r="S1633" s="15"/>
      <c r="T1633" s="15" t="s">
        <v>4672</v>
      </c>
    </row>
    <row r="1634" spans="1:20" x14ac:dyDescent="0.35">
      <c r="A1634" s="2" t="s">
        <v>3247</v>
      </c>
      <c r="B1634" s="2" t="s">
        <v>3248</v>
      </c>
      <c r="C1634" s="2" t="s">
        <v>56</v>
      </c>
      <c r="D1634" s="2">
        <v>18</v>
      </c>
      <c r="E1634" s="2" t="s">
        <v>10</v>
      </c>
      <c r="F1634" s="2">
        <v>30</v>
      </c>
      <c r="G1634" s="22">
        <f>Table4[[#This Row],[Item Cost]]*Table4[[#This Row],[In Stock]]</f>
        <v>540</v>
      </c>
      <c r="H1634" s="12" t="s">
        <v>4661</v>
      </c>
      <c r="I1634" s="13" t="s">
        <v>4668</v>
      </c>
      <c r="J1634" s="13" t="s">
        <v>4672</v>
      </c>
      <c r="K1634" s="13" t="s">
        <v>4776</v>
      </c>
      <c r="L1634" s="12" t="s">
        <v>4672</v>
      </c>
      <c r="M1634" s="17" t="str">
        <f>IF(LEN(COUNTIFS($H$1:H1634,$H1634,$I$1:I1634,$I1634,$J$1:J1634,$J1634,$K$1:K1634,K1634,$L$1:L1634,L1634))=1,"00"&amp;COUNTIFS($H$1:H1634,$H1634,$I$1:I1634,$I1634,$J$1:J1634,$J1634,$K$1:K1634,K1634,$L$1:L1634,L1634),IF(LEN(COUNTIFS($H$1:H1634,$H1634,$I$1:I1634,$I1634,$J$1:J1634,$J1634,$K$1:K1634,K1634,$L$1:L1634,L1634))=2,"0"&amp;COUNTIFS($H$1:H1634,$H1634,$I$1:I1634,$I1634,$J$1:J1634,$J1634,$K$1:K1634,K1634,$L$1:L1634,L1634),COUNTIFS($H$1:H1634,$H1634,$I$1:I1634,$I1634,$J$1:J1634,$J1634,$K$1:K1634,K1634,$L$1:L1634,L1634)))</f>
        <v>001</v>
      </c>
      <c r="N163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34" s="14" t="e">
        <f>+LEN(Table4[[#This Row],[New Item Code]])</f>
        <v>#N/A</v>
      </c>
      <c r="P1634" s="15" t="s">
        <v>4747</v>
      </c>
      <c r="Q1634" s="15" t="s">
        <v>4749</v>
      </c>
      <c r="R1634" s="15"/>
      <c r="S1634" s="15"/>
      <c r="T1634" s="15" t="s">
        <v>4672</v>
      </c>
    </row>
    <row r="1635" spans="1:20" x14ac:dyDescent="0.35">
      <c r="A1635" s="3" t="s">
        <v>3249</v>
      </c>
      <c r="B1635" s="3" t="s">
        <v>3250</v>
      </c>
      <c r="C1635" s="3" t="s">
        <v>56</v>
      </c>
      <c r="D1635" s="3">
        <v>2.5</v>
      </c>
      <c r="E1635" s="3" t="s">
        <v>10</v>
      </c>
      <c r="F1635" s="3">
        <v>20</v>
      </c>
      <c r="G1635" s="21">
        <f>Table4[[#This Row],[Item Cost]]*Table4[[#This Row],[In Stock]]</f>
        <v>50</v>
      </c>
      <c r="H1635" s="12" t="s">
        <v>4661</v>
      </c>
      <c r="I1635" s="13" t="s">
        <v>4668</v>
      </c>
      <c r="J1635" s="13" t="s">
        <v>4672</v>
      </c>
      <c r="K1635" s="13" t="s">
        <v>4672</v>
      </c>
      <c r="L1635" s="12" t="s">
        <v>4672</v>
      </c>
      <c r="M1635" s="17">
        <f>IF(LEN(COUNTIFS($H$1:H1635,$H1635,$I$1:I1635,$I1635,$J$1:J1635,$J1635,$K$1:K1635,K1635,$L$1:L1635,L1635))=1,"00"&amp;COUNTIFS($H$1:H1635,$H1635,$I$1:I1635,$I1635,$J$1:J1635,$J1635,$K$1:K1635,K1635,$L$1:L1635,L1635),IF(LEN(COUNTIFS($H$1:H1635,$H1635,$I$1:I1635,$I1635,$J$1:J1635,$J1635,$K$1:K1635,K1635,$L$1:L1635,L1635))=2,"0"&amp;COUNTIFS($H$1:H1635,$H1635,$I$1:I1635,$I1635,$J$1:J1635,$J1635,$K$1:K1635,K1635,$L$1:L1635,L1635),COUNTIFS($H$1:H1635,$H1635,$I$1:I1635,$I1635,$J$1:J1635,$J1635,$K$1:K1635,K1635,$L$1:L1635,L1635)))</f>
        <v>250</v>
      </c>
      <c r="N163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35" s="14" t="e">
        <f>+LEN(Table4[[#This Row],[New Item Code]])</f>
        <v>#N/A</v>
      </c>
      <c r="P1635" s="15" t="s">
        <v>4747</v>
      </c>
      <c r="Q1635" s="15" t="s">
        <v>4749</v>
      </c>
      <c r="R1635" s="15"/>
      <c r="S1635" s="15"/>
      <c r="T1635" s="15" t="s">
        <v>4672</v>
      </c>
    </row>
    <row r="1636" spans="1:20" x14ac:dyDescent="0.35">
      <c r="A1636" s="2" t="s">
        <v>3251</v>
      </c>
      <c r="B1636" s="2" t="s">
        <v>3252</v>
      </c>
      <c r="C1636" s="2" t="s">
        <v>56</v>
      </c>
      <c r="D1636" s="2">
        <v>0</v>
      </c>
      <c r="E1636" s="2" t="s">
        <v>10</v>
      </c>
      <c r="F1636" s="2">
        <v>0</v>
      </c>
      <c r="G1636" s="22">
        <f>Table4[[#This Row],[Item Cost]]*Table4[[#This Row],[In Stock]]</f>
        <v>0</v>
      </c>
      <c r="H1636" s="12" t="s">
        <v>4661</v>
      </c>
      <c r="I1636" s="13" t="s">
        <v>4668</v>
      </c>
      <c r="J1636" s="13" t="s">
        <v>4672</v>
      </c>
      <c r="K1636" s="13" t="s">
        <v>4672</v>
      </c>
      <c r="L1636" s="12" t="s">
        <v>4672</v>
      </c>
      <c r="M1636" s="17">
        <f>IF(LEN(COUNTIFS($H$1:H1636,$H1636,$I$1:I1636,$I1636,$J$1:J1636,$J1636,$K$1:K1636,K1636,$L$1:L1636,L1636))=1,"00"&amp;COUNTIFS($H$1:H1636,$H1636,$I$1:I1636,$I1636,$J$1:J1636,$J1636,$K$1:K1636,K1636,$L$1:L1636,L1636),IF(LEN(COUNTIFS($H$1:H1636,$H1636,$I$1:I1636,$I1636,$J$1:J1636,$J1636,$K$1:K1636,K1636,$L$1:L1636,L1636))=2,"0"&amp;COUNTIFS($H$1:H1636,$H1636,$I$1:I1636,$I1636,$J$1:J1636,$J1636,$K$1:K1636,K1636,$L$1:L1636,L1636),COUNTIFS($H$1:H1636,$H1636,$I$1:I1636,$I1636,$J$1:J1636,$J1636,$K$1:K1636,K1636,$L$1:L1636,L1636)))</f>
        <v>251</v>
      </c>
      <c r="N163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36" s="14" t="e">
        <f>+LEN(Table4[[#This Row],[New Item Code]])</f>
        <v>#N/A</v>
      </c>
      <c r="P1636" s="15" t="s">
        <v>4747</v>
      </c>
      <c r="Q1636" s="15" t="s">
        <v>4749</v>
      </c>
      <c r="R1636" s="15"/>
      <c r="S1636" s="15"/>
      <c r="T1636" s="15" t="s">
        <v>4672</v>
      </c>
    </row>
    <row r="1637" spans="1:20" x14ac:dyDescent="0.35">
      <c r="A1637" s="3" t="s">
        <v>3253</v>
      </c>
      <c r="B1637" s="3" t="s">
        <v>3254</v>
      </c>
      <c r="C1637" s="3" t="s">
        <v>56</v>
      </c>
      <c r="D1637" s="3">
        <v>3.6429999999999998</v>
      </c>
      <c r="E1637" s="3" t="s">
        <v>10</v>
      </c>
      <c r="F1637" s="3">
        <v>70</v>
      </c>
      <c r="G1637" s="21">
        <f>Table4[[#This Row],[Item Cost]]*Table4[[#This Row],[In Stock]]</f>
        <v>255.01</v>
      </c>
      <c r="H1637" s="12" t="s">
        <v>4661</v>
      </c>
      <c r="I1637" s="13" t="s">
        <v>4668</v>
      </c>
      <c r="J1637" s="13" t="s">
        <v>4672</v>
      </c>
      <c r="K1637" s="13" t="s">
        <v>4672</v>
      </c>
      <c r="L1637" s="12" t="s">
        <v>4672</v>
      </c>
      <c r="M1637" s="17">
        <f>IF(LEN(COUNTIFS($H$1:H1637,$H1637,$I$1:I1637,$I1637,$J$1:J1637,$J1637,$K$1:K1637,K1637,$L$1:L1637,L1637))=1,"00"&amp;COUNTIFS($H$1:H1637,$H1637,$I$1:I1637,$I1637,$J$1:J1637,$J1637,$K$1:K1637,K1637,$L$1:L1637,L1637),IF(LEN(COUNTIFS($H$1:H1637,$H1637,$I$1:I1637,$I1637,$J$1:J1637,$J1637,$K$1:K1637,K1637,$L$1:L1637,L1637))=2,"0"&amp;COUNTIFS($H$1:H1637,$H1637,$I$1:I1637,$I1637,$J$1:J1637,$J1637,$K$1:K1637,K1637,$L$1:L1637,L1637),COUNTIFS($H$1:H1637,$H1637,$I$1:I1637,$I1637,$J$1:J1637,$J1637,$K$1:K1637,K1637,$L$1:L1637,L1637)))</f>
        <v>252</v>
      </c>
      <c r="N163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37" s="14" t="e">
        <f>+LEN(Table4[[#This Row],[New Item Code]])</f>
        <v>#N/A</v>
      </c>
      <c r="P1637" s="15" t="s">
        <v>4747</v>
      </c>
      <c r="Q1637" s="15" t="s">
        <v>4749</v>
      </c>
      <c r="R1637" s="15"/>
      <c r="S1637" s="15"/>
      <c r="T1637" s="15" t="s">
        <v>4672</v>
      </c>
    </row>
    <row r="1638" spans="1:20" x14ac:dyDescent="0.35">
      <c r="A1638" s="2" t="s">
        <v>3255</v>
      </c>
      <c r="B1638" s="2" t="s">
        <v>3256</v>
      </c>
      <c r="C1638" s="2" t="s">
        <v>56</v>
      </c>
      <c r="D1638" s="2">
        <v>0</v>
      </c>
      <c r="E1638" s="2" t="s">
        <v>10</v>
      </c>
      <c r="F1638" s="2">
        <v>0</v>
      </c>
      <c r="G1638" s="22">
        <f>Table4[[#This Row],[Item Cost]]*Table4[[#This Row],[In Stock]]</f>
        <v>0</v>
      </c>
      <c r="H1638" s="12" t="s">
        <v>4661</v>
      </c>
      <c r="I1638" s="13" t="s">
        <v>4668</v>
      </c>
      <c r="J1638" s="13" t="s">
        <v>4672</v>
      </c>
      <c r="K1638" s="13" t="s">
        <v>4672</v>
      </c>
      <c r="L1638" s="12" t="s">
        <v>4672</v>
      </c>
      <c r="M1638" s="17">
        <f>IF(LEN(COUNTIFS($H$1:H1638,$H1638,$I$1:I1638,$I1638,$J$1:J1638,$J1638,$K$1:K1638,K1638,$L$1:L1638,L1638))=1,"00"&amp;COUNTIFS($H$1:H1638,$H1638,$I$1:I1638,$I1638,$J$1:J1638,$J1638,$K$1:K1638,K1638,$L$1:L1638,L1638),IF(LEN(COUNTIFS($H$1:H1638,$H1638,$I$1:I1638,$I1638,$J$1:J1638,$J1638,$K$1:K1638,K1638,$L$1:L1638,L1638))=2,"0"&amp;COUNTIFS($H$1:H1638,$H1638,$I$1:I1638,$I1638,$J$1:J1638,$J1638,$K$1:K1638,K1638,$L$1:L1638,L1638),COUNTIFS($H$1:H1638,$H1638,$I$1:I1638,$I1638,$J$1:J1638,$J1638,$K$1:K1638,K1638,$L$1:L1638,L1638)))</f>
        <v>253</v>
      </c>
      <c r="N163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38" s="14" t="e">
        <f>+LEN(Table4[[#This Row],[New Item Code]])</f>
        <v>#N/A</v>
      </c>
      <c r="P1638" s="15" t="s">
        <v>4747</v>
      </c>
      <c r="Q1638" s="15" t="s">
        <v>4749</v>
      </c>
      <c r="R1638" s="15"/>
      <c r="S1638" s="15"/>
      <c r="T1638" s="15" t="s">
        <v>4672</v>
      </c>
    </row>
    <row r="1639" spans="1:20" x14ac:dyDescent="0.35">
      <c r="A1639" s="3" t="s">
        <v>3257</v>
      </c>
      <c r="B1639" s="3" t="s">
        <v>3258</v>
      </c>
      <c r="C1639" s="3" t="s">
        <v>56</v>
      </c>
      <c r="D1639" s="3">
        <v>2.5</v>
      </c>
      <c r="E1639" s="3" t="s">
        <v>10</v>
      </c>
      <c r="F1639" s="3">
        <v>40</v>
      </c>
      <c r="G1639" s="21">
        <f>Table4[[#This Row],[Item Cost]]*Table4[[#This Row],[In Stock]]</f>
        <v>100</v>
      </c>
      <c r="H1639" s="12" t="s">
        <v>4661</v>
      </c>
      <c r="I1639" s="13" t="s">
        <v>4668</v>
      </c>
      <c r="J1639" s="13" t="s">
        <v>4672</v>
      </c>
      <c r="K1639" t="s">
        <v>4793</v>
      </c>
      <c r="L1639" s="12" t="s">
        <v>4672</v>
      </c>
      <c r="M1639" s="17" t="str">
        <f>IF(LEN(COUNTIFS($H$1:H1639,$H1639,$I$1:I1639,$I1639,$J$1:J1639,$J1639,$K$1:K1639,K1639,$L$1:L1639,L1639))=1,"00"&amp;COUNTIFS($H$1:H1639,$H1639,$I$1:I1639,$I1639,$J$1:J1639,$J1639,$K$1:K1639,K1639,$L$1:L1639,L1639),IF(LEN(COUNTIFS($H$1:H1639,$H1639,$I$1:I1639,$I1639,$J$1:J1639,$J1639,$K$1:K1639,K1639,$L$1:L1639,L1639))=2,"0"&amp;COUNTIFS($H$1:H1639,$H1639,$I$1:I1639,$I1639,$J$1:J1639,$J1639,$K$1:K1639,K1639,$L$1:L1639,L1639),COUNTIFS($H$1:H1639,$H1639,$I$1:I1639,$I1639,$J$1:J1639,$J1639,$K$1:K1639,K1639,$L$1:L1639,L1639)))</f>
        <v>001</v>
      </c>
      <c r="N163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39" s="14" t="e">
        <f>+LEN(Table4[[#This Row],[New Item Code]])</f>
        <v>#N/A</v>
      </c>
      <c r="P1639" s="15" t="s">
        <v>4747</v>
      </c>
      <c r="Q1639" s="15" t="s">
        <v>4749</v>
      </c>
      <c r="R1639" s="15"/>
      <c r="S1639" s="15"/>
      <c r="T1639" s="15" t="s">
        <v>4672</v>
      </c>
    </row>
    <row r="1640" spans="1:20" x14ac:dyDescent="0.35">
      <c r="A1640" s="2" t="s">
        <v>3259</v>
      </c>
      <c r="B1640" s="2" t="s">
        <v>3260</v>
      </c>
      <c r="C1640" s="2" t="s">
        <v>56</v>
      </c>
      <c r="D1640" s="2">
        <v>0</v>
      </c>
      <c r="E1640" s="2" t="s">
        <v>10</v>
      </c>
      <c r="F1640" s="2">
        <v>0</v>
      </c>
      <c r="G1640" s="22">
        <f>Table4[[#This Row],[Item Cost]]*Table4[[#This Row],[In Stock]]</f>
        <v>0</v>
      </c>
      <c r="H1640" s="12" t="s">
        <v>4661</v>
      </c>
      <c r="I1640" s="13" t="s">
        <v>4668</v>
      </c>
      <c r="J1640" s="13" t="s">
        <v>4672</v>
      </c>
      <c r="K1640" s="13" t="s">
        <v>4672</v>
      </c>
      <c r="L1640" s="12" t="s">
        <v>4672</v>
      </c>
      <c r="M1640" s="17">
        <f>IF(LEN(COUNTIFS($H$1:H1640,$H1640,$I$1:I1640,$I1640,$J$1:J1640,$J1640,$K$1:K1640,K1640,$L$1:L1640,L1640))=1,"00"&amp;COUNTIFS($H$1:H1640,$H1640,$I$1:I1640,$I1640,$J$1:J1640,$J1640,$K$1:K1640,K1640,$L$1:L1640,L1640),IF(LEN(COUNTIFS($H$1:H1640,$H1640,$I$1:I1640,$I1640,$J$1:J1640,$J1640,$K$1:K1640,K1640,$L$1:L1640,L1640))=2,"0"&amp;COUNTIFS($H$1:H1640,$H1640,$I$1:I1640,$I1640,$J$1:J1640,$J1640,$K$1:K1640,K1640,$L$1:L1640,L1640),COUNTIFS($H$1:H1640,$H1640,$I$1:I1640,$I1640,$J$1:J1640,$J1640,$K$1:K1640,K1640,$L$1:L1640,L1640)))</f>
        <v>254</v>
      </c>
      <c r="N164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40" s="14" t="e">
        <f>+LEN(Table4[[#This Row],[New Item Code]])</f>
        <v>#N/A</v>
      </c>
      <c r="P1640" s="15" t="s">
        <v>4747</v>
      </c>
      <c r="Q1640" s="15" t="s">
        <v>4749</v>
      </c>
      <c r="R1640" s="15"/>
      <c r="S1640" s="15"/>
      <c r="T1640" s="15" t="s">
        <v>4672</v>
      </c>
    </row>
    <row r="1641" spans="1:20" x14ac:dyDescent="0.35">
      <c r="A1641" s="3" t="s">
        <v>3261</v>
      </c>
      <c r="B1641" s="3" t="s">
        <v>3262</v>
      </c>
      <c r="C1641" s="3" t="s">
        <v>56</v>
      </c>
      <c r="D1641" s="3">
        <v>0</v>
      </c>
      <c r="E1641" s="3" t="s">
        <v>10</v>
      </c>
      <c r="F1641" s="3">
        <v>0</v>
      </c>
      <c r="G1641" s="21">
        <f>Table4[[#This Row],[Item Cost]]*Table4[[#This Row],[In Stock]]</f>
        <v>0</v>
      </c>
      <c r="H1641" s="12" t="s">
        <v>4661</v>
      </c>
      <c r="I1641" s="13" t="s">
        <v>4668</v>
      </c>
      <c r="J1641" s="13" t="s">
        <v>4672</v>
      </c>
      <c r="K1641" s="13" t="s">
        <v>4672</v>
      </c>
      <c r="L1641" s="12" t="s">
        <v>4672</v>
      </c>
      <c r="M1641" s="17">
        <f>IF(LEN(COUNTIFS($H$1:H1641,$H1641,$I$1:I1641,$I1641,$J$1:J1641,$J1641,$K$1:K1641,K1641,$L$1:L1641,L1641))=1,"00"&amp;COUNTIFS($H$1:H1641,$H1641,$I$1:I1641,$I1641,$J$1:J1641,$J1641,$K$1:K1641,K1641,$L$1:L1641,L1641),IF(LEN(COUNTIFS($H$1:H1641,$H1641,$I$1:I1641,$I1641,$J$1:J1641,$J1641,$K$1:K1641,K1641,$L$1:L1641,L1641))=2,"0"&amp;COUNTIFS($H$1:H1641,$H1641,$I$1:I1641,$I1641,$J$1:J1641,$J1641,$K$1:K1641,K1641,$L$1:L1641,L1641),COUNTIFS($H$1:H1641,$H1641,$I$1:I1641,$I1641,$J$1:J1641,$J1641,$K$1:K1641,K1641,$L$1:L1641,L1641)))</f>
        <v>255</v>
      </c>
      <c r="N164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41" s="14" t="e">
        <f>+LEN(Table4[[#This Row],[New Item Code]])</f>
        <v>#N/A</v>
      </c>
      <c r="P1641" s="15" t="s">
        <v>4747</v>
      </c>
      <c r="Q1641" s="15" t="s">
        <v>4749</v>
      </c>
      <c r="R1641" s="15"/>
      <c r="S1641" s="15"/>
      <c r="T1641" s="15" t="s">
        <v>4672</v>
      </c>
    </row>
    <row r="1642" spans="1:20" x14ac:dyDescent="0.35">
      <c r="A1642" s="2" t="s">
        <v>3263</v>
      </c>
      <c r="B1642" s="2" t="s">
        <v>3264</v>
      </c>
      <c r="C1642" s="2" t="s">
        <v>56</v>
      </c>
      <c r="D1642" s="2">
        <v>0</v>
      </c>
      <c r="E1642" s="2" t="s">
        <v>57</v>
      </c>
      <c r="F1642" s="2">
        <v>0</v>
      </c>
      <c r="G1642" s="22">
        <f>Table4[[#This Row],[Item Cost]]*Table4[[#This Row],[In Stock]]</f>
        <v>0</v>
      </c>
      <c r="H1642" s="12" t="s">
        <v>4661</v>
      </c>
      <c r="I1642" s="13" t="s">
        <v>4668</v>
      </c>
      <c r="J1642" s="13" t="s">
        <v>4672</v>
      </c>
      <c r="K1642" s="13" t="s">
        <v>4672</v>
      </c>
      <c r="L1642" s="12" t="s">
        <v>4672</v>
      </c>
      <c r="M1642" s="17">
        <f>IF(LEN(COUNTIFS($H$1:H1642,$H1642,$I$1:I1642,$I1642,$J$1:J1642,$J1642,$K$1:K1642,K1642,$L$1:L1642,L1642))=1,"00"&amp;COUNTIFS($H$1:H1642,$H1642,$I$1:I1642,$I1642,$J$1:J1642,$J1642,$K$1:K1642,K1642,$L$1:L1642,L1642),IF(LEN(COUNTIFS($H$1:H1642,$H1642,$I$1:I1642,$I1642,$J$1:J1642,$J1642,$K$1:K1642,K1642,$L$1:L1642,L1642))=2,"0"&amp;COUNTIFS($H$1:H1642,$H1642,$I$1:I1642,$I1642,$J$1:J1642,$J1642,$K$1:K1642,K1642,$L$1:L1642,L1642),COUNTIFS($H$1:H1642,$H1642,$I$1:I1642,$I1642,$J$1:J1642,$J1642,$K$1:K1642,K1642,$L$1:L1642,L1642)))</f>
        <v>256</v>
      </c>
      <c r="N164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42" s="14" t="e">
        <f>+LEN(Table4[[#This Row],[New Item Code]])</f>
        <v>#N/A</v>
      </c>
      <c r="P1642" s="15" t="s">
        <v>4747</v>
      </c>
      <c r="Q1642" s="15" t="s">
        <v>4749</v>
      </c>
      <c r="R1642" s="15"/>
      <c r="S1642" s="15"/>
      <c r="T1642" s="15" t="s">
        <v>4672</v>
      </c>
    </row>
    <row r="1643" spans="1:20" x14ac:dyDescent="0.35">
      <c r="A1643" s="3" t="s">
        <v>3265</v>
      </c>
      <c r="B1643" s="3" t="s">
        <v>3236</v>
      </c>
      <c r="C1643" s="3" t="s">
        <v>56</v>
      </c>
      <c r="D1643" s="3">
        <v>2.5</v>
      </c>
      <c r="E1643" s="3" t="s">
        <v>10</v>
      </c>
      <c r="F1643" s="3">
        <v>20</v>
      </c>
      <c r="G1643" s="21">
        <f>Table4[[#This Row],[Item Cost]]*Table4[[#This Row],[In Stock]]</f>
        <v>50</v>
      </c>
      <c r="H1643" s="12" t="s">
        <v>4661</v>
      </c>
      <c r="I1643" s="13" t="s">
        <v>4668</v>
      </c>
      <c r="J1643" s="13" t="s">
        <v>4753</v>
      </c>
      <c r="K1643" s="13" t="s">
        <v>4672</v>
      </c>
      <c r="L1643" s="12" t="s">
        <v>4672</v>
      </c>
      <c r="M1643" s="17" t="str">
        <f>IF(LEN(COUNTIFS($H$1:H1643,$H1643,$I$1:I1643,$I1643,$J$1:J1643,$J1643,$K$1:K1643,K1643,$L$1:L1643,L1643))=1,"00"&amp;COUNTIFS($H$1:H1643,$H1643,$I$1:I1643,$I1643,$J$1:J1643,$J1643,$K$1:K1643,K1643,$L$1:L1643,L1643),IF(LEN(COUNTIFS($H$1:H1643,$H1643,$I$1:I1643,$I1643,$J$1:J1643,$J1643,$K$1:K1643,K1643,$L$1:L1643,L1643))=2,"0"&amp;COUNTIFS($H$1:H1643,$H1643,$I$1:I1643,$I1643,$J$1:J1643,$J1643,$K$1:K1643,K1643,$L$1:L1643,L1643),COUNTIFS($H$1:H1643,$H1643,$I$1:I1643,$I1643,$J$1:J1643,$J1643,$K$1:K1643,K1643,$L$1:L1643,L1643)))</f>
        <v>001</v>
      </c>
      <c r="N164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43" s="14" t="e">
        <f>+LEN(Table4[[#This Row],[New Item Code]])</f>
        <v>#N/A</v>
      </c>
      <c r="P1643" s="15" t="s">
        <v>4747</v>
      </c>
      <c r="Q1643" s="15" t="s">
        <v>4749</v>
      </c>
      <c r="R1643" s="15"/>
      <c r="S1643" s="15"/>
      <c r="T1643" s="15" t="s">
        <v>4753</v>
      </c>
    </row>
    <row r="1644" spans="1:20" x14ac:dyDescent="0.35">
      <c r="A1644" s="2" t="s">
        <v>3266</v>
      </c>
      <c r="B1644" s="2" t="s">
        <v>3238</v>
      </c>
      <c r="C1644" s="2" t="s">
        <v>56</v>
      </c>
      <c r="D1644" s="2">
        <v>0</v>
      </c>
      <c r="E1644" s="2" t="s">
        <v>10</v>
      </c>
      <c r="F1644" s="2">
        <v>0</v>
      </c>
      <c r="G1644" s="22">
        <f>Table4[[#This Row],[Item Cost]]*Table4[[#This Row],[In Stock]]</f>
        <v>0</v>
      </c>
      <c r="H1644" s="12" t="s">
        <v>4661</v>
      </c>
      <c r="I1644" s="13" t="s">
        <v>4668</v>
      </c>
      <c r="J1644" s="13" t="s">
        <v>4753</v>
      </c>
      <c r="K1644" s="13" t="s">
        <v>4672</v>
      </c>
      <c r="L1644" s="12" t="s">
        <v>4672</v>
      </c>
      <c r="M1644" s="17" t="str">
        <f>IF(LEN(COUNTIFS($H$1:H1644,$H1644,$I$1:I1644,$I1644,$J$1:J1644,$J1644,$K$1:K1644,K1644,$L$1:L1644,L1644))=1,"00"&amp;COUNTIFS($H$1:H1644,$H1644,$I$1:I1644,$I1644,$J$1:J1644,$J1644,$K$1:K1644,K1644,$L$1:L1644,L1644),IF(LEN(COUNTIFS($H$1:H1644,$H1644,$I$1:I1644,$I1644,$J$1:J1644,$J1644,$K$1:K1644,K1644,$L$1:L1644,L1644))=2,"0"&amp;COUNTIFS($H$1:H1644,$H1644,$I$1:I1644,$I1644,$J$1:J1644,$J1644,$K$1:K1644,K1644,$L$1:L1644,L1644),COUNTIFS($H$1:H1644,$H1644,$I$1:I1644,$I1644,$J$1:J1644,$J1644,$K$1:K1644,K1644,$L$1:L1644,L1644)))</f>
        <v>002</v>
      </c>
      <c r="N164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44" s="14" t="e">
        <f>+LEN(Table4[[#This Row],[New Item Code]])</f>
        <v>#N/A</v>
      </c>
      <c r="P1644" s="15" t="s">
        <v>4747</v>
      </c>
      <c r="Q1644" s="15" t="s">
        <v>4749</v>
      </c>
      <c r="R1644" s="15"/>
      <c r="S1644" s="15"/>
      <c r="T1644" s="15" t="s">
        <v>4753</v>
      </c>
    </row>
    <row r="1645" spans="1:20" x14ac:dyDescent="0.35">
      <c r="A1645" s="3" t="s">
        <v>3267</v>
      </c>
      <c r="B1645" s="3" t="s">
        <v>3240</v>
      </c>
      <c r="C1645" s="3" t="s">
        <v>56</v>
      </c>
      <c r="D1645" s="3">
        <v>5</v>
      </c>
      <c r="E1645" s="3" t="s">
        <v>10</v>
      </c>
      <c r="F1645" s="3">
        <v>54</v>
      </c>
      <c r="G1645" s="21">
        <f>Table4[[#This Row],[Item Cost]]*Table4[[#This Row],[In Stock]]</f>
        <v>270</v>
      </c>
      <c r="H1645" s="12" t="s">
        <v>4661</v>
      </c>
      <c r="I1645" s="13" t="s">
        <v>4668</v>
      </c>
      <c r="J1645" s="13" t="s">
        <v>4753</v>
      </c>
      <c r="K1645" s="13" t="s">
        <v>4672</v>
      </c>
      <c r="L1645" s="12" t="s">
        <v>4672</v>
      </c>
      <c r="M1645" s="17" t="str">
        <f>IF(LEN(COUNTIFS($H$1:H1645,$H1645,$I$1:I1645,$I1645,$J$1:J1645,$J1645,$K$1:K1645,K1645,$L$1:L1645,L1645))=1,"00"&amp;COUNTIFS($H$1:H1645,$H1645,$I$1:I1645,$I1645,$J$1:J1645,$J1645,$K$1:K1645,K1645,$L$1:L1645,L1645),IF(LEN(COUNTIFS($H$1:H1645,$H1645,$I$1:I1645,$I1645,$J$1:J1645,$J1645,$K$1:K1645,K1645,$L$1:L1645,L1645))=2,"0"&amp;COUNTIFS($H$1:H1645,$H1645,$I$1:I1645,$I1645,$J$1:J1645,$J1645,$K$1:K1645,K1645,$L$1:L1645,L1645),COUNTIFS($H$1:H1645,$H1645,$I$1:I1645,$I1645,$J$1:J1645,$J1645,$K$1:K1645,K1645,$L$1:L1645,L1645)))</f>
        <v>003</v>
      </c>
      <c r="N164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45" s="14" t="e">
        <f>+LEN(Table4[[#This Row],[New Item Code]])</f>
        <v>#N/A</v>
      </c>
      <c r="P1645" s="15" t="s">
        <v>4747</v>
      </c>
      <c r="Q1645" s="15" t="s">
        <v>4749</v>
      </c>
      <c r="R1645" s="15"/>
      <c r="S1645" s="15"/>
      <c r="T1645" s="15" t="s">
        <v>4753</v>
      </c>
    </row>
    <row r="1646" spans="1:20" x14ac:dyDescent="0.35">
      <c r="A1646" s="2" t="s">
        <v>3268</v>
      </c>
      <c r="B1646" s="2" t="s">
        <v>3242</v>
      </c>
      <c r="C1646" s="2" t="s">
        <v>56</v>
      </c>
      <c r="D1646" s="2">
        <v>30</v>
      </c>
      <c r="E1646" s="2" t="s">
        <v>10</v>
      </c>
      <c r="F1646" s="2">
        <v>54</v>
      </c>
      <c r="G1646" s="22">
        <f>Table4[[#This Row],[Item Cost]]*Table4[[#This Row],[In Stock]]</f>
        <v>1620</v>
      </c>
      <c r="H1646" s="12" t="s">
        <v>4661</v>
      </c>
      <c r="I1646" s="13" t="s">
        <v>4668</v>
      </c>
      <c r="J1646" s="13" t="s">
        <v>4753</v>
      </c>
      <c r="K1646" s="13" t="s">
        <v>4776</v>
      </c>
      <c r="L1646" s="12" t="s">
        <v>4672</v>
      </c>
      <c r="M1646" s="17" t="str">
        <f>IF(LEN(COUNTIFS($H$1:H1646,$H1646,$I$1:I1646,$I1646,$J$1:J1646,$J1646,$K$1:K1646,K1646,$L$1:L1646,L1646))=1,"00"&amp;COUNTIFS($H$1:H1646,$H1646,$I$1:I1646,$I1646,$J$1:J1646,$J1646,$K$1:K1646,K1646,$L$1:L1646,L1646),IF(LEN(COUNTIFS($H$1:H1646,$H1646,$I$1:I1646,$I1646,$J$1:J1646,$J1646,$K$1:K1646,K1646,$L$1:L1646,L1646))=2,"0"&amp;COUNTIFS($H$1:H1646,$H1646,$I$1:I1646,$I1646,$J$1:J1646,$J1646,$K$1:K1646,K1646,$L$1:L1646,L1646),COUNTIFS($H$1:H1646,$H1646,$I$1:I1646,$I1646,$J$1:J1646,$J1646,$K$1:K1646,K1646,$L$1:L1646,L1646)))</f>
        <v>001</v>
      </c>
      <c r="N164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46" s="14" t="e">
        <f>+LEN(Table4[[#This Row],[New Item Code]])</f>
        <v>#N/A</v>
      </c>
      <c r="P1646" s="15" t="s">
        <v>4747</v>
      </c>
      <c r="Q1646" s="15" t="s">
        <v>4749</v>
      </c>
      <c r="R1646" s="15"/>
      <c r="S1646" s="15"/>
      <c r="T1646" s="15" t="s">
        <v>4753</v>
      </c>
    </row>
    <row r="1647" spans="1:20" x14ac:dyDescent="0.35">
      <c r="A1647" s="3" t="s">
        <v>3269</v>
      </c>
      <c r="B1647" s="3" t="s">
        <v>3244</v>
      </c>
      <c r="C1647" s="3" t="s">
        <v>56</v>
      </c>
      <c r="D1647" s="3">
        <v>0</v>
      </c>
      <c r="E1647" s="3" t="s">
        <v>10</v>
      </c>
      <c r="F1647" s="3">
        <v>0</v>
      </c>
      <c r="G1647" s="21">
        <f>Table4[[#This Row],[Item Cost]]*Table4[[#This Row],[In Stock]]</f>
        <v>0</v>
      </c>
      <c r="H1647" s="12" t="s">
        <v>4661</v>
      </c>
      <c r="I1647" s="13" t="s">
        <v>4668</v>
      </c>
      <c r="J1647" s="13" t="s">
        <v>4753</v>
      </c>
      <c r="K1647" s="13" t="s">
        <v>4672</v>
      </c>
      <c r="L1647" s="12" t="s">
        <v>4672</v>
      </c>
      <c r="M1647" s="17" t="str">
        <f>IF(LEN(COUNTIFS($H$1:H1647,$H1647,$I$1:I1647,$I1647,$J$1:J1647,$J1647,$K$1:K1647,K1647,$L$1:L1647,L1647))=1,"00"&amp;COUNTIFS($H$1:H1647,$H1647,$I$1:I1647,$I1647,$J$1:J1647,$J1647,$K$1:K1647,K1647,$L$1:L1647,L1647),IF(LEN(COUNTIFS($H$1:H1647,$H1647,$I$1:I1647,$I1647,$J$1:J1647,$J1647,$K$1:K1647,K1647,$L$1:L1647,L1647))=2,"0"&amp;COUNTIFS($H$1:H1647,$H1647,$I$1:I1647,$I1647,$J$1:J1647,$J1647,$K$1:K1647,K1647,$L$1:L1647,L1647),COUNTIFS($H$1:H1647,$H1647,$I$1:I1647,$I1647,$J$1:J1647,$J1647,$K$1:K1647,K1647,$L$1:L1647,L1647)))</f>
        <v>004</v>
      </c>
      <c r="N164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47" s="14" t="e">
        <f>+LEN(Table4[[#This Row],[New Item Code]])</f>
        <v>#N/A</v>
      </c>
      <c r="P1647" s="15" t="s">
        <v>4747</v>
      </c>
      <c r="Q1647" s="15" t="s">
        <v>4749</v>
      </c>
      <c r="R1647" s="15"/>
      <c r="S1647" s="15"/>
      <c r="T1647" s="15" t="s">
        <v>4753</v>
      </c>
    </row>
    <row r="1648" spans="1:20" x14ac:dyDescent="0.35">
      <c r="A1648" s="2" t="s">
        <v>3270</v>
      </c>
      <c r="B1648" s="2" t="s">
        <v>3246</v>
      </c>
      <c r="C1648" s="2" t="s">
        <v>56</v>
      </c>
      <c r="D1648" s="2">
        <v>0</v>
      </c>
      <c r="E1648" s="2" t="s">
        <v>10</v>
      </c>
      <c r="F1648" s="2">
        <v>0</v>
      </c>
      <c r="G1648" s="22">
        <f>Table4[[#This Row],[Item Cost]]*Table4[[#This Row],[In Stock]]</f>
        <v>0</v>
      </c>
      <c r="H1648" s="12" t="s">
        <v>4661</v>
      </c>
      <c r="I1648" s="13" t="s">
        <v>4668</v>
      </c>
      <c r="J1648" s="13" t="s">
        <v>4753</v>
      </c>
      <c r="K1648" s="13" t="s">
        <v>4672</v>
      </c>
      <c r="L1648" s="12" t="s">
        <v>4672</v>
      </c>
      <c r="M1648" s="17" t="str">
        <f>IF(LEN(COUNTIFS($H$1:H1648,$H1648,$I$1:I1648,$I1648,$J$1:J1648,$J1648,$K$1:K1648,K1648,$L$1:L1648,L1648))=1,"00"&amp;COUNTIFS($H$1:H1648,$H1648,$I$1:I1648,$I1648,$J$1:J1648,$J1648,$K$1:K1648,K1648,$L$1:L1648,L1648),IF(LEN(COUNTIFS($H$1:H1648,$H1648,$I$1:I1648,$I1648,$J$1:J1648,$J1648,$K$1:K1648,K1648,$L$1:L1648,L1648))=2,"0"&amp;COUNTIFS($H$1:H1648,$H1648,$I$1:I1648,$I1648,$J$1:J1648,$J1648,$K$1:K1648,K1648,$L$1:L1648,L1648),COUNTIFS($H$1:H1648,$H1648,$I$1:I1648,$I1648,$J$1:J1648,$J1648,$K$1:K1648,K1648,$L$1:L1648,L1648)))</f>
        <v>005</v>
      </c>
      <c r="N164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48" s="14" t="e">
        <f>+LEN(Table4[[#This Row],[New Item Code]])</f>
        <v>#N/A</v>
      </c>
      <c r="P1648" s="15" t="s">
        <v>4747</v>
      </c>
      <c r="Q1648" s="15" t="s">
        <v>4749</v>
      </c>
      <c r="R1648" s="15"/>
      <c r="S1648" s="15"/>
      <c r="T1648" s="15" t="s">
        <v>4753</v>
      </c>
    </row>
    <row r="1649" spans="1:20" x14ac:dyDescent="0.35">
      <c r="A1649" s="3" t="s">
        <v>3271</v>
      </c>
      <c r="B1649" s="3" t="s">
        <v>3248</v>
      </c>
      <c r="C1649" s="3" t="s">
        <v>56</v>
      </c>
      <c r="D1649" s="3">
        <v>15</v>
      </c>
      <c r="E1649" s="3" t="s">
        <v>10</v>
      </c>
      <c r="F1649" s="3">
        <v>8</v>
      </c>
      <c r="G1649" s="21">
        <f>Table4[[#This Row],[Item Cost]]*Table4[[#This Row],[In Stock]]</f>
        <v>120</v>
      </c>
      <c r="H1649" s="12" t="s">
        <v>4661</v>
      </c>
      <c r="I1649" s="13" t="s">
        <v>4668</v>
      </c>
      <c r="J1649" s="13" t="s">
        <v>4753</v>
      </c>
      <c r="K1649" s="13" t="s">
        <v>4776</v>
      </c>
      <c r="L1649" s="12" t="s">
        <v>4672</v>
      </c>
      <c r="M1649" s="17" t="str">
        <f>IF(LEN(COUNTIFS($H$1:H1649,$H1649,$I$1:I1649,$I1649,$J$1:J1649,$J1649,$K$1:K1649,K1649,$L$1:L1649,L1649))=1,"00"&amp;COUNTIFS($H$1:H1649,$H1649,$I$1:I1649,$I1649,$J$1:J1649,$J1649,$K$1:K1649,K1649,$L$1:L1649,L1649),IF(LEN(COUNTIFS($H$1:H1649,$H1649,$I$1:I1649,$I1649,$J$1:J1649,$J1649,$K$1:K1649,K1649,$L$1:L1649,L1649))=2,"0"&amp;COUNTIFS($H$1:H1649,$H1649,$I$1:I1649,$I1649,$J$1:J1649,$J1649,$K$1:K1649,K1649,$L$1:L1649,L1649),COUNTIFS($H$1:H1649,$H1649,$I$1:I1649,$I1649,$J$1:J1649,$J1649,$K$1:K1649,K1649,$L$1:L1649,L1649)))</f>
        <v>002</v>
      </c>
      <c r="N164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49" s="14" t="e">
        <f>+LEN(Table4[[#This Row],[New Item Code]])</f>
        <v>#N/A</v>
      </c>
      <c r="P1649" s="15" t="s">
        <v>4747</v>
      </c>
      <c r="Q1649" s="15" t="s">
        <v>4749</v>
      </c>
      <c r="R1649" s="15"/>
      <c r="S1649" s="15"/>
      <c r="T1649" s="15" t="s">
        <v>4753</v>
      </c>
    </row>
    <row r="1650" spans="1:20" x14ac:dyDescent="0.35">
      <c r="A1650" s="2" t="s">
        <v>3272</v>
      </c>
      <c r="B1650" s="2" t="s">
        <v>3250</v>
      </c>
      <c r="C1650" s="2" t="s">
        <v>56</v>
      </c>
      <c r="D1650" s="2">
        <v>3</v>
      </c>
      <c r="E1650" s="2" t="s">
        <v>10</v>
      </c>
      <c r="F1650" s="2">
        <v>12</v>
      </c>
      <c r="G1650" s="22">
        <f>Table4[[#This Row],[Item Cost]]*Table4[[#This Row],[In Stock]]</f>
        <v>36</v>
      </c>
      <c r="H1650" s="12" t="s">
        <v>4661</v>
      </c>
      <c r="I1650" s="13" t="s">
        <v>4668</v>
      </c>
      <c r="J1650" s="13" t="s">
        <v>4753</v>
      </c>
      <c r="K1650" s="13" t="s">
        <v>4672</v>
      </c>
      <c r="L1650" s="12" t="s">
        <v>4672</v>
      </c>
      <c r="M1650" s="17" t="str">
        <f>IF(LEN(COUNTIFS($H$1:H1650,$H1650,$I$1:I1650,$I1650,$J$1:J1650,$J1650,$K$1:K1650,K1650,$L$1:L1650,L1650))=1,"00"&amp;COUNTIFS($H$1:H1650,$H1650,$I$1:I1650,$I1650,$J$1:J1650,$J1650,$K$1:K1650,K1650,$L$1:L1650,L1650),IF(LEN(COUNTIFS($H$1:H1650,$H1650,$I$1:I1650,$I1650,$J$1:J1650,$J1650,$K$1:K1650,K1650,$L$1:L1650,L1650))=2,"0"&amp;COUNTIFS($H$1:H1650,$H1650,$I$1:I1650,$I1650,$J$1:J1650,$J1650,$K$1:K1650,K1650,$L$1:L1650,L1650),COUNTIFS($H$1:H1650,$H1650,$I$1:I1650,$I1650,$J$1:J1650,$J1650,$K$1:K1650,K1650,$L$1:L1650,L1650)))</f>
        <v>006</v>
      </c>
      <c r="N165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50" s="14" t="e">
        <f>+LEN(Table4[[#This Row],[New Item Code]])</f>
        <v>#N/A</v>
      </c>
      <c r="P1650" s="15" t="s">
        <v>4747</v>
      </c>
      <c r="Q1650" s="15" t="s">
        <v>4749</v>
      </c>
      <c r="R1650" s="15"/>
      <c r="S1650" s="15"/>
      <c r="T1650" s="15" t="s">
        <v>4753</v>
      </c>
    </row>
    <row r="1651" spans="1:20" x14ac:dyDescent="0.35">
      <c r="A1651" s="3" t="s">
        <v>3273</v>
      </c>
      <c r="B1651" s="3" t="s">
        <v>3252</v>
      </c>
      <c r="C1651" s="3" t="s">
        <v>56</v>
      </c>
      <c r="D1651" s="3">
        <v>2</v>
      </c>
      <c r="E1651" s="3" t="s">
        <v>10</v>
      </c>
      <c r="F1651" s="3">
        <v>39</v>
      </c>
      <c r="G1651" s="21">
        <f>Table4[[#This Row],[Item Cost]]*Table4[[#This Row],[In Stock]]</f>
        <v>78</v>
      </c>
      <c r="H1651" s="12" t="s">
        <v>4661</v>
      </c>
      <c r="I1651" s="13" t="s">
        <v>4668</v>
      </c>
      <c r="J1651" s="13" t="s">
        <v>4753</v>
      </c>
      <c r="K1651" s="13" t="s">
        <v>4672</v>
      </c>
      <c r="L1651" s="12" t="s">
        <v>4672</v>
      </c>
      <c r="M1651" s="17" t="str">
        <f>IF(LEN(COUNTIFS($H$1:H1651,$H1651,$I$1:I1651,$I1651,$J$1:J1651,$J1651,$K$1:K1651,K1651,$L$1:L1651,L1651))=1,"00"&amp;COUNTIFS($H$1:H1651,$H1651,$I$1:I1651,$I1651,$J$1:J1651,$J1651,$K$1:K1651,K1651,$L$1:L1651,L1651),IF(LEN(COUNTIFS($H$1:H1651,$H1651,$I$1:I1651,$I1651,$J$1:J1651,$J1651,$K$1:K1651,K1651,$L$1:L1651,L1651))=2,"0"&amp;COUNTIFS($H$1:H1651,$H1651,$I$1:I1651,$I1651,$J$1:J1651,$J1651,$K$1:K1651,K1651,$L$1:L1651,L1651),COUNTIFS($H$1:H1651,$H1651,$I$1:I1651,$I1651,$J$1:J1651,$J1651,$K$1:K1651,K1651,$L$1:L1651,L1651)))</f>
        <v>007</v>
      </c>
      <c r="N165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51" s="14" t="e">
        <f>+LEN(Table4[[#This Row],[New Item Code]])</f>
        <v>#N/A</v>
      </c>
      <c r="P1651" s="15" t="s">
        <v>4747</v>
      </c>
      <c r="Q1651" s="15" t="s">
        <v>4749</v>
      </c>
      <c r="R1651" s="15"/>
      <c r="S1651" s="15"/>
      <c r="T1651" s="15" t="s">
        <v>4753</v>
      </c>
    </row>
    <row r="1652" spans="1:20" x14ac:dyDescent="0.35">
      <c r="A1652" s="2" t="s">
        <v>3274</v>
      </c>
      <c r="B1652" s="2" t="s">
        <v>3254</v>
      </c>
      <c r="C1652" s="2" t="s">
        <v>56</v>
      </c>
      <c r="D1652" s="2">
        <v>0</v>
      </c>
      <c r="E1652" s="2" t="s">
        <v>10</v>
      </c>
      <c r="F1652" s="2">
        <v>0</v>
      </c>
      <c r="G1652" s="22">
        <f>Table4[[#This Row],[Item Cost]]*Table4[[#This Row],[In Stock]]</f>
        <v>0</v>
      </c>
      <c r="H1652" s="12" t="s">
        <v>4661</v>
      </c>
      <c r="I1652" s="13" t="s">
        <v>4668</v>
      </c>
      <c r="J1652" s="13" t="s">
        <v>4753</v>
      </c>
      <c r="K1652" s="13" t="s">
        <v>4672</v>
      </c>
      <c r="L1652" s="12" t="s">
        <v>4672</v>
      </c>
      <c r="M1652" s="17" t="str">
        <f>IF(LEN(COUNTIFS($H$1:H1652,$H1652,$I$1:I1652,$I1652,$J$1:J1652,$J1652,$K$1:K1652,K1652,$L$1:L1652,L1652))=1,"00"&amp;COUNTIFS($H$1:H1652,$H1652,$I$1:I1652,$I1652,$J$1:J1652,$J1652,$K$1:K1652,K1652,$L$1:L1652,L1652),IF(LEN(COUNTIFS($H$1:H1652,$H1652,$I$1:I1652,$I1652,$J$1:J1652,$J1652,$K$1:K1652,K1652,$L$1:L1652,L1652))=2,"0"&amp;COUNTIFS($H$1:H1652,$H1652,$I$1:I1652,$I1652,$J$1:J1652,$J1652,$K$1:K1652,K1652,$L$1:L1652,L1652),COUNTIFS($H$1:H1652,$H1652,$I$1:I1652,$I1652,$J$1:J1652,$J1652,$K$1:K1652,K1652,$L$1:L1652,L1652)))</f>
        <v>008</v>
      </c>
      <c r="N165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52" s="14" t="e">
        <f>+LEN(Table4[[#This Row],[New Item Code]])</f>
        <v>#N/A</v>
      </c>
      <c r="P1652" s="15" t="s">
        <v>4747</v>
      </c>
      <c r="Q1652" s="15" t="s">
        <v>4749</v>
      </c>
      <c r="R1652" s="15"/>
      <c r="S1652" s="15"/>
      <c r="T1652" s="15" t="s">
        <v>4753</v>
      </c>
    </row>
    <row r="1653" spans="1:20" x14ac:dyDescent="0.35">
      <c r="A1653" s="3" t="s">
        <v>3275</v>
      </c>
      <c r="B1653" s="3" t="s">
        <v>3256</v>
      </c>
      <c r="C1653" s="3" t="s">
        <v>56</v>
      </c>
      <c r="D1653" s="3">
        <v>4</v>
      </c>
      <c r="E1653" s="3" t="s">
        <v>10</v>
      </c>
      <c r="F1653" s="3">
        <v>38</v>
      </c>
      <c r="G1653" s="21">
        <f>Table4[[#This Row],[Item Cost]]*Table4[[#This Row],[In Stock]]</f>
        <v>152</v>
      </c>
      <c r="H1653" s="12" t="s">
        <v>4661</v>
      </c>
      <c r="I1653" s="13" t="s">
        <v>4668</v>
      </c>
      <c r="J1653" s="13" t="s">
        <v>4753</v>
      </c>
      <c r="K1653" t="s">
        <v>4793</v>
      </c>
      <c r="L1653" s="12" t="s">
        <v>4672</v>
      </c>
      <c r="M1653" s="17" t="str">
        <f>IF(LEN(COUNTIFS($H$1:H1653,$H1653,$I$1:I1653,$I1653,$J$1:J1653,$J1653,$K$1:K1653,K1653,$L$1:L1653,L1653))=1,"00"&amp;COUNTIFS($H$1:H1653,$H1653,$I$1:I1653,$I1653,$J$1:J1653,$J1653,$K$1:K1653,K1653,$L$1:L1653,L1653),IF(LEN(COUNTIFS($H$1:H1653,$H1653,$I$1:I1653,$I1653,$J$1:J1653,$J1653,$K$1:K1653,K1653,$L$1:L1653,L1653))=2,"0"&amp;COUNTIFS($H$1:H1653,$H1653,$I$1:I1653,$I1653,$J$1:J1653,$J1653,$K$1:K1653,K1653,$L$1:L1653,L1653),COUNTIFS($H$1:H1653,$H1653,$I$1:I1653,$I1653,$J$1:J1653,$J1653,$K$1:K1653,K1653,$L$1:L1653,L1653)))</f>
        <v>001</v>
      </c>
      <c r="N165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53" s="14" t="e">
        <f>+LEN(Table4[[#This Row],[New Item Code]])</f>
        <v>#N/A</v>
      </c>
      <c r="P1653" s="15" t="s">
        <v>4747</v>
      </c>
      <c r="Q1653" s="15" t="s">
        <v>4749</v>
      </c>
      <c r="R1653" s="15"/>
      <c r="S1653" s="15"/>
      <c r="T1653" s="15" t="s">
        <v>4753</v>
      </c>
    </row>
    <row r="1654" spans="1:20" x14ac:dyDescent="0.35">
      <c r="A1654" s="2" t="s">
        <v>3276</v>
      </c>
      <c r="B1654" s="2" t="s">
        <v>3258</v>
      </c>
      <c r="C1654" s="2" t="s">
        <v>56</v>
      </c>
      <c r="D1654" s="2">
        <v>2</v>
      </c>
      <c r="E1654" s="2" t="s">
        <v>10</v>
      </c>
      <c r="F1654" s="2">
        <v>23</v>
      </c>
      <c r="G1654" s="22">
        <f>Table4[[#This Row],[Item Cost]]*Table4[[#This Row],[In Stock]]</f>
        <v>46</v>
      </c>
      <c r="H1654" s="12" t="s">
        <v>4661</v>
      </c>
      <c r="I1654" s="13" t="s">
        <v>4668</v>
      </c>
      <c r="J1654" s="13" t="s">
        <v>4753</v>
      </c>
      <c r="K1654" t="s">
        <v>4793</v>
      </c>
      <c r="L1654" s="12" t="s">
        <v>4672</v>
      </c>
      <c r="M1654" s="17" t="str">
        <f>IF(LEN(COUNTIFS($H$1:H1654,$H1654,$I$1:I1654,$I1654,$J$1:J1654,$J1654,$K$1:K1654,K1654,$L$1:L1654,L1654))=1,"00"&amp;COUNTIFS($H$1:H1654,$H1654,$I$1:I1654,$I1654,$J$1:J1654,$J1654,$K$1:K1654,K1654,$L$1:L1654,L1654),IF(LEN(COUNTIFS($H$1:H1654,$H1654,$I$1:I1654,$I1654,$J$1:J1654,$J1654,$K$1:K1654,K1654,$L$1:L1654,L1654))=2,"0"&amp;COUNTIFS($H$1:H1654,$H1654,$I$1:I1654,$I1654,$J$1:J1654,$J1654,$K$1:K1654,K1654,$L$1:L1654,L1654),COUNTIFS($H$1:H1654,$H1654,$I$1:I1654,$I1654,$J$1:J1654,$J1654,$K$1:K1654,K1654,$L$1:L1654,L1654)))</f>
        <v>002</v>
      </c>
      <c r="N165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54" s="14" t="e">
        <f>+LEN(Table4[[#This Row],[New Item Code]])</f>
        <v>#N/A</v>
      </c>
      <c r="P1654" s="15" t="s">
        <v>4747</v>
      </c>
      <c r="Q1654" s="15" t="s">
        <v>4749</v>
      </c>
      <c r="R1654" s="15"/>
      <c r="S1654" s="15"/>
      <c r="T1654" s="15" t="s">
        <v>4753</v>
      </c>
    </row>
    <row r="1655" spans="1:20" x14ac:dyDescent="0.35">
      <c r="A1655" s="3" t="s">
        <v>3277</v>
      </c>
      <c r="B1655" s="3" t="s">
        <v>3260</v>
      </c>
      <c r="C1655" s="3" t="s">
        <v>56</v>
      </c>
      <c r="D1655" s="3">
        <v>0</v>
      </c>
      <c r="E1655" s="3" t="s">
        <v>10</v>
      </c>
      <c r="F1655" s="3">
        <v>0</v>
      </c>
      <c r="G1655" s="21">
        <f>Table4[[#This Row],[Item Cost]]*Table4[[#This Row],[In Stock]]</f>
        <v>0</v>
      </c>
      <c r="H1655" s="12" t="s">
        <v>4661</v>
      </c>
      <c r="I1655" s="13" t="s">
        <v>4668</v>
      </c>
      <c r="J1655" s="13" t="s">
        <v>4753</v>
      </c>
      <c r="K1655" s="13" t="s">
        <v>4672</v>
      </c>
      <c r="L1655" s="12" t="s">
        <v>4672</v>
      </c>
      <c r="M1655" s="17" t="str">
        <f>IF(LEN(COUNTIFS($H$1:H1655,$H1655,$I$1:I1655,$I1655,$J$1:J1655,$J1655,$K$1:K1655,K1655,$L$1:L1655,L1655))=1,"00"&amp;COUNTIFS($H$1:H1655,$H1655,$I$1:I1655,$I1655,$J$1:J1655,$J1655,$K$1:K1655,K1655,$L$1:L1655,L1655),IF(LEN(COUNTIFS($H$1:H1655,$H1655,$I$1:I1655,$I1655,$J$1:J1655,$J1655,$K$1:K1655,K1655,$L$1:L1655,L1655))=2,"0"&amp;COUNTIFS($H$1:H1655,$H1655,$I$1:I1655,$I1655,$J$1:J1655,$J1655,$K$1:K1655,K1655,$L$1:L1655,L1655),COUNTIFS($H$1:H1655,$H1655,$I$1:I1655,$I1655,$J$1:J1655,$J1655,$K$1:K1655,K1655,$L$1:L1655,L1655)))</f>
        <v>009</v>
      </c>
      <c r="N165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55" s="14" t="e">
        <f>+LEN(Table4[[#This Row],[New Item Code]])</f>
        <v>#N/A</v>
      </c>
      <c r="P1655" s="15" t="s">
        <v>4747</v>
      </c>
      <c r="Q1655" s="15" t="s">
        <v>4749</v>
      </c>
      <c r="R1655" s="15"/>
      <c r="S1655" s="15"/>
      <c r="T1655" s="15" t="s">
        <v>4753</v>
      </c>
    </row>
    <row r="1656" spans="1:20" x14ac:dyDescent="0.35">
      <c r="A1656" s="2" t="s">
        <v>3278</v>
      </c>
      <c r="B1656" s="2" t="s">
        <v>3262</v>
      </c>
      <c r="C1656" s="2" t="s">
        <v>56</v>
      </c>
      <c r="D1656" s="2">
        <v>0</v>
      </c>
      <c r="E1656" s="2" t="s">
        <v>10</v>
      </c>
      <c r="F1656" s="2">
        <v>0</v>
      </c>
      <c r="G1656" s="22">
        <f>Table4[[#This Row],[Item Cost]]*Table4[[#This Row],[In Stock]]</f>
        <v>0</v>
      </c>
      <c r="H1656" s="12" t="s">
        <v>4661</v>
      </c>
      <c r="I1656" s="13" t="s">
        <v>4668</v>
      </c>
      <c r="J1656" s="13" t="s">
        <v>4753</v>
      </c>
      <c r="K1656" s="13" t="s">
        <v>4672</v>
      </c>
      <c r="L1656" s="12" t="s">
        <v>4672</v>
      </c>
      <c r="M1656" s="17" t="str">
        <f>IF(LEN(COUNTIFS($H$1:H1656,$H1656,$I$1:I1656,$I1656,$J$1:J1656,$J1656,$K$1:K1656,K1656,$L$1:L1656,L1656))=1,"00"&amp;COUNTIFS($H$1:H1656,$H1656,$I$1:I1656,$I1656,$J$1:J1656,$J1656,$K$1:K1656,K1656,$L$1:L1656,L1656),IF(LEN(COUNTIFS($H$1:H1656,$H1656,$I$1:I1656,$I1656,$J$1:J1656,$J1656,$K$1:K1656,K1656,$L$1:L1656,L1656))=2,"0"&amp;COUNTIFS($H$1:H1656,$H1656,$I$1:I1656,$I1656,$J$1:J1656,$J1656,$K$1:K1656,K1656,$L$1:L1656,L1656),COUNTIFS($H$1:H1656,$H1656,$I$1:I1656,$I1656,$J$1:J1656,$J1656,$K$1:K1656,K1656,$L$1:L1656,L1656)))</f>
        <v>010</v>
      </c>
      <c r="N165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56" s="14" t="e">
        <f>+LEN(Table4[[#This Row],[New Item Code]])</f>
        <v>#N/A</v>
      </c>
      <c r="P1656" s="15" t="s">
        <v>4747</v>
      </c>
      <c r="Q1656" s="15" t="s">
        <v>4749</v>
      </c>
      <c r="R1656" s="15"/>
      <c r="S1656" s="15"/>
      <c r="T1656" s="15" t="s">
        <v>4753</v>
      </c>
    </row>
    <row r="1657" spans="1:20" x14ac:dyDescent="0.35">
      <c r="A1657" s="3" t="s">
        <v>3279</v>
      </c>
      <c r="B1657" s="3" t="s">
        <v>3280</v>
      </c>
      <c r="C1657" s="3" t="s">
        <v>56</v>
      </c>
      <c r="D1657" s="3">
        <v>7.8330000000000002</v>
      </c>
      <c r="E1657" s="3" t="s">
        <v>10</v>
      </c>
      <c r="F1657" s="3">
        <v>10</v>
      </c>
      <c r="G1657" s="21">
        <f>Table4[[#This Row],[Item Cost]]*Table4[[#This Row],[In Stock]]</f>
        <v>78.33</v>
      </c>
      <c r="H1657" s="12" t="s">
        <v>4661</v>
      </c>
      <c r="I1657" s="13" t="s">
        <v>4668</v>
      </c>
      <c r="J1657" s="13" t="s">
        <v>4753</v>
      </c>
      <c r="K1657" s="13" t="s">
        <v>4672</v>
      </c>
      <c r="L1657" s="12" t="s">
        <v>4672</v>
      </c>
      <c r="M1657" s="17" t="str">
        <f>IF(LEN(COUNTIFS($H$1:H1657,$H1657,$I$1:I1657,$I1657,$J$1:J1657,$J1657,$K$1:K1657,K1657,$L$1:L1657,L1657))=1,"00"&amp;COUNTIFS($H$1:H1657,$H1657,$I$1:I1657,$I1657,$J$1:J1657,$J1657,$K$1:K1657,K1657,$L$1:L1657,L1657),IF(LEN(COUNTIFS($H$1:H1657,$H1657,$I$1:I1657,$I1657,$J$1:J1657,$J1657,$K$1:K1657,K1657,$L$1:L1657,L1657))=2,"0"&amp;COUNTIFS($H$1:H1657,$H1657,$I$1:I1657,$I1657,$J$1:J1657,$J1657,$K$1:K1657,K1657,$L$1:L1657,L1657),COUNTIFS($H$1:H1657,$H1657,$I$1:I1657,$I1657,$J$1:J1657,$J1657,$K$1:K1657,K1657,$L$1:L1657,L1657)))</f>
        <v>011</v>
      </c>
      <c r="N165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57" s="14" t="e">
        <f>+LEN(Table4[[#This Row],[New Item Code]])</f>
        <v>#N/A</v>
      </c>
      <c r="P1657" s="15" t="s">
        <v>4747</v>
      </c>
      <c r="Q1657" s="15" t="s">
        <v>4749</v>
      </c>
      <c r="R1657" s="15"/>
      <c r="S1657" s="15"/>
      <c r="T1657" s="15" t="s">
        <v>4753</v>
      </c>
    </row>
    <row r="1658" spans="1:20" x14ac:dyDescent="0.35">
      <c r="A1658" s="2" t="s">
        <v>3281</v>
      </c>
      <c r="B1658" s="2" t="s">
        <v>3282</v>
      </c>
      <c r="C1658" s="2" t="s">
        <v>56</v>
      </c>
      <c r="D1658" s="2">
        <v>6</v>
      </c>
      <c r="E1658" s="2" t="s">
        <v>10</v>
      </c>
      <c r="F1658" s="2">
        <v>20</v>
      </c>
      <c r="G1658" s="22">
        <f>Table4[[#This Row],[Item Cost]]*Table4[[#This Row],[In Stock]]</f>
        <v>120</v>
      </c>
      <c r="H1658" s="12" t="s">
        <v>4661</v>
      </c>
      <c r="I1658" s="13" t="s">
        <v>4668</v>
      </c>
      <c r="J1658" s="13" t="s">
        <v>4753</v>
      </c>
      <c r="K1658" s="13" t="s">
        <v>4672</v>
      </c>
      <c r="L1658" s="12" t="s">
        <v>4672</v>
      </c>
      <c r="M1658" s="17" t="str">
        <f>IF(LEN(COUNTIFS($H$1:H1658,$H1658,$I$1:I1658,$I1658,$J$1:J1658,$J1658,$K$1:K1658,K1658,$L$1:L1658,L1658))=1,"00"&amp;COUNTIFS($H$1:H1658,$H1658,$I$1:I1658,$I1658,$J$1:J1658,$J1658,$K$1:K1658,K1658,$L$1:L1658,L1658),IF(LEN(COUNTIFS($H$1:H1658,$H1658,$I$1:I1658,$I1658,$J$1:J1658,$J1658,$K$1:K1658,K1658,$L$1:L1658,L1658))=2,"0"&amp;COUNTIFS($H$1:H1658,$H1658,$I$1:I1658,$I1658,$J$1:J1658,$J1658,$K$1:K1658,K1658,$L$1:L1658,L1658),COUNTIFS($H$1:H1658,$H1658,$I$1:I1658,$I1658,$J$1:J1658,$J1658,$K$1:K1658,K1658,$L$1:L1658,L1658)))</f>
        <v>012</v>
      </c>
      <c r="N165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58" s="14" t="e">
        <f>+LEN(Table4[[#This Row],[New Item Code]])</f>
        <v>#N/A</v>
      </c>
      <c r="P1658" s="15" t="s">
        <v>4747</v>
      </c>
      <c r="Q1658" s="15" t="s">
        <v>4749</v>
      </c>
      <c r="R1658" s="15"/>
      <c r="S1658" s="15"/>
      <c r="T1658" s="15" t="s">
        <v>4753</v>
      </c>
    </row>
    <row r="1659" spans="1:20" x14ac:dyDescent="0.35">
      <c r="A1659" s="3" t="s">
        <v>3283</v>
      </c>
      <c r="B1659" s="3" t="s">
        <v>3284</v>
      </c>
      <c r="C1659" s="3" t="s">
        <v>56</v>
      </c>
      <c r="D1659" s="3">
        <v>6.5</v>
      </c>
      <c r="E1659" s="3" t="s">
        <v>10</v>
      </c>
      <c r="F1659" s="3">
        <v>20</v>
      </c>
      <c r="G1659" s="21">
        <f>Table4[[#This Row],[Item Cost]]*Table4[[#This Row],[In Stock]]</f>
        <v>130</v>
      </c>
      <c r="H1659" s="12" t="s">
        <v>4661</v>
      </c>
      <c r="I1659" s="13" t="s">
        <v>4668</v>
      </c>
      <c r="J1659" s="13" t="s">
        <v>4753</v>
      </c>
      <c r="K1659" s="13" t="s">
        <v>4672</v>
      </c>
      <c r="L1659" s="12" t="s">
        <v>4672</v>
      </c>
      <c r="M1659" s="17" t="str">
        <f>IF(LEN(COUNTIFS($H$1:H1659,$H1659,$I$1:I1659,$I1659,$J$1:J1659,$J1659,$K$1:K1659,K1659,$L$1:L1659,L1659))=1,"00"&amp;COUNTIFS($H$1:H1659,$H1659,$I$1:I1659,$I1659,$J$1:J1659,$J1659,$K$1:K1659,K1659,$L$1:L1659,L1659),IF(LEN(COUNTIFS($H$1:H1659,$H1659,$I$1:I1659,$I1659,$J$1:J1659,$J1659,$K$1:K1659,K1659,$L$1:L1659,L1659))=2,"0"&amp;COUNTIFS($H$1:H1659,$H1659,$I$1:I1659,$I1659,$J$1:J1659,$J1659,$K$1:K1659,K1659,$L$1:L1659,L1659),COUNTIFS($H$1:H1659,$H1659,$I$1:I1659,$I1659,$J$1:J1659,$J1659,$K$1:K1659,K1659,$L$1:L1659,L1659)))</f>
        <v>013</v>
      </c>
      <c r="N165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59" s="14" t="e">
        <f>+LEN(Table4[[#This Row],[New Item Code]])</f>
        <v>#N/A</v>
      </c>
      <c r="P1659" s="15" t="s">
        <v>4747</v>
      </c>
      <c r="Q1659" s="15" t="s">
        <v>4749</v>
      </c>
      <c r="R1659" s="15"/>
      <c r="S1659" s="15"/>
      <c r="T1659" s="15" t="s">
        <v>4753</v>
      </c>
    </row>
    <row r="1660" spans="1:20" x14ac:dyDescent="0.35">
      <c r="A1660" s="2" t="s">
        <v>3285</v>
      </c>
      <c r="B1660" s="2" t="s">
        <v>3286</v>
      </c>
      <c r="C1660" s="2" t="s">
        <v>56</v>
      </c>
      <c r="D1660" s="2">
        <v>3</v>
      </c>
      <c r="E1660" s="2" t="s">
        <v>10</v>
      </c>
      <c r="F1660" s="2">
        <v>0</v>
      </c>
      <c r="G1660" s="22">
        <f>Table4[[#This Row],[Item Cost]]*Table4[[#This Row],[In Stock]]</f>
        <v>0</v>
      </c>
      <c r="H1660" s="12" t="s">
        <v>4661</v>
      </c>
      <c r="I1660" s="13" t="s">
        <v>4668</v>
      </c>
      <c r="J1660" s="13" t="s">
        <v>4753</v>
      </c>
      <c r="K1660" s="13" t="s">
        <v>4672</v>
      </c>
      <c r="L1660" s="12" t="s">
        <v>4672</v>
      </c>
      <c r="M1660" s="17" t="str">
        <f>IF(LEN(COUNTIFS($H$1:H1660,$H1660,$I$1:I1660,$I1660,$J$1:J1660,$J1660,$K$1:K1660,K1660,$L$1:L1660,L1660))=1,"00"&amp;COUNTIFS($H$1:H1660,$H1660,$I$1:I1660,$I1660,$J$1:J1660,$J1660,$K$1:K1660,K1660,$L$1:L1660,L1660),IF(LEN(COUNTIFS($H$1:H1660,$H1660,$I$1:I1660,$I1660,$J$1:J1660,$J1660,$K$1:K1660,K1660,$L$1:L1660,L1660))=2,"0"&amp;COUNTIFS($H$1:H1660,$H1660,$I$1:I1660,$I1660,$J$1:J1660,$J1660,$K$1:K1660,K1660,$L$1:L1660,L1660),COUNTIFS($H$1:H1660,$H1660,$I$1:I1660,$I1660,$J$1:J1660,$J1660,$K$1:K1660,K1660,$L$1:L1660,L1660)))</f>
        <v>014</v>
      </c>
      <c r="N166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60" s="14" t="e">
        <f>+LEN(Table4[[#This Row],[New Item Code]])</f>
        <v>#N/A</v>
      </c>
      <c r="P1660" s="15" t="s">
        <v>4747</v>
      </c>
      <c r="Q1660" s="15" t="s">
        <v>4749</v>
      </c>
      <c r="R1660" s="15"/>
      <c r="S1660" s="15"/>
      <c r="T1660" s="15" t="s">
        <v>4753</v>
      </c>
    </row>
    <row r="1661" spans="1:20" x14ac:dyDescent="0.35">
      <c r="A1661" s="3" t="s">
        <v>3287</v>
      </c>
      <c r="B1661" s="3" t="s">
        <v>3288</v>
      </c>
      <c r="C1661" s="3" t="s">
        <v>56</v>
      </c>
      <c r="D1661" s="3">
        <v>3.75</v>
      </c>
      <c r="E1661" s="3" t="s">
        <v>10</v>
      </c>
      <c r="F1661" s="3">
        <v>0</v>
      </c>
      <c r="G1661" s="21">
        <f>Table4[[#This Row],[Item Cost]]*Table4[[#This Row],[In Stock]]</f>
        <v>0</v>
      </c>
      <c r="H1661" s="12" t="s">
        <v>4661</v>
      </c>
      <c r="I1661" s="13" t="s">
        <v>4668</v>
      </c>
      <c r="J1661" s="13" t="s">
        <v>4753</v>
      </c>
      <c r="K1661" s="13" t="s">
        <v>4672</v>
      </c>
      <c r="L1661" s="12" t="s">
        <v>4672</v>
      </c>
      <c r="M1661" s="17" t="str">
        <f>IF(LEN(COUNTIFS($H$1:H1661,$H1661,$I$1:I1661,$I1661,$J$1:J1661,$J1661,$K$1:K1661,K1661,$L$1:L1661,L1661))=1,"00"&amp;COUNTIFS($H$1:H1661,$H1661,$I$1:I1661,$I1661,$J$1:J1661,$J1661,$K$1:K1661,K1661,$L$1:L1661,L1661),IF(LEN(COUNTIFS($H$1:H1661,$H1661,$I$1:I1661,$I1661,$J$1:J1661,$J1661,$K$1:K1661,K1661,$L$1:L1661,L1661))=2,"0"&amp;COUNTIFS($H$1:H1661,$H1661,$I$1:I1661,$I1661,$J$1:J1661,$J1661,$K$1:K1661,K1661,$L$1:L1661,L1661),COUNTIFS($H$1:H1661,$H1661,$I$1:I1661,$I1661,$J$1:J1661,$J1661,$K$1:K1661,K1661,$L$1:L1661,L1661)))</f>
        <v>015</v>
      </c>
      <c r="N166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61" s="14" t="e">
        <f>+LEN(Table4[[#This Row],[New Item Code]])</f>
        <v>#N/A</v>
      </c>
      <c r="P1661" s="15" t="s">
        <v>4747</v>
      </c>
      <c r="Q1661" s="15" t="s">
        <v>4749</v>
      </c>
      <c r="R1661" s="15"/>
      <c r="S1661" s="15"/>
      <c r="T1661" s="15" t="s">
        <v>4753</v>
      </c>
    </row>
    <row r="1662" spans="1:20" x14ac:dyDescent="0.35">
      <c r="A1662" s="2" t="s">
        <v>3289</v>
      </c>
      <c r="B1662" s="2" t="s">
        <v>3290</v>
      </c>
      <c r="C1662" s="2" t="s">
        <v>56</v>
      </c>
      <c r="D1662" s="2">
        <v>3.8</v>
      </c>
      <c r="E1662" s="2" t="s">
        <v>10</v>
      </c>
      <c r="F1662" s="2">
        <v>5</v>
      </c>
      <c r="G1662" s="22">
        <f>Table4[[#This Row],[Item Cost]]*Table4[[#This Row],[In Stock]]</f>
        <v>19</v>
      </c>
      <c r="H1662" s="12" t="s">
        <v>4661</v>
      </c>
      <c r="I1662" s="13" t="s">
        <v>4668</v>
      </c>
      <c r="J1662" s="13" t="s">
        <v>4753</v>
      </c>
      <c r="K1662" s="13" t="s">
        <v>4672</v>
      </c>
      <c r="L1662" s="12" t="s">
        <v>4672</v>
      </c>
      <c r="M1662" s="17" t="str">
        <f>IF(LEN(COUNTIFS($H$1:H1662,$H1662,$I$1:I1662,$I1662,$J$1:J1662,$J1662,$K$1:K1662,K1662,$L$1:L1662,L1662))=1,"00"&amp;COUNTIFS($H$1:H1662,$H1662,$I$1:I1662,$I1662,$J$1:J1662,$J1662,$K$1:K1662,K1662,$L$1:L1662,L1662),IF(LEN(COUNTIFS($H$1:H1662,$H1662,$I$1:I1662,$I1662,$J$1:J1662,$J1662,$K$1:K1662,K1662,$L$1:L1662,L1662))=2,"0"&amp;COUNTIFS($H$1:H1662,$H1662,$I$1:I1662,$I1662,$J$1:J1662,$J1662,$K$1:K1662,K1662,$L$1:L1662,L1662),COUNTIFS($H$1:H1662,$H1662,$I$1:I1662,$I1662,$J$1:J1662,$J1662,$K$1:K1662,K1662,$L$1:L1662,L1662)))</f>
        <v>016</v>
      </c>
      <c r="N166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62" s="14" t="e">
        <f>+LEN(Table4[[#This Row],[New Item Code]])</f>
        <v>#N/A</v>
      </c>
      <c r="P1662" s="15" t="s">
        <v>4747</v>
      </c>
      <c r="Q1662" s="15" t="s">
        <v>4749</v>
      </c>
      <c r="R1662" s="15"/>
      <c r="S1662" s="15"/>
      <c r="T1662" s="15" t="s">
        <v>4753</v>
      </c>
    </row>
    <row r="1663" spans="1:20" x14ac:dyDescent="0.35">
      <c r="A1663" s="3" t="s">
        <v>3291</v>
      </c>
      <c r="B1663" s="3" t="s">
        <v>3292</v>
      </c>
      <c r="C1663" s="3" t="s">
        <v>56</v>
      </c>
      <c r="D1663" s="3">
        <v>4.3</v>
      </c>
      <c r="E1663" s="3" t="s">
        <v>10</v>
      </c>
      <c r="F1663" s="3">
        <v>0</v>
      </c>
      <c r="G1663" s="21">
        <f>Table4[[#This Row],[Item Cost]]*Table4[[#This Row],[In Stock]]</f>
        <v>0</v>
      </c>
      <c r="H1663" s="12" t="s">
        <v>4661</v>
      </c>
      <c r="I1663" s="13" t="s">
        <v>4668</v>
      </c>
      <c r="J1663" s="13" t="s">
        <v>4753</v>
      </c>
      <c r="K1663" s="13" t="s">
        <v>4672</v>
      </c>
      <c r="L1663" s="12" t="s">
        <v>4672</v>
      </c>
      <c r="M1663" s="17" t="str">
        <f>IF(LEN(COUNTIFS($H$1:H1663,$H1663,$I$1:I1663,$I1663,$J$1:J1663,$J1663,$K$1:K1663,K1663,$L$1:L1663,L1663))=1,"00"&amp;COUNTIFS($H$1:H1663,$H1663,$I$1:I1663,$I1663,$J$1:J1663,$J1663,$K$1:K1663,K1663,$L$1:L1663,L1663),IF(LEN(COUNTIFS($H$1:H1663,$H1663,$I$1:I1663,$I1663,$J$1:J1663,$J1663,$K$1:K1663,K1663,$L$1:L1663,L1663))=2,"0"&amp;COUNTIFS($H$1:H1663,$H1663,$I$1:I1663,$I1663,$J$1:J1663,$J1663,$K$1:K1663,K1663,$L$1:L1663,L1663),COUNTIFS($H$1:H1663,$H1663,$I$1:I1663,$I1663,$J$1:J1663,$J1663,$K$1:K1663,K1663,$L$1:L1663,L1663)))</f>
        <v>017</v>
      </c>
      <c r="N166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63" s="14" t="e">
        <f>+LEN(Table4[[#This Row],[New Item Code]])</f>
        <v>#N/A</v>
      </c>
      <c r="P1663" s="15" t="s">
        <v>4747</v>
      </c>
      <c r="Q1663" s="15" t="s">
        <v>4749</v>
      </c>
      <c r="R1663" s="15"/>
      <c r="S1663" s="15"/>
      <c r="T1663" s="15" t="s">
        <v>4753</v>
      </c>
    </row>
    <row r="1664" spans="1:20" x14ac:dyDescent="0.35">
      <c r="A1664" s="2" t="s">
        <v>3293</v>
      </c>
      <c r="B1664" s="2" t="s">
        <v>3294</v>
      </c>
      <c r="C1664" s="2" t="s">
        <v>56</v>
      </c>
      <c r="D1664" s="2">
        <v>18</v>
      </c>
      <c r="E1664" s="2" t="s">
        <v>10</v>
      </c>
      <c r="F1664" s="2">
        <v>17</v>
      </c>
      <c r="G1664" s="22">
        <f>Table4[[#This Row],[Item Cost]]*Table4[[#This Row],[In Stock]]</f>
        <v>306</v>
      </c>
      <c r="H1664" s="12" t="s">
        <v>4661</v>
      </c>
      <c r="I1664" s="13" t="s">
        <v>4668</v>
      </c>
      <c r="J1664" s="13" t="s">
        <v>4753</v>
      </c>
      <c r="K1664" s="13" t="s">
        <v>4672</v>
      </c>
      <c r="L1664" s="12" t="s">
        <v>4672</v>
      </c>
      <c r="M1664" s="17" t="str">
        <f>IF(LEN(COUNTIFS($H$1:H1664,$H1664,$I$1:I1664,$I1664,$J$1:J1664,$J1664,$K$1:K1664,K1664,$L$1:L1664,L1664))=1,"00"&amp;COUNTIFS($H$1:H1664,$H1664,$I$1:I1664,$I1664,$J$1:J1664,$J1664,$K$1:K1664,K1664,$L$1:L1664,L1664),IF(LEN(COUNTIFS($H$1:H1664,$H1664,$I$1:I1664,$I1664,$J$1:J1664,$J1664,$K$1:K1664,K1664,$L$1:L1664,L1664))=2,"0"&amp;COUNTIFS($H$1:H1664,$H1664,$I$1:I1664,$I1664,$J$1:J1664,$J1664,$K$1:K1664,K1664,$L$1:L1664,L1664),COUNTIFS($H$1:H1664,$H1664,$I$1:I1664,$I1664,$J$1:J1664,$J1664,$K$1:K1664,K1664,$L$1:L1664,L1664)))</f>
        <v>018</v>
      </c>
      <c r="N166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64" s="14" t="e">
        <f>+LEN(Table4[[#This Row],[New Item Code]])</f>
        <v>#N/A</v>
      </c>
      <c r="P1664" s="15" t="s">
        <v>4747</v>
      </c>
      <c r="Q1664" s="15" t="s">
        <v>4749</v>
      </c>
      <c r="R1664" s="15"/>
      <c r="S1664" s="15"/>
      <c r="T1664" s="15" t="s">
        <v>4753</v>
      </c>
    </row>
    <row r="1665" spans="1:20" x14ac:dyDescent="0.35">
      <c r="A1665" s="3" t="s">
        <v>3295</v>
      </c>
      <c r="B1665" s="3" t="s">
        <v>3296</v>
      </c>
      <c r="C1665" s="3" t="s">
        <v>56</v>
      </c>
      <c r="D1665" s="3">
        <v>14</v>
      </c>
      <c r="E1665" s="3" t="s">
        <v>10</v>
      </c>
      <c r="F1665" s="3">
        <v>5</v>
      </c>
      <c r="G1665" s="21">
        <f>Table4[[#This Row],[Item Cost]]*Table4[[#This Row],[In Stock]]</f>
        <v>70</v>
      </c>
      <c r="H1665" s="12" t="s">
        <v>4661</v>
      </c>
      <c r="I1665" s="13" t="s">
        <v>4668</v>
      </c>
      <c r="J1665" s="13" t="s">
        <v>4753</v>
      </c>
      <c r="K1665" s="13" t="s">
        <v>4672</v>
      </c>
      <c r="L1665" s="12" t="s">
        <v>4672</v>
      </c>
      <c r="M1665" s="17" t="str">
        <f>IF(LEN(COUNTIFS($H$1:H1665,$H1665,$I$1:I1665,$I1665,$J$1:J1665,$J1665,$K$1:K1665,K1665,$L$1:L1665,L1665))=1,"00"&amp;COUNTIFS($H$1:H1665,$H1665,$I$1:I1665,$I1665,$J$1:J1665,$J1665,$K$1:K1665,K1665,$L$1:L1665,L1665),IF(LEN(COUNTIFS($H$1:H1665,$H1665,$I$1:I1665,$I1665,$J$1:J1665,$J1665,$K$1:K1665,K1665,$L$1:L1665,L1665))=2,"0"&amp;COUNTIFS($H$1:H1665,$H1665,$I$1:I1665,$I1665,$J$1:J1665,$J1665,$K$1:K1665,K1665,$L$1:L1665,L1665),COUNTIFS($H$1:H1665,$H1665,$I$1:I1665,$I1665,$J$1:J1665,$J1665,$K$1:K1665,K1665,$L$1:L1665,L1665)))</f>
        <v>019</v>
      </c>
      <c r="N166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65" s="14" t="e">
        <f>+LEN(Table4[[#This Row],[New Item Code]])</f>
        <v>#N/A</v>
      </c>
      <c r="P1665" s="15" t="s">
        <v>4747</v>
      </c>
      <c r="Q1665" s="15" t="s">
        <v>4749</v>
      </c>
      <c r="R1665" s="15"/>
      <c r="S1665" s="15"/>
      <c r="T1665" s="15" t="s">
        <v>4753</v>
      </c>
    </row>
    <row r="1666" spans="1:20" x14ac:dyDescent="0.35">
      <c r="A1666" s="2" t="s">
        <v>3297</v>
      </c>
      <c r="B1666" s="2" t="s">
        <v>3298</v>
      </c>
      <c r="C1666" s="2" t="s">
        <v>56</v>
      </c>
      <c r="D1666" s="2">
        <v>16.899999999999999</v>
      </c>
      <c r="E1666" s="2" t="s">
        <v>10</v>
      </c>
      <c r="F1666" s="2">
        <v>5</v>
      </c>
      <c r="G1666" s="22">
        <f>Table4[[#This Row],[Item Cost]]*Table4[[#This Row],[In Stock]]</f>
        <v>84.5</v>
      </c>
      <c r="H1666" s="12" t="s">
        <v>4661</v>
      </c>
      <c r="I1666" s="13" t="s">
        <v>4668</v>
      </c>
      <c r="J1666" s="13" t="s">
        <v>4753</v>
      </c>
      <c r="K1666" s="13" t="s">
        <v>4672</v>
      </c>
      <c r="L1666" s="12" t="s">
        <v>4672</v>
      </c>
      <c r="M1666" s="17" t="str">
        <f>IF(LEN(COUNTIFS($H$1:H1666,$H1666,$I$1:I1666,$I1666,$J$1:J1666,$J1666,$K$1:K1666,K1666,$L$1:L1666,L1666))=1,"00"&amp;COUNTIFS($H$1:H1666,$H1666,$I$1:I1666,$I1666,$J$1:J1666,$J1666,$K$1:K1666,K1666,$L$1:L1666,L1666),IF(LEN(COUNTIFS($H$1:H1666,$H1666,$I$1:I1666,$I1666,$J$1:J1666,$J1666,$K$1:K1666,K1666,$L$1:L1666,L1666))=2,"0"&amp;COUNTIFS($H$1:H1666,$H1666,$I$1:I1666,$I1666,$J$1:J1666,$J1666,$K$1:K1666,K1666,$L$1:L1666,L1666),COUNTIFS($H$1:H1666,$H1666,$I$1:I1666,$I1666,$J$1:J1666,$J1666,$K$1:K1666,K1666,$L$1:L1666,L1666)))</f>
        <v>020</v>
      </c>
      <c r="N166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66" s="14" t="e">
        <f>+LEN(Table4[[#This Row],[New Item Code]])</f>
        <v>#N/A</v>
      </c>
      <c r="P1666" s="15" t="s">
        <v>4747</v>
      </c>
      <c r="Q1666" s="15" t="s">
        <v>4749</v>
      </c>
      <c r="R1666" s="15"/>
      <c r="S1666" s="15"/>
      <c r="T1666" s="15" t="s">
        <v>4753</v>
      </c>
    </row>
    <row r="1667" spans="1:20" x14ac:dyDescent="0.35">
      <c r="A1667" s="3" t="s">
        <v>3299</v>
      </c>
      <c r="B1667" s="3" t="s">
        <v>3300</v>
      </c>
      <c r="C1667" s="3" t="s">
        <v>56</v>
      </c>
      <c r="D1667" s="3">
        <v>23.92</v>
      </c>
      <c r="E1667" s="3" t="s">
        <v>10</v>
      </c>
      <c r="F1667" s="3">
        <v>5</v>
      </c>
      <c r="G1667" s="21">
        <f>Table4[[#This Row],[Item Cost]]*Table4[[#This Row],[In Stock]]</f>
        <v>119.60000000000001</v>
      </c>
      <c r="H1667" s="12" t="s">
        <v>4661</v>
      </c>
      <c r="I1667" s="13" t="s">
        <v>4668</v>
      </c>
      <c r="J1667" s="13" t="s">
        <v>4753</v>
      </c>
      <c r="K1667" s="13" t="s">
        <v>4672</v>
      </c>
      <c r="L1667" s="12" t="s">
        <v>4672</v>
      </c>
      <c r="M1667" s="17" t="str">
        <f>IF(LEN(COUNTIFS($H$1:H1667,$H1667,$I$1:I1667,$I1667,$J$1:J1667,$J1667,$K$1:K1667,K1667,$L$1:L1667,L1667))=1,"00"&amp;COUNTIFS($H$1:H1667,$H1667,$I$1:I1667,$I1667,$J$1:J1667,$J1667,$K$1:K1667,K1667,$L$1:L1667,L1667),IF(LEN(COUNTIFS($H$1:H1667,$H1667,$I$1:I1667,$I1667,$J$1:J1667,$J1667,$K$1:K1667,K1667,$L$1:L1667,L1667))=2,"0"&amp;COUNTIFS($H$1:H1667,$H1667,$I$1:I1667,$I1667,$J$1:J1667,$J1667,$K$1:K1667,K1667,$L$1:L1667,L1667),COUNTIFS($H$1:H1667,$H1667,$I$1:I1667,$I1667,$J$1:J1667,$J1667,$K$1:K1667,K1667,$L$1:L1667,L1667)))</f>
        <v>021</v>
      </c>
      <c r="N166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67" s="14" t="e">
        <f>+LEN(Table4[[#This Row],[New Item Code]])</f>
        <v>#N/A</v>
      </c>
      <c r="P1667" s="15" t="s">
        <v>4747</v>
      </c>
      <c r="Q1667" s="15" t="s">
        <v>4749</v>
      </c>
      <c r="R1667" s="15"/>
      <c r="S1667" s="15"/>
      <c r="T1667" s="15" t="s">
        <v>4753</v>
      </c>
    </row>
    <row r="1668" spans="1:20" x14ac:dyDescent="0.35">
      <c r="A1668" s="2" t="s">
        <v>3301</v>
      </c>
      <c r="B1668" s="2" t="s">
        <v>3302</v>
      </c>
      <c r="C1668" s="2" t="s">
        <v>56</v>
      </c>
      <c r="D1668" s="2">
        <v>25.5</v>
      </c>
      <c r="E1668" s="2" t="s">
        <v>10</v>
      </c>
      <c r="F1668" s="2">
        <v>5</v>
      </c>
      <c r="G1668" s="22">
        <f>Table4[[#This Row],[Item Cost]]*Table4[[#This Row],[In Stock]]</f>
        <v>127.5</v>
      </c>
      <c r="H1668" s="12" t="s">
        <v>4661</v>
      </c>
      <c r="I1668" s="13" t="s">
        <v>4668</v>
      </c>
      <c r="J1668" s="13" t="s">
        <v>4753</v>
      </c>
      <c r="K1668" s="13" t="s">
        <v>4672</v>
      </c>
      <c r="L1668" s="12" t="s">
        <v>4672</v>
      </c>
      <c r="M1668" s="17" t="str">
        <f>IF(LEN(COUNTIFS($H$1:H1668,$H1668,$I$1:I1668,$I1668,$J$1:J1668,$J1668,$K$1:K1668,K1668,$L$1:L1668,L1668))=1,"00"&amp;COUNTIFS($H$1:H1668,$H1668,$I$1:I1668,$I1668,$J$1:J1668,$J1668,$K$1:K1668,K1668,$L$1:L1668,L1668),IF(LEN(COUNTIFS($H$1:H1668,$H1668,$I$1:I1668,$I1668,$J$1:J1668,$J1668,$K$1:K1668,K1668,$L$1:L1668,L1668))=2,"0"&amp;COUNTIFS($H$1:H1668,$H1668,$I$1:I1668,$I1668,$J$1:J1668,$J1668,$K$1:K1668,K1668,$L$1:L1668,L1668),COUNTIFS($H$1:H1668,$H1668,$I$1:I1668,$I1668,$J$1:J1668,$J1668,$K$1:K1668,K1668,$L$1:L1668,L1668)))</f>
        <v>022</v>
      </c>
      <c r="N166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68" s="14" t="e">
        <f>+LEN(Table4[[#This Row],[New Item Code]])</f>
        <v>#N/A</v>
      </c>
      <c r="P1668" s="15" t="s">
        <v>4747</v>
      </c>
      <c r="Q1668" s="15" t="s">
        <v>4749</v>
      </c>
      <c r="R1668" s="15"/>
      <c r="S1668" s="15"/>
      <c r="T1668" s="15" t="s">
        <v>4753</v>
      </c>
    </row>
    <row r="1669" spans="1:20" x14ac:dyDescent="0.35">
      <c r="A1669" s="3" t="s">
        <v>3303</v>
      </c>
      <c r="B1669" s="3" t="s">
        <v>3304</v>
      </c>
      <c r="C1669" s="3" t="s">
        <v>56</v>
      </c>
      <c r="D1669" s="3">
        <v>14.7</v>
      </c>
      <c r="E1669" s="3" t="s">
        <v>10</v>
      </c>
      <c r="F1669" s="3">
        <v>2</v>
      </c>
      <c r="G1669" s="21">
        <f>Table4[[#This Row],[Item Cost]]*Table4[[#This Row],[In Stock]]</f>
        <v>29.4</v>
      </c>
      <c r="H1669" s="12" t="s">
        <v>4661</v>
      </c>
      <c r="I1669" s="13" t="s">
        <v>4668</v>
      </c>
      <c r="J1669" s="13" t="s">
        <v>4753</v>
      </c>
      <c r="K1669" s="13" t="s">
        <v>4672</v>
      </c>
      <c r="L1669" s="12" t="s">
        <v>4672</v>
      </c>
      <c r="M1669" s="17" t="str">
        <f>IF(LEN(COUNTIFS($H$1:H1669,$H1669,$I$1:I1669,$I1669,$J$1:J1669,$J1669,$K$1:K1669,K1669,$L$1:L1669,L1669))=1,"00"&amp;COUNTIFS($H$1:H1669,$H1669,$I$1:I1669,$I1669,$J$1:J1669,$J1669,$K$1:K1669,K1669,$L$1:L1669,L1669),IF(LEN(COUNTIFS($H$1:H1669,$H1669,$I$1:I1669,$I1669,$J$1:J1669,$J1669,$K$1:K1669,K1669,$L$1:L1669,L1669))=2,"0"&amp;COUNTIFS($H$1:H1669,$H1669,$I$1:I1669,$I1669,$J$1:J1669,$J1669,$K$1:K1669,K1669,$L$1:L1669,L1669),COUNTIFS($H$1:H1669,$H1669,$I$1:I1669,$I1669,$J$1:J1669,$J1669,$K$1:K1669,K1669,$L$1:L1669,L1669)))</f>
        <v>023</v>
      </c>
      <c r="N166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69" s="14" t="e">
        <f>+LEN(Table4[[#This Row],[New Item Code]])</f>
        <v>#N/A</v>
      </c>
      <c r="P1669" s="15" t="s">
        <v>4747</v>
      </c>
      <c r="Q1669" s="15" t="s">
        <v>4749</v>
      </c>
      <c r="R1669" s="15"/>
      <c r="S1669" s="15"/>
      <c r="T1669" s="15" t="s">
        <v>4753</v>
      </c>
    </row>
    <row r="1670" spans="1:20" x14ac:dyDescent="0.35">
      <c r="A1670" s="2" t="s">
        <v>3305</v>
      </c>
      <c r="B1670" s="2" t="s">
        <v>3306</v>
      </c>
      <c r="C1670" s="2" t="s">
        <v>56</v>
      </c>
      <c r="D1670" s="2">
        <v>14.7</v>
      </c>
      <c r="E1670" s="2" t="s">
        <v>10</v>
      </c>
      <c r="F1670" s="2">
        <v>0</v>
      </c>
      <c r="G1670" s="22">
        <f>Table4[[#This Row],[Item Cost]]*Table4[[#This Row],[In Stock]]</f>
        <v>0</v>
      </c>
      <c r="H1670" s="12" t="s">
        <v>4661</v>
      </c>
      <c r="I1670" s="13" t="s">
        <v>4668</v>
      </c>
      <c r="J1670" s="13" t="s">
        <v>4753</v>
      </c>
      <c r="K1670" s="13" t="s">
        <v>4672</v>
      </c>
      <c r="L1670" s="12" t="s">
        <v>4672</v>
      </c>
      <c r="M1670" s="17" t="str">
        <f>IF(LEN(COUNTIFS($H$1:H1670,$H1670,$I$1:I1670,$I1670,$J$1:J1670,$J1670,$K$1:K1670,K1670,$L$1:L1670,L1670))=1,"00"&amp;COUNTIFS($H$1:H1670,$H1670,$I$1:I1670,$I1670,$J$1:J1670,$J1670,$K$1:K1670,K1670,$L$1:L1670,L1670),IF(LEN(COUNTIFS($H$1:H1670,$H1670,$I$1:I1670,$I1670,$J$1:J1670,$J1670,$K$1:K1670,K1670,$L$1:L1670,L1670))=2,"0"&amp;COUNTIFS($H$1:H1670,$H1670,$I$1:I1670,$I1670,$J$1:J1670,$J1670,$K$1:K1670,K1670,$L$1:L1670,L1670),COUNTIFS($H$1:H1670,$H1670,$I$1:I1670,$I1670,$J$1:J1670,$J1670,$K$1:K1670,K1670,$L$1:L1670,L1670)))</f>
        <v>024</v>
      </c>
      <c r="N167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70" s="14" t="e">
        <f>+LEN(Table4[[#This Row],[New Item Code]])</f>
        <v>#N/A</v>
      </c>
      <c r="P1670" s="15" t="s">
        <v>4747</v>
      </c>
      <c r="Q1670" s="15" t="s">
        <v>4749</v>
      </c>
      <c r="R1670" s="15"/>
      <c r="S1670" s="15"/>
      <c r="T1670" s="15" t="s">
        <v>4753</v>
      </c>
    </row>
    <row r="1671" spans="1:20" x14ac:dyDescent="0.35">
      <c r="A1671" s="3" t="s">
        <v>3307</v>
      </c>
      <c r="B1671" s="3" t="s">
        <v>3308</v>
      </c>
      <c r="C1671" s="3" t="s">
        <v>56</v>
      </c>
      <c r="D1671" s="3">
        <v>17.600000000000001</v>
      </c>
      <c r="E1671" s="3" t="s">
        <v>10</v>
      </c>
      <c r="F1671" s="3">
        <v>9</v>
      </c>
      <c r="G1671" s="21">
        <f>Table4[[#This Row],[Item Cost]]*Table4[[#This Row],[In Stock]]</f>
        <v>158.4</v>
      </c>
      <c r="H1671" s="12" t="s">
        <v>4661</v>
      </c>
      <c r="I1671" s="13" t="s">
        <v>4668</v>
      </c>
      <c r="J1671" s="13" t="s">
        <v>4753</v>
      </c>
      <c r="K1671" s="13" t="s">
        <v>4672</v>
      </c>
      <c r="L1671" s="12" t="s">
        <v>4672</v>
      </c>
      <c r="M1671" s="17" t="str">
        <f>IF(LEN(COUNTIFS($H$1:H1671,$H1671,$I$1:I1671,$I1671,$J$1:J1671,$J1671,$K$1:K1671,K1671,$L$1:L1671,L1671))=1,"00"&amp;COUNTIFS($H$1:H1671,$H1671,$I$1:I1671,$I1671,$J$1:J1671,$J1671,$K$1:K1671,K1671,$L$1:L1671,L1671),IF(LEN(COUNTIFS($H$1:H1671,$H1671,$I$1:I1671,$I1671,$J$1:J1671,$J1671,$K$1:K1671,K1671,$L$1:L1671,L1671))=2,"0"&amp;COUNTIFS($H$1:H1671,$H1671,$I$1:I1671,$I1671,$J$1:J1671,$J1671,$K$1:K1671,K1671,$L$1:L1671,L1671),COUNTIFS($H$1:H1671,$H1671,$I$1:I1671,$I1671,$J$1:J1671,$J1671,$K$1:K1671,K1671,$L$1:L1671,L1671)))</f>
        <v>025</v>
      </c>
      <c r="N167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71" s="14" t="e">
        <f>+LEN(Table4[[#This Row],[New Item Code]])</f>
        <v>#N/A</v>
      </c>
      <c r="P1671" s="15" t="s">
        <v>4747</v>
      </c>
      <c r="Q1671" s="15" t="s">
        <v>4749</v>
      </c>
      <c r="R1671" s="15"/>
      <c r="S1671" s="15"/>
      <c r="T1671" s="15" t="s">
        <v>4753</v>
      </c>
    </row>
    <row r="1672" spans="1:20" x14ac:dyDescent="0.35">
      <c r="A1672" s="2" t="s">
        <v>3309</v>
      </c>
      <c r="B1672" s="2" t="s">
        <v>3310</v>
      </c>
      <c r="C1672" s="2" t="s">
        <v>56</v>
      </c>
      <c r="D1672" s="2">
        <v>5</v>
      </c>
      <c r="E1672" s="2" t="s">
        <v>10</v>
      </c>
      <c r="F1672" s="2">
        <v>22</v>
      </c>
      <c r="G1672" s="22">
        <f>Table4[[#This Row],[Item Cost]]*Table4[[#This Row],[In Stock]]</f>
        <v>110</v>
      </c>
      <c r="H1672" s="12" t="s">
        <v>4661</v>
      </c>
      <c r="I1672" s="13" t="s">
        <v>4668</v>
      </c>
      <c r="J1672" s="13" t="s">
        <v>4753</v>
      </c>
      <c r="K1672" s="13" t="s">
        <v>4672</v>
      </c>
      <c r="L1672" s="12" t="s">
        <v>4672</v>
      </c>
      <c r="M1672" s="17" t="str">
        <f>IF(LEN(COUNTIFS($H$1:H1672,$H1672,$I$1:I1672,$I1672,$J$1:J1672,$J1672,$K$1:K1672,K1672,$L$1:L1672,L1672))=1,"00"&amp;COUNTIFS($H$1:H1672,$H1672,$I$1:I1672,$I1672,$J$1:J1672,$J1672,$K$1:K1672,K1672,$L$1:L1672,L1672),IF(LEN(COUNTIFS($H$1:H1672,$H1672,$I$1:I1672,$I1672,$J$1:J1672,$J1672,$K$1:K1672,K1672,$L$1:L1672,L1672))=2,"0"&amp;COUNTIFS($H$1:H1672,$H1672,$I$1:I1672,$I1672,$J$1:J1672,$J1672,$K$1:K1672,K1672,$L$1:L1672,L1672),COUNTIFS($H$1:H1672,$H1672,$I$1:I1672,$I1672,$J$1:J1672,$J1672,$K$1:K1672,K1672,$L$1:L1672,L1672)))</f>
        <v>026</v>
      </c>
      <c r="N167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72" s="14" t="e">
        <f>+LEN(Table4[[#This Row],[New Item Code]])</f>
        <v>#N/A</v>
      </c>
      <c r="P1672" s="15" t="s">
        <v>4747</v>
      </c>
      <c r="Q1672" s="15" t="s">
        <v>4749</v>
      </c>
      <c r="R1672" s="15"/>
      <c r="S1672" s="15"/>
      <c r="T1672" s="15" t="s">
        <v>4753</v>
      </c>
    </row>
    <row r="1673" spans="1:20" x14ac:dyDescent="0.35">
      <c r="A1673" s="3" t="s">
        <v>3311</v>
      </c>
      <c r="B1673" s="3" t="s">
        <v>3312</v>
      </c>
      <c r="C1673" s="3" t="s">
        <v>56</v>
      </c>
      <c r="D1673" s="3">
        <v>25.5</v>
      </c>
      <c r="E1673" s="3" t="s">
        <v>10</v>
      </c>
      <c r="F1673" s="3">
        <v>5</v>
      </c>
      <c r="G1673" s="21">
        <f>Table4[[#This Row],[Item Cost]]*Table4[[#This Row],[In Stock]]</f>
        <v>127.5</v>
      </c>
      <c r="H1673" s="12" t="s">
        <v>4661</v>
      </c>
      <c r="I1673" s="13" t="s">
        <v>4668</v>
      </c>
      <c r="J1673" s="13" t="s">
        <v>4753</v>
      </c>
      <c r="K1673" s="13" t="s">
        <v>4672</v>
      </c>
      <c r="L1673" s="12" t="s">
        <v>4672</v>
      </c>
      <c r="M1673" s="17" t="str">
        <f>IF(LEN(COUNTIFS($H$1:H1673,$H1673,$I$1:I1673,$I1673,$J$1:J1673,$J1673,$K$1:K1673,K1673,$L$1:L1673,L1673))=1,"00"&amp;COUNTIFS($H$1:H1673,$H1673,$I$1:I1673,$I1673,$J$1:J1673,$J1673,$K$1:K1673,K1673,$L$1:L1673,L1673),IF(LEN(COUNTIFS($H$1:H1673,$H1673,$I$1:I1673,$I1673,$J$1:J1673,$J1673,$K$1:K1673,K1673,$L$1:L1673,L1673))=2,"0"&amp;COUNTIFS($H$1:H1673,$H1673,$I$1:I1673,$I1673,$J$1:J1673,$J1673,$K$1:K1673,K1673,$L$1:L1673,L1673),COUNTIFS($H$1:H1673,$H1673,$I$1:I1673,$I1673,$J$1:J1673,$J1673,$K$1:K1673,K1673,$L$1:L1673,L1673)))</f>
        <v>027</v>
      </c>
      <c r="N167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73" s="14" t="e">
        <f>+LEN(Table4[[#This Row],[New Item Code]])</f>
        <v>#N/A</v>
      </c>
      <c r="P1673" s="15" t="s">
        <v>4747</v>
      </c>
      <c r="Q1673" s="15" t="s">
        <v>4749</v>
      </c>
      <c r="R1673" s="15"/>
      <c r="S1673" s="15"/>
      <c r="T1673" s="15" t="s">
        <v>4753</v>
      </c>
    </row>
    <row r="1674" spans="1:20" x14ac:dyDescent="0.35">
      <c r="A1674" s="2" t="s">
        <v>3313</v>
      </c>
      <c r="B1674" s="2" t="s">
        <v>3314</v>
      </c>
      <c r="C1674" s="2" t="s">
        <v>56</v>
      </c>
      <c r="D1674" s="2">
        <v>6.51</v>
      </c>
      <c r="E1674" s="2" t="s">
        <v>10</v>
      </c>
      <c r="F1674" s="2">
        <v>0</v>
      </c>
      <c r="G1674" s="22">
        <f>Table4[[#This Row],[Item Cost]]*Table4[[#This Row],[In Stock]]</f>
        <v>0</v>
      </c>
      <c r="H1674" s="12" t="s">
        <v>4661</v>
      </c>
      <c r="I1674" s="13" t="s">
        <v>4668</v>
      </c>
      <c r="J1674" s="13" t="s">
        <v>4753</v>
      </c>
      <c r="K1674" s="13" t="s">
        <v>4672</v>
      </c>
      <c r="L1674" s="12" t="s">
        <v>4672</v>
      </c>
      <c r="M1674" s="17" t="str">
        <f>IF(LEN(COUNTIFS($H$1:H1674,$H1674,$I$1:I1674,$I1674,$J$1:J1674,$J1674,$K$1:K1674,K1674,$L$1:L1674,L1674))=1,"00"&amp;COUNTIFS($H$1:H1674,$H1674,$I$1:I1674,$I1674,$J$1:J1674,$J1674,$K$1:K1674,K1674,$L$1:L1674,L1674),IF(LEN(COUNTIFS($H$1:H1674,$H1674,$I$1:I1674,$I1674,$J$1:J1674,$J1674,$K$1:K1674,K1674,$L$1:L1674,L1674))=2,"0"&amp;COUNTIFS($H$1:H1674,$H1674,$I$1:I1674,$I1674,$J$1:J1674,$J1674,$K$1:K1674,K1674,$L$1:L1674,L1674),COUNTIFS($H$1:H1674,$H1674,$I$1:I1674,$I1674,$J$1:J1674,$J1674,$K$1:K1674,K1674,$L$1:L1674,L1674)))</f>
        <v>028</v>
      </c>
      <c r="N167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74" s="14" t="e">
        <f>+LEN(Table4[[#This Row],[New Item Code]])</f>
        <v>#N/A</v>
      </c>
      <c r="P1674" s="15" t="s">
        <v>4747</v>
      </c>
      <c r="Q1674" s="15" t="s">
        <v>4749</v>
      </c>
      <c r="R1674" s="15"/>
      <c r="S1674" s="15"/>
      <c r="T1674" s="15" t="s">
        <v>4753</v>
      </c>
    </row>
    <row r="1675" spans="1:20" x14ac:dyDescent="0.35">
      <c r="A1675" s="3" t="s">
        <v>3315</v>
      </c>
      <c r="B1675" s="3" t="s">
        <v>3316</v>
      </c>
      <c r="C1675" s="3" t="s">
        <v>56</v>
      </c>
      <c r="D1675" s="3">
        <v>9</v>
      </c>
      <c r="E1675" s="3" t="s">
        <v>10</v>
      </c>
      <c r="F1675" s="3">
        <v>0</v>
      </c>
      <c r="G1675" s="21">
        <f>Table4[[#This Row],[Item Cost]]*Table4[[#This Row],[In Stock]]</f>
        <v>0</v>
      </c>
      <c r="H1675" s="12" t="s">
        <v>4661</v>
      </c>
      <c r="I1675" s="13" t="s">
        <v>4668</v>
      </c>
      <c r="J1675" s="13" t="s">
        <v>4753</v>
      </c>
      <c r="K1675" s="13" t="s">
        <v>4672</v>
      </c>
      <c r="L1675" s="12" t="s">
        <v>4672</v>
      </c>
      <c r="M1675" s="17" t="str">
        <f>IF(LEN(COUNTIFS($H$1:H1675,$H1675,$I$1:I1675,$I1675,$J$1:J1675,$J1675,$K$1:K1675,K1675,$L$1:L1675,L1675))=1,"00"&amp;COUNTIFS($H$1:H1675,$H1675,$I$1:I1675,$I1675,$J$1:J1675,$J1675,$K$1:K1675,K1675,$L$1:L1675,L1675),IF(LEN(COUNTIFS($H$1:H1675,$H1675,$I$1:I1675,$I1675,$J$1:J1675,$J1675,$K$1:K1675,K1675,$L$1:L1675,L1675))=2,"0"&amp;COUNTIFS($H$1:H1675,$H1675,$I$1:I1675,$I1675,$J$1:J1675,$J1675,$K$1:K1675,K1675,$L$1:L1675,L1675),COUNTIFS($H$1:H1675,$H1675,$I$1:I1675,$I1675,$J$1:J1675,$J1675,$K$1:K1675,K1675,$L$1:L1675,L1675)))</f>
        <v>029</v>
      </c>
      <c r="N167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75" s="14" t="e">
        <f>+LEN(Table4[[#This Row],[New Item Code]])</f>
        <v>#N/A</v>
      </c>
      <c r="P1675" s="15" t="s">
        <v>4747</v>
      </c>
      <c r="Q1675" s="15" t="s">
        <v>4749</v>
      </c>
      <c r="R1675" s="15"/>
      <c r="S1675" s="15"/>
      <c r="T1675" s="15" t="s">
        <v>4753</v>
      </c>
    </row>
    <row r="1676" spans="1:20" x14ac:dyDescent="0.35">
      <c r="A1676" s="2" t="s">
        <v>3317</v>
      </c>
      <c r="B1676" s="2" t="s">
        <v>3318</v>
      </c>
      <c r="C1676" s="2" t="s">
        <v>56</v>
      </c>
      <c r="D1676" s="2">
        <v>8.9670000000000005</v>
      </c>
      <c r="E1676" s="2" t="s">
        <v>10</v>
      </c>
      <c r="F1676" s="2">
        <v>10</v>
      </c>
      <c r="G1676" s="22">
        <f>Table4[[#This Row],[Item Cost]]*Table4[[#This Row],[In Stock]]</f>
        <v>89.67</v>
      </c>
      <c r="H1676" s="12" t="s">
        <v>4661</v>
      </c>
      <c r="I1676" s="13" t="s">
        <v>4668</v>
      </c>
      <c r="J1676" s="13" t="s">
        <v>4753</v>
      </c>
      <c r="K1676" s="13" t="s">
        <v>4672</v>
      </c>
      <c r="L1676" s="12" t="s">
        <v>4672</v>
      </c>
      <c r="M1676" s="17" t="str">
        <f>IF(LEN(COUNTIFS($H$1:H1676,$H1676,$I$1:I1676,$I1676,$J$1:J1676,$J1676,$K$1:K1676,K1676,$L$1:L1676,L1676))=1,"00"&amp;COUNTIFS($H$1:H1676,$H1676,$I$1:I1676,$I1676,$J$1:J1676,$J1676,$K$1:K1676,K1676,$L$1:L1676,L1676),IF(LEN(COUNTIFS($H$1:H1676,$H1676,$I$1:I1676,$I1676,$J$1:J1676,$J1676,$K$1:K1676,K1676,$L$1:L1676,L1676))=2,"0"&amp;COUNTIFS($H$1:H1676,$H1676,$I$1:I1676,$I1676,$J$1:J1676,$J1676,$K$1:K1676,K1676,$L$1:L1676,L1676),COUNTIFS($H$1:H1676,$H1676,$I$1:I1676,$I1676,$J$1:J1676,$J1676,$K$1:K1676,K1676,$L$1:L1676,L1676)))</f>
        <v>030</v>
      </c>
      <c r="N167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76" s="14" t="e">
        <f>+LEN(Table4[[#This Row],[New Item Code]])</f>
        <v>#N/A</v>
      </c>
      <c r="P1676" s="15" t="s">
        <v>4747</v>
      </c>
      <c r="Q1676" s="15" t="s">
        <v>4749</v>
      </c>
      <c r="R1676" s="15"/>
      <c r="S1676" s="15"/>
      <c r="T1676" s="15" t="s">
        <v>4753</v>
      </c>
    </row>
    <row r="1677" spans="1:20" x14ac:dyDescent="0.35">
      <c r="A1677" s="3" t="s">
        <v>3319</v>
      </c>
      <c r="B1677" s="3" t="s">
        <v>3320</v>
      </c>
      <c r="C1677" s="3" t="s">
        <v>56</v>
      </c>
      <c r="D1677" s="3">
        <v>12.356999999999999</v>
      </c>
      <c r="E1677" s="3" t="s">
        <v>10</v>
      </c>
      <c r="F1677" s="3">
        <v>9</v>
      </c>
      <c r="G1677" s="21">
        <f>Table4[[#This Row],[Item Cost]]*Table4[[#This Row],[In Stock]]</f>
        <v>111.21299999999999</v>
      </c>
      <c r="H1677" s="12" t="s">
        <v>4661</v>
      </c>
      <c r="I1677" s="13" t="s">
        <v>4668</v>
      </c>
      <c r="J1677" s="13" t="s">
        <v>4753</v>
      </c>
      <c r="K1677" s="13" t="s">
        <v>4672</v>
      </c>
      <c r="L1677" s="12" t="s">
        <v>4672</v>
      </c>
      <c r="M1677" s="17" t="str">
        <f>IF(LEN(COUNTIFS($H$1:H1677,$H1677,$I$1:I1677,$I1677,$J$1:J1677,$J1677,$K$1:K1677,K1677,$L$1:L1677,L1677))=1,"00"&amp;COUNTIFS($H$1:H1677,$H1677,$I$1:I1677,$I1677,$J$1:J1677,$J1677,$K$1:K1677,K1677,$L$1:L1677,L1677),IF(LEN(COUNTIFS($H$1:H1677,$H1677,$I$1:I1677,$I1677,$J$1:J1677,$J1677,$K$1:K1677,K1677,$L$1:L1677,L1677))=2,"0"&amp;COUNTIFS($H$1:H1677,$H1677,$I$1:I1677,$I1677,$J$1:J1677,$J1677,$K$1:K1677,K1677,$L$1:L1677,L1677),COUNTIFS($H$1:H1677,$H1677,$I$1:I1677,$I1677,$J$1:J1677,$J1677,$K$1:K1677,K1677,$L$1:L1677,L1677)))</f>
        <v>031</v>
      </c>
      <c r="N167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77" s="14" t="e">
        <f>+LEN(Table4[[#This Row],[New Item Code]])</f>
        <v>#N/A</v>
      </c>
      <c r="P1677" s="15" t="s">
        <v>4747</v>
      </c>
      <c r="Q1677" s="15" t="s">
        <v>4749</v>
      </c>
      <c r="R1677" s="15"/>
      <c r="S1677" s="15"/>
      <c r="T1677" s="15" t="s">
        <v>4753</v>
      </c>
    </row>
    <row r="1678" spans="1:20" x14ac:dyDescent="0.35">
      <c r="A1678" s="2" t="s">
        <v>3321</v>
      </c>
      <c r="B1678" s="2" t="s">
        <v>3322</v>
      </c>
      <c r="C1678" s="2" t="s">
        <v>56</v>
      </c>
      <c r="D1678" s="2">
        <v>11.81</v>
      </c>
      <c r="E1678" s="2" t="s">
        <v>10</v>
      </c>
      <c r="F1678" s="2">
        <v>25</v>
      </c>
      <c r="G1678" s="22">
        <f>Table4[[#This Row],[Item Cost]]*Table4[[#This Row],[In Stock]]</f>
        <v>295.25</v>
      </c>
      <c r="H1678" s="12" t="s">
        <v>4661</v>
      </c>
      <c r="I1678" s="13" t="s">
        <v>4668</v>
      </c>
      <c r="J1678" s="13" t="s">
        <v>4753</v>
      </c>
      <c r="K1678" s="13" t="s">
        <v>4672</v>
      </c>
      <c r="L1678" s="12" t="s">
        <v>4672</v>
      </c>
      <c r="M1678" s="17" t="str">
        <f>IF(LEN(COUNTIFS($H$1:H1678,$H1678,$I$1:I1678,$I1678,$J$1:J1678,$J1678,$K$1:K1678,K1678,$L$1:L1678,L1678))=1,"00"&amp;COUNTIFS($H$1:H1678,$H1678,$I$1:I1678,$I1678,$J$1:J1678,$J1678,$K$1:K1678,K1678,$L$1:L1678,L1678),IF(LEN(COUNTIFS($H$1:H1678,$H1678,$I$1:I1678,$I1678,$J$1:J1678,$J1678,$K$1:K1678,K1678,$L$1:L1678,L1678))=2,"0"&amp;COUNTIFS($H$1:H1678,$H1678,$I$1:I1678,$I1678,$J$1:J1678,$J1678,$K$1:K1678,K1678,$L$1:L1678,L1678),COUNTIFS($H$1:H1678,$H1678,$I$1:I1678,$I1678,$J$1:J1678,$J1678,$K$1:K1678,K1678,$L$1:L1678,L1678)))</f>
        <v>032</v>
      </c>
      <c r="N167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78" s="14" t="e">
        <f>+LEN(Table4[[#This Row],[New Item Code]])</f>
        <v>#N/A</v>
      </c>
      <c r="P1678" s="15" t="s">
        <v>4747</v>
      </c>
      <c r="Q1678" s="15" t="s">
        <v>4749</v>
      </c>
      <c r="R1678" s="15"/>
      <c r="S1678" s="15"/>
      <c r="T1678" s="15" t="s">
        <v>4753</v>
      </c>
    </row>
    <row r="1679" spans="1:20" x14ac:dyDescent="0.35">
      <c r="A1679" s="3" t="s">
        <v>3323</v>
      </c>
      <c r="B1679" s="3" t="s">
        <v>3324</v>
      </c>
      <c r="C1679" s="3" t="s">
        <v>56</v>
      </c>
      <c r="D1679" s="3">
        <v>28</v>
      </c>
      <c r="E1679" s="3" t="s">
        <v>10</v>
      </c>
      <c r="F1679" s="3">
        <v>15</v>
      </c>
      <c r="G1679" s="21">
        <f>Table4[[#This Row],[Item Cost]]*Table4[[#This Row],[In Stock]]</f>
        <v>420</v>
      </c>
      <c r="H1679" s="12" t="s">
        <v>4661</v>
      </c>
      <c r="I1679" s="13" t="s">
        <v>4668</v>
      </c>
      <c r="J1679" s="13" t="s">
        <v>4753</v>
      </c>
      <c r="K1679" s="13" t="s">
        <v>4672</v>
      </c>
      <c r="L1679" s="12" t="s">
        <v>4672</v>
      </c>
      <c r="M1679" s="17" t="str">
        <f>IF(LEN(COUNTIFS($H$1:H1679,$H1679,$I$1:I1679,$I1679,$J$1:J1679,$J1679,$K$1:K1679,K1679,$L$1:L1679,L1679))=1,"00"&amp;COUNTIFS($H$1:H1679,$H1679,$I$1:I1679,$I1679,$J$1:J1679,$J1679,$K$1:K1679,K1679,$L$1:L1679,L1679),IF(LEN(COUNTIFS($H$1:H1679,$H1679,$I$1:I1679,$I1679,$J$1:J1679,$J1679,$K$1:K1679,K1679,$L$1:L1679,L1679))=2,"0"&amp;COUNTIFS($H$1:H1679,$H1679,$I$1:I1679,$I1679,$J$1:J1679,$J1679,$K$1:K1679,K1679,$L$1:L1679,L1679),COUNTIFS($H$1:H1679,$H1679,$I$1:I1679,$I1679,$J$1:J1679,$J1679,$K$1:K1679,K1679,$L$1:L1679,L1679)))</f>
        <v>033</v>
      </c>
      <c r="N167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79" s="14" t="e">
        <f>+LEN(Table4[[#This Row],[New Item Code]])</f>
        <v>#N/A</v>
      </c>
      <c r="P1679" s="15" t="s">
        <v>4747</v>
      </c>
      <c r="Q1679" s="15" t="s">
        <v>4749</v>
      </c>
      <c r="R1679" s="15"/>
      <c r="S1679" s="15"/>
      <c r="T1679" s="15" t="s">
        <v>4753</v>
      </c>
    </row>
    <row r="1680" spans="1:20" x14ac:dyDescent="0.35">
      <c r="A1680" s="2" t="s">
        <v>3325</v>
      </c>
      <c r="B1680" s="2" t="s">
        <v>3326</v>
      </c>
      <c r="C1680" s="2" t="s">
        <v>56</v>
      </c>
      <c r="D1680" s="2">
        <v>5</v>
      </c>
      <c r="E1680" s="2" t="s">
        <v>10</v>
      </c>
      <c r="F1680" s="2">
        <v>0</v>
      </c>
      <c r="G1680" s="22">
        <f>Table4[[#This Row],[Item Cost]]*Table4[[#This Row],[In Stock]]</f>
        <v>0</v>
      </c>
      <c r="H1680" s="12" t="s">
        <v>4661</v>
      </c>
      <c r="I1680" s="13" t="s">
        <v>4668</v>
      </c>
      <c r="J1680" s="13" t="s">
        <v>4753</v>
      </c>
      <c r="K1680" s="13" t="s">
        <v>4672</v>
      </c>
      <c r="L1680" s="12" t="s">
        <v>4672</v>
      </c>
      <c r="M1680" s="17" t="str">
        <f>IF(LEN(COUNTIFS($H$1:H1680,$H1680,$I$1:I1680,$I1680,$J$1:J1680,$J1680,$K$1:K1680,K1680,$L$1:L1680,L1680))=1,"00"&amp;COUNTIFS($H$1:H1680,$H1680,$I$1:I1680,$I1680,$J$1:J1680,$J1680,$K$1:K1680,K1680,$L$1:L1680,L1680),IF(LEN(COUNTIFS($H$1:H1680,$H1680,$I$1:I1680,$I1680,$J$1:J1680,$J1680,$K$1:K1680,K1680,$L$1:L1680,L1680))=2,"0"&amp;COUNTIFS($H$1:H1680,$H1680,$I$1:I1680,$I1680,$J$1:J1680,$J1680,$K$1:K1680,K1680,$L$1:L1680,L1680),COUNTIFS($H$1:H1680,$H1680,$I$1:I1680,$I1680,$J$1:J1680,$J1680,$K$1:K1680,K1680,$L$1:L1680,L1680)))</f>
        <v>034</v>
      </c>
      <c r="N168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80" s="14" t="e">
        <f>+LEN(Table4[[#This Row],[New Item Code]])</f>
        <v>#N/A</v>
      </c>
      <c r="P1680" s="15" t="s">
        <v>4747</v>
      </c>
      <c r="Q1680" s="15" t="s">
        <v>4749</v>
      </c>
      <c r="R1680" s="15"/>
      <c r="S1680" s="15"/>
      <c r="T1680" s="15" t="s">
        <v>4753</v>
      </c>
    </row>
    <row r="1681" spans="1:20" x14ac:dyDescent="0.35">
      <c r="A1681" s="3" t="s">
        <v>3327</v>
      </c>
      <c r="B1681" s="3" t="s">
        <v>3328</v>
      </c>
      <c r="C1681" s="3" t="s">
        <v>56</v>
      </c>
      <c r="D1681" s="3">
        <v>6.5</v>
      </c>
      <c r="E1681" s="3" t="s">
        <v>10</v>
      </c>
      <c r="F1681" s="3">
        <v>0</v>
      </c>
      <c r="G1681" s="21">
        <f>Table4[[#This Row],[Item Cost]]*Table4[[#This Row],[In Stock]]</f>
        <v>0</v>
      </c>
      <c r="H1681" s="12" t="s">
        <v>4661</v>
      </c>
      <c r="I1681" s="13" t="s">
        <v>4668</v>
      </c>
      <c r="J1681" s="13" t="s">
        <v>4753</v>
      </c>
      <c r="K1681" s="13" t="s">
        <v>4672</v>
      </c>
      <c r="L1681" s="12" t="s">
        <v>4672</v>
      </c>
      <c r="M1681" s="17" t="str">
        <f>IF(LEN(COUNTIFS($H$1:H1681,$H1681,$I$1:I1681,$I1681,$J$1:J1681,$J1681,$K$1:K1681,K1681,$L$1:L1681,L1681))=1,"00"&amp;COUNTIFS($H$1:H1681,$H1681,$I$1:I1681,$I1681,$J$1:J1681,$J1681,$K$1:K1681,K1681,$L$1:L1681,L1681),IF(LEN(COUNTIFS($H$1:H1681,$H1681,$I$1:I1681,$I1681,$J$1:J1681,$J1681,$K$1:K1681,K1681,$L$1:L1681,L1681))=2,"0"&amp;COUNTIFS($H$1:H1681,$H1681,$I$1:I1681,$I1681,$J$1:J1681,$J1681,$K$1:K1681,K1681,$L$1:L1681,L1681),COUNTIFS($H$1:H1681,$H1681,$I$1:I1681,$I1681,$J$1:J1681,$J1681,$K$1:K1681,K1681,$L$1:L1681,L1681)))</f>
        <v>035</v>
      </c>
      <c r="N168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81" s="14" t="e">
        <f>+LEN(Table4[[#This Row],[New Item Code]])</f>
        <v>#N/A</v>
      </c>
      <c r="P1681" s="15" t="s">
        <v>4747</v>
      </c>
      <c r="Q1681" s="15" t="s">
        <v>4749</v>
      </c>
      <c r="R1681" s="15"/>
      <c r="S1681" s="15"/>
      <c r="T1681" s="15" t="s">
        <v>4753</v>
      </c>
    </row>
    <row r="1682" spans="1:20" x14ac:dyDescent="0.35">
      <c r="A1682" s="2" t="s">
        <v>3329</v>
      </c>
      <c r="B1682" s="2" t="s">
        <v>3330</v>
      </c>
      <c r="C1682" s="2" t="s">
        <v>56</v>
      </c>
      <c r="D1682" s="2">
        <v>7.5</v>
      </c>
      <c r="E1682" s="2" t="s">
        <v>10</v>
      </c>
      <c r="F1682" s="2">
        <v>10</v>
      </c>
      <c r="G1682" s="22">
        <f>Table4[[#This Row],[Item Cost]]*Table4[[#This Row],[In Stock]]</f>
        <v>75</v>
      </c>
      <c r="H1682" s="12" t="s">
        <v>4661</v>
      </c>
      <c r="I1682" s="13" t="s">
        <v>4668</v>
      </c>
      <c r="J1682" s="13" t="s">
        <v>4753</v>
      </c>
      <c r="K1682" s="13" t="s">
        <v>4672</v>
      </c>
      <c r="L1682" s="12" t="s">
        <v>4672</v>
      </c>
      <c r="M1682" s="17" t="str">
        <f>IF(LEN(COUNTIFS($H$1:H1682,$H1682,$I$1:I1682,$I1682,$J$1:J1682,$J1682,$K$1:K1682,K1682,$L$1:L1682,L1682))=1,"00"&amp;COUNTIFS($H$1:H1682,$H1682,$I$1:I1682,$I1682,$J$1:J1682,$J1682,$K$1:K1682,K1682,$L$1:L1682,L1682),IF(LEN(COUNTIFS($H$1:H1682,$H1682,$I$1:I1682,$I1682,$J$1:J1682,$J1682,$K$1:K1682,K1682,$L$1:L1682,L1682))=2,"0"&amp;COUNTIFS($H$1:H1682,$H1682,$I$1:I1682,$I1682,$J$1:J1682,$J1682,$K$1:K1682,K1682,$L$1:L1682,L1682),COUNTIFS($H$1:H1682,$H1682,$I$1:I1682,$I1682,$J$1:J1682,$J1682,$K$1:K1682,K1682,$L$1:L1682,L1682)))</f>
        <v>036</v>
      </c>
      <c r="N168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82" s="14" t="e">
        <f>+LEN(Table4[[#This Row],[New Item Code]])</f>
        <v>#N/A</v>
      </c>
      <c r="P1682" s="15" t="s">
        <v>4747</v>
      </c>
      <c r="Q1682" s="15" t="s">
        <v>4749</v>
      </c>
      <c r="R1682" s="15"/>
      <c r="S1682" s="15"/>
      <c r="T1682" s="15" t="s">
        <v>4753</v>
      </c>
    </row>
    <row r="1683" spans="1:20" x14ac:dyDescent="0.35">
      <c r="A1683" s="3" t="s">
        <v>3331</v>
      </c>
      <c r="B1683" s="3" t="s">
        <v>3332</v>
      </c>
      <c r="C1683" s="3" t="s">
        <v>56</v>
      </c>
      <c r="D1683" s="3">
        <v>9</v>
      </c>
      <c r="E1683" s="3" t="s">
        <v>10</v>
      </c>
      <c r="F1683" s="3">
        <v>9</v>
      </c>
      <c r="G1683" s="21">
        <f>Table4[[#This Row],[Item Cost]]*Table4[[#This Row],[In Stock]]</f>
        <v>81</v>
      </c>
      <c r="H1683" s="12" t="s">
        <v>4661</v>
      </c>
      <c r="I1683" s="13" t="s">
        <v>4668</v>
      </c>
      <c r="J1683" s="13" t="s">
        <v>4753</v>
      </c>
      <c r="K1683" s="13" t="s">
        <v>4672</v>
      </c>
      <c r="L1683" s="12" t="s">
        <v>4672</v>
      </c>
      <c r="M1683" s="17" t="str">
        <f>IF(LEN(COUNTIFS($H$1:H1683,$H1683,$I$1:I1683,$I1683,$J$1:J1683,$J1683,$K$1:K1683,K1683,$L$1:L1683,L1683))=1,"00"&amp;COUNTIFS($H$1:H1683,$H1683,$I$1:I1683,$I1683,$J$1:J1683,$J1683,$K$1:K1683,K1683,$L$1:L1683,L1683),IF(LEN(COUNTIFS($H$1:H1683,$H1683,$I$1:I1683,$I1683,$J$1:J1683,$J1683,$K$1:K1683,K1683,$L$1:L1683,L1683))=2,"0"&amp;COUNTIFS($H$1:H1683,$H1683,$I$1:I1683,$I1683,$J$1:J1683,$J1683,$K$1:K1683,K1683,$L$1:L1683,L1683),COUNTIFS($H$1:H1683,$H1683,$I$1:I1683,$I1683,$J$1:J1683,$J1683,$K$1:K1683,K1683,$L$1:L1683,L1683)))</f>
        <v>037</v>
      </c>
      <c r="N168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83" s="14" t="e">
        <f>+LEN(Table4[[#This Row],[New Item Code]])</f>
        <v>#N/A</v>
      </c>
      <c r="P1683" s="15" t="s">
        <v>4747</v>
      </c>
      <c r="Q1683" s="15" t="s">
        <v>4749</v>
      </c>
      <c r="R1683" s="15"/>
      <c r="S1683" s="15"/>
      <c r="T1683" s="15" t="s">
        <v>4753</v>
      </c>
    </row>
    <row r="1684" spans="1:20" x14ac:dyDescent="0.35">
      <c r="A1684" s="2" t="s">
        <v>3333</v>
      </c>
      <c r="B1684" s="2" t="s">
        <v>3334</v>
      </c>
      <c r="C1684" s="2" t="s">
        <v>56</v>
      </c>
      <c r="D1684" s="2">
        <v>12</v>
      </c>
      <c r="E1684" s="2" t="s">
        <v>10</v>
      </c>
      <c r="F1684" s="2">
        <v>10</v>
      </c>
      <c r="G1684" s="22">
        <f>Table4[[#This Row],[Item Cost]]*Table4[[#This Row],[In Stock]]</f>
        <v>120</v>
      </c>
      <c r="H1684" s="12" t="s">
        <v>4661</v>
      </c>
      <c r="I1684" s="13" t="s">
        <v>4668</v>
      </c>
      <c r="J1684" s="13" t="s">
        <v>4753</v>
      </c>
      <c r="K1684" s="13" t="s">
        <v>4672</v>
      </c>
      <c r="L1684" s="12" t="s">
        <v>4672</v>
      </c>
      <c r="M1684" s="17" t="str">
        <f>IF(LEN(COUNTIFS($H$1:H1684,$H1684,$I$1:I1684,$I1684,$J$1:J1684,$J1684,$K$1:K1684,K1684,$L$1:L1684,L1684))=1,"00"&amp;COUNTIFS($H$1:H1684,$H1684,$I$1:I1684,$I1684,$J$1:J1684,$J1684,$K$1:K1684,K1684,$L$1:L1684,L1684),IF(LEN(COUNTIFS($H$1:H1684,$H1684,$I$1:I1684,$I1684,$J$1:J1684,$J1684,$K$1:K1684,K1684,$L$1:L1684,L1684))=2,"0"&amp;COUNTIFS($H$1:H1684,$H1684,$I$1:I1684,$I1684,$J$1:J1684,$J1684,$K$1:K1684,K1684,$L$1:L1684,L1684),COUNTIFS($H$1:H1684,$H1684,$I$1:I1684,$I1684,$J$1:J1684,$J1684,$K$1:K1684,K1684,$L$1:L1684,L1684)))</f>
        <v>038</v>
      </c>
      <c r="N168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84" s="14" t="e">
        <f>+LEN(Table4[[#This Row],[New Item Code]])</f>
        <v>#N/A</v>
      </c>
      <c r="P1684" s="15" t="s">
        <v>4747</v>
      </c>
      <c r="Q1684" s="15" t="s">
        <v>4749</v>
      </c>
      <c r="R1684" s="15"/>
      <c r="S1684" s="15"/>
      <c r="T1684" s="15" t="s">
        <v>4753</v>
      </c>
    </row>
    <row r="1685" spans="1:20" x14ac:dyDescent="0.35">
      <c r="A1685" s="3" t="s">
        <v>3335</v>
      </c>
      <c r="B1685" s="3" t="s">
        <v>3336</v>
      </c>
      <c r="C1685" s="3" t="s">
        <v>56</v>
      </c>
      <c r="D1685" s="3">
        <v>16</v>
      </c>
      <c r="E1685" s="3" t="s">
        <v>10</v>
      </c>
      <c r="F1685" s="3">
        <v>0</v>
      </c>
      <c r="G1685" s="21">
        <f>Table4[[#This Row],[Item Cost]]*Table4[[#This Row],[In Stock]]</f>
        <v>0</v>
      </c>
      <c r="H1685" s="12" t="s">
        <v>4661</v>
      </c>
      <c r="I1685" s="13" t="s">
        <v>4668</v>
      </c>
      <c r="J1685" s="13" t="s">
        <v>4753</v>
      </c>
      <c r="K1685" s="13" t="s">
        <v>4672</v>
      </c>
      <c r="L1685" s="12" t="s">
        <v>4672</v>
      </c>
      <c r="M1685" s="17" t="str">
        <f>IF(LEN(COUNTIFS($H$1:H1685,$H1685,$I$1:I1685,$I1685,$J$1:J1685,$J1685,$K$1:K1685,K1685,$L$1:L1685,L1685))=1,"00"&amp;COUNTIFS($H$1:H1685,$H1685,$I$1:I1685,$I1685,$J$1:J1685,$J1685,$K$1:K1685,K1685,$L$1:L1685,L1685),IF(LEN(COUNTIFS($H$1:H1685,$H1685,$I$1:I1685,$I1685,$J$1:J1685,$J1685,$K$1:K1685,K1685,$L$1:L1685,L1685))=2,"0"&amp;COUNTIFS($H$1:H1685,$H1685,$I$1:I1685,$I1685,$J$1:J1685,$J1685,$K$1:K1685,K1685,$L$1:L1685,L1685),COUNTIFS($H$1:H1685,$H1685,$I$1:I1685,$I1685,$J$1:J1685,$J1685,$K$1:K1685,K1685,$L$1:L1685,L1685)))</f>
        <v>039</v>
      </c>
      <c r="N168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85" s="14" t="e">
        <f>+LEN(Table4[[#This Row],[New Item Code]])</f>
        <v>#N/A</v>
      </c>
      <c r="P1685" s="15" t="s">
        <v>4747</v>
      </c>
      <c r="Q1685" s="15" t="s">
        <v>4749</v>
      </c>
      <c r="R1685" s="15"/>
      <c r="S1685" s="15"/>
      <c r="T1685" s="15" t="s">
        <v>4753</v>
      </c>
    </row>
    <row r="1686" spans="1:20" x14ac:dyDescent="0.35">
      <c r="A1686" s="2" t="s">
        <v>3337</v>
      </c>
      <c r="B1686" s="2" t="s">
        <v>3338</v>
      </c>
      <c r="C1686" s="2" t="s">
        <v>56</v>
      </c>
      <c r="D1686" s="2">
        <v>12.242000000000001</v>
      </c>
      <c r="E1686" s="2" t="s">
        <v>10</v>
      </c>
      <c r="F1686" s="2">
        <v>33</v>
      </c>
      <c r="G1686" s="22">
        <f>Table4[[#This Row],[Item Cost]]*Table4[[#This Row],[In Stock]]</f>
        <v>403.98600000000005</v>
      </c>
      <c r="H1686" s="12" t="s">
        <v>4661</v>
      </c>
      <c r="I1686" s="13" t="s">
        <v>4668</v>
      </c>
      <c r="J1686" s="13" t="s">
        <v>4753</v>
      </c>
      <c r="K1686" s="13" t="s">
        <v>4672</v>
      </c>
      <c r="L1686" s="12" t="s">
        <v>4672</v>
      </c>
      <c r="M1686" s="17" t="str">
        <f>IF(LEN(COUNTIFS($H$1:H1686,$H1686,$I$1:I1686,$I1686,$J$1:J1686,$J1686,$K$1:K1686,K1686,$L$1:L1686,L1686))=1,"00"&amp;COUNTIFS($H$1:H1686,$H1686,$I$1:I1686,$I1686,$J$1:J1686,$J1686,$K$1:K1686,K1686,$L$1:L1686,L1686),IF(LEN(COUNTIFS($H$1:H1686,$H1686,$I$1:I1686,$I1686,$J$1:J1686,$J1686,$K$1:K1686,K1686,$L$1:L1686,L1686))=2,"0"&amp;COUNTIFS($H$1:H1686,$H1686,$I$1:I1686,$I1686,$J$1:J1686,$J1686,$K$1:K1686,K1686,$L$1:L1686,L1686),COUNTIFS($H$1:H1686,$H1686,$I$1:I1686,$I1686,$J$1:J1686,$J1686,$K$1:K1686,K1686,$L$1:L1686,L1686)))</f>
        <v>040</v>
      </c>
      <c r="N168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86" s="14" t="e">
        <f>+LEN(Table4[[#This Row],[New Item Code]])</f>
        <v>#N/A</v>
      </c>
      <c r="P1686" s="15" t="s">
        <v>4747</v>
      </c>
      <c r="Q1686" s="15" t="s">
        <v>4749</v>
      </c>
      <c r="R1686" s="15"/>
      <c r="S1686" s="15"/>
      <c r="T1686" s="15" t="s">
        <v>4753</v>
      </c>
    </row>
    <row r="1687" spans="1:20" x14ac:dyDescent="0.35">
      <c r="A1687" s="3" t="s">
        <v>3339</v>
      </c>
      <c r="B1687" s="3" t="s">
        <v>3340</v>
      </c>
      <c r="C1687" s="3" t="s">
        <v>56</v>
      </c>
      <c r="D1687" s="3">
        <v>11.215999999999999</v>
      </c>
      <c r="E1687" s="3" t="s">
        <v>10</v>
      </c>
      <c r="F1687" s="3">
        <v>7</v>
      </c>
      <c r="G1687" s="21">
        <f>Table4[[#This Row],[Item Cost]]*Table4[[#This Row],[In Stock]]</f>
        <v>78.512</v>
      </c>
      <c r="H1687" s="12" t="s">
        <v>4661</v>
      </c>
      <c r="I1687" s="13" t="s">
        <v>4668</v>
      </c>
      <c r="J1687" s="13" t="s">
        <v>4753</v>
      </c>
      <c r="K1687" s="13" t="s">
        <v>4672</v>
      </c>
      <c r="L1687" s="12" t="s">
        <v>4672</v>
      </c>
      <c r="M1687" s="17" t="str">
        <f>IF(LEN(COUNTIFS($H$1:H1687,$H1687,$I$1:I1687,$I1687,$J$1:J1687,$J1687,$K$1:K1687,K1687,$L$1:L1687,L1687))=1,"00"&amp;COUNTIFS($H$1:H1687,$H1687,$I$1:I1687,$I1687,$J$1:J1687,$J1687,$K$1:K1687,K1687,$L$1:L1687,L1687),IF(LEN(COUNTIFS($H$1:H1687,$H1687,$I$1:I1687,$I1687,$J$1:J1687,$J1687,$K$1:K1687,K1687,$L$1:L1687,L1687))=2,"0"&amp;COUNTIFS($H$1:H1687,$H1687,$I$1:I1687,$I1687,$J$1:J1687,$J1687,$K$1:K1687,K1687,$L$1:L1687,L1687),COUNTIFS($H$1:H1687,$H1687,$I$1:I1687,$I1687,$J$1:J1687,$J1687,$K$1:K1687,K1687,$L$1:L1687,L1687)))</f>
        <v>041</v>
      </c>
      <c r="N168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87" s="14" t="e">
        <f>+LEN(Table4[[#This Row],[New Item Code]])</f>
        <v>#N/A</v>
      </c>
      <c r="P1687" s="15" t="s">
        <v>4747</v>
      </c>
      <c r="Q1687" s="15" t="s">
        <v>4749</v>
      </c>
      <c r="R1687" s="15"/>
      <c r="S1687" s="15"/>
      <c r="T1687" s="15" t="s">
        <v>4753</v>
      </c>
    </row>
    <row r="1688" spans="1:20" x14ac:dyDescent="0.35">
      <c r="A1688" s="2" t="s">
        <v>3341</v>
      </c>
      <c r="B1688" s="2" t="s">
        <v>3342</v>
      </c>
      <c r="C1688" s="2" t="s">
        <v>56</v>
      </c>
      <c r="D1688" s="2">
        <v>15</v>
      </c>
      <c r="E1688" s="2" t="s">
        <v>10</v>
      </c>
      <c r="F1688" s="2">
        <v>10</v>
      </c>
      <c r="G1688" s="22">
        <f>Table4[[#This Row],[Item Cost]]*Table4[[#This Row],[In Stock]]</f>
        <v>150</v>
      </c>
      <c r="H1688" s="12" t="s">
        <v>4661</v>
      </c>
      <c r="I1688" s="13" t="s">
        <v>4668</v>
      </c>
      <c r="J1688" s="13" t="s">
        <v>4753</v>
      </c>
      <c r="K1688" s="13" t="s">
        <v>4672</v>
      </c>
      <c r="L1688" s="12" t="s">
        <v>4672</v>
      </c>
      <c r="M1688" s="17" t="str">
        <f>IF(LEN(COUNTIFS($H$1:H1688,$H1688,$I$1:I1688,$I1688,$J$1:J1688,$J1688,$K$1:K1688,K1688,$L$1:L1688,L1688))=1,"00"&amp;COUNTIFS($H$1:H1688,$H1688,$I$1:I1688,$I1688,$J$1:J1688,$J1688,$K$1:K1688,K1688,$L$1:L1688,L1688),IF(LEN(COUNTIFS($H$1:H1688,$H1688,$I$1:I1688,$I1688,$J$1:J1688,$J1688,$K$1:K1688,K1688,$L$1:L1688,L1688))=2,"0"&amp;COUNTIFS($H$1:H1688,$H1688,$I$1:I1688,$I1688,$J$1:J1688,$J1688,$K$1:K1688,K1688,$L$1:L1688,L1688),COUNTIFS($H$1:H1688,$H1688,$I$1:I1688,$I1688,$J$1:J1688,$J1688,$K$1:K1688,K1688,$L$1:L1688,L1688)))</f>
        <v>042</v>
      </c>
      <c r="N168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88" s="14" t="e">
        <f>+LEN(Table4[[#This Row],[New Item Code]])</f>
        <v>#N/A</v>
      </c>
      <c r="P1688" s="15" t="s">
        <v>4747</v>
      </c>
      <c r="Q1688" s="15" t="s">
        <v>4749</v>
      </c>
      <c r="R1688" s="15"/>
      <c r="S1688" s="15"/>
      <c r="T1688" s="15" t="s">
        <v>4753</v>
      </c>
    </row>
    <row r="1689" spans="1:20" x14ac:dyDescent="0.35">
      <c r="A1689" s="3" t="s">
        <v>3343</v>
      </c>
      <c r="B1689" s="3" t="s">
        <v>3344</v>
      </c>
      <c r="C1689" s="3" t="s">
        <v>56</v>
      </c>
      <c r="D1689" s="3">
        <v>12.25</v>
      </c>
      <c r="E1689" s="3" t="s">
        <v>10</v>
      </c>
      <c r="F1689" s="3">
        <v>42</v>
      </c>
      <c r="G1689" s="21">
        <f>Table4[[#This Row],[Item Cost]]*Table4[[#This Row],[In Stock]]</f>
        <v>514.5</v>
      </c>
      <c r="H1689" s="12" t="s">
        <v>4661</v>
      </c>
      <c r="I1689" s="13" t="s">
        <v>4668</v>
      </c>
      <c r="J1689" s="13" t="s">
        <v>4753</v>
      </c>
      <c r="K1689" s="13" t="s">
        <v>4672</v>
      </c>
      <c r="L1689" s="12" t="s">
        <v>4672</v>
      </c>
      <c r="M1689" s="17" t="str">
        <f>IF(LEN(COUNTIFS($H$1:H1689,$H1689,$I$1:I1689,$I1689,$J$1:J1689,$J1689,$K$1:K1689,K1689,$L$1:L1689,L1689))=1,"00"&amp;COUNTIFS($H$1:H1689,$H1689,$I$1:I1689,$I1689,$J$1:J1689,$J1689,$K$1:K1689,K1689,$L$1:L1689,L1689),IF(LEN(COUNTIFS($H$1:H1689,$H1689,$I$1:I1689,$I1689,$J$1:J1689,$J1689,$K$1:K1689,K1689,$L$1:L1689,L1689))=2,"0"&amp;COUNTIFS($H$1:H1689,$H1689,$I$1:I1689,$I1689,$J$1:J1689,$J1689,$K$1:K1689,K1689,$L$1:L1689,L1689),COUNTIFS($H$1:H1689,$H1689,$I$1:I1689,$I1689,$J$1:J1689,$J1689,$K$1:K1689,K1689,$L$1:L1689,L1689)))</f>
        <v>043</v>
      </c>
      <c r="N168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89" s="14" t="e">
        <f>+LEN(Table4[[#This Row],[New Item Code]])</f>
        <v>#N/A</v>
      </c>
      <c r="P1689" s="15" t="s">
        <v>4747</v>
      </c>
      <c r="Q1689" s="15" t="s">
        <v>4749</v>
      </c>
      <c r="R1689" s="15"/>
      <c r="S1689" s="15"/>
      <c r="T1689" s="15" t="s">
        <v>4753</v>
      </c>
    </row>
    <row r="1690" spans="1:20" x14ac:dyDescent="0.35">
      <c r="A1690" s="2" t="s">
        <v>3345</v>
      </c>
      <c r="B1690" s="2" t="s">
        <v>3346</v>
      </c>
      <c r="C1690" s="2" t="s">
        <v>56</v>
      </c>
      <c r="D1690" s="2">
        <v>17.638999999999999</v>
      </c>
      <c r="E1690" s="2" t="s">
        <v>10</v>
      </c>
      <c r="F1690" s="2">
        <v>16</v>
      </c>
      <c r="G1690" s="22">
        <f>Table4[[#This Row],[Item Cost]]*Table4[[#This Row],[In Stock]]</f>
        <v>282.22399999999999</v>
      </c>
      <c r="H1690" s="12" t="s">
        <v>4661</v>
      </c>
      <c r="I1690" s="13" t="s">
        <v>4668</v>
      </c>
      <c r="J1690" s="13" t="s">
        <v>4753</v>
      </c>
      <c r="K1690" s="13" t="s">
        <v>4672</v>
      </c>
      <c r="L1690" s="12" t="s">
        <v>4672</v>
      </c>
      <c r="M1690" s="17" t="str">
        <f>IF(LEN(COUNTIFS($H$1:H1690,$H1690,$I$1:I1690,$I1690,$J$1:J1690,$J1690,$K$1:K1690,K1690,$L$1:L1690,L1690))=1,"00"&amp;COUNTIFS($H$1:H1690,$H1690,$I$1:I1690,$I1690,$J$1:J1690,$J1690,$K$1:K1690,K1690,$L$1:L1690,L1690),IF(LEN(COUNTIFS($H$1:H1690,$H1690,$I$1:I1690,$I1690,$J$1:J1690,$J1690,$K$1:K1690,K1690,$L$1:L1690,L1690))=2,"0"&amp;COUNTIFS($H$1:H1690,$H1690,$I$1:I1690,$I1690,$J$1:J1690,$J1690,$K$1:K1690,K1690,$L$1:L1690,L1690),COUNTIFS($H$1:H1690,$H1690,$I$1:I1690,$I1690,$J$1:J1690,$J1690,$K$1:K1690,K1690,$L$1:L1690,L1690)))</f>
        <v>044</v>
      </c>
      <c r="N169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90" s="14" t="e">
        <f>+LEN(Table4[[#This Row],[New Item Code]])</f>
        <v>#N/A</v>
      </c>
      <c r="P1690" s="15" t="s">
        <v>4747</v>
      </c>
      <c r="Q1690" s="15" t="s">
        <v>4749</v>
      </c>
      <c r="R1690" s="15"/>
      <c r="S1690" s="15"/>
      <c r="T1690" s="15" t="s">
        <v>4753</v>
      </c>
    </row>
    <row r="1691" spans="1:20" x14ac:dyDescent="0.35">
      <c r="A1691" s="3" t="s">
        <v>3347</v>
      </c>
      <c r="B1691" s="3" t="s">
        <v>3348</v>
      </c>
      <c r="C1691" s="3" t="s">
        <v>56</v>
      </c>
      <c r="D1691" s="3">
        <v>29.4</v>
      </c>
      <c r="E1691" s="3" t="s">
        <v>10</v>
      </c>
      <c r="F1691" s="3">
        <v>1</v>
      </c>
      <c r="G1691" s="21">
        <f>Table4[[#This Row],[Item Cost]]*Table4[[#This Row],[In Stock]]</f>
        <v>29.4</v>
      </c>
      <c r="H1691" s="12" t="s">
        <v>4661</v>
      </c>
      <c r="I1691" s="13" t="s">
        <v>4668</v>
      </c>
      <c r="J1691" s="13" t="s">
        <v>4753</v>
      </c>
      <c r="K1691" s="13" t="s">
        <v>4672</v>
      </c>
      <c r="L1691" s="12" t="s">
        <v>4672</v>
      </c>
      <c r="M1691" s="17" t="str">
        <f>IF(LEN(COUNTIFS($H$1:H1691,$H1691,$I$1:I1691,$I1691,$J$1:J1691,$J1691,$K$1:K1691,K1691,$L$1:L1691,L1691))=1,"00"&amp;COUNTIFS($H$1:H1691,$H1691,$I$1:I1691,$I1691,$J$1:J1691,$J1691,$K$1:K1691,K1691,$L$1:L1691,L1691),IF(LEN(COUNTIFS($H$1:H1691,$H1691,$I$1:I1691,$I1691,$J$1:J1691,$J1691,$K$1:K1691,K1691,$L$1:L1691,L1691))=2,"0"&amp;COUNTIFS($H$1:H1691,$H1691,$I$1:I1691,$I1691,$J$1:J1691,$J1691,$K$1:K1691,K1691,$L$1:L1691,L1691),COUNTIFS($H$1:H1691,$H1691,$I$1:I1691,$I1691,$J$1:J1691,$J1691,$K$1:K1691,K1691,$L$1:L1691,L1691)))</f>
        <v>045</v>
      </c>
      <c r="N169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91" s="14" t="e">
        <f>+LEN(Table4[[#This Row],[New Item Code]])</f>
        <v>#N/A</v>
      </c>
      <c r="P1691" s="15" t="s">
        <v>4747</v>
      </c>
      <c r="Q1691" s="15" t="s">
        <v>4749</v>
      </c>
      <c r="R1691" s="15"/>
      <c r="S1691" s="15"/>
      <c r="T1691" s="15" t="s">
        <v>4753</v>
      </c>
    </row>
    <row r="1692" spans="1:20" x14ac:dyDescent="0.35">
      <c r="A1692" s="2" t="s">
        <v>3349</v>
      </c>
      <c r="B1692" s="2" t="s">
        <v>3350</v>
      </c>
      <c r="C1692" s="2" t="s">
        <v>56</v>
      </c>
      <c r="D1692" s="2">
        <v>5.5</v>
      </c>
      <c r="E1692" s="2" t="s">
        <v>10</v>
      </c>
      <c r="F1692" s="2">
        <v>0</v>
      </c>
      <c r="G1692" s="22">
        <f>Table4[[#This Row],[Item Cost]]*Table4[[#This Row],[In Stock]]</f>
        <v>0</v>
      </c>
      <c r="H1692" s="12" t="s">
        <v>4661</v>
      </c>
      <c r="I1692" s="13" t="s">
        <v>4668</v>
      </c>
      <c r="J1692" s="13" t="s">
        <v>4753</v>
      </c>
      <c r="K1692" s="13" t="s">
        <v>4672</v>
      </c>
      <c r="L1692" s="12" t="s">
        <v>4672</v>
      </c>
      <c r="M1692" s="17" t="str">
        <f>IF(LEN(COUNTIFS($H$1:H1692,$H1692,$I$1:I1692,$I1692,$J$1:J1692,$J1692,$K$1:K1692,K1692,$L$1:L1692,L1692))=1,"00"&amp;COUNTIFS($H$1:H1692,$H1692,$I$1:I1692,$I1692,$J$1:J1692,$J1692,$K$1:K1692,K1692,$L$1:L1692,L1692),IF(LEN(COUNTIFS($H$1:H1692,$H1692,$I$1:I1692,$I1692,$J$1:J1692,$J1692,$K$1:K1692,K1692,$L$1:L1692,L1692))=2,"0"&amp;COUNTIFS($H$1:H1692,$H1692,$I$1:I1692,$I1692,$J$1:J1692,$J1692,$K$1:K1692,K1692,$L$1:L1692,L1692),COUNTIFS($H$1:H1692,$H1692,$I$1:I1692,$I1692,$J$1:J1692,$J1692,$K$1:K1692,K1692,$L$1:L1692,L1692)))</f>
        <v>046</v>
      </c>
      <c r="N169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92" s="14" t="e">
        <f>+LEN(Table4[[#This Row],[New Item Code]])</f>
        <v>#N/A</v>
      </c>
      <c r="P1692" s="15" t="s">
        <v>4747</v>
      </c>
      <c r="Q1692" s="15" t="s">
        <v>4749</v>
      </c>
      <c r="R1692" s="15"/>
      <c r="S1692" s="15"/>
      <c r="T1692" s="15" t="s">
        <v>4753</v>
      </c>
    </row>
    <row r="1693" spans="1:20" x14ac:dyDescent="0.35">
      <c r="A1693" s="3" t="s">
        <v>3351</v>
      </c>
      <c r="B1693" s="3" t="s">
        <v>3352</v>
      </c>
      <c r="C1693" s="3" t="s">
        <v>56</v>
      </c>
      <c r="D1693" s="3">
        <v>11.143000000000001</v>
      </c>
      <c r="E1693" s="3" t="s">
        <v>10</v>
      </c>
      <c r="F1693" s="3">
        <v>7</v>
      </c>
      <c r="G1693" s="21">
        <f>Table4[[#This Row],[Item Cost]]*Table4[[#This Row],[In Stock]]</f>
        <v>78.001000000000005</v>
      </c>
      <c r="H1693" s="12" t="s">
        <v>4661</v>
      </c>
      <c r="I1693" s="13" t="s">
        <v>4668</v>
      </c>
      <c r="J1693" s="13" t="s">
        <v>4753</v>
      </c>
      <c r="K1693" s="13" t="s">
        <v>4672</v>
      </c>
      <c r="L1693" s="12" t="s">
        <v>4672</v>
      </c>
      <c r="M1693" s="17" t="str">
        <f>IF(LEN(COUNTIFS($H$1:H1693,$H1693,$I$1:I1693,$I1693,$J$1:J1693,$J1693,$K$1:K1693,K1693,$L$1:L1693,L1693))=1,"00"&amp;COUNTIFS($H$1:H1693,$H1693,$I$1:I1693,$I1693,$J$1:J1693,$J1693,$K$1:K1693,K1693,$L$1:L1693,L1693),IF(LEN(COUNTIFS($H$1:H1693,$H1693,$I$1:I1693,$I1693,$J$1:J1693,$J1693,$K$1:K1693,K1693,$L$1:L1693,L1693))=2,"0"&amp;COUNTIFS($H$1:H1693,$H1693,$I$1:I1693,$I1693,$J$1:J1693,$J1693,$K$1:K1693,K1693,$L$1:L1693,L1693),COUNTIFS($H$1:H1693,$H1693,$I$1:I1693,$I1693,$J$1:J1693,$J1693,$K$1:K1693,K1693,$L$1:L1693,L1693)))</f>
        <v>047</v>
      </c>
      <c r="N169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93" s="14" t="e">
        <f>+LEN(Table4[[#This Row],[New Item Code]])</f>
        <v>#N/A</v>
      </c>
      <c r="P1693" s="15" t="s">
        <v>4747</v>
      </c>
      <c r="Q1693" s="15" t="s">
        <v>4749</v>
      </c>
      <c r="R1693" s="15"/>
      <c r="S1693" s="15"/>
      <c r="T1693" s="15" t="s">
        <v>4753</v>
      </c>
    </row>
    <row r="1694" spans="1:20" x14ac:dyDescent="0.35">
      <c r="A1694" s="2" t="s">
        <v>3353</v>
      </c>
      <c r="B1694" s="2" t="s">
        <v>3354</v>
      </c>
      <c r="C1694" s="2" t="s">
        <v>56</v>
      </c>
      <c r="D1694" s="2">
        <v>13.071999999999999</v>
      </c>
      <c r="E1694" s="2" t="s">
        <v>10</v>
      </c>
      <c r="F1694" s="2">
        <v>25</v>
      </c>
      <c r="G1694" s="22">
        <f>Table4[[#This Row],[Item Cost]]*Table4[[#This Row],[In Stock]]</f>
        <v>326.79999999999995</v>
      </c>
      <c r="H1694" s="12" t="s">
        <v>4661</v>
      </c>
      <c r="I1694" s="13" t="s">
        <v>4668</v>
      </c>
      <c r="J1694" s="13" t="s">
        <v>4753</v>
      </c>
      <c r="K1694" s="13" t="s">
        <v>4672</v>
      </c>
      <c r="L1694" s="12" t="s">
        <v>4672</v>
      </c>
      <c r="M1694" s="17" t="str">
        <f>IF(LEN(COUNTIFS($H$1:H1694,$H1694,$I$1:I1694,$I1694,$J$1:J1694,$J1694,$K$1:K1694,K1694,$L$1:L1694,L1694))=1,"00"&amp;COUNTIFS($H$1:H1694,$H1694,$I$1:I1694,$I1694,$J$1:J1694,$J1694,$K$1:K1694,K1694,$L$1:L1694,L1694),IF(LEN(COUNTIFS($H$1:H1694,$H1694,$I$1:I1694,$I1694,$J$1:J1694,$J1694,$K$1:K1694,K1694,$L$1:L1694,L1694))=2,"0"&amp;COUNTIFS($H$1:H1694,$H1694,$I$1:I1694,$I1694,$J$1:J1694,$J1694,$K$1:K1694,K1694,$L$1:L1694,L1694),COUNTIFS($H$1:H1694,$H1694,$I$1:I1694,$I1694,$J$1:J1694,$J1694,$K$1:K1694,K1694,$L$1:L1694,L1694)))</f>
        <v>048</v>
      </c>
      <c r="N169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94" s="14" t="e">
        <f>+LEN(Table4[[#This Row],[New Item Code]])</f>
        <v>#N/A</v>
      </c>
      <c r="P1694" s="15" t="s">
        <v>4747</v>
      </c>
      <c r="Q1694" s="15" t="s">
        <v>4749</v>
      </c>
      <c r="R1694" s="15"/>
      <c r="S1694" s="15"/>
      <c r="T1694" s="15" t="s">
        <v>4753</v>
      </c>
    </row>
    <row r="1695" spans="1:20" x14ac:dyDescent="0.35">
      <c r="A1695" s="3" t="s">
        <v>3355</v>
      </c>
      <c r="B1695" s="3" t="s">
        <v>3356</v>
      </c>
      <c r="C1695" s="3" t="s">
        <v>56</v>
      </c>
      <c r="D1695" s="3">
        <v>16.334</v>
      </c>
      <c r="E1695" s="3" t="s">
        <v>10</v>
      </c>
      <c r="F1695" s="3">
        <v>20</v>
      </c>
      <c r="G1695" s="21">
        <f>Table4[[#This Row],[Item Cost]]*Table4[[#This Row],[In Stock]]</f>
        <v>326.68</v>
      </c>
      <c r="H1695" s="12" t="s">
        <v>4661</v>
      </c>
      <c r="I1695" s="13" t="s">
        <v>4668</v>
      </c>
      <c r="J1695" s="13" t="s">
        <v>4753</v>
      </c>
      <c r="K1695" s="13" t="s">
        <v>4672</v>
      </c>
      <c r="L1695" s="12" t="s">
        <v>4672</v>
      </c>
      <c r="M1695" s="17" t="str">
        <f>IF(LEN(COUNTIFS($H$1:H1695,$H1695,$I$1:I1695,$I1695,$J$1:J1695,$J1695,$K$1:K1695,K1695,$L$1:L1695,L1695))=1,"00"&amp;COUNTIFS($H$1:H1695,$H1695,$I$1:I1695,$I1695,$J$1:J1695,$J1695,$K$1:K1695,K1695,$L$1:L1695,L1695),IF(LEN(COUNTIFS($H$1:H1695,$H1695,$I$1:I1695,$I1695,$J$1:J1695,$J1695,$K$1:K1695,K1695,$L$1:L1695,L1695))=2,"0"&amp;COUNTIFS($H$1:H1695,$H1695,$I$1:I1695,$I1695,$J$1:J1695,$J1695,$K$1:K1695,K1695,$L$1:L1695,L1695),COUNTIFS($H$1:H1695,$H1695,$I$1:I1695,$I1695,$J$1:J1695,$J1695,$K$1:K1695,K1695,$L$1:L1695,L1695)))</f>
        <v>049</v>
      </c>
      <c r="N169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95" s="14" t="e">
        <f>+LEN(Table4[[#This Row],[New Item Code]])</f>
        <v>#N/A</v>
      </c>
      <c r="P1695" s="15" t="s">
        <v>4747</v>
      </c>
      <c r="Q1695" s="15" t="s">
        <v>4749</v>
      </c>
      <c r="R1695" s="15"/>
      <c r="S1695" s="15"/>
      <c r="T1695" s="15" t="s">
        <v>4753</v>
      </c>
    </row>
    <row r="1696" spans="1:20" x14ac:dyDescent="0.35">
      <c r="A1696" s="2" t="s">
        <v>3357</v>
      </c>
      <c r="B1696" s="2" t="s">
        <v>3358</v>
      </c>
      <c r="C1696" s="2" t="s">
        <v>56</v>
      </c>
      <c r="D1696" s="2">
        <v>22.4</v>
      </c>
      <c r="E1696" s="2" t="s">
        <v>10</v>
      </c>
      <c r="F1696" s="2">
        <v>0</v>
      </c>
      <c r="G1696" s="22">
        <f>Table4[[#This Row],[Item Cost]]*Table4[[#This Row],[In Stock]]</f>
        <v>0</v>
      </c>
      <c r="H1696" s="12" t="s">
        <v>4661</v>
      </c>
      <c r="I1696" s="13" t="s">
        <v>4668</v>
      </c>
      <c r="J1696" s="13" t="s">
        <v>4753</v>
      </c>
      <c r="K1696" s="13" t="s">
        <v>4672</v>
      </c>
      <c r="L1696" s="12" t="s">
        <v>4672</v>
      </c>
      <c r="M1696" s="17" t="str">
        <f>IF(LEN(COUNTIFS($H$1:H1696,$H1696,$I$1:I1696,$I1696,$J$1:J1696,$J1696,$K$1:K1696,K1696,$L$1:L1696,L1696))=1,"00"&amp;COUNTIFS($H$1:H1696,$H1696,$I$1:I1696,$I1696,$J$1:J1696,$J1696,$K$1:K1696,K1696,$L$1:L1696,L1696),IF(LEN(COUNTIFS($H$1:H1696,$H1696,$I$1:I1696,$I1696,$J$1:J1696,$J1696,$K$1:K1696,K1696,$L$1:L1696,L1696))=2,"0"&amp;COUNTIFS($H$1:H1696,$H1696,$I$1:I1696,$I1696,$J$1:J1696,$J1696,$K$1:K1696,K1696,$L$1:L1696,L1696),COUNTIFS($H$1:H1696,$H1696,$I$1:I1696,$I1696,$J$1:J1696,$J1696,$K$1:K1696,K1696,$L$1:L1696,L1696)))</f>
        <v>050</v>
      </c>
      <c r="N169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96" s="14" t="e">
        <f>+LEN(Table4[[#This Row],[New Item Code]])</f>
        <v>#N/A</v>
      </c>
      <c r="P1696" s="15" t="s">
        <v>4747</v>
      </c>
      <c r="Q1696" s="15" t="s">
        <v>4749</v>
      </c>
      <c r="R1696" s="15"/>
      <c r="S1696" s="15"/>
      <c r="T1696" s="15" t="s">
        <v>4753</v>
      </c>
    </row>
    <row r="1697" spans="1:20" x14ac:dyDescent="0.35">
      <c r="A1697" s="3" t="s">
        <v>3359</v>
      </c>
      <c r="B1697" s="3" t="s">
        <v>3360</v>
      </c>
      <c r="C1697" s="3" t="s">
        <v>56</v>
      </c>
      <c r="D1697" s="3">
        <v>32.200000000000003</v>
      </c>
      <c r="E1697" s="3" t="s">
        <v>10</v>
      </c>
      <c r="F1697" s="3">
        <v>8</v>
      </c>
      <c r="G1697" s="21">
        <f>Table4[[#This Row],[Item Cost]]*Table4[[#This Row],[In Stock]]</f>
        <v>257.60000000000002</v>
      </c>
      <c r="H1697" s="12" t="s">
        <v>4661</v>
      </c>
      <c r="I1697" s="13" t="s">
        <v>4668</v>
      </c>
      <c r="J1697" s="13" t="s">
        <v>4753</v>
      </c>
      <c r="K1697" s="13" t="s">
        <v>4672</v>
      </c>
      <c r="L1697" s="12" t="s">
        <v>4672</v>
      </c>
      <c r="M1697" s="17" t="str">
        <f>IF(LEN(COUNTIFS($H$1:H1697,$H1697,$I$1:I1697,$I1697,$J$1:J1697,$J1697,$K$1:K1697,K1697,$L$1:L1697,L1697))=1,"00"&amp;COUNTIFS($H$1:H1697,$H1697,$I$1:I1697,$I1697,$J$1:J1697,$J1697,$K$1:K1697,K1697,$L$1:L1697,L1697),IF(LEN(COUNTIFS($H$1:H1697,$H1697,$I$1:I1697,$I1697,$J$1:J1697,$J1697,$K$1:K1697,K1697,$L$1:L1697,L1697))=2,"0"&amp;COUNTIFS($H$1:H1697,$H1697,$I$1:I1697,$I1697,$J$1:J1697,$J1697,$K$1:K1697,K1697,$L$1:L1697,L1697),COUNTIFS($H$1:H1697,$H1697,$I$1:I1697,$I1697,$J$1:J1697,$J1697,$K$1:K1697,K1697,$L$1:L1697,L1697)))</f>
        <v>051</v>
      </c>
      <c r="N169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97" s="14" t="e">
        <f>+LEN(Table4[[#This Row],[New Item Code]])</f>
        <v>#N/A</v>
      </c>
      <c r="P1697" s="15" t="s">
        <v>4747</v>
      </c>
      <c r="Q1697" s="15" t="s">
        <v>4749</v>
      </c>
      <c r="R1697" s="15"/>
      <c r="S1697" s="15"/>
      <c r="T1697" s="15" t="s">
        <v>4753</v>
      </c>
    </row>
    <row r="1698" spans="1:20" x14ac:dyDescent="0.35">
      <c r="A1698" s="2" t="s">
        <v>3361</v>
      </c>
      <c r="B1698" s="2" t="s">
        <v>3362</v>
      </c>
      <c r="C1698" s="2" t="s">
        <v>56</v>
      </c>
      <c r="D1698" s="2">
        <v>9</v>
      </c>
      <c r="E1698" s="2" t="s">
        <v>10</v>
      </c>
      <c r="F1698" s="2">
        <v>5</v>
      </c>
      <c r="G1698" s="22">
        <f>Table4[[#This Row],[Item Cost]]*Table4[[#This Row],[In Stock]]</f>
        <v>45</v>
      </c>
      <c r="H1698" s="12" t="s">
        <v>4661</v>
      </c>
      <c r="I1698" s="13" t="s">
        <v>4668</v>
      </c>
      <c r="J1698" s="13" t="s">
        <v>4753</v>
      </c>
      <c r="K1698" t="s">
        <v>4793</v>
      </c>
      <c r="L1698" s="12" t="s">
        <v>4672</v>
      </c>
      <c r="M1698" s="17" t="str">
        <f>IF(LEN(COUNTIFS($H$1:H1698,$H1698,$I$1:I1698,$I1698,$J$1:J1698,$J1698,$K$1:K1698,K1698,$L$1:L1698,L1698))=1,"00"&amp;COUNTIFS($H$1:H1698,$H1698,$I$1:I1698,$I1698,$J$1:J1698,$J1698,$K$1:K1698,K1698,$L$1:L1698,L1698),IF(LEN(COUNTIFS($H$1:H1698,$H1698,$I$1:I1698,$I1698,$J$1:J1698,$J1698,$K$1:K1698,K1698,$L$1:L1698,L1698))=2,"0"&amp;COUNTIFS($H$1:H1698,$H1698,$I$1:I1698,$I1698,$J$1:J1698,$J1698,$K$1:K1698,K1698,$L$1:L1698,L1698),COUNTIFS($H$1:H1698,$H1698,$I$1:I1698,$I1698,$J$1:J1698,$J1698,$K$1:K1698,K1698,$L$1:L1698,L1698)))</f>
        <v>003</v>
      </c>
      <c r="N169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98" s="14" t="e">
        <f>+LEN(Table4[[#This Row],[New Item Code]])</f>
        <v>#N/A</v>
      </c>
      <c r="P1698" s="15" t="s">
        <v>4747</v>
      </c>
      <c r="Q1698" s="15" t="s">
        <v>4749</v>
      </c>
      <c r="R1698" s="15"/>
      <c r="S1698" s="15"/>
      <c r="T1698" s="15" t="s">
        <v>4753</v>
      </c>
    </row>
    <row r="1699" spans="1:20" x14ac:dyDescent="0.35">
      <c r="A1699" s="3" t="s">
        <v>3363</v>
      </c>
      <c r="B1699" s="3" t="s">
        <v>3364</v>
      </c>
      <c r="C1699" s="3" t="s">
        <v>56</v>
      </c>
      <c r="D1699" s="3">
        <v>9</v>
      </c>
      <c r="E1699" s="3" t="s">
        <v>10</v>
      </c>
      <c r="F1699" s="3">
        <v>5</v>
      </c>
      <c r="G1699" s="21">
        <f>Table4[[#This Row],[Item Cost]]*Table4[[#This Row],[In Stock]]</f>
        <v>45</v>
      </c>
      <c r="H1699" s="12" t="s">
        <v>4661</v>
      </c>
      <c r="I1699" s="13" t="s">
        <v>4668</v>
      </c>
      <c r="J1699" s="13" t="s">
        <v>4753</v>
      </c>
      <c r="K1699" t="s">
        <v>4793</v>
      </c>
      <c r="L1699" s="12" t="s">
        <v>4672</v>
      </c>
      <c r="M1699" s="17" t="str">
        <f>IF(LEN(COUNTIFS($H$1:H1699,$H1699,$I$1:I1699,$I1699,$J$1:J1699,$J1699,$K$1:K1699,K1699,$L$1:L1699,L1699))=1,"00"&amp;COUNTIFS($H$1:H1699,$H1699,$I$1:I1699,$I1699,$J$1:J1699,$J1699,$K$1:K1699,K1699,$L$1:L1699,L1699),IF(LEN(COUNTIFS($H$1:H1699,$H1699,$I$1:I1699,$I1699,$J$1:J1699,$J1699,$K$1:K1699,K1699,$L$1:L1699,L1699))=2,"0"&amp;COUNTIFS($H$1:H1699,$H1699,$I$1:I1699,$I1699,$J$1:J1699,$J1699,$K$1:K1699,K1699,$L$1:L1699,L1699),COUNTIFS($H$1:H1699,$H1699,$I$1:I1699,$I1699,$J$1:J1699,$J1699,$K$1:K1699,K1699,$L$1:L1699,L1699)))</f>
        <v>004</v>
      </c>
      <c r="N169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699" s="14" t="e">
        <f>+LEN(Table4[[#This Row],[New Item Code]])</f>
        <v>#N/A</v>
      </c>
      <c r="P1699" s="15" t="s">
        <v>4747</v>
      </c>
      <c r="Q1699" s="15" t="s">
        <v>4749</v>
      </c>
      <c r="R1699" s="15"/>
      <c r="S1699" s="15"/>
      <c r="T1699" s="15" t="s">
        <v>4753</v>
      </c>
    </row>
    <row r="1700" spans="1:20" x14ac:dyDescent="0.35">
      <c r="A1700" s="2" t="s">
        <v>3365</v>
      </c>
      <c r="B1700" s="2" t="s">
        <v>3366</v>
      </c>
      <c r="C1700" s="2" t="s">
        <v>56</v>
      </c>
      <c r="D1700" s="2">
        <v>13</v>
      </c>
      <c r="E1700" s="2" t="s">
        <v>10</v>
      </c>
      <c r="F1700" s="2">
        <v>10</v>
      </c>
      <c r="G1700" s="22">
        <f>Table4[[#This Row],[Item Cost]]*Table4[[#This Row],[In Stock]]</f>
        <v>130</v>
      </c>
      <c r="H1700" s="12" t="s">
        <v>4661</v>
      </c>
      <c r="I1700" s="13" t="s">
        <v>4668</v>
      </c>
      <c r="J1700" s="13" t="s">
        <v>4753</v>
      </c>
      <c r="K1700" t="s">
        <v>4793</v>
      </c>
      <c r="L1700" s="12" t="s">
        <v>4672</v>
      </c>
      <c r="M1700" s="17" t="str">
        <f>IF(LEN(COUNTIFS($H$1:H1700,$H1700,$I$1:I1700,$I1700,$J$1:J1700,$J1700,$K$1:K1700,K1700,$L$1:L1700,L1700))=1,"00"&amp;COUNTIFS($H$1:H1700,$H1700,$I$1:I1700,$I1700,$J$1:J1700,$J1700,$K$1:K1700,K1700,$L$1:L1700,L1700),IF(LEN(COUNTIFS($H$1:H1700,$H1700,$I$1:I1700,$I1700,$J$1:J1700,$J1700,$K$1:K1700,K1700,$L$1:L1700,L1700))=2,"0"&amp;COUNTIFS($H$1:H1700,$H1700,$I$1:I1700,$I1700,$J$1:J1700,$J1700,$K$1:K1700,K1700,$L$1:L1700,L1700),COUNTIFS($H$1:H1700,$H1700,$I$1:I1700,$I1700,$J$1:J1700,$J1700,$K$1:K1700,K1700,$L$1:L1700,L1700)))</f>
        <v>005</v>
      </c>
      <c r="N170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00" s="14" t="e">
        <f>+LEN(Table4[[#This Row],[New Item Code]])</f>
        <v>#N/A</v>
      </c>
      <c r="P1700" s="15" t="s">
        <v>4747</v>
      </c>
      <c r="Q1700" s="15" t="s">
        <v>4749</v>
      </c>
      <c r="R1700" s="15"/>
      <c r="S1700" s="15"/>
      <c r="T1700" s="15" t="s">
        <v>4753</v>
      </c>
    </row>
    <row r="1701" spans="1:20" x14ac:dyDescent="0.35">
      <c r="A1701" s="3" t="s">
        <v>3367</v>
      </c>
      <c r="B1701" s="3" t="s">
        <v>3368</v>
      </c>
      <c r="C1701" s="3" t="s">
        <v>56</v>
      </c>
      <c r="D1701" s="3">
        <v>16.899999999999999</v>
      </c>
      <c r="E1701" s="3" t="s">
        <v>10</v>
      </c>
      <c r="F1701" s="3">
        <v>11</v>
      </c>
      <c r="G1701" s="21">
        <f>Table4[[#This Row],[Item Cost]]*Table4[[#This Row],[In Stock]]</f>
        <v>185.89999999999998</v>
      </c>
      <c r="H1701" s="12" t="s">
        <v>4661</v>
      </c>
      <c r="I1701" s="13" t="s">
        <v>4668</v>
      </c>
      <c r="J1701" s="13" t="s">
        <v>4753</v>
      </c>
      <c r="K1701" s="13" t="s">
        <v>4672</v>
      </c>
      <c r="L1701" s="12" t="s">
        <v>4672</v>
      </c>
      <c r="M1701" s="17" t="str">
        <f>IF(LEN(COUNTIFS($H$1:H1701,$H1701,$I$1:I1701,$I1701,$J$1:J1701,$J1701,$K$1:K1701,K1701,$L$1:L1701,L1701))=1,"00"&amp;COUNTIFS($H$1:H1701,$H1701,$I$1:I1701,$I1701,$J$1:J1701,$J1701,$K$1:K1701,K1701,$L$1:L1701,L1701),IF(LEN(COUNTIFS($H$1:H1701,$H1701,$I$1:I1701,$I1701,$J$1:J1701,$J1701,$K$1:K1701,K1701,$L$1:L1701,L1701))=2,"0"&amp;COUNTIFS($H$1:H1701,$H1701,$I$1:I1701,$I1701,$J$1:J1701,$J1701,$K$1:K1701,K1701,$L$1:L1701,L1701),COUNTIFS($H$1:H1701,$H1701,$I$1:I1701,$I1701,$J$1:J1701,$J1701,$K$1:K1701,K1701,$L$1:L1701,L1701)))</f>
        <v>052</v>
      </c>
      <c r="N170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01" s="14" t="e">
        <f>+LEN(Table4[[#This Row],[New Item Code]])</f>
        <v>#N/A</v>
      </c>
      <c r="P1701" s="15" t="s">
        <v>4747</v>
      </c>
      <c r="Q1701" s="15" t="s">
        <v>4749</v>
      </c>
      <c r="R1701" s="15"/>
      <c r="S1701" s="15"/>
      <c r="T1701" s="15" t="s">
        <v>4753</v>
      </c>
    </row>
    <row r="1702" spans="1:20" x14ac:dyDescent="0.35">
      <c r="A1702" s="2" t="s">
        <v>3369</v>
      </c>
      <c r="B1702" s="2" t="s">
        <v>3370</v>
      </c>
      <c r="C1702" s="2" t="s">
        <v>56</v>
      </c>
      <c r="D1702" s="2">
        <v>11.5</v>
      </c>
      <c r="E1702" s="2" t="s">
        <v>10</v>
      </c>
      <c r="F1702" s="2">
        <v>16</v>
      </c>
      <c r="G1702" s="22">
        <f>Table4[[#This Row],[Item Cost]]*Table4[[#This Row],[In Stock]]</f>
        <v>184</v>
      </c>
      <c r="H1702" s="12" t="s">
        <v>4661</v>
      </c>
      <c r="I1702" s="13" t="s">
        <v>4668</v>
      </c>
      <c r="J1702" s="13" t="s">
        <v>4753</v>
      </c>
      <c r="K1702" t="s">
        <v>4793</v>
      </c>
      <c r="L1702" s="12" t="s">
        <v>4672</v>
      </c>
      <c r="M1702" s="17" t="str">
        <f>IF(LEN(COUNTIFS($H$1:H1702,$H1702,$I$1:I1702,$I1702,$J$1:J1702,$J1702,$K$1:K1702,K1702,$L$1:L1702,L1702))=1,"00"&amp;COUNTIFS($H$1:H1702,$H1702,$I$1:I1702,$I1702,$J$1:J1702,$J1702,$K$1:K1702,K1702,$L$1:L1702,L1702),IF(LEN(COUNTIFS($H$1:H1702,$H1702,$I$1:I1702,$I1702,$J$1:J1702,$J1702,$K$1:K1702,K1702,$L$1:L1702,L1702))=2,"0"&amp;COUNTIFS($H$1:H1702,$H1702,$I$1:I1702,$I1702,$J$1:J1702,$J1702,$K$1:K1702,K1702,$L$1:L1702,L1702),COUNTIFS($H$1:H1702,$H1702,$I$1:I1702,$I1702,$J$1:J1702,$J1702,$K$1:K1702,K1702,$L$1:L1702,L1702)))</f>
        <v>006</v>
      </c>
      <c r="N170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02" s="14" t="e">
        <f>+LEN(Table4[[#This Row],[New Item Code]])</f>
        <v>#N/A</v>
      </c>
      <c r="P1702" s="15" t="s">
        <v>4747</v>
      </c>
      <c r="Q1702" s="15" t="s">
        <v>4749</v>
      </c>
      <c r="R1702" s="15"/>
      <c r="S1702" s="15"/>
      <c r="T1702" s="15" t="s">
        <v>4753</v>
      </c>
    </row>
    <row r="1703" spans="1:20" x14ac:dyDescent="0.35">
      <c r="A1703" s="3" t="s">
        <v>3371</v>
      </c>
      <c r="B1703" s="3" t="s">
        <v>3372</v>
      </c>
      <c r="C1703" s="3" t="s">
        <v>56</v>
      </c>
      <c r="D1703" s="3">
        <v>10.5</v>
      </c>
      <c r="E1703" s="3" t="s">
        <v>10</v>
      </c>
      <c r="F1703" s="3">
        <v>7</v>
      </c>
      <c r="G1703" s="21">
        <f>Table4[[#This Row],[Item Cost]]*Table4[[#This Row],[In Stock]]</f>
        <v>73.5</v>
      </c>
      <c r="H1703" s="12" t="s">
        <v>4661</v>
      </c>
      <c r="I1703" s="13" t="s">
        <v>4668</v>
      </c>
      <c r="J1703" s="13" t="s">
        <v>4753</v>
      </c>
      <c r="K1703" t="s">
        <v>4793</v>
      </c>
      <c r="L1703" s="12" t="s">
        <v>4672</v>
      </c>
      <c r="M1703" s="17" t="str">
        <f>IF(LEN(COUNTIFS($H$1:H1703,$H1703,$I$1:I1703,$I1703,$J$1:J1703,$J1703,$K$1:K1703,K1703,$L$1:L1703,L1703))=1,"00"&amp;COUNTIFS($H$1:H1703,$H1703,$I$1:I1703,$I1703,$J$1:J1703,$J1703,$K$1:K1703,K1703,$L$1:L1703,L1703),IF(LEN(COUNTIFS($H$1:H1703,$H1703,$I$1:I1703,$I1703,$J$1:J1703,$J1703,$K$1:K1703,K1703,$L$1:L1703,L1703))=2,"0"&amp;COUNTIFS($H$1:H1703,$H1703,$I$1:I1703,$I1703,$J$1:J1703,$J1703,$K$1:K1703,K1703,$L$1:L1703,L1703),COUNTIFS($H$1:H1703,$H1703,$I$1:I1703,$I1703,$J$1:J1703,$J1703,$K$1:K1703,K1703,$L$1:L1703,L1703)))</f>
        <v>007</v>
      </c>
      <c r="N170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03" s="14" t="e">
        <f>+LEN(Table4[[#This Row],[New Item Code]])</f>
        <v>#N/A</v>
      </c>
      <c r="P1703" s="15" t="s">
        <v>4747</v>
      </c>
      <c r="Q1703" s="15" t="s">
        <v>4749</v>
      </c>
      <c r="R1703" s="15"/>
      <c r="S1703" s="15"/>
      <c r="T1703" s="15" t="s">
        <v>4753</v>
      </c>
    </row>
    <row r="1704" spans="1:20" x14ac:dyDescent="0.35">
      <c r="A1704" s="2" t="s">
        <v>3373</v>
      </c>
      <c r="B1704" s="2" t="s">
        <v>3374</v>
      </c>
      <c r="C1704" s="2" t="s">
        <v>56</v>
      </c>
      <c r="D1704" s="2">
        <v>8.5</v>
      </c>
      <c r="E1704" s="2" t="s">
        <v>10</v>
      </c>
      <c r="F1704" s="2">
        <v>4</v>
      </c>
      <c r="G1704" s="22">
        <f>Table4[[#This Row],[Item Cost]]*Table4[[#This Row],[In Stock]]</f>
        <v>34</v>
      </c>
      <c r="H1704" s="12" t="s">
        <v>4661</v>
      </c>
      <c r="I1704" s="13" t="s">
        <v>4668</v>
      </c>
      <c r="J1704" s="13" t="s">
        <v>4753</v>
      </c>
      <c r="K1704" t="s">
        <v>4793</v>
      </c>
      <c r="L1704" s="12" t="s">
        <v>4672</v>
      </c>
      <c r="M1704" s="17" t="str">
        <f>IF(LEN(COUNTIFS($H$1:H1704,$H1704,$I$1:I1704,$I1704,$J$1:J1704,$J1704,$K$1:K1704,K1704,$L$1:L1704,L1704))=1,"00"&amp;COUNTIFS($H$1:H1704,$H1704,$I$1:I1704,$I1704,$J$1:J1704,$J1704,$K$1:K1704,K1704,$L$1:L1704,L1704),IF(LEN(COUNTIFS($H$1:H1704,$H1704,$I$1:I1704,$I1704,$J$1:J1704,$J1704,$K$1:K1704,K1704,$L$1:L1704,L1704))=2,"0"&amp;COUNTIFS($H$1:H1704,$H1704,$I$1:I1704,$I1704,$J$1:J1704,$J1704,$K$1:K1704,K1704,$L$1:L1704,L1704),COUNTIFS($H$1:H1704,$H1704,$I$1:I1704,$I1704,$J$1:J1704,$J1704,$K$1:K1704,K1704,$L$1:L1704,L1704)))</f>
        <v>008</v>
      </c>
      <c r="N170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04" s="14" t="e">
        <f>+LEN(Table4[[#This Row],[New Item Code]])</f>
        <v>#N/A</v>
      </c>
      <c r="P1704" s="15" t="s">
        <v>4747</v>
      </c>
      <c r="Q1704" s="15" t="s">
        <v>4749</v>
      </c>
      <c r="R1704" s="15"/>
      <c r="S1704" s="15"/>
      <c r="T1704" s="15" t="s">
        <v>4753</v>
      </c>
    </row>
    <row r="1705" spans="1:20" x14ac:dyDescent="0.35">
      <c r="A1705" s="3" t="s">
        <v>3375</v>
      </c>
      <c r="B1705" s="3" t="s">
        <v>3376</v>
      </c>
      <c r="C1705" s="3" t="s">
        <v>56</v>
      </c>
      <c r="D1705" s="3">
        <v>8.75</v>
      </c>
      <c r="E1705" s="3" t="s">
        <v>10</v>
      </c>
      <c r="F1705" s="3">
        <v>5</v>
      </c>
      <c r="G1705" s="21">
        <f>Table4[[#This Row],[Item Cost]]*Table4[[#This Row],[In Stock]]</f>
        <v>43.75</v>
      </c>
      <c r="H1705" s="12" t="s">
        <v>4661</v>
      </c>
      <c r="I1705" s="13" t="s">
        <v>4668</v>
      </c>
      <c r="J1705" s="13" t="s">
        <v>4753</v>
      </c>
      <c r="K1705" t="s">
        <v>4793</v>
      </c>
      <c r="L1705" s="12" t="s">
        <v>4672</v>
      </c>
      <c r="M1705" s="17" t="str">
        <f>IF(LEN(COUNTIFS($H$1:H1705,$H1705,$I$1:I1705,$I1705,$J$1:J1705,$J1705,$K$1:K1705,K1705,$L$1:L1705,L1705))=1,"00"&amp;COUNTIFS($H$1:H1705,$H1705,$I$1:I1705,$I1705,$J$1:J1705,$J1705,$K$1:K1705,K1705,$L$1:L1705,L1705),IF(LEN(COUNTIFS($H$1:H1705,$H1705,$I$1:I1705,$I1705,$J$1:J1705,$J1705,$K$1:K1705,K1705,$L$1:L1705,L1705))=2,"0"&amp;COUNTIFS($H$1:H1705,$H1705,$I$1:I1705,$I1705,$J$1:J1705,$J1705,$K$1:K1705,K1705,$L$1:L1705,L1705),COUNTIFS($H$1:H1705,$H1705,$I$1:I1705,$I1705,$J$1:J1705,$J1705,$K$1:K1705,K1705,$L$1:L1705,L1705)))</f>
        <v>009</v>
      </c>
      <c r="N170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05" s="14" t="e">
        <f>+LEN(Table4[[#This Row],[New Item Code]])</f>
        <v>#N/A</v>
      </c>
      <c r="P1705" s="15" t="s">
        <v>4747</v>
      </c>
      <c r="Q1705" s="15" t="s">
        <v>4749</v>
      </c>
      <c r="R1705" s="15"/>
      <c r="S1705" s="15"/>
      <c r="T1705" s="15" t="s">
        <v>4753</v>
      </c>
    </row>
    <row r="1706" spans="1:20" x14ac:dyDescent="0.35">
      <c r="A1706" s="2" t="s">
        <v>3377</v>
      </c>
      <c r="B1706" s="2" t="s">
        <v>3378</v>
      </c>
      <c r="C1706" s="2" t="s">
        <v>56</v>
      </c>
      <c r="D1706" s="2">
        <v>7</v>
      </c>
      <c r="E1706" s="2" t="s">
        <v>10</v>
      </c>
      <c r="F1706" s="2">
        <v>10</v>
      </c>
      <c r="G1706" s="22">
        <f>Table4[[#This Row],[Item Cost]]*Table4[[#This Row],[In Stock]]</f>
        <v>70</v>
      </c>
      <c r="H1706" s="12" t="s">
        <v>4661</v>
      </c>
      <c r="I1706" s="13" t="s">
        <v>4668</v>
      </c>
      <c r="J1706" s="13" t="s">
        <v>4753</v>
      </c>
      <c r="K1706" t="s">
        <v>4793</v>
      </c>
      <c r="L1706" s="12" t="s">
        <v>4672</v>
      </c>
      <c r="M1706" s="17" t="str">
        <f>IF(LEN(COUNTIFS($H$1:H1706,$H1706,$I$1:I1706,$I1706,$J$1:J1706,$J1706,$K$1:K1706,K1706,$L$1:L1706,L1706))=1,"00"&amp;COUNTIFS($H$1:H1706,$H1706,$I$1:I1706,$I1706,$J$1:J1706,$J1706,$K$1:K1706,K1706,$L$1:L1706,L1706),IF(LEN(COUNTIFS($H$1:H1706,$H1706,$I$1:I1706,$I1706,$J$1:J1706,$J1706,$K$1:K1706,K1706,$L$1:L1706,L1706))=2,"0"&amp;COUNTIFS($H$1:H1706,$H1706,$I$1:I1706,$I1706,$J$1:J1706,$J1706,$K$1:K1706,K1706,$L$1:L1706,L1706),COUNTIFS($H$1:H1706,$H1706,$I$1:I1706,$I1706,$J$1:J1706,$J1706,$K$1:K1706,K1706,$L$1:L1706,L1706)))</f>
        <v>010</v>
      </c>
      <c r="N170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06" s="14" t="e">
        <f>+LEN(Table4[[#This Row],[New Item Code]])</f>
        <v>#N/A</v>
      </c>
      <c r="P1706" s="15" t="s">
        <v>4747</v>
      </c>
      <c r="Q1706" s="15" t="s">
        <v>4749</v>
      </c>
      <c r="R1706" s="15"/>
      <c r="S1706" s="15"/>
      <c r="T1706" s="15" t="s">
        <v>4753</v>
      </c>
    </row>
    <row r="1707" spans="1:20" x14ac:dyDescent="0.35">
      <c r="A1707" s="3" t="s">
        <v>3379</v>
      </c>
      <c r="B1707" s="3" t="s">
        <v>3380</v>
      </c>
      <c r="C1707" s="3" t="s">
        <v>56</v>
      </c>
      <c r="D1707" s="3">
        <v>7</v>
      </c>
      <c r="E1707" s="3" t="s">
        <v>10</v>
      </c>
      <c r="F1707" s="3">
        <v>5</v>
      </c>
      <c r="G1707" s="21">
        <f>Table4[[#This Row],[Item Cost]]*Table4[[#This Row],[In Stock]]</f>
        <v>35</v>
      </c>
      <c r="H1707" s="12" t="s">
        <v>4661</v>
      </c>
      <c r="I1707" s="13" t="s">
        <v>4668</v>
      </c>
      <c r="J1707" s="13" t="s">
        <v>4753</v>
      </c>
      <c r="K1707" t="s">
        <v>4793</v>
      </c>
      <c r="L1707" s="12" t="s">
        <v>4672</v>
      </c>
      <c r="M1707" s="17" t="str">
        <f>IF(LEN(COUNTIFS($H$1:H1707,$H1707,$I$1:I1707,$I1707,$J$1:J1707,$J1707,$K$1:K1707,K1707,$L$1:L1707,L1707))=1,"00"&amp;COUNTIFS($H$1:H1707,$H1707,$I$1:I1707,$I1707,$J$1:J1707,$J1707,$K$1:K1707,K1707,$L$1:L1707,L1707),IF(LEN(COUNTIFS($H$1:H1707,$H1707,$I$1:I1707,$I1707,$J$1:J1707,$J1707,$K$1:K1707,K1707,$L$1:L1707,L1707))=2,"0"&amp;COUNTIFS($H$1:H1707,$H1707,$I$1:I1707,$I1707,$J$1:J1707,$J1707,$K$1:K1707,K1707,$L$1:L1707,L1707),COUNTIFS($H$1:H1707,$H1707,$I$1:I1707,$I1707,$J$1:J1707,$J1707,$K$1:K1707,K1707,$L$1:L1707,L1707)))</f>
        <v>011</v>
      </c>
      <c r="N170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07" s="14" t="e">
        <f>+LEN(Table4[[#This Row],[New Item Code]])</f>
        <v>#N/A</v>
      </c>
      <c r="P1707" s="15" t="s">
        <v>4747</v>
      </c>
      <c r="Q1707" s="15" t="s">
        <v>4749</v>
      </c>
      <c r="R1707" s="15"/>
      <c r="S1707" s="15"/>
      <c r="T1707" s="15" t="s">
        <v>4753</v>
      </c>
    </row>
    <row r="1708" spans="1:20" x14ac:dyDescent="0.35">
      <c r="A1708" s="2" t="s">
        <v>3381</v>
      </c>
      <c r="B1708" s="2" t="s">
        <v>3382</v>
      </c>
      <c r="C1708" s="2" t="s">
        <v>56</v>
      </c>
      <c r="D1708" s="2">
        <v>7</v>
      </c>
      <c r="E1708" s="2" t="s">
        <v>10</v>
      </c>
      <c r="F1708" s="2">
        <v>5</v>
      </c>
      <c r="G1708" s="22">
        <f>Table4[[#This Row],[Item Cost]]*Table4[[#This Row],[In Stock]]</f>
        <v>35</v>
      </c>
      <c r="H1708" s="12" t="s">
        <v>4661</v>
      </c>
      <c r="I1708" s="13" t="s">
        <v>4668</v>
      </c>
      <c r="J1708" s="13" t="s">
        <v>4753</v>
      </c>
      <c r="K1708" t="s">
        <v>4793</v>
      </c>
      <c r="L1708" s="12" t="s">
        <v>4672</v>
      </c>
      <c r="M1708" s="17" t="str">
        <f>IF(LEN(COUNTIFS($H$1:H1708,$H1708,$I$1:I1708,$I1708,$J$1:J1708,$J1708,$K$1:K1708,K1708,$L$1:L1708,L1708))=1,"00"&amp;COUNTIFS($H$1:H1708,$H1708,$I$1:I1708,$I1708,$J$1:J1708,$J1708,$K$1:K1708,K1708,$L$1:L1708,L1708),IF(LEN(COUNTIFS($H$1:H1708,$H1708,$I$1:I1708,$I1708,$J$1:J1708,$J1708,$K$1:K1708,K1708,$L$1:L1708,L1708))=2,"0"&amp;COUNTIFS($H$1:H1708,$H1708,$I$1:I1708,$I1708,$J$1:J1708,$J1708,$K$1:K1708,K1708,$L$1:L1708,L1708),COUNTIFS($H$1:H1708,$H1708,$I$1:I1708,$I1708,$J$1:J1708,$J1708,$K$1:K1708,K1708,$L$1:L1708,L1708)))</f>
        <v>012</v>
      </c>
      <c r="N170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08" s="14" t="e">
        <f>+LEN(Table4[[#This Row],[New Item Code]])</f>
        <v>#N/A</v>
      </c>
      <c r="P1708" s="15" t="s">
        <v>4747</v>
      </c>
      <c r="Q1708" s="15" t="s">
        <v>4749</v>
      </c>
      <c r="R1708" s="15"/>
      <c r="S1708" s="15"/>
      <c r="T1708" s="15" t="s">
        <v>4753</v>
      </c>
    </row>
    <row r="1709" spans="1:20" x14ac:dyDescent="0.35">
      <c r="A1709" s="3" t="s">
        <v>3383</v>
      </c>
      <c r="B1709" s="3" t="s">
        <v>3384</v>
      </c>
      <c r="C1709" s="3" t="s">
        <v>56</v>
      </c>
      <c r="D1709" s="3">
        <v>13</v>
      </c>
      <c r="E1709" s="3" t="s">
        <v>10</v>
      </c>
      <c r="F1709" s="3">
        <v>10</v>
      </c>
      <c r="G1709" s="21">
        <f>Table4[[#This Row],[Item Cost]]*Table4[[#This Row],[In Stock]]</f>
        <v>130</v>
      </c>
      <c r="H1709" s="12" t="s">
        <v>4661</v>
      </c>
      <c r="I1709" s="13" t="s">
        <v>4668</v>
      </c>
      <c r="J1709" s="13" t="s">
        <v>4753</v>
      </c>
      <c r="K1709" t="s">
        <v>4793</v>
      </c>
      <c r="L1709" s="12" t="s">
        <v>4672</v>
      </c>
      <c r="M1709" s="17" t="str">
        <f>IF(LEN(COUNTIFS($H$1:H1709,$H1709,$I$1:I1709,$I1709,$J$1:J1709,$J1709,$K$1:K1709,K1709,$L$1:L1709,L1709))=1,"00"&amp;COUNTIFS($H$1:H1709,$H1709,$I$1:I1709,$I1709,$J$1:J1709,$J1709,$K$1:K1709,K1709,$L$1:L1709,L1709),IF(LEN(COUNTIFS($H$1:H1709,$H1709,$I$1:I1709,$I1709,$J$1:J1709,$J1709,$K$1:K1709,K1709,$L$1:L1709,L1709))=2,"0"&amp;COUNTIFS($H$1:H1709,$H1709,$I$1:I1709,$I1709,$J$1:J1709,$J1709,$K$1:K1709,K1709,$L$1:L1709,L1709),COUNTIFS($H$1:H1709,$H1709,$I$1:I1709,$I1709,$J$1:J1709,$J1709,$K$1:K1709,K1709,$L$1:L1709,L1709)))</f>
        <v>013</v>
      </c>
      <c r="N170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09" s="14" t="e">
        <f>+LEN(Table4[[#This Row],[New Item Code]])</f>
        <v>#N/A</v>
      </c>
      <c r="P1709" s="15" t="s">
        <v>4747</v>
      </c>
      <c r="Q1709" s="15" t="s">
        <v>4749</v>
      </c>
      <c r="R1709" s="15"/>
      <c r="S1709" s="15"/>
      <c r="T1709" s="15" t="s">
        <v>4753</v>
      </c>
    </row>
    <row r="1710" spans="1:20" x14ac:dyDescent="0.35">
      <c r="A1710" s="2" t="s">
        <v>3385</v>
      </c>
      <c r="B1710" s="2" t="s">
        <v>3386</v>
      </c>
      <c r="C1710" s="2" t="s">
        <v>56</v>
      </c>
      <c r="D1710" s="2">
        <v>9.9719999999999995</v>
      </c>
      <c r="E1710" s="2" t="s">
        <v>10</v>
      </c>
      <c r="F1710" s="2">
        <v>25</v>
      </c>
      <c r="G1710" s="22">
        <f>Table4[[#This Row],[Item Cost]]*Table4[[#This Row],[In Stock]]</f>
        <v>249.29999999999998</v>
      </c>
      <c r="H1710" s="12" t="s">
        <v>4661</v>
      </c>
      <c r="I1710" s="13" t="s">
        <v>4668</v>
      </c>
      <c r="J1710" s="13" t="s">
        <v>4753</v>
      </c>
      <c r="K1710" s="13" t="s">
        <v>4672</v>
      </c>
      <c r="L1710" s="12" t="s">
        <v>4672</v>
      </c>
      <c r="M1710" s="17" t="str">
        <f>IF(LEN(COUNTIFS($H$1:H1710,$H1710,$I$1:I1710,$I1710,$J$1:J1710,$J1710,$K$1:K1710,K1710,$L$1:L1710,L1710))=1,"00"&amp;COUNTIFS($H$1:H1710,$H1710,$I$1:I1710,$I1710,$J$1:J1710,$J1710,$K$1:K1710,K1710,$L$1:L1710,L1710),IF(LEN(COUNTIFS($H$1:H1710,$H1710,$I$1:I1710,$I1710,$J$1:J1710,$J1710,$K$1:K1710,K1710,$L$1:L1710,L1710))=2,"0"&amp;COUNTIFS($H$1:H1710,$H1710,$I$1:I1710,$I1710,$J$1:J1710,$J1710,$K$1:K1710,K1710,$L$1:L1710,L1710),COUNTIFS($H$1:H1710,$H1710,$I$1:I1710,$I1710,$J$1:J1710,$J1710,$K$1:K1710,K1710,$L$1:L1710,L1710)))</f>
        <v>053</v>
      </c>
      <c r="N171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10" s="14" t="e">
        <f>+LEN(Table4[[#This Row],[New Item Code]])</f>
        <v>#N/A</v>
      </c>
      <c r="P1710" s="15" t="s">
        <v>4747</v>
      </c>
      <c r="Q1710" s="15" t="s">
        <v>4749</v>
      </c>
      <c r="R1710" s="15"/>
      <c r="S1710" s="15"/>
      <c r="T1710" s="15" t="s">
        <v>4753</v>
      </c>
    </row>
    <row r="1711" spans="1:20" x14ac:dyDescent="0.35">
      <c r="A1711" s="3" t="s">
        <v>3387</v>
      </c>
      <c r="B1711" s="3" t="s">
        <v>3388</v>
      </c>
      <c r="C1711" s="3" t="s">
        <v>56</v>
      </c>
      <c r="D1711" s="3">
        <v>7.5250000000000004</v>
      </c>
      <c r="E1711" s="3" t="s">
        <v>10</v>
      </c>
      <c r="F1711" s="3">
        <v>15</v>
      </c>
      <c r="G1711" s="21">
        <f>Table4[[#This Row],[Item Cost]]*Table4[[#This Row],[In Stock]]</f>
        <v>112.875</v>
      </c>
      <c r="H1711" s="12" t="s">
        <v>4661</v>
      </c>
      <c r="I1711" s="13" t="s">
        <v>4668</v>
      </c>
      <c r="J1711" s="13" t="s">
        <v>4753</v>
      </c>
      <c r="K1711" s="13" t="s">
        <v>4672</v>
      </c>
      <c r="L1711" s="12" t="s">
        <v>4672</v>
      </c>
      <c r="M1711" s="17" t="str">
        <f>IF(LEN(COUNTIFS($H$1:H1711,$H1711,$I$1:I1711,$I1711,$J$1:J1711,$J1711,$K$1:K1711,K1711,$L$1:L1711,L1711))=1,"00"&amp;COUNTIFS($H$1:H1711,$H1711,$I$1:I1711,$I1711,$J$1:J1711,$J1711,$K$1:K1711,K1711,$L$1:L1711,L1711),IF(LEN(COUNTIFS($H$1:H1711,$H1711,$I$1:I1711,$I1711,$J$1:J1711,$J1711,$K$1:K1711,K1711,$L$1:L1711,L1711))=2,"0"&amp;COUNTIFS($H$1:H1711,$H1711,$I$1:I1711,$I1711,$J$1:J1711,$J1711,$K$1:K1711,K1711,$L$1:L1711,L1711),COUNTIFS($H$1:H1711,$H1711,$I$1:I1711,$I1711,$J$1:J1711,$J1711,$K$1:K1711,K1711,$L$1:L1711,L1711)))</f>
        <v>054</v>
      </c>
      <c r="N171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11" s="14" t="e">
        <f>+LEN(Table4[[#This Row],[New Item Code]])</f>
        <v>#N/A</v>
      </c>
      <c r="P1711" s="15" t="s">
        <v>4747</v>
      </c>
      <c r="Q1711" s="15" t="s">
        <v>4749</v>
      </c>
      <c r="R1711" s="15"/>
      <c r="S1711" s="15"/>
      <c r="T1711" s="15" t="s">
        <v>4753</v>
      </c>
    </row>
    <row r="1712" spans="1:20" x14ac:dyDescent="0.35">
      <c r="A1712" s="2" t="s">
        <v>3389</v>
      </c>
      <c r="B1712" s="2" t="s">
        <v>3390</v>
      </c>
      <c r="C1712" s="2" t="s">
        <v>56</v>
      </c>
      <c r="D1712" s="2">
        <v>6.8</v>
      </c>
      <c r="E1712" s="2" t="s">
        <v>10</v>
      </c>
      <c r="F1712" s="2">
        <v>15</v>
      </c>
      <c r="G1712" s="22">
        <f>Table4[[#This Row],[Item Cost]]*Table4[[#This Row],[In Stock]]</f>
        <v>102</v>
      </c>
      <c r="H1712" s="12" t="s">
        <v>4661</v>
      </c>
      <c r="I1712" s="13" t="s">
        <v>4668</v>
      </c>
      <c r="J1712" s="13" t="s">
        <v>4753</v>
      </c>
      <c r="K1712" s="13" t="s">
        <v>4672</v>
      </c>
      <c r="L1712" s="12" t="s">
        <v>4672</v>
      </c>
      <c r="M1712" s="17" t="str">
        <f>IF(LEN(COUNTIFS($H$1:H1712,$H1712,$I$1:I1712,$I1712,$J$1:J1712,$J1712,$K$1:K1712,K1712,$L$1:L1712,L1712))=1,"00"&amp;COUNTIFS($H$1:H1712,$H1712,$I$1:I1712,$I1712,$J$1:J1712,$J1712,$K$1:K1712,K1712,$L$1:L1712,L1712),IF(LEN(COUNTIFS($H$1:H1712,$H1712,$I$1:I1712,$I1712,$J$1:J1712,$J1712,$K$1:K1712,K1712,$L$1:L1712,L1712))=2,"0"&amp;COUNTIFS($H$1:H1712,$H1712,$I$1:I1712,$I1712,$J$1:J1712,$J1712,$K$1:K1712,K1712,$L$1:L1712,L1712),COUNTIFS($H$1:H1712,$H1712,$I$1:I1712,$I1712,$J$1:J1712,$J1712,$K$1:K1712,K1712,$L$1:L1712,L1712)))</f>
        <v>055</v>
      </c>
      <c r="N171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12" s="14" t="e">
        <f>+LEN(Table4[[#This Row],[New Item Code]])</f>
        <v>#N/A</v>
      </c>
      <c r="P1712" s="15" t="s">
        <v>4747</v>
      </c>
      <c r="Q1712" s="15" t="s">
        <v>4749</v>
      </c>
      <c r="R1712" s="15"/>
      <c r="S1712" s="15"/>
      <c r="T1712" s="15" t="s">
        <v>4753</v>
      </c>
    </row>
    <row r="1713" spans="1:20" x14ac:dyDescent="0.35">
      <c r="A1713" s="3" t="s">
        <v>3391</v>
      </c>
      <c r="B1713" s="3" t="s">
        <v>3392</v>
      </c>
      <c r="C1713" s="3" t="s">
        <v>56</v>
      </c>
      <c r="D1713" s="3">
        <v>8.3000000000000007</v>
      </c>
      <c r="E1713" s="3" t="s">
        <v>10</v>
      </c>
      <c r="F1713" s="3">
        <v>15</v>
      </c>
      <c r="G1713" s="21">
        <f>Table4[[#This Row],[Item Cost]]*Table4[[#This Row],[In Stock]]</f>
        <v>124.50000000000001</v>
      </c>
      <c r="H1713" s="12" t="s">
        <v>4661</v>
      </c>
      <c r="I1713" s="13" t="s">
        <v>4668</v>
      </c>
      <c r="J1713" s="13" t="s">
        <v>4753</v>
      </c>
      <c r="K1713" s="13" t="s">
        <v>4672</v>
      </c>
      <c r="L1713" s="12" t="s">
        <v>4672</v>
      </c>
      <c r="M1713" s="17" t="str">
        <f>IF(LEN(COUNTIFS($H$1:H1713,$H1713,$I$1:I1713,$I1713,$J$1:J1713,$J1713,$K$1:K1713,K1713,$L$1:L1713,L1713))=1,"00"&amp;COUNTIFS($H$1:H1713,$H1713,$I$1:I1713,$I1713,$J$1:J1713,$J1713,$K$1:K1713,K1713,$L$1:L1713,L1713),IF(LEN(COUNTIFS($H$1:H1713,$H1713,$I$1:I1713,$I1713,$J$1:J1713,$J1713,$K$1:K1713,K1713,$L$1:L1713,L1713))=2,"0"&amp;COUNTIFS($H$1:H1713,$H1713,$I$1:I1713,$I1713,$J$1:J1713,$J1713,$K$1:K1713,K1713,$L$1:L1713,L1713),COUNTIFS($H$1:H1713,$H1713,$I$1:I1713,$I1713,$J$1:J1713,$J1713,$K$1:K1713,K1713,$L$1:L1713,L1713)))</f>
        <v>056</v>
      </c>
      <c r="N171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13" s="14" t="e">
        <f>+LEN(Table4[[#This Row],[New Item Code]])</f>
        <v>#N/A</v>
      </c>
      <c r="P1713" s="15" t="s">
        <v>4747</v>
      </c>
      <c r="Q1713" s="15" t="s">
        <v>4749</v>
      </c>
      <c r="R1713" s="15"/>
      <c r="S1713" s="15"/>
      <c r="T1713" s="15" t="s">
        <v>4753</v>
      </c>
    </row>
    <row r="1714" spans="1:20" x14ac:dyDescent="0.35">
      <c r="A1714" s="2" t="s">
        <v>3393</v>
      </c>
      <c r="B1714" s="2" t="s">
        <v>3394</v>
      </c>
      <c r="C1714" s="2" t="s">
        <v>56</v>
      </c>
      <c r="D1714" s="2">
        <v>8</v>
      </c>
      <c r="E1714" s="2" t="s">
        <v>10</v>
      </c>
      <c r="F1714" s="2">
        <v>5</v>
      </c>
      <c r="G1714" s="22">
        <f>Table4[[#This Row],[Item Cost]]*Table4[[#This Row],[In Stock]]</f>
        <v>40</v>
      </c>
      <c r="H1714" s="12" t="s">
        <v>4661</v>
      </c>
      <c r="I1714" s="13" t="s">
        <v>4668</v>
      </c>
      <c r="J1714" s="13" t="s">
        <v>4753</v>
      </c>
      <c r="K1714" s="13" t="s">
        <v>4672</v>
      </c>
      <c r="L1714" s="12" t="s">
        <v>4672</v>
      </c>
      <c r="M1714" s="17" t="str">
        <f>IF(LEN(COUNTIFS($H$1:H1714,$H1714,$I$1:I1714,$I1714,$J$1:J1714,$J1714,$K$1:K1714,K1714,$L$1:L1714,L1714))=1,"00"&amp;COUNTIFS($H$1:H1714,$H1714,$I$1:I1714,$I1714,$J$1:J1714,$J1714,$K$1:K1714,K1714,$L$1:L1714,L1714),IF(LEN(COUNTIFS($H$1:H1714,$H1714,$I$1:I1714,$I1714,$J$1:J1714,$J1714,$K$1:K1714,K1714,$L$1:L1714,L1714))=2,"0"&amp;COUNTIFS($H$1:H1714,$H1714,$I$1:I1714,$I1714,$J$1:J1714,$J1714,$K$1:K1714,K1714,$L$1:L1714,L1714),COUNTIFS($H$1:H1714,$H1714,$I$1:I1714,$I1714,$J$1:J1714,$J1714,$K$1:K1714,K1714,$L$1:L1714,L1714)))</f>
        <v>057</v>
      </c>
      <c r="N171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14" s="14" t="e">
        <f>+LEN(Table4[[#This Row],[New Item Code]])</f>
        <v>#N/A</v>
      </c>
      <c r="P1714" s="15" t="s">
        <v>4747</v>
      </c>
      <c r="Q1714" s="15" t="s">
        <v>4749</v>
      </c>
      <c r="R1714" s="15"/>
      <c r="S1714" s="15"/>
      <c r="T1714" s="15" t="s">
        <v>4753</v>
      </c>
    </row>
    <row r="1715" spans="1:20" x14ac:dyDescent="0.35">
      <c r="A1715" s="3" t="s">
        <v>3395</v>
      </c>
      <c r="B1715" s="3" t="s">
        <v>3396</v>
      </c>
      <c r="C1715" s="3" t="s">
        <v>56</v>
      </c>
      <c r="D1715" s="3">
        <v>10</v>
      </c>
      <c r="E1715" s="3" t="s">
        <v>10</v>
      </c>
      <c r="F1715" s="3">
        <v>2</v>
      </c>
      <c r="G1715" s="21">
        <f>Table4[[#This Row],[Item Cost]]*Table4[[#This Row],[In Stock]]</f>
        <v>20</v>
      </c>
      <c r="H1715" s="12" t="s">
        <v>4661</v>
      </c>
      <c r="I1715" s="13" t="s">
        <v>4668</v>
      </c>
      <c r="J1715" s="13" t="s">
        <v>4753</v>
      </c>
      <c r="K1715" s="13" t="s">
        <v>4672</v>
      </c>
      <c r="L1715" s="12" t="s">
        <v>4672</v>
      </c>
      <c r="M1715" s="17" t="str">
        <f>IF(LEN(COUNTIFS($H$1:H1715,$H1715,$I$1:I1715,$I1715,$J$1:J1715,$J1715,$K$1:K1715,K1715,$L$1:L1715,L1715))=1,"00"&amp;COUNTIFS($H$1:H1715,$H1715,$I$1:I1715,$I1715,$J$1:J1715,$J1715,$K$1:K1715,K1715,$L$1:L1715,L1715),IF(LEN(COUNTIFS($H$1:H1715,$H1715,$I$1:I1715,$I1715,$J$1:J1715,$J1715,$K$1:K1715,K1715,$L$1:L1715,L1715))=2,"0"&amp;COUNTIFS($H$1:H1715,$H1715,$I$1:I1715,$I1715,$J$1:J1715,$J1715,$K$1:K1715,K1715,$L$1:L1715,L1715),COUNTIFS($H$1:H1715,$H1715,$I$1:I1715,$I1715,$J$1:J1715,$J1715,$K$1:K1715,K1715,$L$1:L1715,L1715)))</f>
        <v>058</v>
      </c>
      <c r="N171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15" s="14" t="e">
        <f>+LEN(Table4[[#This Row],[New Item Code]])</f>
        <v>#N/A</v>
      </c>
      <c r="P1715" s="15" t="s">
        <v>4747</v>
      </c>
      <c r="Q1715" s="15" t="s">
        <v>4749</v>
      </c>
      <c r="R1715" s="15"/>
      <c r="S1715" s="15"/>
      <c r="T1715" s="15" t="s">
        <v>4753</v>
      </c>
    </row>
    <row r="1716" spans="1:20" x14ac:dyDescent="0.35">
      <c r="A1716" s="2" t="s">
        <v>3397</v>
      </c>
      <c r="B1716" s="2" t="s">
        <v>3398</v>
      </c>
      <c r="C1716" s="2" t="s">
        <v>56</v>
      </c>
      <c r="D1716" s="2">
        <v>145.714</v>
      </c>
      <c r="E1716" s="2" t="s">
        <v>10</v>
      </c>
      <c r="F1716" s="2">
        <v>7</v>
      </c>
      <c r="G1716" s="22">
        <f>Table4[[#This Row],[Item Cost]]*Table4[[#This Row],[In Stock]]</f>
        <v>1019.998</v>
      </c>
      <c r="H1716" s="12" t="s">
        <v>4661</v>
      </c>
      <c r="I1716" s="13" t="s">
        <v>4668</v>
      </c>
      <c r="J1716" s="13" t="s">
        <v>4753</v>
      </c>
      <c r="K1716" s="13" t="s">
        <v>4672</v>
      </c>
      <c r="L1716" s="12" t="s">
        <v>4672</v>
      </c>
      <c r="M1716" s="17" t="str">
        <f>IF(LEN(COUNTIFS($H$1:H1716,$H1716,$I$1:I1716,$I1716,$J$1:J1716,$J1716,$K$1:K1716,K1716,$L$1:L1716,L1716))=1,"00"&amp;COUNTIFS($H$1:H1716,$H1716,$I$1:I1716,$I1716,$J$1:J1716,$J1716,$K$1:K1716,K1716,$L$1:L1716,L1716),IF(LEN(COUNTIFS($H$1:H1716,$H1716,$I$1:I1716,$I1716,$J$1:J1716,$J1716,$K$1:K1716,K1716,$L$1:L1716,L1716))=2,"0"&amp;COUNTIFS($H$1:H1716,$H1716,$I$1:I1716,$I1716,$J$1:J1716,$J1716,$K$1:K1716,K1716,$L$1:L1716,L1716),COUNTIFS($H$1:H1716,$H1716,$I$1:I1716,$I1716,$J$1:J1716,$J1716,$K$1:K1716,K1716,$L$1:L1716,L1716)))</f>
        <v>059</v>
      </c>
      <c r="N171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16" s="14" t="e">
        <f>+LEN(Table4[[#This Row],[New Item Code]])</f>
        <v>#N/A</v>
      </c>
      <c r="P1716" s="15" t="s">
        <v>4747</v>
      </c>
      <c r="Q1716" s="15" t="s">
        <v>4749</v>
      </c>
      <c r="R1716" s="15"/>
      <c r="S1716" s="15"/>
      <c r="T1716" s="15" t="s">
        <v>4753</v>
      </c>
    </row>
    <row r="1717" spans="1:20" x14ac:dyDescent="0.35">
      <c r="A1717" s="3" t="s">
        <v>3399</v>
      </c>
      <c r="B1717" s="3" t="s">
        <v>3400</v>
      </c>
      <c r="C1717" s="3" t="s">
        <v>56</v>
      </c>
      <c r="D1717" s="3">
        <v>120.83</v>
      </c>
      <c r="E1717" s="3" t="s">
        <v>10</v>
      </c>
      <c r="F1717" s="3">
        <v>0</v>
      </c>
      <c r="G1717" s="21">
        <f>Table4[[#This Row],[Item Cost]]*Table4[[#This Row],[In Stock]]</f>
        <v>0</v>
      </c>
      <c r="H1717" s="12" t="s">
        <v>4661</v>
      </c>
      <c r="I1717" s="13" t="s">
        <v>4668</v>
      </c>
      <c r="J1717" s="13" t="s">
        <v>4753</v>
      </c>
      <c r="K1717" s="13" t="s">
        <v>4672</v>
      </c>
      <c r="L1717" s="12" t="s">
        <v>4672</v>
      </c>
      <c r="M1717" s="17" t="str">
        <f>IF(LEN(COUNTIFS($H$1:H1717,$H1717,$I$1:I1717,$I1717,$J$1:J1717,$J1717,$K$1:K1717,K1717,$L$1:L1717,L1717))=1,"00"&amp;COUNTIFS($H$1:H1717,$H1717,$I$1:I1717,$I1717,$J$1:J1717,$J1717,$K$1:K1717,K1717,$L$1:L1717,L1717),IF(LEN(COUNTIFS($H$1:H1717,$H1717,$I$1:I1717,$I1717,$J$1:J1717,$J1717,$K$1:K1717,K1717,$L$1:L1717,L1717))=2,"0"&amp;COUNTIFS($H$1:H1717,$H1717,$I$1:I1717,$I1717,$J$1:J1717,$J1717,$K$1:K1717,K1717,$L$1:L1717,L1717),COUNTIFS($H$1:H1717,$H1717,$I$1:I1717,$I1717,$J$1:J1717,$J1717,$K$1:K1717,K1717,$L$1:L1717,L1717)))</f>
        <v>060</v>
      </c>
      <c r="N171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17" s="14" t="e">
        <f>+LEN(Table4[[#This Row],[New Item Code]])</f>
        <v>#N/A</v>
      </c>
      <c r="P1717" s="15" t="s">
        <v>4747</v>
      </c>
      <c r="Q1717" s="15" t="s">
        <v>4749</v>
      </c>
      <c r="R1717" s="15"/>
      <c r="S1717" s="15"/>
      <c r="T1717" s="15" t="s">
        <v>4753</v>
      </c>
    </row>
    <row r="1718" spans="1:20" x14ac:dyDescent="0.35">
      <c r="A1718" s="2" t="s">
        <v>3401</v>
      </c>
      <c r="B1718" s="2" t="s">
        <v>3402</v>
      </c>
      <c r="C1718" s="2" t="s">
        <v>56</v>
      </c>
      <c r="D1718" s="2">
        <v>0</v>
      </c>
      <c r="E1718" s="2" t="s">
        <v>10</v>
      </c>
      <c r="F1718" s="2">
        <v>0</v>
      </c>
      <c r="G1718" s="22">
        <f>Table4[[#This Row],[Item Cost]]*Table4[[#This Row],[In Stock]]</f>
        <v>0</v>
      </c>
      <c r="H1718" s="12" t="s">
        <v>4661</v>
      </c>
      <c r="I1718" s="13" t="s">
        <v>4668</v>
      </c>
      <c r="J1718" s="13" t="s">
        <v>4753</v>
      </c>
      <c r="K1718" s="13" t="s">
        <v>4672</v>
      </c>
      <c r="L1718" s="12" t="s">
        <v>4672</v>
      </c>
      <c r="M1718" s="17" t="str">
        <f>IF(LEN(COUNTIFS($H$1:H1718,$H1718,$I$1:I1718,$I1718,$J$1:J1718,$J1718,$K$1:K1718,K1718,$L$1:L1718,L1718))=1,"00"&amp;COUNTIFS($H$1:H1718,$H1718,$I$1:I1718,$I1718,$J$1:J1718,$J1718,$K$1:K1718,K1718,$L$1:L1718,L1718),IF(LEN(COUNTIFS($H$1:H1718,$H1718,$I$1:I1718,$I1718,$J$1:J1718,$J1718,$K$1:K1718,K1718,$L$1:L1718,L1718))=2,"0"&amp;COUNTIFS($H$1:H1718,$H1718,$I$1:I1718,$I1718,$J$1:J1718,$J1718,$K$1:K1718,K1718,$L$1:L1718,L1718),COUNTIFS($H$1:H1718,$H1718,$I$1:I1718,$I1718,$J$1:J1718,$J1718,$K$1:K1718,K1718,$L$1:L1718,L1718)))</f>
        <v>061</v>
      </c>
      <c r="N171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18" s="14" t="e">
        <f>+LEN(Table4[[#This Row],[New Item Code]])</f>
        <v>#N/A</v>
      </c>
      <c r="P1718" s="15" t="s">
        <v>4747</v>
      </c>
      <c r="Q1718" s="15" t="s">
        <v>4749</v>
      </c>
      <c r="R1718" s="15"/>
      <c r="S1718" s="15"/>
      <c r="T1718" s="15" t="s">
        <v>4753</v>
      </c>
    </row>
    <row r="1719" spans="1:20" x14ac:dyDescent="0.35">
      <c r="A1719" s="3" t="s">
        <v>3403</v>
      </c>
      <c r="B1719" s="3" t="s">
        <v>3404</v>
      </c>
      <c r="C1719" s="3" t="s">
        <v>56</v>
      </c>
      <c r="D1719" s="3">
        <v>170.93600000000001</v>
      </c>
      <c r="E1719" s="3" t="s">
        <v>10</v>
      </c>
      <c r="F1719" s="3">
        <v>8</v>
      </c>
      <c r="G1719" s="21">
        <f>Table4[[#This Row],[Item Cost]]*Table4[[#This Row],[In Stock]]</f>
        <v>1367.4880000000001</v>
      </c>
      <c r="H1719" s="12" t="s">
        <v>4661</v>
      </c>
      <c r="I1719" s="13" t="s">
        <v>4668</v>
      </c>
      <c r="J1719" s="13" t="s">
        <v>4753</v>
      </c>
      <c r="K1719" s="13" t="s">
        <v>4672</v>
      </c>
      <c r="L1719" s="12" t="s">
        <v>4672</v>
      </c>
      <c r="M1719" s="17" t="str">
        <f>IF(LEN(COUNTIFS($H$1:H1719,$H1719,$I$1:I1719,$I1719,$J$1:J1719,$J1719,$K$1:K1719,K1719,$L$1:L1719,L1719))=1,"00"&amp;COUNTIFS($H$1:H1719,$H1719,$I$1:I1719,$I1719,$J$1:J1719,$J1719,$K$1:K1719,K1719,$L$1:L1719,L1719),IF(LEN(COUNTIFS($H$1:H1719,$H1719,$I$1:I1719,$I1719,$J$1:J1719,$J1719,$K$1:K1719,K1719,$L$1:L1719,L1719))=2,"0"&amp;COUNTIFS($H$1:H1719,$H1719,$I$1:I1719,$I1719,$J$1:J1719,$J1719,$K$1:K1719,K1719,$L$1:L1719,L1719),COUNTIFS($H$1:H1719,$H1719,$I$1:I1719,$I1719,$J$1:J1719,$J1719,$K$1:K1719,K1719,$L$1:L1719,L1719)))</f>
        <v>062</v>
      </c>
      <c r="N171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19" s="14" t="e">
        <f>+LEN(Table4[[#This Row],[New Item Code]])</f>
        <v>#N/A</v>
      </c>
      <c r="P1719" s="15" t="s">
        <v>4747</v>
      </c>
      <c r="Q1719" s="15" t="s">
        <v>4749</v>
      </c>
      <c r="R1719" s="15"/>
      <c r="S1719" s="15"/>
      <c r="T1719" s="15" t="s">
        <v>4753</v>
      </c>
    </row>
    <row r="1720" spans="1:20" x14ac:dyDescent="0.35">
      <c r="A1720" s="2" t="s">
        <v>3405</v>
      </c>
      <c r="B1720" s="2" t="s">
        <v>3406</v>
      </c>
      <c r="C1720" s="2" t="s">
        <v>56</v>
      </c>
      <c r="D1720" s="2">
        <v>15</v>
      </c>
      <c r="E1720" s="2" t="s">
        <v>10</v>
      </c>
      <c r="F1720" s="2">
        <v>6</v>
      </c>
      <c r="G1720" s="22">
        <f>Table4[[#This Row],[Item Cost]]*Table4[[#This Row],[In Stock]]</f>
        <v>90</v>
      </c>
      <c r="H1720" s="12" t="s">
        <v>4661</v>
      </c>
      <c r="I1720" s="13" t="s">
        <v>4668</v>
      </c>
      <c r="J1720" s="13" t="s">
        <v>4753</v>
      </c>
      <c r="K1720" t="s">
        <v>4793</v>
      </c>
      <c r="L1720" s="12" t="s">
        <v>4672</v>
      </c>
      <c r="M1720" s="17" t="str">
        <f>IF(LEN(COUNTIFS($H$1:H1720,$H1720,$I$1:I1720,$I1720,$J$1:J1720,$J1720,$K$1:K1720,K1720,$L$1:L1720,L1720))=1,"00"&amp;COUNTIFS($H$1:H1720,$H1720,$I$1:I1720,$I1720,$J$1:J1720,$J1720,$K$1:K1720,K1720,$L$1:L1720,L1720),IF(LEN(COUNTIFS($H$1:H1720,$H1720,$I$1:I1720,$I1720,$J$1:J1720,$J1720,$K$1:K1720,K1720,$L$1:L1720,L1720))=2,"0"&amp;COUNTIFS($H$1:H1720,$H1720,$I$1:I1720,$I1720,$J$1:J1720,$J1720,$K$1:K1720,K1720,$L$1:L1720,L1720),COUNTIFS($H$1:H1720,$H1720,$I$1:I1720,$I1720,$J$1:J1720,$J1720,$K$1:K1720,K1720,$L$1:L1720,L1720)))</f>
        <v>014</v>
      </c>
      <c r="N172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20" s="14" t="e">
        <f>+LEN(Table4[[#This Row],[New Item Code]])</f>
        <v>#N/A</v>
      </c>
      <c r="P1720" s="15" t="s">
        <v>4747</v>
      </c>
      <c r="Q1720" s="15" t="s">
        <v>4749</v>
      </c>
      <c r="R1720" s="15"/>
      <c r="S1720" s="15"/>
      <c r="T1720" s="15" t="s">
        <v>4753</v>
      </c>
    </row>
    <row r="1721" spans="1:20" x14ac:dyDescent="0.35">
      <c r="A1721" s="3" t="s">
        <v>3407</v>
      </c>
      <c r="B1721" s="3" t="s">
        <v>3408</v>
      </c>
      <c r="C1721" s="3" t="s">
        <v>56</v>
      </c>
      <c r="D1721" s="3">
        <v>12</v>
      </c>
      <c r="E1721" s="3" t="s">
        <v>10</v>
      </c>
      <c r="F1721" s="3">
        <v>4</v>
      </c>
      <c r="G1721" s="21">
        <f>Table4[[#This Row],[Item Cost]]*Table4[[#This Row],[In Stock]]</f>
        <v>48</v>
      </c>
      <c r="H1721" s="12" t="s">
        <v>4661</v>
      </c>
      <c r="I1721" s="13" t="s">
        <v>4668</v>
      </c>
      <c r="J1721" s="13" t="s">
        <v>4753</v>
      </c>
      <c r="K1721" t="s">
        <v>4793</v>
      </c>
      <c r="L1721" s="12" t="s">
        <v>4672</v>
      </c>
      <c r="M1721" s="17" t="str">
        <f>IF(LEN(COUNTIFS($H$1:H1721,$H1721,$I$1:I1721,$I1721,$J$1:J1721,$J1721,$K$1:K1721,K1721,$L$1:L1721,L1721))=1,"00"&amp;COUNTIFS($H$1:H1721,$H1721,$I$1:I1721,$I1721,$J$1:J1721,$J1721,$K$1:K1721,K1721,$L$1:L1721,L1721),IF(LEN(COUNTIFS($H$1:H1721,$H1721,$I$1:I1721,$I1721,$J$1:J1721,$J1721,$K$1:K1721,K1721,$L$1:L1721,L1721))=2,"0"&amp;COUNTIFS($H$1:H1721,$H1721,$I$1:I1721,$I1721,$J$1:J1721,$J1721,$K$1:K1721,K1721,$L$1:L1721,L1721),COUNTIFS($H$1:H1721,$H1721,$I$1:I1721,$I1721,$J$1:J1721,$J1721,$K$1:K1721,K1721,$L$1:L1721,L1721)))</f>
        <v>015</v>
      </c>
      <c r="N172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21" s="14" t="e">
        <f>+LEN(Table4[[#This Row],[New Item Code]])</f>
        <v>#N/A</v>
      </c>
      <c r="P1721" s="15" t="s">
        <v>4747</v>
      </c>
      <c r="Q1721" s="15" t="s">
        <v>4749</v>
      </c>
      <c r="R1721" s="15"/>
      <c r="S1721" s="15"/>
      <c r="T1721" s="15" t="s">
        <v>4753</v>
      </c>
    </row>
    <row r="1722" spans="1:20" x14ac:dyDescent="0.35">
      <c r="A1722" s="2" t="s">
        <v>3409</v>
      </c>
      <c r="B1722" s="2" t="s">
        <v>3410</v>
      </c>
      <c r="C1722" s="2" t="s">
        <v>56</v>
      </c>
      <c r="D1722" s="2">
        <v>17</v>
      </c>
      <c r="E1722" s="2" t="s">
        <v>10</v>
      </c>
      <c r="F1722" s="2">
        <v>56</v>
      </c>
      <c r="G1722" s="22">
        <f>Table4[[#This Row],[Item Cost]]*Table4[[#This Row],[In Stock]]</f>
        <v>952</v>
      </c>
      <c r="H1722" s="12" t="s">
        <v>4661</v>
      </c>
      <c r="I1722" s="13" t="s">
        <v>4668</v>
      </c>
      <c r="J1722" s="13" t="s">
        <v>4753</v>
      </c>
      <c r="K1722" t="s">
        <v>4793</v>
      </c>
      <c r="L1722" s="12" t="s">
        <v>4672</v>
      </c>
      <c r="M1722" s="17" t="str">
        <f>IF(LEN(COUNTIFS($H$1:H1722,$H1722,$I$1:I1722,$I1722,$J$1:J1722,$J1722,$K$1:K1722,K1722,$L$1:L1722,L1722))=1,"00"&amp;COUNTIFS($H$1:H1722,$H1722,$I$1:I1722,$I1722,$J$1:J1722,$J1722,$K$1:K1722,K1722,$L$1:L1722,L1722),IF(LEN(COUNTIFS($H$1:H1722,$H1722,$I$1:I1722,$I1722,$J$1:J1722,$J1722,$K$1:K1722,K1722,$L$1:L1722,L1722))=2,"0"&amp;COUNTIFS($H$1:H1722,$H1722,$I$1:I1722,$I1722,$J$1:J1722,$J1722,$K$1:K1722,K1722,$L$1:L1722,L1722),COUNTIFS($H$1:H1722,$H1722,$I$1:I1722,$I1722,$J$1:J1722,$J1722,$K$1:K1722,K1722,$L$1:L1722,L1722)))</f>
        <v>016</v>
      </c>
      <c r="N172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22" s="14" t="e">
        <f>+LEN(Table4[[#This Row],[New Item Code]])</f>
        <v>#N/A</v>
      </c>
      <c r="P1722" s="15" t="s">
        <v>4747</v>
      </c>
      <c r="Q1722" s="15" t="s">
        <v>4749</v>
      </c>
      <c r="R1722" s="15"/>
      <c r="S1722" s="15"/>
      <c r="T1722" s="15" t="s">
        <v>4753</v>
      </c>
    </row>
    <row r="1723" spans="1:20" x14ac:dyDescent="0.35">
      <c r="A1723" s="3" t="s">
        <v>3411</v>
      </c>
      <c r="B1723" s="3" t="s">
        <v>3412</v>
      </c>
      <c r="C1723" s="3" t="s">
        <v>56</v>
      </c>
      <c r="D1723" s="3">
        <v>10</v>
      </c>
      <c r="E1723" s="3" t="s">
        <v>10</v>
      </c>
      <c r="F1723" s="3">
        <v>91</v>
      </c>
      <c r="G1723" s="21">
        <f>Table4[[#This Row],[Item Cost]]*Table4[[#This Row],[In Stock]]</f>
        <v>910</v>
      </c>
      <c r="H1723" s="12" t="s">
        <v>4661</v>
      </c>
      <c r="I1723" s="13" t="s">
        <v>4668</v>
      </c>
      <c r="J1723" s="13" t="s">
        <v>4753</v>
      </c>
      <c r="K1723" s="13" t="s">
        <v>4672</v>
      </c>
      <c r="L1723" s="12" t="s">
        <v>4672</v>
      </c>
      <c r="M1723" s="17" t="str">
        <f>IF(LEN(COUNTIFS($H$1:H1723,$H1723,$I$1:I1723,$I1723,$J$1:J1723,$J1723,$K$1:K1723,K1723,$L$1:L1723,L1723))=1,"00"&amp;COUNTIFS($H$1:H1723,$H1723,$I$1:I1723,$I1723,$J$1:J1723,$J1723,$K$1:K1723,K1723,$L$1:L1723,L1723),IF(LEN(COUNTIFS($H$1:H1723,$H1723,$I$1:I1723,$I1723,$J$1:J1723,$J1723,$K$1:K1723,K1723,$L$1:L1723,L1723))=2,"0"&amp;COUNTIFS($H$1:H1723,$H1723,$I$1:I1723,$I1723,$J$1:J1723,$J1723,$K$1:K1723,K1723,$L$1:L1723,L1723),COUNTIFS($H$1:H1723,$H1723,$I$1:I1723,$I1723,$J$1:J1723,$J1723,$K$1:K1723,K1723,$L$1:L1723,L1723)))</f>
        <v>063</v>
      </c>
      <c r="N172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23" s="14" t="e">
        <f>+LEN(Table4[[#This Row],[New Item Code]])</f>
        <v>#N/A</v>
      </c>
      <c r="P1723" s="15" t="s">
        <v>4747</v>
      </c>
      <c r="Q1723" s="15" t="s">
        <v>4749</v>
      </c>
      <c r="R1723" s="15"/>
      <c r="S1723" s="15"/>
      <c r="T1723" s="15" t="s">
        <v>4753</v>
      </c>
    </row>
    <row r="1724" spans="1:20" x14ac:dyDescent="0.35">
      <c r="A1724" s="2" t="s">
        <v>3413</v>
      </c>
      <c r="B1724" s="2" t="s">
        <v>3414</v>
      </c>
      <c r="C1724" s="2" t="s">
        <v>56</v>
      </c>
      <c r="D1724" s="2">
        <v>20</v>
      </c>
      <c r="E1724" s="2" t="s">
        <v>10</v>
      </c>
      <c r="F1724" s="2">
        <v>24</v>
      </c>
      <c r="G1724" s="22">
        <f>Table4[[#This Row],[Item Cost]]*Table4[[#This Row],[In Stock]]</f>
        <v>480</v>
      </c>
      <c r="H1724" s="12" t="s">
        <v>4661</v>
      </c>
      <c r="I1724" s="13" t="s">
        <v>4668</v>
      </c>
      <c r="J1724" s="13" t="s">
        <v>4753</v>
      </c>
      <c r="K1724" s="13" t="s">
        <v>4672</v>
      </c>
      <c r="L1724" s="12" t="s">
        <v>4672</v>
      </c>
      <c r="M1724" s="17" t="str">
        <f>IF(LEN(COUNTIFS($H$1:H1724,$H1724,$I$1:I1724,$I1724,$J$1:J1724,$J1724,$K$1:K1724,K1724,$L$1:L1724,L1724))=1,"00"&amp;COUNTIFS($H$1:H1724,$H1724,$I$1:I1724,$I1724,$J$1:J1724,$J1724,$K$1:K1724,K1724,$L$1:L1724,L1724),IF(LEN(COUNTIFS($H$1:H1724,$H1724,$I$1:I1724,$I1724,$J$1:J1724,$J1724,$K$1:K1724,K1724,$L$1:L1724,L1724))=2,"0"&amp;COUNTIFS($H$1:H1724,$H1724,$I$1:I1724,$I1724,$J$1:J1724,$J1724,$K$1:K1724,K1724,$L$1:L1724,L1724),COUNTIFS($H$1:H1724,$H1724,$I$1:I1724,$I1724,$J$1:J1724,$J1724,$K$1:K1724,K1724,$L$1:L1724,L1724)))</f>
        <v>064</v>
      </c>
      <c r="N172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24" s="14" t="e">
        <f>+LEN(Table4[[#This Row],[New Item Code]])</f>
        <v>#N/A</v>
      </c>
      <c r="P1724" s="15" t="s">
        <v>4747</v>
      </c>
      <c r="Q1724" s="15" t="s">
        <v>4749</v>
      </c>
      <c r="R1724" s="15"/>
      <c r="S1724" s="15"/>
      <c r="T1724" s="15" t="s">
        <v>4753</v>
      </c>
    </row>
    <row r="1725" spans="1:20" x14ac:dyDescent="0.35">
      <c r="A1725" s="3" t="s">
        <v>3415</v>
      </c>
      <c r="B1725" s="3" t="s">
        <v>3416</v>
      </c>
      <c r="C1725" s="3" t="s">
        <v>56</v>
      </c>
      <c r="D1725" s="3">
        <v>18</v>
      </c>
      <c r="E1725" s="3" t="s">
        <v>10</v>
      </c>
      <c r="F1725" s="3">
        <v>2</v>
      </c>
      <c r="G1725" s="21">
        <f>Table4[[#This Row],[Item Cost]]*Table4[[#This Row],[In Stock]]</f>
        <v>36</v>
      </c>
      <c r="H1725" s="12" t="s">
        <v>4661</v>
      </c>
      <c r="I1725" s="13" t="s">
        <v>4668</v>
      </c>
      <c r="J1725" s="13" t="s">
        <v>4753</v>
      </c>
      <c r="K1725" s="13" t="s">
        <v>4672</v>
      </c>
      <c r="L1725" s="12" t="s">
        <v>4672</v>
      </c>
      <c r="M1725" s="17" t="str">
        <f>IF(LEN(COUNTIFS($H$1:H1725,$H1725,$I$1:I1725,$I1725,$J$1:J1725,$J1725,$K$1:K1725,K1725,$L$1:L1725,L1725))=1,"00"&amp;COUNTIFS($H$1:H1725,$H1725,$I$1:I1725,$I1725,$J$1:J1725,$J1725,$K$1:K1725,K1725,$L$1:L1725,L1725),IF(LEN(COUNTIFS($H$1:H1725,$H1725,$I$1:I1725,$I1725,$J$1:J1725,$J1725,$K$1:K1725,K1725,$L$1:L1725,L1725))=2,"0"&amp;COUNTIFS($H$1:H1725,$H1725,$I$1:I1725,$I1725,$J$1:J1725,$J1725,$K$1:K1725,K1725,$L$1:L1725,L1725),COUNTIFS($H$1:H1725,$H1725,$I$1:I1725,$I1725,$J$1:J1725,$J1725,$K$1:K1725,K1725,$L$1:L1725,L1725)))</f>
        <v>065</v>
      </c>
      <c r="N172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25" s="14" t="e">
        <f>+LEN(Table4[[#This Row],[New Item Code]])</f>
        <v>#N/A</v>
      </c>
      <c r="P1725" s="15" t="s">
        <v>4747</v>
      </c>
      <c r="Q1725" s="15" t="s">
        <v>4749</v>
      </c>
      <c r="R1725" s="15"/>
      <c r="S1725" s="15"/>
      <c r="T1725" s="15" t="s">
        <v>4753</v>
      </c>
    </row>
    <row r="1726" spans="1:20" x14ac:dyDescent="0.35">
      <c r="A1726" s="2" t="s">
        <v>3417</v>
      </c>
      <c r="B1726" s="2" t="s">
        <v>3244</v>
      </c>
      <c r="C1726" s="2" t="s">
        <v>56</v>
      </c>
      <c r="D1726" s="2">
        <v>22</v>
      </c>
      <c r="E1726" s="2" t="s">
        <v>10</v>
      </c>
      <c r="F1726" s="2">
        <v>20</v>
      </c>
      <c r="G1726" s="22">
        <f>Table4[[#This Row],[Item Cost]]*Table4[[#This Row],[In Stock]]</f>
        <v>440</v>
      </c>
      <c r="H1726" s="12" t="s">
        <v>4661</v>
      </c>
      <c r="I1726" s="13" t="s">
        <v>4668</v>
      </c>
      <c r="J1726" s="13" t="s">
        <v>4753</v>
      </c>
      <c r="K1726" s="13" t="s">
        <v>4672</v>
      </c>
      <c r="L1726" s="12" t="s">
        <v>4672</v>
      </c>
      <c r="M1726" s="17" t="str">
        <f>IF(LEN(COUNTIFS($H$1:H1726,$H1726,$I$1:I1726,$I1726,$J$1:J1726,$J1726,$K$1:K1726,K1726,$L$1:L1726,L1726))=1,"00"&amp;COUNTIFS($H$1:H1726,$H1726,$I$1:I1726,$I1726,$J$1:J1726,$J1726,$K$1:K1726,K1726,$L$1:L1726,L1726),IF(LEN(COUNTIFS($H$1:H1726,$H1726,$I$1:I1726,$I1726,$J$1:J1726,$J1726,$K$1:K1726,K1726,$L$1:L1726,L1726))=2,"0"&amp;COUNTIFS($H$1:H1726,$H1726,$I$1:I1726,$I1726,$J$1:J1726,$J1726,$K$1:K1726,K1726,$L$1:L1726,L1726),COUNTIFS($H$1:H1726,$H1726,$I$1:I1726,$I1726,$J$1:J1726,$J1726,$K$1:K1726,K1726,$L$1:L1726,L1726)))</f>
        <v>066</v>
      </c>
      <c r="N172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26" s="14" t="e">
        <f>+LEN(Table4[[#This Row],[New Item Code]])</f>
        <v>#N/A</v>
      </c>
      <c r="P1726" s="15" t="s">
        <v>4747</v>
      </c>
      <c r="Q1726" s="15" t="s">
        <v>4749</v>
      </c>
      <c r="R1726" s="15"/>
      <c r="S1726" s="15"/>
      <c r="T1726" s="15" t="s">
        <v>4753</v>
      </c>
    </row>
    <row r="1727" spans="1:20" x14ac:dyDescent="0.35">
      <c r="A1727" s="3" t="s">
        <v>3418</v>
      </c>
      <c r="B1727" s="3" t="s">
        <v>3419</v>
      </c>
      <c r="C1727" s="3" t="s">
        <v>56</v>
      </c>
      <c r="D1727" s="3">
        <v>15</v>
      </c>
      <c r="E1727" s="3" t="s">
        <v>10</v>
      </c>
      <c r="F1727" s="3">
        <v>22</v>
      </c>
      <c r="G1727" s="21">
        <f>Table4[[#This Row],[Item Cost]]*Table4[[#This Row],[In Stock]]</f>
        <v>330</v>
      </c>
      <c r="H1727" s="12" t="s">
        <v>4661</v>
      </c>
      <c r="I1727" s="13" t="s">
        <v>4668</v>
      </c>
      <c r="J1727" s="13" t="s">
        <v>4753</v>
      </c>
      <c r="K1727" s="13" t="s">
        <v>4672</v>
      </c>
      <c r="L1727" s="12" t="s">
        <v>4672</v>
      </c>
      <c r="M1727" s="17" t="str">
        <f>IF(LEN(COUNTIFS($H$1:H1727,$H1727,$I$1:I1727,$I1727,$J$1:J1727,$J1727,$K$1:K1727,K1727,$L$1:L1727,L1727))=1,"00"&amp;COUNTIFS($H$1:H1727,$H1727,$I$1:I1727,$I1727,$J$1:J1727,$J1727,$K$1:K1727,K1727,$L$1:L1727,L1727),IF(LEN(COUNTIFS($H$1:H1727,$H1727,$I$1:I1727,$I1727,$J$1:J1727,$J1727,$K$1:K1727,K1727,$L$1:L1727,L1727))=2,"0"&amp;COUNTIFS($H$1:H1727,$H1727,$I$1:I1727,$I1727,$J$1:J1727,$J1727,$K$1:K1727,K1727,$L$1:L1727,L1727),COUNTIFS($H$1:H1727,$H1727,$I$1:I1727,$I1727,$J$1:J1727,$J1727,$K$1:K1727,K1727,$L$1:L1727,L1727)))</f>
        <v>067</v>
      </c>
      <c r="N172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27" s="14" t="e">
        <f>+LEN(Table4[[#This Row],[New Item Code]])</f>
        <v>#N/A</v>
      </c>
      <c r="P1727" s="15" t="s">
        <v>4747</v>
      </c>
      <c r="Q1727" s="15" t="s">
        <v>4749</v>
      </c>
      <c r="R1727" s="15"/>
      <c r="S1727" s="15"/>
      <c r="T1727" s="15" t="s">
        <v>4753</v>
      </c>
    </row>
    <row r="1728" spans="1:20" x14ac:dyDescent="0.35">
      <c r="A1728" s="2" t="s">
        <v>3420</v>
      </c>
      <c r="B1728" s="2" t="s">
        <v>3421</v>
      </c>
      <c r="C1728" s="2" t="s">
        <v>56</v>
      </c>
      <c r="D1728" s="2">
        <v>13</v>
      </c>
      <c r="E1728" s="2" t="s">
        <v>10</v>
      </c>
      <c r="F1728" s="2">
        <v>39</v>
      </c>
      <c r="G1728" s="22">
        <f>Table4[[#This Row],[Item Cost]]*Table4[[#This Row],[In Stock]]</f>
        <v>507</v>
      </c>
      <c r="H1728" s="12" t="s">
        <v>4661</v>
      </c>
      <c r="I1728" s="13" t="s">
        <v>4668</v>
      </c>
      <c r="J1728" s="13" t="s">
        <v>4753</v>
      </c>
      <c r="K1728" s="13" t="s">
        <v>4672</v>
      </c>
      <c r="L1728" s="12" t="s">
        <v>4672</v>
      </c>
      <c r="M1728" s="17" t="str">
        <f>IF(LEN(COUNTIFS($H$1:H1728,$H1728,$I$1:I1728,$I1728,$J$1:J1728,$J1728,$K$1:K1728,K1728,$L$1:L1728,L1728))=1,"00"&amp;COUNTIFS($H$1:H1728,$H1728,$I$1:I1728,$I1728,$J$1:J1728,$J1728,$K$1:K1728,K1728,$L$1:L1728,L1728),IF(LEN(COUNTIFS($H$1:H1728,$H1728,$I$1:I1728,$I1728,$J$1:J1728,$J1728,$K$1:K1728,K1728,$L$1:L1728,L1728))=2,"0"&amp;COUNTIFS($H$1:H1728,$H1728,$I$1:I1728,$I1728,$J$1:J1728,$J1728,$K$1:K1728,K1728,$L$1:L1728,L1728),COUNTIFS($H$1:H1728,$H1728,$I$1:I1728,$I1728,$J$1:J1728,$J1728,$K$1:K1728,K1728,$L$1:L1728,L1728)))</f>
        <v>068</v>
      </c>
      <c r="N172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28" s="14" t="e">
        <f>+LEN(Table4[[#This Row],[New Item Code]])</f>
        <v>#N/A</v>
      </c>
      <c r="P1728" s="15" t="s">
        <v>4747</v>
      </c>
      <c r="Q1728" s="15" t="s">
        <v>4749</v>
      </c>
      <c r="R1728" s="15"/>
      <c r="S1728" s="15"/>
      <c r="T1728" s="15" t="s">
        <v>4753</v>
      </c>
    </row>
    <row r="1729" spans="1:20" x14ac:dyDescent="0.35">
      <c r="A1729" s="3" t="s">
        <v>3422</v>
      </c>
      <c r="B1729" s="3" t="s">
        <v>3423</v>
      </c>
      <c r="C1729" s="3" t="s">
        <v>56</v>
      </c>
      <c r="D1729" s="3">
        <v>13</v>
      </c>
      <c r="E1729" s="3" t="s">
        <v>10</v>
      </c>
      <c r="F1729" s="3">
        <v>22</v>
      </c>
      <c r="G1729" s="21">
        <f>Table4[[#This Row],[Item Cost]]*Table4[[#This Row],[In Stock]]</f>
        <v>286</v>
      </c>
      <c r="H1729" s="12" t="s">
        <v>4661</v>
      </c>
      <c r="I1729" s="13" t="s">
        <v>4668</v>
      </c>
      <c r="J1729" s="13" t="s">
        <v>4753</v>
      </c>
      <c r="K1729" s="13" t="s">
        <v>4672</v>
      </c>
      <c r="L1729" s="12" t="s">
        <v>4672</v>
      </c>
      <c r="M1729" s="17" t="str">
        <f>IF(LEN(COUNTIFS($H$1:H1729,$H1729,$I$1:I1729,$I1729,$J$1:J1729,$J1729,$K$1:K1729,K1729,$L$1:L1729,L1729))=1,"00"&amp;COUNTIFS($H$1:H1729,$H1729,$I$1:I1729,$I1729,$J$1:J1729,$J1729,$K$1:K1729,K1729,$L$1:L1729,L1729),IF(LEN(COUNTIFS($H$1:H1729,$H1729,$I$1:I1729,$I1729,$J$1:J1729,$J1729,$K$1:K1729,K1729,$L$1:L1729,L1729))=2,"0"&amp;COUNTIFS($H$1:H1729,$H1729,$I$1:I1729,$I1729,$J$1:J1729,$J1729,$K$1:K1729,K1729,$L$1:L1729,L1729),COUNTIFS($H$1:H1729,$H1729,$I$1:I1729,$I1729,$J$1:J1729,$J1729,$K$1:K1729,K1729,$L$1:L1729,L1729)))</f>
        <v>069</v>
      </c>
      <c r="N172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29" s="14" t="e">
        <f>+LEN(Table4[[#This Row],[New Item Code]])</f>
        <v>#N/A</v>
      </c>
      <c r="P1729" s="15" t="s">
        <v>4747</v>
      </c>
      <c r="Q1729" s="15" t="s">
        <v>4749</v>
      </c>
      <c r="R1729" s="15"/>
      <c r="S1729" s="15"/>
      <c r="T1729" s="15" t="s">
        <v>4753</v>
      </c>
    </row>
    <row r="1730" spans="1:20" x14ac:dyDescent="0.35">
      <c r="A1730" s="2" t="s">
        <v>3424</v>
      </c>
      <c r="B1730" s="2" t="s">
        <v>3425</v>
      </c>
      <c r="C1730" s="2" t="s">
        <v>56</v>
      </c>
      <c r="D1730" s="2">
        <v>3</v>
      </c>
      <c r="E1730" s="2" t="s">
        <v>10</v>
      </c>
      <c r="F1730" s="2">
        <v>4</v>
      </c>
      <c r="G1730" s="22">
        <f>Table4[[#This Row],[Item Cost]]*Table4[[#This Row],[In Stock]]</f>
        <v>12</v>
      </c>
      <c r="H1730" s="12" t="s">
        <v>4661</v>
      </c>
      <c r="I1730" s="13" t="s">
        <v>4668</v>
      </c>
      <c r="J1730" s="13" t="s">
        <v>4753</v>
      </c>
      <c r="K1730" s="13" t="s">
        <v>4672</v>
      </c>
      <c r="L1730" s="12" t="s">
        <v>4672</v>
      </c>
      <c r="M1730" s="17" t="str">
        <f>IF(LEN(COUNTIFS($H$1:H1730,$H1730,$I$1:I1730,$I1730,$J$1:J1730,$J1730,$K$1:K1730,K1730,$L$1:L1730,L1730))=1,"00"&amp;COUNTIFS($H$1:H1730,$H1730,$I$1:I1730,$I1730,$J$1:J1730,$J1730,$K$1:K1730,K1730,$L$1:L1730,L1730),IF(LEN(COUNTIFS($H$1:H1730,$H1730,$I$1:I1730,$I1730,$J$1:J1730,$J1730,$K$1:K1730,K1730,$L$1:L1730,L1730))=2,"0"&amp;COUNTIFS($H$1:H1730,$H1730,$I$1:I1730,$I1730,$J$1:J1730,$J1730,$K$1:K1730,K1730,$L$1:L1730,L1730),COUNTIFS($H$1:H1730,$H1730,$I$1:I1730,$I1730,$J$1:J1730,$J1730,$K$1:K1730,K1730,$L$1:L1730,L1730)))</f>
        <v>070</v>
      </c>
      <c r="N173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30" s="14" t="e">
        <f>+LEN(Table4[[#This Row],[New Item Code]])</f>
        <v>#N/A</v>
      </c>
      <c r="P1730" s="15" t="s">
        <v>4747</v>
      </c>
      <c r="Q1730" s="15" t="s">
        <v>4749</v>
      </c>
      <c r="R1730" s="15"/>
      <c r="S1730" s="15"/>
      <c r="T1730" s="15" t="s">
        <v>4753</v>
      </c>
    </row>
    <row r="1731" spans="1:20" x14ac:dyDescent="0.35">
      <c r="A1731" s="3" t="s">
        <v>3426</v>
      </c>
      <c r="B1731" s="3" t="s">
        <v>3427</v>
      </c>
      <c r="C1731" s="3" t="s">
        <v>56</v>
      </c>
      <c r="D1731" s="3">
        <v>10</v>
      </c>
      <c r="E1731" s="3" t="s">
        <v>10</v>
      </c>
      <c r="F1731" s="3">
        <v>0</v>
      </c>
      <c r="G1731" s="21">
        <f>Table4[[#This Row],[Item Cost]]*Table4[[#This Row],[In Stock]]</f>
        <v>0</v>
      </c>
      <c r="H1731" s="12" t="s">
        <v>4661</v>
      </c>
      <c r="I1731" s="13" t="s">
        <v>4668</v>
      </c>
      <c r="J1731" s="13" t="s">
        <v>4753</v>
      </c>
      <c r="K1731" s="13" t="s">
        <v>4672</v>
      </c>
      <c r="L1731" s="12" t="s">
        <v>4672</v>
      </c>
      <c r="M1731" s="17" t="str">
        <f>IF(LEN(COUNTIFS($H$1:H1731,$H1731,$I$1:I1731,$I1731,$J$1:J1731,$J1731,$K$1:K1731,K1731,$L$1:L1731,L1731))=1,"00"&amp;COUNTIFS($H$1:H1731,$H1731,$I$1:I1731,$I1731,$J$1:J1731,$J1731,$K$1:K1731,K1731,$L$1:L1731,L1731),IF(LEN(COUNTIFS($H$1:H1731,$H1731,$I$1:I1731,$I1731,$J$1:J1731,$J1731,$K$1:K1731,K1731,$L$1:L1731,L1731))=2,"0"&amp;COUNTIFS($H$1:H1731,$H1731,$I$1:I1731,$I1731,$J$1:J1731,$J1731,$K$1:K1731,K1731,$L$1:L1731,L1731),COUNTIFS($H$1:H1731,$H1731,$I$1:I1731,$I1731,$J$1:J1731,$J1731,$K$1:K1731,K1731,$L$1:L1731,L1731)))</f>
        <v>071</v>
      </c>
      <c r="N173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31" s="14" t="e">
        <f>+LEN(Table4[[#This Row],[New Item Code]])</f>
        <v>#N/A</v>
      </c>
      <c r="P1731" s="15" t="s">
        <v>4747</v>
      </c>
      <c r="Q1731" s="15" t="s">
        <v>4749</v>
      </c>
      <c r="R1731" s="15"/>
      <c r="S1731" s="15"/>
      <c r="T1731" s="15" t="s">
        <v>4753</v>
      </c>
    </row>
    <row r="1732" spans="1:20" x14ac:dyDescent="0.35">
      <c r="A1732" s="2" t="s">
        <v>3428</v>
      </c>
      <c r="B1732" s="2" t="s">
        <v>3429</v>
      </c>
      <c r="C1732" s="2" t="s">
        <v>56</v>
      </c>
      <c r="D1732" s="2">
        <v>5</v>
      </c>
      <c r="E1732" s="2" t="s">
        <v>10</v>
      </c>
      <c r="F1732" s="2">
        <v>14</v>
      </c>
      <c r="G1732" s="22">
        <f>Table4[[#This Row],[Item Cost]]*Table4[[#This Row],[In Stock]]</f>
        <v>70</v>
      </c>
      <c r="H1732" s="12" t="s">
        <v>4661</v>
      </c>
      <c r="I1732" s="13" t="s">
        <v>4668</v>
      </c>
      <c r="J1732" s="13" t="s">
        <v>4753</v>
      </c>
      <c r="K1732" t="s">
        <v>4793</v>
      </c>
      <c r="L1732" s="12" t="s">
        <v>4672</v>
      </c>
      <c r="M1732" s="17" t="str">
        <f>IF(LEN(COUNTIFS($H$1:H1732,$H1732,$I$1:I1732,$I1732,$J$1:J1732,$J1732,$K$1:K1732,K1732,$L$1:L1732,L1732))=1,"00"&amp;COUNTIFS($H$1:H1732,$H1732,$I$1:I1732,$I1732,$J$1:J1732,$J1732,$K$1:K1732,K1732,$L$1:L1732,L1732),IF(LEN(COUNTIFS($H$1:H1732,$H1732,$I$1:I1732,$I1732,$J$1:J1732,$J1732,$K$1:K1732,K1732,$L$1:L1732,L1732))=2,"0"&amp;COUNTIFS($H$1:H1732,$H1732,$I$1:I1732,$I1732,$J$1:J1732,$J1732,$K$1:K1732,K1732,$L$1:L1732,L1732),COUNTIFS($H$1:H1732,$H1732,$I$1:I1732,$I1732,$J$1:J1732,$J1732,$K$1:K1732,K1732,$L$1:L1732,L1732)))</f>
        <v>017</v>
      </c>
      <c r="N173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32" s="14" t="e">
        <f>+LEN(Table4[[#This Row],[New Item Code]])</f>
        <v>#N/A</v>
      </c>
      <c r="P1732" s="15" t="s">
        <v>4747</v>
      </c>
      <c r="Q1732" s="15" t="s">
        <v>4749</v>
      </c>
      <c r="R1732" s="15"/>
      <c r="S1732" s="15"/>
      <c r="T1732" s="15" t="s">
        <v>4753</v>
      </c>
    </row>
    <row r="1733" spans="1:20" x14ac:dyDescent="0.35">
      <c r="A1733" s="3" t="s">
        <v>3430</v>
      </c>
      <c r="B1733" s="3" t="s">
        <v>3431</v>
      </c>
      <c r="C1733" s="3" t="s">
        <v>56</v>
      </c>
      <c r="D1733" s="3">
        <v>7</v>
      </c>
      <c r="E1733" s="3" t="s">
        <v>10</v>
      </c>
      <c r="F1733" s="3">
        <v>5</v>
      </c>
      <c r="G1733" s="21">
        <f>Table4[[#This Row],[Item Cost]]*Table4[[#This Row],[In Stock]]</f>
        <v>35</v>
      </c>
      <c r="H1733" s="12" t="s">
        <v>4661</v>
      </c>
      <c r="I1733" s="13" t="s">
        <v>4668</v>
      </c>
      <c r="J1733" s="13" t="s">
        <v>4753</v>
      </c>
      <c r="K1733" t="s">
        <v>4793</v>
      </c>
      <c r="L1733" s="12" t="s">
        <v>4672</v>
      </c>
      <c r="M1733" s="17" t="str">
        <f>IF(LEN(COUNTIFS($H$1:H1733,$H1733,$I$1:I1733,$I1733,$J$1:J1733,$J1733,$K$1:K1733,K1733,$L$1:L1733,L1733))=1,"00"&amp;COUNTIFS($H$1:H1733,$H1733,$I$1:I1733,$I1733,$J$1:J1733,$J1733,$K$1:K1733,K1733,$L$1:L1733,L1733),IF(LEN(COUNTIFS($H$1:H1733,$H1733,$I$1:I1733,$I1733,$J$1:J1733,$J1733,$K$1:K1733,K1733,$L$1:L1733,L1733))=2,"0"&amp;COUNTIFS($H$1:H1733,$H1733,$I$1:I1733,$I1733,$J$1:J1733,$J1733,$K$1:K1733,K1733,$L$1:L1733,L1733),COUNTIFS($H$1:H1733,$H1733,$I$1:I1733,$I1733,$J$1:J1733,$J1733,$K$1:K1733,K1733,$L$1:L1733,L1733)))</f>
        <v>018</v>
      </c>
      <c r="N173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33" s="14" t="e">
        <f>+LEN(Table4[[#This Row],[New Item Code]])</f>
        <v>#N/A</v>
      </c>
      <c r="P1733" s="15" t="s">
        <v>4747</v>
      </c>
      <c r="Q1733" s="15" t="s">
        <v>4749</v>
      </c>
      <c r="R1733" s="15"/>
      <c r="S1733" s="15"/>
      <c r="T1733" s="15" t="s">
        <v>4753</v>
      </c>
    </row>
    <row r="1734" spans="1:20" x14ac:dyDescent="0.35">
      <c r="A1734" s="2" t="s">
        <v>3432</v>
      </c>
      <c r="B1734" s="2" t="s">
        <v>3433</v>
      </c>
      <c r="C1734" s="2" t="s">
        <v>56</v>
      </c>
      <c r="D1734" s="2">
        <v>6</v>
      </c>
      <c r="E1734" s="2" t="s">
        <v>10</v>
      </c>
      <c r="F1734" s="2">
        <v>7</v>
      </c>
      <c r="G1734" s="22">
        <f>Table4[[#This Row],[Item Cost]]*Table4[[#This Row],[In Stock]]</f>
        <v>42</v>
      </c>
      <c r="H1734" s="12" t="s">
        <v>4661</v>
      </c>
      <c r="I1734" s="13" t="s">
        <v>4668</v>
      </c>
      <c r="J1734" s="13" t="s">
        <v>4753</v>
      </c>
      <c r="K1734" t="s">
        <v>4793</v>
      </c>
      <c r="L1734" s="12" t="s">
        <v>4672</v>
      </c>
      <c r="M1734" s="17" t="str">
        <f>IF(LEN(COUNTIFS($H$1:H1734,$H1734,$I$1:I1734,$I1734,$J$1:J1734,$J1734,$K$1:K1734,K1734,$L$1:L1734,L1734))=1,"00"&amp;COUNTIFS($H$1:H1734,$H1734,$I$1:I1734,$I1734,$J$1:J1734,$J1734,$K$1:K1734,K1734,$L$1:L1734,L1734),IF(LEN(COUNTIFS($H$1:H1734,$H1734,$I$1:I1734,$I1734,$J$1:J1734,$J1734,$K$1:K1734,K1734,$L$1:L1734,L1734))=2,"0"&amp;COUNTIFS($H$1:H1734,$H1734,$I$1:I1734,$I1734,$J$1:J1734,$J1734,$K$1:K1734,K1734,$L$1:L1734,L1734),COUNTIFS($H$1:H1734,$H1734,$I$1:I1734,$I1734,$J$1:J1734,$J1734,$K$1:K1734,K1734,$L$1:L1734,L1734)))</f>
        <v>019</v>
      </c>
      <c r="N173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34" s="14" t="e">
        <f>+LEN(Table4[[#This Row],[New Item Code]])</f>
        <v>#N/A</v>
      </c>
      <c r="P1734" s="15" t="s">
        <v>4747</v>
      </c>
      <c r="Q1734" s="15" t="s">
        <v>4749</v>
      </c>
      <c r="R1734" s="15"/>
      <c r="S1734" s="15"/>
      <c r="T1734" s="15" t="s">
        <v>4753</v>
      </c>
    </row>
    <row r="1735" spans="1:20" x14ac:dyDescent="0.35">
      <c r="A1735" s="3" t="s">
        <v>3434</v>
      </c>
      <c r="B1735" s="3" t="s">
        <v>3435</v>
      </c>
      <c r="C1735" s="3" t="s">
        <v>56</v>
      </c>
      <c r="D1735" s="3">
        <v>5</v>
      </c>
      <c r="E1735" s="3" t="s">
        <v>10</v>
      </c>
      <c r="F1735" s="3">
        <v>0</v>
      </c>
      <c r="G1735" s="21">
        <f>Table4[[#This Row],[Item Cost]]*Table4[[#This Row],[In Stock]]</f>
        <v>0</v>
      </c>
      <c r="H1735" s="12" t="s">
        <v>4661</v>
      </c>
      <c r="I1735" s="13" t="s">
        <v>4668</v>
      </c>
      <c r="J1735" s="13" t="s">
        <v>4753</v>
      </c>
      <c r="K1735" s="13" t="s">
        <v>4672</v>
      </c>
      <c r="L1735" s="12" t="s">
        <v>4672</v>
      </c>
      <c r="M1735" s="17" t="str">
        <f>IF(LEN(COUNTIFS($H$1:H1735,$H1735,$I$1:I1735,$I1735,$J$1:J1735,$J1735,$K$1:K1735,K1735,$L$1:L1735,L1735))=1,"00"&amp;COUNTIFS($H$1:H1735,$H1735,$I$1:I1735,$I1735,$J$1:J1735,$J1735,$K$1:K1735,K1735,$L$1:L1735,L1735),IF(LEN(COUNTIFS($H$1:H1735,$H1735,$I$1:I1735,$I1735,$J$1:J1735,$J1735,$K$1:K1735,K1735,$L$1:L1735,L1735))=2,"0"&amp;COUNTIFS($H$1:H1735,$H1735,$I$1:I1735,$I1735,$J$1:J1735,$J1735,$K$1:K1735,K1735,$L$1:L1735,L1735),COUNTIFS($H$1:H1735,$H1735,$I$1:I1735,$I1735,$J$1:J1735,$J1735,$K$1:K1735,K1735,$L$1:L1735,L1735)))</f>
        <v>072</v>
      </c>
      <c r="N173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35" s="14" t="e">
        <f>+LEN(Table4[[#This Row],[New Item Code]])</f>
        <v>#N/A</v>
      </c>
      <c r="P1735" s="15" t="s">
        <v>4747</v>
      </c>
      <c r="Q1735" s="15" t="s">
        <v>4749</v>
      </c>
      <c r="R1735" s="15"/>
      <c r="S1735" s="15"/>
      <c r="T1735" s="15" t="s">
        <v>4753</v>
      </c>
    </row>
    <row r="1736" spans="1:20" x14ac:dyDescent="0.35">
      <c r="A1736" s="2" t="s">
        <v>3436</v>
      </c>
      <c r="B1736" s="2" t="s">
        <v>3437</v>
      </c>
      <c r="C1736" s="2" t="s">
        <v>56</v>
      </c>
      <c r="D1736" s="2">
        <v>4</v>
      </c>
      <c r="E1736" s="2" t="s">
        <v>10</v>
      </c>
      <c r="F1736" s="2">
        <v>0</v>
      </c>
      <c r="G1736" s="22">
        <f>Table4[[#This Row],[Item Cost]]*Table4[[#This Row],[In Stock]]</f>
        <v>0</v>
      </c>
      <c r="H1736" s="12" t="s">
        <v>4661</v>
      </c>
      <c r="I1736" s="13" t="s">
        <v>4668</v>
      </c>
      <c r="J1736" s="13" t="s">
        <v>4753</v>
      </c>
      <c r="K1736" s="13" t="s">
        <v>4672</v>
      </c>
      <c r="L1736" s="12" t="s">
        <v>4672</v>
      </c>
      <c r="M1736" s="17" t="str">
        <f>IF(LEN(COUNTIFS($H$1:H1736,$H1736,$I$1:I1736,$I1736,$J$1:J1736,$J1736,$K$1:K1736,K1736,$L$1:L1736,L1736))=1,"00"&amp;COUNTIFS($H$1:H1736,$H1736,$I$1:I1736,$I1736,$J$1:J1736,$J1736,$K$1:K1736,K1736,$L$1:L1736,L1736),IF(LEN(COUNTIFS($H$1:H1736,$H1736,$I$1:I1736,$I1736,$J$1:J1736,$J1736,$K$1:K1736,K1736,$L$1:L1736,L1736))=2,"0"&amp;COUNTIFS($H$1:H1736,$H1736,$I$1:I1736,$I1736,$J$1:J1736,$J1736,$K$1:K1736,K1736,$L$1:L1736,L1736),COUNTIFS($H$1:H1736,$H1736,$I$1:I1736,$I1736,$J$1:J1736,$J1736,$K$1:K1736,K1736,$L$1:L1736,L1736)))</f>
        <v>073</v>
      </c>
      <c r="N173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36" s="14" t="e">
        <f>+LEN(Table4[[#This Row],[New Item Code]])</f>
        <v>#N/A</v>
      </c>
      <c r="P1736" s="15" t="s">
        <v>4747</v>
      </c>
      <c r="Q1736" s="15" t="s">
        <v>4749</v>
      </c>
      <c r="R1736" s="15"/>
      <c r="S1736" s="15"/>
      <c r="T1736" s="15" t="s">
        <v>4753</v>
      </c>
    </row>
    <row r="1737" spans="1:20" x14ac:dyDescent="0.35">
      <c r="A1737" s="3" t="s">
        <v>3438</v>
      </c>
      <c r="B1737" s="3" t="s">
        <v>3439</v>
      </c>
      <c r="C1737" s="3" t="s">
        <v>56</v>
      </c>
      <c r="D1737" s="3">
        <v>8</v>
      </c>
      <c r="E1737" s="3" t="s">
        <v>10</v>
      </c>
      <c r="F1737" s="3">
        <v>5</v>
      </c>
      <c r="G1737" s="21">
        <f>Table4[[#This Row],[Item Cost]]*Table4[[#This Row],[In Stock]]</f>
        <v>40</v>
      </c>
      <c r="H1737" s="12" t="s">
        <v>4661</v>
      </c>
      <c r="I1737" s="13" t="s">
        <v>4668</v>
      </c>
      <c r="J1737" s="13" t="s">
        <v>4753</v>
      </c>
      <c r="K1737" s="13" t="s">
        <v>4672</v>
      </c>
      <c r="L1737" s="12" t="s">
        <v>4672</v>
      </c>
      <c r="M1737" s="17" t="str">
        <f>IF(LEN(COUNTIFS($H$1:H1737,$H1737,$I$1:I1737,$I1737,$J$1:J1737,$J1737,$K$1:K1737,K1737,$L$1:L1737,L1737))=1,"00"&amp;COUNTIFS($H$1:H1737,$H1737,$I$1:I1737,$I1737,$J$1:J1737,$J1737,$K$1:K1737,K1737,$L$1:L1737,L1737),IF(LEN(COUNTIFS($H$1:H1737,$H1737,$I$1:I1737,$I1737,$J$1:J1737,$J1737,$K$1:K1737,K1737,$L$1:L1737,L1737))=2,"0"&amp;COUNTIFS($H$1:H1737,$H1737,$I$1:I1737,$I1737,$J$1:J1737,$J1737,$K$1:K1737,K1737,$L$1:L1737,L1737),COUNTIFS($H$1:H1737,$H1737,$I$1:I1737,$I1737,$J$1:J1737,$J1737,$K$1:K1737,K1737,$L$1:L1737,L1737)))</f>
        <v>074</v>
      </c>
      <c r="N173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37" s="14" t="e">
        <f>+LEN(Table4[[#This Row],[New Item Code]])</f>
        <v>#N/A</v>
      </c>
      <c r="P1737" s="15" t="s">
        <v>4747</v>
      </c>
      <c r="Q1737" s="15" t="s">
        <v>4749</v>
      </c>
      <c r="R1737" s="15"/>
      <c r="S1737" s="15"/>
      <c r="T1737" s="15" t="s">
        <v>4753</v>
      </c>
    </row>
    <row r="1738" spans="1:20" x14ac:dyDescent="0.35">
      <c r="A1738" s="2" t="s">
        <v>3440</v>
      </c>
      <c r="B1738" s="2" t="s">
        <v>3441</v>
      </c>
      <c r="C1738" s="2" t="s">
        <v>56</v>
      </c>
      <c r="D1738" s="2">
        <v>7</v>
      </c>
      <c r="E1738" s="2" t="s">
        <v>10</v>
      </c>
      <c r="F1738" s="2">
        <v>15</v>
      </c>
      <c r="G1738" s="22">
        <f>Table4[[#This Row],[Item Cost]]*Table4[[#This Row],[In Stock]]</f>
        <v>105</v>
      </c>
      <c r="H1738" s="12" t="s">
        <v>4661</v>
      </c>
      <c r="I1738" s="13" t="s">
        <v>4668</v>
      </c>
      <c r="J1738" s="13" t="s">
        <v>4753</v>
      </c>
      <c r="K1738" t="s">
        <v>4793</v>
      </c>
      <c r="L1738" s="12" t="s">
        <v>4672</v>
      </c>
      <c r="M1738" s="17" t="str">
        <f>IF(LEN(COUNTIFS($H$1:H1738,$H1738,$I$1:I1738,$I1738,$J$1:J1738,$J1738,$K$1:K1738,K1738,$L$1:L1738,L1738))=1,"00"&amp;COUNTIFS($H$1:H1738,$H1738,$I$1:I1738,$I1738,$J$1:J1738,$J1738,$K$1:K1738,K1738,$L$1:L1738,L1738),IF(LEN(COUNTIFS($H$1:H1738,$H1738,$I$1:I1738,$I1738,$J$1:J1738,$J1738,$K$1:K1738,K1738,$L$1:L1738,L1738))=2,"0"&amp;COUNTIFS($H$1:H1738,$H1738,$I$1:I1738,$I1738,$J$1:J1738,$J1738,$K$1:K1738,K1738,$L$1:L1738,L1738),COUNTIFS($H$1:H1738,$H1738,$I$1:I1738,$I1738,$J$1:J1738,$J1738,$K$1:K1738,K1738,$L$1:L1738,L1738)))</f>
        <v>020</v>
      </c>
      <c r="N173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38" s="14" t="e">
        <f>+LEN(Table4[[#This Row],[New Item Code]])</f>
        <v>#N/A</v>
      </c>
      <c r="P1738" s="15" t="s">
        <v>4747</v>
      </c>
      <c r="Q1738" s="15" t="s">
        <v>4749</v>
      </c>
      <c r="R1738" s="15"/>
      <c r="S1738" s="15"/>
      <c r="T1738" s="15" t="s">
        <v>4753</v>
      </c>
    </row>
    <row r="1739" spans="1:20" x14ac:dyDescent="0.35">
      <c r="A1739" s="3" t="s">
        <v>3442</v>
      </c>
      <c r="B1739" s="3" t="s">
        <v>3443</v>
      </c>
      <c r="C1739" s="3" t="s">
        <v>56</v>
      </c>
      <c r="D1739" s="3">
        <v>11</v>
      </c>
      <c r="E1739" s="3" t="s">
        <v>10</v>
      </c>
      <c r="F1739" s="3">
        <v>10</v>
      </c>
      <c r="G1739" s="21">
        <f>Table4[[#This Row],[Item Cost]]*Table4[[#This Row],[In Stock]]</f>
        <v>110</v>
      </c>
      <c r="H1739" s="12" t="s">
        <v>4661</v>
      </c>
      <c r="I1739" s="13" t="s">
        <v>4668</v>
      </c>
      <c r="J1739" s="13" t="s">
        <v>4753</v>
      </c>
      <c r="K1739" s="13" t="s">
        <v>4672</v>
      </c>
      <c r="L1739" s="12" t="s">
        <v>4672</v>
      </c>
      <c r="M1739" s="17" t="str">
        <f>IF(LEN(COUNTIFS($H$1:H1739,$H1739,$I$1:I1739,$I1739,$J$1:J1739,$J1739,$K$1:K1739,K1739,$L$1:L1739,L1739))=1,"00"&amp;COUNTIFS($H$1:H1739,$H1739,$I$1:I1739,$I1739,$J$1:J1739,$J1739,$K$1:K1739,K1739,$L$1:L1739,L1739),IF(LEN(COUNTIFS($H$1:H1739,$H1739,$I$1:I1739,$I1739,$J$1:J1739,$J1739,$K$1:K1739,K1739,$L$1:L1739,L1739))=2,"0"&amp;COUNTIFS($H$1:H1739,$H1739,$I$1:I1739,$I1739,$J$1:J1739,$J1739,$K$1:K1739,K1739,$L$1:L1739,L1739),COUNTIFS($H$1:H1739,$H1739,$I$1:I1739,$I1739,$J$1:J1739,$J1739,$K$1:K1739,K1739,$L$1:L1739,L1739)))</f>
        <v>075</v>
      </c>
      <c r="N173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39" s="14" t="e">
        <f>+LEN(Table4[[#This Row],[New Item Code]])</f>
        <v>#N/A</v>
      </c>
      <c r="P1739" s="15" t="s">
        <v>4747</v>
      </c>
      <c r="Q1739" s="15" t="s">
        <v>4749</v>
      </c>
      <c r="R1739" s="15"/>
      <c r="S1739" s="15"/>
      <c r="T1739" s="15" t="s">
        <v>4753</v>
      </c>
    </row>
    <row r="1740" spans="1:20" x14ac:dyDescent="0.35">
      <c r="A1740" s="2" t="s">
        <v>3444</v>
      </c>
      <c r="B1740" s="2" t="s">
        <v>3445</v>
      </c>
      <c r="C1740" s="2" t="s">
        <v>56</v>
      </c>
      <c r="D1740" s="2">
        <v>6</v>
      </c>
      <c r="E1740" s="2" t="s">
        <v>10</v>
      </c>
      <c r="F1740" s="2">
        <v>12</v>
      </c>
      <c r="G1740" s="22">
        <f>Table4[[#This Row],[Item Cost]]*Table4[[#This Row],[In Stock]]</f>
        <v>72</v>
      </c>
      <c r="H1740" s="12" t="s">
        <v>4661</v>
      </c>
      <c r="I1740" s="13" t="s">
        <v>4668</v>
      </c>
      <c r="J1740" s="13" t="s">
        <v>4753</v>
      </c>
      <c r="K1740" t="s">
        <v>4793</v>
      </c>
      <c r="L1740" s="12" t="s">
        <v>4672</v>
      </c>
      <c r="M1740" s="17" t="str">
        <f>IF(LEN(COUNTIFS($H$1:H1740,$H1740,$I$1:I1740,$I1740,$J$1:J1740,$J1740,$K$1:K1740,K1740,$L$1:L1740,L1740))=1,"00"&amp;COUNTIFS($H$1:H1740,$H1740,$I$1:I1740,$I1740,$J$1:J1740,$J1740,$K$1:K1740,K1740,$L$1:L1740,L1740),IF(LEN(COUNTIFS($H$1:H1740,$H1740,$I$1:I1740,$I1740,$J$1:J1740,$J1740,$K$1:K1740,K1740,$L$1:L1740,L1740))=2,"0"&amp;COUNTIFS($H$1:H1740,$H1740,$I$1:I1740,$I1740,$J$1:J1740,$J1740,$K$1:K1740,K1740,$L$1:L1740,L1740),COUNTIFS($H$1:H1740,$H1740,$I$1:I1740,$I1740,$J$1:J1740,$J1740,$K$1:K1740,K1740,$L$1:L1740,L1740)))</f>
        <v>021</v>
      </c>
      <c r="N174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40" s="14" t="e">
        <f>+LEN(Table4[[#This Row],[New Item Code]])</f>
        <v>#N/A</v>
      </c>
      <c r="P1740" s="15" t="s">
        <v>4747</v>
      </c>
      <c r="Q1740" s="15" t="s">
        <v>4749</v>
      </c>
      <c r="R1740" s="15"/>
      <c r="S1740" s="15"/>
      <c r="T1740" s="15" t="s">
        <v>4753</v>
      </c>
    </row>
    <row r="1741" spans="1:20" x14ac:dyDescent="0.35">
      <c r="A1741" s="3" t="s">
        <v>3446</v>
      </c>
      <c r="B1741" s="3" t="s">
        <v>3447</v>
      </c>
      <c r="C1741" s="3" t="s">
        <v>56</v>
      </c>
      <c r="D1741" s="3">
        <v>8</v>
      </c>
      <c r="E1741" s="3" t="s">
        <v>10</v>
      </c>
      <c r="F1741" s="3">
        <v>5</v>
      </c>
      <c r="G1741" s="21">
        <f>Table4[[#This Row],[Item Cost]]*Table4[[#This Row],[In Stock]]</f>
        <v>40</v>
      </c>
      <c r="H1741" s="12" t="s">
        <v>4661</v>
      </c>
      <c r="I1741" s="13" t="s">
        <v>4668</v>
      </c>
      <c r="J1741" s="13" t="s">
        <v>4753</v>
      </c>
      <c r="K1741" t="s">
        <v>4793</v>
      </c>
      <c r="L1741" s="12" t="s">
        <v>4672</v>
      </c>
      <c r="M1741" s="17" t="str">
        <f>IF(LEN(COUNTIFS($H$1:H1741,$H1741,$I$1:I1741,$I1741,$J$1:J1741,$J1741,$K$1:K1741,K1741,$L$1:L1741,L1741))=1,"00"&amp;COUNTIFS($H$1:H1741,$H1741,$I$1:I1741,$I1741,$J$1:J1741,$J1741,$K$1:K1741,K1741,$L$1:L1741,L1741),IF(LEN(COUNTIFS($H$1:H1741,$H1741,$I$1:I1741,$I1741,$J$1:J1741,$J1741,$K$1:K1741,K1741,$L$1:L1741,L1741))=2,"0"&amp;COUNTIFS($H$1:H1741,$H1741,$I$1:I1741,$I1741,$J$1:J1741,$J1741,$K$1:K1741,K1741,$L$1:L1741,L1741),COUNTIFS($H$1:H1741,$H1741,$I$1:I1741,$I1741,$J$1:J1741,$J1741,$K$1:K1741,K1741,$L$1:L1741,L1741)))</f>
        <v>022</v>
      </c>
      <c r="N174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41" s="14" t="e">
        <f>+LEN(Table4[[#This Row],[New Item Code]])</f>
        <v>#N/A</v>
      </c>
      <c r="P1741" s="15" t="s">
        <v>4747</v>
      </c>
      <c r="Q1741" s="15" t="s">
        <v>4749</v>
      </c>
      <c r="R1741" s="15"/>
      <c r="S1741" s="15"/>
      <c r="T1741" s="15" t="s">
        <v>4753</v>
      </c>
    </row>
    <row r="1742" spans="1:20" x14ac:dyDescent="0.35">
      <c r="A1742" s="2" t="s">
        <v>3448</v>
      </c>
      <c r="B1742" s="2" t="s">
        <v>3449</v>
      </c>
      <c r="C1742" s="2" t="s">
        <v>56</v>
      </c>
      <c r="D1742" s="2">
        <v>7</v>
      </c>
      <c r="E1742" s="2" t="s">
        <v>10</v>
      </c>
      <c r="F1742" s="2">
        <v>0</v>
      </c>
      <c r="G1742" s="22">
        <f>Table4[[#This Row],[Item Cost]]*Table4[[#This Row],[In Stock]]</f>
        <v>0</v>
      </c>
      <c r="H1742" s="12" t="s">
        <v>4661</v>
      </c>
      <c r="I1742" s="13" t="s">
        <v>4668</v>
      </c>
      <c r="J1742" s="13" t="s">
        <v>4753</v>
      </c>
      <c r="K1742" s="13" t="s">
        <v>4672</v>
      </c>
      <c r="L1742" s="12" t="s">
        <v>4672</v>
      </c>
      <c r="M1742" s="17" t="str">
        <f>IF(LEN(COUNTIFS($H$1:H1742,$H1742,$I$1:I1742,$I1742,$J$1:J1742,$J1742,$K$1:K1742,K1742,$L$1:L1742,L1742))=1,"00"&amp;COUNTIFS($H$1:H1742,$H1742,$I$1:I1742,$I1742,$J$1:J1742,$J1742,$K$1:K1742,K1742,$L$1:L1742,L1742),IF(LEN(COUNTIFS($H$1:H1742,$H1742,$I$1:I1742,$I1742,$J$1:J1742,$J1742,$K$1:K1742,K1742,$L$1:L1742,L1742))=2,"0"&amp;COUNTIFS($H$1:H1742,$H1742,$I$1:I1742,$I1742,$J$1:J1742,$J1742,$K$1:K1742,K1742,$L$1:L1742,L1742),COUNTIFS($H$1:H1742,$H1742,$I$1:I1742,$I1742,$J$1:J1742,$J1742,$K$1:K1742,K1742,$L$1:L1742,L1742)))</f>
        <v>076</v>
      </c>
      <c r="N174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42" s="14" t="e">
        <f>+LEN(Table4[[#This Row],[New Item Code]])</f>
        <v>#N/A</v>
      </c>
      <c r="P1742" s="15" t="s">
        <v>4747</v>
      </c>
      <c r="Q1742" s="15" t="s">
        <v>4749</v>
      </c>
      <c r="R1742" s="15"/>
      <c r="S1742" s="15"/>
      <c r="T1742" s="15" t="s">
        <v>4753</v>
      </c>
    </row>
    <row r="1743" spans="1:20" x14ac:dyDescent="0.35">
      <c r="A1743" s="3" t="s">
        <v>3450</v>
      </c>
      <c r="B1743" s="3" t="s">
        <v>3451</v>
      </c>
      <c r="C1743" s="3" t="s">
        <v>15</v>
      </c>
      <c r="D1743" s="3">
        <v>6</v>
      </c>
      <c r="E1743" s="3" t="s">
        <v>10</v>
      </c>
      <c r="F1743" s="3">
        <v>3</v>
      </c>
      <c r="G1743" s="21">
        <f>Table4[[#This Row],[Item Cost]]*Table4[[#This Row],[In Stock]]</f>
        <v>18</v>
      </c>
      <c r="H1743" s="12" t="s">
        <v>4661</v>
      </c>
      <c r="I1743" s="13" t="s">
        <v>4666</v>
      </c>
      <c r="J1743" s="13" t="s">
        <v>4753</v>
      </c>
      <c r="K1743" t="s">
        <v>4793</v>
      </c>
      <c r="L1743" s="12" t="s">
        <v>4672</v>
      </c>
      <c r="M1743" s="17" t="str">
        <f>IF(LEN(COUNTIFS($H$1:H1743,$H1743,$I$1:I1743,$I1743,$J$1:J1743,$J1743,$K$1:K1743,K1743,$L$1:L1743,L1743))=1,"00"&amp;COUNTIFS($H$1:H1743,$H1743,$I$1:I1743,$I1743,$J$1:J1743,$J1743,$K$1:K1743,K1743,$L$1:L1743,L1743),IF(LEN(COUNTIFS($H$1:H1743,$H1743,$I$1:I1743,$I1743,$J$1:J1743,$J1743,$K$1:K1743,K1743,$L$1:L1743,L1743))=2,"0"&amp;COUNTIFS($H$1:H1743,$H1743,$I$1:I1743,$I1743,$J$1:J1743,$J1743,$K$1:K1743,K1743,$L$1:L1743,L1743),COUNTIFS($H$1:H1743,$H1743,$I$1:I1743,$I1743,$J$1:J1743,$J1743,$K$1:K1743,K1743,$L$1:L1743,L1743)))</f>
        <v>001</v>
      </c>
      <c r="N174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43" s="14" t="e">
        <f>+LEN(Table4[[#This Row],[New Item Code]])</f>
        <v>#N/A</v>
      </c>
      <c r="P1743" s="15" t="s">
        <v>4747</v>
      </c>
      <c r="Q1743" s="15" t="s">
        <v>4749</v>
      </c>
      <c r="R1743" s="15"/>
      <c r="S1743" s="15"/>
      <c r="T1743" s="15" t="s">
        <v>4753</v>
      </c>
    </row>
    <row r="1744" spans="1:20" x14ac:dyDescent="0.35">
      <c r="A1744" s="2" t="s">
        <v>3452</v>
      </c>
      <c r="B1744" s="2" t="s">
        <v>3453</v>
      </c>
      <c r="C1744" s="2" t="s">
        <v>15</v>
      </c>
      <c r="D1744" s="2">
        <v>9</v>
      </c>
      <c r="E1744" s="2" t="s">
        <v>10</v>
      </c>
      <c r="F1744" s="2">
        <v>5</v>
      </c>
      <c r="G1744" s="22">
        <f>Table4[[#This Row],[Item Cost]]*Table4[[#This Row],[In Stock]]</f>
        <v>45</v>
      </c>
      <c r="H1744" s="12" t="s">
        <v>4661</v>
      </c>
      <c r="I1744" s="13" t="s">
        <v>4666</v>
      </c>
      <c r="J1744" s="13" t="s">
        <v>4753</v>
      </c>
      <c r="K1744" t="s">
        <v>4793</v>
      </c>
      <c r="L1744" s="12" t="s">
        <v>4672</v>
      </c>
      <c r="M1744" s="17" t="str">
        <f>IF(LEN(COUNTIFS($H$1:H1744,$H1744,$I$1:I1744,$I1744,$J$1:J1744,$J1744,$K$1:K1744,K1744,$L$1:L1744,L1744))=1,"00"&amp;COUNTIFS($H$1:H1744,$H1744,$I$1:I1744,$I1744,$J$1:J1744,$J1744,$K$1:K1744,K1744,$L$1:L1744,L1744),IF(LEN(COUNTIFS($H$1:H1744,$H1744,$I$1:I1744,$I1744,$J$1:J1744,$J1744,$K$1:K1744,K1744,$L$1:L1744,L1744))=2,"0"&amp;COUNTIFS($H$1:H1744,$H1744,$I$1:I1744,$I1744,$J$1:J1744,$J1744,$K$1:K1744,K1744,$L$1:L1744,L1744),COUNTIFS($H$1:H1744,$H1744,$I$1:I1744,$I1744,$J$1:J1744,$J1744,$K$1:K1744,K1744,$L$1:L1744,L1744)))</f>
        <v>002</v>
      </c>
      <c r="N174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44" s="14" t="e">
        <f>+LEN(Table4[[#This Row],[New Item Code]])</f>
        <v>#N/A</v>
      </c>
      <c r="P1744" s="15" t="s">
        <v>4747</v>
      </c>
      <c r="Q1744" s="15" t="s">
        <v>4749</v>
      </c>
      <c r="R1744" s="15"/>
      <c r="S1744" s="15"/>
      <c r="T1744" s="15" t="s">
        <v>4753</v>
      </c>
    </row>
    <row r="1745" spans="1:20" x14ac:dyDescent="0.35">
      <c r="A1745" s="3" t="s">
        <v>3454</v>
      </c>
      <c r="B1745" s="3" t="s">
        <v>3455</v>
      </c>
      <c r="C1745" s="3" t="s">
        <v>15</v>
      </c>
      <c r="D1745" s="3">
        <v>12</v>
      </c>
      <c r="E1745" s="3" t="s">
        <v>10</v>
      </c>
      <c r="F1745" s="3">
        <v>5</v>
      </c>
      <c r="G1745" s="21">
        <f>Table4[[#This Row],[Item Cost]]*Table4[[#This Row],[In Stock]]</f>
        <v>60</v>
      </c>
      <c r="H1745" s="12" t="s">
        <v>4661</v>
      </c>
      <c r="I1745" s="13" t="s">
        <v>4666</v>
      </c>
      <c r="J1745" s="13" t="s">
        <v>4753</v>
      </c>
      <c r="K1745" t="s">
        <v>4793</v>
      </c>
      <c r="L1745" s="12" t="s">
        <v>4672</v>
      </c>
      <c r="M1745" s="17" t="str">
        <f>IF(LEN(COUNTIFS($H$1:H1745,$H1745,$I$1:I1745,$I1745,$J$1:J1745,$J1745,$K$1:K1745,K1745,$L$1:L1745,L1745))=1,"00"&amp;COUNTIFS($H$1:H1745,$H1745,$I$1:I1745,$I1745,$J$1:J1745,$J1745,$K$1:K1745,K1745,$L$1:L1745,L1745),IF(LEN(COUNTIFS($H$1:H1745,$H1745,$I$1:I1745,$I1745,$J$1:J1745,$J1745,$K$1:K1745,K1745,$L$1:L1745,L1745))=2,"0"&amp;COUNTIFS($H$1:H1745,$H1745,$I$1:I1745,$I1745,$J$1:J1745,$J1745,$K$1:K1745,K1745,$L$1:L1745,L1745),COUNTIFS($H$1:H1745,$H1745,$I$1:I1745,$I1745,$J$1:J1745,$J1745,$K$1:K1745,K1745,$L$1:L1745,L1745)))</f>
        <v>003</v>
      </c>
      <c r="N174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45" s="14" t="e">
        <f>+LEN(Table4[[#This Row],[New Item Code]])</f>
        <v>#N/A</v>
      </c>
      <c r="P1745" s="15" t="s">
        <v>4747</v>
      </c>
      <c r="Q1745" s="15" t="s">
        <v>4749</v>
      </c>
      <c r="R1745" s="15"/>
      <c r="S1745" s="15"/>
      <c r="T1745" s="15" t="s">
        <v>4753</v>
      </c>
    </row>
    <row r="1746" spans="1:20" x14ac:dyDescent="0.35">
      <c r="A1746" s="2" t="s">
        <v>3456</v>
      </c>
      <c r="B1746" s="2" t="s">
        <v>3457</v>
      </c>
      <c r="C1746" s="2" t="s">
        <v>15</v>
      </c>
      <c r="D1746" s="2">
        <v>6.5</v>
      </c>
      <c r="E1746" s="2" t="s">
        <v>10</v>
      </c>
      <c r="F1746" s="2">
        <v>0</v>
      </c>
      <c r="G1746" s="22">
        <f>Table4[[#This Row],[Item Cost]]*Table4[[#This Row],[In Stock]]</f>
        <v>0</v>
      </c>
      <c r="H1746" s="12" t="s">
        <v>4661</v>
      </c>
      <c r="I1746" s="13" t="s">
        <v>4666</v>
      </c>
      <c r="J1746" s="13" t="s">
        <v>4753</v>
      </c>
      <c r="K1746" s="13" t="s">
        <v>4672</v>
      </c>
      <c r="L1746" s="12" t="s">
        <v>4672</v>
      </c>
      <c r="M1746" s="17" t="str">
        <f>IF(LEN(COUNTIFS($H$1:H1746,$H1746,$I$1:I1746,$I1746,$J$1:J1746,$J1746,$K$1:K1746,K1746,$L$1:L1746,L1746))=1,"00"&amp;COUNTIFS($H$1:H1746,$H1746,$I$1:I1746,$I1746,$J$1:J1746,$J1746,$K$1:K1746,K1746,$L$1:L1746,L1746),IF(LEN(COUNTIFS($H$1:H1746,$H1746,$I$1:I1746,$I1746,$J$1:J1746,$J1746,$K$1:K1746,K1746,$L$1:L1746,L1746))=2,"0"&amp;COUNTIFS($H$1:H1746,$H1746,$I$1:I1746,$I1746,$J$1:J1746,$J1746,$K$1:K1746,K1746,$L$1:L1746,L1746),COUNTIFS($H$1:H1746,$H1746,$I$1:I1746,$I1746,$J$1:J1746,$J1746,$K$1:K1746,K1746,$L$1:L1746,L1746)))</f>
        <v>001</v>
      </c>
      <c r="N174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46" s="14" t="e">
        <f>+LEN(Table4[[#This Row],[New Item Code]])</f>
        <v>#N/A</v>
      </c>
      <c r="P1746" s="15" t="s">
        <v>4747</v>
      </c>
      <c r="Q1746" s="15" t="s">
        <v>4749</v>
      </c>
      <c r="R1746" s="15"/>
      <c r="S1746" s="15"/>
      <c r="T1746" s="15" t="s">
        <v>4753</v>
      </c>
    </row>
    <row r="1747" spans="1:20" x14ac:dyDescent="0.35">
      <c r="A1747" s="3" t="s">
        <v>3458</v>
      </c>
      <c r="B1747" s="3" t="s">
        <v>3459</v>
      </c>
      <c r="C1747" s="3" t="s">
        <v>15</v>
      </c>
      <c r="D1747" s="3">
        <v>9</v>
      </c>
      <c r="E1747" s="3" t="s">
        <v>10</v>
      </c>
      <c r="F1747" s="3">
        <v>4</v>
      </c>
      <c r="G1747" s="21">
        <f>Table4[[#This Row],[Item Cost]]*Table4[[#This Row],[In Stock]]</f>
        <v>36</v>
      </c>
      <c r="H1747" s="12" t="s">
        <v>4661</v>
      </c>
      <c r="I1747" s="13" t="s">
        <v>4666</v>
      </c>
      <c r="J1747" s="13" t="s">
        <v>4753</v>
      </c>
      <c r="K1747" t="s">
        <v>4793</v>
      </c>
      <c r="L1747" s="12" t="s">
        <v>4672</v>
      </c>
      <c r="M1747" s="17" t="str">
        <f>IF(LEN(COUNTIFS($H$1:H1747,$H1747,$I$1:I1747,$I1747,$J$1:J1747,$J1747,$K$1:K1747,K1747,$L$1:L1747,L1747))=1,"00"&amp;COUNTIFS($H$1:H1747,$H1747,$I$1:I1747,$I1747,$J$1:J1747,$J1747,$K$1:K1747,K1747,$L$1:L1747,L1747),IF(LEN(COUNTIFS($H$1:H1747,$H1747,$I$1:I1747,$I1747,$J$1:J1747,$J1747,$K$1:K1747,K1747,$L$1:L1747,L1747))=2,"0"&amp;COUNTIFS($H$1:H1747,$H1747,$I$1:I1747,$I1747,$J$1:J1747,$J1747,$K$1:K1747,K1747,$L$1:L1747,L1747),COUNTIFS($H$1:H1747,$H1747,$I$1:I1747,$I1747,$J$1:J1747,$J1747,$K$1:K1747,K1747,$L$1:L1747,L1747)))</f>
        <v>004</v>
      </c>
      <c r="N174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47" s="14" t="e">
        <f>+LEN(Table4[[#This Row],[New Item Code]])</f>
        <v>#N/A</v>
      </c>
      <c r="P1747" s="15" t="s">
        <v>4747</v>
      </c>
      <c r="Q1747" s="15" t="s">
        <v>4749</v>
      </c>
      <c r="R1747" s="15"/>
      <c r="S1747" s="15"/>
      <c r="T1747" s="15" t="s">
        <v>4753</v>
      </c>
    </row>
    <row r="1748" spans="1:20" x14ac:dyDescent="0.35">
      <c r="A1748" s="2" t="s">
        <v>3460</v>
      </c>
      <c r="B1748" s="2" t="s">
        <v>3461</v>
      </c>
      <c r="C1748" s="2" t="s">
        <v>15</v>
      </c>
      <c r="D1748" s="2">
        <v>11</v>
      </c>
      <c r="E1748" s="2" t="s">
        <v>10</v>
      </c>
      <c r="F1748" s="2">
        <v>3</v>
      </c>
      <c r="G1748" s="22">
        <f>Table4[[#This Row],[Item Cost]]*Table4[[#This Row],[In Stock]]</f>
        <v>33</v>
      </c>
      <c r="H1748" s="12" t="s">
        <v>4661</v>
      </c>
      <c r="I1748" s="13" t="s">
        <v>4666</v>
      </c>
      <c r="J1748" s="13" t="s">
        <v>4753</v>
      </c>
      <c r="K1748" t="s">
        <v>4793</v>
      </c>
      <c r="L1748" s="12" t="s">
        <v>4672</v>
      </c>
      <c r="M1748" s="17" t="str">
        <f>IF(LEN(COUNTIFS($H$1:H1748,$H1748,$I$1:I1748,$I1748,$J$1:J1748,$J1748,$K$1:K1748,K1748,$L$1:L1748,L1748))=1,"00"&amp;COUNTIFS($H$1:H1748,$H1748,$I$1:I1748,$I1748,$J$1:J1748,$J1748,$K$1:K1748,K1748,$L$1:L1748,L1748),IF(LEN(COUNTIFS($H$1:H1748,$H1748,$I$1:I1748,$I1748,$J$1:J1748,$J1748,$K$1:K1748,K1748,$L$1:L1748,L1748))=2,"0"&amp;COUNTIFS($H$1:H1748,$H1748,$I$1:I1748,$I1748,$J$1:J1748,$J1748,$K$1:K1748,K1748,$L$1:L1748,L1748),COUNTIFS($H$1:H1748,$H1748,$I$1:I1748,$I1748,$J$1:J1748,$J1748,$K$1:K1748,K1748,$L$1:L1748,L1748)))</f>
        <v>005</v>
      </c>
      <c r="N174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48" s="14" t="e">
        <f>+LEN(Table4[[#This Row],[New Item Code]])</f>
        <v>#N/A</v>
      </c>
      <c r="P1748" s="15" t="s">
        <v>4747</v>
      </c>
      <c r="Q1748" s="15" t="s">
        <v>4749</v>
      </c>
      <c r="R1748" s="15"/>
      <c r="S1748" s="15"/>
      <c r="T1748" s="15" t="s">
        <v>4753</v>
      </c>
    </row>
    <row r="1749" spans="1:20" x14ac:dyDescent="0.35">
      <c r="A1749" s="3" t="s">
        <v>3462</v>
      </c>
      <c r="B1749" s="3" t="s">
        <v>3463</v>
      </c>
      <c r="C1749" s="3" t="s">
        <v>15</v>
      </c>
      <c r="D1749" s="3">
        <v>8</v>
      </c>
      <c r="E1749" s="3" t="s">
        <v>10</v>
      </c>
      <c r="F1749" s="3">
        <v>4</v>
      </c>
      <c r="G1749" s="21">
        <f>Table4[[#This Row],[Item Cost]]*Table4[[#This Row],[In Stock]]</f>
        <v>32</v>
      </c>
      <c r="H1749" s="12" t="s">
        <v>4661</v>
      </c>
      <c r="I1749" s="13" t="s">
        <v>4666</v>
      </c>
      <c r="J1749" s="13" t="s">
        <v>4753</v>
      </c>
      <c r="K1749" t="s">
        <v>4793</v>
      </c>
      <c r="L1749" s="12" t="s">
        <v>4672</v>
      </c>
      <c r="M1749" s="17" t="str">
        <f>IF(LEN(COUNTIFS($H$1:H1749,$H1749,$I$1:I1749,$I1749,$J$1:J1749,$J1749,$K$1:K1749,K1749,$L$1:L1749,L1749))=1,"00"&amp;COUNTIFS($H$1:H1749,$H1749,$I$1:I1749,$I1749,$J$1:J1749,$J1749,$K$1:K1749,K1749,$L$1:L1749,L1749),IF(LEN(COUNTIFS($H$1:H1749,$H1749,$I$1:I1749,$I1749,$J$1:J1749,$J1749,$K$1:K1749,K1749,$L$1:L1749,L1749))=2,"0"&amp;COUNTIFS($H$1:H1749,$H1749,$I$1:I1749,$I1749,$J$1:J1749,$J1749,$K$1:K1749,K1749,$L$1:L1749,L1749),COUNTIFS($H$1:H1749,$H1749,$I$1:I1749,$I1749,$J$1:J1749,$J1749,$K$1:K1749,K1749,$L$1:L1749,L1749)))</f>
        <v>006</v>
      </c>
      <c r="N174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49" s="14" t="e">
        <f>+LEN(Table4[[#This Row],[New Item Code]])</f>
        <v>#N/A</v>
      </c>
      <c r="P1749" s="15" t="s">
        <v>4747</v>
      </c>
      <c r="Q1749" s="15" t="s">
        <v>4749</v>
      </c>
      <c r="R1749" s="15"/>
      <c r="S1749" s="15"/>
      <c r="T1749" s="15" t="s">
        <v>4753</v>
      </c>
    </row>
    <row r="1750" spans="1:20" x14ac:dyDescent="0.35">
      <c r="A1750" s="2" t="s">
        <v>3464</v>
      </c>
      <c r="B1750" s="2" t="s">
        <v>3465</v>
      </c>
      <c r="C1750" s="2" t="s">
        <v>15</v>
      </c>
      <c r="D1750" s="2">
        <v>8.5</v>
      </c>
      <c r="E1750" s="2" t="s">
        <v>10</v>
      </c>
      <c r="F1750" s="2">
        <v>5</v>
      </c>
      <c r="G1750" s="22">
        <f>Table4[[#This Row],[Item Cost]]*Table4[[#This Row],[In Stock]]</f>
        <v>42.5</v>
      </c>
      <c r="H1750" s="12" t="s">
        <v>4661</v>
      </c>
      <c r="I1750" s="13" t="s">
        <v>4666</v>
      </c>
      <c r="J1750" s="13" t="s">
        <v>4753</v>
      </c>
      <c r="K1750" t="s">
        <v>4793</v>
      </c>
      <c r="L1750" s="12" t="s">
        <v>4672</v>
      </c>
      <c r="M1750" s="17" t="str">
        <f>IF(LEN(COUNTIFS($H$1:H1750,$H1750,$I$1:I1750,$I1750,$J$1:J1750,$J1750,$K$1:K1750,K1750,$L$1:L1750,L1750))=1,"00"&amp;COUNTIFS($H$1:H1750,$H1750,$I$1:I1750,$I1750,$J$1:J1750,$J1750,$K$1:K1750,K1750,$L$1:L1750,L1750),IF(LEN(COUNTIFS($H$1:H1750,$H1750,$I$1:I1750,$I1750,$J$1:J1750,$J1750,$K$1:K1750,K1750,$L$1:L1750,L1750))=2,"0"&amp;COUNTIFS($H$1:H1750,$H1750,$I$1:I1750,$I1750,$J$1:J1750,$J1750,$K$1:K1750,K1750,$L$1:L1750,L1750),COUNTIFS($H$1:H1750,$H1750,$I$1:I1750,$I1750,$J$1:J1750,$J1750,$K$1:K1750,K1750,$L$1:L1750,L1750)))</f>
        <v>007</v>
      </c>
      <c r="N175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50" s="14" t="e">
        <f>+LEN(Table4[[#This Row],[New Item Code]])</f>
        <v>#N/A</v>
      </c>
      <c r="P1750" s="15" t="s">
        <v>4747</v>
      </c>
      <c r="Q1750" s="15" t="s">
        <v>4749</v>
      </c>
      <c r="R1750" s="15"/>
      <c r="S1750" s="15"/>
      <c r="T1750" s="15" t="s">
        <v>4753</v>
      </c>
    </row>
    <row r="1751" spans="1:20" x14ac:dyDescent="0.35">
      <c r="A1751" s="3" t="s">
        <v>3466</v>
      </c>
      <c r="B1751" s="3" t="s">
        <v>3467</v>
      </c>
      <c r="C1751" s="3" t="s">
        <v>15</v>
      </c>
      <c r="D1751" s="3">
        <v>9</v>
      </c>
      <c r="E1751" s="3" t="s">
        <v>10</v>
      </c>
      <c r="F1751" s="3">
        <v>0</v>
      </c>
      <c r="G1751" s="21">
        <f>Table4[[#This Row],[Item Cost]]*Table4[[#This Row],[In Stock]]</f>
        <v>0</v>
      </c>
      <c r="H1751" s="12" t="s">
        <v>4661</v>
      </c>
      <c r="I1751" s="13" t="s">
        <v>4666</v>
      </c>
      <c r="J1751" s="13" t="s">
        <v>4753</v>
      </c>
      <c r="K1751" s="13" t="s">
        <v>4672</v>
      </c>
      <c r="L1751" s="12" t="s">
        <v>4672</v>
      </c>
      <c r="M1751" s="17" t="str">
        <f>IF(LEN(COUNTIFS($H$1:H1751,$H1751,$I$1:I1751,$I1751,$J$1:J1751,$J1751,$K$1:K1751,K1751,$L$1:L1751,L1751))=1,"00"&amp;COUNTIFS($H$1:H1751,$H1751,$I$1:I1751,$I1751,$J$1:J1751,$J1751,$K$1:K1751,K1751,$L$1:L1751,L1751),IF(LEN(COUNTIFS($H$1:H1751,$H1751,$I$1:I1751,$I1751,$J$1:J1751,$J1751,$K$1:K1751,K1751,$L$1:L1751,L1751))=2,"0"&amp;COUNTIFS($H$1:H1751,$H1751,$I$1:I1751,$I1751,$J$1:J1751,$J1751,$K$1:K1751,K1751,$L$1:L1751,L1751),COUNTIFS($H$1:H1751,$H1751,$I$1:I1751,$I1751,$J$1:J1751,$J1751,$K$1:K1751,K1751,$L$1:L1751,L1751)))</f>
        <v>002</v>
      </c>
      <c r="N175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51" s="14" t="e">
        <f>+LEN(Table4[[#This Row],[New Item Code]])</f>
        <v>#N/A</v>
      </c>
      <c r="P1751" s="15" t="s">
        <v>4747</v>
      </c>
      <c r="Q1751" s="15" t="s">
        <v>4749</v>
      </c>
      <c r="R1751" s="15"/>
      <c r="S1751" s="15"/>
      <c r="T1751" s="15" t="s">
        <v>4753</v>
      </c>
    </row>
    <row r="1752" spans="1:20" x14ac:dyDescent="0.35">
      <c r="A1752" s="2" t="s">
        <v>3468</v>
      </c>
      <c r="B1752" s="2" t="s">
        <v>3469</v>
      </c>
      <c r="C1752" s="2" t="s">
        <v>15</v>
      </c>
      <c r="D1752" s="2">
        <v>10</v>
      </c>
      <c r="E1752" s="2" t="s">
        <v>10</v>
      </c>
      <c r="F1752" s="2">
        <v>5</v>
      </c>
      <c r="G1752" s="22">
        <f>Table4[[#This Row],[Item Cost]]*Table4[[#This Row],[In Stock]]</f>
        <v>50</v>
      </c>
      <c r="H1752" s="12" t="s">
        <v>4661</v>
      </c>
      <c r="I1752" s="13" t="s">
        <v>4666</v>
      </c>
      <c r="J1752" s="13" t="s">
        <v>4753</v>
      </c>
      <c r="K1752" t="s">
        <v>4793</v>
      </c>
      <c r="L1752" s="12" t="s">
        <v>4672</v>
      </c>
      <c r="M1752" s="17" t="str">
        <f>IF(LEN(COUNTIFS($H$1:H1752,$H1752,$I$1:I1752,$I1752,$J$1:J1752,$J1752,$K$1:K1752,K1752,$L$1:L1752,L1752))=1,"00"&amp;COUNTIFS($H$1:H1752,$H1752,$I$1:I1752,$I1752,$J$1:J1752,$J1752,$K$1:K1752,K1752,$L$1:L1752,L1752),IF(LEN(COUNTIFS($H$1:H1752,$H1752,$I$1:I1752,$I1752,$J$1:J1752,$J1752,$K$1:K1752,K1752,$L$1:L1752,L1752))=2,"0"&amp;COUNTIFS($H$1:H1752,$H1752,$I$1:I1752,$I1752,$J$1:J1752,$J1752,$K$1:K1752,K1752,$L$1:L1752,L1752),COUNTIFS($H$1:H1752,$H1752,$I$1:I1752,$I1752,$J$1:J1752,$J1752,$K$1:K1752,K1752,$L$1:L1752,L1752)))</f>
        <v>008</v>
      </c>
      <c r="N175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52" s="14" t="e">
        <f>+LEN(Table4[[#This Row],[New Item Code]])</f>
        <v>#N/A</v>
      </c>
      <c r="P1752" s="15" t="s">
        <v>4747</v>
      </c>
      <c r="Q1752" s="15" t="s">
        <v>4749</v>
      </c>
      <c r="R1752" s="15"/>
      <c r="S1752" s="15"/>
      <c r="T1752" s="15" t="s">
        <v>4753</v>
      </c>
    </row>
    <row r="1753" spans="1:20" x14ac:dyDescent="0.35">
      <c r="A1753" s="3" t="s">
        <v>3470</v>
      </c>
      <c r="B1753" s="3" t="s">
        <v>3471</v>
      </c>
      <c r="C1753" s="3" t="s">
        <v>15</v>
      </c>
      <c r="D1753" s="3">
        <v>11</v>
      </c>
      <c r="E1753" s="3" t="s">
        <v>10</v>
      </c>
      <c r="F1753" s="3">
        <v>5</v>
      </c>
      <c r="G1753" s="21">
        <f>Table4[[#This Row],[Item Cost]]*Table4[[#This Row],[In Stock]]</f>
        <v>55</v>
      </c>
      <c r="H1753" s="12" t="s">
        <v>4661</v>
      </c>
      <c r="I1753" s="13" t="s">
        <v>4666</v>
      </c>
      <c r="J1753" s="13" t="s">
        <v>4753</v>
      </c>
      <c r="K1753" t="s">
        <v>4793</v>
      </c>
      <c r="L1753" s="12" t="s">
        <v>4672</v>
      </c>
      <c r="M1753" s="17" t="str">
        <f>IF(LEN(COUNTIFS($H$1:H1753,$H1753,$I$1:I1753,$I1753,$J$1:J1753,$J1753,$K$1:K1753,K1753,$L$1:L1753,L1753))=1,"00"&amp;COUNTIFS($H$1:H1753,$H1753,$I$1:I1753,$I1753,$J$1:J1753,$J1753,$K$1:K1753,K1753,$L$1:L1753,L1753),IF(LEN(COUNTIFS($H$1:H1753,$H1753,$I$1:I1753,$I1753,$J$1:J1753,$J1753,$K$1:K1753,K1753,$L$1:L1753,L1753))=2,"0"&amp;COUNTIFS($H$1:H1753,$H1753,$I$1:I1753,$I1753,$J$1:J1753,$J1753,$K$1:K1753,K1753,$L$1:L1753,L1753),COUNTIFS($H$1:H1753,$H1753,$I$1:I1753,$I1753,$J$1:J1753,$J1753,$K$1:K1753,K1753,$L$1:L1753,L1753)))</f>
        <v>009</v>
      </c>
      <c r="N175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53" s="14" t="e">
        <f>+LEN(Table4[[#This Row],[New Item Code]])</f>
        <v>#N/A</v>
      </c>
      <c r="P1753" s="15" t="s">
        <v>4747</v>
      </c>
      <c r="Q1753" s="15" t="s">
        <v>4749</v>
      </c>
      <c r="R1753" s="15"/>
      <c r="S1753" s="15"/>
      <c r="T1753" s="15" t="s">
        <v>4753</v>
      </c>
    </row>
    <row r="1754" spans="1:20" x14ac:dyDescent="0.35">
      <c r="A1754" s="2" t="s">
        <v>3472</v>
      </c>
      <c r="B1754" s="2" t="s">
        <v>3473</v>
      </c>
      <c r="C1754" s="2" t="s">
        <v>15</v>
      </c>
      <c r="D1754" s="2">
        <v>14</v>
      </c>
      <c r="E1754" s="2" t="s">
        <v>10</v>
      </c>
      <c r="F1754" s="2">
        <v>2</v>
      </c>
      <c r="G1754" s="22">
        <f>Table4[[#This Row],[Item Cost]]*Table4[[#This Row],[In Stock]]</f>
        <v>28</v>
      </c>
      <c r="H1754" s="12" t="s">
        <v>4661</v>
      </c>
      <c r="I1754" s="13" t="s">
        <v>4666</v>
      </c>
      <c r="J1754" s="13" t="s">
        <v>4753</v>
      </c>
      <c r="K1754" t="s">
        <v>4793</v>
      </c>
      <c r="L1754" s="12" t="s">
        <v>4672</v>
      </c>
      <c r="M1754" s="17" t="str">
        <f>IF(LEN(COUNTIFS($H$1:H1754,$H1754,$I$1:I1754,$I1754,$J$1:J1754,$J1754,$K$1:K1754,K1754,$L$1:L1754,L1754))=1,"00"&amp;COUNTIFS($H$1:H1754,$H1754,$I$1:I1754,$I1754,$J$1:J1754,$J1754,$K$1:K1754,K1754,$L$1:L1754,L1754),IF(LEN(COUNTIFS($H$1:H1754,$H1754,$I$1:I1754,$I1754,$J$1:J1754,$J1754,$K$1:K1754,K1754,$L$1:L1754,L1754))=2,"0"&amp;COUNTIFS($H$1:H1754,$H1754,$I$1:I1754,$I1754,$J$1:J1754,$J1754,$K$1:K1754,K1754,$L$1:L1754,L1754),COUNTIFS($H$1:H1754,$H1754,$I$1:I1754,$I1754,$J$1:J1754,$J1754,$K$1:K1754,K1754,$L$1:L1754,L1754)))</f>
        <v>010</v>
      </c>
      <c r="N175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54" s="14" t="e">
        <f>+LEN(Table4[[#This Row],[New Item Code]])</f>
        <v>#N/A</v>
      </c>
      <c r="P1754" s="15" t="s">
        <v>4747</v>
      </c>
      <c r="Q1754" s="15" t="s">
        <v>4749</v>
      </c>
      <c r="R1754" s="15"/>
      <c r="S1754" s="15"/>
      <c r="T1754" s="15" t="s">
        <v>4753</v>
      </c>
    </row>
    <row r="1755" spans="1:20" x14ac:dyDescent="0.35">
      <c r="A1755" s="3" t="s">
        <v>3474</v>
      </c>
      <c r="B1755" s="3" t="s">
        <v>3475</v>
      </c>
      <c r="C1755" s="3" t="s">
        <v>15</v>
      </c>
      <c r="D1755" s="3">
        <v>8</v>
      </c>
      <c r="E1755" s="3" t="s">
        <v>10</v>
      </c>
      <c r="F1755" s="3">
        <v>10</v>
      </c>
      <c r="G1755" s="21">
        <f>Table4[[#This Row],[Item Cost]]*Table4[[#This Row],[In Stock]]</f>
        <v>80</v>
      </c>
      <c r="H1755" s="12" t="s">
        <v>4661</v>
      </c>
      <c r="I1755" s="13" t="s">
        <v>4666</v>
      </c>
      <c r="J1755" s="13" t="s">
        <v>4753</v>
      </c>
      <c r="K1755" t="s">
        <v>4793</v>
      </c>
      <c r="L1755" s="12" t="s">
        <v>4672</v>
      </c>
      <c r="M1755" s="17" t="str">
        <f>IF(LEN(COUNTIFS($H$1:H1755,$H1755,$I$1:I1755,$I1755,$J$1:J1755,$J1755,$K$1:K1755,K1755,$L$1:L1755,L1755))=1,"00"&amp;COUNTIFS($H$1:H1755,$H1755,$I$1:I1755,$I1755,$J$1:J1755,$J1755,$K$1:K1755,K1755,$L$1:L1755,L1755),IF(LEN(COUNTIFS($H$1:H1755,$H1755,$I$1:I1755,$I1755,$J$1:J1755,$J1755,$K$1:K1755,K1755,$L$1:L1755,L1755))=2,"0"&amp;COUNTIFS($H$1:H1755,$H1755,$I$1:I1755,$I1755,$J$1:J1755,$J1755,$K$1:K1755,K1755,$L$1:L1755,L1755),COUNTIFS($H$1:H1755,$H1755,$I$1:I1755,$I1755,$J$1:J1755,$J1755,$K$1:K1755,K1755,$L$1:L1755,L1755)))</f>
        <v>011</v>
      </c>
      <c r="N175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55" s="14" t="e">
        <f>+LEN(Table4[[#This Row],[New Item Code]])</f>
        <v>#N/A</v>
      </c>
      <c r="P1755" s="15" t="s">
        <v>4747</v>
      </c>
      <c r="Q1755" s="15" t="s">
        <v>4749</v>
      </c>
      <c r="R1755" s="15"/>
      <c r="S1755" s="15"/>
      <c r="T1755" s="15" t="s">
        <v>4753</v>
      </c>
    </row>
    <row r="1756" spans="1:20" x14ac:dyDescent="0.35">
      <c r="A1756" s="2" t="s">
        <v>3476</v>
      </c>
      <c r="B1756" s="2" t="s">
        <v>3477</v>
      </c>
      <c r="C1756" s="2" t="s">
        <v>15</v>
      </c>
      <c r="D1756" s="2">
        <v>8.5</v>
      </c>
      <c r="E1756" s="2" t="s">
        <v>10</v>
      </c>
      <c r="F1756" s="2">
        <v>10</v>
      </c>
      <c r="G1756" s="22">
        <f>Table4[[#This Row],[Item Cost]]*Table4[[#This Row],[In Stock]]</f>
        <v>85</v>
      </c>
      <c r="H1756" s="12" t="s">
        <v>4661</v>
      </c>
      <c r="I1756" s="13" t="s">
        <v>4666</v>
      </c>
      <c r="J1756" s="13" t="s">
        <v>4753</v>
      </c>
      <c r="K1756" t="s">
        <v>4793</v>
      </c>
      <c r="L1756" s="12" t="s">
        <v>4672</v>
      </c>
      <c r="M1756" s="17" t="str">
        <f>IF(LEN(COUNTIFS($H$1:H1756,$H1756,$I$1:I1756,$I1756,$J$1:J1756,$J1756,$K$1:K1756,K1756,$L$1:L1756,L1756))=1,"00"&amp;COUNTIFS($H$1:H1756,$H1756,$I$1:I1756,$I1756,$J$1:J1756,$J1756,$K$1:K1756,K1756,$L$1:L1756,L1756),IF(LEN(COUNTIFS($H$1:H1756,$H1756,$I$1:I1756,$I1756,$J$1:J1756,$J1756,$K$1:K1756,K1756,$L$1:L1756,L1756))=2,"0"&amp;COUNTIFS($H$1:H1756,$H1756,$I$1:I1756,$I1756,$J$1:J1756,$J1756,$K$1:K1756,K1756,$L$1:L1756,L1756),COUNTIFS($H$1:H1756,$H1756,$I$1:I1756,$I1756,$J$1:J1756,$J1756,$K$1:K1756,K1756,$L$1:L1756,L1756)))</f>
        <v>012</v>
      </c>
      <c r="N175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56" s="14" t="e">
        <f>+LEN(Table4[[#This Row],[New Item Code]])</f>
        <v>#N/A</v>
      </c>
      <c r="P1756" s="15" t="s">
        <v>4747</v>
      </c>
      <c r="Q1756" s="15" t="s">
        <v>4749</v>
      </c>
      <c r="R1756" s="15"/>
      <c r="S1756" s="15"/>
      <c r="T1756" s="15" t="s">
        <v>4753</v>
      </c>
    </row>
    <row r="1757" spans="1:20" x14ac:dyDescent="0.35">
      <c r="A1757" s="3" t="s">
        <v>3478</v>
      </c>
      <c r="B1757" s="3" t="s">
        <v>3479</v>
      </c>
      <c r="C1757" s="3" t="s">
        <v>15</v>
      </c>
      <c r="D1757" s="3">
        <v>9</v>
      </c>
      <c r="E1757" s="3" t="s">
        <v>10</v>
      </c>
      <c r="F1757" s="3">
        <v>20</v>
      </c>
      <c r="G1757" s="21">
        <f>Table4[[#This Row],[Item Cost]]*Table4[[#This Row],[In Stock]]</f>
        <v>180</v>
      </c>
      <c r="H1757" s="12" t="s">
        <v>4661</v>
      </c>
      <c r="I1757" s="13" t="s">
        <v>4666</v>
      </c>
      <c r="J1757" s="13" t="s">
        <v>4753</v>
      </c>
      <c r="K1757" t="s">
        <v>4793</v>
      </c>
      <c r="L1757" s="12" t="s">
        <v>4672</v>
      </c>
      <c r="M1757" s="17" t="str">
        <f>IF(LEN(COUNTIFS($H$1:H1757,$H1757,$I$1:I1757,$I1757,$J$1:J1757,$J1757,$K$1:K1757,K1757,$L$1:L1757,L1757))=1,"00"&amp;COUNTIFS($H$1:H1757,$H1757,$I$1:I1757,$I1757,$J$1:J1757,$J1757,$K$1:K1757,K1757,$L$1:L1757,L1757),IF(LEN(COUNTIFS($H$1:H1757,$H1757,$I$1:I1757,$I1757,$J$1:J1757,$J1757,$K$1:K1757,K1757,$L$1:L1757,L1757))=2,"0"&amp;COUNTIFS($H$1:H1757,$H1757,$I$1:I1757,$I1757,$J$1:J1757,$J1757,$K$1:K1757,K1757,$L$1:L1757,L1757),COUNTIFS($H$1:H1757,$H1757,$I$1:I1757,$I1757,$J$1:J1757,$J1757,$K$1:K1757,K1757,$L$1:L1757,L1757)))</f>
        <v>013</v>
      </c>
      <c r="N175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57" s="14" t="e">
        <f>+LEN(Table4[[#This Row],[New Item Code]])</f>
        <v>#N/A</v>
      </c>
      <c r="P1757" s="15" t="s">
        <v>4747</v>
      </c>
      <c r="Q1757" s="15" t="s">
        <v>4749</v>
      </c>
      <c r="R1757" s="15"/>
      <c r="S1757" s="15"/>
      <c r="T1757" s="15" t="s">
        <v>4753</v>
      </c>
    </row>
    <row r="1758" spans="1:20" x14ac:dyDescent="0.35">
      <c r="A1758" s="2" t="s">
        <v>3480</v>
      </c>
      <c r="B1758" s="2" t="s">
        <v>3481</v>
      </c>
      <c r="C1758" s="2" t="s">
        <v>15</v>
      </c>
      <c r="D1758" s="2">
        <v>12.5</v>
      </c>
      <c r="E1758" s="2" t="s">
        <v>10</v>
      </c>
      <c r="F1758" s="2">
        <v>20</v>
      </c>
      <c r="G1758" s="22">
        <f>Table4[[#This Row],[Item Cost]]*Table4[[#This Row],[In Stock]]</f>
        <v>250</v>
      </c>
      <c r="H1758" s="12" t="s">
        <v>4661</v>
      </c>
      <c r="I1758" s="13" t="s">
        <v>4666</v>
      </c>
      <c r="J1758" s="13" t="s">
        <v>4753</v>
      </c>
      <c r="K1758" t="s">
        <v>4793</v>
      </c>
      <c r="L1758" s="12" t="s">
        <v>4672</v>
      </c>
      <c r="M1758" s="17" t="str">
        <f>IF(LEN(COUNTIFS($H$1:H1758,$H1758,$I$1:I1758,$I1758,$J$1:J1758,$J1758,$K$1:K1758,K1758,$L$1:L1758,L1758))=1,"00"&amp;COUNTIFS($H$1:H1758,$H1758,$I$1:I1758,$I1758,$J$1:J1758,$J1758,$K$1:K1758,K1758,$L$1:L1758,L1758),IF(LEN(COUNTIFS($H$1:H1758,$H1758,$I$1:I1758,$I1758,$J$1:J1758,$J1758,$K$1:K1758,K1758,$L$1:L1758,L1758))=2,"0"&amp;COUNTIFS($H$1:H1758,$H1758,$I$1:I1758,$I1758,$J$1:J1758,$J1758,$K$1:K1758,K1758,$L$1:L1758,L1758),COUNTIFS($H$1:H1758,$H1758,$I$1:I1758,$I1758,$J$1:J1758,$J1758,$K$1:K1758,K1758,$L$1:L1758,L1758)))</f>
        <v>014</v>
      </c>
      <c r="N175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58" s="14" t="e">
        <f>+LEN(Table4[[#This Row],[New Item Code]])</f>
        <v>#N/A</v>
      </c>
      <c r="P1758" s="15" t="s">
        <v>4747</v>
      </c>
      <c r="Q1758" s="15" t="s">
        <v>4749</v>
      </c>
      <c r="R1758" s="15"/>
      <c r="S1758" s="15"/>
      <c r="T1758" s="15" t="s">
        <v>4753</v>
      </c>
    </row>
    <row r="1759" spans="1:20" x14ac:dyDescent="0.35">
      <c r="A1759" s="3" t="s">
        <v>3482</v>
      </c>
      <c r="B1759" s="3" t="s">
        <v>3483</v>
      </c>
      <c r="C1759" s="3" t="s">
        <v>15</v>
      </c>
      <c r="D1759" s="3">
        <v>14</v>
      </c>
      <c r="E1759" s="3" t="s">
        <v>10</v>
      </c>
      <c r="F1759" s="3">
        <v>0</v>
      </c>
      <c r="G1759" s="21">
        <f>Table4[[#This Row],[Item Cost]]*Table4[[#This Row],[In Stock]]</f>
        <v>0</v>
      </c>
      <c r="H1759" s="12" t="s">
        <v>4661</v>
      </c>
      <c r="I1759" s="13" t="s">
        <v>4666</v>
      </c>
      <c r="J1759" s="13" t="s">
        <v>4753</v>
      </c>
      <c r="K1759" s="13" t="s">
        <v>4672</v>
      </c>
      <c r="L1759" s="12" t="s">
        <v>4672</v>
      </c>
      <c r="M1759" s="17" t="str">
        <f>IF(LEN(COUNTIFS($H$1:H1759,$H1759,$I$1:I1759,$I1759,$J$1:J1759,$J1759,$K$1:K1759,K1759,$L$1:L1759,L1759))=1,"00"&amp;COUNTIFS($H$1:H1759,$H1759,$I$1:I1759,$I1759,$J$1:J1759,$J1759,$K$1:K1759,K1759,$L$1:L1759,L1759),IF(LEN(COUNTIFS($H$1:H1759,$H1759,$I$1:I1759,$I1759,$J$1:J1759,$J1759,$K$1:K1759,K1759,$L$1:L1759,L1759))=2,"0"&amp;COUNTIFS($H$1:H1759,$H1759,$I$1:I1759,$I1759,$J$1:J1759,$J1759,$K$1:K1759,K1759,$L$1:L1759,L1759),COUNTIFS($H$1:H1759,$H1759,$I$1:I1759,$I1759,$J$1:J1759,$J1759,$K$1:K1759,K1759,$L$1:L1759,L1759)))</f>
        <v>003</v>
      </c>
      <c r="N175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59" s="14" t="e">
        <f>+LEN(Table4[[#This Row],[New Item Code]])</f>
        <v>#N/A</v>
      </c>
      <c r="P1759" s="15" t="s">
        <v>4747</v>
      </c>
      <c r="Q1759" s="15" t="s">
        <v>4749</v>
      </c>
      <c r="R1759" s="15"/>
      <c r="S1759" s="15"/>
      <c r="T1759" s="15" t="s">
        <v>4753</v>
      </c>
    </row>
    <row r="1760" spans="1:20" x14ac:dyDescent="0.35">
      <c r="A1760" s="2" t="s">
        <v>3484</v>
      </c>
      <c r="B1760" s="2" t="s">
        <v>3485</v>
      </c>
      <c r="C1760" s="2" t="s">
        <v>15</v>
      </c>
      <c r="D1760" s="2">
        <v>8.5</v>
      </c>
      <c r="E1760" s="2" t="s">
        <v>10</v>
      </c>
      <c r="F1760" s="2">
        <v>10</v>
      </c>
      <c r="G1760" s="22">
        <f>Table4[[#This Row],[Item Cost]]*Table4[[#This Row],[In Stock]]</f>
        <v>85</v>
      </c>
      <c r="H1760" s="12" t="s">
        <v>4661</v>
      </c>
      <c r="I1760" s="13" t="s">
        <v>4666</v>
      </c>
      <c r="J1760" s="13" t="s">
        <v>4753</v>
      </c>
      <c r="K1760" t="s">
        <v>4793</v>
      </c>
      <c r="L1760" s="12" t="s">
        <v>4672</v>
      </c>
      <c r="M1760" s="17" t="str">
        <f>IF(LEN(COUNTIFS($H$1:H1760,$H1760,$I$1:I1760,$I1760,$J$1:J1760,$J1760,$K$1:K1760,K1760,$L$1:L1760,L1760))=1,"00"&amp;COUNTIFS($H$1:H1760,$H1760,$I$1:I1760,$I1760,$J$1:J1760,$J1760,$K$1:K1760,K1760,$L$1:L1760,L1760),IF(LEN(COUNTIFS($H$1:H1760,$H1760,$I$1:I1760,$I1760,$J$1:J1760,$J1760,$K$1:K1760,K1760,$L$1:L1760,L1760))=2,"0"&amp;COUNTIFS($H$1:H1760,$H1760,$I$1:I1760,$I1760,$J$1:J1760,$J1760,$K$1:K1760,K1760,$L$1:L1760,L1760),COUNTIFS($H$1:H1760,$H1760,$I$1:I1760,$I1760,$J$1:J1760,$J1760,$K$1:K1760,K1760,$L$1:L1760,L1760)))</f>
        <v>015</v>
      </c>
      <c r="N176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60" s="14" t="e">
        <f>+LEN(Table4[[#This Row],[New Item Code]])</f>
        <v>#N/A</v>
      </c>
      <c r="P1760" s="15" t="s">
        <v>4747</v>
      </c>
      <c r="Q1760" s="15" t="s">
        <v>4749</v>
      </c>
      <c r="R1760" s="15"/>
      <c r="S1760" s="15"/>
      <c r="T1760" s="15" t="s">
        <v>4753</v>
      </c>
    </row>
    <row r="1761" spans="1:20" x14ac:dyDescent="0.35">
      <c r="A1761" s="3" t="s">
        <v>3486</v>
      </c>
      <c r="B1761" s="3" t="s">
        <v>3487</v>
      </c>
      <c r="C1761" s="3" t="s">
        <v>15</v>
      </c>
      <c r="D1761" s="3">
        <v>9</v>
      </c>
      <c r="E1761" s="3" t="s">
        <v>10</v>
      </c>
      <c r="F1761" s="3">
        <v>10</v>
      </c>
      <c r="G1761" s="21">
        <f>Table4[[#This Row],[Item Cost]]*Table4[[#This Row],[In Stock]]</f>
        <v>90</v>
      </c>
      <c r="H1761" s="12" t="s">
        <v>4661</v>
      </c>
      <c r="I1761" s="13" t="s">
        <v>4666</v>
      </c>
      <c r="J1761" s="13" t="s">
        <v>4753</v>
      </c>
      <c r="K1761" t="s">
        <v>4793</v>
      </c>
      <c r="L1761" s="12" t="s">
        <v>4672</v>
      </c>
      <c r="M1761" s="17" t="str">
        <f>IF(LEN(COUNTIFS($H$1:H1761,$H1761,$I$1:I1761,$I1761,$J$1:J1761,$J1761,$K$1:K1761,K1761,$L$1:L1761,L1761))=1,"00"&amp;COUNTIFS($H$1:H1761,$H1761,$I$1:I1761,$I1761,$J$1:J1761,$J1761,$K$1:K1761,K1761,$L$1:L1761,L1761),IF(LEN(COUNTIFS($H$1:H1761,$H1761,$I$1:I1761,$I1761,$J$1:J1761,$J1761,$K$1:K1761,K1761,$L$1:L1761,L1761))=2,"0"&amp;COUNTIFS($H$1:H1761,$H1761,$I$1:I1761,$I1761,$J$1:J1761,$J1761,$K$1:K1761,K1761,$L$1:L1761,L1761),COUNTIFS($H$1:H1761,$H1761,$I$1:I1761,$I1761,$J$1:J1761,$J1761,$K$1:K1761,K1761,$L$1:L1761,L1761)))</f>
        <v>016</v>
      </c>
      <c r="N176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61" s="14" t="e">
        <f>+LEN(Table4[[#This Row],[New Item Code]])</f>
        <v>#N/A</v>
      </c>
      <c r="P1761" s="15" t="s">
        <v>4747</v>
      </c>
      <c r="Q1761" s="15" t="s">
        <v>4749</v>
      </c>
      <c r="R1761" s="15"/>
      <c r="S1761" s="15"/>
      <c r="T1761" s="15" t="s">
        <v>4753</v>
      </c>
    </row>
    <row r="1762" spans="1:20" x14ac:dyDescent="0.35">
      <c r="A1762" s="2" t="s">
        <v>3488</v>
      </c>
      <c r="B1762" s="2" t="s">
        <v>3489</v>
      </c>
      <c r="C1762" s="2" t="s">
        <v>15</v>
      </c>
      <c r="D1762" s="2">
        <v>9.5</v>
      </c>
      <c r="E1762" s="2" t="s">
        <v>10</v>
      </c>
      <c r="F1762" s="2">
        <v>10</v>
      </c>
      <c r="G1762" s="22">
        <f>Table4[[#This Row],[Item Cost]]*Table4[[#This Row],[In Stock]]</f>
        <v>95</v>
      </c>
      <c r="H1762" s="12" t="s">
        <v>4661</v>
      </c>
      <c r="I1762" s="13" t="s">
        <v>4666</v>
      </c>
      <c r="J1762" s="13" t="s">
        <v>4753</v>
      </c>
      <c r="K1762" t="s">
        <v>4793</v>
      </c>
      <c r="L1762" s="12" t="s">
        <v>4672</v>
      </c>
      <c r="M1762" s="17" t="str">
        <f>IF(LEN(COUNTIFS($H$1:H1762,$H1762,$I$1:I1762,$I1762,$J$1:J1762,$J1762,$K$1:K1762,K1762,$L$1:L1762,L1762))=1,"00"&amp;COUNTIFS($H$1:H1762,$H1762,$I$1:I1762,$I1762,$J$1:J1762,$J1762,$K$1:K1762,K1762,$L$1:L1762,L1762),IF(LEN(COUNTIFS($H$1:H1762,$H1762,$I$1:I1762,$I1762,$J$1:J1762,$J1762,$K$1:K1762,K1762,$L$1:L1762,L1762))=2,"0"&amp;COUNTIFS($H$1:H1762,$H1762,$I$1:I1762,$I1762,$J$1:J1762,$J1762,$K$1:K1762,K1762,$L$1:L1762,L1762),COUNTIFS($H$1:H1762,$H1762,$I$1:I1762,$I1762,$J$1:J1762,$J1762,$K$1:K1762,K1762,$L$1:L1762,L1762)))</f>
        <v>017</v>
      </c>
      <c r="N176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62" s="14" t="e">
        <f>+LEN(Table4[[#This Row],[New Item Code]])</f>
        <v>#N/A</v>
      </c>
      <c r="P1762" s="15" t="s">
        <v>4747</v>
      </c>
      <c r="Q1762" s="15" t="s">
        <v>4749</v>
      </c>
      <c r="R1762" s="15"/>
      <c r="S1762" s="15"/>
      <c r="T1762" s="15" t="s">
        <v>4753</v>
      </c>
    </row>
    <row r="1763" spans="1:20" x14ac:dyDescent="0.35">
      <c r="A1763" s="3" t="s">
        <v>3490</v>
      </c>
      <c r="B1763" s="3" t="s">
        <v>3491</v>
      </c>
      <c r="C1763" s="3" t="s">
        <v>15</v>
      </c>
      <c r="D1763" s="3">
        <v>12.5</v>
      </c>
      <c r="E1763" s="3" t="s">
        <v>10</v>
      </c>
      <c r="F1763" s="3">
        <v>20</v>
      </c>
      <c r="G1763" s="21">
        <f>Table4[[#This Row],[Item Cost]]*Table4[[#This Row],[In Stock]]</f>
        <v>250</v>
      </c>
      <c r="H1763" s="12" t="s">
        <v>4661</v>
      </c>
      <c r="I1763" s="13" t="s">
        <v>4666</v>
      </c>
      <c r="J1763" s="13" t="s">
        <v>4753</v>
      </c>
      <c r="K1763" t="s">
        <v>4793</v>
      </c>
      <c r="L1763" s="12" t="s">
        <v>4672</v>
      </c>
      <c r="M1763" s="17" t="str">
        <f>IF(LEN(COUNTIFS($H$1:H1763,$H1763,$I$1:I1763,$I1763,$J$1:J1763,$J1763,$K$1:K1763,K1763,$L$1:L1763,L1763))=1,"00"&amp;COUNTIFS($H$1:H1763,$H1763,$I$1:I1763,$I1763,$J$1:J1763,$J1763,$K$1:K1763,K1763,$L$1:L1763,L1763),IF(LEN(COUNTIFS($H$1:H1763,$H1763,$I$1:I1763,$I1763,$J$1:J1763,$J1763,$K$1:K1763,K1763,$L$1:L1763,L1763))=2,"0"&amp;COUNTIFS($H$1:H1763,$H1763,$I$1:I1763,$I1763,$J$1:J1763,$J1763,$K$1:K1763,K1763,$L$1:L1763,L1763),COUNTIFS($H$1:H1763,$H1763,$I$1:I1763,$I1763,$J$1:J1763,$J1763,$K$1:K1763,K1763,$L$1:L1763,L1763)))</f>
        <v>018</v>
      </c>
      <c r="N176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63" s="14" t="e">
        <f>+LEN(Table4[[#This Row],[New Item Code]])</f>
        <v>#N/A</v>
      </c>
      <c r="P1763" s="15" t="s">
        <v>4747</v>
      </c>
      <c r="Q1763" s="15" t="s">
        <v>4749</v>
      </c>
      <c r="R1763" s="15"/>
      <c r="S1763" s="15"/>
      <c r="T1763" s="15" t="s">
        <v>4753</v>
      </c>
    </row>
    <row r="1764" spans="1:20" x14ac:dyDescent="0.35">
      <c r="A1764" s="2" t="s">
        <v>3492</v>
      </c>
      <c r="B1764" s="2" t="s">
        <v>3493</v>
      </c>
      <c r="C1764" s="2" t="s">
        <v>15</v>
      </c>
      <c r="D1764" s="2">
        <v>14</v>
      </c>
      <c r="E1764" s="2" t="s">
        <v>10</v>
      </c>
      <c r="F1764" s="2">
        <v>9</v>
      </c>
      <c r="G1764" s="22">
        <f>Table4[[#This Row],[Item Cost]]*Table4[[#This Row],[In Stock]]</f>
        <v>126</v>
      </c>
      <c r="H1764" s="12" t="s">
        <v>4661</v>
      </c>
      <c r="I1764" s="13" t="s">
        <v>4666</v>
      </c>
      <c r="J1764" s="13" t="s">
        <v>4753</v>
      </c>
      <c r="K1764" t="s">
        <v>4793</v>
      </c>
      <c r="L1764" s="12" t="s">
        <v>4672</v>
      </c>
      <c r="M1764" s="17" t="str">
        <f>IF(LEN(COUNTIFS($H$1:H1764,$H1764,$I$1:I1764,$I1764,$J$1:J1764,$J1764,$K$1:K1764,K1764,$L$1:L1764,L1764))=1,"00"&amp;COUNTIFS($H$1:H1764,$H1764,$I$1:I1764,$I1764,$J$1:J1764,$J1764,$K$1:K1764,K1764,$L$1:L1764,L1764),IF(LEN(COUNTIFS($H$1:H1764,$H1764,$I$1:I1764,$I1764,$J$1:J1764,$J1764,$K$1:K1764,K1764,$L$1:L1764,L1764))=2,"0"&amp;COUNTIFS($H$1:H1764,$H1764,$I$1:I1764,$I1764,$J$1:J1764,$J1764,$K$1:K1764,K1764,$L$1:L1764,L1764),COUNTIFS($H$1:H1764,$H1764,$I$1:I1764,$I1764,$J$1:J1764,$J1764,$K$1:K1764,K1764,$L$1:L1764,L1764)))</f>
        <v>019</v>
      </c>
      <c r="N176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64" s="14" t="e">
        <f>+LEN(Table4[[#This Row],[New Item Code]])</f>
        <v>#N/A</v>
      </c>
      <c r="P1764" s="15" t="s">
        <v>4747</v>
      </c>
      <c r="Q1764" s="15" t="s">
        <v>4749</v>
      </c>
      <c r="R1764" s="15"/>
      <c r="S1764" s="15"/>
      <c r="T1764" s="15" t="s">
        <v>4753</v>
      </c>
    </row>
    <row r="1765" spans="1:20" x14ac:dyDescent="0.35">
      <c r="A1765" s="3" t="s">
        <v>3494</v>
      </c>
      <c r="B1765" s="3" t="s">
        <v>3495</v>
      </c>
      <c r="C1765" s="3" t="s">
        <v>15</v>
      </c>
      <c r="D1765" s="3">
        <v>11</v>
      </c>
      <c r="E1765" s="3" t="s">
        <v>10</v>
      </c>
      <c r="F1765" s="3">
        <v>20</v>
      </c>
      <c r="G1765" s="21">
        <f>Table4[[#This Row],[Item Cost]]*Table4[[#This Row],[In Stock]]</f>
        <v>220</v>
      </c>
      <c r="H1765" s="12" t="s">
        <v>4661</v>
      </c>
      <c r="I1765" s="13" t="s">
        <v>4666</v>
      </c>
      <c r="J1765" s="13" t="s">
        <v>4753</v>
      </c>
      <c r="K1765" t="s">
        <v>4793</v>
      </c>
      <c r="L1765" s="12" t="s">
        <v>4672</v>
      </c>
      <c r="M1765" s="17" t="str">
        <f>IF(LEN(COUNTIFS($H$1:H1765,$H1765,$I$1:I1765,$I1765,$J$1:J1765,$J1765,$K$1:K1765,K1765,$L$1:L1765,L1765))=1,"00"&amp;COUNTIFS($H$1:H1765,$H1765,$I$1:I1765,$I1765,$J$1:J1765,$J1765,$K$1:K1765,K1765,$L$1:L1765,L1765),IF(LEN(COUNTIFS($H$1:H1765,$H1765,$I$1:I1765,$I1765,$J$1:J1765,$J1765,$K$1:K1765,K1765,$L$1:L1765,L1765))=2,"0"&amp;COUNTIFS($H$1:H1765,$H1765,$I$1:I1765,$I1765,$J$1:J1765,$J1765,$K$1:K1765,K1765,$L$1:L1765,L1765),COUNTIFS($H$1:H1765,$H1765,$I$1:I1765,$I1765,$J$1:J1765,$J1765,$K$1:K1765,K1765,$L$1:L1765,L1765)))</f>
        <v>020</v>
      </c>
      <c r="N176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65" s="14" t="e">
        <f>+LEN(Table4[[#This Row],[New Item Code]])</f>
        <v>#N/A</v>
      </c>
      <c r="P1765" s="15" t="s">
        <v>4747</v>
      </c>
      <c r="Q1765" s="15" t="s">
        <v>4749</v>
      </c>
      <c r="R1765" s="15"/>
      <c r="S1765" s="15"/>
      <c r="T1765" s="15" t="s">
        <v>4753</v>
      </c>
    </row>
    <row r="1766" spans="1:20" x14ac:dyDescent="0.35">
      <c r="A1766" s="2" t="s">
        <v>3496</v>
      </c>
      <c r="B1766" s="2" t="s">
        <v>3497</v>
      </c>
      <c r="C1766" s="2" t="s">
        <v>15</v>
      </c>
      <c r="D1766" s="2">
        <v>13.5</v>
      </c>
      <c r="E1766" s="2" t="s">
        <v>10</v>
      </c>
      <c r="F1766" s="2">
        <v>20</v>
      </c>
      <c r="G1766" s="22">
        <f>Table4[[#This Row],[Item Cost]]*Table4[[#This Row],[In Stock]]</f>
        <v>270</v>
      </c>
      <c r="H1766" s="12" t="s">
        <v>4661</v>
      </c>
      <c r="I1766" s="13" t="s">
        <v>4666</v>
      </c>
      <c r="J1766" s="13" t="s">
        <v>4753</v>
      </c>
      <c r="K1766" t="s">
        <v>4793</v>
      </c>
      <c r="L1766" s="12" t="s">
        <v>4672</v>
      </c>
      <c r="M1766" s="17" t="str">
        <f>IF(LEN(COUNTIFS($H$1:H1766,$H1766,$I$1:I1766,$I1766,$J$1:J1766,$J1766,$K$1:K1766,K1766,$L$1:L1766,L1766))=1,"00"&amp;COUNTIFS($H$1:H1766,$H1766,$I$1:I1766,$I1766,$J$1:J1766,$J1766,$K$1:K1766,K1766,$L$1:L1766,L1766),IF(LEN(COUNTIFS($H$1:H1766,$H1766,$I$1:I1766,$I1766,$J$1:J1766,$J1766,$K$1:K1766,K1766,$L$1:L1766,L1766))=2,"0"&amp;COUNTIFS($H$1:H1766,$H1766,$I$1:I1766,$I1766,$J$1:J1766,$J1766,$K$1:K1766,K1766,$L$1:L1766,L1766),COUNTIFS($H$1:H1766,$H1766,$I$1:I1766,$I1766,$J$1:J1766,$J1766,$K$1:K1766,K1766,$L$1:L1766,L1766)))</f>
        <v>021</v>
      </c>
      <c r="N176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66" s="14" t="e">
        <f>+LEN(Table4[[#This Row],[New Item Code]])</f>
        <v>#N/A</v>
      </c>
      <c r="P1766" s="15" t="s">
        <v>4747</v>
      </c>
      <c r="Q1766" s="15" t="s">
        <v>4749</v>
      </c>
      <c r="R1766" s="15"/>
      <c r="S1766" s="15"/>
      <c r="T1766" s="15" t="s">
        <v>4753</v>
      </c>
    </row>
    <row r="1767" spans="1:20" x14ac:dyDescent="0.35">
      <c r="A1767" s="3" t="s">
        <v>3498</v>
      </c>
      <c r="B1767" s="3" t="s">
        <v>3499</v>
      </c>
      <c r="C1767" s="3" t="s">
        <v>15</v>
      </c>
      <c r="D1767" s="3">
        <v>14</v>
      </c>
      <c r="E1767" s="3" t="s">
        <v>10</v>
      </c>
      <c r="F1767" s="3">
        <v>10</v>
      </c>
      <c r="G1767" s="21">
        <f>Table4[[#This Row],[Item Cost]]*Table4[[#This Row],[In Stock]]</f>
        <v>140</v>
      </c>
      <c r="H1767" s="12" t="s">
        <v>4661</v>
      </c>
      <c r="I1767" s="13" t="s">
        <v>4666</v>
      </c>
      <c r="J1767" s="13" t="s">
        <v>4753</v>
      </c>
      <c r="K1767" t="s">
        <v>4793</v>
      </c>
      <c r="L1767" s="12" t="s">
        <v>4672</v>
      </c>
      <c r="M1767" s="17" t="str">
        <f>IF(LEN(COUNTIFS($H$1:H1767,$H1767,$I$1:I1767,$I1767,$J$1:J1767,$J1767,$K$1:K1767,K1767,$L$1:L1767,L1767))=1,"00"&amp;COUNTIFS($H$1:H1767,$H1767,$I$1:I1767,$I1767,$J$1:J1767,$J1767,$K$1:K1767,K1767,$L$1:L1767,L1767),IF(LEN(COUNTIFS($H$1:H1767,$H1767,$I$1:I1767,$I1767,$J$1:J1767,$J1767,$K$1:K1767,K1767,$L$1:L1767,L1767))=2,"0"&amp;COUNTIFS($H$1:H1767,$H1767,$I$1:I1767,$I1767,$J$1:J1767,$J1767,$K$1:K1767,K1767,$L$1:L1767,L1767),COUNTIFS($H$1:H1767,$H1767,$I$1:I1767,$I1767,$J$1:J1767,$J1767,$K$1:K1767,K1767,$L$1:L1767,L1767)))</f>
        <v>022</v>
      </c>
      <c r="N176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67" s="14" t="e">
        <f>+LEN(Table4[[#This Row],[New Item Code]])</f>
        <v>#N/A</v>
      </c>
      <c r="P1767" s="15" t="s">
        <v>4747</v>
      </c>
      <c r="Q1767" s="15" t="s">
        <v>4749</v>
      </c>
      <c r="R1767" s="15"/>
      <c r="S1767" s="15"/>
      <c r="T1767" s="15" t="s">
        <v>4753</v>
      </c>
    </row>
    <row r="1768" spans="1:20" x14ac:dyDescent="0.35">
      <c r="A1768" s="2" t="s">
        <v>3500</v>
      </c>
      <c r="B1768" s="2" t="s">
        <v>3501</v>
      </c>
      <c r="C1768" s="2" t="s">
        <v>15</v>
      </c>
      <c r="D1768" s="2">
        <v>16.5</v>
      </c>
      <c r="E1768" s="2" t="s">
        <v>10</v>
      </c>
      <c r="F1768" s="2">
        <v>10</v>
      </c>
      <c r="G1768" s="22">
        <f>Table4[[#This Row],[Item Cost]]*Table4[[#This Row],[In Stock]]</f>
        <v>165</v>
      </c>
      <c r="H1768" s="12" t="s">
        <v>4661</v>
      </c>
      <c r="I1768" s="13" t="s">
        <v>4666</v>
      </c>
      <c r="J1768" s="13" t="s">
        <v>4753</v>
      </c>
      <c r="K1768" t="s">
        <v>4793</v>
      </c>
      <c r="L1768" s="12" t="s">
        <v>4672</v>
      </c>
      <c r="M1768" s="17" t="str">
        <f>IF(LEN(COUNTIFS($H$1:H1768,$H1768,$I$1:I1768,$I1768,$J$1:J1768,$J1768,$K$1:K1768,K1768,$L$1:L1768,L1768))=1,"00"&amp;COUNTIFS($H$1:H1768,$H1768,$I$1:I1768,$I1768,$J$1:J1768,$J1768,$K$1:K1768,K1768,$L$1:L1768,L1768),IF(LEN(COUNTIFS($H$1:H1768,$H1768,$I$1:I1768,$I1768,$J$1:J1768,$J1768,$K$1:K1768,K1768,$L$1:L1768,L1768))=2,"0"&amp;COUNTIFS($H$1:H1768,$H1768,$I$1:I1768,$I1768,$J$1:J1768,$J1768,$K$1:K1768,K1768,$L$1:L1768,L1768),COUNTIFS($H$1:H1768,$H1768,$I$1:I1768,$I1768,$J$1:J1768,$J1768,$K$1:K1768,K1768,$L$1:L1768,L1768)))</f>
        <v>023</v>
      </c>
      <c r="N176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68" s="14" t="e">
        <f>+LEN(Table4[[#This Row],[New Item Code]])</f>
        <v>#N/A</v>
      </c>
      <c r="P1768" s="15" t="s">
        <v>4747</v>
      </c>
      <c r="Q1768" s="15" t="s">
        <v>4749</v>
      </c>
      <c r="R1768" s="15"/>
      <c r="S1768" s="15"/>
      <c r="T1768" s="15" t="s">
        <v>4753</v>
      </c>
    </row>
    <row r="1769" spans="1:20" x14ac:dyDescent="0.35">
      <c r="A1769" s="3" t="s">
        <v>3502</v>
      </c>
      <c r="B1769" s="3" t="s">
        <v>3503</v>
      </c>
      <c r="C1769" s="3" t="s">
        <v>15</v>
      </c>
      <c r="D1769" s="3">
        <v>2.5</v>
      </c>
      <c r="E1769" s="3" t="s">
        <v>10</v>
      </c>
      <c r="F1769" s="3">
        <v>0</v>
      </c>
      <c r="G1769" s="21">
        <f>Table4[[#This Row],[Item Cost]]*Table4[[#This Row],[In Stock]]</f>
        <v>0</v>
      </c>
      <c r="H1769" s="12" t="s">
        <v>4661</v>
      </c>
      <c r="I1769" s="13" t="s">
        <v>4666</v>
      </c>
      <c r="J1769" s="13" t="s">
        <v>4753</v>
      </c>
      <c r="K1769" s="13" t="s">
        <v>4672</v>
      </c>
      <c r="L1769" s="12" t="s">
        <v>4672</v>
      </c>
      <c r="M1769" s="17" t="str">
        <f>IF(LEN(COUNTIFS($H$1:H1769,$H1769,$I$1:I1769,$I1769,$J$1:J1769,$J1769,$K$1:K1769,K1769,$L$1:L1769,L1769))=1,"00"&amp;COUNTIFS($H$1:H1769,$H1769,$I$1:I1769,$I1769,$J$1:J1769,$J1769,$K$1:K1769,K1769,$L$1:L1769,L1769),IF(LEN(COUNTIFS($H$1:H1769,$H1769,$I$1:I1769,$I1769,$J$1:J1769,$J1769,$K$1:K1769,K1769,$L$1:L1769,L1769))=2,"0"&amp;COUNTIFS($H$1:H1769,$H1769,$I$1:I1769,$I1769,$J$1:J1769,$J1769,$K$1:K1769,K1769,$L$1:L1769,L1769),COUNTIFS($H$1:H1769,$H1769,$I$1:I1769,$I1769,$J$1:J1769,$J1769,$K$1:K1769,K1769,$L$1:L1769,L1769)))</f>
        <v>004</v>
      </c>
      <c r="N176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69" s="14" t="e">
        <f>+LEN(Table4[[#This Row],[New Item Code]])</f>
        <v>#N/A</v>
      </c>
      <c r="P1769" s="15" t="s">
        <v>4747</v>
      </c>
      <c r="Q1769" s="15" t="s">
        <v>4749</v>
      </c>
      <c r="R1769" s="15"/>
      <c r="S1769" s="15"/>
      <c r="T1769" s="15" t="s">
        <v>4753</v>
      </c>
    </row>
    <row r="1770" spans="1:20" x14ac:dyDescent="0.35">
      <c r="A1770" s="2" t="s">
        <v>3504</v>
      </c>
      <c r="B1770" s="2" t="s">
        <v>3505</v>
      </c>
      <c r="C1770" s="2" t="s">
        <v>15</v>
      </c>
      <c r="D1770" s="2">
        <v>3.75</v>
      </c>
      <c r="E1770" s="2" t="s">
        <v>10</v>
      </c>
      <c r="F1770" s="2">
        <v>1</v>
      </c>
      <c r="G1770" s="22">
        <f>Table4[[#This Row],[Item Cost]]*Table4[[#This Row],[In Stock]]</f>
        <v>3.75</v>
      </c>
      <c r="H1770" s="12" t="s">
        <v>4661</v>
      </c>
      <c r="I1770" s="13" t="s">
        <v>4666</v>
      </c>
      <c r="J1770" s="13" t="s">
        <v>4753</v>
      </c>
      <c r="K1770" s="13" t="s">
        <v>4672</v>
      </c>
      <c r="L1770" s="12" t="s">
        <v>4672</v>
      </c>
      <c r="M1770" s="17" t="str">
        <f>IF(LEN(COUNTIFS($H$1:H1770,$H1770,$I$1:I1770,$I1770,$J$1:J1770,$J1770,$K$1:K1770,K1770,$L$1:L1770,L1770))=1,"00"&amp;COUNTIFS($H$1:H1770,$H1770,$I$1:I1770,$I1770,$J$1:J1770,$J1770,$K$1:K1770,K1770,$L$1:L1770,L1770),IF(LEN(COUNTIFS($H$1:H1770,$H1770,$I$1:I1770,$I1770,$J$1:J1770,$J1770,$K$1:K1770,K1770,$L$1:L1770,L1770))=2,"0"&amp;COUNTIFS($H$1:H1770,$H1770,$I$1:I1770,$I1770,$J$1:J1770,$J1770,$K$1:K1770,K1770,$L$1:L1770,L1770),COUNTIFS($H$1:H1770,$H1770,$I$1:I1770,$I1770,$J$1:J1770,$J1770,$K$1:K1770,K1770,$L$1:L1770,L1770)))</f>
        <v>005</v>
      </c>
      <c r="N177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70" s="14" t="e">
        <f>+LEN(Table4[[#This Row],[New Item Code]])</f>
        <v>#N/A</v>
      </c>
      <c r="P1770" s="15" t="s">
        <v>4747</v>
      </c>
      <c r="Q1770" s="15" t="s">
        <v>4749</v>
      </c>
      <c r="R1770" s="15"/>
      <c r="S1770" s="15"/>
      <c r="T1770" s="15" t="s">
        <v>4753</v>
      </c>
    </row>
    <row r="1771" spans="1:20" x14ac:dyDescent="0.35">
      <c r="A1771" s="3" t="s">
        <v>3506</v>
      </c>
      <c r="B1771" s="3" t="s">
        <v>3507</v>
      </c>
      <c r="C1771" s="3" t="s">
        <v>15</v>
      </c>
      <c r="D1771" s="3">
        <v>3.75</v>
      </c>
      <c r="E1771" s="3" t="s">
        <v>10</v>
      </c>
      <c r="F1771" s="3">
        <v>1</v>
      </c>
      <c r="G1771" s="21">
        <f>Table4[[#This Row],[Item Cost]]*Table4[[#This Row],[In Stock]]</f>
        <v>3.75</v>
      </c>
      <c r="H1771" s="12" t="s">
        <v>4661</v>
      </c>
      <c r="I1771" s="13" t="s">
        <v>4666</v>
      </c>
      <c r="J1771" s="13" t="s">
        <v>4753</v>
      </c>
      <c r="K1771" s="13" t="s">
        <v>4672</v>
      </c>
      <c r="L1771" s="12" t="s">
        <v>4672</v>
      </c>
      <c r="M1771" s="17" t="str">
        <f>IF(LEN(COUNTIFS($H$1:H1771,$H1771,$I$1:I1771,$I1771,$J$1:J1771,$J1771,$K$1:K1771,K1771,$L$1:L1771,L1771))=1,"00"&amp;COUNTIFS($H$1:H1771,$H1771,$I$1:I1771,$I1771,$J$1:J1771,$J1771,$K$1:K1771,K1771,$L$1:L1771,L1771),IF(LEN(COUNTIFS($H$1:H1771,$H1771,$I$1:I1771,$I1771,$J$1:J1771,$J1771,$K$1:K1771,K1771,$L$1:L1771,L1771))=2,"0"&amp;COUNTIFS($H$1:H1771,$H1771,$I$1:I1771,$I1771,$J$1:J1771,$J1771,$K$1:K1771,K1771,$L$1:L1771,L1771),COUNTIFS($H$1:H1771,$H1771,$I$1:I1771,$I1771,$J$1:J1771,$J1771,$K$1:K1771,K1771,$L$1:L1771,L1771)))</f>
        <v>006</v>
      </c>
      <c r="N177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71" s="14" t="e">
        <f>+LEN(Table4[[#This Row],[New Item Code]])</f>
        <v>#N/A</v>
      </c>
      <c r="P1771" s="15" t="s">
        <v>4747</v>
      </c>
      <c r="Q1771" s="15" t="s">
        <v>4749</v>
      </c>
      <c r="R1771" s="15"/>
      <c r="S1771" s="15"/>
      <c r="T1771" s="15" t="s">
        <v>4753</v>
      </c>
    </row>
    <row r="1772" spans="1:20" x14ac:dyDescent="0.35">
      <c r="A1772" s="2" t="s">
        <v>3508</v>
      </c>
      <c r="B1772" s="2" t="s">
        <v>3509</v>
      </c>
      <c r="C1772" s="2" t="s">
        <v>15</v>
      </c>
      <c r="D1772" s="2">
        <v>4</v>
      </c>
      <c r="E1772" s="2" t="s">
        <v>10</v>
      </c>
      <c r="F1772" s="2">
        <v>1</v>
      </c>
      <c r="G1772" s="22">
        <f>Table4[[#This Row],[Item Cost]]*Table4[[#This Row],[In Stock]]</f>
        <v>4</v>
      </c>
      <c r="H1772" s="12" t="s">
        <v>4661</v>
      </c>
      <c r="I1772" s="13" t="s">
        <v>4666</v>
      </c>
      <c r="J1772" s="13" t="s">
        <v>4753</v>
      </c>
      <c r="K1772" s="13" t="s">
        <v>4672</v>
      </c>
      <c r="L1772" s="12" t="s">
        <v>4672</v>
      </c>
      <c r="M1772" s="17" t="str">
        <f>IF(LEN(COUNTIFS($H$1:H1772,$H1772,$I$1:I1772,$I1772,$J$1:J1772,$J1772,$K$1:K1772,K1772,$L$1:L1772,L1772))=1,"00"&amp;COUNTIFS($H$1:H1772,$H1772,$I$1:I1772,$I1772,$J$1:J1772,$J1772,$K$1:K1772,K1772,$L$1:L1772,L1772),IF(LEN(COUNTIFS($H$1:H1772,$H1772,$I$1:I1772,$I1772,$J$1:J1772,$J1772,$K$1:K1772,K1772,$L$1:L1772,L1772))=2,"0"&amp;COUNTIFS($H$1:H1772,$H1772,$I$1:I1772,$I1772,$J$1:J1772,$J1772,$K$1:K1772,K1772,$L$1:L1772,L1772),COUNTIFS($H$1:H1772,$H1772,$I$1:I1772,$I1772,$J$1:J1772,$J1772,$K$1:K1772,K1772,$L$1:L1772,L1772)))</f>
        <v>007</v>
      </c>
      <c r="N177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72" s="14" t="e">
        <f>+LEN(Table4[[#This Row],[New Item Code]])</f>
        <v>#N/A</v>
      </c>
      <c r="P1772" s="15" t="s">
        <v>4747</v>
      </c>
      <c r="Q1772" s="15" t="s">
        <v>4749</v>
      </c>
      <c r="R1772" s="15"/>
      <c r="S1772" s="15"/>
      <c r="T1772" s="15" t="s">
        <v>4753</v>
      </c>
    </row>
    <row r="1773" spans="1:20" x14ac:dyDescent="0.35">
      <c r="A1773" s="3" t="s">
        <v>3510</v>
      </c>
      <c r="B1773" s="3" t="s">
        <v>3511</v>
      </c>
      <c r="C1773" s="3" t="s">
        <v>15</v>
      </c>
      <c r="D1773" s="3">
        <v>6</v>
      </c>
      <c r="E1773" s="3" t="s">
        <v>10</v>
      </c>
      <c r="F1773" s="3">
        <v>1</v>
      </c>
      <c r="G1773" s="21">
        <f>Table4[[#This Row],[Item Cost]]*Table4[[#This Row],[In Stock]]</f>
        <v>6</v>
      </c>
      <c r="H1773" s="12" t="s">
        <v>4661</v>
      </c>
      <c r="I1773" s="13" t="s">
        <v>4666</v>
      </c>
      <c r="J1773" s="13" t="s">
        <v>4753</v>
      </c>
      <c r="K1773" s="13" t="s">
        <v>4672</v>
      </c>
      <c r="L1773" s="12" t="s">
        <v>4672</v>
      </c>
      <c r="M1773" s="17" t="str">
        <f>IF(LEN(COUNTIFS($H$1:H1773,$H1773,$I$1:I1773,$I1773,$J$1:J1773,$J1773,$K$1:K1773,K1773,$L$1:L1773,L1773))=1,"00"&amp;COUNTIFS($H$1:H1773,$H1773,$I$1:I1773,$I1773,$J$1:J1773,$J1773,$K$1:K1773,K1773,$L$1:L1773,L1773),IF(LEN(COUNTIFS($H$1:H1773,$H1773,$I$1:I1773,$I1773,$J$1:J1773,$J1773,$K$1:K1773,K1773,$L$1:L1773,L1773))=2,"0"&amp;COUNTIFS($H$1:H1773,$H1773,$I$1:I1773,$I1773,$J$1:J1773,$J1773,$K$1:K1773,K1773,$L$1:L1773,L1773),COUNTIFS($H$1:H1773,$H1773,$I$1:I1773,$I1773,$J$1:J1773,$J1773,$K$1:K1773,K1773,$L$1:L1773,L1773)))</f>
        <v>008</v>
      </c>
      <c r="N177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73" s="14" t="e">
        <f>+LEN(Table4[[#This Row],[New Item Code]])</f>
        <v>#N/A</v>
      </c>
      <c r="P1773" s="15" t="s">
        <v>4747</v>
      </c>
      <c r="Q1773" s="15" t="s">
        <v>4749</v>
      </c>
      <c r="R1773" s="15"/>
      <c r="S1773" s="15"/>
      <c r="T1773" s="15" t="s">
        <v>4753</v>
      </c>
    </row>
    <row r="1774" spans="1:20" x14ac:dyDescent="0.35">
      <c r="A1774" s="2" t="s">
        <v>3512</v>
      </c>
      <c r="B1774" s="2" t="s">
        <v>3513</v>
      </c>
      <c r="C1774" s="2" t="s">
        <v>15</v>
      </c>
      <c r="D1774" s="2">
        <v>8.5</v>
      </c>
      <c r="E1774" s="2" t="s">
        <v>10</v>
      </c>
      <c r="F1774" s="2">
        <v>0</v>
      </c>
      <c r="G1774" s="22">
        <f>Table4[[#This Row],[Item Cost]]*Table4[[#This Row],[In Stock]]</f>
        <v>0</v>
      </c>
      <c r="H1774" s="12" t="s">
        <v>4661</v>
      </c>
      <c r="I1774" s="13" t="s">
        <v>4666</v>
      </c>
      <c r="J1774" s="13" t="s">
        <v>4753</v>
      </c>
      <c r="K1774" s="13" t="s">
        <v>4672</v>
      </c>
      <c r="L1774" s="12" t="s">
        <v>4672</v>
      </c>
      <c r="M1774" s="17" t="str">
        <f>IF(LEN(COUNTIFS($H$1:H1774,$H1774,$I$1:I1774,$I1774,$J$1:J1774,$J1774,$K$1:K1774,K1774,$L$1:L1774,L1774))=1,"00"&amp;COUNTIFS($H$1:H1774,$H1774,$I$1:I1774,$I1774,$J$1:J1774,$J1774,$K$1:K1774,K1774,$L$1:L1774,L1774),IF(LEN(COUNTIFS($H$1:H1774,$H1774,$I$1:I1774,$I1774,$J$1:J1774,$J1774,$K$1:K1774,K1774,$L$1:L1774,L1774))=2,"0"&amp;COUNTIFS($H$1:H1774,$H1774,$I$1:I1774,$I1774,$J$1:J1774,$J1774,$K$1:K1774,K1774,$L$1:L1774,L1774),COUNTIFS($H$1:H1774,$H1774,$I$1:I1774,$I1774,$J$1:J1774,$J1774,$K$1:K1774,K1774,$L$1:L1774,L1774)))</f>
        <v>009</v>
      </c>
      <c r="N177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74" s="14" t="e">
        <f>+LEN(Table4[[#This Row],[New Item Code]])</f>
        <v>#N/A</v>
      </c>
      <c r="P1774" s="15" t="s">
        <v>4747</v>
      </c>
      <c r="Q1774" s="15" t="s">
        <v>4749</v>
      </c>
      <c r="R1774" s="15"/>
      <c r="S1774" s="15"/>
      <c r="T1774" s="15" t="s">
        <v>4753</v>
      </c>
    </row>
    <row r="1775" spans="1:20" x14ac:dyDescent="0.35">
      <c r="A1775" s="3" t="s">
        <v>3514</v>
      </c>
      <c r="B1775" s="3" t="s">
        <v>3515</v>
      </c>
      <c r="C1775" s="3" t="s">
        <v>15</v>
      </c>
      <c r="D1775" s="3">
        <v>9.75</v>
      </c>
      <c r="E1775" s="3" t="s">
        <v>10</v>
      </c>
      <c r="F1775" s="3">
        <v>10</v>
      </c>
      <c r="G1775" s="21">
        <f>Table4[[#This Row],[Item Cost]]*Table4[[#This Row],[In Stock]]</f>
        <v>97.5</v>
      </c>
      <c r="H1775" s="12" t="s">
        <v>4661</v>
      </c>
      <c r="I1775" s="13" t="s">
        <v>4666</v>
      </c>
      <c r="J1775" s="13" t="s">
        <v>4753</v>
      </c>
      <c r="K1775" t="s">
        <v>4793</v>
      </c>
      <c r="L1775" s="12" t="s">
        <v>4672</v>
      </c>
      <c r="M1775" s="17" t="str">
        <f>IF(LEN(COUNTIFS($H$1:H1775,$H1775,$I$1:I1775,$I1775,$J$1:J1775,$J1775,$K$1:K1775,K1775,$L$1:L1775,L1775))=1,"00"&amp;COUNTIFS($H$1:H1775,$H1775,$I$1:I1775,$I1775,$J$1:J1775,$J1775,$K$1:K1775,K1775,$L$1:L1775,L1775),IF(LEN(COUNTIFS($H$1:H1775,$H1775,$I$1:I1775,$I1775,$J$1:J1775,$J1775,$K$1:K1775,K1775,$L$1:L1775,L1775))=2,"0"&amp;COUNTIFS($H$1:H1775,$H1775,$I$1:I1775,$I1775,$J$1:J1775,$J1775,$K$1:K1775,K1775,$L$1:L1775,L1775),COUNTIFS($H$1:H1775,$H1775,$I$1:I1775,$I1775,$J$1:J1775,$J1775,$K$1:K1775,K1775,$L$1:L1775,L1775)))</f>
        <v>024</v>
      </c>
      <c r="N177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75" s="14" t="e">
        <f>+LEN(Table4[[#This Row],[New Item Code]])</f>
        <v>#N/A</v>
      </c>
      <c r="P1775" s="15" t="s">
        <v>4747</v>
      </c>
      <c r="Q1775" s="15" t="s">
        <v>4749</v>
      </c>
      <c r="R1775" s="15"/>
      <c r="S1775" s="15"/>
      <c r="T1775" s="15" t="s">
        <v>4753</v>
      </c>
    </row>
    <row r="1776" spans="1:20" x14ac:dyDescent="0.35">
      <c r="A1776" s="2" t="s">
        <v>3516</v>
      </c>
      <c r="B1776" s="2" t="s">
        <v>3517</v>
      </c>
      <c r="C1776" s="2" t="s">
        <v>15</v>
      </c>
      <c r="D1776" s="2">
        <v>10.5</v>
      </c>
      <c r="E1776" s="2" t="s">
        <v>10</v>
      </c>
      <c r="F1776" s="2">
        <v>2</v>
      </c>
      <c r="G1776" s="22">
        <f>Table4[[#This Row],[Item Cost]]*Table4[[#This Row],[In Stock]]</f>
        <v>21</v>
      </c>
      <c r="H1776" s="12" t="s">
        <v>4661</v>
      </c>
      <c r="I1776" s="13" t="s">
        <v>4666</v>
      </c>
      <c r="J1776" s="13" t="s">
        <v>4753</v>
      </c>
      <c r="K1776" t="s">
        <v>4793</v>
      </c>
      <c r="L1776" s="12" t="s">
        <v>4672</v>
      </c>
      <c r="M1776" s="17" t="str">
        <f>IF(LEN(COUNTIFS($H$1:H1776,$H1776,$I$1:I1776,$I1776,$J$1:J1776,$J1776,$K$1:K1776,K1776,$L$1:L1776,L1776))=1,"00"&amp;COUNTIFS($H$1:H1776,$H1776,$I$1:I1776,$I1776,$J$1:J1776,$J1776,$K$1:K1776,K1776,$L$1:L1776,L1776),IF(LEN(COUNTIFS($H$1:H1776,$H1776,$I$1:I1776,$I1776,$J$1:J1776,$J1776,$K$1:K1776,K1776,$L$1:L1776,L1776))=2,"0"&amp;COUNTIFS($H$1:H1776,$H1776,$I$1:I1776,$I1776,$J$1:J1776,$J1776,$K$1:K1776,K1776,$L$1:L1776,L1776),COUNTIFS($H$1:H1776,$H1776,$I$1:I1776,$I1776,$J$1:J1776,$J1776,$K$1:K1776,K1776,$L$1:L1776,L1776)))</f>
        <v>025</v>
      </c>
      <c r="N177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76" s="14" t="e">
        <f>+LEN(Table4[[#This Row],[New Item Code]])</f>
        <v>#N/A</v>
      </c>
      <c r="P1776" s="15" t="s">
        <v>4747</v>
      </c>
      <c r="Q1776" s="15" t="s">
        <v>4749</v>
      </c>
      <c r="R1776" s="15"/>
      <c r="S1776" s="15"/>
      <c r="T1776" s="15" t="s">
        <v>4753</v>
      </c>
    </row>
    <row r="1777" spans="1:20" x14ac:dyDescent="0.35">
      <c r="A1777" s="3" t="s">
        <v>3518</v>
      </c>
      <c r="B1777" s="3" t="s">
        <v>3519</v>
      </c>
      <c r="C1777" s="3" t="s">
        <v>15</v>
      </c>
      <c r="D1777" s="3">
        <v>12</v>
      </c>
      <c r="E1777" s="3" t="s">
        <v>10</v>
      </c>
      <c r="F1777" s="3">
        <v>0</v>
      </c>
      <c r="G1777" s="21">
        <f>Table4[[#This Row],[Item Cost]]*Table4[[#This Row],[In Stock]]</f>
        <v>0</v>
      </c>
      <c r="H1777" s="12" t="s">
        <v>4661</v>
      </c>
      <c r="I1777" s="13" t="s">
        <v>4666</v>
      </c>
      <c r="J1777" s="13" t="s">
        <v>4753</v>
      </c>
      <c r="K1777" s="13" t="s">
        <v>4672</v>
      </c>
      <c r="L1777" s="12" t="s">
        <v>4672</v>
      </c>
      <c r="M1777" s="17" t="str">
        <f>IF(LEN(COUNTIFS($H$1:H1777,$H1777,$I$1:I1777,$I1777,$J$1:J1777,$J1777,$K$1:K1777,K1777,$L$1:L1777,L1777))=1,"00"&amp;COUNTIFS($H$1:H1777,$H1777,$I$1:I1777,$I1777,$J$1:J1777,$J1777,$K$1:K1777,K1777,$L$1:L1777,L1777),IF(LEN(COUNTIFS($H$1:H1777,$H1777,$I$1:I1777,$I1777,$J$1:J1777,$J1777,$K$1:K1777,K1777,$L$1:L1777,L1777))=2,"0"&amp;COUNTIFS($H$1:H1777,$H1777,$I$1:I1777,$I1777,$J$1:J1777,$J1777,$K$1:K1777,K1777,$L$1:L1777,L1777),COUNTIFS($H$1:H1777,$H1777,$I$1:I1777,$I1777,$J$1:J1777,$J1777,$K$1:K1777,K1777,$L$1:L1777,L1777)))</f>
        <v>010</v>
      </c>
      <c r="N177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77" s="14" t="e">
        <f>+LEN(Table4[[#This Row],[New Item Code]])</f>
        <v>#N/A</v>
      </c>
      <c r="P1777" s="15" t="s">
        <v>4747</v>
      </c>
      <c r="Q1777" s="15" t="s">
        <v>4749</v>
      </c>
      <c r="R1777" s="15"/>
      <c r="S1777" s="15"/>
      <c r="T1777" s="15" t="s">
        <v>4753</v>
      </c>
    </row>
    <row r="1778" spans="1:20" x14ac:dyDescent="0.35">
      <c r="A1778" s="2" t="s">
        <v>3520</v>
      </c>
      <c r="B1778" s="2" t="s">
        <v>3521</v>
      </c>
      <c r="C1778" s="2" t="s">
        <v>15</v>
      </c>
      <c r="D1778" s="2">
        <v>25</v>
      </c>
      <c r="E1778" s="2" t="s">
        <v>10</v>
      </c>
      <c r="F1778" s="2">
        <v>0</v>
      </c>
      <c r="G1778" s="22">
        <f>Table4[[#This Row],[Item Cost]]*Table4[[#This Row],[In Stock]]</f>
        <v>0</v>
      </c>
      <c r="H1778" s="12" t="s">
        <v>4661</v>
      </c>
      <c r="I1778" s="13" t="s">
        <v>4666</v>
      </c>
      <c r="J1778" s="13" t="s">
        <v>4753</v>
      </c>
      <c r="K1778" s="13" t="s">
        <v>4672</v>
      </c>
      <c r="L1778" s="12" t="s">
        <v>4672</v>
      </c>
      <c r="M1778" s="17" t="str">
        <f>IF(LEN(COUNTIFS($H$1:H1778,$H1778,$I$1:I1778,$I1778,$J$1:J1778,$J1778,$K$1:K1778,K1778,$L$1:L1778,L1778))=1,"00"&amp;COUNTIFS($H$1:H1778,$H1778,$I$1:I1778,$I1778,$J$1:J1778,$J1778,$K$1:K1778,K1778,$L$1:L1778,L1778),IF(LEN(COUNTIFS($H$1:H1778,$H1778,$I$1:I1778,$I1778,$J$1:J1778,$J1778,$K$1:K1778,K1778,$L$1:L1778,L1778))=2,"0"&amp;COUNTIFS($H$1:H1778,$H1778,$I$1:I1778,$I1778,$J$1:J1778,$J1778,$K$1:K1778,K1778,$L$1:L1778,L1778),COUNTIFS($H$1:H1778,$H1778,$I$1:I1778,$I1778,$J$1:J1778,$J1778,$K$1:K1778,K1778,$L$1:L1778,L1778)))</f>
        <v>011</v>
      </c>
      <c r="N177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78" s="14" t="e">
        <f>+LEN(Table4[[#This Row],[New Item Code]])</f>
        <v>#N/A</v>
      </c>
      <c r="P1778" s="15" t="s">
        <v>4747</v>
      </c>
      <c r="Q1778" s="15" t="s">
        <v>4749</v>
      </c>
      <c r="R1778" s="15"/>
      <c r="S1778" s="15"/>
      <c r="T1778" s="15" t="s">
        <v>4753</v>
      </c>
    </row>
    <row r="1779" spans="1:20" x14ac:dyDescent="0.35">
      <c r="A1779" s="3" t="s">
        <v>3522</v>
      </c>
      <c r="B1779" s="3" t="s">
        <v>3523</v>
      </c>
      <c r="C1779" s="3" t="s">
        <v>15</v>
      </c>
      <c r="D1779" s="3">
        <v>25</v>
      </c>
      <c r="E1779" s="3" t="s">
        <v>10</v>
      </c>
      <c r="F1779" s="3">
        <v>0</v>
      </c>
      <c r="G1779" s="21">
        <f>Table4[[#This Row],[Item Cost]]*Table4[[#This Row],[In Stock]]</f>
        <v>0</v>
      </c>
      <c r="H1779" s="12" t="s">
        <v>4661</v>
      </c>
      <c r="I1779" s="13" t="s">
        <v>4666</v>
      </c>
      <c r="J1779" s="13" t="s">
        <v>4753</v>
      </c>
      <c r="K1779" s="13" t="s">
        <v>4672</v>
      </c>
      <c r="L1779" s="12" t="s">
        <v>4672</v>
      </c>
      <c r="M1779" s="17" t="str">
        <f>IF(LEN(COUNTIFS($H$1:H1779,$H1779,$I$1:I1779,$I1779,$J$1:J1779,$J1779,$K$1:K1779,K1779,$L$1:L1779,L1779))=1,"00"&amp;COUNTIFS($H$1:H1779,$H1779,$I$1:I1779,$I1779,$J$1:J1779,$J1779,$K$1:K1779,K1779,$L$1:L1779,L1779),IF(LEN(COUNTIFS($H$1:H1779,$H1779,$I$1:I1779,$I1779,$J$1:J1779,$J1779,$K$1:K1779,K1779,$L$1:L1779,L1779))=2,"0"&amp;COUNTIFS($H$1:H1779,$H1779,$I$1:I1779,$I1779,$J$1:J1779,$J1779,$K$1:K1779,K1779,$L$1:L1779,L1779),COUNTIFS($H$1:H1779,$H1779,$I$1:I1779,$I1779,$J$1:J1779,$J1779,$K$1:K1779,K1779,$L$1:L1779,L1779)))</f>
        <v>012</v>
      </c>
      <c r="N177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79" s="14" t="e">
        <f>+LEN(Table4[[#This Row],[New Item Code]])</f>
        <v>#N/A</v>
      </c>
      <c r="P1779" s="15" t="s">
        <v>4747</v>
      </c>
      <c r="Q1779" s="15" t="s">
        <v>4749</v>
      </c>
      <c r="R1779" s="15"/>
      <c r="S1779" s="15"/>
      <c r="T1779" s="15" t="s">
        <v>4753</v>
      </c>
    </row>
    <row r="1780" spans="1:20" x14ac:dyDescent="0.35">
      <c r="A1780" s="2" t="s">
        <v>3524</v>
      </c>
      <c r="B1780" s="2" t="s">
        <v>3525</v>
      </c>
      <c r="C1780" s="2" t="s">
        <v>15</v>
      </c>
      <c r="D1780" s="2">
        <v>25</v>
      </c>
      <c r="E1780" s="2" t="s">
        <v>10</v>
      </c>
      <c r="F1780" s="2">
        <v>1</v>
      </c>
      <c r="G1780" s="22">
        <f>Table4[[#This Row],[Item Cost]]*Table4[[#This Row],[In Stock]]</f>
        <v>25</v>
      </c>
      <c r="H1780" s="12" t="s">
        <v>4661</v>
      </c>
      <c r="I1780" s="13" t="s">
        <v>4666</v>
      </c>
      <c r="J1780" s="13" t="s">
        <v>4753</v>
      </c>
      <c r="K1780" s="13" t="s">
        <v>4672</v>
      </c>
      <c r="L1780" s="12" t="s">
        <v>4672</v>
      </c>
      <c r="M1780" s="17" t="str">
        <f>IF(LEN(COUNTIFS($H$1:H1780,$H1780,$I$1:I1780,$I1780,$J$1:J1780,$J1780,$K$1:K1780,K1780,$L$1:L1780,L1780))=1,"00"&amp;COUNTIFS($H$1:H1780,$H1780,$I$1:I1780,$I1780,$J$1:J1780,$J1780,$K$1:K1780,K1780,$L$1:L1780,L1780),IF(LEN(COUNTIFS($H$1:H1780,$H1780,$I$1:I1780,$I1780,$J$1:J1780,$J1780,$K$1:K1780,K1780,$L$1:L1780,L1780))=2,"0"&amp;COUNTIFS($H$1:H1780,$H1780,$I$1:I1780,$I1780,$J$1:J1780,$J1780,$K$1:K1780,K1780,$L$1:L1780,L1780),COUNTIFS($H$1:H1780,$H1780,$I$1:I1780,$I1780,$J$1:J1780,$J1780,$K$1:K1780,K1780,$L$1:L1780,L1780)))</f>
        <v>013</v>
      </c>
      <c r="N178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80" s="14" t="e">
        <f>+LEN(Table4[[#This Row],[New Item Code]])</f>
        <v>#N/A</v>
      </c>
      <c r="P1780" s="15" t="s">
        <v>4747</v>
      </c>
      <c r="Q1780" s="15" t="s">
        <v>4749</v>
      </c>
      <c r="R1780" s="15"/>
      <c r="S1780" s="15"/>
      <c r="T1780" s="15" t="s">
        <v>4753</v>
      </c>
    </row>
    <row r="1781" spans="1:20" x14ac:dyDescent="0.35">
      <c r="A1781" s="3" t="s">
        <v>3526</v>
      </c>
      <c r="B1781" s="3" t="s">
        <v>3527</v>
      </c>
      <c r="C1781" s="3" t="s">
        <v>15</v>
      </c>
      <c r="D1781" s="3">
        <v>27</v>
      </c>
      <c r="E1781" s="3" t="s">
        <v>10</v>
      </c>
      <c r="F1781" s="3">
        <v>2</v>
      </c>
      <c r="G1781" s="21">
        <f>Table4[[#This Row],[Item Cost]]*Table4[[#This Row],[In Stock]]</f>
        <v>54</v>
      </c>
      <c r="H1781" s="12" t="s">
        <v>4661</v>
      </c>
      <c r="I1781" s="13" t="s">
        <v>4666</v>
      </c>
      <c r="J1781" s="13" t="s">
        <v>4753</v>
      </c>
      <c r="K1781" s="13" t="s">
        <v>4672</v>
      </c>
      <c r="L1781" s="12" t="s">
        <v>4672</v>
      </c>
      <c r="M1781" s="17" t="str">
        <f>IF(LEN(COUNTIFS($H$1:H1781,$H1781,$I$1:I1781,$I1781,$J$1:J1781,$J1781,$K$1:K1781,K1781,$L$1:L1781,L1781))=1,"00"&amp;COUNTIFS($H$1:H1781,$H1781,$I$1:I1781,$I1781,$J$1:J1781,$J1781,$K$1:K1781,K1781,$L$1:L1781,L1781),IF(LEN(COUNTIFS($H$1:H1781,$H1781,$I$1:I1781,$I1781,$J$1:J1781,$J1781,$K$1:K1781,K1781,$L$1:L1781,L1781))=2,"0"&amp;COUNTIFS($H$1:H1781,$H1781,$I$1:I1781,$I1781,$J$1:J1781,$J1781,$K$1:K1781,K1781,$L$1:L1781,L1781),COUNTIFS($H$1:H1781,$H1781,$I$1:I1781,$I1781,$J$1:J1781,$J1781,$K$1:K1781,K1781,$L$1:L1781,L1781)))</f>
        <v>014</v>
      </c>
      <c r="N178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81" s="14" t="e">
        <f>+LEN(Table4[[#This Row],[New Item Code]])</f>
        <v>#N/A</v>
      </c>
      <c r="P1781" s="15" t="s">
        <v>4747</v>
      </c>
      <c r="Q1781" s="15" t="s">
        <v>4749</v>
      </c>
      <c r="R1781" s="15"/>
      <c r="S1781" s="15"/>
      <c r="T1781" s="15" t="s">
        <v>4753</v>
      </c>
    </row>
    <row r="1782" spans="1:20" x14ac:dyDescent="0.35">
      <c r="A1782" s="2" t="s">
        <v>3528</v>
      </c>
      <c r="B1782" s="2" t="s">
        <v>3529</v>
      </c>
      <c r="C1782" s="2" t="s">
        <v>15</v>
      </c>
      <c r="D1782" s="2">
        <v>10.25</v>
      </c>
      <c r="E1782" s="2" t="s">
        <v>10</v>
      </c>
      <c r="F1782" s="2">
        <v>10</v>
      </c>
      <c r="G1782" s="22">
        <f>Table4[[#This Row],[Item Cost]]*Table4[[#This Row],[In Stock]]</f>
        <v>102.5</v>
      </c>
      <c r="H1782" s="12" t="s">
        <v>4661</v>
      </c>
      <c r="I1782" s="13" t="s">
        <v>4666</v>
      </c>
      <c r="J1782" s="13" t="s">
        <v>4753</v>
      </c>
      <c r="K1782" s="13" t="s">
        <v>4672</v>
      </c>
      <c r="L1782" s="12" t="s">
        <v>4672</v>
      </c>
      <c r="M1782" s="17" t="str">
        <f>IF(LEN(COUNTIFS($H$1:H1782,$H1782,$I$1:I1782,$I1782,$J$1:J1782,$J1782,$K$1:K1782,K1782,$L$1:L1782,L1782))=1,"00"&amp;COUNTIFS($H$1:H1782,$H1782,$I$1:I1782,$I1782,$J$1:J1782,$J1782,$K$1:K1782,K1782,$L$1:L1782,L1782),IF(LEN(COUNTIFS($H$1:H1782,$H1782,$I$1:I1782,$I1782,$J$1:J1782,$J1782,$K$1:K1782,K1782,$L$1:L1782,L1782))=2,"0"&amp;COUNTIFS($H$1:H1782,$H1782,$I$1:I1782,$I1782,$J$1:J1782,$J1782,$K$1:K1782,K1782,$L$1:L1782,L1782),COUNTIFS($H$1:H1782,$H1782,$I$1:I1782,$I1782,$J$1:J1782,$J1782,$K$1:K1782,K1782,$L$1:L1782,L1782)))</f>
        <v>015</v>
      </c>
      <c r="N178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82" s="14" t="e">
        <f>+LEN(Table4[[#This Row],[New Item Code]])</f>
        <v>#N/A</v>
      </c>
      <c r="P1782" s="15" t="s">
        <v>4747</v>
      </c>
      <c r="Q1782" s="15" t="s">
        <v>4749</v>
      </c>
      <c r="R1782" s="15"/>
      <c r="S1782" s="15"/>
      <c r="T1782" s="15" t="s">
        <v>4753</v>
      </c>
    </row>
    <row r="1783" spans="1:20" x14ac:dyDescent="0.35">
      <c r="A1783" s="3" t="s">
        <v>3530</v>
      </c>
      <c r="B1783" s="3" t="s">
        <v>3531</v>
      </c>
      <c r="C1783" s="3" t="s">
        <v>15</v>
      </c>
      <c r="D1783" s="3">
        <v>7.5</v>
      </c>
      <c r="E1783" s="3" t="s">
        <v>10</v>
      </c>
      <c r="F1783" s="3">
        <v>0</v>
      </c>
      <c r="G1783" s="21">
        <f>Table4[[#This Row],[Item Cost]]*Table4[[#This Row],[In Stock]]</f>
        <v>0</v>
      </c>
      <c r="H1783" s="12" t="s">
        <v>4661</v>
      </c>
      <c r="I1783" s="13" t="s">
        <v>4666</v>
      </c>
      <c r="J1783" s="13" t="s">
        <v>4753</v>
      </c>
      <c r="K1783" s="13" t="s">
        <v>4672</v>
      </c>
      <c r="L1783" s="12" t="s">
        <v>4672</v>
      </c>
      <c r="M1783" s="17" t="str">
        <f>IF(LEN(COUNTIFS($H$1:H1783,$H1783,$I$1:I1783,$I1783,$J$1:J1783,$J1783,$K$1:K1783,K1783,$L$1:L1783,L1783))=1,"00"&amp;COUNTIFS($H$1:H1783,$H1783,$I$1:I1783,$I1783,$J$1:J1783,$J1783,$K$1:K1783,K1783,$L$1:L1783,L1783),IF(LEN(COUNTIFS($H$1:H1783,$H1783,$I$1:I1783,$I1783,$J$1:J1783,$J1783,$K$1:K1783,K1783,$L$1:L1783,L1783))=2,"0"&amp;COUNTIFS($H$1:H1783,$H1783,$I$1:I1783,$I1783,$J$1:J1783,$J1783,$K$1:K1783,K1783,$L$1:L1783,L1783),COUNTIFS($H$1:H1783,$H1783,$I$1:I1783,$I1783,$J$1:J1783,$J1783,$K$1:K1783,K1783,$L$1:L1783,L1783)))</f>
        <v>016</v>
      </c>
      <c r="N178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83" s="14" t="e">
        <f>+LEN(Table4[[#This Row],[New Item Code]])</f>
        <v>#N/A</v>
      </c>
      <c r="P1783" s="15" t="s">
        <v>4747</v>
      </c>
      <c r="Q1783" s="15" t="s">
        <v>4749</v>
      </c>
      <c r="R1783" s="15"/>
      <c r="S1783" s="15"/>
      <c r="T1783" s="15" t="s">
        <v>4753</v>
      </c>
    </row>
    <row r="1784" spans="1:20" x14ac:dyDescent="0.35">
      <c r="A1784" s="2" t="s">
        <v>3532</v>
      </c>
      <c r="B1784" s="2" t="s">
        <v>3533</v>
      </c>
      <c r="C1784" s="2" t="s">
        <v>15</v>
      </c>
      <c r="D1784" s="2">
        <v>15.5</v>
      </c>
      <c r="E1784" s="2" t="s">
        <v>10</v>
      </c>
      <c r="F1784" s="2">
        <v>0</v>
      </c>
      <c r="G1784" s="22">
        <f>Table4[[#This Row],[Item Cost]]*Table4[[#This Row],[In Stock]]</f>
        <v>0</v>
      </c>
      <c r="H1784" s="12" t="s">
        <v>4661</v>
      </c>
      <c r="I1784" s="13" t="s">
        <v>4666</v>
      </c>
      <c r="J1784" s="13" t="s">
        <v>4753</v>
      </c>
      <c r="K1784" s="13" t="s">
        <v>4672</v>
      </c>
      <c r="L1784" s="12" t="s">
        <v>4672</v>
      </c>
      <c r="M1784" s="17" t="str">
        <f>IF(LEN(COUNTIFS($H$1:H1784,$H1784,$I$1:I1784,$I1784,$J$1:J1784,$J1784,$K$1:K1784,K1784,$L$1:L1784,L1784))=1,"00"&amp;COUNTIFS($H$1:H1784,$H1784,$I$1:I1784,$I1784,$J$1:J1784,$J1784,$K$1:K1784,K1784,$L$1:L1784,L1784),IF(LEN(COUNTIFS($H$1:H1784,$H1784,$I$1:I1784,$I1784,$J$1:J1784,$J1784,$K$1:K1784,K1784,$L$1:L1784,L1784))=2,"0"&amp;COUNTIFS($H$1:H1784,$H1784,$I$1:I1784,$I1784,$J$1:J1784,$J1784,$K$1:K1784,K1784,$L$1:L1784,L1784),COUNTIFS($H$1:H1784,$H1784,$I$1:I1784,$I1784,$J$1:J1784,$J1784,$K$1:K1784,K1784,$L$1:L1784,L1784)))</f>
        <v>017</v>
      </c>
      <c r="N178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84" s="14" t="e">
        <f>+LEN(Table4[[#This Row],[New Item Code]])</f>
        <v>#N/A</v>
      </c>
      <c r="P1784" s="15" t="s">
        <v>4747</v>
      </c>
      <c r="Q1784" s="15" t="s">
        <v>4749</v>
      </c>
      <c r="R1784" s="15"/>
      <c r="S1784" s="15"/>
      <c r="T1784" s="15" t="s">
        <v>4753</v>
      </c>
    </row>
    <row r="1785" spans="1:20" x14ac:dyDescent="0.35">
      <c r="A1785" s="3" t="s">
        <v>3534</v>
      </c>
      <c r="B1785" s="3" t="s">
        <v>3535</v>
      </c>
      <c r="C1785" s="3" t="s">
        <v>15</v>
      </c>
      <c r="D1785" s="3">
        <v>22</v>
      </c>
      <c r="E1785" s="3" t="s">
        <v>10</v>
      </c>
      <c r="F1785" s="3">
        <v>0</v>
      </c>
      <c r="G1785" s="21">
        <f>Table4[[#This Row],[Item Cost]]*Table4[[#This Row],[In Stock]]</f>
        <v>0</v>
      </c>
      <c r="H1785" s="12" t="s">
        <v>4661</v>
      </c>
      <c r="I1785" s="13" t="s">
        <v>4666</v>
      </c>
      <c r="J1785" s="13" t="s">
        <v>4753</v>
      </c>
      <c r="K1785" s="13" t="s">
        <v>4672</v>
      </c>
      <c r="L1785" s="12" t="s">
        <v>4672</v>
      </c>
      <c r="M1785" s="17" t="str">
        <f>IF(LEN(COUNTIFS($H$1:H1785,$H1785,$I$1:I1785,$I1785,$J$1:J1785,$J1785,$K$1:K1785,K1785,$L$1:L1785,L1785))=1,"00"&amp;COUNTIFS($H$1:H1785,$H1785,$I$1:I1785,$I1785,$J$1:J1785,$J1785,$K$1:K1785,K1785,$L$1:L1785,L1785),IF(LEN(COUNTIFS($H$1:H1785,$H1785,$I$1:I1785,$I1785,$J$1:J1785,$J1785,$K$1:K1785,K1785,$L$1:L1785,L1785))=2,"0"&amp;COUNTIFS($H$1:H1785,$H1785,$I$1:I1785,$I1785,$J$1:J1785,$J1785,$K$1:K1785,K1785,$L$1:L1785,L1785),COUNTIFS($H$1:H1785,$H1785,$I$1:I1785,$I1785,$J$1:J1785,$J1785,$K$1:K1785,K1785,$L$1:L1785,L1785)))</f>
        <v>018</v>
      </c>
      <c r="N178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85" s="14" t="e">
        <f>+LEN(Table4[[#This Row],[New Item Code]])</f>
        <v>#N/A</v>
      </c>
      <c r="P1785" s="15" t="s">
        <v>4747</v>
      </c>
      <c r="Q1785" s="15" t="s">
        <v>4749</v>
      </c>
      <c r="R1785" s="15"/>
      <c r="S1785" s="15"/>
      <c r="T1785" s="15" t="s">
        <v>4753</v>
      </c>
    </row>
    <row r="1786" spans="1:20" x14ac:dyDescent="0.35">
      <c r="A1786" s="2" t="s">
        <v>3536</v>
      </c>
      <c r="B1786" s="2" t="s">
        <v>3537</v>
      </c>
      <c r="C1786" s="2" t="s">
        <v>15</v>
      </c>
      <c r="D1786" s="2">
        <v>30</v>
      </c>
      <c r="E1786" s="2" t="s">
        <v>10</v>
      </c>
      <c r="F1786" s="2">
        <v>20</v>
      </c>
      <c r="G1786" s="22">
        <f>Table4[[#This Row],[Item Cost]]*Table4[[#This Row],[In Stock]]</f>
        <v>600</v>
      </c>
      <c r="H1786" s="12" t="s">
        <v>4661</v>
      </c>
      <c r="I1786" s="13" t="s">
        <v>4666</v>
      </c>
      <c r="J1786" s="13" t="s">
        <v>4753</v>
      </c>
      <c r="K1786" s="13" t="s">
        <v>4672</v>
      </c>
      <c r="L1786" s="12" t="s">
        <v>4672</v>
      </c>
      <c r="M1786" s="17" t="str">
        <f>IF(LEN(COUNTIFS($H$1:H1786,$H1786,$I$1:I1786,$I1786,$J$1:J1786,$J1786,$K$1:K1786,K1786,$L$1:L1786,L1786))=1,"00"&amp;COUNTIFS($H$1:H1786,$H1786,$I$1:I1786,$I1786,$J$1:J1786,$J1786,$K$1:K1786,K1786,$L$1:L1786,L1786),IF(LEN(COUNTIFS($H$1:H1786,$H1786,$I$1:I1786,$I1786,$J$1:J1786,$J1786,$K$1:K1786,K1786,$L$1:L1786,L1786))=2,"0"&amp;COUNTIFS($H$1:H1786,$H1786,$I$1:I1786,$I1786,$J$1:J1786,$J1786,$K$1:K1786,K1786,$L$1:L1786,L1786),COUNTIFS($H$1:H1786,$H1786,$I$1:I1786,$I1786,$J$1:J1786,$J1786,$K$1:K1786,K1786,$L$1:L1786,L1786)))</f>
        <v>019</v>
      </c>
      <c r="N178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86" s="14" t="e">
        <f>+LEN(Table4[[#This Row],[New Item Code]])</f>
        <v>#N/A</v>
      </c>
      <c r="P1786" s="15" t="s">
        <v>4747</v>
      </c>
      <c r="Q1786" s="15" t="s">
        <v>4749</v>
      </c>
      <c r="R1786" s="15"/>
      <c r="S1786" s="15"/>
      <c r="T1786" s="15" t="s">
        <v>4753</v>
      </c>
    </row>
    <row r="1787" spans="1:20" x14ac:dyDescent="0.35">
      <c r="A1787" s="3" t="s">
        <v>3538</v>
      </c>
      <c r="B1787" s="3" t="s">
        <v>3539</v>
      </c>
      <c r="C1787" s="3" t="s">
        <v>15</v>
      </c>
      <c r="D1787" s="3">
        <v>35</v>
      </c>
      <c r="E1787" s="3" t="s">
        <v>10</v>
      </c>
      <c r="F1787" s="3">
        <v>20</v>
      </c>
      <c r="G1787" s="21">
        <f>Table4[[#This Row],[Item Cost]]*Table4[[#This Row],[In Stock]]</f>
        <v>700</v>
      </c>
      <c r="H1787" s="12" t="s">
        <v>4661</v>
      </c>
      <c r="I1787" s="13" t="s">
        <v>4666</v>
      </c>
      <c r="J1787" s="13" t="s">
        <v>4753</v>
      </c>
      <c r="K1787" s="13" t="s">
        <v>4672</v>
      </c>
      <c r="L1787" s="12" t="s">
        <v>4672</v>
      </c>
      <c r="M1787" s="17" t="str">
        <f>IF(LEN(COUNTIFS($H$1:H1787,$H1787,$I$1:I1787,$I1787,$J$1:J1787,$J1787,$K$1:K1787,K1787,$L$1:L1787,L1787))=1,"00"&amp;COUNTIFS($H$1:H1787,$H1787,$I$1:I1787,$I1787,$J$1:J1787,$J1787,$K$1:K1787,K1787,$L$1:L1787,L1787),IF(LEN(COUNTIFS($H$1:H1787,$H1787,$I$1:I1787,$I1787,$J$1:J1787,$J1787,$K$1:K1787,K1787,$L$1:L1787,L1787))=2,"0"&amp;COUNTIFS($H$1:H1787,$H1787,$I$1:I1787,$I1787,$J$1:J1787,$J1787,$K$1:K1787,K1787,$L$1:L1787,L1787),COUNTIFS($H$1:H1787,$H1787,$I$1:I1787,$I1787,$J$1:J1787,$J1787,$K$1:K1787,K1787,$L$1:L1787,L1787)))</f>
        <v>020</v>
      </c>
      <c r="N178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87" s="14" t="e">
        <f>+LEN(Table4[[#This Row],[New Item Code]])</f>
        <v>#N/A</v>
      </c>
      <c r="P1787" s="15" t="s">
        <v>4747</v>
      </c>
      <c r="Q1787" s="15" t="s">
        <v>4749</v>
      </c>
      <c r="R1787" s="15"/>
      <c r="S1787" s="15"/>
      <c r="T1787" s="15" t="s">
        <v>4753</v>
      </c>
    </row>
    <row r="1788" spans="1:20" x14ac:dyDescent="0.35">
      <c r="A1788" s="2" t="s">
        <v>3540</v>
      </c>
      <c r="B1788" s="2" t="s">
        <v>3541</v>
      </c>
      <c r="C1788" s="2" t="s">
        <v>15</v>
      </c>
      <c r="D1788" s="2">
        <v>85</v>
      </c>
      <c r="E1788" s="2" t="s">
        <v>10</v>
      </c>
      <c r="F1788" s="2">
        <v>20</v>
      </c>
      <c r="G1788" s="22">
        <f>Table4[[#This Row],[Item Cost]]*Table4[[#This Row],[In Stock]]</f>
        <v>1700</v>
      </c>
      <c r="H1788" s="12" t="s">
        <v>4661</v>
      </c>
      <c r="I1788" s="13" t="s">
        <v>4666</v>
      </c>
      <c r="J1788" s="13" t="s">
        <v>4753</v>
      </c>
      <c r="K1788" s="13" t="s">
        <v>4672</v>
      </c>
      <c r="L1788" s="12" t="s">
        <v>4672</v>
      </c>
      <c r="M1788" s="17" t="str">
        <f>IF(LEN(COUNTIFS($H$1:H1788,$H1788,$I$1:I1788,$I1788,$J$1:J1788,$J1788,$K$1:K1788,K1788,$L$1:L1788,L1788))=1,"00"&amp;COUNTIFS($H$1:H1788,$H1788,$I$1:I1788,$I1788,$J$1:J1788,$J1788,$K$1:K1788,K1788,$L$1:L1788,L1788),IF(LEN(COUNTIFS($H$1:H1788,$H1788,$I$1:I1788,$I1788,$J$1:J1788,$J1788,$K$1:K1788,K1788,$L$1:L1788,L1788))=2,"0"&amp;COUNTIFS($H$1:H1788,$H1788,$I$1:I1788,$I1788,$J$1:J1788,$J1788,$K$1:K1788,K1788,$L$1:L1788,L1788),COUNTIFS($H$1:H1788,$H1788,$I$1:I1788,$I1788,$J$1:J1788,$J1788,$K$1:K1788,K1788,$L$1:L1788,L1788)))</f>
        <v>021</v>
      </c>
      <c r="N178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88" s="14" t="e">
        <f>+LEN(Table4[[#This Row],[New Item Code]])</f>
        <v>#N/A</v>
      </c>
      <c r="P1788" s="15" t="s">
        <v>4747</v>
      </c>
      <c r="Q1788" s="15" t="s">
        <v>4749</v>
      </c>
      <c r="R1788" s="15"/>
      <c r="S1788" s="15"/>
      <c r="T1788" s="15" t="s">
        <v>4753</v>
      </c>
    </row>
    <row r="1789" spans="1:20" x14ac:dyDescent="0.35">
      <c r="A1789" s="3" t="s">
        <v>3542</v>
      </c>
      <c r="B1789" s="3" t="s">
        <v>3543</v>
      </c>
      <c r="C1789" s="3" t="s">
        <v>15</v>
      </c>
      <c r="D1789" s="3">
        <v>14</v>
      </c>
      <c r="E1789" s="3" t="s">
        <v>10</v>
      </c>
      <c r="F1789" s="3">
        <v>10</v>
      </c>
      <c r="G1789" s="21">
        <f>Table4[[#This Row],[Item Cost]]*Table4[[#This Row],[In Stock]]</f>
        <v>140</v>
      </c>
      <c r="H1789" s="12" t="s">
        <v>4661</v>
      </c>
      <c r="I1789" s="13" t="s">
        <v>4666</v>
      </c>
      <c r="J1789" s="13" t="s">
        <v>4753</v>
      </c>
      <c r="K1789" s="13" t="s">
        <v>4672</v>
      </c>
      <c r="L1789" s="12" t="s">
        <v>4672</v>
      </c>
      <c r="M1789" s="17" t="str">
        <f>IF(LEN(COUNTIFS($H$1:H1789,$H1789,$I$1:I1789,$I1789,$J$1:J1789,$J1789,$K$1:K1789,K1789,$L$1:L1789,L1789))=1,"00"&amp;COUNTIFS($H$1:H1789,$H1789,$I$1:I1789,$I1789,$J$1:J1789,$J1789,$K$1:K1789,K1789,$L$1:L1789,L1789),IF(LEN(COUNTIFS($H$1:H1789,$H1789,$I$1:I1789,$I1789,$J$1:J1789,$J1789,$K$1:K1789,K1789,$L$1:L1789,L1789))=2,"0"&amp;COUNTIFS($H$1:H1789,$H1789,$I$1:I1789,$I1789,$J$1:J1789,$J1789,$K$1:K1789,K1789,$L$1:L1789,L1789),COUNTIFS($H$1:H1789,$H1789,$I$1:I1789,$I1789,$J$1:J1789,$J1789,$K$1:K1789,K1789,$L$1:L1789,L1789)))</f>
        <v>022</v>
      </c>
      <c r="N178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89" s="14" t="e">
        <f>+LEN(Table4[[#This Row],[New Item Code]])</f>
        <v>#N/A</v>
      </c>
      <c r="P1789" s="15" t="s">
        <v>4747</v>
      </c>
      <c r="Q1789" s="15" t="s">
        <v>4749</v>
      </c>
      <c r="R1789" s="15"/>
      <c r="S1789" s="15"/>
      <c r="T1789" s="15" t="s">
        <v>4753</v>
      </c>
    </row>
    <row r="1790" spans="1:20" x14ac:dyDescent="0.35">
      <c r="A1790" s="2" t="s">
        <v>3544</v>
      </c>
      <c r="B1790" s="2" t="s">
        <v>3545</v>
      </c>
      <c r="C1790" s="2" t="s">
        <v>15</v>
      </c>
      <c r="D1790" s="2">
        <v>12</v>
      </c>
      <c r="E1790" s="2" t="s">
        <v>10</v>
      </c>
      <c r="F1790" s="2">
        <v>10</v>
      </c>
      <c r="G1790" s="22">
        <f>Table4[[#This Row],[Item Cost]]*Table4[[#This Row],[In Stock]]</f>
        <v>120</v>
      </c>
      <c r="H1790" s="12" t="s">
        <v>4661</v>
      </c>
      <c r="I1790" s="13" t="s">
        <v>4666</v>
      </c>
      <c r="J1790" s="13" t="s">
        <v>4753</v>
      </c>
      <c r="K1790" s="13" t="s">
        <v>4672</v>
      </c>
      <c r="L1790" s="12" t="s">
        <v>4672</v>
      </c>
      <c r="M1790" s="17" t="str">
        <f>IF(LEN(COUNTIFS($H$1:H1790,$H1790,$I$1:I1790,$I1790,$J$1:J1790,$J1790,$K$1:K1790,K1790,$L$1:L1790,L1790))=1,"00"&amp;COUNTIFS($H$1:H1790,$H1790,$I$1:I1790,$I1790,$J$1:J1790,$J1790,$K$1:K1790,K1790,$L$1:L1790,L1790),IF(LEN(COUNTIFS($H$1:H1790,$H1790,$I$1:I1790,$I1790,$J$1:J1790,$J1790,$K$1:K1790,K1790,$L$1:L1790,L1790))=2,"0"&amp;COUNTIFS($H$1:H1790,$H1790,$I$1:I1790,$I1790,$J$1:J1790,$J1790,$K$1:K1790,K1790,$L$1:L1790,L1790),COUNTIFS($H$1:H1790,$H1790,$I$1:I1790,$I1790,$J$1:J1790,$J1790,$K$1:K1790,K1790,$L$1:L1790,L1790)))</f>
        <v>023</v>
      </c>
      <c r="N179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90" s="14" t="e">
        <f>+LEN(Table4[[#This Row],[New Item Code]])</f>
        <v>#N/A</v>
      </c>
      <c r="P1790" s="15" t="s">
        <v>4747</v>
      </c>
      <c r="Q1790" s="15" t="s">
        <v>4749</v>
      </c>
      <c r="R1790" s="15"/>
      <c r="S1790" s="15"/>
      <c r="T1790" s="15" t="s">
        <v>4753</v>
      </c>
    </row>
    <row r="1791" spans="1:20" x14ac:dyDescent="0.35">
      <c r="A1791" s="3" t="s">
        <v>3546</v>
      </c>
      <c r="B1791" s="3" t="s">
        <v>3547</v>
      </c>
      <c r="C1791" s="3" t="s">
        <v>15</v>
      </c>
      <c r="D1791" s="3">
        <v>10.25</v>
      </c>
      <c r="E1791" s="3" t="s">
        <v>10</v>
      </c>
      <c r="F1791" s="3">
        <v>4</v>
      </c>
      <c r="G1791" s="21">
        <f>Table4[[#This Row],[Item Cost]]*Table4[[#This Row],[In Stock]]</f>
        <v>41</v>
      </c>
      <c r="H1791" s="12" t="s">
        <v>4661</v>
      </c>
      <c r="I1791" s="13" t="s">
        <v>4666</v>
      </c>
      <c r="J1791" s="13" t="s">
        <v>4753</v>
      </c>
      <c r="K1791" s="13" t="s">
        <v>4672</v>
      </c>
      <c r="L1791" s="12" t="s">
        <v>4672</v>
      </c>
      <c r="M1791" s="17" t="str">
        <f>IF(LEN(COUNTIFS($H$1:H1791,$H1791,$I$1:I1791,$I1791,$J$1:J1791,$J1791,$K$1:K1791,K1791,$L$1:L1791,L1791))=1,"00"&amp;COUNTIFS($H$1:H1791,$H1791,$I$1:I1791,$I1791,$J$1:J1791,$J1791,$K$1:K1791,K1791,$L$1:L1791,L1791),IF(LEN(COUNTIFS($H$1:H1791,$H1791,$I$1:I1791,$I1791,$J$1:J1791,$J1791,$K$1:K1791,K1791,$L$1:L1791,L1791))=2,"0"&amp;COUNTIFS($H$1:H1791,$H1791,$I$1:I1791,$I1791,$J$1:J1791,$J1791,$K$1:K1791,K1791,$L$1:L1791,L1791),COUNTIFS($H$1:H1791,$H1791,$I$1:I1791,$I1791,$J$1:J1791,$J1791,$K$1:K1791,K1791,$L$1:L1791,L1791)))</f>
        <v>024</v>
      </c>
      <c r="N179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91" s="14" t="e">
        <f>+LEN(Table4[[#This Row],[New Item Code]])</f>
        <v>#N/A</v>
      </c>
      <c r="P1791" s="15" t="s">
        <v>4747</v>
      </c>
      <c r="Q1791" s="15" t="s">
        <v>4749</v>
      </c>
      <c r="R1791" s="15"/>
      <c r="S1791" s="15"/>
      <c r="T1791" s="15" t="s">
        <v>4753</v>
      </c>
    </row>
    <row r="1792" spans="1:20" x14ac:dyDescent="0.35">
      <c r="A1792" s="2" t="s">
        <v>3548</v>
      </c>
      <c r="B1792" s="2" t="s">
        <v>3549</v>
      </c>
      <c r="C1792" s="2" t="s">
        <v>56</v>
      </c>
      <c r="D1792" s="2">
        <v>0</v>
      </c>
      <c r="E1792" s="2" t="s">
        <v>57</v>
      </c>
      <c r="F1792" s="2">
        <v>0</v>
      </c>
      <c r="G1792" s="22">
        <f>Table4[[#This Row],[Item Cost]]*Table4[[#This Row],[In Stock]]</f>
        <v>0</v>
      </c>
      <c r="H1792" s="12" t="s">
        <v>4661</v>
      </c>
      <c r="I1792" s="13" t="s">
        <v>4668</v>
      </c>
      <c r="J1792" s="13" t="s">
        <v>4753</v>
      </c>
      <c r="K1792" s="13" t="s">
        <v>4672</v>
      </c>
      <c r="L1792" s="12" t="s">
        <v>4672</v>
      </c>
      <c r="M1792" s="17" t="str">
        <f>IF(LEN(COUNTIFS($H$1:H1792,$H1792,$I$1:I1792,$I1792,$J$1:J1792,$J1792,$K$1:K1792,K1792,$L$1:L1792,L1792))=1,"00"&amp;COUNTIFS($H$1:H1792,$H1792,$I$1:I1792,$I1792,$J$1:J1792,$J1792,$K$1:K1792,K1792,$L$1:L1792,L1792),IF(LEN(COUNTIFS($H$1:H1792,$H1792,$I$1:I1792,$I1792,$J$1:J1792,$J1792,$K$1:K1792,K1792,$L$1:L1792,L1792))=2,"0"&amp;COUNTIFS($H$1:H1792,$H1792,$I$1:I1792,$I1792,$J$1:J1792,$J1792,$K$1:K1792,K1792,$L$1:L1792,L1792),COUNTIFS($H$1:H1792,$H1792,$I$1:I1792,$I1792,$J$1:J1792,$J1792,$K$1:K1792,K1792,$L$1:L1792,L1792)))</f>
        <v>077</v>
      </c>
      <c r="N179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92" s="14" t="e">
        <f>+LEN(Table4[[#This Row],[New Item Code]])</f>
        <v>#N/A</v>
      </c>
      <c r="P1792" s="15" t="s">
        <v>4747</v>
      </c>
      <c r="Q1792" s="15" t="s">
        <v>4749</v>
      </c>
      <c r="R1792" s="15"/>
      <c r="S1792" s="15"/>
      <c r="T1792" s="15" t="s">
        <v>4753</v>
      </c>
    </row>
    <row r="1793" spans="1:20" x14ac:dyDescent="0.35">
      <c r="A1793" s="3" t="s">
        <v>3550</v>
      </c>
      <c r="B1793" s="3" t="s">
        <v>3551</v>
      </c>
      <c r="C1793" s="3" t="s">
        <v>56</v>
      </c>
      <c r="D1793" s="3">
        <v>0</v>
      </c>
      <c r="E1793" s="3" t="s">
        <v>57</v>
      </c>
      <c r="F1793" s="3">
        <v>0</v>
      </c>
      <c r="G1793" s="21">
        <f>Table4[[#This Row],[Item Cost]]*Table4[[#This Row],[In Stock]]</f>
        <v>0</v>
      </c>
      <c r="H1793" s="12" t="s">
        <v>4661</v>
      </c>
      <c r="I1793" s="13" t="s">
        <v>4668</v>
      </c>
      <c r="J1793" s="13" t="s">
        <v>4753</v>
      </c>
      <c r="K1793" s="13" t="s">
        <v>4672</v>
      </c>
      <c r="L1793" s="12" t="s">
        <v>4672</v>
      </c>
      <c r="M1793" s="17" t="str">
        <f>IF(LEN(COUNTIFS($H$1:H1793,$H1793,$I$1:I1793,$I1793,$J$1:J1793,$J1793,$K$1:K1793,K1793,$L$1:L1793,L1793))=1,"00"&amp;COUNTIFS($H$1:H1793,$H1793,$I$1:I1793,$I1793,$J$1:J1793,$J1793,$K$1:K1793,K1793,$L$1:L1793,L1793),IF(LEN(COUNTIFS($H$1:H1793,$H1793,$I$1:I1793,$I1793,$J$1:J1793,$J1793,$K$1:K1793,K1793,$L$1:L1793,L1793))=2,"0"&amp;COUNTIFS($H$1:H1793,$H1793,$I$1:I1793,$I1793,$J$1:J1793,$J1793,$K$1:K1793,K1793,$L$1:L1793,L1793),COUNTIFS($H$1:H1793,$H1793,$I$1:I1793,$I1793,$J$1:J1793,$J1793,$K$1:K1793,K1793,$L$1:L1793,L1793)))</f>
        <v>078</v>
      </c>
      <c r="N179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93" s="14" t="e">
        <f>+LEN(Table4[[#This Row],[New Item Code]])</f>
        <v>#N/A</v>
      </c>
      <c r="P1793" s="15" t="s">
        <v>4747</v>
      </c>
      <c r="Q1793" s="15" t="s">
        <v>4749</v>
      </c>
      <c r="R1793" s="15"/>
      <c r="S1793" s="15"/>
      <c r="T1793" s="15" t="s">
        <v>4753</v>
      </c>
    </row>
    <row r="1794" spans="1:20" x14ac:dyDescent="0.35">
      <c r="A1794" s="2" t="s">
        <v>3552</v>
      </c>
      <c r="B1794" s="2" t="s">
        <v>3553</v>
      </c>
      <c r="C1794" s="2" t="s">
        <v>56</v>
      </c>
      <c r="D1794" s="2">
        <v>180</v>
      </c>
      <c r="E1794" s="2" t="s">
        <v>10</v>
      </c>
      <c r="F1794" s="2">
        <v>3</v>
      </c>
      <c r="G1794" s="22">
        <f>Table4[[#This Row],[Item Cost]]*Table4[[#This Row],[In Stock]]</f>
        <v>540</v>
      </c>
      <c r="H1794" s="12" t="s">
        <v>4661</v>
      </c>
      <c r="I1794" s="13" t="s">
        <v>4668</v>
      </c>
      <c r="J1794" s="13" t="s">
        <v>4753</v>
      </c>
      <c r="K1794" s="13" t="s">
        <v>4672</v>
      </c>
      <c r="L1794" s="12" t="s">
        <v>4672</v>
      </c>
      <c r="M1794" s="17" t="str">
        <f>IF(LEN(COUNTIFS($H$1:H1794,$H1794,$I$1:I1794,$I1794,$J$1:J1794,$J1794,$K$1:K1794,K1794,$L$1:L1794,L1794))=1,"00"&amp;COUNTIFS($H$1:H1794,$H1794,$I$1:I1794,$I1794,$J$1:J1794,$J1794,$K$1:K1794,K1794,$L$1:L1794,L1794),IF(LEN(COUNTIFS($H$1:H1794,$H1794,$I$1:I1794,$I1794,$J$1:J1794,$J1794,$K$1:K1794,K1794,$L$1:L1794,L1794))=2,"0"&amp;COUNTIFS($H$1:H1794,$H1794,$I$1:I1794,$I1794,$J$1:J1794,$J1794,$K$1:K1794,K1794,$L$1:L1794,L1794),COUNTIFS($H$1:H1794,$H1794,$I$1:I1794,$I1794,$J$1:J1794,$J1794,$K$1:K1794,K1794,$L$1:L1794,L1794)))</f>
        <v>079</v>
      </c>
      <c r="N179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94" s="14" t="e">
        <f>+LEN(Table4[[#This Row],[New Item Code]])</f>
        <v>#N/A</v>
      </c>
      <c r="P1794" s="15" t="s">
        <v>4747</v>
      </c>
      <c r="Q1794" s="15" t="s">
        <v>4749</v>
      </c>
      <c r="R1794" s="15"/>
      <c r="S1794" s="15"/>
      <c r="T1794" s="15" t="s">
        <v>4753</v>
      </c>
    </row>
    <row r="1795" spans="1:20" x14ac:dyDescent="0.35">
      <c r="A1795" s="3" t="s">
        <v>3554</v>
      </c>
      <c r="B1795" s="3" t="s">
        <v>3555</v>
      </c>
      <c r="C1795" s="3" t="s">
        <v>56</v>
      </c>
      <c r="D1795" s="3">
        <v>245</v>
      </c>
      <c r="E1795" s="3" t="s">
        <v>10</v>
      </c>
      <c r="F1795" s="3">
        <v>3</v>
      </c>
      <c r="G1795" s="21">
        <f>Table4[[#This Row],[Item Cost]]*Table4[[#This Row],[In Stock]]</f>
        <v>735</v>
      </c>
      <c r="H1795" s="12" t="s">
        <v>4661</v>
      </c>
      <c r="I1795" s="13" t="s">
        <v>4668</v>
      </c>
      <c r="J1795" s="13" t="s">
        <v>4753</v>
      </c>
      <c r="K1795" s="13" t="s">
        <v>4672</v>
      </c>
      <c r="L1795" s="12" t="s">
        <v>4672</v>
      </c>
      <c r="M1795" s="17" t="str">
        <f>IF(LEN(COUNTIFS($H$1:H1795,$H1795,$I$1:I1795,$I1795,$J$1:J1795,$J1795,$K$1:K1795,K1795,$L$1:L1795,L1795))=1,"00"&amp;COUNTIFS($H$1:H1795,$H1795,$I$1:I1795,$I1795,$J$1:J1795,$J1795,$K$1:K1795,K1795,$L$1:L1795,L1795),IF(LEN(COUNTIFS($H$1:H1795,$H1795,$I$1:I1795,$I1795,$J$1:J1795,$J1795,$K$1:K1795,K1795,$L$1:L1795,L1795))=2,"0"&amp;COUNTIFS($H$1:H1795,$H1795,$I$1:I1795,$I1795,$J$1:J1795,$J1795,$K$1:K1795,K1795,$L$1:L1795,L1795),COUNTIFS($H$1:H1795,$H1795,$I$1:I1795,$I1795,$J$1:J1795,$J1795,$K$1:K1795,K1795,$L$1:L1795,L1795)))</f>
        <v>080</v>
      </c>
      <c r="N179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95" s="14" t="e">
        <f>+LEN(Table4[[#This Row],[New Item Code]])</f>
        <v>#N/A</v>
      </c>
      <c r="P1795" s="15" t="s">
        <v>4747</v>
      </c>
      <c r="Q1795" s="15" t="s">
        <v>4749</v>
      </c>
      <c r="R1795" s="15"/>
      <c r="S1795" s="15"/>
      <c r="T1795" s="15" t="s">
        <v>4753</v>
      </c>
    </row>
    <row r="1796" spans="1:20" x14ac:dyDescent="0.35">
      <c r="A1796" s="2" t="s">
        <v>3556</v>
      </c>
      <c r="B1796" s="2" t="s">
        <v>3557</v>
      </c>
      <c r="C1796" s="2" t="s">
        <v>56</v>
      </c>
      <c r="D1796" s="2">
        <v>375</v>
      </c>
      <c r="E1796" s="2" t="s">
        <v>10</v>
      </c>
      <c r="F1796" s="2">
        <v>2</v>
      </c>
      <c r="G1796" s="22">
        <f>Table4[[#This Row],[Item Cost]]*Table4[[#This Row],[In Stock]]</f>
        <v>750</v>
      </c>
      <c r="H1796" s="12" t="s">
        <v>4661</v>
      </c>
      <c r="I1796" s="13" t="s">
        <v>4668</v>
      </c>
      <c r="J1796" s="13" t="s">
        <v>4753</v>
      </c>
      <c r="K1796" s="13" t="s">
        <v>4672</v>
      </c>
      <c r="L1796" s="12" t="s">
        <v>4672</v>
      </c>
      <c r="M1796" s="17" t="str">
        <f>IF(LEN(COUNTIFS($H$1:H1796,$H1796,$I$1:I1796,$I1796,$J$1:J1796,$J1796,$K$1:K1796,K1796,$L$1:L1796,L1796))=1,"00"&amp;COUNTIFS($H$1:H1796,$H1796,$I$1:I1796,$I1796,$J$1:J1796,$J1796,$K$1:K1796,K1796,$L$1:L1796,L1796),IF(LEN(COUNTIFS($H$1:H1796,$H1796,$I$1:I1796,$I1796,$J$1:J1796,$J1796,$K$1:K1796,K1796,$L$1:L1796,L1796))=2,"0"&amp;COUNTIFS($H$1:H1796,$H1796,$I$1:I1796,$I1796,$J$1:J1796,$J1796,$K$1:K1796,K1796,$L$1:L1796,L1796),COUNTIFS($H$1:H1796,$H1796,$I$1:I1796,$I1796,$J$1:J1796,$J1796,$K$1:K1796,K1796,$L$1:L1796,L1796)))</f>
        <v>081</v>
      </c>
      <c r="N179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96" s="14" t="e">
        <f>+LEN(Table4[[#This Row],[New Item Code]])</f>
        <v>#N/A</v>
      </c>
      <c r="P1796" s="15" t="s">
        <v>4747</v>
      </c>
      <c r="Q1796" s="15" t="s">
        <v>4749</v>
      </c>
      <c r="R1796" s="15"/>
      <c r="S1796" s="15"/>
      <c r="T1796" s="15" t="s">
        <v>4753</v>
      </c>
    </row>
    <row r="1797" spans="1:20" x14ac:dyDescent="0.35">
      <c r="A1797" s="3" t="s">
        <v>3558</v>
      </c>
      <c r="B1797" s="3" t="s">
        <v>3559</v>
      </c>
      <c r="C1797" s="3" t="s">
        <v>56</v>
      </c>
      <c r="D1797" s="3">
        <v>620</v>
      </c>
      <c r="E1797" s="3" t="s">
        <v>10</v>
      </c>
      <c r="F1797" s="3">
        <v>1</v>
      </c>
      <c r="G1797" s="21">
        <f>Table4[[#This Row],[Item Cost]]*Table4[[#This Row],[In Stock]]</f>
        <v>620</v>
      </c>
      <c r="H1797" s="12" t="s">
        <v>4661</v>
      </c>
      <c r="I1797" s="13" t="s">
        <v>4668</v>
      </c>
      <c r="J1797" s="13" t="s">
        <v>4753</v>
      </c>
      <c r="K1797" s="13" t="s">
        <v>4672</v>
      </c>
      <c r="L1797" s="12" t="s">
        <v>4672</v>
      </c>
      <c r="M1797" s="17" t="str">
        <f>IF(LEN(COUNTIFS($H$1:H1797,$H1797,$I$1:I1797,$I1797,$J$1:J1797,$J1797,$K$1:K1797,K1797,$L$1:L1797,L1797))=1,"00"&amp;COUNTIFS($H$1:H1797,$H1797,$I$1:I1797,$I1797,$J$1:J1797,$J1797,$K$1:K1797,K1797,$L$1:L1797,L1797),IF(LEN(COUNTIFS($H$1:H1797,$H1797,$I$1:I1797,$I1797,$J$1:J1797,$J1797,$K$1:K1797,K1797,$L$1:L1797,L1797))=2,"0"&amp;COUNTIFS($H$1:H1797,$H1797,$I$1:I1797,$I1797,$J$1:J1797,$J1797,$K$1:K1797,K1797,$L$1:L1797,L1797),COUNTIFS($H$1:H1797,$H1797,$I$1:I1797,$I1797,$J$1:J1797,$J1797,$K$1:K1797,K1797,$L$1:L1797,L1797)))</f>
        <v>082</v>
      </c>
      <c r="N179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97" s="14" t="e">
        <f>+LEN(Table4[[#This Row],[New Item Code]])</f>
        <v>#N/A</v>
      </c>
      <c r="P1797" s="15" t="s">
        <v>4747</v>
      </c>
      <c r="Q1797" s="15" t="s">
        <v>4749</v>
      </c>
      <c r="R1797" s="15"/>
      <c r="S1797" s="15"/>
      <c r="T1797" s="15" t="s">
        <v>4753</v>
      </c>
    </row>
    <row r="1798" spans="1:20" x14ac:dyDescent="0.35">
      <c r="A1798" s="2" t="s">
        <v>3560</v>
      </c>
      <c r="B1798" s="2" t="s">
        <v>3561</v>
      </c>
      <c r="C1798" s="2" t="s">
        <v>56</v>
      </c>
      <c r="D1798" s="2">
        <v>0</v>
      </c>
      <c r="E1798" s="2" t="s">
        <v>10</v>
      </c>
      <c r="F1798" s="2">
        <v>0</v>
      </c>
      <c r="G1798" s="22">
        <f>Table4[[#This Row],[Item Cost]]*Table4[[#This Row],[In Stock]]</f>
        <v>0</v>
      </c>
      <c r="H1798" s="12" t="s">
        <v>4661</v>
      </c>
      <c r="I1798" s="13" t="s">
        <v>4668</v>
      </c>
      <c r="J1798" s="13" t="s">
        <v>4753</v>
      </c>
      <c r="K1798" s="13" t="s">
        <v>4672</v>
      </c>
      <c r="L1798" s="12" t="s">
        <v>4672</v>
      </c>
      <c r="M1798" s="17" t="str">
        <f>IF(LEN(COUNTIFS($H$1:H1798,$H1798,$I$1:I1798,$I1798,$J$1:J1798,$J1798,$K$1:K1798,K1798,$L$1:L1798,L1798))=1,"00"&amp;COUNTIFS($H$1:H1798,$H1798,$I$1:I1798,$I1798,$J$1:J1798,$J1798,$K$1:K1798,K1798,$L$1:L1798,L1798),IF(LEN(COUNTIFS($H$1:H1798,$H1798,$I$1:I1798,$I1798,$J$1:J1798,$J1798,$K$1:K1798,K1798,$L$1:L1798,L1798))=2,"0"&amp;COUNTIFS($H$1:H1798,$H1798,$I$1:I1798,$I1798,$J$1:J1798,$J1798,$K$1:K1798,K1798,$L$1:L1798,L1798),COUNTIFS($H$1:H1798,$H1798,$I$1:I1798,$I1798,$J$1:J1798,$J1798,$K$1:K1798,K1798,$L$1:L1798,L1798)))</f>
        <v>083</v>
      </c>
      <c r="N179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98" s="14" t="e">
        <f>+LEN(Table4[[#This Row],[New Item Code]])</f>
        <v>#N/A</v>
      </c>
      <c r="P1798" s="15" t="s">
        <v>4747</v>
      </c>
      <c r="Q1798" s="15" t="s">
        <v>4749</v>
      </c>
      <c r="R1798" s="15"/>
      <c r="S1798" s="15"/>
      <c r="T1798" s="15" t="s">
        <v>4753</v>
      </c>
    </row>
    <row r="1799" spans="1:20" x14ac:dyDescent="0.35">
      <c r="A1799" s="3" t="s">
        <v>3562</v>
      </c>
      <c r="B1799" s="3" t="s">
        <v>3563</v>
      </c>
      <c r="C1799" s="3" t="s">
        <v>56</v>
      </c>
      <c r="D1799" s="3">
        <v>566.66700000000003</v>
      </c>
      <c r="E1799" s="3" t="s">
        <v>10</v>
      </c>
      <c r="F1799" s="3">
        <v>6</v>
      </c>
      <c r="G1799" s="21">
        <f>Table4[[#This Row],[Item Cost]]*Table4[[#This Row],[In Stock]]</f>
        <v>3400.0020000000004</v>
      </c>
      <c r="H1799" s="12" t="s">
        <v>4661</v>
      </c>
      <c r="I1799" s="13" t="s">
        <v>4668</v>
      </c>
      <c r="J1799" s="13" t="s">
        <v>4753</v>
      </c>
      <c r="K1799" s="13" t="s">
        <v>4672</v>
      </c>
      <c r="L1799" s="12" t="s">
        <v>4672</v>
      </c>
      <c r="M1799" s="17" t="str">
        <f>IF(LEN(COUNTIFS($H$1:H1799,$H1799,$I$1:I1799,$I1799,$J$1:J1799,$J1799,$K$1:K1799,K1799,$L$1:L1799,L1799))=1,"00"&amp;COUNTIFS($H$1:H1799,$H1799,$I$1:I1799,$I1799,$J$1:J1799,$J1799,$K$1:K1799,K1799,$L$1:L1799,L1799),IF(LEN(COUNTIFS($H$1:H1799,$H1799,$I$1:I1799,$I1799,$J$1:J1799,$J1799,$K$1:K1799,K1799,$L$1:L1799,L1799))=2,"0"&amp;COUNTIFS($H$1:H1799,$H1799,$I$1:I1799,$I1799,$J$1:J1799,$J1799,$K$1:K1799,K1799,$L$1:L1799,L1799),COUNTIFS($H$1:H1799,$H1799,$I$1:I1799,$I1799,$J$1:J1799,$J1799,$K$1:K1799,K1799,$L$1:L1799,L1799)))</f>
        <v>084</v>
      </c>
      <c r="N179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799" s="14" t="e">
        <f>+LEN(Table4[[#This Row],[New Item Code]])</f>
        <v>#N/A</v>
      </c>
      <c r="P1799" s="15" t="s">
        <v>4747</v>
      </c>
      <c r="Q1799" s="15" t="s">
        <v>4749</v>
      </c>
      <c r="R1799" s="15"/>
      <c r="S1799" s="15"/>
      <c r="T1799" s="15" t="s">
        <v>4753</v>
      </c>
    </row>
    <row r="1800" spans="1:20" x14ac:dyDescent="0.35">
      <c r="A1800" s="2" t="s">
        <v>3564</v>
      </c>
      <c r="B1800" s="2" t="s">
        <v>3565</v>
      </c>
      <c r="C1800" s="2" t="s">
        <v>56</v>
      </c>
      <c r="D1800" s="2">
        <v>285</v>
      </c>
      <c r="E1800" s="2" t="s">
        <v>10</v>
      </c>
      <c r="F1800" s="2">
        <v>1</v>
      </c>
      <c r="G1800" s="22">
        <f>Table4[[#This Row],[Item Cost]]*Table4[[#This Row],[In Stock]]</f>
        <v>285</v>
      </c>
      <c r="H1800" s="12" t="s">
        <v>4661</v>
      </c>
      <c r="I1800" s="13" t="s">
        <v>4668</v>
      </c>
      <c r="J1800" s="13" t="s">
        <v>4753</v>
      </c>
      <c r="K1800" s="13" t="s">
        <v>4672</v>
      </c>
      <c r="L1800" s="12" t="s">
        <v>4672</v>
      </c>
      <c r="M1800" s="17" t="str">
        <f>IF(LEN(COUNTIFS($H$1:H1800,$H1800,$I$1:I1800,$I1800,$J$1:J1800,$J1800,$K$1:K1800,K1800,$L$1:L1800,L1800))=1,"00"&amp;COUNTIFS($H$1:H1800,$H1800,$I$1:I1800,$I1800,$J$1:J1800,$J1800,$K$1:K1800,K1800,$L$1:L1800,L1800),IF(LEN(COUNTIFS($H$1:H1800,$H1800,$I$1:I1800,$I1800,$J$1:J1800,$J1800,$K$1:K1800,K1800,$L$1:L1800,L1800))=2,"0"&amp;COUNTIFS($H$1:H1800,$H1800,$I$1:I1800,$I1800,$J$1:J1800,$J1800,$K$1:K1800,K1800,$L$1:L1800,L1800),COUNTIFS($H$1:H1800,$H1800,$I$1:I1800,$I1800,$J$1:J1800,$J1800,$K$1:K1800,K1800,$L$1:L1800,L1800)))</f>
        <v>085</v>
      </c>
      <c r="N180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00" s="14" t="e">
        <f>+LEN(Table4[[#This Row],[New Item Code]])</f>
        <v>#N/A</v>
      </c>
      <c r="P1800" s="15" t="s">
        <v>4747</v>
      </c>
      <c r="Q1800" s="15" t="s">
        <v>4749</v>
      </c>
      <c r="R1800" s="15"/>
      <c r="S1800" s="15"/>
      <c r="T1800" s="15" t="s">
        <v>4753</v>
      </c>
    </row>
    <row r="1801" spans="1:20" x14ac:dyDescent="0.35">
      <c r="A1801" s="3" t="s">
        <v>3566</v>
      </c>
      <c r="B1801" s="3" t="s">
        <v>3567</v>
      </c>
      <c r="C1801" s="3" t="s">
        <v>15</v>
      </c>
      <c r="D1801" s="3">
        <v>56</v>
      </c>
      <c r="E1801" s="3" t="s">
        <v>10</v>
      </c>
      <c r="F1801" s="3">
        <v>5</v>
      </c>
      <c r="G1801" s="21">
        <f>Table4[[#This Row],[Item Cost]]*Table4[[#This Row],[In Stock]]</f>
        <v>280</v>
      </c>
      <c r="H1801" s="12" t="s">
        <v>4661</v>
      </c>
      <c r="I1801" s="13" t="s">
        <v>4666</v>
      </c>
      <c r="J1801" s="13" t="s">
        <v>4753</v>
      </c>
      <c r="K1801" s="13" t="s">
        <v>4672</v>
      </c>
      <c r="L1801" s="12" t="s">
        <v>4672</v>
      </c>
      <c r="M1801" s="17" t="str">
        <f>IF(LEN(COUNTIFS($H$1:H1801,$H1801,$I$1:I1801,$I1801,$J$1:J1801,$J1801,$K$1:K1801,K1801,$L$1:L1801,L1801))=1,"00"&amp;COUNTIFS($H$1:H1801,$H1801,$I$1:I1801,$I1801,$J$1:J1801,$J1801,$K$1:K1801,K1801,$L$1:L1801,L1801),IF(LEN(COUNTIFS($H$1:H1801,$H1801,$I$1:I1801,$I1801,$J$1:J1801,$J1801,$K$1:K1801,K1801,$L$1:L1801,L1801))=2,"0"&amp;COUNTIFS($H$1:H1801,$H1801,$I$1:I1801,$I1801,$J$1:J1801,$J1801,$K$1:K1801,K1801,$L$1:L1801,L1801),COUNTIFS($H$1:H1801,$H1801,$I$1:I1801,$I1801,$J$1:J1801,$J1801,$K$1:K1801,K1801,$L$1:L1801,L1801)))</f>
        <v>025</v>
      </c>
      <c r="N180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01" s="14" t="e">
        <f>+LEN(Table4[[#This Row],[New Item Code]])</f>
        <v>#N/A</v>
      </c>
      <c r="P1801" s="15" t="s">
        <v>4747</v>
      </c>
      <c r="Q1801" s="15" t="s">
        <v>4749</v>
      </c>
      <c r="R1801" s="15"/>
      <c r="S1801" s="15"/>
      <c r="T1801" s="15" t="s">
        <v>4753</v>
      </c>
    </row>
    <row r="1802" spans="1:20" x14ac:dyDescent="0.35">
      <c r="A1802" s="2" t="s">
        <v>3568</v>
      </c>
      <c r="B1802" s="2" t="s">
        <v>3569</v>
      </c>
      <c r="C1802" s="2" t="s">
        <v>15</v>
      </c>
      <c r="D1802" s="2">
        <v>0</v>
      </c>
      <c r="E1802" s="2" t="s">
        <v>10</v>
      </c>
      <c r="F1802" s="2">
        <v>0</v>
      </c>
      <c r="G1802" s="22">
        <f>Table4[[#This Row],[Item Cost]]*Table4[[#This Row],[In Stock]]</f>
        <v>0</v>
      </c>
      <c r="H1802" s="12" t="s">
        <v>4661</v>
      </c>
      <c r="I1802" s="13" t="s">
        <v>4666</v>
      </c>
      <c r="J1802" s="13" t="s">
        <v>4753</v>
      </c>
      <c r="K1802" s="13" t="s">
        <v>4672</v>
      </c>
      <c r="L1802" s="12" t="s">
        <v>4672</v>
      </c>
      <c r="M1802" s="17" t="str">
        <f>IF(LEN(COUNTIFS($H$1:H1802,$H1802,$I$1:I1802,$I1802,$J$1:J1802,$J1802,$K$1:K1802,K1802,$L$1:L1802,L1802))=1,"00"&amp;COUNTIFS($H$1:H1802,$H1802,$I$1:I1802,$I1802,$J$1:J1802,$J1802,$K$1:K1802,K1802,$L$1:L1802,L1802),IF(LEN(COUNTIFS($H$1:H1802,$H1802,$I$1:I1802,$I1802,$J$1:J1802,$J1802,$K$1:K1802,K1802,$L$1:L1802,L1802))=2,"0"&amp;COUNTIFS($H$1:H1802,$H1802,$I$1:I1802,$I1802,$J$1:J1802,$J1802,$K$1:K1802,K1802,$L$1:L1802,L1802),COUNTIFS($H$1:H1802,$H1802,$I$1:I1802,$I1802,$J$1:J1802,$J1802,$K$1:K1802,K1802,$L$1:L1802,L1802)))</f>
        <v>026</v>
      </c>
      <c r="N180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02" s="14" t="e">
        <f>+LEN(Table4[[#This Row],[New Item Code]])</f>
        <v>#N/A</v>
      </c>
      <c r="P1802" s="15" t="s">
        <v>4747</v>
      </c>
      <c r="Q1802" s="15" t="s">
        <v>4749</v>
      </c>
      <c r="R1802" s="15"/>
      <c r="S1802" s="15"/>
      <c r="T1802" s="15" t="s">
        <v>4753</v>
      </c>
    </row>
    <row r="1803" spans="1:20" x14ac:dyDescent="0.35">
      <c r="A1803" s="3" t="s">
        <v>3570</v>
      </c>
      <c r="B1803" s="3" t="s">
        <v>3571</v>
      </c>
      <c r="C1803" s="3" t="s">
        <v>15</v>
      </c>
      <c r="D1803" s="3">
        <v>149</v>
      </c>
      <c r="E1803" s="3" t="s">
        <v>10</v>
      </c>
      <c r="F1803" s="3">
        <v>0</v>
      </c>
      <c r="G1803" s="21">
        <f>Table4[[#This Row],[Item Cost]]*Table4[[#This Row],[In Stock]]</f>
        <v>0</v>
      </c>
      <c r="H1803" s="12" t="s">
        <v>4661</v>
      </c>
      <c r="I1803" s="13" t="s">
        <v>4666</v>
      </c>
      <c r="J1803" s="13" t="s">
        <v>4753</v>
      </c>
      <c r="K1803" s="13" t="s">
        <v>4672</v>
      </c>
      <c r="L1803" s="12" t="s">
        <v>4672</v>
      </c>
      <c r="M1803" s="17" t="str">
        <f>IF(LEN(COUNTIFS($H$1:H1803,$H1803,$I$1:I1803,$I1803,$J$1:J1803,$J1803,$K$1:K1803,K1803,$L$1:L1803,L1803))=1,"00"&amp;COUNTIFS($H$1:H1803,$H1803,$I$1:I1803,$I1803,$J$1:J1803,$J1803,$K$1:K1803,K1803,$L$1:L1803,L1803),IF(LEN(COUNTIFS($H$1:H1803,$H1803,$I$1:I1803,$I1803,$J$1:J1803,$J1803,$K$1:K1803,K1803,$L$1:L1803,L1803))=2,"0"&amp;COUNTIFS($H$1:H1803,$H1803,$I$1:I1803,$I1803,$J$1:J1803,$J1803,$K$1:K1803,K1803,$L$1:L1803,L1803),COUNTIFS($H$1:H1803,$H1803,$I$1:I1803,$I1803,$J$1:J1803,$J1803,$K$1:K1803,K1803,$L$1:L1803,L1803)))</f>
        <v>027</v>
      </c>
      <c r="N180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03" s="14" t="e">
        <f>+LEN(Table4[[#This Row],[New Item Code]])</f>
        <v>#N/A</v>
      </c>
      <c r="P1803" s="15" t="s">
        <v>4747</v>
      </c>
      <c r="Q1803" s="15" t="s">
        <v>4749</v>
      </c>
      <c r="R1803" s="15"/>
      <c r="S1803" s="15"/>
      <c r="T1803" s="15" t="s">
        <v>4753</v>
      </c>
    </row>
    <row r="1804" spans="1:20" x14ac:dyDescent="0.35">
      <c r="A1804" s="2" t="s">
        <v>3572</v>
      </c>
      <c r="B1804" s="2" t="s">
        <v>3573</v>
      </c>
      <c r="C1804" s="2" t="s">
        <v>15</v>
      </c>
      <c r="D1804" s="2">
        <v>120</v>
      </c>
      <c r="E1804" s="2" t="s">
        <v>10</v>
      </c>
      <c r="F1804" s="2">
        <v>4</v>
      </c>
      <c r="G1804" s="22">
        <f>Table4[[#This Row],[Item Cost]]*Table4[[#This Row],[In Stock]]</f>
        <v>480</v>
      </c>
      <c r="H1804" s="12" t="s">
        <v>4661</v>
      </c>
      <c r="I1804" s="13" t="s">
        <v>4666</v>
      </c>
      <c r="J1804" s="13" t="s">
        <v>4753</v>
      </c>
      <c r="K1804" s="13" t="s">
        <v>4672</v>
      </c>
      <c r="L1804" s="12" t="s">
        <v>4672</v>
      </c>
      <c r="M1804" s="17" t="str">
        <f>IF(LEN(COUNTIFS($H$1:H1804,$H1804,$I$1:I1804,$I1804,$J$1:J1804,$J1804,$K$1:K1804,K1804,$L$1:L1804,L1804))=1,"00"&amp;COUNTIFS($H$1:H1804,$H1804,$I$1:I1804,$I1804,$J$1:J1804,$J1804,$K$1:K1804,K1804,$L$1:L1804,L1804),IF(LEN(COUNTIFS($H$1:H1804,$H1804,$I$1:I1804,$I1804,$J$1:J1804,$J1804,$K$1:K1804,K1804,$L$1:L1804,L1804))=2,"0"&amp;COUNTIFS($H$1:H1804,$H1804,$I$1:I1804,$I1804,$J$1:J1804,$J1804,$K$1:K1804,K1804,$L$1:L1804,L1804),COUNTIFS($H$1:H1804,$H1804,$I$1:I1804,$I1804,$J$1:J1804,$J1804,$K$1:K1804,K1804,$L$1:L1804,L1804)))</f>
        <v>028</v>
      </c>
      <c r="N180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04" s="14" t="e">
        <f>+LEN(Table4[[#This Row],[New Item Code]])</f>
        <v>#N/A</v>
      </c>
      <c r="P1804" s="15" t="s">
        <v>4747</v>
      </c>
      <c r="Q1804" s="15" t="s">
        <v>4749</v>
      </c>
      <c r="R1804" s="15"/>
      <c r="S1804" s="15"/>
      <c r="T1804" s="15" t="s">
        <v>4753</v>
      </c>
    </row>
    <row r="1805" spans="1:20" x14ac:dyDescent="0.35">
      <c r="A1805" s="3" t="s">
        <v>3574</v>
      </c>
      <c r="B1805" s="3" t="s">
        <v>3575</v>
      </c>
      <c r="C1805" s="3" t="s">
        <v>15</v>
      </c>
      <c r="D1805" s="3">
        <v>586</v>
      </c>
      <c r="E1805" s="3" t="s">
        <v>10</v>
      </c>
      <c r="F1805" s="3">
        <v>0</v>
      </c>
      <c r="G1805" s="21">
        <f>Table4[[#This Row],[Item Cost]]*Table4[[#This Row],[In Stock]]</f>
        <v>0</v>
      </c>
      <c r="H1805" s="12" t="s">
        <v>4661</v>
      </c>
      <c r="I1805" s="13" t="s">
        <v>4666</v>
      </c>
      <c r="J1805" s="13" t="s">
        <v>4753</v>
      </c>
      <c r="K1805" s="13" t="s">
        <v>4672</v>
      </c>
      <c r="L1805" s="12" t="s">
        <v>4672</v>
      </c>
      <c r="M1805" s="17" t="str">
        <f>IF(LEN(COUNTIFS($H$1:H1805,$H1805,$I$1:I1805,$I1805,$J$1:J1805,$J1805,$K$1:K1805,K1805,$L$1:L1805,L1805))=1,"00"&amp;COUNTIFS($H$1:H1805,$H1805,$I$1:I1805,$I1805,$J$1:J1805,$J1805,$K$1:K1805,K1805,$L$1:L1805,L1805),IF(LEN(COUNTIFS($H$1:H1805,$H1805,$I$1:I1805,$I1805,$J$1:J1805,$J1805,$K$1:K1805,K1805,$L$1:L1805,L1805))=2,"0"&amp;COUNTIFS($H$1:H1805,$H1805,$I$1:I1805,$I1805,$J$1:J1805,$J1805,$K$1:K1805,K1805,$L$1:L1805,L1805),COUNTIFS($H$1:H1805,$H1805,$I$1:I1805,$I1805,$J$1:J1805,$J1805,$K$1:K1805,K1805,$L$1:L1805,L1805)))</f>
        <v>029</v>
      </c>
      <c r="N180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05" s="14" t="e">
        <f>+LEN(Table4[[#This Row],[New Item Code]])</f>
        <v>#N/A</v>
      </c>
      <c r="P1805" s="15" t="s">
        <v>4747</v>
      </c>
      <c r="Q1805" s="15" t="s">
        <v>4749</v>
      </c>
      <c r="R1805" s="15"/>
      <c r="S1805" s="15"/>
      <c r="T1805" s="15" t="s">
        <v>4753</v>
      </c>
    </row>
    <row r="1806" spans="1:20" x14ac:dyDescent="0.35">
      <c r="A1806" s="2" t="s">
        <v>3576</v>
      </c>
      <c r="B1806" s="2" t="s">
        <v>3577</v>
      </c>
      <c r="C1806" s="2" t="s">
        <v>15</v>
      </c>
      <c r="D1806" s="2">
        <v>290</v>
      </c>
      <c r="E1806" s="2" t="s">
        <v>10</v>
      </c>
      <c r="F1806" s="2">
        <v>4</v>
      </c>
      <c r="G1806" s="22">
        <f>Table4[[#This Row],[Item Cost]]*Table4[[#This Row],[In Stock]]</f>
        <v>1160</v>
      </c>
      <c r="H1806" s="12" t="s">
        <v>4661</v>
      </c>
      <c r="I1806" s="13" t="s">
        <v>4666</v>
      </c>
      <c r="J1806" s="13" t="s">
        <v>4753</v>
      </c>
      <c r="K1806" s="13" t="s">
        <v>4672</v>
      </c>
      <c r="L1806" s="12" t="s">
        <v>4672</v>
      </c>
      <c r="M1806" s="17" t="str">
        <f>IF(LEN(COUNTIFS($H$1:H1806,$H1806,$I$1:I1806,$I1806,$J$1:J1806,$J1806,$K$1:K1806,K1806,$L$1:L1806,L1806))=1,"00"&amp;COUNTIFS($H$1:H1806,$H1806,$I$1:I1806,$I1806,$J$1:J1806,$J1806,$K$1:K1806,K1806,$L$1:L1806,L1806),IF(LEN(COUNTIFS($H$1:H1806,$H1806,$I$1:I1806,$I1806,$J$1:J1806,$J1806,$K$1:K1806,K1806,$L$1:L1806,L1806))=2,"0"&amp;COUNTIFS($H$1:H1806,$H1806,$I$1:I1806,$I1806,$J$1:J1806,$J1806,$K$1:K1806,K1806,$L$1:L1806,L1806),COUNTIFS($H$1:H1806,$H1806,$I$1:I1806,$I1806,$J$1:J1806,$J1806,$K$1:K1806,K1806,$L$1:L1806,L1806)))</f>
        <v>030</v>
      </c>
      <c r="N180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06" s="14" t="e">
        <f>+LEN(Table4[[#This Row],[New Item Code]])</f>
        <v>#N/A</v>
      </c>
      <c r="P1806" s="15" t="s">
        <v>4747</v>
      </c>
      <c r="Q1806" s="15" t="s">
        <v>4749</v>
      </c>
      <c r="R1806" s="15"/>
      <c r="S1806" s="15"/>
      <c r="T1806" s="15" t="s">
        <v>4753</v>
      </c>
    </row>
    <row r="1807" spans="1:20" x14ac:dyDescent="0.35">
      <c r="A1807" s="3" t="s">
        <v>3578</v>
      </c>
      <c r="B1807" s="3" t="s">
        <v>3579</v>
      </c>
      <c r="C1807" s="3" t="s">
        <v>15</v>
      </c>
      <c r="D1807" s="5">
        <v>1610</v>
      </c>
      <c r="E1807" s="3" t="s">
        <v>10</v>
      </c>
      <c r="F1807" s="3">
        <v>0</v>
      </c>
      <c r="G1807" s="21">
        <f>Table4[[#This Row],[Item Cost]]*Table4[[#This Row],[In Stock]]</f>
        <v>0</v>
      </c>
      <c r="H1807" s="12" t="s">
        <v>4661</v>
      </c>
      <c r="I1807" s="13" t="s">
        <v>4666</v>
      </c>
      <c r="J1807" s="13" t="s">
        <v>4753</v>
      </c>
      <c r="K1807" s="13" t="s">
        <v>4672</v>
      </c>
      <c r="L1807" s="12" t="s">
        <v>4672</v>
      </c>
      <c r="M1807" s="17" t="str">
        <f>IF(LEN(COUNTIFS($H$1:H1807,$H1807,$I$1:I1807,$I1807,$J$1:J1807,$J1807,$K$1:K1807,K1807,$L$1:L1807,L1807))=1,"00"&amp;COUNTIFS($H$1:H1807,$H1807,$I$1:I1807,$I1807,$J$1:J1807,$J1807,$K$1:K1807,K1807,$L$1:L1807,L1807),IF(LEN(COUNTIFS($H$1:H1807,$H1807,$I$1:I1807,$I1807,$J$1:J1807,$J1807,$K$1:K1807,K1807,$L$1:L1807,L1807))=2,"0"&amp;COUNTIFS($H$1:H1807,$H1807,$I$1:I1807,$I1807,$J$1:J1807,$J1807,$K$1:K1807,K1807,$L$1:L1807,L1807),COUNTIFS($H$1:H1807,$H1807,$I$1:I1807,$I1807,$J$1:J1807,$J1807,$K$1:K1807,K1807,$L$1:L1807,L1807)))</f>
        <v>031</v>
      </c>
      <c r="N180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07" s="14" t="e">
        <f>+LEN(Table4[[#This Row],[New Item Code]])</f>
        <v>#N/A</v>
      </c>
      <c r="P1807" s="15" t="s">
        <v>4747</v>
      </c>
      <c r="Q1807" s="15" t="s">
        <v>4749</v>
      </c>
      <c r="R1807" s="15"/>
      <c r="S1807" s="15"/>
      <c r="T1807" s="15" t="s">
        <v>4753</v>
      </c>
    </row>
    <row r="1808" spans="1:20" x14ac:dyDescent="0.35">
      <c r="A1808" s="2" t="s">
        <v>3580</v>
      </c>
      <c r="B1808" s="2" t="s">
        <v>3581</v>
      </c>
      <c r="C1808" s="2" t="s">
        <v>15</v>
      </c>
      <c r="D1808" s="2">
        <v>174</v>
      </c>
      <c r="E1808" s="2" t="s">
        <v>10</v>
      </c>
      <c r="F1808" s="2">
        <v>0</v>
      </c>
      <c r="G1808" s="22">
        <f>Table4[[#This Row],[Item Cost]]*Table4[[#This Row],[In Stock]]</f>
        <v>0</v>
      </c>
      <c r="H1808" s="12" t="s">
        <v>4661</v>
      </c>
      <c r="I1808" s="13" t="s">
        <v>4666</v>
      </c>
      <c r="J1808" s="13" t="s">
        <v>4753</v>
      </c>
      <c r="K1808" s="13" t="s">
        <v>4672</v>
      </c>
      <c r="L1808" s="12" t="s">
        <v>4672</v>
      </c>
      <c r="M1808" s="17" t="str">
        <f>IF(LEN(COUNTIFS($H$1:H1808,$H1808,$I$1:I1808,$I1808,$J$1:J1808,$J1808,$K$1:K1808,K1808,$L$1:L1808,L1808))=1,"00"&amp;COUNTIFS($H$1:H1808,$H1808,$I$1:I1808,$I1808,$J$1:J1808,$J1808,$K$1:K1808,K1808,$L$1:L1808,L1808),IF(LEN(COUNTIFS($H$1:H1808,$H1808,$I$1:I1808,$I1808,$J$1:J1808,$J1808,$K$1:K1808,K1808,$L$1:L1808,L1808))=2,"0"&amp;COUNTIFS($H$1:H1808,$H1808,$I$1:I1808,$I1808,$J$1:J1808,$J1808,$K$1:K1808,K1808,$L$1:L1808,L1808),COUNTIFS($H$1:H1808,$H1808,$I$1:I1808,$I1808,$J$1:J1808,$J1808,$K$1:K1808,K1808,$L$1:L1808,L1808)))</f>
        <v>032</v>
      </c>
      <c r="N180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08" s="14" t="e">
        <f>+LEN(Table4[[#This Row],[New Item Code]])</f>
        <v>#N/A</v>
      </c>
      <c r="P1808" s="15" t="s">
        <v>4747</v>
      </c>
      <c r="Q1808" s="15" t="s">
        <v>4749</v>
      </c>
      <c r="R1808" s="15"/>
      <c r="S1808" s="15"/>
      <c r="T1808" s="15" t="s">
        <v>4753</v>
      </c>
    </row>
    <row r="1809" spans="1:20" x14ac:dyDescent="0.35">
      <c r="A1809" s="3" t="s">
        <v>3582</v>
      </c>
      <c r="B1809" s="3" t="s">
        <v>3583</v>
      </c>
      <c r="C1809" s="3" t="s">
        <v>15</v>
      </c>
      <c r="D1809" s="3">
        <v>443</v>
      </c>
      <c r="E1809" s="3" t="s">
        <v>10</v>
      </c>
      <c r="F1809" s="3">
        <v>1</v>
      </c>
      <c r="G1809" s="21">
        <f>Table4[[#This Row],[Item Cost]]*Table4[[#This Row],[In Stock]]</f>
        <v>443</v>
      </c>
      <c r="H1809" s="12" t="s">
        <v>4661</v>
      </c>
      <c r="I1809" s="13" t="s">
        <v>4666</v>
      </c>
      <c r="J1809" s="13" t="s">
        <v>4753</v>
      </c>
      <c r="K1809" s="13" t="s">
        <v>4672</v>
      </c>
      <c r="L1809" s="12" t="s">
        <v>4672</v>
      </c>
      <c r="M1809" s="17" t="str">
        <f>IF(LEN(COUNTIFS($H$1:H1809,$H1809,$I$1:I1809,$I1809,$J$1:J1809,$J1809,$K$1:K1809,K1809,$L$1:L1809,L1809))=1,"00"&amp;COUNTIFS($H$1:H1809,$H1809,$I$1:I1809,$I1809,$J$1:J1809,$J1809,$K$1:K1809,K1809,$L$1:L1809,L1809),IF(LEN(COUNTIFS($H$1:H1809,$H1809,$I$1:I1809,$I1809,$J$1:J1809,$J1809,$K$1:K1809,K1809,$L$1:L1809,L1809))=2,"0"&amp;COUNTIFS($H$1:H1809,$H1809,$I$1:I1809,$I1809,$J$1:J1809,$J1809,$K$1:K1809,K1809,$L$1:L1809,L1809),COUNTIFS($H$1:H1809,$H1809,$I$1:I1809,$I1809,$J$1:J1809,$J1809,$K$1:K1809,K1809,$L$1:L1809,L1809)))</f>
        <v>033</v>
      </c>
      <c r="N180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09" s="14" t="e">
        <f>+LEN(Table4[[#This Row],[New Item Code]])</f>
        <v>#N/A</v>
      </c>
      <c r="P1809" s="15" t="s">
        <v>4747</v>
      </c>
      <c r="Q1809" s="15" t="s">
        <v>4749</v>
      </c>
      <c r="R1809" s="15"/>
      <c r="S1809" s="15"/>
      <c r="T1809" s="15" t="s">
        <v>4753</v>
      </c>
    </row>
    <row r="1810" spans="1:20" x14ac:dyDescent="0.35">
      <c r="A1810" s="2" t="s">
        <v>3584</v>
      </c>
      <c r="B1810" s="2" t="s">
        <v>3585</v>
      </c>
      <c r="C1810" s="2" t="s">
        <v>15</v>
      </c>
      <c r="D1810" s="2">
        <v>560</v>
      </c>
      <c r="E1810" s="2" t="s">
        <v>10</v>
      </c>
      <c r="F1810" s="2">
        <v>1</v>
      </c>
      <c r="G1810" s="22">
        <f>Table4[[#This Row],[Item Cost]]*Table4[[#This Row],[In Stock]]</f>
        <v>560</v>
      </c>
      <c r="H1810" s="12" t="s">
        <v>4661</v>
      </c>
      <c r="I1810" s="13" t="s">
        <v>4666</v>
      </c>
      <c r="J1810" s="13" t="s">
        <v>4753</v>
      </c>
      <c r="K1810" s="13" t="s">
        <v>4672</v>
      </c>
      <c r="L1810" s="12" t="s">
        <v>4672</v>
      </c>
      <c r="M1810" s="17" t="str">
        <f>IF(LEN(COUNTIFS($H$1:H1810,$H1810,$I$1:I1810,$I1810,$J$1:J1810,$J1810,$K$1:K1810,K1810,$L$1:L1810,L1810))=1,"00"&amp;COUNTIFS($H$1:H1810,$H1810,$I$1:I1810,$I1810,$J$1:J1810,$J1810,$K$1:K1810,K1810,$L$1:L1810,L1810),IF(LEN(COUNTIFS($H$1:H1810,$H1810,$I$1:I1810,$I1810,$J$1:J1810,$J1810,$K$1:K1810,K1810,$L$1:L1810,L1810))=2,"0"&amp;COUNTIFS($H$1:H1810,$H1810,$I$1:I1810,$I1810,$J$1:J1810,$J1810,$K$1:K1810,K1810,$L$1:L1810,L1810),COUNTIFS($H$1:H1810,$H1810,$I$1:I1810,$I1810,$J$1:J1810,$J1810,$K$1:K1810,K1810,$L$1:L1810,L1810)))</f>
        <v>034</v>
      </c>
      <c r="N181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10" s="14" t="e">
        <f>+LEN(Table4[[#This Row],[New Item Code]])</f>
        <v>#N/A</v>
      </c>
      <c r="P1810" s="15" t="s">
        <v>4747</v>
      </c>
      <c r="Q1810" s="15" t="s">
        <v>4749</v>
      </c>
      <c r="R1810" s="15"/>
      <c r="S1810" s="15"/>
      <c r="T1810" s="15" t="s">
        <v>4753</v>
      </c>
    </row>
    <row r="1811" spans="1:20" x14ac:dyDescent="0.35">
      <c r="A1811" s="3" t="s">
        <v>3586</v>
      </c>
      <c r="B1811" s="3" t="s">
        <v>3587</v>
      </c>
      <c r="C1811" s="3" t="s">
        <v>15</v>
      </c>
      <c r="D1811" s="3">
        <v>427</v>
      </c>
      <c r="E1811" s="3" t="s">
        <v>10</v>
      </c>
      <c r="F1811" s="3">
        <v>1</v>
      </c>
      <c r="G1811" s="21">
        <f>Table4[[#This Row],[Item Cost]]*Table4[[#This Row],[In Stock]]</f>
        <v>427</v>
      </c>
      <c r="H1811" s="12" t="s">
        <v>4661</v>
      </c>
      <c r="I1811" s="13" t="s">
        <v>4666</v>
      </c>
      <c r="J1811" s="13" t="s">
        <v>4753</v>
      </c>
      <c r="K1811" s="13" t="s">
        <v>4672</v>
      </c>
      <c r="L1811" s="12" t="s">
        <v>4672</v>
      </c>
      <c r="M1811" s="17" t="str">
        <f>IF(LEN(COUNTIFS($H$1:H1811,$H1811,$I$1:I1811,$I1811,$J$1:J1811,$J1811,$K$1:K1811,K1811,$L$1:L1811,L1811))=1,"00"&amp;COUNTIFS($H$1:H1811,$H1811,$I$1:I1811,$I1811,$J$1:J1811,$J1811,$K$1:K1811,K1811,$L$1:L1811,L1811),IF(LEN(COUNTIFS($H$1:H1811,$H1811,$I$1:I1811,$I1811,$J$1:J1811,$J1811,$K$1:K1811,K1811,$L$1:L1811,L1811))=2,"0"&amp;COUNTIFS($H$1:H1811,$H1811,$I$1:I1811,$I1811,$J$1:J1811,$J1811,$K$1:K1811,K1811,$L$1:L1811,L1811),COUNTIFS($H$1:H1811,$H1811,$I$1:I1811,$I1811,$J$1:J1811,$J1811,$K$1:K1811,K1811,$L$1:L1811,L1811)))</f>
        <v>035</v>
      </c>
      <c r="N181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11" s="14" t="e">
        <f>+LEN(Table4[[#This Row],[New Item Code]])</f>
        <v>#N/A</v>
      </c>
      <c r="P1811" s="15" t="s">
        <v>4747</v>
      </c>
      <c r="Q1811" s="15" t="s">
        <v>4749</v>
      </c>
      <c r="R1811" s="15"/>
      <c r="S1811" s="15"/>
      <c r="T1811" s="15" t="s">
        <v>4753</v>
      </c>
    </row>
    <row r="1812" spans="1:20" x14ac:dyDescent="0.35">
      <c r="A1812" s="2" t="s">
        <v>3588</v>
      </c>
      <c r="B1812" s="2" t="s">
        <v>3589</v>
      </c>
      <c r="C1812" s="2" t="s">
        <v>15</v>
      </c>
      <c r="D1812" s="2">
        <v>395</v>
      </c>
      <c r="E1812" s="2" t="s">
        <v>10</v>
      </c>
      <c r="F1812" s="2">
        <v>0</v>
      </c>
      <c r="G1812" s="22">
        <f>Table4[[#This Row],[Item Cost]]*Table4[[#This Row],[In Stock]]</f>
        <v>0</v>
      </c>
      <c r="H1812" s="12" t="s">
        <v>4661</v>
      </c>
      <c r="I1812" s="13" t="s">
        <v>4666</v>
      </c>
      <c r="J1812" s="13" t="s">
        <v>4753</v>
      </c>
      <c r="K1812" s="13" t="s">
        <v>4672</v>
      </c>
      <c r="L1812" s="12" t="s">
        <v>4672</v>
      </c>
      <c r="M1812" s="17" t="str">
        <f>IF(LEN(COUNTIFS($H$1:H1812,$H1812,$I$1:I1812,$I1812,$J$1:J1812,$J1812,$K$1:K1812,K1812,$L$1:L1812,L1812))=1,"00"&amp;COUNTIFS($H$1:H1812,$H1812,$I$1:I1812,$I1812,$J$1:J1812,$J1812,$K$1:K1812,K1812,$L$1:L1812,L1812),IF(LEN(COUNTIFS($H$1:H1812,$H1812,$I$1:I1812,$I1812,$J$1:J1812,$J1812,$K$1:K1812,K1812,$L$1:L1812,L1812))=2,"0"&amp;COUNTIFS($H$1:H1812,$H1812,$I$1:I1812,$I1812,$J$1:J1812,$J1812,$K$1:K1812,K1812,$L$1:L1812,L1812),COUNTIFS($H$1:H1812,$H1812,$I$1:I1812,$I1812,$J$1:J1812,$J1812,$K$1:K1812,K1812,$L$1:L1812,L1812)))</f>
        <v>036</v>
      </c>
      <c r="N181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12" s="14" t="e">
        <f>+LEN(Table4[[#This Row],[New Item Code]])</f>
        <v>#N/A</v>
      </c>
      <c r="P1812" s="15" t="s">
        <v>4747</v>
      </c>
      <c r="Q1812" s="15" t="s">
        <v>4749</v>
      </c>
      <c r="R1812" s="15"/>
      <c r="S1812" s="15"/>
      <c r="T1812" s="15" t="s">
        <v>4753</v>
      </c>
    </row>
    <row r="1813" spans="1:20" x14ac:dyDescent="0.35">
      <c r="A1813" s="3" t="s">
        <v>3590</v>
      </c>
      <c r="B1813" s="3" t="s">
        <v>3591</v>
      </c>
      <c r="C1813" s="3" t="s">
        <v>15</v>
      </c>
      <c r="D1813" s="3">
        <v>403</v>
      </c>
      <c r="E1813" s="3" t="s">
        <v>10</v>
      </c>
      <c r="F1813" s="3">
        <v>1</v>
      </c>
      <c r="G1813" s="21">
        <f>Table4[[#This Row],[Item Cost]]*Table4[[#This Row],[In Stock]]</f>
        <v>403</v>
      </c>
      <c r="H1813" s="12" t="s">
        <v>4661</v>
      </c>
      <c r="I1813" s="13" t="s">
        <v>4666</v>
      </c>
      <c r="J1813" s="13" t="s">
        <v>4753</v>
      </c>
      <c r="K1813" s="13" t="s">
        <v>4672</v>
      </c>
      <c r="L1813" s="12" t="s">
        <v>4672</v>
      </c>
      <c r="M1813" s="17" t="str">
        <f>IF(LEN(COUNTIFS($H$1:H1813,$H1813,$I$1:I1813,$I1813,$J$1:J1813,$J1813,$K$1:K1813,K1813,$L$1:L1813,L1813))=1,"00"&amp;COUNTIFS($H$1:H1813,$H1813,$I$1:I1813,$I1813,$J$1:J1813,$J1813,$K$1:K1813,K1813,$L$1:L1813,L1813),IF(LEN(COUNTIFS($H$1:H1813,$H1813,$I$1:I1813,$I1813,$J$1:J1813,$J1813,$K$1:K1813,K1813,$L$1:L1813,L1813))=2,"0"&amp;COUNTIFS($H$1:H1813,$H1813,$I$1:I1813,$I1813,$J$1:J1813,$J1813,$K$1:K1813,K1813,$L$1:L1813,L1813),COUNTIFS($H$1:H1813,$H1813,$I$1:I1813,$I1813,$J$1:J1813,$J1813,$K$1:K1813,K1813,$L$1:L1813,L1813)))</f>
        <v>037</v>
      </c>
      <c r="N181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13" s="14" t="e">
        <f>+LEN(Table4[[#This Row],[New Item Code]])</f>
        <v>#N/A</v>
      </c>
      <c r="P1813" s="15" t="s">
        <v>4747</v>
      </c>
      <c r="Q1813" s="15" t="s">
        <v>4749</v>
      </c>
      <c r="R1813" s="15"/>
      <c r="S1813" s="15"/>
      <c r="T1813" s="15" t="s">
        <v>4753</v>
      </c>
    </row>
    <row r="1814" spans="1:20" x14ac:dyDescent="0.35">
      <c r="A1814" s="2" t="s">
        <v>3592</v>
      </c>
      <c r="B1814" s="2" t="s">
        <v>3593</v>
      </c>
      <c r="C1814" s="2" t="s">
        <v>15</v>
      </c>
      <c r="D1814" s="2">
        <v>249.38800000000001</v>
      </c>
      <c r="E1814" s="2" t="s">
        <v>10</v>
      </c>
      <c r="F1814" s="2">
        <v>4</v>
      </c>
      <c r="G1814" s="22">
        <f>Table4[[#This Row],[Item Cost]]*Table4[[#This Row],[In Stock]]</f>
        <v>997.55200000000002</v>
      </c>
      <c r="H1814" s="12" t="s">
        <v>4661</v>
      </c>
      <c r="I1814" s="13" t="s">
        <v>4666</v>
      </c>
      <c r="J1814" s="13" t="s">
        <v>4753</v>
      </c>
      <c r="K1814" s="13" t="s">
        <v>4672</v>
      </c>
      <c r="L1814" s="12" t="s">
        <v>4672</v>
      </c>
      <c r="M1814" s="17" t="str">
        <f>IF(LEN(COUNTIFS($H$1:H1814,$H1814,$I$1:I1814,$I1814,$J$1:J1814,$J1814,$K$1:K1814,K1814,$L$1:L1814,L1814))=1,"00"&amp;COUNTIFS($H$1:H1814,$H1814,$I$1:I1814,$I1814,$J$1:J1814,$J1814,$K$1:K1814,K1814,$L$1:L1814,L1814),IF(LEN(COUNTIFS($H$1:H1814,$H1814,$I$1:I1814,$I1814,$J$1:J1814,$J1814,$K$1:K1814,K1814,$L$1:L1814,L1814))=2,"0"&amp;COUNTIFS($H$1:H1814,$H1814,$I$1:I1814,$I1814,$J$1:J1814,$J1814,$K$1:K1814,K1814,$L$1:L1814,L1814),COUNTIFS($H$1:H1814,$H1814,$I$1:I1814,$I1814,$J$1:J1814,$J1814,$K$1:K1814,K1814,$L$1:L1814,L1814)))</f>
        <v>038</v>
      </c>
      <c r="N181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14" s="14" t="e">
        <f>+LEN(Table4[[#This Row],[New Item Code]])</f>
        <v>#N/A</v>
      </c>
      <c r="P1814" s="15" t="s">
        <v>4747</v>
      </c>
      <c r="Q1814" s="15" t="s">
        <v>4749</v>
      </c>
      <c r="R1814" s="15"/>
      <c r="S1814" s="15"/>
      <c r="T1814" s="15" t="s">
        <v>4753</v>
      </c>
    </row>
    <row r="1815" spans="1:20" x14ac:dyDescent="0.35">
      <c r="A1815" s="3" t="s">
        <v>3594</v>
      </c>
      <c r="B1815" s="3" t="s">
        <v>3595</v>
      </c>
      <c r="C1815" s="3" t="s">
        <v>15</v>
      </c>
      <c r="D1815" s="3">
        <v>508</v>
      </c>
      <c r="E1815" s="3" t="s">
        <v>10</v>
      </c>
      <c r="F1815" s="3">
        <v>1</v>
      </c>
      <c r="G1815" s="21">
        <f>Table4[[#This Row],[Item Cost]]*Table4[[#This Row],[In Stock]]</f>
        <v>508</v>
      </c>
      <c r="H1815" s="12" t="s">
        <v>4661</v>
      </c>
      <c r="I1815" s="13" t="s">
        <v>4666</v>
      </c>
      <c r="J1815" s="13" t="s">
        <v>4753</v>
      </c>
      <c r="K1815" s="13" t="s">
        <v>4672</v>
      </c>
      <c r="L1815" s="12" t="s">
        <v>4672</v>
      </c>
      <c r="M1815" s="17" t="str">
        <f>IF(LEN(COUNTIFS($H$1:H1815,$H1815,$I$1:I1815,$I1815,$J$1:J1815,$J1815,$K$1:K1815,K1815,$L$1:L1815,L1815))=1,"00"&amp;COUNTIFS($H$1:H1815,$H1815,$I$1:I1815,$I1815,$J$1:J1815,$J1815,$K$1:K1815,K1815,$L$1:L1815,L1815),IF(LEN(COUNTIFS($H$1:H1815,$H1815,$I$1:I1815,$I1815,$J$1:J1815,$J1815,$K$1:K1815,K1815,$L$1:L1815,L1815))=2,"0"&amp;COUNTIFS($H$1:H1815,$H1815,$I$1:I1815,$I1815,$J$1:J1815,$J1815,$K$1:K1815,K1815,$L$1:L1815,L1815),COUNTIFS($H$1:H1815,$H1815,$I$1:I1815,$I1815,$J$1:J1815,$J1815,$K$1:K1815,K1815,$L$1:L1815,L1815)))</f>
        <v>039</v>
      </c>
      <c r="N181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15" s="14" t="e">
        <f>+LEN(Table4[[#This Row],[New Item Code]])</f>
        <v>#N/A</v>
      </c>
      <c r="P1815" s="15" t="s">
        <v>4747</v>
      </c>
      <c r="Q1815" s="15" t="s">
        <v>4749</v>
      </c>
      <c r="R1815" s="15"/>
      <c r="S1815" s="15"/>
      <c r="T1815" s="15" t="s">
        <v>4753</v>
      </c>
    </row>
    <row r="1816" spans="1:20" x14ac:dyDescent="0.35">
      <c r="A1816" s="2" t="s">
        <v>3596</v>
      </c>
      <c r="B1816" s="2" t="s">
        <v>3597</v>
      </c>
      <c r="C1816" s="2" t="s">
        <v>15</v>
      </c>
      <c r="D1816" s="2">
        <v>0</v>
      </c>
      <c r="E1816" s="2" t="s">
        <v>10</v>
      </c>
      <c r="F1816" s="2">
        <v>0</v>
      </c>
      <c r="G1816" s="22">
        <f>Table4[[#This Row],[Item Cost]]*Table4[[#This Row],[In Stock]]</f>
        <v>0</v>
      </c>
      <c r="H1816" s="12" t="s">
        <v>4661</v>
      </c>
      <c r="I1816" s="13" t="s">
        <v>4666</v>
      </c>
      <c r="J1816" s="13" t="s">
        <v>4753</v>
      </c>
      <c r="K1816" s="13" t="s">
        <v>4672</v>
      </c>
      <c r="L1816" s="12" t="s">
        <v>4672</v>
      </c>
      <c r="M1816" s="17" t="str">
        <f>IF(LEN(COUNTIFS($H$1:H1816,$H1816,$I$1:I1816,$I1816,$J$1:J1816,$J1816,$K$1:K1816,K1816,$L$1:L1816,L1816))=1,"00"&amp;COUNTIFS($H$1:H1816,$H1816,$I$1:I1816,$I1816,$J$1:J1816,$J1816,$K$1:K1816,K1816,$L$1:L1816,L1816),IF(LEN(COUNTIFS($H$1:H1816,$H1816,$I$1:I1816,$I1816,$J$1:J1816,$J1816,$K$1:K1816,K1816,$L$1:L1816,L1816))=2,"0"&amp;COUNTIFS($H$1:H1816,$H1816,$I$1:I1816,$I1816,$J$1:J1816,$J1816,$K$1:K1816,K1816,$L$1:L1816,L1816),COUNTIFS($H$1:H1816,$H1816,$I$1:I1816,$I1816,$J$1:J1816,$J1816,$K$1:K1816,K1816,$L$1:L1816,L1816)))</f>
        <v>040</v>
      </c>
      <c r="N181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16" s="14" t="e">
        <f>+LEN(Table4[[#This Row],[New Item Code]])</f>
        <v>#N/A</v>
      </c>
      <c r="P1816" s="15" t="s">
        <v>4747</v>
      </c>
      <c r="Q1816" s="15" t="s">
        <v>4749</v>
      </c>
      <c r="R1816" s="15"/>
      <c r="S1816" s="15"/>
      <c r="T1816" s="15" t="s">
        <v>4753</v>
      </c>
    </row>
    <row r="1817" spans="1:20" x14ac:dyDescent="0.35">
      <c r="A1817" s="3" t="s">
        <v>3598</v>
      </c>
      <c r="B1817" s="3" t="s">
        <v>3599</v>
      </c>
      <c r="C1817" s="3" t="s">
        <v>15</v>
      </c>
      <c r="D1817" s="3">
        <v>410</v>
      </c>
      <c r="E1817" s="3" t="s">
        <v>10</v>
      </c>
      <c r="F1817" s="3">
        <v>0</v>
      </c>
      <c r="G1817" s="21">
        <f>Table4[[#This Row],[Item Cost]]*Table4[[#This Row],[In Stock]]</f>
        <v>0</v>
      </c>
      <c r="H1817" s="12" t="s">
        <v>4661</v>
      </c>
      <c r="I1817" s="13" t="s">
        <v>4666</v>
      </c>
      <c r="J1817" s="13" t="s">
        <v>4753</v>
      </c>
      <c r="K1817" s="13" t="s">
        <v>4672</v>
      </c>
      <c r="L1817" s="12" t="s">
        <v>4672</v>
      </c>
      <c r="M1817" s="17" t="str">
        <f>IF(LEN(COUNTIFS($H$1:H1817,$H1817,$I$1:I1817,$I1817,$J$1:J1817,$J1817,$K$1:K1817,K1817,$L$1:L1817,L1817))=1,"00"&amp;COUNTIFS($H$1:H1817,$H1817,$I$1:I1817,$I1817,$J$1:J1817,$J1817,$K$1:K1817,K1817,$L$1:L1817,L1817),IF(LEN(COUNTIFS($H$1:H1817,$H1817,$I$1:I1817,$I1817,$J$1:J1817,$J1817,$K$1:K1817,K1817,$L$1:L1817,L1817))=2,"0"&amp;COUNTIFS($H$1:H1817,$H1817,$I$1:I1817,$I1817,$J$1:J1817,$J1817,$K$1:K1817,K1817,$L$1:L1817,L1817),COUNTIFS($H$1:H1817,$H1817,$I$1:I1817,$I1817,$J$1:J1817,$J1817,$K$1:K1817,K1817,$L$1:L1817,L1817)))</f>
        <v>041</v>
      </c>
      <c r="N181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17" s="14" t="e">
        <f>+LEN(Table4[[#This Row],[New Item Code]])</f>
        <v>#N/A</v>
      </c>
      <c r="P1817" s="15" t="s">
        <v>4747</v>
      </c>
      <c r="Q1817" s="15" t="s">
        <v>4749</v>
      </c>
      <c r="R1817" s="15"/>
      <c r="S1817" s="15"/>
      <c r="T1817" s="15" t="s">
        <v>4753</v>
      </c>
    </row>
    <row r="1818" spans="1:20" x14ac:dyDescent="0.35">
      <c r="A1818" s="2" t="s">
        <v>3600</v>
      </c>
      <c r="B1818" s="2" t="s">
        <v>3601</v>
      </c>
      <c r="C1818" s="2" t="s">
        <v>15</v>
      </c>
      <c r="D1818" s="2">
        <v>0</v>
      </c>
      <c r="E1818" s="2" t="s">
        <v>10</v>
      </c>
      <c r="F1818" s="2">
        <v>0</v>
      </c>
      <c r="G1818" s="22">
        <f>Table4[[#This Row],[Item Cost]]*Table4[[#This Row],[In Stock]]</f>
        <v>0</v>
      </c>
      <c r="H1818" s="12" t="s">
        <v>4661</v>
      </c>
      <c r="I1818" s="13" t="s">
        <v>4666</v>
      </c>
      <c r="J1818" s="13" t="s">
        <v>4753</v>
      </c>
      <c r="K1818" s="13" t="s">
        <v>4672</v>
      </c>
      <c r="L1818" s="12" t="s">
        <v>4672</v>
      </c>
      <c r="M1818" s="17" t="str">
        <f>IF(LEN(COUNTIFS($H$1:H1818,$H1818,$I$1:I1818,$I1818,$J$1:J1818,$J1818,$K$1:K1818,K1818,$L$1:L1818,L1818))=1,"00"&amp;COUNTIFS($H$1:H1818,$H1818,$I$1:I1818,$I1818,$J$1:J1818,$J1818,$K$1:K1818,K1818,$L$1:L1818,L1818),IF(LEN(COUNTIFS($H$1:H1818,$H1818,$I$1:I1818,$I1818,$J$1:J1818,$J1818,$K$1:K1818,K1818,$L$1:L1818,L1818))=2,"0"&amp;COUNTIFS($H$1:H1818,$H1818,$I$1:I1818,$I1818,$J$1:J1818,$J1818,$K$1:K1818,K1818,$L$1:L1818,L1818),COUNTIFS($H$1:H1818,$H1818,$I$1:I1818,$I1818,$J$1:J1818,$J1818,$K$1:K1818,K1818,$L$1:L1818,L1818)))</f>
        <v>042</v>
      </c>
      <c r="N181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18" s="14" t="e">
        <f>+LEN(Table4[[#This Row],[New Item Code]])</f>
        <v>#N/A</v>
      </c>
      <c r="P1818" s="15" t="s">
        <v>4747</v>
      </c>
      <c r="Q1818" s="15" t="s">
        <v>4749</v>
      </c>
      <c r="R1818" s="15"/>
      <c r="S1818" s="15"/>
      <c r="T1818" s="15" t="s">
        <v>4753</v>
      </c>
    </row>
    <row r="1819" spans="1:20" x14ac:dyDescent="0.35">
      <c r="A1819" s="3" t="s">
        <v>3602</v>
      </c>
      <c r="B1819" s="3" t="s">
        <v>3603</v>
      </c>
      <c r="C1819" s="3" t="s">
        <v>15</v>
      </c>
      <c r="D1819" s="3">
        <v>0</v>
      </c>
      <c r="E1819" s="3" t="s">
        <v>10</v>
      </c>
      <c r="F1819" s="3">
        <v>0</v>
      </c>
      <c r="G1819" s="21">
        <f>Table4[[#This Row],[Item Cost]]*Table4[[#This Row],[In Stock]]</f>
        <v>0</v>
      </c>
      <c r="H1819" s="12" t="s">
        <v>4661</v>
      </c>
      <c r="I1819" s="13" t="s">
        <v>4666</v>
      </c>
      <c r="J1819" s="13" t="s">
        <v>4753</v>
      </c>
      <c r="K1819" s="13" t="s">
        <v>4672</v>
      </c>
      <c r="L1819" s="12" t="s">
        <v>4672</v>
      </c>
      <c r="M1819" s="17" t="str">
        <f>IF(LEN(COUNTIFS($H$1:H1819,$H1819,$I$1:I1819,$I1819,$J$1:J1819,$J1819,$K$1:K1819,K1819,$L$1:L1819,L1819))=1,"00"&amp;COUNTIFS($H$1:H1819,$H1819,$I$1:I1819,$I1819,$J$1:J1819,$J1819,$K$1:K1819,K1819,$L$1:L1819,L1819),IF(LEN(COUNTIFS($H$1:H1819,$H1819,$I$1:I1819,$I1819,$J$1:J1819,$J1819,$K$1:K1819,K1819,$L$1:L1819,L1819))=2,"0"&amp;COUNTIFS($H$1:H1819,$H1819,$I$1:I1819,$I1819,$J$1:J1819,$J1819,$K$1:K1819,K1819,$L$1:L1819,L1819),COUNTIFS($H$1:H1819,$H1819,$I$1:I1819,$I1819,$J$1:J1819,$J1819,$K$1:K1819,K1819,$L$1:L1819,L1819)))</f>
        <v>043</v>
      </c>
      <c r="N181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19" s="14" t="e">
        <f>+LEN(Table4[[#This Row],[New Item Code]])</f>
        <v>#N/A</v>
      </c>
      <c r="P1819" s="15" t="s">
        <v>4747</v>
      </c>
      <c r="Q1819" s="15" t="s">
        <v>4749</v>
      </c>
      <c r="R1819" s="15"/>
      <c r="S1819" s="15"/>
      <c r="T1819" s="15" t="s">
        <v>4753</v>
      </c>
    </row>
    <row r="1820" spans="1:20" x14ac:dyDescent="0.35">
      <c r="A1820" s="2" t="s">
        <v>3604</v>
      </c>
      <c r="B1820" s="2" t="s">
        <v>3605</v>
      </c>
      <c r="C1820" s="2" t="s">
        <v>15</v>
      </c>
      <c r="D1820" s="2">
        <v>0</v>
      </c>
      <c r="E1820" s="2" t="s">
        <v>10</v>
      </c>
      <c r="F1820" s="2">
        <v>0</v>
      </c>
      <c r="G1820" s="22">
        <f>Table4[[#This Row],[Item Cost]]*Table4[[#This Row],[In Stock]]</f>
        <v>0</v>
      </c>
      <c r="H1820" s="12" t="s">
        <v>4661</v>
      </c>
      <c r="I1820" s="13" t="s">
        <v>4666</v>
      </c>
      <c r="J1820" s="13" t="s">
        <v>4753</v>
      </c>
      <c r="K1820" s="13" t="s">
        <v>4672</v>
      </c>
      <c r="L1820" s="12" t="s">
        <v>4672</v>
      </c>
      <c r="M1820" s="17" t="str">
        <f>IF(LEN(COUNTIFS($H$1:H1820,$H1820,$I$1:I1820,$I1820,$J$1:J1820,$J1820,$K$1:K1820,K1820,$L$1:L1820,L1820))=1,"00"&amp;COUNTIFS($H$1:H1820,$H1820,$I$1:I1820,$I1820,$J$1:J1820,$J1820,$K$1:K1820,K1820,$L$1:L1820,L1820),IF(LEN(COUNTIFS($H$1:H1820,$H1820,$I$1:I1820,$I1820,$J$1:J1820,$J1820,$K$1:K1820,K1820,$L$1:L1820,L1820))=2,"0"&amp;COUNTIFS($H$1:H1820,$H1820,$I$1:I1820,$I1820,$J$1:J1820,$J1820,$K$1:K1820,K1820,$L$1:L1820,L1820),COUNTIFS($H$1:H1820,$H1820,$I$1:I1820,$I1820,$J$1:J1820,$J1820,$K$1:K1820,K1820,$L$1:L1820,L1820)))</f>
        <v>044</v>
      </c>
      <c r="N182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20" s="14" t="e">
        <f>+LEN(Table4[[#This Row],[New Item Code]])</f>
        <v>#N/A</v>
      </c>
      <c r="P1820" s="15" t="s">
        <v>4747</v>
      </c>
      <c r="Q1820" s="15" t="s">
        <v>4749</v>
      </c>
      <c r="R1820" s="15"/>
      <c r="S1820" s="15"/>
      <c r="T1820" s="15" t="s">
        <v>4753</v>
      </c>
    </row>
    <row r="1821" spans="1:20" x14ac:dyDescent="0.35">
      <c r="A1821" s="3" t="s">
        <v>3606</v>
      </c>
      <c r="B1821" s="3" t="s">
        <v>3607</v>
      </c>
      <c r="C1821" s="3" t="s">
        <v>15</v>
      </c>
      <c r="D1821" s="3">
        <v>0</v>
      </c>
      <c r="E1821" s="3" t="s">
        <v>10</v>
      </c>
      <c r="F1821" s="3">
        <v>0</v>
      </c>
      <c r="G1821" s="21">
        <f>Table4[[#This Row],[Item Cost]]*Table4[[#This Row],[In Stock]]</f>
        <v>0</v>
      </c>
      <c r="H1821" s="12" t="s">
        <v>4661</v>
      </c>
      <c r="I1821" s="13" t="s">
        <v>4666</v>
      </c>
      <c r="J1821" s="13" t="s">
        <v>4753</v>
      </c>
      <c r="K1821" s="13" t="s">
        <v>4672</v>
      </c>
      <c r="L1821" s="12" t="s">
        <v>4672</v>
      </c>
      <c r="M1821" s="17" t="str">
        <f>IF(LEN(COUNTIFS($H$1:H1821,$H1821,$I$1:I1821,$I1821,$J$1:J1821,$J1821,$K$1:K1821,K1821,$L$1:L1821,L1821))=1,"00"&amp;COUNTIFS($H$1:H1821,$H1821,$I$1:I1821,$I1821,$J$1:J1821,$J1821,$K$1:K1821,K1821,$L$1:L1821,L1821),IF(LEN(COUNTIFS($H$1:H1821,$H1821,$I$1:I1821,$I1821,$J$1:J1821,$J1821,$K$1:K1821,K1821,$L$1:L1821,L1821))=2,"0"&amp;COUNTIFS($H$1:H1821,$H1821,$I$1:I1821,$I1821,$J$1:J1821,$J1821,$K$1:K1821,K1821,$L$1:L1821,L1821),COUNTIFS($H$1:H1821,$H1821,$I$1:I1821,$I1821,$J$1:J1821,$J1821,$K$1:K1821,K1821,$L$1:L1821,L1821)))</f>
        <v>045</v>
      </c>
      <c r="N182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21" s="14" t="e">
        <f>+LEN(Table4[[#This Row],[New Item Code]])</f>
        <v>#N/A</v>
      </c>
      <c r="P1821" s="15" t="s">
        <v>4747</v>
      </c>
      <c r="Q1821" s="15" t="s">
        <v>4749</v>
      </c>
      <c r="R1821" s="15"/>
      <c r="S1821" s="15"/>
      <c r="T1821" s="15" t="s">
        <v>4753</v>
      </c>
    </row>
    <row r="1822" spans="1:20" x14ac:dyDescent="0.35">
      <c r="A1822" s="3" t="s">
        <v>3608</v>
      </c>
      <c r="B1822" s="3" t="s">
        <v>3609</v>
      </c>
      <c r="C1822" s="3" t="s">
        <v>15</v>
      </c>
      <c r="D1822" s="3">
        <v>0</v>
      </c>
      <c r="E1822" s="3" t="s">
        <v>10</v>
      </c>
      <c r="F1822" s="3">
        <v>0</v>
      </c>
      <c r="G1822" s="21">
        <f>Table4[[#This Row],[Item Cost]]*Table4[[#This Row],[In Stock]]</f>
        <v>0</v>
      </c>
      <c r="H1822" s="12" t="s">
        <v>4661</v>
      </c>
      <c r="I1822" s="13" t="s">
        <v>4666</v>
      </c>
      <c r="J1822" s="13" t="s">
        <v>4753</v>
      </c>
      <c r="K1822" s="13" t="s">
        <v>4672</v>
      </c>
      <c r="L1822" s="12" t="s">
        <v>4672</v>
      </c>
      <c r="M1822" s="17" t="str">
        <f>IF(LEN(COUNTIFS($H$1:H1822,$H1822,$I$1:I1822,$I1822,$J$1:J1822,$J1822,$K$1:K1822,K1822,$L$1:L1822,L1822))=1,"00"&amp;COUNTIFS($H$1:H1822,$H1822,$I$1:I1822,$I1822,$J$1:J1822,$J1822,$K$1:K1822,K1822,$L$1:L1822,L1822),IF(LEN(COUNTIFS($H$1:H1822,$H1822,$I$1:I1822,$I1822,$J$1:J1822,$J1822,$K$1:K1822,K1822,$L$1:L1822,L1822))=2,"0"&amp;COUNTIFS($H$1:H1822,$H1822,$I$1:I1822,$I1822,$J$1:J1822,$J1822,$K$1:K1822,K1822,$L$1:L1822,L1822),COUNTIFS($H$1:H1822,$H1822,$I$1:I1822,$I1822,$J$1:J1822,$J1822,$K$1:K1822,K1822,$L$1:L1822,L1822)))</f>
        <v>046</v>
      </c>
      <c r="N182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22" s="14" t="e">
        <f>+LEN(Table4[[#This Row],[New Item Code]])</f>
        <v>#N/A</v>
      </c>
      <c r="P1822" s="15" t="s">
        <v>4747</v>
      </c>
      <c r="Q1822" s="15" t="s">
        <v>4749</v>
      </c>
      <c r="R1822" s="15"/>
      <c r="S1822" s="15"/>
      <c r="T1822" s="15" t="s">
        <v>4753</v>
      </c>
    </row>
    <row r="1823" spans="1:20" x14ac:dyDescent="0.35">
      <c r="A1823" s="2" t="s">
        <v>3610</v>
      </c>
      <c r="B1823" s="2" t="s">
        <v>3611</v>
      </c>
      <c r="C1823" s="2" t="s">
        <v>15</v>
      </c>
      <c r="D1823" s="2">
        <v>75</v>
      </c>
      <c r="E1823" s="2" t="s">
        <v>10</v>
      </c>
      <c r="F1823" s="2">
        <v>1</v>
      </c>
      <c r="G1823" s="22">
        <f>Table4[[#This Row],[Item Cost]]*Table4[[#This Row],[In Stock]]</f>
        <v>75</v>
      </c>
      <c r="H1823" s="12" t="s">
        <v>4661</v>
      </c>
      <c r="I1823" s="13" t="s">
        <v>4666</v>
      </c>
      <c r="J1823" s="13" t="s">
        <v>4753</v>
      </c>
      <c r="K1823" s="13" t="s">
        <v>4672</v>
      </c>
      <c r="L1823" s="12" t="s">
        <v>4672</v>
      </c>
      <c r="M1823" s="17" t="str">
        <f>IF(LEN(COUNTIFS($H$1:H1823,$H1823,$I$1:I1823,$I1823,$J$1:J1823,$J1823,$K$1:K1823,K1823,$L$1:L1823,L1823))=1,"00"&amp;COUNTIFS($H$1:H1823,$H1823,$I$1:I1823,$I1823,$J$1:J1823,$J1823,$K$1:K1823,K1823,$L$1:L1823,L1823),IF(LEN(COUNTIFS($H$1:H1823,$H1823,$I$1:I1823,$I1823,$J$1:J1823,$J1823,$K$1:K1823,K1823,$L$1:L1823,L1823))=2,"0"&amp;COUNTIFS($H$1:H1823,$H1823,$I$1:I1823,$I1823,$J$1:J1823,$J1823,$K$1:K1823,K1823,$L$1:L1823,L1823),COUNTIFS($H$1:H1823,$H1823,$I$1:I1823,$I1823,$J$1:J1823,$J1823,$K$1:K1823,K1823,$L$1:L1823,L1823)))</f>
        <v>047</v>
      </c>
      <c r="N182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23" s="14" t="e">
        <f>+LEN(Table4[[#This Row],[New Item Code]])</f>
        <v>#N/A</v>
      </c>
      <c r="P1823" s="15" t="s">
        <v>4747</v>
      </c>
      <c r="Q1823" s="15" t="s">
        <v>4749</v>
      </c>
      <c r="R1823" s="15"/>
      <c r="S1823" s="15"/>
      <c r="T1823" s="15" t="s">
        <v>4753</v>
      </c>
    </row>
    <row r="1824" spans="1:20" x14ac:dyDescent="0.35">
      <c r="A1824" s="2" t="s">
        <v>3612</v>
      </c>
      <c r="B1824" s="2" t="s">
        <v>3613</v>
      </c>
      <c r="C1824" s="2" t="s">
        <v>15</v>
      </c>
      <c r="D1824" s="2">
        <v>0</v>
      </c>
      <c r="E1824" s="2" t="s">
        <v>10</v>
      </c>
      <c r="F1824" s="2">
        <v>0</v>
      </c>
      <c r="G1824" s="22">
        <f>Table4[[#This Row],[Item Cost]]*Table4[[#This Row],[In Stock]]</f>
        <v>0</v>
      </c>
      <c r="H1824" s="12" t="s">
        <v>4661</v>
      </c>
      <c r="I1824" s="13" t="s">
        <v>4666</v>
      </c>
      <c r="J1824" s="13" t="s">
        <v>4753</v>
      </c>
      <c r="K1824" s="13" t="s">
        <v>4672</v>
      </c>
      <c r="L1824" s="12" t="s">
        <v>4672</v>
      </c>
      <c r="M1824" s="17" t="str">
        <f>IF(LEN(COUNTIFS($H$1:H1824,$H1824,$I$1:I1824,$I1824,$J$1:J1824,$J1824,$K$1:K1824,K1824,$L$1:L1824,L1824))=1,"00"&amp;COUNTIFS($H$1:H1824,$H1824,$I$1:I1824,$I1824,$J$1:J1824,$J1824,$K$1:K1824,K1824,$L$1:L1824,L1824),IF(LEN(COUNTIFS($H$1:H1824,$H1824,$I$1:I1824,$I1824,$J$1:J1824,$J1824,$K$1:K1824,K1824,$L$1:L1824,L1824))=2,"0"&amp;COUNTIFS($H$1:H1824,$H1824,$I$1:I1824,$I1824,$J$1:J1824,$J1824,$K$1:K1824,K1824,$L$1:L1824,L1824),COUNTIFS($H$1:H1824,$H1824,$I$1:I1824,$I1824,$J$1:J1824,$J1824,$K$1:K1824,K1824,$L$1:L1824,L1824)))</f>
        <v>048</v>
      </c>
      <c r="N182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24" s="14" t="e">
        <f>+LEN(Table4[[#This Row],[New Item Code]])</f>
        <v>#N/A</v>
      </c>
      <c r="P1824" s="15" t="s">
        <v>4747</v>
      </c>
      <c r="Q1824" s="15" t="s">
        <v>4749</v>
      </c>
      <c r="R1824" s="15"/>
      <c r="S1824" s="15"/>
      <c r="T1824" s="15" t="s">
        <v>4753</v>
      </c>
    </row>
    <row r="1825" spans="1:20" x14ac:dyDescent="0.35">
      <c r="A1825" s="3" t="s">
        <v>3614</v>
      </c>
      <c r="B1825" s="3" t="s">
        <v>3615</v>
      </c>
      <c r="C1825" s="3" t="s">
        <v>15</v>
      </c>
      <c r="D1825" s="3">
        <v>210</v>
      </c>
      <c r="E1825" s="3" t="s">
        <v>10</v>
      </c>
      <c r="F1825" s="3">
        <v>2</v>
      </c>
      <c r="G1825" s="21">
        <f>Table4[[#This Row],[Item Cost]]*Table4[[#This Row],[In Stock]]</f>
        <v>420</v>
      </c>
      <c r="H1825" s="12" t="s">
        <v>4661</v>
      </c>
      <c r="I1825" s="13" t="s">
        <v>4666</v>
      </c>
      <c r="J1825" s="13" t="s">
        <v>4753</v>
      </c>
      <c r="K1825" s="13" t="s">
        <v>4672</v>
      </c>
      <c r="L1825" s="12" t="s">
        <v>4672</v>
      </c>
      <c r="M1825" s="17" t="str">
        <f>IF(LEN(COUNTIFS($H$1:H1825,$H1825,$I$1:I1825,$I1825,$J$1:J1825,$J1825,$K$1:K1825,K1825,$L$1:L1825,L1825))=1,"00"&amp;COUNTIFS($H$1:H1825,$H1825,$I$1:I1825,$I1825,$J$1:J1825,$J1825,$K$1:K1825,K1825,$L$1:L1825,L1825),IF(LEN(COUNTIFS($H$1:H1825,$H1825,$I$1:I1825,$I1825,$J$1:J1825,$J1825,$K$1:K1825,K1825,$L$1:L1825,L1825))=2,"0"&amp;COUNTIFS($H$1:H1825,$H1825,$I$1:I1825,$I1825,$J$1:J1825,$J1825,$K$1:K1825,K1825,$L$1:L1825,L1825),COUNTIFS($H$1:H1825,$H1825,$I$1:I1825,$I1825,$J$1:J1825,$J1825,$K$1:K1825,K1825,$L$1:L1825,L1825)))</f>
        <v>049</v>
      </c>
      <c r="N182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25" s="14" t="e">
        <f>+LEN(Table4[[#This Row],[New Item Code]])</f>
        <v>#N/A</v>
      </c>
      <c r="P1825" s="15" t="s">
        <v>4747</v>
      </c>
      <c r="Q1825" s="15" t="s">
        <v>4749</v>
      </c>
      <c r="R1825" s="15"/>
      <c r="S1825" s="15"/>
      <c r="T1825" s="15" t="s">
        <v>4753</v>
      </c>
    </row>
    <row r="1826" spans="1:20" x14ac:dyDescent="0.35">
      <c r="A1826" s="2" t="s">
        <v>3616</v>
      </c>
      <c r="B1826" s="2" t="s">
        <v>3617</v>
      </c>
      <c r="C1826" s="2" t="s">
        <v>15</v>
      </c>
      <c r="D1826" s="2">
        <v>0</v>
      </c>
      <c r="E1826" s="2" t="s">
        <v>10</v>
      </c>
      <c r="F1826" s="2">
        <v>0</v>
      </c>
      <c r="G1826" s="22">
        <f>Table4[[#This Row],[Item Cost]]*Table4[[#This Row],[In Stock]]</f>
        <v>0</v>
      </c>
      <c r="H1826" s="12" t="s">
        <v>4661</v>
      </c>
      <c r="I1826" s="13" t="s">
        <v>4666</v>
      </c>
      <c r="J1826" s="13" t="s">
        <v>4753</v>
      </c>
      <c r="K1826" s="13" t="s">
        <v>4672</v>
      </c>
      <c r="L1826" s="12" t="s">
        <v>4672</v>
      </c>
      <c r="M1826" s="17" t="str">
        <f>IF(LEN(COUNTIFS($H$1:H1826,$H1826,$I$1:I1826,$I1826,$J$1:J1826,$J1826,$K$1:K1826,K1826,$L$1:L1826,L1826))=1,"00"&amp;COUNTIFS($H$1:H1826,$H1826,$I$1:I1826,$I1826,$J$1:J1826,$J1826,$K$1:K1826,K1826,$L$1:L1826,L1826),IF(LEN(COUNTIFS($H$1:H1826,$H1826,$I$1:I1826,$I1826,$J$1:J1826,$J1826,$K$1:K1826,K1826,$L$1:L1826,L1826))=2,"0"&amp;COUNTIFS($H$1:H1826,$H1826,$I$1:I1826,$I1826,$J$1:J1826,$J1826,$K$1:K1826,K1826,$L$1:L1826,L1826),COUNTIFS($H$1:H1826,$H1826,$I$1:I1826,$I1826,$J$1:J1826,$J1826,$K$1:K1826,K1826,$L$1:L1826,L1826)))</f>
        <v>050</v>
      </c>
      <c r="N182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26" s="14" t="e">
        <f>+LEN(Table4[[#This Row],[New Item Code]])</f>
        <v>#N/A</v>
      </c>
      <c r="P1826" s="15" t="s">
        <v>4747</v>
      </c>
      <c r="Q1826" s="15" t="s">
        <v>4749</v>
      </c>
      <c r="R1826" s="15"/>
      <c r="S1826" s="15"/>
      <c r="T1826" s="15" t="s">
        <v>4753</v>
      </c>
    </row>
    <row r="1827" spans="1:20" x14ac:dyDescent="0.35">
      <c r="A1827" s="2" t="s">
        <v>3618</v>
      </c>
      <c r="B1827" s="2" t="s">
        <v>3619</v>
      </c>
      <c r="C1827" s="2" t="s">
        <v>15</v>
      </c>
      <c r="D1827" s="2">
        <v>50</v>
      </c>
      <c r="E1827" s="2" t="s">
        <v>10</v>
      </c>
      <c r="F1827" s="2">
        <v>5</v>
      </c>
      <c r="G1827" s="22">
        <f>Table4[[#This Row],[Item Cost]]*Table4[[#This Row],[In Stock]]</f>
        <v>250</v>
      </c>
      <c r="H1827" s="12" t="s">
        <v>4661</v>
      </c>
      <c r="I1827" s="13" t="s">
        <v>4666</v>
      </c>
      <c r="J1827" s="13" t="s">
        <v>4753</v>
      </c>
      <c r="K1827" s="13" t="s">
        <v>4672</v>
      </c>
      <c r="L1827" s="12" t="s">
        <v>4672</v>
      </c>
      <c r="M1827" s="17" t="str">
        <f>IF(LEN(COUNTIFS($H$1:H1827,$H1827,$I$1:I1827,$I1827,$J$1:J1827,$J1827,$K$1:K1827,K1827,$L$1:L1827,L1827))=1,"00"&amp;COUNTIFS($H$1:H1827,$H1827,$I$1:I1827,$I1827,$J$1:J1827,$J1827,$K$1:K1827,K1827,$L$1:L1827,L1827),IF(LEN(COUNTIFS($H$1:H1827,$H1827,$I$1:I1827,$I1827,$J$1:J1827,$J1827,$K$1:K1827,K1827,$L$1:L1827,L1827))=2,"0"&amp;COUNTIFS($H$1:H1827,$H1827,$I$1:I1827,$I1827,$J$1:J1827,$J1827,$K$1:K1827,K1827,$L$1:L1827,L1827),COUNTIFS($H$1:H1827,$H1827,$I$1:I1827,$I1827,$J$1:J1827,$J1827,$K$1:K1827,K1827,$L$1:L1827,L1827)))</f>
        <v>051</v>
      </c>
      <c r="N182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27" s="14" t="e">
        <f>+LEN(Table4[[#This Row],[New Item Code]])</f>
        <v>#N/A</v>
      </c>
      <c r="P1827" s="15" t="s">
        <v>4747</v>
      </c>
      <c r="Q1827" s="15" t="s">
        <v>4749</v>
      </c>
      <c r="R1827" s="15"/>
      <c r="S1827" s="15"/>
      <c r="T1827" s="15" t="s">
        <v>4753</v>
      </c>
    </row>
    <row r="1828" spans="1:20" x14ac:dyDescent="0.35">
      <c r="A1828" s="3" t="s">
        <v>3620</v>
      </c>
      <c r="B1828" s="3" t="s">
        <v>3621</v>
      </c>
      <c r="C1828" s="3" t="s">
        <v>15</v>
      </c>
      <c r="D1828" s="3">
        <v>0</v>
      </c>
      <c r="E1828" s="3" t="s">
        <v>10</v>
      </c>
      <c r="F1828" s="3">
        <v>0</v>
      </c>
      <c r="G1828" s="21">
        <f>Table4[[#This Row],[Item Cost]]*Table4[[#This Row],[In Stock]]</f>
        <v>0</v>
      </c>
      <c r="H1828" s="12" t="s">
        <v>4661</v>
      </c>
      <c r="I1828" s="13" t="s">
        <v>4666</v>
      </c>
      <c r="J1828" s="13" t="s">
        <v>4753</v>
      </c>
      <c r="K1828" s="13" t="s">
        <v>4672</v>
      </c>
      <c r="L1828" s="12" t="s">
        <v>4672</v>
      </c>
      <c r="M1828" s="17" t="str">
        <f>IF(LEN(COUNTIFS($H$1:H1828,$H1828,$I$1:I1828,$I1828,$J$1:J1828,$J1828,$K$1:K1828,K1828,$L$1:L1828,L1828))=1,"00"&amp;COUNTIFS($H$1:H1828,$H1828,$I$1:I1828,$I1828,$J$1:J1828,$J1828,$K$1:K1828,K1828,$L$1:L1828,L1828),IF(LEN(COUNTIFS($H$1:H1828,$H1828,$I$1:I1828,$I1828,$J$1:J1828,$J1828,$K$1:K1828,K1828,$L$1:L1828,L1828))=2,"0"&amp;COUNTIFS($H$1:H1828,$H1828,$I$1:I1828,$I1828,$J$1:J1828,$J1828,$K$1:K1828,K1828,$L$1:L1828,L1828),COUNTIFS($H$1:H1828,$H1828,$I$1:I1828,$I1828,$J$1:J1828,$J1828,$K$1:K1828,K1828,$L$1:L1828,L1828)))</f>
        <v>052</v>
      </c>
      <c r="N182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28" s="14" t="e">
        <f>+LEN(Table4[[#This Row],[New Item Code]])</f>
        <v>#N/A</v>
      </c>
      <c r="P1828" s="15" t="s">
        <v>4747</v>
      </c>
      <c r="Q1828" s="15" t="s">
        <v>4749</v>
      </c>
      <c r="R1828" s="15"/>
      <c r="S1828" s="15"/>
      <c r="T1828" s="15" t="s">
        <v>4753</v>
      </c>
    </row>
    <row r="1829" spans="1:20" x14ac:dyDescent="0.35">
      <c r="A1829" s="2" t="s">
        <v>3622</v>
      </c>
      <c r="B1829" s="2" t="s">
        <v>3623</v>
      </c>
      <c r="C1829" s="2" t="s">
        <v>15</v>
      </c>
      <c r="D1829" s="4">
        <v>1096</v>
      </c>
      <c r="E1829" s="2" t="s">
        <v>10</v>
      </c>
      <c r="F1829" s="2">
        <v>2</v>
      </c>
      <c r="G1829" s="22">
        <f>Table4[[#This Row],[Item Cost]]*Table4[[#This Row],[In Stock]]</f>
        <v>2192</v>
      </c>
      <c r="H1829" s="12" t="s">
        <v>4661</v>
      </c>
      <c r="I1829" s="13" t="s">
        <v>4666</v>
      </c>
      <c r="J1829" s="13" t="s">
        <v>4753</v>
      </c>
      <c r="K1829" s="13" t="s">
        <v>4672</v>
      </c>
      <c r="L1829" s="12" t="s">
        <v>4672</v>
      </c>
      <c r="M1829" s="17" t="str">
        <f>IF(LEN(COUNTIFS($H$1:H1829,$H1829,$I$1:I1829,$I1829,$J$1:J1829,$J1829,$K$1:K1829,K1829,$L$1:L1829,L1829))=1,"00"&amp;COUNTIFS($H$1:H1829,$H1829,$I$1:I1829,$I1829,$J$1:J1829,$J1829,$K$1:K1829,K1829,$L$1:L1829,L1829),IF(LEN(COUNTIFS($H$1:H1829,$H1829,$I$1:I1829,$I1829,$J$1:J1829,$J1829,$K$1:K1829,K1829,$L$1:L1829,L1829))=2,"0"&amp;COUNTIFS($H$1:H1829,$H1829,$I$1:I1829,$I1829,$J$1:J1829,$J1829,$K$1:K1829,K1829,$L$1:L1829,L1829),COUNTIFS($H$1:H1829,$H1829,$I$1:I1829,$I1829,$J$1:J1829,$J1829,$K$1:K1829,K1829,$L$1:L1829,L1829)))</f>
        <v>053</v>
      </c>
      <c r="N182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29" s="14" t="e">
        <f>+LEN(Table4[[#This Row],[New Item Code]])</f>
        <v>#N/A</v>
      </c>
      <c r="P1829" s="15" t="s">
        <v>4747</v>
      </c>
      <c r="Q1829" s="15" t="s">
        <v>4749</v>
      </c>
      <c r="R1829" s="15"/>
      <c r="S1829" s="15"/>
      <c r="T1829" s="15" t="s">
        <v>4753</v>
      </c>
    </row>
    <row r="1830" spans="1:20" x14ac:dyDescent="0.35">
      <c r="A1830" s="3" t="s">
        <v>3624</v>
      </c>
      <c r="B1830" s="3" t="s">
        <v>3625</v>
      </c>
      <c r="C1830" s="3" t="s">
        <v>15</v>
      </c>
      <c r="D1830" s="3">
        <v>0</v>
      </c>
      <c r="E1830" s="3" t="s">
        <v>10</v>
      </c>
      <c r="F1830" s="3">
        <v>0</v>
      </c>
      <c r="G1830" s="21">
        <f>Table4[[#This Row],[Item Cost]]*Table4[[#This Row],[In Stock]]</f>
        <v>0</v>
      </c>
      <c r="H1830" s="12" t="s">
        <v>4661</v>
      </c>
      <c r="I1830" s="13" t="s">
        <v>4666</v>
      </c>
      <c r="J1830" s="13" t="s">
        <v>4753</v>
      </c>
      <c r="K1830" s="13" t="s">
        <v>4672</v>
      </c>
      <c r="L1830" s="12" t="s">
        <v>4672</v>
      </c>
      <c r="M1830" s="17" t="str">
        <f>IF(LEN(COUNTIFS($H$1:H1830,$H1830,$I$1:I1830,$I1830,$J$1:J1830,$J1830,$K$1:K1830,K1830,$L$1:L1830,L1830))=1,"00"&amp;COUNTIFS($H$1:H1830,$H1830,$I$1:I1830,$I1830,$J$1:J1830,$J1830,$K$1:K1830,K1830,$L$1:L1830,L1830),IF(LEN(COUNTIFS($H$1:H1830,$H1830,$I$1:I1830,$I1830,$J$1:J1830,$J1830,$K$1:K1830,K1830,$L$1:L1830,L1830))=2,"0"&amp;COUNTIFS($H$1:H1830,$H1830,$I$1:I1830,$I1830,$J$1:J1830,$J1830,$K$1:K1830,K1830,$L$1:L1830,L1830),COUNTIFS($H$1:H1830,$H1830,$I$1:I1830,$I1830,$J$1:J1830,$J1830,$K$1:K1830,K1830,$L$1:L1830,L1830)))</f>
        <v>054</v>
      </c>
      <c r="N183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30" s="14" t="e">
        <f>+LEN(Table4[[#This Row],[New Item Code]])</f>
        <v>#N/A</v>
      </c>
      <c r="P1830" s="15" t="s">
        <v>4747</v>
      </c>
      <c r="Q1830" s="15" t="s">
        <v>4749</v>
      </c>
      <c r="R1830" s="15"/>
      <c r="S1830" s="15"/>
      <c r="T1830" s="15" t="s">
        <v>4753</v>
      </c>
    </row>
    <row r="1831" spans="1:20" x14ac:dyDescent="0.35">
      <c r="A1831" s="2" t="s">
        <v>3626</v>
      </c>
      <c r="B1831" s="2" t="s">
        <v>3627</v>
      </c>
      <c r="C1831" s="2" t="s">
        <v>15</v>
      </c>
      <c r="D1831" s="4">
        <v>1286</v>
      </c>
      <c r="E1831" s="2" t="s">
        <v>10</v>
      </c>
      <c r="F1831" s="2">
        <v>0</v>
      </c>
      <c r="G1831" s="22">
        <f>Table4[[#This Row],[Item Cost]]*Table4[[#This Row],[In Stock]]</f>
        <v>0</v>
      </c>
      <c r="H1831" s="12" t="s">
        <v>4661</v>
      </c>
      <c r="I1831" s="13" t="s">
        <v>4666</v>
      </c>
      <c r="J1831" s="13" t="s">
        <v>4753</v>
      </c>
      <c r="K1831" s="13" t="s">
        <v>4672</v>
      </c>
      <c r="L1831" s="12" t="s">
        <v>4672</v>
      </c>
      <c r="M1831" s="17" t="str">
        <f>IF(LEN(COUNTIFS($H$1:H1831,$H1831,$I$1:I1831,$I1831,$J$1:J1831,$J1831,$K$1:K1831,K1831,$L$1:L1831,L1831))=1,"00"&amp;COUNTIFS($H$1:H1831,$H1831,$I$1:I1831,$I1831,$J$1:J1831,$J1831,$K$1:K1831,K1831,$L$1:L1831,L1831),IF(LEN(COUNTIFS($H$1:H1831,$H1831,$I$1:I1831,$I1831,$J$1:J1831,$J1831,$K$1:K1831,K1831,$L$1:L1831,L1831))=2,"0"&amp;COUNTIFS($H$1:H1831,$H1831,$I$1:I1831,$I1831,$J$1:J1831,$J1831,$K$1:K1831,K1831,$L$1:L1831,L1831),COUNTIFS($H$1:H1831,$H1831,$I$1:I1831,$I1831,$J$1:J1831,$J1831,$K$1:K1831,K1831,$L$1:L1831,L1831)))</f>
        <v>055</v>
      </c>
      <c r="N183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31" s="14" t="e">
        <f>+LEN(Table4[[#This Row],[New Item Code]])</f>
        <v>#N/A</v>
      </c>
      <c r="P1831" s="15" t="s">
        <v>4747</v>
      </c>
      <c r="Q1831" s="15" t="s">
        <v>4749</v>
      </c>
      <c r="R1831" s="15"/>
      <c r="S1831" s="15"/>
      <c r="T1831" s="15" t="s">
        <v>4753</v>
      </c>
    </row>
    <row r="1832" spans="1:20" x14ac:dyDescent="0.35">
      <c r="A1832" s="3" t="s">
        <v>3628</v>
      </c>
      <c r="B1832" s="3" t="s">
        <v>3629</v>
      </c>
      <c r="C1832" s="3" t="s">
        <v>15</v>
      </c>
      <c r="D1832" s="3">
        <v>250</v>
      </c>
      <c r="E1832" s="3" t="s">
        <v>10</v>
      </c>
      <c r="F1832" s="3">
        <v>1</v>
      </c>
      <c r="G1832" s="21">
        <f>Table4[[#This Row],[Item Cost]]*Table4[[#This Row],[In Stock]]</f>
        <v>250</v>
      </c>
      <c r="H1832" s="12" t="s">
        <v>4661</v>
      </c>
      <c r="I1832" s="13" t="s">
        <v>4666</v>
      </c>
      <c r="J1832" s="13" t="s">
        <v>4753</v>
      </c>
      <c r="K1832" s="13" t="s">
        <v>4672</v>
      </c>
      <c r="L1832" s="12" t="s">
        <v>4672</v>
      </c>
      <c r="M1832" s="17" t="str">
        <f>IF(LEN(COUNTIFS($H$1:H1832,$H1832,$I$1:I1832,$I1832,$J$1:J1832,$J1832,$K$1:K1832,K1832,$L$1:L1832,L1832))=1,"00"&amp;COUNTIFS($H$1:H1832,$H1832,$I$1:I1832,$I1832,$J$1:J1832,$J1832,$K$1:K1832,K1832,$L$1:L1832,L1832),IF(LEN(COUNTIFS($H$1:H1832,$H1832,$I$1:I1832,$I1832,$J$1:J1832,$J1832,$K$1:K1832,K1832,$L$1:L1832,L1832))=2,"0"&amp;COUNTIFS($H$1:H1832,$H1832,$I$1:I1832,$I1832,$J$1:J1832,$J1832,$K$1:K1832,K1832,$L$1:L1832,L1832),COUNTIFS($H$1:H1832,$H1832,$I$1:I1832,$I1832,$J$1:J1832,$J1832,$K$1:K1832,K1832,$L$1:L1832,L1832)))</f>
        <v>056</v>
      </c>
      <c r="N183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32" s="14" t="e">
        <f>+LEN(Table4[[#This Row],[New Item Code]])</f>
        <v>#N/A</v>
      </c>
      <c r="P1832" s="15" t="s">
        <v>4747</v>
      </c>
      <c r="Q1832" s="15" t="s">
        <v>4749</v>
      </c>
      <c r="R1832" s="15"/>
      <c r="S1832" s="15"/>
      <c r="T1832" s="15" t="s">
        <v>4753</v>
      </c>
    </row>
    <row r="1833" spans="1:20" x14ac:dyDescent="0.35">
      <c r="A1833" s="2" t="s">
        <v>3630</v>
      </c>
      <c r="B1833" s="2" t="s">
        <v>3631</v>
      </c>
      <c r="C1833" s="2" t="s">
        <v>15</v>
      </c>
      <c r="D1833" s="2">
        <v>255</v>
      </c>
      <c r="E1833" s="2" t="s">
        <v>10</v>
      </c>
      <c r="F1833" s="2">
        <v>0</v>
      </c>
      <c r="G1833" s="22">
        <f>Table4[[#This Row],[Item Cost]]*Table4[[#This Row],[In Stock]]</f>
        <v>0</v>
      </c>
      <c r="H1833" s="12" t="s">
        <v>4661</v>
      </c>
      <c r="I1833" s="13" t="s">
        <v>4666</v>
      </c>
      <c r="J1833" s="13" t="s">
        <v>4753</v>
      </c>
      <c r="K1833" s="13" t="s">
        <v>4672</v>
      </c>
      <c r="L1833" s="12" t="s">
        <v>4672</v>
      </c>
      <c r="M1833" s="17" t="str">
        <f>IF(LEN(COUNTIFS($H$1:H1833,$H1833,$I$1:I1833,$I1833,$J$1:J1833,$J1833,$K$1:K1833,K1833,$L$1:L1833,L1833))=1,"00"&amp;COUNTIFS($H$1:H1833,$H1833,$I$1:I1833,$I1833,$J$1:J1833,$J1833,$K$1:K1833,K1833,$L$1:L1833,L1833),IF(LEN(COUNTIFS($H$1:H1833,$H1833,$I$1:I1833,$I1833,$J$1:J1833,$J1833,$K$1:K1833,K1833,$L$1:L1833,L1833))=2,"0"&amp;COUNTIFS($H$1:H1833,$H1833,$I$1:I1833,$I1833,$J$1:J1833,$J1833,$K$1:K1833,K1833,$L$1:L1833,L1833),COUNTIFS($H$1:H1833,$H1833,$I$1:I1833,$I1833,$J$1:J1833,$J1833,$K$1:K1833,K1833,$L$1:L1833,L1833)))</f>
        <v>057</v>
      </c>
      <c r="N183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33" s="14" t="e">
        <f>+LEN(Table4[[#This Row],[New Item Code]])</f>
        <v>#N/A</v>
      </c>
      <c r="P1833" s="15" t="s">
        <v>4747</v>
      </c>
      <c r="Q1833" s="15" t="s">
        <v>4749</v>
      </c>
      <c r="R1833" s="15"/>
      <c r="S1833" s="15"/>
      <c r="T1833" s="15" t="s">
        <v>4753</v>
      </c>
    </row>
    <row r="1834" spans="1:20" x14ac:dyDescent="0.35">
      <c r="A1834" s="3" t="s">
        <v>3632</v>
      </c>
      <c r="B1834" s="3" t="s">
        <v>3633</v>
      </c>
      <c r="C1834" s="3" t="s">
        <v>15</v>
      </c>
      <c r="D1834" s="3">
        <v>250</v>
      </c>
      <c r="E1834" s="3" t="s">
        <v>10</v>
      </c>
      <c r="F1834" s="3">
        <v>0</v>
      </c>
      <c r="G1834" s="21">
        <f>Table4[[#This Row],[Item Cost]]*Table4[[#This Row],[In Stock]]</f>
        <v>0</v>
      </c>
      <c r="H1834" s="12" t="s">
        <v>4661</v>
      </c>
      <c r="I1834" s="13" t="s">
        <v>4666</v>
      </c>
      <c r="J1834" s="13" t="s">
        <v>4753</v>
      </c>
      <c r="K1834" s="13" t="s">
        <v>4672</v>
      </c>
      <c r="L1834" s="12" t="s">
        <v>4672</v>
      </c>
      <c r="M1834" s="17" t="str">
        <f>IF(LEN(COUNTIFS($H$1:H1834,$H1834,$I$1:I1834,$I1834,$J$1:J1834,$J1834,$K$1:K1834,K1834,$L$1:L1834,L1834))=1,"00"&amp;COUNTIFS($H$1:H1834,$H1834,$I$1:I1834,$I1834,$J$1:J1834,$J1834,$K$1:K1834,K1834,$L$1:L1834,L1834),IF(LEN(COUNTIFS($H$1:H1834,$H1834,$I$1:I1834,$I1834,$J$1:J1834,$J1834,$K$1:K1834,K1834,$L$1:L1834,L1834))=2,"0"&amp;COUNTIFS($H$1:H1834,$H1834,$I$1:I1834,$I1834,$J$1:J1834,$J1834,$K$1:K1834,K1834,$L$1:L1834,L1834),COUNTIFS($H$1:H1834,$H1834,$I$1:I1834,$I1834,$J$1:J1834,$J1834,$K$1:K1834,K1834,$L$1:L1834,L1834)))</f>
        <v>058</v>
      </c>
      <c r="N183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34" s="14" t="e">
        <f>+LEN(Table4[[#This Row],[New Item Code]])</f>
        <v>#N/A</v>
      </c>
      <c r="P1834" s="15" t="s">
        <v>4747</v>
      </c>
      <c r="Q1834" s="15" t="s">
        <v>4749</v>
      </c>
      <c r="R1834" s="15"/>
      <c r="S1834" s="15"/>
      <c r="T1834" s="15" t="s">
        <v>4753</v>
      </c>
    </row>
    <row r="1835" spans="1:20" x14ac:dyDescent="0.35">
      <c r="A1835" s="2" t="s">
        <v>3634</v>
      </c>
      <c r="B1835" s="2" t="s">
        <v>3635</v>
      </c>
      <c r="C1835" s="2" t="s">
        <v>15</v>
      </c>
      <c r="D1835" s="4">
        <v>1500</v>
      </c>
      <c r="E1835" s="2" t="s">
        <v>10</v>
      </c>
      <c r="F1835" s="2">
        <v>0</v>
      </c>
      <c r="G1835" s="22">
        <f>Table4[[#This Row],[Item Cost]]*Table4[[#This Row],[In Stock]]</f>
        <v>0</v>
      </c>
      <c r="H1835" s="12" t="s">
        <v>4661</v>
      </c>
      <c r="I1835" s="13" t="s">
        <v>4666</v>
      </c>
      <c r="J1835" s="13" t="s">
        <v>4753</v>
      </c>
      <c r="K1835" s="13" t="s">
        <v>4672</v>
      </c>
      <c r="L1835" s="12" t="s">
        <v>4672</v>
      </c>
      <c r="M1835" s="17" t="str">
        <f>IF(LEN(COUNTIFS($H$1:H1835,$H1835,$I$1:I1835,$I1835,$J$1:J1835,$J1835,$K$1:K1835,K1835,$L$1:L1835,L1835))=1,"00"&amp;COUNTIFS($H$1:H1835,$H1835,$I$1:I1835,$I1835,$J$1:J1835,$J1835,$K$1:K1835,K1835,$L$1:L1835,L1835),IF(LEN(COUNTIFS($H$1:H1835,$H1835,$I$1:I1835,$I1835,$J$1:J1835,$J1835,$K$1:K1835,K1835,$L$1:L1835,L1835))=2,"0"&amp;COUNTIFS($H$1:H1835,$H1835,$I$1:I1835,$I1835,$J$1:J1835,$J1835,$K$1:K1835,K1835,$L$1:L1835,L1835),COUNTIFS($H$1:H1835,$H1835,$I$1:I1835,$I1835,$J$1:J1835,$J1835,$K$1:K1835,K1835,$L$1:L1835,L1835)))</f>
        <v>059</v>
      </c>
      <c r="N183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35" s="14" t="e">
        <f>+LEN(Table4[[#This Row],[New Item Code]])</f>
        <v>#N/A</v>
      </c>
      <c r="P1835" s="15" t="s">
        <v>4747</v>
      </c>
      <c r="Q1835" s="15" t="s">
        <v>4749</v>
      </c>
      <c r="R1835" s="15"/>
      <c r="S1835" s="15"/>
      <c r="T1835" s="15" t="s">
        <v>4753</v>
      </c>
    </row>
    <row r="1836" spans="1:20" x14ac:dyDescent="0.35">
      <c r="A1836" s="3" t="s">
        <v>3636</v>
      </c>
      <c r="B1836" s="3" t="s">
        <v>3637</v>
      </c>
      <c r="C1836" s="3" t="s">
        <v>15</v>
      </c>
      <c r="D1836" s="3">
        <v>150</v>
      </c>
      <c r="E1836" s="3" t="s">
        <v>10</v>
      </c>
      <c r="F1836" s="3">
        <v>7</v>
      </c>
      <c r="G1836" s="21">
        <f>Table4[[#This Row],[Item Cost]]*Table4[[#This Row],[In Stock]]</f>
        <v>1050</v>
      </c>
      <c r="H1836" s="12" t="s">
        <v>4661</v>
      </c>
      <c r="I1836" s="13" t="s">
        <v>4666</v>
      </c>
      <c r="J1836" s="13" t="s">
        <v>4753</v>
      </c>
      <c r="K1836" s="13" t="s">
        <v>4672</v>
      </c>
      <c r="L1836" s="12" t="s">
        <v>4672</v>
      </c>
      <c r="M1836" s="17" t="str">
        <f>IF(LEN(COUNTIFS($H$1:H1836,$H1836,$I$1:I1836,$I1836,$J$1:J1836,$J1836,$K$1:K1836,K1836,$L$1:L1836,L1836))=1,"00"&amp;COUNTIFS($H$1:H1836,$H1836,$I$1:I1836,$I1836,$J$1:J1836,$J1836,$K$1:K1836,K1836,$L$1:L1836,L1836),IF(LEN(COUNTIFS($H$1:H1836,$H1836,$I$1:I1836,$I1836,$J$1:J1836,$J1836,$K$1:K1836,K1836,$L$1:L1836,L1836))=2,"0"&amp;COUNTIFS($H$1:H1836,$H1836,$I$1:I1836,$I1836,$J$1:J1836,$J1836,$K$1:K1836,K1836,$L$1:L1836,L1836),COUNTIFS($H$1:H1836,$H1836,$I$1:I1836,$I1836,$J$1:J1836,$J1836,$K$1:K1836,K1836,$L$1:L1836,L1836)))</f>
        <v>060</v>
      </c>
      <c r="N183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36" s="14" t="e">
        <f>+LEN(Table4[[#This Row],[New Item Code]])</f>
        <v>#N/A</v>
      </c>
      <c r="P1836" s="15" t="s">
        <v>4747</v>
      </c>
      <c r="Q1836" s="15" t="s">
        <v>4749</v>
      </c>
      <c r="R1836" s="15"/>
      <c r="S1836" s="15"/>
      <c r="T1836" s="15" t="s">
        <v>4753</v>
      </c>
    </row>
    <row r="1837" spans="1:20" x14ac:dyDescent="0.35">
      <c r="A1837" s="2" t="s">
        <v>3638</v>
      </c>
      <c r="B1837" s="2" t="s">
        <v>3639</v>
      </c>
      <c r="C1837" s="2" t="s">
        <v>15</v>
      </c>
      <c r="D1837" s="2">
        <v>124.5</v>
      </c>
      <c r="E1837" s="2" t="s">
        <v>10</v>
      </c>
      <c r="F1837" s="2">
        <v>0</v>
      </c>
      <c r="G1837" s="22">
        <f>Table4[[#This Row],[Item Cost]]*Table4[[#This Row],[In Stock]]</f>
        <v>0</v>
      </c>
      <c r="H1837" s="12" t="s">
        <v>4661</v>
      </c>
      <c r="I1837" s="13" t="s">
        <v>4666</v>
      </c>
      <c r="J1837" s="13" t="s">
        <v>4753</v>
      </c>
      <c r="K1837" s="13" t="s">
        <v>4672</v>
      </c>
      <c r="L1837" s="12" t="s">
        <v>4672</v>
      </c>
      <c r="M1837" s="17" t="str">
        <f>IF(LEN(COUNTIFS($H$1:H1837,$H1837,$I$1:I1837,$I1837,$J$1:J1837,$J1837,$K$1:K1837,K1837,$L$1:L1837,L1837))=1,"00"&amp;COUNTIFS($H$1:H1837,$H1837,$I$1:I1837,$I1837,$J$1:J1837,$J1837,$K$1:K1837,K1837,$L$1:L1837,L1837),IF(LEN(COUNTIFS($H$1:H1837,$H1837,$I$1:I1837,$I1837,$J$1:J1837,$J1837,$K$1:K1837,K1837,$L$1:L1837,L1837))=2,"0"&amp;COUNTIFS($H$1:H1837,$H1837,$I$1:I1837,$I1837,$J$1:J1837,$J1837,$K$1:K1837,K1837,$L$1:L1837,L1837),COUNTIFS($H$1:H1837,$H1837,$I$1:I1837,$I1837,$J$1:J1837,$J1837,$K$1:K1837,K1837,$L$1:L1837,L1837)))</f>
        <v>061</v>
      </c>
      <c r="N183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37" s="14" t="e">
        <f>+LEN(Table4[[#This Row],[New Item Code]])</f>
        <v>#N/A</v>
      </c>
      <c r="P1837" s="15" t="s">
        <v>4747</v>
      </c>
      <c r="Q1837" s="15" t="s">
        <v>4749</v>
      </c>
      <c r="R1837" s="15"/>
      <c r="S1837" s="15"/>
      <c r="T1837" s="15" t="s">
        <v>4753</v>
      </c>
    </row>
    <row r="1838" spans="1:20" x14ac:dyDescent="0.35">
      <c r="A1838" s="3" t="s">
        <v>3640</v>
      </c>
      <c r="B1838" s="3" t="s">
        <v>3641</v>
      </c>
      <c r="C1838" s="3" t="s">
        <v>15</v>
      </c>
      <c r="D1838" s="3">
        <v>100</v>
      </c>
      <c r="E1838" s="3" t="s">
        <v>10</v>
      </c>
      <c r="F1838" s="3">
        <v>0</v>
      </c>
      <c r="G1838" s="21">
        <f>Table4[[#This Row],[Item Cost]]*Table4[[#This Row],[In Stock]]</f>
        <v>0</v>
      </c>
      <c r="H1838" s="12" t="s">
        <v>4661</v>
      </c>
      <c r="I1838" s="13" t="s">
        <v>4666</v>
      </c>
      <c r="J1838" s="13" t="s">
        <v>4753</v>
      </c>
      <c r="K1838" s="13" t="s">
        <v>4672</v>
      </c>
      <c r="L1838" s="12" t="s">
        <v>4672</v>
      </c>
      <c r="M1838" s="17" t="str">
        <f>IF(LEN(COUNTIFS($H$1:H1838,$H1838,$I$1:I1838,$I1838,$J$1:J1838,$J1838,$K$1:K1838,K1838,$L$1:L1838,L1838))=1,"00"&amp;COUNTIFS($H$1:H1838,$H1838,$I$1:I1838,$I1838,$J$1:J1838,$J1838,$K$1:K1838,K1838,$L$1:L1838,L1838),IF(LEN(COUNTIFS($H$1:H1838,$H1838,$I$1:I1838,$I1838,$J$1:J1838,$J1838,$K$1:K1838,K1838,$L$1:L1838,L1838))=2,"0"&amp;COUNTIFS($H$1:H1838,$H1838,$I$1:I1838,$I1838,$J$1:J1838,$J1838,$K$1:K1838,K1838,$L$1:L1838,L1838),COUNTIFS($H$1:H1838,$H1838,$I$1:I1838,$I1838,$J$1:J1838,$J1838,$K$1:K1838,K1838,$L$1:L1838,L1838)))</f>
        <v>062</v>
      </c>
      <c r="N183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38" s="14" t="e">
        <f>+LEN(Table4[[#This Row],[New Item Code]])</f>
        <v>#N/A</v>
      </c>
      <c r="P1838" s="15" t="s">
        <v>4747</v>
      </c>
      <c r="Q1838" s="15" t="s">
        <v>4749</v>
      </c>
      <c r="R1838" s="15"/>
      <c r="S1838" s="15"/>
      <c r="T1838" s="15" t="s">
        <v>4753</v>
      </c>
    </row>
    <row r="1839" spans="1:20" x14ac:dyDescent="0.35">
      <c r="A1839" s="2" t="s">
        <v>3642</v>
      </c>
      <c r="B1839" s="2" t="s">
        <v>3643</v>
      </c>
      <c r="C1839" s="2" t="s">
        <v>15</v>
      </c>
      <c r="D1839" s="2">
        <v>85</v>
      </c>
      <c r="E1839" s="2" t="s">
        <v>10</v>
      </c>
      <c r="F1839" s="2">
        <v>0</v>
      </c>
      <c r="G1839" s="22">
        <f>Table4[[#This Row],[Item Cost]]*Table4[[#This Row],[In Stock]]</f>
        <v>0</v>
      </c>
      <c r="H1839" s="12" t="s">
        <v>4661</v>
      </c>
      <c r="I1839" s="13" t="s">
        <v>4666</v>
      </c>
      <c r="J1839" s="13" t="s">
        <v>4753</v>
      </c>
      <c r="K1839" s="13" t="s">
        <v>4672</v>
      </c>
      <c r="L1839" s="12" t="s">
        <v>4672</v>
      </c>
      <c r="M1839" s="17" t="str">
        <f>IF(LEN(COUNTIFS($H$1:H1839,$H1839,$I$1:I1839,$I1839,$J$1:J1839,$J1839,$K$1:K1839,K1839,$L$1:L1839,L1839))=1,"00"&amp;COUNTIFS($H$1:H1839,$H1839,$I$1:I1839,$I1839,$J$1:J1839,$J1839,$K$1:K1839,K1839,$L$1:L1839,L1839),IF(LEN(COUNTIFS($H$1:H1839,$H1839,$I$1:I1839,$I1839,$J$1:J1839,$J1839,$K$1:K1839,K1839,$L$1:L1839,L1839))=2,"0"&amp;COUNTIFS($H$1:H1839,$H1839,$I$1:I1839,$I1839,$J$1:J1839,$J1839,$K$1:K1839,K1839,$L$1:L1839,L1839),COUNTIFS($H$1:H1839,$H1839,$I$1:I1839,$I1839,$J$1:J1839,$J1839,$K$1:K1839,K1839,$L$1:L1839,L1839)))</f>
        <v>063</v>
      </c>
      <c r="N183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39" s="14" t="e">
        <f>+LEN(Table4[[#This Row],[New Item Code]])</f>
        <v>#N/A</v>
      </c>
      <c r="P1839" s="15" t="s">
        <v>4747</v>
      </c>
      <c r="Q1839" s="15" t="s">
        <v>4749</v>
      </c>
      <c r="R1839" s="15"/>
      <c r="S1839" s="15"/>
      <c r="T1839" s="15" t="s">
        <v>4753</v>
      </c>
    </row>
    <row r="1840" spans="1:20" x14ac:dyDescent="0.35">
      <c r="A1840" s="3" t="s">
        <v>3644</v>
      </c>
      <c r="B1840" s="3" t="s">
        <v>3645</v>
      </c>
      <c r="C1840" s="3" t="s">
        <v>15</v>
      </c>
      <c r="D1840" s="3">
        <v>35</v>
      </c>
      <c r="E1840" s="3" t="s">
        <v>10</v>
      </c>
      <c r="F1840" s="3">
        <v>0</v>
      </c>
      <c r="G1840" s="21">
        <f>Table4[[#This Row],[Item Cost]]*Table4[[#This Row],[In Stock]]</f>
        <v>0</v>
      </c>
      <c r="H1840" s="12" t="s">
        <v>4661</v>
      </c>
      <c r="I1840" s="13" t="s">
        <v>4666</v>
      </c>
      <c r="J1840" s="13" t="s">
        <v>4753</v>
      </c>
      <c r="K1840" s="13" t="s">
        <v>4672</v>
      </c>
      <c r="L1840" s="12" t="s">
        <v>4672</v>
      </c>
      <c r="M1840" s="17" t="str">
        <f>IF(LEN(COUNTIFS($H$1:H1840,$H1840,$I$1:I1840,$I1840,$J$1:J1840,$J1840,$K$1:K1840,K1840,$L$1:L1840,L1840))=1,"00"&amp;COUNTIFS($H$1:H1840,$H1840,$I$1:I1840,$I1840,$J$1:J1840,$J1840,$K$1:K1840,K1840,$L$1:L1840,L1840),IF(LEN(COUNTIFS($H$1:H1840,$H1840,$I$1:I1840,$I1840,$J$1:J1840,$J1840,$K$1:K1840,K1840,$L$1:L1840,L1840))=2,"0"&amp;COUNTIFS($H$1:H1840,$H1840,$I$1:I1840,$I1840,$J$1:J1840,$J1840,$K$1:K1840,K1840,$L$1:L1840,L1840),COUNTIFS($H$1:H1840,$H1840,$I$1:I1840,$I1840,$J$1:J1840,$J1840,$K$1:K1840,K1840,$L$1:L1840,L1840)))</f>
        <v>064</v>
      </c>
      <c r="N184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40" s="14" t="e">
        <f>+LEN(Table4[[#This Row],[New Item Code]])</f>
        <v>#N/A</v>
      </c>
      <c r="P1840" s="15" t="s">
        <v>4747</v>
      </c>
      <c r="Q1840" s="15" t="s">
        <v>4749</v>
      </c>
      <c r="R1840" s="15"/>
      <c r="S1840" s="15"/>
      <c r="T1840" s="15" t="s">
        <v>4753</v>
      </c>
    </row>
    <row r="1841" spans="1:20" x14ac:dyDescent="0.35">
      <c r="A1841" s="2" t="s">
        <v>3646</v>
      </c>
      <c r="B1841" s="2" t="s">
        <v>3647</v>
      </c>
      <c r="C1841" s="2" t="s">
        <v>15</v>
      </c>
      <c r="D1841" s="2">
        <v>60</v>
      </c>
      <c r="E1841" s="2" t="s">
        <v>10</v>
      </c>
      <c r="F1841" s="2">
        <v>0</v>
      </c>
      <c r="G1841" s="22">
        <f>Table4[[#This Row],[Item Cost]]*Table4[[#This Row],[In Stock]]</f>
        <v>0</v>
      </c>
      <c r="H1841" s="12" t="s">
        <v>4661</v>
      </c>
      <c r="I1841" s="13" t="s">
        <v>4666</v>
      </c>
      <c r="J1841" s="13" t="s">
        <v>4753</v>
      </c>
      <c r="K1841" s="13" t="s">
        <v>4672</v>
      </c>
      <c r="L1841" s="12" t="s">
        <v>4672</v>
      </c>
      <c r="M1841" s="17" t="str">
        <f>IF(LEN(COUNTIFS($H$1:H1841,$H1841,$I$1:I1841,$I1841,$J$1:J1841,$J1841,$K$1:K1841,K1841,$L$1:L1841,L1841))=1,"00"&amp;COUNTIFS($H$1:H1841,$H1841,$I$1:I1841,$I1841,$J$1:J1841,$J1841,$K$1:K1841,K1841,$L$1:L1841,L1841),IF(LEN(COUNTIFS($H$1:H1841,$H1841,$I$1:I1841,$I1841,$J$1:J1841,$J1841,$K$1:K1841,K1841,$L$1:L1841,L1841))=2,"0"&amp;COUNTIFS($H$1:H1841,$H1841,$I$1:I1841,$I1841,$J$1:J1841,$J1841,$K$1:K1841,K1841,$L$1:L1841,L1841),COUNTIFS($H$1:H1841,$H1841,$I$1:I1841,$I1841,$J$1:J1841,$J1841,$K$1:K1841,K1841,$L$1:L1841,L1841)))</f>
        <v>065</v>
      </c>
      <c r="N184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41" s="14" t="e">
        <f>+LEN(Table4[[#This Row],[New Item Code]])</f>
        <v>#N/A</v>
      </c>
      <c r="P1841" s="15" t="s">
        <v>4747</v>
      </c>
      <c r="Q1841" s="15" t="s">
        <v>4749</v>
      </c>
      <c r="R1841" s="15"/>
      <c r="S1841" s="15"/>
      <c r="T1841" s="15" t="s">
        <v>4753</v>
      </c>
    </row>
    <row r="1842" spans="1:20" x14ac:dyDescent="0.35">
      <c r="A1842" s="3" t="s">
        <v>3648</v>
      </c>
      <c r="B1842" s="3" t="s">
        <v>3649</v>
      </c>
      <c r="C1842" s="3" t="s">
        <v>15</v>
      </c>
      <c r="D1842" s="3">
        <v>35</v>
      </c>
      <c r="E1842" s="3" t="s">
        <v>10</v>
      </c>
      <c r="F1842" s="3">
        <v>0</v>
      </c>
      <c r="G1842" s="21">
        <f>Table4[[#This Row],[Item Cost]]*Table4[[#This Row],[In Stock]]</f>
        <v>0</v>
      </c>
      <c r="H1842" s="12" t="s">
        <v>4661</v>
      </c>
      <c r="I1842" s="13" t="s">
        <v>4666</v>
      </c>
      <c r="J1842" s="13" t="s">
        <v>4753</v>
      </c>
      <c r="K1842" s="13" t="s">
        <v>4672</v>
      </c>
      <c r="L1842" s="12" t="s">
        <v>4672</v>
      </c>
      <c r="M1842" s="17" t="str">
        <f>IF(LEN(COUNTIFS($H$1:H1842,$H1842,$I$1:I1842,$I1842,$J$1:J1842,$J1842,$K$1:K1842,K1842,$L$1:L1842,L1842))=1,"00"&amp;COUNTIFS($H$1:H1842,$H1842,$I$1:I1842,$I1842,$J$1:J1842,$J1842,$K$1:K1842,K1842,$L$1:L1842,L1842),IF(LEN(COUNTIFS($H$1:H1842,$H1842,$I$1:I1842,$I1842,$J$1:J1842,$J1842,$K$1:K1842,K1842,$L$1:L1842,L1842))=2,"0"&amp;COUNTIFS($H$1:H1842,$H1842,$I$1:I1842,$I1842,$J$1:J1842,$J1842,$K$1:K1842,K1842,$L$1:L1842,L1842),COUNTIFS($H$1:H1842,$H1842,$I$1:I1842,$I1842,$J$1:J1842,$J1842,$K$1:K1842,K1842,$L$1:L1842,L1842)))</f>
        <v>066</v>
      </c>
      <c r="N184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42" s="14" t="e">
        <f>+LEN(Table4[[#This Row],[New Item Code]])</f>
        <v>#N/A</v>
      </c>
      <c r="P1842" s="15" t="s">
        <v>4747</v>
      </c>
      <c r="Q1842" s="15" t="s">
        <v>4749</v>
      </c>
      <c r="R1842" s="15"/>
      <c r="S1842" s="15"/>
      <c r="T1842" s="15" t="s">
        <v>4753</v>
      </c>
    </row>
    <row r="1843" spans="1:20" x14ac:dyDescent="0.35">
      <c r="A1843" s="2" t="s">
        <v>3650</v>
      </c>
      <c r="B1843" s="2" t="s">
        <v>3651</v>
      </c>
      <c r="C1843" s="2" t="s">
        <v>15</v>
      </c>
      <c r="D1843" s="2">
        <v>9</v>
      </c>
      <c r="E1843" s="2" t="s">
        <v>10</v>
      </c>
      <c r="F1843" s="2">
        <v>1</v>
      </c>
      <c r="G1843" s="22">
        <f>Table4[[#This Row],[Item Cost]]*Table4[[#This Row],[In Stock]]</f>
        <v>9</v>
      </c>
      <c r="H1843" s="12" t="s">
        <v>4661</v>
      </c>
      <c r="I1843" s="13" t="s">
        <v>4666</v>
      </c>
      <c r="J1843" s="13" t="s">
        <v>4753</v>
      </c>
      <c r="K1843" s="13" t="s">
        <v>4672</v>
      </c>
      <c r="L1843" s="12" t="s">
        <v>4672</v>
      </c>
      <c r="M1843" s="17" t="str">
        <f>IF(LEN(COUNTIFS($H$1:H1843,$H1843,$I$1:I1843,$I1843,$J$1:J1843,$J1843,$K$1:K1843,K1843,$L$1:L1843,L1843))=1,"00"&amp;COUNTIFS($H$1:H1843,$H1843,$I$1:I1843,$I1843,$J$1:J1843,$J1843,$K$1:K1843,K1843,$L$1:L1843,L1843),IF(LEN(COUNTIFS($H$1:H1843,$H1843,$I$1:I1843,$I1843,$J$1:J1843,$J1843,$K$1:K1843,K1843,$L$1:L1843,L1843))=2,"0"&amp;COUNTIFS($H$1:H1843,$H1843,$I$1:I1843,$I1843,$J$1:J1843,$J1843,$K$1:K1843,K1843,$L$1:L1843,L1843),COUNTIFS($H$1:H1843,$H1843,$I$1:I1843,$I1843,$J$1:J1843,$J1843,$K$1:K1843,K1843,$L$1:L1843,L1843)))</f>
        <v>067</v>
      </c>
      <c r="N184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43" s="14" t="e">
        <f>+LEN(Table4[[#This Row],[New Item Code]])</f>
        <v>#N/A</v>
      </c>
      <c r="P1843" s="15" t="s">
        <v>4747</v>
      </c>
      <c r="Q1843" s="15" t="s">
        <v>4749</v>
      </c>
      <c r="R1843" s="15"/>
      <c r="S1843" s="15"/>
      <c r="T1843" s="15" t="s">
        <v>4753</v>
      </c>
    </row>
    <row r="1844" spans="1:20" x14ac:dyDescent="0.35">
      <c r="A1844" s="3" t="s">
        <v>3652</v>
      </c>
      <c r="B1844" s="3" t="s">
        <v>3653</v>
      </c>
      <c r="C1844" s="3" t="s">
        <v>15</v>
      </c>
      <c r="D1844" s="3">
        <v>5</v>
      </c>
      <c r="E1844" s="3" t="s">
        <v>10</v>
      </c>
      <c r="F1844" s="3">
        <v>0</v>
      </c>
      <c r="G1844" s="21">
        <f>Table4[[#This Row],[Item Cost]]*Table4[[#This Row],[In Stock]]</f>
        <v>0</v>
      </c>
      <c r="H1844" s="12" t="s">
        <v>4661</v>
      </c>
      <c r="I1844" s="13" t="s">
        <v>4666</v>
      </c>
      <c r="J1844" s="13" t="s">
        <v>4753</v>
      </c>
      <c r="K1844" s="13" t="s">
        <v>4672</v>
      </c>
      <c r="L1844" s="12" t="s">
        <v>4672</v>
      </c>
      <c r="M1844" s="17" t="str">
        <f>IF(LEN(COUNTIFS($H$1:H1844,$H1844,$I$1:I1844,$I1844,$J$1:J1844,$J1844,$K$1:K1844,K1844,$L$1:L1844,L1844))=1,"00"&amp;COUNTIFS($H$1:H1844,$H1844,$I$1:I1844,$I1844,$J$1:J1844,$J1844,$K$1:K1844,K1844,$L$1:L1844,L1844),IF(LEN(COUNTIFS($H$1:H1844,$H1844,$I$1:I1844,$I1844,$J$1:J1844,$J1844,$K$1:K1844,K1844,$L$1:L1844,L1844))=2,"0"&amp;COUNTIFS($H$1:H1844,$H1844,$I$1:I1844,$I1844,$J$1:J1844,$J1844,$K$1:K1844,K1844,$L$1:L1844,L1844),COUNTIFS($H$1:H1844,$H1844,$I$1:I1844,$I1844,$J$1:J1844,$J1844,$K$1:K1844,K1844,$L$1:L1844,L1844)))</f>
        <v>068</v>
      </c>
      <c r="N184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44" s="14" t="e">
        <f>+LEN(Table4[[#This Row],[New Item Code]])</f>
        <v>#N/A</v>
      </c>
      <c r="P1844" s="15" t="s">
        <v>4747</v>
      </c>
      <c r="Q1844" s="15" t="s">
        <v>4749</v>
      </c>
      <c r="R1844" s="15"/>
      <c r="S1844" s="15"/>
      <c r="T1844" s="15" t="s">
        <v>4753</v>
      </c>
    </row>
    <row r="1845" spans="1:20" x14ac:dyDescent="0.35">
      <c r="A1845" s="2" t="s">
        <v>3654</v>
      </c>
      <c r="B1845" s="2" t="s">
        <v>3655</v>
      </c>
      <c r="C1845" s="2" t="s">
        <v>15</v>
      </c>
      <c r="D1845" s="2">
        <v>10</v>
      </c>
      <c r="E1845" s="2" t="s">
        <v>10</v>
      </c>
      <c r="F1845" s="2">
        <v>0</v>
      </c>
      <c r="G1845" s="22">
        <f>Table4[[#This Row],[Item Cost]]*Table4[[#This Row],[In Stock]]</f>
        <v>0</v>
      </c>
      <c r="H1845" s="12" t="s">
        <v>4661</v>
      </c>
      <c r="I1845" s="13" t="s">
        <v>4666</v>
      </c>
      <c r="J1845" s="13" t="s">
        <v>4753</v>
      </c>
      <c r="K1845" s="13" t="s">
        <v>4672</v>
      </c>
      <c r="L1845" s="12" t="s">
        <v>4672</v>
      </c>
      <c r="M1845" s="17" t="str">
        <f>IF(LEN(COUNTIFS($H$1:H1845,$H1845,$I$1:I1845,$I1845,$J$1:J1845,$J1845,$K$1:K1845,K1845,$L$1:L1845,L1845))=1,"00"&amp;COUNTIFS($H$1:H1845,$H1845,$I$1:I1845,$I1845,$J$1:J1845,$J1845,$K$1:K1845,K1845,$L$1:L1845,L1845),IF(LEN(COUNTIFS($H$1:H1845,$H1845,$I$1:I1845,$I1845,$J$1:J1845,$J1845,$K$1:K1845,K1845,$L$1:L1845,L1845))=2,"0"&amp;COUNTIFS($H$1:H1845,$H1845,$I$1:I1845,$I1845,$J$1:J1845,$J1845,$K$1:K1845,K1845,$L$1:L1845,L1845),COUNTIFS($H$1:H1845,$H1845,$I$1:I1845,$I1845,$J$1:J1845,$J1845,$K$1:K1845,K1845,$L$1:L1845,L1845)))</f>
        <v>069</v>
      </c>
      <c r="N184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45" s="14" t="e">
        <f>+LEN(Table4[[#This Row],[New Item Code]])</f>
        <v>#N/A</v>
      </c>
      <c r="P1845" s="15" t="s">
        <v>4747</v>
      </c>
      <c r="Q1845" s="15" t="s">
        <v>4749</v>
      </c>
      <c r="R1845" s="15"/>
      <c r="S1845" s="15"/>
      <c r="T1845" s="15" t="s">
        <v>4753</v>
      </c>
    </row>
    <row r="1846" spans="1:20" x14ac:dyDescent="0.35">
      <c r="A1846" s="3" t="s">
        <v>3656</v>
      </c>
      <c r="B1846" s="3" t="s">
        <v>3657</v>
      </c>
      <c r="C1846" s="3" t="s">
        <v>15</v>
      </c>
      <c r="D1846" s="3">
        <v>70</v>
      </c>
      <c r="E1846" s="3" t="s">
        <v>10</v>
      </c>
      <c r="F1846" s="3">
        <v>0</v>
      </c>
      <c r="G1846" s="21">
        <f>Table4[[#This Row],[Item Cost]]*Table4[[#This Row],[In Stock]]</f>
        <v>0</v>
      </c>
      <c r="H1846" s="12" t="s">
        <v>4661</v>
      </c>
      <c r="I1846" s="13" t="s">
        <v>4666</v>
      </c>
      <c r="J1846" s="13" t="s">
        <v>4753</v>
      </c>
      <c r="K1846" s="13" t="s">
        <v>4672</v>
      </c>
      <c r="L1846" s="12" t="s">
        <v>4672</v>
      </c>
      <c r="M1846" s="17" t="str">
        <f>IF(LEN(COUNTIFS($H$1:H1846,$H1846,$I$1:I1846,$I1846,$J$1:J1846,$J1846,$K$1:K1846,K1846,$L$1:L1846,L1846))=1,"00"&amp;COUNTIFS($H$1:H1846,$H1846,$I$1:I1846,$I1846,$J$1:J1846,$J1846,$K$1:K1846,K1846,$L$1:L1846,L1846),IF(LEN(COUNTIFS($H$1:H1846,$H1846,$I$1:I1846,$I1846,$J$1:J1846,$J1846,$K$1:K1846,K1846,$L$1:L1846,L1846))=2,"0"&amp;COUNTIFS($H$1:H1846,$H1846,$I$1:I1846,$I1846,$J$1:J1846,$J1846,$K$1:K1846,K1846,$L$1:L1846,L1846),COUNTIFS($H$1:H1846,$H1846,$I$1:I1846,$I1846,$J$1:J1846,$J1846,$K$1:K1846,K1846,$L$1:L1846,L1846)))</f>
        <v>070</v>
      </c>
      <c r="N184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46" s="14" t="e">
        <f>+LEN(Table4[[#This Row],[New Item Code]])</f>
        <v>#N/A</v>
      </c>
      <c r="P1846" s="15" t="s">
        <v>4747</v>
      </c>
      <c r="Q1846" s="15" t="s">
        <v>4749</v>
      </c>
      <c r="R1846" s="15"/>
      <c r="S1846" s="15"/>
      <c r="T1846" s="15" t="s">
        <v>4753</v>
      </c>
    </row>
    <row r="1847" spans="1:20" x14ac:dyDescent="0.35">
      <c r="A1847" s="2" t="s">
        <v>3658</v>
      </c>
      <c r="B1847" s="2" t="s">
        <v>3659</v>
      </c>
      <c r="C1847" s="2" t="s">
        <v>15</v>
      </c>
      <c r="D1847" s="2">
        <v>12</v>
      </c>
      <c r="E1847" s="2" t="s">
        <v>10</v>
      </c>
      <c r="F1847" s="2">
        <v>0</v>
      </c>
      <c r="G1847" s="22">
        <f>Table4[[#This Row],[Item Cost]]*Table4[[#This Row],[In Stock]]</f>
        <v>0</v>
      </c>
      <c r="H1847" s="12" t="s">
        <v>4661</v>
      </c>
      <c r="I1847" s="13" t="s">
        <v>4666</v>
      </c>
      <c r="J1847" s="13" t="s">
        <v>4753</v>
      </c>
      <c r="K1847" s="13" t="s">
        <v>4672</v>
      </c>
      <c r="L1847" s="12" t="s">
        <v>4672</v>
      </c>
      <c r="M1847" s="17" t="str">
        <f>IF(LEN(COUNTIFS($H$1:H1847,$H1847,$I$1:I1847,$I1847,$J$1:J1847,$J1847,$K$1:K1847,K1847,$L$1:L1847,L1847))=1,"00"&amp;COUNTIFS($H$1:H1847,$H1847,$I$1:I1847,$I1847,$J$1:J1847,$J1847,$K$1:K1847,K1847,$L$1:L1847,L1847),IF(LEN(COUNTIFS($H$1:H1847,$H1847,$I$1:I1847,$I1847,$J$1:J1847,$J1847,$K$1:K1847,K1847,$L$1:L1847,L1847))=2,"0"&amp;COUNTIFS($H$1:H1847,$H1847,$I$1:I1847,$I1847,$J$1:J1847,$J1847,$K$1:K1847,K1847,$L$1:L1847,L1847),COUNTIFS($H$1:H1847,$H1847,$I$1:I1847,$I1847,$J$1:J1847,$J1847,$K$1:K1847,K1847,$L$1:L1847,L1847)))</f>
        <v>071</v>
      </c>
      <c r="N184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47" s="14" t="e">
        <f>+LEN(Table4[[#This Row],[New Item Code]])</f>
        <v>#N/A</v>
      </c>
      <c r="P1847" s="15" t="s">
        <v>4747</v>
      </c>
      <c r="Q1847" s="15" t="s">
        <v>4749</v>
      </c>
      <c r="R1847" s="15"/>
      <c r="S1847" s="15"/>
      <c r="T1847" s="15" t="s">
        <v>4753</v>
      </c>
    </row>
    <row r="1848" spans="1:20" x14ac:dyDescent="0.35">
      <c r="A1848" s="3" t="s">
        <v>3660</v>
      </c>
      <c r="B1848" s="3" t="s">
        <v>3661</v>
      </c>
      <c r="C1848" s="3" t="s">
        <v>56</v>
      </c>
      <c r="D1848" s="3">
        <v>0</v>
      </c>
      <c r="E1848" s="3" t="s">
        <v>57</v>
      </c>
      <c r="F1848" s="3">
        <v>0</v>
      </c>
      <c r="G1848" s="21">
        <f>Table4[[#This Row],[Item Cost]]*Table4[[#This Row],[In Stock]]</f>
        <v>0</v>
      </c>
      <c r="H1848" s="12" t="s">
        <v>4661</v>
      </c>
      <c r="I1848" s="13" t="s">
        <v>4668</v>
      </c>
      <c r="J1848" s="13" t="s">
        <v>4753</v>
      </c>
      <c r="K1848" s="13" t="s">
        <v>4672</v>
      </c>
      <c r="L1848" s="12" t="s">
        <v>4672</v>
      </c>
      <c r="M1848" s="17" t="str">
        <f>IF(LEN(COUNTIFS($H$1:H1848,$H1848,$I$1:I1848,$I1848,$J$1:J1848,$J1848,$K$1:K1848,K1848,$L$1:L1848,L1848))=1,"00"&amp;COUNTIFS($H$1:H1848,$H1848,$I$1:I1848,$I1848,$J$1:J1848,$J1848,$K$1:K1848,K1848,$L$1:L1848,L1848),IF(LEN(COUNTIFS($H$1:H1848,$H1848,$I$1:I1848,$I1848,$J$1:J1848,$J1848,$K$1:K1848,K1848,$L$1:L1848,L1848))=2,"0"&amp;COUNTIFS($H$1:H1848,$H1848,$I$1:I1848,$I1848,$J$1:J1848,$J1848,$K$1:K1848,K1848,$L$1:L1848,L1848),COUNTIFS($H$1:H1848,$H1848,$I$1:I1848,$I1848,$J$1:J1848,$J1848,$K$1:K1848,K1848,$L$1:L1848,L1848)))</f>
        <v>086</v>
      </c>
      <c r="N184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48" s="14" t="e">
        <f>+LEN(Table4[[#This Row],[New Item Code]])</f>
        <v>#N/A</v>
      </c>
      <c r="P1848" s="15" t="s">
        <v>4747</v>
      </c>
      <c r="Q1848" s="15" t="s">
        <v>4749</v>
      </c>
      <c r="R1848" s="15"/>
      <c r="S1848" s="15"/>
      <c r="T1848" s="15" t="s">
        <v>4753</v>
      </c>
    </row>
    <row r="1849" spans="1:20" x14ac:dyDescent="0.35">
      <c r="A1849" s="2" t="s">
        <v>3662</v>
      </c>
      <c r="B1849" s="2" t="s">
        <v>3663</v>
      </c>
      <c r="C1849" s="2" t="s">
        <v>15</v>
      </c>
      <c r="D1849" s="4">
        <v>3400</v>
      </c>
      <c r="E1849" s="2" t="s">
        <v>10</v>
      </c>
      <c r="F1849" s="2">
        <v>2</v>
      </c>
      <c r="G1849" s="22">
        <f>Table4[[#This Row],[Item Cost]]*Table4[[#This Row],[In Stock]]</f>
        <v>6800</v>
      </c>
      <c r="H1849" s="12" t="s">
        <v>4661</v>
      </c>
      <c r="I1849" s="13" t="s">
        <v>4666</v>
      </c>
      <c r="J1849" s="13" t="s">
        <v>4753</v>
      </c>
      <c r="K1849" s="13" t="s">
        <v>4672</v>
      </c>
      <c r="L1849" s="12" t="s">
        <v>4672</v>
      </c>
      <c r="M1849" s="17" t="str">
        <f>IF(LEN(COUNTIFS($H$1:H1849,$H1849,$I$1:I1849,$I1849,$J$1:J1849,$J1849,$K$1:K1849,K1849,$L$1:L1849,L1849))=1,"00"&amp;COUNTIFS($H$1:H1849,$H1849,$I$1:I1849,$I1849,$J$1:J1849,$J1849,$K$1:K1849,K1849,$L$1:L1849,L1849),IF(LEN(COUNTIFS($H$1:H1849,$H1849,$I$1:I1849,$I1849,$J$1:J1849,$J1849,$K$1:K1849,K1849,$L$1:L1849,L1849))=2,"0"&amp;COUNTIFS($H$1:H1849,$H1849,$I$1:I1849,$I1849,$J$1:J1849,$J1849,$K$1:K1849,K1849,$L$1:L1849,L1849),COUNTIFS($H$1:H1849,$H1849,$I$1:I1849,$I1849,$J$1:J1849,$J1849,$K$1:K1849,K1849,$L$1:L1849,L1849)))</f>
        <v>072</v>
      </c>
      <c r="N184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49" s="14" t="e">
        <f>+LEN(Table4[[#This Row],[New Item Code]])</f>
        <v>#N/A</v>
      </c>
      <c r="P1849" s="15" t="s">
        <v>4747</v>
      </c>
      <c r="Q1849" s="15" t="s">
        <v>4749</v>
      </c>
      <c r="R1849" s="15"/>
      <c r="S1849" s="15"/>
      <c r="T1849" s="15" t="s">
        <v>4753</v>
      </c>
    </row>
    <row r="1850" spans="1:20" x14ac:dyDescent="0.35">
      <c r="A1850" s="3" t="s">
        <v>3664</v>
      </c>
      <c r="B1850" s="3" t="s">
        <v>3665</v>
      </c>
      <c r="C1850" s="3" t="s">
        <v>15</v>
      </c>
      <c r="D1850" s="3">
        <v>545.553</v>
      </c>
      <c r="E1850" s="3" t="s">
        <v>10</v>
      </c>
      <c r="F1850" s="3">
        <v>0</v>
      </c>
      <c r="G1850" s="21">
        <f>Table4[[#This Row],[Item Cost]]*Table4[[#This Row],[In Stock]]</f>
        <v>0</v>
      </c>
      <c r="H1850" s="12" t="s">
        <v>4661</v>
      </c>
      <c r="I1850" s="13" t="s">
        <v>4666</v>
      </c>
      <c r="J1850" s="13" t="s">
        <v>4753</v>
      </c>
      <c r="K1850" s="13" t="s">
        <v>4672</v>
      </c>
      <c r="L1850" s="12" t="s">
        <v>4672</v>
      </c>
      <c r="M1850" s="17" t="str">
        <f>IF(LEN(COUNTIFS($H$1:H1850,$H1850,$I$1:I1850,$I1850,$J$1:J1850,$J1850,$K$1:K1850,K1850,$L$1:L1850,L1850))=1,"00"&amp;COUNTIFS($H$1:H1850,$H1850,$I$1:I1850,$I1850,$J$1:J1850,$J1850,$K$1:K1850,K1850,$L$1:L1850,L1850),IF(LEN(COUNTIFS($H$1:H1850,$H1850,$I$1:I1850,$I1850,$J$1:J1850,$J1850,$K$1:K1850,K1850,$L$1:L1850,L1850))=2,"0"&amp;COUNTIFS($H$1:H1850,$H1850,$I$1:I1850,$I1850,$J$1:J1850,$J1850,$K$1:K1850,K1850,$L$1:L1850,L1850),COUNTIFS($H$1:H1850,$H1850,$I$1:I1850,$I1850,$J$1:J1850,$J1850,$K$1:K1850,K1850,$L$1:L1850,L1850)))</f>
        <v>073</v>
      </c>
      <c r="N185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50" s="14" t="e">
        <f>+LEN(Table4[[#This Row],[New Item Code]])</f>
        <v>#N/A</v>
      </c>
      <c r="P1850" s="15" t="s">
        <v>4747</v>
      </c>
      <c r="Q1850" s="15" t="s">
        <v>4749</v>
      </c>
      <c r="R1850" s="15"/>
      <c r="S1850" s="15"/>
      <c r="T1850" s="15" t="s">
        <v>4753</v>
      </c>
    </row>
    <row r="1851" spans="1:20" x14ac:dyDescent="0.35">
      <c r="A1851" s="2" t="s">
        <v>3666</v>
      </c>
      <c r="B1851" s="2" t="s">
        <v>3667</v>
      </c>
      <c r="C1851" s="2" t="s">
        <v>15</v>
      </c>
      <c r="D1851" s="2">
        <v>248</v>
      </c>
      <c r="E1851" s="2" t="s">
        <v>10</v>
      </c>
      <c r="F1851" s="2">
        <v>2</v>
      </c>
      <c r="G1851" s="22">
        <f>Table4[[#This Row],[Item Cost]]*Table4[[#This Row],[In Stock]]</f>
        <v>496</v>
      </c>
      <c r="H1851" s="12" t="s">
        <v>4661</v>
      </c>
      <c r="I1851" s="13" t="s">
        <v>4666</v>
      </c>
      <c r="J1851" s="13" t="s">
        <v>4753</v>
      </c>
      <c r="K1851" s="13" t="s">
        <v>4672</v>
      </c>
      <c r="L1851" s="12" t="s">
        <v>4672</v>
      </c>
      <c r="M1851" s="17" t="str">
        <f>IF(LEN(COUNTIFS($H$1:H1851,$H1851,$I$1:I1851,$I1851,$J$1:J1851,$J1851,$K$1:K1851,K1851,$L$1:L1851,L1851))=1,"00"&amp;COUNTIFS($H$1:H1851,$H1851,$I$1:I1851,$I1851,$J$1:J1851,$J1851,$K$1:K1851,K1851,$L$1:L1851,L1851),IF(LEN(COUNTIFS($H$1:H1851,$H1851,$I$1:I1851,$I1851,$J$1:J1851,$J1851,$K$1:K1851,K1851,$L$1:L1851,L1851))=2,"0"&amp;COUNTIFS($H$1:H1851,$H1851,$I$1:I1851,$I1851,$J$1:J1851,$J1851,$K$1:K1851,K1851,$L$1:L1851,L1851),COUNTIFS($H$1:H1851,$H1851,$I$1:I1851,$I1851,$J$1:J1851,$J1851,$K$1:K1851,K1851,$L$1:L1851,L1851)))</f>
        <v>074</v>
      </c>
      <c r="N185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51" s="14" t="e">
        <f>+LEN(Table4[[#This Row],[New Item Code]])</f>
        <v>#N/A</v>
      </c>
      <c r="P1851" s="15" t="s">
        <v>4747</v>
      </c>
      <c r="Q1851" s="15" t="s">
        <v>4749</v>
      </c>
      <c r="R1851" s="15"/>
      <c r="S1851" s="15"/>
      <c r="T1851" s="15" t="s">
        <v>4753</v>
      </c>
    </row>
    <row r="1852" spans="1:20" x14ac:dyDescent="0.35">
      <c r="A1852" s="3" t="s">
        <v>3668</v>
      </c>
      <c r="B1852" s="3" t="s">
        <v>3669</v>
      </c>
      <c r="C1852" s="3" t="s">
        <v>15</v>
      </c>
      <c r="D1852" s="3">
        <v>283.33300000000003</v>
      </c>
      <c r="E1852" s="3" t="s">
        <v>10</v>
      </c>
      <c r="F1852" s="3">
        <v>3</v>
      </c>
      <c r="G1852" s="21">
        <f>Table4[[#This Row],[Item Cost]]*Table4[[#This Row],[In Stock]]</f>
        <v>849.99900000000002</v>
      </c>
      <c r="H1852" s="12" t="s">
        <v>4661</v>
      </c>
      <c r="I1852" s="13" t="s">
        <v>4666</v>
      </c>
      <c r="J1852" s="13" t="s">
        <v>4753</v>
      </c>
      <c r="K1852" s="13" t="s">
        <v>4672</v>
      </c>
      <c r="L1852" s="12" t="s">
        <v>4672</v>
      </c>
      <c r="M1852" s="17" t="str">
        <f>IF(LEN(COUNTIFS($H$1:H1852,$H1852,$I$1:I1852,$I1852,$J$1:J1852,$J1852,$K$1:K1852,K1852,$L$1:L1852,L1852))=1,"00"&amp;COUNTIFS($H$1:H1852,$H1852,$I$1:I1852,$I1852,$J$1:J1852,$J1852,$K$1:K1852,K1852,$L$1:L1852,L1852),IF(LEN(COUNTIFS($H$1:H1852,$H1852,$I$1:I1852,$I1852,$J$1:J1852,$J1852,$K$1:K1852,K1852,$L$1:L1852,L1852))=2,"0"&amp;COUNTIFS($H$1:H1852,$H1852,$I$1:I1852,$I1852,$J$1:J1852,$J1852,$K$1:K1852,K1852,$L$1:L1852,L1852),COUNTIFS($H$1:H1852,$H1852,$I$1:I1852,$I1852,$J$1:J1852,$J1852,$K$1:K1852,K1852,$L$1:L1852,L1852)))</f>
        <v>075</v>
      </c>
      <c r="N185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52" s="14" t="e">
        <f>+LEN(Table4[[#This Row],[New Item Code]])</f>
        <v>#N/A</v>
      </c>
      <c r="P1852" s="15" t="s">
        <v>4747</v>
      </c>
      <c r="Q1852" s="15" t="s">
        <v>4749</v>
      </c>
      <c r="R1852" s="15"/>
      <c r="S1852" s="15"/>
      <c r="T1852" s="15" t="s">
        <v>4753</v>
      </c>
    </row>
    <row r="1853" spans="1:20" x14ac:dyDescent="0.35">
      <c r="A1853" s="2" t="s">
        <v>3670</v>
      </c>
      <c r="B1853" s="2" t="s">
        <v>3671</v>
      </c>
      <c r="C1853" s="2" t="s">
        <v>15</v>
      </c>
      <c r="D1853" s="2">
        <v>985</v>
      </c>
      <c r="E1853" s="2" t="s">
        <v>10</v>
      </c>
      <c r="F1853" s="2">
        <v>0</v>
      </c>
      <c r="G1853" s="22">
        <f>Table4[[#This Row],[Item Cost]]*Table4[[#This Row],[In Stock]]</f>
        <v>0</v>
      </c>
      <c r="H1853" s="12" t="s">
        <v>4661</v>
      </c>
      <c r="I1853" s="13" t="s">
        <v>4666</v>
      </c>
      <c r="J1853" s="13" t="s">
        <v>4753</v>
      </c>
      <c r="K1853" s="13" t="s">
        <v>4672</v>
      </c>
      <c r="L1853" s="12" t="s">
        <v>4672</v>
      </c>
      <c r="M1853" s="17" t="str">
        <f>IF(LEN(COUNTIFS($H$1:H1853,$H1853,$I$1:I1853,$I1853,$J$1:J1853,$J1853,$K$1:K1853,K1853,$L$1:L1853,L1853))=1,"00"&amp;COUNTIFS($H$1:H1853,$H1853,$I$1:I1853,$I1853,$J$1:J1853,$J1853,$K$1:K1853,K1853,$L$1:L1853,L1853),IF(LEN(COUNTIFS($H$1:H1853,$H1853,$I$1:I1853,$I1853,$J$1:J1853,$J1853,$K$1:K1853,K1853,$L$1:L1853,L1853))=2,"0"&amp;COUNTIFS($H$1:H1853,$H1853,$I$1:I1853,$I1853,$J$1:J1853,$J1853,$K$1:K1853,K1853,$L$1:L1853,L1853),COUNTIFS($H$1:H1853,$H1853,$I$1:I1853,$I1853,$J$1:J1853,$J1853,$K$1:K1853,K1853,$L$1:L1853,L1853)))</f>
        <v>076</v>
      </c>
      <c r="N185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53" s="14" t="e">
        <f>+LEN(Table4[[#This Row],[New Item Code]])</f>
        <v>#N/A</v>
      </c>
      <c r="P1853" s="15" t="s">
        <v>4747</v>
      </c>
      <c r="Q1853" s="15" t="s">
        <v>4749</v>
      </c>
      <c r="R1853" s="15"/>
      <c r="S1853" s="15"/>
      <c r="T1853" s="15" t="s">
        <v>4753</v>
      </c>
    </row>
    <row r="1854" spans="1:20" x14ac:dyDescent="0.35">
      <c r="A1854" s="3" t="s">
        <v>3672</v>
      </c>
      <c r="B1854" s="3" t="s">
        <v>3673</v>
      </c>
      <c r="C1854" s="3" t="s">
        <v>15</v>
      </c>
      <c r="D1854" s="5">
        <v>1250</v>
      </c>
      <c r="E1854" s="3" t="s">
        <v>10</v>
      </c>
      <c r="F1854" s="3">
        <v>1</v>
      </c>
      <c r="G1854" s="21">
        <f>Table4[[#This Row],[Item Cost]]*Table4[[#This Row],[In Stock]]</f>
        <v>1250</v>
      </c>
      <c r="H1854" s="12" t="s">
        <v>4661</v>
      </c>
      <c r="I1854" s="13" t="s">
        <v>4666</v>
      </c>
      <c r="J1854" s="13" t="s">
        <v>4753</v>
      </c>
      <c r="K1854" s="13" t="s">
        <v>4672</v>
      </c>
      <c r="L1854" s="12" t="s">
        <v>4672</v>
      </c>
      <c r="M1854" s="17" t="str">
        <f>IF(LEN(COUNTIFS($H$1:H1854,$H1854,$I$1:I1854,$I1854,$J$1:J1854,$J1854,$K$1:K1854,K1854,$L$1:L1854,L1854))=1,"00"&amp;COUNTIFS($H$1:H1854,$H1854,$I$1:I1854,$I1854,$J$1:J1854,$J1854,$K$1:K1854,K1854,$L$1:L1854,L1854),IF(LEN(COUNTIFS($H$1:H1854,$H1854,$I$1:I1854,$I1854,$J$1:J1854,$J1854,$K$1:K1854,K1854,$L$1:L1854,L1854))=2,"0"&amp;COUNTIFS($H$1:H1854,$H1854,$I$1:I1854,$I1854,$J$1:J1854,$J1854,$K$1:K1854,K1854,$L$1:L1854,L1854),COUNTIFS($H$1:H1854,$H1854,$I$1:I1854,$I1854,$J$1:J1854,$J1854,$K$1:K1854,K1854,$L$1:L1854,L1854)))</f>
        <v>077</v>
      </c>
      <c r="N185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54" s="14" t="e">
        <f>+LEN(Table4[[#This Row],[New Item Code]])</f>
        <v>#N/A</v>
      </c>
      <c r="P1854" s="15" t="s">
        <v>4747</v>
      </c>
      <c r="Q1854" s="15" t="s">
        <v>4749</v>
      </c>
      <c r="R1854" s="15"/>
      <c r="S1854" s="15"/>
      <c r="T1854" s="15" t="s">
        <v>4753</v>
      </c>
    </row>
    <row r="1855" spans="1:20" x14ac:dyDescent="0.35">
      <c r="A1855" s="2" t="s">
        <v>3674</v>
      </c>
      <c r="B1855" s="2" t="s">
        <v>3675</v>
      </c>
      <c r="C1855" s="2" t="s">
        <v>15</v>
      </c>
      <c r="D1855" s="2">
        <v>5</v>
      </c>
      <c r="E1855" s="2" t="s">
        <v>10</v>
      </c>
      <c r="F1855" s="2">
        <v>1</v>
      </c>
      <c r="G1855" s="22">
        <f>Table4[[#This Row],[Item Cost]]*Table4[[#This Row],[In Stock]]</f>
        <v>5</v>
      </c>
      <c r="H1855" s="12" t="s">
        <v>4661</v>
      </c>
      <c r="I1855" s="13" t="s">
        <v>4666</v>
      </c>
      <c r="J1855" s="13" t="s">
        <v>4753</v>
      </c>
      <c r="K1855" s="13" t="s">
        <v>4672</v>
      </c>
      <c r="L1855" s="12" t="s">
        <v>4672</v>
      </c>
      <c r="M1855" s="17" t="str">
        <f>IF(LEN(COUNTIFS($H$1:H1855,$H1855,$I$1:I1855,$I1855,$J$1:J1855,$J1855,$K$1:K1855,K1855,$L$1:L1855,L1855))=1,"00"&amp;COUNTIFS($H$1:H1855,$H1855,$I$1:I1855,$I1855,$J$1:J1855,$J1855,$K$1:K1855,K1855,$L$1:L1855,L1855),IF(LEN(COUNTIFS($H$1:H1855,$H1855,$I$1:I1855,$I1855,$J$1:J1855,$J1855,$K$1:K1855,K1855,$L$1:L1855,L1855))=2,"0"&amp;COUNTIFS($H$1:H1855,$H1855,$I$1:I1855,$I1855,$J$1:J1855,$J1855,$K$1:K1855,K1855,$L$1:L1855,L1855),COUNTIFS($H$1:H1855,$H1855,$I$1:I1855,$I1855,$J$1:J1855,$J1855,$K$1:K1855,K1855,$L$1:L1855,L1855)))</f>
        <v>078</v>
      </c>
      <c r="N185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55" s="14" t="e">
        <f>+LEN(Table4[[#This Row],[New Item Code]])</f>
        <v>#N/A</v>
      </c>
      <c r="P1855" s="15" t="s">
        <v>4747</v>
      </c>
      <c r="Q1855" s="15" t="s">
        <v>4749</v>
      </c>
      <c r="R1855" s="15"/>
      <c r="S1855" s="15"/>
      <c r="T1855" s="15" t="s">
        <v>4753</v>
      </c>
    </row>
    <row r="1856" spans="1:20" x14ac:dyDescent="0.35">
      <c r="A1856" s="3" t="s">
        <v>3676</v>
      </c>
      <c r="B1856" s="3" t="s">
        <v>3677</v>
      </c>
      <c r="C1856" s="3" t="s">
        <v>15</v>
      </c>
      <c r="D1856" s="3">
        <v>6</v>
      </c>
      <c r="E1856" s="3" t="s">
        <v>10</v>
      </c>
      <c r="F1856" s="3">
        <v>1</v>
      </c>
      <c r="G1856" s="21">
        <f>Table4[[#This Row],[Item Cost]]*Table4[[#This Row],[In Stock]]</f>
        <v>6</v>
      </c>
      <c r="H1856" s="12" t="s">
        <v>4661</v>
      </c>
      <c r="I1856" s="13" t="s">
        <v>4666</v>
      </c>
      <c r="J1856" s="13" t="s">
        <v>4753</v>
      </c>
      <c r="K1856" s="13" t="s">
        <v>4672</v>
      </c>
      <c r="L1856" s="12" t="s">
        <v>4672</v>
      </c>
      <c r="M1856" s="17" t="str">
        <f>IF(LEN(COUNTIFS($H$1:H1856,$H1856,$I$1:I1856,$I1856,$J$1:J1856,$J1856,$K$1:K1856,K1856,$L$1:L1856,L1856))=1,"00"&amp;COUNTIFS($H$1:H1856,$H1856,$I$1:I1856,$I1856,$J$1:J1856,$J1856,$K$1:K1856,K1856,$L$1:L1856,L1856),IF(LEN(COUNTIFS($H$1:H1856,$H1856,$I$1:I1856,$I1856,$J$1:J1856,$J1856,$K$1:K1856,K1856,$L$1:L1856,L1856))=2,"0"&amp;COUNTIFS($H$1:H1856,$H1856,$I$1:I1856,$I1856,$J$1:J1856,$J1856,$K$1:K1856,K1856,$L$1:L1856,L1856),COUNTIFS($H$1:H1856,$H1856,$I$1:I1856,$I1856,$J$1:J1856,$J1856,$K$1:K1856,K1856,$L$1:L1856,L1856)))</f>
        <v>079</v>
      </c>
      <c r="N185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56" s="14" t="e">
        <f>+LEN(Table4[[#This Row],[New Item Code]])</f>
        <v>#N/A</v>
      </c>
      <c r="P1856" s="15" t="s">
        <v>4747</v>
      </c>
      <c r="Q1856" s="15" t="s">
        <v>4749</v>
      </c>
      <c r="R1856" s="15"/>
      <c r="S1856" s="15"/>
      <c r="T1856" s="15" t="s">
        <v>4753</v>
      </c>
    </row>
    <row r="1857" spans="1:20" x14ac:dyDescent="0.35">
      <c r="A1857" s="3" t="s">
        <v>3678</v>
      </c>
      <c r="B1857" s="3" t="s">
        <v>3679</v>
      </c>
      <c r="C1857" s="3" t="s">
        <v>15</v>
      </c>
      <c r="D1857" s="3">
        <v>36.104999999999997</v>
      </c>
      <c r="E1857" s="3" t="s">
        <v>10</v>
      </c>
      <c r="F1857" s="3">
        <v>0</v>
      </c>
      <c r="G1857" s="21">
        <f>Table4[[#This Row],[Item Cost]]*Table4[[#This Row],[In Stock]]</f>
        <v>0</v>
      </c>
      <c r="H1857" s="12" t="s">
        <v>4661</v>
      </c>
      <c r="I1857" s="13" t="s">
        <v>4666</v>
      </c>
      <c r="J1857" s="13" t="s">
        <v>4753</v>
      </c>
      <c r="K1857" s="13" t="s">
        <v>4672</v>
      </c>
      <c r="L1857" s="12" t="s">
        <v>4672</v>
      </c>
      <c r="M1857" s="17" t="str">
        <f>IF(LEN(COUNTIFS($H$1:H1857,$H1857,$I$1:I1857,$I1857,$J$1:J1857,$J1857,$K$1:K1857,K1857,$L$1:L1857,L1857))=1,"00"&amp;COUNTIFS($H$1:H1857,$H1857,$I$1:I1857,$I1857,$J$1:J1857,$J1857,$K$1:K1857,K1857,$L$1:L1857,L1857),IF(LEN(COUNTIFS($H$1:H1857,$H1857,$I$1:I1857,$I1857,$J$1:J1857,$J1857,$K$1:K1857,K1857,$L$1:L1857,L1857))=2,"0"&amp;COUNTIFS($H$1:H1857,$H1857,$I$1:I1857,$I1857,$J$1:J1857,$J1857,$K$1:K1857,K1857,$L$1:L1857,L1857),COUNTIFS($H$1:H1857,$H1857,$I$1:I1857,$I1857,$J$1:J1857,$J1857,$K$1:K1857,K1857,$L$1:L1857,L1857)))</f>
        <v>080</v>
      </c>
      <c r="N185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57" s="14" t="e">
        <f>+LEN(Table4[[#This Row],[New Item Code]])</f>
        <v>#N/A</v>
      </c>
      <c r="P1857" s="15" t="s">
        <v>4747</v>
      </c>
      <c r="Q1857" s="15" t="s">
        <v>4749</v>
      </c>
      <c r="R1857" s="15"/>
      <c r="S1857" s="15"/>
      <c r="T1857" s="15" t="s">
        <v>4753</v>
      </c>
    </row>
    <row r="1858" spans="1:20" x14ac:dyDescent="0.35">
      <c r="A1858" s="2" t="s">
        <v>3680</v>
      </c>
      <c r="B1858" s="2" t="s">
        <v>3681</v>
      </c>
      <c r="C1858" s="2" t="s">
        <v>15</v>
      </c>
      <c r="D1858" s="2">
        <v>425</v>
      </c>
      <c r="E1858" s="2" t="s">
        <v>10</v>
      </c>
      <c r="F1858" s="2">
        <v>5</v>
      </c>
      <c r="G1858" s="22">
        <f>Table4[[#This Row],[Item Cost]]*Table4[[#This Row],[In Stock]]</f>
        <v>2125</v>
      </c>
      <c r="H1858" s="12" t="s">
        <v>4661</v>
      </c>
      <c r="I1858" s="13" t="s">
        <v>4666</v>
      </c>
      <c r="J1858" s="13" t="s">
        <v>4753</v>
      </c>
      <c r="K1858" s="13" t="s">
        <v>4672</v>
      </c>
      <c r="L1858" s="12" t="s">
        <v>4672</v>
      </c>
      <c r="M1858" s="17" t="str">
        <f>IF(LEN(COUNTIFS($H$1:H1858,$H1858,$I$1:I1858,$I1858,$J$1:J1858,$J1858,$K$1:K1858,K1858,$L$1:L1858,L1858))=1,"00"&amp;COUNTIFS($H$1:H1858,$H1858,$I$1:I1858,$I1858,$J$1:J1858,$J1858,$K$1:K1858,K1858,$L$1:L1858,L1858),IF(LEN(COUNTIFS($H$1:H1858,$H1858,$I$1:I1858,$I1858,$J$1:J1858,$J1858,$K$1:K1858,K1858,$L$1:L1858,L1858))=2,"0"&amp;COUNTIFS($H$1:H1858,$H1858,$I$1:I1858,$I1858,$J$1:J1858,$J1858,$K$1:K1858,K1858,$L$1:L1858,L1858),COUNTIFS($H$1:H1858,$H1858,$I$1:I1858,$I1858,$J$1:J1858,$J1858,$K$1:K1858,K1858,$L$1:L1858,L1858)))</f>
        <v>081</v>
      </c>
      <c r="N185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58" s="14" t="e">
        <f>+LEN(Table4[[#This Row],[New Item Code]])</f>
        <v>#N/A</v>
      </c>
      <c r="P1858" s="15" t="s">
        <v>4747</v>
      </c>
      <c r="Q1858" s="15" t="s">
        <v>4749</v>
      </c>
      <c r="R1858" s="15"/>
      <c r="S1858" s="15"/>
      <c r="T1858" s="15" t="s">
        <v>4753</v>
      </c>
    </row>
    <row r="1859" spans="1:20" x14ac:dyDescent="0.35">
      <c r="A1859" s="3" t="s">
        <v>3682</v>
      </c>
      <c r="B1859" s="3" t="s">
        <v>3683</v>
      </c>
      <c r="C1859" s="3" t="s">
        <v>15</v>
      </c>
      <c r="D1859" s="3">
        <v>0</v>
      </c>
      <c r="E1859" s="3" t="s">
        <v>10</v>
      </c>
      <c r="F1859" s="3">
        <v>0</v>
      </c>
      <c r="G1859" s="21">
        <f>Table4[[#This Row],[Item Cost]]*Table4[[#This Row],[In Stock]]</f>
        <v>0</v>
      </c>
      <c r="H1859" s="12" t="s">
        <v>4661</v>
      </c>
      <c r="I1859" s="13" t="s">
        <v>4666</v>
      </c>
      <c r="J1859" s="13" t="s">
        <v>4753</v>
      </c>
      <c r="K1859" s="13" t="s">
        <v>4672</v>
      </c>
      <c r="L1859" s="12" t="s">
        <v>4672</v>
      </c>
      <c r="M1859" s="17" t="str">
        <f>IF(LEN(COUNTIFS($H$1:H1859,$H1859,$I$1:I1859,$I1859,$J$1:J1859,$J1859,$K$1:K1859,K1859,$L$1:L1859,L1859))=1,"00"&amp;COUNTIFS($H$1:H1859,$H1859,$I$1:I1859,$I1859,$J$1:J1859,$J1859,$K$1:K1859,K1859,$L$1:L1859,L1859),IF(LEN(COUNTIFS($H$1:H1859,$H1859,$I$1:I1859,$I1859,$J$1:J1859,$J1859,$K$1:K1859,K1859,$L$1:L1859,L1859))=2,"0"&amp;COUNTIFS($H$1:H1859,$H1859,$I$1:I1859,$I1859,$J$1:J1859,$J1859,$K$1:K1859,K1859,$L$1:L1859,L1859),COUNTIFS($H$1:H1859,$H1859,$I$1:I1859,$I1859,$J$1:J1859,$J1859,$K$1:K1859,K1859,$L$1:L1859,L1859)))</f>
        <v>082</v>
      </c>
      <c r="N185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59" s="14" t="e">
        <f>+LEN(Table4[[#This Row],[New Item Code]])</f>
        <v>#N/A</v>
      </c>
      <c r="P1859" s="15" t="s">
        <v>4747</v>
      </c>
      <c r="Q1859" s="15" t="s">
        <v>4749</v>
      </c>
      <c r="R1859" s="15"/>
      <c r="S1859" s="15"/>
      <c r="T1859" s="15" t="s">
        <v>4753</v>
      </c>
    </row>
    <row r="1860" spans="1:20" x14ac:dyDescent="0.35">
      <c r="A1860" s="2" t="s">
        <v>3684</v>
      </c>
      <c r="B1860" s="2" t="s">
        <v>3685</v>
      </c>
      <c r="C1860" s="2" t="s">
        <v>56</v>
      </c>
      <c r="D1860" s="2">
        <v>0</v>
      </c>
      <c r="E1860" s="2" t="s">
        <v>57</v>
      </c>
      <c r="F1860" s="2">
        <v>0</v>
      </c>
      <c r="G1860" s="22">
        <f>Table4[[#This Row],[Item Cost]]*Table4[[#This Row],[In Stock]]</f>
        <v>0</v>
      </c>
      <c r="H1860" s="12" t="s">
        <v>4661</v>
      </c>
      <c r="I1860" s="13" t="s">
        <v>4668</v>
      </c>
      <c r="J1860" s="13" t="s">
        <v>4753</v>
      </c>
      <c r="K1860" s="13" t="s">
        <v>4672</v>
      </c>
      <c r="L1860" s="12" t="s">
        <v>4672</v>
      </c>
      <c r="M1860" s="17" t="str">
        <f>IF(LEN(COUNTIFS($H$1:H1860,$H1860,$I$1:I1860,$I1860,$J$1:J1860,$J1860,$K$1:K1860,K1860,$L$1:L1860,L1860))=1,"00"&amp;COUNTIFS($H$1:H1860,$H1860,$I$1:I1860,$I1860,$J$1:J1860,$J1860,$K$1:K1860,K1860,$L$1:L1860,L1860),IF(LEN(COUNTIFS($H$1:H1860,$H1860,$I$1:I1860,$I1860,$J$1:J1860,$J1860,$K$1:K1860,K1860,$L$1:L1860,L1860))=2,"0"&amp;COUNTIFS($H$1:H1860,$H1860,$I$1:I1860,$I1860,$J$1:J1860,$J1860,$K$1:K1860,K1860,$L$1:L1860,L1860),COUNTIFS($H$1:H1860,$H1860,$I$1:I1860,$I1860,$J$1:J1860,$J1860,$K$1:K1860,K1860,$L$1:L1860,L1860)))</f>
        <v>087</v>
      </c>
      <c r="N186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60" s="14" t="e">
        <f>+LEN(Table4[[#This Row],[New Item Code]])</f>
        <v>#N/A</v>
      </c>
      <c r="P1860" s="15" t="s">
        <v>4747</v>
      </c>
      <c r="Q1860" s="15" t="s">
        <v>4749</v>
      </c>
      <c r="R1860" s="15"/>
      <c r="S1860" s="15"/>
      <c r="T1860" s="15" t="s">
        <v>4753</v>
      </c>
    </row>
    <row r="1861" spans="1:20" x14ac:dyDescent="0.35">
      <c r="A1861" s="3" t="s">
        <v>3686</v>
      </c>
      <c r="B1861" s="3" t="s">
        <v>3687</v>
      </c>
      <c r="C1861" s="3" t="s">
        <v>15</v>
      </c>
      <c r="D1861" s="3">
        <v>370</v>
      </c>
      <c r="E1861" s="3" t="s">
        <v>10</v>
      </c>
      <c r="F1861" s="3">
        <v>0</v>
      </c>
      <c r="G1861" s="21">
        <f>Table4[[#This Row],[Item Cost]]*Table4[[#This Row],[In Stock]]</f>
        <v>0</v>
      </c>
      <c r="H1861" s="12" t="s">
        <v>4661</v>
      </c>
      <c r="I1861" s="13" t="s">
        <v>4666</v>
      </c>
      <c r="J1861" s="13" t="s">
        <v>4753</v>
      </c>
      <c r="K1861" s="13" t="s">
        <v>4672</v>
      </c>
      <c r="L1861" s="12" t="s">
        <v>4672</v>
      </c>
      <c r="M1861" s="17" t="str">
        <f>IF(LEN(COUNTIFS($H$1:H1861,$H1861,$I$1:I1861,$I1861,$J$1:J1861,$J1861,$K$1:K1861,K1861,$L$1:L1861,L1861))=1,"00"&amp;COUNTIFS($H$1:H1861,$H1861,$I$1:I1861,$I1861,$J$1:J1861,$J1861,$K$1:K1861,K1861,$L$1:L1861,L1861),IF(LEN(COUNTIFS($H$1:H1861,$H1861,$I$1:I1861,$I1861,$J$1:J1861,$J1861,$K$1:K1861,K1861,$L$1:L1861,L1861))=2,"0"&amp;COUNTIFS($H$1:H1861,$H1861,$I$1:I1861,$I1861,$J$1:J1861,$J1861,$K$1:K1861,K1861,$L$1:L1861,L1861),COUNTIFS($H$1:H1861,$H1861,$I$1:I1861,$I1861,$J$1:J1861,$J1861,$K$1:K1861,K1861,$L$1:L1861,L1861)))</f>
        <v>083</v>
      </c>
      <c r="N186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61" s="14" t="e">
        <f>+LEN(Table4[[#This Row],[New Item Code]])</f>
        <v>#N/A</v>
      </c>
      <c r="P1861" s="15" t="s">
        <v>4747</v>
      </c>
      <c r="Q1861" s="15" t="s">
        <v>4749</v>
      </c>
      <c r="R1861" s="15"/>
      <c r="S1861" s="15"/>
      <c r="T1861" s="15" t="s">
        <v>4753</v>
      </c>
    </row>
    <row r="1862" spans="1:20" x14ac:dyDescent="0.35">
      <c r="A1862" s="2" t="s">
        <v>3688</v>
      </c>
      <c r="B1862" s="2" t="s">
        <v>3689</v>
      </c>
      <c r="C1862" s="2" t="s">
        <v>15</v>
      </c>
      <c r="D1862" s="2">
        <v>190</v>
      </c>
      <c r="E1862" s="2" t="s">
        <v>10</v>
      </c>
      <c r="F1862" s="2">
        <v>0</v>
      </c>
      <c r="G1862" s="22">
        <f>Table4[[#This Row],[Item Cost]]*Table4[[#This Row],[In Stock]]</f>
        <v>0</v>
      </c>
      <c r="H1862" s="12" t="s">
        <v>4661</v>
      </c>
      <c r="I1862" s="13" t="s">
        <v>4666</v>
      </c>
      <c r="J1862" s="13" t="s">
        <v>4753</v>
      </c>
      <c r="K1862" s="13" t="s">
        <v>4672</v>
      </c>
      <c r="L1862" s="12" t="s">
        <v>4672</v>
      </c>
      <c r="M1862" s="17" t="str">
        <f>IF(LEN(COUNTIFS($H$1:H1862,$H1862,$I$1:I1862,$I1862,$J$1:J1862,$J1862,$K$1:K1862,K1862,$L$1:L1862,L1862))=1,"00"&amp;COUNTIFS($H$1:H1862,$H1862,$I$1:I1862,$I1862,$J$1:J1862,$J1862,$K$1:K1862,K1862,$L$1:L1862,L1862),IF(LEN(COUNTIFS($H$1:H1862,$H1862,$I$1:I1862,$I1862,$J$1:J1862,$J1862,$K$1:K1862,K1862,$L$1:L1862,L1862))=2,"0"&amp;COUNTIFS($H$1:H1862,$H1862,$I$1:I1862,$I1862,$J$1:J1862,$J1862,$K$1:K1862,K1862,$L$1:L1862,L1862),COUNTIFS($H$1:H1862,$H1862,$I$1:I1862,$I1862,$J$1:J1862,$J1862,$K$1:K1862,K1862,$L$1:L1862,L1862)))</f>
        <v>084</v>
      </c>
      <c r="N186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62" s="14" t="e">
        <f>+LEN(Table4[[#This Row],[New Item Code]])</f>
        <v>#N/A</v>
      </c>
      <c r="P1862" s="15" t="s">
        <v>4747</v>
      </c>
      <c r="Q1862" s="15" t="s">
        <v>4749</v>
      </c>
      <c r="R1862" s="15"/>
      <c r="S1862" s="15"/>
      <c r="T1862" s="15" t="s">
        <v>4753</v>
      </c>
    </row>
    <row r="1863" spans="1:20" x14ac:dyDescent="0.35">
      <c r="A1863" s="3" t="s">
        <v>3690</v>
      </c>
      <c r="B1863" s="3" t="s">
        <v>3691</v>
      </c>
      <c r="C1863" s="3" t="s">
        <v>15</v>
      </c>
      <c r="D1863" s="3">
        <v>60</v>
      </c>
      <c r="E1863" s="3" t="s">
        <v>10</v>
      </c>
      <c r="F1863" s="3">
        <v>0</v>
      </c>
      <c r="G1863" s="21">
        <f>Table4[[#This Row],[Item Cost]]*Table4[[#This Row],[In Stock]]</f>
        <v>0</v>
      </c>
      <c r="H1863" s="12" t="s">
        <v>4661</v>
      </c>
      <c r="I1863" s="13" t="s">
        <v>4666</v>
      </c>
      <c r="J1863" s="13" t="s">
        <v>4753</v>
      </c>
      <c r="K1863" s="13" t="s">
        <v>4672</v>
      </c>
      <c r="L1863" s="12" t="s">
        <v>4672</v>
      </c>
      <c r="M1863" s="17" t="str">
        <f>IF(LEN(COUNTIFS($H$1:H1863,$H1863,$I$1:I1863,$I1863,$J$1:J1863,$J1863,$K$1:K1863,K1863,$L$1:L1863,L1863))=1,"00"&amp;COUNTIFS($H$1:H1863,$H1863,$I$1:I1863,$I1863,$J$1:J1863,$J1863,$K$1:K1863,K1863,$L$1:L1863,L1863),IF(LEN(COUNTIFS($H$1:H1863,$H1863,$I$1:I1863,$I1863,$J$1:J1863,$J1863,$K$1:K1863,K1863,$L$1:L1863,L1863))=2,"0"&amp;COUNTIFS($H$1:H1863,$H1863,$I$1:I1863,$I1863,$J$1:J1863,$J1863,$K$1:K1863,K1863,$L$1:L1863,L1863),COUNTIFS($H$1:H1863,$H1863,$I$1:I1863,$I1863,$J$1:J1863,$J1863,$K$1:K1863,K1863,$L$1:L1863,L1863)))</f>
        <v>085</v>
      </c>
      <c r="N186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63" s="14" t="e">
        <f>+LEN(Table4[[#This Row],[New Item Code]])</f>
        <v>#N/A</v>
      </c>
      <c r="P1863" s="15" t="s">
        <v>4747</v>
      </c>
      <c r="Q1863" s="15" t="s">
        <v>4749</v>
      </c>
      <c r="R1863" s="15"/>
      <c r="S1863" s="15"/>
      <c r="T1863" s="15" t="s">
        <v>4753</v>
      </c>
    </row>
    <row r="1864" spans="1:20" x14ac:dyDescent="0.35">
      <c r="A1864" s="2" t="s">
        <v>3692</v>
      </c>
      <c r="B1864" s="2" t="s">
        <v>3693</v>
      </c>
      <c r="C1864" s="2" t="s">
        <v>56</v>
      </c>
      <c r="D1864" s="2">
        <v>0</v>
      </c>
      <c r="E1864" s="2" t="s">
        <v>57</v>
      </c>
      <c r="F1864" s="2">
        <v>0</v>
      </c>
      <c r="G1864" s="22">
        <f>Table4[[#This Row],[Item Cost]]*Table4[[#This Row],[In Stock]]</f>
        <v>0</v>
      </c>
      <c r="H1864" s="12" t="s">
        <v>4661</v>
      </c>
      <c r="I1864" s="13" t="s">
        <v>4668</v>
      </c>
      <c r="J1864" s="13" t="s">
        <v>4753</v>
      </c>
      <c r="K1864" s="13" t="s">
        <v>4672</v>
      </c>
      <c r="L1864" s="12" t="s">
        <v>4672</v>
      </c>
      <c r="M1864" s="17" t="str">
        <f>IF(LEN(COUNTIFS($H$1:H1864,$H1864,$I$1:I1864,$I1864,$J$1:J1864,$J1864,$K$1:K1864,K1864,$L$1:L1864,L1864))=1,"00"&amp;COUNTIFS($H$1:H1864,$H1864,$I$1:I1864,$I1864,$J$1:J1864,$J1864,$K$1:K1864,K1864,$L$1:L1864,L1864),IF(LEN(COUNTIFS($H$1:H1864,$H1864,$I$1:I1864,$I1864,$J$1:J1864,$J1864,$K$1:K1864,K1864,$L$1:L1864,L1864))=2,"0"&amp;COUNTIFS($H$1:H1864,$H1864,$I$1:I1864,$I1864,$J$1:J1864,$J1864,$K$1:K1864,K1864,$L$1:L1864,L1864),COUNTIFS($H$1:H1864,$H1864,$I$1:I1864,$I1864,$J$1:J1864,$J1864,$K$1:K1864,K1864,$L$1:L1864,L1864)))</f>
        <v>088</v>
      </c>
      <c r="N186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64" s="14" t="e">
        <f>+LEN(Table4[[#This Row],[New Item Code]])</f>
        <v>#N/A</v>
      </c>
      <c r="P1864" s="15" t="s">
        <v>4747</v>
      </c>
      <c r="Q1864" s="15" t="s">
        <v>4749</v>
      </c>
      <c r="R1864" s="15"/>
      <c r="S1864" s="15"/>
      <c r="T1864" s="15" t="s">
        <v>4753</v>
      </c>
    </row>
    <row r="1865" spans="1:20" x14ac:dyDescent="0.35">
      <c r="A1865" s="3" t="s">
        <v>3694</v>
      </c>
      <c r="B1865" s="3" t="s">
        <v>3695</v>
      </c>
      <c r="C1865" s="3" t="s">
        <v>56</v>
      </c>
      <c r="D1865" s="3">
        <v>0</v>
      </c>
      <c r="E1865" s="3" t="s">
        <v>57</v>
      </c>
      <c r="F1865" s="3">
        <v>0</v>
      </c>
      <c r="G1865" s="21">
        <f>Table4[[#This Row],[Item Cost]]*Table4[[#This Row],[In Stock]]</f>
        <v>0</v>
      </c>
      <c r="H1865" s="12" t="s">
        <v>4661</v>
      </c>
      <c r="I1865" s="13" t="s">
        <v>4668</v>
      </c>
      <c r="J1865" s="13" t="s">
        <v>4753</v>
      </c>
      <c r="K1865" s="13" t="s">
        <v>4672</v>
      </c>
      <c r="L1865" s="12" t="s">
        <v>4672</v>
      </c>
      <c r="M1865" s="17" t="str">
        <f>IF(LEN(COUNTIFS($H$1:H1865,$H1865,$I$1:I1865,$I1865,$J$1:J1865,$J1865,$K$1:K1865,K1865,$L$1:L1865,L1865))=1,"00"&amp;COUNTIFS($H$1:H1865,$H1865,$I$1:I1865,$I1865,$J$1:J1865,$J1865,$K$1:K1865,K1865,$L$1:L1865,L1865),IF(LEN(COUNTIFS($H$1:H1865,$H1865,$I$1:I1865,$I1865,$J$1:J1865,$J1865,$K$1:K1865,K1865,$L$1:L1865,L1865))=2,"0"&amp;COUNTIFS($H$1:H1865,$H1865,$I$1:I1865,$I1865,$J$1:J1865,$J1865,$K$1:K1865,K1865,$L$1:L1865,L1865),COUNTIFS($H$1:H1865,$H1865,$I$1:I1865,$I1865,$J$1:J1865,$J1865,$K$1:K1865,K1865,$L$1:L1865,L1865)))</f>
        <v>089</v>
      </c>
      <c r="N186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65" s="14" t="e">
        <f>+LEN(Table4[[#This Row],[New Item Code]])</f>
        <v>#N/A</v>
      </c>
      <c r="P1865" s="15" t="s">
        <v>4747</v>
      </c>
      <c r="Q1865" s="15" t="s">
        <v>4749</v>
      </c>
      <c r="R1865" s="15"/>
      <c r="S1865" s="15"/>
      <c r="T1865" s="15" t="s">
        <v>4753</v>
      </c>
    </row>
    <row r="1866" spans="1:20" x14ac:dyDescent="0.35">
      <c r="A1866" s="2" t="s">
        <v>3696</v>
      </c>
      <c r="B1866" s="2" t="s">
        <v>3697</v>
      </c>
      <c r="C1866" s="2" t="s">
        <v>56</v>
      </c>
      <c r="D1866" s="2">
        <v>0</v>
      </c>
      <c r="E1866" s="2" t="s">
        <v>57</v>
      </c>
      <c r="F1866" s="2">
        <v>0</v>
      </c>
      <c r="G1866" s="22">
        <f>Table4[[#This Row],[Item Cost]]*Table4[[#This Row],[In Stock]]</f>
        <v>0</v>
      </c>
      <c r="H1866" s="12" t="s">
        <v>4661</v>
      </c>
      <c r="I1866" s="13" t="s">
        <v>4668</v>
      </c>
      <c r="J1866" s="13" t="s">
        <v>4753</v>
      </c>
      <c r="K1866" s="13" t="s">
        <v>4672</v>
      </c>
      <c r="L1866" s="12" t="s">
        <v>4672</v>
      </c>
      <c r="M1866" s="17" t="str">
        <f>IF(LEN(COUNTIFS($H$1:H1866,$H1866,$I$1:I1866,$I1866,$J$1:J1866,$J1866,$K$1:K1866,K1866,$L$1:L1866,L1866))=1,"00"&amp;COUNTIFS($H$1:H1866,$H1866,$I$1:I1866,$I1866,$J$1:J1866,$J1866,$K$1:K1866,K1866,$L$1:L1866,L1866),IF(LEN(COUNTIFS($H$1:H1866,$H1866,$I$1:I1866,$I1866,$J$1:J1866,$J1866,$K$1:K1866,K1866,$L$1:L1866,L1866))=2,"0"&amp;COUNTIFS($H$1:H1866,$H1866,$I$1:I1866,$I1866,$J$1:J1866,$J1866,$K$1:K1866,K1866,$L$1:L1866,L1866),COUNTIFS($H$1:H1866,$H1866,$I$1:I1866,$I1866,$J$1:J1866,$J1866,$K$1:K1866,K1866,$L$1:L1866,L1866)))</f>
        <v>090</v>
      </c>
      <c r="N186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66" s="14" t="e">
        <f>+LEN(Table4[[#This Row],[New Item Code]])</f>
        <v>#N/A</v>
      </c>
      <c r="P1866" s="15" t="s">
        <v>4747</v>
      </c>
      <c r="Q1866" s="15" t="s">
        <v>4749</v>
      </c>
      <c r="R1866" s="15"/>
      <c r="S1866" s="15"/>
      <c r="T1866" s="15" t="s">
        <v>4753</v>
      </c>
    </row>
    <row r="1867" spans="1:20" x14ac:dyDescent="0.35">
      <c r="A1867" s="3" t="s">
        <v>3698</v>
      </c>
      <c r="B1867" s="3" t="s">
        <v>3699</v>
      </c>
      <c r="C1867" s="3" t="s">
        <v>15</v>
      </c>
      <c r="D1867" s="3">
        <v>0</v>
      </c>
      <c r="E1867" s="3" t="s">
        <v>10</v>
      </c>
      <c r="F1867" s="3">
        <v>0</v>
      </c>
      <c r="G1867" s="21">
        <f>Table4[[#This Row],[Item Cost]]*Table4[[#This Row],[In Stock]]</f>
        <v>0</v>
      </c>
      <c r="H1867" s="12" t="s">
        <v>4661</v>
      </c>
      <c r="I1867" s="13" t="s">
        <v>4666</v>
      </c>
      <c r="J1867" s="13" t="s">
        <v>4753</v>
      </c>
      <c r="K1867" s="13" t="s">
        <v>4672</v>
      </c>
      <c r="L1867" s="12" t="s">
        <v>4672</v>
      </c>
      <c r="M1867" s="17" t="str">
        <f>IF(LEN(COUNTIFS($H$1:H1867,$H1867,$I$1:I1867,$I1867,$J$1:J1867,$J1867,$K$1:K1867,K1867,$L$1:L1867,L1867))=1,"00"&amp;COUNTIFS($H$1:H1867,$H1867,$I$1:I1867,$I1867,$J$1:J1867,$J1867,$K$1:K1867,K1867,$L$1:L1867,L1867),IF(LEN(COUNTIFS($H$1:H1867,$H1867,$I$1:I1867,$I1867,$J$1:J1867,$J1867,$K$1:K1867,K1867,$L$1:L1867,L1867))=2,"0"&amp;COUNTIFS($H$1:H1867,$H1867,$I$1:I1867,$I1867,$J$1:J1867,$J1867,$K$1:K1867,K1867,$L$1:L1867,L1867),COUNTIFS($H$1:H1867,$H1867,$I$1:I1867,$I1867,$J$1:J1867,$J1867,$K$1:K1867,K1867,$L$1:L1867,L1867)))</f>
        <v>086</v>
      </c>
      <c r="N186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67" s="14" t="e">
        <f>+LEN(Table4[[#This Row],[New Item Code]])</f>
        <v>#N/A</v>
      </c>
      <c r="P1867" s="15" t="s">
        <v>4747</v>
      </c>
      <c r="Q1867" s="15" t="s">
        <v>4749</v>
      </c>
      <c r="R1867" s="15"/>
      <c r="S1867" s="15"/>
      <c r="T1867" s="15" t="s">
        <v>4753</v>
      </c>
    </row>
    <row r="1868" spans="1:20" x14ac:dyDescent="0.35">
      <c r="A1868" s="2" t="s">
        <v>3700</v>
      </c>
      <c r="B1868" s="2" t="s">
        <v>3701</v>
      </c>
      <c r="C1868" s="2" t="s">
        <v>15</v>
      </c>
      <c r="D1868" s="2">
        <v>2.5</v>
      </c>
      <c r="E1868" s="2" t="s">
        <v>10</v>
      </c>
      <c r="F1868" s="2">
        <v>0</v>
      </c>
      <c r="G1868" s="22">
        <f>Table4[[#This Row],[Item Cost]]*Table4[[#This Row],[In Stock]]</f>
        <v>0</v>
      </c>
      <c r="H1868" s="12" t="s">
        <v>4661</v>
      </c>
      <c r="I1868" s="13" t="s">
        <v>4666</v>
      </c>
      <c r="J1868" s="13" t="s">
        <v>4753</v>
      </c>
      <c r="K1868" s="13" t="s">
        <v>4672</v>
      </c>
      <c r="L1868" s="12" t="s">
        <v>4672</v>
      </c>
      <c r="M1868" s="17" t="str">
        <f>IF(LEN(COUNTIFS($H$1:H1868,$H1868,$I$1:I1868,$I1868,$J$1:J1868,$J1868,$K$1:K1868,K1868,$L$1:L1868,L1868))=1,"00"&amp;COUNTIFS($H$1:H1868,$H1868,$I$1:I1868,$I1868,$J$1:J1868,$J1868,$K$1:K1868,K1868,$L$1:L1868,L1868),IF(LEN(COUNTIFS($H$1:H1868,$H1868,$I$1:I1868,$I1868,$J$1:J1868,$J1868,$K$1:K1868,K1868,$L$1:L1868,L1868))=2,"0"&amp;COUNTIFS($H$1:H1868,$H1868,$I$1:I1868,$I1868,$J$1:J1868,$J1868,$K$1:K1868,K1868,$L$1:L1868,L1868),COUNTIFS($H$1:H1868,$H1868,$I$1:I1868,$I1868,$J$1:J1868,$J1868,$K$1:K1868,K1868,$L$1:L1868,L1868)))</f>
        <v>087</v>
      </c>
      <c r="N186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68" s="14" t="e">
        <f>+LEN(Table4[[#This Row],[New Item Code]])</f>
        <v>#N/A</v>
      </c>
      <c r="P1868" s="15" t="s">
        <v>4747</v>
      </c>
      <c r="Q1868" s="15" t="s">
        <v>4749</v>
      </c>
      <c r="R1868" s="15"/>
      <c r="S1868" s="15"/>
      <c r="T1868" s="15" t="s">
        <v>4753</v>
      </c>
    </row>
    <row r="1869" spans="1:20" x14ac:dyDescent="0.35">
      <c r="A1869" s="3" t="s">
        <v>3702</v>
      </c>
      <c r="B1869" s="3" t="s">
        <v>3703</v>
      </c>
      <c r="C1869" s="3" t="s">
        <v>56</v>
      </c>
      <c r="D1869" s="3">
        <v>370</v>
      </c>
      <c r="E1869" s="3" t="s">
        <v>10</v>
      </c>
      <c r="F1869" s="3">
        <v>0</v>
      </c>
      <c r="G1869" s="21">
        <f>Table4[[#This Row],[Item Cost]]*Table4[[#This Row],[In Stock]]</f>
        <v>0</v>
      </c>
      <c r="H1869" s="12" t="s">
        <v>4661</v>
      </c>
      <c r="I1869" s="13" t="s">
        <v>4668</v>
      </c>
      <c r="J1869" s="13" t="s">
        <v>4753</v>
      </c>
      <c r="K1869" s="13" t="s">
        <v>4672</v>
      </c>
      <c r="L1869" s="12" t="s">
        <v>4672</v>
      </c>
      <c r="M1869" s="17" t="str">
        <f>IF(LEN(COUNTIFS($H$1:H1869,$H1869,$I$1:I1869,$I1869,$J$1:J1869,$J1869,$K$1:K1869,K1869,$L$1:L1869,L1869))=1,"00"&amp;COUNTIFS($H$1:H1869,$H1869,$I$1:I1869,$I1869,$J$1:J1869,$J1869,$K$1:K1869,K1869,$L$1:L1869,L1869),IF(LEN(COUNTIFS($H$1:H1869,$H1869,$I$1:I1869,$I1869,$J$1:J1869,$J1869,$K$1:K1869,K1869,$L$1:L1869,L1869))=2,"0"&amp;COUNTIFS($H$1:H1869,$H1869,$I$1:I1869,$I1869,$J$1:J1869,$J1869,$K$1:K1869,K1869,$L$1:L1869,L1869),COUNTIFS($H$1:H1869,$H1869,$I$1:I1869,$I1869,$J$1:J1869,$J1869,$K$1:K1869,K1869,$L$1:L1869,L1869)))</f>
        <v>091</v>
      </c>
      <c r="N186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69" s="14" t="e">
        <f>+LEN(Table4[[#This Row],[New Item Code]])</f>
        <v>#N/A</v>
      </c>
      <c r="P1869" s="15" t="s">
        <v>4747</v>
      </c>
      <c r="Q1869" s="15" t="s">
        <v>4749</v>
      </c>
      <c r="R1869" s="15"/>
      <c r="S1869" s="15"/>
      <c r="T1869" s="15" t="s">
        <v>4753</v>
      </c>
    </row>
    <row r="1870" spans="1:20" x14ac:dyDescent="0.35">
      <c r="A1870" s="2" t="s">
        <v>3704</v>
      </c>
      <c r="B1870" s="2" t="s">
        <v>3705</v>
      </c>
      <c r="C1870" s="2" t="s">
        <v>15</v>
      </c>
      <c r="D1870" s="2">
        <v>0</v>
      </c>
      <c r="E1870" s="2" t="s">
        <v>57</v>
      </c>
      <c r="F1870" s="2">
        <v>0</v>
      </c>
      <c r="G1870" s="22">
        <f>Table4[[#This Row],[Item Cost]]*Table4[[#This Row],[In Stock]]</f>
        <v>0</v>
      </c>
      <c r="H1870" s="12" t="s">
        <v>4661</v>
      </c>
      <c r="I1870" s="13" t="s">
        <v>4666</v>
      </c>
      <c r="J1870" s="13" t="s">
        <v>4753</v>
      </c>
      <c r="K1870" s="13" t="s">
        <v>4672</v>
      </c>
      <c r="L1870" s="12" t="s">
        <v>4672</v>
      </c>
      <c r="M1870" s="17" t="str">
        <f>IF(LEN(COUNTIFS($H$1:H1870,$H1870,$I$1:I1870,$I1870,$J$1:J1870,$J1870,$K$1:K1870,K1870,$L$1:L1870,L1870))=1,"00"&amp;COUNTIFS($H$1:H1870,$H1870,$I$1:I1870,$I1870,$J$1:J1870,$J1870,$K$1:K1870,K1870,$L$1:L1870,L1870),IF(LEN(COUNTIFS($H$1:H1870,$H1870,$I$1:I1870,$I1870,$J$1:J1870,$J1870,$K$1:K1870,K1870,$L$1:L1870,L1870))=2,"0"&amp;COUNTIFS($H$1:H1870,$H1870,$I$1:I1870,$I1870,$J$1:J1870,$J1870,$K$1:K1870,K1870,$L$1:L1870,L1870),COUNTIFS($H$1:H1870,$H1870,$I$1:I1870,$I1870,$J$1:J1870,$J1870,$K$1:K1870,K1870,$L$1:L1870,L1870)))</f>
        <v>088</v>
      </c>
      <c r="N187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70" s="14" t="e">
        <f>+LEN(Table4[[#This Row],[New Item Code]])</f>
        <v>#N/A</v>
      </c>
      <c r="P1870" s="15" t="s">
        <v>4747</v>
      </c>
      <c r="Q1870" s="15" t="s">
        <v>4749</v>
      </c>
      <c r="R1870" s="15"/>
      <c r="S1870" s="15"/>
      <c r="T1870" s="15" t="s">
        <v>4753</v>
      </c>
    </row>
    <row r="1871" spans="1:20" x14ac:dyDescent="0.35">
      <c r="A1871" s="2" t="s">
        <v>3706</v>
      </c>
      <c r="B1871" s="2" t="s">
        <v>3707</v>
      </c>
      <c r="C1871" s="2" t="s">
        <v>15</v>
      </c>
      <c r="D1871" s="2">
        <v>0</v>
      </c>
      <c r="E1871" s="2" t="s">
        <v>57</v>
      </c>
      <c r="F1871" s="2">
        <v>0</v>
      </c>
      <c r="G1871" s="22">
        <f>Table4[[#This Row],[Item Cost]]*Table4[[#This Row],[In Stock]]</f>
        <v>0</v>
      </c>
      <c r="H1871" s="12" t="s">
        <v>4661</v>
      </c>
      <c r="I1871" s="13" t="s">
        <v>4666</v>
      </c>
      <c r="J1871" s="13" t="s">
        <v>4753</v>
      </c>
      <c r="K1871" s="13" t="s">
        <v>4672</v>
      </c>
      <c r="L1871" s="12" t="s">
        <v>4672</v>
      </c>
      <c r="M1871" s="17" t="str">
        <f>IF(LEN(COUNTIFS($H$1:H1871,$H1871,$I$1:I1871,$I1871,$J$1:J1871,$J1871,$K$1:K1871,K1871,$L$1:L1871,L1871))=1,"00"&amp;COUNTIFS($H$1:H1871,$H1871,$I$1:I1871,$I1871,$J$1:J1871,$J1871,$K$1:K1871,K1871,$L$1:L1871,L1871),IF(LEN(COUNTIFS($H$1:H1871,$H1871,$I$1:I1871,$I1871,$J$1:J1871,$J1871,$K$1:K1871,K1871,$L$1:L1871,L1871))=2,"0"&amp;COUNTIFS($H$1:H1871,$H1871,$I$1:I1871,$I1871,$J$1:J1871,$J1871,$K$1:K1871,K1871,$L$1:L1871,L1871),COUNTIFS($H$1:H1871,$H1871,$I$1:I1871,$I1871,$J$1:J1871,$J1871,$K$1:K1871,K1871,$L$1:L1871,L1871)))</f>
        <v>089</v>
      </c>
      <c r="N187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71" s="14" t="e">
        <f>+LEN(Table4[[#This Row],[New Item Code]])</f>
        <v>#N/A</v>
      </c>
      <c r="P1871" s="15" t="s">
        <v>4747</v>
      </c>
      <c r="Q1871" s="15" t="s">
        <v>4749</v>
      </c>
      <c r="R1871" s="15"/>
      <c r="S1871" s="15"/>
      <c r="T1871" s="15" t="s">
        <v>4753</v>
      </c>
    </row>
    <row r="1872" spans="1:20" x14ac:dyDescent="0.35">
      <c r="A1872" s="3" t="s">
        <v>3708</v>
      </c>
      <c r="B1872" s="3" t="s">
        <v>3709</v>
      </c>
      <c r="C1872" s="3" t="s">
        <v>15</v>
      </c>
      <c r="D1872" s="3">
        <v>0</v>
      </c>
      <c r="E1872" s="3" t="s">
        <v>10</v>
      </c>
      <c r="F1872" s="3">
        <v>0</v>
      </c>
      <c r="G1872" s="21">
        <f>Table4[[#This Row],[Item Cost]]*Table4[[#This Row],[In Stock]]</f>
        <v>0</v>
      </c>
      <c r="H1872" s="12" t="s">
        <v>4661</v>
      </c>
      <c r="I1872" s="13" t="s">
        <v>4666</v>
      </c>
      <c r="J1872" s="13" t="s">
        <v>4753</v>
      </c>
      <c r="K1872" s="13" t="s">
        <v>4672</v>
      </c>
      <c r="L1872" s="12" t="s">
        <v>4672</v>
      </c>
      <c r="M1872" s="17" t="str">
        <f>IF(LEN(COUNTIFS($H$1:H1872,$H1872,$I$1:I1872,$I1872,$J$1:J1872,$J1872,$K$1:K1872,K1872,$L$1:L1872,L1872))=1,"00"&amp;COUNTIFS($H$1:H1872,$H1872,$I$1:I1872,$I1872,$J$1:J1872,$J1872,$K$1:K1872,K1872,$L$1:L1872,L1872),IF(LEN(COUNTIFS($H$1:H1872,$H1872,$I$1:I1872,$I1872,$J$1:J1872,$J1872,$K$1:K1872,K1872,$L$1:L1872,L1872))=2,"0"&amp;COUNTIFS($H$1:H1872,$H1872,$I$1:I1872,$I1872,$J$1:J1872,$J1872,$K$1:K1872,K1872,$L$1:L1872,L1872),COUNTIFS($H$1:H1872,$H1872,$I$1:I1872,$I1872,$J$1:J1872,$J1872,$K$1:K1872,K1872,$L$1:L1872,L1872)))</f>
        <v>090</v>
      </c>
      <c r="N187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72" s="14" t="e">
        <f>+LEN(Table4[[#This Row],[New Item Code]])</f>
        <v>#N/A</v>
      </c>
      <c r="P1872" s="15" t="s">
        <v>4747</v>
      </c>
      <c r="Q1872" s="15" t="s">
        <v>4749</v>
      </c>
      <c r="R1872" s="15"/>
      <c r="S1872" s="15"/>
      <c r="T1872" s="15" t="s">
        <v>4753</v>
      </c>
    </row>
    <row r="1873" spans="1:20" x14ac:dyDescent="0.35">
      <c r="A1873" s="2" t="s">
        <v>3710</v>
      </c>
      <c r="B1873" s="2" t="s">
        <v>3711</v>
      </c>
      <c r="C1873" s="2" t="s">
        <v>15</v>
      </c>
      <c r="D1873" s="2">
        <v>0</v>
      </c>
      <c r="E1873" s="2" t="s">
        <v>10</v>
      </c>
      <c r="F1873" s="2">
        <v>0</v>
      </c>
      <c r="G1873" s="22">
        <f>Table4[[#This Row],[Item Cost]]*Table4[[#This Row],[In Stock]]</f>
        <v>0</v>
      </c>
      <c r="H1873" s="12" t="s">
        <v>4661</v>
      </c>
      <c r="I1873" s="13" t="s">
        <v>4666</v>
      </c>
      <c r="J1873" s="13" t="s">
        <v>4753</v>
      </c>
      <c r="K1873" s="13" t="s">
        <v>4672</v>
      </c>
      <c r="L1873" s="12" t="s">
        <v>4672</v>
      </c>
      <c r="M1873" s="17" t="str">
        <f>IF(LEN(COUNTIFS($H$1:H1873,$H1873,$I$1:I1873,$I1873,$J$1:J1873,$J1873,$K$1:K1873,K1873,$L$1:L1873,L1873))=1,"00"&amp;COUNTIFS($H$1:H1873,$H1873,$I$1:I1873,$I1873,$J$1:J1873,$J1873,$K$1:K1873,K1873,$L$1:L1873,L1873),IF(LEN(COUNTIFS($H$1:H1873,$H1873,$I$1:I1873,$I1873,$J$1:J1873,$J1873,$K$1:K1873,K1873,$L$1:L1873,L1873))=2,"0"&amp;COUNTIFS($H$1:H1873,$H1873,$I$1:I1873,$I1873,$J$1:J1873,$J1873,$K$1:K1873,K1873,$L$1:L1873,L1873),COUNTIFS($H$1:H1873,$H1873,$I$1:I1873,$I1873,$J$1:J1873,$J1873,$K$1:K1873,K1873,$L$1:L1873,L1873)))</f>
        <v>091</v>
      </c>
      <c r="N187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73" s="14" t="e">
        <f>+LEN(Table4[[#This Row],[New Item Code]])</f>
        <v>#N/A</v>
      </c>
      <c r="P1873" s="15" t="s">
        <v>4747</v>
      </c>
      <c r="Q1873" s="15" t="s">
        <v>4749</v>
      </c>
      <c r="R1873" s="15"/>
      <c r="S1873" s="15"/>
      <c r="T1873" s="15" t="s">
        <v>4753</v>
      </c>
    </row>
    <row r="1874" spans="1:20" x14ac:dyDescent="0.35">
      <c r="A1874" s="3" t="s">
        <v>3712</v>
      </c>
      <c r="B1874" s="3" t="s">
        <v>3713</v>
      </c>
      <c r="C1874" s="3" t="s">
        <v>15</v>
      </c>
      <c r="D1874" s="3">
        <v>0</v>
      </c>
      <c r="E1874" s="3" t="s">
        <v>10</v>
      </c>
      <c r="F1874" s="3">
        <v>0</v>
      </c>
      <c r="G1874" s="21">
        <f>Table4[[#This Row],[Item Cost]]*Table4[[#This Row],[In Stock]]</f>
        <v>0</v>
      </c>
      <c r="H1874" s="12" t="s">
        <v>4661</v>
      </c>
      <c r="I1874" s="13" t="s">
        <v>4666</v>
      </c>
      <c r="J1874" s="13" t="s">
        <v>4753</v>
      </c>
      <c r="K1874" s="13" t="s">
        <v>4672</v>
      </c>
      <c r="L1874" s="12" t="s">
        <v>4672</v>
      </c>
      <c r="M1874" s="17" t="str">
        <f>IF(LEN(COUNTIFS($H$1:H1874,$H1874,$I$1:I1874,$I1874,$J$1:J1874,$J1874,$K$1:K1874,K1874,$L$1:L1874,L1874))=1,"00"&amp;COUNTIFS($H$1:H1874,$H1874,$I$1:I1874,$I1874,$J$1:J1874,$J1874,$K$1:K1874,K1874,$L$1:L1874,L1874),IF(LEN(COUNTIFS($H$1:H1874,$H1874,$I$1:I1874,$I1874,$J$1:J1874,$J1874,$K$1:K1874,K1874,$L$1:L1874,L1874))=2,"0"&amp;COUNTIFS($H$1:H1874,$H1874,$I$1:I1874,$I1874,$J$1:J1874,$J1874,$K$1:K1874,K1874,$L$1:L1874,L1874),COUNTIFS($H$1:H1874,$H1874,$I$1:I1874,$I1874,$J$1:J1874,$J1874,$K$1:K1874,K1874,$L$1:L1874,L1874)))</f>
        <v>092</v>
      </c>
      <c r="N187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74" s="14" t="e">
        <f>+LEN(Table4[[#This Row],[New Item Code]])</f>
        <v>#N/A</v>
      </c>
      <c r="P1874" s="15" t="s">
        <v>4747</v>
      </c>
      <c r="Q1874" s="15" t="s">
        <v>4749</v>
      </c>
      <c r="R1874" s="15"/>
      <c r="S1874" s="15"/>
      <c r="T1874" s="15" t="s">
        <v>4753</v>
      </c>
    </row>
    <row r="1875" spans="1:20" x14ac:dyDescent="0.35">
      <c r="A1875" s="2" t="s">
        <v>3714</v>
      </c>
      <c r="B1875" s="2" t="s">
        <v>3715</v>
      </c>
      <c r="C1875" s="2" t="s">
        <v>15</v>
      </c>
      <c r="D1875" s="2">
        <v>0</v>
      </c>
      <c r="E1875" s="2" t="s">
        <v>10</v>
      </c>
      <c r="F1875" s="2">
        <v>0</v>
      </c>
      <c r="G1875" s="22">
        <f>Table4[[#This Row],[Item Cost]]*Table4[[#This Row],[In Stock]]</f>
        <v>0</v>
      </c>
      <c r="H1875" s="12" t="s">
        <v>4661</v>
      </c>
      <c r="I1875" s="13" t="s">
        <v>4666</v>
      </c>
      <c r="J1875" s="13" t="s">
        <v>4753</v>
      </c>
      <c r="K1875" s="13" t="s">
        <v>4672</v>
      </c>
      <c r="L1875" s="12" t="s">
        <v>4672</v>
      </c>
      <c r="M1875" s="17" t="str">
        <f>IF(LEN(COUNTIFS($H$1:H1875,$H1875,$I$1:I1875,$I1875,$J$1:J1875,$J1875,$K$1:K1875,K1875,$L$1:L1875,L1875))=1,"00"&amp;COUNTIFS($H$1:H1875,$H1875,$I$1:I1875,$I1875,$J$1:J1875,$J1875,$K$1:K1875,K1875,$L$1:L1875,L1875),IF(LEN(COUNTIFS($H$1:H1875,$H1875,$I$1:I1875,$I1875,$J$1:J1875,$J1875,$K$1:K1875,K1875,$L$1:L1875,L1875))=2,"0"&amp;COUNTIFS($H$1:H1875,$H1875,$I$1:I1875,$I1875,$J$1:J1875,$J1875,$K$1:K1875,K1875,$L$1:L1875,L1875),COUNTIFS($H$1:H1875,$H1875,$I$1:I1875,$I1875,$J$1:J1875,$J1875,$K$1:K1875,K1875,$L$1:L1875,L1875)))</f>
        <v>093</v>
      </c>
      <c r="N187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75" s="14" t="e">
        <f>+LEN(Table4[[#This Row],[New Item Code]])</f>
        <v>#N/A</v>
      </c>
      <c r="P1875" s="15" t="s">
        <v>4747</v>
      </c>
      <c r="Q1875" s="15" t="s">
        <v>4749</v>
      </c>
      <c r="R1875" s="15"/>
      <c r="S1875" s="15"/>
      <c r="T1875" s="15" t="s">
        <v>4753</v>
      </c>
    </row>
    <row r="1876" spans="1:20" x14ac:dyDescent="0.35">
      <c r="A1876" s="3" t="s">
        <v>3716</v>
      </c>
      <c r="B1876" s="3" t="s">
        <v>3717</v>
      </c>
      <c r="C1876" s="3" t="s">
        <v>15</v>
      </c>
      <c r="D1876" s="3">
        <v>0</v>
      </c>
      <c r="E1876" s="3" t="s">
        <v>10</v>
      </c>
      <c r="F1876" s="3">
        <v>0</v>
      </c>
      <c r="G1876" s="21">
        <f>Table4[[#This Row],[Item Cost]]*Table4[[#This Row],[In Stock]]</f>
        <v>0</v>
      </c>
      <c r="H1876" s="12" t="s">
        <v>4661</v>
      </c>
      <c r="I1876" s="13" t="s">
        <v>4666</v>
      </c>
      <c r="J1876" s="13" t="s">
        <v>4753</v>
      </c>
      <c r="K1876" s="13" t="s">
        <v>4672</v>
      </c>
      <c r="L1876" s="12" t="s">
        <v>4672</v>
      </c>
      <c r="M1876" s="17" t="str">
        <f>IF(LEN(COUNTIFS($H$1:H1876,$H1876,$I$1:I1876,$I1876,$J$1:J1876,$J1876,$K$1:K1876,K1876,$L$1:L1876,L1876))=1,"00"&amp;COUNTIFS($H$1:H1876,$H1876,$I$1:I1876,$I1876,$J$1:J1876,$J1876,$K$1:K1876,K1876,$L$1:L1876,L1876),IF(LEN(COUNTIFS($H$1:H1876,$H1876,$I$1:I1876,$I1876,$J$1:J1876,$J1876,$K$1:K1876,K1876,$L$1:L1876,L1876))=2,"0"&amp;COUNTIFS($H$1:H1876,$H1876,$I$1:I1876,$I1876,$J$1:J1876,$J1876,$K$1:K1876,K1876,$L$1:L1876,L1876),COUNTIFS($H$1:H1876,$H1876,$I$1:I1876,$I1876,$J$1:J1876,$J1876,$K$1:K1876,K1876,$L$1:L1876,L1876)))</f>
        <v>094</v>
      </c>
      <c r="N187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76" s="14" t="e">
        <f>+LEN(Table4[[#This Row],[New Item Code]])</f>
        <v>#N/A</v>
      </c>
      <c r="P1876" s="15" t="s">
        <v>4747</v>
      </c>
      <c r="Q1876" s="15" t="s">
        <v>4749</v>
      </c>
      <c r="R1876" s="15"/>
      <c r="S1876" s="15"/>
      <c r="T1876" s="15" t="s">
        <v>4753</v>
      </c>
    </row>
    <row r="1877" spans="1:20" x14ac:dyDescent="0.35">
      <c r="A1877" s="2" t="s">
        <v>3718</v>
      </c>
      <c r="B1877" s="2" t="s">
        <v>3719</v>
      </c>
      <c r="C1877" s="2" t="s">
        <v>15</v>
      </c>
      <c r="D1877" s="4">
        <v>1300</v>
      </c>
      <c r="E1877" s="2" t="s">
        <v>10</v>
      </c>
      <c r="F1877" s="2">
        <v>2</v>
      </c>
      <c r="G1877" s="22">
        <f>Table4[[#This Row],[Item Cost]]*Table4[[#This Row],[In Stock]]</f>
        <v>2600</v>
      </c>
      <c r="H1877" s="12" t="s">
        <v>4661</v>
      </c>
      <c r="I1877" s="13" t="s">
        <v>4666</v>
      </c>
      <c r="J1877" s="13" t="s">
        <v>4753</v>
      </c>
      <c r="K1877" s="13" t="s">
        <v>4672</v>
      </c>
      <c r="L1877" s="12" t="s">
        <v>4672</v>
      </c>
      <c r="M1877" s="17" t="str">
        <f>IF(LEN(COUNTIFS($H$1:H1877,$H1877,$I$1:I1877,$I1877,$J$1:J1877,$J1877,$K$1:K1877,K1877,$L$1:L1877,L1877))=1,"00"&amp;COUNTIFS($H$1:H1877,$H1877,$I$1:I1877,$I1877,$J$1:J1877,$J1877,$K$1:K1877,K1877,$L$1:L1877,L1877),IF(LEN(COUNTIFS($H$1:H1877,$H1877,$I$1:I1877,$I1877,$J$1:J1877,$J1877,$K$1:K1877,K1877,$L$1:L1877,L1877))=2,"0"&amp;COUNTIFS($H$1:H1877,$H1877,$I$1:I1877,$I1877,$J$1:J1877,$J1877,$K$1:K1877,K1877,$L$1:L1877,L1877),COUNTIFS($H$1:H1877,$H1877,$I$1:I1877,$I1877,$J$1:J1877,$J1877,$K$1:K1877,K1877,$L$1:L1877,L1877)))</f>
        <v>095</v>
      </c>
      <c r="N187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77" s="14" t="e">
        <f>+LEN(Table4[[#This Row],[New Item Code]])</f>
        <v>#N/A</v>
      </c>
      <c r="P1877" s="15" t="s">
        <v>4747</v>
      </c>
      <c r="Q1877" s="15" t="s">
        <v>4749</v>
      </c>
      <c r="R1877" s="15"/>
      <c r="S1877" s="15"/>
      <c r="T1877" s="15" t="s">
        <v>4753</v>
      </c>
    </row>
    <row r="1878" spans="1:20" x14ac:dyDescent="0.35">
      <c r="A1878" s="3" t="s">
        <v>3720</v>
      </c>
      <c r="B1878" s="3" t="s">
        <v>3721</v>
      </c>
      <c r="C1878" s="3" t="s">
        <v>56</v>
      </c>
      <c r="D1878" s="3">
        <v>0</v>
      </c>
      <c r="E1878" s="3" t="s">
        <v>57</v>
      </c>
      <c r="F1878" s="3">
        <v>0</v>
      </c>
      <c r="G1878" s="21">
        <f>Table4[[#This Row],[Item Cost]]*Table4[[#This Row],[In Stock]]</f>
        <v>0</v>
      </c>
      <c r="H1878" s="12" t="s">
        <v>4661</v>
      </c>
      <c r="I1878" s="13" t="s">
        <v>4668</v>
      </c>
      <c r="J1878" s="13" t="s">
        <v>4753</v>
      </c>
      <c r="K1878" s="13" t="s">
        <v>4672</v>
      </c>
      <c r="L1878" s="12" t="s">
        <v>4672</v>
      </c>
      <c r="M1878" s="17" t="str">
        <f>IF(LEN(COUNTIFS($H$1:H1878,$H1878,$I$1:I1878,$I1878,$J$1:J1878,$J1878,$K$1:K1878,K1878,$L$1:L1878,L1878))=1,"00"&amp;COUNTIFS($H$1:H1878,$H1878,$I$1:I1878,$I1878,$J$1:J1878,$J1878,$K$1:K1878,K1878,$L$1:L1878,L1878),IF(LEN(COUNTIFS($H$1:H1878,$H1878,$I$1:I1878,$I1878,$J$1:J1878,$J1878,$K$1:K1878,K1878,$L$1:L1878,L1878))=2,"0"&amp;COUNTIFS($H$1:H1878,$H1878,$I$1:I1878,$I1878,$J$1:J1878,$J1878,$K$1:K1878,K1878,$L$1:L1878,L1878),COUNTIFS($H$1:H1878,$H1878,$I$1:I1878,$I1878,$J$1:J1878,$J1878,$K$1:K1878,K1878,$L$1:L1878,L1878)))</f>
        <v>092</v>
      </c>
      <c r="N187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78" s="14" t="e">
        <f>+LEN(Table4[[#This Row],[New Item Code]])</f>
        <v>#N/A</v>
      </c>
      <c r="P1878" s="15" t="s">
        <v>4747</v>
      </c>
      <c r="Q1878" s="15" t="s">
        <v>4749</v>
      </c>
      <c r="R1878" s="15"/>
      <c r="S1878" s="15"/>
      <c r="T1878" s="15" t="s">
        <v>4753</v>
      </c>
    </row>
    <row r="1879" spans="1:20" x14ac:dyDescent="0.35">
      <c r="A1879" s="2" t="s">
        <v>3722</v>
      </c>
      <c r="B1879" s="2"/>
      <c r="C1879" s="2" t="e">
        <v>#N/A</v>
      </c>
      <c r="D1879" s="4">
        <v>2176.88</v>
      </c>
      <c r="E1879" s="2" t="e">
        <v>#N/A</v>
      </c>
      <c r="F1879" s="2">
        <v>1</v>
      </c>
      <c r="G1879" s="22">
        <f>Table4[[#This Row],[Item Cost]]*Table4[[#This Row],[In Stock]]</f>
        <v>2176.88</v>
      </c>
      <c r="H1879" s="12" t="s">
        <v>4752</v>
      </c>
      <c r="I1879" s="13"/>
      <c r="J1879" s="13"/>
      <c r="K1879" s="13"/>
      <c r="L1879" s="12" t="s">
        <v>4672</v>
      </c>
      <c r="M1879" s="17" t="str">
        <f>IF(LEN(COUNTIFS($H$1:H1879,$H1879,$I$1:I1879,$I1879,$J$1:J1879,$J1879,$K$1:K1879,K1879,$L$1:L1879,L1879))=1,"00"&amp;COUNTIFS($H$1:H1879,$H1879,$I$1:I1879,$I1879,$J$1:J1879,$J1879,$K$1:K1879,K1879,$L$1:L1879,L1879),IF(LEN(COUNTIFS($H$1:H1879,$H1879,$I$1:I1879,$I1879,$J$1:J1879,$J1879,$K$1:K1879,K1879,$L$1:L1879,L1879))=2,"0"&amp;COUNTIFS($H$1:H1879,$H1879,$I$1:I1879,$I1879,$J$1:J1879,$J1879,$K$1:K1879,K1879,$L$1:L1879,L1879),COUNTIFS($H$1:H1879,$H1879,$I$1:I1879,$I1879,$J$1:J1879,$J1879,$K$1:K1879,K1879,$L$1:L1879,L1879)))</f>
        <v>000</v>
      </c>
      <c r="N187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79" s="14" t="e">
        <f>+LEN(Table4[[#This Row],[New Item Code]])</f>
        <v>#N/A</v>
      </c>
      <c r="P1879" s="15" t="s">
        <v>4747</v>
      </c>
      <c r="Q1879" s="15" t="s">
        <v>4749</v>
      </c>
      <c r="R1879" s="15"/>
      <c r="S1879" s="15"/>
      <c r="T1879" s="15" t="s">
        <v>4719</v>
      </c>
    </row>
    <row r="1880" spans="1:20" x14ac:dyDescent="0.35">
      <c r="A1880" s="3" t="s">
        <v>3723</v>
      </c>
      <c r="B1880" s="3"/>
      <c r="C1880" s="3" t="e">
        <v>#N/A</v>
      </c>
      <c r="D1880" s="5">
        <v>2176.88</v>
      </c>
      <c r="E1880" s="3" t="e">
        <v>#N/A</v>
      </c>
      <c r="F1880" s="3">
        <v>1</v>
      </c>
      <c r="G1880" s="21">
        <f>Table4[[#This Row],[Item Cost]]*Table4[[#This Row],[In Stock]]</f>
        <v>2176.88</v>
      </c>
      <c r="H1880" s="12" t="s">
        <v>4752</v>
      </c>
      <c r="I1880" s="13"/>
      <c r="J1880" s="13"/>
      <c r="K1880" s="13"/>
      <c r="L1880" s="12" t="s">
        <v>4672</v>
      </c>
      <c r="M1880" s="17" t="str">
        <f>IF(LEN(COUNTIFS($H$1:H1880,$H1880,$I$1:I1880,$I1880,$J$1:J1880,$J1880,$K$1:K1880,K1880,$L$1:L1880,L1880))=1,"00"&amp;COUNTIFS($H$1:H1880,$H1880,$I$1:I1880,$I1880,$J$1:J1880,$J1880,$K$1:K1880,K1880,$L$1:L1880,L1880),IF(LEN(COUNTIFS($H$1:H1880,$H1880,$I$1:I1880,$I1880,$J$1:J1880,$J1880,$K$1:K1880,K1880,$L$1:L1880,L1880))=2,"0"&amp;COUNTIFS($H$1:H1880,$H1880,$I$1:I1880,$I1880,$J$1:J1880,$J1880,$K$1:K1880,K1880,$L$1:L1880,L1880),COUNTIFS($H$1:H1880,$H1880,$I$1:I1880,$I1880,$J$1:J1880,$J1880,$K$1:K1880,K1880,$L$1:L1880,L1880)))</f>
        <v>000</v>
      </c>
      <c r="N188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80" s="14" t="e">
        <f>+LEN(Table4[[#This Row],[New Item Code]])</f>
        <v>#N/A</v>
      </c>
      <c r="P1880" s="15" t="s">
        <v>4747</v>
      </c>
      <c r="Q1880" s="15" t="s">
        <v>4749</v>
      </c>
      <c r="R1880" s="15"/>
      <c r="S1880" s="15"/>
      <c r="T1880" s="15" t="s">
        <v>4719</v>
      </c>
    </row>
    <row r="1881" spans="1:20" x14ac:dyDescent="0.35">
      <c r="A1881" s="2" t="s">
        <v>3724</v>
      </c>
      <c r="B1881" s="2"/>
      <c r="C1881" s="2" t="e">
        <v>#N/A</v>
      </c>
      <c r="D1881" s="4">
        <v>2176.88</v>
      </c>
      <c r="E1881" s="2" t="e">
        <v>#N/A</v>
      </c>
      <c r="F1881" s="2">
        <v>1</v>
      </c>
      <c r="G1881" s="22">
        <f>Table4[[#This Row],[Item Cost]]*Table4[[#This Row],[In Stock]]</f>
        <v>2176.88</v>
      </c>
      <c r="H1881" s="12" t="s">
        <v>4752</v>
      </c>
      <c r="I1881" s="13"/>
      <c r="J1881" s="13"/>
      <c r="K1881" s="13"/>
      <c r="L1881" s="12" t="s">
        <v>4672</v>
      </c>
      <c r="M1881" s="17" t="str">
        <f>IF(LEN(COUNTIFS($H$1:H1881,$H1881,$I$1:I1881,$I1881,$J$1:J1881,$J1881,$K$1:K1881,K1881,$L$1:L1881,L1881))=1,"00"&amp;COUNTIFS($H$1:H1881,$H1881,$I$1:I1881,$I1881,$J$1:J1881,$J1881,$K$1:K1881,K1881,$L$1:L1881,L1881),IF(LEN(COUNTIFS($H$1:H1881,$H1881,$I$1:I1881,$I1881,$J$1:J1881,$J1881,$K$1:K1881,K1881,$L$1:L1881,L1881))=2,"0"&amp;COUNTIFS($H$1:H1881,$H1881,$I$1:I1881,$I1881,$J$1:J1881,$J1881,$K$1:K1881,K1881,$L$1:L1881,L1881),COUNTIFS($H$1:H1881,$H1881,$I$1:I1881,$I1881,$J$1:J1881,$J1881,$K$1:K1881,K1881,$L$1:L1881,L1881)))</f>
        <v>000</v>
      </c>
      <c r="N188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81" s="14" t="e">
        <f>+LEN(Table4[[#This Row],[New Item Code]])</f>
        <v>#N/A</v>
      </c>
      <c r="P1881" s="15" t="s">
        <v>4747</v>
      </c>
      <c r="Q1881" s="15" t="s">
        <v>4749</v>
      </c>
      <c r="R1881" s="15"/>
      <c r="S1881" s="15"/>
      <c r="T1881" s="15" t="s">
        <v>4719</v>
      </c>
    </row>
    <row r="1882" spans="1:20" x14ac:dyDescent="0.35">
      <c r="A1882" s="3" t="s">
        <v>3725</v>
      </c>
      <c r="B1882" s="3"/>
      <c r="C1882" s="3" t="e">
        <v>#N/A</v>
      </c>
      <c r="D1882" s="5">
        <v>2176.88</v>
      </c>
      <c r="E1882" s="3" t="e">
        <v>#N/A</v>
      </c>
      <c r="F1882" s="3">
        <v>1</v>
      </c>
      <c r="G1882" s="21">
        <f>Table4[[#This Row],[Item Cost]]*Table4[[#This Row],[In Stock]]</f>
        <v>2176.88</v>
      </c>
      <c r="H1882" s="12" t="s">
        <v>4752</v>
      </c>
      <c r="I1882" s="13"/>
      <c r="J1882" s="13"/>
      <c r="K1882" s="13"/>
      <c r="L1882" s="12" t="s">
        <v>4672</v>
      </c>
      <c r="M1882" s="17" t="str">
        <f>IF(LEN(COUNTIFS($H$1:H1882,$H1882,$I$1:I1882,$I1882,$J$1:J1882,$J1882,$K$1:K1882,K1882,$L$1:L1882,L1882))=1,"00"&amp;COUNTIFS($H$1:H1882,$H1882,$I$1:I1882,$I1882,$J$1:J1882,$J1882,$K$1:K1882,K1882,$L$1:L1882,L1882),IF(LEN(COUNTIFS($H$1:H1882,$H1882,$I$1:I1882,$I1882,$J$1:J1882,$J1882,$K$1:K1882,K1882,$L$1:L1882,L1882))=2,"0"&amp;COUNTIFS($H$1:H1882,$H1882,$I$1:I1882,$I1882,$J$1:J1882,$J1882,$K$1:K1882,K1882,$L$1:L1882,L1882),COUNTIFS($H$1:H1882,$H1882,$I$1:I1882,$I1882,$J$1:J1882,$J1882,$K$1:K1882,K1882,$L$1:L1882,L1882)))</f>
        <v>000</v>
      </c>
      <c r="N188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82" s="14" t="e">
        <f>+LEN(Table4[[#This Row],[New Item Code]])</f>
        <v>#N/A</v>
      </c>
      <c r="P1882" s="15" t="s">
        <v>4747</v>
      </c>
      <c r="Q1882" s="15" t="s">
        <v>4749</v>
      </c>
      <c r="R1882" s="15"/>
      <c r="S1882" s="15"/>
      <c r="T1882" s="15" t="s">
        <v>4719</v>
      </c>
    </row>
    <row r="1883" spans="1:20" x14ac:dyDescent="0.35">
      <c r="A1883" s="2" t="s">
        <v>3726</v>
      </c>
      <c r="B1883" s="2"/>
      <c r="C1883" s="2" t="e">
        <v>#N/A</v>
      </c>
      <c r="D1883" s="4">
        <v>2176.88</v>
      </c>
      <c r="E1883" s="2" t="e">
        <v>#N/A</v>
      </c>
      <c r="F1883" s="2">
        <v>1</v>
      </c>
      <c r="G1883" s="22">
        <f>Table4[[#This Row],[Item Cost]]*Table4[[#This Row],[In Stock]]</f>
        <v>2176.88</v>
      </c>
      <c r="H1883" s="12" t="s">
        <v>4752</v>
      </c>
      <c r="I1883" s="13"/>
      <c r="J1883" s="13"/>
      <c r="K1883" s="13"/>
      <c r="L1883" s="12" t="s">
        <v>4672</v>
      </c>
      <c r="M1883" s="17" t="str">
        <f>IF(LEN(COUNTIFS($H$1:H1883,$H1883,$I$1:I1883,$I1883,$J$1:J1883,$J1883,$K$1:K1883,K1883,$L$1:L1883,L1883))=1,"00"&amp;COUNTIFS($H$1:H1883,$H1883,$I$1:I1883,$I1883,$J$1:J1883,$J1883,$K$1:K1883,K1883,$L$1:L1883,L1883),IF(LEN(COUNTIFS($H$1:H1883,$H1883,$I$1:I1883,$I1883,$J$1:J1883,$J1883,$K$1:K1883,K1883,$L$1:L1883,L1883))=2,"0"&amp;COUNTIFS($H$1:H1883,$H1883,$I$1:I1883,$I1883,$J$1:J1883,$J1883,$K$1:K1883,K1883,$L$1:L1883,L1883),COUNTIFS($H$1:H1883,$H1883,$I$1:I1883,$I1883,$J$1:J1883,$J1883,$K$1:K1883,K1883,$L$1:L1883,L1883)))</f>
        <v>000</v>
      </c>
      <c r="N188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83" s="14" t="e">
        <f>+LEN(Table4[[#This Row],[New Item Code]])</f>
        <v>#N/A</v>
      </c>
      <c r="P1883" s="15" t="s">
        <v>4747</v>
      </c>
      <c r="Q1883" s="15" t="s">
        <v>4749</v>
      </c>
      <c r="R1883" s="15"/>
      <c r="S1883" s="15"/>
      <c r="T1883" s="15" t="s">
        <v>4719</v>
      </c>
    </row>
    <row r="1884" spans="1:20" x14ac:dyDescent="0.35">
      <c r="A1884" s="3" t="s">
        <v>3727</v>
      </c>
      <c r="B1884" s="3"/>
      <c r="C1884" s="3" t="e">
        <v>#N/A</v>
      </c>
      <c r="D1884" s="5">
        <v>2176.88</v>
      </c>
      <c r="E1884" s="3" t="e">
        <v>#N/A</v>
      </c>
      <c r="F1884" s="3">
        <v>1</v>
      </c>
      <c r="G1884" s="21">
        <f>Table4[[#This Row],[Item Cost]]*Table4[[#This Row],[In Stock]]</f>
        <v>2176.88</v>
      </c>
      <c r="H1884" s="12" t="s">
        <v>4752</v>
      </c>
      <c r="I1884" s="13"/>
      <c r="J1884" s="13"/>
      <c r="K1884" s="13"/>
      <c r="L1884" s="12" t="s">
        <v>4672</v>
      </c>
      <c r="M1884" s="17" t="str">
        <f>IF(LEN(COUNTIFS($H$1:H1884,$H1884,$I$1:I1884,$I1884,$J$1:J1884,$J1884,$K$1:K1884,K1884,$L$1:L1884,L1884))=1,"00"&amp;COUNTIFS($H$1:H1884,$H1884,$I$1:I1884,$I1884,$J$1:J1884,$J1884,$K$1:K1884,K1884,$L$1:L1884,L1884),IF(LEN(COUNTIFS($H$1:H1884,$H1884,$I$1:I1884,$I1884,$J$1:J1884,$J1884,$K$1:K1884,K1884,$L$1:L1884,L1884))=2,"0"&amp;COUNTIFS($H$1:H1884,$H1884,$I$1:I1884,$I1884,$J$1:J1884,$J1884,$K$1:K1884,K1884,$L$1:L1884,L1884),COUNTIFS($H$1:H1884,$H1884,$I$1:I1884,$I1884,$J$1:J1884,$J1884,$K$1:K1884,K1884,$L$1:L1884,L1884)))</f>
        <v>000</v>
      </c>
      <c r="N188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84" s="14" t="e">
        <f>+LEN(Table4[[#This Row],[New Item Code]])</f>
        <v>#N/A</v>
      </c>
      <c r="P1884" s="15" t="s">
        <v>4747</v>
      </c>
      <c r="Q1884" s="15" t="s">
        <v>4749</v>
      </c>
      <c r="R1884" s="15"/>
      <c r="S1884" s="15"/>
      <c r="T1884" s="15" t="s">
        <v>4719</v>
      </c>
    </row>
    <row r="1885" spans="1:20" x14ac:dyDescent="0.35">
      <c r="A1885" s="2" t="s">
        <v>3728</v>
      </c>
      <c r="B1885" s="2"/>
      <c r="C1885" s="2" t="e">
        <v>#N/A</v>
      </c>
      <c r="D1885" s="4">
        <v>2176.88</v>
      </c>
      <c r="E1885" s="2" t="e">
        <v>#N/A</v>
      </c>
      <c r="F1885" s="2">
        <v>2</v>
      </c>
      <c r="G1885" s="22">
        <f>Table4[[#This Row],[Item Cost]]*Table4[[#This Row],[In Stock]]</f>
        <v>4353.76</v>
      </c>
      <c r="H1885" s="12" t="s">
        <v>4752</v>
      </c>
      <c r="I1885" s="13"/>
      <c r="J1885" s="13"/>
      <c r="K1885" s="13"/>
      <c r="L1885" s="12" t="s">
        <v>4672</v>
      </c>
      <c r="M1885" s="17" t="str">
        <f>IF(LEN(COUNTIFS($H$1:H1885,$H1885,$I$1:I1885,$I1885,$J$1:J1885,$J1885,$K$1:K1885,K1885,$L$1:L1885,L1885))=1,"00"&amp;COUNTIFS($H$1:H1885,$H1885,$I$1:I1885,$I1885,$J$1:J1885,$J1885,$K$1:K1885,K1885,$L$1:L1885,L1885),IF(LEN(COUNTIFS($H$1:H1885,$H1885,$I$1:I1885,$I1885,$J$1:J1885,$J1885,$K$1:K1885,K1885,$L$1:L1885,L1885))=2,"0"&amp;COUNTIFS($H$1:H1885,$H1885,$I$1:I1885,$I1885,$J$1:J1885,$J1885,$K$1:K1885,K1885,$L$1:L1885,L1885),COUNTIFS($H$1:H1885,$H1885,$I$1:I1885,$I1885,$J$1:J1885,$J1885,$K$1:K1885,K1885,$L$1:L1885,L1885)))</f>
        <v>000</v>
      </c>
      <c r="N188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85" s="14" t="e">
        <f>+LEN(Table4[[#This Row],[New Item Code]])</f>
        <v>#N/A</v>
      </c>
      <c r="P1885" s="15" t="s">
        <v>4747</v>
      </c>
      <c r="Q1885" s="15" t="s">
        <v>4749</v>
      </c>
      <c r="R1885" s="15"/>
      <c r="S1885" s="15"/>
      <c r="T1885" s="15" t="s">
        <v>4719</v>
      </c>
    </row>
    <row r="1886" spans="1:20" x14ac:dyDescent="0.35">
      <c r="A1886" s="3" t="s">
        <v>3729</v>
      </c>
      <c r="B1886" s="3"/>
      <c r="C1886" s="3" t="e">
        <v>#N/A</v>
      </c>
      <c r="D1886" s="5">
        <v>2176.88</v>
      </c>
      <c r="E1886" s="3" t="e">
        <v>#N/A</v>
      </c>
      <c r="F1886" s="3">
        <v>6</v>
      </c>
      <c r="G1886" s="21">
        <f>Table4[[#This Row],[Item Cost]]*Table4[[#This Row],[In Stock]]</f>
        <v>13061.28</v>
      </c>
      <c r="H1886" s="12" t="s">
        <v>4752</v>
      </c>
      <c r="I1886" s="13"/>
      <c r="J1886" s="13"/>
      <c r="K1886" s="13"/>
      <c r="L1886" s="12" t="s">
        <v>4672</v>
      </c>
      <c r="M1886" s="17" t="str">
        <f>IF(LEN(COUNTIFS($H$1:H1886,$H1886,$I$1:I1886,$I1886,$J$1:J1886,$J1886,$K$1:K1886,K1886,$L$1:L1886,L1886))=1,"00"&amp;COUNTIFS($H$1:H1886,$H1886,$I$1:I1886,$I1886,$J$1:J1886,$J1886,$K$1:K1886,K1886,$L$1:L1886,L1886),IF(LEN(COUNTIFS($H$1:H1886,$H1886,$I$1:I1886,$I1886,$J$1:J1886,$J1886,$K$1:K1886,K1886,$L$1:L1886,L1886))=2,"0"&amp;COUNTIFS($H$1:H1886,$H1886,$I$1:I1886,$I1886,$J$1:J1886,$J1886,$K$1:K1886,K1886,$L$1:L1886,L1886),COUNTIFS($H$1:H1886,$H1886,$I$1:I1886,$I1886,$J$1:J1886,$J1886,$K$1:K1886,K1886,$L$1:L1886,L1886)))</f>
        <v>000</v>
      </c>
      <c r="N188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86" s="14" t="e">
        <f>+LEN(Table4[[#This Row],[New Item Code]])</f>
        <v>#N/A</v>
      </c>
      <c r="P1886" s="15" t="s">
        <v>4747</v>
      </c>
      <c r="Q1886" s="15" t="s">
        <v>4749</v>
      </c>
      <c r="R1886" s="15"/>
      <c r="S1886" s="15"/>
      <c r="T1886" s="15" t="s">
        <v>4719</v>
      </c>
    </row>
    <row r="1887" spans="1:20" x14ac:dyDescent="0.35">
      <c r="A1887" s="2" t="s">
        <v>3730</v>
      </c>
      <c r="B1887" s="2"/>
      <c r="C1887" s="2" t="e">
        <v>#N/A</v>
      </c>
      <c r="D1887" s="4">
        <v>2176.88</v>
      </c>
      <c r="E1887" s="2" t="e">
        <v>#N/A</v>
      </c>
      <c r="F1887" s="2">
        <v>2</v>
      </c>
      <c r="G1887" s="22">
        <f>Table4[[#This Row],[Item Cost]]*Table4[[#This Row],[In Stock]]</f>
        <v>4353.76</v>
      </c>
      <c r="H1887" s="12" t="s">
        <v>4752</v>
      </c>
      <c r="I1887" s="13"/>
      <c r="J1887" s="13"/>
      <c r="K1887" s="13"/>
      <c r="L1887" s="12" t="s">
        <v>4672</v>
      </c>
      <c r="M1887" s="17" t="str">
        <f>IF(LEN(COUNTIFS($H$1:H1887,$H1887,$I$1:I1887,$I1887,$J$1:J1887,$J1887,$K$1:K1887,K1887,$L$1:L1887,L1887))=1,"00"&amp;COUNTIFS($H$1:H1887,$H1887,$I$1:I1887,$I1887,$J$1:J1887,$J1887,$K$1:K1887,K1887,$L$1:L1887,L1887),IF(LEN(COUNTIFS($H$1:H1887,$H1887,$I$1:I1887,$I1887,$J$1:J1887,$J1887,$K$1:K1887,K1887,$L$1:L1887,L1887))=2,"0"&amp;COUNTIFS($H$1:H1887,$H1887,$I$1:I1887,$I1887,$J$1:J1887,$J1887,$K$1:K1887,K1887,$L$1:L1887,L1887),COUNTIFS($H$1:H1887,$H1887,$I$1:I1887,$I1887,$J$1:J1887,$J1887,$K$1:K1887,K1887,$L$1:L1887,L1887)))</f>
        <v>000</v>
      </c>
      <c r="N188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87" s="14" t="e">
        <f>+LEN(Table4[[#This Row],[New Item Code]])</f>
        <v>#N/A</v>
      </c>
      <c r="P1887" s="15" t="s">
        <v>4747</v>
      </c>
      <c r="Q1887" s="15" t="s">
        <v>4749</v>
      </c>
      <c r="R1887" s="15"/>
      <c r="S1887" s="15"/>
      <c r="T1887" s="15" t="s">
        <v>4719</v>
      </c>
    </row>
    <row r="1888" spans="1:20" x14ac:dyDescent="0.35">
      <c r="A1888" s="3" t="s">
        <v>3731</v>
      </c>
      <c r="B1888" s="3" t="s">
        <v>3732</v>
      </c>
      <c r="C1888" s="3" t="s">
        <v>56</v>
      </c>
      <c r="D1888" s="5">
        <v>16000</v>
      </c>
      <c r="E1888" s="3" t="s">
        <v>10</v>
      </c>
      <c r="F1888" s="3">
        <v>0</v>
      </c>
      <c r="G1888" s="21">
        <f>Table4[[#This Row],[Item Cost]]*Table4[[#This Row],[In Stock]]</f>
        <v>0</v>
      </c>
      <c r="H1888" s="12" t="s">
        <v>4661</v>
      </c>
      <c r="I1888" s="13" t="s">
        <v>4668</v>
      </c>
      <c r="J1888" s="13" t="s">
        <v>4675</v>
      </c>
      <c r="K1888" s="13" t="s">
        <v>4734</v>
      </c>
      <c r="L1888" s="12" t="s">
        <v>4672</v>
      </c>
      <c r="M1888" s="17" t="str">
        <f>IF(LEN(COUNTIFS($H$1:H1888,$H1888,$I$1:I1888,$I1888,$J$1:J1888,$J1888,$K$1:K1888,K1888,$L$1:L1888,L1888))=1,"00"&amp;COUNTIFS($H$1:H1888,$H1888,$I$1:I1888,$I1888,$J$1:J1888,$J1888,$K$1:K1888,K1888,$L$1:L1888,L1888),IF(LEN(COUNTIFS($H$1:H1888,$H1888,$I$1:I1888,$I1888,$J$1:J1888,$J1888,$K$1:K1888,K1888,$L$1:L1888,L1888))=2,"0"&amp;COUNTIFS($H$1:H1888,$H1888,$I$1:I1888,$I1888,$J$1:J1888,$J1888,$K$1:K1888,K1888,$L$1:L1888,L1888),COUNTIFS($H$1:H1888,$H1888,$I$1:I1888,$I1888,$J$1:J1888,$J1888,$K$1:K1888,K1888,$L$1:L1888,L1888)))</f>
        <v>001</v>
      </c>
      <c r="N188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88" s="14" t="e">
        <f>+LEN(Table4[[#This Row],[New Item Code]])</f>
        <v>#N/A</v>
      </c>
      <c r="P1888" s="15" t="s">
        <v>4747</v>
      </c>
      <c r="Q1888" s="15" t="s">
        <v>4749</v>
      </c>
      <c r="R1888" s="15"/>
      <c r="S1888" s="15"/>
      <c r="T1888" s="15" t="s">
        <v>4675</v>
      </c>
    </row>
    <row r="1889" spans="1:20" x14ac:dyDescent="0.35">
      <c r="A1889" s="2" t="s">
        <v>3733</v>
      </c>
      <c r="B1889" s="2" t="s">
        <v>3734</v>
      </c>
      <c r="C1889" s="2" t="s">
        <v>9</v>
      </c>
      <c r="D1889" s="2">
        <v>950</v>
      </c>
      <c r="E1889" s="2" t="s">
        <v>10</v>
      </c>
      <c r="F1889" s="2">
        <v>2</v>
      </c>
      <c r="G1889" s="22">
        <f>Table4[[#This Row],[Item Cost]]*Table4[[#This Row],[In Stock]]</f>
        <v>1900</v>
      </c>
      <c r="H1889" s="12" t="s">
        <v>4661</v>
      </c>
      <c r="I1889" s="13" t="s">
        <v>4664</v>
      </c>
      <c r="J1889" s="13" t="s">
        <v>4675</v>
      </c>
      <c r="K1889" t="s">
        <v>4797</v>
      </c>
      <c r="L1889" s="12" t="s">
        <v>4672</v>
      </c>
      <c r="M1889" s="17" t="str">
        <f>IF(LEN(COUNTIFS($H$1:H1889,$H1889,$I$1:I1889,$I1889,$J$1:J1889,$J1889,$K$1:K1889,K1889,$L$1:L1889,L1889))=1,"00"&amp;COUNTIFS($H$1:H1889,$H1889,$I$1:I1889,$I1889,$J$1:J1889,$J1889,$K$1:K1889,K1889,$L$1:L1889,L1889),IF(LEN(COUNTIFS($H$1:H1889,$H1889,$I$1:I1889,$I1889,$J$1:J1889,$J1889,$K$1:K1889,K1889,$L$1:L1889,L1889))=2,"0"&amp;COUNTIFS($H$1:H1889,$H1889,$I$1:I1889,$I1889,$J$1:J1889,$J1889,$K$1:K1889,K1889,$L$1:L1889,L1889),COUNTIFS($H$1:H1889,$H1889,$I$1:I1889,$I1889,$J$1:J1889,$J1889,$K$1:K1889,K1889,$L$1:L1889,L1889)))</f>
        <v>001</v>
      </c>
      <c r="N188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89" s="14" t="e">
        <f>+LEN(Table4[[#This Row],[New Item Code]])</f>
        <v>#N/A</v>
      </c>
      <c r="P1889" s="15" t="s">
        <v>4747</v>
      </c>
      <c r="Q1889" s="15" t="s">
        <v>4749</v>
      </c>
      <c r="R1889" s="15"/>
      <c r="S1889" s="15"/>
      <c r="T1889" s="15" t="s">
        <v>4675</v>
      </c>
    </row>
    <row r="1890" spans="1:20" x14ac:dyDescent="0.35">
      <c r="A1890" s="3" t="s">
        <v>3735</v>
      </c>
      <c r="B1890" s="3" t="s">
        <v>3736</v>
      </c>
      <c r="C1890" s="3" t="s">
        <v>9</v>
      </c>
      <c r="D1890" s="5">
        <v>1250</v>
      </c>
      <c r="E1890" s="3" t="s">
        <v>10</v>
      </c>
      <c r="F1890" s="3">
        <v>5</v>
      </c>
      <c r="G1890" s="21">
        <f>Table4[[#This Row],[Item Cost]]*Table4[[#This Row],[In Stock]]</f>
        <v>6250</v>
      </c>
      <c r="H1890" s="12" t="s">
        <v>4661</v>
      </c>
      <c r="I1890" s="13" t="s">
        <v>4664</v>
      </c>
      <c r="J1890" s="13" t="s">
        <v>4675</v>
      </c>
      <c r="K1890" t="s">
        <v>4797</v>
      </c>
      <c r="L1890" s="12" t="s">
        <v>4672</v>
      </c>
      <c r="M1890" s="17" t="str">
        <f>IF(LEN(COUNTIFS($H$1:H1890,$H1890,$I$1:I1890,$I1890,$J$1:J1890,$J1890,$K$1:K1890,K1890,$L$1:L1890,L1890))=1,"00"&amp;COUNTIFS($H$1:H1890,$H1890,$I$1:I1890,$I1890,$J$1:J1890,$J1890,$K$1:K1890,K1890,$L$1:L1890,L1890),IF(LEN(COUNTIFS($H$1:H1890,$H1890,$I$1:I1890,$I1890,$J$1:J1890,$J1890,$K$1:K1890,K1890,$L$1:L1890,L1890))=2,"0"&amp;COUNTIFS($H$1:H1890,$H1890,$I$1:I1890,$I1890,$J$1:J1890,$J1890,$K$1:K1890,K1890,$L$1:L1890,L1890),COUNTIFS($H$1:H1890,$H1890,$I$1:I1890,$I1890,$J$1:J1890,$J1890,$K$1:K1890,K1890,$L$1:L1890,L1890)))</f>
        <v>002</v>
      </c>
      <c r="N189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90" s="14" t="e">
        <f>+LEN(Table4[[#This Row],[New Item Code]])</f>
        <v>#N/A</v>
      </c>
      <c r="P1890" s="15" t="s">
        <v>4747</v>
      </c>
      <c r="Q1890" s="15" t="s">
        <v>4749</v>
      </c>
      <c r="R1890" s="15"/>
      <c r="S1890" s="15"/>
      <c r="T1890" s="15" t="s">
        <v>4675</v>
      </c>
    </row>
    <row r="1891" spans="1:20" x14ac:dyDescent="0.35">
      <c r="A1891" s="2" t="s">
        <v>3737</v>
      </c>
      <c r="B1891" s="2" t="s">
        <v>3738</v>
      </c>
      <c r="C1891" s="2" t="s">
        <v>9</v>
      </c>
      <c r="D1891" s="4">
        <v>1250</v>
      </c>
      <c r="E1891" s="2" t="s">
        <v>10</v>
      </c>
      <c r="F1891" s="2">
        <v>5</v>
      </c>
      <c r="G1891" s="22">
        <f>Table4[[#This Row],[Item Cost]]*Table4[[#This Row],[In Stock]]</f>
        <v>6250</v>
      </c>
      <c r="H1891" s="12" t="s">
        <v>4661</v>
      </c>
      <c r="I1891" s="13" t="s">
        <v>4664</v>
      </c>
      <c r="J1891" s="13" t="s">
        <v>4675</v>
      </c>
      <c r="K1891" t="s">
        <v>4797</v>
      </c>
      <c r="L1891" s="12" t="s">
        <v>4672</v>
      </c>
      <c r="M1891" s="17" t="str">
        <f>IF(LEN(COUNTIFS($H$1:H1891,$H1891,$I$1:I1891,$I1891,$J$1:J1891,$J1891,$K$1:K1891,K1891,$L$1:L1891,L1891))=1,"00"&amp;COUNTIFS($H$1:H1891,$H1891,$I$1:I1891,$I1891,$J$1:J1891,$J1891,$K$1:K1891,K1891,$L$1:L1891,L1891),IF(LEN(COUNTIFS($H$1:H1891,$H1891,$I$1:I1891,$I1891,$J$1:J1891,$J1891,$K$1:K1891,K1891,$L$1:L1891,L1891))=2,"0"&amp;COUNTIFS($H$1:H1891,$H1891,$I$1:I1891,$I1891,$J$1:J1891,$J1891,$K$1:K1891,K1891,$L$1:L1891,L1891),COUNTIFS($H$1:H1891,$H1891,$I$1:I1891,$I1891,$J$1:J1891,$J1891,$K$1:K1891,K1891,$L$1:L1891,L1891)))</f>
        <v>003</v>
      </c>
      <c r="N189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91" s="14" t="e">
        <f>+LEN(Table4[[#This Row],[New Item Code]])</f>
        <v>#N/A</v>
      </c>
      <c r="P1891" s="15" t="s">
        <v>4747</v>
      </c>
      <c r="Q1891" s="15" t="s">
        <v>4749</v>
      </c>
      <c r="R1891" s="15"/>
      <c r="S1891" s="15"/>
      <c r="T1891" s="15" t="s">
        <v>4675</v>
      </c>
    </row>
    <row r="1892" spans="1:20" x14ac:dyDescent="0.35">
      <c r="A1892" s="3" t="s">
        <v>3739</v>
      </c>
      <c r="B1892" s="3" t="s">
        <v>3740</v>
      </c>
      <c r="C1892" s="3" t="s">
        <v>15</v>
      </c>
      <c r="D1892" s="3">
        <v>0</v>
      </c>
      <c r="E1892" s="3" t="s">
        <v>10</v>
      </c>
      <c r="F1892" s="3">
        <v>0</v>
      </c>
      <c r="G1892" s="21">
        <f>Table4[[#This Row],[Item Cost]]*Table4[[#This Row],[In Stock]]</f>
        <v>0</v>
      </c>
      <c r="H1892" s="12" t="s">
        <v>4661</v>
      </c>
      <c r="I1892" s="13" t="s">
        <v>4666</v>
      </c>
      <c r="J1892" s="13" t="s">
        <v>4675</v>
      </c>
      <c r="K1892" t="s">
        <v>4797</v>
      </c>
      <c r="L1892" s="12" t="s">
        <v>4672</v>
      </c>
      <c r="M1892" s="17" t="str">
        <f>IF(LEN(COUNTIFS($H$1:H1892,$H1892,$I$1:I1892,$I1892,$J$1:J1892,$J1892,$K$1:K1892,K1892,$L$1:L1892,L1892))=1,"00"&amp;COUNTIFS($H$1:H1892,$H1892,$I$1:I1892,$I1892,$J$1:J1892,$J1892,$K$1:K1892,K1892,$L$1:L1892,L1892),IF(LEN(COUNTIFS($H$1:H1892,$H1892,$I$1:I1892,$I1892,$J$1:J1892,$J1892,$K$1:K1892,K1892,$L$1:L1892,L1892))=2,"0"&amp;COUNTIFS($H$1:H1892,$H1892,$I$1:I1892,$I1892,$J$1:J1892,$J1892,$K$1:K1892,K1892,$L$1:L1892,L1892),COUNTIFS($H$1:H1892,$H1892,$I$1:I1892,$I1892,$J$1:J1892,$J1892,$K$1:K1892,K1892,$L$1:L1892,L1892)))</f>
        <v>001</v>
      </c>
      <c r="N189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92" s="14" t="e">
        <f>+LEN(Table4[[#This Row],[New Item Code]])</f>
        <v>#N/A</v>
      </c>
      <c r="P1892" s="15" t="s">
        <v>4747</v>
      </c>
      <c r="Q1892" s="15" t="s">
        <v>4749</v>
      </c>
      <c r="R1892" s="15"/>
      <c r="S1892" s="15"/>
      <c r="T1892" s="15" t="s">
        <v>4675</v>
      </c>
    </row>
    <row r="1893" spans="1:20" x14ac:dyDescent="0.35">
      <c r="A1893" s="2" t="s">
        <v>3741</v>
      </c>
      <c r="B1893" s="2" t="s">
        <v>3742</v>
      </c>
      <c r="C1893" s="2" t="s">
        <v>15</v>
      </c>
      <c r="D1893" s="2">
        <v>0</v>
      </c>
      <c r="E1893" s="2" t="s">
        <v>10</v>
      </c>
      <c r="F1893" s="2">
        <v>0</v>
      </c>
      <c r="G1893" s="22">
        <f>Table4[[#This Row],[Item Cost]]*Table4[[#This Row],[In Stock]]</f>
        <v>0</v>
      </c>
      <c r="H1893" s="12" t="s">
        <v>4661</v>
      </c>
      <c r="I1893" s="13" t="s">
        <v>4666</v>
      </c>
      <c r="J1893" s="13" t="s">
        <v>4675</v>
      </c>
      <c r="K1893" t="s">
        <v>4797</v>
      </c>
      <c r="L1893" s="12" t="s">
        <v>4672</v>
      </c>
      <c r="M1893" s="17" t="str">
        <f>IF(LEN(COUNTIFS($H$1:H1893,$H1893,$I$1:I1893,$I1893,$J$1:J1893,$J1893,$K$1:K1893,K1893,$L$1:L1893,L1893))=1,"00"&amp;COUNTIFS($H$1:H1893,$H1893,$I$1:I1893,$I1893,$J$1:J1893,$J1893,$K$1:K1893,K1893,$L$1:L1893,L1893),IF(LEN(COUNTIFS($H$1:H1893,$H1893,$I$1:I1893,$I1893,$J$1:J1893,$J1893,$K$1:K1893,K1893,$L$1:L1893,L1893))=2,"0"&amp;COUNTIFS($H$1:H1893,$H1893,$I$1:I1893,$I1893,$J$1:J1893,$J1893,$K$1:K1893,K1893,$L$1:L1893,L1893),COUNTIFS($H$1:H1893,$H1893,$I$1:I1893,$I1893,$J$1:J1893,$J1893,$K$1:K1893,K1893,$L$1:L1893,L1893)))</f>
        <v>002</v>
      </c>
      <c r="N189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93" s="14" t="e">
        <f>+LEN(Table4[[#This Row],[New Item Code]])</f>
        <v>#N/A</v>
      </c>
      <c r="P1893" s="15" t="s">
        <v>4747</v>
      </c>
      <c r="Q1893" s="15" t="s">
        <v>4749</v>
      </c>
      <c r="R1893" s="15"/>
      <c r="S1893" s="15"/>
      <c r="T1893" s="15" t="s">
        <v>4675</v>
      </c>
    </row>
    <row r="1894" spans="1:20" x14ac:dyDescent="0.35">
      <c r="A1894" s="3" t="s">
        <v>3743</v>
      </c>
      <c r="B1894" s="3" t="s">
        <v>3744</v>
      </c>
      <c r="C1894" s="3" t="s">
        <v>15</v>
      </c>
      <c r="D1894" s="3">
        <v>0</v>
      </c>
      <c r="E1894" s="3" t="s">
        <v>10</v>
      </c>
      <c r="F1894" s="3">
        <v>0</v>
      </c>
      <c r="G1894" s="21">
        <f>Table4[[#This Row],[Item Cost]]*Table4[[#This Row],[In Stock]]</f>
        <v>0</v>
      </c>
      <c r="H1894" s="12" t="s">
        <v>4661</v>
      </c>
      <c r="I1894" s="13" t="s">
        <v>4666</v>
      </c>
      <c r="J1894" s="13" t="s">
        <v>4675</v>
      </c>
      <c r="K1894" s="7" t="s">
        <v>4771</v>
      </c>
      <c r="L1894" s="12" t="s">
        <v>4672</v>
      </c>
      <c r="M1894" s="17" t="str">
        <f>IF(LEN(COUNTIFS($H$1:H1894,$H1894,$I$1:I1894,$I1894,$J$1:J1894,$J1894,$K$1:K1894,K1894,$L$1:L1894,L1894))=1,"00"&amp;COUNTIFS($H$1:H1894,$H1894,$I$1:I1894,$I1894,$J$1:J1894,$J1894,$K$1:K1894,K1894,$L$1:L1894,L1894),IF(LEN(COUNTIFS($H$1:H1894,$H1894,$I$1:I1894,$I1894,$J$1:J1894,$J1894,$K$1:K1894,K1894,$L$1:L1894,L1894))=2,"0"&amp;COUNTIFS($H$1:H1894,$H1894,$I$1:I1894,$I1894,$J$1:J1894,$J1894,$K$1:K1894,K1894,$L$1:L1894,L1894),COUNTIFS($H$1:H1894,$H1894,$I$1:I1894,$I1894,$J$1:J1894,$J1894,$K$1:K1894,K1894,$L$1:L1894,L1894)))</f>
        <v>001</v>
      </c>
      <c r="N189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94" s="14" t="e">
        <f>+LEN(Table4[[#This Row],[New Item Code]])</f>
        <v>#N/A</v>
      </c>
      <c r="P1894" s="15" t="s">
        <v>4747</v>
      </c>
      <c r="Q1894" s="15" t="s">
        <v>4749</v>
      </c>
      <c r="R1894" s="15"/>
      <c r="S1894" s="15"/>
      <c r="T1894" s="15" t="s">
        <v>4675</v>
      </c>
    </row>
    <row r="1895" spans="1:20" x14ac:dyDescent="0.35">
      <c r="A1895" s="2" t="s">
        <v>3745</v>
      </c>
      <c r="B1895" s="2" t="s">
        <v>1696</v>
      </c>
      <c r="C1895" s="2" t="s">
        <v>9</v>
      </c>
      <c r="D1895" s="4">
        <v>1500</v>
      </c>
      <c r="E1895" s="2" t="s">
        <v>10</v>
      </c>
      <c r="F1895" s="2">
        <v>2</v>
      </c>
      <c r="G1895" s="22">
        <f>Table4[[#This Row],[Item Cost]]*Table4[[#This Row],[In Stock]]</f>
        <v>3000</v>
      </c>
      <c r="H1895" s="12" t="s">
        <v>4661</v>
      </c>
      <c r="I1895" s="13" t="s">
        <v>4664</v>
      </c>
      <c r="J1895" s="13" t="s">
        <v>4675</v>
      </c>
      <c r="K1895" t="s">
        <v>4797</v>
      </c>
      <c r="L1895" s="12" t="s">
        <v>4672</v>
      </c>
      <c r="M1895" s="17" t="str">
        <f>IF(LEN(COUNTIFS($H$1:H1895,$H1895,$I$1:I1895,$I1895,$J$1:J1895,$J1895,$K$1:K1895,K1895,$L$1:L1895,L1895))=1,"00"&amp;COUNTIFS($H$1:H1895,$H1895,$I$1:I1895,$I1895,$J$1:J1895,$J1895,$K$1:K1895,K1895,$L$1:L1895,L1895),IF(LEN(COUNTIFS($H$1:H1895,$H1895,$I$1:I1895,$I1895,$J$1:J1895,$J1895,$K$1:K1895,K1895,$L$1:L1895,L1895))=2,"0"&amp;COUNTIFS($H$1:H1895,$H1895,$I$1:I1895,$I1895,$J$1:J1895,$J1895,$K$1:K1895,K1895,$L$1:L1895,L1895),COUNTIFS($H$1:H1895,$H1895,$I$1:I1895,$I1895,$J$1:J1895,$J1895,$K$1:K1895,K1895,$L$1:L1895,L1895)))</f>
        <v>004</v>
      </c>
      <c r="N189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95" s="14" t="e">
        <f>+LEN(Table4[[#This Row],[New Item Code]])</f>
        <v>#N/A</v>
      </c>
      <c r="P1895" s="15" t="s">
        <v>4747</v>
      </c>
      <c r="Q1895" s="15" t="s">
        <v>4749</v>
      </c>
      <c r="R1895" s="15"/>
      <c r="S1895" s="15"/>
      <c r="T1895" s="15" t="s">
        <v>4675</v>
      </c>
    </row>
    <row r="1896" spans="1:20" x14ac:dyDescent="0.35">
      <c r="A1896" s="3" t="s">
        <v>3746</v>
      </c>
      <c r="B1896" s="3" t="s">
        <v>1698</v>
      </c>
      <c r="C1896" s="3" t="s">
        <v>15</v>
      </c>
      <c r="D1896" s="3">
        <v>0</v>
      </c>
      <c r="E1896" s="3" t="s">
        <v>10</v>
      </c>
      <c r="F1896" s="3">
        <v>0</v>
      </c>
      <c r="G1896" s="21">
        <f>Table4[[#This Row],[Item Cost]]*Table4[[#This Row],[In Stock]]</f>
        <v>0</v>
      </c>
      <c r="H1896" s="12" t="s">
        <v>4661</v>
      </c>
      <c r="I1896" s="13" t="s">
        <v>4666</v>
      </c>
      <c r="J1896" s="13" t="s">
        <v>4675</v>
      </c>
      <c r="K1896" t="s">
        <v>4797</v>
      </c>
      <c r="L1896" s="12" t="s">
        <v>4672</v>
      </c>
      <c r="M1896" s="17" t="str">
        <f>IF(LEN(COUNTIFS($H$1:H1896,$H1896,$I$1:I1896,$I1896,$J$1:J1896,$J1896,$K$1:K1896,K1896,$L$1:L1896,L1896))=1,"00"&amp;COUNTIFS($H$1:H1896,$H1896,$I$1:I1896,$I1896,$J$1:J1896,$J1896,$K$1:K1896,K1896,$L$1:L1896,L1896),IF(LEN(COUNTIFS($H$1:H1896,$H1896,$I$1:I1896,$I1896,$J$1:J1896,$J1896,$K$1:K1896,K1896,$L$1:L1896,L1896))=2,"0"&amp;COUNTIFS($H$1:H1896,$H1896,$I$1:I1896,$I1896,$J$1:J1896,$J1896,$K$1:K1896,K1896,$L$1:L1896,L1896),COUNTIFS($H$1:H1896,$H1896,$I$1:I1896,$I1896,$J$1:J1896,$J1896,$K$1:K1896,K1896,$L$1:L1896,L1896)))</f>
        <v>003</v>
      </c>
      <c r="N189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96" s="14" t="e">
        <f>+LEN(Table4[[#This Row],[New Item Code]])</f>
        <v>#N/A</v>
      </c>
      <c r="P1896" s="15" t="s">
        <v>4747</v>
      </c>
      <c r="Q1896" s="15" t="s">
        <v>4749</v>
      </c>
      <c r="R1896" s="15"/>
      <c r="S1896" s="15"/>
      <c r="T1896" s="15" t="s">
        <v>4675</v>
      </c>
    </row>
    <row r="1897" spans="1:20" x14ac:dyDescent="0.35">
      <c r="A1897" s="2" t="s">
        <v>3747</v>
      </c>
      <c r="B1897" s="2" t="s">
        <v>1700</v>
      </c>
      <c r="C1897" s="2" t="s">
        <v>9</v>
      </c>
      <c r="D1897" s="2">
        <v>700</v>
      </c>
      <c r="E1897" s="2" t="s">
        <v>10</v>
      </c>
      <c r="F1897" s="2">
        <v>3</v>
      </c>
      <c r="G1897" s="22">
        <f>Table4[[#This Row],[Item Cost]]*Table4[[#This Row],[In Stock]]</f>
        <v>2100</v>
      </c>
      <c r="H1897" s="12" t="s">
        <v>4661</v>
      </c>
      <c r="I1897" s="13" t="s">
        <v>4664</v>
      </c>
      <c r="J1897" s="13" t="s">
        <v>4675</v>
      </c>
      <c r="K1897" t="s">
        <v>4797</v>
      </c>
      <c r="L1897" s="12" t="s">
        <v>4672</v>
      </c>
      <c r="M1897" s="17" t="str">
        <f>IF(LEN(COUNTIFS($H$1:H1897,$H1897,$I$1:I1897,$I1897,$J$1:J1897,$J1897,$K$1:K1897,K1897,$L$1:L1897,L1897))=1,"00"&amp;COUNTIFS($H$1:H1897,$H1897,$I$1:I1897,$I1897,$J$1:J1897,$J1897,$K$1:K1897,K1897,$L$1:L1897,L1897),IF(LEN(COUNTIFS($H$1:H1897,$H1897,$I$1:I1897,$I1897,$J$1:J1897,$J1897,$K$1:K1897,K1897,$L$1:L1897,L1897))=2,"0"&amp;COUNTIFS($H$1:H1897,$H1897,$I$1:I1897,$I1897,$J$1:J1897,$J1897,$K$1:K1897,K1897,$L$1:L1897,L1897),COUNTIFS($H$1:H1897,$H1897,$I$1:I1897,$I1897,$J$1:J1897,$J1897,$K$1:K1897,K1897,$L$1:L1897,L1897)))</f>
        <v>005</v>
      </c>
      <c r="N189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97" s="14" t="e">
        <f>+LEN(Table4[[#This Row],[New Item Code]])</f>
        <v>#N/A</v>
      </c>
      <c r="P1897" s="15" t="s">
        <v>4747</v>
      </c>
      <c r="Q1897" s="15" t="s">
        <v>4749</v>
      </c>
      <c r="R1897" s="15"/>
      <c r="S1897" s="15"/>
      <c r="T1897" s="15" t="s">
        <v>4675</v>
      </c>
    </row>
    <row r="1898" spans="1:20" x14ac:dyDescent="0.35">
      <c r="A1898" s="3" t="s">
        <v>3748</v>
      </c>
      <c r="B1898" s="3" t="s">
        <v>1857</v>
      </c>
      <c r="C1898" s="3" t="s">
        <v>9</v>
      </c>
      <c r="D1898" s="3">
        <v>239.56</v>
      </c>
      <c r="E1898" s="3" t="s">
        <v>10</v>
      </c>
      <c r="F1898" s="3">
        <v>2</v>
      </c>
      <c r="G1898" s="21">
        <f>Table4[[#This Row],[Item Cost]]*Table4[[#This Row],[In Stock]]</f>
        <v>479.12</v>
      </c>
      <c r="H1898" s="12" t="s">
        <v>4661</v>
      </c>
      <c r="I1898" s="13" t="s">
        <v>4664</v>
      </c>
      <c r="J1898" s="13" t="s">
        <v>4675</v>
      </c>
      <c r="K1898" s="13" t="s">
        <v>4672</v>
      </c>
      <c r="L1898" s="12" t="s">
        <v>4672</v>
      </c>
      <c r="M1898" s="17" t="str">
        <f>IF(LEN(COUNTIFS($H$1:H1898,$H1898,$I$1:I1898,$I1898,$J$1:J1898,$J1898,$K$1:K1898,K1898,$L$1:L1898,L1898))=1,"00"&amp;COUNTIFS($H$1:H1898,$H1898,$I$1:I1898,$I1898,$J$1:J1898,$J1898,$K$1:K1898,K1898,$L$1:L1898,L1898),IF(LEN(COUNTIFS($H$1:H1898,$H1898,$I$1:I1898,$I1898,$J$1:J1898,$J1898,$K$1:K1898,K1898,$L$1:L1898,L1898))=2,"0"&amp;COUNTIFS($H$1:H1898,$H1898,$I$1:I1898,$I1898,$J$1:J1898,$J1898,$K$1:K1898,K1898,$L$1:L1898,L1898),COUNTIFS($H$1:H1898,$H1898,$I$1:I1898,$I1898,$J$1:J1898,$J1898,$K$1:K1898,K1898,$L$1:L1898,L1898)))</f>
        <v>001</v>
      </c>
      <c r="N189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98" s="14" t="e">
        <f>+LEN(Table4[[#This Row],[New Item Code]])</f>
        <v>#N/A</v>
      </c>
      <c r="P1898" s="15" t="s">
        <v>4747</v>
      </c>
      <c r="Q1898" s="15" t="s">
        <v>4749</v>
      </c>
      <c r="R1898" s="15"/>
      <c r="S1898" s="15"/>
      <c r="T1898" s="15" t="s">
        <v>4675</v>
      </c>
    </row>
    <row r="1899" spans="1:20" x14ac:dyDescent="0.35">
      <c r="A1899" s="2" t="s">
        <v>3749</v>
      </c>
      <c r="B1899" s="2" t="s">
        <v>3750</v>
      </c>
      <c r="C1899" s="2" t="s">
        <v>15</v>
      </c>
      <c r="D1899" s="2">
        <v>0</v>
      </c>
      <c r="E1899" s="2" t="s">
        <v>10</v>
      </c>
      <c r="F1899" s="2">
        <v>0</v>
      </c>
      <c r="G1899" s="22">
        <f>Table4[[#This Row],[Item Cost]]*Table4[[#This Row],[In Stock]]</f>
        <v>0</v>
      </c>
      <c r="H1899" s="12" t="s">
        <v>4661</v>
      </c>
      <c r="I1899" s="13" t="s">
        <v>4666</v>
      </c>
      <c r="J1899" s="13" t="s">
        <v>4675</v>
      </c>
      <c r="K1899" s="13" t="s">
        <v>4672</v>
      </c>
      <c r="L1899" s="12" t="s">
        <v>4672</v>
      </c>
      <c r="M1899" s="17" t="str">
        <f>IF(LEN(COUNTIFS($H$1:H1899,$H1899,$I$1:I1899,$I1899,$J$1:J1899,$J1899,$K$1:K1899,K1899,$L$1:L1899,L1899))=1,"00"&amp;COUNTIFS($H$1:H1899,$H1899,$I$1:I1899,$I1899,$J$1:J1899,$J1899,$K$1:K1899,K1899,$L$1:L1899,L1899),IF(LEN(COUNTIFS($H$1:H1899,$H1899,$I$1:I1899,$I1899,$J$1:J1899,$J1899,$K$1:K1899,K1899,$L$1:L1899,L1899))=2,"0"&amp;COUNTIFS($H$1:H1899,$H1899,$I$1:I1899,$I1899,$J$1:J1899,$J1899,$K$1:K1899,K1899,$L$1:L1899,L1899),COUNTIFS($H$1:H1899,$H1899,$I$1:I1899,$I1899,$J$1:J1899,$J1899,$K$1:K1899,K1899,$L$1:L1899,L1899)))</f>
        <v>001</v>
      </c>
      <c r="N189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899" s="14" t="e">
        <f>+LEN(Table4[[#This Row],[New Item Code]])</f>
        <v>#N/A</v>
      </c>
      <c r="P1899" s="15" t="s">
        <v>4747</v>
      </c>
      <c r="Q1899" s="15" t="s">
        <v>4749</v>
      </c>
      <c r="R1899" s="15"/>
      <c r="S1899" s="15"/>
      <c r="T1899" s="15" t="s">
        <v>4675</v>
      </c>
    </row>
    <row r="1900" spans="1:20" x14ac:dyDescent="0.35">
      <c r="A1900" s="3" t="s">
        <v>3751</v>
      </c>
      <c r="B1900" s="3" t="s">
        <v>3752</v>
      </c>
      <c r="C1900" s="3" t="s">
        <v>9</v>
      </c>
      <c r="D1900" s="5">
        <v>1800</v>
      </c>
      <c r="E1900" s="3" t="s">
        <v>10</v>
      </c>
      <c r="F1900" s="3">
        <v>1</v>
      </c>
      <c r="G1900" s="21">
        <f>Table4[[#This Row],[Item Cost]]*Table4[[#This Row],[In Stock]]</f>
        <v>1800</v>
      </c>
      <c r="H1900" s="12" t="s">
        <v>4661</v>
      </c>
      <c r="I1900" s="13" t="s">
        <v>4664</v>
      </c>
      <c r="J1900" s="13" t="s">
        <v>4675</v>
      </c>
      <c r="K1900" s="13" t="s">
        <v>4672</v>
      </c>
      <c r="L1900" s="12" t="s">
        <v>4672</v>
      </c>
      <c r="M1900" s="17" t="str">
        <f>IF(LEN(COUNTIFS($H$1:H1900,$H1900,$I$1:I1900,$I1900,$J$1:J1900,$J1900,$K$1:K1900,K1900,$L$1:L1900,L1900))=1,"00"&amp;COUNTIFS($H$1:H1900,$H1900,$I$1:I1900,$I1900,$J$1:J1900,$J1900,$K$1:K1900,K1900,$L$1:L1900,L1900),IF(LEN(COUNTIFS($H$1:H1900,$H1900,$I$1:I1900,$I1900,$J$1:J1900,$J1900,$K$1:K1900,K1900,$L$1:L1900,L1900))=2,"0"&amp;COUNTIFS($H$1:H1900,$H1900,$I$1:I1900,$I1900,$J$1:J1900,$J1900,$K$1:K1900,K1900,$L$1:L1900,L1900),COUNTIFS($H$1:H1900,$H1900,$I$1:I1900,$I1900,$J$1:J1900,$J1900,$K$1:K1900,K1900,$L$1:L1900,L1900)))</f>
        <v>002</v>
      </c>
      <c r="N190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00" s="14" t="e">
        <f>+LEN(Table4[[#This Row],[New Item Code]])</f>
        <v>#N/A</v>
      </c>
      <c r="P1900" s="15" t="s">
        <v>4747</v>
      </c>
      <c r="Q1900" s="15" t="s">
        <v>4749</v>
      </c>
      <c r="R1900" s="15"/>
      <c r="S1900" s="15"/>
      <c r="T1900" s="15" t="s">
        <v>4675</v>
      </c>
    </row>
    <row r="1901" spans="1:20" x14ac:dyDescent="0.35">
      <c r="A1901" s="2" t="s">
        <v>3753</v>
      </c>
      <c r="B1901" s="2" t="s">
        <v>3754</v>
      </c>
      <c r="C1901" s="2" t="s">
        <v>15</v>
      </c>
      <c r="D1901" s="2">
        <v>0</v>
      </c>
      <c r="E1901" s="2" t="s">
        <v>10</v>
      </c>
      <c r="F1901" s="2">
        <v>0</v>
      </c>
      <c r="G1901" s="22">
        <f>Table4[[#This Row],[Item Cost]]*Table4[[#This Row],[In Stock]]</f>
        <v>0</v>
      </c>
      <c r="H1901" s="12" t="s">
        <v>4661</v>
      </c>
      <c r="I1901" s="13" t="s">
        <v>4666</v>
      </c>
      <c r="J1901" s="13" t="s">
        <v>4675</v>
      </c>
      <c r="K1901" s="13" t="s">
        <v>4672</v>
      </c>
      <c r="L1901" s="12" t="s">
        <v>4672</v>
      </c>
      <c r="M1901" s="17" t="str">
        <f>IF(LEN(COUNTIFS($H$1:H1901,$H1901,$I$1:I1901,$I1901,$J$1:J1901,$J1901,$K$1:K1901,K1901,$L$1:L1901,L1901))=1,"00"&amp;COUNTIFS($H$1:H1901,$H1901,$I$1:I1901,$I1901,$J$1:J1901,$J1901,$K$1:K1901,K1901,$L$1:L1901,L1901),IF(LEN(COUNTIFS($H$1:H1901,$H1901,$I$1:I1901,$I1901,$J$1:J1901,$J1901,$K$1:K1901,K1901,$L$1:L1901,L1901))=2,"0"&amp;COUNTIFS($H$1:H1901,$H1901,$I$1:I1901,$I1901,$J$1:J1901,$J1901,$K$1:K1901,K1901,$L$1:L1901,L1901),COUNTIFS($H$1:H1901,$H1901,$I$1:I1901,$I1901,$J$1:J1901,$J1901,$K$1:K1901,K1901,$L$1:L1901,L1901)))</f>
        <v>002</v>
      </c>
      <c r="N190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01" s="14" t="e">
        <f>+LEN(Table4[[#This Row],[New Item Code]])</f>
        <v>#N/A</v>
      </c>
      <c r="P1901" s="15" t="s">
        <v>4747</v>
      </c>
      <c r="Q1901" s="15" t="s">
        <v>4749</v>
      </c>
      <c r="R1901" s="15"/>
      <c r="S1901" s="15"/>
      <c r="T1901" s="15" t="s">
        <v>4675</v>
      </c>
    </row>
    <row r="1902" spans="1:20" x14ac:dyDescent="0.35">
      <c r="A1902" s="3" t="s">
        <v>3755</v>
      </c>
      <c r="B1902" s="3" t="s">
        <v>1728</v>
      </c>
      <c r="C1902" s="3" t="s">
        <v>15</v>
      </c>
      <c r="D1902" s="3">
        <v>0</v>
      </c>
      <c r="E1902" s="3" t="s">
        <v>10</v>
      </c>
      <c r="F1902" s="3">
        <v>0</v>
      </c>
      <c r="G1902" s="21">
        <f>Table4[[#This Row],[Item Cost]]*Table4[[#This Row],[In Stock]]</f>
        <v>0</v>
      </c>
      <c r="H1902" s="12" t="s">
        <v>4661</v>
      </c>
      <c r="I1902" s="13" t="s">
        <v>4666</v>
      </c>
      <c r="J1902" s="13" t="s">
        <v>4675</v>
      </c>
      <c r="K1902" s="13" t="s">
        <v>4672</v>
      </c>
      <c r="L1902" s="12" t="s">
        <v>4672</v>
      </c>
      <c r="M1902" s="17" t="str">
        <f>IF(LEN(COUNTIFS($H$1:H1902,$H1902,$I$1:I1902,$I1902,$J$1:J1902,$J1902,$K$1:K1902,K1902,$L$1:L1902,L1902))=1,"00"&amp;COUNTIFS($H$1:H1902,$H1902,$I$1:I1902,$I1902,$J$1:J1902,$J1902,$K$1:K1902,K1902,$L$1:L1902,L1902),IF(LEN(COUNTIFS($H$1:H1902,$H1902,$I$1:I1902,$I1902,$J$1:J1902,$J1902,$K$1:K1902,K1902,$L$1:L1902,L1902))=2,"0"&amp;COUNTIFS($H$1:H1902,$H1902,$I$1:I1902,$I1902,$J$1:J1902,$J1902,$K$1:K1902,K1902,$L$1:L1902,L1902),COUNTIFS($H$1:H1902,$H1902,$I$1:I1902,$I1902,$J$1:J1902,$J1902,$K$1:K1902,K1902,$L$1:L1902,L1902)))</f>
        <v>003</v>
      </c>
      <c r="N190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02" s="14" t="e">
        <f>+LEN(Table4[[#This Row],[New Item Code]])</f>
        <v>#N/A</v>
      </c>
      <c r="P1902" s="15" t="s">
        <v>4747</v>
      </c>
      <c r="Q1902" s="15" t="s">
        <v>4749</v>
      </c>
      <c r="R1902" s="15"/>
      <c r="S1902" s="15"/>
      <c r="T1902" s="15" t="s">
        <v>4675</v>
      </c>
    </row>
    <row r="1903" spans="1:20" x14ac:dyDescent="0.35">
      <c r="A1903" s="2" t="s">
        <v>3756</v>
      </c>
      <c r="B1903" s="2" t="s">
        <v>3757</v>
      </c>
      <c r="C1903" s="2" t="s">
        <v>15</v>
      </c>
      <c r="D1903" s="2">
        <v>0</v>
      </c>
      <c r="E1903" s="2" t="s">
        <v>10</v>
      </c>
      <c r="F1903" s="2">
        <v>0</v>
      </c>
      <c r="G1903" s="22">
        <f>Table4[[#This Row],[Item Cost]]*Table4[[#This Row],[In Stock]]</f>
        <v>0</v>
      </c>
      <c r="H1903" s="12" t="s">
        <v>4661</v>
      </c>
      <c r="I1903" s="13" t="s">
        <v>4666</v>
      </c>
      <c r="J1903" s="13" t="s">
        <v>4675</v>
      </c>
      <c r="K1903" t="s">
        <v>4798</v>
      </c>
      <c r="L1903" s="12" t="s">
        <v>4672</v>
      </c>
      <c r="M1903" s="17" t="str">
        <f>IF(LEN(COUNTIFS($H$1:H1903,$H1903,$I$1:I1903,$I1903,$J$1:J1903,$J1903,$K$1:K1903,K1903,$L$1:L1903,L1903))=1,"00"&amp;COUNTIFS($H$1:H1903,$H1903,$I$1:I1903,$I1903,$J$1:J1903,$J1903,$K$1:K1903,K1903,$L$1:L1903,L1903),IF(LEN(COUNTIFS($H$1:H1903,$H1903,$I$1:I1903,$I1903,$J$1:J1903,$J1903,$K$1:K1903,K1903,$L$1:L1903,L1903))=2,"0"&amp;COUNTIFS($H$1:H1903,$H1903,$I$1:I1903,$I1903,$J$1:J1903,$J1903,$K$1:K1903,K1903,$L$1:L1903,L1903),COUNTIFS($H$1:H1903,$H1903,$I$1:I1903,$I1903,$J$1:J1903,$J1903,$K$1:K1903,K1903,$L$1:L1903,L1903)))</f>
        <v>001</v>
      </c>
      <c r="N190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03" s="14" t="e">
        <f>+LEN(Table4[[#This Row],[New Item Code]])</f>
        <v>#N/A</v>
      </c>
      <c r="P1903" s="15" t="s">
        <v>4747</v>
      </c>
      <c r="Q1903" s="15" t="s">
        <v>4749</v>
      </c>
      <c r="R1903" s="15"/>
      <c r="S1903" s="15"/>
      <c r="T1903" s="15" t="s">
        <v>4675</v>
      </c>
    </row>
    <row r="1904" spans="1:20" x14ac:dyDescent="0.35">
      <c r="A1904" s="3" t="s">
        <v>3758</v>
      </c>
      <c r="B1904" s="3" t="s">
        <v>3759</v>
      </c>
      <c r="C1904" s="3" t="s">
        <v>15</v>
      </c>
      <c r="D1904" s="3">
        <v>0</v>
      </c>
      <c r="E1904" s="3" t="s">
        <v>10</v>
      </c>
      <c r="F1904" s="3">
        <v>0</v>
      </c>
      <c r="G1904" s="21">
        <f>Table4[[#This Row],[Item Cost]]*Table4[[#This Row],[In Stock]]</f>
        <v>0</v>
      </c>
      <c r="H1904" s="12" t="s">
        <v>4661</v>
      </c>
      <c r="I1904" s="13" t="s">
        <v>4666</v>
      </c>
      <c r="J1904" s="13" t="s">
        <v>4675</v>
      </c>
      <c r="K1904" s="13" t="s">
        <v>4672</v>
      </c>
      <c r="L1904" s="12" t="s">
        <v>4672</v>
      </c>
      <c r="M1904" s="17" t="str">
        <f>IF(LEN(COUNTIFS($H$1:H1904,$H1904,$I$1:I1904,$I1904,$J$1:J1904,$J1904,$K$1:K1904,K1904,$L$1:L1904,L1904))=1,"00"&amp;COUNTIFS($H$1:H1904,$H1904,$I$1:I1904,$I1904,$J$1:J1904,$J1904,$K$1:K1904,K1904,$L$1:L1904,L1904),IF(LEN(COUNTIFS($H$1:H1904,$H1904,$I$1:I1904,$I1904,$J$1:J1904,$J1904,$K$1:K1904,K1904,$L$1:L1904,L1904))=2,"0"&amp;COUNTIFS($H$1:H1904,$H1904,$I$1:I1904,$I1904,$J$1:J1904,$J1904,$K$1:K1904,K1904,$L$1:L1904,L1904),COUNTIFS($H$1:H1904,$H1904,$I$1:I1904,$I1904,$J$1:J1904,$J1904,$K$1:K1904,K1904,$L$1:L1904,L1904)))</f>
        <v>004</v>
      </c>
      <c r="N190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04" s="14" t="e">
        <f>+LEN(Table4[[#This Row],[New Item Code]])</f>
        <v>#N/A</v>
      </c>
      <c r="P1904" s="15" t="s">
        <v>4747</v>
      </c>
      <c r="Q1904" s="15" t="s">
        <v>4749</v>
      </c>
      <c r="R1904" s="15"/>
      <c r="S1904" s="15"/>
      <c r="T1904" s="15" t="s">
        <v>4675</v>
      </c>
    </row>
    <row r="1905" spans="1:20" x14ac:dyDescent="0.35">
      <c r="A1905" s="2" t="s">
        <v>3760</v>
      </c>
      <c r="B1905" s="2" t="s">
        <v>3761</v>
      </c>
      <c r="C1905" s="2" t="s">
        <v>15</v>
      </c>
      <c r="D1905" s="2">
        <v>0</v>
      </c>
      <c r="E1905" s="2" t="s">
        <v>10</v>
      </c>
      <c r="F1905" s="2">
        <v>0</v>
      </c>
      <c r="G1905" s="22">
        <f>Table4[[#This Row],[Item Cost]]*Table4[[#This Row],[In Stock]]</f>
        <v>0</v>
      </c>
      <c r="H1905" s="12" t="s">
        <v>4661</v>
      </c>
      <c r="I1905" s="13" t="s">
        <v>4666</v>
      </c>
      <c r="J1905" s="13" t="s">
        <v>4675</v>
      </c>
      <c r="K1905" t="s">
        <v>4797</v>
      </c>
      <c r="L1905" s="12" t="s">
        <v>4672</v>
      </c>
      <c r="M1905" s="17" t="str">
        <f>IF(LEN(COUNTIFS($H$1:H1905,$H1905,$I$1:I1905,$I1905,$J$1:J1905,$J1905,$K$1:K1905,K1905,$L$1:L1905,L1905))=1,"00"&amp;COUNTIFS($H$1:H1905,$H1905,$I$1:I1905,$I1905,$J$1:J1905,$J1905,$K$1:K1905,K1905,$L$1:L1905,L1905),IF(LEN(COUNTIFS($H$1:H1905,$H1905,$I$1:I1905,$I1905,$J$1:J1905,$J1905,$K$1:K1905,K1905,$L$1:L1905,L1905))=2,"0"&amp;COUNTIFS($H$1:H1905,$H1905,$I$1:I1905,$I1905,$J$1:J1905,$J1905,$K$1:K1905,K1905,$L$1:L1905,L1905),COUNTIFS($H$1:H1905,$H1905,$I$1:I1905,$I1905,$J$1:J1905,$J1905,$K$1:K1905,K1905,$L$1:L1905,L1905)))</f>
        <v>004</v>
      </c>
      <c r="N190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05" s="14" t="e">
        <f>+LEN(Table4[[#This Row],[New Item Code]])</f>
        <v>#N/A</v>
      </c>
      <c r="P1905" s="15" t="s">
        <v>4747</v>
      </c>
      <c r="Q1905" s="15" t="s">
        <v>4749</v>
      </c>
      <c r="R1905" s="15"/>
      <c r="S1905" s="15"/>
      <c r="T1905" s="15" t="s">
        <v>4675</v>
      </c>
    </row>
    <row r="1906" spans="1:20" x14ac:dyDescent="0.35">
      <c r="A1906" s="3" t="s">
        <v>3762</v>
      </c>
      <c r="B1906" s="3" t="s">
        <v>3763</v>
      </c>
      <c r="C1906" s="3" t="s">
        <v>9</v>
      </c>
      <c r="D1906" s="5">
        <v>15252</v>
      </c>
      <c r="E1906" s="3" t="s">
        <v>10</v>
      </c>
      <c r="F1906" s="3">
        <v>1</v>
      </c>
      <c r="G1906" s="21">
        <f>Table4[[#This Row],[Item Cost]]*Table4[[#This Row],[In Stock]]</f>
        <v>15252</v>
      </c>
      <c r="H1906" s="12" t="s">
        <v>4661</v>
      </c>
      <c r="I1906" s="13" t="s">
        <v>4664</v>
      </c>
      <c r="J1906" s="13" t="s">
        <v>4675</v>
      </c>
      <c r="K1906" s="13" t="s">
        <v>4672</v>
      </c>
      <c r="L1906" s="12" t="s">
        <v>4672</v>
      </c>
      <c r="M1906" s="17" t="str">
        <f>IF(LEN(COUNTIFS($H$1:H1906,$H1906,$I$1:I1906,$I1906,$J$1:J1906,$J1906,$K$1:K1906,K1906,$L$1:L1906,L1906))=1,"00"&amp;COUNTIFS($H$1:H1906,$H1906,$I$1:I1906,$I1906,$J$1:J1906,$J1906,$K$1:K1906,K1906,$L$1:L1906,L1906),IF(LEN(COUNTIFS($H$1:H1906,$H1906,$I$1:I1906,$I1906,$J$1:J1906,$J1906,$K$1:K1906,K1906,$L$1:L1906,L1906))=2,"0"&amp;COUNTIFS($H$1:H1906,$H1906,$I$1:I1906,$I1906,$J$1:J1906,$J1906,$K$1:K1906,K1906,$L$1:L1906,L1906),COUNTIFS($H$1:H1906,$H1906,$I$1:I1906,$I1906,$J$1:J1906,$J1906,$K$1:K1906,K1906,$L$1:L1906,L1906)))</f>
        <v>003</v>
      </c>
      <c r="N190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06" s="14" t="e">
        <f>+LEN(Table4[[#This Row],[New Item Code]])</f>
        <v>#N/A</v>
      </c>
      <c r="P1906" s="15" t="s">
        <v>4747</v>
      </c>
      <c r="Q1906" s="15" t="s">
        <v>4749</v>
      </c>
      <c r="R1906" s="15"/>
      <c r="S1906" s="15"/>
      <c r="T1906" s="15" t="s">
        <v>4675</v>
      </c>
    </row>
    <row r="1907" spans="1:20" x14ac:dyDescent="0.35">
      <c r="A1907" s="2" t="s">
        <v>3764</v>
      </c>
      <c r="B1907" s="2" t="s">
        <v>3765</v>
      </c>
      <c r="C1907" s="2" t="s">
        <v>15</v>
      </c>
      <c r="D1907" s="2">
        <v>0</v>
      </c>
      <c r="E1907" s="2" t="s">
        <v>10</v>
      </c>
      <c r="F1907" s="2">
        <v>0</v>
      </c>
      <c r="G1907" s="22">
        <f>Table4[[#This Row],[Item Cost]]*Table4[[#This Row],[In Stock]]</f>
        <v>0</v>
      </c>
      <c r="H1907" s="12" t="s">
        <v>4661</v>
      </c>
      <c r="I1907" s="13" t="s">
        <v>4666</v>
      </c>
      <c r="J1907" s="13" t="s">
        <v>4675</v>
      </c>
      <c r="K1907" s="13" t="s">
        <v>4672</v>
      </c>
      <c r="L1907" s="12" t="s">
        <v>4672</v>
      </c>
      <c r="M1907" s="17" t="str">
        <f>IF(LEN(COUNTIFS($H$1:H1907,$H1907,$I$1:I1907,$I1907,$J$1:J1907,$J1907,$K$1:K1907,K1907,$L$1:L1907,L1907))=1,"00"&amp;COUNTIFS($H$1:H1907,$H1907,$I$1:I1907,$I1907,$J$1:J1907,$J1907,$K$1:K1907,K1907,$L$1:L1907,L1907),IF(LEN(COUNTIFS($H$1:H1907,$H1907,$I$1:I1907,$I1907,$J$1:J1907,$J1907,$K$1:K1907,K1907,$L$1:L1907,L1907))=2,"0"&amp;COUNTIFS($H$1:H1907,$H1907,$I$1:I1907,$I1907,$J$1:J1907,$J1907,$K$1:K1907,K1907,$L$1:L1907,L1907),COUNTIFS($H$1:H1907,$H1907,$I$1:I1907,$I1907,$J$1:J1907,$J1907,$K$1:K1907,K1907,$L$1:L1907,L1907)))</f>
        <v>005</v>
      </c>
      <c r="N190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07" s="14" t="e">
        <f>+LEN(Table4[[#This Row],[New Item Code]])</f>
        <v>#N/A</v>
      </c>
      <c r="P1907" s="15" t="s">
        <v>4747</v>
      </c>
      <c r="Q1907" s="15" t="s">
        <v>4749</v>
      </c>
      <c r="R1907" s="15"/>
      <c r="S1907" s="15"/>
      <c r="T1907" s="15" t="s">
        <v>4675</v>
      </c>
    </row>
    <row r="1908" spans="1:20" x14ac:dyDescent="0.35">
      <c r="A1908" s="3" t="s">
        <v>3766</v>
      </c>
      <c r="B1908" s="3" t="s">
        <v>3767</v>
      </c>
      <c r="C1908" s="3" t="s">
        <v>15</v>
      </c>
      <c r="D1908" s="3">
        <v>0</v>
      </c>
      <c r="E1908" s="3" t="s">
        <v>10</v>
      </c>
      <c r="F1908" s="3">
        <v>0</v>
      </c>
      <c r="G1908" s="21">
        <f>Table4[[#This Row],[Item Cost]]*Table4[[#This Row],[In Stock]]</f>
        <v>0</v>
      </c>
      <c r="H1908" s="12" t="s">
        <v>4661</v>
      </c>
      <c r="I1908" s="13" t="s">
        <v>4666</v>
      </c>
      <c r="J1908" s="13" t="s">
        <v>4675</v>
      </c>
      <c r="K1908" s="13" t="s">
        <v>4672</v>
      </c>
      <c r="L1908" s="12" t="s">
        <v>4672</v>
      </c>
      <c r="M1908" s="17" t="str">
        <f>IF(LEN(COUNTIFS($H$1:H1908,$H1908,$I$1:I1908,$I1908,$J$1:J1908,$J1908,$K$1:K1908,K1908,$L$1:L1908,L1908))=1,"00"&amp;COUNTIFS($H$1:H1908,$H1908,$I$1:I1908,$I1908,$J$1:J1908,$J1908,$K$1:K1908,K1908,$L$1:L1908,L1908),IF(LEN(COUNTIFS($H$1:H1908,$H1908,$I$1:I1908,$I1908,$J$1:J1908,$J1908,$K$1:K1908,K1908,$L$1:L1908,L1908))=2,"0"&amp;COUNTIFS($H$1:H1908,$H1908,$I$1:I1908,$I1908,$J$1:J1908,$J1908,$K$1:K1908,K1908,$L$1:L1908,L1908),COUNTIFS($H$1:H1908,$H1908,$I$1:I1908,$I1908,$J$1:J1908,$J1908,$K$1:K1908,K1908,$L$1:L1908,L1908)))</f>
        <v>006</v>
      </c>
      <c r="N190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08" s="14" t="e">
        <f>+LEN(Table4[[#This Row],[New Item Code]])</f>
        <v>#N/A</v>
      </c>
      <c r="P1908" s="15" t="s">
        <v>4747</v>
      </c>
      <c r="Q1908" s="15" t="s">
        <v>4749</v>
      </c>
      <c r="R1908" s="15"/>
      <c r="S1908" s="15"/>
      <c r="T1908" s="15" t="s">
        <v>4675</v>
      </c>
    </row>
    <row r="1909" spans="1:20" x14ac:dyDescent="0.35">
      <c r="A1909" s="2" t="s">
        <v>3768</v>
      </c>
      <c r="B1909" s="2" t="s">
        <v>3769</v>
      </c>
      <c r="C1909" s="2" t="s">
        <v>15</v>
      </c>
      <c r="D1909" s="2">
        <v>0</v>
      </c>
      <c r="E1909" s="2" t="s">
        <v>10</v>
      </c>
      <c r="F1909" s="2">
        <v>0</v>
      </c>
      <c r="G1909" s="22">
        <f>Table4[[#This Row],[Item Cost]]*Table4[[#This Row],[In Stock]]</f>
        <v>0</v>
      </c>
      <c r="H1909" s="12" t="s">
        <v>4661</v>
      </c>
      <c r="I1909" s="13" t="s">
        <v>4666</v>
      </c>
      <c r="J1909" s="13" t="s">
        <v>4675</v>
      </c>
      <c r="K1909" s="13" t="s">
        <v>4672</v>
      </c>
      <c r="L1909" s="12" t="s">
        <v>4672</v>
      </c>
      <c r="M1909" s="17" t="str">
        <f>IF(LEN(COUNTIFS($H$1:H1909,$H1909,$I$1:I1909,$I1909,$J$1:J1909,$J1909,$K$1:K1909,K1909,$L$1:L1909,L1909))=1,"00"&amp;COUNTIFS($H$1:H1909,$H1909,$I$1:I1909,$I1909,$J$1:J1909,$J1909,$K$1:K1909,K1909,$L$1:L1909,L1909),IF(LEN(COUNTIFS($H$1:H1909,$H1909,$I$1:I1909,$I1909,$J$1:J1909,$J1909,$K$1:K1909,K1909,$L$1:L1909,L1909))=2,"0"&amp;COUNTIFS($H$1:H1909,$H1909,$I$1:I1909,$I1909,$J$1:J1909,$J1909,$K$1:K1909,K1909,$L$1:L1909,L1909),COUNTIFS($H$1:H1909,$H1909,$I$1:I1909,$I1909,$J$1:J1909,$J1909,$K$1:K1909,K1909,$L$1:L1909,L1909)))</f>
        <v>007</v>
      </c>
      <c r="N190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09" s="14" t="e">
        <f>+LEN(Table4[[#This Row],[New Item Code]])</f>
        <v>#N/A</v>
      </c>
      <c r="P1909" s="15" t="s">
        <v>4747</v>
      </c>
      <c r="Q1909" s="15" t="s">
        <v>4749</v>
      </c>
      <c r="R1909" s="15"/>
      <c r="S1909" s="15"/>
      <c r="T1909" s="15" t="s">
        <v>4675</v>
      </c>
    </row>
    <row r="1910" spans="1:20" x14ac:dyDescent="0.35">
      <c r="A1910" s="3" t="s">
        <v>3770</v>
      </c>
      <c r="B1910" s="3" t="s">
        <v>3771</v>
      </c>
      <c r="C1910" s="3" t="s">
        <v>15</v>
      </c>
      <c r="D1910" s="3">
        <v>0</v>
      </c>
      <c r="E1910" s="3" t="s">
        <v>10</v>
      </c>
      <c r="F1910" s="3">
        <v>0</v>
      </c>
      <c r="G1910" s="21">
        <f>Table4[[#This Row],[Item Cost]]*Table4[[#This Row],[In Stock]]</f>
        <v>0</v>
      </c>
      <c r="H1910" s="12" t="s">
        <v>4661</v>
      </c>
      <c r="I1910" s="13" t="s">
        <v>4666</v>
      </c>
      <c r="J1910" s="13" t="s">
        <v>4675</v>
      </c>
      <c r="K1910" s="13" t="s">
        <v>4672</v>
      </c>
      <c r="L1910" s="12" t="s">
        <v>4672</v>
      </c>
      <c r="M1910" s="17" t="str">
        <f>IF(LEN(COUNTIFS($H$1:H1910,$H1910,$I$1:I1910,$I1910,$J$1:J1910,$J1910,$K$1:K1910,K1910,$L$1:L1910,L1910))=1,"00"&amp;COUNTIFS($H$1:H1910,$H1910,$I$1:I1910,$I1910,$J$1:J1910,$J1910,$K$1:K1910,K1910,$L$1:L1910,L1910),IF(LEN(COUNTIFS($H$1:H1910,$H1910,$I$1:I1910,$I1910,$J$1:J1910,$J1910,$K$1:K1910,K1910,$L$1:L1910,L1910))=2,"0"&amp;COUNTIFS($H$1:H1910,$H1910,$I$1:I1910,$I1910,$J$1:J1910,$J1910,$K$1:K1910,K1910,$L$1:L1910,L1910),COUNTIFS($H$1:H1910,$H1910,$I$1:I1910,$I1910,$J$1:J1910,$J1910,$K$1:K1910,K1910,$L$1:L1910,L1910)))</f>
        <v>008</v>
      </c>
      <c r="N191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10" s="14" t="e">
        <f>+LEN(Table4[[#This Row],[New Item Code]])</f>
        <v>#N/A</v>
      </c>
      <c r="P1910" s="15" t="s">
        <v>4747</v>
      </c>
      <c r="Q1910" s="15" t="s">
        <v>4749</v>
      </c>
      <c r="R1910" s="15"/>
      <c r="S1910" s="15"/>
      <c r="T1910" s="15" t="s">
        <v>4675</v>
      </c>
    </row>
    <row r="1911" spans="1:20" x14ac:dyDescent="0.35">
      <c r="A1911" s="2" t="s">
        <v>3772</v>
      </c>
      <c r="B1911" s="2" t="s">
        <v>3773</v>
      </c>
      <c r="C1911" s="2" t="s">
        <v>15</v>
      </c>
      <c r="D1911" s="2">
        <v>0</v>
      </c>
      <c r="E1911" s="2" t="s">
        <v>10</v>
      </c>
      <c r="F1911" s="2">
        <v>0</v>
      </c>
      <c r="G1911" s="22">
        <f>Table4[[#This Row],[Item Cost]]*Table4[[#This Row],[In Stock]]</f>
        <v>0</v>
      </c>
      <c r="H1911" s="12" t="s">
        <v>4661</v>
      </c>
      <c r="I1911" s="13" t="s">
        <v>4666</v>
      </c>
      <c r="J1911" s="13" t="s">
        <v>4675</v>
      </c>
      <c r="K1911" s="13" t="s">
        <v>4672</v>
      </c>
      <c r="L1911" s="12" t="s">
        <v>4672</v>
      </c>
      <c r="M1911" s="17" t="str">
        <f>IF(LEN(COUNTIFS($H$1:H1911,$H1911,$I$1:I1911,$I1911,$J$1:J1911,$J1911,$K$1:K1911,K1911,$L$1:L1911,L1911))=1,"00"&amp;COUNTIFS($H$1:H1911,$H1911,$I$1:I1911,$I1911,$J$1:J1911,$J1911,$K$1:K1911,K1911,$L$1:L1911,L1911),IF(LEN(COUNTIFS($H$1:H1911,$H1911,$I$1:I1911,$I1911,$J$1:J1911,$J1911,$K$1:K1911,K1911,$L$1:L1911,L1911))=2,"0"&amp;COUNTIFS($H$1:H1911,$H1911,$I$1:I1911,$I1911,$J$1:J1911,$J1911,$K$1:K1911,K1911,$L$1:L1911,L1911),COUNTIFS($H$1:H1911,$H1911,$I$1:I1911,$I1911,$J$1:J1911,$J1911,$K$1:K1911,K1911,$L$1:L1911,L1911)))</f>
        <v>009</v>
      </c>
      <c r="N191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11" s="14" t="e">
        <f>+LEN(Table4[[#This Row],[New Item Code]])</f>
        <v>#N/A</v>
      </c>
      <c r="P1911" s="15" t="s">
        <v>4747</v>
      </c>
      <c r="Q1911" s="15" t="s">
        <v>4749</v>
      </c>
      <c r="R1911" s="15"/>
      <c r="S1911" s="15"/>
      <c r="T1911" s="15" t="s">
        <v>4675</v>
      </c>
    </row>
    <row r="1912" spans="1:20" x14ac:dyDescent="0.35">
      <c r="A1912" s="3" t="s">
        <v>3774</v>
      </c>
      <c r="B1912" s="3" t="s">
        <v>3775</v>
      </c>
      <c r="C1912" s="3" t="s">
        <v>15</v>
      </c>
      <c r="D1912" s="3">
        <v>0</v>
      </c>
      <c r="E1912" s="3" t="s">
        <v>10</v>
      </c>
      <c r="F1912" s="3">
        <v>0</v>
      </c>
      <c r="G1912" s="21">
        <f>Table4[[#This Row],[Item Cost]]*Table4[[#This Row],[In Stock]]</f>
        <v>0</v>
      </c>
      <c r="H1912" s="12" t="s">
        <v>4661</v>
      </c>
      <c r="I1912" s="13" t="s">
        <v>4666</v>
      </c>
      <c r="J1912" s="13" t="s">
        <v>4675</v>
      </c>
      <c r="K1912" s="13" t="s">
        <v>4672</v>
      </c>
      <c r="L1912" s="12" t="s">
        <v>4672</v>
      </c>
      <c r="M1912" s="17" t="str">
        <f>IF(LEN(COUNTIFS($H$1:H1912,$H1912,$I$1:I1912,$I1912,$J$1:J1912,$J1912,$K$1:K1912,K1912,$L$1:L1912,L1912))=1,"00"&amp;COUNTIFS($H$1:H1912,$H1912,$I$1:I1912,$I1912,$J$1:J1912,$J1912,$K$1:K1912,K1912,$L$1:L1912,L1912),IF(LEN(COUNTIFS($H$1:H1912,$H1912,$I$1:I1912,$I1912,$J$1:J1912,$J1912,$K$1:K1912,K1912,$L$1:L1912,L1912))=2,"0"&amp;COUNTIFS($H$1:H1912,$H1912,$I$1:I1912,$I1912,$J$1:J1912,$J1912,$K$1:K1912,K1912,$L$1:L1912,L1912),COUNTIFS($H$1:H1912,$H1912,$I$1:I1912,$I1912,$J$1:J1912,$J1912,$K$1:K1912,K1912,$L$1:L1912,L1912)))</f>
        <v>010</v>
      </c>
      <c r="N191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12" s="14" t="e">
        <f>+LEN(Table4[[#This Row],[New Item Code]])</f>
        <v>#N/A</v>
      </c>
      <c r="P1912" s="15" t="s">
        <v>4747</v>
      </c>
      <c r="Q1912" s="15" t="s">
        <v>4749</v>
      </c>
      <c r="R1912" s="15"/>
      <c r="S1912" s="15"/>
      <c r="T1912" s="15" t="s">
        <v>4675</v>
      </c>
    </row>
    <row r="1913" spans="1:20" x14ac:dyDescent="0.35">
      <c r="A1913" s="2" t="s">
        <v>3776</v>
      </c>
      <c r="B1913" s="2" t="s">
        <v>3777</v>
      </c>
      <c r="C1913" s="2" t="s">
        <v>15</v>
      </c>
      <c r="D1913" s="2">
        <v>0</v>
      </c>
      <c r="E1913" s="2" t="s">
        <v>10</v>
      </c>
      <c r="F1913" s="2">
        <v>0</v>
      </c>
      <c r="G1913" s="22">
        <f>Table4[[#This Row],[Item Cost]]*Table4[[#This Row],[In Stock]]</f>
        <v>0</v>
      </c>
      <c r="H1913" s="12" t="s">
        <v>4661</v>
      </c>
      <c r="I1913" s="13" t="s">
        <v>4666</v>
      </c>
      <c r="J1913" s="13" t="s">
        <v>4675</v>
      </c>
      <c r="K1913" s="13" t="s">
        <v>4672</v>
      </c>
      <c r="L1913" s="12" t="s">
        <v>4672</v>
      </c>
      <c r="M1913" s="17" t="str">
        <f>IF(LEN(COUNTIFS($H$1:H1913,$H1913,$I$1:I1913,$I1913,$J$1:J1913,$J1913,$K$1:K1913,K1913,$L$1:L1913,L1913))=1,"00"&amp;COUNTIFS($H$1:H1913,$H1913,$I$1:I1913,$I1913,$J$1:J1913,$J1913,$K$1:K1913,K1913,$L$1:L1913,L1913),IF(LEN(COUNTIFS($H$1:H1913,$H1913,$I$1:I1913,$I1913,$J$1:J1913,$J1913,$K$1:K1913,K1913,$L$1:L1913,L1913))=2,"0"&amp;COUNTIFS($H$1:H1913,$H1913,$I$1:I1913,$I1913,$J$1:J1913,$J1913,$K$1:K1913,K1913,$L$1:L1913,L1913),COUNTIFS($H$1:H1913,$H1913,$I$1:I1913,$I1913,$J$1:J1913,$J1913,$K$1:K1913,K1913,$L$1:L1913,L1913)))</f>
        <v>011</v>
      </c>
      <c r="N191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13" s="14" t="e">
        <f>+LEN(Table4[[#This Row],[New Item Code]])</f>
        <v>#N/A</v>
      </c>
      <c r="P1913" s="15" t="s">
        <v>4747</v>
      </c>
      <c r="Q1913" s="15" t="s">
        <v>4749</v>
      </c>
      <c r="R1913" s="15"/>
      <c r="S1913" s="15"/>
      <c r="T1913" s="15" t="s">
        <v>4675</v>
      </c>
    </row>
    <row r="1914" spans="1:20" x14ac:dyDescent="0.35">
      <c r="A1914" s="3" t="s">
        <v>3778</v>
      </c>
      <c r="B1914" s="3" t="s">
        <v>3779</v>
      </c>
      <c r="C1914" s="3" t="s">
        <v>15</v>
      </c>
      <c r="D1914" s="3">
        <v>0</v>
      </c>
      <c r="E1914" s="3" t="s">
        <v>10</v>
      </c>
      <c r="F1914" s="3">
        <v>0</v>
      </c>
      <c r="G1914" s="21">
        <f>Table4[[#This Row],[Item Cost]]*Table4[[#This Row],[In Stock]]</f>
        <v>0</v>
      </c>
      <c r="H1914" s="12" t="s">
        <v>4661</v>
      </c>
      <c r="I1914" s="13" t="s">
        <v>4666</v>
      </c>
      <c r="J1914" s="13" t="s">
        <v>4675</v>
      </c>
      <c r="K1914" t="s">
        <v>4798</v>
      </c>
      <c r="L1914" s="12" t="s">
        <v>4672</v>
      </c>
      <c r="M1914" s="17" t="str">
        <f>IF(LEN(COUNTIFS($H$1:H1914,$H1914,$I$1:I1914,$I1914,$J$1:J1914,$J1914,$K$1:K1914,K1914,$L$1:L1914,L1914))=1,"00"&amp;COUNTIFS($H$1:H1914,$H1914,$I$1:I1914,$I1914,$J$1:J1914,$J1914,$K$1:K1914,K1914,$L$1:L1914,L1914),IF(LEN(COUNTIFS($H$1:H1914,$H1914,$I$1:I1914,$I1914,$J$1:J1914,$J1914,$K$1:K1914,K1914,$L$1:L1914,L1914))=2,"0"&amp;COUNTIFS($H$1:H1914,$H1914,$I$1:I1914,$I1914,$J$1:J1914,$J1914,$K$1:K1914,K1914,$L$1:L1914,L1914),COUNTIFS($H$1:H1914,$H1914,$I$1:I1914,$I1914,$J$1:J1914,$J1914,$K$1:K1914,K1914,$L$1:L1914,L1914)))</f>
        <v>002</v>
      </c>
      <c r="N191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14" s="14" t="e">
        <f>+LEN(Table4[[#This Row],[New Item Code]])</f>
        <v>#N/A</v>
      </c>
      <c r="P1914" s="15" t="s">
        <v>4747</v>
      </c>
      <c r="Q1914" s="15" t="s">
        <v>4749</v>
      </c>
      <c r="R1914" s="15"/>
      <c r="S1914" s="15"/>
      <c r="T1914" s="15" t="s">
        <v>4675</v>
      </c>
    </row>
    <row r="1915" spans="1:20" x14ac:dyDescent="0.35">
      <c r="A1915" s="2" t="s">
        <v>3780</v>
      </c>
      <c r="B1915" s="2" t="s">
        <v>3781</v>
      </c>
      <c r="C1915" s="2" t="s">
        <v>15</v>
      </c>
      <c r="D1915" s="2">
        <v>0</v>
      </c>
      <c r="E1915" s="2" t="s">
        <v>10</v>
      </c>
      <c r="F1915" s="2">
        <v>0</v>
      </c>
      <c r="G1915" s="22">
        <f>Table4[[#This Row],[Item Cost]]*Table4[[#This Row],[In Stock]]</f>
        <v>0</v>
      </c>
      <c r="H1915" s="12" t="s">
        <v>4661</v>
      </c>
      <c r="I1915" s="13" t="s">
        <v>4666</v>
      </c>
      <c r="J1915" s="13" t="s">
        <v>4675</v>
      </c>
      <c r="K1915" t="s">
        <v>4798</v>
      </c>
      <c r="L1915" s="12" t="s">
        <v>4672</v>
      </c>
      <c r="M1915" s="17" t="str">
        <f>IF(LEN(COUNTIFS($H$1:H1915,$H1915,$I$1:I1915,$I1915,$J$1:J1915,$J1915,$K$1:K1915,K1915,$L$1:L1915,L1915))=1,"00"&amp;COUNTIFS($H$1:H1915,$H1915,$I$1:I1915,$I1915,$J$1:J1915,$J1915,$K$1:K1915,K1915,$L$1:L1915,L1915),IF(LEN(COUNTIFS($H$1:H1915,$H1915,$I$1:I1915,$I1915,$J$1:J1915,$J1915,$K$1:K1915,K1915,$L$1:L1915,L1915))=2,"0"&amp;COUNTIFS($H$1:H1915,$H1915,$I$1:I1915,$I1915,$J$1:J1915,$J1915,$K$1:K1915,K1915,$L$1:L1915,L1915),COUNTIFS($H$1:H1915,$H1915,$I$1:I1915,$I1915,$J$1:J1915,$J1915,$K$1:K1915,K1915,$L$1:L1915,L1915)))</f>
        <v>003</v>
      </c>
      <c r="N191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15" s="14" t="e">
        <f>+LEN(Table4[[#This Row],[New Item Code]])</f>
        <v>#N/A</v>
      </c>
      <c r="P1915" s="15" t="s">
        <v>4747</v>
      </c>
      <c r="Q1915" s="15" t="s">
        <v>4749</v>
      </c>
      <c r="R1915" s="15"/>
      <c r="S1915" s="15"/>
      <c r="T1915" s="15" t="s">
        <v>4675</v>
      </c>
    </row>
    <row r="1916" spans="1:20" x14ac:dyDescent="0.35">
      <c r="A1916" s="3" t="s">
        <v>3782</v>
      </c>
      <c r="B1916" s="3" t="s">
        <v>3783</v>
      </c>
      <c r="C1916" s="3" t="s">
        <v>15</v>
      </c>
      <c r="D1916" s="3">
        <v>0</v>
      </c>
      <c r="E1916" s="3" t="s">
        <v>10</v>
      </c>
      <c r="F1916" s="3">
        <v>0</v>
      </c>
      <c r="G1916" s="21">
        <f>Table4[[#This Row],[Item Cost]]*Table4[[#This Row],[In Stock]]</f>
        <v>0</v>
      </c>
      <c r="H1916" s="12" t="s">
        <v>4661</v>
      </c>
      <c r="I1916" s="13" t="s">
        <v>4666</v>
      </c>
      <c r="J1916" s="13" t="s">
        <v>4675</v>
      </c>
      <c r="K1916" s="13" t="s">
        <v>4672</v>
      </c>
      <c r="L1916" s="12" t="s">
        <v>4672</v>
      </c>
      <c r="M1916" s="17" t="str">
        <f>IF(LEN(COUNTIFS($H$1:H1916,$H1916,$I$1:I1916,$I1916,$J$1:J1916,$J1916,$K$1:K1916,K1916,$L$1:L1916,L1916))=1,"00"&amp;COUNTIFS($H$1:H1916,$H1916,$I$1:I1916,$I1916,$J$1:J1916,$J1916,$K$1:K1916,K1916,$L$1:L1916,L1916),IF(LEN(COUNTIFS($H$1:H1916,$H1916,$I$1:I1916,$I1916,$J$1:J1916,$J1916,$K$1:K1916,K1916,$L$1:L1916,L1916))=2,"0"&amp;COUNTIFS($H$1:H1916,$H1916,$I$1:I1916,$I1916,$J$1:J1916,$J1916,$K$1:K1916,K1916,$L$1:L1916,L1916),COUNTIFS($H$1:H1916,$H1916,$I$1:I1916,$I1916,$J$1:J1916,$J1916,$K$1:K1916,K1916,$L$1:L1916,L1916)))</f>
        <v>012</v>
      </c>
      <c r="N191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16" s="14" t="e">
        <f>+LEN(Table4[[#This Row],[New Item Code]])</f>
        <v>#N/A</v>
      </c>
      <c r="P1916" s="15" t="s">
        <v>4747</v>
      </c>
      <c r="Q1916" s="15" t="s">
        <v>4749</v>
      </c>
      <c r="R1916" s="15"/>
      <c r="S1916" s="15"/>
      <c r="T1916" s="15" t="s">
        <v>4675</v>
      </c>
    </row>
    <row r="1917" spans="1:20" x14ac:dyDescent="0.35">
      <c r="A1917" s="2" t="s">
        <v>3784</v>
      </c>
      <c r="B1917" s="2" t="s">
        <v>3785</v>
      </c>
      <c r="C1917" s="2" t="s">
        <v>9</v>
      </c>
      <c r="D1917" s="4">
        <v>2750</v>
      </c>
      <c r="E1917" s="2" t="s">
        <v>10</v>
      </c>
      <c r="F1917" s="2">
        <v>1</v>
      </c>
      <c r="G1917" s="22">
        <f>Table4[[#This Row],[Item Cost]]*Table4[[#This Row],[In Stock]]</f>
        <v>2750</v>
      </c>
      <c r="H1917" s="12" t="s">
        <v>4661</v>
      </c>
      <c r="I1917" s="13" t="s">
        <v>4664</v>
      </c>
      <c r="J1917" s="13" t="s">
        <v>4675</v>
      </c>
      <c r="K1917" s="13" t="s">
        <v>4672</v>
      </c>
      <c r="L1917" s="12" t="s">
        <v>4672</v>
      </c>
      <c r="M1917" s="17" t="str">
        <f>IF(LEN(COUNTIFS($H$1:H1917,$H1917,$I$1:I1917,$I1917,$J$1:J1917,$J1917,$K$1:K1917,K1917,$L$1:L1917,L1917))=1,"00"&amp;COUNTIFS($H$1:H1917,$H1917,$I$1:I1917,$I1917,$J$1:J1917,$J1917,$K$1:K1917,K1917,$L$1:L1917,L1917),IF(LEN(COUNTIFS($H$1:H1917,$H1917,$I$1:I1917,$I1917,$J$1:J1917,$J1917,$K$1:K1917,K1917,$L$1:L1917,L1917))=2,"0"&amp;COUNTIFS($H$1:H1917,$H1917,$I$1:I1917,$I1917,$J$1:J1917,$J1917,$K$1:K1917,K1917,$L$1:L1917,L1917),COUNTIFS($H$1:H1917,$H1917,$I$1:I1917,$I1917,$J$1:J1917,$J1917,$K$1:K1917,K1917,$L$1:L1917,L1917)))</f>
        <v>004</v>
      </c>
      <c r="N191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17" s="14" t="e">
        <f>+LEN(Table4[[#This Row],[New Item Code]])</f>
        <v>#N/A</v>
      </c>
      <c r="P1917" s="15" t="s">
        <v>4747</v>
      </c>
      <c r="Q1917" s="15" t="s">
        <v>4749</v>
      </c>
      <c r="R1917" s="15"/>
      <c r="S1917" s="15"/>
      <c r="T1917" s="15" t="s">
        <v>4675</v>
      </c>
    </row>
    <row r="1918" spans="1:20" x14ac:dyDescent="0.35">
      <c r="A1918" s="3" t="s">
        <v>3786</v>
      </c>
      <c r="B1918" s="3" t="s">
        <v>3787</v>
      </c>
      <c r="C1918" s="3" t="s">
        <v>15</v>
      </c>
      <c r="D1918" s="3">
        <v>0</v>
      </c>
      <c r="E1918" s="3" t="s">
        <v>10</v>
      </c>
      <c r="F1918" s="3">
        <v>0</v>
      </c>
      <c r="G1918" s="21">
        <f>Table4[[#This Row],[Item Cost]]*Table4[[#This Row],[In Stock]]</f>
        <v>0</v>
      </c>
      <c r="H1918" s="12" t="s">
        <v>4661</v>
      </c>
      <c r="I1918" s="13" t="s">
        <v>4666</v>
      </c>
      <c r="J1918" s="13" t="s">
        <v>4675</v>
      </c>
      <c r="K1918" s="13" t="s">
        <v>4672</v>
      </c>
      <c r="L1918" s="12" t="s">
        <v>4672</v>
      </c>
      <c r="M1918" s="17" t="str">
        <f>IF(LEN(COUNTIFS($H$1:H1918,$H1918,$I$1:I1918,$I1918,$J$1:J1918,$J1918,$K$1:K1918,K1918,$L$1:L1918,L1918))=1,"00"&amp;COUNTIFS($H$1:H1918,$H1918,$I$1:I1918,$I1918,$J$1:J1918,$J1918,$K$1:K1918,K1918,$L$1:L1918,L1918),IF(LEN(COUNTIFS($H$1:H1918,$H1918,$I$1:I1918,$I1918,$J$1:J1918,$J1918,$K$1:K1918,K1918,$L$1:L1918,L1918))=2,"0"&amp;COUNTIFS($H$1:H1918,$H1918,$I$1:I1918,$I1918,$J$1:J1918,$J1918,$K$1:K1918,K1918,$L$1:L1918,L1918),COUNTIFS($H$1:H1918,$H1918,$I$1:I1918,$I1918,$J$1:J1918,$J1918,$K$1:K1918,K1918,$L$1:L1918,L1918)))</f>
        <v>013</v>
      </c>
      <c r="N191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18" s="14" t="e">
        <f>+LEN(Table4[[#This Row],[New Item Code]])</f>
        <v>#N/A</v>
      </c>
      <c r="P1918" s="15" t="s">
        <v>4747</v>
      </c>
      <c r="Q1918" s="15" t="s">
        <v>4749</v>
      </c>
      <c r="R1918" s="15"/>
      <c r="S1918" s="15"/>
      <c r="T1918" s="15" t="s">
        <v>4675</v>
      </c>
    </row>
    <row r="1919" spans="1:20" x14ac:dyDescent="0.35">
      <c r="A1919" s="2" t="s">
        <v>3788</v>
      </c>
      <c r="B1919" s="2" t="s">
        <v>3789</v>
      </c>
      <c r="C1919" s="2" t="s">
        <v>15</v>
      </c>
      <c r="D1919" s="2">
        <v>0</v>
      </c>
      <c r="E1919" s="2" t="s">
        <v>10</v>
      </c>
      <c r="F1919" s="2">
        <v>0</v>
      </c>
      <c r="G1919" s="22">
        <f>Table4[[#This Row],[Item Cost]]*Table4[[#This Row],[In Stock]]</f>
        <v>0</v>
      </c>
      <c r="H1919" s="12" t="s">
        <v>4661</v>
      </c>
      <c r="I1919" s="13" t="s">
        <v>4666</v>
      </c>
      <c r="J1919" s="13" t="s">
        <v>4675</v>
      </c>
      <c r="K1919" s="13" t="s">
        <v>4672</v>
      </c>
      <c r="L1919" s="12" t="s">
        <v>4672</v>
      </c>
      <c r="M1919" s="17" t="str">
        <f>IF(LEN(COUNTIFS($H$1:H1919,$H1919,$I$1:I1919,$I1919,$J$1:J1919,$J1919,$K$1:K1919,K1919,$L$1:L1919,L1919))=1,"00"&amp;COUNTIFS($H$1:H1919,$H1919,$I$1:I1919,$I1919,$J$1:J1919,$J1919,$K$1:K1919,K1919,$L$1:L1919,L1919),IF(LEN(COUNTIFS($H$1:H1919,$H1919,$I$1:I1919,$I1919,$J$1:J1919,$J1919,$K$1:K1919,K1919,$L$1:L1919,L1919))=2,"0"&amp;COUNTIFS($H$1:H1919,$H1919,$I$1:I1919,$I1919,$J$1:J1919,$J1919,$K$1:K1919,K1919,$L$1:L1919,L1919),COUNTIFS($H$1:H1919,$H1919,$I$1:I1919,$I1919,$J$1:J1919,$J1919,$K$1:K1919,K1919,$L$1:L1919,L1919)))</f>
        <v>014</v>
      </c>
      <c r="N191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19" s="14" t="e">
        <f>+LEN(Table4[[#This Row],[New Item Code]])</f>
        <v>#N/A</v>
      </c>
      <c r="P1919" s="15" t="s">
        <v>4747</v>
      </c>
      <c r="Q1919" s="15" t="s">
        <v>4749</v>
      </c>
      <c r="R1919" s="15"/>
      <c r="S1919" s="15"/>
      <c r="T1919" s="15" t="s">
        <v>4675</v>
      </c>
    </row>
    <row r="1920" spans="1:20" x14ac:dyDescent="0.35">
      <c r="A1920" s="3" t="s">
        <v>3790</v>
      </c>
      <c r="B1920" s="3" t="s">
        <v>3791</v>
      </c>
      <c r="C1920" s="3" t="s">
        <v>15</v>
      </c>
      <c r="D1920" s="3">
        <v>0</v>
      </c>
      <c r="E1920" s="3" t="s">
        <v>10</v>
      </c>
      <c r="F1920" s="3">
        <v>0</v>
      </c>
      <c r="G1920" s="21">
        <f>Table4[[#This Row],[Item Cost]]*Table4[[#This Row],[In Stock]]</f>
        <v>0</v>
      </c>
      <c r="H1920" s="12" t="s">
        <v>4661</v>
      </c>
      <c r="I1920" s="13" t="s">
        <v>4666</v>
      </c>
      <c r="J1920" s="13" t="s">
        <v>4675</v>
      </c>
      <c r="K1920" s="13" t="s">
        <v>4672</v>
      </c>
      <c r="L1920" s="12" t="s">
        <v>4672</v>
      </c>
      <c r="M1920" s="17" t="str">
        <f>IF(LEN(COUNTIFS($H$1:H1920,$H1920,$I$1:I1920,$I1920,$J$1:J1920,$J1920,$K$1:K1920,K1920,$L$1:L1920,L1920))=1,"00"&amp;COUNTIFS($H$1:H1920,$H1920,$I$1:I1920,$I1920,$J$1:J1920,$J1920,$K$1:K1920,K1920,$L$1:L1920,L1920),IF(LEN(COUNTIFS($H$1:H1920,$H1920,$I$1:I1920,$I1920,$J$1:J1920,$J1920,$K$1:K1920,K1920,$L$1:L1920,L1920))=2,"0"&amp;COUNTIFS($H$1:H1920,$H1920,$I$1:I1920,$I1920,$J$1:J1920,$J1920,$K$1:K1920,K1920,$L$1:L1920,L1920),COUNTIFS($H$1:H1920,$H1920,$I$1:I1920,$I1920,$J$1:J1920,$J1920,$K$1:K1920,K1920,$L$1:L1920,L1920)))</f>
        <v>015</v>
      </c>
      <c r="N192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20" s="14" t="e">
        <f>+LEN(Table4[[#This Row],[New Item Code]])</f>
        <v>#N/A</v>
      </c>
      <c r="P1920" s="15" t="s">
        <v>4747</v>
      </c>
      <c r="Q1920" s="15" t="s">
        <v>4749</v>
      </c>
      <c r="R1920" s="15"/>
      <c r="S1920" s="15"/>
      <c r="T1920" s="15" t="s">
        <v>4675</v>
      </c>
    </row>
    <row r="1921" spans="1:20" x14ac:dyDescent="0.35">
      <c r="A1921" s="2" t="s">
        <v>3792</v>
      </c>
      <c r="B1921" s="2" t="s">
        <v>3793</v>
      </c>
      <c r="C1921" s="2" t="s">
        <v>15</v>
      </c>
      <c r="D1921" s="2">
        <v>0</v>
      </c>
      <c r="E1921" s="2" t="s">
        <v>10</v>
      </c>
      <c r="F1921" s="2">
        <v>0</v>
      </c>
      <c r="G1921" s="22">
        <f>Table4[[#This Row],[Item Cost]]*Table4[[#This Row],[In Stock]]</f>
        <v>0</v>
      </c>
      <c r="H1921" s="12" t="s">
        <v>4661</v>
      </c>
      <c r="I1921" s="13" t="s">
        <v>4666</v>
      </c>
      <c r="J1921" s="13" t="s">
        <v>4675</v>
      </c>
      <c r="K1921" s="13" t="s">
        <v>4672</v>
      </c>
      <c r="L1921" s="12" t="s">
        <v>4672</v>
      </c>
      <c r="M1921" s="17" t="str">
        <f>IF(LEN(COUNTIFS($H$1:H1921,$H1921,$I$1:I1921,$I1921,$J$1:J1921,$J1921,$K$1:K1921,K1921,$L$1:L1921,L1921))=1,"00"&amp;COUNTIFS($H$1:H1921,$H1921,$I$1:I1921,$I1921,$J$1:J1921,$J1921,$K$1:K1921,K1921,$L$1:L1921,L1921),IF(LEN(COUNTIFS($H$1:H1921,$H1921,$I$1:I1921,$I1921,$J$1:J1921,$J1921,$K$1:K1921,K1921,$L$1:L1921,L1921))=2,"0"&amp;COUNTIFS($H$1:H1921,$H1921,$I$1:I1921,$I1921,$J$1:J1921,$J1921,$K$1:K1921,K1921,$L$1:L1921,L1921),COUNTIFS($H$1:H1921,$H1921,$I$1:I1921,$I1921,$J$1:J1921,$J1921,$K$1:K1921,K1921,$L$1:L1921,L1921)))</f>
        <v>016</v>
      </c>
      <c r="N192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21" s="14" t="e">
        <f>+LEN(Table4[[#This Row],[New Item Code]])</f>
        <v>#N/A</v>
      </c>
      <c r="P1921" s="15" t="s">
        <v>4747</v>
      </c>
      <c r="Q1921" s="15" t="s">
        <v>4749</v>
      </c>
      <c r="R1921" s="15"/>
      <c r="S1921" s="15"/>
      <c r="T1921" s="15" t="s">
        <v>4675</v>
      </c>
    </row>
    <row r="1922" spans="1:20" x14ac:dyDescent="0.35">
      <c r="A1922" s="3" t="s">
        <v>3794</v>
      </c>
      <c r="B1922" s="3" t="s">
        <v>3795</v>
      </c>
      <c r="C1922" s="3" t="s">
        <v>15</v>
      </c>
      <c r="D1922" s="3">
        <v>0</v>
      </c>
      <c r="E1922" s="3" t="s">
        <v>10</v>
      </c>
      <c r="F1922" s="3">
        <v>0</v>
      </c>
      <c r="G1922" s="21">
        <f>Table4[[#This Row],[Item Cost]]*Table4[[#This Row],[In Stock]]</f>
        <v>0</v>
      </c>
      <c r="H1922" s="12" t="s">
        <v>4661</v>
      </c>
      <c r="I1922" s="13" t="s">
        <v>4666</v>
      </c>
      <c r="J1922" s="13" t="s">
        <v>4675</v>
      </c>
      <c r="K1922" t="s">
        <v>4799</v>
      </c>
      <c r="L1922" s="12" t="s">
        <v>4672</v>
      </c>
      <c r="M1922" s="17" t="str">
        <f>IF(LEN(COUNTIFS($H$1:H1922,$H1922,$I$1:I1922,$I1922,$J$1:J1922,$J1922,$K$1:K1922,K1922,$L$1:L1922,L1922))=1,"00"&amp;COUNTIFS($H$1:H1922,$H1922,$I$1:I1922,$I1922,$J$1:J1922,$J1922,$K$1:K1922,K1922,$L$1:L1922,L1922),IF(LEN(COUNTIFS($H$1:H1922,$H1922,$I$1:I1922,$I1922,$J$1:J1922,$J1922,$K$1:K1922,K1922,$L$1:L1922,L1922))=2,"0"&amp;COUNTIFS($H$1:H1922,$H1922,$I$1:I1922,$I1922,$J$1:J1922,$J1922,$K$1:K1922,K1922,$L$1:L1922,L1922),COUNTIFS($H$1:H1922,$H1922,$I$1:I1922,$I1922,$J$1:J1922,$J1922,$K$1:K1922,K1922,$L$1:L1922,L1922)))</f>
        <v>001</v>
      </c>
      <c r="N192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22" s="14" t="e">
        <f>+LEN(Table4[[#This Row],[New Item Code]])</f>
        <v>#N/A</v>
      </c>
      <c r="P1922" s="15" t="s">
        <v>4747</v>
      </c>
      <c r="Q1922" s="15" t="s">
        <v>4749</v>
      </c>
      <c r="R1922" s="15"/>
      <c r="S1922" s="15"/>
      <c r="T1922" s="15" t="s">
        <v>4675</v>
      </c>
    </row>
    <row r="1923" spans="1:20" x14ac:dyDescent="0.35">
      <c r="A1923" s="2" t="s">
        <v>3796</v>
      </c>
      <c r="B1923" s="2" t="s">
        <v>3797</v>
      </c>
      <c r="C1923" s="2" t="s">
        <v>15</v>
      </c>
      <c r="D1923" s="2">
        <v>0</v>
      </c>
      <c r="E1923" s="2" t="s">
        <v>10</v>
      </c>
      <c r="F1923" s="2">
        <v>0</v>
      </c>
      <c r="G1923" s="22">
        <f>Table4[[#This Row],[Item Cost]]*Table4[[#This Row],[In Stock]]</f>
        <v>0</v>
      </c>
      <c r="H1923" s="12" t="s">
        <v>4661</v>
      </c>
      <c r="I1923" s="13" t="s">
        <v>4666</v>
      </c>
      <c r="J1923" s="13" t="s">
        <v>4675</v>
      </c>
      <c r="K1923" s="13" t="s">
        <v>4672</v>
      </c>
      <c r="L1923" s="12" t="s">
        <v>4672</v>
      </c>
      <c r="M1923" s="17" t="str">
        <f>IF(LEN(COUNTIFS($H$1:H1923,$H1923,$I$1:I1923,$I1923,$J$1:J1923,$J1923,$K$1:K1923,K1923,$L$1:L1923,L1923))=1,"00"&amp;COUNTIFS($H$1:H1923,$H1923,$I$1:I1923,$I1923,$J$1:J1923,$J1923,$K$1:K1923,K1923,$L$1:L1923,L1923),IF(LEN(COUNTIFS($H$1:H1923,$H1923,$I$1:I1923,$I1923,$J$1:J1923,$J1923,$K$1:K1923,K1923,$L$1:L1923,L1923))=2,"0"&amp;COUNTIFS($H$1:H1923,$H1923,$I$1:I1923,$I1923,$J$1:J1923,$J1923,$K$1:K1923,K1923,$L$1:L1923,L1923),COUNTIFS($H$1:H1923,$H1923,$I$1:I1923,$I1923,$J$1:J1923,$J1923,$K$1:K1923,K1923,$L$1:L1923,L1923)))</f>
        <v>017</v>
      </c>
      <c r="N192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23" s="14" t="e">
        <f>+LEN(Table4[[#This Row],[New Item Code]])</f>
        <v>#N/A</v>
      </c>
      <c r="P1923" s="15" t="s">
        <v>4747</v>
      </c>
      <c r="Q1923" s="15" t="s">
        <v>4749</v>
      </c>
      <c r="R1923" s="15"/>
      <c r="S1923" s="15"/>
      <c r="T1923" s="15" t="s">
        <v>4675</v>
      </c>
    </row>
    <row r="1924" spans="1:20" x14ac:dyDescent="0.35">
      <c r="A1924" s="3" t="s">
        <v>3798</v>
      </c>
      <c r="B1924" s="3" t="s">
        <v>3799</v>
      </c>
      <c r="C1924" s="3" t="s">
        <v>15</v>
      </c>
      <c r="D1924" s="3">
        <v>0</v>
      </c>
      <c r="E1924" s="3" t="s">
        <v>10</v>
      </c>
      <c r="F1924" s="3">
        <v>0</v>
      </c>
      <c r="G1924" s="21">
        <f>Table4[[#This Row],[Item Cost]]*Table4[[#This Row],[In Stock]]</f>
        <v>0</v>
      </c>
      <c r="H1924" s="12" t="s">
        <v>4661</v>
      </c>
      <c r="I1924" s="13" t="s">
        <v>4666</v>
      </c>
      <c r="J1924" s="13" t="s">
        <v>4675</v>
      </c>
      <c r="K1924" s="13" t="s">
        <v>4672</v>
      </c>
      <c r="L1924" s="12" t="s">
        <v>4672</v>
      </c>
      <c r="M1924" s="17" t="str">
        <f>IF(LEN(COUNTIFS($H$1:H1924,$H1924,$I$1:I1924,$I1924,$J$1:J1924,$J1924,$K$1:K1924,K1924,$L$1:L1924,L1924))=1,"00"&amp;COUNTIFS($H$1:H1924,$H1924,$I$1:I1924,$I1924,$J$1:J1924,$J1924,$K$1:K1924,K1924,$L$1:L1924,L1924),IF(LEN(COUNTIFS($H$1:H1924,$H1924,$I$1:I1924,$I1924,$J$1:J1924,$J1924,$K$1:K1924,K1924,$L$1:L1924,L1924))=2,"0"&amp;COUNTIFS($H$1:H1924,$H1924,$I$1:I1924,$I1924,$J$1:J1924,$J1924,$K$1:K1924,K1924,$L$1:L1924,L1924),COUNTIFS($H$1:H1924,$H1924,$I$1:I1924,$I1924,$J$1:J1924,$J1924,$K$1:K1924,K1924,$L$1:L1924,L1924)))</f>
        <v>018</v>
      </c>
      <c r="N192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24" s="14" t="e">
        <f>+LEN(Table4[[#This Row],[New Item Code]])</f>
        <v>#N/A</v>
      </c>
      <c r="P1924" s="15" t="s">
        <v>4747</v>
      </c>
      <c r="Q1924" s="15" t="s">
        <v>4749</v>
      </c>
      <c r="R1924" s="15"/>
      <c r="S1924" s="15"/>
      <c r="T1924" s="15" t="s">
        <v>4675</v>
      </c>
    </row>
    <row r="1925" spans="1:20" x14ac:dyDescent="0.35">
      <c r="A1925" s="2" t="s">
        <v>3800</v>
      </c>
      <c r="B1925" s="2" t="s">
        <v>3801</v>
      </c>
      <c r="C1925" s="2" t="s">
        <v>15</v>
      </c>
      <c r="D1925" s="2">
        <v>0</v>
      </c>
      <c r="E1925" s="2" t="s">
        <v>10</v>
      </c>
      <c r="F1925" s="2">
        <v>0</v>
      </c>
      <c r="G1925" s="22">
        <f>Table4[[#This Row],[Item Cost]]*Table4[[#This Row],[In Stock]]</f>
        <v>0</v>
      </c>
      <c r="H1925" s="12" t="s">
        <v>4661</v>
      </c>
      <c r="I1925" s="13" t="s">
        <v>4666</v>
      </c>
      <c r="J1925" s="13" t="s">
        <v>4675</v>
      </c>
      <c r="K1925" s="7" t="s">
        <v>4771</v>
      </c>
      <c r="L1925" s="12" t="s">
        <v>4672</v>
      </c>
      <c r="M1925" s="17" t="str">
        <f>IF(LEN(COUNTIFS($H$1:H1925,$H1925,$I$1:I1925,$I1925,$J$1:J1925,$J1925,$K$1:K1925,K1925,$L$1:L1925,L1925))=1,"00"&amp;COUNTIFS($H$1:H1925,$H1925,$I$1:I1925,$I1925,$J$1:J1925,$J1925,$K$1:K1925,K1925,$L$1:L1925,L1925),IF(LEN(COUNTIFS($H$1:H1925,$H1925,$I$1:I1925,$I1925,$J$1:J1925,$J1925,$K$1:K1925,K1925,$L$1:L1925,L1925))=2,"0"&amp;COUNTIFS($H$1:H1925,$H1925,$I$1:I1925,$I1925,$J$1:J1925,$J1925,$K$1:K1925,K1925,$L$1:L1925,L1925),COUNTIFS($H$1:H1925,$H1925,$I$1:I1925,$I1925,$J$1:J1925,$J1925,$K$1:K1925,K1925,$L$1:L1925,L1925)))</f>
        <v>002</v>
      </c>
      <c r="N192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25" s="14" t="e">
        <f>+LEN(Table4[[#This Row],[New Item Code]])</f>
        <v>#N/A</v>
      </c>
      <c r="P1925" s="15" t="s">
        <v>4747</v>
      </c>
      <c r="Q1925" s="15" t="s">
        <v>4749</v>
      </c>
      <c r="R1925" s="15"/>
      <c r="S1925" s="15"/>
      <c r="T1925" s="15" t="s">
        <v>4675</v>
      </c>
    </row>
    <row r="1926" spans="1:20" x14ac:dyDescent="0.35">
      <c r="A1926" s="3" t="s">
        <v>3802</v>
      </c>
      <c r="B1926" s="3" t="s">
        <v>3803</v>
      </c>
      <c r="C1926" s="3" t="s">
        <v>15</v>
      </c>
      <c r="D1926" s="3">
        <v>0</v>
      </c>
      <c r="E1926" s="3" t="s">
        <v>10</v>
      </c>
      <c r="F1926" s="3">
        <v>0</v>
      </c>
      <c r="G1926" s="21">
        <f>Table4[[#This Row],[Item Cost]]*Table4[[#This Row],[In Stock]]</f>
        <v>0</v>
      </c>
      <c r="H1926" s="12" t="s">
        <v>4661</v>
      </c>
      <c r="I1926" s="13" t="s">
        <v>4666</v>
      </c>
      <c r="J1926" s="13" t="s">
        <v>4675</v>
      </c>
      <c r="K1926" s="13" t="s">
        <v>4672</v>
      </c>
      <c r="L1926" s="12" t="s">
        <v>4672</v>
      </c>
      <c r="M1926" s="17" t="str">
        <f>IF(LEN(COUNTIFS($H$1:H1926,$H1926,$I$1:I1926,$I1926,$J$1:J1926,$J1926,$K$1:K1926,K1926,$L$1:L1926,L1926))=1,"00"&amp;COUNTIFS($H$1:H1926,$H1926,$I$1:I1926,$I1926,$J$1:J1926,$J1926,$K$1:K1926,K1926,$L$1:L1926,L1926),IF(LEN(COUNTIFS($H$1:H1926,$H1926,$I$1:I1926,$I1926,$J$1:J1926,$J1926,$K$1:K1926,K1926,$L$1:L1926,L1926))=2,"0"&amp;COUNTIFS($H$1:H1926,$H1926,$I$1:I1926,$I1926,$J$1:J1926,$J1926,$K$1:K1926,K1926,$L$1:L1926,L1926),COUNTIFS($H$1:H1926,$H1926,$I$1:I1926,$I1926,$J$1:J1926,$J1926,$K$1:K1926,K1926,$L$1:L1926,L1926)))</f>
        <v>019</v>
      </c>
      <c r="N192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26" s="14" t="e">
        <f>+LEN(Table4[[#This Row],[New Item Code]])</f>
        <v>#N/A</v>
      </c>
      <c r="P1926" s="15" t="s">
        <v>4747</v>
      </c>
      <c r="Q1926" s="15" t="s">
        <v>4749</v>
      </c>
      <c r="R1926" s="15"/>
      <c r="S1926" s="15"/>
      <c r="T1926" s="15" t="s">
        <v>4675</v>
      </c>
    </row>
    <row r="1927" spans="1:20" x14ac:dyDescent="0.35">
      <c r="A1927" s="2" t="s">
        <v>3804</v>
      </c>
      <c r="B1927" s="2" t="s">
        <v>3805</v>
      </c>
      <c r="C1927" s="2" t="s">
        <v>15</v>
      </c>
      <c r="D1927" s="2">
        <v>0</v>
      </c>
      <c r="E1927" s="2" t="s">
        <v>10</v>
      </c>
      <c r="F1927" s="2">
        <v>0</v>
      </c>
      <c r="G1927" s="22">
        <f>Table4[[#This Row],[Item Cost]]*Table4[[#This Row],[In Stock]]</f>
        <v>0</v>
      </c>
      <c r="H1927" s="12" t="s">
        <v>4661</v>
      </c>
      <c r="I1927" s="13" t="s">
        <v>4666</v>
      </c>
      <c r="J1927" s="13" t="s">
        <v>4675</v>
      </c>
      <c r="K1927" s="13" t="s">
        <v>4672</v>
      </c>
      <c r="L1927" s="12" t="s">
        <v>4672</v>
      </c>
      <c r="M1927" s="17" t="str">
        <f>IF(LEN(COUNTIFS($H$1:H1927,$H1927,$I$1:I1927,$I1927,$J$1:J1927,$J1927,$K$1:K1927,K1927,$L$1:L1927,L1927))=1,"00"&amp;COUNTIFS($H$1:H1927,$H1927,$I$1:I1927,$I1927,$J$1:J1927,$J1927,$K$1:K1927,K1927,$L$1:L1927,L1927),IF(LEN(COUNTIFS($H$1:H1927,$H1927,$I$1:I1927,$I1927,$J$1:J1927,$J1927,$K$1:K1927,K1927,$L$1:L1927,L1927))=2,"0"&amp;COUNTIFS($H$1:H1927,$H1927,$I$1:I1927,$I1927,$J$1:J1927,$J1927,$K$1:K1927,K1927,$L$1:L1927,L1927),COUNTIFS($H$1:H1927,$H1927,$I$1:I1927,$I1927,$J$1:J1927,$J1927,$K$1:K1927,K1927,$L$1:L1927,L1927)))</f>
        <v>020</v>
      </c>
      <c r="N192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27" s="14" t="e">
        <f>+LEN(Table4[[#This Row],[New Item Code]])</f>
        <v>#N/A</v>
      </c>
      <c r="P1927" s="15" t="s">
        <v>4747</v>
      </c>
      <c r="Q1927" s="15" t="s">
        <v>4749</v>
      </c>
      <c r="R1927" s="15"/>
      <c r="S1927" s="15"/>
      <c r="T1927" s="15" t="s">
        <v>4675</v>
      </c>
    </row>
    <row r="1928" spans="1:20" x14ac:dyDescent="0.35">
      <c r="A1928" s="3" t="s">
        <v>3806</v>
      </c>
      <c r="B1928" s="3" t="s">
        <v>3807</v>
      </c>
      <c r="C1928" s="3" t="s">
        <v>9</v>
      </c>
      <c r="D1928" s="5">
        <v>1098.9000000000001</v>
      </c>
      <c r="E1928" s="3" t="s">
        <v>10</v>
      </c>
      <c r="F1928" s="3">
        <v>1</v>
      </c>
      <c r="G1928" s="21">
        <f>Table4[[#This Row],[Item Cost]]*Table4[[#This Row],[In Stock]]</f>
        <v>1098.9000000000001</v>
      </c>
      <c r="H1928" s="12" t="s">
        <v>4661</v>
      </c>
      <c r="I1928" s="13" t="s">
        <v>4664</v>
      </c>
      <c r="J1928" s="13" t="s">
        <v>4675</v>
      </c>
      <c r="K1928" t="s">
        <v>4795</v>
      </c>
      <c r="L1928" s="12" t="s">
        <v>4672</v>
      </c>
      <c r="M1928" s="17" t="str">
        <f>IF(LEN(COUNTIFS($H$1:H1928,$H1928,$I$1:I1928,$I1928,$J$1:J1928,$J1928,$K$1:K1928,K1928,$L$1:L1928,L1928))=1,"00"&amp;COUNTIFS($H$1:H1928,$H1928,$I$1:I1928,$I1928,$J$1:J1928,$J1928,$K$1:K1928,K1928,$L$1:L1928,L1928),IF(LEN(COUNTIFS($H$1:H1928,$H1928,$I$1:I1928,$I1928,$J$1:J1928,$J1928,$K$1:K1928,K1928,$L$1:L1928,L1928))=2,"0"&amp;COUNTIFS($H$1:H1928,$H1928,$I$1:I1928,$I1928,$J$1:J1928,$J1928,$K$1:K1928,K1928,$L$1:L1928,L1928),COUNTIFS($H$1:H1928,$H1928,$I$1:I1928,$I1928,$J$1:J1928,$J1928,$K$1:K1928,K1928,$L$1:L1928,L1928)))</f>
        <v>001</v>
      </c>
      <c r="N192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28" s="14" t="e">
        <f>+LEN(Table4[[#This Row],[New Item Code]])</f>
        <v>#N/A</v>
      </c>
      <c r="P1928" s="15" t="s">
        <v>4747</v>
      </c>
      <c r="Q1928" s="15" t="s">
        <v>4749</v>
      </c>
      <c r="R1928" s="15"/>
      <c r="S1928" s="15"/>
      <c r="T1928" s="15" t="s">
        <v>4675</v>
      </c>
    </row>
    <row r="1929" spans="1:20" x14ac:dyDescent="0.35">
      <c r="A1929" s="2" t="s">
        <v>3808</v>
      </c>
      <c r="B1929" s="2" t="s">
        <v>3809</v>
      </c>
      <c r="C1929" s="2" t="s">
        <v>9</v>
      </c>
      <c r="D1929" s="2">
        <v>372.7</v>
      </c>
      <c r="E1929" s="2" t="s">
        <v>10</v>
      </c>
      <c r="F1929" s="2">
        <v>1</v>
      </c>
      <c r="G1929" s="22">
        <f>Table4[[#This Row],[Item Cost]]*Table4[[#This Row],[In Stock]]</f>
        <v>372.7</v>
      </c>
      <c r="H1929" s="12" t="s">
        <v>4661</v>
      </c>
      <c r="I1929" s="13" t="s">
        <v>4664</v>
      </c>
      <c r="J1929" s="13" t="s">
        <v>4675</v>
      </c>
      <c r="K1929" t="s">
        <v>4795</v>
      </c>
      <c r="L1929" s="12" t="s">
        <v>4672</v>
      </c>
      <c r="M1929" s="17" t="str">
        <f>IF(LEN(COUNTIFS($H$1:H1929,$H1929,$I$1:I1929,$I1929,$J$1:J1929,$J1929,$K$1:K1929,K1929,$L$1:L1929,L1929))=1,"00"&amp;COUNTIFS($H$1:H1929,$H1929,$I$1:I1929,$I1929,$J$1:J1929,$J1929,$K$1:K1929,K1929,$L$1:L1929,L1929),IF(LEN(COUNTIFS($H$1:H1929,$H1929,$I$1:I1929,$I1929,$J$1:J1929,$J1929,$K$1:K1929,K1929,$L$1:L1929,L1929))=2,"0"&amp;COUNTIFS($H$1:H1929,$H1929,$I$1:I1929,$I1929,$J$1:J1929,$J1929,$K$1:K1929,K1929,$L$1:L1929,L1929),COUNTIFS($H$1:H1929,$H1929,$I$1:I1929,$I1929,$J$1:J1929,$J1929,$K$1:K1929,K1929,$L$1:L1929,L1929)))</f>
        <v>002</v>
      </c>
      <c r="N192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29" s="14" t="e">
        <f>+LEN(Table4[[#This Row],[New Item Code]])</f>
        <v>#N/A</v>
      </c>
      <c r="P1929" s="15" t="s">
        <v>4747</v>
      </c>
      <c r="Q1929" s="15" t="s">
        <v>4749</v>
      </c>
      <c r="R1929" s="15"/>
      <c r="S1929" s="15"/>
      <c r="T1929" s="15" t="s">
        <v>4675</v>
      </c>
    </row>
    <row r="1930" spans="1:20" x14ac:dyDescent="0.35">
      <c r="A1930" s="3" t="s">
        <v>3810</v>
      </c>
      <c r="B1930" s="3" t="s">
        <v>3811</v>
      </c>
      <c r="C1930" s="3" t="s">
        <v>9</v>
      </c>
      <c r="D1930" s="3">
        <v>219.01</v>
      </c>
      <c r="E1930" s="3" t="s">
        <v>10</v>
      </c>
      <c r="F1930" s="3">
        <v>1</v>
      </c>
      <c r="G1930" s="21">
        <f>Table4[[#This Row],[Item Cost]]*Table4[[#This Row],[In Stock]]</f>
        <v>219.01</v>
      </c>
      <c r="H1930" s="12" t="s">
        <v>4661</v>
      </c>
      <c r="I1930" s="13" t="s">
        <v>4664</v>
      </c>
      <c r="J1930" s="13" t="s">
        <v>4675</v>
      </c>
      <c r="K1930" s="7" t="s">
        <v>4771</v>
      </c>
      <c r="L1930" s="12" t="s">
        <v>4672</v>
      </c>
      <c r="M1930" s="17" t="str">
        <f>IF(LEN(COUNTIFS($H$1:H1930,$H1930,$I$1:I1930,$I1930,$J$1:J1930,$J1930,$K$1:K1930,K1930,$L$1:L1930,L1930))=1,"00"&amp;COUNTIFS($H$1:H1930,$H1930,$I$1:I1930,$I1930,$J$1:J1930,$J1930,$K$1:K1930,K1930,$L$1:L1930,L1930),IF(LEN(COUNTIFS($H$1:H1930,$H1930,$I$1:I1930,$I1930,$J$1:J1930,$J1930,$K$1:K1930,K1930,$L$1:L1930,L1930))=2,"0"&amp;COUNTIFS($H$1:H1930,$H1930,$I$1:I1930,$I1930,$J$1:J1930,$J1930,$K$1:K1930,K1930,$L$1:L1930,L1930),COUNTIFS($H$1:H1930,$H1930,$I$1:I1930,$I1930,$J$1:J1930,$J1930,$K$1:K1930,K1930,$L$1:L1930,L1930)))</f>
        <v>001</v>
      </c>
      <c r="N193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30" s="14" t="e">
        <f>+LEN(Table4[[#This Row],[New Item Code]])</f>
        <v>#N/A</v>
      </c>
      <c r="P1930" s="15" t="s">
        <v>4747</v>
      </c>
      <c r="Q1930" s="15" t="s">
        <v>4749</v>
      </c>
      <c r="R1930" s="15"/>
      <c r="S1930" s="15"/>
      <c r="T1930" s="15" t="s">
        <v>4675</v>
      </c>
    </row>
    <row r="1931" spans="1:20" x14ac:dyDescent="0.35">
      <c r="A1931" s="2" t="s">
        <v>3812</v>
      </c>
      <c r="B1931" s="2" t="s">
        <v>3813</v>
      </c>
      <c r="C1931" s="2" t="s">
        <v>15</v>
      </c>
      <c r="D1931" s="2">
        <v>0</v>
      </c>
      <c r="E1931" s="2" t="s">
        <v>10</v>
      </c>
      <c r="F1931" s="2">
        <v>0</v>
      </c>
      <c r="G1931" s="22">
        <f>Table4[[#This Row],[Item Cost]]*Table4[[#This Row],[In Stock]]</f>
        <v>0</v>
      </c>
      <c r="H1931" s="12" t="s">
        <v>4661</v>
      </c>
      <c r="I1931" s="13" t="s">
        <v>4666</v>
      </c>
      <c r="J1931" s="13" t="s">
        <v>4675</v>
      </c>
      <c r="K1931" s="13" t="s">
        <v>4672</v>
      </c>
      <c r="L1931" s="12" t="s">
        <v>4672</v>
      </c>
      <c r="M1931" s="17" t="str">
        <f>IF(LEN(COUNTIFS($H$1:H1931,$H1931,$I$1:I1931,$I1931,$J$1:J1931,$J1931,$K$1:K1931,K1931,$L$1:L1931,L1931))=1,"00"&amp;COUNTIFS($H$1:H1931,$H1931,$I$1:I1931,$I1931,$J$1:J1931,$J1931,$K$1:K1931,K1931,$L$1:L1931,L1931),IF(LEN(COUNTIFS($H$1:H1931,$H1931,$I$1:I1931,$I1931,$J$1:J1931,$J1931,$K$1:K1931,K1931,$L$1:L1931,L1931))=2,"0"&amp;COUNTIFS($H$1:H1931,$H1931,$I$1:I1931,$I1931,$J$1:J1931,$J1931,$K$1:K1931,K1931,$L$1:L1931,L1931),COUNTIFS($H$1:H1931,$H1931,$I$1:I1931,$I1931,$J$1:J1931,$J1931,$K$1:K1931,K1931,$L$1:L1931,L1931)))</f>
        <v>021</v>
      </c>
      <c r="N193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31" s="14" t="e">
        <f>+LEN(Table4[[#This Row],[New Item Code]])</f>
        <v>#N/A</v>
      </c>
      <c r="P1931" s="15" t="s">
        <v>4747</v>
      </c>
      <c r="Q1931" s="15" t="s">
        <v>4749</v>
      </c>
      <c r="R1931" s="15"/>
      <c r="S1931" s="15"/>
      <c r="T1931" s="15" t="s">
        <v>4675</v>
      </c>
    </row>
    <row r="1932" spans="1:20" x14ac:dyDescent="0.35">
      <c r="A1932" s="3" t="s">
        <v>3814</v>
      </c>
      <c r="B1932" s="3" t="s">
        <v>3815</v>
      </c>
      <c r="C1932" s="3" t="s">
        <v>15</v>
      </c>
      <c r="D1932" s="3">
        <v>0</v>
      </c>
      <c r="E1932" s="3" t="s">
        <v>10</v>
      </c>
      <c r="F1932" s="3">
        <v>0</v>
      </c>
      <c r="G1932" s="21">
        <f>Table4[[#This Row],[Item Cost]]*Table4[[#This Row],[In Stock]]</f>
        <v>0</v>
      </c>
      <c r="H1932" s="12" t="s">
        <v>4661</v>
      </c>
      <c r="I1932" s="13" t="s">
        <v>4666</v>
      </c>
      <c r="J1932" s="13" t="s">
        <v>4675</v>
      </c>
      <c r="K1932" s="13" t="s">
        <v>4672</v>
      </c>
      <c r="L1932" s="12" t="s">
        <v>4672</v>
      </c>
      <c r="M1932" s="17" t="str">
        <f>IF(LEN(COUNTIFS($H$1:H1932,$H1932,$I$1:I1932,$I1932,$J$1:J1932,$J1932,$K$1:K1932,K1932,$L$1:L1932,L1932))=1,"00"&amp;COUNTIFS($H$1:H1932,$H1932,$I$1:I1932,$I1932,$J$1:J1932,$J1932,$K$1:K1932,K1932,$L$1:L1932,L1932),IF(LEN(COUNTIFS($H$1:H1932,$H1932,$I$1:I1932,$I1932,$J$1:J1932,$J1932,$K$1:K1932,K1932,$L$1:L1932,L1932))=2,"0"&amp;COUNTIFS($H$1:H1932,$H1932,$I$1:I1932,$I1932,$J$1:J1932,$J1932,$K$1:K1932,K1932,$L$1:L1932,L1932),COUNTIFS($H$1:H1932,$H1932,$I$1:I1932,$I1932,$J$1:J1932,$J1932,$K$1:K1932,K1932,$L$1:L1932,L1932)))</f>
        <v>022</v>
      </c>
      <c r="N193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32" s="14" t="e">
        <f>+LEN(Table4[[#This Row],[New Item Code]])</f>
        <v>#N/A</v>
      </c>
      <c r="P1932" s="15" t="s">
        <v>4747</v>
      </c>
      <c r="Q1932" s="15" t="s">
        <v>4749</v>
      </c>
      <c r="R1932" s="15"/>
      <c r="S1932" s="15"/>
      <c r="T1932" s="15" t="s">
        <v>4675</v>
      </c>
    </row>
    <row r="1933" spans="1:20" x14ac:dyDescent="0.35">
      <c r="A1933" s="2" t="s">
        <v>3816</v>
      </c>
      <c r="B1933" s="2" t="s">
        <v>3817</v>
      </c>
      <c r="C1933" s="2" t="s">
        <v>15</v>
      </c>
      <c r="D1933" s="2">
        <v>0</v>
      </c>
      <c r="E1933" s="2" t="s">
        <v>10</v>
      </c>
      <c r="F1933" s="2">
        <v>0</v>
      </c>
      <c r="G1933" s="22">
        <f>Table4[[#This Row],[Item Cost]]*Table4[[#This Row],[In Stock]]</f>
        <v>0</v>
      </c>
      <c r="H1933" s="12" t="s">
        <v>4661</v>
      </c>
      <c r="I1933" s="13" t="s">
        <v>4666</v>
      </c>
      <c r="J1933" s="13" t="s">
        <v>4675</v>
      </c>
      <c r="K1933" s="13" t="s">
        <v>4672</v>
      </c>
      <c r="L1933" s="12" t="s">
        <v>4672</v>
      </c>
      <c r="M1933" s="17" t="str">
        <f>IF(LEN(COUNTIFS($H$1:H1933,$H1933,$I$1:I1933,$I1933,$J$1:J1933,$J1933,$K$1:K1933,K1933,$L$1:L1933,L1933))=1,"00"&amp;COUNTIFS($H$1:H1933,$H1933,$I$1:I1933,$I1933,$J$1:J1933,$J1933,$K$1:K1933,K1933,$L$1:L1933,L1933),IF(LEN(COUNTIFS($H$1:H1933,$H1933,$I$1:I1933,$I1933,$J$1:J1933,$J1933,$K$1:K1933,K1933,$L$1:L1933,L1933))=2,"0"&amp;COUNTIFS($H$1:H1933,$H1933,$I$1:I1933,$I1933,$J$1:J1933,$J1933,$K$1:K1933,K1933,$L$1:L1933,L1933),COUNTIFS($H$1:H1933,$H1933,$I$1:I1933,$I1933,$J$1:J1933,$J1933,$K$1:K1933,K1933,$L$1:L1933,L1933)))</f>
        <v>023</v>
      </c>
      <c r="N193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33" s="14" t="e">
        <f>+LEN(Table4[[#This Row],[New Item Code]])</f>
        <v>#N/A</v>
      </c>
      <c r="P1933" s="15" t="s">
        <v>4747</v>
      </c>
      <c r="Q1933" s="15" t="s">
        <v>4749</v>
      </c>
      <c r="R1933" s="15"/>
      <c r="S1933" s="15"/>
      <c r="T1933" s="15" t="s">
        <v>4675</v>
      </c>
    </row>
    <row r="1934" spans="1:20" x14ac:dyDescent="0.35">
      <c r="A1934" s="3" t="s">
        <v>3818</v>
      </c>
      <c r="B1934" s="3" t="s">
        <v>3819</v>
      </c>
      <c r="C1934" s="3" t="s">
        <v>9</v>
      </c>
      <c r="D1934" s="5">
        <v>1065</v>
      </c>
      <c r="E1934" s="3" t="s">
        <v>10</v>
      </c>
      <c r="F1934" s="3">
        <v>2</v>
      </c>
      <c r="G1934" s="21">
        <f>Table4[[#This Row],[Item Cost]]*Table4[[#This Row],[In Stock]]</f>
        <v>2130</v>
      </c>
      <c r="H1934" s="12" t="s">
        <v>4661</v>
      </c>
      <c r="I1934" s="13" t="s">
        <v>4664</v>
      </c>
      <c r="J1934" s="13" t="s">
        <v>4675</v>
      </c>
      <c r="K1934" s="13" t="s">
        <v>4672</v>
      </c>
      <c r="L1934" s="12" t="s">
        <v>4672</v>
      </c>
      <c r="M1934" s="17" t="str">
        <f>IF(LEN(COUNTIFS($H$1:H1934,$H1934,$I$1:I1934,$I1934,$J$1:J1934,$J1934,$K$1:K1934,K1934,$L$1:L1934,L1934))=1,"00"&amp;COUNTIFS($H$1:H1934,$H1934,$I$1:I1934,$I1934,$J$1:J1934,$J1934,$K$1:K1934,K1934,$L$1:L1934,L1934),IF(LEN(COUNTIFS($H$1:H1934,$H1934,$I$1:I1934,$I1934,$J$1:J1934,$J1934,$K$1:K1934,K1934,$L$1:L1934,L1934))=2,"0"&amp;COUNTIFS($H$1:H1934,$H1934,$I$1:I1934,$I1934,$J$1:J1934,$J1934,$K$1:K1934,K1934,$L$1:L1934,L1934),COUNTIFS($H$1:H1934,$H1934,$I$1:I1934,$I1934,$J$1:J1934,$J1934,$K$1:K1934,K1934,$L$1:L1934,L1934)))</f>
        <v>005</v>
      </c>
      <c r="N193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34" s="14" t="e">
        <f>+LEN(Table4[[#This Row],[New Item Code]])</f>
        <v>#N/A</v>
      </c>
      <c r="P1934" s="15" t="s">
        <v>4747</v>
      </c>
      <c r="Q1934" s="15" t="s">
        <v>4749</v>
      </c>
      <c r="R1934" s="15"/>
      <c r="S1934" s="15"/>
      <c r="T1934" s="15" t="s">
        <v>4675</v>
      </c>
    </row>
    <row r="1935" spans="1:20" x14ac:dyDescent="0.35">
      <c r="A1935" s="2" t="s">
        <v>3820</v>
      </c>
      <c r="B1935" s="2" t="s">
        <v>3821</v>
      </c>
      <c r="C1935" s="2" t="s">
        <v>9</v>
      </c>
      <c r="D1935" s="4">
        <v>1200</v>
      </c>
      <c r="E1935" s="2" t="s">
        <v>10</v>
      </c>
      <c r="F1935" s="2">
        <v>4</v>
      </c>
      <c r="G1935" s="22">
        <f>Table4[[#This Row],[Item Cost]]*Table4[[#This Row],[In Stock]]</f>
        <v>4800</v>
      </c>
      <c r="H1935" s="12" t="s">
        <v>4661</v>
      </c>
      <c r="I1935" s="13" t="s">
        <v>4664</v>
      </c>
      <c r="J1935" s="13" t="s">
        <v>4675</v>
      </c>
      <c r="K1935" s="13" t="s">
        <v>4672</v>
      </c>
      <c r="L1935" s="12" t="s">
        <v>4672</v>
      </c>
      <c r="M1935" s="17" t="str">
        <f>IF(LEN(COUNTIFS($H$1:H1935,$H1935,$I$1:I1935,$I1935,$J$1:J1935,$J1935,$K$1:K1935,K1935,$L$1:L1935,L1935))=1,"00"&amp;COUNTIFS($H$1:H1935,$H1935,$I$1:I1935,$I1935,$J$1:J1935,$J1935,$K$1:K1935,K1935,$L$1:L1935,L1935),IF(LEN(COUNTIFS($H$1:H1935,$H1935,$I$1:I1935,$I1935,$J$1:J1935,$J1935,$K$1:K1935,K1935,$L$1:L1935,L1935))=2,"0"&amp;COUNTIFS($H$1:H1935,$H1935,$I$1:I1935,$I1935,$J$1:J1935,$J1935,$K$1:K1935,K1935,$L$1:L1935,L1935),COUNTIFS($H$1:H1935,$H1935,$I$1:I1935,$I1935,$J$1:J1935,$J1935,$K$1:K1935,K1935,$L$1:L1935,L1935)))</f>
        <v>006</v>
      </c>
      <c r="N193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35" s="14" t="e">
        <f>+LEN(Table4[[#This Row],[New Item Code]])</f>
        <v>#N/A</v>
      </c>
      <c r="P1935" s="15" t="s">
        <v>4747</v>
      </c>
      <c r="Q1935" s="15" t="s">
        <v>4749</v>
      </c>
      <c r="R1935" s="15"/>
      <c r="S1935" s="15"/>
      <c r="T1935" s="15" t="s">
        <v>4675</v>
      </c>
    </row>
    <row r="1936" spans="1:20" x14ac:dyDescent="0.35">
      <c r="A1936" s="3" t="s">
        <v>3822</v>
      </c>
      <c r="B1936" s="3" t="s">
        <v>3823</v>
      </c>
      <c r="C1936" s="3" t="s">
        <v>9</v>
      </c>
      <c r="D1936" s="5">
        <v>1250</v>
      </c>
      <c r="E1936" s="3" t="s">
        <v>10</v>
      </c>
      <c r="F1936" s="3">
        <v>3</v>
      </c>
      <c r="G1936" s="21">
        <f>Table4[[#This Row],[Item Cost]]*Table4[[#This Row],[In Stock]]</f>
        <v>3750</v>
      </c>
      <c r="H1936" s="12" t="s">
        <v>4661</v>
      </c>
      <c r="I1936" s="13" t="s">
        <v>4664</v>
      </c>
      <c r="J1936" s="13" t="s">
        <v>4675</v>
      </c>
      <c r="K1936" s="13" t="s">
        <v>4672</v>
      </c>
      <c r="L1936" s="12" t="s">
        <v>4672</v>
      </c>
      <c r="M1936" s="17" t="str">
        <f>IF(LEN(COUNTIFS($H$1:H1936,$H1936,$I$1:I1936,$I1936,$J$1:J1936,$J1936,$K$1:K1936,K1936,$L$1:L1936,L1936))=1,"00"&amp;COUNTIFS($H$1:H1936,$H1936,$I$1:I1936,$I1936,$J$1:J1936,$J1936,$K$1:K1936,K1936,$L$1:L1936,L1936),IF(LEN(COUNTIFS($H$1:H1936,$H1936,$I$1:I1936,$I1936,$J$1:J1936,$J1936,$K$1:K1936,K1936,$L$1:L1936,L1936))=2,"0"&amp;COUNTIFS($H$1:H1936,$H1936,$I$1:I1936,$I1936,$J$1:J1936,$J1936,$K$1:K1936,K1936,$L$1:L1936,L1936),COUNTIFS($H$1:H1936,$H1936,$I$1:I1936,$I1936,$J$1:J1936,$J1936,$K$1:K1936,K1936,$L$1:L1936,L1936)))</f>
        <v>007</v>
      </c>
      <c r="N193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36" s="14" t="e">
        <f>+LEN(Table4[[#This Row],[New Item Code]])</f>
        <v>#N/A</v>
      </c>
      <c r="P1936" s="15" t="s">
        <v>4747</v>
      </c>
      <c r="Q1936" s="15" t="s">
        <v>4749</v>
      </c>
      <c r="R1936" s="15"/>
      <c r="S1936" s="15"/>
      <c r="T1936" s="15" t="s">
        <v>4675</v>
      </c>
    </row>
    <row r="1937" spans="1:20" x14ac:dyDescent="0.35">
      <c r="A1937" s="2" t="s">
        <v>3824</v>
      </c>
      <c r="B1937" s="2" t="s">
        <v>3825</v>
      </c>
      <c r="C1937" s="2" t="s">
        <v>9</v>
      </c>
      <c r="D1937" s="2">
        <v>850</v>
      </c>
      <c r="E1937" s="2" t="s">
        <v>10</v>
      </c>
      <c r="F1937" s="2">
        <v>1</v>
      </c>
      <c r="G1937" s="22">
        <f>Table4[[#This Row],[Item Cost]]*Table4[[#This Row],[In Stock]]</f>
        <v>850</v>
      </c>
      <c r="H1937" s="12" t="s">
        <v>4661</v>
      </c>
      <c r="I1937" s="13" t="s">
        <v>4664</v>
      </c>
      <c r="J1937" s="13" t="s">
        <v>4675</v>
      </c>
      <c r="K1937" s="13" t="s">
        <v>4672</v>
      </c>
      <c r="L1937" s="12" t="s">
        <v>4672</v>
      </c>
      <c r="M1937" s="17" t="str">
        <f>IF(LEN(COUNTIFS($H$1:H1937,$H1937,$I$1:I1937,$I1937,$J$1:J1937,$J1937,$K$1:K1937,K1937,$L$1:L1937,L1937))=1,"00"&amp;COUNTIFS($H$1:H1937,$H1937,$I$1:I1937,$I1937,$J$1:J1937,$J1937,$K$1:K1937,K1937,$L$1:L1937,L1937),IF(LEN(COUNTIFS($H$1:H1937,$H1937,$I$1:I1937,$I1937,$J$1:J1937,$J1937,$K$1:K1937,K1937,$L$1:L1937,L1937))=2,"0"&amp;COUNTIFS($H$1:H1937,$H1937,$I$1:I1937,$I1937,$J$1:J1937,$J1937,$K$1:K1937,K1937,$L$1:L1937,L1937),COUNTIFS($H$1:H1937,$H1937,$I$1:I1937,$I1937,$J$1:J1937,$J1937,$K$1:K1937,K1937,$L$1:L1937,L1937)))</f>
        <v>008</v>
      </c>
      <c r="N193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37" s="14" t="e">
        <f>+LEN(Table4[[#This Row],[New Item Code]])</f>
        <v>#N/A</v>
      </c>
      <c r="P1937" s="15" t="s">
        <v>4747</v>
      </c>
      <c r="Q1937" s="15" t="s">
        <v>4749</v>
      </c>
      <c r="R1937" s="15"/>
      <c r="S1937" s="15"/>
      <c r="T1937" s="15" t="s">
        <v>4675</v>
      </c>
    </row>
    <row r="1938" spans="1:20" x14ac:dyDescent="0.35">
      <c r="A1938" s="3" t="s">
        <v>3826</v>
      </c>
      <c r="B1938" s="3" t="s">
        <v>3827</v>
      </c>
      <c r="C1938" s="3" t="s">
        <v>9</v>
      </c>
      <c r="D1938" s="3">
        <v>150</v>
      </c>
      <c r="E1938" s="3" t="s">
        <v>10</v>
      </c>
      <c r="F1938" s="3">
        <v>34</v>
      </c>
      <c r="G1938" s="21">
        <f>Table4[[#This Row],[Item Cost]]*Table4[[#This Row],[In Stock]]</f>
        <v>5100</v>
      </c>
      <c r="H1938" s="12" t="s">
        <v>4661</v>
      </c>
      <c r="I1938" s="13" t="s">
        <v>4664</v>
      </c>
      <c r="J1938" s="13" t="s">
        <v>4675</v>
      </c>
      <c r="K1938" s="13" t="s">
        <v>4672</v>
      </c>
      <c r="L1938" s="12" t="s">
        <v>4672</v>
      </c>
      <c r="M1938" s="17" t="str">
        <f>IF(LEN(COUNTIFS($H$1:H1938,$H1938,$I$1:I1938,$I1938,$J$1:J1938,$J1938,$K$1:K1938,K1938,$L$1:L1938,L1938))=1,"00"&amp;COUNTIFS($H$1:H1938,$H1938,$I$1:I1938,$I1938,$J$1:J1938,$J1938,$K$1:K1938,K1938,$L$1:L1938,L1938),IF(LEN(COUNTIFS($H$1:H1938,$H1938,$I$1:I1938,$I1938,$J$1:J1938,$J1938,$K$1:K1938,K1938,$L$1:L1938,L1938))=2,"0"&amp;COUNTIFS($H$1:H1938,$H1938,$I$1:I1938,$I1938,$J$1:J1938,$J1938,$K$1:K1938,K1938,$L$1:L1938,L1938),COUNTIFS($H$1:H1938,$H1938,$I$1:I1938,$I1938,$J$1:J1938,$J1938,$K$1:K1938,K1938,$L$1:L1938,L1938)))</f>
        <v>009</v>
      </c>
      <c r="N193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38" s="14" t="e">
        <f>+LEN(Table4[[#This Row],[New Item Code]])</f>
        <v>#N/A</v>
      </c>
      <c r="P1938" s="15" t="s">
        <v>4747</v>
      </c>
      <c r="Q1938" s="15" t="s">
        <v>4749</v>
      </c>
      <c r="R1938" s="15"/>
      <c r="S1938" s="15"/>
      <c r="T1938" s="15" t="s">
        <v>4675</v>
      </c>
    </row>
    <row r="1939" spans="1:20" x14ac:dyDescent="0.35">
      <c r="A1939" s="2" t="s">
        <v>3828</v>
      </c>
      <c r="B1939" s="2" t="s">
        <v>3829</v>
      </c>
      <c r="C1939" s="2" t="s">
        <v>9</v>
      </c>
      <c r="D1939" s="4">
        <v>12000</v>
      </c>
      <c r="E1939" s="2" t="s">
        <v>10</v>
      </c>
      <c r="F1939" s="2">
        <v>1</v>
      </c>
      <c r="G1939" s="22">
        <f>Table4[[#This Row],[Item Cost]]*Table4[[#This Row],[In Stock]]</f>
        <v>12000</v>
      </c>
      <c r="H1939" s="12" t="s">
        <v>4661</v>
      </c>
      <c r="I1939" s="13" t="s">
        <v>4664</v>
      </c>
      <c r="J1939" s="13" t="s">
        <v>4675</v>
      </c>
      <c r="K1939" s="13" t="s">
        <v>4672</v>
      </c>
      <c r="L1939" s="12" t="s">
        <v>4672</v>
      </c>
      <c r="M1939" s="17" t="str">
        <f>IF(LEN(COUNTIFS($H$1:H1939,$H1939,$I$1:I1939,$I1939,$J$1:J1939,$J1939,$K$1:K1939,K1939,$L$1:L1939,L1939))=1,"00"&amp;COUNTIFS($H$1:H1939,$H1939,$I$1:I1939,$I1939,$J$1:J1939,$J1939,$K$1:K1939,K1939,$L$1:L1939,L1939),IF(LEN(COUNTIFS($H$1:H1939,$H1939,$I$1:I1939,$I1939,$J$1:J1939,$J1939,$K$1:K1939,K1939,$L$1:L1939,L1939))=2,"0"&amp;COUNTIFS($H$1:H1939,$H1939,$I$1:I1939,$I1939,$J$1:J1939,$J1939,$K$1:K1939,K1939,$L$1:L1939,L1939),COUNTIFS($H$1:H1939,$H1939,$I$1:I1939,$I1939,$J$1:J1939,$J1939,$K$1:K1939,K1939,$L$1:L1939,L1939)))</f>
        <v>010</v>
      </c>
      <c r="N193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39" s="14" t="e">
        <f>+LEN(Table4[[#This Row],[New Item Code]])</f>
        <v>#N/A</v>
      </c>
      <c r="P1939" s="15" t="s">
        <v>4747</v>
      </c>
      <c r="Q1939" s="15" t="s">
        <v>4749</v>
      </c>
      <c r="R1939" s="15"/>
      <c r="S1939" s="15"/>
      <c r="T1939" s="15" t="s">
        <v>4675</v>
      </c>
    </row>
    <row r="1940" spans="1:20" x14ac:dyDescent="0.35">
      <c r="A1940" s="3" t="s">
        <v>3830</v>
      </c>
      <c r="B1940" s="3" t="s">
        <v>3831</v>
      </c>
      <c r="C1940" s="3" t="s">
        <v>9</v>
      </c>
      <c r="D1940" s="5">
        <v>8000</v>
      </c>
      <c r="E1940" s="3" t="s">
        <v>10</v>
      </c>
      <c r="F1940" s="3">
        <v>2</v>
      </c>
      <c r="G1940" s="21">
        <f>Table4[[#This Row],[Item Cost]]*Table4[[#This Row],[In Stock]]</f>
        <v>16000</v>
      </c>
      <c r="H1940" s="12" t="s">
        <v>4661</v>
      </c>
      <c r="I1940" s="13" t="s">
        <v>4664</v>
      </c>
      <c r="J1940" s="13" t="s">
        <v>4675</v>
      </c>
      <c r="K1940" s="13" t="s">
        <v>4672</v>
      </c>
      <c r="L1940" s="12" t="s">
        <v>4672</v>
      </c>
      <c r="M1940" s="17" t="str">
        <f>IF(LEN(COUNTIFS($H$1:H1940,$H1940,$I$1:I1940,$I1940,$J$1:J1940,$J1940,$K$1:K1940,K1940,$L$1:L1940,L1940))=1,"00"&amp;COUNTIFS($H$1:H1940,$H1940,$I$1:I1940,$I1940,$J$1:J1940,$J1940,$K$1:K1940,K1940,$L$1:L1940,L1940),IF(LEN(COUNTIFS($H$1:H1940,$H1940,$I$1:I1940,$I1940,$J$1:J1940,$J1940,$K$1:K1940,K1940,$L$1:L1940,L1940))=2,"0"&amp;COUNTIFS($H$1:H1940,$H1940,$I$1:I1940,$I1940,$J$1:J1940,$J1940,$K$1:K1940,K1940,$L$1:L1940,L1940),COUNTIFS($H$1:H1940,$H1940,$I$1:I1940,$I1940,$J$1:J1940,$J1940,$K$1:K1940,K1940,$L$1:L1940,L1940)))</f>
        <v>011</v>
      </c>
      <c r="N194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40" s="14" t="e">
        <f>+LEN(Table4[[#This Row],[New Item Code]])</f>
        <v>#N/A</v>
      </c>
      <c r="P1940" s="15" t="s">
        <v>4747</v>
      </c>
      <c r="Q1940" s="15" t="s">
        <v>4749</v>
      </c>
      <c r="R1940" s="15"/>
      <c r="S1940" s="15"/>
      <c r="T1940" s="15" t="s">
        <v>4675</v>
      </c>
    </row>
    <row r="1941" spans="1:20" x14ac:dyDescent="0.35">
      <c r="A1941" s="2" t="s">
        <v>3832</v>
      </c>
      <c r="B1941" s="2" t="s">
        <v>3833</v>
      </c>
      <c r="C1941" s="2" t="s">
        <v>9</v>
      </c>
      <c r="D1941" s="4">
        <v>1000</v>
      </c>
      <c r="E1941" s="2" t="s">
        <v>10</v>
      </c>
      <c r="F1941" s="2">
        <v>3</v>
      </c>
      <c r="G1941" s="22">
        <f>Table4[[#This Row],[Item Cost]]*Table4[[#This Row],[In Stock]]</f>
        <v>3000</v>
      </c>
      <c r="H1941" s="12" t="s">
        <v>4661</v>
      </c>
      <c r="I1941" s="13" t="s">
        <v>4664</v>
      </c>
      <c r="J1941" s="13" t="s">
        <v>4675</v>
      </c>
      <c r="K1941" s="13" t="s">
        <v>4672</v>
      </c>
      <c r="L1941" s="12" t="s">
        <v>4672</v>
      </c>
      <c r="M1941" s="17" t="str">
        <f>IF(LEN(COUNTIFS($H$1:H1941,$H1941,$I$1:I1941,$I1941,$J$1:J1941,$J1941,$K$1:K1941,K1941,$L$1:L1941,L1941))=1,"00"&amp;COUNTIFS($H$1:H1941,$H1941,$I$1:I1941,$I1941,$J$1:J1941,$J1941,$K$1:K1941,K1941,$L$1:L1941,L1941),IF(LEN(COUNTIFS($H$1:H1941,$H1941,$I$1:I1941,$I1941,$J$1:J1941,$J1941,$K$1:K1941,K1941,$L$1:L1941,L1941))=2,"0"&amp;COUNTIFS($H$1:H1941,$H1941,$I$1:I1941,$I1941,$J$1:J1941,$J1941,$K$1:K1941,K1941,$L$1:L1941,L1941),COUNTIFS($H$1:H1941,$H1941,$I$1:I1941,$I1941,$J$1:J1941,$J1941,$K$1:K1941,K1941,$L$1:L1941,L1941)))</f>
        <v>012</v>
      </c>
      <c r="N194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41" s="14" t="e">
        <f>+LEN(Table4[[#This Row],[New Item Code]])</f>
        <v>#N/A</v>
      </c>
      <c r="P1941" s="15" t="s">
        <v>4747</v>
      </c>
      <c r="Q1941" s="15" t="s">
        <v>4749</v>
      </c>
      <c r="R1941" s="15"/>
      <c r="S1941" s="15"/>
      <c r="T1941" s="15" t="s">
        <v>4675</v>
      </c>
    </row>
    <row r="1942" spans="1:20" x14ac:dyDescent="0.35">
      <c r="A1942" s="3" t="s">
        <v>3834</v>
      </c>
      <c r="B1942" s="3" t="s">
        <v>3835</v>
      </c>
      <c r="C1942" s="3" t="s">
        <v>9</v>
      </c>
      <c r="D1942" s="5">
        <v>1500</v>
      </c>
      <c r="E1942" s="3" t="s">
        <v>10</v>
      </c>
      <c r="F1942" s="3">
        <v>6</v>
      </c>
      <c r="G1942" s="21">
        <f>Table4[[#This Row],[Item Cost]]*Table4[[#This Row],[In Stock]]</f>
        <v>9000</v>
      </c>
      <c r="H1942" s="12" t="s">
        <v>4661</v>
      </c>
      <c r="I1942" s="13" t="s">
        <v>4664</v>
      </c>
      <c r="J1942" s="13" t="s">
        <v>4675</v>
      </c>
      <c r="K1942" s="13" t="s">
        <v>4672</v>
      </c>
      <c r="L1942" s="12" t="s">
        <v>4672</v>
      </c>
      <c r="M1942" s="17" t="str">
        <f>IF(LEN(COUNTIFS($H$1:H1942,$H1942,$I$1:I1942,$I1942,$J$1:J1942,$J1942,$K$1:K1942,K1942,$L$1:L1942,L1942))=1,"00"&amp;COUNTIFS($H$1:H1942,$H1942,$I$1:I1942,$I1942,$J$1:J1942,$J1942,$K$1:K1942,K1942,$L$1:L1942,L1942),IF(LEN(COUNTIFS($H$1:H1942,$H1942,$I$1:I1942,$I1942,$J$1:J1942,$J1942,$K$1:K1942,K1942,$L$1:L1942,L1942))=2,"0"&amp;COUNTIFS($H$1:H1942,$H1942,$I$1:I1942,$I1942,$J$1:J1942,$J1942,$K$1:K1942,K1942,$L$1:L1942,L1942),COUNTIFS($H$1:H1942,$H1942,$I$1:I1942,$I1942,$J$1:J1942,$J1942,$K$1:K1942,K1942,$L$1:L1942,L1942)))</f>
        <v>013</v>
      </c>
      <c r="N194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42" s="14" t="e">
        <f>+LEN(Table4[[#This Row],[New Item Code]])</f>
        <v>#N/A</v>
      </c>
      <c r="P1942" s="15" t="s">
        <v>4747</v>
      </c>
      <c r="Q1942" s="15" t="s">
        <v>4749</v>
      </c>
      <c r="R1942" s="15"/>
      <c r="S1942" s="15"/>
      <c r="T1942" s="15" t="s">
        <v>4675</v>
      </c>
    </row>
    <row r="1943" spans="1:20" x14ac:dyDescent="0.35">
      <c r="A1943" s="2" t="s">
        <v>3836</v>
      </c>
      <c r="B1943" s="2" t="s">
        <v>3837</v>
      </c>
      <c r="C1943" s="2" t="s">
        <v>9</v>
      </c>
      <c r="D1943" s="2">
        <v>600</v>
      </c>
      <c r="E1943" s="2" t="s">
        <v>10</v>
      </c>
      <c r="F1943" s="2">
        <v>2</v>
      </c>
      <c r="G1943" s="22">
        <f>Table4[[#This Row],[Item Cost]]*Table4[[#This Row],[In Stock]]</f>
        <v>1200</v>
      </c>
      <c r="H1943" s="12" t="s">
        <v>4661</v>
      </c>
      <c r="I1943" s="13" t="s">
        <v>4664</v>
      </c>
      <c r="J1943" s="13" t="s">
        <v>4675</v>
      </c>
      <c r="K1943" s="13" t="s">
        <v>4672</v>
      </c>
      <c r="L1943" s="12" t="s">
        <v>4672</v>
      </c>
      <c r="M1943" s="17" t="str">
        <f>IF(LEN(COUNTIFS($H$1:H1943,$H1943,$I$1:I1943,$I1943,$J$1:J1943,$J1943,$K$1:K1943,K1943,$L$1:L1943,L1943))=1,"00"&amp;COUNTIFS($H$1:H1943,$H1943,$I$1:I1943,$I1943,$J$1:J1943,$J1943,$K$1:K1943,K1943,$L$1:L1943,L1943),IF(LEN(COUNTIFS($H$1:H1943,$H1943,$I$1:I1943,$I1943,$J$1:J1943,$J1943,$K$1:K1943,K1943,$L$1:L1943,L1943))=2,"0"&amp;COUNTIFS($H$1:H1943,$H1943,$I$1:I1943,$I1943,$J$1:J1943,$J1943,$K$1:K1943,K1943,$L$1:L1943,L1943),COUNTIFS($H$1:H1943,$H1943,$I$1:I1943,$I1943,$J$1:J1943,$J1943,$K$1:K1943,K1943,$L$1:L1943,L1943)))</f>
        <v>014</v>
      </c>
      <c r="N194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43" s="14" t="e">
        <f>+LEN(Table4[[#This Row],[New Item Code]])</f>
        <v>#N/A</v>
      </c>
      <c r="P1943" s="15" t="s">
        <v>4747</v>
      </c>
      <c r="Q1943" s="15" t="s">
        <v>4749</v>
      </c>
      <c r="R1943" s="15"/>
      <c r="S1943" s="15"/>
      <c r="T1943" s="15" t="s">
        <v>4675</v>
      </c>
    </row>
    <row r="1944" spans="1:20" x14ac:dyDescent="0.35">
      <c r="A1944" s="3" t="s">
        <v>3838</v>
      </c>
      <c r="B1944" s="3" t="s">
        <v>3839</v>
      </c>
      <c r="C1944" s="3" t="s">
        <v>9</v>
      </c>
      <c r="D1944" s="3">
        <v>587.87</v>
      </c>
      <c r="E1944" s="3" t="s">
        <v>10</v>
      </c>
      <c r="F1944" s="3">
        <v>2</v>
      </c>
      <c r="G1944" s="21">
        <f>Table4[[#This Row],[Item Cost]]*Table4[[#This Row],[In Stock]]</f>
        <v>1175.74</v>
      </c>
      <c r="H1944" s="12" t="s">
        <v>4661</v>
      </c>
      <c r="I1944" s="13" t="s">
        <v>4664</v>
      </c>
      <c r="J1944" s="13" t="s">
        <v>4675</v>
      </c>
      <c r="K1944" s="13" t="s">
        <v>4672</v>
      </c>
      <c r="L1944" s="12" t="s">
        <v>4672</v>
      </c>
      <c r="M1944" s="17" t="str">
        <f>IF(LEN(COUNTIFS($H$1:H1944,$H1944,$I$1:I1944,$I1944,$J$1:J1944,$J1944,$K$1:K1944,K1944,$L$1:L1944,L1944))=1,"00"&amp;COUNTIFS($H$1:H1944,$H1944,$I$1:I1944,$I1944,$J$1:J1944,$J1944,$K$1:K1944,K1944,$L$1:L1944,L1944),IF(LEN(COUNTIFS($H$1:H1944,$H1944,$I$1:I1944,$I1944,$J$1:J1944,$J1944,$K$1:K1944,K1944,$L$1:L1944,L1944))=2,"0"&amp;COUNTIFS($H$1:H1944,$H1944,$I$1:I1944,$I1944,$J$1:J1944,$J1944,$K$1:K1944,K1944,$L$1:L1944,L1944),COUNTIFS($H$1:H1944,$H1944,$I$1:I1944,$I1944,$J$1:J1944,$J1944,$K$1:K1944,K1944,$L$1:L1944,L1944)))</f>
        <v>015</v>
      </c>
      <c r="N194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44" s="14" t="e">
        <f>+LEN(Table4[[#This Row],[New Item Code]])</f>
        <v>#N/A</v>
      </c>
      <c r="P1944" s="15" t="s">
        <v>4747</v>
      </c>
      <c r="Q1944" s="15" t="s">
        <v>4749</v>
      </c>
      <c r="R1944" s="15"/>
      <c r="S1944" s="15"/>
      <c r="T1944" s="15" t="s">
        <v>4675</v>
      </c>
    </row>
    <row r="1945" spans="1:20" x14ac:dyDescent="0.35">
      <c r="A1945" s="2" t="s">
        <v>3840</v>
      </c>
      <c r="B1945" s="2" t="s">
        <v>3841</v>
      </c>
      <c r="C1945" s="2" t="s">
        <v>9</v>
      </c>
      <c r="D1945" s="2">
        <v>511.03</v>
      </c>
      <c r="E1945" s="2" t="s">
        <v>10</v>
      </c>
      <c r="F1945" s="2">
        <v>1</v>
      </c>
      <c r="G1945" s="22">
        <f>Table4[[#This Row],[Item Cost]]*Table4[[#This Row],[In Stock]]</f>
        <v>511.03</v>
      </c>
      <c r="H1945" s="12" t="s">
        <v>4661</v>
      </c>
      <c r="I1945" s="13" t="s">
        <v>4664</v>
      </c>
      <c r="J1945" s="13" t="s">
        <v>4675</v>
      </c>
      <c r="K1945" s="13" t="s">
        <v>4672</v>
      </c>
      <c r="L1945" s="12" t="s">
        <v>4672</v>
      </c>
      <c r="M1945" s="17" t="str">
        <f>IF(LEN(COUNTIFS($H$1:H1945,$H1945,$I$1:I1945,$I1945,$J$1:J1945,$J1945,$K$1:K1945,K1945,$L$1:L1945,L1945))=1,"00"&amp;COUNTIFS($H$1:H1945,$H1945,$I$1:I1945,$I1945,$J$1:J1945,$J1945,$K$1:K1945,K1945,$L$1:L1945,L1945),IF(LEN(COUNTIFS($H$1:H1945,$H1945,$I$1:I1945,$I1945,$J$1:J1945,$J1945,$K$1:K1945,K1945,$L$1:L1945,L1945))=2,"0"&amp;COUNTIFS($H$1:H1945,$H1945,$I$1:I1945,$I1945,$J$1:J1945,$J1945,$K$1:K1945,K1945,$L$1:L1945,L1945),COUNTIFS($H$1:H1945,$H1945,$I$1:I1945,$I1945,$J$1:J1945,$J1945,$K$1:K1945,K1945,$L$1:L1945,L1945)))</f>
        <v>016</v>
      </c>
      <c r="N194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45" s="14" t="e">
        <f>+LEN(Table4[[#This Row],[New Item Code]])</f>
        <v>#N/A</v>
      </c>
      <c r="P1945" s="15" t="s">
        <v>4747</v>
      </c>
      <c r="Q1945" s="15" t="s">
        <v>4749</v>
      </c>
      <c r="R1945" s="15"/>
      <c r="S1945" s="15"/>
      <c r="T1945" s="15" t="s">
        <v>4675</v>
      </c>
    </row>
    <row r="1946" spans="1:20" x14ac:dyDescent="0.35">
      <c r="A1946" s="3" t="s">
        <v>3842</v>
      </c>
      <c r="B1946" s="3" t="s">
        <v>3843</v>
      </c>
      <c r="C1946" s="3" t="s">
        <v>9</v>
      </c>
      <c r="D1946" s="5">
        <v>2447.5500000000002</v>
      </c>
      <c r="E1946" s="3" t="s">
        <v>10</v>
      </c>
      <c r="F1946" s="3">
        <v>1</v>
      </c>
      <c r="G1946" s="21">
        <f>Table4[[#This Row],[Item Cost]]*Table4[[#This Row],[In Stock]]</f>
        <v>2447.5500000000002</v>
      </c>
      <c r="H1946" s="12" t="s">
        <v>4661</v>
      </c>
      <c r="I1946" s="13" t="s">
        <v>4664</v>
      </c>
      <c r="J1946" s="13" t="s">
        <v>4675</v>
      </c>
      <c r="K1946" s="13" t="s">
        <v>4672</v>
      </c>
      <c r="L1946" s="12" t="s">
        <v>4672</v>
      </c>
      <c r="M1946" s="17" t="str">
        <f>IF(LEN(COUNTIFS($H$1:H1946,$H1946,$I$1:I1946,$I1946,$J$1:J1946,$J1946,$K$1:K1946,K1946,$L$1:L1946,L1946))=1,"00"&amp;COUNTIFS($H$1:H1946,$H1946,$I$1:I1946,$I1946,$J$1:J1946,$J1946,$K$1:K1946,K1946,$L$1:L1946,L1946),IF(LEN(COUNTIFS($H$1:H1946,$H1946,$I$1:I1946,$I1946,$J$1:J1946,$J1946,$K$1:K1946,K1946,$L$1:L1946,L1946))=2,"0"&amp;COUNTIFS($H$1:H1946,$H1946,$I$1:I1946,$I1946,$J$1:J1946,$J1946,$K$1:K1946,K1946,$L$1:L1946,L1946),COUNTIFS($H$1:H1946,$H1946,$I$1:I1946,$I1946,$J$1:J1946,$J1946,$K$1:K1946,K1946,$L$1:L1946,L1946)))</f>
        <v>017</v>
      </c>
      <c r="N194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46" s="14" t="e">
        <f>+LEN(Table4[[#This Row],[New Item Code]])</f>
        <v>#N/A</v>
      </c>
      <c r="P1946" s="15" t="s">
        <v>4747</v>
      </c>
      <c r="Q1946" s="15" t="s">
        <v>4749</v>
      </c>
      <c r="R1946" s="15"/>
      <c r="S1946" s="15"/>
      <c r="T1946" s="15" t="s">
        <v>4675</v>
      </c>
    </row>
    <row r="1947" spans="1:20" x14ac:dyDescent="0.35">
      <c r="A1947" s="2" t="s">
        <v>3844</v>
      </c>
      <c r="B1947" s="2" t="s">
        <v>3845</v>
      </c>
      <c r="C1947" s="2" t="s">
        <v>9</v>
      </c>
      <c r="D1947" s="4">
        <v>7626.97</v>
      </c>
      <c r="E1947" s="2" t="s">
        <v>10</v>
      </c>
      <c r="F1947" s="2">
        <v>1</v>
      </c>
      <c r="G1947" s="22">
        <f>Table4[[#This Row],[Item Cost]]*Table4[[#This Row],[In Stock]]</f>
        <v>7626.97</v>
      </c>
      <c r="H1947" s="12" t="s">
        <v>4661</v>
      </c>
      <c r="I1947" s="13" t="s">
        <v>4664</v>
      </c>
      <c r="J1947" s="13" t="s">
        <v>4675</v>
      </c>
      <c r="K1947" s="13" t="s">
        <v>4672</v>
      </c>
      <c r="L1947" s="12" t="s">
        <v>4672</v>
      </c>
      <c r="M1947" s="17" t="str">
        <f>IF(LEN(COUNTIFS($H$1:H1947,$H1947,$I$1:I1947,$I1947,$J$1:J1947,$J1947,$K$1:K1947,K1947,$L$1:L1947,L1947))=1,"00"&amp;COUNTIFS($H$1:H1947,$H1947,$I$1:I1947,$I1947,$J$1:J1947,$J1947,$K$1:K1947,K1947,$L$1:L1947,L1947),IF(LEN(COUNTIFS($H$1:H1947,$H1947,$I$1:I1947,$I1947,$J$1:J1947,$J1947,$K$1:K1947,K1947,$L$1:L1947,L1947))=2,"0"&amp;COUNTIFS($H$1:H1947,$H1947,$I$1:I1947,$I1947,$J$1:J1947,$J1947,$K$1:K1947,K1947,$L$1:L1947,L1947),COUNTIFS($H$1:H1947,$H1947,$I$1:I1947,$I1947,$J$1:J1947,$J1947,$K$1:K1947,K1947,$L$1:L1947,L1947)))</f>
        <v>018</v>
      </c>
      <c r="N194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47" s="14" t="e">
        <f>+LEN(Table4[[#This Row],[New Item Code]])</f>
        <v>#N/A</v>
      </c>
      <c r="P1947" s="15" t="s">
        <v>4747</v>
      </c>
      <c r="Q1947" s="15" t="s">
        <v>4749</v>
      </c>
      <c r="R1947" s="15"/>
      <c r="S1947" s="15"/>
      <c r="T1947" s="15" t="s">
        <v>4675</v>
      </c>
    </row>
    <row r="1948" spans="1:20" x14ac:dyDescent="0.35">
      <c r="A1948" s="3" t="s">
        <v>3846</v>
      </c>
      <c r="B1948" s="3" t="s">
        <v>3847</v>
      </c>
      <c r="C1948" s="3" t="s">
        <v>9</v>
      </c>
      <c r="D1948" s="5">
        <v>1352.49</v>
      </c>
      <c r="E1948" s="3" t="s">
        <v>10</v>
      </c>
      <c r="F1948" s="3">
        <v>1</v>
      </c>
      <c r="G1948" s="21">
        <f>Table4[[#This Row],[Item Cost]]*Table4[[#This Row],[In Stock]]</f>
        <v>1352.49</v>
      </c>
      <c r="H1948" s="12" t="s">
        <v>4661</v>
      </c>
      <c r="I1948" s="13" t="s">
        <v>4664</v>
      </c>
      <c r="J1948" s="13" t="s">
        <v>4675</v>
      </c>
      <c r="K1948" t="s">
        <v>4799</v>
      </c>
      <c r="L1948" s="12" t="s">
        <v>4672</v>
      </c>
      <c r="M1948" s="17" t="str">
        <f>IF(LEN(COUNTIFS($H$1:H1948,$H1948,$I$1:I1948,$I1948,$J$1:J1948,$J1948,$K$1:K1948,K1948,$L$1:L1948,L1948))=1,"00"&amp;COUNTIFS($H$1:H1948,$H1948,$I$1:I1948,$I1948,$J$1:J1948,$J1948,$K$1:K1948,K1948,$L$1:L1948,L1948),IF(LEN(COUNTIFS($H$1:H1948,$H1948,$I$1:I1948,$I1948,$J$1:J1948,$J1948,$K$1:K1948,K1948,$L$1:L1948,L1948))=2,"0"&amp;COUNTIFS($H$1:H1948,$H1948,$I$1:I1948,$I1948,$J$1:J1948,$J1948,$K$1:K1948,K1948,$L$1:L1948,L1948),COUNTIFS($H$1:H1948,$H1948,$I$1:I1948,$I1948,$J$1:J1948,$J1948,$K$1:K1948,K1948,$L$1:L1948,L1948)))</f>
        <v>001</v>
      </c>
      <c r="N194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48" s="14" t="e">
        <f>+LEN(Table4[[#This Row],[New Item Code]])</f>
        <v>#N/A</v>
      </c>
      <c r="P1948" s="15" t="s">
        <v>4747</v>
      </c>
      <c r="Q1948" s="15" t="s">
        <v>4749</v>
      </c>
      <c r="R1948" s="15"/>
      <c r="S1948" s="15"/>
      <c r="T1948" s="15" t="s">
        <v>4675</v>
      </c>
    </row>
    <row r="1949" spans="1:20" x14ac:dyDescent="0.35">
      <c r="A1949" s="2" t="s">
        <v>3848</v>
      </c>
      <c r="B1949" s="2" t="s">
        <v>3849</v>
      </c>
      <c r="C1949" s="2" t="s">
        <v>9</v>
      </c>
      <c r="D1949" s="4">
        <v>1098.9000000000001</v>
      </c>
      <c r="E1949" s="2" t="s">
        <v>10</v>
      </c>
      <c r="F1949" s="2">
        <v>1</v>
      </c>
      <c r="G1949" s="22">
        <f>Table4[[#This Row],[Item Cost]]*Table4[[#This Row],[In Stock]]</f>
        <v>1098.9000000000001</v>
      </c>
      <c r="H1949" s="12" t="s">
        <v>4661</v>
      </c>
      <c r="I1949" s="13" t="s">
        <v>4664</v>
      </c>
      <c r="J1949" s="13" t="s">
        <v>4675</v>
      </c>
      <c r="K1949" t="s">
        <v>4795</v>
      </c>
      <c r="L1949" s="12" t="s">
        <v>4672</v>
      </c>
      <c r="M1949" s="17" t="str">
        <f>IF(LEN(COUNTIFS($H$1:H1949,$H1949,$I$1:I1949,$I1949,$J$1:J1949,$J1949,$K$1:K1949,K1949,$L$1:L1949,L1949))=1,"00"&amp;COUNTIFS($H$1:H1949,$H1949,$I$1:I1949,$I1949,$J$1:J1949,$J1949,$K$1:K1949,K1949,$L$1:L1949,L1949),IF(LEN(COUNTIFS($H$1:H1949,$H1949,$I$1:I1949,$I1949,$J$1:J1949,$J1949,$K$1:K1949,K1949,$L$1:L1949,L1949))=2,"0"&amp;COUNTIFS($H$1:H1949,$H1949,$I$1:I1949,$I1949,$J$1:J1949,$J1949,$K$1:K1949,K1949,$L$1:L1949,L1949),COUNTIFS($H$1:H1949,$H1949,$I$1:I1949,$I1949,$J$1:J1949,$J1949,$K$1:K1949,K1949,$L$1:L1949,L1949)))</f>
        <v>003</v>
      </c>
      <c r="N194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49" s="14" t="e">
        <f>+LEN(Table4[[#This Row],[New Item Code]])</f>
        <v>#N/A</v>
      </c>
      <c r="P1949" s="15" t="s">
        <v>4747</v>
      </c>
      <c r="Q1949" s="15" t="s">
        <v>4749</v>
      </c>
      <c r="R1949" s="15"/>
      <c r="S1949" s="15"/>
      <c r="T1949" s="15" t="s">
        <v>4675</v>
      </c>
    </row>
    <row r="1950" spans="1:20" x14ac:dyDescent="0.35">
      <c r="A1950" s="3" t="s">
        <v>3850</v>
      </c>
      <c r="B1950" s="3" t="s">
        <v>3851</v>
      </c>
      <c r="C1950" s="3" t="s">
        <v>9</v>
      </c>
      <c r="D1950" s="3">
        <v>372.7</v>
      </c>
      <c r="E1950" s="3" t="s">
        <v>10</v>
      </c>
      <c r="F1950" s="3">
        <v>1</v>
      </c>
      <c r="G1950" s="21">
        <f>Table4[[#This Row],[Item Cost]]*Table4[[#This Row],[In Stock]]</f>
        <v>372.7</v>
      </c>
      <c r="H1950" s="12" t="s">
        <v>4661</v>
      </c>
      <c r="I1950" s="13" t="s">
        <v>4664</v>
      </c>
      <c r="J1950" s="13" t="s">
        <v>4675</v>
      </c>
      <c r="K1950" t="s">
        <v>4795</v>
      </c>
      <c r="L1950" s="12" t="s">
        <v>4672</v>
      </c>
      <c r="M1950" s="17" t="str">
        <f>IF(LEN(COUNTIFS($H$1:H1950,$H1950,$I$1:I1950,$I1950,$J$1:J1950,$J1950,$K$1:K1950,K1950,$L$1:L1950,L1950))=1,"00"&amp;COUNTIFS($H$1:H1950,$H1950,$I$1:I1950,$I1950,$J$1:J1950,$J1950,$K$1:K1950,K1950,$L$1:L1950,L1950),IF(LEN(COUNTIFS($H$1:H1950,$H1950,$I$1:I1950,$I1950,$J$1:J1950,$J1950,$K$1:K1950,K1950,$L$1:L1950,L1950))=2,"0"&amp;COUNTIFS($H$1:H1950,$H1950,$I$1:I1950,$I1950,$J$1:J1950,$J1950,$K$1:K1950,K1950,$L$1:L1950,L1950),COUNTIFS($H$1:H1950,$H1950,$I$1:I1950,$I1950,$J$1:J1950,$J1950,$K$1:K1950,K1950,$L$1:L1950,L1950)))</f>
        <v>004</v>
      </c>
      <c r="N195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50" s="14" t="e">
        <f>+LEN(Table4[[#This Row],[New Item Code]])</f>
        <v>#N/A</v>
      </c>
      <c r="P1950" s="15" t="s">
        <v>4747</v>
      </c>
      <c r="Q1950" s="15" t="s">
        <v>4749</v>
      </c>
      <c r="R1950" s="15"/>
      <c r="S1950" s="15"/>
      <c r="T1950" s="15" t="s">
        <v>4675</v>
      </c>
    </row>
    <row r="1951" spans="1:20" x14ac:dyDescent="0.35">
      <c r="A1951" s="2" t="s">
        <v>3852</v>
      </c>
      <c r="B1951" s="2" t="s">
        <v>3853</v>
      </c>
      <c r="C1951" s="2" t="s">
        <v>9</v>
      </c>
      <c r="D1951" s="2">
        <v>219.01</v>
      </c>
      <c r="E1951" s="2" t="s">
        <v>10</v>
      </c>
      <c r="F1951" s="2">
        <v>1</v>
      </c>
      <c r="G1951" s="22">
        <f>Table4[[#This Row],[Item Cost]]*Table4[[#This Row],[In Stock]]</f>
        <v>219.01</v>
      </c>
      <c r="H1951" s="12" t="s">
        <v>4661</v>
      </c>
      <c r="I1951" s="13" t="s">
        <v>4664</v>
      </c>
      <c r="J1951" s="13" t="s">
        <v>4675</v>
      </c>
      <c r="K1951" s="7" t="s">
        <v>4771</v>
      </c>
      <c r="L1951" s="12" t="s">
        <v>4672</v>
      </c>
      <c r="M1951" s="17" t="str">
        <f>IF(LEN(COUNTIFS($H$1:H1951,$H1951,$I$1:I1951,$I1951,$J$1:J1951,$J1951,$K$1:K1951,K1951,$L$1:L1951,L1951))=1,"00"&amp;COUNTIFS($H$1:H1951,$H1951,$I$1:I1951,$I1951,$J$1:J1951,$J1951,$K$1:K1951,K1951,$L$1:L1951,L1951),IF(LEN(COUNTIFS($H$1:H1951,$H1951,$I$1:I1951,$I1951,$J$1:J1951,$J1951,$K$1:K1951,K1951,$L$1:L1951,L1951))=2,"0"&amp;COUNTIFS($H$1:H1951,$H1951,$I$1:I1951,$I1951,$J$1:J1951,$J1951,$K$1:K1951,K1951,$L$1:L1951,L1951),COUNTIFS($H$1:H1951,$H1951,$I$1:I1951,$I1951,$J$1:J1951,$J1951,$K$1:K1951,K1951,$L$1:L1951,L1951)))</f>
        <v>002</v>
      </c>
      <c r="N195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51" s="14" t="e">
        <f>+LEN(Table4[[#This Row],[New Item Code]])</f>
        <v>#N/A</v>
      </c>
      <c r="P1951" s="15" t="s">
        <v>4747</v>
      </c>
      <c r="Q1951" s="15" t="s">
        <v>4749</v>
      </c>
      <c r="R1951" s="15"/>
      <c r="S1951" s="15"/>
      <c r="T1951" s="15" t="s">
        <v>4675</v>
      </c>
    </row>
    <row r="1952" spans="1:20" x14ac:dyDescent="0.35">
      <c r="A1952" s="3" t="s">
        <v>3854</v>
      </c>
      <c r="B1952" s="3" t="s">
        <v>3855</v>
      </c>
      <c r="C1952" s="3" t="s">
        <v>9</v>
      </c>
      <c r="D1952" s="3">
        <v>564.82000000000005</v>
      </c>
      <c r="E1952" s="3" t="s">
        <v>10</v>
      </c>
      <c r="F1952" s="3">
        <v>1</v>
      </c>
      <c r="G1952" s="21">
        <f>Table4[[#This Row],[Item Cost]]*Table4[[#This Row],[In Stock]]</f>
        <v>564.82000000000005</v>
      </c>
      <c r="H1952" s="12" t="s">
        <v>4661</v>
      </c>
      <c r="I1952" s="13" t="s">
        <v>4664</v>
      </c>
      <c r="J1952" s="13" t="s">
        <v>4675</v>
      </c>
      <c r="K1952" s="13" t="s">
        <v>4672</v>
      </c>
      <c r="L1952" s="12" t="s">
        <v>4672</v>
      </c>
      <c r="M1952" s="17" t="str">
        <f>IF(LEN(COUNTIFS($H$1:H1952,$H1952,$I$1:I1952,$I1952,$J$1:J1952,$J1952,$K$1:K1952,K1952,$L$1:L1952,L1952))=1,"00"&amp;COUNTIFS($H$1:H1952,$H1952,$I$1:I1952,$I1952,$J$1:J1952,$J1952,$K$1:K1952,K1952,$L$1:L1952,L1952),IF(LEN(COUNTIFS($H$1:H1952,$H1952,$I$1:I1952,$I1952,$J$1:J1952,$J1952,$K$1:K1952,K1952,$L$1:L1952,L1952))=2,"0"&amp;COUNTIFS($H$1:H1952,$H1952,$I$1:I1952,$I1952,$J$1:J1952,$J1952,$K$1:K1952,K1952,$L$1:L1952,L1952),COUNTIFS($H$1:H1952,$H1952,$I$1:I1952,$I1952,$J$1:J1952,$J1952,$K$1:K1952,K1952,$L$1:L1952,L1952)))</f>
        <v>019</v>
      </c>
      <c r="N195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52" s="14" t="e">
        <f>+LEN(Table4[[#This Row],[New Item Code]])</f>
        <v>#N/A</v>
      </c>
      <c r="P1952" s="15" t="s">
        <v>4747</v>
      </c>
      <c r="Q1952" s="15" t="s">
        <v>4749</v>
      </c>
      <c r="R1952" s="15"/>
      <c r="S1952" s="15"/>
      <c r="T1952" s="15" t="s">
        <v>4675</v>
      </c>
    </row>
    <row r="1953" spans="1:20" x14ac:dyDescent="0.35">
      <c r="A1953" s="2" t="s">
        <v>3856</v>
      </c>
      <c r="B1953" s="2" t="s">
        <v>3857</v>
      </c>
      <c r="C1953" s="2" t="s">
        <v>9</v>
      </c>
      <c r="D1953" s="4">
        <v>1675.24</v>
      </c>
      <c r="E1953" s="2" t="s">
        <v>10</v>
      </c>
      <c r="F1953" s="2">
        <v>1</v>
      </c>
      <c r="G1953" s="22">
        <f>Table4[[#This Row],[Item Cost]]*Table4[[#This Row],[In Stock]]</f>
        <v>1675.24</v>
      </c>
      <c r="H1953" s="12" t="s">
        <v>4661</v>
      </c>
      <c r="I1953" s="13" t="s">
        <v>4664</v>
      </c>
      <c r="J1953" s="13" t="s">
        <v>4675</v>
      </c>
      <c r="K1953" s="13" t="s">
        <v>4672</v>
      </c>
      <c r="L1953" s="12" t="s">
        <v>4672</v>
      </c>
      <c r="M1953" s="17" t="str">
        <f>IF(LEN(COUNTIFS($H$1:H1953,$H1953,$I$1:I1953,$I1953,$J$1:J1953,$J1953,$K$1:K1953,K1953,$L$1:L1953,L1953))=1,"00"&amp;COUNTIFS($H$1:H1953,$H1953,$I$1:I1953,$I1953,$J$1:J1953,$J1953,$K$1:K1953,K1953,$L$1:L1953,L1953),IF(LEN(COUNTIFS($H$1:H1953,$H1953,$I$1:I1953,$I1953,$J$1:J1953,$J1953,$K$1:K1953,K1953,$L$1:L1953,L1953))=2,"0"&amp;COUNTIFS($H$1:H1953,$H1953,$I$1:I1953,$I1953,$J$1:J1953,$J1953,$K$1:K1953,K1953,$L$1:L1953,L1953),COUNTIFS($H$1:H1953,$H1953,$I$1:I1953,$I1953,$J$1:J1953,$J1953,$K$1:K1953,K1953,$L$1:L1953,L1953)))</f>
        <v>020</v>
      </c>
      <c r="N195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53" s="14" t="e">
        <f>+LEN(Table4[[#This Row],[New Item Code]])</f>
        <v>#N/A</v>
      </c>
      <c r="P1953" s="15" t="s">
        <v>4747</v>
      </c>
      <c r="Q1953" s="15" t="s">
        <v>4749</v>
      </c>
      <c r="R1953" s="15"/>
      <c r="S1953" s="15"/>
      <c r="T1953" s="15" t="s">
        <v>4675</v>
      </c>
    </row>
    <row r="1954" spans="1:20" x14ac:dyDescent="0.35">
      <c r="A1954" s="3" t="s">
        <v>3858</v>
      </c>
      <c r="B1954" s="3" t="s">
        <v>3859</v>
      </c>
      <c r="C1954" s="3" t="s">
        <v>9</v>
      </c>
      <c r="D1954" s="3">
        <v>49.95</v>
      </c>
      <c r="E1954" s="3" t="s">
        <v>10</v>
      </c>
      <c r="F1954" s="3">
        <v>1</v>
      </c>
      <c r="G1954" s="21">
        <f>Table4[[#This Row],[Item Cost]]*Table4[[#This Row],[In Stock]]</f>
        <v>49.95</v>
      </c>
      <c r="H1954" s="12" t="s">
        <v>4661</v>
      </c>
      <c r="I1954" s="13" t="s">
        <v>4664</v>
      </c>
      <c r="J1954" s="13" t="s">
        <v>4675</v>
      </c>
      <c r="K1954" t="s">
        <v>4799</v>
      </c>
      <c r="L1954" s="12" t="s">
        <v>4672</v>
      </c>
      <c r="M1954" s="17" t="str">
        <f>IF(LEN(COUNTIFS($H$1:H1954,$H1954,$I$1:I1954,$I1954,$J$1:J1954,$J1954,$K$1:K1954,K1954,$L$1:L1954,L1954))=1,"00"&amp;COUNTIFS($H$1:H1954,$H1954,$I$1:I1954,$I1954,$J$1:J1954,$J1954,$K$1:K1954,K1954,$L$1:L1954,L1954),IF(LEN(COUNTIFS($H$1:H1954,$H1954,$I$1:I1954,$I1954,$J$1:J1954,$J1954,$K$1:K1954,K1954,$L$1:L1954,L1954))=2,"0"&amp;COUNTIFS($H$1:H1954,$H1954,$I$1:I1954,$I1954,$J$1:J1954,$J1954,$K$1:K1954,K1954,$L$1:L1954,L1954),COUNTIFS($H$1:H1954,$H1954,$I$1:I1954,$I1954,$J$1:J1954,$J1954,$K$1:K1954,K1954,$L$1:L1954,L1954)))</f>
        <v>002</v>
      </c>
      <c r="N195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54" s="14" t="e">
        <f>+LEN(Table4[[#This Row],[New Item Code]])</f>
        <v>#N/A</v>
      </c>
      <c r="P1954" s="15" t="s">
        <v>4747</v>
      </c>
      <c r="Q1954" s="15" t="s">
        <v>4749</v>
      </c>
      <c r="R1954" s="15"/>
      <c r="S1954" s="15"/>
      <c r="T1954" s="15" t="s">
        <v>4675</v>
      </c>
    </row>
    <row r="1955" spans="1:20" x14ac:dyDescent="0.35">
      <c r="A1955" s="2" t="s">
        <v>3860</v>
      </c>
      <c r="B1955" s="2" t="s">
        <v>3861</v>
      </c>
      <c r="C1955" s="2" t="s">
        <v>9</v>
      </c>
      <c r="D1955" s="4">
        <v>1352.49</v>
      </c>
      <c r="E1955" s="2" t="s">
        <v>10</v>
      </c>
      <c r="F1955" s="2">
        <v>1</v>
      </c>
      <c r="G1955" s="22">
        <f>Table4[[#This Row],[Item Cost]]*Table4[[#This Row],[In Stock]]</f>
        <v>1352.49</v>
      </c>
      <c r="H1955" s="12" t="s">
        <v>4661</v>
      </c>
      <c r="I1955" s="13" t="s">
        <v>4664</v>
      </c>
      <c r="J1955" s="13" t="s">
        <v>4675</v>
      </c>
      <c r="K1955" t="s">
        <v>4799</v>
      </c>
      <c r="L1955" s="12" t="s">
        <v>4672</v>
      </c>
      <c r="M1955" s="17" t="str">
        <f>IF(LEN(COUNTIFS($H$1:H1955,$H1955,$I$1:I1955,$I1955,$J$1:J1955,$J1955,$K$1:K1955,K1955,$L$1:L1955,L1955))=1,"00"&amp;COUNTIFS($H$1:H1955,$H1955,$I$1:I1955,$I1955,$J$1:J1955,$J1955,$K$1:K1955,K1955,$L$1:L1955,L1955),IF(LEN(COUNTIFS($H$1:H1955,$H1955,$I$1:I1955,$I1955,$J$1:J1955,$J1955,$K$1:K1955,K1955,$L$1:L1955,L1955))=2,"0"&amp;COUNTIFS($H$1:H1955,$H1955,$I$1:I1955,$I1955,$J$1:J1955,$J1955,$K$1:K1955,K1955,$L$1:L1955,L1955),COUNTIFS($H$1:H1955,$H1955,$I$1:I1955,$I1955,$J$1:J1955,$J1955,$K$1:K1955,K1955,$L$1:L1955,L1955)))</f>
        <v>003</v>
      </c>
      <c r="N195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55" s="14" t="e">
        <f>+LEN(Table4[[#This Row],[New Item Code]])</f>
        <v>#N/A</v>
      </c>
      <c r="P1955" s="15" t="s">
        <v>4747</v>
      </c>
      <c r="Q1955" s="15" t="s">
        <v>4749</v>
      </c>
      <c r="R1955" s="15"/>
      <c r="S1955" s="15"/>
      <c r="T1955" s="15" t="s">
        <v>4675</v>
      </c>
    </row>
    <row r="1956" spans="1:20" x14ac:dyDescent="0.35">
      <c r="A1956" s="3" t="s">
        <v>3862</v>
      </c>
      <c r="B1956" s="3" t="s">
        <v>3863</v>
      </c>
      <c r="C1956" s="3" t="s">
        <v>9</v>
      </c>
      <c r="D1956" s="3">
        <v>322.75</v>
      </c>
      <c r="E1956" s="3" t="s">
        <v>10</v>
      </c>
      <c r="F1956" s="3">
        <v>1</v>
      </c>
      <c r="G1956" s="21">
        <f>Table4[[#This Row],[Item Cost]]*Table4[[#This Row],[In Stock]]</f>
        <v>322.75</v>
      </c>
      <c r="H1956" s="12" t="s">
        <v>4661</v>
      </c>
      <c r="I1956" s="13" t="s">
        <v>4664</v>
      </c>
      <c r="J1956" s="13" t="s">
        <v>4675</v>
      </c>
      <c r="K1956" s="13" t="s">
        <v>4672</v>
      </c>
      <c r="L1956" s="12" t="s">
        <v>4672</v>
      </c>
      <c r="M1956" s="17" t="str">
        <f>IF(LEN(COUNTIFS($H$1:H1956,$H1956,$I$1:I1956,$I1956,$J$1:J1956,$J1956,$K$1:K1956,K1956,$L$1:L1956,L1956))=1,"00"&amp;COUNTIFS($H$1:H1956,$H1956,$I$1:I1956,$I1956,$J$1:J1956,$J1956,$K$1:K1956,K1956,$L$1:L1956,L1956),IF(LEN(COUNTIFS($H$1:H1956,$H1956,$I$1:I1956,$I1956,$J$1:J1956,$J1956,$K$1:K1956,K1956,$L$1:L1956,L1956))=2,"0"&amp;COUNTIFS($H$1:H1956,$H1956,$I$1:I1956,$I1956,$J$1:J1956,$J1956,$K$1:K1956,K1956,$L$1:L1956,L1956),COUNTIFS($H$1:H1956,$H1956,$I$1:I1956,$I1956,$J$1:J1956,$J1956,$K$1:K1956,K1956,$L$1:L1956,L1956)))</f>
        <v>021</v>
      </c>
      <c r="N195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56" s="14" t="e">
        <f>+LEN(Table4[[#This Row],[New Item Code]])</f>
        <v>#N/A</v>
      </c>
      <c r="P1956" s="15" t="s">
        <v>4747</v>
      </c>
      <c r="Q1956" s="15" t="s">
        <v>4749</v>
      </c>
      <c r="R1956" s="15"/>
      <c r="S1956" s="15"/>
      <c r="T1956" s="15" t="s">
        <v>4675</v>
      </c>
    </row>
    <row r="1957" spans="1:20" x14ac:dyDescent="0.35">
      <c r="A1957" s="2" t="s">
        <v>3864</v>
      </c>
      <c r="B1957" s="2" t="s">
        <v>3865</v>
      </c>
      <c r="C1957" s="2" t="s">
        <v>9</v>
      </c>
      <c r="D1957" s="4">
        <v>6908.46</v>
      </c>
      <c r="E1957" s="2" t="s">
        <v>10</v>
      </c>
      <c r="F1957" s="2">
        <v>1</v>
      </c>
      <c r="G1957" s="22">
        <f>Table4[[#This Row],[Item Cost]]*Table4[[#This Row],[In Stock]]</f>
        <v>6908.46</v>
      </c>
      <c r="H1957" s="12" t="s">
        <v>4661</v>
      </c>
      <c r="I1957" s="13" t="s">
        <v>4664</v>
      </c>
      <c r="J1957" s="13" t="s">
        <v>4675</v>
      </c>
      <c r="K1957" s="13" t="s">
        <v>4672</v>
      </c>
      <c r="L1957" s="12" t="s">
        <v>4672</v>
      </c>
      <c r="M1957" s="17" t="str">
        <f>IF(LEN(COUNTIFS($H$1:H1957,$H1957,$I$1:I1957,$I1957,$J$1:J1957,$J1957,$K$1:K1957,K1957,$L$1:L1957,L1957))=1,"00"&amp;COUNTIFS($H$1:H1957,$H1957,$I$1:I1957,$I1957,$J$1:J1957,$J1957,$K$1:K1957,K1957,$L$1:L1957,L1957),IF(LEN(COUNTIFS($H$1:H1957,$H1957,$I$1:I1957,$I1957,$J$1:J1957,$J1957,$K$1:K1957,K1957,$L$1:L1957,L1957))=2,"0"&amp;COUNTIFS($H$1:H1957,$H1957,$I$1:I1957,$I1957,$J$1:J1957,$J1957,$K$1:K1957,K1957,$L$1:L1957,L1957),COUNTIFS($H$1:H1957,$H1957,$I$1:I1957,$I1957,$J$1:J1957,$J1957,$K$1:K1957,K1957,$L$1:L1957,L1957)))</f>
        <v>022</v>
      </c>
      <c r="N195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57" s="14" t="e">
        <f>+LEN(Table4[[#This Row],[New Item Code]])</f>
        <v>#N/A</v>
      </c>
      <c r="P1957" s="15" t="s">
        <v>4747</v>
      </c>
      <c r="Q1957" s="15" t="s">
        <v>4749</v>
      </c>
      <c r="R1957" s="15"/>
      <c r="S1957" s="15"/>
      <c r="T1957" s="15" t="s">
        <v>4675</v>
      </c>
    </row>
    <row r="1958" spans="1:20" x14ac:dyDescent="0.35">
      <c r="A1958" s="3" t="s">
        <v>3866</v>
      </c>
      <c r="B1958" s="3" t="s">
        <v>3867</v>
      </c>
      <c r="C1958" s="3" t="s">
        <v>9</v>
      </c>
      <c r="D1958" s="3">
        <v>595.55999999999995</v>
      </c>
      <c r="E1958" s="3" t="s">
        <v>10</v>
      </c>
      <c r="F1958" s="3">
        <v>1</v>
      </c>
      <c r="G1958" s="21">
        <f>Table4[[#This Row],[Item Cost]]*Table4[[#This Row],[In Stock]]</f>
        <v>595.55999999999995</v>
      </c>
      <c r="H1958" s="12" t="s">
        <v>4661</v>
      </c>
      <c r="I1958" s="13" t="s">
        <v>4664</v>
      </c>
      <c r="J1958" s="13" t="s">
        <v>4675</v>
      </c>
      <c r="K1958" s="13" t="s">
        <v>4672</v>
      </c>
      <c r="L1958" s="12" t="s">
        <v>4672</v>
      </c>
      <c r="M1958" s="17" t="str">
        <f>IF(LEN(COUNTIFS($H$1:H1958,$H1958,$I$1:I1958,$I1958,$J$1:J1958,$J1958,$K$1:K1958,K1958,$L$1:L1958,L1958))=1,"00"&amp;COUNTIFS($H$1:H1958,$H1958,$I$1:I1958,$I1958,$J$1:J1958,$J1958,$K$1:K1958,K1958,$L$1:L1958,L1958),IF(LEN(COUNTIFS($H$1:H1958,$H1958,$I$1:I1958,$I1958,$J$1:J1958,$J1958,$K$1:K1958,K1958,$L$1:L1958,L1958))=2,"0"&amp;COUNTIFS($H$1:H1958,$H1958,$I$1:I1958,$I1958,$J$1:J1958,$J1958,$K$1:K1958,K1958,$L$1:L1958,L1958),COUNTIFS($H$1:H1958,$H1958,$I$1:I1958,$I1958,$J$1:J1958,$J1958,$K$1:K1958,K1958,$L$1:L1958,L1958)))</f>
        <v>023</v>
      </c>
      <c r="N195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58" s="14" t="e">
        <f>+LEN(Table4[[#This Row],[New Item Code]])</f>
        <v>#N/A</v>
      </c>
      <c r="P1958" s="15" t="s">
        <v>4747</v>
      </c>
      <c r="Q1958" s="15" t="s">
        <v>4749</v>
      </c>
      <c r="R1958" s="15"/>
      <c r="S1958" s="15"/>
      <c r="T1958" s="15" t="s">
        <v>4675</v>
      </c>
    </row>
    <row r="1959" spans="1:20" x14ac:dyDescent="0.35">
      <c r="A1959" s="2" t="s">
        <v>3868</v>
      </c>
      <c r="B1959" s="2" t="s">
        <v>3869</v>
      </c>
      <c r="C1959" s="2" t="s">
        <v>9</v>
      </c>
      <c r="D1959" s="2">
        <v>472.6</v>
      </c>
      <c r="E1959" s="2" t="s">
        <v>10</v>
      </c>
      <c r="F1959" s="2">
        <v>1</v>
      </c>
      <c r="G1959" s="22">
        <f>Table4[[#This Row],[Item Cost]]*Table4[[#This Row],[In Stock]]</f>
        <v>472.6</v>
      </c>
      <c r="H1959" s="12" t="s">
        <v>4661</v>
      </c>
      <c r="I1959" s="13" t="s">
        <v>4664</v>
      </c>
      <c r="J1959" s="13" t="s">
        <v>4675</v>
      </c>
      <c r="K1959" s="13" t="s">
        <v>4672</v>
      </c>
      <c r="L1959" s="12" t="s">
        <v>4672</v>
      </c>
      <c r="M1959" s="17" t="str">
        <f>IF(LEN(COUNTIFS($H$1:H1959,$H1959,$I$1:I1959,$I1959,$J$1:J1959,$J1959,$K$1:K1959,K1959,$L$1:L1959,L1959))=1,"00"&amp;COUNTIFS($H$1:H1959,$H1959,$I$1:I1959,$I1959,$J$1:J1959,$J1959,$K$1:K1959,K1959,$L$1:L1959,L1959),IF(LEN(COUNTIFS($H$1:H1959,$H1959,$I$1:I1959,$I1959,$J$1:J1959,$J1959,$K$1:K1959,K1959,$L$1:L1959,L1959))=2,"0"&amp;COUNTIFS($H$1:H1959,$H1959,$I$1:I1959,$I1959,$J$1:J1959,$J1959,$K$1:K1959,K1959,$L$1:L1959,L1959),COUNTIFS($H$1:H1959,$H1959,$I$1:I1959,$I1959,$J$1:J1959,$J1959,$K$1:K1959,K1959,$L$1:L1959,L1959)))</f>
        <v>024</v>
      </c>
      <c r="N195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59" s="14" t="e">
        <f>+LEN(Table4[[#This Row],[New Item Code]])</f>
        <v>#N/A</v>
      </c>
      <c r="P1959" s="15" t="s">
        <v>4747</v>
      </c>
      <c r="Q1959" s="15" t="s">
        <v>4749</v>
      </c>
      <c r="R1959" s="15"/>
      <c r="S1959" s="15"/>
      <c r="T1959" s="15" t="s">
        <v>4675</v>
      </c>
    </row>
    <row r="1960" spans="1:20" x14ac:dyDescent="0.35">
      <c r="A1960" s="3" t="s">
        <v>3870</v>
      </c>
      <c r="B1960" s="3" t="s">
        <v>3871</v>
      </c>
      <c r="C1960" s="3" t="s">
        <v>9</v>
      </c>
      <c r="D1960" s="3">
        <v>438.02</v>
      </c>
      <c r="E1960" s="3" t="s">
        <v>10</v>
      </c>
      <c r="F1960" s="3">
        <v>1</v>
      </c>
      <c r="G1960" s="21">
        <f>Table4[[#This Row],[Item Cost]]*Table4[[#This Row],[In Stock]]</f>
        <v>438.02</v>
      </c>
      <c r="H1960" s="12" t="s">
        <v>4661</v>
      </c>
      <c r="I1960" s="13" t="s">
        <v>4664</v>
      </c>
      <c r="J1960" s="13" t="s">
        <v>4675</v>
      </c>
      <c r="K1960" s="13" t="s">
        <v>4776</v>
      </c>
      <c r="L1960" s="12" t="s">
        <v>4672</v>
      </c>
      <c r="M1960" s="17" t="str">
        <f>IF(LEN(COUNTIFS($H$1:H1960,$H1960,$I$1:I1960,$I1960,$J$1:J1960,$J1960,$K$1:K1960,K1960,$L$1:L1960,L1960))=1,"00"&amp;COUNTIFS($H$1:H1960,$H1960,$I$1:I1960,$I1960,$J$1:J1960,$J1960,$K$1:K1960,K1960,$L$1:L1960,L1960),IF(LEN(COUNTIFS($H$1:H1960,$H1960,$I$1:I1960,$I1960,$J$1:J1960,$J1960,$K$1:K1960,K1960,$L$1:L1960,L1960))=2,"0"&amp;COUNTIFS($H$1:H1960,$H1960,$I$1:I1960,$I1960,$J$1:J1960,$J1960,$K$1:K1960,K1960,$L$1:L1960,L1960),COUNTIFS($H$1:H1960,$H1960,$I$1:I1960,$I1960,$J$1:J1960,$J1960,$K$1:K1960,K1960,$L$1:L1960,L1960)))</f>
        <v>001</v>
      </c>
      <c r="N196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60" s="14" t="e">
        <f>+LEN(Table4[[#This Row],[New Item Code]])</f>
        <v>#N/A</v>
      </c>
      <c r="P1960" s="15" t="s">
        <v>4747</v>
      </c>
      <c r="Q1960" s="15" t="s">
        <v>4749</v>
      </c>
      <c r="R1960" s="15"/>
      <c r="S1960" s="15"/>
      <c r="T1960" s="15" t="s">
        <v>4675</v>
      </c>
    </row>
    <row r="1961" spans="1:20" x14ac:dyDescent="0.35">
      <c r="A1961" s="2" t="s">
        <v>3872</v>
      </c>
      <c r="B1961" s="2" t="s">
        <v>3873</v>
      </c>
      <c r="C1961" s="2" t="s">
        <v>9</v>
      </c>
      <c r="D1961" s="2">
        <v>484.13</v>
      </c>
      <c r="E1961" s="2" t="s">
        <v>10</v>
      </c>
      <c r="F1961" s="2">
        <v>1</v>
      </c>
      <c r="G1961" s="22">
        <f>Table4[[#This Row],[Item Cost]]*Table4[[#This Row],[In Stock]]</f>
        <v>484.13</v>
      </c>
      <c r="H1961" s="12" t="s">
        <v>4661</v>
      </c>
      <c r="I1961" s="13" t="s">
        <v>4664</v>
      </c>
      <c r="J1961" s="13" t="s">
        <v>4675</v>
      </c>
      <c r="K1961" s="13" t="s">
        <v>4776</v>
      </c>
      <c r="L1961" s="12" t="s">
        <v>4672</v>
      </c>
      <c r="M1961" s="17" t="str">
        <f>IF(LEN(COUNTIFS($H$1:H1961,$H1961,$I$1:I1961,$I1961,$J$1:J1961,$J1961,$K$1:K1961,K1961,$L$1:L1961,L1961))=1,"00"&amp;COUNTIFS($H$1:H1961,$H1961,$I$1:I1961,$I1961,$J$1:J1961,$J1961,$K$1:K1961,K1961,$L$1:L1961,L1961),IF(LEN(COUNTIFS($H$1:H1961,$H1961,$I$1:I1961,$I1961,$J$1:J1961,$J1961,$K$1:K1961,K1961,$L$1:L1961,L1961))=2,"0"&amp;COUNTIFS($H$1:H1961,$H1961,$I$1:I1961,$I1961,$J$1:J1961,$J1961,$K$1:K1961,K1961,$L$1:L1961,L1961),COUNTIFS($H$1:H1961,$H1961,$I$1:I1961,$I1961,$J$1:J1961,$J1961,$K$1:K1961,K1961,$L$1:L1961,L1961)))</f>
        <v>002</v>
      </c>
      <c r="N196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61" s="14" t="e">
        <f>+LEN(Table4[[#This Row],[New Item Code]])</f>
        <v>#N/A</v>
      </c>
      <c r="P1961" s="15" t="s">
        <v>4747</v>
      </c>
      <c r="Q1961" s="15" t="s">
        <v>4749</v>
      </c>
      <c r="R1961" s="15"/>
      <c r="S1961" s="15"/>
      <c r="T1961" s="15" t="s">
        <v>4675</v>
      </c>
    </row>
    <row r="1962" spans="1:20" x14ac:dyDescent="0.35">
      <c r="A1962" s="3" t="s">
        <v>3874</v>
      </c>
      <c r="B1962" s="3" t="s">
        <v>3875</v>
      </c>
      <c r="C1962" s="3" t="s">
        <v>9</v>
      </c>
      <c r="D1962" s="3">
        <v>499.5</v>
      </c>
      <c r="E1962" s="3" t="s">
        <v>10</v>
      </c>
      <c r="F1962" s="3">
        <v>1</v>
      </c>
      <c r="G1962" s="21">
        <f>Table4[[#This Row],[Item Cost]]*Table4[[#This Row],[In Stock]]</f>
        <v>499.5</v>
      </c>
      <c r="H1962" s="12" t="s">
        <v>4661</v>
      </c>
      <c r="I1962" s="13" t="s">
        <v>4664</v>
      </c>
      <c r="J1962" s="13" t="s">
        <v>4675</v>
      </c>
      <c r="K1962" s="13" t="s">
        <v>4776</v>
      </c>
      <c r="L1962" s="12" t="s">
        <v>4672</v>
      </c>
      <c r="M1962" s="17" t="str">
        <f>IF(LEN(COUNTIFS($H$1:H1962,$H1962,$I$1:I1962,$I1962,$J$1:J1962,$J1962,$K$1:K1962,K1962,$L$1:L1962,L1962))=1,"00"&amp;COUNTIFS($H$1:H1962,$H1962,$I$1:I1962,$I1962,$J$1:J1962,$J1962,$K$1:K1962,K1962,$L$1:L1962,L1962),IF(LEN(COUNTIFS($H$1:H1962,$H1962,$I$1:I1962,$I1962,$J$1:J1962,$J1962,$K$1:K1962,K1962,$L$1:L1962,L1962))=2,"0"&amp;COUNTIFS($H$1:H1962,$H1962,$I$1:I1962,$I1962,$J$1:J1962,$J1962,$K$1:K1962,K1962,$L$1:L1962,L1962),COUNTIFS($H$1:H1962,$H1962,$I$1:I1962,$I1962,$J$1:J1962,$J1962,$K$1:K1962,K1962,$L$1:L1962,L1962)))</f>
        <v>003</v>
      </c>
      <c r="N196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62" s="14" t="e">
        <f>+LEN(Table4[[#This Row],[New Item Code]])</f>
        <v>#N/A</v>
      </c>
      <c r="P1962" s="15" t="s">
        <v>4747</v>
      </c>
      <c r="Q1962" s="15" t="s">
        <v>4749</v>
      </c>
      <c r="R1962" s="15"/>
      <c r="S1962" s="15"/>
      <c r="T1962" s="15" t="s">
        <v>4675</v>
      </c>
    </row>
    <row r="1963" spans="1:20" x14ac:dyDescent="0.35">
      <c r="A1963" s="2" t="s">
        <v>3876</v>
      </c>
      <c r="B1963" s="2" t="s">
        <v>3877</v>
      </c>
      <c r="C1963" s="2" t="s">
        <v>9</v>
      </c>
      <c r="D1963" s="2">
        <v>499.5</v>
      </c>
      <c r="E1963" s="2" t="s">
        <v>10</v>
      </c>
      <c r="F1963" s="2">
        <v>1</v>
      </c>
      <c r="G1963" s="22">
        <f>Table4[[#This Row],[Item Cost]]*Table4[[#This Row],[In Stock]]</f>
        <v>499.5</v>
      </c>
      <c r="H1963" s="12" t="s">
        <v>4661</v>
      </c>
      <c r="I1963" s="13" t="s">
        <v>4664</v>
      </c>
      <c r="J1963" s="13" t="s">
        <v>4675</v>
      </c>
      <c r="K1963" s="13" t="s">
        <v>4776</v>
      </c>
      <c r="L1963" s="12" t="s">
        <v>4672</v>
      </c>
      <c r="M1963" s="17" t="str">
        <f>IF(LEN(COUNTIFS($H$1:H1963,$H1963,$I$1:I1963,$I1963,$J$1:J1963,$J1963,$K$1:K1963,K1963,$L$1:L1963,L1963))=1,"00"&amp;COUNTIFS($H$1:H1963,$H1963,$I$1:I1963,$I1963,$J$1:J1963,$J1963,$K$1:K1963,K1963,$L$1:L1963,L1963),IF(LEN(COUNTIFS($H$1:H1963,$H1963,$I$1:I1963,$I1963,$J$1:J1963,$J1963,$K$1:K1963,K1963,$L$1:L1963,L1963))=2,"0"&amp;COUNTIFS($H$1:H1963,$H1963,$I$1:I1963,$I1963,$J$1:J1963,$J1963,$K$1:K1963,K1963,$L$1:L1963,L1963),COUNTIFS($H$1:H1963,$H1963,$I$1:I1963,$I1963,$J$1:J1963,$J1963,$K$1:K1963,K1963,$L$1:L1963,L1963)))</f>
        <v>004</v>
      </c>
      <c r="N196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63" s="14" t="e">
        <f>+LEN(Table4[[#This Row],[New Item Code]])</f>
        <v>#N/A</v>
      </c>
      <c r="P1963" s="15" t="s">
        <v>4747</v>
      </c>
      <c r="Q1963" s="15" t="s">
        <v>4749</v>
      </c>
      <c r="R1963" s="15"/>
      <c r="S1963" s="15"/>
      <c r="T1963" s="15" t="s">
        <v>4675</v>
      </c>
    </row>
    <row r="1964" spans="1:20" x14ac:dyDescent="0.35">
      <c r="A1964" s="3" t="s">
        <v>3878</v>
      </c>
      <c r="B1964" s="3" t="s">
        <v>3879</v>
      </c>
      <c r="C1964" s="3" t="s">
        <v>9</v>
      </c>
      <c r="D1964" s="3">
        <v>45</v>
      </c>
      <c r="E1964" s="3" t="s">
        <v>10</v>
      </c>
      <c r="F1964" s="3">
        <v>10</v>
      </c>
      <c r="G1964" s="21">
        <f>Table4[[#This Row],[Item Cost]]*Table4[[#This Row],[In Stock]]</f>
        <v>450</v>
      </c>
      <c r="H1964" s="12" t="s">
        <v>4661</v>
      </c>
      <c r="I1964" s="13" t="s">
        <v>4664</v>
      </c>
      <c r="J1964" s="13" t="s">
        <v>4675</v>
      </c>
      <c r="K1964" s="13" t="s">
        <v>4672</v>
      </c>
      <c r="L1964" s="12" t="s">
        <v>4672</v>
      </c>
      <c r="M1964" s="17" t="str">
        <f>IF(LEN(COUNTIFS($H$1:H1964,$H1964,$I$1:I1964,$I1964,$J$1:J1964,$J1964,$K$1:K1964,K1964,$L$1:L1964,L1964))=1,"00"&amp;COUNTIFS($H$1:H1964,$H1964,$I$1:I1964,$I1964,$J$1:J1964,$J1964,$K$1:K1964,K1964,$L$1:L1964,L1964),IF(LEN(COUNTIFS($H$1:H1964,$H1964,$I$1:I1964,$I1964,$J$1:J1964,$J1964,$K$1:K1964,K1964,$L$1:L1964,L1964))=2,"0"&amp;COUNTIFS($H$1:H1964,$H1964,$I$1:I1964,$I1964,$J$1:J1964,$J1964,$K$1:K1964,K1964,$L$1:L1964,L1964),COUNTIFS($H$1:H1964,$H1964,$I$1:I1964,$I1964,$J$1:J1964,$J1964,$K$1:K1964,K1964,$L$1:L1964,L1964)))</f>
        <v>025</v>
      </c>
      <c r="N196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64" s="14" t="e">
        <f>+LEN(Table4[[#This Row],[New Item Code]])</f>
        <v>#N/A</v>
      </c>
      <c r="P1964" s="15" t="s">
        <v>4747</v>
      </c>
      <c r="Q1964" s="15" t="s">
        <v>4749</v>
      </c>
      <c r="R1964" s="15"/>
      <c r="S1964" s="15"/>
      <c r="T1964" s="15" t="s">
        <v>4675</v>
      </c>
    </row>
    <row r="1965" spans="1:20" x14ac:dyDescent="0.35">
      <c r="A1965" s="2" t="s">
        <v>3880</v>
      </c>
      <c r="B1965" s="2" t="s">
        <v>3881</v>
      </c>
      <c r="C1965" s="2" t="s">
        <v>9</v>
      </c>
      <c r="D1965" s="4">
        <v>3950</v>
      </c>
      <c r="E1965" s="2" t="s">
        <v>10</v>
      </c>
      <c r="F1965" s="2">
        <v>1</v>
      </c>
      <c r="G1965" s="22">
        <f>Table4[[#This Row],[Item Cost]]*Table4[[#This Row],[In Stock]]</f>
        <v>3950</v>
      </c>
      <c r="H1965" s="12" t="s">
        <v>4661</v>
      </c>
      <c r="I1965" s="13" t="s">
        <v>4664</v>
      </c>
      <c r="J1965" s="13" t="s">
        <v>4675</v>
      </c>
      <c r="K1965" s="13" t="s">
        <v>4672</v>
      </c>
      <c r="L1965" s="12" t="s">
        <v>4672</v>
      </c>
      <c r="M1965" s="17" t="str">
        <f>IF(LEN(COUNTIFS($H$1:H1965,$H1965,$I$1:I1965,$I1965,$J$1:J1965,$J1965,$K$1:K1965,K1965,$L$1:L1965,L1965))=1,"00"&amp;COUNTIFS($H$1:H1965,$H1965,$I$1:I1965,$I1965,$J$1:J1965,$J1965,$K$1:K1965,K1965,$L$1:L1965,L1965),IF(LEN(COUNTIFS($H$1:H1965,$H1965,$I$1:I1965,$I1965,$J$1:J1965,$J1965,$K$1:K1965,K1965,$L$1:L1965,L1965))=2,"0"&amp;COUNTIFS($H$1:H1965,$H1965,$I$1:I1965,$I1965,$J$1:J1965,$J1965,$K$1:K1965,K1965,$L$1:L1965,L1965),COUNTIFS($H$1:H1965,$H1965,$I$1:I1965,$I1965,$J$1:J1965,$J1965,$K$1:K1965,K1965,$L$1:L1965,L1965)))</f>
        <v>026</v>
      </c>
      <c r="N196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65" s="14" t="e">
        <f>+LEN(Table4[[#This Row],[New Item Code]])</f>
        <v>#N/A</v>
      </c>
      <c r="P1965" s="15" t="s">
        <v>4747</v>
      </c>
      <c r="Q1965" s="15" t="s">
        <v>4749</v>
      </c>
      <c r="R1965" s="15"/>
      <c r="S1965" s="15"/>
      <c r="T1965" s="15" t="s">
        <v>4675</v>
      </c>
    </row>
    <row r="1966" spans="1:20" x14ac:dyDescent="0.35">
      <c r="A1966" s="3" t="s">
        <v>3882</v>
      </c>
      <c r="B1966" s="3" t="s">
        <v>3883</v>
      </c>
      <c r="C1966" s="3" t="s">
        <v>9</v>
      </c>
      <c r="D1966" s="5">
        <v>41034.42</v>
      </c>
      <c r="E1966" s="3" t="s">
        <v>10</v>
      </c>
      <c r="F1966" s="3">
        <v>1</v>
      </c>
      <c r="G1966" s="21">
        <f>Table4[[#This Row],[Item Cost]]*Table4[[#This Row],[In Stock]]</f>
        <v>41034.42</v>
      </c>
      <c r="H1966" s="12" t="s">
        <v>4661</v>
      </c>
      <c r="I1966" s="13" t="s">
        <v>4664</v>
      </c>
      <c r="J1966" s="13" t="s">
        <v>4675</v>
      </c>
      <c r="K1966" s="13" t="s">
        <v>4672</v>
      </c>
      <c r="L1966" s="12" t="s">
        <v>4672</v>
      </c>
      <c r="M1966" s="17" t="str">
        <f>IF(LEN(COUNTIFS($H$1:H1966,$H1966,$I$1:I1966,$I1966,$J$1:J1966,$J1966,$K$1:K1966,K1966,$L$1:L1966,L1966))=1,"00"&amp;COUNTIFS($H$1:H1966,$H1966,$I$1:I1966,$I1966,$J$1:J1966,$J1966,$K$1:K1966,K1966,$L$1:L1966,L1966),IF(LEN(COUNTIFS($H$1:H1966,$H1966,$I$1:I1966,$I1966,$J$1:J1966,$J1966,$K$1:K1966,K1966,$L$1:L1966,L1966))=2,"0"&amp;COUNTIFS($H$1:H1966,$H1966,$I$1:I1966,$I1966,$J$1:J1966,$J1966,$K$1:K1966,K1966,$L$1:L1966,L1966),COUNTIFS($H$1:H1966,$H1966,$I$1:I1966,$I1966,$J$1:J1966,$J1966,$K$1:K1966,K1966,$L$1:L1966,L1966)))</f>
        <v>027</v>
      </c>
      <c r="N196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66" s="14" t="e">
        <f>+LEN(Table4[[#This Row],[New Item Code]])</f>
        <v>#N/A</v>
      </c>
      <c r="P1966" s="15" t="s">
        <v>4747</v>
      </c>
      <c r="Q1966" s="15" t="s">
        <v>4749</v>
      </c>
      <c r="R1966" s="15"/>
      <c r="S1966" s="15"/>
      <c r="T1966" s="15" t="s">
        <v>4675</v>
      </c>
    </row>
    <row r="1967" spans="1:20" x14ac:dyDescent="0.35">
      <c r="A1967" s="2" t="s">
        <v>3884</v>
      </c>
      <c r="B1967" s="2" t="s">
        <v>3885</v>
      </c>
      <c r="C1967" s="2" t="s">
        <v>9</v>
      </c>
      <c r="D1967" s="4">
        <v>19870.36</v>
      </c>
      <c r="E1967" s="2" t="s">
        <v>10</v>
      </c>
      <c r="F1967" s="2">
        <v>1</v>
      </c>
      <c r="G1967" s="22">
        <f>Table4[[#This Row],[Item Cost]]*Table4[[#This Row],[In Stock]]</f>
        <v>19870.36</v>
      </c>
      <c r="H1967" s="12" t="s">
        <v>4661</v>
      </c>
      <c r="I1967" s="13" t="s">
        <v>4664</v>
      </c>
      <c r="J1967" s="13" t="s">
        <v>4675</v>
      </c>
      <c r="K1967" s="13" t="s">
        <v>4672</v>
      </c>
      <c r="L1967" s="12" t="s">
        <v>4672</v>
      </c>
      <c r="M1967" s="17" t="str">
        <f>IF(LEN(COUNTIFS($H$1:H1967,$H1967,$I$1:I1967,$I1967,$J$1:J1967,$J1967,$K$1:K1967,K1967,$L$1:L1967,L1967))=1,"00"&amp;COUNTIFS($H$1:H1967,$H1967,$I$1:I1967,$I1967,$J$1:J1967,$J1967,$K$1:K1967,K1967,$L$1:L1967,L1967),IF(LEN(COUNTIFS($H$1:H1967,$H1967,$I$1:I1967,$I1967,$J$1:J1967,$J1967,$K$1:K1967,K1967,$L$1:L1967,L1967))=2,"0"&amp;COUNTIFS($H$1:H1967,$H1967,$I$1:I1967,$I1967,$J$1:J1967,$J1967,$K$1:K1967,K1967,$L$1:L1967,L1967),COUNTIFS($H$1:H1967,$H1967,$I$1:I1967,$I1967,$J$1:J1967,$J1967,$K$1:K1967,K1967,$L$1:L1967,L1967)))</f>
        <v>028</v>
      </c>
      <c r="N196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67" s="14" t="e">
        <f>+LEN(Table4[[#This Row],[New Item Code]])</f>
        <v>#N/A</v>
      </c>
      <c r="P1967" s="15" t="s">
        <v>4747</v>
      </c>
      <c r="Q1967" s="15" t="s">
        <v>4749</v>
      </c>
      <c r="R1967" s="15"/>
      <c r="S1967" s="15"/>
      <c r="T1967" s="15" t="s">
        <v>4675</v>
      </c>
    </row>
    <row r="1968" spans="1:20" x14ac:dyDescent="0.35">
      <c r="A1968" s="3" t="s">
        <v>3886</v>
      </c>
      <c r="B1968" s="3" t="s">
        <v>3887</v>
      </c>
      <c r="C1968" s="3" t="s">
        <v>9</v>
      </c>
      <c r="D1968" s="3">
        <v>565.99199999999996</v>
      </c>
      <c r="E1968" s="3" t="s">
        <v>10</v>
      </c>
      <c r="F1968" s="3">
        <v>10</v>
      </c>
      <c r="G1968" s="21">
        <f>Table4[[#This Row],[Item Cost]]*Table4[[#This Row],[In Stock]]</f>
        <v>5659.92</v>
      </c>
      <c r="H1968" s="12" t="s">
        <v>4661</v>
      </c>
      <c r="I1968" s="13" t="s">
        <v>4664</v>
      </c>
      <c r="J1968" s="13" t="s">
        <v>4675</v>
      </c>
      <c r="K1968" s="13" t="s">
        <v>4672</v>
      </c>
      <c r="L1968" s="12" t="s">
        <v>4672</v>
      </c>
      <c r="M1968" s="17" t="str">
        <f>IF(LEN(COUNTIFS($H$1:H1968,$H1968,$I$1:I1968,$I1968,$J$1:J1968,$J1968,$K$1:K1968,K1968,$L$1:L1968,L1968))=1,"00"&amp;COUNTIFS($H$1:H1968,$H1968,$I$1:I1968,$I1968,$J$1:J1968,$J1968,$K$1:K1968,K1968,$L$1:L1968,L1968),IF(LEN(COUNTIFS($H$1:H1968,$H1968,$I$1:I1968,$I1968,$J$1:J1968,$J1968,$K$1:K1968,K1968,$L$1:L1968,L1968))=2,"0"&amp;COUNTIFS($H$1:H1968,$H1968,$I$1:I1968,$I1968,$J$1:J1968,$J1968,$K$1:K1968,K1968,$L$1:L1968,L1968),COUNTIFS($H$1:H1968,$H1968,$I$1:I1968,$I1968,$J$1:J1968,$J1968,$K$1:K1968,K1968,$L$1:L1968,L1968)))</f>
        <v>029</v>
      </c>
      <c r="N196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68" s="14" t="e">
        <f>+LEN(Table4[[#This Row],[New Item Code]])</f>
        <v>#N/A</v>
      </c>
      <c r="P1968" s="15" t="s">
        <v>4747</v>
      </c>
      <c r="Q1968" s="15" t="s">
        <v>4749</v>
      </c>
      <c r="R1968" s="15"/>
      <c r="S1968" s="15"/>
      <c r="T1968" s="15" t="s">
        <v>4675</v>
      </c>
    </row>
    <row r="1969" spans="1:20" x14ac:dyDescent="0.35">
      <c r="A1969" s="2" t="s">
        <v>3888</v>
      </c>
      <c r="B1969" s="2" t="s">
        <v>3889</v>
      </c>
      <c r="C1969" s="2" t="s">
        <v>9</v>
      </c>
      <c r="D1969" s="4">
        <v>12128.4</v>
      </c>
      <c r="E1969" s="2" t="s">
        <v>10</v>
      </c>
      <c r="F1969" s="2">
        <v>1</v>
      </c>
      <c r="G1969" s="22">
        <f>Table4[[#This Row],[Item Cost]]*Table4[[#This Row],[In Stock]]</f>
        <v>12128.4</v>
      </c>
      <c r="H1969" s="12" t="s">
        <v>4661</v>
      </c>
      <c r="I1969" s="13" t="s">
        <v>4664</v>
      </c>
      <c r="J1969" s="13" t="s">
        <v>4675</v>
      </c>
      <c r="K1969" s="13" t="s">
        <v>4672</v>
      </c>
      <c r="L1969" s="12" t="s">
        <v>4672</v>
      </c>
      <c r="M1969" s="17" t="str">
        <f>IF(LEN(COUNTIFS($H$1:H1969,$H1969,$I$1:I1969,$I1969,$J$1:J1969,$J1969,$K$1:K1969,K1969,$L$1:L1969,L1969))=1,"00"&amp;COUNTIFS($H$1:H1969,$H1969,$I$1:I1969,$I1969,$J$1:J1969,$J1969,$K$1:K1969,K1969,$L$1:L1969,L1969),IF(LEN(COUNTIFS($H$1:H1969,$H1969,$I$1:I1969,$I1969,$J$1:J1969,$J1969,$K$1:K1969,K1969,$L$1:L1969,L1969))=2,"0"&amp;COUNTIFS($H$1:H1969,$H1969,$I$1:I1969,$I1969,$J$1:J1969,$J1969,$K$1:K1969,K1969,$L$1:L1969,L1969),COUNTIFS($H$1:H1969,$H1969,$I$1:I1969,$I1969,$J$1:J1969,$J1969,$K$1:K1969,K1969,$L$1:L1969,L1969)))</f>
        <v>030</v>
      </c>
      <c r="N196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69" s="14" t="e">
        <f>+LEN(Table4[[#This Row],[New Item Code]])</f>
        <v>#N/A</v>
      </c>
      <c r="P1969" s="15" t="s">
        <v>4747</v>
      </c>
      <c r="Q1969" s="15" t="s">
        <v>4749</v>
      </c>
      <c r="R1969" s="15"/>
      <c r="S1969" s="15"/>
      <c r="T1969" s="15" t="s">
        <v>4675</v>
      </c>
    </row>
    <row r="1970" spans="1:20" x14ac:dyDescent="0.35">
      <c r="A1970" s="3" t="s">
        <v>3890</v>
      </c>
      <c r="B1970" s="3" t="s">
        <v>3891</v>
      </c>
      <c r="C1970" s="3" t="s">
        <v>9</v>
      </c>
      <c r="D1970" s="5">
        <v>1495.835</v>
      </c>
      <c r="E1970" s="3" t="s">
        <v>10</v>
      </c>
      <c r="F1970" s="3">
        <v>2</v>
      </c>
      <c r="G1970" s="21">
        <f>Table4[[#This Row],[Item Cost]]*Table4[[#This Row],[In Stock]]</f>
        <v>2991.67</v>
      </c>
      <c r="H1970" s="12" t="s">
        <v>4661</v>
      </c>
      <c r="I1970" s="13" t="s">
        <v>4664</v>
      </c>
      <c r="J1970" s="13" t="s">
        <v>4675</v>
      </c>
      <c r="K1970" s="13" t="s">
        <v>4672</v>
      </c>
      <c r="L1970" s="12" t="s">
        <v>4672</v>
      </c>
      <c r="M1970" s="17" t="str">
        <f>IF(LEN(COUNTIFS($H$1:H1970,$H1970,$I$1:I1970,$I1970,$J$1:J1970,$J1970,$K$1:K1970,K1970,$L$1:L1970,L1970))=1,"00"&amp;COUNTIFS($H$1:H1970,$H1970,$I$1:I1970,$I1970,$J$1:J1970,$J1970,$K$1:K1970,K1970,$L$1:L1970,L1970),IF(LEN(COUNTIFS($H$1:H1970,$H1970,$I$1:I1970,$I1970,$J$1:J1970,$J1970,$K$1:K1970,K1970,$L$1:L1970,L1970))=2,"0"&amp;COUNTIFS($H$1:H1970,$H1970,$I$1:I1970,$I1970,$J$1:J1970,$J1970,$K$1:K1970,K1970,$L$1:L1970,L1970),COUNTIFS($H$1:H1970,$H1970,$I$1:I1970,$I1970,$J$1:J1970,$J1970,$K$1:K1970,K1970,$L$1:L1970,L1970)))</f>
        <v>031</v>
      </c>
      <c r="N197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70" s="14" t="e">
        <f>+LEN(Table4[[#This Row],[New Item Code]])</f>
        <v>#N/A</v>
      </c>
      <c r="P1970" s="15" t="s">
        <v>4747</v>
      </c>
      <c r="Q1970" s="15" t="s">
        <v>4749</v>
      </c>
      <c r="R1970" s="15"/>
      <c r="S1970" s="15"/>
      <c r="T1970" s="15" t="s">
        <v>4675</v>
      </c>
    </row>
    <row r="1971" spans="1:20" x14ac:dyDescent="0.35">
      <c r="A1971" s="2" t="s">
        <v>3892</v>
      </c>
      <c r="B1971" s="2" t="s">
        <v>3893</v>
      </c>
      <c r="C1971" s="2" t="s">
        <v>9</v>
      </c>
      <c r="D1971" s="2">
        <v>808.56</v>
      </c>
      <c r="E1971" s="2" t="s">
        <v>10</v>
      </c>
      <c r="F1971" s="2">
        <v>2</v>
      </c>
      <c r="G1971" s="22">
        <f>Table4[[#This Row],[Item Cost]]*Table4[[#This Row],[In Stock]]</f>
        <v>1617.12</v>
      </c>
      <c r="H1971" s="12" t="s">
        <v>4661</v>
      </c>
      <c r="I1971" s="13" t="s">
        <v>4664</v>
      </c>
      <c r="J1971" s="13" t="s">
        <v>4675</v>
      </c>
      <c r="K1971" s="13" t="s">
        <v>4672</v>
      </c>
      <c r="L1971" s="12" t="s">
        <v>4672</v>
      </c>
      <c r="M1971" s="17" t="str">
        <f>IF(LEN(COUNTIFS($H$1:H1971,$H1971,$I$1:I1971,$I1971,$J$1:J1971,$J1971,$K$1:K1971,K1971,$L$1:L1971,L1971))=1,"00"&amp;COUNTIFS($H$1:H1971,$H1971,$I$1:I1971,$I1971,$J$1:J1971,$J1971,$K$1:K1971,K1971,$L$1:L1971,L1971),IF(LEN(COUNTIFS($H$1:H1971,$H1971,$I$1:I1971,$I1971,$J$1:J1971,$J1971,$K$1:K1971,K1971,$L$1:L1971,L1971))=2,"0"&amp;COUNTIFS($H$1:H1971,$H1971,$I$1:I1971,$I1971,$J$1:J1971,$J1971,$K$1:K1971,K1971,$L$1:L1971,L1971),COUNTIFS($H$1:H1971,$H1971,$I$1:I1971,$I1971,$J$1:J1971,$J1971,$K$1:K1971,K1971,$L$1:L1971,L1971)))</f>
        <v>032</v>
      </c>
      <c r="N197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71" s="14" t="e">
        <f>+LEN(Table4[[#This Row],[New Item Code]])</f>
        <v>#N/A</v>
      </c>
      <c r="P1971" s="15" t="s">
        <v>4747</v>
      </c>
      <c r="Q1971" s="15" t="s">
        <v>4749</v>
      </c>
      <c r="R1971" s="15"/>
      <c r="S1971" s="15"/>
      <c r="T1971" s="15" t="s">
        <v>4675</v>
      </c>
    </row>
    <row r="1972" spans="1:20" x14ac:dyDescent="0.35">
      <c r="A1972" s="3" t="s">
        <v>3894</v>
      </c>
      <c r="B1972" s="3" t="s">
        <v>3895</v>
      </c>
      <c r="C1972" s="3" t="s">
        <v>9</v>
      </c>
      <c r="D1972" s="3">
        <v>52.555</v>
      </c>
      <c r="E1972" s="3" t="s">
        <v>10</v>
      </c>
      <c r="F1972" s="3">
        <v>2</v>
      </c>
      <c r="G1972" s="21">
        <f>Table4[[#This Row],[Item Cost]]*Table4[[#This Row],[In Stock]]</f>
        <v>105.11</v>
      </c>
      <c r="H1972" s="12" t="s">
        <v>4661</v>
      </c>
      <c r="I1972" s="13" t="s">
        <v>4664</v>
      </c>
      <c r="J1972" s="13" t="s">
        <v>4675</v>
      </c>
      <c r="K1972" s="13" t="s">
        <v>4672</v>
      </c>
      <c r="L1972" s="12" t="s">
        <v>4672</v>
      </c>
      <c r="M1972" s="17" t="str">
        <f>IF(LEN(COUNTIFS($H$1:H1972,$H1972,$I$1:I1972,$I1972,$J$1:J1972,$J1972,$K$1:K1972,K1972,$L$1:L1972,L1972))=1,"00"&amp;COUNTIFS($H$1:H1972,$H1972,$I$1:I1972,$I1972,$J$1:J1972,$J1972,$K$1:K1972,K1972,$L$1:L1972,L1972),IF(LEN(COUNTIFS($H$1:H1972,$H1972,$I$1:I1972,$I1972,$J$1:J1972,$J1972,$K$1:K1972,K1972,$L$1:L1972,L1972))=2,"0"&amp;COUNTIFS($H$1:H1972,$H1972,$I$1:I1972,$I1972,$J$1:J1972,$J1972,$K$1:K1972,K1972,$L$1:L1972,L1972),COUNTIFS($H$1:H1972,$H1972,$I$1:I1972,$I1972,$J$1:J1972,$J1972,$K$1:K1972,K1972,$L$1:L1972,L1972)))</f>
        <v>033</v>
      </c>
      <c r="N197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72" s="14" t="e">
        <f>+LEN(Table4[[#This Row],[New Item Code]])</f>
        <v>#N/A</v>
      </c>
      <c r="P1972" s="15" t="s">
        <v>4747</v>
      </c>
      <c r="Q1972" s="15" t="s">
        <v>4749</v>
      </c>
      <c r="R1972" s="15"/>
      <c r="S1972" s="15"/>
      <c r="T1972" s="15" t="s">
        <v>4675</v>
      </c>
    </row>
    <row r="1973" spans="1:20" x14ac:dyDescent="0.35">
      <c r="A1973" s="2" t="s">
        <v>3896</v>
      </c>
      <c r="B1973" s="2" t="s">
        <v>3897</v>
      </c>
      <c r="C1973" s="2" t="s">
        <v>9</v>
      </c>
      <c r="D1973" s="2">
        <v>80.855000000000004</v>
      </c>
      <c r="E1973" s="2" t="s">
        <v>10</v>
      </c>
      <c r="F1973" s="2">
        <v>2</v>
      </c>
      <c r="G1973" s="22">
        <f>Table4[[#This Row],[Item Cost]]*Table4[[#This Row],[In Stock]]</f>
        <v>161.71</v>
      </c>
      <c r="H1973" s="12" t="s">
        <v>4661</v>
      </c>
      <c r="I1973" s="13" t="s">
        <v>4664</v>
      </c>
      <c r="J1973" s="13" t="s">
        <v>4675</v>
      </c>
      <c r="K1973" s="13" t="s">
        <v>4672</v>
      </c>
      <c r="L1973" s="12" t="s">
        <v>4672</v>
      </c>
      <c r="M1973" s="17" t="str">
        <f>IF(LEN(COUNTIFS($H$1:H1973,$H1973,$I$1:I1973,$I1973,$J$1:J1973,$J1973,$K$1:K1973,K1973,$L$1:L1973,L1973))=1,"00"&amp;COUNTIFS($H$1:H1973,$H1973,$I$1:I1973,$I1973,$J$1:J1973,$J1973,$K$1:K1973,K1973,$L$1:L1973,L1973),IF(LEN(COUNTIFS($H$1:H1973,$H1973,$I$1:I1973,$I1973,$J$1:J1973,$J1973,$K$1:K1973,K1973,$L$1:L1973,L1973))=2,"0"&amp;COUNTIFS($H$1:H1973,$H1973,$I$1:I1973,$I1973,$J$1:J1973,$J1973,$K$1:K1973,K1973,$L$1:L1973,L1973),COUNTIFS($H$1:H1973,$H1973,$I$1:I1973,$I1973,$J$1:J1973,$J1973,$K$1:K1973,K1973,$L$1:L1973,L1973)))</f>
        <v>034</v>
      </c>
      <c r="N197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73" s="14" t="e">
        <f>+LEN(Table4[[#This Row],[New Item Code]])</f>
        <v>#N/A</v>
      </c>
      <c r="P1973" s="15" t="s">
        <v>4747</v>
      </c>
      <c r="Q1973" s="15" t="s">
        <v>4749</v>
      </c>
      <c r="R1973" s="15"/>
      <c r="S1973" s="15"/>
      <c r="T1973" s="15" t="s">
        <v>4675</v>
      </c>
    </row>
    <row r="1974" spans="1:20" x14ac:dyDescent="0.35">
      <c r="A1974" s="3" t="s">
        <v>3898</v>
      </c>
      <c r="B1974" s="3" t="s">
        <v>3899</v>
      </c>
      <c r="C1974" s="3" t="s">
        <v>9</v>
      </c>
      <c r="D1974" s="3">
        <v>84.9</v>
      </c>
      <c r="E1974" s="3" t="s">
        <v>10</v>
      </c>
      <c r="F1974" s="3">
        <v>2</v>
      </c>
      <c r="G1974" s="21">
        <f>Table4[[#This Row],[Item Cost]]*Table4[[#This Row],[In Stock]]</f>
        <v>169.8</v>
      </c>
      <c r="H1974" s="12" t="s">
        <v>4661</v>
      </c>
      <c r="I1974" s="13" t="s">
        <v>4664</v>
      </c>
      <c r="J1974" s="13" t="s">
        <v>4675</v>
      </c>
      <c r="K1974" s="13" t="s">
        <v>4672</v>
      </c>
      <c r="L1974" s="12" t="s">
        <v>4672</v>
      </c>
      <c r="M1974" s="17" t="str">
        <f>IF(LEN(COUNTIFS($H$1:H1974,$H1974,$I$1:I1974,$I1974,$J$1:J1974,$J1974,$K$1:K1974,K1974,$L$1:L1974,L1974))=1,"00"&amp;COUNTIFS($H$1:H1974,$H1974,$I$1:I1974,$I1974,$J$1:J1974,$J1974,$K$1:K1974,K1974,$L$1:L1974,L1974),IF(LEN(COUNTIFS($H$1:H1974,$H1974,$I$1:I1974,$I1974,$J$1:J1974,$J1974,$K$1:K1974,K1974,$L$1:L1974,L1974))=2,"0"&amp;COUNTIFS($H$1:H1974,$H1974,$I$1:I1974,$I1974,$J$1:J1974,$J1974,$K$1:K1974,K1974,$L$1:L1974,L1974),COUNTIFS($H$1:H1974,$H1974,$I$1:I1974,$I1974,$J$1:J1974,$J1974,$K$1:K1974,K1974,$L$1:L1974,L1974)))</f>
        <v>035</v>
      </c>
      <c r="N197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74" s="14" t="e">
        <f>+LEN(Table4[[#This Row],[New Item Code]])</f>
        <v>#N/A</v>
      </c>
      <c r="P1974" s="15" t="s">
        <v>4747</v>
      </c>
      <c r="Q1974" s="15" t="s">
        <v>4749</v>
      </c>
      <c r="R1974" s="15"/>
      <c r="S1974" s="15"/>
      <c r="T1974" s="15" t="s">
        <v>4675</v>
      </c>
    </row>
    <row r="1975" spans="1:20" x14ac:dyDescent="0.35">
      <c r="A1975" s="2" t="s">
        <v>3900</v>
      </c>
      <c r="B1975" s="2" t="s">
        <v>3901</v>
      </c>
      <c r="C1975" s="2" t="s">
        <v>9</v>
      </c>
      <c r="D1975" s="2">
        <v>52.555</v>
      </c>
      <c r="E1975" s="2" t="s">
        <v>10</v>
      </c>
      <c r="F1975" s="2">
        <v>2</v>
      </c>
      <c r="G1975" s="22">
        <f>Table4[[#This Row],[Item Cost]]*Table4[[#This Row],[In Stock]]</f>
        <v>105.11</v>
      </c>
      <c r="H1975" s="12" t="s">
        <v>4661</v>
      </c>
      <c r="I1975" s="13" t="s">
        <v>4664</v>
      </c>
      <c r="J1975" s="13" t="s">
        <v>4675</v>
      </c>
      <c r="K1975" s="13" t="s">
        <v>4672</v>
      </c>
      <c r="L1975" s="12" t="s">
        <v>4672</v>
      </c>
      <c r="M1975" s="17" t="str">
        <f>IF(LEN(COUNTIFS($H$1:H1975,$H1975,$I$1:I1975,$I1975,$J$1:J1975,$J1975,$K$1:K1975,K1975,$L$1:L1975,L1975))=1,"00"&amp;COUNTIFS($H$1:H1975,$H1975,$I$1:I1975,$I1975,$J$1:J1975,$J1975,$K$1:K1975,K1975,$L$1:L1975,L1975),IF(LEN(COUNTIFS($H$1:H1975,$H1975,$I$1:I1975,$I1975,$J$1:J1975,$J1975,$K$1:K1975,K1975,$L$1:L1975,L1975))=2,"0"&amp;COUNTIFS($H$1:H1975,$H1975,$I$1:I1975,$I1975,$J$1:J1975,$J1975,$K$1:K1975,K1975,$L$1:L1975,L1975),COUNTIFS($H$1:H1975,$H1975,$I$1:I1975,$I1975,$J$1:J1975,$J1975,$K$1:K1975,K1975,$L$1:L1975,L1975)))</f>
        <v>036</v>
      </c>
      <c r="N197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75" s="14" t="e">
        <f>+LEN(Table4[[#This Row],[New Item Code]])</f>
        <v>#N/A</v>
      </c>
      <c r="P1975" s="15" t="s">
        <v>4747</v>
      </c>
      <c r="Q1975" s="15" t="s">
        <v>4749</v>
      </c>
      <c r="R1975" s="15"/>
      <c r="S1975" s="15"/>
      <c r="T1975" s="15" t="s">
        <v>4675</v>
      </c>
    </row>
    <row r="1976" spans="1:20" x14ac:dyDescent="0.35">
      <c r="A1976" s="3" t="s">
        <v>3902</v>
      </c>
      <c r="B1976" s="3" t="s">
        <v>3903</v>
      </c>
      <c r="C1976" s="3" t="s">
        <v>9</v>
      </c>
      <c r="D1976" s="3">
        <v>509.39</v>
      </c>
      <c r="E1976" s="3" t="s">
        <v>10</v>
      </c>
      <c r="F1976" s="3">
        <v>1</v>
      </c>
      <c r="G1976" s="21">
        <f>Table4[[#This Row],[Item Cost]]*Table4[[#This Row],[In Stock]]</f>
        <v>509.39</v>
      </c>
      <c r="H1976" s="12" t="s">
        <v>4661</v>
      </c>
      <c r="I1976" s="13" t="s">
        <v>4664</v>
      </c>
      <c r="J1976" s="13" t="s">
        <v>4675</v>
      </c>
      <c r="K1976" s="13" t="s">
        <v>4672</v>
      </c>
      <c r="L1976" s="12" t="s">
        <v>4672</v>
      </c>
      <c r="M1976" s="17" t="str">
        <f>IF(LEN(COUNTIFS($H$1:H1976,$H1976,$I$1:I1976,$I1976,$J$1:J1976,$J1976,$K$1:K1976,K1976,$L$1:L1976,L1976))=1,"00"&amp;COUNTIFS($H$1:H1976,$H1976,$I$1:I1976,$I1976,$J$1:J1976,$J1976,$K$1:K1976,K1976,$L$1:L1976,L1976),IF(LEN(COUNTIFS($H$1:H1976,$H1976,$I$1:I1976,$I1976,$J$1:J1976,$J1976,$K$1:K1976,K1976,$L$1:L1976,L1976))=2,"0"&amp;COUNTIFS($H$1:H1976,$H1976,$I$1:I1976,$I1976,$J$1:J1976,$J1976,$K$1:K1976,K1976,$L$1:L1976,L1976),COUNTIFS($H$1:H1976,$H1976,$I$1:I1976,$I1976,$J$1:J1976,$J1976,$K$1:K1976,K1976,$L$1:L1976,L1976)))</f>
        <v>037</v>
      </c>
      <c r="N197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76" s="14" t="e">
        <f>+LEN(Table4[[#This Row],[New Item Code]])</f>
        <v>#N/A</v>
      </c>
      <c r="P1976" s="15" t="s">
        <v>4747</v>
      </c>
      <c r="Q1976" s="15" t="s">
        <v>4749</v>
      </c>
      <c r="R1976" s="15"/>
      <c r="S1976" s="15"/>
      <c r="T1976" s="15" t="s">
        <v>4675</v>
      </c>
    </row>
    <row r="1977" spans="1:20" x14ac:dyDescent="0.35">
      <c r="A1977" s="2" t="s">
        <v>3904</v>
      </c>
      <c r="B1977" s="2" t="s">
        <v>3905</v>
      </c>
      <c r="C1977" s="2" t="s">
        <v>9</v>
      </c>
      <c r="D1977" s="2">
        <v>485.13499999999999</v>
      </c>
      <c r="E1977" s="2" t="s">
        <v>10</v>
      </c>
      <c r="F1977" s="2">
        <v>2</v>
      </c>
      <c r="G1977" s="22">
        <f>Table4[[#This Row],[Item Cost]]*Table4[[#This Row],[In Stock]]</f>
        <v>970.27</v>
      </c>
      <c r="H1977" s="12" t="s">
        <v>4661</v>
      </c>
      <c r="I1977" s="13" t="s">
        <v>4664</v>
      </c>
      <c r="J1977" s="13" t="s">
        <v>4675</v>
      </c>
      <c r="K1977" s="13" t="s">
        <v>4672</v>
      </c>
      <c r="L1977" s="12" t="s">
        <v>4672</v>
      </c>
      <c r="M1977" s="17" t="str">
        <f>IF(LEN(COUNTIFS($H$1:H1977,$H1977,$I$1:I1977,$I1977,$J$1:J1977,$J1977,$K$1:K1977,K1977,$L$1:L1977,L1977))=1,"00"&amp;COUNTIFS($H$1:H1977,$H1977,$I$1:I1977,$I1977,$J$1:J1977,$J1977,$K$1:K1977,K1977,$L$1:L1977,L1977),IF(LEN(COUNTIFS($H$1:H1977,$H1977,$I$1:I1977,$I1977,$J$1:J1977,$J1977,$K$1:K1977,K1977,$L$1:L1977,L1977))=2,"0"&amp;COUNTIFS($H$1:H1977,$H1977,$I$1:I1977,$I1977,$J$1:J1977,$J1977,$K$1:K1977,K1977,$L$1:L1977,L1977),COUNTIFS($H$1:H1977,$H1977,$I$1:I1977,$I1977,$J$1:J1977,$J1977,$K$1:K1977,K1977,$L$1:L1977,L1977)))</f>
        <v>038</v>
      </c>
      <c r="N197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77" s="14" t="e">
        <f>+LEN(Table4[[#This Row],[New Item Code]])</f>
        <v>#N/A</v>
      </c>
      <c r="P1977" s="15" t="s">
        <v>4747</v>
      </c>
      <c r="Q1977" s="15" t="s">
        <v>4749</v>
      </c>
      <c r="R1977" s="15"/>
      <c r="S1977" s="15"/>
      <c r="T1977" s="15" t="s">
        <v>4675</v>
      </c>
    </row>
    <row r="1978" spans="1:20" x14ac:dyDescent="0.35">
      <c r="A1978" s="3" t="s">
        <v>3906</v>
      </c>
      <c r="B1978" s="3" t="s">
        <v>3907</v>
      </c>
      <c r="C1978" s="3" t="s">
        <v>15</v>
      </c>
      <c r="D1978" s="5">
        <v>1147.5</v>
      </c>
      <c r="E1978" s="3" t="s">
        <v>10</v>
      </c>
      <c r="F1978" s="3">
        <v>3</v>
      </c>
      <c r="G1978" s="21">
        <f>Table4[[#This Row],[Item Cost]]*Table4[[#This Row],[In Stock]]</f>
        <v>3442.5</v>
      </c>
      <c r="H1978" s="12" t="s">
        <v>4661</v>
      </c>
      <c r="I1978" s="13" t="s">
        <v>4666</v>
      </c>
      <c r="J1978" s="13" t="s">
        <v>4675</v>
      </c>
      <c r="K1978" t="s">
        <v>4799</v>
      </c>
      <c r="L1978" s="12" t="s">
        <v>4672</v>
      </c>
      <c r="M1978" s="17" t="str">
        <f>IF(LEN(COUNTIFS($H$1:H1978,$H1978,$I$1:I1978,$I1978,$J$1:J1978,$J1978,$K$1:K1978,K1978,$L$1:L1978,L1978))=1,"00"&amp;COUNTIFS($H$1:H1978,$H1978,$I$1:I1978,$I1978,$J$1:J1978,$J1978,$K$1:K1978,K1978,$L$1:L1978,L1978),IF(LEN(COUNTIFS($H$1:H1978,$H1978,$I$1:I1978,$I1978,$J$1:J1978,$J1978,$K$1:K1978,K1978,$L$1:L1978,L1978))=2,"0"&amp;COUNTIFS($H$1:H1978,$H1978,$I$1:I1978,$I1978,$J$1:J1978,$J1978,$K$1:K1978,K1978,$L$1:L1978,L1978),COUNTIFS($H$1:H1978,$H1978,$I$1:I1978,$I1978,$J$1:J1978,$J1978,$K$1:K1978,K1978,$L$1:L1978,L1978)))</f>
        <v>002</v>
      </c>
      <c r="N197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78" s="14" t="e">
        <f>+LEN(Table4[[#This Row],[New Item Code]])</f>
        <v>#N/A</v>
      </c>
      <c r="P1978" s="15" t="s">
        <v>4747</v>
      </c>
      <c r="Q1978" s="15" t="s">
        <v>4749</v>
      </c>
      <c r="R1978" s="15"/>
      <c r="S1978" s="15"/>
      <c r="T1978" s="15" t="s">
        <v>4675</v>
      </c>
    </row>
    <row r="1979" spans="1:20" x14ac:dyDescent="0.35">
      <c r="A1979" s="2" t="s">
        <v>3908</v>
      </c>
      <c r="B1979" s="2" t="s">
        <v>1861</v>
      </c>
      <c r="C1979" s="2" t="s">
        <v>15</v>
      </c>
      <c r="D1979" s="2">
        <v>750</v>
      </c>
      <c r="E1979" s="2" t="s">
        <v>10</v>
      </c>
      <c r="F1979" s="2">
        <v>2</v>
      </c>
      <c r="G1979" s="22">
        <f>Table4[[#This Row],[Item Cost]]*Table4[[#This Row],[In Stock]]</f>
        <v>1500</v>
      </c>
      <c r="H1979" s="12" t="s">
        <v>4661</v>
      </c>
      <c r="I1979" s="13" t="s">
        <v>4666</v>
      </c>
      <c r="J1979" s="13" t="s">
        <v>4675</v>
      </c>
      <c r="K1979" s="13" t="s">
        <v>4672</v>
      </c>
      <c r="L1979" s="12" t="s">
        <v>4672</v>
      </c>
      <c r="M1979" s="17" t="str">
        <f>IF(LEN(COUNTIFS($H$1:H1979,$H1979,$I$1:I1979,$I1979,$J$1:J1979,$J1979,$K$1:K1979,K1979,$L$1:L1979,L1979))=1,"00"&amp;COUNTIFS($H$1:H1979,$H1979,$I$1:I1979,$I1979,$J$1:J1979,$J1979,$K$1:K1979,K1979,$L$1:L1979,L1979),IF(LEN(COUNTIFS($H$1:H1979,$H1979,$I$1:I1979,$I1979,$J$1:J1979,$J1979,$K$1:K1979,K1979,$L$1:L1979,L1979))=2,"0"&amp;COUNTIFS($H$1:H1979,$H1979,$I$1:I1979,$I1979,$J$1:J1979,$J1979,$K$1:K1979,K1979,$L$1:L1979,L1979),COUNTIFS($H$1:H1979,$H1979,$I$1:I1979,$I1979,$J$1:J1979,$J1979,$K$1:K1979,K1979,$L$1:L1979,L1979)))</f>
        <v>024</v>
      </c>
      <c r="N197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79" s="14" t="e">
        <f>+LEN(Table4[[#This Row],[New Item Code]])</f>
        <v>#N/A</v>
      </c>
      <c r="P1979" s="15" t="s">
        <v>4747</v>
      </c>
      <c r="Q1979" s="15" t="s">
        <v>4749</v>
      </c>
      <c r="R1979" s="15"/>
      <c r="S1979" s="15"/>
      <c r="T1979" s="15" t="s">
        <v>4675</v>
      </c>
    </row>
    <row r="1980" spans="1:20" x14ac:dyDescent="0.35">
      <c r="A1980" s="3" t="s">
        <v>3909</v>
      </c>
      <c r="B1980" s="3" t="s">
        <v>1867</v>
      </c>
      <c r="C1980" s="3" t="s">
        <v>15</v>
      </c>
      <c r="D1980" s="3">
        <v>0</v>
      </c>
      <c r="E1980" s="3" t="s">
        <v>10</v>
      </c>
      <c r="F1980" s="3">
        <v>0</v>
      </c>
      <c r="G1980" s="21">
        <f>Table4[[#This Row],[Item Cost]]*Table4[[#This Row],[In Stock]]</f>
        <v>0</v>
      </c>
      <c r="H1980" s="12" t="s">
        <v>4661</v>
      </c>
      <c r="I1980" s="13" t="s">
        <v>4666</v>
      </c>
      <c r="J1980" s="13" t="s">
        <v>4675</v>
      </c>
      <c r="K1980" s="13" t="s">
        <v>4672</v>
      </c>
      <c r="L1980" s="12" t="s">
        <v>4672</v>
      </c>
      <c r="M1980" s="17" t="str">
        <f>IF(LEN(COUNTIFS($H$1:H1980,$H1980,$I$1:I1980,$I1980,$J$1:J1980,$J1980,$K$1:K1980,K1980,$L$1:L1980,L1980))=1,"00"&amp;COUNTIFS($H$1:H1980,$H1980,$I$1:I1980,$I1980,$J$1:J1980,$J1980,$K$1:K1980,K1980,$L$1:L1980,L1980),IF(LEN(COUNTIFS($H$1:H1980,$H1980,$I$1:I1980,$I1980,$J$1:J1980,$J1980,$K$1:K1980,K1980,$L$1:L1980,L1980))=2,"0"&amp;COUNTIFS($H$1:H1980,$H1980,$I$1:I1980,$I1980,$J$1:J1980,$J1980,$K$1:K1980,K1980,$L$1:L1980,L1980),COUNTIFS($H$1:H1980,$H1980,$I$1:I1980,$I1980,$J$1:J1980,$J1980,$K$1:K1980,K1980,$L$1:L1980,L1980)))</f>
        <v>025</v>
      </c>
      <c r="N198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80" s="14" t="e">
        <f>+LEN(Table4[[#This Row],[New Item Code]])</f>
        <v>#N/A</v>
      </c>
      <c r="P1980" s="15" t="s">
        <v>4747</v>
      </c>
      <c r="Q1980" s="15" t="s">
        <v>4749</v>
      </c>
      <c r="R1980" s="15"/>
      <c r="S1980" s="15"/>
      <c r="T1980" s="15" t="s">
        <v>4675</v>
      </c>
    </row>
    <row r="1981" spans="1:20" x14ac:dyDescent="0.35">
      <c r="A1981" s="2" t="s">
        <v>3910</v>
      </c>
      <c r="B1981" s="2" t="s">
        <v>3911</v>
      </c>
      <c r="C1981" s="2" t="s">
        <v>15</v>
      </c>
      <c r="D1981" s="2">
        <v>213.23</v>
      </c>
      <c r="E1981" s="2" t="s">
        <v>10</v>
      </c>
      <c r="F1981" s="2">
        <v>1</v>
      </c>
      <c r="G1981" s="22">
        <f>Table4[[#This Row],[Item Cost]]*Table4[[#This Row],[In Stock]]</f>
        <v>213.23</v>
      </c>
      <c r="H1981" s="12" t="s">
        <v>4661</v>
      </c>
      <c r="I1981" s="13" t="s">
        <v>4666</v>
      </c>
      <c r="J1981" s="13" t="s">
        <v>4675</v>
      </c>
      <c r="K1981" t="s">
        <v>4797</v>
      </c>
      <c r="L1981" s="12" t="s">
        <v>4672</v>
      </c>
      <c r="M1981" s="17" t="str">
        <f>IF(LEN(COUNTIFS($H$1:H1981,$H1981,$I$1:I1981,$I1981,$J$1:J1981,$J1981,$K$1:K1981,K1981,$L$1:L1981,L1981))=1,"00"&amp;COUNTIFS($H$1:H1981,$H1981,$I$1:I1981,$I1981,$J$1:J1981,$J1981,$K$1:K1981,K1981,$L$1:L1981,L1981),IF(LEN(COUNTIFS($H$1:H1981,$H1981,$I$1:I1981,$I1981,$J$1:J1981,$J1981,$K$1:K1981,K1981,$L$1:L1981,L1981))=2,"0"&amp;COUNTIFS($H$1:H1981,$H1981,$I$1:I1981,$I1981,$J$1:J1981,$J1981,$K$1:K1981,K1981,$L$1:L1981,L1981),COUNTIFS($H$1:H1981,$H1981,$I$1:I1981,$I1981,$J$1:J1981,$J1981,$K$1:K1981,K1981,$L$1:L1981,L1981)))</f>
        <v>005</v>
      </c>
      <c r="N198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81" s="14" t="e">
        <f>+LEN(Table4[[#This Row],[New Item Code]])</f>
        <v>#N/A</v>
      </c>
      <c r="P1981" s="15" t="s">
        <v>4747</v>
      </c>
      <c r="Q1981" s="15" t="s">
        <v>4749</v>
      </c>
      <c r="R1981" s="15"/>
      <c r="S1981" s="15"/>
      <c r="T1981" s="15" t="s">
        <v>4675</v>
      </c>
    </row>
    <row r="1982" spans="1:20" x14ac:dyDescent="0.35">
      <c r="A1982" s="3" t="s">
        <v>3912</v>
      </c>
      <c r="B1982" s="3" t="s">
        <v>3913</v>
      </c>
      <c r="C1982" s="3" t="s">
        <v>15</v>
      </c>
      <c r="D1982" s="3">
        <v>0</v>
      </c>
      <c r="E1982" s="3" t="s">
        <v>10</v>
      </c>
      <c r="F1982" s="3">
        <v>0</v>
      </c>
      <c r="G1982" s="21">
        <f>Table4[[#This Row],[Item Cost]]*Table4[[#This Row],[In Stock]]</f>
        <v>0</v>
      </c>
      <c r="H1982" s="12" t="s">
        <v>4661</v>
      </c>
      <c r="I1982" s="13" t="s">
        <v>4666</v>
      </c>
      <c r="J1982" s="13" t="s">
        <v>4675</v>
      </c>
      <c r="K1982" s="13" t="s">
        <v>4672</v>
      </c>
      <c r="L1982" s="12" t="s">
        <v>4672</v>
      </c>
      <c r="M1982" s="17" t="str">
        <f>IF(LEN(COUNTIFS($H$1:H1982,$H1982,$I$1:I1982,$I1982,$J$1:J1982,$J1982,$K$1:K1982,K1982,$L$1:L1982,L1982))=1,"00"&amp;COUNTIFS($H$1:H1982,$H1982,$I$1:I1982,$I1982,$J$1:J1982,$J1982,$K$1:K1982,K1982,$L$1:L1982,L1982),IF(LEN(COUNTIFS($H$1:H1982,$H1982,$I$1:I1982,$I1982,$J$1:J1982,$J1982,$K$1:K1982,K1982,$L$1:L1982,L1982))=2,"0"&amp;COUNTIFS($H$1:H1982,$H1982,$I$1:I1982,$I1982,$J$1:J1982,$J1982,$K$1:K1982,K1982,$L$1:L1982,L1982),COUNTIFS($H$1:H1982,$H1982,$I$1:I1982,$I1982,$J$1:J1982,$J1982,$K$1:K1982,K1982,$L$1:L1982,L1982)))</f>
        <v>026</v>
      </c>
      <c r="N198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82" s="14" t="e">
        <f>+LEN(Table4[[#This Row],[New Item Code]])</f>
        <v>#N/A</v>
      </c>
      <c r="P1982" s="15" t="s">
        <v>4747</v>
      </c>
      <c r="Q1982" s="15" t="s">
        <v>4749</v>
      </c>
      <c r="R1982" s="15"/>
      <c r="S1982" s="15"/>
      <c r="T1982" s="15" t="s">
        <v>4675</v>
      </c>
    </row>
    <row r="1983" spans="1:20" x14ac:dyDescent="0.35">
      <c r="A1983" s="2" t="s">
        <v>3914</v>
      </c>
      <c r="B1983" s="2" t="s">
        <v>3915</v>
      </c>
      <c r="C1983" s="2" t="s">
        <v>15</v>
      </c>
      <c r="D1983" s="2">
        <v>250</v>
      </c>
      <c r="E1983" s="2" t="s">
        <v>10</v>
      </c>
      <c r="F1983" s="2">
        <v>2</v>
      </c>
      <c r="G1983" s="22">
        <f>Table4[[#This Row],[Item Cost]]*Table4[[#This Row],[In Stock]]</f>
        <v>500</v>
      </c>
      <c r="H1983" s="12" t="s">
        <v>4661</v>
      </c>
      <c r="I1983" s="13" t="s">
        <v>4666</v>
      </c>
      <c r="J1983" s="13" t="s">
        <v>4675</v>
      </c>
      <c r="K1983" s="13" t="s">
        <v>4672</v>
      </c>
      <c r="L1983" s="12" t="s">
        <v>4672</v>
      </c>
      <c r="M1983" s="17" t="str">
        <f>IF(LEN(COUNTIFS($H$1:H1983,$H1983,$I$1:I1983,$I1983,$J$1:J1983,$J1983,$K$1:K1983,K1983,$L$1:L1983,L1983))=1,"00"&amp;COUNTIFS($H$1:H1983,$H1983,$I$1:I1983,$I1983,$J$1:J1983,$J1983,$K$1:K1983,K1983,$L$1:L1983,L1983),IF(LEN(COUNTIFS($H$1:H1983,$H1983,$I$1:I1983,$I1983,$J$1:J1983,$J1983,$K$1:K1983,K1983,$L$1:L1983,L1983))=2,"0"&amp;COUNTIFS($H$1:H1983,$H1983,$I$1:I1983,$I1983,$J$1:J1983,$J1983,$K$1:K1983,K1983,$L$1:L1983,L1983),COUNTIFS($H$1:H1983,$H1983,$I$1:I1983,$I1983,$J$1:J1983,$J1983,$K$1:K1983,K1983,$L$1:L1983,L1983)))</f>
        <v>027</v>
      </c>
      <c r="N198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83" s="14" t="e">
        <f>+LEN(Table4[[#This Row],[New Item Code]])</f>
        <v>#N/A</v>
      </c>
      <c r="P1983" s="15" t="s">
        <v>4747</v>
      </c>
      <c r="Q1983" s="15" t="s">
        <v>4749</v>
      </c>
      <c r="R1983" s="15"/>
      <c r="S1983" s="15"/>
      <c r="T1983" s="15" t="s">
        <v>4675</v>
      </c>
    </row>
    <row r="1984" spans="1:20" x14ac:dyDescent="0.35">
      <c r="A1984" s="3" t="s">
        <v>3916</v>
      </c>
      <c r="B1984" s="3" t="s">
        <v>3917</v>
      </c>
      <c r="C1984" s="3" t="s">
        <v>15</v>
      </c>
      <c r="D1984" s="3">
        <v>350</v>
      </c>
      <c r="E1984" s="3" t="s">
        <v>10</v>
      </c>
      <c r="F1984" s="3">
        <v>1</v>
      </c>
      <c r="G1984" s="21">
        <f>Table4[[#This Row],[Item Cost]]*Table4[[#This Row],[In Stock]]</f>
        <v>350</v>
      </c>
      <c r="H1984" s="12" t="s">
        <v>4661</v>
      </c>
      <c r="I1984" s="13" t="s">
        <v>4666</v>
      </c>
      <c r="J1984" s="13" t="s">
        <v>4675</v>
      </c>
      <c r="K1984" t="s">
        <v>4798</v>
      </c>
      <c r="L1984" s="12" t="s">
        <v>4672</v>
      </c>
      <c r="M1984" s="17" t="str">
        <f>IF(LEN(COUNTIFS($H$1:H1984,$H1984,$I$1:I1984,$I1984,$J$1:J1984,$J1984,$K$1:K1984,K1984,$L$1:L1984,L1984))=1,"00"&amp;COUNTIFS($H$1:H1984,$H1984,$I$1:I1984,$I1984,$J$1:J1984,$J1984,$K$1:K1984,K1984,$L$1:L1984,L1984),IF(LEN(COUNTIFS($H$1:H1984,$H1984,$I$1:I1984,$I1984,$J$1:J1984,$J1984,$K$1:K1984,K1984,$L$1:L1984,L1984))=2,"0"&amp;COUNTIFS($H$1:H1984,$H1984,$I$1:I1984,$I1984,$J$1:J1984,$J1984,$K$1:K1984,K1984,$L$1:L1984,L1984),COUNTIFS($H$1:H1984,$H1984,$I$1:I1984,$I1984,$J$1:J1984,$J1984,$K$1:K1984,K1984,$L$1:L1984,L1984)))</f>
        <v>004</v>
      </c>
      <c r="N198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84" s="14" t="e">
        <f>+LEN(Table4[[#This Row],[New Item Code]])</f>
        <v>#N/A</v>
      </c>
      <c r="P1984" s="15" t="s">
        <v>4747</v>
      </c>
      <c r="Q1984" s="15" t="s">
        <v>4749</v>
      </c>
      <c r="R1984" s="15"/>
      <c r="S1984" s="15"/>
      <c r="T1984" s="15" t="s">
        <v>4675</v>
      </c>
    </row>
    <row r="1985" spans="1:20" x14ac:dyDescent="0.35">
      <c r="A1985" s="2" t="s">
        <v>3918</v>
      </c>
      <c r="B1985" s="2">
        <v>6706049</v>
      </c>
      <c r="C1985" s="2" t="s">
        <v>15</v>
      </c>
      <c r="D1985" s="2">
        <v>350</v>
      </c>
      <c r="E1985" s="2" t="s">
        <v>10</v>
      </c>
      <c r="F1985" s="2">
        <v>1</v>
      </c>
      <c r="G1985" s="22">
        <f>Table4[[#This Row],[Item Cost]]*Table4[[#This Row],[In Stock]]</f>
        <v>350</v>
      </c>
      <c r="H1985" s="12" t="s">
        <v>4661</v>
      </c>
      <c r="I1985" s="13" t="s">
        <v>4666</v>
      </c>
      <c r="J1985" s="13" t="s">
        <v>4675</v>
      </c>
      <c r="K1985" s="13" t="s">
        <v>4672</v>
      </c>
      <c r="L1985" s="12" t="s">
        <v>4672</v>
      </c>
      <c r="M1985" s="17" t="str">
        <f>IF(LEN(COUNTIFS($H$1:H1985,$H1985,$I$1:I1985,$I1985,$J$1:J1985,$J1985,$K$1:K1985,K1985,$L$1:L1985,L1985))=1,"00"&amp;COUNTIFS($H$1:H1985,$H1985,$I$1:I1985,$I1985,$J$1:J1985,$J1985,$K$1:K1985,K1985,$L$1:L1985,L1985),IF(LEN(COUNTIFS($H$1:H1985,$H1985,$I$1:I1985,$I1985,$J$1:J1985,$J1985,$K$1:K1985,K1985,$L$1:L1985,L1985))=2,"0"&amp;COUNTIFS($H$1:H1985,$H1985,$I$1:I1985,$I1985,$J$1:J1985,$J1985,$K$1:K1985,K1985,$L$1:L1985,L1985),COUNTIFS($H$1:H1985,$H1985,$I$1:I1985,$I1985,$J$1:J1985,$J1985,$K$1:K1985,K1985,$L$1:L1985,L1985)))</f>
        <v>028</v>
      </c>
      <c r="N198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85" s="14" t="e">
        <f>+LEN(Table4[[#This Row],[New Item Code]])</f>
        <v>#N/A</v>
      </c>
      <c r="P1985" s="15" t="s">
        <v>4747</v>
      </c>
      <c r="Q1985" s="15" t="s">
        <v>4749</v>
      </c>
      <c r="R1985" s="15"/>
      <c r="S1985" s="15"/>
      <c r="T1985" s="15" t="s">
        <v>4675</v>
      </c>
    </row>
    <row r="1986" spans="1:20" x14ac:dyDescent="0.35">
      <c r="A1986" s="3" t="s">
        <v>3919</v>
      </c>
      <c r="B1986" s="3" t="s">
        <v>3920</v>
      </c>
      <c r="C1986" s="3" t="s">
        <v>15</v>
      </c>
      <c r="D1986" s="3">
        <v>260</v>
      </c>
      <c r="E1986" s="3" t="s">
        <v>10</v>
      </c>
      <c r="F1986" s="3">
        <v>1</v>
      </c>
      <c r="G1986" s="21">
        <f>Table4[[#This Row],[Item Cost]]*Table4[[#This Row],[In Stock]]</f>
        <v>260</v>
      </c>
      <c r="H1986" s="12" t="s">
        <v>4661</v>
      </c>
      <c r="I1986" s="13" t="s">
        <v>4666</v>
      </c>
      <c r="J1986" s="13" t="s">
        <v>4675</v>
      </c>
      <c r="K1986" t="s">
        <v>4797</v>
      </c>
      <c r="L1986" s="12" t="s">
        <v>4672</v>
      </c>
      <c r="M1986" s="17" t="str">
        <f>IF(LEN(COUNTIFS($H$1:H1986,$H1986,$I$1:I1986,$I1986,$J$1:J1986,$J1986,$K$1:K1986,K1986,$L$1:L1986,L1986))=1,"00"&amp;COUNTIFS($H$1:H1986,$H1986,$I$1:I1986,$I1986,$J$1:J1986,$J1986,$K$1:K1986,K1986,$L$1:L1986,L1986),IF(LEN(COUNTIFS($H$1:H1986,$H1986,$I$1:I1986,$I1986,$J$1:J1986,$J1986,$K$1:K1986,K1986,$L$1:L1986,L1986))=2,"0"&amp;COUNTIFS($H$1:H1986,$H1986,$I$1:I1986,$I1986,$J$1:J1986,$J1986,$K$1:K1986,K1986,$L$1:L1986,L1986),COUNTIFS($H$1:H1986,$H1986,$I$1:I1986,$I1986,$J$1:J1986,$J1986,$K$1:K1986,K1986,$L$1:L1986,L1986)))</f>
        <v>006</v>
      </c>
      <c r="N198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86" s="14" t="e">
        <f>+LEN(Table4[[#This Row],[New Item Code]])</f>
        <v>#N/A</v>
      </c>
      <c r="P1986" s="15" t="s">
        <v>4747</v>
      </c>
      <c r="Q1986" s="15" t="s">
        <v>4749</v>
      </c>
      <c r="R1986" s="15"/>
      <c r="S1986" s="15"/>
      <c r="T1986" s="15" t="s">
        <v>4675</v>
      </c>
    </row>
    <row r="1987" spans="1:20" x14ac:dyDescent="0.35">
      <c r="A1987" s="2" t="s">
        <v>3921</v>
      </c>
      <c r="B1987" s="2" t="s">
        <v>3922</v>
      </c>
      <c r="C1987" s="2" t="s">
        <v>15</v>
      </c>
      <c r="D1987" s="2">
        <v>150</v>
      </c>
      <c r="E1987" s="2" t="s">
        <v>10</v>
      </c>
      <c r="F1987" s="2">
        <v>19</v>
      </c>
      <c r="G1987" s="22">
        <f>Table4[[#This Row],[Item Cost]]*Table4[[#This Row],[In Stock]]</f>
        <v>2850</v>
      </c>
      <c r="H1987" s="12" t="s">
        <v>4661</v>
      </c>
      <c r="I1987" s="13" t="s">
        <v>4666</v>
      </c>
      <c r="J1987" s="13" t="s">
        <v>4675</v>
      </c>
      <c r="K1987" s="13" t="s">
        <v>4672</v>
      </c>
      <c r="L1987" s="12" t="s">
        <v>4672</v>
      </c>
      <c r="M1987" s="17" t="str">
        <f>IF(LEN(COUNTIFS($H$1:H1987,$H1987,$I$1:I1987,$I1987,$J$1:J1987,$J1987,$K$1:K1987,K1987,$L$1:L1987,L1987))=1,"00"&amp;COUNTIFS($H$1:H1987,$H1987,$I$1:I1987,$I1987,$J$1:J1987,$J1987,$K$1:K1987,K1987,$L$1:L1987,L1987),IF(LEN(COUNTIFS($H$1:H1987,$H1987,$I$1:I1987,$I1987,$J$1:J1987,$J1987,$K$1:K1987,K1987,$L$1:L1987,L1987))=2,"0"&amp;COUNTIFS($H$1:H1987,$H1987,$I$1:I1987,$I1987,$J$1:J1987,$J1987,$K$1:K1987,K1987,$L$1:L1987,L1987),COUNTIFS($H$1:H1987,$H1987,$I$1:I1987,$I1987,$J$1:J1987,$J1987,$K$1:K1987,K1987,$L$1:L1987,L1987)))</f>
        <v>029</v>
      </c>
      <c r="N198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87" s="14" t="e">
        <f>+LEN(Table4[[#This Row],[New Item Code]])</f>
        <v>#N/A</v>
      </c>
      <c r="P1987" s="15" t="s">
        <v>4747</v>
      </c>
      <c r="Q1987" s="15" t="s">
        <v>4749</v>
      </c>
      <c r="R1987" s="15"/>
      <c r="S1987" s="15"/>
      <c r="T1987" s="15" t="s">
        <v>4675</v>
      </c>
    </row>
    <row r="1988" spans="1:20" x14ac:dyDescent="0.35">
      <c r="A1988" s="3" t="s">
        <v>3923</v>
      </c>
      <c r="B1988" s="3" t="s">
        <v>3924</v>
      </c>
      <c r="C1988" s="3" t="s">
        <v>15</v>
      </c>
      <c r="D1988" s="5">
        <v>1200</v>
      </c>
      <c r="E1988" s="3" t="s">
        <v>10</v>
      </c>
      <c r="F1988" s="3">
        <v>8</v>
      </c>
      <c r="G1988" s="21">
        <f>Table4[[#This Row],[Item Cost]]*Table4[[#This Row],[In Stock]]</f>
        <v>9600</v>
      </c>
      <c r="H1988" s="12" t="s">
        <v>4661</v>
      </c>
      <c r="I1988" s="13" t="s">
        <v>4666</v>
      </c>
      <c r="J1988" s="13" t="s">
        <v>4675</v>
      </c>
      <c r="K1988" s="13" t="s">
        <v>4672</v>
      </c>
      <c r="L1988" s="12" t="s">
        <v>4672</v>
      </c>
      <c r="M1988" s="17" t="str">
        <f>IF(LEN(COUNTIFS($H$1:H1988,$H1988,$I$1:I1988,$I1988,$J$1:J1988,$J1988,$K$1:K1988,K1988,$L$1:L1988,L1988))=1,"00"&amp;COUNTIFS($H$1:H1988,$H1988,$I$1:I1988,$I1988,$J$1:J1988,$J1988,$K$1:K1988,K1988,$L$1:L1988,L1988),IF(LEN(COUNTIFS($H$1:H1988,$H1988,$I$1:I1988,$I1988,$J$1:J1988,$J1988,$K$1:K1988,K1988,$L$1:L1988,L1988))=2,"0"&amp;COUNTIFS($H$1:H1988,$H1988,$I$1:I1988,$I1988,$J$1:J1988,$J1988,$K$1:K1988,K1988,$L$1:L1988,L1988),COUNTIFS($H$1:H1988,$H1988,$I$1:I1988,$I1988,$J$1:J1988,$J1988,$K$1:K1988,K1988,$L$1:L1988,L1988)))</f>
        <v>030</v>
      </c>
      <c r="N198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88" s="14" t="e">
        <f>+LEN(Table4[[#This Row],[New Item Code]])</f>
        <v>#N/A</v>
      </c>
      <c r="P1988" s="15" t="s">
        <v>4747</v>
      </c>
      <c r="Q1988" s="15" t="s">
        <v>4749</v>
      </c>
      <c r="R1988" s="15"/>
      <c r="S1988" s="15"/>
      <c r="T1988" s="15" t="s">
        <v>4675</v>
      </c>
    </row>
    <row r="1989" spans="1:20" x14ac:dyDescent="0.35">
      <c r="A1989" s="2" t="s">
        <v>3925</v>
      </c>
      <c r="B1989" s="2" t="s">
        <v>3926</v>
      </c>
      <c r="C1989" s="2" t="s">
        <v>9</v>
      </c>
      <c r="D1989" s="4">
        <v>20000</v>
      </c>
      <c r="E1989" s="2" t="s">
        <v>10</v>
      </c>
      <c r="F1989" s="2">
        <v>1</v>
      </c>
      <c r="G1989" s="22">
        <f>Table4[[#This Row],[Item Cost]]*Table4[[#This Row],[In Stock]]</f>
        <v>20000</v>
      </c>
      <c r="H1989" s="12" t="s">
        <v>4661</v>
      </c>
      <c r="I1989" s="13" t="s">
        <v>4664</v>
      </c>
      <c r="J1989" s="13" t="s">
        <v>4675</v>
      </c>
      <c r="K1989" s="13" t="s">
        <v>4672</v>
      </c>
      <c r="L1989" s="12" t="s">
        <v>4672</v>
      </c>
      <c r="M1989" s="17" t="str">
        <f>IF(LEN(COUNTIFS($H$1:H1989,$H1989,$I$1:I1989,$I1989,$J$1:J1989,$J1989,$K$1:K1989,K1989,$L$1:L1989,L1989))=1,"00"&amp;COUNTIFS($H$1:H1989,$H1989,$I$1:I1989,$I1989,$J$1:J1989,$J1989,$K$1:K1989,K1989,$L$1:L1989,L1989),IF(LEN(COUNTIFS($H$1:H1989,$H1989,$I$1:I1989,$I1989,$J$1:J1989,$J1989,$K$1:K1989,K1989,$L$1:L1989,L1989))=2,"0"&amp;COUNTIFS($H$1:H1989,$H1989,$I$1:I1989,$I1989,$J$1:J1989,$J1989,$K$1:K1989,K1989,$L$1:L1989,L1989),COUNTIFS($H$1:H1989,$H1989,$I$1:I1989,$I1989,$J$1:J1989,$J1989,$K$1:K1989,K1989,$L$1:L1989,L1989)))</f>
        <v>039</v>
      </c>
      <c r="N198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89" s="14" t="e">
        <f>+LEN(Table4[[#This Row],[New Item Code]])</f>
        <v>#N/A</v>
      </c>
      <c r="P1989" s="15" t="s">
        <v>4747</v>
      </c>
      <c r="Q1989" s="15" t="s">
        <v>4749</v>
      </c>
      <c r="R1989" s="15"/>
      <c r="S1989" s="15"/>
      <c r="T1989" s="15" t="s">
        <v>4675</v>
      </c>
    </row>
    <row r="1990" spans="1:20" x14ac:dyDescent="0.35">
      <c r="A1990" s="3" t="s">
        <v>3927</v>
      </c>
      <c r="B1990" s="3" t="s">
        <v>3928</v>
      </c>
      <c r="C1990" s="3" t="s">
        <v>15</v>
      </c>
      <c r="D1990" s="5">
        <v>5250</v>
      </c>
      <c r="E1990" s="3" t="s">
        <v>10</v>
      </c>
      <c r="F1990" s="3">
        <v>0</v>
      </c>
      <c r="G1990" s="21">
        <f>Table4[[#This Row],[Item Cost]]*Table4[[#This Row],[In Stock]]</f>
        <v>0</v>
      </c>
      <c r="H1990" s="12" t="s">
        <v>4661</v>
      </c>
      <c r="I1990" s="13" t="s">
        <v>4666</v>
      </c>
      <c r="J1990" s="13" t="s">
        <v>4675</v>
      </c>
      <c r="K1990" t="s">
        <v>4797</v>
      </c>
      <c r="L1990" s="12" t="s">
        <v>4672</v>
      </c>
      <c r="M1990" s="17" t="str">
        <f>IF(LEN(COUNTIFS($H$1:H1990,$H1990,$I$1:I1990,$I1990,$J$1:J1990,$J1990,$K$1:K1990,K1990,$L$1:L1990,L1990))=1,"00"&amp;COUNTIFS($H$1:H1990,$H1990,$I$1:I1990,$I1990,$J$1:J1990,$J1990,$K$1:K1990,K1990,$L$1:L1990,L1990),IF(LEN(COUNTIFS($H$1:H1990,$H1990,$I$1:I1990,$I1990,$J$1:J1990,$J1990,$K$1:K1990,K1990,$L$1:L1990,L1990))=2,"0"&amp;COUNTIFS($H$1:H1990,$H1990,$I$1:I1990,$I1990,$J$1:J1990,$J1990,$K$1:K1990,K1990,$L$1:L1990,L1990),COUNTIFS($H$1:H1990,$H1990,$I$1:I1990,$I1990,$J$1:J1990,$J1990,$K$1:K1990,K1990,$L$1:L1990,L1990)))</f>
        <v>007</v>
      </c>
      <c r="N199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90" s="14" t="e">
        <f>+LEN(Table4[[#This Row],[New Item Code]])</f>
        <v>#N/A</v>
      </c>
      <c r="P1990" s="15" t="s">
        <v>4747</v>
      </c>
      <c r="Q1990" s="15" t="s">
        <v>4749</v>
      </c>
      <c r="R1990" s="15"/>
      <c r="S1990" s="15"/>
      <c r="T1990" s="15" t="s">
        <v>4675</v>
      </c>
    </row>
    <row r="1991" spans="1:20" x14ac:dyDescent="0.35">
      <c r="A1991" s="2" t="s">
        <v>3929</v>
      </c>
      <c r="B1991" s="2" t="s">
        <v>3930</v>
      </c>
      <c r="C1991" s="2" t="s">
        <v>9</v>
      </c>
      <c r="D1991" s="4">
        <v>1400</v>
      </c>
      <c r="E1991" s="2" t="s">
        <v>10</v>
      </c>
      <c r="F1991" s="2">
        <v>2</v>
      </c>
      <c r="G1991" s="22">
        <f>Table4[[#This Row],[Item Cost]]*Table4[[#This Row],[In Stock]]</f>
        <v>2800</v>
      </c>
      <c r="H1991" s="12" t="s">
        <v>4661</v>
      </c>
      <c r="I1991" s="13" t="s">
        <v>4664</v>
      </c>
      <c r="J1991" s="13" t="s">
        <v>4675</v>
      </c>
      <c r="K1991" s="13" t="s">
        <v>4672</v>
      </c>
      <c r="L1991" s="12" t="s">
        <v>4672</v>
      </c>
      <c r="M1991" s="17" t="str">
        <f>IF(LEN(COUNTIFS($H$1:H1991,$H1991,$I$1:I1991,$I1991,$J$1:J1991,$J1991,$K$1:K1991,K1991,$L$1:L1991,L1991))=1,"00"&amp;COUNTIFS($H$1:H1991,$H1991,$I$1:I1991,$I1991,$J$1:J1991,$J1991,$K$1:K1991,K1991,$L$1:L1991,L1991),IF(LEN(COUNTIFS($H$1:H1991,$H1991,$I$1:I1991,$I1991,$J$1:J1991,$J1991,$K$1:K1991,K1991,$L$1:L1991,L1991))=2,"0"&amp;COUNTIFS($H$1:H1991,$H1991,$I$1:I1991,$I1991,$J$1:J1991,$J1991,$K$1:K1991,K1991,$L$1:L1991,L1991),COUNTIFS($H$1:H1991,$H1991,$I$1:I1991,$I1991,$J$1:J1991,$J1991,$K$1:K1991,K1991,$L$1:L1991,L1991)))</f>
        <v>040</v>
      </c>
      <c r="N199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91" s="14" t="e">
        <f>+LEN(Table4[[#This Row],[New Item Code]])</f>
        <v>#N/A</v>
      </c>
      <c r="P1991" s="15" t="s">
        <v>4747</v>
      </c>
      <c r="Q1991" s="15" t="s">
        <v>4749</v>
      </c>
      <c r="R1991" s="15"/>
      <c r="S1991" s="15"/>
      <c r="T1991" s="15" t="s">
        <v>4675</v>
      </c>
    </row>
    <row r="1992" spans="1:20" x14ac:dyDescent="0.35">
      <c r="A1992" s="3" t="s">
        <v>3931</v>
      </c>
      <c r="B1992" s="3" t="s">
        <v>3932</v>
      </c>
      <c r="C1992" s="3" t="s">
        <v>15</v>
      </c>
      <c r="D1992" s="3">
        <v>340</v>
      </c>
      <c r="E1992" s="3" t="s">
        <v>10</v>
      </c>
      <c r="F1992" s="3">
        <v>4</v>
      </c>
      <c r="G1992" s="21">
        <f>Table4[[#This Row],[Item Cost]]*Table4[[#This Row],[In Stock]]</f>
        <v>1360</v>
      </c>
      <c r="H1992" s="12" t="s">
        <v>4661</v>
      </c>
      <c r="I1992" s="13" t="s">
        <v>4666</v>
      </c>
      <c r="J1992" s="13" t="s">
        <v>4675</v>
      </c>
      <c r="K1992" s="13" t="s">
        <v>4672</v>
      </c>
      <c r="L1992" s="12" t="s">
        <v>4672</v>
      </c>
      <c r="M1992" s="17" t="str">
        <f>IF(LEN(COUNTIFS($H$1:H1992,$H1992,$I$1:I1992,$I1992,$J$1:J1992,$J1992,$K$1:K1992,K1992,$L$1:L1992,L1992))=1,"00"&amp;COUNTIFS($H$1:H1992,$H1992,$I$1:I1992,$I1992,$J$1:J1992,$J1992,$K$1:K1992,K1992,$L$1:L1992,L1992),IF(LEN(COUNTIFS($H$1:H1992,$H1992,$I$1:I1992,$I1992,$J$1:J1992,$J1992,$K$1:K1992,K1992,$L$1:L1992,L1992))=2,"0"&amp;COUNTIFS($H$1:H1992,$H1992,$I$1:I1992,$I1992,$J$1:J1992,$J1992,$K$1:K1992,K1992,$L$1:L1992,L1992),COUNTIFS($H$1:H1992,$H1992,$I$1:I1992,$I1992,$J$1:J1992,$J1992,$K$1:K1992,K1992,$L$1:L1992,L1992)))</f>
        <v>031</v>
      </c>
      <c r="N199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92" s="14" t="e">
        <f>+LEN(Table4[[#This Row],[New Item Code]])</f>
        <v>#N/A</v>
      </c>
      <c r="P1992" s="15" t="s">
        <v>4747</v>
      </c>
      <c r="Q1992" s="15" t="s">
        <v>4749</v>
      </c>
      <c r="R1992" s="15"/>
      <c r="S1992" s="15"/>
      <c r="T1992" s="15" t="e">
        <v>#N/A</v>
      </c>
    </row>
    <row r="1993" spans="1:20" x14ac:dyDescent="0.35">
      <c r="A1993" s="2" t="s">
        <v>3933</v>
      </c>
      <c r="B1993" s="2" t="s">
        <v>3934</v>
      </c>
      <c r="C1993" s="2" t="s">
        <v>15</v>
      </c>
      <c r="D1993" s="2">
        <v>0</v>
      </c>
      <c r="E1993" s="2" t="s">
        <v>10</v>
      </c>
      <c r="F1993" s="2">
        <v>0</v>
      </c>
      <c r="G1993" s="22">
        <f>Table4[[#This Row],[Item Cost]]*Table4[[#This Row],[In Stock]]</f>
        <v>0</v>
      </c>
      <c r="H1993" s="12" t="s">
        <v>4661</v>
      </c>
      <c r="I1993" s="13" t="s">
        <v>4666</v>
      </c>
      <c r="J1993" s="13" t="s">
        <v>4679</v>
      </c>
      <c r="K1993" s="13" t="s">
        <v>4672</v>
      </c>
      <c r="L1993" s="12" t="s">
        <v>4672</v>
      </c>
      <c r="M1993" s="17" t="str">
        <f>IF(LEN(COUNTIFS($H$1:H1993,$H1993,$I$1:I1993,$I1993,$J$1:J1993,$J1993,$K$1:K1993,K1993,$L$1:L1993,L1993))=1,"00"&amp;COUNTIFS($H$1:H1993,$H1993,$I$1:I1993,$I1993,$J$1:J1993,$J1993,$K$1:K1993,K1993,$L$1:L1993,L1993),IF(LEN(COUNTIFS($H$1:H1993,$H1993,$I$1:I1993,$I1993,$J$1:J1993,$J1993,$K$1:K1993,K1993,$L$1:L1993,L1993))=2,"0"&amp;COUNTIFS($H$1:H1993,$H1993,$I$1:I1993,$I1993,$J$1:J1993,$J1993,$K$1:K1993,K1993,$L$1:L1993,L1993),COUNTIFS($H$1:H1993,$H1993,$I$1:I1993,$I1993,$J$1:J1993,$J1993,$K$1:K1993,K1993,$L$1:L1993,L1993)))</f>
        <v>022</v>
      </c>
      <c r="N199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93" s="14" t="e">
        <f>+LEN(Table4[[#This Row],[New Item Code]])</f>
        <v>#N/A</v>
      </c>
      <c r="P1993" s="15" t="s">
        <v>4747</v>
      </c>
      <c r="Q1993" s="15" t="s">
        <v>4749</v>
      </c>
      <c r="R1993" s="15"/>
      <c r="S1993" s="15"/>
      <c r="T1993" s="15" t="s">
        <v>4679</v>
      </c>
    </row>
    <row r="1994" spans="1:20" x14ac:dyDescent="0.35">
      <c r="A1994" s="3" t="s">
        <v>3935</v>
      </c>
      <c r="B1994" s="3" t="s">
        <v>3936</v>
      </c>
      <c r="C1994" s="3" t="s">
        <v>15</v>
      </c>
      <c r="D1994" s="3">
        <v>0</v>
      </c>
      <c r="E1994" s="3" t="s">
        <v>10</v>
      </c>
      <c r="F1994" s="3">
        <v>0</v>
      </c>
      <c r="G1994" s="21">
        <f>Table4[[#This Row],[Item Cost]]*Table4[[#This Row],[In Stock]]</f>
        <v>0</v>
      </c>
      <c r="H1994" s="12" t="s">
        <v>4661</v>
      </c>
      <c r="I1994" s="13" t="s">
        <v>4666</v>
      </c>
      <c r="J1994" s="13" t="s">
        <v>4679</v>
      </c>
      <c r="K1994" s="13" t="s">
        <v>4672</v>
      </c>
      <c r="L1994" s="12" t="s">
        <v>4672</v>
      </c>
      <c r="M1994" s="17" t="str">
        <f>IF(LEN(COUNTIFS($H$1:H1994,$H1994,$I$1:I1994,$I1994,$J$1:J1994,$J1994,$K$1:K1994,K1994,$L$1:L1994,L1994))=1,"00"&amp;COUNTIFS($H$1:H1994,$H1994,$I$1:I1994,$I1994,$J$1:J1994,$J1994,$K$1:K1994,K1994,$L$1:L1994,L1994),IF(LEN(COUNTIFS($H$1:H1994,$H1994,$I$1:I1994,$I1994,$J$1:J1994,$J1994,$K$1:K1994,K1994,$L$1:L1994,L1994))=2,"0"&amp;COUNTIFS($H$1:H1994,$H1994,$I$1:I1994,$I1994,$J$1:J1994,$J1994,$K$1:K1994,K1994,$L$1:L1994,L1994),COUNTIFS($H$1:H1994,$H1994,$I$1:I1994,$I1994,$J$1:J1994,$J1994,$K$1:K1994,K1994,$L$1:L1994,L1994)))</f>
        <v>023</v>
      </c>
      <c r="N199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94" s="14" t="e">
        <f>+LEN(Table4[[#This Row],[New Item Code]])</f>
        <v>#N/A</v>
      </c>
      <c r="P1994" s="15" t="s">
        <v>4747</v>
      </c>
      <c r="Q1994" s="15" t="s">
        <v>4749</v>
      </c>
      <c r="R1994" s="15"/>
      <c r="S1994" s="15"/>
      <c r="T1994" s="15" t="s">
        <v>4679</v>
      </c>
    </row>
    <row r="1995" spans="1:20" x14ac:dyDescent="0.35">
      <c r="A1995" s="2" t="s">
        <v>3937</v>
      </c>
      <c r="B1995" s="2" t="s">
        <v>3938</v>
      </c>
      <c r="C1995" s="2" t="s">
        <v>15</v>
      </c>
      <c r="D1995" s="2">
        <v>0</v>
      </c>
      <c r="E1995" s="2" t="s">
        <v>10</v>
      </c>
      <c r="F1995" s="2">
        <v>0</v>
      </c>
      <c r="G1995" s="22">
        <f>Table4[[#This Row],[Item Cost]]*Table4[[#This Row],[In Stock]]</f>
        <v>0</v>
      </c>
      <c r="H1995" s="12" t="s">
        <v>4661</v>
      </c>
      <c r="I1995" s="13" t="s">
        <v>4666</v>
      </c>
      <c r="J1995" s="13" t="s">
        <v>4679</v>
      </c>
      <c r="K1995" s="13" t="s">
        <v>4672</v>
      </c>
      <c r="L1995" s="12" t="s">
        <v>4672</v>
      </c>
      <c r="M1995" s="17" t="str">
        <f>IF(LEN(COUNTIFS($H$1:H1995,$H1995,$I$1:I1995,$I1995,$J$1:J1995,$J1995,$K$1:K1995,K1995,$L$1:L1995,L1995))=1,"00"&amp;COUNTIFS($H$1:H1995,$H1995,$I$1:I1995,$I1995,$J$1:J1995,$J1995,$K$1:K1995,K1995,$L$1:L1995,L1995),IF(LEN(COUNTIFS($H$1:H1995,$H1995,$I$1:I1995,$I1995,$J$1:J1995,$J1995,$K$1:K1995,K1995,$L$1:L1995,L1995))=2,"0"&amp;COUNTIFS($H$1:H1995,$H1995,$I$1:I1995,$I1995,$J$1:J1995,$J1995,$K$1:K1995,K1995,$L$1:L1995,L1995),COUNTIFS($H$1:H1995,$H1995,$I$1:I1995,$I1995,$J$1:J1995,$J1995,$K$1:K1995,K1995,$L$1:L1995,L1995)))</f>
        <v>024</v>
      </c>
      <c r="N199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95" s="14" t="e">
        <f>+LEN(Table4[[#This Row],[New Item Code]])</f>
        <v>#N/A</v>
      </c>
      <c r="P1995" s="15" t="s">
        <v>4747</v>
      </c>
      <c r="Q1995" s="15" t="s">
        <v>4749</v>
      </c>
      <c r="R1995" s="15"/>
      <c r="S1995" s="15"/>
      <c r="T1995" s="15" t="s">
        <v>4679</v>
      </c>
    </row>
    <row r="1996" spans="1:20" x14ac:dyDescent="0.35">
      <c r="A1996" s="3" t="s">
        <v>3939</v>
      </c>
      <c r="B1996" s="3" t="s">
        <v>3940</v>
      </c>
      <c r="C1996" s="3" t="s">
        <v>15</v>
      </c>
      <c r="D1996" s="3">
        <v>0</v>
      </c>
      <c r="E1996" s="3" t="s">
        <v>10</v>
      </c>
      <c r="F1996" s="3">
        <v>0</v>
      </c>
      <c r="G1996" s="21">
        <f>Table4[[#This Row],[Item Cost]]*Table4[[#This Row],[In Stock]]</f>
        <v>0</v>
      </c>
      <c r="H1996" s="12" t="s">
        <v>4661</v>
      </c>
      <c r="I1996" s="13" t="s">
        <v>4666</v>
      </c>
      <c r="J1996" s="13" t="s">
        <v>4679</v>
      </c>
      <c r="K1996" s="13" t="s">
        <v>4672</v>
      </c>
      <c r="L1996" s="12" t="s">
        <v>4672</v>
      </c>
      <c r="M1996" s="17" t="str">
        <f>IF(LEN(COUNTIFS($H$1:H1996,$H1996,$I$1:I1996,$I1996,$J$1:J1996,$J1996,$K$1:K1996,K1996,$L$1:L1996,L1996))=1,"00"&amp;COUNTIFS($H$1:H1996,$H1996,$I$1:I1996,$I1996,$J$1:J1996,$J1996,$K$1:K1996,K1996,$L$1:L1996,L1996),IF(LEN(COUNTIFS($H$1:H1996,$H1996,$I$1:I1996,$I1996,$J$1:J1996,$J1996,$K$1:K1996,K1996,$L$1:L1996,L1996))=2,"0"&amp;COUNTIFS($H$1:H1996,$H1996,$I$1:I1996,$I1996,$J$1:J1996,$J1996,$K$1:K1996,K1996,$L$1:L1996,L1996),COUNTIFS($H$1:H1996,$H1996,$I$1:I1996,$I1996,$J$1:J1996,$J1996,$K$1:K1996,K1996,$L$1:L1996,L1996)))</f>
        <v>025</v>
      </c>
      <c r="N199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96" s="14" t="e">
        <f>+LEN(Table4[[#This Row],[New Item Code]])</f>
        <v>#N/A</v>
      </c>
      <c r="P1996" s="15" t="s">
        <v>4747</v>
      </c>
      <c r="Q1996" s="15" t="s">
        <v>4749</v>
      </c>
      <c r="R1996" s="15"/>
      <c r="S1996" s="15"/>
      <c r="T1996" s="15" t="s">
        <v>4679</v>
      </c>
    </row>
    <row r="1997" spans="1:20" x14ac:dyDescent="0.35">
      <c r="A1997" s="2" t="s">
        <v>3941</v>
      </c>
      <c r="B1997" s="2" t="s">
        <v>916</v>
      </c>
      <c r="C1997" s="2" t="s">
        <v>15</v>
      </c>
      <c r="D1997" s="2">
        <v>0</v>
      </c>
      <c r="E1997" s="2" t="s">
        <v>10</v>
      </c>
      <c r="F1997" s="2">
        <v>0</v>
      </c>
      <c r="G1997" s="22">
        <f>Table4[[#This Row],[Item Cost]]*Table4[[#This Row],[In Stock]]</f>
        <v>0</v>
      </c>
      <c r="H1997" s="12" t="s">
        <v>4661</v>
      </c>
      <c r="I1997" s="13" t="s">
        <v>4666</v>
      </c>
      <c r="J1997" s="13" t="s">
        <v>4679</v>
      </c>
      <c r="K1997" s="13" t="s">
        <v>4672</v>
      </c>
      <c r="L1997" s="12" t="s">
        <v>4672</v>
      </c>
      <c r="M1997" s="17" t="str">
        <f>IF(LEN(COUNTIFS($H$1:H1997,$H1997,$I$1:I1997,$I1997,$J$1:J1997,$J1997,$K$1:K1997,K1997,$L$1:L1997,L1997))=1,"00"&amp;COUNTIFS($H$1:H1997,$H1997,$I$1:I1997,$I1997,$J$1:J1997,$J1997,$K$1:K1997,K1997,$L$1:L1997,L1997),IF(LEN(COUNTIFS($H$1:H1997,$H1997,$I$1:I1997,$I1997,$J$1:J1997,$J1997,$K$1:K1997,K1997,$L$1:L1997,L1997))=2,"0"&amp;COUNTIFS($H$1:H1997,$H1997,$I$1:I1997,$I1997,$J$1:J1997,$J1997,$K$1:K1997,K1997,$L$1:L1997,L1997),COUNTIFS($H$1:H1997,$H1997,$I$1:I1997,$I1997,$J$1:J1997,$J1997,$K$1:K1997,K1997,$L$1:L1997,L1997)))</f>
        <v>026</v>
      </c>
      <c r="N199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97" s="14" t="e">
        <f>+LEN(Table4[[#This Row],[New Item Code]])</f>
        <v>#N/A</v>
      </c>
      <c r="P1997" s="15" t="s">
        <v>4747</v>
      </c>
      <c r="Q1997" s="15" t="s">
        <v>4749</v>
      </c>
      <c r="R1997" s="15"/>
      <c r="S1997" s="15"/>
      <c r="T1997" s="15" t="s">
        <v>4679</v>
      </c>
    </row>
    <row r="1998" spans="1:20" x14ac:dyDescent="0.35">
      <c r="A1998" s="3" t="s">
        <v>3942</v>
      </c>
      <c r="B1998" s="3" t="s">
        <v>918</v>
      </c>
      <c r="C1998" s="3" t="s">
        <v>15</v>
      </c>
      <c r="D1998" s="3">
        <v>0</v>
      </c>
      <c r="E1998" s="3" t="s">
        <v>10</v>
      </c>
      <c r="F1998" s="3">
        <v>0</v>
      </c>
      <c r="G1998" s="21">
        <f>Table4[[#This Row],[Item Cost]]*Table4[[#This Row],[In Stock]]</f>
        <v>0</v>
      </c>
      <c r="H1998" s="12" t="s">
        <v>4661</v>
      </c>
      <c r="I1998" s="13" t="s">
        <v>4666</v>
      </c>
      <c r="J1998" s="13" t="s">
        <v>4679</v>
      </c>
      <c r="K1998" s="13" t="s">
        <v>4672</v>
      </c>
      <c r="L1998" s="12" t="s">
        <v>4672</v>
      </c>
      <c r="M1998" s="17" t="str">
        <f>IF(LEN(COUNTIFS($H$1:H1998,$H1998,$I$1:I1998,$I1998,$J$1:J1998,$J1998,$K$1:K1998,K1998,$L$1:L1998,L1998))=1,"00"&amp;COUNTIFS($H$1:H1998,$H1998,$I$1:I1998,$I1998,$J$1:J1998,$J1998,$K$1:K1998,K1998,$L$1:L1998,L1998),IF(LEN(COUNTIFS($H$1:H1998,$H1998,$I$1:I1998,$I1998,$J$1:J1998,$J1998,$K$1:K1998,K1998,$L$1:L1998,L1998))=2,"0"&amp;COUNTIFS($H$1:H1998,$H1998,$I$1:I1998,$I1998,$J$1:J1998,$J1998,$K$1:K1998,K1998,$L$1:L1998,L1998),COUNTIFS($H$1:H1998,$H1998,$I$1:I1998,$I1998,$J$1:J1998,$J1998,$K$1:K1998,K1998,$L$1:L1998,L1998)))</f>
        <v>027</v>
      </c>
      <c r="N199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98" s="14" t="e">
        <f>+LEN(Table4[[#This Row],[New Item Code]])</f>
        <v>#N/A</v>
      </c>
      <c r="P1998" s="15" t="s">
        <v>4747</v>
      </c>
      <c r="Q1998" s="15" t="s">
        <v>4749</v>
      </c>
      <c r="R1998" s="15"/>
      <c r="S1998" s="15"/>
      <c r="T1998" s="15" t="s">
        <v>4679</v>
      </c>
    </row>
    <row r="1999" spans="1:20" x14ac:dyDescent="0.35">
      <c r="A1999" s="2" t="s">
        <v>3943</v>
      </c>
      <c r="B1999" s="2" t="s">
        <v>3228</v>
      </c>
      <c r="C1999" s="2" t="s">
        <v>9</v>
      </c>
      <c r="D1999" s="2">
        <v>78.858000000000004</v>
      </c>
      <c r="E1999" s="2" t="s">
        <v>10</v>
      </c>
      <c r="F1999" s="2">
        <v>5</v>
      </c>
      <c r="G1999" s="22">
        <f>Table4[[#This Row],[Item Cost]]*Table4[[#This Row],[In Stock]]</f>
        <v>394.29</v>
      </c>
      <c r="H1999" s="12" t="s">
        <v>4661</v>
      </c>
      <c r="I1999" s="13" t="s">
        <v>4664</v>
      </c>
      <c r="J1999" s="13" t="s">
        <v>4679</v>
      </c>
      <c r="K1999" s="13" t="s">
        <v>4672</v>
      </c>
      <c r="L1999" s="12" t="s">
        <v>4672</v>
      </c>
      <c r="M1999" s="17" t="str">
        <f>IF(LEN(COUNTIFS($H$1:H1999,$H1999,$I$1:I1999,$I1999,$J$1:J1999,$J1999,$K$1:K1999,K1999,$L$1:L1999,L1999))=1,"00"&amp;COUNTIFS($H$1:H1999,$H1999,$I$1:I1999,$I1999,$J$1:J1999,$J1999,$K$1:K1999,K1999,$L$1:L1999,L1999),IF(LEN(COUNTIFS($H$1:H1999,$H1999,$I$1:I1999,$I1999,$J$1:J1999,$J1999,$K$1:K1999,K1999,$L$1:L1999,L1999))=2,"0"&amp;COUNTIFS($H$1:H1999,$H1999,$I$1:I1999,$I1999,$J$1:J1999,$J1999,$K$1:K1999,K1999,$L$1:L1999,L1999),COUNTIFS($H$1:H1999,$H1999,$I$1:I1999,$I1999,$J$1:J1999,$J1999,$K$1:K1999,K1999,$L$1:L1999,L1999)))</f>
        <v>001</v>
      </c>
      <c r="N199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1999" s="14" t="e">
        <f>+LEN(Table4[[#This Row],[New Item Code]])</f>
        <v>#N/A</v>
      </c>
      <c r="P1999" s="15" t="s">
        <v>4747</v>
      </c>
      <c r="Q1999" s="15" t="s">
        <v>4749</v>
      </c>
      <c r="R1999" s="15"/>
      <c r="S1999" s="15"/>
      <c r="T1999" s="15" t="s">
        <v>4679</v>
      </c>
    </row>
    <row r="2000" spans="1:20" x14ac:dyDescent="0.35">
      <c r="A2000" s="3" t="s">
        <v>3944</v>
      </c>
      <c r="B2000" s="3" t="s">
        <v>3945</v>
      </c>
      <c r="C2000" s="3" t="s">
        <v>9</v>
      </c>
      <c r="D2000" s="3">
        <v>6000</v>
      </c>
      <c r="E2000" s="3" t="s">
        <v>10</v>
      </c>
      <c r="F2000" s="3">
        <v>2</v>
      </c>
      <c r="G2000" s="21">
        <f>Table4[[#This Row],[Item Cost]]*Table4[[#This Row],[In Stock]]</f>
        <v>12000</v>
      </c>
      <c r="H2000" s="12" t="s">
        <v>4661</v>
      </c>
      <c r="I2000" s="13" t="s">
        <v>4664</v>
      </c>
      <c r="J2000" s="13" t="s">
        <v>4679</v>
      </c>
      <c r="K2000" s="13" t="s">
        <v>4672</v>
      </c>
      <c r="L2000" s="12" t="s">
        <v>4672</v>
      </c>
      <c r="M2000" s="17" t="str">
        <f>IF(LEN(COUNTIFS($H$1:H2000,$H2000,$I$1:I2000,$I2000,$J$1:J2000,$J2000,$K$1:K2000,K2000,$L$1:L2000,L2000))=1,"00"&amp;COUNTIFS($H$1:H2000,$H2000,$I$1:I2000,$I2000,$J$1:J2000,$J2000,$K$1:K2000,K2000,$L$1:L2000,L2000),IF(LEN(COUNTIFS($H$1:H2000,$H2000,$I$1:I2000,$I2000,$J$1:J2000,$J2000,$K$1:K2000,K2000,$L$1:L2000,L2000))=2,"0"&amp;COUNTIFS($H$1:H2000,$H2000,$I$1:I2000,$I2000,$J$1:J2000,$J2000,$K$1:K2000,K2000,$L$1:L2000,L2000),COUNTIFS($H$1:H2000,$H2000,$I$1:I2000,$I2000,$J$1:J2000,$J2000,$K$1:K2000,K2000,$L$1:L2000,L2000)))</f>
        <v>002</v>
      </c>
      <c r="N200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00" s="14" t="e">
        <f>+LEN(Table4[[#This Row],[New Item Code]])</f>
        <v>#N/A</v>
      </c>
      <c r="P2000" s="15" t="s">
        <v>4747</v>
      </c>
      <c r="Q2000" s="15" t="s">
        <v>4749</v>
      </c>
      <c r="R2000" s="15"/>
      <c r="S2000" s="15"/>
      <c r="T2000" s="15" t="s">
        <v>4679</v>
      </c>
    </row>
    <row r="2001" spans="1:20" x14ac:dyDescent="0.35">
      <c r="A2001" s="2" t="s">
        <v>3946</v>
      </c>
      <c r="B2001" s="2" t="s">
        <v>3947</v>
      </c>
      <c r="C2001" s="2" t="s">
        <v>15</v>
      </c>
      <c r="D2001" s="2">
        <v>0</v>
      </c>
      <c r="E2001" s="2" t="s">
        <v>10</v>
      </c>
      <c r="F2001" s="2">
        <v>0</v>
      </c>
      <c r="G2001" s="22">
        <f>Table4[[#This Row],[Item Cost]]*Table4[[#This Row],[In Stock]]</f>
        <v>0</v>
      </c>
      <c r="H2001" s="12" t="s">
        <v>4661</v>
      </c>
      <c r="I2001" s="13" t="s">
        <v>4666</v>
      </c>
      <c r="J2001" s="13" t="s">
        <v>4679</v>
      </c>
      <c r="K2001" s="13" t="s">
        <v>4672</v>
      </c>
      <c r="L2001" s="12" t="s">
        <v>4672</v>
      </c>
      <c r="M2001" s="17" t="str">
        <f>IF(LEN(COUNTIFS($H$1:H2001,$H2001,$I$1:I2001,$I2001,$J$1:J2001,$J2001,$K$1:K2001,K2001,$L$1:L2001,L2001))=1,"00"&amp;COUNTIFS($H$1:H2001,$H2001,$I$1:I2001,$I2001,$J$1:J2001,$J2001,$K$1:K2001,K2001,$L$1:L2001,L2001),IF(LEN(COUNTIFS($H$1:H2001,$H2001,$I$1:I2001,$I2001,$J$1:J2001,$J2001,$K$1:K2001,K2001,$L$1:L2001,L2001))=2,"0"&amp;COUNTIFS($H$1:H2001,$H2001,$I$1:I2001,$I2001,$J$1:J2001,$J2001,$K$1:K2001,K2001,$L$1:L2001,L2001),COUNTIFS($H$1:H2001,$H2001,$I$1:I2001,$I2001,$J$1:J2001,$J2001,$K$1:K2001,K2001,$L$1:L2001,L2001)))</f>
        <v>028</v>
      </c>
      <c r="N200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01" s="14" t="e">
        <f>+LEN(Table4[[#This Row],[New Item Code]])</f>
        <v>#N/A</v>
      </c>
      <c r="P2001" s="15" t="s">
        <v>4747</v>
      </c>
      <c r="Q2001" s="15" t="s">
        <v>4749</v>
      </c>
      <c r="R2001" s="15"/>
      <c r="S2001" s="15"/>
      <c r="T2001" s="15" t="s">
        <v>4679</v>
      </c>
    </row>
    <row r="2002" spans="1:20" x14ac:dyDescent="0.35">
      <c r="A2002" s="3" t="s">
        <v>3948</v>
      </c>
      <c r="B2002" s="3" t="s">
        <v>3221</v>
      </c>
      <c r="C2002" s="3" t="s">
        <v>15</v>
      </c>
      <c r="D2002" s="3">
        <v>0</v>
      </c>
      <c r="E2002" s="3" t="s">
        <v>10</v>
      </c>
      <c r="F2002" s="3">
        <v>0</v>
      </c>
      <c r="G2002" s="21">
        <f>Table4[[#This Row],[Item Cost]]*Table4[[#This Row],[In Stock]]</f>
        <v>0</v>
      </c>
      <c r="H2002" s="12" t="s">
        <v>4661</v>
      </c>
      <c r="I2002" s="13" t="s">
        <v>4666</v>
      </c>
      <c r="J2002" s="13" t="s">
        <v>4679</v>
      </c>
      <c r="K2002" s="13" t="s">
        <v>4672</v>
      </c>
      <c r="L2002" s="12" t="s">
        <v>4672</v>
      </c>
      <c r="M2002" s="17" t="str">
        <f>IF(LEN(COUNTIFS($H$1:H2002,$H2002,$I$1:I2002,$I2002,$J$1:J2002,$J2002,$K$1:K2002,K2002,$L$1:L2002,L2002))=1,"00"&amp;COUNTIFS($H$1:H2002,$H2002,$I$1:I2002,$I2002,$J$1:J2002,$J2002,$K$1:K2002,K2002,$L$1:L2002,L2002),IF(LEN(COUNTIFS($H$1:H2002,$H2002,$I$1:I2002,$I2002,$J$1:J2002,$J2002,$K$1:K2002,K2002,$L$1:L2002,L2002))=2,"0"&amp;COUNTIFS($H$1:H2002,$H2002,$I$1:I2002,$I2002,$J$1:J2002,$J2002,$K$1:K2002,K2002,$L$1:L2002,L2002),COUNTIFS($H$1:H2002,$H2002,$I$1:I2002,$I2002,$J$1:J2002,$J2002,$K$1:K2002,K2002,$L$1:L2002,L2002)))</f>
        <v>029</v>
      </c>
      <c r="N200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02" s="14" t="e">
        <f>+LEN(Table4[[#This Row],[New Item Code]])</f>
        <v>#N/A</v>
      </c>
      <c r="P2002" s="15" t="s">
        <v>4747</v>
      </c>
      <c r="Q2002" s="15" t="s">
        <v>4749</v>
      </c>
      <c r="R2002" s="15"/>
      <c r="S2002" s="15"/>
      <c r="T2002" s="15" t="s">
        <v>4679</v>
      </c>
    </row>
    <row r="2003" spans="1:20" x14ac:dyDescent="0.35">
      <c r="A2003" s="2" t="s">
        <v>3949</v>
      </c>
      <c r="B2003" s="2" t="s">
        <v>3950</v>
      </c>
      <c r="C2003" s="2" t="s">
        <v>15</v>
      </c>
      <c r="D2003" s="4">
        <v>0</v>
      </c>
      <c r="E2003" s="2" t="s">
        <v>10</v>
      </c>
      <c r="F2003" s="2">
        <v>0</v>
      </c>
      <c r="G2003" s="22">
        <f>Table4[[#This Row],[Item Cost]]*Table4[[#This Row],[In Stock]]</f>
        <v>0</v>
      </c>
      <c r="H2003" s="12" t="s">
        <v>4661</v>
      </c>
      <c r="I2003" s="13" t="s">
        <v>4666</v>
      </c>
      <c r="J2003" s="13" t="s">
        <v>4679</v>
      </c>
      <c r="K2003" t="s">
        <v>4798</v>
      </c>
      <c r="L2003" s="12" t="s">
        <v>4672</v>
      </c>
      <c r="M2003" s="17" t="str">
        <f>IF(LEN(COUNTIFS($H$1:H2003,$H2003,$I$1:I2003,$I2003,$J$1:J2003,$J2003,$K$1:K2003,K2003,$L$1:L2003,L2003))=1,"00"&amp;COUNTIFS($H$1:H2003,$H2003,$I$1:I2003,$I2003,$J$1:J2003,$J2003,$K$1:K2003,K2003,$L$1:L2003,L2003),IF(LEN(COUNTIFS($H$1:H2003,$H2003,$I$1:I2003,$I2003,$J$1:J2003,$J2003,$K$1:K2003,K2003,$L$1:L2003,L2003))=2,"0"&amp;COUNTIFS($H$1:H2003,$H2003,$I$1:I2003,$I2003,$J$1:J2003,$J2003,$K$1:K2003,K2003,$L$1:L2003,L2003),COUNTIFS($H$1:H2003,$H2003,$I$1:I2003,$I2003,$J$1:J2003,$J2003,$K$1:K2003,K2003,$L$1:L2003,L2003)))</f>
        <v>001</v>
      </c>
      <c r="N200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03" s="14" t="e">
        <f>+LEN(Table4[[#This Row],[New Item Code]])</f>
        <v>#N/A</v>
      </c>
      <c r="P2003" s="15" t="s">
        <v>4747</v>
      </c>
      <c r="Q2003" s="15" t="s">
        <v>4749</v>
      </c>
      <c r="R2003" s="15"/>
      <c r="S2003" s="15"/>
      <c r="T2003" s="15" t="s">
        <v>4679</v>
      </c>
    </row>
    <row r="2004" spans="1:20" x14ac:dyDescent="0.35">
      <c r="A2004" s="3" t="s">
        <v>3951</v>
      </c>
      <c r="B2004" s="3" t="s">
        <v>3952</v>
      </c>
      <c r="C2004" s="3" t="s">
        <v>15</v>
      </c>
      <c r="D2004" s="3">
        <v>0</v>
      </c>
      <c r="E2004" s="3" t="s">
        <v>10</v>
      </c>
      <c r="F2004" s="3">
        <v>0</v>
      </c>
      <c r="G2004" s="21">
        <f>Table4[[#This Row],[Item Cost]]*Table4[[#This Row],[In Stock]]</f>
        <v>0</v>
      </c>
      <c r="H2004" s="12" t="s">
        <v>4661</v>
      </c>
      <c r="I2004" s="13" t="s">
        <v>4666</v>
      </c>
      <c r="J2004" s="13" t="s">
        <v>4679</v>
      </c>
      <c r="K2004" t="s">
        <v>4799</v>
      </c>
      <c r="L2004" s="12" t="s">
        <v>4672</v>
      </c>
      <c r="M2004" s="17" t="str">
        <f>IF(LEN(COUNTIFS($H$1:H2004,$H2004,$I$1:I2004,$I2004,$J$1:J2004,$J2004,$K$1:K2004,K2004,$L$1:L2004,L2004))=1,"00"&amp;COUNTIFS($H$1:H2004,$H2004,$I$1:I2004,$I2004,$J$1:J2004,$J2004,$K$1:K2004,K2004,$L$1:L2004,L2004),IF(LEN(COUNTIFS($H$1:H2004,$H2004,$I$1:I2004,$I2004,$J$1:J2004,$J2004,$K$1:K2004,K2004,$L$1:L2004,L2004))=2,"0"&amp;COUNTIFS($H$1:H2004,$H2004,$I$1:I2004,$I2004,$J$1:J2004,$J2004,$K$1:K2004,K2004,$L$1:L2004,L2004),COUNTIFS($H$1:H2004,$H2004,$I$1:I2004,$I2004,$J$1:J2004,$J2004,$K$1:K2004,K2004,$L$1:L2004,L2004)))</f>
        <v>001</v>
      </c>
      <c r="N200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04" s="14" t="e">
        <f>+LEN(Table4[[#This Row],[New Item Code]])</f>
        <v>#N/A</v>
      </c>
      <c r="P2004" s="15" t="s">
        <v>4747</v>
      </c>
      <c r="Q2004" s="15" t="s">
        <v>4749</v>
      </c>
      <c r="R2004" s="15"/>
      <c r="S2004" s="15"/>
      <c r="T2004" s="15" t="s">
        <v>4679</v>
      </c>
    </row>
    <row r="2005" spans="1:20" x14ac:dyDescent="0.35">
      <c r="A2005" s="2" t="s">
        <v>3953</v>
      </c>
      <c r="B2005" s="2" t="s">
        <v>3954</v>
      </c>
      <c r="C2005" s="2" t="s">
        <v>15</v>
      </c>
      <c r="D2005" s="2">
        <v>0</v>
      </c>
      <c r="E2005" s="2" t="s">
        <v>10</v>
      </c>
      <c r="F2005" s="2">
        <v>0</v>
      </c>
      <c r="G2005" s="22">
        <f>Table4[[#This Row],[Item Cost]]*Table4[[#This Row],[In Stock]]</f>
        <v>0</v>
      </c>
      <c r="H2005" s="12" t="s">
        <v>4661</v>
      </c>
      <c r="I2005" s="13" t="s">
        <v>4666</v>
      </c>
      <c r="J2005" s="13" t="s">
        <v>4679</v>
      </c>
      <c r="K2005" t="s">
        <v>4799</v>
      </c>
      <c r="L2005" s="12" t="s">
        <v>4672</v>
      </c>
      <c r="M2005" s="17" t="str">
        <f>IF(LEN(COUNTIFS($H$1:H2005,$H2005,$I$1:I2005,$I2005,$J$1:J2005,$J2005,$K$1:K2005,K2005,$L$1:L2005,L2005))=1,"00"&amp;COUNTIFS($H$1:H2005,$H2005,$I$1:I2005,$I2005,$J$1:J2005,$J2005,$K$1:K2005,K2005,$L$1:L2005,L2005),IF(LEN(COUNTIFS($H$1:H2005,$H2005,$I$1:I2005,$I2005,$J$1:J2005,$J2005,$K$1:K2005,K2005,$L$1:L2005,L2005))=2,"0"&amp;COUNTIFS($H$1:H2005,$H2005,$I$1:I2005,$I2005,$J$1:J2005,$J2005,$K$1:K2005,K2005,$L$1:L2005,L2005),COUNTIFS($H$1:H2005,$H2005,$I$1:I2005,$I2005,$J$1:J2005,$J2005,$K$1:K2005,K2005,$L$1:L2005,L2005)))</f>
        <v>002</v>
      </c>
      <c r="N200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05" s="14" t="e">
        <f>+LEN(Table4[[#This Row],[New Item Code]])</f>
        <v>#N/A</v>
      </c>
      <c r="P2005" s="15" t="s">
        <v>4747</v>
      </c>
      <c r="Q2005" s="15" t="s">
        <v>4749</v>
      </c>
      <c r="R2005" s="15"/>
      <c r="S2005" s="15"/>
      <c r="T2005" s="15" t="s">
        <v>4679</v>
      </c>
    </row>
    <row r="2006" spans="1:20" x14ac:dyDescent="0.35">
      <c r="A2006" s="3" t="s">
        <v>3955</v>
      </c>
      <c r="B2006" s="3" t="s">
        <v>3956</v>
      </c>
      <c r="C2006" s="3" t="s">
        <v>9</v>
      </c>
      <c r="D2006" s="3">
        <v>90</v>
      </c>
      <c r="E2006" s="3" t="s">
        <v>10</v>
      </c>
      <c r="F2006" s="3">
        <v>4</v>
      </c>
      <c r="G2006" s="21">
        <f>Table4[[#This Row],[Item Cost]]*Table4[[#This Row],[In Stock]]</f>
        <v>360</v>
      </c>
      <c r="H2006" s="12" t="s">
        <v>4661</v>
      </c>
      <c r="I2006" s="13" t="s">
        <v>4664</v>
      </c>
      <c r="J2006" s="13" t="s">
        <v>4679</v>
      </c>
      <c r="K2006" s="7" t="s">
        <v>4771</v>
      </c>
      <c r="L2006" s="12" t="s">
        <v>4672</v>
      </c>
      <c r="M2006" s="17" t="str">
        <f>IF(LEN(COUNTIFS($H$1:H2006,$H2006,$I$1:I2006,$I2006,$J$1:J2006,$J2006,$K$1:K2006,K2006,$L$1:L2006,L2006))=1,"00"&amp;COUNTIFS($H$1:H2006,$H2006,$I$1:I2006,$I2006,$J$1:J2006,$J2006,$K$1:K2006,K2006,$L$1:L2006,L2006),IF(LEN(COUNTIFS($H$1:H2006,$H2006,$I$1:I2006,$I2006,$J$1:J2006,$J2006,$K$1:K2006,K2006,$L$1:L2006,L2006))=2,"0"&amp;COUNTIFS($H$1:H2006,$H2006,$I$1:I2006,$I2006,$J$1:J2006,$J2006,$K$1:K2006,K2006,$L$1:L2006,L2006),COUNTIFS($H$1:H2006,$H2006,$I$1:I2006,$I2006,$J$1:J2006,$J2006,$K$1:K2006,K2006,$L$1:L2006,L2006)))</f>
        <v>001</v>
      </c>
      <c r="N200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06" s="14" t="e">
        <f>+LEN(Table4[[#This Row],[New Item Code]])</f>
        <v>#N/A</v>
      </c>
      <c r="P2006" s="15" t="s">
        <v>4747</v>
      </c>
      <c r="Q2006" s="15" t="s">
        <v>4749</v>
      </c>
      <c r="R2006" s="15"/>
      <c r="S2006" s="15"/>
      <c r="T2006" s="15" t="s">
        <v>4679</v>
      </c>
    </row>
    <row r="2007" spans="1:20" x14ac:dyDescent="0.35">
      <c r="A2007" s="2" t="s">
        <v>3957</v>
      </c>
      <c r="B2007" s="2" t="s">
        <v>3958</v>
      </c>
      <c r="C2007" s="2" t="s">
        <v>9</v>
      </c>
      <c r="D2007" s="2">
        <v>675</v>
      </c>
      <c r="E2007" s="2" t="s">
        <v>10</v>
      </c>
      <c r="F2007" s="2">
        <v>2</v>
      </c>
      <c r="G2007" s="22">
        <f>Table4[[#This Row],[Item Cost]]*Table4[[#This Row],[In Stock]]</f>
        <v>1350</v>
      </c>
      <c r="H2007" s="12" t="s">
        <v>4661</v>
      </c>
      <c r="I2007" s="13" t="s">
        <v>4664</v>
      </c>
      <c r="J2007" s="13" t="s">
        <v>4679</v>
      </c>
      <c r="K2007" t="s">
        <v>4795</v>
      </c>
      <c r="L2007" s="12" t="s">
        <v>4672</v>
      </c>
      <c r="M2007" s="17" t="str">
        <f>IF(LEN(COUNTIFS($H$1:H2007,$H2007,$I$1:I2007,$I2007,$J$1:J2007,$J2007,$K$1:K2007,K2007,$L$1:L2007,L2007))=1,"00"&amp;COUNTIFS($H$1:H2007,$H2007,$I$1:I2007,$I2007,$J$1:J2007,$J2007,$K$1:K2007,K2007,$L$1:L2007,L2007),IF(LEN(COUNTIFS($H$1:H2007,$H2007,$I$1:I2007,$I2007,$J$1:J2007,$J2007,$K$1:K2007,K2007,$L$1:L2007,L2007))=2,"0"&amp;COUNTIFS($H$1:H2007,$H2007,$I$1:I2007,$I2007,$J$1:J2007,$J2007,$K$1:K2007,K2007,$L$1:L2007,L2007),COUNTIFS($H$1:H2007,$H2007,$I$1:I2007,$I2007,$J$1:J2007,$J2007,$K$1:K2007,K2007,$L$1:L2007,L2007)))</f>
        <v>001</v>
      </c>
      <c r="N200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07" s="14" t="e">
        <f>+LEN(Table4[[#This Row],[New Item Code]])</f>
        <v>#N/A</v>
      </c>
      <c r="P2007" s="15" t="s">
        <v>4747</v>
      </c>
      <c r="Q2007" s="15" t="s">
        <v>4749</v>
      </c>
      <c r="R2007" s="15"/>
      <c r="S2007" s="15"/>
      <c r="T2007" s="15" t="s">
        <v>4679</v>
      </c>
    </row>
    <row r="2008" spans="1:20" x14ac:dyDescent="0.35">
      <c r="A2008" s="3" t="s">
        <v>3959</v>
      </c>
      <c r="B2008" s="3" t="s">
        <v>908</v>
      </c>
      <c r="C2008" s="3" t="s">
        <v>15</v>
      </c>
      <c r="D2008" s="3">
        <v>154</v>
      </c>
      <c r="E2008" s="3" t="s">
        <v>10</v>
      </c>
      <c r="F2008" s="3">
        <v>9</v>
      </c>
      <c r="G2008" s="21">
        <f>Table4[[#This Row],[Item Cost]]*Table4[[#This Row],[In Stock]]</f>
        <v>1386</v>
      </c>
      <c r="H2008" s="12" t="s">
        <v>4661</v>
      </c>
      <c r="I2008" s="13" t="s">
        <v>4666</v>
      </c>
      <c r="J2008" s="13" t="s">
        <v>4679</v>
      </c>
      <c r="K2008" s="13" t="s">
        <v>4672</v>
      </c>
      <c r="L2008" s="12" t="s">
        <v>4672</v>
      </c>
      <c r="M2008" s="17" t="str">
        <f>IF(LEN(COUNTIFS($H$1:H2008,$H2008,$I$1:I2008,$I2008,$J$1:J2008,$J2008,$K$1:K2008,K2008,$L$1:L2008,L2008))=1,"00"&amp;COUNTIFS($H$1:H2008,$H2008,$I$1:I2008,$I2008,$J$1:J2008,$J2008,$K$1:K2008,K2008,$L$1:L2008,L2008),IF(LEN(COUNTIFS($H$1:H2008,$H2008,$I$1:I2008,$I2008,$J$1:J2008,$J2008,$K$1:K2008,K2008,$L$1:L2008,L2008))=2,"0"&amp;COUNTIFS($H$1:H2008,$H2008,$I$1:I2008,$I2008,$J$1:J2008,$J2008,$K$1:K2008,K2008,$L$1:L2008,L2008),COUNTIFS($H$1:H2008,$H2008,$I$1:I2008,$I2008,$J$1:J2008,$J2008,$K$1:K2008,K2008,$L$1:L2008,L2008)))</f>
        <v>030</v>
      </c>
      <c r="N200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08" s="14" t="e">
        <f>+LEN(Table4[[#This Row],[New Item Code]])</f>
        <v>#N/A</v>
      </c>
      <c r="P2008" s="15" t="s">
        <v>4747</v>
      </c>
      <c r="Q2008" s="15" t="s">
        <v>4749</v>
      </c>
      <c r="R2008" s="15"/>
      <c r="S2008" s="15"/>
      <c r="T2008" s="15" t="s">
        <v>4679</v>
      </c>
    </row>
    <row r="2009" spans="1:20" x14ac:dyDescent="0.35">
      <c r="A2009" s="2" t="s">
        <v>3960</v>
      </c>
      <c r="B2009" s="2" t="s">
        <v>3961</v>
      </c>
      <c r="C2009" s="2" t="s">
        <v>9</v>
      </c>
      <c r="D2009" s="2">
        <v>884.54499999999996</v>
      </c>
      <c r="E2009" s="2" t="s">
        <v>10</v>
      </c>
      <c r="F2009" s="2">
        <v>11</v>
      </c>
      <c r="G2009" s="22">
        <f>Table4[[#This Row],[Item Cost]]*Table4[[#This Row],[In Stock]]</f>
        <v>9729.994999999999</v>
      </c>
      <c r="H2009" s="12" t="s">
        <v>4661</v>
      </c>
      <c r="I2009" s="13" t="s">
        <v>4664</v>
      </c>
      <c r="J2009" s="13" t="s">
        <v>4679</v>
      </c>
      <c r="K2009" s="13" t="s">
        <v>4672</v>
      </c>
      <c r="L2009" s="12" t="s">
        <v>4672</v>
      </c>
      <c r="M2009" s="17" t="str">
        <f>IF(LEN(COUNTIFS($H$1:H2009,$H2009,$I$1:I2009,$I2009,$J$1:J2009,$J2009,$K$1:K2009,K2009,$L$1:L2009,L2009))=1,"00"&amp;COUNTIFS($H$1:H2009,$H2009,$I$1:I2009,$I2009,$J$1:J2009,$J2009,$K$1:K2009,K2009,$L$1:L2009,L2009),IF(LEN(COUNTIFS($H$1:H2009,$H2009,$I$1:I2009,$I2009,$J$1:J2009,$J2009,$K$1:K2009,K2009,$L$1:L2009,L2009))=2,"0"&amp;COUNTIFS($H$1:H2009,$H2009,$I$1:I2009,$I2009,$J$1:J2009,$J2009,$K$1:K2009,K2009,$L$1:L2009,L2009),COUNTIFS($H$1:H2009,$H2009,$I$1:I2009,$I2009,$J$1:J2009,$J2009,$K$1:K2009,K2009,$L$1:L2009,L2009)))</f>
        <v>003</v>
      </c>
      <c r="N200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09" s="14" t="e">
        <f>+LEN(Table4[[#This Row],[New Item Code]])</f>
        <v>#N/A</v>
      </c>
      <c r="P2009" s="15" t="s">
        <v>4747</v>
      </c>
      <c r="Q2009" s="15" t="s">
        <v>4749</v>
      </c>
      <c r="R2009" s="15"/>
      <c r="S2009" s="15"/>
      <c r="T2009" s="15" t="s">
        <v>4679</v>
      </c>
    </row>
    <row r="2010" spans="1:20" x14ac:dyDescent="0.35">
      <c r="A2010" s="3" t="s">
        <v>3962</v>
      </c>
      <c r="B2010" s="3" t="s">
        <v>3963</v>
      </c>
      <c r="C2010" s="3" t="s">
        <v>15</v>
      </c>
      <c r="D2010" s="3">
        <v>500</v>
      </c>
      <c r="E2010" s="3" t="s">
        <v>10</v>
      </c>
      <c r="F2010" s="3">
        <v>0</v>
      </c>
      <c r="G2010" s="21">
        <f>Table4[[#This Row],[Item Cost]]*Table4[[#This Row],[In Stock]]</f>
        <v>0</v>
      </c>
      <c r="H2010" s="12" t="s">
        <v>4661</v>
      </c>
      <c r="I2010" s="13" t="s">
        <v>4666</v>
      </c>
      <c r="J2010" s="13" t="s">
        <v>4679</v>
      </c>
      <c r="K2010" s="13" t="s">
        <v>4672</v>
      </c>
      <c r="L2010" s="12" t="s">
        <v>4672</v>
      </c>
      <c r="M2010" s="17" t="str">
        <f>IF(LEN(COUNTIFS($H$1:H2010,$H2010,$I$1:I2010,$I2010,$J$1:J2010,$J2010,$K$1:K2010,K2010,$L$1:L2010,L2010))=1,"00"&amp;COUNTIFS($H$1:H2010,$H2010,$I$1:I2010,$I2010,$J$1:J2010,$J2010,$K$1:K2010,K2010,$L$1:L2010,L2010),IF(LEN(COUNTIFS($H$1:H2010,$H2010,$I$1:I2010,$I2010,$J$1:J2010,$J2010,$K$1:K2010,K2010,$L$1:L2010,L2010))=2,"0"&amp;COUNTIFS($H$1:H2010,$H2010,$I$1:I2010,$I2010,$J$1:J2010,$J2010,$K$1:K2010,K2010,$L$1:L2010,L2010),COUNTIFS($H$1:H2010,$H2010,$I$1:I2010,$I2010,$J$1:J2010,$J2010,$K$1:K2010,K2010,$L$1:L2010,L2010)))</f>
        <v>031</v>
      </c>
      <c r="N201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10" s="14" t="e">
        <f>+LEN(Table4[[#This Row],[New Item Code]])</f>
        <v>#N/A</v>
      </c>
      <c r="P2010" s="15" t="s">
        <v>4747</v>
      </c>
      <c r="Q2010" s="15" t="s">
        <v>4749</v>
      </c>
      <c r="R2010" s="15"/>
      <c r="S2010" s="15"/>
      <c r="T2010" s="15" t="s">
        <v>4679</v>
      </c>
    </row>
    <row r="2011" spans="1:20" x14ac:dyDescent="0.35">
      <c r="A2011" s="2" t="s">
        <v>3964</v>
      </c>
      <c r="B2011" s="2" t="s">
        <v>3965</v>
      </c>
      <c r="C2011" s="2" t="s">
        <v>9</v>
      </c>
      <c r="D2011" s="2">
        <v>502.72699999999998</v>
      </c>
      <c r="E2011" s="2" t="s">
        <v>10</v>
      </c>
      <c r="F2011" s="2">
        <v>11</v>
      </c>
      <c r="G2011" s="22">
        <f>Table4[[#This Row],[Item Cost]]*Table4[[#This Row],[In Stock]]</f>
        <v>5529.9969999999994</v>
      </c>
      <c r="H2011" s="12" t="s">
        <v>4661</v>
      </c>
      <c r="I2011" s="13" t="s">
        <v>4664</v>
      </c>
      <c r="J2011" s="13" t="s">
        <v>4679</v>
      </c>
      <c r="K2011" s="13" t="s">
        <v>4672</v>
      </c>
      <c r="L2011" s="12" t="s">
        <v>4672</v>
      </c>
      <c r="M2011" s="17" t="str">
        <f>IF(LEN(COUNTIFS($H$1:H2011,$H2011,$I$1:I2011,$I2011,$J$1:J2011,$J2011,$K$1:K2011,K2011,$L$1:L2011,L2011))=1,"00"&amp;COUNTIFS($H$1:H2011,$H2011,$I$1:I2011,$I2011,$J$1:J2011,$J2011,$K$1:K2011,K2011,$L$1:L2011,L2011),IF(LEN(COUNTIFS($H$1:H2011,$H2011,$I$1:I2011,$I2011,$J$1:J2011,$J2011,$K$1:K2011,K2011,$L$1:L2011,L2011))=2,"0"&amp;COUNTIFS($H$1:H2011,$H2011,$I$1:I2011,$I2011,$J$1:J2011,$J2011,$K$1:K2011,K2011,$L$1:L2011,L2011),COUNTIFS($H$1:H2011,$H2011,$I$1:I2011,$I2011,$J$1:J2011,$J2011,$K$1:K2011,K2011,$L$1:L2011,L2011)))</f>
        <v>004</v>
      </c>
      <c r="N201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11" s="14" t="e">
        <f>+LEN(Table4[[#This Row],[New Item Code]])</f>
        <v>#N/A</v>
      </c>
      <c r="P2011" s="15" t="s">
        <v>4747</v>
      </c>
      <c r="Q2011" s="15" t="s">
        <v>4749</v>
      </c>
      <c r="R2011" s="15"/>
      <c r="S2011" s="15"/>
      <c r="T2011" s="15" t="s">
        <v>4679</v>
      </c>
    </row>
    <row r="2012" spans="1:20" x14ac:dyDescent="0.35">
      <c r="A2012" s="3" t="s">
        <v>3966</v>
      </c>
      <c r="B2012" s="3" t="s">
        <v>3967</v>
      </c>
      <c r="C2012" s="3" t="s">
        <v>9</v>
      </c>
      <c r="D2012" s="3">
        <v>450</v>
      </c>
      <c r="E2012" s="3" t="s">
        <v>10</v>
      </c>
      <c r="F2012" s="3">
        <v>8</v>
      </c>
      <c r="G2012" s="21">
        <f>Table4[[#This Row],[Item Cost]]*Table4[[#This Row],[In Stock]]</f>
        <v>3600</v>
      </c>
      <c r="H2012" s="12" t="s">
        <v>4661</v>
      </c>
      <c r="I2012" s="13" t="s">
        <v>4664</v>
      </c>
      <c r="J2012" s="13" t="s">
        <v>4679</v>
      </c>
      <c r="K2012" s="13" t="s">
        <v>4672</v>
      </c>
      <c r="L2012" s="12" t="s">
        <v>4672</v>
      </c>
      <c r="M2012" s="17" t="str">
        <f>IF(LEN(COUNTIFS($H$1:H2012,$H2012,$I$1:I2012,$I2012,$J$1:J2012,$J2012,$K$1:K2012,K2012,$L$1:L2012,L2012))=1,"00"&amp;COUNTIFS($H$1:H2012,$H2012,$I$1:I2012,$I2012,$J$1:J2012,$J2012,$K$1:K2012,K2012,$L$1:L2012,L2012),IF(LEN(COUNTIFS($H$1:H2012,$H2012,$I$1:I2012,$I2012,$J$1:J2012,$J2012,$K$1:K2012,K2012,$L$1:L2012,L2012))=2,"0"&amp;COUNTIFS($H$1:H2012,$H2012,$I$1:I2012,$I2012,$J$1:J2012,$J2012,$K$1:K2012,K2012,$L$1:L2012,L2012),COUNTIFS($H$1:H2012,$H2012,$I$1:I2012,$I2012,$J$1:J2012,$J2012,$K$1:K2012,K2012,$L$1:L2012,L2012)))</f>
        <v>005</v>
      </c>
      <c r="N201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12" s="14" t="e">
        <f>+LEN(Table4[[#This Row],[New Item Code]])</f>
        <v>#N/A</v>
      </c>
      <c r="P2012" s="15" t="s">
        <v>4747</v>
      </c>
      <c r="Q2012" s="15" t="s">
        <v>4749</v>
      </c>
      <c r="R2012" s="15"/>
      <c r="S2012" s="15"/>
      <c r="T2012" s="15" t="s">
        <v>4679</v>
      </c>
    </row>
    <row r="2013" spans="1:20" x14ac:dyDescent="0.35">
      <c r="A2013" s="2" t="s">
        <v>3968</v>
      </c>
      <c r="B2013" s="2" t="s">
        <v>3969</v>
      </c>
      <c r="C2013" s="2" t="s">
        <v>9</v>
      </c>
      <c r="D2013" s="2">
        <v>726.66700000000003</v>
      </c>
      <c r="E2013" s="2" t="s">
        <v>10</v>
      </c>
      <c r="F2013" s="2">
        <v>24</v>
      </c>
      <c r="G2013" s="22">
        <f>Table4[[#This Row],[Item Cost]]*Table4[[#This Row],[In Stock]]</f>
        <v>17440.008000000002</v>
      </c>
      <c r="H2013" s="12" t="s">
        <v>4661</v>
      </c>
      <c r="I2013" s="13" t="s">
        <v>4664</v>
      </c>
      <c r="J2013" s="13" t="s">
        <v>4679</v>
      </c>
      <c r="K2013" s="13" t="s">
        <v>4672</v>
      </c>
      <c r="L2013" s="12" t="s">
        <v>4672</v>
      </c>
      <c r="M2013" s="17" t="str">
        <f>IF(LEN(COUNTIFS($H$1:H2013,$H2013,$I$1:I2013,$I2013,$J$1:J2013,$J2013,$K$1:K2013,K2013,$L$1:L2013,L2013))=1,"00"&amp;COUNTIFS($H$1:H2013,$H2013,$I$1:I2013,$I2013,$J$1:J2013,$J2013,$K$1:K2013,K2013,$L$1:L2013,L2013),IF(LEN(COUNTIFS($H$1:H2013,$H2013,$I$1:I2013,$I2013,$J$1:J2013,$J2013,$K$1:K2013,K2013,$L$1:L2013,L2013))=2,"0"&amp;COUNTIFS($H$1:H2013,$H2013,$I$1:I2013,$I2013,$J$1:J2013,$J2013,$K$1:K2013,K2013,$L$1:L2013,L2013),COUNTIFS($H$1:H2013,$H2013,$I$1:I2013,$I2013,$J$1:J2013,$J2013,$K$1:K2013,K2013,$L$1:L2013,L2013)))</f>
        <v>006</v>
      </c>
      <c r="N201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13" s="14" t="e">
        <f>+LEN(Table4[[#This Row],[New Item Code]])</f>
        <v>#N/A</v>
      </c>
      <c r="P2013" s="15" t="s">
        <v>4747</v>
      </c>
      <c r="Q2013" s="15" t="s">
        <v>4749</v>
      </c>
      <c r="R2013" s="15"/>
      <c r="S2013" s="15"/>
      <c r="T2013" s="15" t="s">
        <v>4679</v>
      </c>
    </row>
    <row r="2014" spans="1:20" x14ac:dyDescent="0.35">
      <c r="A2014" s="3" t="s">
        <v>3970</v>
      </c>
      <c r="B2014" s="3" t="s">
        <v>3971</v>
      </c>
      <c r="C2014" s="3" t="s">
        <v>15</v>
      </c>
      <c r="D2014" s="3">
        <v>0</v>
      </c>
      <c r="E2014" s="3" t="s">
        <v>10</v>
      </c>
      <c r="F2014" s="3">
        <v>0</v>
      </c>
      <c r="G2014" s="21">
        <f>Table4[[#This Row],[Item Cost]]*Table4[[#This Row],[In Stock]]</f>
        <v>0</v>
      </c>
      <c r="H2014" s="12" t="s">
        <v>4661</v>
      </c>
      <c r="I2014" s="13" t="s">
        <v>4666</v>
      </c>
      <c r="J2014" s="13" t="s">
        <v>4679</v>
      </c>
      <c r="K2014" s="13" t="s">
        <v>4672</v>
      </c>
      <c r="L2014" s="12" t="s">
        <v>4672</v>
      </c>
      <c r="M2014" s="17" t="str">
        <f>IF(LEN(COUNTIFS($H$1:H2014,$H2014,$I$1:I2014,$I2014,$J$1:J2014,$J2014,$K$1:K2014,K2014,$L$1:L2014,L2014))=1,"00"&amp;COUNTIFS($H$1:H2014,$H2014,$I$1:I2014,$I2014,$J$1:J2014,$J2014,$K$1:K2014,K2014,$L$1:L2014,L2014),IF(LEN(COUNTIFS($H$1:H2014,$H2014,$I$1:I2014,$I2014,$J$1:J2014,$J2014,$K$1:K2014,K2014,$L$1:L2014,L2014))=2,"0"&amp;COUNTIFS($H$1:H2014,$H2014,$I$1:I2014,$I2014,$J$1:J2014,$J2014,$K$1:K2014,K2014,$L$1:L2014,L2014),COUNTIFS($H$1:H2014,$H2014,$I$1:I2014,$I2014,$J$1:J2014,$J2014,$K$1:K2014,K2014,$L$1:L2014,L2014)))</f>
        <v>032</v>
      </c>
      <c r="N201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14" s="14" t="e">
        <f>+LEN(Table4[[#This Row],[New Item Code]])</f>
        <v>#N/A</v>
      </c>
      <c r="P2014" s="15" t="s">
        <v>4747</v>
      </c>
      <c r="Q2014" s="15" t="s">
        <v>4749</v>
      </c>
      <c r="R2014" s="15"/>
      <c r="S2014" s="15"/>
      <c r="T2014" s="15" t="s">
        <v>4679</v>
      </c>
    </row>
    <row r="2015" spans="1:20" x14ac:dyDescent="0.35">
      <c r="A2015" s="2" t="s">
        <v>3972</v>
      </c>
      <c r="B2015" s="2" t="s">
        <v>3973</v>
      </c>
      <c r="C2015" s="2" t="s">
        <v>15</v>
      </c>
      <c r="D2015" s="2">
        <v>0</v>
      </c>
      <c r="E2015" s="2" t="s">
        <v>10</v>
      </c>
      <c r="F2015" s="2">
        <v>0</v>
      </c>
      <c r="G2015" s="22">
        <f>Table4[[#This Row],[Item Cost]]*Table4[[#This Row],[In Stock]]</f>
        <v>0</v>
      </c>
      <c r="H2015" s="12" t="s">
        <v>4661</v>
      </c>
      <c r="I2015" s="13" t="s">
        <v>4666</v>
      </c>
      <c r="J2015" s="13" t="s">
        <v>4679</v>
      </c>
      <c r="K2015" s="13" t="s">
        <v>4672</v>
      </c>
      <c r="L2015" s="12" t="s">
        <v>4672</v>
      </c>
      <c r="M2015" s="17" t="str">
        <f>IF(LEN(COUNTIFS($H$1:H2015,$H2015,$I$1:I2015,$I2015,$J$1:J2015,$J2015,$K$1:K2015,K2015,$L$1:L2015,L2015))=1,"00"&amp;COUNTIFS($H$1:H2015,$H2015,$I$1:I2015,$I2015,$J$1:J2015,$J2015,$K$1:K2015,K2015,$L$1:L2015,L2015),IF(LEN(COUNTIFS($H$1:H2015,$H2015,$I$1:I2015,$I2015,$J$1:J2015,$J2015,$K$1:K2015,K2015,$L$1:L2015,L2015))=2,"0"&amp;COUNTIFS($H$1:H2015,$H2015,$I$1:I2015,$I2015,$J$1:J2015,$J2015,$K$1:K2015,K2015,$L$1:L2015,L2015),COUNTIFS($H$1:H2015,$H2015,$I$1:I2015,$I2015,$J$1:J2015,$J2015,$K$1:K2015,K2015,$L$1:L2015,L2015)))</f>
        <v>033</v>
      </c>
      <c r="N201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15" s="14" t="e">
        <f>+LEN(Table4[[#This Row],[New Item Code]])</f>
        <v>#N/A</v>
      </c>
      <c r="P2015" s="15" t="s">
        <v>4747</v>
      </c>
      <c r="Q2015" s="15" t="s">
        <v>4749</v>
      </c>
      <c r="R2015" s="15"/>
      <c r="S2015" s="15"/>
      <c r="T2015" s="15" t="s">
        <v>4679</v>
      </c>
    </row>
    <row r="2016" spans="1:20" x14ac:dyDescent="0.35">
      <c r="A2016" s="3" t="s">
        <v>3974</v>
      </c>
      <c r="B2016" s="3" t="s">
        <v>3975</v>
      </c>
      <c r="C2016" s="3" t="s">
        <v>15</v>
      </c>
      <c r="D2016" s="3">
        <v>0</v>
      </c>
      <c r="E2016" s="3" t="s">
        <v>10</v>
      </c>
      <c r="F2016" s="3">
        <v>0</v>
      </c>
      <c r="G2016" s="21">
        <f>Table4[[#This Row],[Item Cost]]*Table4[[#This Row],[In Stock]]</f>
        <v>0</v>
      </c>
      <c r="H2016" s="12" t="s">
        <v>4661</v>
      </c>
      <c r="I2016" s="13" t="s">
        <v>4666</v>
      </c>
      <c r="J2016" s="13" t="s">
        <v>4679</v>
      </c>
      <c r="K2016" s="13" t="s">
        <v>4672</v>
      </c>
      <c r="L2016" s="12" t="s">
        <v>4672</v>
      </c>
      <c r="M2016" s="17" t="str">
        <f>IF(LEN(COUNTIFS($H$1:H2016,$H2016,$I$1:I2016,$I2016,$J$1:J2016,$J2016,$K$1:K2016,K2016,$L$1:L2016,L2016))=1,"00"&amp;COUNTIFS($H$1:H2016,$H2016,$I$1:I2016,$I2016,$J$1:J2016,$J2016,$K$1:K2016,K2016,$L$1:L2016,L2016),IF(LEN(COUNTIFS($H$1:H2016,$H2016,$I$1:I2016,$I2016,$J$1:J2016,$J2016,$K$1:K2016,K2016,$L$1:L2016,L2016))=2,"0"&amp;COUNTIFS($H$1:H2016,$H2016,$I$1:I2016,$I2016,$J$1:J2016,$J2016,$K$1:K2016,K2016,$L$1:L2016,L2016),COUNTIFS($H$1:H2016,$H2016,$I$1:I2016,$I2016,$J$1:J2016,$J2016,$K$1:K2016,K2016,$L$1:L2016,L2016)))</f>
        <v>034</v>
      </c>
      <c r="N201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16" s="14" t="e">
        <f>+LEN(Table4[[#This Row],[New Item Code]])</f>
        <v>#N/A</v>
      </c>
      <c r="P2016" s="15" t="s">
        <v>4747</v>
      </c>
      <c r="Q2016" s="15" t="s">
        <v>4749</v>
      </c>
      <c r="R2016" s="15"/>
      <c r="S2016" s="15"/>
      <c r="T2016" s="15" t="s">
        <v>4679</v>
      </c>
    </row>
    <row r="2017" spans="1:20" x14ac:dyDescent="0.35">
      <c r="A2017" s="2" t="s">
        <v>3976</v>
      </c>
      <c r="B2017" s="2" t="s">
        <v>3977</v>
      </c>
      <c r="C2017" s="2" t="s">
        <v>15</v>
      </c>
      <c r="D2017" s="2">
        <v>0</v>
      </c>
      <c r="E2017" s="2" t="s">
        <v>10</v>
      </c>
      <c r="F2017" s="2">
        <v>0</v>
      </c>
      <c r="G2017" s="22">
        <f>Table4[[#This Row],[Item Cost]]*Table4[[#This Row],[In Stock]]</f>
        <v>0</v>
      </c>
      <c r="H2017" s="12" t="s">
        <v>4661</v>
      </c>
      <c r="I2017" s="13" t="s">
        <v>4666</v>
      </c>
      <c r="J2017" s="13" t="s">
        <v>4679</v>
      </c>
      <c r="K2017" s="13" t="s">
        <v>4672</v>
      </c>
      <c r="L2017" s="12" t="s">
        <v>4672</v>
      </c>
      <c r="M2017" s="17" t="str">
        <f>IF(LEN(COUNTIFS($H$1:H2017,$H2017,$I$1:I2017,$I2017,$J$1:J2017,$J2017,$K$1:K2017,K2017,$L$1:L2017,L2017))=1,"00"&amp;COUNTIFS($H$1:H2017,$H2017,$I$1:I2017,$I2017,$J$1:J2017,$J2017,$K$1:K2017,K2017,$L$1:L2017,L2017),IF(LEN(COUNTIFS($H$1:H2017,$H2017,$I$1:I2017,$I2017,$J$1:J2017,$J2017,$K$1:K2017,K2017,$L$1:L2017,L2017))=2,"0"&amp;COUNTIFS($H$1:H2017,$H2017,$I$1:I2017,$I2017,$J$1:J2017,$J2017,$K$1:K2017,K2017,$L$1:L2017,L2017),COUNTIFS($H$1:H2017,$H2017,$I$1:I2017,$I2017,$J$1:J2017,$J2017,$K$1:K2017,K2017,$L$1:L2017,L2017)))</f>
        <v>035</v>
      </c>
      <c r="N201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17" s="14" t="e">
        <f>+LEN(Table4[[#This Row],[New Item Code]])</f>
        <v>#N/A</v>
      </c>
      <c r="P2017" s="15" t="s">
        <v>4747</v>
      </c>
      <c r="Q2017" s="15" t="s">
        <v>4749</v>
      </c>
      <c r="R2017" s="15"/>
      <c r="S2017" s="15"/>
      <c r="T2017" s="15" t="s">
        <v>4679</v>
      </c>
    </row>
    <row r="2018" spans="1:20" x14ac:dyDescent="0.35">
      <c r="A2018" s="3" t="s">
        <v>3978</v>
      </c>
      <c r="B2018" s="3" t="s">
        <v>3979</v>
      </c>
      <c r="C2018" s="3" t="s">
        <v>15</v>
      </c>
      <c r="D2018" s="3">
        <v>0</v>
      </c>
      <c r="E2018" s="3" t="s">
        <v>10</v>
      </c>
      <c r="F2018" s="3">
        <v>0</v>
      </c>
      <c r="G2018" s="21">
        <f>Table4[[#This Row],[Item Cost]]*Table4[[#This Row],[In Stock]]</f>
        <v>0</v>
      </c>
      <c r="H2018" s="12" t="s">
        <v>4661</v>
      </c>
      <c r="I2018" s="13" t="s">
        <v>4666</v>
      </c>
      <c r="J2018" s="13" t="s">
        <v>4679</v>
      </c>
      <c r="K2018" s="13" t="s">
        <v>4672</v>
      </c>
      <c r="L2018" s="12" t="s">
        <v>4672</v>
      </c>
      <c r="M2018" s="17" t="str">
        <f>IF(LEN(COUNTIFS($H$1:H2018,$H2018,$I$1:I2018,$I2018,$J$1:J2018,$J2018,$K$1:K2018,K2018,$L$1:L2018,L2018))=1,"00"&amp;COUNTIFS($H$1:H2018,$H2018,$I$1:I2018,$I2018,$J$1:J2018,$J2018,$K$1:K2018,K2018,$L$1:L2018,L2018),IF(LEN(COUNTIFS($H$1:H2018,$H2018,$I$1:I2018,$I2018,$J$1:J2018,$J2018,$K$1:K2018,K2018,$L$1:L2018,L2018))=2,"0"&amp;COUNTIFS($H$1:H2018,$H2018,$I$1:I2018,$I2018,$J$1:J2018,$J2018,$K$1:K2018,K2018,$L$1:L2018,L2018),COUNTIFS($H$1:H2018,$H2018,$I$1:I2018,$I2018,$J$1:J2018,$J2018,$K$1:K2018,K2018,$L$1:L2018,L2018)))</f>
        <v>036</v>
      </c>
      <c r="N201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18" s="14" t="e">
        <f>+LEN(Table4[[#This Row],[New Item Code]])</f>
        <v>#N/A</v>
      </c>
      <c r="P2018" s="15" t="s">
        <v>4747</v>
      </c>
      <c r="Q2018" s="15" t="s">
        <v>4749</v>
      </c>
      <c r="R2018" s="15"/>
      <c r="S2018" s="15"/>
      <c r="T2018" s="15" t="s">
        <v>4679</v>
      </c>
    </row>
    <row r="2019" spans="1:20" x14ac:dyDescent="0.35">
      <c r="A2019" s="2" t="s">
        <v>3980</v>
      </c>
      <c r="B2019" s="2" t="s">
        <v>3981</v>
      </c>
      <c r="C2019" s="2" t="s">
        <v>15</v>
      </c>
      <c r="D2019" s="2">
        <v>0</v>
      </c>
      <c r="E2019" s="2" t="s">
        <v>10</v>
      </c>
      <c r="F2019" s="2">
        <v>0</v>
      </c>
      <c r="G2019" s="22">
        <f>Table4[[#This Row],[Item Cost]]*Table4[[#This Row],[In Stock]]</f>
        <v>0</v>
      </c>
      <c r="H2019" s="12" t="s">
        <v>4661</v>
      </c>
      <c r="I2019" s="13" t="s">
        <v>4666</v>
      </c>
      <c r="J2019" s="13" t="s">
        <v>4679</v>
      </c>
      <c r="K2019" s="13" t="s">
        <v>4672</v>
      </c>
      <c r="L2019" s="12" t="s">
        <v>4672</v>
      </c>
      <c r="M2019" s="17" t="str">
        <f>IF(LEN(COUNTIFS($H$1:H2019,$H2019,$I$1:I2019,$I2019,$J$1:J2019,$J2019,$K$1:K2019,K2019,$L$1:L2019,L2019))=1,"00"&amp;COUNTIFS($H$1:H2019,$H2019,$I$1:I2019,$I2019,$J$1:J2019,$J2019,$K$1:K2019,K2019,$L$1:L2019,L2019),IF(LEN(COUNTIFS($H$1:H2019,$H2019,$I$1:I2019,$I2019,$J$1:J2019,$J2019,$K$1:K2019,K2019,$L$1:L2019,L2019))=2,"0"&amp;COUNTIFS($H$1:H2019,$H2019,$I$1:I2019,$I2019,$J$1:J2019,$J2019,$K$1:K2019,K2019,$L$1:L2019,L2019),COUNTIFS($H$1:H2019,$H2019,$I$1:I2019,$I2019,$J$1:J2019,$J2019,$K$1:K2019,K2019,$L$1:L2019,L2019)))</f>
        <v>037</v>
      </c>
      <c r="N201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19" s="14" t="e">
        <f>+LEN(Table4[[#This Row],[New Item Code]])</f>
        <v>#N/A</v>
      </c>
      <c r="P2019" s="15" t="s">
        <v>4747</v>
      </c>
      <c r="Q2019" s="15" t="s">
        <v>4749</v>
      </c>
      <c r="R2019" s="15"/>
      <c r="S2019" s="15"/>
      <c r="T2019" s="15" t="s">
        <v>4679</v>
      </c>
    </row>
    <row r="2020" spans="1:20" x14ac:dyDescent="0.35">
      <c r="A2020" s="3" t="s">
        <v>3982</v>
      </c>
      <c r="B2020" s="3" t="s">
        <v>3983</v>
      </c>
      <c r="C2020" s="3" t="s">
        <v>15</v>
      </c>
      <c r="D2020" s="3">
        <v>0</v>
      </c>
      <c r="E2020" s="3" t="s">
        <v>10</v>
      </c>
      <c r="F2020" s="3">
        <v>0</v>
      </c>
      <c r="G2020" s="21">
        <f>Table4[[#This Row],[Item Cost]]*Table4[[#This Row],[In Stock]]</f>
        <v>0</v>
      </c>
      <c r="H2020" s="12" t="s">
        <v>4661</v>
      </c>
      <c r="I2020" s="13" t="s">
        <v>4666</v>
      </c>
      <c r="J2020" s="13" t="s">
        <v>4679</v>
      </c>
      <c r="K2020" s="13" t="s">
        <v>4672</v>
      </c>
      <c r="L2020" s="12" t="s">
        <v>4672</v>
      </c>
      <c r="M2020" s="17" t="str">
        <f>IF(LEN(COUNTIFS($H$1:H2020,$H2020,$I$1:I2020,$I2020,$J$1:J2020,$J2020,$K$1:K2020,K2020,$L$1:L2020,L2020))=1,"00"&amp;COUNTIFS($H$1:H2020,$H2020,$I$1:I2020,$I2020,$J$1:J2020,$J2020,$K$1:K2020,K2020,$L$1:L2020,L2020),IF(LEN(COUNTIFS($H$1:H2020,$H2020,$I$1:I2020,$I2020,$J$1:J2020,$J2020,$K$1:K2020,K2020,$L$1:L2020,L2020))=2,"0"&amp;COUNTIFS($H$1:H2020,$H2020,$I$1:I2020,$I2020,$J$1:J2020,$J2020,$K$1:K2020,K2020,$L$1:L2020,L2020),COUNTIFS($H$1:H2020,$H2020,$I$1:I2020,$I2020,$J$1:J2020,$J2020,$K$1:K2020,K2020,$L$1:L2020,L2020)))</f>
        <v>038</v>
      </c>
      <c r="N202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20" s="14" t="e">
        <f>+LEN(Table4[[#This Row],[New Item Code]])</f>
        <v>#N/A</v>
      </c>
      <c r="P2020" s="15" t="s">
        <v>4747</v>
      </c>
      <c r="Q2020" s="15" t="s">
        <v>4749</v>
      </c>
      <c r="R2020" s="15"/>
      <c r="S2020" s="15"/>
      <c r="T2020" s="15" t="s">
        <v>4679</v>
      </c>
    </row>
    <row r="2021" spans="1:20" x14ac:dyDescent="0.35">
      <c r="A2021" s="2" t="s">
        <v>3984</v>
      </c>
      <c r="B2021" s="2" t="s">
        <v>3985</v>
      </c>
      <c r="C2021" s="2" t="s">
        <v>15</v>
      </c>
      <c r="D2021" s="2">
        <v>0</v>
      </c>
      <c r="E2021" s="2" t="s">
        <v>10</v>
      </c>
      <c r="F2021" s="2">
        <v>0</v>
      </c>
      <c r="G2021" s="22">
        <f>Table4[[#This Row],[Item Cost]]*Table4[[#This Row],[In Stock]]</f>
        <v>0</v>
      </c>
      <c r="H2021" s="12" t="s">
        <v>4661</v>
      </c>
      <c r="I2021" s="13" t="s">
        <v>4666</v>
      </c>
      <c r="J2021" s="13" t="s">
        <v>4679</v>
      </c>
      <c r="K2021" s="13" t="s">
        <v>4672</v>
      </c>
      <c r="L2021" s="12" t="s">
        <v>4672</v>
      </c>
      <c r="M2021" s="17" t="str">
        <f>IF(LEN(COUNTIFS($H$1:H2021,$H2021,$I$1:I2021,$I2021,$J$1:J2021,$J2021,$K$1:K2021,K2021,$L$1:L2021,L2021))=1,"00"&amp;COUNTIFS($H$1:H2021,$H2021,$I$1:I2021,$I2021,$J$1:J2021,$J2021,$K$1:K2021,K2021,$L$1:L2021,L2021),IF(LEN(COUNTIFS($H$1:H2021,$H2021,$I$1:I2021,$I2021,$J$1:J2021,$J2021,$K$1:K2021,K2021,$L$1:L2021,L2021))=2,"0"&amp;COUNTIFS($H$1:H2021,$H2021,$I$1:I2021,$I2021,$J$1:J2021,$J2021,$K$1:K2021,K2021,$L$1:L2021,L2021),COUNTIFS($H$1:H2021,$H2021,$I$1:I2021,$I2021,$J$1:J2021,$J2021,$K$1:K2021,K2021,$L$1:L2021,L2021)))</f>
        <v>039</v>
      </c>
      <c r="N202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21" s="14" t="e">
        <f>+LEN(Table4[[#This Row],[New Item Code]])</f>
        <v>#N/A</v>
      </c>
      <c r="P2021" s="15" t="s">
        <v>4747</v>
      </c>
      <c r="Q2021" s="15" t="s">
        <v>4749</v>
      </c>
      <c r="R2021" s="15"/>
      <c r="S2021" s="15"/>
      <c r="T2021" s="15" t="s">
        <v>4679</v>
      </c>
    </row>
    <row r="2022" spans="1:20" x14ac:dyDescent="0.35">
      <c r="A2022" s="3" t="s">
        <v>3986</v>
      </c>
      <c r="B2022" s="3" t="s">
        <v>3987</v>
      </c>
      <c r="C2022" s="3" t="s">
        <v>15</v>
      </c>
      <c r="D2022" s="3">
        <v>0</v>
      </c>
      <c r="E2022" s="3" t="s">
        <v>10</v>
      </c>
      <c r="F2022" s="3">
        <v>0</v>
      </c>
      <c r="G2022" s="21">
        <f>Table4[[#This Row],[Item Cost]]*Table4[[#This Row],[In Stock]]</f>
        <v>0</v>
      </c>
      <c r="H2022" s="12" t="s">
        <v>4661</v>
      </c>
      <c r="I2022" s="13" t="s">
        <v>4666</v>
      </c>
      <c r="J2022" s="13" t="s">
        <v>4679</v>
      </c>
      <c r="K2022" s="13" t="s">
        <v>4672</v>
      </c>
      <c r="L2022" s="12" t="s">
        <v>4672</v>
      </c>
      <c r="M2022" s="17" t="str">
        <f>IF(LEN(COUNTIFS($H$1:H2022,$H2022,$I$1:I2022,$I2022,$J$1:J2022,$J2022,$K$1:K2022,K2022,$L$1:L2022,L2022))=1,"00"&amp;COUNTIFS($H$1:H2022,$H2022,$I$1:I2022,$I2022,$J$1:J2022,$J2022,$K$1:K2022,K2022,$L$1:L2022,L2022),IF(LEN(COUNTIFS($H$1:H2022,$H2022,$I$1:I2022,$I2022,$J$1:J2022,$J2022,$K$1:K2022,K2022,$L$1:L2022,L2022))=2,"0"&amp;COUNTIFS($H$1:H2022,$H2022,$I$1:I2022,$I2022,$J$1:J2022,$J2022,$K$1:K2022,K2022,$L$1:L2022,L2022),COUNTIFS($H$1:H2022,$H2022,$I$1:I2022,$I2022,$J$1:J2022,$J2022,$K$1:K2022,K2022,$L$1:L2022,L2022)))</f>
        <v>040</v>
      </c>
      <c r="N202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22" s="14" t="e">
        <f>+LEN(Table4[[#This Row],[New Item Code]])</f>
        <v>#N/A</v>
      </c>
      <c r="P2022" s="15" t="s">
        <v>4747</v>
      </c>
      <c r="Q2022" s="15" t="s">
        <v>4749</v>
      </c>
      <c r="R2022" s="15"/>
      <c r="S2022" s="15"/>
      <c r="T2022" s="15" t="s">
        <v>4679</v>
      </c>
    </row>
    <row r="2023" spans="1:20" x14ac:dyDescent="0.35">
      <c r="A2023" s="2" t="s">
        <v>3988</v>
      </c>
      <c r="B2023" s="2" t="s">
        <v>3989</v>
      </c>
      <c r="C2023" s="2" t="s">
        <v>9</v>
      </c>
      <c r="D2023" s="2">
        <v>39.935000000000002</v>
      </c>
      <c r="E2023" s="2" t="s">
        <v>10</v>
      </c>
      <c r="F2023" s="2">
        <v>31</v>
      </c>
      <c r="G2023" s="22">
        <f>Table4[[#This Row],[Item Cost]]*Table4[[#This Row],[In Stock]]</f>
        <v>1237.9850000000001</v>
      </c>
      <c r="H2023" s="12" t="s">
        <v>4661</v>
      </c>
      <c r="I2023" s="13" t="s">
        <v>4664</v>
      </c>
      <c r="J2023" s="13" t="s">
        <v>4679</v>
      </c>
      <c r="K2023" s="13" t="s">
        <v>4672</v>
      </c>
      <c r="L2023" s="12" t="s">
        <v>4672</v>
      </c>
      <c r="M2023" s="17" t="str">
        <f>IF(LEN(COUNTIFS($H$1:H2023,$H2023,$I$1:I2023,$I2023,$J$1:J2023,$J2023,$K$1:K2023,K2023,$L$1:L2023,L2023))=1,"00"&amp;COUNTIFS($H$1:H2023,$H2023,$I$1:I2023,$I2023,$J$1:J2023,$J2023,$K$1:K2023,K2023,$L$1:L2023,L2023),IF(LEN(COUNTIFS($H$1:H2023,$H2023,$I$1:I2023,$I2023,$J$1:J2023,$J2023,$K$1:K2023,K2023,$L$1:L2023,L2023))=2,"0"&amp;COUNTIFS($H$1:H2023,$H2023,$I$1:I2023,$I2023,$J$1:J2023,$J2023,$K$1:K2023,K2023,$L$1:L2023,L2023),COUNTIFS($H$1:H2023,$H2023,$I$1:I2023,$I2023,$J$1:J2023,$J2023,$K$1:K2023,K2023,$L$1:L2023,L2023)))</f>
        <v>007</v>
      </c>
      <c r="N202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23" s="14" t="e">
        <f>+LEN(Table4[[#This Row],[New Item Code]])</f>
        <v>#N/A</v>
      </c>
      <c r="P2023" s="15" t="s">
        <v>4747</v>
      </c>
      <c r="Q2023" s="15" t="s">
        <v>4749</v>
      </c>
      <c r="R2023" s="15"/>
      <c r="S2023" s="15"/>
      <c r="T2023" s="15" t="s">
        <v>4679</v>
      </c>
    </row>
    <row r="2024" spans="1:20" x14ac:dyDescent="0.35">
      <c r="A2024" s="3" t="s">
        <v>3990</v>
      </c>
      <c r="B2024" s="3" t="s">
        <v>3991</v>
      </c>
      <c r="C2024" s="3" t="s">
        <v>15</v>
      </c>
      <c r="D2024" s="3">
        <v>38</v>
      </c>
      <c r="E2024" s="3" t="s">
        <v>10</v>
      </c>
      <c r="F2024" s="3">
        <v>30</v>
      </c>
      <c r="G2024" s="21">
        <f>Table4[[#This Row],[Item Cost]]*Table4[[#This Row],[In Stock]]</f>
        <v>1140</v>
      </c>
      <c r="H2024" s="12" t="s">
        <v>4661</v>
      </c>
      <c r="I2024" s="13" t="s">
        <v>4666</v>
      </c>
      <c r="J2024" s="13" t="s">
        <v>4679</v>
      </c>
      <c r="K2024" s="13" t="s">
        <v>4672</v>
      </c>
      <c r="L2024" s="12" t="s">
        <v>4672</v>
      </c>
      <c r="M2024" s="17" t="str">
        <f>IF(LEN(COUNTIFS($H$1:H2024,$H2024,$I$1:I2024,$I2024,$J$1:J2024,$J2024,$K$1:K2024,K2024,$L$1:L2024,L2024))=1,"00"&amp;COUNTIFS($H$1:H2024,$H2024,$I$1:I2024,$I2024,$J$1:J2024,$J2024,$K$1:K2024,K2024,$L$1:L2024,L2024),IF(LEN(COUNTIFS($H$1:H2024,$H2024,$I$1:I2024,$I2024,$J$1:J2024,$J2024,$K$1:K2024,K2024,$L$1:L2024,L2024))=2,"0"&amp;COUNTIFS($H$1:H2024,$H2024,$I$1:I2024,$I2024,$J$1:J2024,$J2024,$K$1:K2024,K2024,$L$1:L2024,L2024),COUNTIFS($H$1:H2024,$H2024,$I$1:I2024,$I2024,$J$1:J2024,$J2024,$K$1:K2024,K2024,$L$1:L2024,L2024)))</f>
        <v>041</v>
      </c>
      <c r="N202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24" s="14" t="e">
        <f>+LEN(Table4[[#This Row],[New Item Code]])</f>
        <v>#N/A</v>
      </c>
      <c r="P2024" s="15" t="s">
        <v>4747</v>
      </c>
      <c r="Q2024" s="15" t="s">
        <v>4749</v>
      </c>
      <c r="R2024" s="15"/>
      <c r="S2024" s="15"/>
      <c r="T2024" s="15" t="s">
        <v>4679</v>
      </c>
    </row>
    <row r="2025" spans="1:20" x14ac:dyDescent="0.35">
      <c r="A2025" s="2" t="s">
        <v>3992</v>
      </c>
      <c r="B2025" s="2" t="s">
        <v>3993</v>
      </c>
      <c r="C2025" s="2" t="s">
        <v>9</v>
      </c>
      <c r="D2025" s="2">
        <v>20</v>
      </c>
      <c r="E2025" s="2" t="s">
        <v>10</v>
      </c>
      <c r="F2025" s="2">
        <v>8</v>
      </c>
      <c r="G2025" s="22">
        <f>Table4[[#This Row],[Item Cost]]*Table4[[#This Row],[In Stock]]</f>
        <v>160</v>
      </c>
      <c r="H2025" s="12" t="s">
        <v>4661</v>
      </c>
      <c r="I2025" s="13" t="s">
        <v>4664</v>
      </c>
      <c r="J2025" s="13" t="s">
        <v>4679</v>
      </c>
      <c r="K2025" s="13" t="s">
        <v>4672</v>
      </c>
      <c r="L2025" s="12" t="s">
        <v>4672</v>
      </c>
      <c r="M2025" s="17" t="str">
        <f>IF(LEN(COUNTIFS($H$1:H2025,$H2025,$I$1:I2025,$I2025,$J$1:J2025,$J2025,$K$1:K2025,K2025,$L$1:L2025,L2025))=1,"00"&amp;COUNTIFS($H$1:H2025,$H2025,$I$1:I2025,$I2025,$J$1:J2025,$J2025,$K$1:K2025,K2025,$L$1:L2025,L2025),IF(LEN(COUNTIFS($H$1:H2025,$H2025,$I$1:I2025,$I2025,$J$1:J2025,$J2025,$K$1:K2025,K2025,$L$1:L2025,L2025))=2,"0"&amp;COUNTIFS($H$1:H2025,$H2025,$I$1:I2025,$I2025,$J$1:J2025,$J2025,$K$1:K2025,K2025,$L$1:L2025,L2025),COUNTIFS($H$1:H2025,$H2025,$I$1:I2025,$I2025,$J$1:J2025,$J2025,$K$1:K2025,K2025,$L$1:L2025,L2025)))</f>
        <v>008</v>
      </c>
      <c r="N202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25" s="14" t="e">
        <f>+LEN(Table4[[#This Row],[New Item Code]])</f>
        <v>#N/A</v>
      </c>
      <c r="P2025" s="15" t="s">
        <v>4747</v>
      </c>
      <c r="Q2025" s="15" t="s">
        <v>4749</v>
      </c>
      <c r="R2025" s="15"/>
      <c r="S2025" s="15"/>
      <c r="T2025" s="15" t="s">
        <v>4679</v>
      </c>
    </row>
    <row r="2026" spans="1:20" x14ac:dyDescent="0.35">
      <c r="A2026" s="3" t="s">
        <v>3994</v>
      </c>
      <c r="B2026" s="3" t="s">
        <v>3995</v>
      </c>
      <c r="C2026" s="3" t="s">
        <v>9</v>
      </c>
      <c r="D2026" s="3">
        <v>20</v>
      </c>
      <c r="E2026" s="3" t="s">
        <v>10</v>
      </c>
      <c r="F2026" s="3">
        <v>7</v>
      </c>
      <c r="G2026" s="21">
        <f>Table4[[#This Row],[Item Cost]]*Table4[[#This Row],[In Stock]]</f>
        <v>140</v>
      </c>
      <c r="H2026" s="12" t="s">
        <v>4661</v>
      </c>
      <c r="I2026" s="13" t="s">
        <v>4664</v>
      </c>
      <c r="J2026" s="13" t="s">
        <v>4679</v>
      </c>
      <c r="K2026" s="13" t="s">
        <v>4672</v>
      </c>
      <c r="L2026" s="12" t="s">
        <v>4672</v>
      </c>
      <c r="M2026" s="17" t="str">
        <f>IF(LEN(COUNTIFS($H$1:H2026,$H2026,$I$1:I2026,$I2026,$J$1:J2026,$J2026,$K$1:K2026,K2026,$L$1:L2026,L2026))=1,"00"&amp;COUNTIFS($H$1:H2026,$H2026,$I$1:I2026,$I2026,$J$1:J2026,$J2026,$K$1:K2026,K2026,$L$1:L2026,L2026),IF(LEN(COUNTIFS($H$1:H2026,$H2026,$I$1:I2026,$I2026,$J$1:J2026,$J2026,$K$1:K2026,K2026,$L$1:L2026,L2026))=2,"0"&amp;COUNTIFS($H$1:H2026,$H2026,$I$1:I2026,$I2026,$J$1:J2026,$J2026,$K$1:K2026,K2026,$L$1:L2026,L2026),COUNTIFS($H$1:H2026,$H2026,$I$1:I2026,$I2026,$J$1:J2026,$J2026,$K$1:K2026,K2026,$L$1:L2026,L2026)))</f>
        <v>009</v>
      </c>
      <c r="N202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26" s="14" t="e">
        <f>+LEN(Table4[[#This Row],[New Item Code]])</f>
        <v>#N/A</v>
      </c>
      <c r="P2026" s="15" t="s">
        <v>4747</v>
      </c>
      <c r="Q2026" s="15" t="s">
        <v>4749</v>
      </c>
      <c r="R2026" s="15"/>
      <c r="S2026" s="15"/>
      <c r="T2026" s="15" t="s">
        <v>4679</v>
      </c>
    </row>
    <row r="2027" spans="1:20" x14ac:dyDescent="0.35">
      <c r="A2027" s="2" t="s">
        <v>3996</v>
      </c>
      <c r="B2027" s="2" t="s">
        <v>3997</v>
      </c>
      <c r="C2027" s="2" t="s">
        <v>9</v>
      </c>
      <c r="D2027" s="2">
        <v>15</v>
      </c>
      <c r="E2027" s="2" t="s">
        <v>10</v>
      </c>
      <c r="F2027" s="2">
        <v>5</v>
      </c>
      <c r="G2027" s="22">
        <f>Table4[[#This Row],[Item Cost]]*Table4[[#This Row],[In Stock]]</f>
        <v>75</v>
      </c>
      <c r="H2027" s="12" t="s">
        <v>4661</v>
      </c>
      <c r="I2027" s="13" t="s">
        <v>4664</v>
      </c>
      <c r="J2027" s="13" t="s">
        <v>4679</v>
      </c>
      <c r="K2027" s="7" t="s">
        <v>4771</v>
      </c>
      <c r="L2027" s="12" t="s">
        <v>4672</v>
      </c>
      <c r="M2027" s="17" t="str">
        <f>IF(LEN(COUNTIFS($H$1:H2027,$H2027,$I$1:I2027,$I2027,$J$1:J2027,$J2027,$K$1:K2027,K2027,$L$1:L2027,L2027))=1,"00"&amp;COUNTIFS($H$1:H2027,$H2027,$I$1:I2027,$I2027,$J$1:J2027,$J2027,$K$1:K2027,K2027,$L$1:L2027,L2027),IF(LEN(COUNTIFS($H$1:H2027,$H2027,$I$1:I2027,$I2027,$J$1:J2027,$J2027,$K$1:K2027,K2027,$L$1:L2027,L2027))=2,"0"&amp;COUNTIFS($H$1:H2027,$H2027,$I$1:I2027,$I2027,$J$1:J2027,$J2027,$K$1:K2027,K2027,$L$1:L2027,L2027),COUNTIFS($H$1:H2027,$H2027,$I$1:I2027,$I2027,$J$1:J2027,$J2027,$K$1:K2027,K2027,$L$1:L2027,L2027)))</f>
        <v>002</v>
      </c>
      <c r="N202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27" s="14" t="e">
        <f>+LEN(Table4[[#This Row],[New Item Code]])</f>
        <v>#N/A</v>
      </c>
      <c r="P2027" s="15" t="s">
        <v>4747</v>
      </c>
      <c r="Q2027" s="15" t="s">
        <v>4749</v>
      </c>
      <c r="R2027" s="15"/>
      <c r="S2027" s="15"/>
      <c r="T2027" s="15" t="s">
        <v>4679</v>
      </c>
    </row>
    <row r="2028" spans="1:20" x14ac:dyDescent="0.35">
      <c r="A2028" s="3" t="s">
        <v>3998</v>
      </c>
      <c r="B2028" s="3" t="s">
        <v>3999</v>
      </c>
      <c r="C2028" s="3" t="s">
        <v>9</v>
      </c>
      <c r="D2028" s="3">
        <v>120</v>
      </c>
      <c r="E2028" s="3" t="s">
        <v>10</v>
      </c>
      <c r="F2028" s="3">
        <v>5</v>
      </c>
      <c r="G2028" s="21">
        <f>Table4[[#This Row],[Item Cost]]*Table4[[#This Row],[In Stock]]</f>
        <v>600</v>
      </c>
      <c r="H2028" s="12" t="s">
        <v>4661</v>
      </c>
      <c r="I2028" s="13" t="s">
        <v>4664</v>
      </c>
      <c r="J2028" s="13" t="s">
        <v>4679</v>
      </c>
      <c r="K2028" s="13" t="s">
        <v>4672</v>
      </c>
      <c r="L2028" s="12" t="s">
        <v>4672</v>
      </c>
      <c r="M2028" s="17" t="str">
        <f>IF(LEN(COUNTIFS($H$1:H2028,$H2028,$I$1:I2028,$I2028,$J$1:J2028,$J2028,$K$1:K2028,K2028,$L$1:L2028,L2028))=1,"00"&amp;COUNTIFS($H$1:H2028,$H2028,$I$1:I2028,$I2028,$J$1:J2028,$J2028,$K$1:K2028,K2028,$L$1:L2028,L2028),IF(LEN(COUNTIFS($H$1:H2028,$H2028,$I$1:I2028,$I2028,$J$1:J2028,$J2028,$K$1:K2028,K2028,$L$1:L2028,L2028))=2,"0"&amp;COUNTIFS($H$1:H2028,$H2028,$I$1:I2028,$I2028,$J$1:J2028,$J2028,$K$1:K2028,K2028,$L$1:L2028,L2028),COUNTIFS($H$1:H2028,$H2028,$I$1:I2028,$I2028,$J$1:J2028,$J2028,$K$1:K2028,K2028,$L$1:L2028,L2028)))</f>
        <v>010</v>
      </c>
      <c r="N202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28" s="14" t="e">
        <f>+LEN(Table4[[#This Row],[New Item Code]])</f>
        <v>#N/A</v>
      </c>
      <c r="P2028" s="15" t="s">
        <v>4747</v>
      </c>
      <c r="Q2028" s="15" t="s">
        <v>4749</v>
      </c>
      <c r="R2028" s="15"/>
      <c r="S2028" s="15"/>
      <c r="T2028" s="15" t="s">
        <v>4679</v>
      </c>
    </row>
    <row r="2029" spans="1:20" x14ac:dyDescent="0.35">
      <c r="A2029" s="2" t="s">
        <v>4000</v>
      </c>
      <c r="B2029" s="2" t="s">
        <v>4001</v>
      </c>
      <c r="C2029" s="2" t="s">
        <v>9</v>
      </c>
      <c r="D2029" s="2">
        <v>1011.2</v>
      </c>
      <c r="E2029" s="2" t="s">
        <v>10</v>
      </c>
      <c r="F2029" s="2">
        <v>15</v>
      </c>
      <c r="G2029" s="22">
        <f>Table4[[#This Row],[Item Cost]]*Table4[[#This Row],[In Stock]]</f>
        <v>15168</v>
      </c>
      <c r="H2029" s="12" t="s">
        <v>4661</v>
      </c>
      <c r="I2029" s="13" t="s">
        <v>4664</v>
      </c>
      <c r="J2029" s="13" t="s">
        <v>4679</v>
      </c>
      <c r="K2029" s="13" t="s">
        <v>4672</v>
      </c>
      <c r="L2029" s="12" t="s">
        <v>4672</v>
      </c>
      <c r="M2029" s="17" t="str">
        <f>IF(LEN(COUNTIFS($H$1:H2029,$H2029,$I$1:I2029,$I2029,$J$1:J2029,$J2029,$K$1:K2029,K2029,$L$1:L2029,L2029))=1,"00"&amp;COUNTIFS($H$1:H2029,$H2029,$I$1:I2029,$I2029,$J$1:J2029,$J2029,$K$1:K2029,K2029,$L$1:L2029,L2029),IF(LEN(COUNTIFS($H$1:H2029,$H2029,$I$1:I2029,$I2029,$J$1:J2029,$J2029,$K$1:K2029,K2029,$L$1:L2029,L2029))=2,"0"&amp;COUNTIFS($H$1:H2029,$H2029,$I$1:I2029,$I2029,$J$1:J2029,$J2029,$K$1:K2029,K2029,$L$1:L2029,L2029),COUNTIFS($H$1:H2029,$H2029,$I$1:I2029,$I2029,$J$1:J2029,$J2029,$K$1:K2029,K2029,$L$1:L2029,L2029)))</f>
        <v>011</v>
      </c>
      <c r="N202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29" s="14" t="e">
        <f>+LEN(Table4[[#This Row],[New Item Code]])</f>
        <v>#N/A</v>
      </c>
      <c r="P2029" s="15" t="s">
        <v>4747</v>
      </c>
      <c r="Q2029" s="15" t="s">
        <v>4749</v>
      </c>
      <c r="R2029" s="15"/>
      <c r="S2029" s="15"/>
      <c r="T2029" s="15" t="s">
        <v>4679</v>
      </c>
    </row>
    <row r="2030" spans="1:20" x14ac:dyDescent="0.35">
      <c r="A2030" s="3" t="s">
        <v>4002</v>
      </c>
      <c r="B2030" s="3" t="s">
        <v>4003</v>
      </c>
      <c r="C2030" s="3" t="s">
        <v>9</v>
      </c>
      <c r="D2030" s="3">
        <v>250</v>
      </c>
      <c r="E2030" s="3" t="s">
        <v>10</v>
      </c>
      <c r="F2030" s="3">
        <v>1</v>
      </c>
      <c r="G2030" s="21">
        <f>Table4[[#This Row],[Item Cost]]*Table4[[#This Row],[In Stock]]</f>
        <v>250</v>
      </c>
      <c r="H2030" s="12" t="s">
        <v>4661</v>
      </c>
      <c r="I2030" s="13" t="s">
        <v>4664</v>
      </c>
      <c r="J2030" s="13" t="s">
        <v>4679</v>
      </c>
      <c r="K2030" t="s">
        <v>4799</v>
      </c>
      <c r="L2030" s="12" t="s">
        <v>4672</v>
      </c>
      <c r="M2030" s="17" t="str">
        <f>IF(LEN(COUNTIFS($H$1:H2030,$H2030,$I$1:I2030,$I2030,$J$1:J2030,$J2030,$K$1:K2030,K2030,$L$1:L2030,L2030))=1,"00"&amp;COUNTIFS($H$1:H2030,$H2030,$I$1:I2030,$I2030,$J$1:J2030,$J2030,$K$1:K2030,K2030,$L$1:L2030,L2030),IF(LEN(COUNTIFS($H$1:H2030,$H2030,$I$1:I2030,$I2030,$J$1:J2030,$J2030,$K$1:K2030,K2030,$L$1:L2030,L2030))=2,"0"&amp;COUNTIFS($H$1:H2030,$H2030,$I$1:I2030,$I2030,$J$1:J2030,$J2030,$K$1:K2030,K2030,$L$1:L2030,L2030),COUNTIFS($H$1:H2030,$H2030,$I$1:I2030,$I2030,$J$1:J2030,$J2030,$K$1:K2030,K2030,$L$1:L2030,L2030)))</f>
        <v>001</v>
      </c>
      <c r="N203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30" s="14" t="e">
        <f>+LEN(Table4[[#This Row],[New Item Code]])</f>
        <v>#N/A</v>
      </c>
      <c r="P2030" s="15" t="s">
        <v>4747</v>
      </c>
      <c r="Q2030" s="15" t="s">
        <v>4749</v>
      </c>
      <c r="R2030" s="15"/>
      <c r="S2030" s="15"/>
      <c r="T2030" s="15" t="s">
        <v>4679</v>
      </c>
    </row>
    <row r="2031" spans="1:20" x14ac:dyDescent="0.35">
      <c r="A2031" s="2" t="s">
        <v>4004</v>
      </c>
      <c r="B2031" s="2" t="s">
        <v>4005</v>
      </c>
      <c r="C2031" s="2" t="s">
        <v>9</v>
      </c>
      <c r="D2031" s="2">
        <v>50</v>
      </c>
      <c r="E2031" s="2" t="s">
        <v>10</v>
      </c>
      <c r="F2031" s="2">
        <v>2</v>
      </c>
      <c r="G2031" s="22">
        <f>Table4[[#This Row],[Item Cost]]*Table4[[#This Row],[In Stock]]</f>
        <v>100</v>
      </c>
      <c r="H2031" s="12" t="s">
        <v>4661</v>
      </c>
      <c r="I2031" s="13" t="s">
        <v>4664</v>
      </c>
      <c r="J2031" s="13" t="s">
        <v>4679</v>
      </c>
      <c r="K2031" s="13" t="s">
        <v>4776</v>
      </c>
      <c r="L2031" s="12" t="s">
        <v>4672</v>
      </c>
      <c r="M2031" s="17" t="str">
        <f>IF(LEN(COUNTIFS($H$1:H2031,$H2031,$I$1:I2031,$I2031,$J$1:J2031,$J2031,$K$1:K2031,K2031,$L$1:L2031,L2031))=1,"00"&amp;COUNTIFS($H$1:H2031,$H2031,$I$1:I2031,$I2031,$J$1:J2031,$J2031,$K$1:K2031,K2031,$L$1:L2031,L2031),IF(LEN(COUNTIFS($H$1:H2031,$H2031,$I$1:I2031,$I2031,$J$1:J2031,$J2031,$K$1:K2031,K2031,$L$1:L2031,L2031))=2,"0"&amp;COUNTIFS($H$1:H2031,$H2031,$I$1:I2031,$I2031,$J$1:J2031,$J2031,$K$1:K2031,K2031,$L$1:L2031,L2031),COUNTIFS($H$1:H2031,$H2031,$I$1:I2031,$I2031,$J$1:J2031,$J2031,$K$1:K2031,K2031,$L$1:L2031,L2031)))</f>
        <v>001</v>
      </c>
      <c r="N203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31" s="14" t="e">
        <f>+LEN(Table4[[#This Row],[New Item Code]])</f>
        <v>#N/A</v>
      </c>
      <c r="P2031" s="15" t="s">
        <v>4747</v>
      </c>
      <c r="Q2031" s="15" t="s">
        <v>4749</v>
      </c>
      <c r="R2031" s="15"/>
      <c r="S2031" s="15"/>
      <c r="T2031" s="15" t="s">
        <v>4679</v>
      </c>
    </row>
    <row r="2032" spans="1:20" x14ac:dyDescent="0.35">
      <c r="A2032" s="3" t="s">
        <v>4006</v>
      </c>
      <c r="B2032" s="3" t="s">
        <v>4007</v>
      </c>
      <c r="C2032" s="3" t="s">
        <v>9</v>
      </c>
      <c r="D2032" s="5">
        <v>5000</v>
      </c>
      <c r="E2032" s="3" t="s">
        <v>10</v>
      </c>
      <c r="F2032" s="3">
        <v>1</v>
      </c>
      <c r="G2032" s="21">
        <f>Table4[[#This Row],[Item Cost]]*Table4[[#This Row],[In Stock]]</f>
        <v>5000</v>
      </c>
      <c r="H2032" s="12" t="s">
        <v>4661</v>
      </c>
      <c r="I2032" s="13" t="s">
        <v>4664</v>
      </c>
      <c r="J2032" s="13" t="s">
        <v>4679</v>
      </c>
      <c r="K2032" s="13" t="s">
        <v>4672</v>
      </c>
      <c r="L2032" s="12" t="s">
        <v>4672</v>
      </c>
      <c r="M2032" s="17" t="str">
        <f>IF(LEN(COUNTIFS($H$1:H2032,$H2032,$I$1:I2032,$I2032,$J$1:J2032,$J2032,$K$1:K2032,K2032,$L$1:L2032,L2032))=1,"00"&amp;COUNTIFS($H$1:H2032,$H2032,$I$1:I2032,$I2032,$J$1:J2032,$J2032,$K$1:K2032,K2032,$L$1:L2032,L2032),IF(LEN(COUNTIFS($H$1:H2032,$H2032,$I$1:I2032,$I2032,$J$1:J2032,$J2032,$K$1:K2032,K2032,$L$1:L2032,L2032))=2,"0"&amp;COUNTIFS($H$1:H2032,$H2032,$I$1:I2032,$I2032,$J$1:J2032,$J2032,$K$1:K2032,K2032,$L$1:L2032,L2032),COUNTIFS($H$1:H2032,$H2032,$I$1:I2032,$I2032,$J$1:J2032,$J2032,$K$1:K2032,K2032,$L$1:L2032,L2032)))</f>
        <v>012</v>
      </c>
      <c r="N203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32" s="14" t="e">
        <f>+LEN(Table4[[#This Row],[New Item Code]])</f>
        <v>#N/A</v>
      </c>
      <c r="P2032" s="15" t="s">
        <v>4747</v>
      </c>
      <c r="Q2032" s="15" t="s">
        <v>4749</v>
      </c>
      <c r="R2032" s="15"/>
      <c r="S2032" s="15"/>
      <c r="T2032" s="15" t="s">
        <v>4679</v>
      </c>
    </row>
    <row r="2033" spans="1:20" x14ac:dyDescent="0.35">
      <c r="A2033" s="2" t="s">
        <v>4008</v>
      </c>
      <c r="B2033" s="2" t="s">
        <v>4009</v>
      </c>
      <c r="C2033" s="2" t="s">
        <v>9</v>
      </c>
      <c r="D2033" s="2">
        <v>5500</v>
      </c>
      <c r="E2033" s="2" t="s">
        <v>10</v>
      </c>
      <c r="F2033" s="2">
        <v>1</v>
      </c>
      <c r="G2033" s="22">
        <f>Table4[[#This Row],[Item Cost]]*Table4[[#This Row],[In Stock]]</f>
        <v>5500</v>
      </c>
      <c r="H2033" s="12" t="s">
        <v>4661</v>
      </c>
      <c r="I2033" s="13" t="s">
        <v>4664</v>
      </c>
      <c r="J2033" s="13" t="s">
        <v>4679</v>
      </c>
      <c r="K2033" s="13" t="s">
        <v>4672</v>
      </c>
      <c r="L2033" s="12" t="s">
        <v>4672</v>
      </c>
      <c r="M2033" s="17" t="str">
        <f>IF(LEN(COUNTIFS($H$1:H2033,$H2033,$I$1:I2033,$I2033,$J$1:J2033,$J2033,$K$1:K2033,K2033,$L$1:L2033,L2033))=1,"00"&amp;COUNTIFS($H$1:H2033,$H2033,$I$1:I2033,$I2033,$J$1:J2033,$J2033,$K$1:K2033,K2033,$L$1:L2033,L2033),IF(LEN(COUNTIFS($H$1:H2033,$H2033,$I$1:I2033,$I2033,$J$1:J2033,$J2033,$K$1:K2033,K2033,$L$1:L2033,L2033))=2,"0"&amp;COUNTIFS($H$1:H2033,$H2033,$I$1:I2033,$I2033,$J$1:J2033,$J2033,$K$1:K2033,K2033,$L$1:L2033,L2033),COUNTIFS($H$1:H2033,$H2033,$I$1:I2033,$I2033,$J$1:J2033,$J2033,$K$1:K2033,K2033,$L$1:L2033,L2033)))</f>
        <v>013</v>
      </c>
      <c r="N203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33" s="14" t="e">
        <f>+LEN(Table4[[#This Row],[New Item Code]])</f>
        <v>#N/A</v>
      </c>
      <c r="P2033" s="15" t="s">
        <v>4747</v>
      </c>
      <c r="Q2033" s="15" t="s">
        <v>4749</v>
      </c>
      <c r="R2033" s="15"/>
      <c r="S2033" s="15"/>
      <c r="T2033" s="15" t="s">
        <v>4679</v>
      </c>
    </row>
    <row r="2034" spans="1:20" x14ac:dyDescent="0.35">
      <c r="A2034" s="3" t="s">
        <v>4010</v>
      </c>
      <c r="B2034" s="3" t="s">
        <v>4011</v>
      </c>
      <c r="C2034" s="3" t="s">
        <v>56</v>
      </c>
      <c r="D2034" s="3">
        <v>0</v>
      </c>
      <c r="E2034" s="3" t="s">
        <v>57</v>
      </c>
      <c r="F2034" s="3">
        <v>0</v>
      </c>
      <c r="G2034" s="21">
        <f>Table4[[#This Row],[Item Cost]]*Table4[[#This Row],[In Stock]]</f>
        <v>0</v>
      </c>
      <c r="H2034" s="12" t="s">
        <v>4661</v>
      </c>
      <c r="I2034" s="13" t="s">
        <v>4668</v>
      </c>
      <c r="J2034" s="13" t="s">
        <v>4679</v>
      </c>
      <c r="K2034" s="13" t="s">
        <v>4672</v>
      </c>
      <c r="L2034" s="12" t="s">
        <v>4672</v>
      </c>
      <c r="M2034" s="17" t="str">
        <f>IF(LEN(COUNTIFS($H$1:H2034,$H2034,$I$1:I2034,$I2034,$J$1:J2034,$J2034,$K$1:K2034,K2034,$L$1:L2034,L2034))=1,"00"&amp;COUNTIFS($H$1:H2034,$H2034,$I$1:I2034,$I2034,$J$1:J2034,$J2034,$K$1:K2034,K2034,$L$1:L2034,L2034),IF(LEN(COUNTIFS($H$1:H2034,$H2034,$I$1:I2034,$I2034,$J$1:J2034,$J2034,$K$1:K2034,K2034,$L$1:L2034,L2034))=2,"0"&amp;COUNTIFS($H$1:H2034,$H2034,$I$1:I2034,$I2034,$J$1:J2034,$J2034,$K$1:K2034,K2034,$L$1:L2034,L2034),COUNTIFS($H$1:H2034,$H2034,$I$1:I2034,$I2034,$J$1:J2034,$J2034,$K$1:K2034,K2034,$L$1:L2034,L2034)))</f>
        <v>001</v>
      </c>
      <c r="N203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34" s="14" t="e">
        <f>+LEN(Table4[[#This Row],[New Item Code]])</f>
        <v>#N/A</v>
      </c>
      <c r="P2034" s="15" t="s">
        <v>4747</v>
      </c>
      <c r="Q2034" s="15" t="s">
        <v>4749</v>
      </c>
      <c r="R2034" s="15"/>
      <c r="S2034" s="15"/>
      <c r="T2034" s="15" t="s">
        <v>4679</v>
      </c>
    </row>
    <row r="2035" spans="1:20" x14ac:dyDescent="0.35">
      <c r="A2035" s="2" t="s">
        <v>4012</v>
      </c>
      <c r="B2035" s="2" t="s">
        <v>4013</v>
      </c>
      <c r="C2035" s="2" t="s">
        <v>9</v>
      </c>
      <c r="D2035" s="4">
        <v>312.16000000000003</v>
      </c>
      <c r="E2035" s="2" t="s">
        <v>10</v>
      </c>
      <c r="F2035" s="2">
        <v>1</v>
      </c>
      <c r="G2035" s="22">
        <f>Table4[[#This Row],[Item Cost]]*Table4[[#This Row],[In Stock]]</f>
        <v>312.16000000000003</v>
      </c>
      <c r="H2035" s="12" t="s">
        <v>4661</v>
      </c>
      <c r="I2035" s="13" t="s">
        <v>4664</v>
      </c>
      <c r="J2035" s="13" t="s">
        <v>4679</v>
      </c>
      <c r="K2035" s="13" t="s">
        <v>4672</v>
      </c>
      <c r="L2035" s="12" t="s">
        <v>4672</v>
      </c>
      <c r="M2035" s="17" t="str">
        <f>IF(LEN(COUNTIFS($H$1:H2035,$H2035,$I$1:I2035,$I2035,$J$1:J2035,$J2035,$K$1:K2035,K2035,$L$1:L2035,L2035))=1,"00"&amp;COUNTIFS($H$1:H2035,$H2035,$I$1:I2035,$I2035,$J$1:J2035,$J2035,$K$1:K2035,K2035,$L$1:L2035,L2035),IF(LEN(COUNTIFS($H$1:H2035,$H2035,$I$1:I2035,$I2035,$J$1:J2035,$J2035,$K$1:K2035,K2035,$L$1:L2035,L2035))=2,"0"&amp;COUNTIFS($H$1:H2035,$H2035,$I$1:I2035,$I2035,$J$1:J2035,$J2035,$K$1:K2035,K2035,$L$1:L2035,L2035),COUNTIFS($H$1:H2035,$H2035,$I$1:I2035,$I2035,$J$1:J2035,$J2035,$K$1:K2035,K2035,$L$1:L2035,L2035)))</f>
        <v>014</v>
      </c>
      <c r="N203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35" s="14" t="e">
        <f>+LEN(Table4[[#This Row],[New Item Code]])</f>
        <v>#N/A</v>
      </c>
      <c r="P2035" s="15" t="s">
        <v>4747</v>
      </c>
      <c r="Q2035" s="15" t="s">
        <v>4749</v>
      </c>
      <c r="R2035" s="15"/>
      <c r="S2035" s="15"/>
      <c r="T2035" s="15" t="s">
        <v>4679</v>
      </c>
    </row>
    <row r="2036" spans="1:20" x14ac:dyDescent="0.35">
      <c r="A2036" s="3" t="s">
        <v>4014</v>
      </c>
      <c r="B2036" s="3" t="s">
        <v>4015</v>
      </c>
      <c r="C2036" s="3" t="s">
        <v>9</v>
      </c>
      <c r="D2036" s="5">
        <v>11.02</v>
      </c>
      <c r="E2036" s="3" t="s">
        <v>10</v>
      </c>
      <c r="F2036" s="3">
        <v>1</v>
      </c>
      <c r="G2036" s="21">
        <f>Table4[[#This Row],[Item Cost]]*Table4[[#This Row],[In Stock]]</f>
        <v>11.02</v>
      </c>
      <c r="H2036" s="12" t="s">
        <v>4661</v>
      </c>
      <c r="I2036" s="13" t="s">
        <v>4664</v>
      </c>
      <c r="J2036" s="13" t="s">
        <v>4679</v>
      </c>
      <c r="K2036" s="13" t="s">
        <v>4672</v>
      </c>
      <c r="L2036" s="12" t="s">
        <v>4672</v>
      </c>
      <c r="M2036" s="17" t="str">
        <f>IF(LEN(COUNTIFS($H$1:H2036,$H2036,$I$1:I2036,$I2036,$J$1:J2036,$J2036,$K$1:K2036,K2036,$L$1:L2036,L2036))=1,"00"&amp;COUNTIFS($H$1:H2036,$H2036,$I$1:I2036,$I2036,$J$1:J2036,$J2036,$K$1:K2036,K2036,$L$1:L2036,L2036),IF(LEN(COUNTIFS($H$1:H2036,$H2036,$I$1:I2036,$I2036,$J$1:J2036,$J2036,$K$1:K2036,K2036,$L$1:L2036,L2036))=2,"0"&amp;COUNTIFS($H$1:H2036,$H2036,$I$1:I2036,$I2036,$J$1:J2036,$J2036,$K$1:K2036,K2036,$L$1:L2036,L2036),COUNTIFS($H$1:H2036,$H2036,$I$1:I2036,$I2036,$J$1:J2036,$J2036,$K$1:K2036,K2036,$L$1:L2036,L2036)))</f>
        <v>015</v>
      </c>
      <c r="N203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36" s="14" t="e">
        <f>+LEN(Table4[[#This Row],[New Item Code]])</f>
        <v>#N/A</v>
      </c>
      <c r="P2036" s="15" t="s">
        <v>4747</v>
      </c>
      <c r="Q2036" s="15" t="s">
        <v>4749</v>
      </c>
      <c r="R2036" s="15"/>
      <c r="S2036" s="15"/>
      <c r="T2036" s="15" t="s">
        <v>4679</v>
      </c>
    </row>
    <row r="2037" spans="1:20" x14ac:dyDescent="0.35">
      <c r="A2037" s="2" t="s">
        <v>4016</v>
      </c>
      <c r="B2037" s="2" t="s">
        <v>4017</v>
      </c>
      <c r="C2037" s="2" t="s">
        <v>9</v>
      </c>
      <c r="D2037" s="2">
        <v>36.725000000000001</v>
      </c>
      <c r="E2037" s="2" t="s">
        <v>10</v>
      </c>
      <c r="F2037" s="2">
        <v>2</v>
      </c>
      <c r="G2037" s="22">
        <f>Table4[[#This Row],[Item Cost]]*Table4[[#This Row],[In Stock]]</f>
        <v>73.45</v>
      </c>
      <c r="H2037" s="12" t="s">
        <v>4661</v>
      </c>
      <c r="I2037" s="13" t="s">
        <v>4664</v>
      </c>
      <c r="J2037" s="13" t="s">
        <v>4679</v>
      </c>
      <c r="K2037" t="s">
        <v>4798</v>
      </c>
      <c r="L2037" s="12" t="s">
        <v>4672</v>
      </c>
      <c r="M2037" s="17" t="str">
        <f>IF(LEN(COUNTIFS($H$1:H2037,$H2037,$I$1:I2037,$I2037,$J$1:J2037,$J2037,$K$1:K2037,K2037,$L$1:L2037,L2037))=1,"00"&amp;COUNTIFS($H$1:H2037,$H2037,$I$1:I2037,$I2037,$J$1:J2037,$J2037,$K$1:K2037,K2037,$L$1:L2037,L2037),IF(LEN(COUNTIFS($H$1:H2037,$H2037,$I$1:I2037,$I2037,$J$1:J2037,$J2037,$K$1:K2037,K2037,$L$1:L2037,L2037))=2,"0"&amp;COUNTIFS($H$1:H2037,$H2037,$I$1:I2037,$I2037,$J$1:J2037,$J2037,$K$1:K2037,K2037,$L$1:L2037,L2037),COUNTIFS($H$1:H2037,$H2037,$I$1:I2037,$I2037,$J$1:J2037,$J2037,$K$1:K2037,K2037,$L$1:L2037,L2037)))</f>
        <v>001</v>
      </c>
      <c r="N203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37" s="14" t="e">
        <f>+LEN(Table4[[#This Row],[New Item Code]])</f>
        <v>#N/A</v>
      </c>
      <c r="P2037" s="15" t="s">
        <v>4747</v>
      </c>
      <c r="Q2037" s="15" t="s">
        <v>4749</v>
      </c>
      <c r="R2037" s="15"/>
      <c r="S2037" s="15"/>
      <c r="T2037" s="15" t="s">
        <v>4679</v>
      </c>
    </row>
    <row r="2038" spans="1:20" x14ac:dyDescent="0.35">
      <c r="A2038" s="3" t="s">
        <v>4018</v>
      </c>
      <c r="B2038" s="3" t="s">
        <v>4019</v>
      </c>
      <c r="C2038" s="3" t="s">
        <v>9</v>
      </c>
      <c r="D2038" s="3">
        <v>1469</v>
      </c>
      <c r="E2038" s="3" t="s">
        <v>10</v>
      </c>
      <c r="F2038" s="3">
        <v>2</v>
      </c>
      <c r="G2038" s="21">
        <f>Table4[[#This Row],[Item Cost]]*Table4[[#This Row],[In Stock]]</f>
        <v>2938</v>
      </c>
      <c r="H2038" s="12" t="s">
        <v>4661</v>
      </c>
      <c r="I2038" s="13" t="s">
        <v>4664</v>
      </c>
      <c r="J2038" s="13" t="s">
        <v>4679</v>
      </c>
      <c r="K2038" s="13" t="s">
        <v>4672</v>
      </c>
      <c r="L2038" s="12" t="s">
        <v>4672</v>
      </c>
      <c r="M2038" s="17" t="str">
        <f>IF(LEN(COUNTIFS($H$1:H2038,$H2038,$I$1:I2038,$I2038,$J$1:J2038,$J2038,$K$1:K2038,K2038,$L$1:L2038,L2038))=1,"00"&amp;COUNTIFS($H$1:H2038,$H2038,$I$1:I2038,$I2038,$J$1:J2038,$J2038,$K$1:K2038,K2038,$L$1:L2038,L2038),IF(LEN(COUNTIFS($H$1:H2038,$H2038,$I$1:I2038,$I2038,$J$1:J2038,$J2038,$K$1:K2038,K2038,$L$1:L2038,L2038))=2,"0"&amp;COUNTIFS($H$1:H2038,$H2038,$I$1:I2038,$I2038,$J$1:J2038,$J2038,$K$1:K2038,K2038,$L$1:L2038,L2038),COUNTIFS($H$1:H2038,$H2038,$I$1:I2038,$I2038,$J$1:J2038,$J2038,$K$1:K2038,K2038,$L$1:L2038,L2038)))</f>
        <v>016</v>
      </c>
      <c r="N203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38" s="14" t="e">
        <f>+LEN(Table4[[#This Row],[New Item Code]])</f>
        <v>#N/A</v>
      </c>
      <c r="P2038" s="15" t="s">
        <v>4747</v>
      </c>
      <c r="Q2038" s="15" t="s">
        <v>4749</v>
      </c>
      <c r="R2038" s="15"/>
      <c r="S2038" s="15"/>
      <c r="T2038" s="15" t="s">
        <v>4679</v>
      </c>
    </row>
    <row r="2039" spans="1:20" x14ac:dyDescent="0.35">
      <c r="A2039" s="2" t="s">
        <v>4020</v>
      </c>
      <c r="B2039" s="2" t="s">
        <v>4021</v>
      </c>
      <c r="C2039" s="2" t="s">
        <v>9</v>
      </c>
      <c r="D2039" s="2">
        <v>25.71</v>
      </c>
      <c r="E2039" s="2" t="s">
        <v>10</v>
      </c>
      <c r="F2039" s="2">
        <v>2</v>
      </c>
      <c r="G2039" s="22">
        <f>Table4[[#This Row],[Item Cost]]*Table4[[#This Row],[In Stock]]</f>
        <v>51.42</v>
      </c>
      <c r="H2039" s="12" t="s">
        <v>4661</v>
      </c>
      <c r="I2039" s="13" t="s">
        <v>4664</v>
      </c>
      <c r="J2039" s="13" t="s">
        <v>4679</v>
      </c>
      <c r="K2039" t="s">
        <v>4793</v>
      </c>
      <c r="L2039" s="12" t="s">
        <v>4672</v>
      </c>
      <c r="M2039" s="17" t="str">
        <f>IF(LEN(COUNTIFS($H$1:H2039,$H2039,$I$1:I2039,$I2039,$J$1:J2039,$J2039,$K$1:K2039,K2039,$L$1:L2039,L2039))=1,"00"&amp;COUNTIFS($H$1:H2039,$H2039,$I$1:I2039,$I2039,$J$1:J2039,$J2039,$K$1:K2039,K2039,$L$1:L2039,L2039),IF(LEN(COUNTIFS($H$1:H2039,$H2039,$I$1:I2039,$I2039,$J$1:J2039,$J2039,$K$1:K2039,K2039,$L$1:L2039,L2039))=2,"0"&amp;COUNTIFS($H$1:H2039,$H2039,$I$1:I2039,$I2039,$J$1:J2039,$J2039,$K$1:K2039,K2039,$L$1:L2039,L2039),COUNTIFS($H$1:H2039,$H2039,$I$1:I2039,$I2039,$J$1:J2039,$J2039,$K$1:K2039,K2039,$L$1:L2039,L2039)))</f>
        <v>001</v>
      </c>
      <c r="N203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39" s="14" t="e">
        <f>+LEN(Table4[[#This Row],[New Item Code]])</f>
        <v>#N/A</v>
      </c>
      <c r="P2039" s="15" t="s">
        <v>4747</v>
      </c>
      <c r="Q2039" s="15" t="s">
        <v>4749</v>
      </c>
      <c r="R2039" s="15"/>
      <c r="S2039" s="15"/>
      <c r="T2039" s="15" t="s">
        <v>4679</v>
      </c>
    </row>
    <row r="2040" spans="1:20" x14ac:dyDescent="0.35">
      <c r="A2040" s="3" t="s">
        <v>4022</v>
      </c>
      <c r="B2040" s="3" t="s">
        <v>4023</v>
      </c>
      <c r="C2040" s="3" t="s">
        <v>9</v>
      </c>
      <c r="D2040" s="3">
        <v>183.625</v>
      </c>
      <c r="E2040" s="3" t="s">
        <v>10</v>
      </c>
      <c r="F2040" s="3">
        <v>2</v>
      </c>
      <c r="G2040" s="21">
        <f>Table4[[#This Row],[Item Cost]]*Table4[[#This Row],[In Stock]]</f>
        <v>367.25</v>
      </c>
      <c r="H2040" s="12" t="s">
        <v>4661</v>
      </c>
      <c r="I2040" s="13" t="s">
        <v>4664</v>
      </c>
      <c r="J2040" s="13" t="s">
        <v>4679</v>
      </c>
      <c r="K2040" s="13" t="s">
        <v>4672</v>
      </c>
      <c r="L2040" s="12" t="s">
        <v>4672</v>
      </c>
      <c r="M2040" s="17" t="str">
        <f>IF(LEN(COUNTIFS($H$1:H2040,$H2040,$I$1:I2040,$I2040,$J$1:J2040,$J2040,$K$1:K2040,K2040,$L$1:L2040,L2040))=1,"00"&amp;COUNTIFS($H$1:H2040,$H2040,$I$1:I2040,$I2040,$J$1:J2040,$J2040,$K$1:K2040,K2040,$L$1:L2040,L2040),IF(LEN(COUNTIFS($H$1:H2040,$H2040,$I$1:I2040,$I2040,$J$1:J2040,$J2040,$K$1:K2040,K2040,$L$1:L2040,L2040))=2,"0"&amp;COUNTIFS($H$1:H2040,$H2040,$I$1:I2040,$I2040,$J$1:J2040,$J2040,$K$1:K2040,K2040,$L$1:L2040,L2040),COUNTIFS($H$1:H2040,$H2040,$I$1:I2040,$I2040,$J$1:J2040,$J2040,$K$1:K2040,K2040,$L$1:L2040,L2040)))</f>
        <v>017</v>
      </c>
      <c r="N204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40" s="14" t="e">
        <f>+LEN(Table4[[#This Row],[New Item Code]])</f>
        <v>#N/A</v>
      </c>
      <c r="P2040" s="15" t="s">
        <v>4747</v>
      </c>
      <c r="Q2040" s="15" t="s">
        <v>4749</v>
      </c>
      <c r="R2040" s="15"/>
      <c r="S2040" s="15"/>
      <c r="T2040" s="15" t="s">
        <v>4679</v>
      </c>
    </row>
    <row r="2041" spans="1:20" x14ac:dyDescent="0.35">
      <c r="A2041" s="2" t="s">
        <v>4024</v>
      </c>
      <c r="B2041" s="2" t="s">
        <v>4025</v>
      </c>
      <c r="C2041" s="2" t="s">
        <v>9</v>
      </c>
      <c r="D2041" s="4">
        <v>1285.3800000000001</v>
      </c>
      <c r="E2041" s="2" t="s">
        <v>10</v>
      </c>
      <c r="F2041" s="2">
        <v>1</v>
      </c>
      <c r="G2041" s="22">
        <f>Table4[[#This Row],[Item Cost]]*Table4[[#This Row],[In Stock]]</f>
        <v>1285.3800000000001</v>
      </c>
      <c r="H2041" s="12" t="s">
        <v>4661</v>
      </c>
      <c r="I2041" s="13" t="s">
        <v>4664</v>
      </c>
      <c r="J2041" s="13" t="s">
        <v>4679</v>
      </c>
      <c r="K2041" s="13" t="s">
        <v>4672</v>
      </c>
      <c r="L2041" s="12" t="s">
        <v>4672</v>
      </c>
      <c r="M2041" s="17" t="str">
        <f>IF(LEN(COUNTIFS($H$1:H2041,$H2041,$I$1:I2041,$I2041,$J$1:J2041,$J2041,$K$1:K2041,K2041,$L$1:L2041,L2041))=1,"00"&amp;COUNTIFS($H$1:H2041,$H2041,$I$1:I2041,$I2041,$J$1:J2041,$J2041,$K$1:K2041,K2041,$L$1:L2041,L2041),IF(LEN(COUNTIFS($H$1:H2041,$H2041,$I$1:I2041,$I2041,$J$1:J2041,$J2041,$K$1:K2041,K2041,$L$1:L2041,L2041))=2,"0"&amp;COUNTIFS($H$1:H2041,$H2041,$I$1:I2041,$I2041,$J$1:J2041,$J2041,$K$1:K2041,K2041,$L$1:L2041,L2041),COUNTIFS($H$1:H2041,$H2041,$I$1:I2041,$I2041,$J$1:J2041,$J2041,$K$1:K2041,K2041,$L$1:L2041,L2041)))</f>
        <v>018</v>
      </c>
      <c r="N204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41" s="14" t="e">
        <f>+LEN(Table4[[#This Row],[New Item Code]])</f>
        <v>#N/A</v>
      </c>
      <c r="P2041" s="15" t="s">
        <v>4747</v>
      </c>
      <c r="Q2041" s="15" t="s">
        <v>4749</v>
      </c>
      <c r="R2041" s="15"/>
      <c r="S2041" s="15"/>
      <c r="T2041" s="15" t="s">
        <v>4679</v>
      </c>
    </row>
    <row r="2042" spans="1:20" x14ac:dyDescent="0.35">
      <c r="A2042" s="3" t="s">
        <v>4026</v>
      </c>
      <c r="B2042" s="3" t="s">
        <v>4027</v>
      </c>
      <c r="C2042" s="3" t="s">
        <v>9</v>
      </c>
      <c r="D2042" s="3">
        <v>1285.3800000000001</v>
      </c>
      <c r="E2042" s="3" t="s">
        <v>10</v>
      </c>
      <c r="F2042" s="3">
        <v>1</v>
      </c>
      <c r="G2042" s="21">
        <f>Table4[[#This Row],[Item Cost]]*Table4[[#This Row],[In Stock]]</f>
        <v>1285.3800000000001</v>
      </c>
      <c r="H2042" s="12" t="s">
        <v>4661</v>
      </c>
      <c r="I2042" s="13" t="s">
        <v>4664</v>
      </c>
      <c r="J2042" s="13" t="s">
        <v>4679</v>
      </c>
      <c r="K2042" s="13" t="s">
        <v>4672</v>
      </c>
      <c r="L2042" s="12" t="s">
        <v>4672</v>
      </c>
      <c r="M2042" s="17" t="str">
        <f>IF(LEN(COUNTIFS($H$1:H2042,$H2042,$I$1:I2042,$I2042,$J$1:J2042,$J2042,$K$1:K2042,K2042,$L$1:L2042,L2042))=1,"00"&amp;COUNTIFS($H$1:H2042,$H2042,$I$1:I2042,$I2042,$J$1:J2042,$J2042,$K$1:K2042,K2042,$L$1:L2042,L2042),IF(LEN(COUNTIFS($H$1:H2042,$H2042,$I$1:I2042,$I2042,$J$1:J2042,$J2042,$K$1:K2042,K2042,$L$1:L2042,L2042))=2,"0"&amp;COUNTIFS($H$1:H2042,$H2042,$I$1:I2042,$I2042,$J$1:J2042,$J2042,$K$1:K2042,K2042,$L$1:L2042,L2042),COUNTIFS($H$1:H2042,$H2042,$I$1:I2042,$I2042,$J$1:J2042,$J2042,$K$1:K2042,K2042,$L$1:L2042,L2042)))</f>
        <v>019</v>
      </c>
      <c r="N204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42" s="14" t="e">
        <f>+LEN(Table4[[#This Row],[New Item Code]])</f>
        <v>#N/A</v>
      </c>
      <c r="P2042" s="15" t="s">
        <v>4747</v>
      </c>
      <c r="Q2042" s="15" t="s">
        <v>4749</v>
      </c>
      <c r="R2042" s="15"/>
      <c r="S2042" s="15"/>
      <c r="T2042" s="15" t="s">
        <v>4679</v>
      </c>
    </row>
    <row r="2043" spans="1:20" x14ac:dyDescent="0.35">
      <c r="A2043" s="2" t="s">
        <v>4028</v>
      </c>
      <c r="B2043" s="2" t="s">
        <v>4029</v>
      </c>
      <c r="C2043" s="2" t="s">
        <v>9</v>
      </c>
      <c r="D2043" s="2">
        <v>14.69</v>
      </c>
      <c r="E2043" s="2" t="s">
        <v>10</v>
      </c>
      <c r="F2043" s="2">
        <v>4</v>
      </c>
      <c r="G2043" s="22">
        <f>Table4[[#This Row],[Item Cost]]*Table4[[#This Row],[In Stock]]</f>
        <v>58.76</v>
      </c>
      <c r="H2043" s="12" t="s">
        <v>4661</v>
      </c>
      <c r="I2043" s="13" t="s">
        <v>4664</v>
      </c>
      <c r="J2043" s="13" t="s">
        <v>4679</v>
      </c>
      <c r="K2043" s="13" t="s">
        <v>4672</v>
      </c>
      <c r="L2043" s="12" t="s">
        <v>4672</v>
      </c>
      <c r="M2043" s="17" t="str">
        <f>IF(LEN(COUNTIFS($H$1:H2043,$H2043,$I$1:I2043,$I2043,$J$1:J2043,$J2043,$K$1:K2043,K2043,$L$1:L2043,L2043))=1,"00"&amp;COUNTIFS($H$1:H2043,$H2043,$I$1:I2043,$I2043,$J$1:J2043,$J2043,$K$1:K2043,K2043,$L$1:L2043,L2043),IF(LEN(COUNTIFS($H$1:H2043,$H2043,$I$1:I2043,$I2043,$J$1:J2043,$J2043,$K$1:K2043,K2043,$L$1:L2043,L2043))=2,"0"&amp;COUNTIFS($H$1:H2043,$H2043,$I$1:I2043,$I2043,$J$1:J2043,$J2043,$K$1:K2043,K2043,$L$1:L2043,L2043),COUNTIFS($H$1:H2043,$H2043,$I$1:I2043,$I2043,$J$1:J2043,$J2043,$K$1:K2043,K2043,$L$1:L2043,L2043)))</f>
        <v>020</v>
      </c>
      <c r="N204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43" s="14" t="e">
        <f>+LEN(Table4[[#This Row],[New Item Code]])</f>
        <v>#N/A</v>
      </c>
      <c r="P2043" s="15" t="s">
        <v>4747</v>
      </c>
      <c r="Q2043" s="15" t="s">
        <v>4749</v>
      </c>
      <c r="R2043" s="15"/>
      <c r="S2043" s="15"/>
      <c r="T2043" s="15" t="s">
        <v>4679</v>
      </c>
    </row>
    <row r="2044" spans="1:20" x14ac:dyDescent="0.35">
      <c r="A2044" s="3" t="s">
        <v>4030</v>
      </c>
      <c r="B2044" s="3" t="s">
        <v>4031</v>
      </c>
      <c r="C2044" s="3" t="s">
        <v>9</v>
      </c>
      <c r="D2044" s="5">
        <v>220.35</v>
      </c>
      <c r="E2044" s="3" t="s">
        <v>10</v>
      </c>
      <c r="F2044" s="3">
        <v>4</v>
      </c>
      <c r="G2044" s="21">
        <f>Table4[[#This Row],[Item Cost]]*Table4[[#This Row],[In Stock]]</f>
        <v>881.4</v>
      </c>
      <c r="H2044" s="12" t="s">
        <v>4661</v>
      </c>
      <c r="I2044" s="13" t="s">
        <v>4664</v>
      </c>
      <c r="J2044" s="13" t="s">
        <v>4679</v>
      </c>
      <c r="K2044" t="s">
        <v>4798</v>
      </c>
      <c r="L2044" s="12" t="s">
        <v>4672</v>
      </c>
      <c r="M2044" s="17" t="str">
        <f>IF(LEN(COUNTIFS($H$1:H2044,$H2044,$I$1:I2044,$I2044,$J$1:J2044,$J2044,$K$1:K2044,K2044,$L$1:L2044,L2044))=1,"00"&amp;COUNTIFS($H$1:H2044,$H2044,$I$1:I2044,$I2044,$J$1:J2044,$J2044,$K$1:K2044,K2044,$L$1:L2044,L2044),IF(LEN(COUNTIFS($H$1:H2044,$H2044,$I$1:I2044,$I2044,$J$1:J2044,$J2044,$K$1:K2044,K2044,$L$1:L2044,L2044))=2,"0"&amp;COUNTIFS($H$1:H2044,$H2044,$I$1:I2044,$I2044,$J$1:J2044,$J2044,$K$1:K2044,K2044,$L$1:L2044,L2044),COUNTIFS($H$1:H2044,$H2044,$I$1:I2044,$I2044,$J$1:J2044,$J2044,$K$1:K2044,K2044,$L$1:L2044,L2044)))</f>
        <v>002</v>
      </c>
      <c r="N204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44" s="14" t="e">
        <f>+LEN(Table4[[#This Row],[New Item Code]])</f>
        <v>#N/A</v>
      </c>
      <c r="P2044" s="15" t="s">
        <v>4747</v>
      </c>
      <c r="Q2044" s="15" t="s">
        <v>4749</v>
      </c>
      <c r="R2044" s="15"/>
      <c r="S2044" s="15"/>
      <c r="T2044" s="15" t="s">
        <v>4679</v>
      </c>
    </row>
    <row r="2045" spans="1:20" x14ac:dyDescent="0.35">
      <c r="A2045" s="2" t="s">
        <v>4032</v>
      </c>
      <c r="B2045" s="2" t="s">
        <v>4033</v>
      </c>
      <c r="C2045" s="2" t="s">
        <v>9</v>
      </c>
      <c r="D2045" s="4">
        <v>4774.25</v>
      </c>
      <c r="E2045" s="2" t="s">
        <v>10</v>
      </c>
      <c r="F2045" s="2">
        <v>1</v>
      </c>
      <c r="G2045" s="22">
        <f>Table4[[#This Row],[Item Cost]]*Table4[[#This Row],[In Stock]]</f>
        <v>4774.25</v>
      </c>
      <c r="H2045" s="12" t="s">
        <v>4661</v>
      </c>
      <c r="I2045" s="13" t="s">
        <v>4664</v>
      </c>
      <c r="J2045" s="13" t="s">
        <v>4679</v>
      </c>
      <c r="K2045" s="13" t="s">
        <v>4672</v>
      </c>
      <c r="L2045" s="12" t="s">
        <v>4672</v>
      </c>
      <c r="M2045" s="17" t="str">
        <f>IF(LEN(COUNTIFS($H$1:H2045,$H2045,$I$1:I2045,$I2045,$J$1:J2045,$J2045,$K$1:K2045,K2045,$L$1:L2045,L2045))=1,"00"&amp;COUNTIFS($H$1:H2045,$H2045,$I$1:I2045,$I2045,$J$1:J2045,$J2045,$K$1:K2045,K2045,$L$1:L2045,L2045),IF(LEN(COUNTIFS($H$1:H2045,$H2045,$I$1:I2045,$I2045,$J$1:J2045,$J2045,$K$1:K2045,K2045,$L$1:L2045,L2045))=2,"0"&amp;COUNTIFS($H$1:H2045,$H2045,$I$1:I2045,$I2045,$J$1:J2045,$J2045,$K$1:K2045,K2045,$L$1:L2045,L2045),COUNTIFS($H$1:H2045,$H2045,$I$1:I2045,$I2045,$J$1:J2045,$J2045,$K$1:K2045,K2045,$L$1:L2045,L2045)))</f>
        <v>021</v>
      </c>
      <c r="N204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45" s="14" t="e">
        <f>+LEN(Table4[[#This Row],[New Item Code]])</f>
        <v>#N/A</v>
      </c>
      <c r="P2045" s="15" t="s">
        <v>4747</v>
      </c>
      <c r="Q2045" s="15" t="s">
        <v>4749</v>
      </c>
      <c r="R2045" s="15"/>
      <c r="S2045" s="15"/>
      <c r="T2045" s="15" t="s">
        <v>4679</v>
      </c>
    </row>
    <row r="2046" spans="1:20" x14ac:dyDescent="0.35">
      <c r="A2046" s="3" t="s">
        <v>4034</v>
      </c>
      <c r="B2046" s="3" t="s">
        <v>4035</v>
      </c>
      <c r="C2046" s="3" t="s">
        <v>9</v>
      </c>
      <c r="D2046" s="3">
        <v>5141.5</v>
      </c>
      <c r="E2046" s="3" t="s">
        <v>10</v>
      </c>
      <c r="F2046" s="3">
        <v>1</v>
      </c>
      <c r="G2046" s="21">
        <f>Table4[[#This Row],[Item Cost]]*Table4[[#This Row],[In Stock]]</f>
        <v>5141.5</v>
      </c>
      <c r="H2046" s="12" t="s">
        <v>4661</v>
      </c>
      <c r="I2046" s="13" t="s">
        <v>4664</v>
      </c>
      <c r="J2046" s="13" t="s">
        <v>4679</v>
      </c>
      <c r="K2046" s="13" t="s">
        <v>4672</v>
      </c>
      <c r="L2046" s="12" t="s">
        <v>4672</v>
      </c>
      <c r="M2046" s="17" t="str">
        <f>IF(LEN(COUNTIFS($H$1:H2046,$H2046,$I$1:I2046,$I2046,$J$1:J2046,$J2046,$K$1:K2046,K2046,$L$1:L2046,L2046))=1,"00"&amp;COUNTIFS($H$1:H2046,$H2046,$I$1:I2046,$I2046,$J$1:J2046,$J2046,$K$1:K2046,K2046,$L$1:L2046,L2046),IF(LEN(COUNTIFS($H$1:H2046,$H2046,$I$1:I2046,$I2046,$J$1:J2046,$J2046,$K$1:K2046,K2046,$L$1:L2046,L2046))=2,"0"&amp;COUNTIFS($H$1:H2046,$H2046,$I$1:I2046,$I2046,$J$1:J2046,$J2046,$K$1:K2046,K2046,$L$1:L2046,L2046),COUNTIFS($H$1:H2046,$H2046,$I$1:I2046,$I2046,$J$1:J2046,$J2046,$K$1:K2046,K2046,$L$1:L2046,L2046)))</f>
        <v>022</v>
      </c>
      <c r="N204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46" s="14" t="e">
        <f>+LEN(Table4[[#This Row],[New Item Code]])</f>
        <v>#N/A</v>
      </c>
      <c r="P2046" s="15" t="s">
        <v>4747</v>
      </c>
      <c r="Q2046" s="15" t="s">
        <v>4749</v>
      </c>
      <c r="R2046" s="15"/>
      <c r="S2046" s="15"/>
      <c r="T2046" s="15" t="s">
        <v>4679</v>
      </c>
    </row>
    <row r="2047" spans="1:20" x14ac:dyDescent="0.35">
      <c r="A2047" s="2" t="s">
        <v>4036</v>
      </c>
      <c r="B2047" s="2" t="s">
        <v>4037</v>
      </c>
      <c r="C2047" s="2" t="s">
        <v>9</v>
      </c>
      <c r="D2047" s="2">
        <v>440.7</v>
      </c>
      <c r="E2047" s="2" t="s">
        <v>10</v>
      </c>
      <c r="F2047" s="2">
        <v>1</v>
      </c>
      <c r="G2047" s="22">
        <f>Table4[[#This Row],[Item Cost]]*Table4[[#This Row],[In Stock]]</f>
        <v>440.7</v>
      </c>
      <c r="H2047" s="12" t="s">
        <v>4661</v>
      </c>
      <c r="I2047" s="13" t="s">
        <v>4664</v>
      </c>
      <c r="J2047" s="13" t="s">
        <v>4679</v>
      </c>
      <c r="K2047" s="13" t="s">
        <v>4672</v>
      </c>
      <c r="L2047" s="12" t="s">
        <v>4672</v>
      </c>
      <c r="M2047" s="17" t="str">
        <f>IF(LEN(COUNTIFS($H$1:H2047,$H2047,$I$1:I2047,$I2047,$J$1:J2047,$J2047,$K$1:K2047,K2047,$L$1:L2047,L2047))=1,"00"&amp;COUNTIFS($H$1:H2047,$H2047,$I$1:I2047,$I2047,$J$1:J2047,$J2047,$K$1:K2047,K2047,$L$1:L2047,L2047),IF(LEN(COUNTIFS($H$1:H2047,$H2047,$I$1:I2047,$I2047,$J$1:J2047,$J2047,$K$1:K2047,K2047,$L$1:L2047,L2047))=2,"0"&amp;COUNTIFS($H$1:H2047,$H2047,$I$1:I2047,$I2047,$J$1:J2047,$J2047,$K$1:K2047,K2047,$L$1:L2047,L2047),COUNTIFS($H$1:H2047,$H2047,$I$1:I2047,$I2047,$J$1:J2047,$J2047,$K$1:K2047,K2047,$L$1:L2047,L2047)))</f>
        <v>023</v>
      </c>
      <c r="N204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47" s="14" t="e">
        <f>+LEN(Table4[[#This Row],[New Item Code]])</f>
        <v>#N/A</v>
      </c>
      <c r="P2047" s="15" t="s">
        <v>4747</v>
      </c>
      <c r="Q2047" s="15" t="s">
        <v>4749</v>
      </c>
      <c r="R2047" s="15"/>
      <c r="S2047" s="15"/>
      <c r="T2047" s="15" t="s">
        <v>4679</v>
      </c>
    </row>
    <row r="2048" spans="1:20" x14ac:dyDescent="0.35">
      <c r="A2048" s="3" t="s">
        <v>4038</v>
      </c>
      <c r="B2048" s="3" t="s">
        <v>4039</v>
      </c>
      <c r="C2048" s="3" t="s">
        <v>9</v>
      </c>
      <c r="D2048" s="5">
        <v>367.25</v>
      </c>
      <c r="E2048" s="3" t="s">
        <v>10</v>
      </c>
      <c r="F2048" s="3">
        <v>1</v>
      </c>
      <c r="G2048" s="21">
        <f>Table4[[#This Row],[Item Cost]]*Table4[[#This Row],[In Stock]]</f>
        <v>367.25</v>
      </c>
      <c r="H2048" s="12" t="s">
        <v>4661</v>
      </c>
      <c r="I2048" s="13" t="s">
        <v>4664</v>
      </c>
      <c r="J2048" s="13" t="s">
        <v>4679</v>
      </c>
      <c r="K2048" s="13" t="s">
        <v>4672</v>
      </c>
      <c r="L2048" s="12" t="s">
        <v>4672</v>
      </c>
      <c r="M2048" s="17" t="str">
        <f>IF(LEN(COUNTIFS($H$1:H2048,$H2048,$I$1:I2048,$I2048,$J$1:J2048,$J2048,$K$1:K2048,K2048,$L$1:L2048,L2048))=1,"00"&amp;COUNTIFS($H$1:H2048,$H2048,$I$1:I2048,$I2048,$J$1:J2048,$J2048,$K$1:K2048,K2048,$L$1:L2048,L2048),IF(LEN(COUNTIFS($H$1:H2048,$H2048,$I$1:I2048,$I2048,$J$1:J2048,$J2048,$K$1:K2048,K2048,$L$1:L2048,L2048))=2,"0"&amp;COUNTIFS($H$1:H2048,$H2048,$I$1:I2048,$I2048,$J$1:J2048,$J2048,$K$1:K2048,K2048,$L$1:L2048,L2048),COUNTIFS($H$1:H2048,$H2048,$I$1:I2048,$I2048,$J$1:J2048,$J2048,$K$1:K2048,K2048,$L$1:L2048,L2048)))</f>
        <v>024</v>
      </c>
      <c r="N204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48" s="14" t="e">
        <f>+LEN(Table4[[#This Row],[New Item Code]])</f>
        <v>#N/A</v>
      </c>
      <c r="P2048" s="15" t="s">
        <v>4747</v>
      </c>
      <c r="Q2048" s="15" t="s">
        <v>4749</v>
      </c>
      <c r="R2048" s="15"/>
      <c r="S2048" s="15"/>
      <c r="T2048" s="15" t="s">
        <v>4679</v>
      </c>
    </row>
    <row r="2049" spans="1:20" x14ac:dyDescent="0.35">
      <c r="A2049" s="2" t="s">
        <v>4040</v>
      </c>
      <c r="B2049" s="2" t="s">
        <v>4041</v>
      </c>
      <c r="C2049" s="2" t="s">
        <v>9</v>
      </c>
      <c r="D2049" s="4">
        <v>110.18</v>
      </c>
      <c r="E2049" s="2" t="s">
        <v>10</v>
      </c>
      <c r="F2049" s="2">
        <v>1</v>
      </c>
      <c r="G2049" s="22">
        <f>Table4[[#This Row],[Item Cost]]*Table4[[#This Row],[In Stock]]</f>
        <v>110.18</v>
      </c>
      <c r="H2049" s="12" t="s">
        <v>4661</v>
      </c>
      <c r="I2049" s="13" t="s">
        <v>4664</v>
      </c>
      <c r="J2049" s="13" t="s">
        <v>4679</v>
      </c>
      <c r="K2049" t="s">
        <v>4798</v>
      </c>
      <c r="L2049" s="12" t="s">
        <v>4672</v>
      </c>
      <c r="M2049" s="17" t="str">
        <f>IF(LEN(COUNTIFS($H$1:H2049,$H2049,$I$1:I2049,$I2049,$J$1:J2049,$J2049,$K$1:K2049,K2049,$L$1:L2049,L2049))=1,"00"&amp;COUNTIFS($H$1:H2049,$H2049,$I$1:I2049,$I2049,$J$1:J2049,$J2049,$K$1:K2049,K2049,$L$1:L2049,L2049),IF(LEN(COUNTIFS($H$1:H2049,$H2049,$I$1:I2049,$I2049,$J$1:J2049,$J2049,$K$1:K2049,K2049,$L$1:L2049,L2049))=2,"0"&amp;COUNTIFS($H$1:H2049,$H2049,$I$1:I2049,$I2049,$J$1:J2049,$J2049,$K$1:K2049,K2049,$L$1:L2049,L2049),COUNTIFS($H$1:H2049,$H2049,$I$1:I2049,$I2049,$J$1:J2049,$J2049,$K$1:K2049,K2049,$L$1:L2049,L2049)))</f>
        <v>003</v>
      </c>
      <c r="N204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49" s="14" t="e">
        <f>+LEN(Table4[[#This Row],[New Item Code]])</f>
        <v>#N/A</v>
      </c>
      <c r="P2049" s="15" t="s">
        <v>4747</v>
      </c>
      <c r="Q2049" s="15" t="s">
        <v>4749</v>
      </c>
      <c r="R2049" s="15"/>
      <c r="S2049" s="15"/>
      <c r="T2049" s="15" t="s">
        <v>4679</v>
      </c>
    </row>
    <row r="2050" spans="1:20" x14ac:dyDescent="0.35">
      <c r="A2050" s="3" t="s">
        <v>4042</v>
      </c>
      <c r="B2050" s="3" t="s">
        <v>4043</v>
      </c>
      <c r="C2050" s="3" t="s">
        <v>9</v>
      </c>
      <c r="D2050" s="3">
        <v>2423.85</v>
      </c>
      <c r="E2050" s="3" t="s">
        <v>10</v>
      </c>
      <c r="F2050" s="3">
        <v>1</v>
      </c>
      <c r="G2050" s="21">
        <f>Table4[[#This Row],[Item Cost]]*Table4[[#This Row],[In Stock]]</f>
        <v>2423.85</v>
      </c>
      <c r="H2050" s="12" t="s">
        <v>4661</v>
      </c>
      <c r="I2050" s="13" t="s">
        <v>4664</v>
      </c>
      <c r="J2050" s="13" t="s">
        <v>4679</v>
      </c>
      <c r="K2050" t="s">
        <v>4797</v>
      </c>
      <c r="L2050" s="12" t="s">
        <v>4672</v>
      </c>
      <c r="M2050" s="17" t="str">
        <f>IF(LEN(COUNTIFS($H$1:H2050,$H2050,$I$1:I2050,$I2050,$J$1:J2050,$J2050,$K$1:K2050,K2050,$L$1:L2050,L2050))=1,"00"&amp;COUNTIFS($H$1:H2050,$H2050,$I$1:I2050,$I2050,$J$1:J2050,$J2050,$K$1:K2050,K2050,$L$1:L2050,L2050),IF(LEN(COUNTIFS($H$1:H2050,$H2050,$I$1:I2050,$I2050,$J$1:J2050,$J2050,$K$1:K2050,K2050,$L$1:L2050,L2050))=2,"0"&amp;COUNTIFS($H$1:H2050,$H2050,$I$1:I2050,$I2050,$J$1:J2050,$J2050,$K$1:K2050,K2050,$L$1:L2050,L2050),COUNTIFS($H$1:H2050,$H2050,$I$1:I2050,$I2050,$J$1:J2050,$J2050,$K$1:K2050,K2050,$L$1:L2050,L2050)))</f>
        <v>001</v>
      </c>
      <c r="N205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50" s="14" t="e">
        <f>+LEN(Table4[[#This Row],[New Item Code]])</f>
        <v>#N/A</v>
      </c>
      <c r="P2050" s="15" t="s">
        <v>4747</v>
      </c>
      <c r="Q2050" s="15" t="s">
        <v>4749</v>
      </c>
      <c r="R2050" s="15"/>
      <c r="S2050" s="15"/>
      <c r="T2050" s="15" t="s">
        <v>4679</v>
      </c>
    </row>
    <row r="2051" spans="1:20" x14ac:dyDescent="0.35">
      <c r="A2051" s="2" t="s">
        <v>4044</v>
      </c>
      <c r="B2051" s="2" t="s">
        <v>4045</v>
      </c>
      <c r="C2051" s="2" t="s">
        <v>9</v>
      </c>
      <c r="D2051" s="2">
        <v>11.02</v>
      </c>
      <c r="E2051" s="2" t="s">
        <v>10</v>
      </c>
      <c r="F2051" s="2">
        <v>1</v>
      </c>
      <c r="G2051" s="22">
        <f>Table4[[#This Row],[Item Cost]]*Table4[[#This Row],[In Stock]]</f>
        <v>11.02</v>
      </c>
      <c r="H2051" s="12" t="s">
        <v>4661</v>
      </c>
      <c r="I2051" s="13" t="s">
        <v>4664</v>
      </c>
      <c r="J2051" s="13" t="s">
        <v>4679</v>
      </c>
      <c r="K2051" s="13" t="s">
        <v>4672</v>
      </c>
      <c r="L2051" s="12" t="s">
        <v>4672</v>
      </c>
      <c r="M2051" s="17" t="str">
        <f>IF(LEN(COUNTIFS($H$1:H2051,$H2051,$I$1:I2051,$I2051,$J$1:J2051,$J2051,$K$1:K2051,K2051,$L$1:L2051,L2051))=1,"00"&amp;COUNTIFS($H$1:H2051,$H2051,$I$1:I2051,$I2051,$J$1:J2051,$J2051,$K$1:K2051,K2051,$L$1:L2051,L2051),IF(LEN(COUNTIFS($H$1:H2051,$H2051,$I$1:I2051,$I2051,$J$1:J2051,$J2051,$K$1:K2051,K2051,$L$1:L2051,L2051))=2,"0"&amp;COUNTIFS($H$1:H2051,$H2051,$I$1:I2051,$I2051,$J$1:J2051,$J2051,$K$1:K2051,K2051,$L$1:L2051,L2051),COUNTIFS($H$1:H2051,$H2051,$I$1:I2051,$I2051,$J$1:J2051,$J2051,$K$1:K2051,K2051,$L$1:L2051,L2051)))</f>
        <v>025</v>
      </c>
      <c r="N205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51" s="14" t="e">
        <f>+LEN(Table4[[#This Row],[New Item Code]])</f>
        <v>#N/A</v>
      </c>
      <c r="P2051" s="15" t="s">
        <v>4747</v>
      </c>
      <c r="Q2051" s="15" t="s">
        <v>4749</v>
      </c>
      <c r="R2051" s="15"/>
      <c r="S2051" s="15"/>
      <c r="T2051" s="15" t="s">
        <v>4679</v>
      </c>
    </row>
    <row r="2052" spans="1:20" x14ac:dyDescent="0.35">
      <c r="A2052" s="3" t="s">
        <v>4046</v>
      </c>
      <c r="B2052" s="3" t="s">
        <v>4047</v>
      </c>
      <c r="C2052" s="3" t="s">
        <v>9</v>
      </c>
      <c r="D2052" s="3">
        <v>330.52499999999998</v>
      </c>
      <c r="E2052" s="3" t="s">
        <v>10</v>
      </c>
      <c r="F2052" s="3">
        <v>2</v>
      </c>
      <c r="G2052" s="21">
        <f>Table4[[#This Row],[Item Cost]]*Table4[[#This Row],[In Stock]]</f>
        <v>661.05</v>
      </c>
      <c r="H2052" s="12" t="s">
        <v>4661</v>
      </c>
      <c r="I2052" s="13" t="s">
        <v>4664</v>
      </c>
      <c r="J2052" s="13" t="s">
        <v>4679</v>
      </c>
      <c r="K2052" t="s">
        <v>4798</v>
      </c>
      <c r="L2052" s="12" t="s">
        <v>4672</v>
      </c>
      <c r="M2052" s="17" t="str">
        <f>IF(LEN(COUNTIFS($H$1:H2052,$H2052,$I$1:I2052,$I2052,$J$1:J2052,$J2052,$K$1:K2052,K2052,$L$1:L2052,L2052))=1,"00"&amp;COUNTIFS($H$1:H2052,$H2052,$I$1:I2052,$I2052,$J$1:J2052,$J2052,$K$1:K2052,K2052,$L$1:L2052,L2052),IF(LEN(COUNTIFS($H$1:H2052,$H2052,$I$1:I2052,$I2052,$J$1:J2052,$J2052,$K$1:K2052,K2052,$L$1:L2052,L2052))=2,"0"&amp;COUNTIFS($H$1:H2052,$H2052,$I$1:I2052,$I2052,$J$1:J2052,$J2052,$K$1:K2052,K2052,$L$1:L2052,L2052),COUNTIFS($H$1:H2052,$H2052,$I$1:I2052,$I2052,$J$1:J2052,$J2052,$K$1:K2052,K2052,$L$1:L2052,L2052)))</f>
        <v>004</v>
      </c>
      <c r="N205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52" s="14" t="e">
        <f>+LEN(Table4[[#This Row],[New Item Code]])</f>
        <v>#N/A</v>
      </c>
      <c r="P2052" s="15" t="s">
        <v>4747</v>
      </c>
      <c r="Q2052" s="15" t="s">
        <v>4749</v>
      </c>
      <c r="R2052" s="15"/>
      <c r="S2052" s="15"/>
      <c r="T2052" s="15" t="s">
        <v>4679</v>
      </c>
    </row>
    <row r="2053" spans="1:20" x14ac:dyDescent="0.35">
      <c r="A2053" s="2" t="s">
        <v>4048</v>
      </c>
      <c r="B2053" s="2" t="s">
        <v>4049</v>
      </c>
      <c r="C2053" s="2" t="s">
        <v>9</v>
      </c>
      <c r="D2053" s="4">
        <v>55.09</v>
      </c>
      <c r="E2053" s="2" t="s">
        <v>10</v>
      </c>
      <c r="F2053" s="2">
        <v>2</v>
      </c>
      <c r="G2053" s="22">
        <f>Table4[[#This Row],[Item Cost]]*Table4[[#This Row],[In Stock]]</f>
        <v>110.18</v>
      </c>
      <c r="H2053" s="12" t="s">
        <v>4661</v>
      </c>
      <c r="I2053" s="13" t="s">
        <v>4664</v>
      </c>
      <c r="J2053" s="13" t="s">
        <v>4679</v>
      </c>
      <c r="K2053" t="s">
        <v>4798</v>
      </c>
      <c r="L2053" s="12" t="s">
        <v>4672</v>
      </c>
      <c r="M2053" s="17" t="str">
        <f>IF(LEN(COUNTIFS($H$1:H2053,$H2053,$I$1:I2053,$I2053,$J$1:J2053,$J2053,$K$1:K2053,K2053,$L$1:L2053,L2053))=1,"00"&amp;COUNTIFS($H$1:H2053,$H2053,$I$1:I2053,$I2053,$J$1:J2053,$J2053,$K$1:K2053,K2053,$L$1:L2053,L2053),IF(LEN(COUNTIFS($H$1:H2053,$H2053,$I$1:I2053,$I2053,$J$1:J2053,$J2053,$K$1:K2053,K2053,$L$1:L2053,L2053))=2,"0"&amp;COUNTIFS($H$1:H2053,$H2053,$I$1:I2053,$I2053,$J$1:J2053,$J2053,$K$1:K2053,K2053,$L$1:L2053,L2053),COUNTIFS($H$1:H2053,$H2053,$I$1:I2053,$I2053,$J$1:J2053,$J2053,$K$1:K2053,K2053,$L$1:L2053,L2053)))</f>
        <v>005</v>
      </c>
      <c r="N205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53" s="14" t="e">
        <f>+LEN(Table4[[#This Row],[New Item Code]])</f>
        <v>#N/A</v>
      </c>
      <c r="P2053" s="15" t="s">
        <v>4747</v>
      </c>
      <c r="Q2053" s="15" t="s">
        <v>4749</v>
      </c>
      <c r="R2053" s="15"/>
      <c r="S2053" s="15"/>
      <c r="T2053" s="15" t="s">
        <v>4679</v>
      </c>
    </row>
    <row r="2054" spans="1:20" x14ac:dyDescent="0.35">
      <c r="A2054" s="3" t="s">
        <v>4050</v>
      </c>
      <c r="B2054" s="3" t="s">
        <v>4051</v>
      </c>
      <c r="C2054" s="3" t="s">
        <v>9</v>
      </c>
      <c r="D2054" s="3">
        <v>459.06</v>
      </c>
      <c r="E2054" s="3" t="s">
        <v>10</v>
      </c>
      <c r="F2054" s="3">
        <v>1</v>
      </c>
      <c r="G2054" s="21">
        <f>Table4[[#This Row],[Item Cost]]*Table4[[#This Row],[In Stock]]</f>
        <v>459.06</v>
      </c>
      <c r="H2054" s="12" t="s">
        <v>4661</v>
      </c>
      <c r="I2054" s="13" t="s">
        <v>4664</v>
      </c>
      <c r="J2054" s="13" t="s">
        <v>4679</v>
      </c>
      <c r="K2054" t="s">
        <v>4795</v>
      </c>
      <c r="L2054" s="12" t="s">
        <v>4672</v>
      </c>
      <c r="M2054" s="17" t="str">
        <f>IF(LEN(COUNTIFS($H$1:H2054,$H2054,$I$1:I2054,$I2054,$J$1:J2054,$J2054,$K$1:K2054,K2054,$L$1:L2054,L2054))=1,"00"&amp;COUNTIFS($H$1:H2054,$H2054,$I$1:I2054,$I2054,$J$1:J2054,$J2054,$K$1:K2054,K2054,$L$1:L2054,L2054),IF(LEN(COUNTIFS($H$1:H2054,$H2054,$I$1:I2054,$I2054,$J$1:J2054,$J2054,$K$1:K2054,K2054,$L$1:L2054,L2054))=2,"0"&amp;COUNTIFS($H$1:H2054,$H2054,$I$1:I2054,$I2054,$J$1:J2054,$J2054,$K$1:K2054,K2054,$L$1:L2054,L2054),COUNTIFS($H$1:H2054,$H2054,$I$1:I2054,$I2054,$J$1:J2054,$J2054,$K$1:K2054,K2054,$L$1:L2054,L2054)))</f>
        <v>002</v>
      </c>
      <c r="N205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54" s="14" t="e">
        <f>+LEN(Table4[[#This Row],[New Item Code]])</f>
        <v>#N/A</v>
      </c>
      <c r="P2054" s="15" t="s">
        <v>4747</v>
      </c>
      <c r="Q2054" s="15" t="s">
        <v>4749</v>
      </c>
      <c r="R2054" s="15"/>
      <c r="S2054" s="15"/>
      <c r="T2054" s="15" t="s">
        <v>4679</v>
      </c>
    </row>
    <row r="2055" spans="1:20" x14ac:dyDescent="0.35">
      <c r="A2055" s="2" t="s">
        <v>4052</v>
      </c>
      <c r="B2055" s="2" t="s">
        <v>4053</v>
      </c>
      <c r="C2055" s="2" t="s">
        <v>9</v>
      </c>
      <c r="D2055" s="2">
        <v>6059.63</v>
      </c>
      <c r="E2055" s="2" t="s">
        <v>10</v>
      </c>
      <c r="F2055" s="2">
        <v>1</v>
      </c>
      <c r="G2055" s="22">
        <f>Table4[[#This Row],[Item Cost]]*Table4[[#This Row],[In Stock]]</f>
        <v>6059.63</v>
      </c>
      <c r="H2055" s="12" t="s">
        <v>4661</v>
      </c>
      <c r="I2055" s="13" t="s">
        <v>4664</v>
      </c>
      <c r="J2055" s="13" t="s">
        <v>4679</v>
      </c>
      <c r="K2055" s="13" t="s">
        <v>4672</v>
      </c>
      <c r="L2055" s="12" t="s">
        <v>4672</v>
      </c>
      <c r="M2055" s="17" t="str">
        <f>IF(LEN(COUNTIFS($H$1:H2055,$H2055,$I$1:I2055,$I2055,$J$1:J2055,$J2055,$K$1:K2055,K2055,$L$1:L2055,L2055))=1,"00"&amp;COUNTIFS($H$1:H2055,$H2055,$I$1:I2055,$I2055,$J$1:J2055,$J2055,$K$1:K2055,K2055,$L$1:L2055,L2055),IF(LEN(COUNTIFS($H$1:H2055,$H2055,$I$1:I2055,$I2055,$J$1:J2055,$J2055,$K$1:K2055,K2055,$L$1:L2055,L2055))=2,"0"&amp;COUNTIFS($H$1:H2055,$H2055,$I$1:I2055,$I2055,$J$1:J2055,$J2055,$K$1:K2055,K2055,$L$1:L2055,L2055),COUNTIFS($H$1:H2055,$H2055,$I$1:I2055,$I2055,$J$1:J2055,$J2055,$K$1:K2055,K2055,$L$1:L2055,L2055)))</f>
        <v>026</v>
      </c>
      <c r="N205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55" s="14" t="e">
        <f>+LEN(Table4[[#This Row],[New Item Code]])</f>
        <v>#N/A</v>
      </c>
      <c r="P2055" s="15" t="s">
        <v>4747</v>
      </c>
      <c r="Q2055" s="15" t="s">
        <v>4749</v>
      </c>
      <c r="R2055" s="15"/>
      <c r="S2055" s="15"/>
      <c r="T2055" s="15" t="s">
        <v>4679</v>
      </c>
    </row>
    <row r="2056" spans="1:20" x14ac:dyDescent="0.35">
      <c r="A2056" s="3" t="s">
        <v>4054</v>
      </c>
      <c r="B2056" s="3" t="s">
        <v>4015</v>
      </c>
      <c r="C2056" s="3" t="s">
        <v>9</v>
      </c>
      <c r="D2056" s="3">
        <v>11.02</v>
      </c>
      <c r="E2056" s="3" t="s">
        <v>10</v>
      </c>
      <c r="F2056" s="3">
        <v>1</v>
      </c>
      <c r="G2056" s="21">
        <f>Table4[[#This Row],[Item Cost]]*Table4[[#This Row],[In Stock]]</f>
        <v>11.02</v>
      </c>
      <c r="H2056" s="12" t="s">
        <v>4661</v>
      </c>
      <c r="I2056" s="13" t="s">
        <v>4664</v>
      </c>
      <c r="J2056" s="13" t="s">
        <v>4679</v>
      </c>
      <c r="K2056" s="13" t="s">
        <v>4672</v>
      </c>
      <c r="L2056" s="12" t="s">
        <v>4672</v>
      </c>
      <c r="M2056" s="17" t="str">
        <f>IF(LEN(COUNTIFS($H$1:H2056,$H2056,$I$1:I2056,$I2056,$J$1:J2056,$J2056,$K$1:K2056,K2056,$L$1:L2056,L2056))=1,"00"&amp;COUNTIFS($H$1:H2056,$H2056,$I$1:I2056,$I2056,$J$1:J2056,$J2056,$K$1:K2056,K2056,$L$1:L2056,L2056),IF(LEN(COUNTIFS($H$1:H2056,$H2056,$I$1:I2056,$I2056,$J$1:J2056,$J2056,$K$1:K2056,K2056,$L$1:L2056,L2056))=2,"0"&amp;COUNTIFS($H$1:H2056,$H2056,$I$1:I2056,$I2056,$J$1:J2056,$J2056,$K$1:K2056,K2056,$L$1:L2056,L2056),COUNTIFS($H$1:H2056,$H2056,$I$1:I2056,$I2056,$J$1:J2056,$J2056,$K$1:K2056,K2056,$L$1:L2056,L2056)))</f>
        <v>027</v>
      </c>
      <c r="N205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56" s="14" t="e">
        <f>+LEN(Table4[[#This Row],[New Item Code]])</f>
        <v>#N/A</v>
      </c>
      <c r="P2056" s="15" t="s">
        <v>4747</v>
      </c>
      <c r="Q2056" s="15" t="s">
        <v>4749</v>
      </c>
      <c r="R2056" s="15"/>
      <c r="S2056" s="15"/>
      <c r="T2056" s="15" t="s">
        <v>4679</v>
      </c>
    </row>
    <row r="2057" spans="1:20" x14ac:dyDescent="0.35">
      <c r="A2057" s="2" t="s">
        <v>4055</v>
      </c>
      <c r="B2057" s="2" t="s">
        <v>4056</v>
      </c>
      <c r="C2057" s="2" t="s">
        <v>9</v>
      </c>
      <c r="D2057" s="2">
        <v>1358.83</v>
      </c>
      <c r="E2057" s="2" t="s">
        <v>10</v>
      </c>
      <c r="F2057" s="2">
        <v>1</v>
      </c>
      <c r="G2057" s="22">
        <f>Table4[[#This Row],[Item Cost]]*Table4[[#This Row],[In Stock]]</f>
        <v>1358.83</v>
      </c>
      <c r="H2057" s="12" t="s">
        <v>4661</v>
      </c>
      <c r="I2057" s="13" t="s">
        <v>4664</v>
      </c>
      <c r="J2057" s="13" t="s">
        <v>4679</v>
      </c>
      <c r="K2057" s="13" t="s">
        <v>4672</v>
      </c>
      <c r="L2057" s="12" t="s">
        <v>4672</v>
      </c>
      <c r="M2057" s="17" t="str">
        <f>IF(LEN(COUNTIFS($H$1:H2057,$H2057,$I$1:I2057,$I2057,$J$1:J2057,$J2057,$K$1:K2057,K2057,$L$1:L2057,L2057))=1,"00"&amp;COUNTIFS($H$1:H2057,$H2057,$I$1:I2057,$I2057,$J$1:J2057,$J2057,$K$1:K2057,K2057,$L$1:L2057,L2057),IF(LEN(COUNTIFS($H$1:H2057,$H2057,$I$1:I2057,$I2057,$J$1:J2057,$J2057,$K$1:K2057,K2057,$L$1:L2057,L2057))=2,"0"&amp;COUNTIFS($H$1:H2057,$H2057,$I$1:I2057,$I2057,$J$1:J2057,$J2057,$K$1:K2057,K2057,$L$1:L2057,L2057),COUNTIFS($H$1:H2057,$H2057,$I$1:I2057,$I2057,$J$1:J2057,$J2057,$K$1:K2057,K2057,$L$1:L2057,L2057)))</f>
        <v>028</v>
      </c>
      <c r="N205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57" s="14" t="e">
        <f>+LEN(Table4[[#This Row],[New Item Code]])</f>
        <v>#N/A</v>
      </c>
      <c r="P2057" s="15" t="s">
        <v>4747</v>
      </c>
      <c r="Q2057" s="15" t="s">
        <v>4749</v>
      </c>
      <c r="R2057" s="15"/>
      <c r="S2057" s="15"/>
      <c r="T2057" s="15" t="s">
        <v>4679</v>
      </c>
    </row>
    <row r="2058" spans="1:20" x14ac:dyDescent="0.35">
      <c r="A2058" s="3" t="s">
        <v>4057</v>
      </c>
      <c r="B2058" s="3" t="s">
        <v>4058</v>
      </c>
      <c r="C2058" s="3" t="s">
        <v>9</v>
      </c>
      <c r="D2058" s="5">
        <v>291.38299999999998</v>
      </c>
      <c r="E2058" s="3" t="s">
        <v>10</v>
      </c>
      <c r="F2058" s="3">
        <v>3</v>
      </c>
      <c r="G2058" s="21">
        <f>Table4[[#This Row],[Item Cost]]*Table4[[#This Row],[In Stock]]</f>
        <v>874.14899999999989</v>
      </c>
      <c r="H2058" s="12" t="s">
        <v>4661</v>
      </c>
      <c r="I2058" s="13" t="s">
        <v>4664</v>
      </c>
      <c r="J2058" s="13" t="s">
        <v>4679</v>
      </c>
      <c r="K2058" s="7" t="s">
        <v>4771</v>
      </c>
      <c r="L2058" s="12" t="s">
        <v>4672</v>
      </c>
      <c r="M2058" s="17" t="str">
        <f>IF(LEN(COUNTIFS($H$1:H2058,$H2058,$I$1:I2058,$I2058,$J$1:J2058,$J2058,$K$1:K2058,K2058,$L$1:L2058,L2058))=1,"00"&amp;COUNTIFS($H$1:H2058,$H2058,$I$1:I2058,$I2058,$J$1:J2058,$J2058,$K$1:K2058,K2058,$L$1:L2058,L2058),IF(LEN(COUNTIFS($H$1:H2058,$H2058,$I$1:I2058,$I2058,$J$1:J2058,$J2058,$K$1:K2058,K2058,$L$1:L2058,L2058))=2,"0"&amp;COUNTIFS($H$1:H2058,$H2058,$I$1:I2058,$I2058,$J$1:J2058,$J2058,$K$1:K2058,K2058,$L$1:L2058,L2058),COUNTIFS($H$1:H2058,$H2058,$I$1:I2058,$I2058,$J$1:J2058,$J2058,$K$1:K2058,K2058,$L$1:L2058,L2058)))</f>
        <v>003</v>
      </c>
      <c r="N205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58" s="14" t="e">
        <f>+LEN(Table4[[#This Row],[New Item Code]])</f>
        <v>#N/A</v>
      </c>
      <c r="P2058" s="15" t="s">
        <v>4747</v>
      </c>
      <c r="Q2058" s="15" t="s">
        <v>4749</v>
      </c>
      <c r="R2058" s="15"/>
      <c r="S2058" s="15"/>
      <c r="T2058" s="15" t="s">
        <v>4679</v>
      </c>
    </row>
    <row r="2059" spans="1:20" x14ac:dyDescent="0.35">
      <c r="A2059" s="2" t="s">
        <v>4059</v>
      </c>
      <c r="B2059" s="2" t="s">
        <v>4060</v>
      </c>
      <c r="C2059" s="2" t="s">
        <v>9</v>
      </c>
      <c r="D2059" s="2">
        <v>2570.75</v>
      </c>
      <c r="E2059" s="2" t="s">
        <v>10</v>
      </c>
      <c r="F2059" s="2">
        <v>1</v>
      </c>
      <c r="G2059" s="22">
        <f>Table4[[#This Row],[Item Cost]]*Table4[[#This Row],[In Stock]]</f>
        <v>2570.75</v>
      </c>
      <c r="H2059" s="12" t="s">
        <v>4661</v>
      </c>
      <c r="I2059" s="13" t="s">
        <v>4664</v>
      </c>
      <c r="J2059" s="13" t="s">
        <v>4679</v>
      </c>
      <c r="K2059" s="13" t="s">
        <v>4672</v>
      </c>
      <c r="L2059" s="12" t="s">
        <v>4672</v>
      </c>
      <c r="M2059" s="17" t="str">
        <f>IF(LEN(COUNTIFS($H$1:H2059,$H2059,$I$1:I2059,$I2059,$J$1:J2059,$J2059,$K$1:K2059,K2059,$L$1:L2059,L2059))=1,"00"&amp;COUNTIFS($H$1:H2059,$H2059,$I$1:I2059,$I2059,$J$1:J2059,$J2059,$K$1:K2059,K2059,$L$1:L2059,L2059),IF(LEN(COUNTIFS($H$1:H2059,$H2059,$I$1:I2059,$I2059,$J$1:J2059,$J2059,$K$1:K2059,K2059,$L$1:L2059,L2059))=2,"0"&amp;COUNTIFS($H$1:H2059,$H2059,$I$1:I2059,$I2059,$J$1:J2059,$J2059,$K$1:K2059,K2059,$L$1:L2059,L2059),COUNTIFS($H$1:H2059,$H2059,$I$1:I2059,$I2059,$J$1:J2059,$J2059,$K$1:K2059,K2059,$L$1:L2059,L2059)))</f>
        <v>029</v>
      </c>
      <c r="N205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59" s="14" t="e">
        <f>+LEN(Table4[[#This Row],[New Item Code]])</f>
        <v>#N/A</v>
      </c>
      <c r="P2059" s="15" t="s">
        <v>4747</v>
      </c>
      <c r="Q2059" s="15" t="s">
        <v>4749</v>
      </c>
      <c r="R2059" s="15"/>
      <c r="S2059" s="15"/>
      <c r="T2059" s="15" t="s">
        <v>4679</v>
      </c>
    </row>
    <row r="2060" spans="1:20" x14ac:dyDescent="0.35">
      <c r="A2060" s="3" t="s">
        <v>4061</v>
      </c>
      <c r="B2060" s="3" t="s">
        <v>4062</v>
      </c>
      <c r="C2060" s="3" t="s">
        <v>9</v>
      </c>
      <c r="D2060" s="5">
        <v>367.25</v>
      </c>
      <c r="E2060" s="3" t="s">
        <v>10</v>
      </c>
      <c r="F2060" s="3">
        <v>1</v>
      </c>
      <c r="G2060" s="21">
        <f>Table4[[#This Row],[Item Cost]]*Table4[[#This Row],[In Stock]]</f>
        <v>367.25</v>
      </c>
      <c r="H2060" s="12" t="s">
        <v>4661</v>
      </c>
      <c r="I2060" s="13" t="s">
        <v>4664</v>
      </c>
      <c r="J2060" s="13" t="s">
        <v>4679</v>
      </c>
      <c r="K2060" s="13" t="s">
        <v>4672</v>
      </c>
      <c r="L2060" s="12" t="s">
        <v>4672</v>
      </c>
      <c r="M2060" s="17" t="str">
        <f>IF(LEN(COUNTIFS($H$1:H2060,$H2060,$I$1:I2060,$I2060,$J$1:J2060,$J2060,$K$1:K2060,K2060,$L$1:L2060,L2060))=1,"00"&amp;COUNTIFS($H$1:H2060,$H2060,$I$1:I2060,$I2060,$J$1:J2060,$J2060,$K$1:K2060,K2060,$L$1:L2060,L2060),IF(LEN(COUNTIFS($H$1:H2060,$H2060,$I$1:I2060,$I2060,$J$1:J2060,$J2060,$K$1:K2060,K2060,$L$1:L2060,L2060))=2,"0"&amp;COUNTIFS($H$1:H2060,$H2060,$I$1:I2060,$I2060,$J$1:J2060,$J2060,$K$1:K2060,K2060,$L$1:L2060,L2060),COUNTIFS($H$1:H2060,$H2060,$I$1:I2060,$I2060,$J$1:J2060,$J2060,$K$1:K2060,K2060,$L$1:L2060,L2060)))</f>
        <v>030</v>
      </c>
      <c r="N206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60" s="14" t="e">
        <f>+LEN(Table4[[#This Row],[New Item Code]])</f>
        <v>#N/A</v>
      </c>
      <c r="P2060" s="15" t="s">
        <v>4747</v>
      </c>
      <c r="Q2060" s="15" t="s">
        <v>4749</v>
      </c>
      <c r="R2060" s="15"/>
      <c r="S2060" s="15"/>
      <c r="T2060" s="15" t="s">
        <v>4679</v>
      </c>
    </row>
    <row r="2061" spans="1:20" x14ac:dyDescent="0.35">
      <c r="A2061" s="2" t="s">
        <v>4063</v>
      </c>
      <c r="B2061" s="2" t="s">
        <v>4064</v>
      </c>
      <c r="C2061" s="2" t="s">
        <v>9</v>
      </c>
      <c r="D2061" s="2">
        <v>330.53</v>
      </c>
      <c r="E2061" s="2" t="s">
        <v>10</v>
      </c>
      <c r="F2061" s="2">
        <v>1</v>
      </c>
      <c r="G2061" s="22">
        <f>Table4[[#This Row],[Item Cost]]*Table4[[#This Row],[In Stock]]</f>
        <v>330.53</v>
      </c>
      <c r="H2061" s="12" t="s">
        <v>4661</v>
      </c>
      <c r="I2061" s="13" t="s">
        <v>4664</v>
      </c>
      <c r="J2061" s="13" t="s">
        <v>4679</v>
      </c>
      <c r="K2061" s="13" t="s">
        <v>4776</v>
      </c>
      <c r="L2061" s="12" t="s">
        <v>4672</v>
      </c>
      <c r="M2061" s="17" t="str">
        <f>IF(LEN(COUNTIFS($H$1:H2061,$H2061,$I$1:I2061,$I2061,$J$1:J2061,$J2061,$K$1:K2061,K2061,$L$1:L2061,L2061))=1,"00"&amp;COUNTIFS($H$1:H2061,$H2061,$I$1:I2061,$I2061,$J$1:J2061,$J2061,$K$1:K2061,K2061,$L$1:L2061,L2061),IF(LEN(COUNTIFS($H$1:H2061,$H2061,$I$1:I2061,$I2061,$J$1:J2061,$J2061,$K$1:K2061,K2061,$L$1:L2061,L2061))=2,"0"&amp;COUNTIFS($H$1:H2061,$H2061,$I$1:I2061,$I2061,$J$1:J2061,$J2061,$K$1:K2061,K2061,$L$1:L2061,L2061),COUNTIFS($H$1:H2061,$H2061,$I$1:I2061,$I2061,$J$1:J2061,$J2061,$K$1:K2061,K2061,$L$1:L2061,L2061)))</f>
        <v>002</v>
      </c>
      <c r="N206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61" s="14" t="e">
        <f>+LEN(Table4[[#This Row],[New Item Code]])</f>
        <v>#N/A</v>
      </c>
      <c r="P2061" s="15" t="s">
        <v>4747</v>
      </c>
      <c r="Q2061" s="15" t="s">
        <v>4749</v>
      </c>
      <c r="R2061" s="15"/>
      <c r="S2061" s="15"/>
      <c r="T2061" s="15" t="s">
        <v>4679</v>
      </c>
    </row>
    <row r="2062" spans="1:20" x14ac:dyDescent="0.35">
      <c r="A2062" s="3" t="s">
        <v>4065</v>
      </c>
      <c r="B2062" s="3" t="s">
        <v>4066</v>
      </c>
      <c r="C2062" s="3" t="s">
        <v>9</v>
      </c>
      <c r="D2062" s="5">
        <v>422.34</v>
      </c>
      <c r="E2062" s="3" t="s">
        <v>10</v>
      </c>
      <c r="F2062" s="3">
        <v>1</v>
      </c>
      <c r="G2062" s="21">
        <f>Table4[[#This Row],[Item Cost]]*Table4[[#This Row],[In Stock]]</f>
        <v>422.34</v>
      </c>
      <c r="H2062" s="12" t="s">
        <v>4661</v>
      </c>
      <c r="I2062" s="13" t="s">
        <v>4664</v>
      </c>
      <c r="J2062" s="13" t="s">
        <v>4679</v>
      </c>
      <c r="K2062" s="13" t="s">
        <v>4672</v>
      </c>
      <c r="L2062" s="12" t="s">
        <v>4672</v>
      </c>
      <c r="M2062" s="17" t="str">
        <f>IF(LEN(COUNTIFS($H$1:H2062,$H2062,$I$1:I2062,$I2062,$J$1:J2062,$J2062,$K$1:K2062,K2062,$L$1:L2062,L2062))=1,"00"&amp;COUNTIFS($H$1:H2062,$H2062,$I$1:I2062,$I2062,$J$1:J2062,$J2062,$K$1:K2062,K2062,$L$1:L2062,L2062),IF(LEN(COUNTIFS($H$1:H2062,$H2062,$I$1:I2062,$I2062,$J$1:J2062,$J2062,$K$1:K2062,K2062,$L$1:L2062,L2062))=2,"0"&amp;COUNTIFS($H$1:H2062,$H2062,$I$1:I2062,$I2062,$J$1:J2062,$J2062,$K$1:K2062,K2062,$L$1:L2062,L2062),COUNTIFS($H$1:H2062,$H2062,$I$1:I2062,$I2062,$J$1:J2062,$J2062,$K$1:K2062,K2062,$L$1:L2062,L2062)))</f>
        <v>031</v>
      </c>
      <c r="N206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62" s="14" t="e">
        <f>+LEN(Table4[[#This Row],[New Item Code]])</f>
        <v>#N/A</v>
      </c>
      <c r="P2062" s="15" t="s">
        <v>4747</v>
      </c>
      <c r="Q2062" s="15" t="s">
        <v>4749</v>
      </c>
      <c r="R2062" s="15"/>
      <c r="S2062" s="15"/>
      <c r="T2062" s="15" t="s">
        <v>4679</v>
      </c>
    </row>
    <row r="2063" spans="1:20" x14ac:dyDescent="0.35">
      <c r="A2063" s="2" t="s">
        <v>4067</v>
      </c>
      <c r="B2063" s="2" t="s">
        <v>4068</v>
      </c>
      <c r="C2063" s="2" t="s">
        <v>9</v>
      </c>
      <c r="D2063" s="2">
        <v>152.83000000000001</v>
      </c>
      <c r="E2063" s="2" t="s">
        <v>10</v>
      </c>
      <c r="F2063" s="2">
        <v>3</v>
      </c>
      <c r="G2063" s="22">
        <f>Table4[[#This Row],[Item Cost]]*Table4[[#This Row],[In Stock]]</f>
        <v>458.49</v>
      </c>
      <c r="H2063" s="12" t="s">
        <v>4661</v>
      </c>
      <c r="I2063" s="13" t="s">
        <v>4664</v>
      </c>
      <c r="J2063" s="13" t="s">
        <v>4679</v>
      </c>
      <c r="K2063" s="13" t="s">
        <v>4672</v>
      </c>
      <c r="L2063" s="12" t="s">
        <v>4672</v>
      </c>
      <c r="M2063" s="17" t="str">
        <f>IF(LEN(COUNTIFS($H$1:H2063,$H2063,$I$1:I2063,$I2063,$J$1:J2063,$J2063,$K$1:K2063,K2063,$L$1:L2063,L2063))=1,"00"&amp;COUNTIFS($H$1:H2063,$H2063,$I$1:I2063,$I2063,$J$1:J2063,$J2063,$K$1:K2063,K2063,$L$1:L2063,L2063),IF(LEN(COUNTIFS($H$1:H2063,$H2063,$I$1:I2063,$I2063,$J$1:J2063,$J2063,$K$1:K2063,K2063,$L$1:L2063,L2063))=2,"0"&amp;COUNTIFS($H$1:H2063,$H2063,$I$1:I2063,$I2063,$J$1:J2063,$J2063,$K$1:K2063,K2063,$L$1:L2063,L2063),COUNTIFS($H$1:H2063,$H2063,$I$1:I2063,$I2063,$J$1:J2063,$J2063,$K$1:K2063,K2063,$L$1:L2063,L2063)))</f>
        <v>032</v>
      </c>
      <c r="N206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63" s="14" t="e">
        <f>+LEN(Table4[[#This Row],[New Item Code]])</f>
        <v>#N/A</v>
      </c>
      <c r="P2063" s="15" t="s">
        <v>4747</v>
      </c>
      <c r="Q2063" s="15" t="s">
        <v>4749</v>
      </c>
      <c r="R2063" s="15"/>
      <c r="S2063" s="15"/>
      <c r="T2063" s="15" t="s">
        <v>4679</v>
      </c>
    </row>
    <row r="2064" spans="1:20" x14ac:dyDescent="0.35">
      <c r="A2064" s="3" t="s">
        <v>4069</v>
      </c>
      <c r="B2064" s="3" t="s">
        <v>4070</v>
      </c>
      <c r="C2064" s="3" t="s">
        <v>56</v>
      </c>
      <c r="D2064" s="3">
        <v>0</v>
      </c>
      <c r="E2064" s="3" t="s">
        <v>57</v>
      </c>
      <c r="F2064" s="3">
        <v>0</v>
      </c>
      <c r="G2064" s="21">
        <f>Table4[[#This Row],[Item Cost]]*Table4[[#This Row],[In Stock]]</f>
        <v>0</v>
      </c>
      <c r="H2064" s="12" t="s">
        <v>4661</v>
      </c>
      <c r="I2064" s="13" t="s">
        <v>4668</v>
      </c>
      <c r="J2064" s="13" t="s">
        <v>4679</v>
      </c>
      <c r="K2064" s="13" t="s">
        <v>4672</v>
      </c>
      <c r="L2064" s="12" t="s">
        <v>4672</v>
      </c>
      <c r="M2064" s="17" t="str">
        <f>IF(LEN(COUNTIFS($H$1:H2064,$H2064,$I$1:I2064,$I2064,$J$1:J2064,$J2064,$K$1:K2064,K2064,$L$1:L2064,L2064))=1,"00"&amp;COUNTIFS($H$1:H2064,$H2064,$I$1:I2064,$I2064,$J$1:J2064,$J2064,$K$1:K2064,K2064,$L$1:L2064,L2064),IF(LEN(COUNTIFS($H$1:H2064,$H2064,$I$1:I2064,$I2064,$J$1:J2064,$J2064,$K$1:K2064,K2064,$L$1:L2064,L2064))=2,"0"&amp;COUNTIFS($H$1:H2064,$H2064,$I$1:I2064,$I2064,$J$1:J2064,$J2064,$K$1:K2064,K2064,$L$1:L2064,L2064),COUNTIFS($H$1:H2064,$H2064,$I$1:I2064,$I2064,$J$1:J2064,$J2064,$K$1:K2064,K2064,$L$1:L2064,L2064)))</f>
        <v>002</v>
      </c>
      <c r="N206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64" s="14" t="e">
        <f>+LEN(Table4[[#This Row],[New Item Code]])</f>
        <v>#N/A</v>
      </c>
      <c r="P2064" s="15" t="s">
        <v>4747</v>
      </c>
      <c r="Q2064" s="15" t="s">
        <v>4749</v>
      </c>
      <c r="R2064" s="15"/>
      <c r="S2064" s="15"/>
      <c r="T2064" s="15" t="s">
        <v>4679</v>
      </c>
    </row>
    <row r="2065" spans="1:20" x14ac:dyDescent="0.35">
      <c r="A2065" s="2" t="s">
        <v>4071</v>
      </c>
      <c r="B2065" s="2" t="s">
        <v>4072</v>
      </c>
      <c r="C2065" s="2" t="s">
        <v>56</v>
      </c>
      <c r="D2065" s="2">
        <v>0</v>
      </c>
      <c r="E2065" s="2" t="s">
        <v>57</v>
      </c>
      <c r="F2065" s="2">
        <v>0</v>
      </c>
      <c r="G2065" s="22">
        <f>Table4[[#This Row],[Item Cost]]*Table4[[#This Row],[In Stock]]</f>
        <v>0</v>
      </c>
      <c r="H2065" s="12" t="s">
        <v>4661</v>
      </c>
      <c r="I2065" s="13" t="s">
        <v>4668</v>
      </c>
      <c r="J2065" s="13" t="s">
        <v>4679</v>
      </c>
      <c r="K2065" s="13" t="s">
        <v>4672</v>
      </c>
      <c r="L2065" s="12" t="s">
        <v>4672</v>
      </c>
      <c r="M2065" s="17" t="str">
        <f>IF(LEN(COUNTIFS($H$1:H2065,$H2065,$I$1:I2065,$I2065,$J$1:J2065,$J2065,$K$1:K2065,K2065,$L$1:L2065,L2065))=1,"00"&amp;COUNTIFS($H$1:H2065,$H2065,$I$1:I2065,$I2065,$J$1:J2065,$J2065,$K$1:K2065,K2065,$L$1:L2065,L2065),IF(LEN(COUNTIFS($H$1:H2065,$H2065,$I$1:I2065,$I2065,$J$1:J2065,$J2065,$K$1:K2065,K2065,$L$1:L2065,L2065))=2,"0"&amp;COUNTIFS($H$1:H2065,$H2065,$I$1:I2065,$I2065,$J$1:J2065,$J2065,$K$1:K2065,K2065,$L$1:L2065,L2065),COUNTIFS($H$1:H2065,$H2065,$I$1:I2065,$I2065,$J$1:J2065,$J2065,$K$1:K2065,K2065,$L$1:L2065,L2065)))</f>
        <v>003</v>
      </c>
      <c r="N206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65" s="14" t="e">
        <f>+LEN(Table4[[#This Row],[New Item Code]])</f>
        <v>#N/A</v>
      </c>
      <c r="P2065" s="15" t="s">
        <v>4747</v>
      </c>
      <c r="Q2065" s="15" t="s">
        <v>4749</v>
      </c>
      <c r="R2065" s="15"/>
      <c r="S2065" s="15"/>
      <c r="T2065" s="15" t="s">
        <v>4679</v>
      </c>
    </row>
    <row r="2066" spans="1:20" x14ac:dyDescent="0.35">
      <c r="A2066" s="3" t="s">
        <v>4073</v>
      </c>
      <c r="B2066" s="3" t="s">
        <v>4074</v>
      </c>
      <c r="C2066" s="3" t="s">
        <v>56</v>
      </c>
      <c r="D2066" s="3">
        <v>0</v>
      </c>
      <c r="E2066" s="3" t="s">
        <v>57</v>
      </c>
      <c r="F2066" s="3">
        <v>0</v>
      </c>
      <c r="G2066" s="21">
        <f>Table4[[#This Row],[Item Cost]]*Table4[[#This Row],[In Stock]]</f>
        <v>0</v>
      </c>
      <c r="H2066" s="12" t="s">
        <v>4661</v>
      </c>
      <c r="I2066" s="13" t="s">
        <v>4668</v>
      </c>
      <c r="J2066" s="13" t="s">
        <v>4672</v>
      </c>
      <c r="K2066" s="13" t="s">
        <v>4758</v>
      </c>
      <c r="L2066" s="12" t="s">
        <v>4672</v>
      </c>
      <c r="M2066" s="17">
        <f>IF(LEN(COUNTIFS($H$1:H2066,$H2066,$I$1:I2066,$I2066,$J$1:J2066,$J2066,$K$1:K2066,K2066,$L$1:L2066,L2066))=1,"00"&amp;COUNTIFS($H$1:H2066,$H2066,$I$1:I2066,$I2066,$J$1:J2066,$J2066,$K$1:K2066,K2066,$L$1:L2066,L2066),IF(LEN(COUNTIFS($H$1:H2066,$H2066,$I$1:I2066,$I2066,$J$1:J2066,$J2066,$K$1:K2066,K2066,$L$1:L2066,L2066))=2,"0"&amp;COUNTIFS($H$1:H2066,$H2066,$I$1:I2066,$I2066,$J$1:J2066,$J2066,$K$1:K2066,K2066,$L$1:L2066,L2066),COUNTIFS($H$1:H2066,$H2066,$I$1:I2066,$I2066,$J$1:J2066,$J2066,$K$1:K2066,K2066,$L$1:L2066,L2066)))</f>
        <v>100</v>
      </c>
      <c r="N206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66" s="14" t="e">
        <f>+LEN(Table4[[#This Row],[New Item Code]])</f>
        <v>#N/A</v>
      </c>
      <c r="P2066" s="15" t="s">
        <v>4747</v>
      </c>
      <c r="Q2066" s="15" t="s">
        <v>4749</v>
      </c>
      <c r="R2066" s="15"/>
      <c r="S2066" s="15"/>
      <c r="T2066" s="15" t="s">
        <v>4672</v>
      </c>
    </row>
    <row r="2067" spans="1:20" x14ac:dyDescent="0.35">
      <c r="A2067" s="2" t="s">
        <v>4075</v>
      </c>
      <c r="B2067" s="2" t="s">
        <v>4076</v>
      </c>
      <c r="C2067" s="2" t="s">
        <v>56</v>
      </c>
      <c r="D2067" s="2">
        <v>0</v>
      </c>
      <c r="E2067" s="2" t="s">
        <v>57</v>
      </c>
      <c r="F2067" s="2">
        <v>0</v>
      </c>
      <c r="G2067" s="22">
        <f>Table4[[#This Row],[Item Cost]]*Table4[[#This Row],[In Stock]]</f>
        <v>0</v>
      </c>
      <c r="H2067" s="12" t="s">
        <v>4661</v>
      </c>
      <c r="I2067" s="13" t="s">
        <v>4668</v>
      </c>
      <c r="J2067" s="13" t="s">
        <v>4672</v>
      </c>
      <c r="K2067" s="13" t="s">
        <v>4758</v>
      </c>
      <c r="L2067" s="12" t="s">
        <v>4672</v>
      </c>
      <c r="M2067" s="17">
        <f>IF(LEN(COUNTIFS($H$1:H2067,$H2067,$I$1:I2067,$I2067,$J$1:J2067,$J2067,$K$1:K2067,K2067,$L$1:L2067,L2067))=1,"00"&amp;COUNTIFS($H$1:H2067,$H2067,$I$1:I2067,$I2067,$J$1:J2067,$J2067,$K$1:K2067,K2067,$L$1:L2067,L2067),IF(LEN(COUNTIFS($H$1:H2067,$H2067,$I$1:I2067,$I2067,$J$1:J2067,$J2067,$K$1:K2067,K2067,$L$1:L2067,L2067))=2,"0"&amp;COUNTIFS($H$1:H2067,$H2067,$I$1:I2067,$I2067,$J$1:J2067,$J2067,$K$1:K2067,K2067,$L$1:L2067,L2067),COUNTIFS($H$1:H2067,$H2067,$I$1:I2067,$I2067,$J$1:J2067,$J2067,$K$1:K2067,K2067,$L$1:L2067,L2067)))</f>
        <v>101</v>
      </c>
      <c r="N206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67" s="14" t="e">
        <f>+LEN(Table4[[#This Row],[New Item Code]])</f>
        <v>#N/A</v>
      </c>
      <c r="P2067" s="15" t="s">
        <v>4747</v>
      </c>
      <c r="Q2067" s="15" t="s">
        <v>4749</v>
      </c>
      <c r="R2067" s="15"/>
      <c r="S2067" s="15"/>
      <c r="T2067" s="15" t="s">
        <v>4672</v>
      </c>
    </row>
    <row r="2068" spans="1:20" x14ac:dyDescent="0.35">
      <c r="A2068" s="3" t="s">
        <v>4077</v>
      </c>
      <c r="B2068" s="3" t="s">
        <v>4078</v>
      </c>
      <c r="C2068" s="3" t="s">
        <v>56</v>
      </c>
      <c r="D2068" s="3">
        <v>0</v>
      </c>
      <c r="E2068" s="3" t="s">
        <v>57</v>
      </c>
      <c r="F2068" s="3">
        <v>0</v>
      </c>
      <c r="G2068" s="21">
        <f>Table4[[#This Row],[Item Cost]]*Table4[[#This Row],[In Stock]]</f>
        <v>0</v>
      </c>
      <c r="H2068" s="12" t="s">
        <v>4661</v>
      </c>
      <c r="I2068" s="13" t="s">
        <v>4668</v>
      </c>
      <c r="J2068" s="13" t="s">
        <v>4672</v>
      </c>
      <c r="K2068" s="13" t="s">
        <v>4758</v>
      </c>
      <c r="L2068" s="12" t="s">
        <v>4672</v>
      </c>
      <c r="M2068" s="17">
        <f>IF(LEN(COUNTIFS($H$1:H2068,$H2068,$I$1:I2068,$I2068,$J$1:J2068,$J2068,$K$1:K2068,K2068,$L$1:L2068,L2068))=1,"00"&amp;COUNTIFS($H$1:H2068,$H2068,$I$1:I2068,$I2068,$J$1:J2068,$J2068,$K$1:K2068,K2068,$L$1:L2068,L2068),IF(LEN(COUNTIFS($H$1:H2068,$H2068,$I$1:I2068,$I2068,$J$1:J2068,$J2068,$K$1:K2068,K2068,$L$1:L2068,L2068))=2,"0"&amp;COUNTIFS($H$1:H2068,$H2068,$I$1:I2068,$I2068,$J$1:J2068,$J2068,$K$1:K2068,K2068,$L$1:L2068,L2068),COUNTIFS($H$1:H2068,$H2068,$I$1:I2068,$I2068,$J$1:J2068,$J2068,$K$1:K2068,K2068,$L$1:L2068,L2068)))</f>
        <v>102</v>
      </c>
      <c r="N206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68" s="14" t="e">
        <f>+LEN(Table4[[#This Row],[New Item Code]])</f>
        <v>#N/A</v>
      </c>
      <c r="P2068" s="15" t="s">
        <v>4747</v>
      </c>
      <c r="Q2068" s="15" t="s">
        <v>4749</v>
      </c>
      <c r="R2068" s="15"/>
      <c r="S2068" s="15"/>
      <c r="T2068" s="15" t="s">
        <v>4672</v>
      </c>
    </row>
    <row r="2069" spans="1:20" x14ac:dyDescent="0.35">
      <c r="A2069" s="2" t="s">
        <v>4079</v>
      </c>
      <c r="B2069" s="2" t="s">
        <v>4080</v>
      </c>
      <c r="C2069" s="2" t="s">
        <v>56</v>
      </c>
      <c r="D2069" s="2">
        <v>0</v>
      </c>
      <c r="E2069" s="2" t="s">
        <v>57</v>
      </c>
      <c r="F2069" s="2">
        <v>0</v>
      </c>
      <c r="G2069" s="22">
        <f>Table4[[#This Row],[Item Cost]]*Table4[[#This Row],[In Stock]]</f>
        <v>0</v>
      </c>
      <c r="H2069" s="12" t="s">
        <v>4661</v>
      </c>
      <c r="I2069" s="13" t="s">
        <v>4668</v>
      </c>
      <c r="J2069" s="13" t="s">
        <v>4672</v>
      </c>
      <c r="K2069" s="13" t="s">
        <v>4758</v>
      </c>
      <c r="L2069" s="12" t="s">
        <v>4672</v>
      </c>
      <c r="M2069" s="17">
        <f>IF(LEN(COUNTIFS($H$1:H2069,$H2069,$I$1:I2069,$I2069,$J$1:J2069,$J2069,$K$1:K2069,K2069,$L$1:L2069,L2069))=1,"00"&amp;COUNTIFS($H$1:H2069,$H2069,$I$1:I2069,$I2069,$J$1:J2069,$J2069,$K$1:K2069,K2069,$L$1:L2069,L2069),IF(LEN(COUNTIFS($H$1:H2069,$H2069,$I$1:I2069,$I2069,$J$1:J2069,$J2069,$K$1:K2069,K2069,$L$1:L2069,L2069))=2,"0"&amp;COUNTIFS($H$1:H2069,$H2069,$I$1:I2069,$I2069,$J$1:J2069,$J2069,$K$1:K2069,K2069,$L$1:L2069,L2069),COUNTIFS($H$1:H2069,$H2069,$I$1:I2069,$I2069,$J$1:J2069,$J2069,$K$1:K2069,K2069,$L$1:L2069,L2069)))</f>
        <v>103</v>
      </c>
      <c r="N206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69" s="14" t="e">
        <f>+LEN(Table4[[#This Row],[New Item Code]])</f>
        <v>#N/A</v>
      </c>
      <c r="P2069" s="15" t="s">
        <v>4747</v>
      </c>
      <c r="Q2069" s="15" t="s">
        <v>4749</v>
      </c>
      <c r="R2069" s="15"/>
      <c r="S2069" s="15"/>
      <c r="T2069" s="15" t="s">
        <v>4672</v>
      </c>
    </row>
    <row r="2070" spans="1:20" x14ac:dyDescent="0.35">
      <c r="A2070" s="3" t="s">
        <v>4081</v>
      </c>
      <c r="B2070" s="3" t="s">
        <v>4082</v>
      </c>
      <c r="C2070" s="3" t="s">
        <v>56</v>
      </c>
      <c r="D2070" s="3">
        <v>0</v>
      </c>
      <c r="E2070" s="3" t="s">
        <v>57</v>
      </c>
      <c r="F2070" s="3">
        <v>0</v>
      </c>
      <c r="G2070" s="21">
        <f>Table4[[#This Row],[Item Cost]]*Table4[[#This Row],[In Stock]]</f>
        <v>0</v>
      </c>
      <c r="H2070" s="12" t="s">
        <v>4661</v>
      </c>
      <c r="I2070" s="13" t="s">
        <v>4668</v>
      </c>
      <c r="J2070" s="13" t="s">
        <v>4672</v>
      </c>
      <c r="K2070" s="13" t="s">
        <v>4758</v>
      </c>
      <c r="L2070" s="12" t="s">
        <v>4672</v>
      </c>
      <c r="M2070" s="17">
        <f>IF(LEN(COUNTIFS($H$1:H2070,$H2070,$I$1:I2070,$I2070,$J$1:J2070,$J2070,$K$1:K2070,K2070,$L$1:L2070,L2070))=1,"00"&amp;COUNTIFS($H$1:H2070,$H2070,$I$1:I2070,$I2070,$J$1:J2070,$J2070,$K$1:K2070,K2070,$L$1:L2070,L2070),IF(LEN(COUNTIFS($H$1:H2070,$H2070,$I$1:I2070,$I2070,$J$1:J2070,$J2070,$K$1:K2070,K2070,$L$1:L2070,L2070))=2,"0"&amp;COUNTIFS($H$1:H2070,$H2070,$I$1:I2070,$I2070,$J$1:J2070,$J2070,$K$1:K2070,K2070,$L$1:L2070,L2070),COUNTIFS($H$1:H2070,$H2070,$I$1:I2070,$I2070,$J$1:J2070,$J2070,$K$1:K2070,K2070,$L$1:L2070,L2070)))</f>
        <v>104</v>
      </c>
      <c r="N207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70" s="14" t="e">
        <f>+LEN(Table4[[#This Row],[New Item Code]])</f>
        <v>#N/A</v>
      </c>
      <c r="P2070" s="15" t="s">
        <v>4747</v>
      </c>
      <c r="Q2070" s="15" t="s">
        <v>4749</v>
      </c>
      <c r="R2070" s="15"/>
      <c r="S2070" s="15"/>
      <c r="T2070" s="15" t="s">
        <v>4672</v>
      </c>
    </row>
    <row r="2071" spans="1:20" x14ac:dyDescent="0.35">
      <c r="A2071" s="2" t="s">
        <v>4083</v>
      </c>
      <c r="B2071" s="2" t="s">
        <v>4084</v>
      </c>
      <c r="C2071" s="2" t="s">
        <v>56</v>
      </c>
      <c r="D2071" s="2">
        <v>0</v>
      </c>
      <c r="E2071" s="2" t="s">
        <v>57</v>
      </c>
      <c r="F2071" s="2">
        <v>0</v>
      </c>
      <c r="G2071" s="22">
        <f>Table4[[#This Row],[Item Cost]]*Table4[[#This Row],[In Stock]]</f>
        <v>0</v>
      </c>
      <c r="H2071" s="12" t="s">
        <v>4661</v>
      </c>
      <c r="I2071" s="13" t="s">
        <v>4668</v>
      </c>
      <c r="J2071" s="13" t="s">
        <v>4672</v>
      </c>
      <c r="K2071" s="13" t="s">
        <v>4758</v>
      </c>
      <c r="L2071" s="12" t="s">
        <v>4672</v>
      </c>
      <c r="M2071" s="17">
        <f>IF(LEN(COUNTIFS($H$1:H2071,$H2071,$I$1:I2071,$I2071,$J$1:J2071,$J2071,$K$1:K2071,K2071,$L$1:L2071,L2071))=1,"00"&amp;COUNTIFS($H$1:H2071,$H2071,$I$1:I2071,$I2071,$J$1:J2071,$J2071,$K$1:K2071,K2071,$L$1:L2071,L2071),IF(LEN(COUNTIFS($H$1:H2071,$H2071,$I$1:I2071,$I2071,$J$1:J2071,$J2071,$K$1:K2071,K2071,$L$1:L2071,L2071))=2,"0"&amp;COUNTIFS($H$1:H2071,$H2071,$I$1:I2071,$I2071,$J$1:J2071,$J2071,$K$1:K2071,K2071,$L$1:L2071,L2071),COUNTIFS($H$1:H2071,$H2071,$I$1:I2071,$I2071,$J$1:J2071,$J2071,$K$1:K2071,K2071,$L$1:L2071,L2071)))</f>
        <v>105</v>
      </c>
      <c r="N207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71" s="14" t="e">
        <f>+LEN(Table4[[#This Row],[New Item Code]])</f>
        <v>#N/A</v>
      </c>
      <c r="P2071" s="15" t="s">
        <v>4747</v>
      </c>
      <c r="Q2071" s="15" t="s">
        <v>4749</v>
      </c>
      <c r="R2071" s="15"/>
      <c r="S2071" s="15"/>
      <c r="T2071" s="15" t="s">
        <v>4672</v>
      </c>
    </row>
    <row r="2072" spans="1:20" x14ac:dyDescent="0.35">
      <c r="A2072" s="3" t="s">
        <v>4085</v>
      </c>
      <c r="B2072" s="3" t="s">
        <v>4086</v>
      </c>
      <c r="C2072" s="3" t="s">
        <v>56</v>
      </c>
      <c r="D2072" s="3">
        <v>0</v>
      </c>
      <c r="E2072" s="3" t="s">
        <v>57</v>
      </c>
      <c r="F2072" s="3">
        <v>0</v>
      </c>
      <c r="G2072" s="21">
        <f>Table4[[#This Row],[Item Cost]]*Table4[[#This Row],[In Stock]]</f>
        <v>0</v>
      </c>
      <c r="H2072" s="12" t="s">
        <v>4661</v>
      </c>
      <c r="I2072" s="13" t="s">
        <v>4668</v>
      </c>
      <c r="J2072" s="13" t="s">
        <v>4672</v>
      </c>
      <c r="K2072" s="13" t="s">
        <v>4758</v>
      </c>
      <c r="L2072" s="12" t="s">
        <v>4672</v>
      </c>
      <c r="M2072" s="17">
        <f>IF(LEN(COUNTIFS($H$1:H2072,$H2072,$I$1:I2072,$I2072,$J$1:J2072,$J2072,$K$1:K2072,K2072,$L$1:L2072,L2072))=1,"00"&amp;COUNTIFS($H$1:H2072,$H2072,$I$1:I2072,$I2072,$J$1:J2072,$J2072,$K$1:K2072,K2072,$L$1:L2072,L2072),IF(LEN(COUNTIFS($H$1:H2072,$H2072,$I$1:I2072,$I2072,$J$1:J2072,$J2072,$K$1:K2072,K2072,$L$1:L2072,L2072))=2,"0"&amp;COUNTIFS($H$1:H2072,$H2072,$I$1:I2072,$I2072,$J$1:J2072,$J2072,$K$1:K2072,K2072,$L$1:L2072,L2072),COUNTIFS($H$1:H2072,$H2072,$I$1:I2072,$I2072,$J$1:J2072,$J2072,$K$1:K2072,K2072,$L$1:L2072,L2072)))</f>
        <v>106</v>
      </c>
      <c r="N207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72" s="14" t="e">
        <f>+LEN(Table4[[#This Row],[New Item Code]])</f>
        <v>#N/A</v>
      </c>
      <c r="P2072" s="15" t="s">
        <v>4747</v>
      </c>
      <c r="Q2072" s="15" t="s">
        <v>4749</v>
      </c>
      <c r="R2072" s="15"/>
      <c r="S2072" s="15"/>
      <c r="T2072" s="15" t="s">
        <v>4672</v>
      </c>
    </row>
    <row r="2073" spans="1:20" x14ac:dyDescent="0.35">
      <c r="A2073" s="2" t="s">
        <v>4087</v>
      </c>
      <c r="B2073" s="2" t="s">
        <v>4088</v>
      </c>
      <c r="C2073" s="2" t="s">
        <v>56</v>
      </c>
      <c r="D2073" s="2">
        <v>0</v>
      </c>
      <c r="E2073" s="2" t="s">
        <v>57</v>
      </c>
      <c r="F2073" s="2">
        <v>0</v>
      </c>
      <c r="G2073" s="22">
        <f>Table4[[#This Row],[Item Cost]]*Table4[[#This Row],[In Stock]]</f>
        <v>0</v>
      </c>
      <c r="H2073" s="12" t="s">
        <v>4661</v>
      </c>
      <c r="I2073" s="13" t="s">
        <v>4668</v>
      </c>
      <c r="J2073" s="13" t="s">
        <v>4672</v>
      </c>
      <c r="K2073" s="13" t="s">
        <v>4758</v>
      </c>
      <c r="L2073" s="12" t="s">
        <v>4672</v>
      </c>
      <c r="M2073" s="17">
        <f>IF(LEN(COUNTIFS($H$1:H2073,$H2073,$I$1:I2073,$I2073,$J$1:J2073,$J2073,$K$1:K2073,K2073,$L$1:L2073,L2073))=1,"00"&amp;COUNTIFS($H$1:H2073,$H2073,$I$1:I2073,$I2073,$J$1:J2073,$J2073,$K$1:K2073,K2073,$L$1:L2073,L2073),IF(LEN(COUNTIFS($H$1:H2073,$H2073,$I$1:I2073,$I2073,$J$1:J2073,$J2073,$K$1:K2073,K2073,$L$1:L2073,L2073))=2,"0"&amp;COUNTIFS($H$1:H2073,$H2073,$I$1:I2073,$I2073,$J$1:J2073,$J2073,$K$1:K2073,K2073,$L$1:L2073,L2073),COUNTIFS($H$1:H2073,$H2073,$I$1:I2073,$I2073,$J$1:J2073,$J2073,$K$1:K2073,K2073,$L$1:L2073,L2073)))</f>
        <v>107</v>
      </c>
      <c r="N207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73" s="14" t="e">
        <f>+LEN(Table4[[#This Row],[New Item Code]])</f>
        <v>#N/A</v>
      </c>
      <c r="P2073" s="15" t="s">
        <v>4747</v>
      </c>
      <c r="Q2073" s="15" t="s">
        <v>4749</v>
      </c>
      <c r="R2073" s="15"/>
      <c r="S2073" s="15"/>
      <c r="T2073" s="15" t="s">
        <v>4672</v>
      </c>
    </row>
    <row r="2074" spans="1:20" x14ac:dyDescent="0.35">
      <c r="A2074" s="3" t="s">
        <v>4089</v>
      </c>
      <c r="B2074" s="3" t="s">
        <v>4090</v>
      </c>
      <c r="C2074" s="3" t="s">
        <v>56</v>
      </c>
      <c r="D2074" s="3">
        <v>0</v>
      </c>
      <c r="E2074" s="3" t="s">
        <v>57</v>
      </c>
      <c r="F2074" s="3">
        <v>0</v>
      </c>
      <c r="G2074" s="21">
        <f>Table4[[#This Row],[Item Cost]]*Table4[[#This Row],[In Stock]]</f>
        <v>0</v>
      </c>
      <c r="H2074" s="12" t="s">
        <v>4661</v>
      </c>
      <c r="I2074" s="13" t="s">
        <v>4668</v>
      </c>
      <c r="J2074" s="13" t="s">
        <v>4672</v>
      </c>
      <c r="K2074" s="13" t="s">
        <v>4758</v>
      </c>
      <c r="L2074" s="12" t="s">
        <v>4672</v>
      </c>
      <c r="M2074" s="17">
        <f>IF(LEN(COUNTIFS($H$1:H2074,$H2074,$I$1:I2074,$I2074,$J$1:J2074,$J2074,$K$1:K2074,K2074,$L$1:L2074,L2074))=1,"00"&amp;COUNTIFS($H$1:H2074,$H2074,$I$1:I2074,$I2074,$J$1:J2074,$J2074,$K$1:K2074,K2074,$L$1:L2074,L2074),IF(LEN(COUNTIFS($H$1:H2074,$H2074,$I$1:I2074,$I2074,$J$1:J2074,$J2074,$K$1:K2074,K2074,$L$1:L2074,L2074))=2,"0"&amp;COUNTIFS($H$1:H2074,$H2074,$I$1:I2074,$I2074,$J$1:J2074,$J2074,$K$1:K2074,K2074,$L$1:L2074,L2074),COUNTIFS($H$1:H2074,$H2074,$I$1:I2074,$I2074,$J$1:J2074,$J2074,$K$1:K2074,K2074,$L$1:L2074,L2074)))</f>
        <v>108</v>
      </c>
      <c r="N207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74" s="14" t="e">
        <f>+LEN(Table4[[#This Row],[New Item Code]])</f>
        <v>#N/A</v>
      </c>
      <c r="P2074" s="15" t="s">
        <v>4747</v>
      </c>
      <c r="Q2074" s="15" t="s">
        <v>4749</v>
      </c>
      <c r="R2074" s="15"/>
      <c r="S2074" s="15"/>
      <c r="T2074" s="15" t="s">
        <v>4672</v>
      </c>
    </row>
    <row r="2075" spans="1:20" x14ac:dyDescent="0.35">
      <c r="A2075" s="2" t="s">
        <v>4091</v>
      </c>
      <c r="B2075" s="2" t="s">
        <v>4092</v>
      </c>
      <c r="C2075" s="2" t="s">
        <v>56</v>
      </c>
      <c r="D2075" s="2">
        <v>0</v>
      </c>
      <c r="E2075" s="2" t="s">
        <v>57</v>
      </c>
      <c r="F2075" s="2">
        <v>0</v>
      </c>
      <c r="G2075" s="22">
        <f>Table4[[#This Row],[Item Cost]]*Table4[[#This Row],[In Stock]]</f>
        <v>0</v>
      </c>
      <c r="H2075" s="12" t="s">
        <v>4661</v>
      </c>
      <c r="I2075" s="13" t="s">
        <v>4668</v>
      </c>
      <c r="J2075" s="13" t="s">
        <v>4672</v>
      </c>
      <c r="K2075" s="13" t="s">
        <v>4758</v>
      </c>
      <c r="L2075" s="12" t="s">
        <v>4672</v>
      </c>
      <c r="M2075" s="17">
        <f>IF(LEN(COUNTIFS($H$1:H2075,$H2075,$I$1:I2075,$I2075,$J$1:J2075,$J2075,$K$1:K2075,K2075,$L$1:L2075,L2075))=1,"00"&amp;COUNTIFS($H$1:H2075,$H2075,$I$1:I2075,$I2075,$J$1:J2075,$J2075,$K$1:K2075,K2075,$L$1:L2075,L2075),IF(LEN(COUNTIFS($H$1:H2075,$H2075,$I$1:I2075,$I2075,$J$1:J2075,$J2075,$K$1:K2075,K2075,$L$1:L2075,L2075))=2,"0"&amp;COUNTIFS($H$1:H2075,$H2075,$I$1:I2075,$I2075,$J$1:J2075,$J2075,$K$1:K2075,K2075,$L$1:L2075,L2075),COUNTIFS($H$1:H2075,$H2075,$I$1:I2075,$I2075,$J$1:J2075,$J2075,$K$1:K2075,K2075,$L$1:L2075,L2075)))</f>
        <v>109</v>
      </c>
      <c r="N207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75" s="14" t="e">
        <f>+LEN(Table4[[#This Row],[New Item Code]])</f>
        <v>#N/A</v>
      </c>
      <c r="P2075" s="15" t="s">
        <v>4747</v>
      </c>
      <c r="Q2075" s="15" t="s">
        <v>4749</v>
      </c>
      <c r="R2075" s="15"/>
      <c r="S2075" s="15"/>
      <c r="T2075" s="15" t="s">
        <v>4672</v>
      </c>
    </row>
    <row r="2076" spans="1:20" x14ac:dyDescent="0.35">
      <c r="A2076" s="3" t="s">
        <v>4093</v>
      </c>
      <c r="B2076" s="3" t="s">
        <v>4094</v>
      </c>
      <c r="C2076" s="3" t="s">
        <v>56</v>
      </c>
      <c r="D2076" s="3">
        <v>0</v>
      </c>
      <c r="E2076" s="3" t="s">
        <v>57</v>
      </c>
      <c r="F2076" s="3">
        <v>0</v>
      </c>
      <c r="G2076" s="21">
        <f>Table4[[#This Row],[Item Cost]]*Table4[[#This Row],[In Stock]]</f>
        <v>0</v>
      </c>
      <c r="H2076" s="12" t="s">
        <v>4661</v>
      </c>
      <c r="I2076" s="13" t="s">
        <v>4668</v>
      </c>
      <c r="J2076" s="13" t="s">
        <v>4672</v>
      </c>
      <c r="K2076" s="13" t="s">
        <v>4758</v>
      </c>
      <c r="L2076" s="12" t="s">
        <v>4672</v>
      </c>
      <c r="M2076" s="17">
        <f>IF(LEN(COUNTIFS($H$1:H2076,$H2076,$I$1:I2076,$I2076,$J$1:J2076,$J2076,$K$1:K2076,K2076,$L$1:L2076,L2076))=1,"00"&amp;COUNTIFS($H$1:H2076,$H2076,$I$1:I2076,$I2076,$J$1:J2076,$J2076,$K$1:K2076,K2076,$L$1:L2076,L2076),IF(LEN(COUNTIFS($H$1:H2076,$H2076,$I$1:I2076,$I2076,$J$1:J2076,$J2076,$K$1:K2076,K2076,$L$1:L2076,L2076))=2,"0"&amp;COUNTIFS($H$1:H2076,$H2076,$I$1:I2076,$I2076,$J$1:J2076,$J2076,$K$1:K2076,K2076,$L$1:L2076,L2076),COUNTIFS($H$1:H2076,$H2076,$I$1:I2076,$I2076,$J$1:J2076,$J2076,$K$1:K2076,K2076,$L$1:L2076,L2076)))</f>
        <v>110</v>
      </c>
      <c r="N207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76" s="14" t="e">
        <f>+LEN(Table4[[#This Row],[New Item Code]])</f>
        <v>#N/A</v>
      </c>
      <c r="P2076" s="15" t="s">
        <v>4747</v>
      </c>
      <c r="Q2076" s="15" t="s">
        <v>4749</v>
      </c>
      <c r="R2076" s="15"/>
      <c r="S2076" s="15"/>
      <c r="T2076" s="15" t="s">
        <v>4672</v>
      </c>
    </row>
    <row r="2077" spans="1:20" x14ac:dyDescent="0.35">
      <c r="A2077" s="2" t="s">
        <v>4095</v>
      </c>
      <c r="B2077" s="2" t="s">
        <v>4096</v>
      </c>
      <c r="C2077" s="2" t="s">
        <v>56</v>
      </c>
      <c r="D2077" s="2">
        <v>0</v>
      </c>
      <c r="E2077" s="2" t="s">
        <v>57</v>
      </c>
      <c r="F2077" s="2">
        <v>0</v>
      </c>
      <c r="G2077" s="22">
        <f>Table4[[#This Row],[Item Cost]]*Table4[[#This Row],[In Stock]]</f>
        <v>0</v>
      </c>
      <c r="H2077" s="12" t="s">
        <v>4661</v>
      </c>
      <c r="I2077" s="13" t="s">
        <v>4668</v>
      </c>
      <c r="J2077" s="13" t="s">
        <v>4672</v>
      </c>
      <c r="K2077" s="13" t="s">
        <v>4758</v>
      </c>
      <c r="L2077" s="12" t="s">
        <v>4672</v>
      </c>
      <c r="M2077" s="17">
        <f>IF(LEN(COUNTIFS($H$1:H2077,$H2077,$I$1:I2077,$I2077,$J$1:J2077,$J2077,$K$1:K2077,K2077,$L$1:L2077,L2077))=1,"00"&amp;COUNTIFS($H$1:H2077,$H2077,$I$1:I2077,$I2077,$J$1:J2077,$J2077,$K$1:K2077,K2077,$L$1:L2077,L2077),IF(LEN(COUNTIFS($H$1:H2077,$H2077,$I$1:I2077,$I2077,$J$1:J2077,$J2077,$K$1:K2077,K2077,$L$1:L2077,L2077))=2,"0"&amp;COUNTIFS($H$1:H2077,$H2077,$I$1:I2077,$I2077,$J$1:J2077,$J2077,$K$1:K2077,K2077,$L$1:L2077,L2077),COUNTIFS($H$1:H2077,$H2077,$I$1:I2077,$I2077,$J$1:J2077,$J2077,$K$1:K2077,K2077,$L$1:L2077,L2077)))</f>
        <v>111</v>
      </c>
      <c r="N207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77" s="14" t="e">
        <f>+LEN(Table4[[#This Row],[New Item Code]])</f>
        <v>#N/A</v>
      </c>
      <c r="P2077" s="15" t="s">
        <v>4747</v>
      </c>
      <c r="Q2077" s="15" t="s">
        <v>4749</v>
      </c>
      <c r="R2077" s="15"/>
      <c r="S2077" s="15"/>
      <c r="T2077" s="15" t="s">
        <v>4672</v>
      </c>
    </row>
    <row r="2078" spans="1:20" x14ac:dyDescent="0.35">
      <c r="A2078" s="3" t="s">
        <v>4097</v>
      </c>
      <c r="B2078" s="3" t="s">
        <v>4098</v>
      </c>
      <c r="C2078" s="3" t="s">
        <v>56</v>
      </c>
      <c r="D2078" s="3">
        <v>0</v>
      </c>
      <c r="E2078" s="3" t="s">
        <v>57</v>
      </c>
      <c r="F2078" s="3">
        <v>0</v>
      </c>
      <c r="G2078" s="21">
        <f>Table4[[#This Row],[Item Cost]]*Table4[[#This Row],[In Stock]]</f>
        <v>0</v>
      </c>
      <c r="H2078" s="12" t="s">
        <v>4661</v>
      </c>
      <c r="I2078" s="13" t="s">
        <v>4668</v>
      </c>
      <c r="J2078" s="13" t="s">
        <v>4672</v>
      </c>
      <c r="K2078" s="13" t="s">
        <v>4758</v>
      </c>
      <c r="L2078" s="12" t="s">
        <v>4672</v>
      </c>
      <c r="M2078" s="17">
        <f>IF(LEN(COUNTIFS($H$1:H2078,$H2078,$I$1:I2078,$I2078,$J$1:J2078,$J2078,$K$1:K2078,K2078,$L$1:L2078,L2078))=1,"00"&amp;COUNTIFS($H$1:H2078,$H2078,$I$1:I2078,$I2078,$J$1:J2078,$J2078,$K$1:K2078,K2078,$L$1:L2078,L2078),IF(LEN(COUNTIFS($H$1:H2078,$H2078,$I$1:I2078,$I2078,$J$1:J2078,$J2078,$K$1:K2078,K2078,$L$1:L2078,L2078))=2,"0"&amp;COUNTIFS($H$1:H2078,$H2078,$I$1:I2078,$I2078,$J$1:J2078,$J2078,$K$1:K2078,K2078,$L$1:L2078,L2078),COUNTIFS($H$1:H2078,$H2078,$I$1:I2078,$I2078,$J$1:J2078,$J2078,$K$1:K2078,K2078,$L$1:L2078,L2078)))</f>
        <v>112</v>
      </c>
      <c r="N207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78" s="14" t="e">
        <f>+LEN(Table4[[#This Row],[New Item Code]])</f>
        <v>#N/A</v>
      </c>
      <c r="P2078" s="15" t="s">
        <v>4747</v>
      </c>
      <c r="Q2078" s="15" t="s">
        <v>4749</v>
      </c>
      <c r="R2078" s="15"/>
      <c r="S2078" s="15"/>
      <c r="T2078" s="15" t="s">
        <v>4672</v>
      </c>
    </row>
    <row r="2079" spans="1:20" x14ac:dyDescent="0.35">
      <c r="A2079" s="2" t="s">
        <v>4099</v>
      </c>
      <c r="B2079" s="2" t="s">
        <v>4100</v>
      </c>
      <c r="C2079" s="2" t="s">
        <v>56</v>
      </c>
      <c r="D2079" s="2">
        <v>0</v>
      </c>
      <c r="E2079" s="2" t="s">
        <v>57</v>
      </c>
      <c r="F2079" s="2">
        <v>0</v>
      </c>
      <c r="G2079" s="22">
        <f>Table4[[#This Row],[Item Cost]]*Table4[[#This Row],[In Stock]]</f>
        <v>0</v>
      </c>
      <c r="H2079" s="12" t="s">
        <v>4661</v>
      </c>
      <c r="I2079" s="13" t="s">
        <v>4668</v>
      </c>
      <c r="J2079" s="13" t="s">
        <v>4672</v>
      </c>
      <c r="K2079" s="13" t="s">
        <v>4758</v>
      </c>
      <c r="L2079" s="12" t="s">
        <v>4672</v>
      </c>
      <c r="M2079" s="17">
        <f>IF(LEN(COUNTIFS($H$1:H2079,$H2079,$I$1:I2079,$I2079,$J$1:J2079,$J2079,$K$1:K2079,K2079,$L$1:L2079,L2079))=1,"00"&amp;COUNTIFS($H$1:H2079,$H2079,$I$1:I2079,$I2079,$J$1:J2079,$J2079,$K$1:K2079,K2079,$L$1:L2079,L2079),IF(LEN(COUNTIFS($H$1:H2079,$H2079,$I$1:I2079,$I2079,$J$1:J2079,$J2079,$K$1:K2079,K2079,$L$1:L2079,L2079))=2,"0"&amp;COUNTIFS($H$1:H2079,$H2079,$I$1:I2079,$I2079,$J$1:J2079,$J2079,$K$1:K2079,K2079,$L$1:L2079,L2079),COUNTIFS($H$1:H2079,$H2079,$I$1:I2079,$I2079,$J$1:J2079,$J2079,$K$1:K2079,K2079,$L$1:L2079,L2079)))</f>
        <v>113</v>
      </c>
      <c r="N207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79" s="14" t="e">
        <f>+LEN(Table4[[#This Row],[New Item Code]])</f>
        <v>#N/A</v>
      </c>
      <c r="P2079" s="15" t="s">
        <v>4747</v>
      </c>
      <c r="Q2079" s="15" t="s">
        <v>4749</v>
      </c>
      <c r="R2079" s="15"/>
      <c r="S2079" s="15"/>
      <c r="T2079" s="15" t="s">
        <v>4672</v>
      </c>
    </row>
    <row r="2080" spans="1:20" x14ac:dyDescent="0.35">
      <c r="A2080" s="3" t="s">
        <v>4101</v>
      </c>
      <c r="B2080" s="3" t="s">
        <v>4102</v>
      </c>
      <c r="C2080" s="3" t="s">
        <v>56</v>
      </c>
      <c r="D2080" s="3">
        <v>0</v>
      </c>
      <c r="E2080" s="3" t="s">
        <v>57</v>
      </c>
      <c r="F2080" s="3">
        <v>0</v>
      </c>
      <c r="G2080" s="21">
        <f>Table4[[#This Row],[Item Cost]]*Table4[[#This Row],[In Stock]]</f>
        <v>0</v>
      </c>
      <c r="H2080" s="12" t="s">
        <v>4661</v>
      </c>
      <c r="I2080" s="13" t="s">
        <v>4668</v>
      </c>
      <c r="J2080" s="13" t="s">
        <v>4672</v>
      </c>
      <c r="K2080" s="13" t="s">
        <v>4758</v>
      </c>
      <c r="L2080" s="12" t="s">
        <v>4672</v>
      </c>
      <c r="M2080" s="17">
        <f>IF(LEN(COUNTIFS($H$1:H2080,$H2080,$I$1:I2080,$I2080,$J$1:J2080,$J2080,$K$1:K2080,K2080,$L$1:L2080,L2080))=1,"00"&amp;COUNTIFS($H$1:H2080,$H2080,$I$1:I2080,$I2080,$J$1:J2080,$J2080,$K$1:K2080,K2080,$L$1:L2080,L2080),IF(LEN(COUNTIFS($H$1:H2080,$H2080,$I$1:I2080,$I2080,$J$1:J2080,$J2080,$K$1:K2080,K2080,$L$1:L2080,L2080))=2,"0"&amp;COUNTIFS($H$1:H2080,$H2080,$I$1:I2080,$I2080,$J$1:J2080,$J2080,$K$1:K2080,K2080,$L$1:L2080,L2080),COUNTIFS($H$1:H2080,$H2080,$I$1:I2080,$I2080,$J$1:J2080,$J2080,$K$1:K2080,K2080,$L$1:L2080,L2080)))</f>
        <v>114</v>
      </c>
      <c r="N208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80" s="14" t="e">
        <f>+LEN(Table4[[#This Row],[New Item Code]])</f>
        <v>#N/A</v>
      </c>
      <c r="P2080" s="15" t="s">
        <v>4747</v>
      </c>
      <c r="Q2080" s="15" t="s">
        <v>4749</v>
      </c>
      <c r="R2080" s="15"/>
      <c r="S2080" s="15"/>
      <c r="T2080" s="15" t="s">
        <v>4672</v>
      </c>
    </row>
    <row r="2081" spans="1:20" x14ac:dyDescent="0.35">
      <c r="A2081" s="2" t="s">
        <v>4103</v>
      </c>
      <c r="B2081" s="2" t="s">
        <v>4104</v>
      </c>
      <c r="C2081" s="2" t="s">
        <v>56</v>
      </c>
      <c r="D2081" s="2">
        <v>0</v>
      </c>
      <c r="E2081" s="2" t="s">
        <v>57</v>
      </c>
      <c r="F2081" s="2">
        <v>0</v>
      </c>
      <c r="G2081" s="22">
        <f>Table4[[#This Row],[Item Cost]]*Table4[[#This Row],[In Stock]]</f>
        <v>0</v>
      </c>
      <c r="H2081" s="12" t="s">
        <v>4661</v>
      </c>
      <c r="I2081" s="13" t="s">
        <v>4668</v>
      </c>
      <c r="J2081" s="13" t="s">
        <v>4672</v>
      </c>
      <c r="K2081" s="13" t="s">
        <v>4758</v>
      </c>
      <c r="L2081" s="12" t="s">
        <v>4672</v>
      </c>
      <c r="M2081" s="17">
        <f>IF(LEN(COUNTIFS($H$1:H2081,$H2081,$I$1:I2081,$I2081,$J$1:J2081,$J2081,$K$1:K2081,K2081,$L$1:L2081,L2081))=1,"00"&amp;COUNTIFS($H$1:H2081,$H2081,$I$1:I2081,$I2081,$J$1:J2081,$J2081,$K$1:K2081,K2081,$L$1:L2081,L2081),IF(LEN(COUNTIFS($H$1:H2081,$H2081,$I$1:I2081,$I2081,$J$1:J2081,$J2081,$K$1:K2081,K2081,$L$1:L2081,L2081))=2,"0"&amp;COUNTIFS($H$1:H2081,$H2081,$I$1:I2081,$I2081,$J$1:J2081,$J2081,$K$1:K2081,K2081,$L$1:L2081,L2081),COUNTIFS($H$1:H2081,$H2081,$I$1:I2081,$I2081,$J$1:J2081,$J2081,$K$1:K2081,K2081,$L$1:L2081,L2081)))</f>
        <v>115</v>
      </c>
      <c r="N208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81" s="14" t="e">
        <f>+LEN(Table4[[#This Row],[New Item Code]])</f>
        <v>#N/A</v>
      </c>
      <c r="P2081" s="15" t="s">
        <v>4747</v>
      </c>
      <c r="Q2081" s="15" t="s">
        <v>4749</v>
      </c>
      <c r="R2081" s="15"/>
      <c r="S2081" s="15"/>
      <c r="T2081" s="15" t="s">
        <v>4672</v>
      </c>
    </row>
    <row r="2082" spans="1:20" x14ac:dyDescent="0.35">
      <c r="A2082" s="3" t="s">
        <v>4105</v>
      </c>
      <c r="B2082" s="3" t="s">
        <v>4106</v>
      </c>
      <c r="C2082" s="3" t="s">
        <v>56</v>
      </c>
      <c r="D2082" s="3">
        <v>0</v>
      </c>
      <c r="E2082" s="3" t="s">
        <v>57</v>
      </c>
      <c r="F2082" s="3">
        <v>0</v>
      </c>
      <c r="G2082" s="21">
        <f>Table4[[#This Row],[Item Cost]]*Table4[[#This Row],[In Stock]]</f>
        <v>0</v>
      </c>
      <c r="H2082" s="12" t="s">
        <v>4661</v>
      </c>
      <c r="I2082" s="13" t="s">
        <v>4668</v>
      </c>
      <c r="J2082" s="13" t="s">
        <v>4672</v>
      </c>
      <c r="K2082" s="13" t="s">
        <v>4758</v>
      </c>
      <c r="L2082" s="12" t="s">
        <v>4672</v>
      </c>
      <c r="M2082" s="17">
        <f>IF(LEN(COUNTIFS($H$1:H2082,$H2082,$I$1:I2082,$I2082,$J$1:J2082,$J2082,$K$1:K2082,K2082,$L$1:L2082,L2082))=1,"00"&amp;COUNTIFS($H$1:H2082,$H2082,$I$1:I2082,$I2082,$J$1:J2082,$J2082,$K$1:K2082,K2082,$L$1:L2082,L2082),IF(LEN(COUNTIFS($H$1:H2082,$H2082,$I$1:I2082,$I2082,$J$1:J2082,$J2082,$K$1:K2082,K2082,$L$1:L2082,L2082))=2,"0"&amp;COUNTIFS($H$1:H2082,$H2082,$I$1:I2082,$I2082,$J$1:J2082,$J2082,$K$1:K2082,K2082,$L$1:L2082,L2082),COUNTIFS($H$1:H2082,$H2082,$I$1:I2082,$I2082,$J$1:J2082,$J2082,$K$1:K2082,K2082,$L$1:L2082,L2082)))</f>
        <v>116</v>
      </c>
      <c r="N208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82" s="14" t="e">
        <f>+LEN(Table4[[#This Row],[New Item Code]])</f>
        <v>#N/A</v>
      </c>
      <c r="P2082" s="15" t="s">
        <v>4747</v>
      </c>
      <c r="Q2082" s="15" t="s">
        <v>4749</v>
      </c>
      <c r="R2082" s="15"/>
      <c r="S2082" s="15"/>
      <c r="T2082" s="15" t="s">
        <v>4672</v>
      </c>
    </row>
    <row r="2083" spans="1:20" x14ac:dyDescent="0.35">
      <c r="A2083" s="2" t="s">
        <v>4107</v>
      </c>
      <c r="B2083" s="2" t="s">
        <v>2636</v>
      </c>
      <c r="C2083" s="2" t="s">
        <v>56</v>
      </c>
      <c r="D2083" s="2">
        <v>20</v>
      </c>
      <c r="E2083" s="2" t="s">
        <v>10</v>
      </c>
      <c r="F2083" s="2">
        <v>24</v>
      </c>
      <c r="G2083" s="22">
        <f>Table4[[#This Row],[Item Cost]]*Table4[[#This Row],[In Stock]]</f>
        <v>480</v>
      </c>
      <c r="H2083" s="12" t="s">
        <v>4661</v>
      </c>
      <c r="I2083" s="13" t="s">
        <v>4668</v>
      </c>
      <c r="J2083" s="13" t="s">
        <v>4672</v>
      </c>
      <c r="K2083" s="13" t="s">
        <v>4672</v>
      </c>
      <c r="L2083" s="12" t="s">
        <v>4672</v>
      </c>
      <c r="M2083" s="17">
        <f>IF(LEN(COUNTIFS($H$1:H2083,$H2083,$I$1:I2083,$I2083,$J$1:J2083,$J2083,$K$1:K2083,K2083,$L$1:L2083,L2083))=1,"00"&amp;COUNTIFS($H$1:H2083,$H2083,$I$1:I2083,$I2083,$J$1:J2083,$J2083,$K$1:K2083,K2083,$L$1:L2083,L2083),IF(LEN(COUNTIFS($H$1:H2083,$H2083,$I$1:I2083,$I2083,$J$1:J2083,$J2083,$K$1:K2083,K2083,$L$1:L2083,L2083))=2,"0"&amp;COUNTIFS($H$1:H2083,$H2083,$I$1:I2083,$I2083,$J$1:J2083,$J2083,$K$1:K2083,K2083,$L$1:L2083,L2083),COUNTIFS($H$1:H2083,$H2083,$I$1:I2083,$I2083,$J$1:J2083,$J2083,$K$1:K2083,K2083,$L$1:L2083,L2083)))</f>
        <v>257</v>
      </c>
      <c r="N208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83" s="14" t="e">
        <f>+LEN(Table4[[#This Row],[New Item Code]])</f>
        <v>#N/A</v>
      </c>
      <c r="P2083" s="15" t="s">
        <v>4747</v>
      </c>
      <c r="Q2083" s="15" t="s">
        <v>4749</v>
      </c>
      <c r="R2083" s="15"/>
      <c r="S2083" s="15"/>
      <c r="T2083" s="15" t="s">
        <v>4672</v>
      </c>
    </row>
    <row r="2084" spans="1:20" x14ac:dyDescent="0.35">
      <c r="A2084" s="3" t="s">
        <v>4108</v>
      </c>
      <c r="B2084" s="3" t="s">
        <v>2638</v>
      </c>
      <c r="C2084" s="3" t="s">
        <v>56</v>
      </c>
      <c r="D2084" s="3">
        <v>0</v>
      </c>
      <c r="E2084" s="3" t="s">
        <v>10</v>
      </c>
      <c r="F2084" s="3">
        <v>0</v>
      </c>
      <c r="G2084" s="21">
        <f>Table4[[#This Row],[Item Cost]]*Table4[[#This Row],[In Stock]]</f>
        <v>0</v>
      </c>
      <c r="H2084" s="12" t="s">
        <v>4661</v>
      </c>
      <c r="I2084" s="13" t="s">
        <v>4668</v>
      </c>
      <c r="J2084" s="13" t="s">
        <v>4672</v>
      </c>
      <c r="K2084" s="13" t="s">
        <v>4672</v>
      </c>
      <c r="L2084" s="12" t="s">
        <v>4672</v>
      </c>
      <c r="M2084" s="17">
        <f>IF(LEN(COUNTIFS($H$1:H2084,$H2084,$I$1:I2084,$I2084,$J$1:J2084,$J2084,$K$1:K2084,K2084,$L$1:L2084,L2084))=1,"00"&amp;COUNTIFS($H$1:H2084,$H2084,$I$1:I2084,$I2084,$J$1:J2084,$J2084,$K$1:K2084,K2084,$L$1:L2084,L2084),IF(LEN(COUNTIFS($H$1:H2084,$H2084,$I$1:I2084,$I2084,$J$1:J2084,$J2084,$K$1:K2084,K2084,$L$1:L2084,L2084))=2,"0"&amp;COUNTIFS($H$1:H2084,$H2084,$I$1:I2084,$I2084,$J$1:J2084,$J2084,$K$1:K2084,K2084,$L$1:L2084,L2084),COUNTIFS($H$1:H2084,$H2084,$I$1:I2084,$I2084,$J$1:J2084,$J2084,$K$1:K2084,K2084,$L$1:L2084,L2084)))</f>
        <v>258</v>
      </c>
      <c r="N208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84" s="14" t="e">
        <f>+LEN(Table4[[#This Row],[New Item Code]])</f>
        <v>#N/A</v>
      </c>
      <c r="P2084" s="15" t="s">
        <v>4747</v>
      </c>
      <c r="Q2084" s="15" t="s">
        <v>4749</v>
      </c>
      <c r="R2084" s="15"/>
      <c r="S2084" s="15"/>
      <c r="T2084" s="15" t="s">
        <v>4672</v>
      </c>
    </row>
    <row r="2085" spans="1:20" x14ac:dyDescent="0.35">
      <c r="A2085" s="2" t="s">
        <v>4109</v>
      </c>
      <c r="B2085" s="2" t="s">
        <v>2640</v>
      </c>
      <c r="C2085" s="2" t="s">
        <v>56</v>
      </c>
      <c r="D2085" s="2">
        <v>0</v>
      </c>
      <c r="E2085" s="2" t="s">
        <v>10</v>
      </c>
      <c r="F2085" s="2">
        <v>0</v>
      </c>
      <c r="G2085" s="22">
        <f>Table4[[#This Row],[Item Cost]]*Table4[[#This Row],[In Stock]]</f>
        <v>0</v>
      </c>
      <c r="H2085" s="12" t="s">
        <v>4661</v>
      </c>
      <c r="I2085" s="13" t="s">
        <v>4668</v>
      </c>
      <c r="J2085" s="13" t="s">
        <v>4672</v>
      </c>
      <c r="K2085" s="13" t="s">
        <v>4672</v>
      </c>
      <c r="L2085" s="12" t="s">
        <v>4672</v>
      </c>
      <c r="M2085" s="17">
        <f>IF(LEN(COUNTIFS($H$1:H2085,$H2085,$I$1:I2085,$I2085,$J$1:J2085,$J2085,$K$1:K2085,K2085,$L$1:L2085,L2085))=1,"00"&amp;COUNTIFS($H$1:H2085,$H2085,$I$1:I2085,$I2085,$J$1:J2085,$J2085,$K$1:K2085,K2085,$L$1:L2085,L2085),IF(LEN(COUNTIFS($H$1:H2085,$H2085,$I$1:I2085,$I2085,$J$1:J2085,$J2085,$K$1:K2085,K2085,$L$1:L2085,L2085))=2,"0"&amp;COUNTIFS($H$1:H2085,$H2085,$I$1:I2085,$I2085,$J$1:J2085,$J2085,$K$1:K2085,K2085,$L$1:L2085,L2085),COUNTIFS($H$1:H2085,$H2085,$I$1:I2085,$I2085,$J$1:J2085,$J2085,$K$1:K2085,K2085,$L$1:L2085,L2085)))</f>
        <v>259</v>
      </c>
      <c r="N208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85" s="14" t="e">
        <f>+LEN(Table4[[#This Row],[New Item Code]])</f>
        <v>#N/A</v>
      </c>
      <c r="P2085" s="15" t="s">
        <v>4747</v>
      </c>
      <c r="Q2085" s="15" t="s">
        <v>4749</v>
      </c>
      <c r="R2085" s="15"/>
      <c r="S2085" s="15"/>
      <c r="T2085" s="15" t="s">
        <v>4672</v>
      </c>
    </row>
    <row r="2086" spans="1:20" x14ac:dyDescent="0.35">
      <c r="A2086" s="3" t="s">
        <v>4110</v>
      </c>
      <c r="B2086" s="3" t="s">
        <v>2566</v>
      </c>
      <c r="C2086" s="3" t="s">
        <v>56</v>
      </c>
      <c r="D2086" s="3">
        <v>0</v>
      </c>
      <c r="E2086" s="3" t="s">
        <v>10</v>
      </c>
      <c r="F2086" s="3">
        <v>0</v>
      </c>
      <c r="G2086" s="21">
        <f>Table4[[#This Row],[Item Cost]]*Table4[[#This Row],[In Stock]]</f>
        <v>0</v>
      </c>
      <c r="H2086" s="12" t="s">
        <v>4661</v>
      </c>
      <c r="I2086" s="13" t="s">
        <v>4668</v>
      </c>
      <c r="J2086" s="13" t="s">
        <v>4672</v>
      </c>
      <c r="K2086" s="13" t="s">
        <v>4672</v>
      </c>
      <c r="L2086" s="12" t="s">
        <v>4672</v>
      </c>
      <c r="M2086" s="17">
        <f>IF(LEN(COUNTIFS($H$1:H2086,$H2086,$I$1:I2086,$I2086,$J$1:J2086,$J2086,$K$1:K2086,K2086,$L$1:L2086,L2086))=1,"00"&amp;COUNTIFS($H$1:H2086,$H2086,$I$1:I2086,$I2086,$J$1:J2086,$J2086,$K$1:K2086,K2086,$L$1:L2086,L2086),IF(LEN(COUNTIFS($H$1:H2086,$H2086,$I$1:I2086,$I2086,$J$1:J2086,$J2086,$K$1:K2086,K2086,$L$1:L2086,L2086))=2,"0"&amp;COUNTIFS($H$1:H2086,$H2086,$I$1:I2086,$I2086,$J$1:J2086,$J2086,$K$1:K2086,K2086,$L$1:L2086,L2086),COUNTIFS($H$1:H2086,$H2086,$I$1:I2086,$I2086,$J$1:J2086,$J2086,$K$1:K2086,K2086,$L$1:L2086,L2086)))</f>
        <v>260</v>
      </c>
      <c r="N208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86" s="14" t="e">
        <f>+LEN(Table4[[#This Row],[New Item Code]])</f>
        <v>#N/A</v>
      </c>
      <c r="P2086" s="15" t="s">
        <v>4747</v>
      </c>
      <c r="Q2086" s="15" t="s">
        <v>4749</v>
      </c>
      <c r="R2086" s="15"/>
      <c r="S2086" s="15"/>
      <c r="T2086" s="15" t="s">
        <v>4672</v>
      </c>
    </row>
    <row r="2087" spans="1:20" x14ac:dyDescent="0.35">
      <c r="A2087" s="2" t="s">
        <v>4111</v>
      </c>
      <c r="B2087" s="2" t="s">
        <v>2568</v>
      </c>
      <c r="C2087" s="2" t="s">
        <v>56</v>
      </c>
      <c r="D2087" s="2">
        <v>0</v>
      </c>
      <c r="E2087" s="2" t="s">
        <v>10</v>
      </c>
      <c r="F2087" s="2">
        <v>0</v>
      </c>
      <c r="G2087" s="22">
        <f>Table4[[#This Row],[Item Cost]]*Table4[[#This Row],[In Stock]]</f>
        <v>0</v>
      </c>
      <c r="H2087" s="12" t="s">
        <v>4661</v>
      </c>
      <c r="I2087" s="13" t="s">
        <v>4668</v>
      </c>
      <c r="J2087" s="13" t="s">
        <v>4672</v>
      </c>
      <c r="K2087" s="13" t="s">
        <v>4672</v>
      </c>
      <c r="L2087" s="12" t="s">
        <v>4672</v>
      </c>
      <c r="M2087" s="17">
        <f>IF(LEN(COUNTIFS($H$1:H2087,$H2087,$I$1:I2087,$I2087,$J$1:J2087,$J2087,$K$1:K2087,K2087,$L$1:L2087,L2087))=1,"00"&amp;COUNTIFS($H$1:H2087,$H2087,$I$1:I2087,$I2087,$J$1:J2087,$J2087,$K$1:K2087,K2087,$L$1:L2087,L2087),IF(LEN(COUNTIFS($H$1:H2087,$H2087,$I$1:I2087,$I2087,$J$1:J2087,$J2087,$K$1:K2087,K2087,$L$1:L2087,L2087))=2,"0"&amp;COUNTIFS($H$1:H2087,$H2087,$I$1:I2087,$I2087,$J$1:J2087,$J2087,$K$1:K2087,K2087,$L$1:L2087,L2087),COUNTIFS($H$1:H2087,$H2087,$I$1:I2087,$I2087,$J$1:J2087,$J2087,$K$1:K2087,K2087,$L$1:L2087,L2087)))</f>
        <v>261</v>
      </c>
      <c r="N208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87" s="14" t="e">
        <f>+LEN(Table4[[#This Row],[New Item Code]])</f>
        <v>#N/A</v>
      </c>
      <c r="P2087" s="15" t="s">
        <v>4747</v>
      </c>
      <c r="Q2087" s="15" t="s">
        <v>4749</v>
      </c>
      <c r="R2087" s="15"/>
      <c r="S2087" s="15"/>
      <c r="T2087" s="15" t="s">
        <v>4672</v>
      </c>
    </row>
    <row r="2088" spans="1:20" x14ac:dyDescent="0.35">
      <c r="A2088" s="3" t="s">
        <v>4112</v>
      </c>
      <c r="B2088" s="3" t="s">
        <v>4113</v>
      </c>
      <c r="C2088" s="3" t="s">
        <v>56</v>
      </c>
      <c r="D2088" s="3">
        <v>0</v>
      </c>
      <c r="E2088" s="3" t="s">
        <v>10</v>
      </c>
      <c r="F2088" s="3">
        <v>0</v>
      </c>
      <c r="G2088" s="21">
        <f>Table4[[#This Row],[Item Cost]]*Table4[[#This Row],[In Stock]]</f>
        <v>0</v>
      </c>
      <c r="H2088" s="12" t="s">
        <v>4661</v>
      </c>
      <c r="I2088" s="13" t="s">
        <v>4668</v>
      </c>
      <c r="J2088" s="13" t="s">
        <v>4672</v>
      </c>
      <c r="K2088" s="13" t="s">
        <v>4672</v>
      </c>
      <c r="L2088" s="12" t="s">
        <v>4672</v>
      </c>
      <c r="M2088" s="17">
        <f>IF(LEN(COUNTIFS($H$1:H2088,$H2088,$I$1:I2088,$I2088,$J$1:J2088,$J2088,$K$1:K2088,K2088,$L$1:L2088,L2088))=1,"00"&amp;COUNTIFS($H$1:H2088,$H2088,$I$1:I2088,$I2088,$J$1:J2088,$J2088,$K$1:K2088,K2088,$L$1:L2088,L2088),IF(LEN(COUNTIFS($H$1:H2088,$H2088,$I$1:I2088,$I2088,$J$1:J2088,$J2088,$K$1:K2088,K2088,$L$1:L2088,L2088))=2,"0"&amp;COUNTIFS($H$1:H2088,$H2088,$I$1:I2088,$I2088,$J$1:J2088,$J2088,$K$1:K2088,K2088,$L$1:L2088,L2088),COUNTIFS($H$1:H2088,$H2088,$I$1:I2088,$I2088,$J$1:J2088,$J2088,$K$1:K2088,K2088,$L$1:L2088,L2088)))</f>
        <v>262</v>
      </c>
      <c r="N208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88" s="14" t="e">
        <f>+LEN(Table4[[#This Row],[New Item Code]])</f>
        <v>#N/A</v>
      </c>
      <c r="P2088" s="15" t="s">
        <v>4747</v>
      </c>
      <c r="Q2088" s="15" t="s">
        <v>4749</v>
      </c>
      <c r="R2088" s="15"/>
      <c r="S2088" s="15"/>
      <c r="T2088" s="15" t="s">
        <v>4672</v>
      </c>
    </row>
    <row r="2089" spans="1:20" x14ac:dyDescent="0.35">
      <c r="A2089" s="2" t="s">
        <v>4114</v>
      </c>
      <c r="B2089" s="2" t="s">
        <v>4115</v>
      </c>
      <c r="C2089" s="2" t="s">
        <v>56</v>
      </c>
      <c r="D2089" s="2">
        <v>0</v>
      </c>
      <c r="E2089" s="2" t="s">
        <v>57</v>
      </c>
      <c r="F2089" s="2">
        <v>0</v>
      </c>
      <c r="G2089" s="22">
        <f>Table4[[#This Row],[Item Cost]]*Table4[[#This Row],[In Stock]]</f>
        <v>0</v>
      </c>
      <c r="H2089" s="12" t="s">
        <v>4661</v>
      </c>
      <c r="I2089" s="13" t="s">
        <v>4668</v>
      </c>
      <c r="J2089" s="13" t="s">
        <v>4672</v>
      </c>
      <c r="K2089" s="13" t="s">
        <v>4672</v>
      </c>
      <c r="L2089" s="12" t="s">
        <v>4672</v>
      </c>
      <c r="M2089" s="17">
        <f>IF(LEN(COUNTIFS($H$1:H2089,$H2089,$I$1:I2089,$I2089,$J$1:J2089,$J2089,$K$1:K2089,K2089,$L$1:L2089,L2089))=1,"00"&amp;COUNTIFS($H$1:H2089,$H2089,$I$1:I2089,$I2089,$J$1:J2089,$J2089,$K$1:K2089,K2089,$L$1:L2089,L2089),IF(LEN(COUNTIFS($H$1:H2089,$H2089,$I$1:I2089,$I2089,$J$1:J2089,$J2089,$K$1:K2089,K2089,$L$1:L2089,L2089))=2,"0"&amp;COUNTIFS($H$1:H2089,$H2089,$I$1:I2089,$I2089,$J$1:J2089,$J2089,$K$1:K2089,K2089,$L$1:L2089,L2089),COUNTIFS($H$1:H2089,$H2089,$I$1:I2089,$I2089,$J$1:J2089,$J2089,$K$1:K2089,K2089,$L$1:L2089,L2089)))</f>
        <v>263</v>
      </c>
      <c r="N208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89" s="14" t="e">
        <f>+LEN(Table4[[#This Row],[New Item Code]])</f>
        <v>#N/A</v>
      </c>
      <c r="P2089" s="15" t="s">
        <v>4747</v>
      </c>
      <c r="Q2089" s="15" t="s">
        <v>4749</v>
      </c>
      <c r="R2089" s="15"/>
      <c r="S2089" s="15"/>
      <c r="T2089" s="15" t="s">
        <v>4672</v>
      </c>
    </row>
    <row r="2090" spans="1:20" x14ac:dyDescent="0.35">
      <c r="A2090" s="3" t="s">
        <v>4116</v>
      </c>
      <c r="B2090" s="3" t="s">
        <v>4117</v>
      </c>
      <c r="C2090" s="3" t="s">
        <v>56</v>
      </c>
      <c r="D2090" s="3">
        <v>0</v>
      </c>
      <c r="E2090" s="3" t="s">
        <v>57</v>
      </c>
      <c r="F2090" s="3">
        <v>0</v>
      </c>
      <c r="G2090" s="21">
        <f>Table4[[#This Row],[Item Cost]]*Table4[[#This Row],[In Stock]]</f>
        <v>0</v>
      </c>
      <c r="H2090" s="12" t="s">
        <v>4661</v>
      </c>
      <c r="I2090" s="13" t="s">
        <v>4668</v>
      </c>
      <c r="J2090" s="13" t="s">
        <v>4672</v>
      </c>
      <c r="K2090" s="13" t="s">
        <v>4672</v>
      </c>
      <c r="L2090" s="12" t="s">
        <v>4672</v>
      </c>
      <c r="M2090" s="17">
        <f>IF(LEN(COUNTIFS($H$1:H2090,$H2090,$I$1:I2090,$I2090,$J$1:J2090,$J2090,$K$1:K2090,K2090,$L$1:L2090,L2090))=1,"00"&amp;COUNTIFS($H$1:H2090,$H2090,$I$1:I2090,$I2090,$J$1:J2090,$J2090,$K$1:K2090,K2090,$L$1:L2090,L2090),IF(LEN(COUNTIFS($H$1:H2090,$H2090,$I$1:I2090,$I2090,$J$1:J2090,$J2090,$K$1:K2090,K2090,$L$1:L2090,L2090))=2,"0"&amp;COUNTIFS($H$1:H2090,$H2090,$I$1:I2090,$I2090,$J$1:J2090,$J2090,$K$1:K2090,K2090,$L$1:L2090,L2090),COUNTIFS($H$1:H2090,$H2090,$I$1:I2090,$I2090,$J$1:J2090,$J2090,$K$1:K2090,K2090,$L$1:L2090,L2090)))</f>
        <v>264</v>
      </c>
      <c r="N209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90" s="14" t="e">
        <f>+LEN(Table4[[#This Row],[New Item Code]])</f>
        <v>#N/A</v>
      </c>
      <c r="P2090" s="15" t="s">
        <v>4747</v>
      </c>
      <c r="Q2090" s="15" t="s">
        <v>4749</v>
      </c>
      <c r="R2090" s="15"/>
      <c r="S2090" s="15"/>
      <c r="T2090" s="15" t="s">
        <v>4672</v>
      </c>
    </row>
    <row r="2091" spans="1:20" x14ac:dyDescent="0.35">
      <c r="A2091" s="2" t="s">
        <v>4118</v>
      </c>
      <c r="B2091" s="2" t="s">
        <v>4119</v>
      </c>
      <c r="C2091" s="2" t="s">
        <v>56</v>
      </c>
      <c r="D2091" s="2">
        <v>0</v>
      </c>
      <c r="E2091" s="2" t="s">
        <v>57</v>
      </c>
      <c r="F2091" s="2">
        <v>0</v>
      </c>
      <c r="G2091" s="22">
        <f>Table4[[#This Row],[Item Cost]]*Table4[[#This Row],[In Stock]]</f>
        <v>0</v>
      </c>
      <c r="H2091" s="12" t="s">
        <v>4661</v>
      </c>
      <c r="I2091" s="13" t="s">
        <v>4668</v>
      </c>
      <c r="J2091" s="13" t="s">
        <v>4672</v>
      </c>
      <c r="K2091" s="13" t="s">
        <v>4672</v>
      </c>
      <c r="L2091" s="12" t="s">
        <v>4672</v>
      </c>
      <c r="M2091" s="17">
        <f>IF(LEN(COUNTIFS($H$1:H2091,$H2091,$I$1:I2091,$I2091,$J$1:J2091,$J2091,$K$1:K2091,K2091,$L$1:L2091,L2091))=1,"00"&amp;COUNTIFS($H$1:H2091,$H2091,$I$1:I2091,$I2091,$J$1:J2091,$J2091,$K$1:K2091,K2091,$L$1:L2091,L2091),IF(LEN(COUNTIFS($H$1:H2091,$H2091,$I$1:I2091,$I2091,$J$1:J2091,$J2091,$K$1:K2091,K2091,$L$1:L2091,L2091))=2,"0"&amp;COUNTIFS($H$1:H2091,$H2091,$I$1:I2091,$I2091,$J$1:J2091,$J2091,$K$1:K2091,K2091,$L$1:L2091,L2091),COUNTIFS($H$1:H2091,$H2091,$I$1:I2091,$I2091,$J$1:J2091,$J2091,$K$1:K2091,K2091,$L$1:L2091,L2091)))</f>
        <v>265</v>
      </c>
      <c r="N209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91" s="14" t="e">
        <f>+LEN(Table4[[#This Row],[New Item Code]])</f>
        <v>#N/A</v>
      </c>
      <c r="P2091" s="15" t="s">
        <v>4747</v>
      </c>
      <c r="Q2091" s="15" t="s">
        <v>4749</v>
      </c>
      <c r="R2091" s="15"/>
      <c r="S2091" s="15"/>
      <c r="T2091" s="15" t="s">
        <v>4672</v>
      </c>
    </row>
    <row r="2092" spans="1:20" x14ac:dyDescent="0.35">
      <c r="A2092" s="3" t="s">
        <v>4120</v>
      </c>
      <c r="B2092" s="3" t="s">
        <v>3938</v>
      </c>
      <c r="C2092" s="3" t="s">
        <v>15</v>
      </c>
      <c r="D2092" s="3">
        <v>0</v>
      </c>
      <c r="E2092" s="3" t="s">
        <v>10</v>
      </c>
      <c r="F2092" s="3">
        <v>0</v>
      </c>
      <c r="G2092" s="21">
        <f>Table4[[#This Row],[Item Cost]]*Table4[[#This Row],[In Stock]]</f>
        <v>0</v>
      </c>
      <c r="H2092" s="12" t="s">
        <v>4661</v>
      </c>
      <c r="I2092" s="13" t="s">
        <v>4666</v>
      </c>
      <c r="J2092" s="13" t="s">
        <v>4721</v>
      </c>
      <c r="K2092" s="13" t="s">
        <v>4672</v>
      </c>
      <c r="L2092" s="12" t="s">
        <v>4672</v>
      </c>
      <c r="M2092" s="17" t="str">
        <f>IF(LEN(COUNTIFS($H$1:H2092,$H2092,$I$1:I2092,$I2092,$J$1:J2092,$J2092,$K$1:K2092,K2092,$L$1:L2092,L2092))=1,"00"&amp;COUNTIFS($H$1:H2092,$H2092,$I$1:I2092,$I2092,$J$1:J2092,$J2092,$K$1:K2092,K2092,$L$1:L2092,L2092),IF(LEN(COUNTIFS($H$1:H2092,$H2092,$I$1:I2092,$I2092,$J$1:J2092,$J2092,$K$1:K2092,K2092,$L$1:L2092,L2092))=2,"0"&amp;COUNTIFS($H$1:H2092,$H2092,$I$1:I2092,$I2092,$J$1:J2092,$J2092,$K$1:K2092,K2092,$L$1:L2092,L2092),COUNTIFS($H$1:H2092,$H2092,$I$1:I2092,$I2092,$J$1:J2092,$J2092,$K$1:K2092,K2092,$L$1:L2092,L2092)))</f>
        <v>001</v>
      </c>
      <c r="N209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92" s="14" t="e">
        <f>+LEN(Table4[[#This Row],[New Item Code]])</f>
        <v>#N/A</v>
      </c>
      <c r="P2092" s="15" t="s">
        <v>4747</v>
      </c>
      <c r="Q2092" s="15" t="s">
        <v>4749</v>
      </c>
      <c r="R2092" s="15"/>
      <c r="S2092" s="15"/>
      <c r="T2092" s="15" t="s">
        <v>4721</v>
      </c>
    </row>
    <row r="2093" spans="1:20" x14ac:dyDescent="0.35">
      <c r="A2093" s="2" t="s">
        <v>4121</v>
      </c>
      <c r="B2093" s="2" t="s">
        <v>3940</v>
      </c>
      <c r="C2093" s="2" t="s">
        <v>15</v>
      </c>
      <c r="D2093" s="2">
        <v>0</v>
      </c>
      <c r="E2093" s="2" t="s">
        <v>10</v>
      </c>
      <c r="F2093" s="2">
        <v>0</v>
      </c>
      <c r="G2093" s="22">
        <f>Table4[[#This Row],[Item Cost]]*Table4[[#This Row],[In Stock]]</f>
        <v>0</v>
      </c>
      <c r="H2093" s="12" t="s">
        <v>4661</v>
      </c>
      <c r="I2093" s="13" t="s">
        <v>4666</v>
      </c>
      <c r="J2093" s="13" t="s">
        <v>4721</v>
      </c>
      <c r="K2093" s="13" t="s">
        <v>4672</v>
      </c>
      <c r="L2093" s="12" t="s">
        <v>4672</v>
      </c>
      <c r="M2093" s="17" t="str">
        <f>IF(LEN(COUNTIFS($H$1:H2093,$H2093,$I$1:I2093,$I2093,$J$1:J2093,$J2093,$K$1:K2093,K2093,$L$1:L2093,L2093))=1,"00"&amp;COUNTIFS($H$1:H2093,$H2093,$I$1:I2093,$I2093,$J$1:J2093,$J2093,$K$1:K2093,K2093,$L$1:L2093,L2093),IF(LEN(COUNTIFS($H$1:H2093,$H2093,$I$1:I2093,$I2093,$J$1:J2093,$J2093,$K$1:K2093,K2093,$L$1:L2093,L2093))=2,"0"&amp;COUNTIFS($H$1:H2093,$H2093,$I$1:I2093,$I2093,$J$1:J2093,$J2093,$K$1:K2093,K2093,$L$1:L2093,L2093),COUNTIFS($H$1:H2093,$H2093,$I$1:I2093,$I2093,$J$1:J2093,$J2093,$K$1:K2093,K2093,$L$1:L2093,L2093)))</f>
        <v>002</v>
      </c>
      <c r="N209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93" s="14" t="e">
        <f>+LEN(Table4[[#This Row],[New Item Code]])</f>
        <v>#N/A</v>
      </c>
      <c r="P2093" s="15" t="s">
        <v>4747</v>
      </c>
      <c r="Q2093" s="15" t="s">
        <v>4749</v>
      </c>
      <c r="R2093" s="15"/>
      <c r="S2093" s="15"/>
      <c r="T2093" s="15" t="s">
        <v>4721</v>
      </c>
    </row>
    <row r="2094" spans="1:20" x14ac:dyDescent="0.35">
      <c r="A2094" s="3" t="s">
        <v>4122</v>
      </c>
      <c r="B2094" s="3" t="s">
        <v>916</v>
      </c>
      <c r="C2094" s="3" t="s">
        <v>15</v>
      </c>
      <c r="D2094" s="3">
        <v>25</v>
      </c>
      <c r="E2094" s="3" t="s">
        <v>10</v>
      </c>
      <c r="F2094" s="3">
        <v>100</v>
      </c>
      <c r="G2094" s="21">
        <f>Table4[[#This Row],[Item Cost]]*Table4[[#This Row],[In Stock]]</f>
        <v>2500</v>
      </c>
      <c r="H2094" s="12" t="s">
        <v>4661</v>
      </c>
      <c r="I2094" s="13" t="s">
        <v>4666</v>
      </c>
      <c r="J2094" s="13" t="s">
        <v>4721</v>
      </c>
      <c r="K2094" s="13" t="s">
        <v>4672</v>
      </c>
      <c r="L2094" s="12" t="s">
        <v>4672</v>
      </c>
      <c r="M2094" s="17" t="str">
        <f>IF(LEN(COUNTIFS($H$1:H2094,$H2094,$I$1:I2094,$I2094,$J$1:J2094,$J2094,$K$1:K2094,K2094,$L$1:L2094,L2094))=1,"00"&amp;COUNTIFS($H$1:H2094,$H2094,$I$1:I2094,$I2094,$J$1:J2094,$J2094,$K$1:K2094,K2094,$L$1:L2094,L2094),IF(LEN(COUNTIFS($H$1:H2094,$H2094,$I$1:I2094,$I2094,$J$1:J2094,$J2094,$K$1:K2094,K2094,$L$1:L2094,L2094))=2,"0"&amp;COUNTIFS($H$1:H2094,$H2094,$I$1:I2094,$I2094,$J$1:J2094,$J2094,$K$1:K2094,K2094,$L$1:L2094,L2094),COUNTIFS($H$1:H2094,$H2094,$I$1:I2094,$I2094,$J$1:J2094,$J2094,$K$1:K2094,K2094,$L$1:L2094,L2094)))</f>
        <v>003</v>
      </c>
      <c r="N209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94" s="14" t="e">
        <f>+LEN(Table4[[#This Row],[New Item Code]])</f>
        <v>#N/A</v>
      </c>
      <c r="P2094" s="15" t="s">
        <v>4747</v>
      </c>
      <c r="Q2094" s="15" t="s">
        <v>4749</v>
      </c>
      <c r="R2094" s="15"/>
      <c r="S2094" s="15"/>
      <c r="T2094" s="15" t="s">
        <v>4721</v>
      </c>
    </row>
    <row r="2095" spans="1:20" x14ac:dyDescent="0.35">
      <c r="A2095" s="2" t="s">
        <v>4123</v>
      </c>
      <c r="B2095" s="2" t="s">
        <v>3226</v>
      </c>
      <c r="C2095" s="2" t="s">
        <v>9</v>
      </c>
      <c r="D2095" s="2">
        <v>19.5</v>
      </c>
      <c r="E2095" s="2" t="s">
        <v>10</v>
      </c>
      <c r="F2095" s="2">
        <v>40</v>
      </c>
      <c r="G2095" s="22">
        <f>Table4[[#This Row],[Item Cost]]*Table4[[#This Row],[In Stock]]</f>
        <v>780</v>
      </c>
      <c r="H2095" s="12" t="s">
        <v>4661</v>
      </c>
      <c r="I2095" s="13" t="s">
        <v>4664</v>
      </c>
      <c r="J2095" s="13" t="s">
        <v>4721</v>
      </c>
      <c r="K2095" t="s">
        <v>4793</v>
      </c>
      <c r="L2095" s="12" t="s">
        <v>4672</v>
      </c>
      <c r="M2095" s="17" t="str">
        <f>IF(LEN(COUNTIFS($H$1:H2095,$H2095,$I$1:I2095,$I2095,$J$1:J2095,$J2095,$K$1:K2095,K2095,$L$1:L2095,L2095))=1,"00"&amp;COUNTIFS($H$1:H2095,$H2095,$I$1:I2095,$I2095,$J$1:J2095,$J2095,$K$1:K2095,K2095,$L$1:L2095,L2095),IF(LEN(COUNTIFS($H$1:H2095,$H2095,$I$1:I2095,$I2095,$J$1:J2095,$J2095,$K$1:K2095,K2095,$L$1:L2095,L2095))=2,"0"&amp;COUNTIFS($H$1:H2095,$H2095,$I$1:I2095,$I2095,$J$1:J2095,$J2095,$K$1:K2095,K2095,$L$1:L2095,L2095),COUNTIFS($H$1:H2095,$H2095,$I$1:I2095,$I2095,$J$1:J2095,$J2095,$K$1:K2095,K2095,$L$1:L2095,L2095)))</f>
        <v>001</v>
      </c>
      <c r="N209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95" s="14" t="e">
        <f>+LEN(Table4[[#This Row],[New Item Code]])</f>
        <v>#N/A</v>
      </c>
      <c r="P2095" s="15" t="s">
        <v>4747</v>
      </c>
      <c r="Q2095" s="15" t="s">
        <v>4749</v>
      </c>
      <c r="R2095" s="15"/>
      <c r="S2095" s="15"/>
      <c r="T2095" s="15" t="s">
        <v>4721</v>
      </c>
    </row>
    <row r="2096" spans="1:20" x14ac:dyDescent="0.35">
      <c r="A2096" s="3" t="s">
        <v>4124</v>
      </c>
      <c r="B2096" s="3" t="s">
        <v>4125</v>
      </c>
      <c r="C2096" s="3" t="s">
        <v>15</v>
      </c>
      <c r="D2096" s="3">
        <v>175</v>
      </c>
      <c r="E2096" s="3" t="s">
        <v>10</v>
      </c>
      <c r="F2096" s="3">
        <v>0</v>
      </c>
      <c r="G2096" s="21">
        <f>Table4[[#This Row],[Item Cost]]*Table4[[#This Row],[In Stock]]</f>
        <v>0</v>
      </c>
      <c r="H2096" s="12" t="s">
        <v>4661</v>
      </c>
      <c r="I2096" s="13" t="s">
        <v>4666</v>
      </c>
      <c r="J2096" s="13" t="s">
        <v>4721</v>
      </c>
      <c r="K2096" s="13" t="s">
        <v>4672</v>
      </c>
      <c r="L2096" s="12" t="s">
        <v>4672</v>
      </c>
      <c r="M2096" s="17" t="str">
        <f>IF(LEN(COUNTIFS($H$1:H2096,$H2096,$I$1:I2096,$I2096,$J$1:J2096,$J2096,$K$1:K2096,K2096,$L$1:L2096,L2096))=1,"00"&amp;COUNTIFS($H$1:H2096,$H2096,$I$1:I2096,$I2096,$J$1:J2096,$J2096,$K$1:K2096,K2096,$L$1:L2096,L2096),IF(LEN(COUNTIFS($H$1:H2096,$H2096,$I$1:I2096,$I2096,$J$1:J2096,$J2096,$K$1:K2096,K2096,$L$1:L2096,L2096))=2,"0"&amp;COUNTIFS($H$1:H2096,$H2096,$I$1:I2096,$I2096,$J$1:J2096,$J2096,$K$1:K2096,K2096,$L$1:L2096,L2096),COUNTIFS($H$1:H2096,$H2096,$I$1:I2096,$I2096,$J$1:J2096,$J2096,$K$1:K2096,K2096,$L$1:L2096,L2096)))</f>
        <v>004</v>
      </c>
      <c r="N209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96" s="14" t="e">
        <f>+LEN(Table4[[#This Row],[New Item Code]])</f>
        <v>#N/A</v>
      </c>
      <c r="P2096" s="15" t="s">
        <v>4747</v>
      </c>
      <c r="Q2096" s="15" t="s">
        <v>4749</v>
      </c>
      <c r="R2096" s="15"/>
      <c r="S2096" s="15"/>
      <c r="T2096" s="15" t="s">
        <v>4721</v>
      </c>
    </row>
    <row r="2097" spans="1:20" x14ac:dyDescent="0.35">
      <c r="A2097" s="2" t="s">
        <v>4126</v>
      </c>
      <c r="B2097" s="2" t="s">
        <v>4127</v>
      </c>
      <c r="C2097" s="2" t="s">
        <v>15</v>
      </c>
      <c r="D2097" s="2">
        <v>175</v>
      </c>
      <c r="E2097" s="2" t="s">
        <v>10</v>
      </c>
      <c r="F2097" s="2">
        <v>0</v>
      </c>
      <c r="G2097" s="22">
        <f>Table4[[#This Row],[Item Cost]]*Table4[[#This Row],[In Stock]]</f>
        <v>0</v>
      </c>
      <c r="H2097" s="12" t="s">
        <v>4661</v>
      </c>
      <c r="I2097" s="13" t="s">
        <v>4666</v>
      </c>
      <c r="J2097" s="13" t="s">
        <v>4721</v>
      </c>
      <c r="K2097" s="13" t="s">
        <v>4672</v>
      </c>
      <c r="L2097" s="12" t="s">
        <v>4672</v>
      </c>
      <c r="M2097" s="17" t="str">
        <f>IF(LEN(COUNTIFS($H$1:H2097,$H2097,$I$1:I2097,$I2097,$J$1:J2097,$J2097,$K$1:K2097,K2097,$L$1:L2097,L2097))=1,"00"&amp;COUNTIFS($H$1:H2097,$H2097,$I$1:I2097,$I2097,$J$1:J2097,$J2097,$K$1:K2097,K2097,$L$1:L2097,L2097),IF(LEN(COUNTIFS($H$1:H2097,$H2097,$I$1:I2097,$I2097,$J$1:J2097,$J2097,$K$1:K2097,K2097,$L$1:L2097,L2097))=2,"0"&amp;COUNTIFS($H$1:H2097,$H2097,$I$1:I2097,$I2097,$J$1:J2097,$J2097,$K$1:K2097,K2097,$L$1:L2097,L2097),COUNTIFS($H$1:H2097,$H2097,$I$1:I2097,$I2097,$J$1:J2097,$J2097,$K$1:K2097,K2097,$L$1:L2097,L2097)))</f>
        <v>005</v>
      </c>
      <c r="N209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97" s="14" t="e">
        <f>+LEN(Table4[[#This Row],[New Item Code]])</f>
        <v>#N/A</v>
      </c>
      <c r="P2097" s="15" t="s">
        <v>4747</v>
      </c>
      <c r="Q2097" s="15" t="s">
        <v>4749</v>
      </c>
      <c r="R2097" s="15"/>
      <c r="S2097" s="15"/>
      <c r="T2097" s="15" t="s">
        <v>4721</v>
      </c>
    </row>
    <row r="2098" spans="1:20" x14ac:dyDescent="0.35">
      <c r="A2098" s="3" t="s">
        <v>4128</v>
      </c>
      <c r="B2098" s="3" t="s">
        <v>4129</v>
      </c>
      <c r="C2098" s="3" t="s">
        <v>9</v>
      </c>
      <c r="D2098" s="3">
        <v>30</v>
      </c>
      <c r="E2098" s="3" t="s">
        <v>10</v>
      </c>
      <c r="F2098" s="3">
        <v>10</v>
      </c>
      <c r="G2098" s="21">
        <f>Table4[[#This Row],[Item Cost]]*Table4[[#This Row],[In Stock]]</f>
        <v>300</v>
      </c>
      <c r="H2098" s="12" t="s">
        <v>4661</v>
      </c>
      <c r="I2098" s="13" t="s">
        <v>4664</v>
      </c>
      <c r="J2098" s="13" t="s">
        <v>4721</v>
      </c>
      <c r="K2098" s="13" t="s">
        <v>4672</v>
      </c>
      <c r="L2098" s="12" t="s">
        <v>4672</v>
      </c>
      <c r="M2098" s="17" t="str">
        <f>IF(LEN(COUNTIFS($H$1:H2098,$H2098,$I$1:I2098,$I2098,$J$1:J2098,$J2098,$K$1:K2098,K2098,$L$1:L2098,L2098))=1,"00"&amp;COUNTIFS($H$1:H2098,$H2098,$I$1:I2098,$I2098,$J$1:J2098,$J2098,$K$1:K2098,K2098,$L$1:L2098,L2098),IF(LEN(COUNTIFS($H$1:H2098,$H2098,$I$1:I2098,$I2098,$J$1:J2098,$J2098,$K$1:K2098,K2098,$L$1:L2098,L2098))=2,"0"&amp;COUNTIFS($H$1:H2098,$H2098,$I$1:I2098,$I2098,$J$1:J2098,$J2098,$K$1:K2098,K2098,$L$1:L2098,L2098),COUNTIFS($H$1:H2098,$H2098,$I$1:I2098,$I2098,$J$1:J2098,$J2098,$K$1:K2098,K2098,$L$1:L2098,L2098)))</f>
        <v>001</v>
      </c>
      <c r="N209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98" s="14" t="e">
        <f>+LEN(Table4[[#This Row],[New Item Code]])</f>
        <v>#N/A</v>
      </c>
      <c r="P2098" s="15" t="s">
        <v>4747</v>
      </c>
      <c r="Q2098" s="15" t="s">
        <v>4749</v>
      </c>
      <c r="R2098" s="15"/>
      <c r="S2098" s="15"/>
      <c r="T2098" s="15" t="s">
        <v>4721</v>
      </c>
    </row>
    <row r="2099" spans="1:20" x14ac:dyDescent="0.35">
      <c r="A2099" s="2" t="s">
        <v>4130</v>
      </c>
      <c r="B2099" s="2" t="s">
        <v>4131</v>
      </c>
      <c r="C2099" s="2" t="s">
        <v>15</v>
      </c>
      <c r="D2099" s="2">
        <v>0</v>
      </c>
      <c r="E2099" s="2" t="s">
        <v>10</v>
      </c>
      <c r="F2099" s="2">
        <v>0</v>
      </c>
      <c r="G2099" s="22">
        <f>Table4[[#This Row],[Item Cost]]*Table4[[#This Row],[In Stock]]</f>
        <v>0</v>
      </c>
      <c r="H2099" s="12" t="s">
        <v>4661</v>
      </c>
      <c r="I2099" s="13" t="s">
        <v>4666</v>
      </c>
      <c r="J2099" s="13" t="s">
        <v>4721</v>
      </c>
      <c r="K2099" s="13" t="s">
        <v>4672</v>
      </c>
      <c r="L2099" s="12" t="s">
        <v>4672</v>
      </c>
      <c r="M2099" s="17" t="str">
        <f>IF(LEN(COUNTIFS($H$1:H2099,$H2099,$I$1:I2099,$I2099,$J$1:J2099,$J2099,$K$1:K2099,K2099,$L$1:L2099,L2099))=1,"00"&amp;COUNTIFS($H$1:H2099,$H2099,$I$1:I2099,$I2099,$J$1:J2099,$J2099,$K$1:K2099,K2099,$L$1:L2099,L2099),IF(LEN(COUNTIFS($H$1:H2099,$H2099,$I$1:I2099,$I2099,$J$1:J2099,$J2099,$K$1:K2099,K2099,$L$1:L2099,L2099))=2,"0"&amp;COUNTIFS($H$1:H2099,$H2099,$I$1:I2099,$I2099,$J$1:J2099,$J2099,$K$1:K2099,K2099,$L$1:L2099,L2099),COUNTIFS($H$1:H2099,$H2099,$I$1:I2099,$I2099,$J$1:J2099,$J2099,$K$1:K2099,K2099,$L$1:L2099,L2099)))</f>
        <v>006</v>
      </c>
      <c r="N209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099" s="14" t="e">
        <f>+LEN(Table4[[#This Row],[New Item Code]])</f>
        <v>#N/A</v>
      </c>
      <c r="P2099" s="15" t="s">
        <v>4747</v>
      </c>
      <c r="Q2099" s="15" t="s">
        <v>4749</v>
      </c>
      <c r="R2099" s="15"/>
      <c r="S2099" s="15"/>
      <c r="T2099" s="15" t="s">
        <v>4721</v>
      </c>
    </row>
    <row r="2100" spans="1:20" x14ac:dyDescent="0.35">
      <c r="A2100" s="3" t="s">
        <v>4132</v>
      </c>
      <c r="B2100" s="3" t="s">
        <v>4133</v>
      </c>
      <c r="C2100" s="3" t="s">
        <v>15</v>
      </c>
      <c r="D2100" s="3">
        <v>0</v>
      </c>
      <c r="E2100" s="3" t="s">
        <v>10</v>
      </c>
      <c r="F2100" s="3">
        <v>0</v>
      </c>
      <c r="G2100" s="21">
        <f>Table4[[#This Row],[Item Cost]]*Table4[[#This Row],[In Stock]]</f>
        <v>0</v>
      </c>
      <c r="H2100" s="12" t="s">
        <v>4661</v>
      </c>
      <c r="I2100" s="13" t="s">
        <v>4666</v>
      </c>
      <c r="J2100" s="13" t="s">
        <v>4721</v>
      </c>
      <c r="K2100" s="13" t="s">
        <v>4672</v>
      </c>
      <c r="L2100" s="12" t="s">
        <v>4672</v>
      </c>
      <c r="M2100" s="17" t="str">
        <f>IF(LEN(COUNTIFS($H$1:H2100,$H2100,$I$1:I2100,$I2100,$J$1:J2100,$J2100,$K$1:K2100,K2100,$L$1:L2100,L2100))=1,"00"&amp;COUNTIFS($H$1:H2100,$H2100,$I$1:I2100,$I2100,$J$1:J2100,$J2100,$K$1:K2100,K2100,$L$1:L2100,L2100),IF(LEN(COUNTIFS($H$1:H2100,$H2100,$I$1:I2100,$I2100,$J$1:J2100,$J2100,$K$1:K2100,K2100,$L$1:L2100,L2100))=2,"0"&amp;COUNTIFS($H$1:H2100,$H2100,$I$1:I2100,$I2100,$J$1:J2100,$J2100,$K$1:K2100,K2100,$L$1:L2100,L2100),COUNTIFS($H$1:H2100,$H2100,$I$1:I2100,$I2100,$J$1:J2100,$J2100,$K$1:K2100,K2100,$L$1:L2100,L2100)))</f>
        <v>007</v>
      </c>
      <c r="N210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00" s="14" t="e">
        <f>+LEN(Table4[[#This Row],[New Item Code]])</f>
        <v>#N/A</v>
      </c>
      <c r="P2100" s="15" t="s">
        <v>4747</v>
      </c>
      <c r="Q2100" s="15" t="s">
        <v>4749</v>
      </c>
      <c r="R2100" s="15"/>
      <c r="S2100" s="15"/>
      <c r="T2100" s="15" t="s">
        <v>4721</v>
      </c>
    </row>
    <row r="2101" spans="1:20" x14ac:dyDescent="0.35">
      <c r="A2101" s="2" t="s">
        <v>4134</v>
      </c>
      <c r="B2101" s="2" t="s">
        <v>1863</v>
      </c>
      <c r="C2101" s="2" t="s">
        <v>9</v>
      </c>
      <c r="D2101" s="2">
        <v>698</v>
      </c>
      <c r="E2101" s="2" t="s">
        <v>10</v>
      </c>
      <c r="F2101" s="2">
        <v>5</v>
      </c>
      <c r="G2101" s="22">
        <f>Table4[[#This Row],[Item Cost]]*Table4[[#This Row],[In Stock]]</f>
        <v>3490</v>
      </c>
      <c r="H2101" s="12" t="s">
        <v>4661</v>
      </c>
      <c r="I2101" s="13" t="s">
        <v>4664</v>
      </c>
      <c r="J2101" s="13" t="s">
        <v>4721</v>
      </c>
      <c r="K2101" s="13" t="s">
        <v>4672</v>
      </c>
      <c r="L2101" s="12" t="s">
        <v>4672</v>
      </c>
      <c r="M2101" s="17" t="str">
        <f>IF(LEN(COUNTIFS($H$1:H2101,$H2101,$I$1:I2101,$I2101,$J$1:J2101,$J2101,$K$1:K2101,K2101,$L$1:L2101,L2101))=1,"00"&amp;COUNTIFS($H$1:H2101,$H2101,$I$1:I2101,$I2101,$J$1:J2101,$J2101,$K$1:K2101,K2101,$L$1:L2101,L2101),IF(LEN(COUNTIFS($H$1:H2101,$H2101,$I$1:I2101,$I2101,$J$1:J2101,$J2101,$K$1:K2101,K2101,$L$1:L2101,L2101))=2,"0"&amp;COUNTIFS($H$1:H2101,$H2101,$I$1:I2101,$I2101,$J$1:J2101,$J2101,$K$1:K2101,K2101,$L$1:L2101,L2101),COUNTIFS($H$1:H2101,$H2101,$I$1:I2101,$I2101,$J$1:J2101,$J2101,$K$1:K2101,K2101,$L$1:L2101,L2101)))</f>
        <v>002</v>
      </c>
      <c r="N210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01" s="14" t="e">
        <f>+LEN(Table4[[#This Row],[New Item Code]])</f>
        <v>#N/A</v>
      </c>
      <c r="P2101" s="15" t="s">
        <v>4747</v>
      </c>
      <c r="Q2101" s="15" t="s">
        <v>4749</v>
      </c>
      <c r="R2101" s="15"/>
      <c r="S2101" s="15"/>
      <c r="T2101" s="15" t="s">
        <v>4721</v>
      </c>
    </row>
    <row r="2102" spans="1:20" x14ac:dyDescent="0.35">
      <c r="A2102" s="3" t="s">
        <v>4135</v>
      </c>
      <c r="B2102" s="3" t="s">
        <v>4136</v>
      </c>
      <c r="C2102" s="3" t="s">
        <v>9</v>
      </c>
      <c r="D2102" s="3">
        <v>2400</v>
      </c>
      <c r="E2102" s="3" t="s">
        <v>10</v>
      </c>
      <c r="F2102" s="3">
        <v>1</v>
      </c>
      <c r="G2102" s="21">
        <f>Table4[[#This Row],[Item Cost]]*Table4[[#This Row],[In Stock]]</f>
        <v>2400</v>
      </c>
      <c r="H2102" s="12" t="s">
        <v>4661</v>
      </c>
      <c r="I2102" s="13" t="s">
        <v>4664</v>
      </c>
      <c r="J2102" s="13" t="s">
        <v>4721</v>
      </c>
      <c r="K2102" s="13" t="s">
        <v>4672</v>
      </c>
      <c r="L2102" s="12" t="s">
        <v>4672</v>
      </c>
      <c r="M2102" s="17" t="str">
        <f>IF(LEN(COUNTIFS($H$1:H2102,$H2102,$I$1:I2102,$I2102,$J$1:J2102,$J2102,$K$1:K2102,K2102,$L$1:L2102,L2102))=1,"00"&amp;COUNTIFS($H$1:H2102,$H2102,$I$1:I2102,$I2102,$J$1:J2102,$J2102,$K$1:K2102,K2102,$L$1:L2102,L2102),IF(LEN(COUNTIFS($H$1:H2102,$H2102,$I$1:I2102,$I2102,$J$1:J2102,$J2102,$K$1:K2102,K2102,$L$1:L2102,L2102))=2,"0"&amp;COUNTIFS($H$1:H2102,$H2102,$I$1:I2102,$I2102,$J$1:J2102,$J2102,$K$1:K2102,K2102,$L$1:L2102,L2102),COUNTIFS($H$1:H2102,$H2102,$I$1:I2102,$I2102,$J$1:J2102,$J2102,$K$1:K2102,K2102,$L$1:L2102,L2102)))</f>
        <v>003</v>
      </c>
      <c r="N210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02" s="14" t="e">
        <f>+LEN(Table4[[#This Row],[New Item Code]])</f>
        <v>#N/A</v>
      </c>
      <c r="P2102" s="15" t="s">
        <v>4747</v>
      </c>
      <c r="Q2102" s="15" t="s">
        <v>4749</v>
      </c>
      <c r="R2102" s="15"/>
      <c r="S2102" s="15"/>
      <c r="T2102" s="15" t="s">
        <v>4721</v>
      </c>
    </row>
    <row r="2103" spans="1:20" x14ac:dyDescent="0.35">
      <c r="A2103" s="2" t="s">
        <v>4137</v>
      </c>
      <c r="B2103" s="2" t="s">
        <v>4138</v>
      </c>
      <c r="C2103" s="2" t="s">
        <v>15</v>
      </c>
      <c r="D2103" s="2">
        <v>0</v>
      </c>
      <c r="E2103" s="2" t="s">
        <v>10</v>
      </c>
      <c r="F2103" s="2">
        <v>0</v>
      </c>
      <c r="G2103" s="22">
        <f>Table4[[#This Row],[Item Cost]]*Table4[[#This Row],[In Stock]]</f>
        <v>0</v>
      </c>
      <c r="H2103" s="12" t="s">
        <v>4661</v>
      </c>
      <c r="I2103" s="13" t="s">
        <v>4666</v>
      </c>
      <c r="J2103" s="13" t="s">
        <v>4721</v>
      </c>
      <c r="K2103" s="13" t="s">
        <v>4672</v>
      </c>
      <c r="L2103" s="12" t="s">
        <v>4672</v>
      </c>
      <c r="M2103" s="17" t="str">
        <f>IF(LEN(COUNTIFS($H$1:H2103,$H2103,$I$1:I2103,$I2103,$J$1:J2103,$J2103,$K$1:K2103,K2103,$L$1:L2103,L2103))=1,"00"&amp;COUNTIFS($H$1:H2103,$H2103,$I$1:I2103,$I2103,$J$1:J2103,$J2103,$K$1:K2103,K2103,$L$1:L2103,L2103),IF(LEN(COUNTIFS($H$1:H2103,$H2103,$I$1:I2103,$I2103,$J$1:J2103,$J2103,$K$1:K2103,K2103,$L$1:L2103,L2103))=2,"0"&amp;COUNTIFS($H$1:H2103,$H2103,$I$1:I2103,$I2103,$J$1:J2103,$J2103,$K$1:K2103,K2103,$L$1:L2103,L2103),COUNTIFS($H$1:H2103,$H2103,$I$1:I2103,$I2103,$J$1:J2103,$J2103,$K$1:K2103,K2103,$L$1:L2103,L2103)))</f>
        <v>008</v>
      </c>
      <c r="N210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03" s="14" t="e">
        <f>+LEN(Table4[[#This Row],[New Item Code]])</f>
        <v>#N/A</v>
      </c>
      <c r="P2103" s="15" t="s">
        <v>4747</v>
      </c>
      <c r="Q2103" s="15" t="s">
        <v>4749</v>
      </c>
      <c r="R2103" s="15"/>
      <c r="S2103" s="15"/>
      <c r="T2103" s="15" t="s">
        <v>4721</v>
      </c>
    </row>
    <row r="2104" spans="1:20" x14ac:dyDescent="0.35">
      <c r="A2104" s="3" t="s">
        <v>4139</v>
      </c>
      <c r="B2104" s="3" t="s">
        <v>4140</v>
      </c>
      <c r="C2104" s="3" t="s">
        <v>9</v>
      </c>
      <c r="D2104" s="3">
        <v>320</v>
      </c>
      <c r="E2104" s="3" t="s">
        <v>10</v>
      </c>
      <c r="F2104" s="3">
        <v>1</v>
      </c>
      <c r="G2104" s="21">
        <f>Table4[[#This Row],[Item Cost]]*Table4[[#This Row],[In Stock]]</f>
        <v>320</v>
      </c>
      <c r="H2104" s="12" t="s">
        <v>4661</v>
      </c>
      <c r="I2104" s="13" t="s">
        <v>4664</v>
      </c>
      <c r="J2104" s="13" t="s">
        <v>4721</v>
      </c>
      <c r="K2104" s="13" t="s">
        <v>4672</v>
      </c>
      <c r="L2104" s="12" t="s">
        <v>4672</v>
      </c>
      <c r="M2104" s="17" t="str">
        <f>IF(LEN(COUNTIFS($H$1:H2104,$H2104,$I$1:I2104,$I2104,$J$1:J2104,$J2104,$K$1:K2104,K2104,$L$1:L2104,L2104))=1,"00"&amp;COUNTIFS($H$1:H2104,$H2104,$I$1:I2104,$I2104,$J$1:J2104,$J2104,$K$1:K2104,K2104,$L$1:L2104,L2104),IF(LEN(COUNTIFS($H$1:H2104,$H2104,$I$1:I2104,$I2104,$J$1:J2104,$J2104,$K$1:K2104,K2104,$L$1:L2104,L2104))=2,"0"&amp;COUNTIFS($H$1:H2104,$H2104,$I$1:I2104,$I2104,$J$1:J2104,$J2104,$K$1:K2104,K2104,$L$1:L2104,L2104),COUNTIFS($H$1:H2104,$H2104,$I$1:I2104,$I2104,$J$1:J2104,$J2104,$K$1:K2104,K2104,$L$1:L2104,L2104)))</f>
        <v>004</v>
      </c>
      <c r="N210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04" s="14" t="e">
        <f>+LEN(Table4[[#This Row],[New Item Code]])</f>
        <v>#N/A</v>
      </c>
      <c r="P2104" s="15" t="s">
        <v>4747</v>
      </c>
      <c r="Q2104" s="15" t="s">
        <v>4749</v>
      </c>
      <c r="R2104" s="15"/>
      <c r="S2104" s="15"/>
      <c r="T2104" s="15" t="s">
        <v>4721</v>
      </c>
    </row>
    <row r="2105" spans="1:20" x14ac:dyDescent="0.35">
      <c r="A2105" s="2" t="s">
        <v>4141</v>
      </c>
      <c r="B2105" s="2" t="s">
        <v>4142</v>
      </c>
      <c r="C2105" s="2" t="s">
        <v>56</v>
      </c>
      <c r="D2105" s="4">
        <v>0</v>
      </c>
      <c r="E2105" s="2" t="s">
        <v>57</v>
      </c>
      <c r="F2105" s="2">
        <v>0</v>
      </c>
      <c r="G2105" s="22">
        <f>Table4[[#This Row],[Item Cost]]*Table4[[#This Row],[In Stock]]</f>
        <v>0</v>
      </c>
      <c r="H2105" s="12" t="s">
        <v>4661</v>
      </c>
      <c r="I2105" s="13" t="s">
        <v>4668</v>
      </c>
      <c r="J2105" s="13" t="s">
        <v>4721</v>
      </c>
      <c r="K2105" s="13" t="s">
        <v>4672</v>
      </c>
      <c r="L2105" s="12" t="s">
        <v>4672</v>
      </c>
      <c r="M2105" s="17" t="str">
        <f>IF(LEN(COUNTIFS($H$1:H2105,$H2105,$I$1:I2105,$I2105,$J$1:J2105,$J2105,$K$1:K2105,K2105,$L$1:L2105,L2105))=1,"00"&amp;COUNTIFS($H$1:H2105,$H2105,$I$1:I2105,$I2105,$J$1:J2105,$J2105,$K$1:K2105,K2105,$L$1:L2105,L2105),IF(LEN(COUNTIFS($H$1:H2105,$H2105,$I$1:I2105,$I2105,$J$1:J2105,$J2105,$K$1:K2105,K2105,$L$1:L2105,L2105))=2,"0"&amp;COUNTIFS($H$1:H2105,$H2105,$I$1:I2105,$I2105,$J$1:J2105,$J2105,$K$1:K2105,K2105,$L$1:L2105,L2105),COUNTIFS($H$1:H2105,$H2105,$I$1:I2105,$I2105,$J$1:J2105,$J2105,$K$1:K2105,K2105,$L$1:L2105,L2105)))</f>
        <v>001</v>
      </c>
      <c r="N210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05" s="14" t="e">
        <f>+LEN(Table4[[#This Row],[New Item Code]])</f>
        <v>#N/A</v>
      </c>
      <c r="P2105" s="15" t="s">
        <v>4747</v>
      </c>
      <c r="Q2105" s="15" t="s">
        <v>4749</v>
      </c>
      <c r="R2105" s="15"/>
      <c r="S2105" s="15"/>
      <c r="T2105" s="15" t="s">
        <v>4721</v>
      </c>
    </row>
    <row r="2106" spans="1:20" x14ac:dyDescent="0.35">
      <c r="A2106" s="3" t="s">
        <v>4143</v>
      </c>
      <c r="B2106" s="3" t="s">
        <v>4144</v>
      </c>
      <c r="C2106" s="3" t="s">
        <v>9</v>
      </c>
      <c r="D2106" s="3">
        <v>570</v>
      </c>
      <c r="E2106" s="3" t="s">
        <v>10</v>
      </c>
      <c r="F2106" s="3">
        <v>3</v>
      </c>
      <c r="G2106" s="21">
        <f>Table4[[#This Row],[Item Cost]]*Table4[[#This Row],[In Stock]]</f>
        <v>1710</v>
      </c>
      <c r="H2106" s="12" t="s">
        <v>4661</v>
      </c>
      <c r="I2106" s="13" t="s">
        <v>4664</v>
      </c>
      <c r="J2106" s="13" t="s">
        <v>4721</v>
      </c>
      <c r="K2106" s="13" t="s">
        <v>4672</v>
      </c>
      <c r="L2106" s="12" t="s">
        <v>4672</v>
      </c>
      <c r="M2106" s="17" t="str">
        <f>IF(LEN(COUNTIFS($H$1:H2106,$H2106,$I$1:I2106,$I2106,$J$1:J2106,$J2106,$K$1:K2106,K2106,$L$1:L2106,L2106))=1,"00"&amp;COUNTIFS($H$1:H2106,$H2106,$I$1:I2106,$I2106,$J$1:J2106,$J2106,$K$1:K2106,K2106,$L$1:L2106,L2106),IF(LEN(COUNTIFS($H$1:H2106,$H2106,$I$1:I2106,$I2106,$J$1:J2106,$J2106,$K$1:K2106,K2106,$L$1:L2106,L2106))=2,"0"&amp;COUNTIFS($H$1:H2106,$H2106,$I$1:I2106,$I2106,$J$1:J2106,$J2106,$K$1:K2106,K2106,$L$1:L2106,L2106),COUNTIFS($H$1:H2106,$H2106,$I$1:I2106,$I2106,$J$1:J2106,$J2106,$K$1:K2106,K2106,$L$1:L2106,L2106)))</f>
        <v>005</v>
      </c>
      <c r="N210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06" s="14" t="e">
        <f>+LEN(Table4[[#This Row],[New Item Code]])</f>
        <v>#N/A</v>
      </c>
      <c r="P2106" s="15" t="s">
        <v>4747</v>
      </c>
      <c r="Q2106" s="15" t="s">
        <v>4749</v>
      </c>
      <c r="R2106" s="15"/>
      <c r="S2106" s="15"/>
      <c r="T2106" s="15" t="s">
        <v>4721</v>
      </c>
    </row>
    <row r="2107" spans="1:20" x14ac:dyDescent="0.35">
      <c r="A2107" s="2" t="s">
        <v>4145</v>
      </c>
      <c r="B2107" s="2" t="s">
        <v>4146</v>
      </c>
      <c r="C2107" s="2" t="s">
        <v>15</v>
      </c>
      <c r="D2107" s="2">
        <v>0</v>
      </c>
      <c r="E2107" s="2" t="s">
        <v>10</v>
      </c>
      <c r="F2107" s="2">
        <v>0</v>
      </c>
      <c r="G2107" s="22">
        <f>Table4[[#This Row],[Item Cost]]*Table4[[#This Row],[In Stock]]</f>
        <v>0</v>
      </c>
      <c r="H2107" s="12" t="s">
        <v>4661</v>
      </c>
      <c r="I2107" s="13" t="s">
        <v>4666</v>
      </c>
      <c r="J2107" s="13" t="s">
        <v>4721</v>
      </c>
      <c r="K2107" s="13" t="s">
        <v>4672</v>
      </c>
      <c r="L2107" s="12" t="s">
        <v>4672</v>
      </c>
      <c r="M2107" s="17" t="str">
        <f>IF(LEN(COUNTIFS($H$1:H2107,$H2107,$I$1:I2107,$I2107,$J$1:J2107,$J2107,$K$1:K2107,K2107,$L$1:L2107,L2107))=1,"00"&amp;COUNTIFS($H$1:H2107,$H2107,$I$1:I2107,$I2107,$J$1:J2107,$J2107,$K$1:K2107,K2107,$L$1:L2107,L2107),IF(LEN(COUNTIFS($H$1:H2107,$H2107,$I$1:I2107,$I2107,$J$1:J2107,$J2107,$K$1:K2107,K2107,$L$1:L2107,L2107))=2,"0"&amp;COUNTIFS($H$1:H2107,$H2107,$I$1:I2107,$I2107,$J$1:J2107,$J2107,$K$1:K2107,K2107,$L$1:L2107,L2107),COUNTIFS($H$1:H2107,$H2107,$I$1:I2107,$I2107,$J$1:J2107,$J2107,$K$1:K2107,K2107,$L$1:L2107,L2107)))</f>
        <v>009</v>
      </c>
      <c r="N210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07" s="14" t="e">
        <f>+LEN(Table4[[#This Row],[New Item Code]])</f>
        <v>#N/A</v>
      </c>
      <c r="P2107" s="15" t="s">
        <v>4747</v>
      </c>
      <c r="Q2107" s="15" t="s">
        <v>4749</v>
      </c>
      <c r="R2107" s="15"/>
      <c r="S2107" s="15"/>
      <c r="T2107" s="15" t="s">
        <v>4721</v>
      </c>
    </row>
    <row r="2108" spans="1:20" x14ac:dyDescent="0.35">
      <c r="A2108" s="3" t="s">
        <v>4147</v>
      </c>
      <c r="B2108" s="3" t="s">
        <v>4148</v>
      </c>
      <c r="C2108" s="3" t="s">
        <v>15</v>
      </c>
      <c r="D2108" s="3">
        <v>0</v>
      </c>
      <c r="E2108" s="3" t="s">
        <v>57</v>
      </c>
      <c r="F2108" s="3">
        <v>0</v>
      </c>
      <c r="G2108" s="21">
        <f>Table4[[#This Row],[Item Cost]]*Table4[[#This Row],[In Stock]]</f>
        <v>0</v>
      </c>
      <c r="H2108" s="12" t="s">
        <v>4661</v>
      </c>
      <c r="I2108" s="13" t="s">
        <v>4666</v>
      </c>
      <c r="J2108" s="13" t="s">
        <v>4721</v>
      </c>
      <c r="K2108" s="13" t="s">
        <v>4672</v>
      </c>
      <c r="L2108" s="12" t="s">
        <v>4672</v>
      </c>
      <c r="M2108" s="17" t="str">
        <f>IF(LEN(COUNTIFS($H$1:H2108,$H2108,$I$1:I2108,$I2108,$J$1:J2108,$J2108,$K$1:K2108,K2108,$L$1:L2108,L2108))=1,"00"&amp;COUNTIFS($H$1:H2108,$H2108,$I$1:I2108,$I2108,$J$1:J2108,$J2108,$K$1:K2108,K2108,$L$1:L2108,L2108),IF(LEN(COUNTIFS($H$1:H2108,$H2108,$I$1:I2108,$I2108,$J$1:J2108,$J2108,$K$1:K2108,K2108,$L$1:L2108,L2108))=2,"0"&amp;COUNTIFS($H$1:H2108,$H2108,$I$1:I2108,$I2108,$J$1:J2108,$J2108,$K$1:K2108,K2108,$L$1:L2108,L2108),COUNTIFS($H$1:H2108,$H2108,$I$1:I2108,$I2108,$J$1:J2108,$J2108,$K$1:K2108,K2108,$L$1:L2108,L2108)))</f>
        <v>010</v>
      </c>
      <c r="N210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08" s="14" t="e">
        <f>+LEN(Table4[[#This Row],[New Item Code]])</f>
        <v>#N/A</v>
      </c>
      <c r="P2108" s="15" t="s">
        <v>4747</v>
      </c>
      <c r="Q2108" s="15" t="s">
        <v>4749</v>
      </c>
      <c r="R2108" s="15"/>
      <c r="S2108" s="15"/>
      <c r="T2108" s="15" t="s">
        <v>4721</v>
      </c>
    </row>
    <row r="2109" spans="1:20" x14ac:dyDescent="0.35">
      <c r="A2109" s="2" t="s">
        <v>4149</v>
      </c>
      <c r="B2109" s="2" t="s">
        <v>4150</v>
      </c>
      <c r="C2109" s="2" t="s">
        <v>15</v>
      </c>
      <c r="D2109" s="2">
        <v>0</v>
      </c>
      <c r="E2109" s="2" t="s">
        <v>57</v>
      </c>
      <c r="F2109" s="2">
        <v>0</v>
      </c>
      <c r="G2109" s="22">
        <f>Table4[[#This Row],[Item Cost]]*Table4[[#This Row],[In Stock]]</f>
        <v>0</v>
      </c>
      <c r="H2109" s="12" t="s">
        <v>4661</v>
      </c>
      <c r="I2109" s="13" t="s">
        <v>4666</v>
      </c>
      <c r="J2109" s="13" t="s">
        <v>4721</v>
      </c>
      <c r="K2109" s="13" t="s">
        <v>4672</v>
      </c>
      <c r="L2109" s="12" t="s">
        <v>4672</v>
      </c>
      <c r="M2109" s="17" t="str">
        <f>IF(LEN(COUNTIFS($H$1:H2109,$H2109,$I$1:I2109,$I2109,$J$1:J2109,$J2109,$K$1:K2109,K2109,$L$1:L2109,L2109))=1,"00"&amp;COUNTIFS($H$1:H2109,$H2109,$I$1:I2109,$I2109,$J$1:J2109,$J2109,$K$1:K2109,K2109,$L$1:L2109,L2109),IF(LEN(COUNTIFS($H$1:H2109,$H2109,$I$1:I2109,$I2109,$J$1:J2109,$J2109,$K$1:K2109,K2109,$L$1:L2109,L2109))=2,"0"&amp;COUNTIFS($H$1:H2109,$H2109,$I$1:I2109,$I2109,$J$1:J2109,$J2109,$K$1:K2109,K2109,$L$1:L2109,L2109),COUNTIFS($H$1:H2109,$H2109,$I$1:I2109,$I2109,$J$1:J2109,$J2109,$K$1:K2109,K2109,$L$1:L2109,L2109)))</f>
        <v>011</v>
      </c>
      <c r="N210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09" s="14" t="e">
        <f>+LEN(Table4[[#This Row],[New Item Code]])</f>
        <v>#N/A</v>
      </c>
      <c r="P2109" s="15" t="s">
        <v>4747</v>
      </c>
      <c r="Q2109" s="15" t="s">
        <v>4749</v>
      </c>
      <c r="R2109" s="15"/>
      <c r="S2109" s="15"/>
      <c r="T2109" s="15" t="s">
        <v>4721</v>
      </c>
    </row>
    <row r="2110" spans="1:20" x14ac:dyDescent="0.35">
      <c r="A2110" s="3" t="s">
        <v>4151</v>
      </c>
      <c r="B2110" s="3" t="s">
        <v>4152</v>
      </c>
      <c r="C2110" s="3" t="s">
        <v>56</v>
      </c>
      <c r="D2110" s="3">
        <v>0</v>
      </c>
      <c r="E2110" s="3" t="s">
        <v>57</v>
      </c>
      <c r="F2110" s="3">
        <v>0</v>
      </c>
      <c r="G2110" s="21">
        <f>Table4[[#This Row],[Item Cost]]*Table4[[#This Row],[In Stock]]</f>
        <v>0</v>
      </c>
      <c r="H2110" s="12" t="s">
        <v>4661</v>
      </c>
      <c r="I2110" s="13" t="s">
        <v>4668</v>
      </c>
      <c r="J2110" s="13" t="s">
        <v>4721</v>
      </c>
      <c r="K2110" t="s">
        <v>4800</v>
      </c>
      <c r="L2110" s="12" t="s">
        <v>4672</v>
      </c>
      <c r="M2110" s="17" t="str">
        <f>IF(LEN(COUNTIFS($H$1:H2110,$H2110,$I$1:I2110,$I2110,$J$1:J2110,$J2110,$K$1:K2110,K2110,$L$1:L2110,L2110))=1,"00"&amp;COUNTIFS($H$1:H2110,$H2110,$I$1:I2110,$I2110,$J$1:J2110,$J2110,$K$1:K2110,K2110,$L$1:L2110,L2110),IF(LEN(COUNTIFS($H$1:H2110,$H2110,$I$1:I2110,$I2110,$J$1:J2110,$J2110,$K$1:K2110,K2110,$L$1:L2110,L2110))=2,"0"&amp;COUNTIFS($H$1:H2110,$H2110,$I$1:I2110,$I2110,$J$1:J2110,$J2110,$K$1:K2110,K2110,$L$1:L2110,L2110),COUNTIFS($H$1:H2110,$H2110,$I$1:I2110,$I2110,$J$1:J2110,$J2110,$K$1:K2110,K2110,$L$1:L2110,L2110)))</f>
        <v>001</v>
      </c>
      <c r="N211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10" s="14" t="e">
        <f>+LEN(Table4[[#This Row],[New Item Code]])</f>
        <v>#N/A</v>
      </c>
      <c r="P2110" s="15" t="s">
        <v>4747</v>
      </c>
      <c r="Q2110" s="15" t="s">
        <v>4749</v>
      </c>
      <c r="R2110" s="15"/>
      <c r="S2110" s="15"/>
      <c r="T2110" s="15" t="s">
        <v>4721</v>
      </c>
    </row>
    <row r="2111" spans="1:20" x14ac:dyDescent="0.35">
      <c r="A2111" s="2" t="s">
        <v>4153</v>
      </c>
      <c r="B2111" s="2" t="s">
        <v>4154</v>
      </c>
      <c r="C2111" s="2" t="s">
        <v>15</v>
      </c>
      <c r="D2111" s="2">
        <v>0</v>
      </c>
      <c r="E2111" s="2" t="s">
        <v>57</v>
      </c>
      <c r="F2111" s="2">
        <v>0</v>
      </c>
      <c r="G2111" s="22">
        <f>Table4[[#This Row],[Item Cost]]*Table4[[#This Row],[In Stock]]</f>
        <v>0</v>
      </c>
      <c r="H2111" s="12" t="s">
        <v>4661</v>
      </c>
      <c r="I2111" s="13" t="s">
        <v>4666</v>
      </c>
      <c r="J2111" s="13" t="s">
        <v>4721</v>
      </c>
      <c r="K2111" s="13" t="s">
        <v>4672</v>
      </c>
      <c r="L2111" s="12" t="s">
        <v>4672</v>
      </c>
      <c r="M2111" s="17" t="str">
        <f>IF(LEN(COUNTIFS($H$1:H2111,$H2111,$I$1:I2111,$I2111,$J$1:J2111,$J2111,$K$1:K2111,K2111,$L$1:L2111,L2111))=1,"00"&amp;COUNTIFS($H$1:H2111,$H2111,$I$1:I2111,$I2111,$J$1:J2111,$J2111,$K$1:K2111,K2111,$L$1:L2111,L2111),IF(LEN(COUNTIFS($H$1:H2111,$H2111,$I$1:I2111,$I2111,$J$1:J2111,$J2111,$K$1:K2111,K2111,$L$1:L2111,L2111))=2,"0"&amp;COUNTIFS($H$1:H2111,$H2111,$I$1:I2111,$I2111,$J$1:J2111,$J2111,$K$1:K2111,K2111,$L$1:L2111,L2111),COUNTIFS($H$1:H2111,$H2111,$I$1:I2111,$I2111,$J$1:J2111,$J2111,$K$1:K2111,K2111,$L$1:L2111,L2111)))</f>
        <v>012</v>
      </c>
      <c r="N211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11" s="14" t="e">
        <f>+LEN(Table4[[#This Row],[New Item Code]])</f>
        <v>#N/A</v>
      </c>
      <c r="P2111" s="15" t="s">
        <v>4747</v>
      </c>
      <c r="Q2111" s="15" t="s">
        <v>4749</v>
      </c>
      <c r="R2111" s="15"/>
      <c r="S2111" s="15"/>
      <c r="T2111" s="15" t="s">
        <v>4721</v>
      </c>
    </row>
    <row r="2112" spans="1:20" x14ac:dyDescent="0.35">
      <c r="A2112" s="3" t="s">
        <v>4155</v>
      </c>
      <c r="B2112" s="3" t="s">
        <v>4156</v>
      </c>
      <c r="C2112" s="3" t="s">
        <v>15</v>
      </c>
      <c r="D2112" s="3">
        <v>333.69499999999999</v>
      </c>
      <c r="E2112" s="3" t="s">
        <v>10</v>
      </c>
      <c r="F2112" s="3">
        <v>2</v>
      </c>
      <c r="G2112" s="21">
        <f>Table4[[#This Row],[Item Cost]]*Table4[[#This Row],[In Stock]]</f>
        <v>667.39</v>
      </c>
      <c r="H2112" s="12" t="s">
        <v>4661</v>
      </c>
      <c r="I2112" s="13" t="s">
        <v>4666</v>
      </c>
      <c r="J2112" s="13" t="s">
        <v>4721</v>
      </c>
      <c r="K2112" s="13" t="s">
        <v>4672</v>
      </c>
      <c r="L2112" s="12" t="s">
        <v>4672</v>
      </c>
      <c r="M2112" s="17" t="str">
        <f>IF(LEN(COUNTIFS($H$1:H2112,$H2112,$I$1:I2112,$I2112,$J$1:J2112,$J2112,$K$1:K2112,K2112,$L$1:L2112,L2112))=1,"00"&amp;COUNTIFS($H$1:H2112,$H2112,$I$1:I2112,$I2112,$J$1:J2112,$J2112,$K$1:K2112,K2112,$L$1:L2112,L2112),IF(LEN(COUNTIFS($H$1:H2112,$H2112,$I$1:I2112,$I2112,$J$1:J2112,$J2112,$K$1:K2112,K2112,$L$1:L2112,L2112))=2,"0"&amp;COUNTIFS($H$1:H2112,$H2112,$I$1:I2112,$I2112,$J$1:J2112,$J2112,$K$1:K2112,K2112,$L$1:L2112,L2112),COUNTIFS($H$1:H2112,$H2112,$I$1:I2112,$I2112,$J$1:J2112,$J2112,$K$1:K2112,K2112,$L$1:L2112,L2112)))</f>
        <v>013</v>
      </c>
      <c r="N211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12" s="14" t="e">
        <f>+LEN(Table4[[#This Row],[New Item Code]])</f>
        <v>#N/A</v>
      </c>
      <c r="P2112" s="15" t="s">
        <v>4747</v>
      </c>
      <c r="Q2112" s="15" t="s">
        <v>4749</v>
      </c>
      <c r="R2112" s="15"/>
      <c r="S2112" s="15"/>
      <c r="T2112" s="15" t="s">
        <v>4721</v>
      </c>
    </row>
    <row r="2113" spans="1:20" x14ac:dyDescent="0.35">
      <c r="A2113" s="2" t="s">
        <v>4157</v>
      </c>
      <c r="B2113" s="2" t="s">
        <v>4158</v>
      </c>
      <c r="C2113" s="2" t="s">
        <v>15</v>
      </c>
      <c r="D2113" s="2">
        <v>364.38499999999999</v>
      </c>
      <c r="E2113" s="2" t="s">
        <v>10</v>
      </c>
      <c r="F2113" s="2">
        <v>2</v>
      </c>
      <c r="G2113" s="22">
        <f>Table4[[#This Row],[Item Cost]]*Table4[[#This Row],[In Stock]]</f>
        <v>728.77</v>
      </c>
      <c r="H2113" s="12" t="s">
        <v>4661</v>
      </c>
      <c r="I2113" s="13" t="s">
        <v>4666</v>
      </c>
      <c r="J2113" s="13" t="s">
        <v>4721</v>
      </c>
      <c r="K2113" s="13" t="s">
        <v>4672</v>
      </c>
      <c r="L2113" s="12" t="s">
        <v>4672</v>
      </c>
      <c r="M2113" s="17" t="str">
        <f>IF(LEN(COUNTIFS($H$1:H2113,$H2113,$I$1:I2113,$I2113,$J$1:J2113,$J2113,$K$1:K2113,K2113,$L$1:L2113,L2113))=1,"00"&amp;COUNTIFS($H$1:H2113,$H2113,$I$1:I2113,$I2113,$J$1:J2113,$J2113,$K$1:K2113,K2113,$L$1:L2113,L2113),IF(LEN(COUNTIFS($H$1:H2113,$H2113,$I$1:I2113,$I2113,$J$1:J2113,$J2113,$K$1:K2113,K2113,$L$1:L2113,L2113))=2,"0"&amp;COUNTIFS($H$1:H2113,$H2113,$I$1:I2113,$I2113,$J$1:J2113,$J2113,$K$1:K2113,K2113,$L$1:L2113,L2113),COUNTIFS($H$1:H2113,$H2113,$I$1:I2113,$I2113,$J$1:J2113,$J2113,$K$1:K2113,K2113,$L$1:L2113,L2113)))</f>
        <v>014</v>
      </c>
      <c r="N211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13" s="14" t="e">
        <f>+LEN(Table4[[#This Row],[New Item Code]])</f>
        <v>#N/A</v>
      </c>
      <c r="P2113" s="15" t="s">
        <v>4747</v>
      </c>
      <c r="Q2113" s="15" t="s">
        <v>4749</v>
      </c>
      <c r="R2113" s="15"/>
      <c r="S2113" s="15"/>
      <c r="T2113" s="15" t="s">
        <v>4721</v>
      </c>
    </row>
    <row r="2114" spans="1:20" x14ac:dyDescent="0.35">
      <c r="A2114" s="3" t="s">
        <v>4159</v>
      </c>
      <c r="B2114" s="3" t="s">
        <v>4160</v>
      </c>
      <c r="C2114" s="3" t="s">
        <v>15</v>
      </c>
      <c r="D2114" s="3">
        <v>4928.87</v>
      </c>
      <c r="E2114" s="3" t="s">
        <v>10</v>
      </c>
      <c r="F2114" s="3">
        <v>2</v>
      </c>
      <c r="G2114" s="21">
        <f>Table4[[#This Row],[Item Cost]]*Table4[[#This Row],[In Stock]]</f>
        <v>9857.74</v>
      </c>
      <c r="H2114" s="12" t="s">
        <v>4661</v>
      </c>
      <c r="I2114" s="13" t="s">
        <v>4666</v>
      </c>
      <c r="J2114" s="13" t="s">
        <v>4721</v>
      </c>
      <c r="K2114" s="13" t="s">
        <v>4672</v>
      </c>
      <c r="L2114" s="12" t="s">
        <v>4672</v>
      </c>
      <c r="M2114" s="17" t="str">
        <f>IF(LEN(COUNTIFS($H$1:H2114,$H2114,$I$1:I2114,$I2114,$J$1:J2114,$J2114,$K$1:K2114,K2114,$L$1:L2114,L2114))=1,"00"&amp;COUNTIFS($H$1:H2114,$H2114,$I$1:I2114,$I2114,$J$1:J2114,$J2114,$K$1:K2114,K2114,$L$1:L2114,L2114),IF(LEN(COUNTIFS($H$1:H2114,$H2114,$I$1:I2114,$I2114,$J$1:J2114,$J2114,$K$1:K2114,K2114,$L$1:L2114,L2114))=2,"0"&amp;COUNTIFS($H$1:H2114,$H2114,$I$1:I2114,$I2114,$J$1:J2114,$J2114,$K$1:K2114,K2114,$L$1:L2114,L2114),COUNTIFS($H$1:H2114,$H2114,$I$1:I2114,$I2114,$J$1:J2114,$J2114,$K$1:K2114,K2114,$L$1:L2114,L2114)))</f>
        <v>015</v>
      </c>
      <c r="N211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14" s="14" t="e">
        <f>+LEN(Table4[[#This Row],[New Item Code]])</f>
        <v>#N/A</v>
      </c>
      <c r="P2114" s="15" t="s">
        <v>4747</v>
      </c>
      <c r="Q2114" s="15" t="s">
        <v>4749</v>
      </c>
      <c r="R2114" s="15"/>
      <c r="S2114" s="15"/>
      <c r="T2114" s="15" t="s">
        <v>4721</v>
      </c>
    </row>
    <row r="2115" spans="1:20" x14ac:dyDescent="0.35">
      <c r="A2115" s="2" t="s">
        <v>4161</v>
      </c>
      <c r="B2115" s="2" t="s">
        <v>4162</v>
      </c>
      <c r="C2115" s="2" t="s">
        <v>15</v>
      </c>
      <c r="D2115" s="2">
        <v>95.875</v>
      </c>
      <c r="E2115" s="2" t="s">
        <v>10</v>
      </c>
      <c r="F2115" s="2">
        <v>2</v>
      </c>
      <c r="G2115" s="22">
        <f>Table4[[#This Row],[Item Cost]]*Table4[[#This Row],[In Stock]]</f>
        <v>191.75</v>
      </c>
      <c r="H2115" s="12" t="s">
        <v>4661</v>
      </c>
      <c r="I2115" s="13" t="s">
        <v>4666</v>
      </c>
      <c r="J2115" s="13" t="s">
        <v>4721</v>
      </c>
      <c r="K2115" s="13" t="s">
        <v>4672</v>
      </c>
      <c r="L2115" s="12" t="s">
        <v>4672</v>
      </c>
      <c r="M2115" s="17" t="str">
        <f>IF(LEN(COUNTIFS($H$1:H2115,$H2115,$I$1:I2115,$I2115,$J$1:J2115,$J2115,$K$1:K2115,K2115,$L$1:L2115,L2115))=1,"00"&amp;COUNTIFS($H$1:H2115,$H2115,$I$1:I2115,$I2115,$J$1:J2115,$J2115,$K$1:K2115,K2115,$L$1:L2115,L2115),IF(LEN(COUNTIFS($H$1:H2115,$H2115,$I$1:I2115,$I2115,$J$1:J2115,$J2115,$K$1:K2115,K2115,$L$1:L2115,L2115))=2,"0"&amp;COUNTIFS($H$1:H2115,$H2115,$I$1:I2115,$I2115,$J$1:J2115,$J2115,$K$1:K2115,K2115,$L$1:L2115,L2115),COUNTIFS($H$1:H2115,$H2115,$I$1:I2115,$I2115,$J$1:J2115,$J2115,$K$1:K2115,K2115,$L$1:L2115,L2115)))</f>
        <v>016</v>
      </c>
      <c r="N211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15" s="14" t="e">
        <f>+LEN(Table4[[#This Row],[New Item Code]])</f>
        <v>#N/A</v>
      </c>
      <c r="P2115" s="15" t="s">
        <v>4747</v>
      </c>
      <c r="Q2115" s="15" t="s">
        <v>4749</v>
      </c>
      <c r="R2115" s="15"/>
      <c r="S2115" s="15"/>
      <c r="T2115" s="15" t="s">
        <v>4721</v>
      </c>
    </row>
    <row r="2116" spans="1:20" x14ac:dyDescent="0.35">
      <c r="A2116" s="3" t="s">
        <v>4163</v>
      </c>
      <c r="B2116" s="3" t="s">
        <v>4164</v>
      </c>
      <c r="C2116" s="3" t="s">
        <v>15</v>
      </c>
      <c r="D2116" s="3">
        <v>3.8250000000000002</v>
      </c>
      <c r="E2116" s="3" t="s">
        <v>10</v>
      </c>
      <c r="F2116" s="3">
        <v>2</v>
      </c>
      <c r="G2116" s="21">
        <f>Table4[[#This Row],[Item Cost]]*Table4[[#This Row],[In Stock]]</f>
        <v>7.65</v>
      </c>
      <c r="H2116" s="12" t="s">
        <v>4661</v>
      </c>
      <c r="I2116" s="13" t="s">
        <v>4666</v>
      </c>
      <c r="J2116" s="13" t="s">
        <v>4721</v>
      </c>
      <c r="K2116" t="s">
        <v>4800</v>
      </c>
      <c r="L2116" s="12" t="s">
        <v>4672</v>
      </c>
      <c r="M2116" s="17" t="str">
        <f>IF(LEN(COUNTIFS($H$1:H2116,$H2116,$I$1:I2116,$I2116,$J$1:J2116,$J2116,$K$1:K2116,K2116,$L$1:L2116,L2116))=1,"00"&amp;COUNTIFS($H$1:H2116,$H2116,$I$1:I2116,$I2116,$J$1:J2116,$J2116,$K$1:K2116,K2116,$L$1:L2116,L2116),IF(LEN(COUNTIFS($H$1:H2116,$H2116,$I$1:I2116,$I2116,$J$1:J2116,$J2116,$K$1:K2116,K2116,$L$1:L2116,L2116))=2,"0"&amp;COUNTIFS($H$1:H2116,$H2116,$I$1:I2116,$I2116,$J$1:J2116,$J2116,$K$1:K2116,K2116,$L$1:L2116,L2116),COUNTIFS($H$1:H2116,$H2116,$I$1:I2116,$I2116,$J$1:J2116,$J2116,$K$1:K2116,K2116,$L$1:L2116,L2116)))</f>
        <v>001</v>
      </c>
      <c r="N211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16" s="14" t="e">
        <f>+LEN(Table4[[#This Row],[New Item Code]])</f>
        <v>#N/A</v>
      </c>
      <c r="P2116" s="15" t="s">
        <v>4747</v>
      </c>
      <c r="Q2116" s="15" t="s">
        <v>4749</v>
      </c>
      <c r="R2116" s="15"/>
      <c r="S2116" s="15"/>
      <c r="T2116" s="15" t="s">
        <v>4721</v>
      </c>
    </row>
    <row r="2117" spans="1:20" x14ac:dyDescent="0.35">
      <c r="A2117" s="2" t="s">
        <v>4165</v>
      </c>
      <c r="B2117" s="2" t="s">
        <v>4166</v>
      </c>
      <c r="C2117" s="2" t="s">
        <v>15</v>
      </c>
      <c r="D2117" s="4">
        <v>3.8250000000000002</v>
      </c>
      <c r="E2117" s="2" t="s">
        <v>10</v>
      </c>
      <c r="F2117" s="2">
        <v>2</v>
      </c>
      <c r="G2117" s="22">
        <f>Table4[[#This Row],[Item Cost]]*Table4[[#This Row],[In Stock]]</f>
        <v>7.65</v>
      </c>
      <c r="H2117" s="12" t="s">
        <v>4661</v>
      </c>
      <c r="I2117" s="13" t="s">
        <v>4666</v>
      </c>
      <c r="J2117" s="13" t="s">
        <v>4721</v>
      </c>
      <c r="K2117" s="13" t="s">
        <v>4672</v>
      </c>
      <c r="L2117" s="12" t="s">
        <v>4672</v>
      </c>
      <c r="M2117" s="17" t="str">
        <f>IF(LEN(COUNTIFS($H$1:H2117,$H2117,$I$1:I2117,$I2117,$J$1:J2117,$J2117,$K$1:K2117,K2117,$L$1:L2117,L2117))=1,"00"&amp;COUNTIFS($H$1:H2117,$H2117,$I$1:I2117,$I2117,$J$1:J2117,$J2117,$K$1:K2117,K2117,$L$1:L2117,L2117),IF(LEN(COUNTIFS($H$1:H2117,$H2117,$I$1:I2117,$I2117,$J$1:J2117,$J2117,$K$1:K2117,K2117,$L$1:L2117,L2117))=2,"0"&amp;COUNTIFS($H$1:H2117,$H2117,$I$1:I2117,$I2117,$J$1:J2117,$J2117,$K$1:K2117,K2117,$L$1:L2117,L2117),COUNTIFS($H$1:H2117,$H2117,$I$1:I2117,$I2117,$J$1:J2117,$J2117,$K$1:K2117,K2117,$L$1:L2117,L2117)))</f>
        <v>017</v>
      </c>
      <c r="N211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17" s="14" t="e">
        <f>+LEN(Table4[[#This Row],[New Item Code]])</f>
        <v>#N/A</v>
      </c>
      <c r="P2117" s="15" t="s">
        <v>4747</v>
      </c>
      <c r="Q2117" s="15" t="s">
        <v>4749</v>
      </c>
      <c r="R2117" s="15"/>
      <c r="S2117" s="15"/>
      <c r="T2117" s="15" t="s">
        <v>4721</v>
      </c>
    </row>
    <row r="2118" spans="1:20" x14ac:dyDescent="0.35">
      <c r="A2118" s="3" t="s">
        <v>4167</v>
      </c>
      <c r="B2118" s="3" t="s">
        <v>4168</v>
      </c>
      <c r="C2118" s="3" t="s">
        <v>15</v>
      </c>
      <c r="D2118" s="3">
        <v>3.8250000000000002</v>
      </c>
      <c r="E2118" s="3" t="s">
        <v>10</v>
      </c>
      <c r="F2118" s="3">
        <v>2</v>
      </c>
      <c r="G2118" s="21">
        <f>Table4[[#This Row],[Item Cost]]*Table4[[#This Row],[In Stock]]</f>
        <v>7.65</v>
      </c>
      <c r="H2118" s="12" t="s">
        <v>4661</v>
      </c>
      <c r="I2118" s="13" t="s">
        <v>4666</v>
      </c>
      <c r="J2118" s="13" t="s">
        <v>4721</v>
      </c>
      <c r="K2118" s="13" t="s">
        <v>4672</v>
      </c>
      <c r="L2118" s="12" t="s">
        <v>4672</v>
      </c>
      <c r="M2118" s="17" t="str">
        <f>IF(LEN(COUNTIFS($H$1:H2118,$H2118,$I$1:I2118,$I2118,$J$1:J2118,$J2118,$K$1:K2118,K2118,$L$1:L2118,L2118))=1,"00"&amp;COUNTIFS($H$1:H2118,$H2118,$I$1:I2118,$I2118,$J$1:J2118,$J2118,$K$1:K2118,K2118,$L$1:L2118,L2118),IF(LEN(COUNTIFS($H$1:H2118,$H2118,$I$1:I2118,$I2118,$J$1:J2118,$J2118,$K$1:K2118,K2118,$L$1:L2118,L2118))=2,"0"&amp;COUNTIFS($H$1:H2118,$H2118,$I$1:I2118,$I2118,$J$1:J2118,$J2118,$K$1:K2118,K2118,$L$1:L2118,L2118),COUNTIFS($H$1:H2118,$H2118,$I$1:I2118,$I2118,$J$1:J2118,$J2118,$K$1:K2118,K2118,$L$1:L2118,L2118)))</f>
        <v>018</v>
      </c>
      <c r="N211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18" s="14" t="e">
        <f>+LEN(Table4[[#This Row],[New Item Code]])</f>
        <v>#N/A</v>
      </c>
      <c r="P2118" s="15" t="s">
        <v>4747</v>
      </c>
      <c r="Q2118" s="15" t="s">
        <v>4749</v>
      </c>
      <c r="R2118" s="15"/>
      <c r="S2118" s="15"/>
      <c r="T2118" s="15" t="s">
        <v>4721</v>
      </c>
    </row>
    <row r="2119" spans="1:20" x14ac:dyDescent="0.35">
      <c r="A2119" s="2" t="s">
        <v>4169</v>
      </c>
      <c r="B2119" s="2" t="s">
        <v>4170</v>
      </c>
      <c r="C2119" s="2" t="s">
        <v>15</v>
      </c>
      <c r="D2119" s="2">
        <v>3003.335</v>
      </c>
      <c r="E2119" s="2" t="s">
        <v>10</v>
      </c>
      <c r="F2119" s="2">
        <v>2</v>
      </c>
      <c r="G2119" s="22">
        <f>Table4[[#This Row],[Item Cost]]*Table4[[#This Row],[In Stock]]</f>
        <v>6006.67</v>
      </c>
      <c r="H2119" s="12" t="s">
        <v>4661</v>
      </c>
      <c r="I2119" s="13" t="s">
        <v>4666</v>
      </c>
      <c r="J2119" s="13" t="s">
        <v>4721</v>
      </c>
      <c r="K2119" s="13" t="s">
        <v>4672</v>
      </c>
      <c r="L2119" s="12" t="s">
        <v>4672</v>
      </c>
      <c r="M2119" s="17" t="str">
        <f>IF(LEN(COUNTIFS($H$1:H2119,$H2119,$I$1:I2119,$I2119,$J$1:J2119,$J2119,$K$1:K2119,K2119,$L$1:L2119,L2119))=1,"00"&amp;COUNTIFS($H$1:H2119,$H2119,$I$1:I2119,$I2119,$J$1:J2119,$J2119,$K$1:K2119,K2119,$L$1:L2119,L2119),IF(LEN(COUNTIFS($H$1:H2119,$H2119,$I$1:I2119,$I2119,$J$1:J2119,$J2119,$K$1:K2119,K2119,$L$1:L2119,L2119))=2,"0"&amp;COUNTIFS($H$1:H2119,$H2119,$I$1:I2119,$I2119,$J$1:J2119,$J2119,$K$1:K2119,K2119,$L$1:L2119,L2119),COUNTIFS($H$1:H2119,$H2119,$I$1:I2119,$I2119,$J$1:J2119,$J2119,$K$1:K2119,K2119,$L$1:L2119,L2119)))</f>
        <v>019</v>
      </c>
      <c r="N211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19" s="14" t="e">
        <f>+LEN(Table4[[#This Row],[New Item Code]])</f>
        <v>#N/A</v>
      </c>
      <c r="P2119" s="15" t="s">
        <v>4747</v>
      </c>
      <c r="Q2119" s="15" t="s">
        <v>4749</v>
      </c>
      <c r="R2119" s="15"/>
      <c r="S2119" s="15"/>
      <c r="T2119" s="15" t="s">
        <v>4721</v>
      </c>
    </row>
    <row r="2120" spans="1:20" x14ac:dyDescent="0.35">
      <c r="A2120" s="3" t="s">
        <v>4171</v>
      </c>
      <c r="B2120" s="3" t="s">
        <v>4172</v>
      </c>
      <c r="C2120" s="3" t="s">
        <v>15</v>
      </c>
      <c r="D2120" s="3">
        <v>2009.88</v>
      </c>
      <c r="E2120" s="3" t="s">
        <v>10</v>
      </c>
      <c r="F2120" s="3">
        <v>1</v>
      </c>
      <c r="G2120" s="21">
        <f>Table4[[#This Row],[Item Cost]]*Table4[[#This Row],[In Stock]]</f>
        <v>2009.88</v>
      </c>
      <c r="H2120" s="12" t="s">
        <v>4661</v>
      </c>
      <c r="I2120" s="13" t="s">
        <v>4666</v>
      </c>
      <c r="J2120" s="13" t="s">
        <v>4721</v>
      </c>
      <c r="K2120" s="13" t="s">
        <v>4672</v>
      </c>
      <c r="L2120" s="12" t="s">
        <v>4672</v>
      </c>
      <c r="M2120" s="17" t="str">
        <f>IF(LEN(COUNTIFS($H$1:H2120,$H2120,$I$1:I2120,$I2120,$J$1:J2120,$J2120,$K$1:K2120,K2120,$L$1:L2120,L2120))=1,"00"&amp;COUNTIFS($H$1:H2120,$H2120,$I$1:I2120,$I2120,$J$1:J2120,$J2120,$K$1:K2120,K2120,$L$1:L2120,L2120),IF(LEN(COUNTIFS($H$1:H2120,$H2120,$I$1:I2120,$I2120,$J$1:J2120,$J2120,$K$1:K2120,K2120,$L$1:L2120,L2120))=2,"0"&amp;COUNTIFS($H$1:H2120,$H2120,$I$1:I2120,$I2120,$J$1:J2120,$J2120,$K$1:K2120,K2120,$L$1:L2120,L2120),COUNTIFS($H$1:H2120,$H2120,$I$1:I2120,$I2120,$J$1:J2120,$J2120,$K$1:K2120,K2120,$L$1:L2120,L2120)))</f>
        <v>020</v>
      </c>
      <c r="N212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20" s="14" t="e">
        <f>+LEN(Table4[[#This Row],[New Item Code]])</f>
        <v>#N/A</v>
      </c>
      <c r="P2120" s="15" t="s">
        <v>4747</v>
      </c>
      <c r="Q2120" s="15" t="s">
        <v>4749</v>
      </c>
      <c r="R2120" s="15"/>
      <c r="S2120" s="15"/>
      <c r="T2120" s="15" t="s">
        <v>4721</v>
      </c>
    </row>
    <row r="2121" spans="1:20" x14ac:dyDescent="0.35">
      <c r="A2121" s="2" t="s">
        <v>4173</v>
      </c>
      <c r="B2121" s="2" t="s">
        <v>4174</v>
      </c>
      <c r="C2121" s="2" t="s">
        <v>15</v>
      </c>
      <c r="D2121" s="2">
        <v>0</v>
      </c>
      <c r="E2121" s="2" t="s">
        <v>10</v>
      </c>
      <c r="F2121" s="2">
        <v>0</v>
      </c>
      <c r="G2121" s="22">
        <f>Table4[[#This Row],[Item Cost]]*Table4[[#This Row],[In Stock]]</f>
        <v>0</v>
      </c>
      <c r="H2121" s="12" t="s">
        <v>4661</v>
      </c>
      <c r="I2121" s="13" t="s">
        <v>4666</v>
      </c>
      <c r="J2121" s="13" t="s">
        <v>4721</v>
      </c>
      <c r="K2121" s="13" t="s">
        <v>4672</v>
      </c>
      <c r="L2121" s="12" t="s">
        <v>4672</v>
      </c>
      <c r="M2121" s="17" t="str">
        <f>IF(LEN(COUNTIFS($H$1:H2121,$H2121,$I$1:I2121,$I2121,$J$1:J2121,$J2121,$K$1:K2121,K2121,$L$1:L2121,L2121))=1,"00"&amp;COUNTIFS($H$1:H2121,$H2121,$I$1:I2121,$I2121,$J$1:J2121,$J2121,$K$1:K2121,K2121,$L$1:L2121,L2121),IF(LEN(COUNTIFS($H$1:H2121,$H2121,$I$1:I2121,$I2121,$J$1:J2121,$J2121,$K$1:K2121,K2121,$L$1:L2121,L2121))=2,"0"&amp;COUNTIFS($H$1:H2121,$H2121,$I$1:I2121,$I2121,$J$1:J2121,$J2121,$K$1:K2121,K2121,$L$1:L2121,L2121),COUNTIFS($H$1:H2121,$H2121,$I$1:I2121,$I2121,$J$1:J2121,$J2121,$K$1:K2121,K2121,$L$1:L2121,L2121)))</f>
        <v>021</v>
      </c>
      <c r="N212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21" s="14" t="e">
        <f>+LEN(Table4[[#This Row],[New Item Code]])</f>
        <v>#N/A</v>
      </c>
      <c r="P2121" s="15" t="s">
        <v>4747</v>
      </c>
      <c r="Q2121" s="15" t="s">
        <v>4749</v>
      </c>
      <c r="R2121" s="15"/>
      <c r="S2121" s="15"/>
      <c r="T2121" s="15" t="s">
        <v>4721</v>
      </c>
    </row>
    <row r="2122" spans="1:20" x14ac:dyDescent="0.35">
      <c r="A2122" s="3" t="s">
        <v>4175</v>
      </c>
      <c r="B2122" s="3" t="s">
        <v>4176</v>
      </c>
      <c r="C2122" s="3" t="s">
        <v>15</v>
      </c>
      <c r="D2122" s="5">
        <v>0</v>
      </c>
      <c r="E2122" s="3" t="s">
        <v>10</v>
      </c>
      <c r="F2122" s="3">
        <v>0</v>
      </c>
      <c r="G2122" s="21">
        <f>Table4[[#This Row],[Item Cost]]*Table4[[#This Row],[In Stock]]</f>
        <v>0</v>
      </c>
      <c r="H2122" s="12" t="s">
        <v>4661</v>
      </c>
      <c r="I2122" s="13" t="s">
        <v>4666</v>
      </c>
      <c r="J2122" s="13"/>
      <c r="K2122" s="13" t="s">
        <v>4672</v>
      </c>
      <c r="L2122" s="12" t="s">
        <v>4672</v>
      </c>
      <c r="M2122" s="17" t="str">
        <f>IF(LEN(COUNTIFS($H$1:H2122,$H2122,$I$1:I2122,$I2122,$J$1:J2122,$J2122,$K$1:K2122,K2122,$L$1:L2122,L2122))=1,"00"&amp;COUNTIFS($H$1:H2122,$H2122,$I$1:I2122,$I2122,$J$1:J2122,$J2122,$K$1:K2122,K2122,$L$1:L2122,L2122),IF(LEN(COUNTIFS($H$1:H2122,$H2122,$I$1:I2122,$I2122,$J$1:J2122,$J2122,$K$1:K2122,K2122,$L$1:L2122,L2122))=2,"0"&amp;COUNTIFS($H$1:H2122,$H2122,$I$1:I2122,$I2122,$J$1:J2122,$J2122,$K$1:K2122,K2122,$L$1:L2122,L2122),COUNTIFS($H$1:H2122,$H2122,$I$1:I2122,$I2122,$J$1:J2122,$J2122,$K$1:K2122,K2122,$L$1:L2122,L2122)))</f>
        <v>000</v>
      </c>
      <c r="N212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22" s="14" t="e">
        <f>+LEN(Table4[[#This Row],[New Item Code]])</f>
        <v>#N/A</v>
      </c>
      <c r="P2122" s="15" t="s">
        <v>4747</v>
      </c>
      <c r="Q2122" s="15" t="s">
        <v>4749</v>
      </c>
      <c r="R2122" s="15"/>
      <c r="S2122" s="15"/>
      <c r="T2122" s="15" t="e">
        <v>#N/A</v>
      </c>
    </row>
    <row r="2123" spans="1:20" x14ac:dyDescent="0.35">
      <c r="A2123" s="2" t="s">
        <v>4177</v>
      </c>
      <c r="B2123" s="2" t="s">
        <v>4178</v>
      </c>
      <c r="C2123" s="2" t="s">
        <v>15</v>
      </c>
      <c r="D2123" s="4">
        <v>0</v>
      </c>
      <c r="E2123" s="2" t="s">
        <v>10</v>
      </c>
      <c r="F2123" s="2">
        <v>0</v>
      </c>
      <c r="G2123" s="22">
        <f>Table4[[#This Row],[Item Cost]]*Table4[[#This Row],[In Stock]]</f>
        <v>0</v>
      </c>
      <c r="H2123" s="12" t="s">
        <v>4661</v>
      </c>
      <c r="I2123" s="13" t="s">
        <v>4666</v>
      </c>
      <c r="J2123" s="13"/>
      <c r="K2123" s="13" t="s">
        <v>4672</v>
      </c>
      <c r="L2123" s="12" t="s">
        <v>4672</v>
      </c>
      <c r="M2123" s="17" t="str">
        <f>IF(LEN(COUNTIFS($H$1:H2123,$H2123,$I$1:I2123,$I2123,$J$1:J2123,$J2123,$K$1:K2123,K2123,$L$1:L2123,L2123))=1,"00"&amp;COUNTIFS($H$1:H2123,$H2123,$I$1:I2123,$I2123,$J$1:J2123,$J2123,$K$1:K2123,K2123,$L$1:L2123,L2123),IF(LEN(COUNTIFS($H$1:H2123,$H2123,$I$1:I2123,$I2123,$J$1:J2123,$J2123,$K$1:K2123,K2123,$L$1:L2123,L2123))=2,"0"&amp;COUNTIFS($H$1:H2123,$H2123,$I$1:I2123,$I2123,$J$1:J2123,$J2123,$K$1:K2123,K2123,$L$1:L2123,L2123),COUNTIFS($H$1:H2123,$H2123,$I$1:I2123,$I2123,$J$1:J2123,$J2123,$K$1:K2123,K2123,$L$1:L2123,L2123)))</f>
        <v>000</v>
      </c>
      <c r="N212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23" s="14" t="e">
        <f>+LEN(Table4[[#This Row],[New Item Code]])</f>
        <v>#N/A</v>
      </c>
      <c r="P2123" s="15" t="s">
        <v>4747</v>
      </c>
      <c r="Q2123" s="15" t="s">
        <v>4749</v>
      </c>
      <c r="R2123" s="15"/>
      <c r="S2123" s="15"/>
      <c r="T2123" s="15" t="e">
        <v>#N/A</v>
      </c>
    </row>
    <row r="2124" spans="1:20" x14ac:dyDescent="0.35">
      <c r="A2124" s="3" t="s">
        <v>4179</v>
      </c>
      <c r="B2124" s="3" t="s">
        <v>4180</v>
      </c>
      <c r="C2124" s="3" t="s">
        <v>15</v>
      </c>
      <c r="D2124" s="3">
        <v>1100</v>
      </c>
      <c r="E2124" s="3" t="s">
        <v>10</v>
      </c>
      <c r="F2124" s="3">
        <v>2</v>
      </c>
      <c r="G2124" s="21">
        <f>Table4[[#This Row],[Item Cost]]*Table4[[#This Row],[In Stock]]</f>
        <v>2200</v>
      </c>
      <c r="H2124" s="12" t="s">
        <v>4661</v>
      </c>
      <c r="I2124" s="13" t="s">
        <v>4666</v>
      </c>
      <c r="J2124" s="13"/>
      <c r="K2124" s="13" t="s">
        <v>4672</v>
      </c>
      <c r="L2124" s="12" t="s">
        <v>4672</v>
      </c>
      <c r="M2124" s="17" t="str">
        <f>IF(LEN(COUNTIFS($H$1:H2124,$H2124,$I$1:I2124,$I2124,$J$1:J2124,$J2124,$K$1:K2124,K2124,$L$1:L2124,L2124))=1,"00"&amp;COUNTIFS($H$1:H2124,$H2124,$I$1:I2124,$I2124,$J$1:J2124,$J2124,$K$1:K2124,K2124,$L$1:L2124,L2124),IF(LEN(COUNTIFS($H$1:H2124,$H2124,$I$1:I2124,$I2124,$J$1:J2124,$J2124,$K$1:K2124,K2124,$L$1:L2124,L2124))=2,"0"&amp;COUNTIFS($H$1:H2124,$H2124,$I$1:I2124,$I2124,$J$1:J2124,$J2124,$K$1:K2124,K2124,$L$1:L2124,L2124),COUNTIFS($H$1:H2124,$H2124,$I$1:I2124,$I2124,$J$1:J2124,$J2124,$K$1:K2124,K2124,$L$1:L2124,L2124)))</f>
        <v>000</v>
      </c>
      <c r="N212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24" s="14" t="e">
        <f>+LEN(Table4[[#This Row],[New Item Code]])</f>
        <v>#N/A</v>
      </c>
      <c r="P2124" s="15" t="s">
        <v>4747</v>
      </c>
      <c r="Q2124" s="15" t="s">
        <v>4749</v>
      </c>
      <c r="R2124" s="15"/>
      <c r="S2124" s="15"/>
      <c r="T2124" s="15" t="e">
        <v>#N/A</v>
      </c>
    </row>
    <row r="2125" spans="1:20" x14ac:dyDescent="0.35">
      <c r="A2125" s="2" t="s">
        <v>4181</v>
      </c>
      <c r="B2125" s="2" t="s">
        <v>4182</v>
      </c>
      <c r="C2125" s="2" t="s">
        <v>15</v>
      </c>
      <c r="D2125" s="2">
        <v>1106.67</v>
      </c>
      <c r="E2125" s="2" t="s">
        <v>10</v>
      </c>
      <c r="F2125" s="2">
        <v>1</v>
      </c>
      <c r="G2125" s="22">
        <f>Table4[[#This Row],[Item Cost]]*Table4[[#This Row],[In Stock]]</f>
        <v>1106.67</v>
      </c>
      <c r="H2125" s="12" t="s">
        <v>4661</v>
      </c>
      <c r="I2125" s="13" t="s">
        <v>4666</v>
      </c>
      <c r="J2125" s="13"/>
      <c r="K2125" s="13" t="s">
        <v>4672</v>
      </c>
      <c r="L2125" s="12" t="s">
        <v>4672</v>
      </c>
      <c r="M2125" s="17" t="str">
        <f>IF(LEN(COUNTIFS($H$1:H2125,$H2125,$I$1:I2125,$I2125,$J$1:J2125,$J2125,$K$1:K2125,K2125,$L$1:L2125,L2125))=1,"00"&amp;COUNTIFS($H$1:H2125,$H2125,$I$1:I2125,$I2125,$J$1:J2125,$J2125,$K$1:K2125,K2125,$L$1:L2125,L2125),IF(LEN(COUNTIFS($H$1:H2125,$H2125,$I$1:I2125,$I2125,$J$1:J2125,$J2125,$K$1:K2125,K2125,$L$1:L2125,L2125))=2,"0"&amp;COUNTIFS($H$1:H2125,$H2125,$I$1:I2125,$I2125,$J$1:J2125,$J2125,$K$1:K2125,K2125,$L$1:L2125,L2125),COUNTIFS($H$1:H2125,$H2125,$I$1:I2125,$I2125,$J$1:J2125,$J2125,$K$1:K2125,K2125,$L$1:L2125,L2125)))</f>
        <v>000</v>
      </c>
      <c r="N212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25" s="14" t="e">
        <f>+LEN(Table4[[#This Row],[New Item Code]])</f>
        <v>#N/A</v>
      </c>
      <c r="P2125" s="15" t="s">
        <v>4747</v>
      </c>
      <c r="Q2125" s="15" t="s">
        <v>4749</v>
      </c>
      <c r="R2125" s="15"/>
      <c r="S2125" s="15"/>
      <c r="T2125" s="15" t="e">
        <v>#N/A</v>
      </c>
    </row>
    <row r="2126" spans="1:20" x14ac:dyDescent="0.35">
      <c r="A2126" s="3" t="s">
        <v>4183</v>
      </c>
      <c r="B2126" s="3" t="s">
        <v>4184</v>
      </c>
      <c r="C2126" s="3" t="s">
        <v>15</v>
      </c>
      <c r="D2126" s="3">
        <v>1106.67</v>
      </c>
      <c r="E2126" s="3" t="s">
        <v>10</v>
      </c>
      <c r="F2126" s="3">
        <v>1</v>
      </c>
      <c r="G2126" s="21">
        <f>Table4[[#This Row],[Item Cost]]*Table4[[#This Row],[In Stock]]</f>
        <v>1106.67</v>
      </c>
      <c r="H2126" s="12" t="s">
        <v>4661</v>
      </c>
      <c r="I2126" s="13" t="s">
        <v>4666</v>
      </c>
      <c r="J2126" s="13"/>
      <c r="K2126" s="13" t="s">
        <v>4672</v>
      </c>
      <c r="L2126" s="12" t="s">
        <v>4672</v>
      </c>
      <c r="M2126" s="17" t="str">
        <f>IF(LEN(COUNTIFS($H$1:H2126,$H2126,$I$1:I2126,$I2126,$J$1:J2126,$J2126,$K$1:K2126,K2126,$L$1:L2126,L2126))=1,"00"&amp;COUNTIFS($H$1:H2126,$H2126,$I$1:I2126,$I2126,$J$1:J2126,$J2126,$K$1:K2126,K2126,$L$1:L2126,L2126),IF(LEN(COUNTIFS($H$1:H2126,$H2126,$I$1:I2126,$I2126,$J$1:J2126,$J2126,$K$1:K2126,K2126,$L$1:L2126,L2126))=2,"0"&amp;COUNTIFS($H$1:H2126,$H2126,$I$1:I2126,$I2126,$J$1:J2126,$J2126,$K$1:K2126,K2126,$L$1:L2126,L2126),COUNTIFS($H$1:H2126,$H2126,$I$1:I2126,$I2126,$J$1:J2126,$J2126,$K$1:K2126,K2126,$L$1:L2126,L2126)))</f>
        <v>000</v>
      </c>
      <c r="N212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26" s="14" t="e">
        <f>+LEN(Table4[[#This Row],[New Item Code]])</f>
        <v>#N/A</v>
      </c>
      <c r="P2126" s="15" t="s">
        <v>4747</v>
      </c>
      <c r="Q2126" s="15" t="s">
        <v>4749</v>
      </c>
      <c r="R2126" s="15"/>
      <c r="S2126" s="15"/>
      <c r="T2126" s="15" t="e">
        <v>#N/A</v>
      </c>
    </row>
    <row r="2127" spans="1:20" x14ac:dyDescent="0.35">
      <c r="A2127" s="2" t="s">
        <v>4185</v>
      </c>
      <c r="B2127" s="2" t="s">
        <v>4186</v>
      </c>
      <c r="C2127" s="2" t="s">
        <v>15</v>
      </c>
      <c r="D2127" s="4">
        <v>1106.6600000000001</v>
      </c>
      <c r="E2127" s="2" t="s">
        <v>10</v>
      </c>
      <c r="F2127" s="2">
        <v>1</v>
      </c>
      <c r="G2127" s="22">
        <f>Table4[[#This Row],[Item Cost]]*Table4[[#This Row],[In Stock]]</f>
        <v>1106.6600000000001</v>
      </c>
      <c r="H2127" s="12" t="s">
        <v>4661</v>
      </c>
      <c r="I2127" s="13" t="s">
        <v>4666</v>
      </c>
      <c r="J2127" s="13"/>
      <c r="K2127" s="13" t="s">
        <v>4672</v>
      </c>
      <c r="L2127" s="12" t="s">
        <v>4672</v>
      </c>
      <c r="M2127" s="17" t="str">
        <f>IF(LEN(COUNTIFS($H$1:H2127,$H2127,$I$1:I2127,$I2127,$J$1:J2127,$J2127,$K$1:K2127,K2127,$L$1:L2127,L2127))=1,"00"&amp;COUNTIFS($H$1:H2127,$H2127,$I$1:I2127,$I2127,$J$1:J2127,$J2127,$K$1:K2127,K2127,$L$1:L2127,L2127),IF(LEN(COUNTIFS($H$1:H2127,$H2127,$I$1:I2127,$I2127,$J$1:J2127,$J2127,$K$1:K2127,K2127,$L$1:L2127,L2127))=2,"0"&amp;COUNTIFS($H$1:H2127,$H2127,$I$1:I2127,$I2127,$J$1:J2127,$J2127,$K$1:K2127,K2127,$L$1:L2127,L2127),COUNTIFS($H$1:H2127,$H2127,$I$1:I2127,$I2127,$J$1:J2127,$J2127,$K$1:K2127,K2127,$L$1:L2127,L2127)))</f>
        <v>000</v>
      </c>
      <c r="N212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27" s="14" t="e">
        <f>+LEN(Table4[[#This Row],[New Item Code]])</f>
        <v>#N/A</v>
      </c>
      <c r="P2127" s="15" t="s">
        <v>4747</v>
      </c>
      <c r="Q2127" s="15" t="s">
        <v>4749</v>
      </c>
      <c r="R2127" s="15"/>
      <c r="S2127" s="15"/>
      <c r="T2127" s="15" t="e">
        <v>#N/A</v>
      </c>
    </row>
    <row r="2128" spans="1:20" x14ac:dyDescent="0.35">
      <c r="A2128" s="3" t="s">
        <v>4187</v>
      </c>
      <c r="B2128" s="3" t="s">
        <v>4188</v>
      </c>
      <c r="C2128" s="3" t="s">
        <v>15</v>
      </c>
      <c r="D2128" s="5">
        <v>550</v>
      </c>
      <c r="E2128" s="3" t="s">
        <v>10</v>
      </c>
      <c r="F2128" s="3">
        <v>1</v>
      </c>
      <c r="G2128" s="21">
        <f>Table4[[#This Row],[Item Cost]]*Table4[[#This Row],[In Stock]]</f>
        <v>550</v>
      </c>
      <c r="H2128" s="12" t="s">
        <v>4661</v>
      </c>
      <c r="I2128" s="13" t="s">
        <v>4666</v>
      </c>
      <c r="J2128" s="13" t="s">
        <v>4721</v>
      </c>
      <c r="K2128" s="13" t="s">
        <v>4672</v>
      </c>
      <c r="L2128" s="12" t="s">
        <v>4672</v>
      </c>
      <c r="M2128" s="17" t="str">
        <f>IF(LEN(COUNTIFS($H$1:H2128,$H2128,$I$1:I2128,$I2128,$J$1:J2128,$J2128,$K$1:K2128,K2128,$L$1:L2128,L2128))=1,"00"&amp;COUNTIFS($H$1:H2128,$H2128,$I$1:I2128,$I2128,$J$1:J2128,$J2128,$K$1:K2128,K2128,$L$1:L2128,L2128),IF(LEN(COUNTIFS($H$1:H2128,$H2128,$I$1:I2128,$I2128,$J$1:J2128,$J2128,$K$1:K2128,K2128,$L$1:L2128,L2128))=2,"0"&amp;COUNTIFS($H$1:H2128,$H2128,$I$1:I2128,$I2128,$J$1:J2128,$J2128,$K$1:K2128,K2128,$L$1:L2128,L2128),COUNTIFS($H$1:H2128,$H2128,$I$1:I2128,$I2128,$J$1:J2128,$J2128,$K$1:K2128,K2128,$L$1:L2128,L2128)))</f>
        <v>022</v>
      </c>
      <c r="N212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28" s="14" t="e">
        <f>+LEN(Table4[[#This Row],[New Item Code]])</f>
        <v>#N/A</v>
      </c>
      <c r="P2128" s="15" t="s">
        <v>4747</v>
      </c>
      <c r="Q2128" s="15" t="s">
        <v>4749</v>
      </c>
      <c r="R2128" s="15"/>
      <c r="S2128" s="15"/>
      <c r="T2128" s="15" t="s">
        <v>4721</v>
      </c>
    </row>
    <row r="2129" spans="1:20" x14ac:dyDescent="0.35">
      <c r="A2129" s="2" t="s">
        <v>4189</v>
      </c>
      <c r="B2129" s="2" t="s">
        <v>4190</v>
      </c>
      <c r="C2129" s="2" t="s">
        <v>15</v>
      </c>
      <c r="D2129" s="2">
        <v>0</v>
      </c>
      <c r="E2129" s="2" t="s">
        <v>10</v>
      </c>
      <c r="F2129" s="2">
        <v>0</v>
      </c>
      <c r="G2129" s="22">
        <f>Table4[[#This Row],[Item Cost]]*Table4[[#This Row],[In Stock]]</f>
        <v>0</v>
      </c>
      <c r="H2129" s="12" t="s">
        <v>4661</v>
      </c>
      <c r="I2129" s="13" t="s">
        <v>4666</v>
      </c>
      <c r="J2129" s="13" t="s">
        <v>4754</v>
      </c>
      <c r="K2129" s="13" t="s">
        <v>4672</v>
      </c>
      <c r="L2129" s="12" t="s">
        <v>4723</v>
      </c>
      <c r="M2129" s="17" t="str">
        <f>IF(LEN(COUNTIFS($H$1:H2129,$H2129,$I$1:I2129,$I2129,$J$1:J2129,$J2129,$K$1:K2129,K2129,$L$1:L2129,L2129))=1,"00"&amp;COUNTIFS($H$1:H2129,$H2129,$I$1:I2129,$I2129,$J$1:J2129,$J2129,$K$1:K2129,K2129,$L$1:L2129,L2129),IF(LEN(COUNTIFS($H$1:H2129,$H2129,$I$1:I2129,$I2129,$J$1:J2129,$J2129,$K$1:K2129,K2129,$L$1:L2129,L2129))=2,"0"&amp;COUNTIFS($H$1:H2129,$H2129,$I$1:I2129,$I2129,$J$1:J2129,$J2129,$K$1:K2129,K2129,$L$1:L2129,L2129),COUNTIFS($H$1:H2129,$H2129,$I$1:I2129,$I2129,$J$1:J2129,$J2129,$K$1:K2129,K2129,$L$1:L2129,L2129)))</f>
        <v>001</v>
      </c>
      <c r="N212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29" s="14" t="e">
        <f>+LEN(Table4[[#This Row],[New Item Code]])</f>
        <v>#N/A</v>
      </c>
      <c r="P2129" s="15" t="s">
        <v>4747</v>
      </c>
      <c r="Q2129" s="15" t="s">
        <v>4749</v>
      </c>
      <c r="R2129" s="15"/>
      <c r="S2129" s="15"/>
      <c r="T2129" s="15" t="s">
        <v>4723</v>
      </c>
    </row>
    <row r="2130" spans="1:20" x14ac:dyDescent="0.35">
      <c r="A2130" s="3" t="s">
        <v>4191</v>
      </c>
      <c r="B2130" s="3" t="s">
        <v>4192</v>
      </c>
      <c r="C2130" s="3" t="s">
        <v>15</v>
      </c>
      <c r="D2130" s="3">
        <v>0</v>
      </c>
      <c r="E2130" s="3" t="s">
        <v>10</v>
      </c>
      <c r="F2130" s="3">
        <v>0</v>
      </c>
      <c r="G2130" s="21">
        <f>Table4[[#This Row],[Item Cost]]*Table4[[#This Row],[In Stock]]</f>
        <v>0</v>
      </c>
      <c r="H2130" s="12" t="s">
        <v>4661</v>
      </c>
      <c r="I2130" s="13" t="s">
        <v>4666</v>
      </c>
      <c r="J2130" s="13" t="s">
        <v>4754</v>
      </c>
      <c r="K2130" s="13" t="s">
        <v>4672</v>
      </c>
      <c r="L2130" s="12" t="s">
        <v>4723</v>
      </c>
      <c r="M2130" s="17" t="str">
        <f>IF(LEN(COUNTIFS($H$1:H2130,$H2130,$I$1:I2130,$I2130,$J$1:J2130,$J2130,$K$1:K2130,K2130,$L$1:L2130,L2130))=1,"00"&amp;COUNTIFS($H$1:H2130,$H2130,$I$1:I2130,$I2130,$J$1:J2130,$J2130,$K$1:K2130,K2130,$L$1:L2130,L2130),IF(LEN(COUNTIFS($H$1:H2130,$H2130,$I$1:I2130,$I2130,$J$1:J2130,$J2130,$K$1:K2130,K2130,$L$1:L2130,L2130))=2,"0"&amp;COUNTIFS($H$1:H2130,$H2130,$I$1:I2130,$I2130,$J$1:J2130,$J2130,$K$1:K2130,K2130,$L$1:L2130,L2130),COUNTIFS($H$1:H2130,$H2130,$I$1:I2130,$I2130,$J$1:J2130,$J2130,$K$1:K2130,K2130,$L$1:L2130,L2130)))</f>
        <v>002</v>
      </c>
      <c r="N213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30" s="14" t="e">
        <f>+LEN(Table4[[#This Row],[New Item Code]])</f>
        <v>#N/A</v>
      </c>
      <c r="P2130" s="15" t="s">
        <v>4747</v>
      </c>
      <c r="Q2130" s="15" t="s">
        <v>4749</v>
      </c>
      <c r="R2130" s="15"/>
      <c r="S2130" s="15"/>
      <c r="T2130" s="15" t="s">
        <v>4723</v>
      </c>
    </row>
    <row r="2131" spans="1:20" x14ac:dyDescent="0.35">
      <c r="A2131" s="2" t="s">
        <v>4193</v>
      </c>
      <c r="B2131" s="2" t="s">
        <v>4194</v>
      </c>
      <c r="C2131" s="2" t="s">
        <v>15</v>
      </c>
      <c r="D2131" s="2">
        <v>0</v>
      </c>
      <c r="E2131" s="2" t="s">
        <v>10</v>
      </c>
      <c r="F2131" s="2">
        <v>0</v>
      </c>
      <c r="G2131" s="22">
        <f>Table4[[#This Row],[Item Cost]]*Table4[[#This Row],[In Stock]]</f>
        <v>0</v>
      </c>
      <c r="H2131" s="12" t="s">
        <v>4661</v>
      </c>
      <c r="I2131" s="13" t="s">
        <v>4666</v>
      </c>
      <c r="J2131" s="13" t="s">
        <v>4754</v>
      </c>
      <c r="K2131" s="13" t="s">
        <v>4672</v>
      </c>
      <c r="L2131" s="12" t="s">
        <v>4723</v>
      </c>
      <c r="M2131" s="17" t="str">
        <f>IF(LEN(COUNTIFS($H$1:H2131,$H2131,$I$1:I2131,$I2131,$J$1:J2131,$J2131,$K$1:K2131,K2131,$L$1:L2131,L2131))=1,"00"&amp;COUNTIFS($H$1:H2131,$H2131,$I$1:I2131,$I2131,$J$1:J2131,$J2131,$K$1:K2131,K2131,$L$1:L2131,L2131),IF(LEN(COUNTIFS($H$1:H2131,$H2131,$I$1:I2131,$I2131,$J$1:J2131,$J2131,$K$1:K2131,K2131,$L$1:L2131,L2131))=2,"0"&amp;COUNTIFS($H$1:H2131,$H2131,$I$1:I2131,$I2131,$J$1:J2131,$J2131,$K$1:K2131,K2131,$L$1:L2131,L2131),COUNTIFS($H$1:H2131,$H2131,$I$1:I2131,$I2131,$J$1:J2131,$J2131,$K$1:K2131,K2131,$L$1:L2131,L2131)))</f>
        <v>003</v>
      </c>
      <c r="N213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31" s="14" t="e">
        <f>+LEN(Table4[[#This Row],[New Item Code]])</f>
        <v>#N/A</v>
      </c>
      <c r="P2131" s="15" t="s">
        <v>4747</v>
      </c>
      <c r="Q2131" s="15" t="s">
        <v>4749</v>
      </c>
      <c r="R2131" s="15"/>
      <c r="S2131" s="15"/>
      <c r="T2131" s="15" t="s">
        <v>4723</v>
      </c>
    </row>
    <row r="2132" spans="1:20" x14ac:dyDescent="0.35">
      <c r="A2132" s="3" t="s">
        <v>4195</v>
      </c>
      <c r="B2132" s="3" t="s">
        <v>4196</v>
      </c>
      <c r="C2132" s="3" t="s">
        <v>9</v>
      </c>
      <c r="D2132" s="3">
        <v>24</v>
      </c>
      <c r="E2132" s="3" t="s">
        <v>10</v>
      </c>
      <c r="F2132" s="3">
        <v>2</v>
      </c>
      <c r="G2132" s="21">
        <f>Table4[[#This Row],[Item Cost]]*Table4[[#This Row],[In Stock]]</f>
        <v>48</v>
      </c>
      <c r="H2132" s="12" t="s">
        <v>4661</v>
      </c>
      <c r="I2132" s="13" t="s">
        <v>4664</v>
      </c>
      <c r="J2132" s="13" t="s">
        <v>4754</v>
      </c>
      <c r="K2132" s="13" t="s">
        <v>4672</v>
      </c>
      <c r="L2132" s="12" t="s">
        <v>4723</v>
      </c>
      <c r="M2132" s="17" t="str">
        <f>IF(LEN(COUNTIFS($H$1:H2132,$H2132,$I$1:I2132,$I2132,$J$1:J2132,$J2132,$K$1:K2132,K2132,$L$1:L2132,L2132))=1,"00"&amp;COUNTIFS($H$1:H2132,$H2132,$I$1:I2132,$I2132,$J$1:J2132,$J2132,$K$1:K2132,K2132,$L$1:L2132,L2132),IF(LEN(COUNTIFS($H$1:H2132,$H2132,$I$1:I2132,$I2132,$J$1:J2132,$J2132,$K$1:K2132,K2132,$L$1:L2132,L2132))=2,"0"&amp;COUNTIFS($H$1:H2132,$H2132,$I$1:I2132,$I2132,$J$1:J2132,$J2132,$K$1:K2132,K2132,$L$1:L2132,L2132),COUNTIFS($H$1:H2132,$H2132,$I$1:I2132,$I2132,$J$1:J2132,$J2132,$K$1:K2132,K2132,$L$1:L2132,L2132)))</f>
        <v>001</v>
      </c>
      <c r="N213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32" s="14" t="e">
        <f>+LEN(Table4[[#This Row],[New Item Code]])</f>
        <v>#N/A</v>
      </c>
      <c r="P2132" s="15" t="s">
        <v>4747</v>
      </c>
      <c r="Q2132" s="15" t="s">
        <v>4749</v>
      </c>
      <c r="R2132" s="15"/>
      <c r="S2132" s="15"/>
      <c r="T2132" s="15" t="s">
        <v>4723</v>
      </c>
    </row>
    <row r="2133" spans="1:20" x14ac:dyDescent="0.35">
      <c r="A2133" s="2" t="s">
        <v>4197</v>
      </c>
      <c r="B2133" s="2" t="s">
        <v>4198</v>
      </c>
      <c r="C2133" s="2" t="s">
        <v>9</v>
      </c>
      <c r="D2133" s="2">
        <v>24</v>
      </c>
      <c r="E2133" s="2" t="s">
        <v>10</v>
      </c>
      <c r="F2133" s="2">
        <v>5</v>
      </c>
      <c r="G2133" s="22">
        <f>Table4[[#This Row],[Item Cost]]*Table4[[#This Row],[In Stock]]</f>
        <v>120</v>
      </c>
      <c r="H2133" s="12" t="s">
        <v>4661</v>
      </c>
      <c r="I2133" s="13" t="s">
        <v>4664</v>
      </c>
      <c r="J2133" s="13" t="s">
        <v>4754</v>
      </c>
      <c r="K2133" s="13" t="s">
        <v>4672</v>
      </c>
      <c r="L2133" s="12" t="s">
        <v>4723</v>
      </c>
      <c r="M2133" s="17" t="str">
        <f>IF(LEN(COUNTIFS($H$1:H2133,$H2133,$I$1:I2133,$I2133,$J$1:J2133,$J2133,$K$1:K2133,K2133,$L$1:L2133,L2133))=1,"00"&amp;COUNTIFS($H$1:H2133,$H2133,$I$1:I2133,$I2133,$J$1:J2133,$J2133,$K$1:K2133,K2133,$L$1:L2133,L2133),IF(LEN(COUNTIFS($H$1:H2133,$H2133,$I$1:I2133,$I2133,$J$1:J2133,$J2133,$K$1:K2133,K2133,$L$1:L2133,L2133))=2,"0"&amp;COUNTIFS($H$1:H2133,$H2133,$I$1:I2133,$I2133,$J$1:J2133,$J2133,$K$1:K2133,K2133,$L$1:L2133,L2133),COUNTIFS($H$1:H2133,$H2133,$I$1:I2133,$I2133,$J$1:J2133,$J2133,$K$1:K2133,K2133,$L$1:L2133,L2133)))</f>
        <v>002</v>
      </c>
      <c r="N213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33" s="14" t="e">
        <f>+LEN(Table4[[#This Row],[New Item Code]])</f>
        <v>#N/A</v>
      </c>
      <c r="P2133" s="15" t="s">
        <v>4747</v>
      </c>
      <c r="Q2133" s="15" t="s">
        <v>4749</v>
      </c>
      <c r="R2133" s="15"/>
      <c r="S2133" s="15"/>
      <c r="T2133" s="15" t="s">
        <v>4723</v>
      </c>
    </row>
    <row r="2134" spans="1:20" x14ac:dyDescent="0.35">
      <c r="A2134" s="3" t="s">
        <v>4199</v>
      </c>
      <c r="B2134" s="3" t="s">
        <v>4200</v>
      </c>
      <c r="C2134" s="3" t="s">
        <v>15</v>
      </c>
      <c r="D2134" s="3">
        <v>0</v>
      </c>
      <c r="E2134" s="3" t="s">
        <v>10</v>
      </c>
      <c r="F2134" s="3">
        <v>0</v>
      </c>
      <c r="G2134" s="21">
        <f>Table4[[#This Row],[Item Cost]]*Table4[[#This Row],[In Stock]]</f>
        <v>0</v>
      </c>
      <c r="H2134" s="12" t="s">
        <v>4661</v>
      </c>
      <c r="I2134" s="13" t="s">
        <v>4666</v>
      </c>
      <c r="J2134" s="13" t="s">
        <v>4754</v>
      </c>
      <c r="K2134" s="13" t="s">
        <v>4672</v>
      </c>
      <c r="L2134" s="12" t="s">
        <v>4723</v>
      </c>
      <c r="M2134" s="17" t="str">
        <f>IF(LEN(COUNTIFS($H$1:H2134,$H2134,$I$1:I2134,$I2134,$J$1:J2134,$J2134,$K$1:K2134,K2134,$L$1:L2134,L2134))=1,"00"&amp;COUNTIFS($H$1:H2134,$H2134,$I$1:I2134,$I2134,$J$1:J2134,$J2134,$K$1:K2134,K2134,$L$1:L2134,L2134),IF(LEN(COUNTIFS($H$1:H2134,$H2134,$I$1:I2134,$I2134,$J$1:J2134,$J2134,$K$1:K2134,K2134,$L$1:L2134,L2134))=2,"0"&amp;COUNTIFS($H$1:H2134,$H2134,$I$1:I2134,$I2134,$J$1:J2134,$J2134,$K$1:K2134,K2134,$L$1:L2134,L2134),COUNTIFS($H$1:H2134,$H2134,$I$1:I2134,$I2134,$J$1:J2134,$J2134,$K$1:K2134,K2134,$L$1:L2134,L2134)))</f>
        <v>004</v>
      </c>
      <c r="N213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34" s="14" t="e">
        <f>+LEN(Table4[[#This Row],[New Item Code]])</f>
        <v>#N/A</v>
      </c>
      <c r="P2134" s="15" t="s">
        <v>4747</v>
      </c>
      <c r="Q2134" s="15" t="s">
        <v>4749</v>
      </c>
      <c r="R2134" s="15"/>
      <c r="S2134" s="15"/>
      <c r="T2134" s="15" t="s">
        <v>4723</v>
      </c>
    </row>
    <row r="2135" spans="1:20" x14ac:dyDescent="0.35">
      <c r="A2135" s="2" t="s">
        <v>4201</v>
      </c>
      <c r="B2135" s="2" t="s">
        <v>4202</v>
      </c>
      <c r="C2135" s="2" t="s">
        <v>15</v>
      </c>
      <c r="D2135" s="2">
        <v>0</v>
      </c>
      <c r="E2135" s="2" t="s">
        <v>10</v>
      </c>
      <c r="F2135" s="2">
        <v>0</v>
      </c>
      <c r="G2135" s="22">
        <f>Table4[[#This Row],[Item Cost]]*Table4[[#This Row],[In Stock]]</f>
        <v>0</v>
      </c>
      <c r="H2135" s="12" t="s">
        <v>4661</v>
      </c>
      <c r="I2135" s="13" t="s">
        <v>4666</v>
      </c>
      <c r="J2135" s="13" t="s">
        <v>4754</v>
      </c>
      <c r="K2135" s="13" t="s">
        <v>4672</v>
      </c>
      <c r="L2135" s="12" t="s">
        <v>4723</v>
      </c>
      <c r="M2135" s="17" t="str">
        <f>IF(LEN(COUNTIFS($H$1:H2135,$H2135,$I$1:I2135,$I2135,$J$1:J2135,$J2135,$K$1:K2135,K2135,$L$1:L2135,L2135))=1,"00"&amp;COUNTIFS($H$1:H2135,$H2135,$I$1:I2135,$I2135,$J$1:J2135,$J2135,$K$1:K2135,K2135,$L$1:L2135,L2135),IF(LEN(COUNTIFS($H$1:H2135,$H2135,$I$1:I2135,$I2135,$J$1:J2135,$J2135,$K$1:K2135,K2135,$L$1:L2135,L2135))=2,"0"&amp;COUNTIFS($H$1:H2135,$H2135,$I$1:I2135,$I2135,$J$1:J2135,$J2135,$K$1:K2135,K2135,$L$1:L2135,L2135),COUNTIFS($H$1:H2135,$H2135,$I$1:I2135,$I2135,$J$1:J2135,$J2135,$K$1:K2135,K2135,$L$1:L2135,L2135)))</f>
        <v>005</v>
      </c>
      <c r="N213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35" s="14" t="e">
        <f>+LEN(Table4[[#This Row],[New Item Code]])</f>
        <v>#N/A</v>
      </c>
      <c r="P2135" s="15" t="s">
        <v>4747</v>
      </c>
      <c r="Q2135" s="15" t="s">
        <v>4749</v>
      </c>
      <c r="R2135" s="15"/>
      <c r="S2135" s="15"/>
      <c r="T2135" s="15" t="s">
        <v>4723</v>
      </c>
    </row>
    <row r="2136" spans="1:20" x14ac:dyDescent="0.35">
      <c r="A2136" s="3" t="s">
        <v>4203</v>
      </c>
      <c r="B2136" s="3" t="s">
        <v>4204</v>
      </c>
      <c r="C2136" s="3" t="s">
        <v>15</v>
      </c>
      <c r="D2136" s="3">
        <v>0</v>
      </c>
      <c r="E2136" s="3" t="s">
        <v>10</v>
      </c>
      <c r="F2136" s="3">
        <v>0</v>
      </c>
      <c r="G2136" s="21">
        <f>Table4[[#This Row],[Item Cost]]*Table4[[#This Row],[In Stock]]</f>
        <v>0</v>
      </c>
      <c r="H2136" s="12" t="s">
        <v>4661</v>
      </c>
      <c r="I2136" s="13" t="s">
        <v>4666</v>
      </c>
      <c r="J2136" s="13" t="s">
        <v>4754</v>
      </c>
      <c r="K2136" s="13" t="s">
        <v>4672</v>
      </c>
      <c r="L2136" s="12" t="s">
        <v>4723</v>
      </c>
      <c r="M2136" s="17" t="str">
        <f>IF(LEN(COUNTIFS($H$1:H2136,$H2136,$I$1:I2136,$I2136,$J$1:J2136,$J2136,$K$1:K2136,K2136,$L$1:L2136,L2136))=1,"00"&amp;COUNTIFS($H$1:H2136,$H2136,$I$1:I2136,$I2136,$J$1:J2136,$J2136,$K$1:K2136,K2136,$L$1:L2136,L2136),IF(LEN(COUNTIFS($H$1:H2136,$H2136,$I$1:I2136,$I2136,$J$1:J2136,$J2136,$K$1:K2136,K2136,$L$1:L2136,L2136))=2,"0"&amp;COUNTIFS($H$1:H2136,$H2136,$I$1:I2136,$I2136,$J$1:J2136,$J2136,$K$1:K2136,K2136,$L$1:L2136,L2136),COUNTIFS($H$1:H2136,$H2136,$I$1:I2136,$I2136,$J$1:J2136,$J2136,$K$1:K2136,K2136,$L$1:L2136,L2136)))</f>
        <v>006</v>
      </c>
      <c r="N213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36" s="14" t="e">
        <f>+LEN(Table4[[#This Row],[New Item Code]])</f>
        <v>#N/A</v>
      </c>
      <c r="P2136" s="15" t="s">
        <v>4747</v>
      </c>
      <c r="Q2136" s="15" t="s">
        <v>4749</v>
      </c>
      <c r="R2136" s="15"/>
      <c r="S2136" s="15"/>
      <c r="T2136" s="15" t="s">
        <v>4723</v>
      </c>
    </row>
    <row r="2137" spans="1:20" x14ac:dyDescent="0.35">
      <c r="A2137" s="2" t="s">
        <v>4205</v>
      </c>
      <c r="B2137" s="2" t="s">
        <v>4206</v>
      </c>
      <c r="C2137" s="2" t="s">
        <v>15</v>
      </c>
      <c r="D2137" s="2">
        <v>0</v>
      </c>
      <c r="E2137" s="2" t="s">
        <v>10</v>
      </c>
      <c r="F2137" s="2">
        <v>0</v>
      </c>
      <c r="G2137" s="22">
        <f>Table4[[#This Row],[Item Cost]]*Table4[[#This Row],[In Stock]]</f>
        <v>0</v>
      </c>
      <c r="H2137" s="12" t="s">
        <v>4661</v>
      </c>
      <c r="I2137" s="13" t="s">
        <v>4666</v>
      </c>
      <c r="J2137" s="13" t="s">
        <v>4754</v>
      </c>
      <c r="K2137" s="13" t="s">
        <v>4672</v>
      </c>
      <c r="L2137" s="12" t="s">
        <v>4723</v>
      </c>
      <c r="M2137" s="17" t="str">
        <f>IF(LEN(COUNTIFS($H$1:H2137,$H2137,$I$1:I2137,$I2137,$J$1:J2137,$J2137,$K$1:K2137,K2137,$L$1:L2137,L2137))=1,"00"&amp;COUNTIFS($H$1:H2137,$H2137,$I$1:I2137,$I2137,$J$1:J2137,$J2137,$K$1:K2137,K2137,$L$1:L2137,L2137),IF(LEN(COUNTIFS($H$1:H2137,$H2137,$I$1:I2137,$I2137,$J$1:J2137,$J2137,$K$1:K2137,K2137,$L$1:L2137,L2137))=2,"0"&amp;COUNTIFS($H$1:H2137,$H2137,$I$1:I2137,$I2137,$J$1:J2137,$J2137,$K$1:K2137,K2137,$L$1:L2137,L2137),COUNTIFS($H$1:H2137,$H2137,$I$1:I2137,$I2137,$J$1:J2137,$J2137,$K$1:K2137,K2137,$L$1:L2137,L2137)))</f>
        <v>007</v>
      </c>
      <c r="N213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37" s="14" t="e">
        <f>+LEN(Table4[[#This Row],[New Item Code]])</f>
        <v>#N/A</v>
      </c>
      <c r="P2137" s="15" t="s">
        <v>4747</v>
      </c>
      <c r="Q2137" s="15" t="s">
        <v>4749</v>
      </c>
      <c r="R2137" s="15"/>
      <c r="S2137" s="15"/>
      <c r="T2137" s="15" t="s">
        <v>4723</v>
      </c>
    </row>
    <row r="2138" spans="1:20" x14ac:dyDescent="0.35">
      <c r="A2138" s="3" t="s">
        <v>4207</v>
      </c>
      <c r="B2138" s="3" t="s">
        <v>4208</v>
      </c>
      <c r="C2138" s="3" t="s">
        <v>15</v>
      </c>
      <c r="D2138" s="3">
        <v>0</v>
      </c>
      <c r="E2138" s="3" t="s">
        <v>10</v>
      </c>
      <c r="F2138" s="3">
        <v>0</v>
      </c>
      <c r="G2138" s="21">
        <f>Table4[[#This Row],[Item Cost]]*Table4[[#This Row],[In Stock]]</f>
        <v>0</v>
      </c>
      <c r="H2138" s="12" t="s">
        <v>4661</v>
      </c>
      <c r="I2138" s="13" t="s">
        <v>4666</v>
      </c>
      <c r="J2138" s="13" t="s">
        <v>4754</v>
      </c>
      <c r="K2138" s="13" t="s">
        <v>4672</v>
      </c>
      <c r="L2138" s="12" t="s">
        <v>4723</v>
      </c>
      <c r="M2138" s="17" t="str">
        <f>IF(LEN(COUNTIFS($H$1:H2138,$H2138,$I$1:I2138,$I2138,$J$1:J2138,$J2138,$K$1:K2138,K2138,$L$1:L2138,L2138))=1,"00"&amp;COUNTIFS($H$1:H2138,$H2138,$I$1:I2138,$I2138,$J$1:J2138,$J2138,$K$1:K2138,K2138,$L$1:L2138,L2138),IF(LEN(COUNTIFS($H$1:H2138,$H2138,$I$1:I2138,$I2138,$J$1:J2138,$J2138,$K$1:K2138,K2138,$L$1:L2138,L2138))=2,"0"&amp;COUNTIFS($H$1:H2138,$H2138,$I$1:I2138,$I2138,$J$1:J2138,$J2138,$K$1:K2138,K2138,$L$1:L2138,L2138),COUNTIFS($H$1:H2138,$H2138,$I$1:I2138,$I2138,$J$1:J2138,$J2138,$K$1:K2138,K2138,$L$1:L2138,L2138)))</f>
        <v>008</v>
      </c>
      <c r="N213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38" s="14" t="e">
        <f>+LEN(Table4[[#This Row],[New Item Code]])</f>
        <v>#N/A</v>
      </c>
      <c r="P2138" s="15" t="s">
        <v>4747</v>
      </c>
      <c r="Q2138" s="15" t="s">
        <v>4749</v>
      </c>
      <c r="R2138" s="15"/>
      <c r="S2138" s="15"/>
      <c r="T2138" s="15" t="s">
        <v>4723</v>
      </c>
    </row>
    <row r="2139" spans="1:20" x14ac:dyDescent="0.35">
      <c r="A2139" s="2" t="s">
        <v>4209</v>
      </c>
      <c r="B2139" s="2" t="s">
        <v>4210</v>
      </c>
      <c r="C2139" s="2" t="s">
        <v>15</v>
      </c>
      <c r="D2139" s="2">
        <v>0</v>
      </c>
      <c r="E2139" s="2" t="s">
        <v>10</v>
      </c>
      <c r="F2139" s="2">
        <v>0</v>
      </c>
      <c r="G2139" s="22">
        <f>Table4[[#This Row],[Item Cost]]*Table4[[#This Row],[In Stock]]</f>
        <v>0</v>
      </c>
      <c r="H2139" s="12" t="s">
        <v>4661</v>
      </c>
      <c r="I2139" s="13" t="s">
        <v>4666</v>
      </c>
      <c r="J2139" s="13" t="s">
        <v>4754</v>
      </c>
      <c r="K2139" s="13" t="s">
        <v>4672</v>
      </c>
      <c r="L2139" s="12" t="s">
        <v>4723</v>
      </c>
      <c r="M2139" s="17" t="str">
        <f>IF(LEN(COUNTIFS($H$1:H2139,$H2139,$I$1:I2139,$I2139,$J$1:J2139,$J2139,$K$1:K2139,K2139,$L$1:L2139,L2139))=1,"00"&amp;COUNTIFS($H$1:H2139,$H2139,$I$1:I2139,$I2139,$J$1:J2139,$J2139,$K$1:K2139,K2139,$L$1:L2139,L2139),IF(LEN(COUNTIFS($H$1:H2139,$H2139,$I$1:I2139,$I2139,$J$1:J2139,$J2139,$K$1:K2139,K2139,$L$1:L2139,L2139))=2,"0"&amp;COUNTIFS($H$1:H2139,$H2139,$I$1:I2139,$I2139,$J$1:J2139,$J2139,$K$1:K2139,K2139,$L$1:L2139,L2139),COUNTIFS($H$1:H2139,$H2139,$I$1:I2139,$I2139,$J$1:J2139,$J2139,$K$1:K2139,K2139,$L$1:L2139,L2139)))</f>
        <v>009</v>
      </c>
      <c r="N213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39" s="14" t="e">
        <f>+LEN(Table4[[#This Row],[New Item Code]])</f>
        <v>#N/A</v>
      </c>
      <c r="P2139" s="15" t="s">
        <v>4747</v>
      </c>
      <c r="Q2139" s="15" t="s">
        <v>4749</v>
      </c>
      <c r="R2139" s="15"/>
      <c r="S2139" s="15"/>
      <c r="T2139" s="15" t="s">
        <v>4723</v>
      </c>
    </row>
    <row r="2140" spans="1:20" x14ac:dyDescent="0.35">
      <c r="A2140" s="3" t="s">
        <v>4211</v>
      </c>
      <c r="B2140" s="3" t="s">
        <v>4212</v>
      </c>
      <c r="C2140" s="3" t="s">
        <v>15</v>
      </c>
      <c r="D2140" s="3">
        <v>0</v>
      </c>
      <c r="E2140" s="3" t="s">
        <v>10</v>
      </c>
      <c r="F2140" s="3">
        <v>0</v>
      </c>
      <c r="G2140" s="21">
        <f>Table4[[#This Row],[Item Cost]]*Table4[[#This Row],[In Stock]]</f>
        <v>0</v>
      </c>
      <c r="H2140" s="12" t="s">
        <v>4661</v>
      </c>
      <c r="I2140" s="13" t="s">
        <v>4666</v>
      </c>
      <c r="J2140" s="13" t="s">
        <v>4754</v>
      </c>
      <c r="K2140" s="13" t="s">
        <v>4672</v>
      </c>
      <c r="L2140" s="12" t="s">
        <v>4723</v>
      </c>
      <c r="M2140" s="17" t="str">
        <f>IF(LEN(COUNTIFS($H$1:H2140,$H2140,$I$1:I2140,$I2140,$J$1:J2140,$J2140,$K$1:K2140,K2140,$L$1:L2140,L2140))=1,"00"&amp;COUNTIFS($H$1:H2140,$H2140,$I$1:I2140,$I2140,$J$1:J2140,$J2140,$K$1:K2140,K2140,$L$1:L2140,L2140),IF(LEN(COUNTIFS($H$1:H2140,$H2140,$I$1:I2140,$I2140,$J$1:J2140,$J2140,$K$1:K2140,K2140,$L$1:L2140,L2140))=2,"0"&amp;COUNTIFS($H$1:H2140,$H2140,$I$1:I2140,$I2140,$J$1:J2140,$J2140,$K$1:K2140,K2140,$L$1:L2140,L2140),COUNTIFS($H$1:H2140,$H2140,$I$1:I2140,$I2140,$J$1:J2140,$J2140,$K$1:K2140,K2140,$L$1:L2140,L2140)))</f>
        <v>010</v>
      </c>
      <c r="N214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40" s="14" t="e">
        <f>+LEN(Table4[[#This Row],[New Item Code]])</f>
        <v>#N/A</v>
      </c>
      <c r="P2140" s="15" t="s">
        <v>4747</v>
      </c>
      <c r="Q2140" s="15" t="s">
        <v>4749</v>
      </c>
      <c r="R2140" s="15"/>
      <c r="S2140" s="15"/>
      <c r="T2140" s="15" t="s">
        <v>4723</v>
      </c>
    </row>
    <row r="2141" spans="1:20" x14ac:dyDescent="0.35">
      <c r="A2141" s="2" t="s">
        <v>4213</v>
      </c>
      <c r="B2141" s="2" t="s">
        <v>4214</v>
      </c>
      <c r="C2141" s="2" t="s">
        <v>15</v>
      </c>
      <c r="D2141" s="2">
        <v>0</v>
      </c>
      <c r="E2141" s="2" t="s">
        <v>10</v>
      </c>
      <c r="F2141" s="2">
        <v>0</v>
      </c>
      <c r="G2141" s="22">
        <f>Table4[[#This Row],[Item Cost]]*Table4[[#This Row],[In Stock]]</f>
        <v>0</v>
      </c>
      <c r="H2141" s="12" t="s">
        <v>4661</v>
      </c>
      <c r="I2141" s="13" t="s">
        <v>4666</v>
      </c>
      <c r="J2141" s="13" t="s">
        <v>4754</v>
      </c>
      <c r="K2141" t="s">
        <v>4800</v>
      </c>
      <c r="L2141" s="12" t="s">
        <v>4723</v>
      </c>
      <c r="M2141" s="17" t="str">
        <f>IF(LEN(COUNTIFS($H$1:H2141,$H2141,$I$1:I2141,$I2141,$J$1:J2141,$J2141,$K$1:K2141,K2141,$L$1:L2141,L2141))=1,"00"&amp;COUNTIFS($H$1:H2141,$H2141,$I$1:I2141,$I2141,$J$1:J2141,$J2141,$K$1:K2141,K2141,$L$1:L2141,L2141),IF(LEN(COUNTIFS($H$1:H2141,$H2141,$I$1:I2141,$I2141,$J$1:J2141,$J2141,$K$1:K2141,K2141,$L$1:L2141,L2141))=2,"0"&amp;COUNTIFS($H$1:H2141,$H2141,$I$1:I2141,$I2141,$J$1:J2141,$J2141,$K$1:K2141,K2141,$L$1:L2141,L2141),COUNTIFS($H$1:H2141,$H2141,$I$1:I2141,$I2141,$J$1:J2141,$J2141,$K$1:K2141,K2141,$L$1:L2141,L2141)))</f>
        <v>001</v>
      </c>
      <c r="N214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41" s="14" t="e">
        <f>+LEN(Table4[[#This Row],[New Item Code]])</f>
        <v>#N/A</v>
      </c>
      <c r="P2141" s="15" t="s">
        <v>4747</v>
      </c>
      <c r="Q2141" s="15" t="s">
        <v>4749</v>
      </c>
      <c r="R2141" s="15"/>
      <c r="S2141" s="15"/>
      <c r="T2141" s="15" t="s">
        <v>4723</v>
      </c>
    </row>
    <row r="2142" spans="1:20" x14ac:dyDescent="0.35">
      <c r="A2142" s="3" t="s">
        <v>4215</v>
      </c>
      <c r="B2142" s="3" t="s">
        <v>4216</v>
      </c>
      <c r="C2142" s="3" t="s">
        <v>15</v>
      </c>
      <c r="D2142" s="3">
        <v>0</v>
      </c>
      <c r="E2142" s="3" t="s">
        <v>10</v>
      </c>
      <c r="F2142" s="3">
        <v>0</v>
      </c>
      <c r="G2142" s="21">
        <f>Table4[[#This Row],[Item Cost]]*Table4[[#This Row],[In Stock]]</f>
        <v>0</v>
      </c>
      <c r="H2142" s="12" t="s">
        <v>4661</v>
      </c>
      <c r="I2142" s="13" t="s">
        <v>4666</v>
      </c>
      <c r="J2142" s="13" t="s">
        <v>4754</v>
      </c>
      <c r="K2142" s="13" t="s">
        <v>4672</v>
      </c>
      <c r="L2142" s="12" t="s">
        <v>4723</v>
      </c>
      <c r="M2142" s="17" t="str">
        <f>IF(LEN(COUNTIFS($H$1:H2142,$H2142,$I$1:I2142,$I2142,$J$1:J2142,$J2142,$K$1:K2142,K2142,$L$1:L2142,L2142))=1,"00"&amp;COUNTIFS($H$1:H2142,$H2142,$I$1:I2142,$I2142,$J$1:J2142,$J2142,$K$1:K2142,K2142,$L$1:L2142,L2142),IF(LEN(COUNTIFS($H$1:H2142,$H2142,$I$1:I2142,$I2142,$J$1:J2142,$J2142,$K$1:K2142,K2142,$L$1:L2142,L2142))=2,"0"&amp;COUNTIFS($H$1:H2142,$H2142,$I$1:I2142,$I2142,$J$1:J2142,$J2142,$K$1:K2142,K2142,$L$1:L2142,L2142),COUNTIFS($H$1:H2142,$H2142,$I$1:I2142,$I2142,$J$1:J2142,$J2142,$K$1:K2142,K2142,$L$1:L2142,L2142)))</f>
        <v>011</v>
      </c>
      <c r="N214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42" s="14" t="e">
        <f>+LEN(Table4[[#This Row],[New Item Code]])</f>
        <v>#N/A</v>
      </c>
      <c r="P2142" s="15" t="s">
        <v>4747</v>
      </c>
      <c r="Q2142" s="15" t="s">
        <v>4749</v>
      </c>
      <c r="R2142" s="15"/>
      <c r="S2142" s="15"/>
      <c r="T2142" s="15" t="s">
        <v>4723</v>
      </c>
    </row>
    <row r="2143" spans="1:20" x14ac:dyDescent="0.35">
      <c r="A2143" s="2" t="s">
        <v>4217</v>
      </c>
      <c r="B2143" s="2" t="s">
        <v>4218</v>
      </c>
      <c r="C2143" s="2" t="s">
        <v>15</v>
      </c>
      <c r="D2143" s="2">
        <v>0</v>
      </c>
      <c r="E2143" s="2" t="s">
        <v>10</v>
      </c>
      <c r="F2143" s="2">
        <v>0</v>
      </c>
      <c r="G2143" s="22">
        <f>Table4[[#This Row],[Item Cost]]*Table4[[#This Row],[In Stock]]</f>
        <v>0</v>
      </c>
      <c r="H2143" s="12" t="s">
        <v>4661</v>
      </c>
      <c r="I2143" s="13" t="s">
        <v>4666</v>
      </c>
      <c r="J2143" s="13" t="s">
        <v>4754</v>
      </c>
      <c r="K2143" s="13" t="s">
        <v>4672</v>
      </c>
      <c r="L2143" s="12" t="s">
        <v>4723</v>
      </c>
      <c r="M2143" s="17" t="str">
        <f>IF(LEN(COUNTIFS($H$1:H2143,$H2143,$I$1:I2143,$I2143,$J$1:J2143,$J2143,$K$1:K2143,K2143,$L$1:L2143,L2143))=1,"00"&amp;COUNTIFS($H$1:H2143,$H2143,$I$1:I2143,$I2143,$J$1:J2143,$J2143,$K$1:K2143,K2143,$L$1:L2143,L2143),IF(LEN(COUNTIFS($H$1:H2143,$H2143,$I$1:I2143,$I2143,$J$1:J2143,$J2143,$K$1:K2143,K2143,$L$1:L2143,L2143))=2,"0"&amp;COUNTIFS($H$1:H2143,$H2143,$I$1:I2143,$I2143,$J$1:J2143,$J2143,$K$1:K2143,K2143,$L$1:L2143,L2143),COUNTIFS($H$1:H2143,$H2143,$I$1:I2143,$I2143,$J$1:J2143,$J2143,$K$1:K2143,K2143,$L$1:L2143,L2143)))</f>
        <v>012</v>
      </c>
      <c r="N214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43" s="14" t="e">
        <f>+LEN(Table4[[#This Row],[New Item Code]])</f>
        <v>#N/A</v>
      </c>
      <c r="P2143" s="15" t="s">
        <v>4747</v>
      </c>
      <c r="Q2143" s="15" t="s">
        <v>4749</v>
      </c>
      <c r="R2143" s="15"/>
      <c r="S2143" s="15"/>
      <c r="T2143" s="15" t="s">
        <v>4723</v>
      </c>
    </row>
    <row r="2144" spans="1:20" x14ac:dyDescent="0.35">
      <c r="A2144" s="3" t="s">
        <v>4219</v>
      </c>
      <c r="B2144" s="3" t="s">
        <v>4220</v>
      </c>
      <c r="C2144" s="3" t="s">
        <v>15</v>
      </c>
      <c r="D2144" s="3">
        <v>0</v>
      </c>
      <c r="E2144" s="3" t="s">
        <v>10</v>
      </c>
      <c r="F2144" s="3">
        <v>0</v>
      </c>
      <c r="G2144" s="21">
        <f>Table4[[#This Row],[Item Cost]]*Table4[[#This Row],[In Stock]]</f>
        <v>0</v>
      </c>
      <c r="H2144" s="12" t="s">
        <v>4661</v>
      </c>
      <c r="I2144" s="13" t="s">
        <v>4666</v>
      </c>
      <c r="J2144" s="13" t="s">
        <v>4754</v>
      </c>
      <c r="K2144" s="13" t="s">
        <v>4672</v>
      </c>
      <c r="L2144" s="12" t="s">
        <v>4723</v>
      </c>
      <c r="M2144" s="17" t="str">
        <f>IF(LEN(COUNTIFS($H$1:H2144,$H2144,$I$1:I2144,$I2144,$J$1:J2144,$J2144,$K$1:K2144,K2144,$L$1:L2144,L2144))=1,"00"&amp;COUNTIFS($H$1:H2144,$H2144,$I$1:I2144,$I2144,$J$1:J2144,$J2144,$K$1:K2144,K2144,$L$1:L2144,L2144),IF(LEN(COUNTIFS($H$1:H2144,$H2144,$I$1:I2144,$I2144,$J$1:J2144,$J2144,$K$1:K2144,K2144,$L$1:L2144,L2144))=2,"0"&amp;COUNTIFS($H$1:H2144,$H2144,$I$1:I2144,$I2144,$J$1:J2144,$J2144,$K$1:K2144,K2144,$L$1:L2144,L2144),COUNTIFS($H$1:H2144,$H2144,$I$1:I2144,$I2144,$J$1:J2144,$J2144,$K$1:K2144,K2144,$L$1:L2144,L2144)))</f>
        <v>013</v>
      </c>
      <c r="N214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44" s="14" t="e">
        <f>+LEN(Table4[[#This Row],[New Item Code]])</f>
        <v>#N/A</v>
      </c>
      <c r="P2144" s="15" t="s">
        <v>4747</v>
      </c>
      <c r="Q2144" s="15" t="s">
        <v>4749</v>
      </c>
      <c r="R2144" s="15"/>
      <c r="S2144" s="15"/>
      <c r="T2144" s="15" t="s">
        <v>4723</v>
      </c>
    </row>
    <row r="2145" spans="1:20" x14ac:dyDescent="0.35">
      <c r="A2145" s="2" t="s">
        <v>4221</v>
      </c>
      <c r="B2145" s="2" t="s">
        <v>4222</v>
      </c>
      <c r="C2145" s="2" t="s">
        <v>15</v>
      </c>
      <c r="D2145" s="2">
        <v>0</v>
      </c>
      <c r="E2145" s="2" t="s">
        <v>10</v>
      </c>
      <c r="F2145" s="2">
        <v>0</v>
      </c>
      <c r="G2145" s="22">
        <f>Table4[[#This Row],[Item Cost]]*Table4[[#This Row],[In Stock]]</f>
        <v>0</v>
      </c>
      <c r="H2145" s="12" t="s">
        <v>4661</v>
      </c>
      <c r="I2145" s="13" t="s">
        <v>4666</v>
      </c>
      <c r="J2145" s="13" t="s">
        <v>4754</v>
      </c>
      <c r="K2145" s="13" t="s">
        <v>4672</v>
      </c>
      <c r="L2145" s="12" t="s">
        <v>4723</v>
      </c>
      <c r="M2145" s="17" t="str">
        <f>IF(LEN(COUNTIFS($H$1:H2145,$H2145,$I$1:I2145,$I2145,$J$1:J2145,$J2145,$K$1:K2145,K2145,$L$1:L2145,L2145))=1,"00"&amp;COUNTIFS($H$1:H2145,$H2145,$I$1:I2145,$I2145,$J$1:J2145,$J2145,$K$1:K2145,K2145,$L$1:L2145,L2145),IF(LEN(COUNTIFS($H$1:H2145,$H2145,$I$1:I2145,$I2145,$J$1:J2145,$J2145,$K$1:K2145,K2145,$L$1:L2145,L2145))=2,"0"&amp;COUNTIFS($H$1:H2145,$H2145,$I$1:I2145,$I2145,$J$1:J2145,$J2145,$K$1:K2145,K2145,$L$1:L2145,L2145),COUNTIFS($H$1:H2145,$H2145,$I$1:I2145,$I2145,$J$1:J2145,$J2145,$K$1:K2145,K2145,$L$1:L2145,L2145)))</f>
        <v>014</v>
      </c>
      <c r="N214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45" s="14" t="e">
        <f>+LEN(Table4[[#This Row],[New Item Code]])</f>
        <v>#N/A</v>
      </c>
      <c r="P2145" s="15" t="s">
        <v>4747</v>
      </c>
      <c r="Q2145" s="15" t="s">
        <v>4749</v>
      </c>
      <c r="R2145" s="15"/>
      <c r="S2145" s="15"/>
      <c r="T2145" s="15" t="s">
        <v>4723</v>
      </c>
    </row>
    <row r="2146" spans="1:20" x14ac:dyDescent="0.35">
      <c r="A2146" s="3" t="s">
        <v>4223</v>
      </c>
      <c r="B2146" s="3" t="s">
        <v>4224</v>
      </c>
      <c r="C2146" s="3" t="s">
        <v>9</v>
      </c>
      <c r="D2146" s="3">
        <v>22</v>
      </c>
      <c r="E2146" s="3" t="s">
        <v>10</v>
      </c>
      <c r="F2146" s="3">
        <v>5</v>
      </c>
      <c r="G2146" s="21">
        <f>Table4[[#This Row],[Item Cost]]*Table4[[#This Row],[In Stock]]</f>
        <v>110</v>
      </c>
      <c r="H2146" s="12" t="s">
        <v>4661</v>
      </c>
      <c r="I2146" s="13" t="s">
        <v>4664</v>
      </c>
      <c r="J2146" s="13" t="s">
        <v>4754</v>
      </c>
      <c r="K2146" s="13" t="s">
        <v>4672</v>
      </c>
      <c r="L2146" s="12" t="s">
        <v>4723</v>
      </c>
      <c r="M2146" s="17" t="str">
        <f>IF(LEN(COUNTIFS($H$1:H2146,$H2146,$I$1:I2146,$I2146,$J$1:J2146,$J2146,$K$1:K2146,K2146,$L$1:L2146,L2146))=1,"00"&amp;COUNTIFS($H$1:H2146,$H2146,$I$1:I2146,$I2146,$J$1:J2146,$J2146,$K$1:K2146,K2146,$L$1:L2146,L2146),IF(LEN(COUNTIFS($H$1:H2146,$H2146,$I$1:I2146,$I2146,$J$1:J2146,$J2146,$K$1:K2146,K2146,$L$1:L2146,L2146))=2,"0"&amp;COUNTIFS($H$1:H2146,$H2146,$I$1:I2146,$I2146,$J$1:J2146,$J2146,$K$1:K2146,K2146,$L$1:L2146,L2146),COUNTIFS($H$1:H2146,$H2146,$I$1:I2146,$I2146,$J$1:J2146,$J2146,$K$1:K2146,K2146,$L$1:L2146,L2146)))</f>
        <v>003</v>
      </c>
      <c r="N214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46" s="14" t="e">
        <f>+LEN(Table4[[#This Row],[New Item Code]])</f>
        <v>#N/A</v>
      </c>
      <c r="P2146" s="15" t="s">
        <v>4747</v>
      </c>
      <c r="Q2146" s="15" t="s">
        <v>4749</v>
      </c>
      <c r="R2146" s="15"/>
      <c r="S2146" s="15"/>
      <c r="T2146" s="15" t="s">
        <v>4723</v>
      </c>
    </row>
    <row r="2147" spans="1:20" x14ac:dyDescent="0.35">
      <c r="A2147" s="2" t="s">
        <v>4225</v>
      </c>
      <c r="B2147" s="2" t="s">
        <v>4226</v>
      </c>
      <c r="C2147" s="2" t="s">
        <v>15</v>
      </c>
      <c r="D2147" s="2">
        <v>0</v>
      </c>
      <c r="E2147" s="2" t="s">
        <v>10</v>
      </c>
      <c r="F2147" s="2">
        <v>0</v>
      </c>
      <c r="G2147" s="22">
        <f>Table4[[#This Row],[Item Cost]]*Table4[[#This Row],[In Stock]]</f>
        <v>0</v>
      </c>
      <c r="H2147" s="12" t="s">
        <v>4661</v>
      </c>
      <c r="I2147" s="13" t="s">
        <v>4666</v>
      </c>
      <c r="J2147" s="13" t="s">
        <v>4754</v>
      </c>
      <c r="K2147" s="13" t="s">
        <v>4672</v>
      </c>
      <c r="L2147" s="12" t="s">
        <v>4723</v>
      </c>
      <c r="M2147" s="17" t="str">
        <f>IF(LEN(COUNTIFS($H$1:H2147,$H2147,$I$1:I2147,$I2147,$J$1:J2147,$J2147,$K$1:K2147,K2147,$L$1:L2147,L2147))=1,"00"&amp;COUNTIFS($H$1:H2147,$H2147,$I$1:I2147,$I2147,$J$1:J2147,$J2147,$K$1:K2147,K2147,$L$1:L2147,L2147),IF(LEN(COUNTIFS($H$1:H2147,$H2147,$I$1:I2147,$I2147,$J$1:J2147,$J2147,$K$1:K2147,K2147,$L$1:L2147,L2147))=2,"0"&amp;COUNTIFS($H$1:H2147,$H2147,$I$1:I2147,$I2147,$J$1:J2147,$J2147,$K$1:K2147,K2147,$L$1:L2147,L2147),COUNTIFS($H$1:H2147,$H2147,$I$1:I2147,$I2147,$J$1:J2147,$J2147,$K$1:K2147,K2147,$L$1:L2147,L2147)))</f>
        <v>015</v>
      </c>
      <c r="N214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47" s="14" t="e">
        <f>+LEN(Table4[[#This Row],[New Item Code]])</f>
        <v>#N/A</v>
      </c>
      <c r="P2147" s="15" t="s">
        <v>4747</v>
      </c>
      <c r="Q2147" s="15" t="s">
        <v>4749</v>
      </c>
      <c r="R2147" s="15"/>
      <c r="S2147" s="15"/>
      <c r="T2147" s="15" t="s">
        <v>4723</v>
      </c>
    </row>
    <row r="2148" spans="1:20" x14ac:dyDescent="0.35">
      <c r="A2148" s="3" t="s">
        <v>4227</v>
      </c>
      <c r="B2148" s="3" t="s">
        <v>4228</v>
      </c>
      <c r="C2148" s="3" t="s">
        <v>15</v>
      </c>
      <c r="D2148" s="3">
        <v>0</v>
      </c>
      <c r="E2148" s="3" t="s">
        <v>10</v>
      </c>
      <c r="F2148" s="3">
        <v>0</v>
      </c>
      <c r="G2148" s="21">
        <f>Table4[[#This Row],[Item Cost]]*Table4[[#This Row],[In Stock]]</f>
        <v>0</v>
      </c>
      <c r="H2148" s="12" t="s">
        <v>4661</v>
      </c>
      <c r="I2148" s="13" t="s">
        <v>4666</v>
      </c>
      <c r="J2148" s="13" t="s">
        <v>4754</v>
      </c>
      <c r="K2148" s="13" t="s">
        <v>4672</v>
      </c>
      <c r="L2148" s="12" t="s">
        <v>4723</v>
      </c>
      <c r="M2148" s="17" t="str">
        <f>IF(LEN(COUNTIFS($H$1:H2148,$H2148,$I$1:I2148,$I2148,$J$1:J2148,$J2148,$K$1:K2148,K2148,$L$1:L2148,L2148))=1,"00"&amp;COUNTIFS($H$1:H2148,$H2148,$I$1:I2148,$I2148,$J$1:J2148,$J2148,$K$1:K2148,K2148,$L$1:L2148,L2148),IF(LEN(COUNTIFS($H$1:H2148,$H2148,$I$1:I2148,$I2148,$J$1:J2148,$J2148,$K$1:K2148,K2148,$L$1:L2148,L2148))=2,"0"&amp;COUNTIFS($H$1:H2148,$H2148,$I$1:I2148,$I2148,$J$1:J2148,$J2148,$K$1:K2148,K2148,$L$1:L2148,L2148),COUNTIFS($H$1:H2148,$H2148,$I$1:I2148,$I2148,$J$1:J2148,$J2148,$K$1:K2148,K2148,$L$1:L2148,L2148)))</f>
        <v>016</v>
      </c>
      <c r="N214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48" s="14" t="e">
        <f>+LEN(Table4[[#This Row],[New Item Code]])</f>
        <v>#N/A</v>
      </c>
      <c r="P2148" s="15" t="s">
        <v>4747</v>
      </c>
      <c r="Q2148" s="15" t="s">
        <v>4749</v>
      </c>
      <c r="R2148" s="15"/>
      <c r="S2148" s="15"/>
      <c r="T2148" s="15" t="s">
        <v>4723</v>
      </c>
    </row>
    <row r="2149" spans="1:20" x14ac:dyDescent="0.35">
      <c r="A2149" s="2" t="s">
        <v>4229</v>
      </c>
      <c r="B2149" s="2" t="s">
        <v>4230</v>
      </c>
      <c r="C2149" s="2" t="s">
        <v>15</v>
      </c>
      <c r="D2149" s="2">
        <v>0</v>
      </c>
      <c r="E2149" s="2" t="s">
        <v>10</v>
      </c>
      <c r="F2149" s="2">
        <v>0</v>
      </c>
      <c r="G2149" s="22">
        <f>Table4[[#This Row],[Item Cost]]*Table4[[#This Row],[In Stock]]</f>
        <v>0</v>
      </c>
      <c r="H2149" s="12" t="s">
        <v>4661</v>
      </c>
      <c r="I2149" s="13" t="s">
        <v>4666</v>
      </c>
      <c r="J2149" s="13" t="s">
        <v>4754</v>
      </c>
      <c r="K2149" s="13" t="s">
        <v>4672</v>
      </c>
      <c r="L2149" s="12" t="s">
        <v>4723</v>
      </c>
      <c r="M2149" s="17" t="str">
        <f>IF(LEN(COUNTIFS($H$1:H2149,$H2149,$I$1:I2149,$I2149,$J$1:J2149,$J2149,$K$1:K2149,K2149,$L$1:L2149,L2149))=1,"00"&amp;COUNTIFS($H$1:H2149,$H2149,$I$1:I2149,$I2149,$J$1:J2149,$J2149,$K$1:K2149,K2149,$L$1:L2149,L2149),IF(LEN(COUNTIFS($H$1:H2149,$H2149,$I$1:I2149,$I2149,$J$1:J2149,$J2149,$K$1:K2149,K2149,$L$1:L2149,L2149))=2,"0"&amp;COUNTIFS($H$1:H2149,$H2149,$I$1:I2149,$I2149,$J$1:J2149,$J2149,$K$1:K2149,K2149,$L$1:L2149,L2149),COUNTIFS($H$1:H2149,$H2149,$I$1:I2149,$I2149,$J$1:J2149,$J2149,$K$1:K2149,K2149,$L$1:L2149,L2149)))</f>
        <v>017</v>
      </c>
      <c r="N214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49" s="14" t="e">
        <f>+LEN(Table4[[#This Row],[New Item Code]])</f>
        <v>#N/A</v>
      </c>
      <c r="P2149" s="15" t="s">
        <v>4747</v>
      </c>
      <c r="Q2149" s="15" t="s">
        <v>4749</v>
      </c>
      <c r="R2149" s="15"/>
      <c r="S2149" s="15"/>
      <c r="T2149" s="15" t="s">
        <v>4723</v>
      </c>
    </row>
    <row r="2150" spans="1:20" x14ac:dyDescent="0.35">
      <c r="A2150" s="3" t="s">
        <v>4231</v>
      </c>
      <c r="B2150" s="3" t="s">
        <v>4232</v>
      </c>
      <c r="C2150" s="3" t="s">
        <v>15</v>
      </c>
      <c r="D2150" s="3">
        <v>0</v>
      </c>
      <c r="E2150" s="3" t="s">
        <v>10</v>
      </c>
      <c r="F2150" s="3">
        <v>0</v>
      </c>
      <c r="G2150" s="21">
        <f>Table4[[#This Row],[Item Cost]]*Table4[[#This Row],[In Stock]]</f>
        <v>0</v>
      </c>
      <c r="H2150" s="12" t="s">
        <v>4661</v>
      </c>
      <c r="I2150" s="13" t="s">
        <v>4666</v>
      </c>
      <c r="J2150" s="13" t="s">
        <v>4754</v>
      </c>
      <c r="K2150" s="13" t="s">
        <v>4672</v>
      </c>
      <c r="L2150" s="12" t="s">
        <v>4723</v>
      </c>
      <c r="M2150" s="17" t="str">
        <f>IF(LEN(COUNTIFS($H$1:H2150,$H2150,$I$1:I2150,$I2150,$J$1:J2150,$J2150,$K$1:K2150,K2150,$L$1:L2150,L2150))=1,"00"&amp;COUNTIFS($H$1:H2150,$H2150,$I$1:I2150,$I2150,$J$1:J2150,$J2150,$K$1:K2150,K2150,$L$1:L2150,L2150),IF(LEN(COUNTIFS($H$1:H2150,$H2150,$I$1:I2150,$I2150,$J$1:J2150,$J2150,$K$1:K2150,K2150,$L$1:L2150,L2150))=2,"0"&amp;COUNTIFS($H$1:H2150,$H2150,$I$1:I2150,$I2150,$J$1:J2150,$J2150,$K$1:K2150,K2150,$L$1:L2150,L2150),COUNTIFS($H$1:H2150,$H2150,$I$1:I2150,$I2150,$J$1:J2150,$J2150,$K$1:K2150,K2150,$L$1:L2150,L2150)))</f>
        <v>018</v>
      </c>
      <c r="N215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50" s="14" t="e">
        <f>+LEN(Table4[[#This Row],[New Item Code]])</f>
        <v>#N/A</v>
      </c>
      <c r="P2150" s="15" t="s">
        <v>4747</v>
      </c>
      <c r="Q2150" s="15" t="s">
        <v>4749</v>
      </c>
      <c r="R2150" s="15"/>
      <c r="S2150" s="15"/>
      <c r="T2150" s="15" t="s">
        <v>4723</v>
      </c>
    </row>
    <row r="2151" spans="1:20" x14ac:dyDescent="0.35">
      <c r="A2151" s="2" t="s">
        <v>4233</v>
      </c>
      <c r="B2151" s="2" t="s">
        <v>4234</v>
      </c>
      <c r="C2151" s="2" t="s">
        <v>15</v>
      </c>
      <c r="D2151" s="2">
        <v>0</v>
      </c>
      <c r="E2151" s="2" t="s">
        <v>10</v>
      </c>
      <c r="F2151" s="2">
        <v>0</v>
      </c>
      <c r="G2151" s="22">
        <f>Table4[[#This Row],[Item Cost]]*Table4[[#This Row],[In Stock]]</f>
        <v>0</v>
      </c>
      <c r="H2151" s="12" t="s">
        <v>4661</v>
      </c>
      <c r="I2151" s="13" t="s">
        <v>4666</v>
      </c>
      <c r="J2151" s="13" t="s">
        <v>4754</v>
      </c>
      <c r="K2151" t="s">
        <v>4799</v>
      </c>
      <c r="L2151" s="12" t="s">
        <v>4723</v>
      </c>
      <c r="M2151" s="17" t="str">
        <f>IF(LEN(COUNTIFS($H$1:H2151,$H2151,$I$1:I2151,$I2151,$J$1:J2151,$J2151,$K$1:K2151,K2151,$L$1:L2151,L2151))=1,"00"&amp;COUNTIFS($H$1:H2151,$H2151,$I$1:I2151,$I2151,$J$1:J2151,$J2151,$K$1:K2151,K2151,$L$1:L2151,L2151),IF(LEN(COUNTIFS($H$1:H2151,$H2151,$I$1:I2151,$I2151,$J$1:J2151,$J2151,$K$1:K2151,K2151,$L$1:L2151,L2151))=2,"0"&amp;COUNTIFS($H$1:H2151,$H2151,$I$1:I2151,$I2151,$J$1:J2151,$J2151,$K$1:K2151,K2151,$L$1:L2151,L2151),COUNTIFS($H$1:H2151,$H2151,$I$1:I2151,$I2151,$J$1:J2151,$J2151,$K$1:K2151,K2151,$L$1:L2151,L2151)))</f>
        <v>001</v>
      </c>
      <c r="N215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51" s="14" t="e">
        <f>+LEN(Table4[[#This Row],[New Item Code]])</f>
        <v>#N/A</v>
      </c>
      <c r="P2151" s="15" t="s">
        <v>4747</v>
      </c>
      <c r="Q2151" s="15" t="s">
        <v>4749</v>
      </c>
      <c r="R2151" s="15"/>
      <c r="S2151" s="15"/>
      <c r="T2151" s="15" t="s">
        <v>4723</v>
      </c>
    </row>
    <row r="2152" spans="1:20" x14ac:dyDescent="0.35">
      <c r="A2152" s="3" t="s">
        <v>4235</v>
      </c>
      <c r="B2152" s="3" t="s">
        <v>4236</v>
      </c>
      <c r="C2152" s="3" t="s">
        <v>15</v>
      </c>
      <c r="D2152" s="3">
        <v>0</v>
      </c>
      <c r="E2152" s="3" t="s">
        <v>10</v>
      </c>
      <c r="F2152" s="3">
        <v>0</v>
      </c>
      <c r="G2152" s="21">
        <f>Table4[[#This Row],[Item Cost]]*Table4[[#This Row],[In Stock]]</f>
        <v>0</v>
      </c>
      <c r="H2152" s="12" t="s">
        <v>4661</v>
      </c>
      <c r="I2152" s="13" t="s">
        <v>4666</v>
      </c>
      <c r="J2152" s="13" t="s">
        <v>4754</v>
      </c>
      <c r="K2152" s="13" t="s">
        <v>4672</v>
      </c>
      <c r="L2152" s="12" t="s">
        <v>4723</v>
      </c>
      <c r="M2152" s="17" t="str">
        <f>IF(LEN(COUNTIFS($H$1:H2152,$H2152,$I$1:I2152,$I2152,$J$1:J2152,$J2152,$K$1:K2152,K2152,$L$1:L2152,L2152))=1,"00"&amp;COUNTIFS($H$1:H2152,$H2152,$I$1:I2152,$I2152,$J$1:J2152,$J2152,$K$1:K2152,K2152,$L$1:L2152,L2152),IF(LEN(COUNTIFS($H$1:H2152,$H2152,$I$1:I2152,$I2152,$J$1:J2152,$J2152,$K$1:K2152,K2152,$L$1:L2152,L2152))=2,"0"&amp;COUNTIFS($H$1:H2152,$H2152,$I$1:I2152,$I2152,$J$1:J2152,$J2152,$K$1:K2152,K2152,$L$1:L2152,L2152),COUNTIFS($H$1:H2152,$H2152,$I$1:I2152,$I2152,$J$1:J2152,$J2152,$K$1:K2152,K2152,$L$1:L2152,L2152)))</f>
        <v>019</v>
      </c>
      <c r="N215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52" s="14" t="e">
        <f>+LEN(Table4[[#This Row],[New Item Code]])</f>
        <v>#N/A</v>
      </c>
      <c r="P2152" s="15" t="s">
        <v>4747</v>
      </c>
      <c r="Q2152" s="15" t="s">
        <v>4749</v>
      </c>
      <c r="R2152" s="15"/>
      <c r="S2152" s="15"/>
      <c r="T2152" s="15" t="s">
        <v>4723</v>
      </c>
    </row>
    <row r="2153" spans="1:20" x14ac:dyDescent="0.35">
      <c r="A2153" s="2" t="s">
        <v>4237</v>
      </c>
      <c r="B2153" s="2" t="s">
        <v>4238</v>
      </c>
      <c r="C2153" s="2" t="s">
        <v>15</v>
      </c>
      <c r="D2153" s="2">
        <v>65</v>
      </c>
      <c r="E2153" s="2" t="s">
        <v>10</v>
      </c>
      <c r="F2153" s="2">
        <v>1</v>
      </c>
      <c r="G2153" s="22">
        <f>Table4[[#This Row],[Item Cost]]*Table4[[#This Row],[In Stock]]</f>
        <v>65</v>
      </c>
      <c r="H2153" s="12" t="s">
        <v>4661</v>
      </c>
      <c r="I2153" s="13" t="s">
        <v>4666</v>
      </c>
      <c r="J2153" s="13" t="s">
        <v>4754</v>
      </c>
      <c r="K2153" s="13" t="s">
        <v>4672</v>
      </c>
      <c r="L2153" s="12" t="s">
        <v>4723</v>
      </c>
      <c r="M2153" s="17" t="str">
        <f>IF(LEN(COUNTIFS($H$1:H2153,$H2153,$I$1:I2153,$I2153,$J$1:J2153,$J2153,$K$1:K2153,K2153,$L$1:L2153,L2153))=1,"00"&amp;COUNTIFS($H$1:H2153,$H2153,$I$1:I2153,$I2153,$J$1:J2153,$J2153,$K$1:K2153,K2153,$L$1:L2153,L2153),IF(LEN(COUNTIFS($H$1:H2153,$H2153,$I$1:I2153,$I2153,$J$1:J2153,$J2153,$K$1:K2153,K2153,$L$1:L2153,L2153))=2,"0"&amp;COUNTIFS($H$1:H2153,$H2153,$I$1:I2153,$I2153,$J$1:J2153,$J2153,$K$1:K2153,K2153,$L$1:L2153,L2153),COUNTIFS($H$1:H2153,$H2153,$I$1:I2153,$I2153,$J$1:J2153,$J2153,$K$1:K2153,K2153,$L$1:L2153,L2153)))</f>
        <v>020</v>
      </c>
      <c r="N215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53" s="14" t="e">
        <f>+LEN(Table4[[#This Row],[New Item Code]])</f>
        <v>#N/A</v>
      </c>
      <c r="P2153" s="15" t="s">
        <v>4747</v>
      </c>
      <c r="Q2153" s="15" t="s">
        <v>4749</v>
      </c>
      <c r="R2153" s="15"/>
      <c r="S2153" s="15"/>
      <c r="T2153" s="15" t="s">
        <v>4723</v>
      </c>
    </row>
    <row r="2154" spans="1:20" x14ac:dyDescent="0.35">
      <c r="A2154" s="3" t="s">
        <v>4239</v>
      </c>
      <c r="B2154" s="3" t="s">
        <v>4240</v>
      </c>
      <c r="C2154" s="3" t="s">
        <v>15</v>
      </c>
      <c r="D2154" s="3">
        <v>0</v>
      </c>
      <c r="E2154" s="3" t="s">
        <v>10</v>
      </c>
      <c r="F2154" s="3">
        <v>0</v>
      </c>
      <c r="G2154" s="21">
        <f>Table4[[#This Row],[Item Cost]]*Table4[[#This Row],[In Stock]]</f>
        <v>0</v>
      </c>
      <c r="H2154" s="12" t="s">
        <v>4661</v>
      </c>
      <c r="I2154" s="13" t="s">
        <v>4666</v>
      </c>
      <c r="J2154" s="13" t="s">
        <v>4754</v>
      </c>
      <c r="K2154" s="13" t="s">
        <v>4672</v>
      </c>
      <c r="L2154" s="12" t="s">
        <v>4723</v>
      </c>
      <c r="M2154" s="17" t="str">
        <f>IF(LEN(COUNTIFS($H$1:H2154,$H2154,$I$1:I2154,$I2154,$J$1:J2154,$J2154,$K$1:K2154,K2154,$L$1:L2154,L2154))=1,"00"&amp;COUNTIFS($H$1:H2154,$H2154,$I$1:I2154,$I2154,$J$1:J2154,$J2154,$K$1:K2154,K2154,$L$1:L2154,L2154),IF(LEN(COUNTIFS($H$1:H2154,$H2154,$I$1:I2154,$I2154,$J$1:J2154,$J2154,$K$1:K2154,K2154,$L$1:L2154,L2154))=2,"0"&amp;COUNTIFS($H$1:H2154,$H2154,$I$1:I2154,$I2154,$J$1:J2154,$J2154,$K$1:K2154,K2154,$L$1:L2154,L2154),COUNTIFS($H$1:H2154,$H2154,$I$1:I2154,$I2154,$J$1:J2154,$J2154,$K$1:K2154,K2154,$L$1:L2154,L2154)))</f>
        <v>021</v>
      </c>
      <c r="N215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54" s="14" t="e">
        <f>+LEN(Table4[[#This Row],[New Item Code]])</f>
        <v>#N/A</v>
      </c>
      <c r="P2154" s="15" t="s">
        <v>4747</v>
      </c>
      <c r="Q2154" s="15" t="s">
        <v>4749</v>
      </c>
      <c r="R2154" s="15"/>
      <c r="S2154" s="15"/>
      <c r="T2154" s="15" t="s">
        <v>4723</v>
      </c>
    </row>
    <row r="2155" spans="1:20" x14ac:dyDescent="0.35">
      <c r="A2155" s="2" t="s">
        <v>4241</v>
      </c>
      <c r="B2155" s="2" t="s">
        <v>4242</v>
      </c>
      <c r="C2155" s="2" t="s">
        <v>9</v>
      </c>
      <c r="D2155" s="2">
        <v>36</v>
      </c>
      <c r="E2155" s="2" t="s">
        <v>10</v>
      </c>
      <c r="F2155" s="2">
        <v>1</v>
      </c>
      <c r="G2155" s="22">
        <f>Table4[[#This Row],[Item Cost]]*Table4[[#This Row],[In Stock]]</f>
        <v>36</v>
      </c>
      <c r="H2155" s="12" t="s">
        <v>4661</v>
      </c>
      <c r="I2155" s="13" t="s">
        <v>4664</v>
      </c>
      <c r="J2155" s="13" t="s">
        <v>4754</v>
      </c>
      <c r="K2155" s="13" t="s">
        <v>4672</v>
      </c>
      <c r="L2155" s="12" t="s">
        <v>4723</v>
      </c>
      <c r="M2155" s="17" t="str">
        <f>IF(LEN(COUNTIFS($H$1:H2155,$H2155,$I$1:I2155,$I2155,$J$1:J2155,$J2155,$K$1:K2155,K2155,$L$1:L2155,L2155))=1,"00"&amp;COUNTIFS($H$1:H2155,$H2155,$I$1:I2155,$I2155,$J$1:J2155,$J2155,$K$1:K2155,K2155,$L$1:L2155,L2155),IF(LEN(COUNTIFS($H$1:H2155,$H2155,$I$1:I2155,$I2155,$J$1:J2155,$J2155,$K$1:K2155,K2155,$L$1:L2155,L2155))=2,"0"&amp;COUNTIFS($H$1:H2155,$H2155,$I$1:I2155,$I2155,$J$1:J2155,$J2155,$K$1:K2155,K2155,$L$1:L2155,L2155),COUNTIFS($H$1:H2155,$H2155,$I$1:I2155,$I2155,$J$1:J2155,$J2155,$K$1:K2155,K2155,$L$1:L2155,L2155)))</f>
        <v>004</v>
      </c>
      <c r="N215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55" s="14" t="e">
        <f>+LEN(Table4[[#This Row],[New Item Code]])</f>
        <v>#N/A</v>
      </c>
      <c r="P2155" s="15" t="s">
        <v>4747</v>
      </c>
      <c r="Q2155" s="15" t="s">
        <v>4749</v>
      </c>
      <c r="R2155" s="15"/>
      <c r="S2155" s="15"/>
      <c r="T2155" s="15" t="s">
        <v>4723</v>
      </c>
    </row>
    <row r="2156" spans="1:20" x14ac:dyDescent="0.35">
      <c r="A2156" s="3" t="s">
        <v>4243</v>
      </c>
      <c r="B2156" s="3" t="s">
        <v>4244</v>
      </c>
      <c r="C2156" s="3" t="s">
        <v>9</v>
      </c>
      <c r="D2156" s="3">
        <v>100</v>
      </c>
      <c r="E2156" s="3" t="s">
        <v>10</v>
      </c>
      <c r="F2156" s="3">
        <v>1</v>
      </c>
      <c r="G2156" s="21">
        <f>Table4[[#This Row],[Item Cost]]*Table4[[#This Row],[In Stock]]</f>
        <v>100</v>
      </c>
      <c r="H2156" s="12" t="s">
        <v>4661</v>
      </c>
      <c r="I2156" s="13" t="s">
        <v>4664</v>
      </c>
      <c r="J2156" s="13" t="s">
        <v>4754</v>
      </c>
      <c r="K2156" s="13" t="s">
        <v>4672</v>
      </c>
      <c r="L2156" s="12" t="s">
        <v>4723</v>
      </c>
      <c r="M2156" s="17" t="str">
        <f>IF(LEN(COUNTIFS($H$1:H2156,$H2156,$I$1:I2156,$I2156,$J$1:J2156,$J2156,$K$1:K2156,K2156,$L$1:L2156,L2156))=1,"00"&amp;COUNTIFS($H$1:H2156,$H2156,$I$1:I2156,$I2156,$J$1:J2156,$J2156,$K$1:K2156,K2156,$L$1:L2156,L2156),IF(LEN(COUNTIFS($H$1:H2156,$H2156,$I$1:I2156,$I2156,$J$1:J2156,$J2156,$K$1:K2156,K2156,$L$1:L2156,L2156))=2,"0"&amp;COUNTIFS($H$1:H2156,$H2156,$I$1:I2156,$I2156,$J$1:J2156,$J2156,$K$1:K2156,K2156,$L$1:L2156,L2156),COUNTIFS($H$1:H2156,$H2156,$I$1:I2156,$I2156,$J$1:J2156,$J2156,$K$1:K2156,K2156,$L$1:L2156,L2156)))</f>
        <v>005</v>
      </c>
      <c r="N215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56" s="14" t="e">
        <f>+LEN(Table4[[#This Row],[New Item Code]])</f>
        <v>#N/A</v>
      </c>
      <c r="P2156" s="15" t="s">
        <v>4747</v>
      </c>
      <c r="Q2156" s="15" t="s">
        <v>4749</v>
      </c>
      <c r="R2156" s="15"/>
      <c r="S2156" s="15"/>
      <c r="T2156" s="15" t="s">
        <v>4723</v>
      </c>
    </row>
    <row r="2157" spans="1:20" x14ac:dyDescent="0.35">
      <c r="A2157" s="2" t="s">
        <v>4245</v>
      </c>
      <c r="B2157" s="2" t="s">
        <v>4246</v>
      </c>
      <c r="C2157" s="2" t="s">
        <v>15</v>
      </c>
      <c r="D2157" s="2">
        <v>0</v>
      </c>
      <c r="E2157" s="2" t="s">
        <v>10</v>
      </c>
      <c r="F2157" s="2">
        <v>0</v>
      </c>
      <c r="G2157" s="22">
        <f>Table4[[#This Row],[Item Cost]]*Table4[[#This Row],[In Stock]]</f>
        <v>0</v>
      </c>
      <c r="H2157" s="12" t="s">
        <v>4661</v>
      </c>
      <c r="I2157" s="13" t="s">
        <v>4666</v>
      </c>
      <c r="J2157" s="13" t="s">
        <v>4754</v>
      </c>
      <c r="K2157" s="13" t="s">
        <v>4672</v>
      </c>
      <c r="L2157" s="12" t="s">
        <v>4723</v>
      </c>
      <c r="M2157" s="17" t="str">
        <f>IF(LEN(COUNTIFS($H$1:H2157,$H2157,$I$1:I2157,$I2157,$J$1:J2157,$J2157,$K$1:K2157,K2157,$L$1:L2157,L2157))=1,"00"&amp;COUNTIFS($H$1:H2157,$H2157,$I$1:I2157,$I2157,$J$1:J2157,$J2157,$K$1:K2157,K2157,$L$1:L2157,L2157),IF(LEN(COUNTIFS($H$1:H2157,$H2157,$I$1:I2157,$I2157,$J$1:J2157,$J2157,$K$1:K2157,K2157,$L$1:L2157,L2157))=2,"0"&amp;COUNTIFS($H$1:H2157,$H2157,$I$1:I2157,$I2157,$J$1:J2157,$J2157,$K$1:K2157,K2157,$L$1:L2157,L2157),COUNTIFS($H$1:H2157,$H2157,$I$1:I2157,$I2157,$J$1:J2157,$J2157,$K$1:K2157,K2157,$L$1:L2157,L2157)))</f>
        <v>022</v>
      </c>
      <c r="N215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57" s="14" t="e">
        <f>+LEN(Table4[[#This Row],[New Item Code]])</f>
        <v>#N/A</v>
      </c>
      <c r="P2157" s="15" t="s">
        <v>4747</v>
      </c>
      <c r="Q2157" s="15" t="s">
        <v>4749</v>
      </c>
      <c r="R2157" s="15"/>
      <c r="S2157" s="15"/>
      <c r="T2157" s="15" t="s">
        <v>4723</v>
      </c>
    </row>
    <row r="2158" spans="1:20" x14ac:dyDescent="0.35">
      <c r="A2158" s="3" t="s">
        <v>4247</v>
      </c>
      <c r="B2158" s="3" t="s">
        <v>4248</v>
      </c>
      <c r="C2158" s="3" t="s">
        <v>9</v>
      </c>
      <c r="D2158" s="3">
        <v>2300</v>
      </c>
      <c r="E2158" s="3" t="s">
        <v>10</v>
      </c>
      <c r="F2158" s="3">
        <v>1</v>
      </c>
      <c r="G2158" s="21">
        <f>Table4[[#This Row],[Item Cost]]*Table4[[#This Row],[In Stock]]</f>
        <v>2300</v>
      </c>
      <c r="H2158" s="12" t="s">
        <v>4661</v>
      </c>
      <c r="I2158" s="13" t="s">
        <v>4664</v>
      </c>
      <c r="J2158" s="13" t="s">
        <v>4754</v>
      </c>
      <c r="K2158" s="13" t="s">
        <v>4672</v>
      </c>
      <c r="L2158" s="12" t="s">
        <v>4723</v>
      </c>
      <c r="M2158" s="17" t="str">
        <f>IF(LEN(COUNTIFS($H$1:H2158,$H2158,$I$1:I2158,$I2158,$J$1:J2158,$J2158,$K$1:K2158,K2158,$L$1:L2158,L2158))=1,"00"&amp;COUNTIFS($H$1:H2158,$H2158,$I$1:I2158,$I2158,$J$1:J2158,$J2158,$K$1:K2158,K2158,$L$1:L2158,L2158),IF(LEN(COUNTIFS($H$1:H2158,$H2158,$I$1:I2158,$I2158,$J$1:J2158,$J2158,$K$1:K2158,K2158,$L$1:L2158,L2158))=2,"0"&amp;COUNTIFS($H$1:H2158,$H2158,$I$1:I2158,$I2158,$J$1:J2158,$J2158,$K$1:K2158,K2158,$L$1:L2158,L2158),COUNTIFS($H$1:H2158,$H2158,$I$1:I2158,$I2158,$J$1:J2158,$J2158,$K$1:K2158,K2158,$L$1:L2158,L2158)))</f>
        <v>006</v>
      </c>
      <c r="N215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58" s="14" t="e">
        <f>+LEN(Table4[[#This Row],[New Item Code]])</f>
        <v>#N/A</v>
      </c>
      <c r="P2158" s="15" t="s">
        <v>4747</v>
      </c>
      <c r="Q2158" s="15" t="s">
        <v>4749</v>
      </c>
      <c r="R2158" s="15"/>
      <c r="S2158" s="15"/>
      <c r="T2158" s="15" t="s">
        <v>4723</v>
      </c>
    </row>
    <row r="2159" spans="1:20" x14ac:dyDescent="0.35">
      <c r="A2159" s="2" t="s">
        <v>4249</v>
      </c>
      <c r="B2159" s="2" t="s">
        <v>4250</v>
      </c>
      <c r="C2159" s="2" t="s">
        <v>9</v>
      </c>
      <c r="D2159" s="2">
        <v>1000</v>
      </c>
      <c r="E2159" s="2" t="s">
        <v>10</v>
      </c>
      <c r="F2159" s="2">
        <v>1</v>
      </c>
      <c r="G2159" s="22">
        <f>Table4[[#This Row],[Item Cost]]*Table4[[#This Row],[In Stock]]</f>
        <v>1000</v>
      </c>
      <c r="H2159" s="12" t="s">
        <v>4661</v>
      </c>
      <c r="I2159" s="13" t="s">
        <v>4664</v>
      </c>
      <c r="J2159" s="13" t="s">
        <v>4754</v>
      </c>
      <c r="K2159" s="13" t="s">
        <v>4672</v>
      </c>
      <c r="L2159" s="12" t="s">
        <v>4723</v>
      </c>
      <c r="M2159" s="17" t="str">
        <f>IF(LEN(COUNTIFS($H$1:H2159,$H2159,$I$1:I2159,$I2159,$J$1:J2159,$J2159,$K$1:K2159,K2159,$L$1:L2159,L2159))=1,"00"&amp;COUNTIFS($H$1:H2159,$H2159,$I$1:I2159,$I2159,$J$1:J2159,$J2159,$K$1:K2159,K2159,$L$1:L2159,L2159),IF(LEN(COUNTIFS($H$1:H2159,$H2159,$I$1:I2159,$I2159,$J$1:J2159,$J2159,$K$1:K2159,K2159,$L$1:L2159,L2159))=2,"0"&amp;COUNTIFS($H$1:H2159,$H2159,$I$1:I2159,$I2159,$J$1:J2159,$J2159,$K$1:K2159,K2159,$L$1:L2159,L2159),COUNTIFS($H$1:H2159,$H2159,$I$1:I2159,$I2159,$J$1:J2159,$J2159,$K$1:K2159,K2159,$L$1:L2159,L2159)))</f>
        <v>007</v>
      </c>
      <c r="N215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59" s="14" t="e">
        <f>+LEN(Table4[[#This Row],[New Item Code]])</f>
        <v>#N/A</v>
      </c>
      <c r="P2159" s="15" t="s">
        <v>4747</v>
      </c>
      <c r="Q2159" s="15" t="s">
        <v>4749</v>
      </c>
      <c r="R2159" s="15"/>
      <c r="S2159" s="15"/>
      <c r="T2159" s="15" t="s">
        <v>4723</v>
      </c>
    </row>
    <row r="2160" spans="1:20" x14ac:dyDescent="0.35">
      <c r="A2160" s="3" t="s">
        <v>4251</v>
      </c>
      <c r="B2160" s="3" t="s">
        <v>4252</v>
      </c>
      <c r="C2160" s="3" t="s">
        <v>9</v>
      </c>
      <c r="D2160" s="3">
        <v>2200</v>
      </c>
      <c r="E2160" s="3" t="s">
        <v>10</v>
      </c>
      <c r="F2160" s="3">
        <v>1</v>
      </c>
      <c r="G2160" s="21">
        <f>Table4[[#This Row],[Item Cost]]*Table4[[#This Row],[In Stock]]</f>
        <v>2200</v>
      </c>
      <c r="H2160" s="12" t="s">
        <v>4661</v>
      </c>
      <c r="I2160" s="13" t="s">
        <v>4664</v>
      </c>
      <c r="J2160" s="13" t="s">
        <v>4754</v>
      </c>
      <c r="K2160" s="13" t="s">
        <v>4672</v>
      </c>
      <c r="L2160" s="12" t="s">
        <v>4723</v>
      </c>
      <c r="M2160" s="17" t="str">
        <f>IF(LEN(COUNTIFS($H$1:H2160,$H2160,$I$1:I2160,$I2160,$J$1:J2160,$J2160,$K$1:K2160,K2160,$L$1:L2160,L2160))=1,"00"&amp;COUNTIFS($H$1:H2160,$H2160,$I$1:I2160,$I2160,$J$1:J2160,$J2160,$K$1:K2160,K2160,$L$1:L2160,L2160),IF(LEN(COUNTIFS($H$1:H2160,$H2160,$I$1:I2160,$I2160,$J$1:J2160,$J2160,$K$1:K2160,K2160,$L$1:L2160,L2160))=2,"0"&amp;COUNTIFS($H$1:H2160,$H2160,$I$1:I2160,$I2160,$J$1:J2160,$J2160,$K$1:K2160,K2160,$L$1:L2160,L2160),COUNTIFS($H$1:H2160,$H2160,$I$1:I2160,$I2160,$J$1:J2160,$J2160,$K$1:K2160,K2160,$L$1:L2160,L2160)))</f>
        <v>008</v>
      </c>
      <c r="N216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60" s="14" t="e">
        <f>+LEN(Table4[[#This Row],[New Item Code]])</f>
        <v>#N/A</v>
      </c>
      <c r="P2160" s="15" t="s">
        <v>4747</v>
      </c>
      <c r="Q2160" s="15" t="s">
        <v>4749</v>
      </c>
      <c r="R2160" s="15"/>
      <c r="S2160" s="15"/>
      <c r="T2160" s="15" t="s">
        <v>4723</v>
      </c>
    </row>
    <row r="2161" spans="1:20" x14ac:dyDescent="0.35">
      <c r="A2161" s="2" t="s">
        <v>4253</v>
      </c>
      <c r="B2161" s="2" t="s">
        <v>4254</v>
      </c>
      <c r="C2161" s="2" t="s">
        <v>15</v>
      </c>
      <c r="D2161" s="4">
        <v>0</v>
      </c>
      <c r="E2161" s="2" t="s">
        <v>10</v>
      </c>
      <c r="F2161" s="2">
        <v>0</v>
      </c>
      <c r="G2161" s="22">
        <f>Table4[[#This Row],[Item Cost]]*Table4[[#This Row],[In Stock]]</f>
        <v>0</v>
      </c>
      <c r="H2161" s="12" t="s">
        <v>4661</v>
      </c>
      <c r="I2161" s="13" t="s">
        <v>4666</v>
      </c>
      <c r="J2161" s="13" t="s">
        <v>4754</v>
      </c>
      <c r="K2161" s="13" t="s">
        <v>4672</v>
      </c>
      <c r="L2161" s="12" t="s">
        <v>4723</v>
      </c>
      <c r="M2161" s="17" t="str">
        <f>IF(LEN(COUNTIFS($H$1:H2161,$H2161,$I$1:I2161,$I2161,$J$1:J2161,$J2161,$K$1:K2161,K2161,$L$1:L2161,L2161))=1,"00"&amp;COUNTIFS($H$1:H2161,$H2161,$I$1:I2161,$I2161,$J$1:J2161,$J2161,$K$1:K2161,K2161,$L$1:L2161,L2161),IF(LEN(COUNTIFS($H$1:H2161,$H2161,$I$1:I2161,$I2161,$J$1:J2161,$J2161,$K$1:K2161,K2161,$L$1:L2161,L2161))=2,"0"&amp;COUNTIFS($H$1:H2161,$H2161,$I$1:I2161,$I2161,$J$1:J2161,$J2161,$K$1:K2161,K2161,$L$1:L2161,L2161),COUNTIFS($H$1:H2161,$H2161,$I$1:I2161,$I2161,$J$1:J2161,$J2161,$K$1:K2161,K2161,$L$1:L2161,L2161)))</f>
        <v>023</v>
      </c>
      <c r="N216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61" s="14" t="e">
        <f>+LEN(Table4[[#This Row],[New Item Code]])</f>
        <v>#N/A</v>
      </c>
      <c r="P2161" s="15" t="s">
        <v>4747</v>
      </c>
      <c r="Q2161" s="15" t="s">
        <v>4749</v>
      </c>
      <c r="R2161" s="15"/>
      <c r="S2161" s="15"/>
      <c r="T2161" s="15" t="s">
        <v>4723</v>
      </c>
    </row>
    <row r="2162" spans="1:20" x14ac:dyDescent="0.35">
      <c r="A2162" s="3" t="s">
        <v>4255</v>
      </c>
      <c r="B2162" s="3" t="s">
        <v>4256</v>
      </c>
      <c r="C2162" s="3" t="s">
        <v>15</v>
      </c>
      <c r="D2162" s="5">
        <v>0</v>
      </c>
      <c r="E2162" s="3" t="s">
        <v>10</v>
      </c>
      <c r="F2162" s="3">
        <v>0</v>
      </c>
      <c r="G2162" s="21">
        <f>Table4[[#This Row],[Item Cost]]*Table4[[#This Row],[In Stock]]</f>
        <v>0</v>
      </c>
      <c r="H2162" s="12" t="s">
        <v>4661</v>
      </c>
      <c r="I2162" s="13" t="s">
        <v>4666</v>
      </c>
      <c r="J2162" s="13" t="s">
        <v>4754</v>
      </c>
      <c r="K2162" s="13" t="s">
        <v>4672</v>
      </c>
      <c r="L2162" s="12" t="s">
        <v>4723</v>
      </c>
      <c r="M2162" s="17" t="str">
        <f>IF(LEN(COUNTIFS($H$1:H2162,$H2162,$I$1:I2162,$I2162,$J$1:J2162,$J2162,$K$1:K2162,K2162,$L$1:L2162,L2162))=1,"00"&amp;COUNTIFS($H$1:H2162,$H2162,$I$1:I2162,$I2162,$J$1:J2162,$J2162,$K$1:K2162,K2162,$L$1:L2162,L2162),IF(LEN(COUNTIFS($H$1:H2162,$H2162,$I$1:I2162,$I2162,$J$1:J2162,$J2162,$K$1:K2162,K2162,$L$1:L2162,L2162))=2,"0"&amp;COUNTIFS($H$1:H2162,$H2162,$I$1:I2162,$I2162,$J$1:J2162,$J2162,$K$1:K2162,K2162,$L$1:L2162,L2162),COUNTIFS($H$1:H2162,$H2162,$I$1:I2162,$I2162,$J$1:J2162,$J2162,$K$1:K2162,K2162,$L$1:L2162,L2162)))</f>
        <v>024</v>
      </c>
      <c r="N216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62" s="14" t="e">
        <f>+LEN(Table4[[#This Row],[New Item Code]])</f>
        <v>#N/A</v>
      </c>
      <c r="P2162" s="15" t="s">
        <v>4747</v>
      </c>
      <c r="Q2162" s="15" t="s">
        <v>4749</v>
      </c>
      <c r="R2162" s="15"/>
      <c r="S2162" s="15"/>
      <c r="T2162" s="15" t="s">
        <v>4723</v>
      </c>
    </row>
    <row r="2163" spans="1:20" x14ac:dyDescent="0.35">
      <c r="A2163" s="2" t="s">
        <v>4257</v>
      </c>
      <c r="B2163" s="2" t="s">
        <v>4258</v>
      </c>
      <c r="C2163" s="2" t="s">
        <v>15</v>
      </c>
      <c r="D2163" s="4">
        <v>0</v>
      </c>
      <c r="E2163" s="2" t="s">
        <v>10</v>
      </c>
      <c r="F2163" s="2">
        <v>0</v>
      </c>
      <c r="G2163" s="22">
        <f>Table4[[#This Row],[Item Cost]]*Table4[[#This Row],[In Stock]]</f>
        <v>0</v>
      </c>
      <c r="H2163" s="12" t="s">
        <v>4661</v>
      </c>
      <c r="I2163" s="13" t="s">
        <v>4666</v>
      </c>
      <c r="J2163" s="13" t="s">
        <v>4754</v>
      </c>
      <c r="K2163" s="13" t="s">
        <v>4672</v>
      </c>
      <c r="L2163" s="12" t="s">
        <v>4723</v>
      </c>
      <c r="M2163" s="17" t="str">
        <f>IF(LEN(COUNTIFS($H$1:H2163,$H2163,$I$1:I2163,$I2163,$J$1:J2163,$J2163,$K$1:K2163,K2163,$L$1:L2163,L2163))=1,"00"&amp;COUNTIFS($H$1:H2163,$H2163,$I$1:I2163,$I2163,$J$1:J2163,$J2163,$K$1:K2163,K2163,$L$1:L2163,L2163),IF(LEN(COUNTIFS($H$1:H2163,$H2163,$I$1:I2163,$I2163,$J$1:J2163,$J2163,$K$1:K2163,K2163,$L$1:L2163,L2163))=2,"0"&amp;COUNTIFS($H$1:H2163,$H2163,$I$1:I2163,$I2163,$J$1:J2163,$J2163,$K$1:K2163,K2163,$L$1:L2163,L2163),COUNTIFS($H$1:H2163,$H2163,$I$1:I2163,$I2163,$J$1:J2163,$J2163,$K$1:K2163,K2163,$L$1:L2163,L2163)))</f>
        <v>025</v>
      </c>
      <c r="N216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63" s="14" t="e">
        <f>+LEN(Table4[[#This Row],[New Item Code]])</f>
        <v>#N/A</v>
      </c>
      <c r="P2163" s="15" t="s">
        <v>4747</v>
      </c>
      <c r="Q2163" s="15" t="s">
        <v>4749</v>
      </c>
      <c r="R2163" s="15"/>
      <c r="S2163" s="15"/>
      <c r="T2163" s="15" t="s">
        <v>4723</v>
      </c>
    </row>
    <row r="2164" spans="1:20" x14ac:dyDescent="0.35">
      <c r="A2164" s="3" t="s">
        <v>4259</v>
      </c>
      <c r="B2164" s="3" t="s">
        <v>4260</v>
      </c>
      <c r="C2164" s="3" t="s">
        <v>15</v>
      </c>
      <c r="D2164" s="3">
        <v>8000</v>
      </c>
      <c r="E2164" s="3" t="s">
        <v>10</v>
      </c>
      <c r="F2164" s="3">
        <v>0</v>
      </c>
      <c r="G2164" s="21">
        <f>Table4[[#This Row],[Item Cost]]*Table4[[#This Row],[In Stock]]</f>
        <v>0</v>
      </c>
      <c r="H2164" s="12" t="s">
        <v>4661</v>
      </c>
      <c r="I2164" s="13" t="s">
        <v>4666</v>
      </c>
      <c r="J2164" s="13" t="s">
        <v>4754</v>
      </c>
      <c r="K2164" s="13" t="s">
        <v>4672</v>
      </c>
      <c r="L2164" s="12" t="s">
        <v>4723</v>
      </c>
      <c r="M2164" s="17" t="str">
        <f>IF(LEN(COUNTIFS($H$1:H2164,$H2164,$I$1:I2164,$I2164,$J$1:J2164,$J2164,$K$1:K2164,K2164,$L$1:L2164,L2164))=1,"00"&amp;COUNTIFS($H$1:H2164,$H2164,$I$1:I2164,$I2164,$J$1:J2164,$J2164,$K$1:K2164,K2164,$L$1:L2164,L2164),IF(LEN(COUNTIFS($H$1:H2164,$H2164,$I$1:I2164,$I2164,$J$1:J2164,$J2164,$K$1:K2164,K2164,$L$1:L2164,L2164))=2,"0"&amp;COUNTIFS($H$1:H2164,$H2164,$I$1:I2164,$I2164,$J$1:J2164,$J2164,$K$1:K2164,K2164,$L$1:L2164,L2164),COUNTIFS($H$1:H2164,$H2164,$I$1:I2164,$I2164,$J$1:J2164,$J2164,$K$1:K2164,K2164,$L$1:L2164,L2164)))</f>
        <v>026</v>
      </c>
      <c r="N216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64" s="14" t="e">
        <f>+LEN(Table4[[#This Row],[New Item Code]])</f>
        <v>#N/A</v>
      </c>
      <c r="P2164" s="15" t="s">
        <v>4747</v>
      </c>
      <c r="Q2164" s="15" t="s">
        <v>4749</v>
      </c>
      <c r="R2164" s="15"/>
      <c r="S2164" s="15"/>
      <c r="T2164" s="15" t="s">
        <v>4723</v>
      </c>
    </row>
    <row r="2165" spans="1:20" x14ac:dyDescent="0.35">
      <c r="A2165" s="2" t="s">
        <v>4261</v>
      </c>
      <c r="B2165" s="2" t="s">
        <v>4262</v>
      </c>
      <c r="C2165" s="2" t="s">
        <v>9</v>
      </c>
      <c r="D2165" s="2">
        <v>15000</v>
      </c>
      <c r="E2165" s="2" t="s">
        <v>10</v>
      </c>
      <c r="F2165" s="2">
        <v>1</v>
      </c>
      <c r="G2165" s="22">
        <f>Table4[[#This Row],[Item Cost]]*Table4[[#This Row],[In Stock]]</f>
        <v>15000</v>
      </c>
      <c r="H2165" s="12" t="s">
        <v>4661</v>
      </c>
      <c r="I2165" s="13" t="s">
        <v>4664</v>
      </c>
      <c r="J2165" s="13" t="s">
        <v>4754</v>
      </c>
      <c r="K2165" s="13" t="s">
        <v>4672</v>
      </c>
      <c r="L2165" s="12" t="s">
        <v>4723</v>
      </c>
      <c r="M2165" s="17" t="str">
        <f>IF(LEN(COUNTIFS($H$1:H2165,$H2165,$I$1:I2165,$I2165,$J$1:J2165,$J2165,$K$1:K2165,K2165,$L$1:L2165,L2165))=1,"00"&amp;COUNTIFS($H$1:H2165,$H2165,$I$1:I2165,$I2165,$J$1:J2165,$J2165,$K$1:K2165,K2165,$L$1:L2165,L2165),IF(LEN(COUNTIFS($H$1:H2165,$H2165,$I$1:I2165,$I2165,$J$1:J2165,$J2165,$K$1:K2165,K2165,$L$1:L2165,L2165))=2,"0"&amp;COUNTIFS($H$1:H2165,$H2165,$I$1:I2165,$I2165,$J$1:J2165,$J2165,$K$1:K2165,K2165,$L$1:L2165,L2165),COUNTIFS($H$1:H2165,$H2165,$I$1:I2165,$I2165,$J$1:J2165,$J2165,$K$1:K2165,K2165,$L$1:L2165,L2165)))</f>
        <v>009</v>
      </c>
      <c r="N216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65" s="14" t="e">
        <f>+LEN(Table4[[#This Row],[New Item Code]])</f>
        <v>#N/A</v>
      </c>
      <c r="P2165" s="15" t="s">
        <v>4747</v>
      </c>
      <c r="Q2165" s="15" t="s">
        <v>4749</v>
      </c>
      <c r="R2165" s="15"/>
      <c r="S2165" s="15"/>
      <c r="T2165" s="15" t="s">
        <v>4723</v>
      </c>
    </row>
    <row r="2166" spans="1:20" x14ac:dyDescent="0.35">
      <c r="A2166" s="3" t="s">
        <v>4263</v>
      </c>
      <c r="B2166" s="3" t="s">
        <v>4264</v>
      </c>
      <c r="C2166" s="3" t="s">
        <v>9</v>
      </c>
      <c r="D2166" s="3">
        <v>3990</v>
      </c>
      <c r="E2166" s="3" t="s">
        <v>10</v>
      </c>
      <c r="F2166" s="3">
        <v>1</v>
      </c>
      <c r="G2166" s="21">
        <f>Table4[[#This Row],[Item Cost]]*Table4[[#This Row],[In Stock]]</f>
        <v>3990</v>
      </c>
      <c r="H2166" s="12" t="s">
        <v>4661</v>
      </c>
      <c r="I2166" s="13" t="s">
        <v>4664</v>
      </c>
      <c r="J2166" s="13" t="s">
        <v>4754</v>
      </c>
      <c r="K2166" s="13" t="s">
        <v>4672</v>
      </c>
      <c r="L2166" s="12" t="s">
        <v>4723</v>
      </c>
      <c r="M2166" s="17" t="str">
        <f>IF(LEN(COUNTIFS($H$1:H2166,$H2166,$I$1:I2166,$I2166,$J$1:J2166,$J2166,$K$1:K2166,K2166,$L$1:L2166,L2166))=1,"00"&amp;COUNTIFS($H$1:H2166,$H2166,$I$1:I2166,$I2166,$J$1:J2166,$J2166,$K$1:K2166,K2166,$L$1:L2166,L2166),IF(LEN(COUNTIFS($H$1:H2166,$H2166,$I$1:I2166,$I2166,$J$1:J2166,$J2166,$K$1:K2166,K2166,$L$1:L2166,L2166))=2,"0"&amp;COUNTIFS($H$1:H2166,$H2166,$I$1:I2166,$I2166,$J$1:J2166,$J2166,$K$1:K2166,K2166,$L$1:L2166,L2166),COUNTIFS($H$1:H2166,$H2166,$I$1:I2166,$I2166,$J$1:J2166,$J2166,$K$1:K2166,K2166,$L$1:L2166,L2166)))</f>
        <v>010</v>
      </c>
      <c r="N216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66" s="14" t="e">
        <f>+LEN(Table4[[#This Row],[New Item Code]])</f>
        <v>#N/A</v>
      </c>
      <c r="P2166" s="15" t="s">
        <v>4747</v>
      </c>
      <c r="Q2166" s="15" t="s">
        <v>4749</v>
      </c>
      <c r="R2166" s="15"/>
      <c r="S2166" s="15"/>
      <c r="T2166" s="15" t="s">
        <v>4723</v>
      </c>
    </row>
    <row r="2167" spans="1:20" x14ac:dyDescent="0.35">
      <c r="A2167" s="2" t="s">
        <v>4265</v>
      </c>
      <c r="B2167" s="2" t="s">
        <v>4266</v>
      </c>
      <c r="C2167" s="2" t="s">
        <v>15</v>
      </c>
      <c r="D2167" s="4">
        <v>0</v>
      </c>
      <c r="E2167" s="2" t="s">
        <v>10</v>
      </c>
      <c r="F2167" s="2">
        <v>0</v>
      </c>
      <c r="G2167" s="22">
        <f>Table4[[#This Row],[Item Cost]]*Table4[[#This Row],[In Stock]]</f>
        <v>0</v>
      </c>
      <c r="H2167" s="12" t="s">
        <v>4661</v>
      </c>
      <c r="I2167" s="13" t="s">
        <v>4666</v>
      </c>
      <c r="J2167" s="13" t="s">
        <v>4754</v>
      </c>
      <c r="K2167" t="s">
        <v>4800</v>
      </c>
      <c r="L2167" s="12" t="s">
        <v>4723</v>
      </c>
      <c r="M2167" s="17" t="str">
        <f>IF(LEN(COUNTIFS($H$1:H2167,$H2167,$I$1:I2167,$I2167,$J$1:J2167,$J2167,$K$1:K2167,K2167,$L$1:L2167,L2167))=1,"00"&amp;COUNTIFS($H$1:H2167,$H2167,$I$1:I2167,$I2167,$J$1:J2167,$J2167,$K$1:K2167,K2167,$L$1:L2167,L2167),IF(LEN(COUNTIFS($H$1:H2167,$H2167,$I$1:I2167,$I2167,$J$1:J2167,$J2167,$K$1:K2167,K2167,$L$1:L2167,L2167))=2,"0"&amp;COUNTIFS($H$1:H2167,$H2167,$I$1:I2167,$I2167,$J$1:J2167,$J2167,$K$1:K2167,K2167,$L$1:L2167,L2167),COUNTIFS($H$1:H2167,$H2167,$I$1:I2167,$I2167,$J$1:J2167,$J2167,$K$1:K2167,K2167,$L$1:L2167,L2167)))</f>
        <v>002</v>
      </c>
      <c r="N216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67" s="14" t="e">
        <f>+LEN(Table4[[#This Row],[New Item Code]])</f>
        <v>#N/A</v>
      </c>
      <c r="P2167" s="15" t="s">
        <v>4747</v>
      </c>
      <c r="Q2167" s="15" t="s">
        <v>4749</v>
      </c>
      <c r="R2167" s="15"/>
      <c r="S2167" s="15"/>
      <c r="T2167" s="15" t="s">
        <v>4723</v>
      </c>
    </row>
    <row r="2168" spans="1:20" x14ac:dyDescent="0.35">
      <c r="A2168" s="2" t="s">
        <v>4267</v>
      </c>
      <c r="B2168" s="2" t="s">
        <v>4268</v>
      </c>
      <c r="C2168" s="2" t="s">
        <v>9</v>
      </c>
      <c r="D2168" s="2">
        <v>11</v>
      </c>
      <c r="E2168" s="2" t="s">
        <v>10</v>
      </c>
      <c r="F2168" s="2">
        <v>10</v>
      </c>
      <c r="G2168" s="22">
        <f>Table4[[#This Row],[Item Cost]]*Table4[[#This Row],[In Stock]]</f>
        <v>110</v>
      </c>
      <c r="H2168" s="12" t="s">
        <v>4661</v>
      </c>
      <c r="I2168" s="13" t="s">
        <v>4664</v>
      </c>
      <c r="J2168" s="13" t="s">
        <v>4754</v>
      </c>
      <c r="K2168" s="13" t="s">
        <v>4672</v>
      </c>
      <c r="L2168" s="12" t="s">
        <v>4723</v>
      </c>
      <c r="M2168" s="17" t="str">
        <f>IF(LEN(COUNTIFS($H$1:H2168,$H2168,$I$1:I2168,$I2168,$J$1:J2168,$J2168,$K$1:K2168,K2168,$L$1:L2168,L2168))=1,"00"&amp;COUNTIFS($H$1:H2168,$H2168,$I$1:I2168,$I2168,$J$1:J2168,$J2168,$K$1:K2168,K2168,$L$1:L2168,L2168),IF(LEN(COUNTIFS($H$1:H2168,$H2168,$I$1:I2168,$I2168,$J$1:J2168,$J2168,$K$1:K2168,K2168,$L$1:L2168,L2168))=2,"0"&amp;COUNTIFS($H$1:H2168,$H2168,$I$1:I2168,$I2168,$J$1:J2168,$J2168,$K$1:K2168,K2168,$L$1:L2168,L2168),COUNTIFS($H$1:H2168,$H2168,$I$1:I2168,$I2168,$J$1:J2168,$J2168,$K$1:K2168,K2168,$L$1:L2168,L2168)))</f>
        <v>011</v>
      </c>
      <c r="N216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68" s="14" t="e">
        <f>+LEN(Table4[[#This Row],[New Item Code]])</f>
        <v>#N/A</v>
      </c>
      <c r="P2168" s="15" t="s">
        <v>4747</v>
      </c>
      <c r="Q2168" s="15" t="s">
        <v>4749</v>
      </c>
      <c r="R2168" s="15"/>
      <c r="S2168" s="15"/>
      <c r="T2168" s="15" t="s">
        <v>4723</v>
      </c>
    </row>
    <row r="2169" spans="1:20" x14ac:dyDescent="0.35">
      <c r="A2169" s="3" t="s">
        <v>4269</v>
      </c>
      <c r="B2169" s="3" t="s">
        <v>4270</v>
      </c>
      <c r="C2169" s="3" t="s">
        <v>9</v>
      </c>
      <c r="D2169" s="3">
        <v>2.5</v>
      </c>
      <c r="E2169" s="3" t="s">
        <v>10</v>
      </c>
      <c r="F2169" s="3">
        <v>10</v>
      </c>
      <c r="G2169" s="21">
        <f>Table4[[#This Row],[Item Cost]]*Table4[[#This Row],[In Stock]]</f>
        <v>25</v>
      </c>
      <c r="H2169" s="12" t="s">
        <v>4661</v>
      </c>
      <c r="I2169" s="13" t="s">
        <v>4664</v>
      </c>
      <c r="J2169" s="13" t="s">
        <v>4754</v>
      </c>
      <c r="K2169" s="13" t="s">
        <v>4672</v>
      </c>
      <c r="L2169" s="12" t="s">
        <v>4723</v>
      </c>
      <c r="M2169" s="17" t="str">
        <f>IF(LEN(COUNTIFS($H$1:H2169,$H2169,$I$1:I2169,$I2169,$J$1:J2169,$J2169,$K$1:K2169,K2169,$L$1:L2169,L2169))=1,"00"&amp;COUNTIFS($H$1:H2169,$H2169,$I$1:I2169,$I2169,$J$1:J2169,$J2169,$K$1:K2169,K2169,$L$1:L2169,L2169),IF(LEN(COUNTIFS($H$1:H2169,$H2169,$I$1:I2169,$I2169,$J$1:J2169,$J2169,$K$1:K2169,K2169,$L$1:L2169,L2169))=2,"0"&amp;COUNTIFS($H$1:H2169,$H2169,$I$1:I2169,$I2169,$J$1:J2169,$J2169,$K$1:K2169,K2169,$L$1:L2169,L2169),COUNTIFS($H$1:H2169,$H2169,$I$1:I2169,$I2169,$J$1:J2169,$J2169,$K$1:K2169,K2169,$L$1:L2169,L2169)))</f>
        <v>012</v>
      </c>
      <c r="N216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69" s="14" t="e">
        <f>+LEN(Table4[[#This Row],[New Item Code]])</f>
        <v>#N/A</v>
      </c>
      <c r="P2169" s="15" t="s">
        <v>4747</v>
      </c>
      <c r="Q2169" s="15" t="s">
        <v>4749</v>
      </c>
      <c r="R2169" s="15"/>
      <c r="S2169" s="15"/>
      <c r="T2169" s="15" t="s">
        <v>4723</v>
      </c>
    </row>
    <row r="2170" spans="1:20" x14ac:dyDescent="0.35">
      <c r="A2170" s="2" t="s">
        <v>4271</v>
      </c>
      <c r="B2170" s="2" t="s">
        <v>4272</v>
      </c>
      <c r="C2170" s="2" t="s">
        <v>15</v>
      </c>
      <c r="D2170" s="2">
        <v>0</v>
      </c>
      <c r="E2170" s="2" t="s">
        <v>10</v>
      </c>
      <c r="F2170" s="2">
        <v>0</v>
      </c>
      <c r="G2170" s="22">
        <f>Table4[[#This Row],[Item Cost]]*Table4[[#This Row],[In Stock]]</f>
        <v>0</v>
      </c>
      <c r="H2170" s="12" t="s">
        <v>4661</v>
      </c>
      <c r="I2170" s="13" t="s">
        <v>4666</v>
      </c>
      <c r="J2170" s="13" t="s">
        <v>4754</v>
      </c>
      <c r="K2170" s="13" t="s">
        <v>4672</v>
      </c>
      <c r="L2170" s="12" t="s">
        <v>4723</v>
      </c>
      <c r="M2170" s="17" t="str">
        <f>IF(LEN(COUNTIFS($H$1:H2170,$H2170,$I$1:I2170,$I2170,$J$1:J2170,$J2170,$K$1:K2170,K2170,$L$1:L2170,L2170))=1,"00"&amp;COUNTIFS($H$1:H2170,$H2170,$I$1:I2170,$I2170,$J$1:J2170,$J2170,$K$1:K2170,K2170,$L$1:L2170,L2170),IF(LEN(COUNTIFS($H$1:H2170,$H2170,$I$1:I2170,$I2170,$J$1:J2170,$J2170,$K$1:K2170,K2170,$L$1:L2170,L2170))=2,"0"&amp;COUNTIFS($H$1:H2170,$H2170,$I$1:I2170,$I2170,$J$1:J2170,$J2170,$K$1:K2170,K2170,$L$1:L2170,L2170),COUNTIFS($H$1:H2170,$H2170,$I$1:I2170,$I2170,$J$1:J2170,$J2170,$K$1:K2170,K2170,$L$1:L2170,L2170)))</f>
        <v>027</v>
      </c>
      <c r="N217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70" s="14" t="e">
        <f>+LEN(Table4[[#This Row],[New Item Code]])</f>
        <v>#N/A</v>
      </c>
      <c r="P2170" s="15" t="s">
        <v>4747</v>
      </c>
      <c r="Q2170" s="15" t="s">
        <v>4749</v>
      </c>
      <c r="R2170" s="15"/>
      <c r="S2170" s="15"/>
      <c r="T2170" s="15" t="s">
        <v>4723</v>
      </c>
    </row>
    <row r="2171" spans="1:20" x14ac:dyDescent="0.35">
      <c r="A2171" s="3" t="s">
        <v>4273</v>
      </c>
      <c r="B2171" s="3" t="s">
        <v>4274</v>
      </c>
      <c r="C2171" s="3" t="s">
        <v>9</v>
      </c>
      <c r="D2171" s="3">
        <v>6100</v>
      </c>
      <c r="E2171" s="3" t="s">
        <v>10</v>
      </c>
      <c r="F2171" s="3">
        <v>4</v>
      </c>
      <c r="G2171" s="21">
        <f>Table4[[#This Row],[Item Cost]]*Table4[[#This Row],[In Stock]]</f>
        <v>24400</v>
      </c>
      <c r="H2171" s="12" t="s">
        <v>4661</v>
      </c>
      <c r="I2171" s="13" t="s">
        <v>4664</v>
      </c>
      <c r="J2171" s="13" t="s">
        <v>4754</v>
      </c>
      <c r="K2171" s="13" t="s">
        <v>4672</v>
      </c>
      <c r="L2171" s="12" t="s">
        <v>4723</v>
      </c>
      <c r="M2171" s="17" t="str">
        <f>IF(LEN(COUNTIFS($H$1:H2171,$H2171,$I$1:I2171,$I2171,$J$1:J2171,$J2171,$K$1:K2171,K2171,$L$1:L2171,L2171))=1,"00"&amp;COUNTIFS($H$1:H2171,$H2171,$I$1:I2171,$I2171,$J$1:J2171,$J2171,$K$1:K2171,K2171,$L$1:L2171,L2171),IF(LEN(COUNTIFS($H$1:H2171,$H2171,$I$1:I2171,$I2171,$J$1:J2171,$J2171,$K$1:K2171,K2171,$L$1:L2171,L2171))=2,"0"&amp;COUNTIFS($H$1:H2171,$H2171,$I$1:I2171,$I2171,$J$1:J2171,$J2171,$K$1:K2171,K2171,$L$1:L2171,L2171),COUNTIFS($H$1:H2171,$H2171,$I$1:I2171,$I2171,$J$1:J2171,$J2171,$K$1:K2171,K2171,$L$1:L2171,L2171)))</f>
        <v>013</v>
      </c>
      <c r="N217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71" s="14" t="e">
        <f>+LEN(Table4[[#This Row],[New Item Code]])</f>
        <v>#N/A</v>
      </c>
      <c r="P2171" s="15" t="s">
        <v>4747</v>
      </c>
      <c r="Q2171" s="15" t="s">
        <v>4749</v>
      </c>
      <c r="R2171" s="15"/>
      <c r="S2171" s="15"/>
      <c r="T2171" s="15" t="s">
        <v>4723</v>
      </c>
    </row>
    <row r="2172" spans="1:20" x14ac:dyDescent="0.35">
      <c r="A2172" s="2" t="s">
        <v>4275</v>
      </c>
      <c r="B2172" s="2" t="s">
        <v>4276</v>
      </c>
      <c r="C2172" s="2" t="s">
        <v>15</v>
      </c>
      <c r="D2172" s="2">
        <v>76.36</v>
      </c>
      <c r="E2172" s="2" t="s">
        <v>10</v>
      </c>
      <c r="F2172" s="2">
        <v>10</v>
      </c>
      <c r="G2172" s="22">
        <f>Table4[[#This Row],[Item Cost]]*Table4[[#This Row],[In Stock]]</f>
        <v>763.6</v>
      </c>
      <c r="H2172" s="12" t="s">
        <v>4661</v>
      </c>
      <c r="I2172" s="13" t="s">
        <v>4666</v>
      </c>
      <c r="J2172" s="13" t="s">
        <v>4754</v>
      </c>
      <c r="K2172" s="13" t="s">
        <v>4672</v>
      </c>
      <c r="L2172" s="12" t="s">
        <v>4723</v>
      </c>
      <c r="M2172" s="17" t="str">
        <f>IF(LEN(COUNTIFS($H$1:H2172,$H2172,$I$1:I2172,$I2172,$J$1:J2172,$J2172,$K$1:K2172,K2172,$L$1:L2172,L2172))=1,"00"&amp;COUNTIFS($H$1:H2172,$H2172,$I$1:I2172,$I2172,$J$1:J2172,$J2172,$K$1:K2172,K2172,$L$1:L2172,L2172),IF(LEN(COUNTIFS($H$1:H2172,$H2172,$I$1:I2172,$I2172,$J$1:J2172,$J2172,$K$1:K2172,K2172,$L$1:L2172,L2172))=2,"0"&amp;COUNTIFS($H$1:H2172,$H2172,$I$1:I2172,$I2172,$J$1:J2172,$J2172,$K$1:K2172,K2172,$L$1:L2172,L2172),COUNTIFS($H$1:H2172,$H2172,$I$1:I2172,$I2172,$J$1:J2172,$J2172,$K$1:K2172,K2172,$L$1:L2172,L2172)))</f>
        <v>028</v>
      </c>
      <c r="N217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72" s="14" t="e">
        <f>+LEN(Table4[[#This Row],[New Item Code]])</f>
        <v>#N/A</v>
      </c>
      <c r="P2172" s="15" t="s">
        <v>4747</v>
      </c>
      <c r="Q2172" s="15" t="s">
        <v>4749</v>
      </c>
      <c r="R2172" s="15"/>
      <c r="S2172" s="15"/>
      <c r="T2172" s="15" t="s">
        <v>4723</v>
      </c>
    </row>
    <row r="2173" spans="1:20" x14ac:dyDescent="0.35">
      <c r="A2173" s="3" t="s">
        <v>4277</v>
      </c>
      <c r="B2173" s="3" t="s">
        <v>4278</v>
      </c>
      <c r="C2173" s="3" t="s">
        <v>15</v>
      </c>
      <c r="D2173" s="3">
        <v>0</v>
      </c>
      <c r="E2173" s="3" t="s">
        <v>10</v>
      </c>
      <c r="F2173" s="3">
        <v>0</v>
      </c>
      <c r="G2173" s="21">
        <f>Table4[[#This Row],[Item Cost]]*Table4[[#This Row],[In Stock]]</f>
        <v>0</v>
      </c>
      <c r="H2173" s="12" t="s">
        <v>4661</v>
      </c>
      <c r="I2173" s="13" t="s">
        <v>4666</v>
      </c>
      <c r="J2173" s="13" t="s">
        <v>4725</v>
      </c>
      <c r="K2173" s="13" t="s">
        <v>4672</v>
      </c>
      <c r="L2173" s="12" t="s">
        <v>4672</v>
      </c>
      <c r="M2173" s="17" t="str">
        <f>IF(LEN(COUNTIFS($H$1:H2173,$H2173,$I$1:I2173,$I2173,$J$1:J2173,$J2173,$K$1:K2173,K2173,$L$1:L2173,L2173))=1,"00"&amp;COUNTIFS($H$1:H2173,$H2173,$I$1:I2173,$I2173,$J$1:J2173,$J2173,$K$1:K2173,K2173,$L$1:L2173,L2173),IF(LEN(COUNTIFS($H$1:H2173,$H2173,$I$1:I2173,$I2173,$J$1:J2173,$J2173,$K$1:K2173,K2173,$L$1:L2173,L2173))=2,"0"&amp;COUNTIFS($H$1:H2173,$H2173,$I$1:I2173,$I2173,$J$1:J2173,$J2173,$K$1:K2173,K2173,$L$1:L2173,L2173),COUNTIFS($H$1:H2173,$H2173,$I$1:I2173,$I2173,$J$1:J2173,$J2173,$K$1:K2173,K2173,$L$1:L2173,L2173)))</f>
        <v>001</v>
      </c>
      <c r="N217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73" s="14" t="e">
        <f>+LEN(Table4[[#This Row],[New Item Code]])</f>
        <v>#N/A</v>
      </c>
      <c r="P2173" s="15" t="s">
        <v>4747</v>
      </c>
      <c r="Q2173" s="15" t="s">
        <v>4749</v>
      </c>
      <c r="R2173" s="15"/>
      <c r="S2173" s="15"/>
      <c r="T2173" s="15" t="s">
        <v>4725</v>
      </c>
    </row>
    <row r="2174" spans="1:20" x14ac:dyDescent="0.35">
      <c r="A2174" s="2" t="s">
        <v>4279</v>
      </c>
      <c r="B2174" s="2" t="s">
        <v>4280</v>
      </c>
      <c r="C2174" s="2" t="s">
        <v>15</v>
      </c>
      <c r="D2174" s="4">
        <v>0</v>
      </c>
      <c r="E2174" s="2" t="s">
        <v>10</v>
      </c>
      <c r="F2174" s="2">
        <v>0</v>
      </c>
      <c r="G2174" s="22">
        <f>Table4[[#This Row],[Item Cost]]*Table4[[#This Row],[In Stock]]</f>
        <v>0</v>
      </c>
      <c r="H2174" s="12" t="s">
        <v>4661</v>
      </c>
      <c r="I2174" s="13" t="s">
        <v>4666</v>
      </c>
      <c r="J2174" s="13" t="s">
        <v>4725</v>
      </c>
      <c r="K2174" s="13" t="s">
        <v>4672</v>
      </c>
      <c r="L2174" s="12" t="s">
        <v>4672</v>
      </c>
      <c r="M2174" s="17" t="str">
        <f>IF(LEN(COUNTIFS($H$1:H2174,$H2174,$I$1:I2174,$I2174,$J$1:J2174,$J2174,$K$1:K2174,K2174,$L$1:L2174,L2174))=1,"00"&amp;COUNTIFS($H$1:H2174,$H2174,$I$1:I2174,$I2174,$J$1:J2174,$J2174,$K$1:K2174,K2174,$L$1:L2174,L2174),IF(LEN(COUNTIFS($H$1:H2174,$H2174,$I$1:I2174,$I2174,$J$1:J2174,$J2174,$K$1:K2174,K2174,$L$1:L2174,L2174))=2,"0"&amp;COUNTIFS($H$1:H2174,$H2174,$I$1:I2174,$I2174,$J$1:J2174,$J2174,$K$1:K2174,K2174,$L$1:L2174,L2174),COUNTIFS($H$1:H2174,$H2174,$I$1:I2174,$I2174,$J$1:J2174,$J2174,$K$1:K2174,K2174,$L$1:L2174,L2174)))</f>
        <v>002</v>
      </c>
      <c r="N217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74" s="14" t="e">
        <f>+LEN(Table4[[#This Row],[New Item Code]])</f>
        <v>#N/A</v>
      </c>
      <c r="P2174" s="15" t="s">
        <v>4747</v>
      </c>
      <c r="Q2174" s="15" t="s">
        <v>4749</v>
      </c>
      <c r="R2174" s="15"/>
      <c r="S2174" s="15"/>
      <c r="T2174" s="15" t="s">
        <v>4725</v>
      </c>
    </row>
    <row r="2175" spans="1:20" x14ac:dyDescent="0.35">
      <c r="A2175" s="3" t="s">
        <v>4281</v>
      </c>
      <c r="B2175" s="3" t="s">
        <v>4282</v>
      </c>
      <c r="C2175" s="3" t="s">
        <v>15</v>
      </c>
      <c r="D2175" s="3">
        <v>0</v>
      </c>
      <c r="E2175" s="3" t="s">
        <v>10</v>
      </c>
      <c r="F2175" s="3">
        <v>0</v>
      </c>
      <c r="G2175" s="21">
        <f>Table4[[#This Row],[Item Cost]]*Table4[[#This Row],[In Stock]]</f>
        <v>0</v>
      </c>
      <c r="H2175" s="12" t="s">
        <v>4661</v>
      </c>
      <c r="I2175" s="13" t="s">
        <v>4666</v>
      </c>
      <c r="J2175" s="13" t="s">
        <v>4725</v>
      </c>
      <c r="K2175" s="13" t="s">
        <v>4672</v>
      </c>
      <c r="L2175" s="12" t="s">
        <v>4672</v>
      </c>
      <c r="M2175" s="17" t="str">
        <f>IF(LEN(COUNTIFS($H$1:H2175,$H2175,$I$1:I2175,$I2175,$J$1:J2175,$J2175,$K$1:K2175,K2175,$L$1:L2175,L2175))=1,"00"&amp;COUNTIFS($H$1:H2175,$H2175,$I$1:I2175,$I2175,$J$1:J2175,$J2175,$K$1:K2175,K2175,$L$1:L2175,L2175),IF(LEN(COUNTIFS($H$1:H2175,$H2175,$I$1:I2175,$I2175,$J$1:J2175,$J2175,$K$1:K2175,K2175,$L$1:L2175,L2175))=2,"0"&amp;COUNTIFS($H$1:H2175,$H2175,$I$1:I2175,$I2175,$J$1:J2175,$J2175,$K$1:K2175,K2175,$L$1:L2175,L2175),COUNTIFS($H$1:H2175,$H2175,$I$1:I2175,$I2175,$J$1:J2175,$J2175,$K$1:K2175,K2175,$L$1:L2175,L2175)))</f>
        <v>003</v>
      </c>
      <c r="N217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75" s="14" t="e">
        <f>+LEN(Table4[[#This Row],[New Item Code]])</f>
        <v>#N/A</v>
      </c>
      <c r="P2175" s="15" t="s">
        <v>4747</v>
      </c>
      <c r="Q2175" s="15" t="s">
        <v>4749</v>
      </c>
      <c r="R2175" s="15"/>
      <c r="S2175" s="15"/>
      <c r="T2175" s="15" t="s">
        <v>4725</v>
      </c>
    </row>
    <row r="2176" spans="1:20" x14ac:dyDescent="0.35">
      <c r="A2176" s="2" t="s">
        <v>4283</v>
      </c>
      <c r="B2176" s="2" t="s">
        <v>4284</v>
      </c>
      <c r="C2176" s="2" t="s">
        <v>15</v>
      </c>
      <c r="D2176" s="2">
        <v>0</v>
      </c>
      <c r="E2176" s="2" t="s">
        <v>10</v>
      </c>
      <c r="F2176" s="2">
        <v>0</v>
      </c>
      <c r="G2176" s="22">
        <f>Table4[[#This Row],[Item Cost]]*Table4[[#This Row],[In Stock]]</f>
        <v>0</v>
      </c>
      <c r="H2176" s="12" t="s">
        <v>4661</v>
      </c>
      <c r="I2176" s="13" t="s">
        <v>4666</v>
      </c>
      <c r="J2176" s="13" t="s">
        <v>4725</v>
      </c>
      <c r="K2176" s="13" t="s">
        <v>4672</v>
      </c>
      <c r="L2176" s="12" t="s">
        <v>4672</v>
      </c>
      <c r="M2176" s="17" t="str">
        <f>IF(LEN(COUNTIFS($H$1:H2176,$H2176,$I$1:I2176,$I2176,$J$1:J2176,$J2176,$K$1:K2176,K2176,$L$1:L2176,L2176))=1,"00"&amp;COUNTIFS($H$1:H2176,$H2176,$I$1:I2176,$I2176,$J$1:J2176,$J2176,$K$1:K2176,K2176,$L$1:L2176,L2176),IF(LEN(COUNTIFS($H$1:H2176,$H2176,$I$1:I2176,$I2176,$J$1:J2176,$J2176,$K$1:K2176,K2176,$L$1:L2176,L2176))=2,"0"&amp;COUNTIFS($H$1:H2176,$H2176,$I$1:I2176,$I2176,$J$1:J2176,$J2176,$K$1:K2176,K2176,$L$1:L2176,L2176),COUNTIFS($H$1:H2176,$H2176,$I$1:I2176,$I2176,$J$1:J2176,$J2176,$K$1:K2176,K2176,$L$1:L2176,L2176)))</f>
        <v>004</v>
      </c>
      <c r="N217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76" s="14" t="e">
        <f>+LEN(Table4[[#This Row],[New Item Code]])</f>
        <v>#N/A</v>
      </c>
      <c r="P2176" s="15" t="s">
        <v>4747</v>
      </c>
      <c r="Q2176" s="15" t="s">
        <v>4749</v>
      </c>
      <c r="R2176" s="15"/>
      <c r="S2176" s="15"/>
      <c r="T2176" s="15" t="s">
        <v>4725</v>
      </c>
    </row>
    <row r="2177" spans="1:20" x14ac:dyDescent="0.35">
      <c r="A2177" s="3" t="s">
        <v>4285</v>
      </c>
      <c r="B2177" s="3" t="s">
        <v>4286</v>
      </c>
      <c r="C2177" s="3" t="s">
        <v>15</v>
      </c>
      <c r="D2177" s="3">
        <v>0</v>
      </c>
      <c r="E2177" s="3" t="s">
        <v>10</v>
      </c>
      <c r="F2177" s="3">
        <v>0</v>
      </c>
      <c r="G2177" s="21">
        <f>Table4[[#This Row],[Item Cost]]*Table4[[#This Row],[In Stock]]</f>
        <v>0</v>
      </c>
      <c r="H2177" s="12" t="s">
        <v>4661</v>
      </c>
      <c r="I2177" s="13" t="s">
        <v>4666</v>
      </c>
      <c r="J2177" s="13" t="s">
        <v>4725</v>
      </c>
      <c r="K2177" s="13" t="s">
        <v>4672</v>
      </c>
      <c r="L2177" s="12" t="s">
        <v>4672</v>
      </c>
      <c r="M2177" s="17" t="str">
        <f>IF(LEN(COUNTIFS($H$1:H2177,$H2177,$I$1:I2177,$I2177,$J$1:J2177,$J2177,$K$1:K2177,K2177,$L$1:L2177,L2177))=1,"00"&amp;COUNTIFS($H$1:H2177,$H2177,$I$1:I2177,$I2177,$J$1:J2177,$J2177,$K$1:K2177,K2177,$L$1:L2177,L2177),IF(LEN(COUNTIFS($H$1:H2177,$H2177,$I$1:I2177,$I2177,$J$1:J2177,$J2177,$K$1:K2177,K2177,$L$1:L2177,L2177))=2,"0"&amp;COUNTIFS($H$1:H2177,$H2177,$I$1:I2177,$I2177,$J$1:J2177,$J2177,$K$1:K2177,K2177,$L$1:L2177,L2177),COUNTIFS($H$1:H2177,$H2177,$I$1:I2177,$I2177,$J$1:J2177,$J2177,$K$1:K2177,K2177,$L$1:L2177,L2177)))</f>
        <v>005</v>
      </c>
      <c r="N217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77" s="14" t="e">
        <f>+LEN(Table4[[#This Row],[New Item Code]])</f>
        <v>#N/A</v>
      </c>
      <c r="P2177" s="15" t="s">
        <v>4747</v>
      </c>
      <c r="Q2177" s="15" t="s">
        <v>4749</v>
      </c>
      <c r="R2177" s="15"/>
      <c r="S2177" s="15"/>
      <c r="T2177" s="15" t="s">
        <v>4725</v>
      </c>
    </row>
    <row r="2178" spans="1:20" x14ac:dyDescent="0.35">
      <c r="A2178" s="2" t="s">
        <v>4287</v>
      </c>
      <c r="B2178" s="2" t="s">
        <v>4288</v>
      </c>
      <c r="C2178" s="2" t="s">
        <v>15</v>
      </c>
      <c r="D2178" s="2">
        <v>0</v>
      </c>
      <c r="E2178" s="2" t="s">
        <v>10</v>
      </c>
      <c r="F2178" s="2">
        <v>0</v>
      </c>
      <c r="G2178" s="22">
        <f>Table4[[#This Row],[Item Cost]]*Table4[[#This Row],[In Stock]]</f>
        <v>0</v>
      </c>
      <c r="H2178" s="12" t="s">
        <v>4661</v>
      </c>
      <c r="I2178" s="13" t="s">
        <v>4666</v>
      </c>
      <c r="J2178" s="13" t="s">
        <v>4725</v>
      </c>
      <c r="K2178" s="13" t="s">
        <v>4672</v>
      </c>
      <c r="L2178" s="12" t="s">
        <v>4672</v>
      </c>
      <c r="M2178" s="17" t="str">
        <f>IF(LEN(COUNTIFS($H$1:H2178,$H2178,$I$1:I2178,$I2178,$J$1:J2178,$J2178,$K$1:K2178,K2178,$L$1:L2178,L2178))=1,"00"&amp;COUNTIFS($H$1:H2178,$H2178,$I$1:I2178,$I2178,$J$1:J2178,$J2178,$K$1:K2178,K2178,$L$1:L2178,L2178),IF(LEN(COUNTIFS($H$1:H2178,$H2178,$I$1:I2178,$I2178,$J$1:J2178,$J2178,$K$1:K2178,K2178,$L$1:L2178,L2178))=2,"0"&amp;COUNTIFS($H$1:H2178,$H2178,$I$1:I2178,$I2178,$J$1:J2178,$J2178,$K$1:K2178,K2178,$L$1:L2178,L2178),COUNTIFS($H$1:H2178,$H2178,$I$1:I2178,$I2178,$J$1:J2178,$J2178,$K$1:K2178,K2178,$L$1:L2178,L2178)))</f>
        <v>006</v>
      </c>
      <c r="N217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78" s="14" t="e">
        <f>+LEN(Table4[[#This Row],[New Item Code]])</f>
        <v>#N/A</v>
      </c>
      <c r="P2178" s="15" t="s">
        <v>4747</v>
      </c>
      <c r="Q2178" s="15" t="s">
        <v>4749</v>
      </c>
      <c r="R2178" s="15"/>
      <c r="S2178" s="15"/>
      <c r="T2178" s="15" t="s">
        <v>4725</v>
      </c>
    </row>
    <row r="2179" spans="1:20" x14ac:dyDescent="0.35">
      <c r="A2179" s="3" t="s">
        <v>4289</v>
      </c>
      <c r="B2179" s="3" t="s">
        <v>4290</v>
      </c>
      <c r="C2179" s="3" t="s">
        <v>15</v>
      </c>
      <c r="D2179" s="3">
        <v>0</v>
      </c>
      <c r="E2179" s="3" t="s">
        <v>10</v>
      </c>
      <c r="F2179" s="3">
        <v>0</v>
      </c>
      <c r="G2179" s="21">
        <f>Table4[[#This Row],[Item Cost]]*Table4[[#This Row],[In Stock]]</f>
        <v>0</v>
      </c>
      <c r="H2179" s="12" t="s">
        <v>4661</v>
      </c>
      <c r="I2179" s="13" t="s">
        <v>4666</v>
      </c>
      <c r="J2179" s="13" t="s">
        <v>4725</v>
      </c>
      <c r="K2179" s="13" t="s">
        <v>4672</v>
      </c>
      <c r="L2179" s="12" t="s">
        <v>4672</v>
      </c>
      <c r="M2179" s="17" t="str">
        <f>IF(LEN(COUNTIFS($H$1:H2179,$H2179,$I$1:I2179,$I2179,$J$1:J2179,$J2179,$K$1:K2179,K2179,$L$1:L2179,L2179))=1,"00"&amp;COUNTIFS($H$1:H2179,$H2179,$I$1:I2179,$I2179,$J$1:J2179,$J2179,$K$1:K2179,K2179,$L$1:L2179,L2179),IF(LEN(COUNTIFS($H$1:H2179,$H2179,$I$1:I2179,$I2179,$J$1:J2179,$J2179,$K$1:K2179,K2179,$L$1:L2179,L2179))=2,"0"&amp;COUNTIFS($H$1:H2179,$H2179,$I$1:I2179,$I2179,$J$1:J2179,$J2179,$K$1:K2179,K2179,$L$1:L2179,L2179),COUNTIFS($H$1:H2179,$H2179,$I$1:I2179,$I2179,$J$1:J2179,$J2179,$K$1:K2179,K2179,$L$1:L2179,L2179)))</f>
        <v>007</v>
      </c>
      <c r="N217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79" s="14" t="e">
        <f>+LEN(Table4[[#This Row],[New Item Code]])</f>
        <v>#N/A</v>
      </c>
      <c r="P2179" s="15" t="s">
        <v>4747</v>
      </c>
      <c r="Q2179" s="15" t="s">
        <v>4749</v>
      </c>
      <c r="R2179" s="15"/>
      <c r="S2179" s="15"/>
      <c r="T2179" s="15" t="s">
        <v>4725</v>
      </c>
    </row>
    <row r="2180" spans="1:20" x14ac:dyDescent="0.35">
      <c r="A2180" s="2" t="s">
        <v>4291</v>
      </c>
      <c r="B2180" s="2" t="s">
        <v>4292</v>
      </c>
      <c r="C2180" s="2" t="s">
        <v>15</v>
      </c>
      <c r="D2180" s="2">
        <v>0</v>
      </c>
      <c r="E2180" s="2" t="s">
        <v>10</v>
      </c>
      <c r="F2180" s="2">
        <v>0</v>
      </c>
      <c r="G2180" s="22">
        <f>Table4[[#This Row],[Item Cost]]*Table4[[#This Row],[In Stock]]</f>
        <v>0</v>
      </c>
      <c r="H2180" s="12" t="s">
        <v>4661</v>
      </c>
      <c r="I2180" s="13" t="s">
        <v>4666</v>
      </c>
      <c r="J2180" s="13" t="s">
        <v>4725</v>
      </c>
      <c r="K2180" s="13" t="s">
        <v>4672</v>
      </c>
      <c r="L2180" s="12" t="s">
        <v>4672</v>
      </c>
      <c r="M2180" s="17" t="str">
        <f>IF(LEN(COUNTIFS($H$1:H2180,$H2180,$I$1:I2180,$I2180,$J$1:J2180,$J2180,$K$1:K2180,K2180,$L$1:L2180,L2180))=1,"00"&amp;COUNTIFS($H$1:H2180,$H2180,$I$1:I2180,$I2180,$J$1:J2180,$J2180,$K$1:K2180,K2180,$L$1:L2180,L2180),IF(LEN(COUNTIFS($H$1:H2180,$H2180,$I$1:I2180,$I2180,$J$1:J2180,$J2180,$K$1:K2180,K2180,$L$1:L2180,L2180))=2,"0"&amp;COUNTIFS($H$1:H2180,$H2180,$I$1:I2180,$I2180,$J$1:J2180,$J2180,$K$1:K2180,K2180,$L$1:L2180,L2180),COUNTIFS($H$1:H2180,$H2180,$I$1:I2180,$I2180,$J$1:J2180,$J2180,$K$1:K2180,K2180,$L$1:L2180,L2180)))</f>
        <v>008</v>
      </c>
      <c r="N218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80" s="14" t="e">
        <f>+LEN(Table4[[#This Row],[New Item Code]])</f>
        <v>#N/A</v>
      </c>
      <c r="P2180" s="15" t="s">
        <v>4747</v>
      </c>
      <c r="Q2180" s="15" t="s">
        <v>4749</v>
      </c>
      <c r="R2180" s="15"/>
      <c r="S2180" s="15"/>
      <c r="T2180" s="15" t="s">
        <v>4725</v>
      </c>
    </row>
    <row r="2181" spans="1:20" x14ac:dyDescent="0.35">
      <c r="A2181" s="3" t="s">
        <v>4293</v>
      </c>
      <c r="B2181" s="3" t="s">
        <v>4294</v>
      </c>
      <c r="C2181" s="3" t="s">
        <v>15</v>
      </c>
      <c r="D2181" s="3">
        <v>0</v>
      </c>
      <c r="E2181" s="3" t="s">
        <v>10</v>
      </c>
      <c r="F2181" s="3">
        <v>0</v>
      </c>
      <c r="G2181" s="21">
        <f>Table4[[#This Row],[Item Cost]]*Table4[[#This Row],[In Stock]]</f>
        <v>0</v>
      </c>
      <c r="H2181" s="12" t="s">
        <v>4661</v>
      </c>
      <c r="I2181" s="13" t="s">
        <v>4666</v>
      </c>
      <c r="J2181" s="13" t="s">
        <v>4725</v>
      </c>
      <c r="K2181" s="13" t="s">
        <v>4672</v>
      </c>
      <c r="L2181" s="12" t="s">
        <v>4672</v>
      </c>
      <c r="M2181" s="17" t="str">
        <f>IF(LEN(COUNTIFS($H$1:H2181,$H2181,$I$1:I2181,$I2181,$J$1:J2181,$J2181,$K$1:K2181,K2181,$L$1:L2181,L2181))=1,"00"&amp;COUNTIFS($H$1:H2181,$H2181,$I$1:I2181,$I2181,$J$1:J2181,$J2181,$K$1:K2181,K2181,$L$1:L2181,L2181),IF(LEN(COUNTIFS($H$1:H2181,$H2181,$I$1:I2181,$I2181,$J$1:J2181,$J2181,$K$1:K2181,K2181,$L$1:L2181,L2181))=2,"0"&amp;COUNTIFS($H$1:H2181,$H2181,$I$1:I2181,$I2181,$J$1:J2181,$J2181,$K$1:K2181,K2181,$L$1:L2181,L2181),COUNTIFS($H$1:H2181,$H2181,$I$1:I2181,$I2181,$J$1:J2181,$J2181,$K$1:K2181,K2181,$L$1:L2181,L2181)))</f>
        <v>009</v>
      </c>
      <c r="N218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81" s="14" t="e">
        <f>+LEN(Table4[[#This Row],[New Item Code]])</f>
        <v>#N/A</v>
      </c>
      <c r="P2181" s="15" t="s">
        <v>4747</v>
      </c>
      <c r="Q2181" s="15" t="s">
        <v>4749</v>
      </c>
      <c r="R2181" s="15"/>
      <c r="S2181" s="15"/>
      <c r="T2181" s="15" t="s">
        <v>4725</v>
      </c>
    </row>
    <row r="2182" spans="1:20" x14ac:dyDescent="0.35">
      <c r="A2182" s="2" t="s">
        <v>4295</v>
      </c>
      <c r="B2182" s="2" t="s">
        <v>4296</v>
      </c>
      <c r="C2182" s="2" t="s">
        <v>15</v>
      </c>
      <c r="D2182" s="2">
        <v>0</v>
      </c>
      <c r="E2182" s="2" t="s">
        <v>10</v>
      </c>
      <c r="F2182" s="2">
        <v>0</v>
      </c>
      <c r="G2182" s="22">
        <f>Table4[[#This Row],[Item Cost]]*Table4[[#This Row],[In Stock]]</f>
        <v>0</v>
      </c>
      <c r="H2182" s="12" t="s">
        <v>4661</v>
      </c>
      <c r="I2182" s="13" t="s">
        <v>4666</v>
      </c>
      <c r="J2182" s="13" t="s">
        <v>4725</v>
      </c>
      <c r="K2182" s="13" t="s">
        <v>4672</v>
      </c>
      <c r="L2182" s="12" t="s">
        <v>4672</v>
      </c>
      <c r="M2182" s="17" t="str">
        <f>IF(LEN(COUNTIFS($H$1:H2182,$H2182,$I$1:I2182,$I2182,$J$1:J2182,$J2182,$K$1:K2182,K2182,$L$1:L2182,L2182))=1,"00"&amp;COUNTIFS($H$1:H2182,$H2182,$I$1:I2182,$I2182,$J$1:J2182,$J2182,$K$1:K2182,K2182,$L$1:L2182,L2182),IF(LEN(COUNTIFS($H$1:H2182,$H2182,$I$1:I2182,$I2182,$J$1:J2182,$J2182,$K$1:K2182,K2182,$L$1:L2182,L2182))=2,"0"&amp;COUNTIFS($H$1:H2182,$H2182,$I$1:I2182,$I2182,$J$1:J2182,$J2182,$K$1:K2182,K2182,$L$1:L2182,L2182),COUNTIFS($H$1:H2182,$H2182,$I$1:I2182,$I2182,$J$1:J2182,$J2182,$K$1:K2182,K2182,$L$1:L2182,L2182)))</f>
        <v>010</v>
      </c>
      <c r="N218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82" s="14" t="e">
        <f>+LEN(Table4[[#This Row],[New Item Code]])</f>
        <v>#N/A</v>
      </c>
      <c r="P2182" s="15" t="s">
        <v>4747</v>
      </c>
      <c r="Q2182" s="15" t="s">
        <v>4749</v>
      </c>
      <c r="R2182" s="15"/>
      <c r="S2182" s="15"/>
      <c r="T2182" s="15" t="s">
        <v>4725</v>
      </c>
    </row>
    <row r="2183" spans="1:20" x14ac:dyDescent="0.35">
      <c r="A2183" s="3" t="s">
        <v>4297</v>
      </c>
      <c r="B2183" s="3" t="s">
        <v>4298</v>
      </c>
      <c r="C2183" s="3" t="s">
        <v>15</v>
      </c>
      <c r="D2183" s="3">
        <v>0</v>
      </c>
      <c r="E2183" s="3" t="s">
        <v>10</v>
      </c>
      <c r="F2183" s="3">
        <v>0</v>
      </c>
      <c r="G2183" s="21">
        <f>Table4[[#This Row],[Item Cost]]*Table4[[#This Row],[In Stock]]</f>
        <v>0</v>
      </c>
      <c r="H2183" s="12" t="s">
        <v>4661</v>
      </c>
      <c r="I2183" s="13" t="s">
        <v>4666</v>
      </c>
      <c r="J2183" s="13" t="s">
        <v>4725</v>
      </c>
      <c r="K2183" s="13" t="s">
        <v>4672</v>
      </c>
      <c r="L2183" s="12" t="s">
        <v>4672</v>
      </c>
      <c r="M2183" s="17" t="str">
        <f>IF(LEN(COUNTIFS($H$1:H2183,$H2183,$I$1:I2183,$I2183,$J$1:J2183,$J2183,$K$1:K2183,K2183,$L$1:L2183,L2183))=1,"00"&amp;COUNTIFS($H$1:H2183,$H2183,$I$1:I2183,$I2183,$J$1:J2183,$J2183,$K$1:K2183,K2183,$L$1:L2183,L2183),IF(LEN(COUNTIFS($H$1:H2183,$H2183,$I$1:I2183,$I2183,$J$1:J2183,$J2183,$K$1:K2183,K2183,$L$1:L2183,L2183))=2,"0"&amp;COUNTIFS($H$1:H2183,$H2183,$I$1:I2183,$I2183,$J$1:J2183,$J2183,$K$1:K2183,K2183,$L$1:L2183,L2183),COUNTIFS($H$1:H2183,$H2183,$I$1:I2183,$I2183,$J$1:J2183,$J2183,$K$1:K2183,K2183,$L$1:L2183,L2183)))</f>
        <v>011</v>
      </c>
      <c r="N218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83" s="14" t="e">
        <f>+LEN(Table4[[#This Row],[New Item Code]])</f>
        <v>#N/A</v>
      </c>
      <c r="P2183" s="15" t="s">
        <v>4747</v>
      </c>
      <c r="Q2183" s="15" t="s">
        <v>4749</v>
      </c>
      <c r="R2183" s="15"/>
      <c r="S2183" s="15"/>
      <c r="T2183" s="15" t="s">
        <v>4725</v>
      </c>
    </row>
    <row r="2184" spans="1:20" x14ac:dyDescent="0.35">
      <c r="A2184" s="2" t="s">
        <v>4299</v>
      </c>
      <c r="B2184" s="2" t="s">
        <v>4300</v>
      </c>
      <c r="C2184" s="2" t="s">
        <v>15</v>
      </c>
      <c r="D2184" s="2">
        <v>0</v>
      </c>
      <c r="E2184" s="2" t="s">
        <v>10</v>
      </c>
      <c r="F2184" s="2">
        <v>0</v>
      </c>
      <c r="G2184" s="22">
        <f>Table4[[#This Row],[Item Cost]]*Table4[[#This Row],[In Stock]]</f>
        <v>0</v>
      </c>
      <c r="H2184" s="12" t="s">
        <v>4661</v>
      </c>
      <c r="I2184" s="13" t="s">
        <v>4666</v>
      </c>
      <c r="J2184" s="13" t="s">
        <v>4725</v>
      </c>
      <c r="K2184" s="13" t="s">
        <v>4672</v>
      </c>
      <c r="L2184" s="12" t="s">
        <v>4672</v>
      </c>
      <c r="M2184" s="17" t="str">
        <f>IF(LEN(COUNTIFS($H$1:H2184,$H2184,$I$1:I2184,$I2184,$J$1:J2184,$J2184,$K$1:K2184,K2184,$L$1:L2184,L2184))=1,"00"&amp;COUNTIFS($H$1:H2184,$H2184,$I$1:I2184,$I2184,$J$1:J2184,$J2184,$K$1:K2184,K2184,$L$1:L2184,L2184),IF(LEN(COUNTIFS($H$1:H2184,$H2184,$I$1:I2184,$I2184,$J$1:J2184,$J2184,$K$1:K2184,K2184,$L$1:L2184,L2184))=2,"0"&amp;COUNTIFS($H$1:H2184,$H2184,$I$1:I2184,$I2184,$J$1:J2184,$J2184,$K$1:K2184,K2184,$L$1:L2184,L2184),COUNTIFS($H$1:H2184,$H2184,$I$1:I2184,$I2184,$J$1:J2184,$J2184,$K$1:K2184,K2184,$L$1:L2184,L2184)))</f>
        <v>012</v>
      </c>
      <c r="N218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84" s="14" t="e">
        <f>+LEN(Table4[[#This Row],[New Item Code]])</f>
        <v>#N/A</v>
      </c>
      <c r="P2184" s="15" t="s">
        <v>4747</v>
      </c>
      <c r="Q2184" s="15" t="s">
        <v>4749</v>
      </c>
      <c r="R2184" s="15"/>
      <c r="S2184" s="15"/>
      <c r="T2184" s="15" t="s">
        <v>4725</v>
      </c>
    </row>
    <row r="2185" spans="1:20" x14ac:dyDescent="0.35">
      <c r="A2185" s="3" t="s">
        <v>4301</v>
      </c>
      <c r="B2185" s="3" t="s">
        <v>4302</v>
      </c>
      <c r="C2185" s="3" t="s">
        <v>15</v>
      </c>
      <c r="D2185" s="3">
        <v>0</v>
      </c>
      <c r="E2185" s="3" t="s">
        <v>10</v>
      </c>
      <c r="F2185" s="3">
        <v>0</v>
      </c>
      <c r="G2185" s="21">
        <f>Table4[[#This Row],[Item Cost]]*Table4[[#This Row],[In Stock]]</f>
        <v>0</v>
      </c>
      <c r="H2185" s="12" t="s">
        <v>4661</v>
      </c>
      <c r="I2185" s="13" t="s">
        <v>4666</v>
      </c>
      <c r="J2185" s="13" t="s">
        <v>4725</v>
      </c>
      <c r="K2185" s="13" t="s">
        <v>4672</v>
      </c>
      <c r="L2185" s="12" t="s">
        <v>4672</v>
      </c>
      <c r="M2185" s="17" t="str">
        <f>IF(LEN(COUNTIFS($H$1:H2185,$H2185,$I$1:I2185,$I2185,$J$1:J2185,$J2185,$K$1:K2185,K2185,$L$1:L2185,L2185))=1,"00"&amp;COUNTIFS($H$1:H2185,$H2185,$I$1:I2185,$I2185,$J$1:J2185,$J2185,$K$1:K2185,K2185,$L$1:L2185,L2185),IF(LEN(COUNTIFS($H$1:H2185,$H2185,$I$1:I2185,$I2185,$J$1:J2185,$J2185,$K$1:K2185,K2185,$L$1:L2185,L2185))=2,"0"&amp;COUNTIFS($H$1:H2185,$H2185,$I$1:I2185,$I2185,$J$1:J2185,$J2185,$K$1:K2185,K2185,$L$1:L2185,L2185),COUNTIFS($H$1:H2185,$H2185,$I$1:I2185,$I2185,$J$1:J2185,$J2185,$K$1:K2185,K2185,$L$1:L2185,L2185)))</f>
        <v>013</v>
      </c>
      <c r="N218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85" s="14" t="e">
        <f>+LEN(Table4[[#This Row],[New Item Code]])</f>
        <v>#N/A</v>
      </c>
      <c r="P2185" s="15" t="s">
        <v>4747</v>
      </c>
      <c r="Q2185" s="15" t="s">
        <v>4749</v>
      </c>
      <c r="R2185" s="15"/>
      <c r="S2185" s="15"/>
      <c r="T2185" s="15" t="s">
        <v>4725</v>
      </c>
    </row>
    <row r="2186" spans="1:20" x14ac:dyDescent="0.35">
      <c r="A2186" s="2" t="s">
        <v>4303</v>
      </c>
      <c r="B2186" s="2" t="s">
        <v>4304</v>
      </c>
      <c r="C2186" s="2" t="s">
        <v>15</v>
      </c>
      <c r="D2186" s="2">
        <v>0</v>
      </c>
      <c r="E2186" s="2" t="s">
        <v>10</v>
      </c>
      <c r="F2186" s="2">
        <v>0</v>
      </c>
      <c r="G2186" s="22">
        <f>Table4[[#This Row],[Item Cost]]*Table4[[#This Row],[In Stock]]</f>
        <v>0</v>
      </c>
      <c r="H2186" s="12" t="s">
        <v>4661</v>
      </c>
      <c r="I2186" s="13" t="s">
        <v>4666</v>
      </c>
      <c r="J2186" s="13" t="s">
        <v>4725</v>
      </c>
      <c r="K2186" s="13" t="s">
        <v>4672</v>
      </c>
      <c r="L2186" s="12" t="s">
        <v>4672</v>
      </c>
      <c r="M2186" s="17" t="str">
        <f>IF(LEN(COUNTIFS($H$1:H2186,$H2186,$I$1:I2186,$I2186,$J$1:J2186,$J2186,$K$1:K2186,K2186,$L$1:L2186,L2186))=1,"00"&amp;COUNTIFS($H$1:H2186,$H2186,$I$1:I2186,$I2186,$J$1:J2186,$J2186,$K$1:K2186,K2186,$L$1:L2186,L2186),IF(LEN(COUNTIFS($H$1:H2186,$H2186,$I$1:I2186,$I2186,$J$1:J2186,$J2186,$K$1:K2186,K2186,$L$1:L2186,L2186))=2,"0"&amp;COUNTIFS($H$1:H2186,$H2186,$I$1:I2186,$I2186,$J$1:J2186,$J2186,$K$1:K2186,K2186,$L$1:L2186,L2186),COUNTIFS($H$1:H2186,$H2186,$I$1:I2186,$I2186,$J$1:J2186,$J2186,$K$1:K2186,K2186,$L$1:L2186,L2186)))</f>
        <v>014</v>
      </c>
      <c r="N218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86" s="14" t="e">
        <f>+LEN(Table4[[#This Row],[New Item Code]])</f>
        <v>#N/A</v>
      </c>
      <c r="P2186" s="15" t="s">
        <v>4747</v>
      </c>
      <c r="Q2186" s="15" t="s">
        <v>4749</v>
      </c>
      <c r="R2186" s="15"/>
      <c r="S2186" s="15"/>
      <c r="T2186" s="15" t="s">
        <v>4725</v>
      </c>
    </row>
    <row r="2187" spans="1:20" x14ac:dyDescent="0.35">
      <c r="A2187" s="3" t="s">
        <v>4305</v>
      </c>
      <c r="B2187" s="3" t="s">
        <v>4306</v>
      </c>
      <c r="C2187" s="3" t="s">
        <v>15</v>
      </c>
      <c r="D2187" s="3">
        <v>0</v>
      </c>
      <c r="E2187" s="3" t="s">
        <v>10</v>
      </c>
      <c r="F2187" s="3">
        <v>0</v>
      </c>
      <c r="G2187" s="21">
        <f>Table4[[#This Row],[Item Cost]]*Table4[[#This Row],[In Stock]]</f>
        <v>0</v>
      </c>
      <c r="H2187" s="12" t="s">
        <v>4661</v>
      </c>
      <c r="I2187" s="13" t="s">
        <v>4666</v>
      </c>
      <c r="J2187" s="13" t="s">
        <v>4725</v>
      </c>
      <c r="K2187" t="s">
        <v>4799</v>
      </c>
      <c r="L2187" s="12" t="s">
        <v>4672</v>
      </c>
      <c r="M2187" s="17" t="str">
        <f>IF(LEN(COUNTIFS($H$1:H2187,$H2187,$I$1:I2187,$I2187,$J$1:J2187,$J2187,$K$1:K2187,K2187,$L$1:L2187,L2187))=1,"00"&amp;COUNTIFS($H$1:H2187,$H2187,$I$1:I2187,$I2187,$J$1:J2187,$J2187,$K$1:K2187,K2187,$L$1:L2187,L2187),IF(LEN(COUNTIFS($H$1:H2187,$H2187,$I$1:I2187,$I2187,$J$1:J2187,$J2187,$K$1:K2187,K2187,$L$1:L2187,L2187))=2,"0"&amp;COUNTIFS($H$1:H2187,$H2187,$I$1:I2187,$I2187,$J$1:J2187,$J2187,$K$1:K2187,K2187,$L$1:L2187,L2187),COUNTIFS($H$1:H2187,$H2187,$I$1:I2187,$I2187,$J$1:J2187,$J2187,$K$1:K2187,K2187,$L$1:L2187,L2187)))</f>
        <v>001</v>
      </c>
      <c r="N218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87" s="14" t="e">
        <f>+LEN(Table4[[#This Row],[New Item Code]])</f>
        <v>#N/A</v>
      </c>
      <c r="P2187" s="15" t="s">
        <v>4747</v>
      </c>
      <c r="Q2187" s="15" t="s">
        <v>4749</v>
      </c>
      <c r="R2187" s="15"/>
      <c r="S2187" s="15"/>
      <c r="T2187" s="15" t="s">
        <v>4725</v>
      </c>
    </row>
    <row r="2188" spans="1:20" x14ac:dyDescent="0.35">
      <c r="A2188" s="2" t="s">
        <v>4307</v>
      </c>
      <c r="B2188" s="2" t="s">
        <v>4308</v>
      </c>
      <c r="C2188" s="2" t="s">
        <v>15</v>
      </c>
      <c r="D2188" s="2">
        <v>0</v>
      </c>
      <c r="E2188" s="2" t="s">
        <v>10</v>
      </c>
      <c r="F2188" s="2">
        <v>0</v>
      </c>
      <c r="G2188" s="22">
        <f>Table4[[#This Row],[Item Cost]]*Table4[[#This Row],[In Stock]]</f>
        <v>0</v>
      </c>
      <c r="H2188" s="12" t="s">
        <v>4661</v>
      </c>
      <c r="I2188" s="13" t="s">
        <v>4666</v>
      </c>
      <c r="J2188" s="13" t="s">
        <v>4725</v>
      </c>
      <c r="K2188" t="s">
        <v>4799</v>
      </c>
      <c r="L2188" s="12" t="s">
        <v>4672</v>
      </c>
      <c r="M2188" s="17" t="str">
        <f>IF(LEN(COUNTIFS($H$1:H2188,$H2188,$I$1:I2188,$I2188,$J$1:J2188,$J2188,$K$1:K2188,K2188,$L$1:L2188,L2188))=1,"00"&amp;COUNTIFS($H$1:H2188,$H2188,$I$1:I2188,$I2188,$J$1:J2188,$J2188,$K$1:K2188,K2188,$L$1:L2188,L2188),IF(LEN(COUNTIFS($H$1:H2188,$H2188,$I$1:I2188,$I2188,$J$1:J2188,$J2188,$K$1:K2188,K2188,$L$1:L2188,L2188))=2,"0"&amp;COUNTIFS($H$1:H2188,$H2188,$I$1:I2188,$I2188,$J$1:J2188,$J2188,$K$1:K2188,K2188,$L$1:L2188,L2188),COUNTIFS($H$1:H2188,$H2188,$I$1:I2188,$I2188,$J$1:J2188,$J2188,$K$1:K2188,K2188,$L$1:L2188,L2188)))</f>
        <v>002</v>
      </c>
      <c r="N218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88" s="14" t="e">
        <f>+LEN(Table4[[#This Row],[New Item Code]])</f>
        <v>#N/A</v>
      </c>
      <c r="P2188" s="15" t="s">
        <v>4747</v>
      </c>
      <c r="Q2188" s="15" t="s">
        <v>4749</v>
      </c>
      <c r="R2188" s="15"/>
      <c r="S2188" s="15"/>
      <c r="T2188" s="15" t="s">
        <v>4725</v>
      </c>
    </row>
    <row r="2189" spans="1:20" x14ac:dyDescent="0.35">
      <c r="A2189" s="3" t="s">
        <v>4309</v>
      </c>
      <c r="B2189" s="3" t="s">
        <v>4310</v>
      </c>
      <c r="C2189" s="3" t="s">
        <v>15</v>
      </c>
      <c r="D2189" s="3">
        <v>0</v>
      </c>
      <c r="E2189" s="3" t="s">
        <v>10</v>
      </c>
      <c r="F2189" s="3">
        <v>0</v>
      </c>
      <c r="G2189" s="21">
        <f>Table4[[#This Row],[Item Cost]]*Table4[[#This Row],[In Stock]]</f>
        <v>0</v>
      </c>
      <c r="H2189" s="12" t="s">
        <v>4661</v>
      </c>
      <c r="I2189" s="13" t="s">
        <v>4666</v>
      </c>
      <c r="J2189" s="13" t="s">
        <v>4725</v>
      </c>
      <c r="K2189" s="13" t="s">
        <v>4672</v>
      </c>
      <c r="L2189" s="12" t="s">
        <v>4672</v>
      </c>
      <c r="M2189" s="17" t="str">
        <f>IF(LEN(COUNTIFS($H$1:H2189,$H2189,$I$1:I2189,$I2189,$J$1:J2189,$J2189,$K$1:K2189,K2189,$L$1:L2189,L2189))=1,"00"&amp;COUNTIFS($H$1:H2189,$H2189,$I$1:I2189,$I2189,$J$1:J2189,$J2189,$K$1:K2189,K2189,$L$1:L2189,L2189),IF(LEN(COUNTIFS($H$1:H2189,$H2189,$I$1:I2189,$I2189,$J$1:J2189,$J2189,$K$1:K2189,K2189,$L$1:L2189,L2189))=2,"0"&amp;COUNTIFS($H$1:H2189,$H2189,$I$1:I2189,$I2189,$J$1:J2189,$J2189,$K$1:K2189,K2189,$L$1:L2189,L2189),COUNTIFS($H$1:H2189,$H2189,$I$1:I2189,$I2189,$J$1:J2189,$J2189,$K$1:K2189,K2189,$L$1:L2189,L2189)))</f>
        <v>015</v>
      </c>
      <c r="N218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89" s="14" t="e">
        <f>+LEN(Table4[[#This Row],[New Item Code]])</f>
        <v>#N/A</v>
      </c>
      <c r="P2189" s="15" t="s">
        <v>4747</v>
      </c>
      <c r="Q2189" s="15" t="s">
        <v>4749</v>
      </c>
      <c r="R2189" s="15"/>
      <c r="S2189" s="15"/>
      <c r="T2189" s="15" t="s">
        <v>4725</v>
      </c>
    </row>
    <row r="2190" spans="1:20" x14ac:dyDescent="0.35">
      <c r="A2190" s="2" t="s">
        <v>4311</v>
      </c>
      <c r="B2190" s="2" t="s">
        <v>4312</v>
      </c>
      <c r="C2190" s="2" t="s">
        <v>15</v>
      </c>
      <c r="D2190" s="2">
        <v>0</v>
      </c>
      <c r="E2190" s="2" t="s">
        <v>10</v>
      </c>
      <c r="F2190" s="2">
        <v>0</v>
      </c>
      <c r="G2190" s="22">
        <f>Table4[[#This Row],[Item Cost]]*Table4[[#This Row],[In Stock]]</f>
        <v>0</v>
      </c>
      <c r="H2190" s="12" t="s">
        <v>4661</v>
      </c>
      <c r="I2190" s="13" t="s">
        <v>4666</v>
      </c>
      <c r="J2190" s="13" t="s">
        <v>4725</v>
      </c>
      <c r="K2190" s="13" t="s">
        <v>4672</v>
      </c>
      <c r="L2190" s="12" t="s">
        <v>4672</v>
      </c>
      <c r="M2190" s="17" t="str">
        <f>IF(LEN(COUNTIFS($H$1:H2190,$H2190,$I$1:I2190,$I2190,$J$1:J2190,$J2190,$K$1:K2190,K2190,$L$1:L2190,L2190))=1,"00"&amp;COUNTIFS($H$1:H2190,$H2190,$I$1:I2190,$I2190,$J$1:J2190,$J2190,$K$1:K2190,K2190,$L$1:L2190,L2190),IF(LEN(COUNTIFS($H$1:H2190,$H2190,$I$1:I2190,$I2190,$J$1:J2190,$J2190,$K$1:K2190,K2190,$L$1:L2190,L2190))=2,"0"&amp;COUNTIFS($H$1:H2190,$H2190,$I$1:I2190,$I2190,$J$1:J2190,$J2190,$K$1:K2190,K2190,$L$1:L2190,L2190),COUNTIFS($H$1:H2190,$H2190,$I$1:I2190,$I2190,$J$1:J2190,$J2190,$K$1:K2190,K2190,$L$1:L2190,L2190)))</f>
        <v>016</v>
      </c>
      <c r="N219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90" s="14" t="e">
        <f>+LEN(Table4[[#This Row],[New Item Code]])</f>
        <v>#N/A</v>
      </c>
      <c r="P2190" s="15" t="s">
        <v>4747</v>
      </c>
      <c r="Q2190" s="15" t="s">
        <v>4749</v>
      </c>
      <c r="R2190" s="15"/>
      <c r="S2190" s="15"/>
      <c r="T2190" s="15" t="s">
        <v>4725</v>
      </c>
    </row>
    <row r="2191" spans="1:20" x14ac:dyDescent="0.35">
      <c r="A2191" s="3" t="s">
        <v>4313</v>
      </c>
      <c r="B2191" s="3" t="s">
        <v>4314</v>
      </c>
      <c r="C2191" s="3" t="s">
        <v>15</v>
      </c>
      <c r="D2191" s="3">
        <v>55</v>
      </c>
      <c r="E2191" s="3" t="s">
        <v>10</v>
      </c>
      <c r="F2191" s="3">
        <v>4</v>
      </c>
      <c r="G2191" s="21">
        <f>Table4[[#This Row],[Item Cost]]*Table4[[#This Row],[In Stock]]</f>
        <v>220</v>
      </c>
      <c r="H2191" s="12" t="s">
        <v>4661</v>
      </c>
      <c r="I2191" s="13" t="s">
        <v>4666</v>
      </c>
      <c r="J2191" s="13" t="s">
        <v>4725</v>
      </c>
      <c r="K2191" t="s">
        <v>4799</v>
      </c>
      <c r="L2191" s="12" t="s">
        <v>4672</v>
      </c>
      <c r="M2191" s="17" t="str">
        <f>IF(LEN(COUNTIFS($H$1:H2191,$H2191,$I$1:I2191,$I2191,$J$1:J2191,$J2191,$K$1:K2191,K2191,$L$1:L2191,L2191))=1,"00"&amp;COUNTIFS($H$1:H2191,$H2191,$I$1:I2191,$I2191,$J$1:J2191,$J2191,$K$1:K2191,K2191,$L$1:L2191,L2191),IF(LEN(COUNTIFS($H$1:H2191,$H2191,$I$1:I2191,$I2191,$J$1:J2191,$J2191,$K$1:K2191,K2191,$L$1:L2191,L2191))=2,"0"&amp;COUNTIFS($H$1:H2191,$H2191,$I$1:I2191,$I2191,$J$1:J2191,$J2191,$K$1:K2191,K2191,$L$1:L2191,L2191),COUNTIFS($H$1:H2191,$H2191,$I$1:I2191,$I2191,$J$1:J2191,$J2191,$K$1:K2191,K2191,$L$1:L2191,L2191)))</f>
        <v>003</v>
      </c>
      <c r="N219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91" s="14" t="e">
        <f>+LEN(Table4[[#This Row],[New Item Code]])</f>
        <v>#N/A</v>
      </c>
      <c r="P2191" s="15" t="s">
        <v>4747</v>
      </c>
      <c r="Q2191" s="15" t="s">
        <v>4749</v>
      </c>
      <c r="R2191" s="15"/>
      <c r="S2191" s="15"/>
      <c r="T2191" s="15" t="s">
        <v>4725</v>
      </c>
    </row>
    <row r="2192" spans="1:20" x14ac:dyDescent="0.35">
      <c r="A2192" s="2" t="s">
        <v>4315</v>
      </c>
      <c r="B2192" s="2" t="s">
        <v>4316</v>
      </c>
      <c r="C2192" s="2" t="s">
        <v>15</v>
      </c>
      <c r="D2192" s="2">
        <v>0</v>
      </c>
      <c r="E2192" s="2" t="s">
        <v>10</v>
      </c>
      <c r="F2192" s="2">
        <v>0</v>
      </c>
      <c r="G2192" s="22">
        <f>Table4[[#This Row],[Item Cost]]*Table4[[#This Row],[In Stock]]</f>
        <v>0</v>
      </c>
      <c r="H2192" s="12" t="s">
        <v>4661</v>
      </c>
      <c r="I2192" s="13" t="s">
        <v>4666</v>
      </c>
      <c r="J2192" s="13" t="s">
        <v>4725</v>
      </c>
      <c r="K2192" t="s">
        <v>4800</v>
      </c>
      <c r="L2192" s="12" t="s">
        <v>4672</v>
      </c>
      <c r="M2192" s="17" t="str">
        <f>IF(LEN(COUNTIFS($H$1:H2192,$H2192,$I$1:I2192,$I2192,$J$1:J2192,$J2192,$K$1:K2192,K2192,$L$1:L2192,L2192))=1,"00"&amp;COUNTIFS($H$1:H2192,$H2192,$I$1:I2192,$I2192,$J$1:J2192,$J2192,$K$1:K2192,K2192,$L$1:L2192,L2192),IF(LEN(COUNTIFS($H$1:H2192,$H2192,$I$1:I2192,$I2192,$J$1:J2192,$J2192,$K$1:K2192,K2192,$L$1:L2192,L2192))=2,"0"&amp;COUNTIFS($H$1:H2192,$H2192,$I$1:I2192,$I2192,$J$1:J2192,$J2192,$K$1:K2192,K2192,$L$1:L2192,L2192),COUNTIFS($H$1:H2192,$H2192,$I$1:I2192,$I2192,$J$1:J2192,$J2192,$K$1:K2192,K2192,$L$1:L2192,L2192)))</f>
        <v>001</v>
      </c>
      <c r="N219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92" s="14" t="e">
        <f>+LEN(Table4[[#This Row],[New Item Code]])</f>
        <v>#N/A</v>
      </c>
      <c r="P2192" s="15" t="s">
        <v>4747</v>
      </c>
      <c r="Q2192" s="15" t="s">
        <v>4749</v>
      </c>
      <c r="R2192" s="15"/>
      <c r="S2192" s="15"/>
      <c r="T2192" s="15" t="s">
        <v>4725</v>
      </c>
    </row>
    <row r="2193" spans="1:20" x14ac:dyDescent="0.35">
      <c r="A2193" s="3" t="s">
        <v>4317</v>
      </c>
      <c r="B2193" s="3" t="s">
        <v>4318</v>
      </c>
      <c r="C2193" s="3" t="s">
        <v>15</v>
      </c>
      <c r="D2193" s="3">
        <v>0</v>
      </c>
      <c r="E2193" s="3" t="s">
        <v>10</v>
      </c>
      <c r="F2193" s="3">
        <v>0</v>
      </c>
      <c r="G2193" s="21">
        <f>Table4[[#This Row],[Item Cost]]*Table4[[#This Row],[In Stock]]</f>
        <v>0</v>
      </c>
      <c r="H2193" s="12" t="s">
        <v>4661</v>
      </c>
      <c r="I2193" s="13" t="s">
        <v>4666</v>
      </c>
      <c r="J2193" s="13" t="s">
        <v>4725</v>
      </c>
      <c r="K2193" s="13" t="s">
        <v>4672</v>
      </c>
      <c r="L2193" s="12" t="s">
        <v>4672</v>
      </c>
      <c r="M2193" s="17" t="str">
        <f>IF(LEN(COUNTIFS($H$1:H2193,$H2193,$I$1:I2193,$I2193,$J$1:J2193,$J2193,$K$1:K2193,K2193,$L$1:L2193,L2193))=1,"00"&amp;COUNTIFS($H$1:H2193,$H2193,$I$1:I2193,$I2193,$J$1:J2193,$J2193,$K$1:K2193,K2193,$L$1:L2193,L2193),IF(LEN(COUNTIFS($H$1:H2193,$H2193,$I$1:I2193,$I2193,$J$1:J2193,$J2193,$K$1:K2193,K2193,$L$1:L2193,L2193))=2,"0"&amp;COUNTIFS($H$1:H2193,$H2193,$I$1:I2193,$I2193,$J$1:J2193,$J2193,$K$1:K2193,K2193,$L$1:L2193,L2193),COUNTIFS($H$1:H2193,$H2193,$I$1:I2193,$I2193,$J$1:J2193,$J2193,$K$1:K2193,K2193,$L$1:L2193,L2193)))</f>
        <v>017</v>
      </c>
      <c r="N219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93" s="14" t="e">
        <f>+LEN(Table4[[#This Row],[New Item Code]])</f>
        <v>#N/A</v>
      </c>
      <c r="P2193" s="15" t="s">
        <v>4747</v>
      </c>
      <c r="Q2193" s="15" t="s">
        <v>4749</v>
      </c>
      <c r="R2193" s="15"/>
      <c r="S2193" s="15"/>
      <c r="T2193" s="15" t="s">
        <v>4725</v>
      </c>
    </row>
    <row r="2194" spans="1:20" x14ac:dyDescent="0.35">
      <c r="A2194" s="2" t="s">
        <v>4319</v>
      </c>
      <c r="B2194" s="2" t="s">
        <v>4320</v>
      </c>
      <c r="C2194" s="2" t="s">
        <v>15</v>
      </c>
      <c r="D2194" s="2">
        <v>0</v>
      </c>
      <c r="E2194" s="2" t="s">
        <v>10</v>
      </c>
      <c r="F2194" s="2">
        <v>0</v>
      </c>
      <c r="G2194" s="22">
        <f>Table4[[#This Row],[Item Cost]]*Table4[[#This Row],[In Stock]]</f>
        <v>0</v>
      </c>
      <c r="H2194" s="12" t="s">
        <v>4661</v>
      </c>
      <c r="I2194" s="13" t="s">
        <v>4666</v>
      </c>
      <c r="J2194" s="13" t="s">
        <v>4725</v>
      </c>
      <c r="K2194" t="s">
        <v>4797</v>
      </c>
      <c r="L2194" s="12" t="s">
        <v>4672</v>
      </c>
      <c r="M2194" s="17" t="str">
        <f>IF(LEN(COUNTIFS($H$1:H2194,$H2194,$I$1:I2194,$I2194,$J$1:J2194,$J2194,$K$1:K2194,K2194,$L$1:L2194,L2194))=1,"00"&amp;COUNTIFS($H$1:H2194,$H2194,$I$1:I2194,$I2194,$J$1:J2194,$J2194,$K$1:K2194,K2194,$L$1:L2194,L2194),IF(LEN(COUNTIFS($H$1:H2194,$H2194,$I$1:I2194,$I2194,$J$1:J2194,$J2194,$K$1:K2194,K2194,$L$1:L2194,L2194))=2,"0"&amp;COUNTIFS($H$1:H2194,$H2194,$I$1:I2194,$I2194,$J$1:J2194,$J2194,$K$1:K2194,K2194,$L$1:L2194,L2194),COUNTIFS($H$1:H2194,$H2194,$I$1:I2194,$I2194,$J$1:J2194,$J2194,$K$1:K2194,K2194,$L$1:L2194,L2194)))</f>
        <v>001</v>
      </c>
      <c r="N219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94" s="14" t="e">
        <f>+LEN(Table4[[#This Row],[New Item Code]])</f>
        <v>#N/A</v>
      </c>
      <c r="P2194" s="15" t="s">
        <v>4747</v>
      </c>
      <c r="Q2194" s="15" t="s">
        <v>4749</v>
      </c>
      <c r="R2194" s="15"/>
      <c r="S2194" s="15"/>
      <c r="T2194" s="15" t="s">
        <v>4725</v>
      </c>
    </row>
    <row r="2195" spans="1:20" x14ac:dyDescent="0.35">
      <c r="A2195" s="3" t="s">
        <v>4321</v>
      </c>
      <c r="B2195" s="3" t="s">
        <v>4322</v>
      </c>
      <c r="C2195" s="3" t="s">
        <v>15</v>
      </c>
      <c r="D2195" s="3">
        <v>0</v>
      </c>
      <c r="E2195" s="3" t="s">
        <v>10</v>
      </c>
      <c r="F2195" s="3">
        <v>0</v>
      </c>
      <c r="G2195" s="21">
        <f>Table4[[#This Row],[Item Cost]]*Table4[[#This Row],[In Stock]]</f>
        <v>0</v>
      </c>
      <c r="H2195" s="12" t="s">
        <v>4661</v>
      </c>
      <c r="I2195" s="13" t="s">
        <v>4666</v>
      </c>
      <c r="J2195" s="13" t="s">
        <v>4725</v>
      </c>
      <c r="K2195" s="13" t="s">
        <v>4672</v>
      </c>
      <c r="L2195" s="12" t="s">
        <v>4672</v>
      </c>
      <c r="M2195" s="17" t="str">
        <f>IF(LEN(COUNTIFS($H$1:H2195,$H2195,$I$1:I2195,$I2195,$J$1:J2195,$J2195,$K$1:K2195,K2195,$L$1:L2195,L2195))=1,"00"&amp;COUNTIFS($H$1:H2195,$H2195,$I$1:I2195,$I2195,$J$1:J2195,$J2195,$K$1:K2195,K2195,$L$1:L2195,L2195),IF(LEN(COUNTIFS($H$1:H2195,$H2195,$I$1:I2195,$I2195,$J$1:J2195,$J2195,$K$1:K2195,K2195,$L$1:L2195,L2195))=2,"0"&amp;COUNTIFS($H$1:H2195,$H2195,$I$1:I2195,$I2195,$J$1:J2195,$J2195,$K$1:K2195,K2195,$L$1:L2195,L2195),COUNTIFS($H$1:H2195,$H2195,$I$1:I2195,$I2195,$J$1:J2195,$J2195,$K$1:K2195,K2195,$L$1:L2195,L2195)))</f>
        <v>018</v>
      </c>
      <c r="N219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95" s="14" t="e">
        <f>+LEN(Table4[[#This Row],[New Item Code]])</f>
        <v>#N/A</v>
      </c>
      <c r="P2195" s="15" t="s">
        <v>4747</v>
      </c>
      <c r="Q2195" s="15" t="s">
        <v>4749</v>
      </c>
      <c r="R2195" s="15"/>
      <c r="S2195" s="15"/>
      <c r="T2195" s="15" t="s">
        <v>4725</v>
      </c>
    </row>
    <row r="2196" spans="1:20" x14ac:dyDescent="0.35">
      <c r="A2196" s="2" t="s">
        <v>4323</v>
      </c>
      <c r="B2196" s="2" t="s">
        <v>4324</v>
      </c>
      <c r="C2196" s="2" t="s">
        <v>15</v>
      </c>
      <c r="D2196" s="2">
        <v>0</v>
      </c>
      <c r="E2196" s="2" t="s">
        <v>10</v>
      </c>
      <c r="F2196" s="2">
        <v>0</v>
      </c>
      <c r="G2196" s="22">
        <f>Table4[[#This Row],[Item Cost]]*Table4[[#This Row],[In Stock]]</f>
        <v>0</v>
      </c>
      <c r="H2196" s="12" t="s">
        <v>4661</v>
      </c>
      <c r="I2196" s="13" t="s">
        <v>4666</v>
      </c>
      <c r="J2196" s="13" t="s">
        <v>4725</v>
      </c>
      <c r="K2196" s="13" t="s">
        <v>4672</v>
      </c>
      <c r="L2196" s="12" t="s">
        <v>4672</v>
      </c>
      <c r="M2196" s="17" t="str">
        <f>IF(LEN(COUNTIFS($H$1:H2196,$H2196,$I$1:I2196,$I2196,$J$1:J2196,$J2196,$K$1:K2196,K2196,$L$1:L2196,L2196))=1,"00"&amp;COUNTIFS($H$1:H2196,$H2196,$I$1:I2196,$I2196,$J$1:J2196,$J2196,$K$1:K2196,K2196,$L$1:L2196,L2196),IF(LEN(COUNTIFS($H$1:H2196,$H2196,$I$1:I2196,$I2196,$J$1:J2196,$J2196,$K$1:K2196,K2196,$L$1:L2196,L2196))=2,"0"&amp;COUNTIFS($H$1:H2196,$H2196,$I$1:I2196,$I2196,$J$1:J2196,$J2196,$K$1:K2196,K2196,$L$1:L2196,L2196),COUNTIFS($H$1:H2196,$H2196,$I$1:I2196,$I2196,$J$1:J2196,$J2196,$K$1:K2196,K2196,$L$1:L2196,L2196)))</f>
        <v>019</v>
      </c>
      <c r="N219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96" s="14" t="e">
        <f>+LEN(Table4[[#This Row],[New Item Code]])</f>
        <v>#N/A</v>
      </c>
      <c r="P2196" s="15" t="s">
        <v>4747</v>
      </c>
      <c r="Q2196" s="15" t="s">
        <v>4749</v>
      </c>
      <c r="R2196" s="15"/>
      <c r="S2196" s="15"/>
      <c r="T2196" s="15" t="s">
        <v>4725</v>
      </c>
    </row>
    <row r="2197" spans="1:20" x14ac:dyDescent="0.35">
      <c r="A2197" s="3" t="s">
        <v>4325</v>
      </c>
      <c r="B2197" s="3" t="s">
        <v>4326</v>
      </c>
      <c r="C2197" s="3" t="s">
        <v>15</v>
      </c>
      <c r="D2197" s="3">
        <v>0</v>
      </c>
      <c r="E2197" s="3" t="s">
        <v>10</v>
      </c>
      <c r="F2197" s="3">
        <v>0</v>
      </c>
      <c r="G2197" s="21">
        <f>Table4[[#This Row],[Item Cost]]*Table4[[#This Row],[In Stock]]</f>
        <v>0</v>
      </c>
      <c r="H2197" s="12" t="s">
        <v>4661</v>
      </c>
      <c r="I2197" s="13" t="s">
        <v>4666</v>
      </c>
      <c r="J2197" s="13" t="s">
        <v>4725</v>
      </c>
      <c r="K2197" s="13" t="s">
        <v>4672</v>
      </c>
      <c r="L2197" s="12" t="s">
        <v>4672</v>
      </c>
      <c r="M2197" s="17" t="str">
        <f>IF(LEN(COUNTIFS($H$1:H2197,$H2197,$I$1:I2197,$I2197,$J$1:J2197,$J2197,$K$1:K2197,K2197,$L$1:L2197,L2197))=1,"00"&amp;COUNTIFS($H$1:H2197,$H2197,$I$1:I2197,$I2197,$J$1:J2197,$J2197,$K$1:K2197,K2197,$L$1:L2197,L2197),IF(LEN(COUNTIFS($H$1:H2197,$H2197,$I$1:I2197,$I2197,$J$1:J2197,$J2197,$K$1:K2197,K2197,$L$1:L2197,L2197))=2,"0"&amp;COUNTIFS($H$1:H2197,$H2197,$I$1:I2197,$I2197,$J$1:J2197,$J2197,$K$1:K2197,K2197,$L$1:L2197,L2197),COUNTIFS($H$1:H2197,$H2197,$I$1:I2197,$I2197,$J$1:J2197,$J2197,$K$1:K2197,K2197,$L$1:L2197,L2197)))</f>
        <v>020</v>
      </c>
      <c r="N219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97" s="14" t="e">
        <f>+LEN(Table4[[#This Row],[New Item Code]])</f>
        <v>#N/A</v>
      </c>
      <c r="P2197" s="15" t="s">
        <v>4747</v>
      </c>
      <c r="Q2197" s="15" t="s">
        <v>4749</v>
      </c>
      <c r="R2197" s="15"/>
      <c r="S2197" s="15"/>
      <c r="T2197" s="15" t="s">
        <v>4725</v>
      </c>
    </row>
    <row r="2198" spans="1:20" x14ac:dyDescent="0.35">
      <c r="A2198" s="2" t="s">
        <v>4327</v>
      </c>
      <c r="B2198" s="2" t="s">
        <v>4328</v>
      </c>
      <c r="C2198" s="2" t="s">
        <v>15</v>
      </c>
      <c r="D2198" s="2">
        <v>0</v>
      </c>
      <c r="E2198" s="2" t="s">
        <v>10</v>
      </c>
      <c r="F2198" s="2">
        <v>0</v>
      </c>
      <c r="G2198" s="22">
        <f>Table4[[#This Row],[Item Cost]]*Table4[[#This Row],[In Stock]]</f>
        <v>0</v>
      </c>
      <c r="H2198" s="12" t="s">
        <v>4661</v>
      </c>
      <c r="I2198" s="13" t="s">
        <v>4666</v>
      </c>
      <c r="J2198" s="13" t="s">
        <v>4725</v>
      </c>
      <c r="K2198" s="13" t="s">
        <v>4672</v>
      </c>
      <c r="L2198" s="12" t="s">
        <v>4672</v>
      </c>
      <c r="M2198" s="17" t="str">
        <f>IF(LEN(COUNTIFS($H$1:H2198,$H2198,$I$1:I2198,$I2198,$J$1:J2198,$J2198,$K$1:K2198,K2198,$L$1:L2198,L2198))=1,"00"&amp;COUNTIFS($H$1:H2198,$H2198,$I$1:I2198,$I2198,$J$1:J2198,$J2198,$K$1:K2198,K2198,$L$1:L2198,L2198),IF(LEN(COUNTIFS($H$1:H2198,$H2198,$I$1:I2198,$I2198,$J$1:J2198,$J2198,$K$1:K2198,K2198,$L$1:L2198,L2198))=2,"0"&amp;COUNTIFS($H$1:H2198,$H2198,$I$1:I2198,$I2198,$J$1:J2198,$J2198,$K$1:K2198,K2198,$L$1:L2198,L2198),COUNTIFS($H$1:H2198,$H2198,$I$1:I2198,$I2198,$J$1:J2198,$J2198,$K$1:K2198,K2198,$L$1:L2198,L2198)))</f>
        <v>021</v>
      </c>
      <c r="N219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98" s="14" t="e">
        <f>+LEN(Table4[[#This Row],[New Item Code]])</f>
        <v>#N/A</v>
      </c>
      <c r="P2198" s="15" t="s">
        <v>4747</v>
      </c>
      <c r="Q2198" s="15" t="s">
        <v>4749</v>
      </c>
      <c r="R2198" s="15"/>
      <c r="S2198" s="15"/>
      <c r="T2198" s="15" t="s">
        <v>4725</v>
      </c>
    </row>
    <row r="2199" spans="1:20" x14ac:dyDescent="0.35">
      <c r="A2199" s="3" t="s">
        <v>4329</v>
      </c>
      <c r="B2199" s="3" t="s">
        <v>4330</v>
      </c>
      <c r="C2199" s="3" t="s">
        <v>15</v>
      </c>
      <c r="D2199" s="3">
        <v>0</v>
      </c>
      <c r="E2199" s="3" t="s">
        <v>10</v>
      </c>
      <c r="F2199" s="3">
        <v>0</v>
      </c>
      <c r="G2199" s="21">
        <f>Table4[[#This Row],[Item Cost]]*Table4[[#This Row],[In Stock]]</f>
        <v>0</v>
      </c>
      <c r="H2199" s="12" t="s">
        <v>4661</v>
      </c>
      <c r="I2199" s="13" t="s">
        <v>4666</v>
      </c>
      <c r="J2199" s="13" t="s">
        <v>4725</v>
      </c>
      <c r="K2199" s="13" t="s">
        <v>4672</v>
      </c>
      <c r="L2199" s="12" t="s">
        <v>4672</v>
      </c>
      <c r="M2199" s="17" t="str">
        <f>IF(LEN(COUNTIFS($H$1:H2199,$H2199,$I$1:I2199,$I2199,$J$1:J2199,$J2199,$K$1:K2199,K2199,$L$1:L2199,L2199))=1,"00"&amp;COUNTIFS($H$1:H2199,$H2199,$I$1:I2199,$I2199,$J$1:J2199,$J2199,$K$1:K2199,K2199,$L$1:L2199,L2199),IF(LEN(COUNTIFS($H$1:H2199,$H2199,$I$1:I2199,$I2199,$J$1:J2199,$J2199,$K$1:K2199,K2199,$L$1:L2199,L2199))=2,"0"&amp;COUNTIFS($H$1:H2199,$H2199,$I$1:I2199,$I2199,$J$1:J2199,$J2199,$K$1:K2199,K2199,$L$1:L2199,L2199),COUNTIFS($H$1:H2199,$H2199,$I$1:I2199,$I2199,$J$1:J2199,$J2199,$K$1:K2199,K2199,$L$1:L2199,L2199)))</f>
        <v>022</v>
      </c>
      <c r="N219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199" s="14" t="e">
        <f>+LEN(Table4[[#This Row],[New Item Code]])</f>
        <v>#N/A</v>
      </c>
      <c r="P2199" s="15" t="s">
        <v>4747</v>
      </c>
      <c r="Q2199" s="15" t="s">
        <v>4749</v>
      </c>
      <c r="R2199" s="15"/>
      <c r="S2199" s="15"/>
      <c r="T2199" s="15" t="s">
        <v>4725</v>
      </c>
    </row>
    <row r="2200" spans="1:20" x14ac:dyDescent="0.35">
      <c r="A2200" s="2" t="s">
        <v>4331</v>
      </c>
      <c r="B2200" s="2" t="s">
        <v>4332</v>
      </c>
      <c r="C2200" s="2" t="s">
        <v>9</v>
      </c>
      <c r="D2200" s="2">
        <v>78</v>
      </c>
      <c r="E2200" s="2" t="s">
        <v>10</v>
      </c>
      <c r="F2200" s="2">
        <v>8</v>
      </c>
      <c r="G2200" s="22">
        <f>Table4[[#This Row],[Item Cost]]*Table4[[#This Row],[In Stock]]</f>
        <v>624</v>
      </c>
      <c r="H2200" s="12" t="s">
        <v>4661</v>
      </c>
      <c r="I2200" s="13" t="s">
        <v>4664</v>
      </c>
      <c r="J2200" s="13" t="s">
        <v>4725</v>
      </c>
      <c r="K2200" s="7" t="s">
        <v>4771</v>
      </c>
      <c r="L2200" s="12" t="s">
        <v>4672</v>
      </c>
      <c r="M2200" s="17" t="str">
        <f>IF(LEN(COUNTIFS($H$1:H2200,$H2200,$I$1:I2200,$I2200,$J$1:J2200,$J2200,$K$1:K2200,K2200,$L$1:L2200,L2200))=1,"00"&amp;COUNTIFS($H$1:H2200,$H2200,$I$1:I2200,$I2200,$J$1:J2200,$J2200,$K$1:K2200,K2200,$L$1:L2200,L2200),IF(LEN(COUNTIFS($H$1:H2200,$H2200,$I$1:I2200,$I2200,$J$1:J2200,$J2200,$K$1:K2200,K2200,$L$1:L2200,L2200))=2,"0"&amp;COUNTIFS($H$1:H2200,$H2200,$I$1:I2200,$I2200,$J$1:J2200,$J2200,$K$1:K2200,K2200,$L$1:L2200,L2200),COUNTIFS($H$1:H2200,$H2200,$I$1:I2200,$I2200,$J$1:J2200,$J2200,$K$1:K2200,K2200,$L$1:L2200,L2200)))</f>
        <v>001</v>
      </c>
      <c r="N220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00" s="14" t="e">
        <f>+LEN(Table4[[#This Row],[New Item Code]])</f>
        <v>#N/A</v>
      </c>
      <c r="P2200" s="15" t="s">
        <v>4747</v>
      </c>
      <c r="Q2200" s="15" t="s">
        <v>4749</v>
      </c>
      <c r="R2200" s="15"/>
      <c r="S2200" s="15"/>
      <c r="T2200" s="15" t="s">
        <v>4725</v>
      </c>
    </row>
    <row r="2201" spans="1:20" x14ac:dyDescent="0.35">
      <c r="A2201" s="3" t="s">
        <v>4333</v>
      </c>
      <c r="B2201" s="3" t="s">
        <v>4334</v>
      </c>
      <c r="C2201" s="3" t="s">
        <v>15</v>
      </c>
      <c r="D2201" s="3">
        <v>0</v>
      </c>
      <c r="E2201" s="3" t="s">
        <v>10</v>
      </c>
      <c r="F2201" s="3">
        <v>0</v>
      </c>
      <c r="G2201" s="21">
        <f>Table4[[#This Row],[Item Cost]]*Table4[[#This Row],[In Stock]]</f>
        <v>0</v>
      </c>
      <c r="H2201" s="12" t="s">
        <v>4661</v>
      </c>
      <c r="I2201" s="13" t="s">
        <v>4666</v>
      </c>
      <c r="J2201" s="13" t="s">
        <v>4725</v>
      </c>
      <c r="K2201" s="13" t="s">
        <v>4672</v>
      </c>
      <c r="L2201" s="12" t="s">
        <v>4672</v>
      </c>
      <c r="M2201" s="17" t="str">
        <f>IF(LEN(COUNTIFS($H$1:H2201,$H2201,$I$1:I2201,$I2201,$J$1:J2201,$J2201,$K$1:K2201,K2201,$L$1:L2201,L2201))=1,"00"&amp;COUNTIFS($H$1:H2201,$H2201,$I$1:I2201,$I2201,$J$1:J2201,$J2201,$K$1:K2201,K2201,$L$1:L2201,L2201),IF(LEN(COUNTIFS($H$1:H2201,$H2201,$I$1:I2201,$I2201,$J$1:J2201,$J2201,$K$1:K2201,K2201,$L$1:L2201,L2201))=2,"0"&amp;COUNTIFS($H$1:H2201,$H2201,$I$1:I2201,$I2201,$J$1:J2201,$J2201,$K$1:K2201,K2201,$L$1:L2201,L2201),COUNTIFS($H$1:H2201,$H2201,$I$1:I2201,$I2201,$J$1:J2201,$J2201,$K$1:K2201,K2201,$L$1:L2201,L2201)))</f>
        <v>023</v>
      </c>
      <c r="N220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01" s="14" t="e">
        <f>+LEN(Table4[[#This Row],[New Item Code]])</f>
        <v>#N/A</v>
      </c>
      <c r="P2201" s="15" t="s">
        <v>4747</v>
      </c>
      <c r="Q2201" s="15" t="s">
        <v>4749</v>
      </c>
      <c r="R2201" s="15"/>
      <c r="S2201" s="15"/>
      <c r="T2201" s="15" t="s">
        <v>4725</v>
      </c>
    </row>
    <row r="2202" spans="1:20" x14ac:dyDescent="0.35">
      <c r="A2202" s="2" t="s">
        <v>4335</v>
      </c>
      <c r="B2202" s="2" t="s">
        <v>4336</v>
      </c>
      <c r="C2202" s="2" t="s">
        <v>15</v>
      </c>
      <c r="D2202" s="2">
        <v>0</v>
      </c>
      <c r="E2202" s="2" t="s">
        <v>10</v>
      </c>
      <c r="F2202" s="2">
        <v>0</v>
      </c>
      <c r="G2202" s="22">
        <f>Table4[[#This Row],[Item Cost]]*Table4[[#This Row],[In Stock]]</f>
        <v>0</v>
      </c>
      <c r="H2202" s="12" t="s">
        <v>4661</v>
      </c>
      <c r="I2202" s="13" t="s">
        <v>4666</v>
      </c>
      <c r="J2202" s="13" t="s">
        <v>4725</v>
      </c>
      <c r="K2202" s="13" t="s">
        <v>4672</v>
      </c>
      <c r="L2202" s="12" t="s">
        <v>4672</v>
      </c>
      <c r="M2202" s="17" t="str">
        <f>IF(LEN(COUNTIFS($H$1:H2202,$H2202,$I$1:I2202,$I2202,$J$1:J2202,$J2202,$K$1:K2202,K2202,$L$1:L2202,L2202))=1,"00"&amp;COUNTIFS($H$1:H2202,$H2202,$I$1:I2202,$I2202,$J$1:J2202,$J2202,$K$1:K2202,K2202,$L$1:L2202,L2202),IF(LEN(COUNTIFS($H$1:H2202,$H2202,$I$1:I2202,$I2202,$J$1:J2202,$J2202,$K$1:K2202,K2202,$L$1:L2202,L2202))=2,"0"&amp;COUNTIFS($H$1:H2202,$H2202,$I$1:I2202,$I2202,$J$1:J2202,$J2202,$K$1:K2202,K2202,$L$1:L2202,L2202),COUNTIFS($H$1:H2202,$H2202,$I$1:I2202,$I2202,$J$1:J2202,$J2202,$K$1:K2202,K2202,$L$1:L2202,L2202)))</f>
        <v>024</v>
      </c>
      <c r="N220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02" s="14" t="e">
        <f>+LEN(Table4[[#This Row],[New Item Code]])</f>
        <v>#N/A</v>
      </c>
      <c r="P2202" s="15" t="s">
        <v>4747</v>
      </c>
      <c r="Q2202" s="15" t="s">
        <v>4749</v>
      </c>
      <c r="R2202" s="15"/>
      <c r="S2202" s="15"/>
      <c r="T2202" s="15" t="s">
        <v>4725</v>
      </c>
    </row>
    <row r="2203" spans="1:20" x14ac:dyDescent="0.35">
      <c r="A2203" s="3" t="s">
        <v>4337</v>
      </c>
      <c r="B2203" s="3" t="s">
        <v>4338</v>
      </c>
      <c r="C2203" s="3" t="s">
        <v>15</v>
      </c>
      <c r="D2203" s="3">
        <v>0</v>
      </c>
      <c r="E2203" s="3" t="s">
        <v>10</v>
      </c>
      <c r="F2203" s="3">
        <v>0</v>
      </c>
      <c r="G2203" s="21">
        <f>Table4[[#This Row],[Item Cost]]*Table4[[#This Row],[In Stock]]</f>
        <v>0</v>
      </c>
      <c r="H2203" s="12" t="s">
        <v>4661</v>
      </c>
      <c r="I2203" s="13" t="s">
        <v>4666</v>
      </c>
      <c r="J2203" s="13" t="s">
        <v>4725</v>
      </c>
      <c r="K2203" s="13" t="s">
        <v>4672</v>
      </c>
      <c r="L2203" s="12" t="s">
        <v>4672</v>
      </c>
      <c r="M2203" s="17" t="str">
        <f>IF(LEN(COUNTIFS($H$1:H2203,$H2203,$I$1:I2203,$I2203,$J$1:J2203,$J2203,$K$1:K2203,K2203,$L$1:L2203,L2203))=1,"00"&amp;COUNTIFS($H$1:H2203,$H2203,$I$1:I2203,$I2203,$J$1:J2203,$J2203,$K$1:K2203,K2203,$L$1:L2203,L2203),IF(LEN(COUNTIFS($H$1:H2203,$H2203,$I$1:I2203,$I2203,$J$1:J2203,$J2203,$K$1:K2203,K2203,$L$1:L2203,L2203))=2,"0"&amp;COUNTIFS($H$1:H2203,$H2203,$I$1:I2203,$I2203,$J$1:J2203,$J2203,$K$1:K2203,K2203,$L$1:L2203,L2203),COUNTIFS($H$1:H2203,$H2203,$I$1:I2203,$I2203,$J$1:J2203,$J2203,$K$1:K2203,K2203,$L$1:L2203,L2203)))</f>
        <v>025</v>
      </c>
      <c r="N220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03" s="14" t="e">
        <f>+LEN(Table4[[#This Row],[New Item Code]])</f>
        <v>#N/A</v>
      </c>
      <c r="P2203" s="15" t="s">
        <v>4747</v>
      </c>
      <c r="Q2203" s="15" t="s">
        <v>4749</v>
      </c>
      <c r="R2203" s="15"/>
      <c r="S2203" s="15"/>
      <c r="T2203" s="15" t="s">
        <v>4725</v>
      </c>
    </row>
    <row r="2204" spans="1:20" x14ac:dyDescent="0.35">
      <c r="A2204" s="2" t="s">
        <v>4339</v>
      </c>
      <c r="B2204" s="2" t="s">
        <v>4340</v>
      </c>
      <c r="C2204" s="2" t="s">
        <v>9</v>
      </c>
      <c r="D2204" s="2">
        <v>1500</v>
      </c>
      <c r="E2204" s="2" t="s">
        <v>10</v>
      </c>
      <c r="F2204" s="2">
        <v>1</v>
      </c>
      <c r="G2204" s="22">
        <f>Table4[[#This Row],[Item Cost]]*Table4[[#This Row],[In Stock]]</f>
        <v>1500</v>
      </c>
      <c r="H2204" s="12" t="s">
        <v>4661</v>
      </c>
      <c r="I2204" s="13" t="s">
        <v>4664</v>
      </c>
      <c r="J2204" s="13" t="s">
        <v>4725</v>
      </c>
      <c r="K2204" s="13" t="s">
        <v>4672</v>
      </c>
      <c r="L2204" s="12" t="s">
        <v>4672</v>
      </c>
      <c r="M2204" s="17" t="str">
        <f>IF(LEN(COUNTIFS($H$1:H2204,$H2204,$I$1:I2204,$I2204,$J$1:J2204,$J2204,$K$1:K2204,K2204,$L$1:L2204,L2204))=1,"00"&amp;COUNTIFS($H$1:H2204,$H2204,$I$1:I2204,$I2204,$J$1:J2204,$J2204,$K$1:K2204,K2204,$L$1:L2204,L2204),IF(LEN(COUNTIFS($H$1:H2204,$H2204,$I$1:I2204,$I2204,$J$1:J2204,$J2204,$K$1:K2204,K2204,$L$1:L2204,L2204))=2,"0"&amp;COUNTIFS($H$1:H2204,$H2204,$I$1:I2204,$I2204,$J$1:J2204,$J2204,$K$1:K2204,K2204,$L$1:L2204,L2204),COUNTIFS($H$1:H2204,$H2204,$I$1:I2204,$I2204,$J$1:J2204,$J2204,$K$1:K2204,K2204,$L$1:L2204,L2204)))</f>
        <v>001</v>
      </c>
      <c r="N220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04" s="14" t="e">
        <f>+LEN(Table4[[#This Row],[New Item Code]])</f>
        <v>#N/A</v>
      </c>
      <c r="P2204" s="15" t="s">
        <v>4747</v>
      </c>
      <c r="Q2204" s="15" t="s">
        <v>4749</v>
      </c>
      <c r="R2204" s="15"/>
      <c r="S2204" s="15"/>
      <c r="T2204" s="15" t="s">
        <v>4725</v>
      </c>
    </row>
    <row r="2205" spans="1:20" x14ac:dyDescent="0.35">
      <c r="A2205" s="3" t="s">
        <v>4341</v>
      </c>
      <c r="B2205" s="3" t="s">
        <v>4342</v>
      </c>
      <c r="C2205" s="3" t="s">
        <v>15</v>
      </c>
      <c r="D2205" s="3">
        <v>68</v>
      </c>
      <c r="E2205" s="3" t="s">
        <v>10</v>
      </c>
      <c r="F2205" s="3">
        <v>0</v>
      </c>
      <c r="G2205" s="21">
        <f>Table4[[#This Row],[Item Cost]]*Table4[[#This Row],[In Stock]]</f>
        <v>0</v>
      </c>
      <c r="H2205" s="12" t="s">
        <v>4661</v>
      </c>
      <c r="I2205" s="13" t="s">
        <v>4666</v>
      </c>
      <c r="J2205" s="13" t="s">
        <v>4725</v>
      </c>
      <c r="K2205" s="7" t="s">
        <v>4771</v>
      </c>
      <c r="L2205" s="12" t="s">
        <v>4672</v>
      </c>
      <c r="M2205" s="17" t="str">
        <f>IF(LEN(COUNTIFS($H$1:H2205,$H2205,$I$1:I2205,$I2205,$J$1:J2205,$J2205,$K$1:K2205,K2205,$L$1:L2205,L2205))=1,"00"&amp;COUNTIFS($H$1:H2205,$H2205,$I$1:I2205,$I2205,$J$1:J2205,$J2205,$K$1:K2205,K2205,$L$1:L2205,L2205),IF(LEN(COUNTIFS($H$1:H2205,$H2205,$I$1:I2205,$I2205,$J$1:J2205,$J2205,$K$1:K2205,K2205,$L$1:L2205,L2205))=2,"0"&amp;COUNTIFS($H$1:H2205,$H2205,$I$1:I2205,$I2205,$J$1:J2205,$J2205,$K$1:K2205,K2205,$L$1:L2205,L2205),COUNTIFS($H$1:H2205,$H2205,$I$1:I2205,$I2205,$J$1:J2205,$J2205,$K$1:K2205,K2205,$L$1:L2205,L2205)))</f>
        <v>001</v>
      </c>
      <c r="N220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05" s="14" t="e">
        <f>+LEN(Table4[[#This Row],[New Item Code]])</f>
        <v>#N/A</v>
      </c>
      <c r="P2205" s="15" t="s">
        <v>4747</v>
      </c>
      <c r="Q2205" s="15" t="s">
        <v>4749</v>
      </c>
      <c r="R2205" s="15"/>
      <c r="S2205" s="15"/>
      <c r="T2205" s="15" t="s">
        <v>4725</v>
      </c>
    </row>
    <row r="2206" spans="1:20" x14ac:dyDescent="0.35">
      <c r="A2206" s="2" t="s">
        <v>4343</v>
      </c>
      <c r="B2206" s="2" t="s">
        <v>4344</v>
      </c>
      <c r="C2206" s="2" t="s">
        <v>15</v>
      </c>
      <c r="D2206" s="2">
        <v>68</v>
      </c>
      <c r="E2206" s="2" t="s">
        <v>10</v>
      </c>
      <c r="F2206" s="2">
        <v>8</v>
      </c>
      <c r="G2206" s="22">
        <f>Table4[[#This Row],[Item Cost]]*Table4[[#This Row],[In Stock]]</f>
        <v>544</v>
      </c>
      <c r="H2206" s="12" t="s">
        <v>4661</v>
      </c>
      <c r="I2206" s="13" t="s">
        <v>4666</v>
      </c>
      <c r="J2206" s="13" t="s">
        <v>4725</v>
      </c>
      <c r="K2206" s="7" t="s">
        <v>4771</v>
      </c>
      <c r="L2206" s="12" t="s">
        <v>4672</v>
      </c>
      <c r="M2206" s="17" t="str">
        <f>IF(LEN(COUNTIFS($H$1:H2206,$H2206,$I$1:I2206,$I2206,$J$1:J2206,$J2206,$K$1:K2206,K2206,$L$1:L2206,L2206))=1,"00"&amp;COUNTIFS($H$1:H2206,$H2206,$I$1:I2206,$I2206,$J$1:J2206,$J2206,$K$1:K2206,K2206,$L$1:L2206,L2206),IF(LEN(COUNTIFS($H$1:H2206,$H2206,$I$1:I2206,$I2206,$J$1:J2206,$J2206,$K$1:K2206,K2206,$L$1:L2206,L2206))=2,"0"&amp;COUNTIFS($H$1:H2206,$H2206,$I$1:I2206,$I2206,$J$1:J2206,$J2206,$K$1:K2206,K2206,$L$1:L2206,L2206),COUNTIFS($H$1:H2206,$H2206,$I$1:I2206,$I2206,$J$1:J2206,$J2206,$K$1:K2206,K2206,$L$1:L2206,L2206)))</f>
        <v>002</v>
      </c>
      <c r="N220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06" s="14" t="e">
        <f>+LEN(Table4[[#This Row],[New Item Code]])</f>
        <v>#N/A</v>
      </c>
      <c r="P2206" s="15" t="s">
        <v>4747</v>
      </c>
      <c r="Q2206" s="15" t="s">
        <v>4749</v>
      </c>
      <c r="R2206" s="15"/>
      <c r="S2206" s="15"/>
      <c r="T2206" s="15" t="s">
        <v>4725</v>
      </c>
    </row>
    <row r="2207" spans="1:20" x14ac:dyDescent="0.35">
      <c r="A2207" s="3" t="s">
        <v>4345</v>
      </c>
      <c r="B2207" s="3" t="s">
        <v>4346</v>
      </c>
      <c r="C2207" s="3" t="s">
        <v>9</v>
      </c>
      <c r="D2207" s="5">
        <v>1050</v>
      </c>
      <c r="E2207" s="3" t="s">
        <v>10</v>
      </c>
      <c r="F2207" s="3">
        <v>1</v>
      </c>
      <c r="G2207" s="21">
        <f>Table4[[#This Row],[Item Cost]]*Table4[[#This Row],[In Stock]]</f>
        <v>1050</v>
      </c>
      <c r="H2207" s="12" t="s">
        <v>4661</v>
      </c>
      <c r="I2207" s="13" t="s">
        <v>4664</v>
      </c>
      <c r="J2207" s="13" t="s">
        <v>4725</v>
      </c>
      <c r="K2207" s="13" t="s">
        <v>4672</v>
      </c>
      <c r="L2207" s="12" t="s">
        <v>4672</v>
      </c>
      <c r="M2207" s="17" t="str">
        <f>IF(LEN(COUNTIFS($H$1:H2207,$H2207,$I$1:I2207,$I2207,$J$1:J2207,$J2207,$K$1:K2207,K2207,$L$1:L2207,L2207))=1,"00"&amp;COUNTIFS($H$1:H2207,$H2207,$I$1:I2207,$I2207,$J$1:J2207,$J2207,$K$1:K2207,K2207,$L$1:L2207,L2207),IF(LEN(COUNTIFS($H$1:H2207,$H2207,$I$1:I2207,$I2207,$J$1:J2207,$J2207,$K$1:K2207,K2207,$L$1:L2207,L2207))=2,"0"&amp;COUNTIFS($H$1:H2207,$H2207,$I$1:I2207,$I2207,$J$1:J2207,$J2207,$K$1:K2207,K2207,$L$1:L2207,L2207),COUNTIFS($H$1:H2207,$H2207,$I$1:I2207,$I2207,$J$1:J2207,$J2207,$K$1:K2207,K2207,$L$1:L2207,L2207)))</f>
        <v>002</v>
      </c>
      <c r="N220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07" s="14" t="e">
        <f>+LEN(Table4[[#This Row],[New Item Code]])</f>
        <v>#N/A</v>
      </c>
      <c r="P2207" s="15" t="s">
        <v>4747</v>
      </c>
      <c r="Q2207" s="15" t="s">
        <v>4749</v>
      </c>
      <c r="R2207" s="15"/>
      <c r="S2207" s="15"/>
      <c r="T2207" s="15" t="s">
        <v>4725</v>
      </c>
    </row>
    <row r="2208" spans="1:20" x14ac:dyDescent="0.35">
      <c r="A2208" s="2" t="s">
        <v>4347</v>
      </c>
      <c r="B2208" s="2" t="s">
        <v>4348</v>
      </c>
      <c r="C2208" s="2" t="s">
        <v>9</v>
      </c>
      <c r="D2208" s="2">
        <v>4450</v>
      </c>
      <c r="E2208" s="2" t="s">
        <v>10</v>
      </c>
      <c r="F2208" s="2">
        <v>1</v>
      </c>
      <c r="G2208" s="22">
        <f>Table4[[#This Row],[Item Cost]]*Table4[[#This Row],[In Stock]]</f>
        <v>4450</v>
      </c>
      <c r="H2208" s="12" t="s">
        <v>4661</v>
      </c>
      <c r="I2208" s="13" t="s">
        <v>4664</v>
      </c>
      <c r="J2208" s="13" t="s">
        <v>4725</v>
      </c>
      <c r="K2208" s="13" t="s">
        <v>4672</v>
      </c>
      <c r="L2208" s="12" t="s">
        <v>4672</v>
      </c>
      <c r="M2208" s="17" t="str">
        <f>IF(LEN(COUNTIFS($H$1:H2208,$H2208,$I$1:I2208,$I2208,$J$1:J2208,$J2208,$K$1:K2208,K2208,$L$1:L2208,L2208))=1,"00"&amp;COUNTIFS($H$1:H2208,$H2208,$I$1:I2208,$I2208,$J$1:J2208,$J2208,$K$1:K2208,K2208,$L$1:L2208,L2208),IF(LEN(COUNTIFS($H$1:H2208,$H2208,$I$1:I2208,$I2208,$J$1:J2208,$J2208,$K$1:K2208,K2208,$L$1:L2208,L2208))=2,"0"&amp;COUNTIFS($H$1:H2208,$H2208,$I$1:I2208,$I2208,$J$1:J2208,$J2208,$K$1:K2208,K2208,$L$1:L2208,L2208),COUNTIFS($H$1:H2208,$H2208,$I$1:I2208,$I2208,$J$1:J2208,$J2208,$K$1:K2208,K2208,$L$1:L2208,L2208)))</f>
        <v>003</v>
      </c>
      <c r="N220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08" s="14" t="e">
        <f>+LEN(Table4[[#This Row],[New Item Code]])</f>
        <v>#N/A</v>
      </c>
      <c r="P2208" s="15" t="s">
        <v>4747</v>
      </c>
      <c r="Q2208" s="15" t="s">
        <v>4749</v>
      </c>
      <c r="R2208" s="15"/>
      <c r="S2208" s="15"/>
      <c r="T2208" s="15" t="s">
        <v>4725</v>
      </c>
    </row>
    <row r="2209" spans="1:20" x14ac:dyDescent="0.35">
      <c r="A2209" s="3" t="s">
        <v>4349</v>
      </c>
      <c r="B2209" s="3" t="s">
        <v>4350</v>
      </c>
      <c r="C2209" s="3" t="s">
        <v>9</v>
      </c>
      <c r="D2209" s="3">
        <v>850</v>
      </c>
      <c r="E2209" s="3" t="s">
        <v>10</v>
      </c>
      <c r="F2209" s="3">
        <v>2</v>
      </c>
      <c r="G2209" s="21">
        <f>Table4[[#This Row],[Item Cost]]*Table4[[#This Row],[In Stock]]</f>
        <v>1700</v>
      </c>
      <c r="H2209" s="12" t="s">
        <v>4661</v>
      </c>
      <c r="I2209" s="13" t="s">
        <v>4664</v>
      </c>
      <c r="J2209" s="13" t="s">
        <v>4725</v>
      </c>
      <c r="K2209" s="13" t="s">
        <v>4672</v>
      </c>
      <c r="L2209" s="12" t="s">
        <v>4672</v>
      </c>
      <c r="M2209" s="17" t="str">
        <f>IF(LEN(COUNTIFS($H$1:H2209,$H2209,$I$1:I2209,$I2209,$J$1:J2209,$J2209,$K$1:K2209,K2209,$L$1:L2209,L2209))=1,"00"&amp;COUNTIFS($H$1:H2209,$H2209,$I$1:I2209,$I2209,$J$1:J2209,$J2209,$K$1:K2209,K2209,$L$1:L2209,L2209),IF(LEN(COUNTIFS($H$1:H2209,$H2209,$I$1:I2209,$I2209,$J$1:J2209,$J2209,$K$1:K2209,K2209,$L$1:L2209,L2209))=2,"0"&amp;COUNTIFS($H$1:H2209,$H2209,$I$1:I2209,$I2209,$J$1:J2209,$J2209,$K$1:K2209,K2209,$L$1:L2209,L2209),COUNTIFS($H$1:H2209,$H2209,$I$1:I2209,$I2209,$J$1:J2209,$J2209,$K$1:K2209,K2209,$L$1:L2209,L2209)))</f>
        <v>004</v>
      </c>
      <c r="N220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09" s="14" t="e">
        <f>+LEN(Table4[[#This Row],[New Item Code]])</f>
        <v>#N/A</v>
      </c>
      <c r="P2209" s="15" t="s">
        <v>4747</v>
      </c>
      <c r="Q2209" s="15" t="s">
        <v>4749</v>
      </c>
      <c r="R2209" s="15"/>
      <c r="S2209" s="15"/>
      <c r="T2209" s="15" t="s">
        <v>4725</v>
      </c>
    </row>
    <row r="2210" spans="1:20" x14ac:dyDescent="0.35">
      <c r="A2210" s="2" t="s">
        <v>4351</v>
      </c>
      <c r="B2210" s="2" t="s">
        <v>4352</v>
      </c>
      <c r="C2210" s="2" t="s">
        <v>9</v>
      </c>
      <c r="D2210" s="4">
        <v>650</v>
      </c>
      <c r="E2210" s="2" t="s">
        <v>10</v>
      </c>
      <c r="F2210" s="2">
        <v>2</v>
      </c>
      <c r="G2210" s="22">
        <f>Table4[[#This Row],[Item Cost]]*Table4[[#This Row],[In Stock]]</f>
        <v>1300</v>
      </c>
      <c r="H2210" s="12" t="s">
        <v>4661</v>
      </c>
      <c r="I2210" s="13" t="s">
        <v>4664</v>
      </c>
      <c r="J2210" s="13" t="s">
        <v>4725</v>
      </c>
      <c r="K2210" s="13" t="s">
        <v>4672</v>
      </c>
      <c r="L2210" s="12" t="s">
        <v>4672</v>
      </c>
      <c r="M2210" s="17" t="str">
        <f>IF(LEN(COUNTIFS($H$1:H2210,$H2210,$I$1:I2210,$I2210,$J$1:J2210,$J2210,$K$1:K2210,K2210,$L$1:L2210,L2210))=1,"00"&amp;COUNTIFS($H$1:H2210,$H2210,$I$1:I2210,$I2210,$J$1:J2210,$J2210,$K$1:K2210,K2210,$L$1:L2210,L2210),IF(LEN(COUNTIFS($H$1:H2210,$H2210,$I$1:I2210,$I2210,$J$1:J2210,$J2210,$K$1:K2210,K2210,$L$1:L2210,L2210))=2,"0"&amp;COUNTIFS($H$1:H2210,$H2210,$I$1:I2210,$I2210,$J$1:J2210,$J2210,$K$1:K2210,K2210,$L$1:L2210,L2210),COUNTIFS($H$1:H2210,$H2210,$I$1:I2210,$I2210,$J$1:J2210,$J2210,$K$1:K2210,K2210,$L$1:L2210,L2210)))</f>
        <v>005</v>
      </c>
      <c r="N221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10" s="14" t="e">
        <f>+LEN(Table4[[#This Row],[New Item Code]])</f>
        <v>#N/A</v>
      </c>
      <c r="P2210" s="15" t="s">
        <v>4747</v>
      </c>
      <c r="Q2210" s="15" t="s">
        <v>4749</v>
      </c>
      <c r="R2210" s="15"/>
      <c r="S2210" s="15"/>
      <c r="T2210" s="15" t="s">
        <v>4725</v>
      </c>
    </row>
    <row r="2211" spans="1:20" x14ac:dyDescent="0.35">
      <c r="A2211" s="3" t="s">
        <v>4353</v>
      </c>
      <c r="B2211" s="3" t="s">
        <v>4354</v>
      </c>
      <c r="C2211" s="3" t="s">
        <v>15</v>
      </c>
      <c r="D2211" s="5">
        <v>0</v>
      </c>
      <c r="E2211" s="3" t="s">
        <v>57</v>
      </c>
      <c r="F2211" s="3">
        <v>0</v>
      </c>
      <c r="G2211" s="21">
        <f>Table4[[#This Row],[Item Cost]]*Table4[[#This Row],[In Stock]]</f>
        <v>0</v>
      </c>
      <c r="H2211" s="12" t="s">
        <v>4661</v>
      </c>
      <c r="I2211" s="13" t="s">
        <v>4666</v>
      </c>
      <c r="J2211" s="13" t="s">
        <v>4725</v>
      </c>
      <c r="K2211" s="13" t="s">
        <v>4672</v>
      </c>
      <c r="L2211" s="12" t="s">
        <v>4672</v>
      </c>
      <c r="M2211" s="17" t="str">
        <f>IF(LEN(COUNTIFS($H$1:H2211,$H2211,$I$1:I2211,$I2211,$J$1:J2211,$J2211,$K$1:K2211,K2211,$L$1:L2211,L2211))=1,"00"&amp;COUNTIFS($H$1:H2211,$H2211,$I$1:I2211,$I2211,$J$1:J2211,$J2211,$K$1:K2211,K2211,$L$1:L2211,L2211),IF(LEN(COUNTIFS($H$1:H2211,$H2211,$I$1:I2211,$I2211,$J$1:J2211,$J2211,$K$1:K2211,K2211,$L$1:L2211,L2211))=2,"0"&amp;COUNTIFS($H$1:H2211,$H2211,$I$1:I2211,$I2211,$J$1:J2211,$J2211,$K$1:K2211,K2211,$L$1:L2211,L2211),COUNTIFS($H$1:H2211,$H2211,$I$1:I2211,$I2211,$J$1:J2211,$J2211,$K$1:K2211,K2211,$L$1:L2211,L2211)))</f>
        <v>026</v>
      </c>
      <c r="N221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11" s="14" t="e">
        <f>+LEN(Table4[[#This Row],[New Item Code]])</f>
        <v>#N/A</v>
      </c>
      <c r="P2211" s="15" t="s">
        <v>4747</v>
      </c>
      <c r="Q2211" s="15" t="s">
        <v>4749</v>
      </c>
      <c r="R2211" s="15"/>
      <c r="S2211" s="15"/>
      <c r="T2211" s="15" t="s">
        <v>4725</v>
      </c>
    </row>
    <row r="2212" spans="1:20" x14ac:dyDescent="0.35">
      <c r="A2212" s="2" t="s">
        <v>4355</v>
      </c>
      <c r="B2212" s="2" t="s">
        <v>4356</v>
      </c>
      <c r="C2212" s="2" t="s">
        <v>56</v>
      </c>
      <c r="D2212" s="2">
        <v>0</v>
      </c>
      <c r="E2212" s="2" t="s">
        <v>10</v>
      </c>
      <c r="F2212" s="2">
        <v>0</v>
      </c>
      <c r="G2212" s="22">
        <f>Table4[[#This Row],[Item Cost]]*Table4[[#This Row],[In Stock]]</f>
        <v>0</v>
      </c>
      <c r="H2212" s="12" t="s">
        <v>4661</v>
      </c>
      <c r="I2212" s="13" t="s">
        <v>4668</v>
      </c>
      <c r="J2212" s="13"/>
      <c r="K2212" s="13" t="s">
        <v>4672</v>
      </c>
      <c r="L2212" s="12" t="s">
        <v>4672</v>
      </c>
      <c r="M2212" s="17" t="str">
        <f>IF(LEN(COUNTIFS($H$1:H2212,$H2212,$I$1:I2212,$I2212,$J$1:J2212,$J2212,$K$1:K2212,K2212,$L$1:L2212,L2212))=1,"00"&amp;COUNTIFS($H$1:H2212,$H2212,$I$1:I2212,$I2212,$J$1:J2212,$J2212,$K$1:K2212,K2212,$L$1:L2212,L2212),IF(LEN(COUNTIFS($H$1:H2212,$H2212,$I$1:I2212,$I2212,$J$1:J2212,$J2212,$K$1:K2212,K2212,$L$1:L2212,L2212))=2,"0"&amp;COUNTIFS($H$1:H2212,$H2212,$I$1:I2212,$I2212,$J$1:J2212,$J2212,$K$1:K2212,K2212,$L$1:L2212,L2212),COUNTIFS($H$1:H2212,$H2212,$I$1:I2212,$I2212,$J$1:J2212,$J2212,$K$1:K2212,K2212,$L$1:L2212,L2212)))</f>
        <v>000</v>
      </c>
      <c r="N221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12" s="14" t="e">
        <f>+LEN(Table4[[#This Row],[New Item Code]])</f>
        <v>#N/A</v>
      </c>
      <c r="P2212" s="15" t="s">
        <v>4747</v>
      </c>
      <c r="Q2212" s="15" t="s">
        <v>4749</v>
      </c>
      <c r="R2212" s="15"/>
      <c r="S2212" s="15"/>
      <c r="T2212" s="15" t="e">
        <v>#N/A</v>
      </c>
    </row>
    <row r="2213" spans="1:20" x14ac:dyDescent="0.35">
      <c r="A2213" s="3" t="s">
        <v>4357</v>
      </c>
      <c r="B2213" s="3" t="s">
        <v>4358</v>
      </c>
      <c r="C2213" s="3" t="s">
        <v>56</v>
      </c>
      <c r="D2213" s="3">
        <v>0</v>
      </c>
      <c r="E2213" s="3" t="s">
        <v>10</v>
      </c>
      <c r="F2213" s="3">
        <v>0</v>
      </c>
      <c r="G2213" s="21">
        <f>Table4[[#This Row],[Item Cost]]*Table4[[#This Row],[In Stock]]</f>
        <v>0</v>
      </c>
      <c r="H2213" s="12" t="s">
        <v>4661</v>
      </c>
      <c r="I2213" s="13" t="s">
        <v>4668</v>
      </c>
      <c r="J2213" s="13"/>
      <c r="K2213" s="13" t="s">
        <v>4672</v>
      </c>
      <c r="L2213" s="12" t="s">
        <v>4672</v>
      </c>
      <c r="M2213" s="17" t="str">
        <f>IF(LEN(COUNTIFS($H$1:H2213,$H2213,$I$1:I2213,$I2213,$J$1:J2213,$J2213,$K$1:K2213,K2213,$L$1:L2213,L2213))=1,"00"&amp;COUNTIFS($H$1:H2213,$H2213,$I$1:I2213,$I2213,$J$1:J2213,$J2213,$K$1:K2213,K2213,$L$1:L2213,L2213),IF(LEN(COUNTIFS($H$1:H2213,$H2213,$I$1:I2213,$I2213,$J$1:J2213,$J2213,$K$1:K2213,K2213,$L$1:L2213,L2213))=2,"0"&amp;COUNTIFS($H$1:H2213,$H2213,$I$1:I2213,$I2213,$J$1:J2213,$J2213,$K$1:K2213,K2213,$L$1:L2213,L2213),COUNTIFS($H$1:H2213,$H2213,$I$1:I2213,$I2213,$J$1:J2213,$J2213,$K$1:K2213,K2213,$L$1:L2213,L2213)))</f>
        <v>000</v>
      </c>
      <c r="N221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13" s="14" t="e">
        <f>+LEN(Table4[[#This Row],[New Item Code]])</f>
        <v>#N/A</v>
      </c>
      <c r="P2213" s="15" t="s">
        <v>4747</v>
      </c>
      <c r="Q2213" s="15" t="s">
        <v>4749</v>
      </c>
      <c r="R2213" s="15"/>
      <c r="S2213" s="15"/>
      <c r="T2213" s="15" t="e">
        <v>#N/A</v>
      </c>
    </row>
    <row r="2214" spans="1:20" x14ac:dyDescent="0.35">
      <c r="A2214" s="2" t="s">
        <v>4359</v>
      </c>
      <c r="B2214" s="2" t="s">
        <v>4360</v>
      </c>
      <c r="C2214" s="2" t="s">
        <v>56</v>
      </c>
      <c r="D2214" s="2">
        <v>0</v>
      </c>
      <c r="E2214" s="2" t="s">
        <v>10</v>
      </c>
      <c r="F2214" s="2">
        <v>0</v>
      </c>
      <c r="G2214" s="22">
        <f>Table4[[#This Row],[Item Cost]]*Table4[[#This Row],[In Stock]]</f>
        <v>0</v>
      </c>
      <c r="H2214" s="12" t="s">
        <v>4661</v>
      </c>
      <c r="I2214" s="13" t="s">
        <v>4668</v>
      </c>
      <c r="J2214" s="13"/>
      <c r="K2214" s="13" t="s">
        <v>4672</v>
      </c>
      <c r="L2214" s="12" t="s">
        <v>4672</v>
      </c>
      <c r="M2214" s="17" t="str">
        <f>IF(LEN(COUNTIFS($H$1:H2214,$H2214,$I$1:I2214,$I2214,$J$1:J2214,$J2214,$K$1:K2214,K2214,$L$1:L2214,L2214))=1,"00"&amp;COUNTIFS($H$1:H2214,$H2214,$I$1:I2214,$I2214,$J$1:J2214,$J2214,$K$1:K2214,K2214,$L$1:L2214,L2214),IF(LEN(COUNTIFS($H$1:H2214,$H2214,$I$1:I2214,$I2214,$J$1:J2214,$J2214,$K$1:K2214,K2214,$L$1:L2214,L2214))=2,"0"&amp;COUNTIFS($H$1:H2214,$H2214,$I$1:I2214,$I2214,$J$1:J2214,$J2214,$K$1:K2214,K2214,$L$1:L2214,L2214),COUNTIFS($H$1:H2214,$H2214,$I$1:I2214,$I2214,$J$1:J2214,$J2214,$K$1:K2214,K2214,$L$1:L2214,L2214)))</f>
        <v>000</v>
      </c>
      <c r="N221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14" s="14" t="e">
        <f>+LEN(Table4[[#This Row],[New Item Code]])</f>
        <v>#N/A</v>
      </c>
      <c r="P2214" s="15" t="s">
        <v>4747</v>
      </c>
      <c r="Q2214" s="15" t="s">
        <v>4749</v>
      </c>
      <c r="R2214" s="15"/>
      <c r="S2214" s="15"/>
      <c r="T2214" s="15" t="e">
        <v>#N/A</v>
      </c>
    </row>
    <row r="2215" spans="1:20" x14ac:dyDescent="0.35">
      <c r="A2215" s="3" t="s">
        <v>4361</v>
      </c>
      <c r="B2215" s="3" t="s">
        <v>4362</v>
      </c>
      <c r="C2215" s="3" t="s">
        <v>56</v>
      </c>
      <c r="D2215" s="3">
        <v>0</v>
      </c>
      <c r="E2215" s="3" t="s">
        <v>10</v>
      </c>
      <c r="F2215" s="3">
        <v>0</v>
      </c>
      <c r="G2215" s="21">
        <f>Table4[[#This Row],[Item Cost]]*Table4[[#This Row],[In Stock]]</f>
        <v>0</v>
      </c>
      <c r="H2215" s="12" t="s">
        <v>4661</v>
      </c>
      <c r="I2215" s="13" t="s">
        <v>4668</v>
      </c>
      <c r="J2215" s="13"/>
      <c r="K2215" s="13" t="s">
        <v>4672</v>
      </c>
      <c r="L2215" s="12" t="s">
        <v>4672</v>
      </c>
      <c r="M2215" s="17" t="str">
        <f>IF(LEN(COUNTIFS($H$1:H2215,$H2215,$I$1:I2215,$I2215,$J$1:J2215,$J2215,$K$1:K2215,K2215,$L$1:L2215,L2215))=1,"00"&amp;COUNTIFS($H$1:H2215,$H2215,$I$1:I2215,$I2215,$J$1:J2215,$J2215,$K$1:K2215,K2215,$L$1:L2215,L2215),IF(LEN(COUNTIFS($H$1:H2215,$H2215,$I$1:I2215,$I2215,$J$1:J2215,$J2215,$K$1:K2215,K2215,$L$1:L2215,L2215))=2,"0"&amp;COUNTIFS($H$1:H2215,$H2215,$I$1:I2215,$I2215,$J$1:J2215,$J2215,$K$1:K2215,K2215,$L$1:L2215,L2215),COUNTIFS($H$1:H2215,$H2215,$I$1:I2215,$I2215,$J$1:J2215,$J2215,$K$1:K2215,K2215,$L$1:L2215,L2215)))</f>
        <v>000</v>
      </c>
      <c r="N221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15" s="14" t="e">
        <f>+LEN(Table4[[#This Row],[New Item Code]])</f>
        <v>#N/A</v>
      </c>
      <c r="P2215" s="15" t="s">
        <v>4747</v>
      </c>
      <c r="Q2215" s="15" t="s">
        <v>4749</v>
      </c>
      <c r="R2215" s="15"/>
      <c r="S2215" s="15"/>
      <c r="T2215" s="15" t="e">
        <v>#N/A</v>
      </c>
    </row>
    <row r="2216" spans="1:20" x14ac:dyDescent="0.35">
      <c r="A2216" s="2" t="s">
        <v>4363</v>
      </c>
      <c r="B2216" s="2" t="s">
        <v>4364</v>
      </c>
      <c r="C2216" s="2" t="s">
        <v>56</v>
      </c>
      <c r="D2216" s="2">
        <v>0</v>
      </c>
      <c r="E2216" s="2" t="s">
        <v>10</v>
      </c>
      <c r="F2216" s="2">
        <v>0</v>
      </c>
      <c r="G2216" s="22">
        <f>Table4[[#This Row],[Item Cost]]*Table4[[#This Row],[In Stock]]</f>
        <v>0</v>
      </c>
      <c r="H2216" s="12" t="s">
        <v>4661</v>
      </c>
      <c r="I2216" s="13" t="s">
        <v>4668</v>
      </c>
      <c r="J2216" s="13"/>
      <c r="K2216" s="13" t="s">
        <v>4672</v>
      </c>
      <c r="L2216" s="12" t="s">
        <v>4672</v>
      </c>
      <c r="M2216" s="17" t="str">
        <f>IF(LEN(COUNTIFS($H$1:H2216,$H2216,$I$1:I2216,$I2216,$J$1:J2216,$J2216,$K$1:K2216,K2216,$L$1:L2216,L2216))=1,"00"&amp;COUNTIFS($H$1:H2216,$H2216,$I$1:I2216,$I2216,$J$1:J2216,$J2216,$K$1:K2216,K2216,$L$1:L2216,L2216),IF(LEN(COUNTIFS($H$1:H2216,$H2216,$I$1:I2216,$I2216,$J$1:J2216,$J2216,$K$1:K2216,K2216,$L$1:L2216,L2216))=2,"0"&amp;COUNTIFS($H$1:H2216,$H2216,$I$1:I2216,$I2216,$J$1:J2216,$J2216,$K$1:K2216,K2216,$L$1:L2216,L2216),COUNTIFS($H$1:H2216,$H2216,$I$1:I2216,$I2216,$J$1:J2216,$J2216,$K$1:K2216,K2216,$L$1:L2216,L2216)))</f>
        <v>000</v>
      </c>
      <c r="N221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16" s="14" t="e">
        <f>+LEN(Table4[[#This Row],[New Item Code]])</f>
        <v>#N/A</v>
      </c>
      <c r="P2216" s="15" t="s">
        <v>4747</v>
      </c>
      <c r="Q2216" s="15" t="s">
        <v>4749</v>
      </c>
      <c r="R2216" s="15"/>
      <c r="S2216" s="15"/>
      <c r="T2216" s="15" t="e">
        <v>#N/A</v>
      </c>
    </row>
    <row r="2217" spans="1:20" x14ac:dyDescent="0.35">
      <c r="A2217" s="3" t="s">
        <v>4365</v>
      </c>
      <c r="B2217" s="3" t="s">
        <v>4366</v>
      </c>
      <c r="C2217" s="3" t="s">
        <v>56</v>
      </c>
      <c r="D2217" s="3">
        <v>0</v>
      </c>
      <c r="E2217" s="3" t="s">
        <v>10</v>
      </c>
      <c r="F2217" s="3">
        <v>0</v>
      </c>
      <c r="G2217" s="21">
        <f>Table4[[#This Row],[Item Cost]]*Table4[[#This Row],[In Stock]]</f>
        <v>0</v>
      </c>
      <c r="H2217" s="12" t="s">
        <v>4661</v>
      </c>
      <c r="I2217" s="13" t="s">
        <v>4668</v>
      </c>
      <c r="J2217" s="13"/>
      <c r="K2217" s="13" t="s">
        <v>4672</v>
      </c>
      <c r="L2217" s="12" t="s">
        <v>4672</v>
      </c>
      <c r="M2217" s="17" t="str">
        <f>IF(LEN(COUNTIFS($H$1:H2217,$H2217,$I$1:I2217,$I2217,$J$1:J2217,$J2217,$K$1:K2217,K2217,$L$1:L2217,L2217))=1,"00"&amp;COUNTIFS($H$1:H2217,$H2217,$I$1:I2217,$I2217,$J$1:J2217,$J2217,$K$1:K2217,K2217,$L$1:L2217,L2217),IF(LEN(COUNTIFS($H$1:H2217,$H2217,$I$1:I2217,$I2217,$J$1:J2217,$J2217,$K$1:K2217,K2217,$L$1:L2217,L2217))=2,"0"&amp;COUNTIFS($H$1:H2217,$H2217,$I$1:I2217,$I2217,$J$1:J2217,$J2217,$K$1:K2217,K2217,$L$1:L2217,L2217),COUNTIFS($H$1:H2217,$H2217,$I$1:I2217,$I2217,$J$1:J2217,$J2217,$K$1:K2217,K2217,$L$1:L2217,L2217)))</f>
        <v>000</v>
      </c>
      <c r="N221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17" s="14" t="e">
        <f>+LEN(Table4[[#This Row],[New Item Code]])</f>
        <v>#N/A</v>
      </c>
      <c r="P2217" s="15" t="s">
        <v>4747</v>
      </c>
      <c r="Q2217" s="15" t="s">
        <v>4749</v>
      </c>
      <c r="R2217" s="15"/>
      <c r="S2217" s="15"/>
      <c r="T2217" s="15" t="e">
        <v>#N/A</v>
      </c>
    </row>
    <row r="2218" spans="1:20" x14ac:dyDescent="0.35">
      <c r="A2218" s="2" t="s">
        <v>4367</v>
      </c>
      <c r="B2218" s="2" t="s">
        <v>4368</v>
      </c>
      <c r="C2218" s="2" t="s">
        <v>56</v>
      </c>
      <c r="D2218" s="2">
        <v>0</v>
      </c>
      <c r="E2218" s="2" t="s">
        <v>10</v>
      </c>
      <c r="F2218" s="2">
        <v>0</v>
      </c>
      <c r="G2218" s="22">
        <f>Table4[[#This Row],[Item Cost]]*Table4[[#This Row],[In Stock]]</f>
        <v>0</v>
      </c>
      <c r="H2218" s="12" t="s">
        <v>4661</v>
      </c>
      <c r="I2218" s="13" t="s">
        <v>4668</v>
      </c>
      <c r="J2218" s="13"/>
      <c r="K2218" s="13" t="s">
        <v>4672</v>
      </c>
      <c r="L2218" s="12" t="s">
        <v>4672</v>
      </c>
      <c r="M2218" s="17" t="str">
        <f>IF(LEN(COUNTIFS($H$1:H2218,$H2218,$I$1:I2218,$I2218,$J$1:J2218,$J2218,$K$1:K2218,K2218,$L$1:L2218,L2218))=1,"00"&amp;COUNTIFS($H$1:H2218,$H2218,$I$1:I2218,$I2218,$J$1:J2218,$J2218,$K$1:K2218,K2218,$L$1:L2218,L2218),IF(LEN(COUNTIFS($H$1:H2218,$H2218,$I$1:I2218,$I2218,$J$1:J2218,$J2218,$K$1:K2218,K2218,$L$1:L2218,L2218))=2,"0"&amp;COUNTIFS($H$1:H2218,$H2218,$I$1:I2218,$I2218,$J$1:J2218,$J2218,$K$1:K2218,K2218,$L$1:L2218,L2218),COUNTIFS($H$1:H2218,$H2218,$I$1:I2218,$I2218,$J$1:J2218,$J2218,$K$1:K2218,K2218,$L$1:L2218,L2218)))</f>
        <v>000</v>
      </c>
      <c r="N221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18" s="14" t="e">
        <f>+LEN(Table4[[#This Row],[New Item Code]])</f>
        <v>#N/A</v>
      </c>
      <c r="P2218" s="15" t="s">
        <v>4747</v>
      </c>
      <c r="Q2218" s="15" t="s">
        <v>4749</v>
      </c>
      <c r="R2218" s="15"/>
      <c r="S2218" s="15"/>
      <c r="T2218" s="15" t="e">
        <v>#N/A</v>
      </c>
    </row>
    <row r="2219" spans="1:20" x14ac:dyDescent="0.35">
      <c r="A2219" s="3" t="s">
        <v>4369</v>
      </c>
      <c r="B2219" s="3" t="s">
        <v>4370</v>
      </c>
      <c r="C2219" s="3" t="s">
        <v>9</v>
      </c>
      <c r="D2219" s="3">
        <v>1740.2139999999999</v>
      </c>
      <c r="E2219" s="3" t="s">
        <v>10</v>
      </c>
      <c r="F2219" s="3">
        <v>40</v>
      </c>
      <c r="G2219" s="21">
        <f>Table4[[#This Row],[Item Cost]]*Table4[[#This Row],[In Stock]]</f>
        <v>69608.56</v>
      </c>
      <c r="H2219" s="12" t="s">
        <v>4661</v>
      </c>
      <c r="I2219" s="13" t="s">
        <v>4664</v>
      </c>
      <c r="J2219" s="13" t="s">
        <v>4727</v>
      </c>
      <c r="K2219" s="13" t="s">
        <v>4672</v>
      </c>
      <c r="L2219" s="12" t="s">
        <v>4672</v>
      </c>
      <c r="M2219" s="17" t="str">
        <f>IF(LEN(COUNTIFS($H$1:H2219,$H2219,$I$1:I2219,$I2219,$J$1:J2219,$J2219,$K$1:K2219,K2219,$L$1:L2219,L2219))=1,"00"&amp;COUNTIFS($H$1:H2219,$H2219,$I$1:I2219,$I2219,$J$1:J2219,$J2219,$K$1:K2219,K2219,$L$1:L2219,L2219),IF(LEN(COUNTIFS($H$1:H2219,$H2219,$I$1:I2219,$I2219,$J$1:J2219,$J2219,$K$1:K2219,K2219,$L$1:L2219,L2219))=2,"0"&amp;COUNTIFS($H$1:H2219,$H2219,$I$1:I2219,$I2219,$J$1:J2219,$J2219,$K$1:K2219,K2219,$L$1:L2219,L2219),COUNTIFS($H$1:H2219,$H2219,$I$1:I2219,$I2219,$J$1:J2219,$J2219,$K$1:K2219,K2219,$L$1:L2219,L2219)))</f>
        <v>001</v>
      </c>
      <c r="N221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19" s="14" t="e">
        <f>+LEN(Table4[[#This Row],[New Item Code]])</f>
        <v>#N/A</v>
      </c>
      <c r="P2219" s="15" t="s">
        <v>4747</v>
      </c>
      <c r="Q2219" s="15" t="s">
        <v>4749</v>
      </c>
      <c r="R2219" s="15"/>
      <c r="S2219" s="15"/>
      <c r="T2219" s="15" t="s">
        <v>4727</v>
      </c>
    </row>
    <row r="2220" spans="1:20" x14ac:dyDescent="0.35">
      <c r="A2220" s="2" t="s">
        <v>4371</v>
      </c>
      <c r="B2220" s="2" t="s">
        <v>4372</v>
      </c>
      <c r="C2220" s="2" t="s">
        <v>9</v>
      </c>
      <c r="D2220" s="2">
        <v>558.22</v>
      </c>
      <c r="E2220" s="2" t="s">
        <v>10</v>
      </c>
      <c r="F2220" s="2">
        <v>5</v>
      </c>
      <c r="G2220" s="22">
        <f>Table4[[#This Row],[Item Cost]]*Table4[[#This Row],[In Stock]]</f>
        <v>2791.1000000000004</v>
      </c>
      <c r="H2220" s="12" t="s">
        <v>4661</v>
      </c>
      <c r="I2220" s="13" t="s">
        <v>4664</v>
      </c>
      <c r="J2220" s="13" t="s">
        <v>4727</v>
      </c>
      <c r="K2220" s="13" t="s">
        <v>4672</v>
      </c>
      <c r="L2220" s="12" t="s">
        <v>4672</v>
      </c>
      <c r="M2220" s="17" t="str">
        <f>IF(LEN(COUNTIFS($H$1:H2220,$H2220,$I$1:I2220,$I2220,$J$1:J2220,$J2220,$K$1:K2220,K2220,$L$1:L2220,L2220))=1,"00"&amp;COUNTIFS($H$1:H2220,$H2220,$I$1:I2220,$I2220,$J$1:J2220,$J2220,$K$1:K2220,K2220,$L$1:L2220,L2220),IF(LEN(COUNTIFS($H$1:H2220,$H2220,$I$1:I2220,$I2220,$J$1:J2220,$J2220,$K$1:K2220,K2220,$L$1:L2220,L2220))=2,"0"&amp;COUNTIFS($H$1:H2220,$H2220,$I$1:I2220,$I2220,$J$1:J2220,$J2220,$K$1:K2220,K2220,$L$1:L2220,L2220),COUNTIFS($H$1:H2220,$H2220,$I$1:I2220,$I2220,$J$1:J2220,$J2220,$K$1:K2220,K2220,$L$1:L2220,L2220)))</f>
        <v>002</v>
      </c>
      <c r="N222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20" s="14" t="e">
        <f>+LEN(Table4[[#This Row],[New Item Code]])</f>
        <v>#N/A</v>
      </c>
      <c r="P2220" s="15" t="s">
        <v>4747</v>
      </c>
      <c r="Q2220" s="15" t="s">
        <v>4749</v>
      </c>
      <c r="R2220" s="15"/>
      <c r="S2220" s="15"/>
      <c r="T2220" s="15" t="s">
        <v>4727</v>
      </c>
    </row>
    <row r="2221" spans="1:20" x14ac:dyDescent="0.35">
      <c r="A2221" s="3" t="s">
        <v>4373</v>
      </c>
      <c r="B2221" s="3" t="s">
        <v>4374</v>
      </c>
      <c r="C2221" s="3" t="s">
        <v>9</v>
      </c>
      <c r="D2221" s="3">
        <v>4825.6670000000004</v>
      </c>
      <c r="E2221" s="3" t="s">
        <v>10</v>
      </c>
      <c r="F2221" s="3">
        <v>3</v>
      </c>
      <c r="G2221" s="21">
        <f>Table4[[#This Row],[Item Cost]]*Table4[[#This Row],[In Stock]]</f>
        <v>14477.001</v>
      </c>
      <c r="H2221" s="12" t="s">
        <v>4661</v>
      </c>
      <c r="I2221" s="13" t="s">
        <v>4664</v>
      </c>
      <c r="J2221" s="13" t="s">
        <v>4727</v>
      </c>
      <c r="K2221" s="13" t="s">
        <v>4672</v>
      </c>
      <c r="L2221" s="12" t="s">
        <v>4672</v>
      </c>
      <c r="M2221" s="17" t="str">
        <f>IF(LEN(COUNTIFS($H$1:H2221,$H2221,$I$1:I2221,$I2221,$J$1:J2221,$J2221,$K$1:K2221,K2221,$L$1:L2221,L2221))=1,"00"&amp;COUNTIFS($H$1:H2221,$H2221,$I$1:I2221,$I2221,$J$1:J2221,$J2221,$K$1:K2221,K2221,$L$1:L2221,L2221),IF(LEN(COUNTIFS($H$1:H2221,$H2221,$I$1:I2221,$I2221,$J$1:J2221,$J2221,$K$1:K2221,K2221,$L$1:L2221,L2221))=2,"0"&amp;COUNTIFS($H$1:H2221,$H2221,$I$1:I2221,$I2221,$J$1:J2221,$J2221,$K$1:K2221,K2221,$L$1:L2221,L2221),COUNTIFS($H$1:H2221,$H2221,$I$1:I2221,$I2221,$J$1:J2221,$J2221,$K$1:K2221,K2221,$L$1:L2221,L2221)))</f>
        <v>003</v>
      </c>
      <c r="N222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21" s="14" t="e">
        <f>+LEN(Table4[[#This Row],[New Item Code]])</f>
        <v>#N/A</v>
      </c>
      <c r="P2221" s="15" t="s">
        <v>4747</v>
      </c>
      <c r="Q2221" s="15" t="s">
        <v>4749</v>
      </c>
      <c r="R2221" s="15"/>
      <c r="S2221" s="15"/>
      <c r="T2221" s="15" t="s">
        <v>4727</v>
      </c>
    </row>
    <row r="2222" spans="1:20" x14ac:dyDescent="0.35">
      <c r="A2222" s="2" t="s">
        <v>4375</v>
      </c>
      <c r="B2222" s="2" t="s">
        <v>4376</v>
      </c>
      <c r="C2222" s="2" t="s">
        <v>9</v>
      </c>
      <c r="D2222" s="4">
        <v>985</v>
      </c>
      <c r="E2222" s="2" t="s">
        <v>10</v>
      </c>
      <c r="F2222" s="2">
        <v>1</v>
      </c>
      <c r="G2222" s="22">
        <f>Table4[[#This Row],[Item Cost]]*Table4[[#This Row],[In Stock]]</f>
        <v>985</v>
      </c>
      <c r="H2222" s="12" t="s">
        <v>4661</v>
      </c>
      <c r="I2222" s="13" t="s">
        <v>4664</v>
      </c>
      <c r="J2222" s="13" t="s">
        <v>4727</v>
      </c>
      <c r="K2222" s="13" t="s">
        <v>4672</v>
      </c>
      <c r="L2222" s="12" t="s">
        <v>4672</v>
      </c>
      <c r="M2222" s="17" t="str">
        <f>IF(LEN(COUNTIFS($H$1:H2222,$H2222,$I$1:I2222,$I2222,$J$1:J2222,$J2222,$K$1:K2222,K2222,$L$1:L2222,L2222))=1,"00"&amp;COUNTIFS($H$1:H2222,$H2222,$I$1:I2222,$I2222,$J$1:J2222,$J2222,$K$1:K2222,K2222,$L$1:L2222,L2222),IF(LEN(COUNTIFS($H$1:H2222,$H2222,$I$1:I2222,$I2222,$J$1:J2222,$J2222,$K$1:K2222,K2222,$L$1:L2222,L2222))=2,"0"&amp;COUNTIFS($H$1:H2222,$H2222,$I$1:I2222,$I2222,$J$1:J2222,$J2222,$K$1:K2222,K2222,$L$1:L2222,L2222),COUNTIFS($H$1:H2222,$H2222,$I$1:I2222,$I2222,$J$1:J2222,$J2222,$K$1:K2222,K2222,$L$1:L2222,L2222)))</f>
        <v>004</v>
      </c>
      <c r="N222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22" s="14" t="e">
        <f>+LEN(Table4[[#This Row],[New Item Code]])</f>
        <v>#N/A</v>
      </c>
      <c r="P2222" s="15" t="s">
        <v>4747</v>
      </c>
      <c r="Q2222" s="15" t="s">
        <v>4749</v>
      </c>
      <c r="R2222" s="15"/>
      <c r="S2222" s="15"/>
      <c r="T2222" s="15" t="s">
        <v>4727</v>
      </c>
    </row>
    <row r="2223" spans="1:20" x14ac:dyDescent="0.35">
      <c r="A2223" s="3" t="s">
        <v>4377</v>
      </c>
      <c r="B2223" s="3" t="s">
        <v>4378</v>
      </c>
      <c r="C2223" s="3" t="s">
        <v>15</v>
      </c>
      <c r="D2223" s="3">
        <v>34.817999999999998</v>
      </c>
      <c r="E2223" s="3" t="s">
        <v>10</v>
      </c>
      <c r="F2223" s="3">
        <v>0</v>
      </c>
      <c r="G2223" s="21">
        <f>Table4[[#This Row],[Item Cost]]*Table4[[#This Row],[In Stock]]</f>
        <v>0</v>
      </c>
      <c r="H2223" s="12" t="s">
        <v>4661</v>
      </c>
      <c r="I2223" s="13" t="s">
        <v>4666</v>
      </c>
      <c r="J2223" s="13" t="s">
        <v>4727</v>
      </c>
      <c r="K2223" s="13" t="s">
        <v>4672</v>
      </c>
      <c r="L2223" s="12" t="s">
        <v>4672</v>
      </c>
      <c r="M2223" s="17" t="str">
        <f>IF(LEN(COUNTIFS($H$1:H2223,$H2223,$I$1:I2223,$I2223,$J$1:J2223,$J2223,$K$1:K2223,K2223,$L$1:L2223,L2223))=1,"00"&amp;COUNTIFS($H$1:H2223,$H2223,$I$1:I2223,$I2223,$J$1:J2223,$J2223,$K$1:K2223,K2223,$L$1:L2223,L2223),IF(LEN(COUNTIFS($H$1:H2223,$H2223,$I$1:I2223,$I2223,$J$1:J2223,$J2223,$K$1:K2223,K2223,$L$1:L2223,L2223))=2,"0"&amp;COUNTIFS($H$1:H2223,$H2223,$I$1:I2223,$I2223,$J$1:J2223,$J2223,$K$1:K2223,K2223,$L$1:L2223,L2223),COUNTIFS($H$1:H2223,$H2223,$I$1:I2223,$I2223,$J$1:J2223,$J2223,$K$1:K2223,K2223,$L$1:L2223,L2223)))</f>
        <v>001</v>
      </c>
      <c r="N222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23" s="14" t="e">
        <f>+LEN(Table4[[#This Row],[New Item Code]])</f>
        <v>#N/A</v>
      </c>
      <c r="P2223" s="15" t="s">
        <v>4747</v>
      </c>
      <c r="Q2223" s="15" t="s">
        <v>4749</v>
      </c>
      <c r="R2223" s="15"/>
      <c r="S2223" s="15"/>
      <c r="T2223" s="15" t="s">
        <v>4727</v>
      </c>
    </row>
    <row r="2224" spans="1:20" x14ac:dyDescent="0.35">
      <c r="A2224" s="2" t="s">
        <v>4379</v>
      </c>
      <c r="B2224" s="2" t="s">
        <v>4380</v>
      </c>
      <c r="C2224" s="2" t="s">
        <v>9</v>
      </c>
      <c r="D2224" s="4">
        <v>1290</v>
      </c>
      <c r="E2224" s="2" t="s">
        <v>10</v>
      </c>
      <c r="F2224" s="2">
        <v>1</v>
      </c>
      <c r="G2224" s="22">
        <f>Table4[[#This Row],[Item Cost]]*Table4[[#This Row],[In Stock]]</f>
        <v>1290</v>
      </c>
      <c r="H2224" s="12" t="s">
        <v>4661</v>
      </c>
      <c r="I2224" s="13" t="s">
        <v>4664</v>
      </c>
      <c r="J2224" s="13" t="s">
        <v>4727</v>
      </c>
      <c r="K2224" s="13" t="s">
        <v>4672</v>
      </c>
      <c r="L2224" s="12" t="s">
        <v>4672</v>
      </c>
      <c r="M2224" s="17" t="str">
        <f>IF(LEN(COUNTIFS($H$1:H2224,$H2224,$I$1:I2224,$I2224,$J$1:J2224,$J2224,$K$1:K2224,K2224,$L$1:L2224,L2224))=1,"00"&amp;COUNTIFS($H$1:H2224,$H2224,$I$1:I2224,$I2224,$J$1:J2224,$J2224,$K$1:K2224,K2224,$L$1:L2224,L2224),IF(LEN(COUNTIFS($H$1:H2224,$H2224,$I$1:I2224,$I2224,$J$1:J2224,$J2224,$K$1:K2224,K2224,$L$1:L2224,L2224))=2,"0"&amp;COUNTIFS($H$1:H2224,$H2224,$I$1:I2224,$I2224,$J$1:J2224,$J2224,$K$1:K2224,K2224,$L$1:L2224,L2224),COUNTIFS($H$1:H2224,$H2224,$I$1:I2224,$I2224,$J$1:J2224,$J2224,$K$1:K2224,K2224,$L$1:L2224,L2224)))</f>
        <v>005</v>
      </c>
      <c r="N222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24" s="14" t="e">
        <f>+LEN(Table4[[#This Row],[New Item Code]])</f>
        <v>#N/A</v>
      </c>
      <c r="P2224" s="15" t="s">
        <v>4747</v>
      </c>
      <c r="Q2224" s="15" t="s">
        <v>4749</v>
      </c>
      <c r="R2224" s="15"/>
      <c r="S2224" s="15"/>
      <c r="T2224" s="15" t="s">
        <v>4727</v>
      </c>
    </row>
    <row r="2225" spans="1:20" x14ac:dyDescent="0.35">
      <c r="A2225" s="3" t="s">
        <v>4381</v>
      </c>
      <c r="B2225" s="3" t="s">
        <v>4382</v>
      </c>
      <c r="C2225" s="3" t="s">
        <v>15</v>
      </c>
      <c r="D2225" s="3">
        <v>30.181999999999999</v>
      </c>
      <c r="E2225" s="3" t="s">
        <v>10</v>
      </c>
      <c r="F2225" s="3">
        <v>0</v>
      </c>
      <c r="G2225" s="21">
        <f>Table4[[#This Row],[Item Cost]]*Table4[[#This Row],[In Stock]]</f>
        <v>0</v>
      </c>
      <c r="H2225" s="12" t="s">
        <v>4661</v>
      </c>
      <c r="I2225" s="13" t="s">
        <v>4666</v>
      </c>
      <c r="J2225" s="13" t="s">
        <v>4727</v>
      </c>
      <c r="K2225" s="13" t="s">
        <v>4672</v>
      </c>
      <c r="L2225" s="12" t="s">
        <v>4672</v>
      </c>
      <c r="M2225" s="17" t="str">
        <f>IF(LEN(COUNTIFS($H$1:H2225,$H2225,$I$1:I2225,$I2225,$J$1:J2225,$J2225,$K$1:K2225,K2225,$L$1:L2225,L2225))=1,"00"&amp;COUNTIFS($H$1:H2225,$H2225,$I$1:I2225,$I2225,$J$1:J2225,$J2225,$K$1:K2225,K2225,$L$1:L2225,L2225),IF(LEN(COUNTIFS($H$1:H2225,$H2225,$I$1:I2225,$I2225,$J$1:J2225,$J2225,$K$1:K2225,K2225,$L$1:L2225,L2225))=2,"0"&amp;COUNTIFS($H$1:H2225,$H2225,$I$1:I2225,$I2225,$J$1:J2225,$J2225,$K$1:K2225,K2225,$L$1:L2225,L2225),COUNTIFS($H$1:H2225,$H2225,$I$1:I2225,$I2225,$J$1:J2225,$J2225,$K$1:K2225,K2225,$L$1:L2225,L2225)))</f>
        <v>002</v>
      </c>
      <c r="N222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25" s="14" t="e">
        <f>+LEN(Table4[[#This Row],[New Item Code]])</f>
        <v>#N/A</v>
      </c>
      <c r="P2225" s="15" t="s">
        <v>4747</v>
      </c>
      <c r="Q2225" s="15" t="s">
        <v>4749</v>
      </c>
      <c r="R2225" s="15"/>
      <c r="S2225" s="15"/>
      <c r="T2225" s="15" t="s">
        <v>4727</v>
      </c>
    </row>
    <row r="2226" spans="1:20" x14ac:dyDescent="0.35">
      <c r="A2226" s="2" t="s">
        <v>4383</v>
      </c>
      <c r="B2226" s="2" t="s">
        <v>4384</v>
      </c>
      <c r="C2226" s="2" t="s">
        <v>9</v>
      </c>
      <c r="D2226" s="2">
        <v>210</v>
      </c>
      <c r="E2226" s="2" t="s">
        <v>10</v>
      </c>
      <c r="F2226" s="2">
        <v>3</v>
      </c>
      <c r="G2226" s="22">
        <f>Table4[[#This Row],[Item Cost]]*Table4[[#This Row],[In Stock]]</f>
        <v>630</v>
      </c>
      <c r="H2226" s="12" t="s">
        <v>4661</v>
      </c>
      <c r="I2226" s="13" t="s">
        <v>4664</v>
      </c>
      <c r="J2226" s="13" t="s">
        <v>4727</v>
      </c>
      <c r="K2226" s="13" t="s">
        <v>4776</v>
      </c>
      <c r="L2226" s="12" t="s">
        <v>4672</v>
      </c>
      <c r="M2226" s="17" t="str">
        <f>IF(LEN(COUNTIFS($H$1:H2226,$H2226,$I$1:I2226,$I2226,$J$1:J2226,$J2226,$K$1:K2226,K2226,$L$1:L2226,L2226))=1,"00"&amp;COUNTIFS($H$1:H2226,$H2226,$I$1:I2226,$I2226,$J$1:J2226,$J2226,$K$1:K2226,K2226,$L$1:L2226,L2226),IF(LEN(COUNTIFS($H$1:H2226,$H2226,$I$1:I2226,$I2226,$J$1:J2226,$J2226,$K$1:K2226,K2226,$L$1:L2226,L2226))=2,"0"&amp;COUNTIFS($H$1:H2226,$H2226,$I$1:I2226,$I2226,$J$1:J2226,$J2226,$K$1:K2226,K2226,$L$1:L2226,L2226),COUNTIFS($H$1:H2226,$H2226,$I$1:I2226,$I2226,$J$1:J2226,$J2226,$K$1:K2226,K2226,$L$1:L2226,L2226)))</f>
        <v>001</v>
      </c>
      <c r="N222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26" s="14" t="e">
        <f>+LEN(Table4[[#This Row],[New Item Code]])</f>
        <v>#N/A</v>
      </c>
      <c r="P2226" s="15" t="s">
        <v>4747</v>
      </c>
      <c r="Q2226" s="15" t="s">
        <v>4749</v>
      </c>
      <c r="R2226" s="15"/>
      <c r="S2226" s="15"/>
      <c r="T2226" s="15" t="s">
        <v>4727</v>
      </c>
    </row>
    <row r="2227" spans="1:20" x14ac:dyDescent="0.35">
      <c r="A2227" s="3" t="s">
        <v>4385</v>
      </c>
      <c r="B2227" s="3" t="s">
        <v>4386</v>
      </c>
      <c r="C2227" s="3" t="s">
        <v>9</v>
      </c>
      <c r="D2227" s="5">
        <v>285</v>
      </c>
      <c r="E2227" s="3" t="s">
        <v>10</v>
      </c>
      <c r="F2227" s="3">
        <v>3</v>
      </c>
      <c r="G2227" s="21">
        <f>Table4[[#This Row],[Item Cost]]*Table4[[#This Row],[In Stock]]</f>
        <v>855</v>
      </c>
      <c r="H2227" s="12" t="s">
        <v>4661</v>
      </c>
      <c r="I2227" s="13" t="s">
        <v>4664</v>
      </c>
      <c r="J2227" s="13" t="s">
        <v>4727</v>
      </c>
      <c r="K2227" s="13" t="s">
        <v>4776</v>
      </c>
      <c r="L2227" s="12" t="s">
        <v>4672</v>
      </c>
      <c r="M2227" s="17" t="str">
        <f>IF(LEN(COUNTIFS($H$1:H2227,$H2227,$I$1:I2227,$I2227,$J$1:J2227,$J2227,$K$1:K2227,K2227,$L$1:L2227,L2227))=1,"00"&amp;COUNTIFS($H$1:H2227,$H2227,$I$1:I2227,$I2227,$J$1:J2227,$J2227,$K$1:K2227,K2227,$L$1:L2227,L2227),IF(LEN(COUNTIFS($H$1:H2227,$H2227,$I$1:I2227,$I2227,$J$1:J2227,$J2227,$K$1:K2227,K2227,$L$1:L2227,L2227))=2,"0"&amp;COUNTIFS($H$1:H2227,$H2227,$I$1:I2227,$I2227,$J$1:J2227,$J2227,$K$1:K2227,K2227,$L$1:L2227,L2227),COUNTIFS($H$1:H2227,$H2227,$I$1:I2227,$I2227,$J$1:J2227,$J2227,$K$1:K2227,K2227,$L$1:L2227,L2227)))</f>
        <v>002</v>
      </c>
      <c r="N222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27" s="14" t="e">
        <f>+LEN(Table4[[#This Row],[New Item Code]])</f>
        <v>#N/A</v>
      </c>
      <c r="P2227" s="15" t="s">
        <v>4747</v>
      </c>
      <c r="Q2227" s="15" t="s">
        <v>4749</v>
      </c>
      <c r="R2227" s="15"/>
      <c r="S2227" s="15"/>
      <c r="T2227" s="15" t="s">
        <v>4727</v>
      </c>
    </row>
    <row r="2228" spans="1:20" x14ac:dyDescent="0.35">
      <c r="A2228" s="2" t="s">
        <v>4387</v>
      </c>
      <c r="B2228" s="2" t="s">
        <v>4388</v>
      </c>
      <c r="C2228" s="2" t="s">
        <v>9</v>
      </c>
      <c r="D2228" s="2">
        <v>35</v>
      </c>
      <c r="E2228" s="2" t="s">
        <v>10</v>
      </c>
      <c r="F2228" s="2">
        <v>10</v>
      </c>
      <c r="G2228" s="22">
        <f>Table4[[#This Row],[Item Cost]]*Table4[[#This Row],[In Stock]]</f>
        <v>350</v>
      </c>
      <c r="H2228" s="12" t="s">
        <v>4661</v>
      </c>
      <c r="I2228" s="13" t="s">
        <v>4664</v>
      </c>
      <c r="J2228" s="13" t="s">
        <v>4727</v>
      </c>
      <c r="K2228" s="13" t="s">
        <v>4776</v>
      </c>
      <c r="L2228" s="12" t="s">
        <v>4672</v>
      </c>
      <c r="M2228" s="17" t="str">
        <f>IF(LEN(COUNTIFS($H$1:H2228,$H2228,$I$1:I2228,$I2228,$J$1:J2228,$J2228,$K$1:K2228,K2228,$L$1:L2228,L2228))=1,"00"&amp;COUNTIFS($H$1:H2228,$H2228,$I$1:I2228,$I2228,$J$1:J2228,$J2228,$K$1:K2228,K2228,$L$1:L2228,L2228),IF(LEN(COUNTIFS($H$1:H2228,$H2228,$I$1:I2228,$I2228,$J$1:J2228,$J2228,$K$1:K2228,K2228,$L$1:L2228,L2228))=2,"0"&amp;COUNTIFS($H$1:H2228,$H2228,$I$1:I2228,$I2228,$J$1:J2228,$J2228,$K$1:K2228,K2228,$L$1:L2228,L2228),COUNTIFS($H$1:H2228,$H2228,$I$1:I2228,$I2228,$J$1:J2228,$J2228,$K$1:K2228,K2228,$L$1:L2228,L2228)))</f>
        <v>003</v>
      </c>
      <c r="N222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28" s="14" t="e">
        <f>+LEN(Table4[[#This Row],[New Item Code]])</f>
        <v>#N/A</v>
      </c>
      <c r="P2228" s="15" t="s">
        <v>4747</v>
      </c>
      <c r="Q2228" s="15" t="s">
        <v>4749</v>
      </c>
      <c r="R2228" s="15"/>
      <c r="S2228" s="15"/>
      <c r="T2228" s="15" t="s">
        <v>4727</v>
      </c>
    </row>
    <row r="2229" spans="1:20" x14ac:dyDescent="0.35">
      <c r="A2229" s="3" t="s">
        <v>4389</v>
      </c>
      <c r="B2229" s="3" t="s">
        <v>4390</v>
      </c>
      <c r="C2229" s="3" t="s">
        <v>9</v>
      </c>
      <c r="D2229" s="3">
        <v>50</v>
      </c>
      <c r="E2229" s="3" t="s">
        <v>10</v>
      </c>
      <c r="F2229" s="3">
        <v>10</v>
      </c>
      <c r="G2229" s="21">
        <f>Table4[[#This Row],[Item Cost]]*Table4[[#This Row],[In Stock]]</f>
        <v>500</v>
      </c>
      <c r="H2229" s="12" t="s">
        <v>4661</v>
      </c>
      <c r="I2229" s="13" t="s">
        <v>4664</v>
      </c>
      <c r="J2229" s="13" t="s">
        <v>4727</v>
      </c>
      <c r="K2229" s="13" t="s">
        <v>4776</v>
      </c>
      <c r="L2229" s="12" t="s">
        <v>4672</v>
      </c>
      <c r="M2229" s="17" t="str">
        <f>IF(LEN(COUNTIFS($H$1:H2229,$H2229,$I$1:I2229,$I2229,$J$1:J2229,$J2229,$K$1:K2229,K2229,$L$1:L2229,L2229))=1,"00"&amp;COUNTIFS($H$1:H2229,$H2229,$I$1:I2229,$I2229,$J$1:J2229,$J2229,$K$1:K2229,K2229,$L$1:L2229,L2229),IF(LEN(COUNTIFS($H$1:H2229,$H2229,$I$1:I2229,$I2229,$J$1:J2229,$J2229,$K$1:K2229,K2229,$L$1:L2229,L2229))=2,"0"&amp;COUNTIFS($H$1:H2229,$H2229,$I$1:I2229,$I2229,$J$1:J2229,$J2229,$K$1:K2229,K2229,$L$1:L2229,L2229),COUNTIFS($H$1:H2229,$H2229,$I$1:I2229,$I2229,$J$1:J2229,$J2229,$K$1:K2229,K2229,$L$1:L2229,L2229)))</f>
        <v>004</v>
      </c>
      <c r="N222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29" s="14" t="e">
        <f>+LEN(Table4[[#This Row],[New Item Code]])</f>
        <v>#N/A</v>
      </c>
      <c r="P2229" s="15" t="s">
        <v>4747</v>
      </c>
      <c r="Q2229" s="15" t="s">
        <v>4749</v>
      </c>
      <c r="R2229" s="15"/>
      <c r="S2229" s="15"/>
      <c r="T2229" s="15" t="s">
        <v>4727</v>
      </c>
    </row>
    <row r="2230" spans="1:20" x14ac:dyDescent="0.35">
      <c r="A2230" s="2" t="s">
        <v>4391</v>
      </c>
      <c r="B2230" s="2" t="s">
        <v>4392</v>
      </c>
      <c r="C2230" s="2" t="s">
        <v>9</v>
      </c>
      <c r="D2230" s="2">
        <v>128</v>
      </c>
      <c r="E2230" s="2" t="s">
        <v>10</v>
      </c>
      <c r="F2230" s="2">
        <v>5</v>
      </c>
      <c r="G2230" s="22">
        <f>Table4[[#This Row],[Item Cost]]*Table4[[#This Row],[In Stock]]</f>
        <v>640</v>
      </c>
      <c r="H2230" s="12" t="s">
        <v>4661</v>
      </c>
      <c r="I2230" s="13" t="s">
        <v>4664</v>
      </c>
      <c r="J2230" s="13" t="s">
        <v>4727</v>
      </c>
      <c r="K2230" s="13" t="s">
        <v>4672</v>
      </c>
      <c r="L2230" s="12" t="s">
        <v>4672</v>
      </c>
      <c r="M2230" s="17" t="str">
        <f>IF(LEN(COUNTIFS($H$1:H2230,$H2230,$I$1:I2230,$I2230,$J$1:J2230,$J2230,$K$1:K2230,K2230,$L$1:L2230,L2230))=1,"00"&amp;COUNTIFS($H$1:H2230,$H2230,$I$1:I2230,$I2230,$J$1:J2230,$J2230,$K$1:K2230,K2230,$L$1:L2230,L2230),IF(LEN(COUNTIFS($H$1:H2230,$H2230,$I$1:I2230,$I2230,$J$1:J2230,$J2230,$K$1:K2230,K2230,$L$1:L2230,L2230))=2,"0"&amp;COUNTIFS($H$1:H2230,$H2230,$I$1:I2230,$I2230,$J$1:J2230,$J2230,$K$1:K2230,K2230,$L$1:L2230,L2230),COUNTIFS($H$1:H2230,$H2230,$I$1:I2230,$I2230,$J$1:J2230,$J2230,$K$1:K2230,K2230,$L$1:L2230,L2230)))</f>
        <v>006</v>
      </c>
      <c r="N223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30" s="14" t="e">
        <f>+LEN(Table4[[#This Row],[New Item Code]])</f>
        <v>#N/A</v>
      </c>
      <c r="P2230" s="15" t="s">
        <v>4747</v>
      </c>
      <c r="Q2230" s="15" t="s">
        <v>4749</v>
      </c>
      <c r="R2230" s="15"/>
      <c r="S2230" s="15"/>
      <c r="T2230" s="15" t="s">
        <v>4727</v>
      </c>
    </row>
    <row r="2231" spans="1:20" x14ac:dyDescent="0.35">
      <c r="A2231" s="3" t="s">
        <v>4393</v>
      </c>
      <c r="B2231" s="3" t="s">
        <v>4394</v>
      </c>
      <c r="C2231" s="3" t="s">
        <v>9</v>
      </c>
      <c r="D2231" s="3">
        <v>950</v>
      </c>
      <c r="E2231" s="3" t="s">
        <v>10</v>
      </c>
      <c r="F2231" s="3">
        <v>1</v>
      </c>
      <c r="G2231" s="21">
        <f>Table4[[#This Row],[Item Cost]]*Table4[[#This Row],[In Stock]]</f>
        <v>950</v>
      </c>
      <c r="H2231" s="12" t="s">
        <v>4661</v>
      </c>
      <c r="I2231" s="13" t="s">
        <v>4664</v>
      </c>
      <c r="J2231" s="13" t="s">
        <v>4727</v>
      </c>
      <c r="K2231" s="13" t="s">
        <v>4672</v>
      </c>
      <c r="L2231" s="12" t="s">
        <v>4672</v>
      </c>
      <c r="M2231" s="17" t="str">
        <f>IF(LEN(COUNTIFS($H$1:H2231,$H2231,$I$1:I2231,$I2231,$J$1:J2231,$J2231,$K$1:K2231,K2231,$L$1:L2231,L2231))=1,"00"&amp;COUNTIFS($H$1:H2231,$H2231,$I$1:I2231,$I2231,$J$1:J2231,$J2231,$K$1:K2231,K2231,$L$1:L2231,L2231),IF(LEN(COUNTIFS($H$1:H2231,$H2231,$I$1:I2231,$I2231,$J$1:J2231,$J2231,$K$1:K2231,K2231,$L$1:L2231,L2231))=2,"0"&amp;COUNTIFS($H$1:H2231,$H2231,$I$1:I2231,$I2231,$J$1:J2231,$J2231,$K$1:K2231,K2231,$L$1:L2231,L2231),COUNTIFS($H$1:H2231,$H2231,$I$1:I2231,$I2231,$J$1:J2231,$J2231,$K$1:K2231,K2231,$L$1:L2231,L2231)))</f>
        <v>007</v>
      </c>
      <c r="N223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31" s="14" t="e">
        <f>+LEN(Table4[[#This Row],[New Item Code]])</f>
        <v>#N/A</v>
      </c>
      <c r="P2231" s="15" t="s">
        <v>4747</v>
      </c>
      <c r="Q2231" s="15" t="s">
        <v>4749</v>
      </c>
      <c r="R2231" s="15"/>
      <c r="S2231" s="15"/>
      <c r="T2231" s="15" t="s">
        <v>4727</v>
      </c>
    </row>
    <row r="2232" spans="1:20" x14ac:dyDescent="0.35">
      <c r="A2232" s="2" t="s">
        <v>4395</v>
      </c>
      <c r="B2232" s="2" t="s">
        <v>4396</v>
      </c>
      <c r="C2232" s="2" t="s">
        <v>9</v>
      </c>
      <c r="D2232" s="2">
        <v>1475</v>
      </c>
      <c r="E2232" s="2" t="s">
        <v>10</v>
      </c>
      <c r="F2232" s="2">
        <v>1</v>
      </c>
      <c r="G2232" s="22">
        <f>Table4[[#This Row],[Item Cost]]*Table4[[#This Row],[In Stock]]</f>
        <v>1475</v>
      </c>
      <c r="H2232" s="12" t="s">
        <v>4661</v>
      </c>
      <c r="I2232" s="13" t="s">
        <v>4664</v>
      </c>
      <c r="J2232" s="13" t="s">
        <v>4727</v>
      </c>
      <c r="K2232" s="13" t="s">
        <v>4672</v>
      </c>
      <c r="L2232" s="12" t="s">
        <v>4672</v>
      </c>
      <c r="M2232" s="17" t="str">
        <f>IF(LEN(COUNTIFS($H$1:H2232,$H2232,$I$1:I2232,$I2232,$J$1:J2232,$J2232,$K$1:K2232,K2232,$L$1:L2232,L2232))=1,"00"&amp;COUNTIFS($H$1:H2232,$H2232,$I$1:I2232,$I2232,$J$1:J2232,$J2232,$K$1:K2232,K2232,$L$1:L2232,L2232),IF(LEN(COUNTIFS($H$1:H2232,$H2232,$I$1:I2232,$I2232,$J$1:J2232,$J2232,$K$1:K2232,K2232,$L$1:L2232,L2232))=2,"0"&amp;COUNTIFS($H$1:H2232,$H2232,$I$1:I2232,$I2232,$J$1:J2232,$J2232,$K$1:K2232,K2232,$L$1:L2232,L2232),COUNTIFS($H$1:H2232,$H2232,$I$1:I2232,$I2232,$J$1:J2232,$J2232,$K$1:K2232,K2232,$L$1:L2232,L2232)))</f>
        <v>008</v>
      </c>
      <c r="N223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32" s="14" t="e">
        <f>+LEN(Table4[[#This Row],[New Item Code]])</f>
        <v>#N/A</v>
      </c>
      <c r="P2232" s="15" t="s">
        <v>4747</v>
      </c>
      <c r="Q2232" s="15" t="s">
        <v>4749</v>
      </c>
      <c r="R2232" s="15"/>
      <c r="S2232" s="15"/>
      <c r="T2232" s="15" t="s">
        <v>4727</v>
      </c>
    </row>
    <row r="2233" spans="1:20" x14ac:dyDescent="0.35">
      <c r="A2233" s="3" t="s">
        <v>4397</v>
      </c>
      <c r="B2233" s="3" t="s">
        <v>4398</v>
      </c>
      <c r="C2233" s="3" t="s">
        <v>9</v>
      </c>
      <c r="D2233" s="3">
        <v>742.06</v>
      </c>
      <c r="E2233" s="3" t="s">
        <v>10</v>
      </c>
      <c r="F2233" s="3">
        <v>12</v>
      </c>
      <c r="G2233" s="21">
        <f>Table4[[#This Row],[Item Cost]]*Table4[[#This Row],[In Stock]]</f>
        <v>8904.7199999999993</v>
      </c>
      <c r="H2233" s="12" t="s">
        <v>4661</v>
      </c>
      <c r="I2233" s="13" t="s">
        <v>4664</v>
      </c>
      <c r="J2233" s="13" t="s">
        <v>4727</v>
      </c>
      <c r="K2233" s="13" t="s">
        <v>4672</v>
      </c>
      <c r="L2233" s="12" t="s">
        <v>4672</v>
      </c>
      <c r="M2233" s="17" t="str">
        <f>IF(LEN(COUNTIFS($H$1:H2233,$H2233,$I$1:I2233,$I2233,$J$1:J2233,$J2233,$K$1:K2233,K2233,$L$1:L2233,L2233))=1,"00"&amp;COUNTIFS($H$1:H2233,$H2233,$I$1:I2233,$I2233,$J$1:J2233,$J2233,$K$1:K2233,K2233,$L$1:L2233,L2233),IF(LEN(COUNTIFS($H$1:H2233,$H2233,$I$1:I2233,$I2233,$J$1:J2233,$J2233,$K$1:K2233,K2233,$L$1:L2233,L2233))=2,"0"&amp;COUNTIFS($H$1:H2233,$H2233,$I$1:I2233,$I2233,$J$1:J2233,$J2233,$K$1:K2233,K2233,$L$1:L2233,L2233),COUNTIFS($H$1:H2233,$H2233,$I$1:I2233,$I2233,$J$1:J2233,$J2233,$K$1:K2233,K2233,$L$1:L2233,L2233)))</f>
        <v>009</v>
      </c>
      <c r="N223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33" s="14" t="e">
        <f>+LEN(Table4[[#This Row],[New Item Code]])</f>
        <v>#N/A</v>
      </c>
      <c r="P2233" s="15" t="s">
        <v>4747</v>
      </c>
      <c r="Q2233" s="15" t="s">
        <v>4749</v>
      </c>
      <c r="R2233" s="15"/>
      <c r="S2233" s="15"/>
      <c r="T2233" s="15" t="s">
        <v>4727</v>
      </c>
    </row>
    <row r="2234" spans="1:20" x14ac:dyDescent="0.35">
      <c r="A2234" s="2" t="s">
        <v>4399</v>
      </c>
      <c r="B2234" s="2" t="s">
        <v>4400</v>
      </c>
      <c r="C2234" s="2" t="s">
        <v>56</v>
      </c>
      <c r="D2234" s="2">
        <v>0</v>
      </c>
      <c r="E2234" s="2" t="s">
        <v>57</v>
      </c>
      <c r="F2234" s="2">
        <v>0</v>
      </c>
      <c r="G2234" s="22">
        <f>Table4[[#This Row],[Item Cost]]*Table4[[#This Row],[In Stock]]</f>
        <v>0</v>
      </c>
      <c r="H2234" s="12" t="s">
        <v>4661</v>
      </c>
      <c r="I2234" s="13" t="s">
        <v>4668</v>
      </c>
      <c r="J2234" s="13" t="s">
        <v>4727</v>
      </c>
      <c r="K2234" s="13" t="s">
        <v>4672</v>
      </c>
      <c r="L2234" s="12" t="s">
        <v>4672</v>
      </c>
      <c r="M2234" s="17" t="str">
        <f>IF(LEN(COUNTIFS($H$1:H2234,$H2234,$I$1:I2234,$I2234,$J$1:J2234,$J2234,$K$1:K2234,K2234,$L$1:L2234,L2234))=1,"00"&amp;COUNTIFS($H$1:H2234,$H2234,$I$1:I2234,$I2234,$J$1:J2234,$J2234,$K$1:K2234,K2234,$L$1:L2234,L2234),IF(LEN(COUNTIFS($H$1:H2234,$H2234,$I$1:I2234,$I2234,$J$1:J2234,$J2234,$K$1:K2234,K2234,$L$1:L2234,L2234))=2,"0"&amp;COUNTIFS($H$1:H2234,$H2234,$I$1:I2234,$I2234,$J$1:J2234,$J2234,$K$1:K2234,K2234,$L$1:L2234,L2234),COUNTIFS($H$1:H2234,$H2234,$I$1:I2234,$I2234,$J$1:J2234,$J2234,$K$1:K2234,K2234,$L$1:L2234,L2234)))</f>
        <v>001</v>
      </c>
      <c r="N223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34" s="14" t="e">
        <f>+LEN(Table4[[#This Row],[New Item Code]])</f>
        <v>#N/A</v>
      </c>
      <c r="P2234" s="15" t="s">
        <v>4747</v>
      </c>
      <c r="Q2234" s="15" t="s">
        <v>4749</v>
      </c>
      <c r="R2234" s="15"/>
      <c r="S2234" s="15"/>
      <c r="T2234" s="15" t="s">
        <v>4727</v>
      </c>
    </row>
    <row r="2235" spans="1:20" x14ac:dyDescent="0.35">
      <c r="A2235" s="3" t="s">
        <v>4401</v>
      </c>
      <c r="B2235" s="3" t="s">
        <v>4402</v>
      </c>
      <c r="C2235" s="3" t="s">
        <v>15</v>
      </c>
      <c r="D2235" s="5">
        <v>13250</v>
      </c>
      <c r="E2235" s="3" t="s">
        <v>10</v>
      </c>
      <c r="F2235" s="3">
        <v>0</v>
      </c>
      <c r="G2235" s="21">
        <f>Table4[[#This Row],[Item Cost]]*Table4[[#This Row],[In Stock]]</f>
        <v>0</v>
      </c>
      <c r="H2235" s="12" t="s">
        <v>4661</v>
      </c>
      <c r="I2235" s="13" t="s">
        <v>4666</v>
      </c>
      <c r="J2235" s="13" t="s">
        <v>4693</v>
      </c>
      <c r="K2235" s="13" t="s">
        <v>4672</v>
      </c>
      <c r="L2235" s="12" t="s">
        <v>4672</v>
      </c>
      <c r="M2235" s="17">
        <f>IF(LEN(COUNTIFS($H$1:H2235,$H2235,$I$1:I2235,$I2235,$J$1:J2235,$J2235,$K$1:K2235,K2235,$L$1:L2235,L2235))=1,"00"&amp;COUNTIFS($H$1:H2235,$H2235,$I$1:I2235,$I2235,$J$1:J2235,$J2235,$K$1:K2235,K2235,$L$1:L2235,L2235),IF(LEN(COUNTIFS($H$1:H2235,$H2235,$I$1:I2235,$I2235,$J$1:J2235,$J2235,$K$1:K2235,K2235,$L$1:L2235,L2235))=2,"0"&amp;COUNTIFS($H$1:H2235,$H2235,$I$1:I2235,$I2235,$J$1:J2235,$J2235,$K$1:K2235,K2235,$L$1:L2235,L2235),COUNTIFS($H$1:H2235,$H2235,$I$1:I2235,$I2235,$J$1:J2235,$J2235,$K$1:K2235,K2235,$L$1:L2235,L2235)))</f>
        <v>128</v>
      </c>
      <c r="N223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35" s="14" t="e">
        <f>+LEN(Table4[[#This Row],[New Item Code]])</f>
        <v>#N/A</v>
      </c>
      <c r="P2235" s="15" t="s">
        <v>4747</v>
      </c>
      <c r="Q2235" s="15" t="s">
        <v>4749</v>
      </c>
      <c r="R2235" s="15"/>
      <c r="S2235" s="15"/>
      <c r="T2235" s="15" t="s">
        <v>4693</v>
      </c>
    </row>
    <row r="2236" spans="1:20" x14ac:dyDescent="0.35">
      <c r="A2236" s="2" t="s">
        <v>4403</v>
      </c>
      <c r="B2236" s="2" t="s">
        <v>4404</v>
      </c>
      <c r="C2236" s="2" t="s">
        <v>15</v>
      </c>
      <c r="D2236" s="2">
        <v>0</v>
      </c>
      <c r="E2236" s="2" t="s">
        <v>10</v>
      </c>
      <c r="F2236" s="2">
        <v>0</v>
      </c>
      <c r="G2236" s="22">
        <f>Table4[[#This Row],[Item Cost]]*Table4[[#This Row],[In Stock]]</f>
        <v>0</v>
      </c>
      <c r="H2236" s="12" t="s">
        <v>4661</v>
      </c>
      <c r="I2236" s="13" t="s">
        <v>4666</v>
      </c>
      <c r="J2236" s="13" t="s">
        <v>4693</v>
      </c>
      <c r="K2236" s="7" t="s">
        <v>4771</v>
      </c>
      <c r="L2236" s="12" t="s">
        <v>4672</v>
      </c>
      <c r="M2236" s="17" t="str">
        <f>IF(LEN(COUNTIFS($H$1:H2236,$H2236,$I$1:I2236,$I2236,$J$1:J2236,$J2236,$K$1:K2236,K2236,$L$1:L2236,L2236))=1,"00"&amp;COUNTIFS($H$1:H2236,$H2236,$I$1:I2236,$I2236,$J$1:J2236,$J2236,$K$1:K2236,K2236,$L$1:L2236,L2236),IF(LEN(COUNTIFS($H$1:H2236,$H2236,$I$1:I2236,$I2236,$J$1:J2236,$J2236,$K$1:K2236,K2236,$L$1:L2236,L2236))=2,"0"&amp;COUNTIFS($H$1:H2236,$H2236,$I$1:I2236,$I2236,$J$1:J2236,$J2236,$K$1:K2236,K2236,$L$1:L2236,L2236),COUNTIFS($H$1:H2236,$H2236,$I$1:I2236,$I2236,$J$1:J2236,$J2236,$K$1:K2236,K2236,$L$1:L2236,L2236)))</f>
        <v>001</v>
      </c>
      <c r="N223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36" s="14" t="e">
        <f>+LEN(Table4[[#This Row],[New Item Code]])</f>
        <v>#N/A</v>
      </c>
      <c r="P2236" s="15" t="s">
        <v>4747</v>
      </c>
      <c r="Q2236" s="15" t="s">
        <v>4749</v>
      </c>
      <c r="R2236" s="15"/>
      <c r="S2236" s="15"/>
      <c r="T2236" s="15" t="s">
        <v>4693</v>
      </c>
    </row>
    <row r="2237" spans="1:20" x14ac:dyDescent="0.35">
      <c r="A2237" s="3" t="s">
        <v>4405</v>
      </c>
      <c r="B2237" s="3" t="s">
        <v>4406</v>
      </c>
      <c r="C2237" s="3" t="s">
        <v>15</v>
      </c>
      <c r="D2237" s="3">
        <v>0</v>
      </c>
      <c r="E2237" s="3" t="s">
        <v>10</v>
      </c>
      <c r="F2237" s="3">
        <v>0</v>
      </c>
      <c r="G2237" s="21">
        <f>Table4[[#This Row],[Item Cost]]*Table4[[#This Row],[In Stock]]</f>
        <v>0</v>
      </c>
      <c r="H2237" s="12" t="s">
        <v>4661</v>
      </c>
      <c r="I2237" s="13" t="s">
        <v>4666</v>
      </c>
      <c r="J2237" s="13" t="s">
        <v>4693</v>
      </c>
      <c r="K2237" s="7" t="s">
        <v>4771</v>
      </c>
      <c r="L2237" s="12" t="s">
        <v>4672</v>
      </c>
      <c r="M2237" s="17" t="str">
        <f>IF(LEN(COUNTIFS($H$1:H2237,$H2237,$I$1:I2237,$I2237,$J$1:J2237,$J2237,$K$1:K2237,K2237,$L$1:L2237,L2237))=1,"00"&amp;COUNTIFS($H$1:H2237,$H2237,$I$1:I2237,$I2237,$J$1:J2237,$J2237,$K$1:K2237,K2237,$L$1:L2237,L2237),IF(LEN(COUNTIFS($H$1:H2237,$H2237,$I$1:I2237,$I2237,$J$1:J2237,$J2237,$K$1:K2237,K2237,$L$1:L2237,L2237))=2,"0"&amp;COUNTIFS($H$1:H2237,$H2237,$I$1:I2237,$I2237,$J$1:J2237,$J2237,$K$1:K2237,K2237,$L$1:L2237,L2237),COUNTIFS($H$1:H2237,$H2237,$I$1:I2237,$I2237,$J$1:J2237,$J2237,$K$1:K2237,K2237,$L$1:L2237,L2237)))</f>
        <v>002</v>
      </c>
      <c r="N223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37" s="14" t="e">
        <f>+LEN(Table4[[#This Row],[New Item Code]])</f>
        <v>#N/A</v>
      </c>
      <c r="P2237" s="15" t="s">
        <v>4747</v>
      </c>
      <c r="Q2237" s="15" t="s">
        <v>4749</v>
      </c>
      <c r="R2237" s="15"/>
      <c r="S2237" s="15"/>
      <c r="T2237" s="15" t="s">
        <v>4693</v>
      </c>
    </row>
    <row r="2238" spans="1:20" x14ac:dyDescent="0.35">
      <c r="A2238" s="2" t="s">
        <v>4407</v>
      </c>
      <c r="B2238" s="2" t="s">
        <v>4408</v>
      </c>
      <c r="C2238" s="2" t="s">
        <v>15</v>
      </c>
      <c r="D2238" s="4">
        <v>35</v>
      </c>
      <c r="E2238" s="2" t="s">
        <v>10</v>
      </c>
      <c r="F2238" s="2">
        <v>2</v>
      </c>
      <c r="G2238" s="22">
        <f>Table4[[#This Row],[Item Cost]]*Table4[[#This Row],[In Stock]]</f>
        <v>70</v>
      </c>
      <c r="H2238" s="12" t="s">
        <v>4661</v>
      </c>
      <c r="I2238" s="13" t="s">
        <v>4666</v>
      </c>
      <c r="J2238" s="13" t="s">
        <v>4693</v>
      </c>
      <c r="K2238" s="7" t="s">
        <v>4771</v>
      </c>
      <c r="L2238" s="12" t="s">
        <v>4672</v>
      </c>
      <c r="M2238" s="17" t="str">
        <f>IF(LEN(COUNTIFS($H$1:H2238,$H2238,$I$1:I2238,$I2238,$J$1:J2238,$J2238,$K$1:K2238,K2238,$L$1:L2238,L2238))=1,"00"&amp;COUNTIFS($H$1:H2238,$H2238,$I$1:I2238,$I2238,$J$1:J2238,$J2238,$K$1:K2238,K2238,$L$1:L2238,L2238),IF(LEN(COUNTIFS($H$1:H2238,$H2238,$I$1:I2238,$I2238,$J$1:J2238,$J2238,$K$1:K2238,K2238,$L$1:L2238,L2238))=2,"0"&amp;COUNTIFS($H$1:H2238,$H2238,$I$1:I2238,$I2238,$J$1:J2238,$J2238,$K$1:K2238,K2238,$L$1:L2238,L2238),COUNTIFS($H$1:H2238,$H2238,$I$1:I2238,$I2238,$J$1:J2238,$J2238,$K$1:K2238,K2238,$L$1:L2238,L2238)))</f>
        <v>003</v>
      </c>
      <c r="N223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38" s="14" t="e">
        <f>+LEN(Table4[[#This Row],[New Item Code]])</f>
        <v>#N/A</v>
      </c>
      <c r="P2238" s="15" t="s">
        <v>4747</v>
      </c>
      <c r="Q2238" s="15" t="s">
        <v>4749</v>
      </c>
      <c r="R2238" s="15"/>
      <c r="S2238" s="15"/>
      <c r="T2238" s="15" t="s">
        <v>4693</v>
      </c>
    </row>
    <row r="2239" spans="1:20" x14ac:dyDescent="0.35">
      <c r="A2239" s="3" t="s">
        <v>4409</v>
      </c>
      <c r="B2239" s="3" t="s">
        <v>4410</v>
      </c>
      <c r="C2239" s="3" t="s">
        <v>15</v>
      </c>
      <c r="D2239" s="3">
        <v>850</v>
      </c>
      <c r="E2239" s="3" t="s">
        <v>10</v>
      </c>
      <c r="F2239" s="3">
        <v>2</v>
      </c>
      <c r="G2239" s="21">
        <f>Table4[[#This Row],[Item Cost]]*Table4[[#This Row],[In Stock]]</f>
        <v>1700</v>
      </c>
      <c r="H2239" s="12" t="s">
        <v>4661</v>
      </c>
      <c r="I2239" s="13" t="s">
        <v>4666</v>
      </c>
      <c r="J2239" s="13" t="s">
        <v>4693</v>
      </c>
      <c r="K2239" s="13" t="s">
        <v>4672</v>
      </c>
      <c r="L2239" s="12" t="s">
        <v>4672</v>
      </c>
      <c r="M2239" s="17">
        <f>IF(LEN(COUNTIFS($H$1:H2239,$H2239,$I$1:I2239,$I2239,$J$1:J2239,$J2239,$K$1:K2239,K2239,$L$1:L2239,L2239))=1,"00"&amp;COUNTIFS($H$1:H2239,$H2239,$I$1:I2239,$I2239,$J$1:J2239,$J2239,$K$1:K2239,K2239,$L$1:L2239,L2239),IF(LEN(COUNTIFS($H$1:H2239,$H2239,$I$1:I2239,$I2239,$J$1:J2239,$J2239,$K$1:K2239,K2239,$L$1:L2239,L2239))=2,"0"&amp;COUNTIFS($H$1:H2239,$H2239,$I$1:I2239,$I2239,$J$1:J2239,$J2239,$K$1:K2239,K2239,$L$1:L2239,L2239),COUNTIFS($H$1:H2239,$H2239,$I$1:I2239,$I2239,$J$1:J2239,$J2239,$K$1:K2239,K2239,$L$1:L2239,L2239)))</f>
        <v>129</v>
      </c>
      <c r="N223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39" s="14" t="e">
        <f>+LEN(Table4[[#This Row],[New Item Code]])</f>
        <v>#N/A</v>
      </c>
      <c r="P2239" s="15" t="s">
        <v>4747</v>
      </c>
      <c r="Q2239" s="15" t="s">
        <v>4749</v>
      </c>
      <c r="R2239" s="15"/>
      <c r="S2239" s="15"/>
      <c r="T2239" s="15" t="s">
        <v>4693</v>
      </c>
    </row>
    <row r="2240" spans="1:20" x14ac:dyDescent="0.35">
      <c r="A2240" s="2" t="s">
        <v>4411</v>
      </c>
      <c r="B2240" s="2" t="s">
        <v>4412</v>
      </c>
      <c r="C2240" s="2" t="s">
        <v>15</v>
      </c>
      <c r="D2240" s="2">
        <v>0</v>
      </c>
      <c r="E2240" s="2" t="s">
        <v>10</v>
      </c>
      <c r="F2240" s="2">
        <v>0</v>
      </c>
      <c r="G2240" s="22">
        <f>Table4[[#This Row],[Item Cost]]*Table4[[#This Row],[In Stock]]</f>
        <v>0</v>
      </c>
      <c r="H2240" s="12" t="s">
        <v>4661</v>
      </c>
      <c r="I2240" s="13" t="s">
        <v>4666</v>
      </c>
      <c r="J2240" s="13" t="s">
        <v>4693</v>
      </c>
      <c r="K2240" s="13" t="s">
        <v>4672</v>
      </c>
      <c r="L2240" s="12" t="s">
        <v>4672</v>
      </c>
      <c r="M2240" s="17">
        <f>IF(LEN(COUNTIFS($H$1:H2240,$H2240,$I$1:I2240,$I2240,$J$1:J2240,$J2240,$K$1:K2240,K2240,$L$1:L2240,L2240))=1,"00"&amp;COUNTIFS($H$1:H2240,$H2240,$I$1:I2240,$I2240,$J$1:J2240,$J2240,$K$1:K2240,K2240,$L$1:L2240,L2240),IF(LEN(COUNTIFS($H$1:H2240,$H2240,$I$1:I2240,$I2240,$J$1:J2240,$J2240,$K$1:K2240,K2240,$L$1:L2240,L2240))=2,"0"&amp;COUNTIFS($H$1:H2240,$H2240,$I$1:I2240,$I2240,$J$1:J2240,$J2240,$K$1:K2240,K2240,$L$1:L2240,L2240),COUNTIFS($H$1:H2240,$H2240,$I$1:I2240,$I2240,$J$1:J2240,$J2240,$K$1:K2240,K2240,$L$1:L2240,L2240)))</f>
        <v>130</v>
      </c>
      <c r="N224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40" s="14" t="e">
        <f>+LEN(Table4[[#This Row],[New Item Code]])</f>
        <v>#N/A</v>
      </c>
      <c r="P2240" s="15" t="s">
        <v>4747</v>
      </c>
      <c r="Q2240" s="15" t="s">
        <v>4749</v>
      </c>
      <c r="R2240" s="15"/>
      <c r="S2240" s="15"/>
      <c r="T2240" s="15" t="s">
        <v>4693</v>
      </c>
    </row>
    <row r="2241" spans="1:20" x14ac:dyDescent="0.35">
      <c r="A2241" s="3" t="s">
        <v>4413</v>
      </c>
      <c r="B2241" s="3" t="s">
        <v>4414</v>
      </c>
      <c r="C2241" s="3" t="s">
        <v>15</v>
      </c>
      <c r="D2241" s="3">
        <v>350</v>
      </c>
      <c r="E2241" s="3" t="s">
        <v>10</v>
      </c>
      <c r="F2241" s="3">
        <v>0</v>
      </c>
      <c r="G2241" s="21">
        <f>Table4[[#This Row],[Item Cost]]*Table4[[#This Row],[In Stock]]</f>
        <v>0</v>
      </c>
      <c r="H2241" s="12" t="s">
        <v>4661</v>
      </c>
      <c r="I2241" s="13" t="s">
        <v>4666</v>
      </c>
      <c r="J2241" s="13" t="s">
        <v>4693</v>
      </c>
      <c r="K2241" s="13" t="s">
        <v>4672</v>
      </c>
      <c r="L2241" s="12" t="s">
        <v>4672</v>
      </c>
      <c r="M2241" s="17">
        <f>IF(LEN(COUNTIFS($H$1:H2241,$H2241,$I$1:I2241,$I2241,$J$1:J2241,$J2241,$K$1:K2241,K2241,$L$1:L2241,L2241))=1,"00"&amp;COUNTIFS($H$1:H2241,$H2241,$I$1:I2241,$I2241,$J$1:J2241,$J2241,$K$1:K2241,K2241,$L$1:L2241,L2241),IF(LEN(COUNTIFS($H$1:H2241,$H2241,$I$1:I2241,$I2241,$J$1:J2241,$J2241,$K$1:K2241,K2241,$L$1:L2241,L2241))=2,"0"&amp;COUNTIFS($H$1:H2241,$H2241,$I$1:I2241,$I2241,$J$1:J2241,$J2241,$K$1:K2241,K2241,$L$1:L2241,L2241),COUNTIFS($H$1:H2241,$H2241,$I$1:I2241,$I2241,$J$1:J2241,$J2241,$K$1:K2241,K2241,$L$1:L2241,L2241)))</f>
        <v>131</v>
      </c>
      <c r="N224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41" s="14" t="e">
        <f>+LEN(Table4[[#This Row],[New Item Code]])</f>
        <v>#N/A</v>
      </c>
      <c r="P2241" s="15" t="s">
        <v>4747</v>
      </c>
      <c r="Q2241" s="15" t="s">
        <v>4749</v>
      </c>
      <c r="R2241" s="15"/>
      <c r="S2241" s="15"/>
      <c r="T2241" s="15" t="s">
        <v>4693</v>
      </c>
    </row>
    <row r="2242" spans="1:20" x14ac:dyDescent="0.35">
      <c r="A2242" s="2" t="s">
        <v>4415</v>
      </c>
      <c r="B2242" s="2" t="s">
        <v>4416</v>
      </c>
      <c r="C2242" s="2" t="s">
        <v>15</v>
      </c>
      <c r="D2242" s="2">
        <v>5000</v>
      </c>
      <c r="E2242" s="2" t="s">
        <v>10</v>
      </c>
      <c r="F2242" s="2">
        <v>0</v>
      </c>
      <c r="G2242" s="22">
        <f>Table4[[#This Row],[Item Cost]]*Table4[[#This Row],[In Stock]]</f>
        <v>0</v>
      </c>
      <c r="H2242" s="12" t="s">
        <v>4661</v>
      </c>
      <c r="I2242" s="13" t="s">
        <v>4666</v>
      </c>
      <c r="J2242" s="13" t="s">
        <v>4693</v>
      </c>
      <c r="K2242" s="13" t="s">
        <v>4672</v>
      </c>
      <c r="L2242" s="12" t="s">
        <v>4672</v>
      </c>
      <c r="M2242" s="17">
        <f>IF(LEN(COUNTIFS($H$1:H2242,$H2242,$I$1:I2242,$I2242,$J$1:J2242,$J2242,$K$1:K2242,K2242,$L$1:L2242,L2242))=1,"00"&amp;COUNTIFS($H$1:H2242,$H2242,$I$1:I2242,$I2242,$J$1:J2242,$J2242,$K$1:K2242,K2242,$L$1:L2242,L2242),IF(LEN(COUNTIFS($H$1:H2242,$H2242,$I$1:I2242,$I2242,$J$1:J2242,$J2242,$K$1:K2242,K2242,$L$1:L2242,L2242))=2,"0"&amp;COUNTIFS($H$1:H2242,$H2242,$I$1:I2242,$I2242,$J$1:J2242,$J2242,$K$1:K2242,K2242,$L$1:L2242,L2242),COUNTIFS($H$1:H2242,$H2242,$I$1:I2242,$I2242,$J$1:J2242,$J2242,$K$1:K2242,K2242,$L$1:L2242,L2242)))</f>
        <v>132</v>
      </c>
      <c r="N224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42" s="14" t="e">
        <f>+LEN(Table4[[#This Row],[New Item Code]])</f>
        <v>#N/A</v>
      </c>
      <c r="P2242" s="15" t="s">
        <v>4747</v>
      </c>
      <c r="Q2242" s="15" t="s">
        <v>4749</v>
      </c>
      <c r="R2242" s="15"/>
      <c r="S2242" s="15"/>
      <c r="T2242" s="15" t="s">
        <v>4693</v>
      </c>
    </row>
    <row r="2243" spans="1:20" x14ac:dyDescent="0.35">
      <c r="A2243" s="3" t="s">
        <v>4417</v>
      </c>
      <c r="B2243" s="3" t="s">
        <v>4418</v>
      </c>
      <c r="C2243" s="3" t="s">
        <v>15</v>
      </c>
      <c r="D2243" s="3">
        <v>1500</v>
      </c>
      <c r="E2243" s="3" t="s">
        <v>10</v>
      </c>
      <c r="F2243" s="3">
        <v>3</v>
      </c>
      <c r="G2243" s="21">
        <f>Table4[[#This Row],[Item Cost]]*Table4[[#This Row],[In Stock]]</f>
        <v>4500</v>
      </c>
      <c r="H2243" s="12" t="s">
        <v>4661</v>
      </c>
      <c r="I2243" s="13" t="s">
        <v>4666</v>
      </c>
      <c r="J2243" s="13" t="s">
        <v>4693</v>
      </c>
      <c r="K2243" s="13" t="s">
        <v>4672</v>
      </c>
      <c r="L2243" s="12" t="s">
        <v>4672</v>
      </c>
      <c r="M2243" s="17">
        <f>IF(LEN(COUNTIFS($H$1:H2243,$H2243,$I$1:I2243,$I2243,$J$1:J2243,$J2243,$K$1:K2243,K2243,$L$1:L2243,L2243))=1,"00"&amp;COUNTIFS($H$1:H2243,$H2243,$I$1:I2243,$I2243,$J$1:J2243,$J2243,$K$1:K2243,K2243,$L$1:L2243,L2243),IF(LEN(COUNTIFS($H$1:H2243,$H2243,$I$1:I2243,$I2243,$J$1:J2243,$J2243,$K$1:K2243,K2243,$L$1:L2243,L2243))=2,"0"&amp;COUNTIFS($H$1:H2243,$H2243,$I$1:I2243,$I2243,$J$1:J2243,$J2243,$K$1:K2243,K2243,$L$1:L2243,L2243),COUNTIFS($H$1:H2243,$H2243,$I$1:I2243,$I2243,$J$1:J2243,$J2243,$K$1:K2243,K2243,$L$1:L2243,L2243)))</f>
        <v>133</v>
      </c>
      <c r="N224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43" s="14" t="e">
        <f>+LEN(Table4[[#This Row],[New Item Code]])</f>
        <v>#N/A</v>
      </c>
      <c r="P2243" s="15" t="s">
        <v>4747</v>
      </c>
      <c r="Q2243" s="15" t="s">
        <v>4749</v>
      </c>
      <c r="R2243" s="15"/>
      <c r="S2243" s="15"/>
      <c r="T2243" s="15" t="s">
        <v>4693</v>
      </c>
    </row>
    <row r="2244" spans="1:20" x14ac:dyDescent="0.35">
      <c r="A2244" s="2" t="s">
        <v>4419</v>
      </c>
      <c r="B2244" s="2" t="s">
        <v>4420</v>
      </c>
      <c r="C2244" s="2" t="s">
        <v>15</v>
      </c>
      <c r="D2244" s="2">
        <v>960</v>
      </c>
      <c r="E2244" s="2" t="s">
        <v>10</v>
      </c>
      <c r="F2244" s="2">
        <v>2</v>
      </c>
      <c r="G2244" s="22">
        <f>Table4[[#This Row],[Item Cost]]*Table4[[#This Row],[In Stock]]</f>
        <v>1920</v>
      </c>
      <c r="H2244" s="12" t="s">
        <v>4661</v>
      </c>
      <c r="I2244" s="13" t="s">
        <v>4666</v>
      </c>
      <c r="J2244" s="13" t="s">
        <v>4693</v>
      </c>
      <c r="K2244" s="13" t="s">
        <v>4776</v>
      </c>
      <c r="L2244" s="12" t="s">
        <v>4672</v>
      </c>
      <c r="M2244" s="17" t="str">
        <f>IF(LEN(COUNTIFS($H$1:H2244,$H2244,$I$1:I2244,$I2244,$J$1:J2244,$J2244,$K$1:K2244,K2244,$L$1:L2244,L2244))=1,"00"&amp;COUNTIFS($H$1:H2244,$H2244,$I$1:I2244,$I2244,$J$1:J2244,$J2244,$K$1:K2244,K2244,$L$1:L2244,L2244),IF(LEN(COUNTIFS($H$1:H2244,$H2244,$I$1:I2244,$I2244,$J$1:J2244,$J2244,$K$1:K2244,K2244,$L$1:L2244,L2244))=2,"0"&amp;COUNTIFS($H$1:H2244,$H2244,$I$1:I2244,$I2244,$J$1:J2244,$J2244,$K$1:K2244,K2244,$L$1:L2244,L2244),COUNTIFS($H$1:H2244,$H2244,$I$1:I2244,$I2244,$J$1:J2244,$J2244,$K$1:K2244,K2244,$L$1:L2244,L2244)))</f>
        <v>001</v>
      </c>
      <c r="N224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44" s="14" t="e">
        <f>+LEN(Table4[[#This Row],[New Item Code]])</f>
        <v>#N/A</v>
      </c>
      <c r="P2244" s="15" t="s">
        <v>4747</v>
      </c>
      <c r="Q2244" s="15" t="s">
        <v>4749</v>
      </c>
      <c r="R2244" s="15"/>
      <c r="S2244" s="15"/>
      <c r="T2244" s="15" t="s">
        <v>4693</v>
      </c>
    </row>
    <row r="2245" spans="1:20" x14ac:dyDescent="0.35">
      <c r="A2245" s="3" t="s">
        <v>4421</v>
      </c>
      <c r="B2245" s="3" t="s">
        <v>4422</v>
      </c>
      <c r="C2245" s="3" t="s">
        <v>15</v>
      </c>
      <c r="D2245" s="5">
        <v>0</v>
      </c>
      <c r="E2245" s="3" t="s">
        <v>10</v>
      </c>
      <c r="F2245" s="3">
        <v>0</v>
      </c>
      <c r="G2245" s="21">
        <f>Table4[[#This Row],[Item Cost]]*Table4[[#This Row],[In Stock]]</f>
        <v>0</v>
      </c>
      <c r="H2245" s="12" t="s">
        <v>4661</v>
      </c>
      <c r="I2245" s="13" t="s">
        <v>4666</v>
      </c>
      <c r="J2245" s="13" t="s">
        <v>4693</v>
      </c>
      <c r="K2245" s="13" t="s">
        <v>4672</v>
      </c>
      <c r="L2245" s="12" t="s">
        <v>4672</v>
      </c>
      <c r="M2245" s="17">
        <f>IF(LEN(COUNTIFS($H$1:H2245,$H2245,$I$1:I2245,$I2245,$J$1:J2245,$J2245,$K$1:K2245,K2245,$L$1:L2245,L2245))=1,"00"&amp;COUNTIFS($H$1:H2245,$H2245,$I$1:I2245,$I2245,$J$1:J2245,$J2245,$K$1:K2245,K2245,$L$1:L2245,L2245),IF(LEN(COUNTIFS($H$1:H2245,$H2245,$I$1:I2245,$I2245,$J$1:J2245,$J2245,$K$1:K2245,K2245,$L$1:L2245,L2245))=2,"0"&amp;COUNTIFS($H$1:H2245,$H2245,$I$1:I2245,$I2245,$J$1:J2245,$J2245,$K$1:K2245,K2245,$L$1:L2245,L2245),COUNTIFS($H$1:H2245,$H2245,$I$1:I2245,$I2245,$J$1:J2245,$J2245,$K$1:K2245,K2245,$L$1:L2245,L2245)))</f>
        <v>134</v>
      </c>
      <c r="N224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45" s="14" t="e">
        <f>+LEN(Table4[[#This Row],[New Item Code]])</f>
        <v>#N/A</v>
      </c>
      <c r="P2245" s="15" t="s">
        <v>4747</v>
      </c>
      <c r="Q2245" s="15" t="s">
        <v>4749</v>
      </c>
      <c r="R2245" s="15"/>
      <c r="S2245" s="15"/>
      <c r="T2245" s="15" t="s">
        <v>4693</v>
      </c>
    </row>
    <row r="2246" spans="1:20" x14ac:dyDescent="0.35">
      <c r="A2246" s="2" t="s">
        <v>4423</v>
      </c>
      <c r="B2246" s="2" t="s">
        <v>4424</v>
      </c>
      <c r="C2246" s="2" t="s">
        <v>9</v>
      </c>
      <c r="D2246" s="4">
        <v>18000</v>
      </c>
      <c r="E2246" s="2" t="s">
        <v>10</v>
      </c>
      <c r="F2246" s="2">
        <v>1</v>
      </c>
      <c r="G2246" s="22">
        <f>Table4[[#This Row],[Item Cost]]*Table4[[#This Row],[In Stock]]</f>
        <v>18000</v>
      </c>
      <c r="H2246" s="12" t="s">
        <v>4661</v>
      </c>
      <c r="I2246" s="13" t="s">
        <v>4664</v>
      </c>
      <c r="J2246" s="13" t="s">
        <v>4725</v>
      </c>
      <c r="K2246" s="13" t="s">
        <v>4672</v>
      </c>
      <c r="L2246" s="12" t="s">
        <v>4672</v>
      </c>
      <c r="M2246" s="17" t="str">
        <f>IF(LEN(COUNTIFS($H$1:H2246,$H2246,$I$1:I2246,$I2246,$J$1:J2246,$J2246,$K$1:K2246,K2246,$L$1:L2246,L2246))=1,"00"&amp;COUNTIFS($H$1:H2246,$H2246,$I$1:I2246,$I2246,$J$1:J2246,$J2246,$K$1:K2246,K2246,$L$1:L2246,L2246),IF(LEN(COUNTIFS($H$1:H2246,$H2246,$I$1:I2246,$I2246,$J$1:J2246,$J2246,$K$1:K2246,K2246,$L$1:L2246,L2246))=2,"0"&amp;COUNTIFS($H$1:H2246,$H2246,$I$1:I2246,$I2246,$J$1:J2246,$J2246,$K$1:K2246,K2246,$L$1:L2246,L2246),COUNTIFS($H$1:H2246,$H2246,$I$1:I2246,$I2246,$J$1:J2246,$J2246,$K$1:K2246,K2246,$L$1:L2246,L2246)))</f>
        <v>006</v>
      </c>
      <c r="N224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46" s="14" t="e">
        <f>+LEN(Table4[[#This Row],[New Item Code]])</f>
        <v>#N/A</v>
      </c>
      <c r="P2246" s="15" t="s">
        <v>4747</v>
      </c>
      <c r="Q2246" s="15" t="s">
        <v>4749</v>
      </c>
      <c r="R2246" s="15"/>
      <c r="S2246" s="15"/>
      <c r="T2246" s="15" t="s">
        <v>4725</v>
      </c>
    </row>
    <row r="2247" spans="1:20" x14ac:dyDescent="0.35">
      <c r="A2247" s="3" t="s">
        <v>4425</v>
      </c>
      <c r="B2247" s="3" t="s">
        <v>4426</v>
      </c>
      <c r="C2247" s="3" t="s">
        <v>9</v>
      </c>
      <c r="D2247" s="3">
        <v>5035</v>
      </c>
      <c r="E2247" s="3" t="s">
        <v>10</v>
      </c>
      <c r="F2247" s="3">
        <v>2</v>
      </c>
      <c r="G2247" s="21">
        <f>Table4[[#This Row],[Item Cost]]*Table4[[#This Row],[In Stock]]</f>
        <v>10070</v>
      </c>
      <c r="H2247" s="12" t="s">
        <v>4661</v>
      </c>
      <c r="I2247" s="13" t="s">
        <v>4664</v>
      </c>
      <c r="J2247" s="13" t="s">
        <v>4693</v>
      </c>
      <c r="K2247" s="13" t="s">
        <v>4672</v>
      </c>
      <c r="L2247" s="12" t="s">
        <v>4672</v>
      </c>
      <c r="M2247" s="17" t="str">
        <f>IF(LEN(COUNTIFS($H$1:H2247,$H2247,$I$1:I2247,$I2247,$J$1:J2247,$J2247,$K$1:K2247,K2247,$L$1:L2247,L2247))=1,"00"&amp;COUNTIFS($H$1:H2247,$H2247,$I$1:I2247,$I2247,$J$1:J2247,$J2247,$K$1:K2247,K2247,$L$1:L2247,L2247),IF(LEN(COUNTIFS($H$1:H2247,$H2247,$I$1:I2247,$I2247,$J$1:J2247,$J2247,$K$1:K2247,K2247,$L$1:L2247,L2247))=2,"0"&amp;COUNTIFS($H$1:H2247,$H2247,$I$1:I2247,$I2247,$J$1:J2247,$J2247,$K$1:K2247,K2247,$L$1:L2247,L2247),COUNTIFS($H$1:H2247,$H2247,$I$1:I2247,$I2247,$J$1:J2247,$J2247,$K$1:K2247,K2247,$L$1:L2247,L2247)))</f>
        <v>002</v>
      </c>
      <c r="N224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47" s="14" t="e">
        <f>+LEN(Table4[[#This Row],[New Item Code]])</f>
        <v>#N/A</v>
      </c>
      <c r="P2247" s="15" t="s">
        <v>4747</v>
      </c>
      <c r="Q2247" s="15" t="s">
        <v>4749</v>
      </c>
      <c r="R2247" s="15"/>
      <c r="S2247" s="15"/>
      <c r="T2247" s="15" t="s">
        <v>4693</v>
      </c>
    </row>
    <row r="2248" spans="1:20" x14ac:dyDescent="0.35">
      <c r="A2248" s="3" t="s">
        <v>4427</v>
      </c>
      <c r="B2248" s="3" t="s">
        <v>4428</v>
      </c>
      <c r="C2248" s="3" t="s">
        <v>15</v>
      </c>
      <c r="D2248" s="3">
        <v>0</v>
      </c>
      <c r="E2248" s="3" t="s">
        <v>10</v>
      </c>
      <c r="F2248" s="3">
        <v>0</v>
      </c>
      <c r="G2248" s="21">
        <f>Table4[[#This Row],[Item Cost]]*Table4[[#This Row],[In Stock]]</f>
        <v>0</v>
      </c>
      <c r="H2248" s="12" t="s">
        <v>4661</v>
      </c>
      <c r="I2248" s="13" t="s">
        <v>4666</v>
      </c>
      <c r="J2248" s="13" t="s">
        <v>4693</v>
      </c>
      <c r="K2248" s="13" t="s">
        <v>4672</v>
      </c>
      <c r="L2248" s="12" t="s">
        <v>4672</v>
      </c>
      <c r="M2248" s="17">
        <f>IF(LEN(COUNTIFS($H$1:H2248,$H2248,$I$1:I2248,$I2248,$J$1:J2248,$J2248,$K$1:K2248,K2248,$L$1:L2248,L2248))=1,"00"&amp;COUNTIFS($H$1:H2248,$H2248,$I$1:I2248,$I2248,$J$1:J2248,$J2248,$K$1:K2248,K2248,$L$1:L2248,L2248),IF(LEN(COUNTIFS($H$1:H2248,$H2248,$I$1:I2248,$I2248,$J$1:J2248,$J2248,$K$1:K2248,K2248,$L$1:L2248,L2248))=2,"0"&amp;COUNTIFS($H$1:H2248,$H2248,$I$1:I2248,$I2248,$J$1:J2248,$J2248,$K$1:K2248,K2248,$L$1:L2248,L2248),COUNTIFS($H$1:H2248,$H2248,$I$1:I2248,$I2248,$J$1:J2248,$J2248,$K$1:K2248,K2248,$L$1:L2248,L2248)))</f>
        <v>135</v>
      </c>
      <c r="N224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48" s="14" t="e">
        <f>+LEN(Table4[[#This Row],[New Item Code]])</f>
        <v>#N/A</v>
      </c>
      <c r="P2248" s="15" t="s">
        <v>4747</v>
      </c>
      <c r="Q2248" s="15" t="s">
        <v>4749</v>
      </c>
      <c r="R2248" s="15"/>
      <c r="S2248" s="15"/>
      <c r="T2248" s="15" t="s">
        <v>4693</v>
      </c>
    </row>
    <row r="2249" spans="1:20" x14ac:dyDescent="0.35">
      <c r="A2249" s="2" t="s">
        <v>4429</v>
      </c>
      <c r="B2249" s="2" t="s">
        <v>4430</v>
      </c>
      <c r="C2249" s="2" t="s">
        <v>15</v>
      </c>
      <c r="D2249" s="4">
        <v>0</v>
      </c>
      <c r="E2249" s="2" t="s">
        <v>10</v>
      </c>
      <c r="F2249" s="2">
        <v>0</v>
      </c>
      <c r="G2249" s="22">
        <f>Table4[[#This Row],[Item Cost]]*Table4[[#This Row],[In Stock]]</f>
        <v>0</v>
      </c>
      <c r="H2249" s="12" t="s">
        <v>4661</v>
      </c>
      <c r="I2249" s="13" t="s">
        <v>4666</v>
      </c>
      <c r="J2249" s="13" t="s">
        <v>4693</v>
      </c>
      <c r="K2249" s="13" t="s">
        <v>4672</v>
      </c>
      <c r="L2249" s="12" t="s">
        <v>4672</v>
      </c>
      <c r="M2249" s="17">
        <f>IF(LEN(COUNTIFS($H$1:H2249,$H2249,$I$1:I2249,$I2249,$J$1:J2249,$J2249,$K$1:K2249,K2249,$L$1:L2249,L2249))=1,"00"&amp;COUNTIFS($H$1:H2249,$H2249,$I$1:I2249,$I2249,$J$1:J2249,$J2249,$K$1:K2249,K2249,$L$1:L2249,L2249),IF(LEN(COUNTIFS($H$1:H2249,$H2249,$I$1:I2249,$I2249,$J$1:J2249,$J2249,$K$1:K2249,K2249,$L$1:L2249,L2249))=2,"0"&amp;COUNTIFS($H$1:H2249,$H2249,$I$1:I2249,$I2249,$J$1:J2249,$J2249,$K$1:K2249,K2249,$L$1:L2249,L2249),COUNTIFS($H$1:H2249,$H2249,$I$1:I2249,$I2249,$J$1:J2249,$J2249,$K$1:K2249,K2249,$L$1:L2249,L2249)))</f>
        <v>136</v>
      </c>
      <c r="N224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49" s="14" t="e">
        <f>+LEN(Table4[[#This Row],[New Item Code]])</f>
        <v>#N/A</v>
      </c>
      <c r="P2249" s="15" t="s">
        <v>4747</v>
      </c>
      <c r="Q2249" s="15" t="s">
        <v>4749</v>
      </c>
      <c r="R2249" s="15"/>
      <c r="S2249" s="15"/>
      <c r="T2249" s="15" t="s">
        <v>4693</v>
      </c>
    </row>
    <row r="2250" spans="1:20" x14ac:dyDescent="0.35">
      <c r="A2250" s="3" t="s">
        <v>4431</v>
      </c>
      <c r="B2250" s="3" t="s">
        <v>4432</v>
      </c>
      <c r="C2250" s="3" t="s">
        <v>9</v>
      </c>
      <c r="D2250" s="3">
        <v>23423</v>
      </c>
      <c r="E2250" s="3" t="s">
        <v>10</v>
      </c>
      <c r="F2250" s="3">
        <v>1</v>
      </c>
      <c r="G2250" s="21">
        <f>Table4[[#This Row],[Item Cost]]*Table4[[#This Row],[In Stock]]</f>
        <v>23423</v>
      </c>
      <c r="H2250" s="12" t="s">
        <v>4661</v>
      </c>
      <c r="I2250" s="13" t="s">
        <v>4664</v>
      </c>
      <c r="J2250" s="13" t="s">
        <v>4693</v>
      </c>
      <c r="K2250" s="13" t="s">
        <v>4672</v>
      </c>
      <c r="L2250" s="12" t="s">
        <v>4672</v>
      </c>
      <c r="M2250" s="17" t="str">
        <f>IF(LEN(COUNTIFS($H$1:H2250,$H2250,$I$1:I2250,$I2250,$J$1:J2250,$J2250,$K$1:K2250,K2250,$L$1:L2250,L2250))=1,"00"&amp;COUNTIFS($H$1:H2250,$H2250,$I$1:I2250,$I2250,$J$1:J2250,$J2250,$K$1:K2250,K2250,$L$1:L2250,L2250),IF(LEN(COUNTIFS($H$1:H2250,$H2250,$I$1:I2250,$I2250,$J$1:J2250,$J2250,$K$1:K2250,K2250,$L$1:L2250,L2250))=2,"0"&amp;COUNTIFS($H$1:H2250,$H2250,$I$1:I2250,$I2250,$J$1:J2250,$J2250,$K$1:K2250,K2250,$L$1:L2250,L2250),COUNTIFS($H$1:H2250,$H2250,$I$1:I2250,$I2250,$J$1:J2250,$J2250,$K$1:K2250,K2250,$L$1:L2250,L2250)))</f>
        <v>003</v>
      </c>
      <c r="N225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50" s="14" t="e">
        <f>+LEN(Table4[[#This Row],[New Item Code]])</f>
        <v>#N/A</v>
      </c>
      <c r="P2250" s="15" t="s">
        <v>4747</v>
      </c>
      <c r="Q2250" s="15" t="s">
        <v>4749</v>
      </c>
      <c r="R2250" s="15"/>
      <c r="S2250" s="15"/>
      <c r="T2250" s="15" t="s">
        <v>4693</v>
      </c>
    </row>
    <row r="2251" spans="1:20" x14ac:dyDescent="0.35">
      <c r="A2251" s="2" t="s">
        <v>4433</v>
      </c>
      <c r="B2251" s="2" t="s">
        <v>4434</v>
      </c>
      <c r="C2251" s="2" t="s">
        <v>15</v>
      </c>
      <c r="D2251" s="2">
        <v>2280</v>
      </c>
      <c r="E2251" s="2" t="s">
        <v>10</v>
      </c>
      <c r="F2251" s="2">
        <v>0</v>
      </c>
      <c r="G2251" s="22">
        <f>Table4[[#This Row],[Item Cost]]*Table4[[#This Row],[In Stock]]</f>
        <v>0</v>
      </c>
      <c r="H2251" s="12" t="s">
        <v>4661</v>
      </c>
      <c r="I2251" s="13" t="s">
        <v>4666</v>
      </c>
      <c r="J2251" s="13" t="s">
        <v>4693</v>
      </c>
      <c r="K2251" s="13" t="s">
        <v>4672</v>
      </c>
      <c r="L2251" s="12" t="s">
        <v>4672</v>
      </c>
      <c r="M2251" s="17">
        <f>IF(LEN(COUNTIFS($H$1:H2251,$H2251,$I$1:I2251,$I2251,$J$1:J2251,$J2251,$K$1:K2251,K2251,$L$1:L2251,L2251))=1,"00"&amp;COUNTIFS($H$1:H2251,$H2251,$I$1:I2251,$I2251,$J$1:J2251,$J2251,$K$1:K2251,K2251,$L$1:L2251,L2251),IF(LEN(COUNTIFS($H$1:H2251,$H2251,$I$1:I2251,$I2251,$J$1:J2251,$J2251,$K$1:K2251,K2251,$L$1:L2251,L2251))=2,"0"&amp;COUNTIFS($H$1:H2251,$H2251,$I$1:I2251,$I2251,$J$1:J2251,$J2251,$K$1:K2251,K2251,$L$1:L2251,L2251),COUNTIFS($H$1:H2251,$H2251,$I$1:I2251,$I2251,$J$1:J2251,$J2251,$K$1:K2251,K2251,$L$1:L2251,L2251)))</f>
        <v>137</v>
      </c>
      <c r="N225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51" s="14" t="e">
        <f>+LEN(Table4[[#This Row],[New Item Code]])</f>
        <v>#N/A</v>
      </c>
      <c r="P2251" s="15" t="s">
        <v>4747</v>
      </c>
      <c r="Q2251" s="15" t="s">
        <v>4749</v>
      </c>
      <c r="R2251" s="15"/>
      <c r="S2251" s="15"/>
      <c r="T2251" s="15" t="s">
        <v>4693</v>
      </c>
    </row>
    <row r="2252" spans="1:20" x14ac:dyDescent="0.35">
      <c r="A2252" s="3" t="s">
        <v>4435</v>
      </c>
      <c r="B2252" s="3" t="s">
        <v>4436</v>
      </c>
      <c r="C2252" s="3" t="s">
        <v>15</v>
      </c>
      <c r="D2252" s="3">
        <v>143.67699999999999</v>
      </c>
      <c r="E2252" s="3" t="s">
        <v>10</v>
      </c>
      <c r="F2252" s="3">
        <v>0</v>
      </c>
      <c r="G2252" s="21">
        <f>Table4[[#This Row],[Item Cost]]*Table4[[#This Row],[In Stock]]</f>
        <v>0</v>
      </c>
      <c r="H2252" s="12" t="s">
        <v>4661</v>
      </c>
      <c r="I2252" s="13" t="s">
        <v>4666</v>
      </c>
      <c r="J2252" s="13" t="s">
        <v>4693</v>
      </c>
      <c r="K2252" s="13" t="s">
        <v>4672</v>
      </c>
      <c r="L2252" s="12" t="s">
        <v>4672</v>
      </c>
      <c r="M2252" s="17">
        <f>IF(LEN(COUNTIFS($H$1:H2252,$H2252,$I$1:I2252,$I2252,$J$1:J2252,$J2252,$K$1:K2252,K2252,$L$1:L2252,L2252))=1,"00"&amp;COUNTIFS($H$1:H2252,$H2252,$I$1:I2252,$I2252,$J$1:J2252,$J2252,$K$1:K2252,K2252,$L$1:L2252,L2252),IF(LEN(COUNTIFS($H$1:H2252,$H2252,$I$1:I2252,$I2252,$J$1:J2252,$J2252,$K$1:K2252,K2252,$L$1:L2252,L2252))=2,"0"&amp;COUNTIFS($H$1:H2252,$H2252,$I$1:I2252,$I2252,$J$1:J2252,$J2252,$K$1:K2252,K2252,$L$1:L2252,L2252),COUNTIFS($H$1:H2252,$H2252,$I$1:I2252,$I2252,$J$1:J2252,$J2252,$K$1:K2252,K2252,$L$1:L2252,L2252)))</f>
        <v>138</v>
      </c>
      <c r="N225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52" s="14" t="e">
        <f>+LEN(Table4[[#This Row],[New Item Code]])</f>
        <v>#N/A</v>
      </c>
      <c r="P2252" s="15" t="s">
        <v>4747</v>
      </c>
      <c r="Q2252" s="15" t="s">
        <v>4749</v>
      </c>
      <c r="R2252" s="15"/>
      <c r="S2252" s="15"/>
      <c r="T2252" s="15" t="s">
        <v>4693</v>
      </c>
    </row>
    <row r="2253" spans="1:20" x14ac:dyDescent="0.35">
      <c r="A2253" s="2" t="s">
        <v>4437</v>
      </c>
      <c r="B2253" s="2" t="s">
        <v>4438</v>
      </c>
      <c r="C2253" s="2" t="s">
        <v>9</v>
      </c>
      <c r="D2253" s="4">
        <v>141</v>
      </c>
      <c r="E2253" s="2" t="s">
        <v>10</v>
      </c>
      <c r="F2253" s="2">
        <v>4</v>
      </c>
      <c r="G2253" s="22">
        <f>Table4[[#This Row],[Item Cost]]*Table4[[#This Row],[In Stock]]</f>
        <v>564</v>
      </c>
      <c r="H2253" s="12" t="s">
        <v>4661</v>
      </c>
      <c r="I2253" s="13" t="s">
        <v>4664</v>
      </c>
      <c r="J2253" s="13" t="s">
        <v>4693</v>
      </c>
      <c r="K2253" s="13" t="s">
        <v>4672</v>
      </c>
      <c r="L2253" s="12" t="s">
        <v>4672</v>
      </c>
      <c r="M2253" s="17" t="str">
        <f>IF(LEN(COUNTIFS($H$1:H2253,$H2253,$I$1:I2253,$I2253,$J$1:J2253,$J2253,$K$1:K2253,K2253,$L$1:L2253,L2253))=1,"00"&amp;COUNTIFS($H$1:H2253,$H2253,$I$1:I2253,$I2253,$J$1:J2253,$J2253,$K$1:K2253,K2253,$L$1:L2253,L2253),IF(LEN(COUNTIFS($H$1:H2253,$H2253,$I$1:I2253,$I2253,$J$1:J2253,$J2253,$K$1:K2253,K2253,$L$1:L2253,L2253))=2,"0"&amp;COUNTIFS($H$1:H2253,$H2253,$I$1:I2253,$I2253,$J$1:J2253,$J2253,$K$1:K2253,K2253,$L$1:L2253,L2253),COUNTIFS($H$1:H2253,$H2253,$I$1:I2253,$I2253,$J$1:J2253,$J2253,$K$1:K2253,K2253,$L$1:L2253,L2253)))</f>
        <v>004</v>
      </c>
      <c r="N225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53" s="14" t="e">
        <f>+LEN(Table4[[#This Row],[New Item Code]])</f>
        <v>#N/A</v>
      </c>
      <c r="P2253" s="15" t="s">
        <v>4747</v>
      </c>
      <c r="Q2253" s="15" t="s">
        <v>4749</v>
      </c>
      <c r="R2253" s="15"/>
      <c r="S2253" s="15"/>
      <c r="T2253" s="15" t="s">
        <v>4693</v>
      </c>
    </row>
    <row r="2254" spans="1:20" x14ac:dyDescent="0.35">
      <c r="A2254" s="3" t="s">
        <v>4439</v>
      </c>
      <c r="B2254" s="3" t="s">
        <v>4440</v>
      </c>
      <c r="C2254" s="3" t="s">
        <v>9</v>
      </c>
      <c r="D2254" s="5">
        <v>39.332999999999998</v>
      </c>
      <c r="E2254" s="3" t="s">
        <v>10</v>
      </c>
      <c r="F2254" s="3">
        <v>6</v>
      </c>
      <c r="G2254" s="21">
        <f>Table4[[#This Row],[Item Cost]]*Table4[[#This Row],[In Stock]]</f>
        <v>235.99799999999999</v>
      </c>
      <c r="H2254" s="12" t="s">
        <v>4661</v>
      </c>
      <c r="I2254" s="13" t="s">
        <v>4664</v>
      </c>
      <c r="J2254" s="13" t="s">
        <v>4693</v>
      </c>
      <c r="K2254" s="13" t="s">
        <v>4672</v>
      </c>
      <c r="L2254" s="12" t="s">
        <v>4672</v>
      </c>
      <c r="M2254" s="17" t="str">
        <f>IF(LEN(COUNTIFS($H$1:H2254,$H2254,$I$1:I2254,$I2254,$J$1:J2254,$J2254,$K$1:K2254,K2254,$L$1:L2254,L2254))=1,"00"&amp;COUNTIFS($H$1:H2254,$H2254,$I$1:I2254,$I2254,$J$1:J2254,$J2254,$K$1:K2254,K2254,$L$1:L2254,L2254),IF(LEN(COUNTIFS($H$1:H2254,$H2254,$I$1:I2254,$I2254,$J$1:J2254,$J2254,$K$1:K2254,K2254,$L$1:L2254,L2254))=2,"0"&amp;COUNTIFS($H$1:H2254,$H2254,$I$1:I2254,$I2254,$J$1:J2254,$J2254,$K$1:K2254,K2254,$L$1:L2254,L2254),COUNTIFS($H$1:H2254,$H2254,$I$1:I2254,$I2254,$J$1:J2254,$J2254,$K$1:K2254,K2254,$L$1:L2254,L2254)))</f>
        <v>005</v>
      </c>
      <c r="N225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54" s="14" t="e">
        <f>+LEN(Table4[[#This Row],[New Item Code]])</f>
        <v>#N/A</v>
      </c>
      <c r="P2254" s="15" t="s">
        <v>4747</v>
      </c>
      <c r="Q2254" s="15" t="s">
        <v>4749</v>
      </c>
      <c r="R2254" s="15"/>
      <c r="S2254" s="15"/>
      <c r="T2254" s="15" t="s">
        <v>4693</v>
      </c>
    </row>
    <row r="2255" spans="1:20" x14ac:dyDescent="0.35">
      <c r="A2255" s="2" t="s">
        <v>4441</v>
      </c>
      <c r="B2255" s="2" t="s">
        <v>4442</v>
      </c>
      <c r="C2255" s="2" t="s">
        <v>9</v>
      </c>
      <c r="D2255" s="2">
        <v>79.444000000000003</v>
      </c>
      <c r="E2255" s="2" t="s">
        <v>10</v>
      </c>
      <c r="F2255" s="2">
        <v>10</v>
      </c>
      <c r="G2255" s="22">
        <f>Table4[[#This Row],[Item Cost]]*Table4[[#This Row],[In Stock]]</f>
        <v>794.44</v>
      </c>
      <c r="H2255" s="12" t="s">
        <v>4661</v>
      </c>
      <c r="I2255" s="13" t="s">
        <v>4664</v>
      </c>
      <c r="J2255" s="13" t="s">
        <v>4693</v>
      </c>
      <c r="K2255" s="13" t="s">
        <v>4672</v>
      </c>
      <c r="L2255" s="12" t="s">
        <v>4672</v>
      </c>
      <c r="M2255" s="17" t="str">
        <f>IF(LEN(COUNTIFS($H$1:H2255,$H2255,$I$1:I2255,$I2255,$J$1:J2255,$J2255,$K$1:K2255,K2255,$L$1:L2255,L2255))=1,"00"&amp;COUNTIFS($H$1:H2255,$H2255,$I$1:I2255,$I2255,$J$1:J2255,$J2255,$K$1:K2255,K2255,$L$1:L2255,L2255),IF(LEN(COUNTIFS($H$1:H2255,$H2255,$I$1:I2255,$I2255,$J$1:J2255,$J2255,$K$1:K2255,K2255,$L$1:L2255,L2255))=2,"0"&amp;COUNTIFS($H$1:H2255,$H2255,$I$1:I2255,$I2255,$J$1:J2255,$J2255,$K$1:K2255,K2255,$L$1:L2255,L2255),COUNTIFS($H$1:H2255,$H2255,$I$1:I2255,$I2255,$J$1:J2255,$J2255,$K$1:K2255,K2255,$L$1:L2255,L2255)))</f>
        <v>006</v>
      </c>
      <c r="N225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55" s="14" t="e">
        <f>+LEN(Table4[[#This Row],[New Item Code]])</f>
        <v>#N/A</v>
      </c>
      <c r="P2255" s="15" t="s">
        <v>4747</v>
      </c>
      <c r="Q2255" s="15" t="s">
        <v>4749</v>
      </c>
      <c r="R2255" s="15"/>
      <c r="S2255" s="15"/>
      <c r="T2255" s="15" t="s">
        <v>4693</v>
      </c>
    </row>
    <row r="2256" spans="1:20" x14ac:dyDescent="0.35">
      <c r="A2256" s="3" t="s">
        <v>4443</v>
      </c>
      <c r="B2256" s="3" t="s">
        <v>4444</v>
      </c>
      <c r="C2256" s="3" t="s">
        <v>9</v>
      </c>
      <c r="D2256" s="3">
        <v>107.846</v>
      </c>
      <c r="E2256" s="3" t="s">
        <v>10</v>
      </c>
      <c r="F2256" s="3">
        <v>13</v>
      </c>
      <c r="G2256" s="21">
        <f>Table4[[#This Row],[Item Cost]]*Table4[[#This Row],[In Stock]]</f>
        <v>1401.998</v>
      </c>
      <c r="H2256" s="12" t="s">
        <v>4661</v>
      </c>
      <c r="I2256" s="13" t="s">
        <v>4664</v>
      </c>
      <c r="J2256" s="13" t="s">
        <v>4693</v>
      </c>
      <c r="K2256" s="13" t="s">
        <v>4672</v>
      </c>
      <c r="L2256" s="12" t="s">
        <v>4672</v>
      </c>
      <c r="M2256" s="17" t="str">
        <f>IF(LEN(COUNTIFS($H$1:H2256,$H2256,$I$1:I2256,$I2256,$J$1:J2256,$J2256,$K$1:K2256,K2256,$L$1:L2256,L2256))=1,"00"&amp;COUNTIFS($H$1:H2256,$H2256,$I$1:I2256,$I2256,$J$1:J2256,$J2256,$K$1:K2256,K2256,$L$1:L2256,L2256),IF(LEN(COUNTIFS($H$1:H2256,$H2256,$I$1:I2256,$I2256,$J$1:J2256,$J2256,$K$1:K2256,K2256,$L$1:L2256,L2256))=2,"0"&amp;COUNTIFS($H$1:H2256,$H2256,$I$1:I2256,$I2256,$J$1:J2256,$J2256,$K$1:K2256,K2256,$L$1:L2256,L2256),COUNTIFS($H$1:H2256,$H2256,$I$1:I2256,$I2256,$J$1:J2256,$J2256,$K$1:K2256,K2256,$L$1:L2256,L2256)))</f>
        <v>007</v>
      </c>
      <c r="N225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56" s="14" t="e">
        <f>+LEN(Table4[[#This Row],[New Item Code]])</f>
        <v>#N/A</v>
      </c>
      <c r="P2256" s="15" t="s">
        <v>4747</v>
      </c>
      <c r="Q2256" s="15" t="s">
        <v>4749</v>
      </c>
      <c r="R2256" s="15"/>
      <c r="S2256" s="15"/>
      <c r="T2256" s="15" t="s">
        <v>4693</v>
      </c>
    </row>
    <row r="2257" spans="1:20" x14ac:dyDescent="0.35">
      <c r="A2257" s="2" t="s">
        <v>4445</v>
      </c>
      <c r="B2257" s="2" t="s">
        <v>4446</v>
      </c>
      <c r="C2257" s="2" t="s">
        <v>9</v>
      </c>
      <c r="D2257" s="2">
        <v>131</v>
      </c>
      <c r="E2257" s="2" t="s">
        <v>10</v>
      </c>
      <c r="F2257" s="2">
        <v>0</v>
      </c>
      <c r="G2257" s="22">
        <f>Table4[[#This Row],[Item Cost]]*Table4[[#This Row],[In Stock]]</f>
        <v>0</v>
      </c>
      <c r="H2257" s="12" t="s">
        <v>4661</v>
      </c>
      <c r="I2257" s="13" t="s">
        <v>4664</v>
      </c>
      <c r="J2257" s="13" t="s">
        <v>4693</v>
      </c>
      <c r="K2257" s="13" t="s">
        <v>4672</v>
      </c>
      <c r="L2257" s="12" t="s">
        <v>4672</v>
      </c>
      <c r="M2257" s="17" t="str">
        <f>IF(LEN(COUNTIFS($H$1:H2257,$H2257,$I$1:I2257,$I2257,$J$1:J2257,$J2257,$K$1:K2257,K2257,$L$1:L2257,L2257))=1,"00"&amp;COUNTIFS($H$1:H2257,$H2257,$I$1:I2257,$I2257,$J$1:J2257,$J2257,$K$1:K2257,K2257,$L$1:L2257,L2257),IF(LEN(COUNTIFS($H$1:H2257,$H2257,$I$1:I2257,$I2257,$J$1:J2257,$J2257,$K$1:K2257,K2257,$L$1:L2257,L2257))=2,"0"&amp;COUNTIFS($H$1:H2257,$H2257,$I$1:I2257,$I2257,$J$1:J2257,$J2257,$K$1:K2257,K2257,$L$1:L2257,L2257),COUNTIFS($H$1:H2257,$H2257,$I$1:I2257,$I2257,$J$1:J2257,$J2257,$K$1:K2257,K2257,$L$1:L2257,L2257)))</f>
        <v>008</v>
      </c>
      <c r="N225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57" s="14" t="e">
        <f>+LEN(Table4[[#This Row],[New Item Code]])</f>
        <v>#N/A</v>
      </c>
      <c r="P2257" s="15" t="s">
        <v>4747</v>
      </c>
      <c r="Q2257" s="15" t="s">
        <v>4749</v>
      </c>
      <c r="R2257" s="15"/>
      <c r="S2257" s="15"/>
      <c r="T2257" s="15" t="s">
        <v>4693</v>
      </c>
    </row>
    <row r="2258" spans="1:20" x14ac:dyDescent="0.35">
      <c r="A2258" s="3" t="s">
        <v>4447</v>
      </c>
      <c r="B2258" s="3" t="s">
        <v>4448</v>
      </c>
      <c r="C2258" s="3" t="s">
        <v>15</v>
      </c>
      <c r="D2258" s="3">
        <v>65</v>
      </c>
      <c r="E2258" s="3" t="s">
        <v>10</v>
      </c>
      <c r="F2258" s="3">
        <v>9</v>
      </c>
      <c r="G2258" s="21">
        <f>Table4[[#This Row],[Item Cost]]*Table4[[#This Row],[In Stock]]</f>
        <v>585</v>
      </c>
      <c r="H2258" s="12" t="s">
        <v>4661</v>
      </c>
      <c r="I2258" s="13" t="s">
        <v>4666</v>
      </c>
      <c r="J2258" s="13" t="s">
        <v>4693</v>
      </c>
      <c r="K2258" s="13" t="s">
        <v>4672</v>
      </c>
      <c r="L2258" s="12" t="s">
        <v>4672</v>
      </c>
      <c r="M2258" s="17">
        <f>IF(LEN(COUNTIFS($H$1:H2258,$H2258,$I$1:I2258,$I2258,$J$1:J2258,$J2258,$K$1:K2258,K2258,$L$1:L2258,L2258))=1,"00"&amp;COUNTIFS($H$1:H2258,$H2258,$I$1:I2258,$I2258,$J$1:J2258,$J2258,$K$1:K2258,K2258,$L$1:L2258,L2258),IF(LEN(COUNTIFS($H$1:H2258,$H2258,$I$1:I2258,$I2258,$J$1:J2258,$J2258,$K$1:K2258,K2258,$L$1:L2258,L2258))=2,"0"&amp;COUNTIFS($H$1:H2258,$H2258,$I$1:I2258,$I2258,$J$1:J2258,$J2258,$K$1:K2258,K2258,$L$1:L2258,L2258),COUNTIFS($H$1:H2258,$H2258,$I$1:I2258,$I2258,$J$1:J2258,$J2258,$K$1:K2258,K2258,$L$1:L2258,L2258)))</f>
        <v>139</v>
      </c>
      <c r="N225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58" s="14" t="e">
        <f>+LEN(Table4[[#This Row],[New Item Code]])</f>
        <v>#N/A</v>
      </c>
      <c r="P2258" s="15" t="s">
        <v>4747</v>
      </c>
      <c r="Q2258" s="15" t="s">
        <v>4749</v>
      </c>
      <c r="R2258" s="15"/>
      <c r="S2258" s="15"/>
      <c r="T2258" s="15" t="s">
        <v>4693</v>
      </c>
    </row>
    <row r="2259" spans="1:20" x14ac:dyDescent="0.35">
      <c r="A2259" s="2" t="s">
        <v>4449</v>
      </c>
      <c r="B2259" s="2" t="s">
        <v>4450</v>
      </c>
      <c r="C2259" s="2" t="s">
        <v>15</v>
      </c>
      <c r="D2259" s="2">
        <v>90</v>
      </c>
      <c r="E2259" s="2" t="s">
        <v>10</v>
      </c>
      <c r="F2259" s="2">
        <v>1</v>
      </c>
      <c r="G2259" s="22">
        <f>Table4[[#This Row],[Item Cost]]*Table4[[#This Row],[In Stock]]</f>
        <v>90</v>
      </c>
      <c r="H2259" s="12" t="s">
        <v>4661</v>
      </c>
      <c r="I2259" s="13" t="s">
        <v>4666</v>
      </c>
      <c r="J2259" s="13" t="s">
        <v>4693</v>
      </c>
      <c r="K2259" s="13" t="s">
        <v>4672</v>
      </c>
      <c r="L2259" s="12" t="s">
        <v>4672</v>
      </c>
      <c r="M2259" s="17">
        <f>IF(LEN(COUNTIFS($H$1:H2259,$H2259,$I$1:I2259,$I2259,$J$1:J2259,$J2259,$K$1:K2259,K2259,$L$1:L2259,L2259))=1,"00"&amp;COUNTIFS($H$1:H2259,$H2259,$I$1:I2259,$I2259,$J$1:J2259,$J2259,$K$1:K2259,K2259,$L$1:L2259,L2259),IF(LEN(COUNTIFS($H$1:H2259,$H2259,$I$1:I2259,$I2259,$J$1:J2259,$J2259,$K$1:K2259,K2259,$L$1:L2259,L2259))=2,"0"&amp;COUNTIFS($H$1:H2259,$H2259,$I$1:I2259,$I2259,$J$1:J2259,$J2259,$K$1:K2259,K2259,$L$1:L2259,L2259),COUNTIFS($H$1:H2259,$H2259,$I$1:I2259,$I2259,$J$1:J2259,$J2259,$K$1:K2259,K2259,$L$1:L2259,L2259)))</f>
        <v>140</v>
      </c>
      <c r="N225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59" s="14" t="e">
        <f>+LEN(Table4[[#This Row],[New Item Code]])</f>
        <v>#N/A</v>
      </c>
      <c r="P2259" s="15" t="s">
        <v>4747</v>
      </c>
      <c r="Q2259" s="15" t="s">
        <v>4749</v>
      </c>
      <c r="R2259" s="15"/>
      <c r="S2259" s="15"/>
      <c r="T2259" s="15" t="s">
        <v>4693</v>
      </c>
    </row>
    <row r="2260" spans="1:20" x14ac:dyDescent="0.35">
      <c r="A2260" s="3" t="s">
        <v>4451</v>
      </c>
      <c r="B2260" s="3" t="s">
        <v>4452</v>
      </c>
      <c r="C2260" s="3" t="s">
        <v>15</v>
      </c>
      <c r="D2260" s="3">
        <v>230</v>
      </c>
      <c r="E2260" s="3" t="s">
        <v>10</v>
      </c>
      <c r="F2260" s="3">
        <v>1</v>
      </c>
      <c r="G2260" s="21">
        <f>Table4[[#This Row],[Item Cost]]*Table4[[#This Row],[In Stock]]</f>
        <v>230</v>
      </c>
      <c r="H2260" s="12" t="s">
        <v>4661</v>
      </c>
      <c r="I2260" s="13" t="s">
        <v>4666</v>
      </c>
      <c r="J2260" s="13" t="s">
        <v>4693</v>
      </c>
      <c r="K2260" s="13" t="s">
        <v>4672</v>
      </c>
      <c r="L2260" s="12" t="s">
        <v>4672</v>
      </c>
      <c r="M2260" s="17">
        <f>IF(LEN(COUNTIFS($H$1:H2260,$H2260,$I$1:I2260,$I2260,$J$1:J2260,$J2260,$K$1:K2260,K2260,$L$1:L2260,L2260))=1,"00"&amp;COUNTIFS($H$1:H2260,$H2260,$I$1:I2260,$I2260,$J$1:J2260,$J2260,$K$1:K2260,K2260,$L$1:L2260,L2260),IF(LEN(COUNTIFS($H$1:H2260,$H2260,$I$1:I2260,$I2260,$J$1:J2260,$J2260,$K$1:K2260,K2260,$L$1:L2260,L2260))=2,"0"&amp;COUNTIFS($H$1:H2260,$H2260,$I$1:I2260,$I2260,$J$1:J2260,$J2260,$K$1:K2260,K2260,$L$1:L2260,L2260),COUNTIFS($H$1:H2260,$H2260,$I$1:I2260,$I2260,$J$1:J2260,$J2260,$K$1:K2260,K2260,$L$1:L2260,L2260)))</f>
        <v>141</v>
      </c>
      <c r="N226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60" s="14" t="e">
        <f>+LEN(Table4[[#This Row],[New Item Code]])</f>
        <v>#N/A</v>
      </c>
      <c r="P2260" s="15" t="s">
        <v>4747</v>
      </c>
      <c r="Q2260" s="15" t="s">
        <v>4749</v>
      </c>
      <c r="R2260" s="15"/>
      <c r="S2260" s="15"/>
      <c r="T2260" s="15" t="s">
        <v>4693</v>
      </c>
    </row>
    <row r="2261" spans="1:20" x14ac:dyDescent="0.35">
      <c r="A2261" s="2" t="s">
        <v>4453</v>
      </c>
      <c r="B2261" s="2" t="s">
        <v>4454</v>
      </c>
      <c r="C2261" s="2" t="s">
        <v>15</v>
      </c>
      <c r="D2261" s="2">
        <v>645</v>
      </c>
      <c r="E2261" s="2" t="s">
        <v>10</v>
      </c>
      <c r="F2261" s="2">
        <v>1</v>
      </c>
      <c r="G2261" s="22">
        <f>Table4[[#This Row],[Item Cost]]*Table4[[#This Row],[In Stock]]</f>
        <v>645</v>
      </c>
      <c r="H2261" s="12" t="s">
        <v>4661</v>
      </c>
      <c r="I2261" s="13" t="s">
        <v>4666</v>
      </c>
      <c r="J2261" s="13" t="s">
        <v>4693</v>
      </c>
      <c r="K2261" s="13" t="s">
        <v>4672</v>
      </c>
      <c r="L2261" s="12" t="s">
        <v>4672</v>
      </c>
      <c r="M2261" s="17">
        <f>IF(LEN(COUNTIFS($H$1:H2261,$H2261,$I$1:I2261,$I2261,$J$1:J2261,$J2261,$K$1:K2261,K2261,$L$1:L2261,L2261))=1,"00"&amp;COUNTIFS($H$1:H2261,$H2261,$I$1:I2261,$I2261,$J$1:J2261,$J2261,$K$1:K2261,K2261,$L$1:L2261,L2261),IF(LEN(COUNTIFS($H$1:H2261,$H2261,$I$1:I2261,$I2261,$J$1:J2261,$J2261,$K$1:K2261,K2261,$L$1:L2261,L2261))=2,"0"&amp;COUNTIFS($H$1:H2261,$H2261,$I$1:I2261,$I2261,$J$1:J2261,$J2261,$K$1:K2261,K2261,$L$1:L2261,L2261),COUNTIFS($H$1:H2261,$H2261,$I$1:I2261,$I2261,$J$1:J2261,$J2261,$K$1:K2261,K2261,$L$1:L2261,L2261)))</f>
        <v>142</v>
      </c>
      <c r="N226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61" s="14" t="e">
        <f>+LEN(Table4[[#This Row],[New Item Code]])</f>
        <v>#N/A</v>
      </c>
      <c r="P2261" s="15" t="s">
        <v>4747</v>
      </c>
      <c r="Q2261" s="15" t="s">
        <v>4749</v>
      </c>
      <c r="R2261" s="15"/>
      <c r="S2261" s="15"/>
      <c r="T2261" s="15" t="s">
        <v>4693</v>
      </c>
    </row>
    <row r="2262" spans="1:20" x14ac:dyDescent="0.35">
      <c r="A2262" s="3" t="s">
        <v>4455</v>
      </c>
      <c r="B2262" s="3" t="s">
        <v>4456</v>
      </c>
      <c r="C2262" s="3" t="s">
        <v>15</v>
      </c>
      <c r="D2262" s="3">
        <v>765</v>
      </c>
      <c r="E2262" s="3" t="s">
        <v>10</v>
      </c>
      <c r="F2262" s="3">
        <v>2</v>
      </c>
      <c r="G2262" s="21">
        <f>Table4[[#This Row],[Item Cost]]*Table4[[#This Row],[In Stock]]</f>
        <v>1530</v>
      </c>
      <c r="H2262" s="12" t="s">
        <v>4661</v>
      </c>
      <c r="I2262" s="13" t="s">
        <v>4666</v>
      </c>
      <c r="J2262" s="13" t="s">
        <v>4693</v>
      </c>
      <c r="K2262" s="13" t="s">
        <v>4672</v>
      </c>
      <c r="L2262" s="12" t="s">
        <v>4672</v>
      </c>
      <c r="M2262" s="17">
        <f>IF(LEN(COUNTIFS($H$1:H2262,$H2262,$I$1:I2262,$I2262,$J$1:J2262,$J2262,$K$1:K2262,K2262,$L$1:L2262,L2262))=1,"00"&amp;COUNTIFS($H$1:H2262,$H2262,$I$1:I2262,$I2262,$J$1:J2262,$J2262,$K$1:K2262,K2262,$L$1:L2262,L2262),IF(LEN(COUNTIFS($H$1:H2262,$H2262,$I$1:I2262,$I2262,$J$1:J2262,$J2262,$K$1:K2262,K2262,$L$1:L2262,L2262))=2,"0"&amp;COUNTIFS($H$1:H2262,$H2262,$I$1:I2262,$I2262,$J$1:J2262,$J2262,$K$1:K2262,K2262,$L$1:L2262,L2262),COUNTIFS($H$1:H2262,$H2262,$I$1:I2262,$I2262,$J$1:J2262,$J2262,$K$1:K2262,K2262,$L$1:L2262,L2262)))</f>
        <v>143</v>
      </c>
      <c r="N226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62" s="14" t="e">
        <f>+LEN(Table4[[#This Row],[New Item Code]])</f>
        <v>#N/A</v>
      </c>
      <c r="P2262" s="15" t="s">
        <v>4747</v>
      </c>
      <c r="Q2262" s="15" t="s">
        <v>4749</v>
      </c>
      <c r="R2262" s="15"/>
      <c r="S2262" s="15"/>
      <c r="T2262" s="15" t="s">
        <v>4693</v>
      </c>
    </row>
    <row r="2263" spans="1:20" x14ac:dyDescent="0.35">
      <c r="A2263" s="2" t="s">
        <v>4457</v>
      </c>
      <c r="B2263" s="2" t="s">
        <v>4458</v>
      </c>
      <c r="C2263" s="2" t="s">
        <v>15</v>
      </c>
      <c r="D2263" s="2">
        <v>765</v>
      </c>
      <c r="E2263" s="2" t="s">
        <v>10</v>
      </c>
      <c r="F2263" s="2">
        <v>2</v>
      </c>
      <c r="G2263" s="22">
        <f>Table4[[#This Row],[Item Cost]]*Table4[[#This Row],[In Stock]]</f>
        <v>1530</v>
      </c>
      <c r="H2263" s="12" t="s">
        <v>4661</v>
      </c>
      <c r="I2263" s="13" t="s">
        <v>4666</v>
      </c>
      <c r="J2263" s="13" t="s">
        <v>4693</v>
      </c>
      <c r="K2263" s="13" t="s">
        <v>4672</v>
      </c>
      <c r="L2263" s="12" t="s">
        <v>4672</v>
      </c>
      <c r="M2263" s="17">
        <f>IF(LEN(COUNTIFS($H$1:H2263,$H2263,$I$1:I2263,$I2263,$J$1:J2263,$J2263,$K$1:K2263,K2263,$L$1:L2263,L2263))=1,"00"&amp;COUNTIFS($H$1:H2263,$H2263,$I$1:I2263,$I2263,$J$1:J2263,$J2263,$K$1:K2263,K2263,$L$1:L2263,L2263),IF(LEN(COUNTIFS($H$1:H2263,$H2263,$I$1:I2263,$I2263,$J$1:J2263,$J2263,$K$1:K2263,K2263,$L$1:L2263,L2263))=2,"0"&amp;COUNTIFS($H$1:H2263,$H2263,$I$1:I2263,$I2263,$J$1:J2263,$J2263,$K$1:K2263,K2263,$L$1:L2263,L2263),COUNTIFS($H$1:H2263,$H2263,$I$1:I2263,$I2263,$J$1:J2263,$J2263,$K$1:K2263,K2263,$L$1:L2263,L2263)))</f>
        <v>144</v>
      </c>
      <c r="N226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63" s="14" t="e">
        <f>+LEN(Table4[[#This Row],[New Item Code]])</f>
        <v>#N/A</v>
      </c>
      <c r="P2263" s="15" t="s">
        <v>4747</v>
      </c>
      <c r="Q2263" s="15" t="s">
        <v>4749</v>
      </c>
      <c r="R2263" s="15"/>
      <c r="S2263" s="15"/>
      <c r="T2263" s="15" t="s">
        <v>4693</v>
      </c>
    </row>
    <row r="2264" spans="1:20" x14ac:dyDescent="0.35">
      <c r="A2264" s="3" t="s">
        <v>4459</v>
      </c>
      <c r="B2264" s="3" t="s">
        <v>4460</v>
      </c>
      <c r="C2264" s="3" t="s">
        <v>15</v>
      </c>
      <c r="D2264" s="3">
        <v>200</v>
      </c>
      <c r="E2264" s="3" t="s">
        <v>10</v>
      </c>
      <c r="F2264" s="3">
        <v>4</v>
      </c>
      <c r="G2264" s="21">
        <f>Table4[[#This Row],[Item Cost]]*Table4[[#This Row],[In Stock]]</f>
        <v>800</v>
      </c>
      <c r="H2264" s="12" t="s">
        <v>4661</v>
      </c>
      <c r="I2264" s="13" t="s">
        <v>4666</v>
      </c>
      <c r="J2264" s="13" t="s">
        <v>4693</v>
      </c>
      <c r="K2264" s="13" t="s">
        <v>4672</v>
      </c>
      <c r="L2264" s="12" t="s">
        <v>4672</v>
      </c>
      <c r="M2264" s="17">
        <f>IF(LEN(COUNTIFS($H$1:H2264,$H2264,$I$1:I2264,$I2264,$J$1:J2264,$J2264,$K$1:K2264,K2264,$L$1:L2264,L2264))=1,"00"&amp;COUNTIFS($H$1:H2264,$H2264,$I$1:I2264,$I2264,$J$1:J2264,$J2264,$K$1:K2264,K2264,$L$1:L2264,L2264),IF(LEN(COUNTIFS($H$1:H2264,$H2264,$I$1:I2264,$I2264,$J$1:J2264,$J2264,$K$1:K2264,K2264,$L$1:L2264,L2264))=2,"0"&amp;COUNTIFS($H$1:H2264,$H2264,$I$1:I2264,$I2264,$J$1:J2264,$J2264,$K$1:K2264,K2264,$L$1:L2264,L2264),COUNTIFS($H$1:H2264,$H2264,$I$1:I2264,$I2264,$J$1:J2264,$J2264,$K$1:K2264,K2264,$L$1:L2264,L2264)))</f>
        <v>145</v>
      </c>
      <c r="N226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64" s="14" t="e">
        <f>+LEN(Table4[[#This Row],[New Item Code]])</f>
        <v>#N/A</v>
      </c>
      <c r="P2264" s="15" t="s">
        <v>4747</v>
      </c>
      <c r="Q2264" s="15" t="s">
        <v>4749</v>
      </c>
      <c r="R2264" s="15"/>
      <c r="S2264" s="15"/>
      <c r="T2264" s="15" t="s">
        <v>4693</v>
      </c>
    </row>
    <row r="2265" spans="1:20" x14ac:dyDescent="0.35">
      <c r="A2265" s="2" t="s">
        <v>4461</v>
      </c>
      <c r="B2265" s="2" t="s">
        <v>4462</v>
      </c>
      <c r="C2265" s="2" t="s">
        <v>15</v>
      </c>
      <c r="D2265" s="2">
        <v>60</v>
      </c>
      <c r="E2265" s="2" t="s">
        <v>10</v>
      </c>
      <c r="F2265" s="2">
        <v>1</v>
      </c>
      <c r="G2265" s="22">
        <f>Table4[[#This Row],[Item Cost]]*Table4[[#This Row],[In Stock]]</f>
        <v>60</v>
      </c>
      <c r="H2265" s="12" t="s">
        <v>4661</v>
      </c>
      <c r="I2265" s="13" t="s">
        <v>4666</v>
      </c>
      <c r="J2265" s="13" t="s">
        <v>4693</v>
      </c>
      <c r="K2265" t="s">
        <v>4794</v>
      </c>
      <c r="L2265" s="12" t="s">
        <v>4672</v>
      </c>
      <c r="M2265" s="17" t="str">
        <f>IF(LEN(COUNTIFS($H$1:H2265,$H2265,$I$1:I2265,$I2265,$J$1:J2265,$J2265,$K$1:K2265,K2265,$L$1:L2265,L2265))=1,"00"&amp;COUNTIFS($H$1:H2265,$H2265,$I$1:I2265,$I2265,$J$1:J2265,$J2265,$K$1:K2265,K2265,$L$1:L2265,L2265),IF(LEN(COUNTIFS($H$1:H2265,$H2265,$I$1:I2265,$I2265,$J$1:J2265,$J2265,$K$1:K2265,K2265,$L$1:L2265,L2265))=2,"0"&amp;COUNTIFS($H$1:H2265,$H2265,$I$1:I2265,$I2265,$J$1:J2265,$J2265,$K$1:K2265,K2265,$L$1:L2265,L2265),COUNTIFS($H$1:H2265,$H2265,$I$1:I2265,$I2265,$J$1:J2265,$J2265,$K$1:K2265,K2265,$L$1:L2265,L2265)))</f>
        <v>001</v>
      </c>
      <c r="N226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65" s="14" t="e">
        <f>+LEN(Table4[[#This Row],[New Item Code]])</f>
        <v>#N/A</v>
      </c>
      <c r="P2265" s="15" t="s">
        <v>4747</v>
      </c>
      <c r="Q2265" s="15" t="s">
        <v>4749</v>
      </c>
      <c r="R2265" s="15"/>
      <c r="S2265" s="15"/>
      <c r="T2265" s="15" t="s">
        <v>4693</v>
      </c>
    </row>
    <row r="2266" spans="1:20" x14ac:dyDescent="0.35">
      <c r="A2266" s="3" t="s">
        <v>4463</v>
      </c>
      <c r="B2266" s="3" t="s">
        <v>4464</v>
      </c>
      <c r="C2266" s="3" t="s">
        <v>9</v>
      </c>
      <c r="D2266" s="3">
        <v>1689</v>
      </c>
      <c r="E2266" s="3" t="s">
        <v>10</v>
      </c>
      <c r="F2266" s="3">
        <v>1</v>
      </c>
      <c r="G2266" s="21">
        <f>Table4[[#This Row],[Item Cost]]*Table4[[#This Row],[In Stock]]</f>
        <v>1689</v>
      </c>
      <c r="H2266" s="12" t="s">
        <v>4661</v>
      </c>
      <c r="I2266" s="13" t="s">
        <v>4664</v>
      </c>
      <c r="J2266" s="13" t="s">
        <v>4693</v>
      </c>
      <c r="K2266" s="13" t="s">
        <v>4672</v>
      </c>
      <c r="L2266" s="12" t="s">
        <v>4672</v>
      </c>
      <c r="M2266" s="17" t="str">
        <f>IF(LEN(COUNTIFS($H$1:H2266,$H2266,$I$1:I2266,$I2266,$J$1:J2266,$J2266,$K$1:K2266,K2266,$L$1:L2266,L2266))=1,"00"&amp;COUNTIFS($H$1:H2266,$H2266,$I$1:I2266,$I2266,$J$1:J2266,$J2266,$K$1:K2266,K2266,$L$1:L2266,L2266),IF(LEN(COUNTIFS($H$1:H2266,$H2266,$I$1:I2266,$I2266,$J$1:J2266,$J2266,$K$1:K2266,K2266,$L$1:L2266,L2266))=2,"0"&amp;COUNTIFS($H$1:H2266,$H2266,$I$1:I2266,$I2266,$J$1:J2266,$J2266,$K$1:K2266,K2266,$L$1:L2266,L2266),COUNTIFS($H$1:H2266,$H2266,$I$1:I2266,$I2266,$J$1:J2266,$J2266,$K$1:K2266,K2266,$L$1:L2266,L2266)))</f>
        <v>009</v>
      </c>
      <c r="N226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66" s="14" t="e">
        <f>+LEN(Table4[[#This Row],[New Item Code]])</f>
        <v>#N/A</v>
      </c>
      <c r="P2266" s="15" t="s">
        <v>4747</v>
      </c>
      <c r="Q2266" s="15" t="s">
        <v>4749</v>
      </c>
      <c r="R2266" s="15"/>
      <c r="S2266" s="15"/>
      <c r="T2266" s="15" t="s">
        <v>4693</v>
      </c>
    </row>
    <row r="2267" spans="1:20" x14ac:dyDescent="0.35">
      <c r="A2267" s="2" t="s">
        <v>4465</v>
      </c>
      <c r="B2267" s="2" t="s">
        <v>4466</v>
      </c>
      <c r="C2267" s="2" t="s">
        <v>15</v>
      </c>
      <c r="D2267" s="2">
        <v>78</v>
      </c>
      <c r="E2267" s="2" t="s">
        <v>10</v>
      </c>
      <c r="F2267" s="2">
        <v>0</v>
      </c>
      <c r="G2267" s="22">
        <f>Table4[[#This Row],[Item Cost]]*Table4[[#This Row],[In Stock]]</f>
        <v>0</v>
      </c>
      <c r="H2267" s="12" t="s">
        <v>4661</v>
      </c>
      <c r="I2267" s="13" t="s">
        <v>4666</v>
      </c>
      <c r="J2267" s="13" t="s">
        <v>4693</v>
      </c>
      <c r="K2267" s="13" t="s">
        <v>4672</v>
      </c>
      <c r="L2267" s="12" t="s">
        <v>4672</v>
      </c>
      <c r="M2267" s="17">
        <f>IF(LEN(COUNTIFS($H$1:H2267,$H2267,$I$1:I2267,$I2267,$J$1:J2267,$J2267,$K$1:K2267,K2267,$L$1:L2267,L2267))=1,"00"&amp;COUNTIFS($H$1:H2267,$H2267,$I$1:I2267,$I2267,$J$1:J2267,$J2267,$K$1:K2267,K2267,$L$1:L2267,L2267),IF(LEN(COUNTIFS($H$1:H2267,$H2267,$I$1:I2267,$I2267,$J$1:J2267,$J2267,$K$1:K2267,K2267,$L$1:L2267,L2267))=2,"0"&amp;COUNTIFS($H$1:H2267,$H2267,$I$1:I2267,$I2267,$J$1:J2267,$J2267,$K$1:K2267,K2267,$L$1:L2267,L2267),COUNTIFS($H$1:H2267,$H2267,$I$1:I2267,$I2267,$J$1:J2267,$J2267,$K$1:K2267,K2267,$L$1:L2267,L2267)))</f>
        <v>146</v>
      </c>
      <c r="N226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67" s="14" t="e">
        <f>+LEN(Table4[[#This Row],[New Item Code]])</f>
        <v>#N/A</v>
      </c>
      <c r="P2267" s="15" t="s">
        <v>4747</v>
      </c>
      <c r="Q2267" s="15" t="s">
        <v>4749</v>
      </c>
      <c r="R2267" s="15"/>
      <c r="S2267" s="15"/>
      <c r="T2267" s="15" t="s">
        <v>4693</v>
      </c>
    </row>
    <row r="2268" spans="1:20" x14ac:dyDescent="0.35">
      <c r="A2268" s="3" t="s">
        <v>4467</v>
      </c>
      <c r="B2268" s="3" t="s">
        <v>4468</v>
      </c>
      <c r="C2268" s="3" t="s">
        <v>9</v>
      </c>
      <c r="D2268" s="3">
        <v>125</v>
      </c>
      <c r="E2268" s="3" t="s">
        <v>10</v>
      </c>
      <c r="F2268" s="3">
        <v>10</v>
      </c>
      <c r="G2268" s="21">
        <f>Table4[[#This Row],[Item Cost]]*Table4[[#This Row],[In Stock]]</f>
        <v>1250</v>
      </c>
      <c r="H2268" s="12" t="s">
        <v>4661</v>
      </c>
      <c r="I2268" s="13" t="s">
        <v>4664</v>
      </c>
      <c r="J2268" s="13" t="s">
        <v>4693</v>
      </c>
      <c r="K2268" s="13" t="s">
        <v>4672</v>
      </c>
      <c r="L2268" s="12" t="s">
        <v>4672</v>
      </c>
      <c r="M2268" s="17" t="str">
        <f>IF(LEN(COUNTIFS($H$1:H2268,$H2268,$I$1:I2268,$I2268,$J$1:J2268,$J2268,$K$1:K2268,K2268,$L$1:L2268,L2268))=1,"00"&amp;COUNTIFS($H$1:H2268,$H2268,$I$1:I2268,$I2268,$J$1:J2268,$J2268,$K$1:K2268,K2268,$L$1:L2268,L2268),IF(LEN(COUNTIFS($H$1:H2268,$H2268,$I$1:I2268,$I2268,$J$1:J2268,$J2268,$K$1:K2268,K2268,$L$1:L2268,L2268))=2,"0"&amp;COUNTIFS($H$1:H2268,$H2268,$I$1:I2268,$I2268,$J$1:J2268,$J2268,$K$1:K2268,K2268,$L$1:L2268,L2268),COUNTIFS($H$1:H2268,$H2268,$I$1:I2268,$I2268,$J$1:J2268,$J2268,$K$1:K2268,K2268,$L$1:L2268,L2268)))</f>
        <v>010</v>
      </c>
      <c r="N226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68" s="14" t="e">
        <f>+LEN(Table4[[#This Row],[New Item Code]])</f>
        <v>#N/A</v>
      </c>
      <c r="P2268" s="15" t="s">
        <v>4747</v>
      </c>
      <c r="Q2268" s="15" t="s">
        <v>4749</v>
      </c>
      <c r="R2268" s="15"/>
      <c r="S2268" s="15"/>
      <c r="T2268" s="15" t="s">
        <v>4693</v>
      </c>
    </row>
    <row r="2269" spans="1:20" x14ac:dyDescent="0.35">
      <c r="A2269" s="2" t="s">
        <v>4469</v>
      </c>
      <c r="B2269" s="2" t="s">
        <v>4470</v>
      </c>
      <c r="C2269" s="2" t="s">
        <v>9</v>
      </c>
      <c r="D2269" s="4">
        <v>81.86</v>
      </c>
      <c r="E2269" s="2" t="s">
        <v>10</v>
      </c>
      <c r="F2269" s="2">
        <v>1</v>
      </c>
      <c r="G2269" s="22">
        <f>Table4[[#This Row],[Item Cost]]*Table4[[#This Row],[In Stock]]</f>
        <v>81.86</v>
      </c>
      <c r="H2269" s="12" t="s">
        <v>4661</v>
      </c>
      <c r="I2269" s="13" t="s">
        <v>4664</v>
      </c>
      <c r="J2269" s="13" t="s">
        <v>4693</v>
      </c>
      <c r="K2269" s="13" t="s">
        <v>4672</v>
      </c>
      <c r="L2269" s="12" t="s">
        <v>4672</v>
      </c>
      <c r="M2269" s="17" t="str">
        <f>IF(LEN(COUNTIFS($H$1:H2269,$H2269,$I$1:I2269,$I2269,$J$1:J2269,$J2269,$K$1:K2269,K2269,$L$1:L2269,L2269))=1,"00"&amp;COUNTIFS($H$1:H2269,$H2269,$I$1:I2269,$I2269,$J$1:J2269,$J2269,$K$1:K2269,K2269,$L$1:L2269,L2269),IF(LEN(COUNTIFS($H$1:H2269,$H2269,$I$1:I2269,$I2269,$J$1:J2269,$J2269,$K$1:K2269,K2269,$L$1:L2269,L2269))=2,"0"&amp;COUNTIFS($H$1:H2269,$H2269,$I$1:I2269,$I2269,$J$1:J2269,$J2269,$K$1:K2269,K2269,$L$1:L2269,L2269),COUNTIFS($H$1:H2269,$H2269,$I$1:I2269,$I2269,$J$1:J2269,$J2269,$K$1:K2269,K2269,$L$1:L2269,L2269)))</f>
        <v>011</v>
      </c>
      <c r="N226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69" s="14" t="e">
        <f>+LEN(Table4[[#This Row],[New Item Code]])</f>
        <v>#N/A</v>
      </c>
      <c r="P2269" s="15" t="s">
        <v>4747</v>
      </c>
      <c r="Q2269" s="15" t="s">
        <v>4749</v>
      </c>
      <c r="R2269" s="15"/>
      <c r="S2269" s="15"/>
      <c r="T2269" s="15" t="s">
        <v>4693</v>
      </c>
    </row>
    <row r="2270" spans="1:20" x14ac:dyDescent="0.35">
      <c r="A2270" s="3" t="s">
        <v>4471</v>
      </c>
      <c r="B2270" s="3" t="s">
        <v>4472</v>
      </c>
      <c r="C2270" s="3" t="s">
        <v>9</v>
      </c>
      <c r="D2270" s="3">
        <v>122</v>
      </c>
      <c r="E2270" s="3" t="s">
        <v>10</v>
      </c>
      <c r="F2270" s="3">
        <v>3</v>
      </c>
      <c r="G2270" s="21">
        <f>Table4[[#This Row],[Item Cost]]*Table4[[#This Row],[In Stock]]</f>
        <v>366</v>
      </c>
      <c r="H2270" s="12" t="s">
        <v>4661</v>
      </c>
      <c r="I2270" s="13" t="s">
        <v>4664</v>
      </c>
      <c r="J2270" s="13" t="s">
        <v>4693</v>
      </c>
      <c r="K2270" s="13" t="s">
        <v>4672</v>
      </c>
      <c r="L2270" s="12" t="s">
        <v>4672</v>
      </c>
      <c r="M2270" s="17" t="str">
        <f>IF(LEN(COUNTIFS($H$1:H2270,$H2270,$I$1:I2270,$I2270,$J$1:J2270,$J2270,$K$1:K2270,K2270,$L$1:L2270,L2270))=1,"00"&amp;COUNTIFS($H$1:H2270,$H2270,$I$1:I2270,$I2270,$J$1:J2270,$J2270,$K$1:K2270,K2270,$L$1:L2270,L2270),IF(LEN(COUNTIFS($H$1:H2270,$H2270,$I$1:I2270,$I2270,$J$1:J2270,$J2270,$K$1:K2270,K2270,$L$1:L2270,L2270))=2,"0"&amp;COUNTIFS($H$1:H2270,$H2270,$I$1:I2270,$I2270,$J$1:J2270,$J2270,$K$1:K2270,K2270,$L$1:L2270,L2270),COUNTIFS($H$1:H2270,$H2270,$I$1:I2270,$I2270,$J$1:J2270,$J2270,$K$1:K2270,K2270,$L$1:L2270,L2270)))</f>
        <v>012</v>
      </c>
      <c r="N227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70" s="14" t="e">
        <f>+LEN(Table4[[#This Row],[New Item Code]])</f>
        <v>#N/A</v>
      </c>
      <c r="P2270" s="15" t="s">
        <v>4747</v>
      </c>
      <c r="Q2270" s="15" t="s">
        <v>4749</v>
      </c>
      <c r="R2270" s="15"/>
      <c r="S2270" s="15"/>
      <c r="T2270" s="15" t="s">
        <v>4693</v>
      </c>
    </row>
    <row r="2271" spans="1:20" x14ac:dyDescent="0.35">
      <c r="A2271" s="2" t="s">
        <v>4473</v>
      </c>
      <c r="B2271" s="2" t="s">
        <v>4474</v>
      </c>
      <c r="C2271" s="2" t="s">
        <v>9</v>
      </c>
      <c r="D2271" s="2">
        <v>36.819000000000003</v>
      </c>
      <c r="E2271" s="2" t="s">
        <v>10</v>
      </c>
      <c r="F2271" s="2">
        <v>8</v>
      </c>
      <c r="G2271" s="22">
        <f>Table4[[#This Row],[Item Cost]]*Table4[[#This Row],[In Stock]]</f>
        <v>294.55200000000002</v>
      </c>
      <c r="H2271" s="12" t="s">
        <v>4661</v>
      </c>
      <c r="I2271" s="13" t="s">
        <v>4664</v>
      </c>
      <c r="J2271" s="13" t="s">
        <v>4693</v>
      </c>
      <c r="K2271" s="13" t="s">
        <v>4672</v>
      </c>
      <c r="L2271" s="12" t="s">
        <v>4672</v>
      </c>
      <c r="M2271" s="17" t="str">
        <f>IF(LEN(COUNTIFS($H$1:H2271,$H2271,$I$1:I2271,$I2271,$J$1:J2271,$J2271,$K$1:K2271,K2271,$L$1:L2271,L2271))=1,"00"&amp;COUNTIFS($H$1:H2271,$H2271,$I$1:I2271,$I2271,$J$1:J2271,$J2271,$K$1:K2271,K2271,$L$1:L2271,L2271),IF(LEN(COUNTIFS($H$1:H2271,$H2271,$I$1:I2271,$I2271,$J$1:J2271,$J2271,$K$1:K2271,K2271,$L$1:L2271,L2271))=2,"0"&amp;COUNTIFS($H$1:H2271,$H2271,$I$1:I2271,$I2271,$J$1:J2271,$J2271,$K$1:K2271,K2271,$L$1:L2271,L2271),COUNTIFS($H$1:H2271,$H2271,$I$1:I2271,$I2271,$J$1:J2271,$J2271,$K$1:K2271,K2271,$L$1:L2271,L2271)))</f>
        <v>013</v>
      </c>
      <c r="N227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71" s="14" t="e">
        <f>+LEN(Table4[[#This Row],[New Item Code]])</f>
        <v>#N/A</v>
      </c>
      <c r="P2271" s="15" t="s">
        <v>4747</v>
      </c>
      <c r="Q2271" s="15" t="s">
        <v>4749</v>
      </c>
      <c r="R2271" s="15"/>
      <c r="S2271" s="15"/>
      <c r="T2271" s="15" t="s">
        <v>4693</v>
      </c>
    </row>
    <row r="2272" spans="1:20" x14ac:dyDescent="0.35">
      <c r="A2272" s="3" t="s">
        <v>4475</v>
      </c>
      <c r="B2272" s="3" t="s">
        <v>4476</v>
      </c>
      <c r="C2272" s="3" t="s">
        <v>9</v>
      </c>
      <c r="D2272" s="3">
        <v>13</v>
      </c>
      <c r="E2272" s="3" t="s">
        <v>10</v>
      </c>
      <c r="F2272" s="3">
        <v>5</v>
      </c>
      <c r="G2272" s="21">
        <f>Table4[[#This Row],[Item Cost]]*Table4[[#This Row],[In Stock]]</f>
        <v>65</v>
      </c>
      <c r="H2272" s="12" t="s">
        <v>4661</v>
      </c>
      <c r="I2272" s="13" t="s">
        <v>4664</v>
      </c>
      <c r="J2272" s="13" t="s">
        <v>4693</v>
      </c>
      <c r="K2272" t="s">
        <v>4800</v>
      </c>
      <c r="L2272" s="12" t="s">
        <v>4672</v>
      </c>
      <c r="M2272" s="17" t="str">
        <f>IF(LEN(COUNTIFS($H$1:H2272,$H2272,$I$1:I2272,$I2272,$J$1:J2272,$J2272,$K$1:K2272,K2272,$L$1:L2272,L2272))=1,"00"&amp;COUNTIFS($H$1:H2272,$H2272,$I$1:I2272,$I2272,$J$1:J2272,$J2272,$K$1:K2272,K2272,$L$1:L2272,L2272),IF(LEN(COUNTIFS($H$1:H2272,$H2272,$I$1:I2272,$I2272,$J$1:J2272,$J2272,$K$1:K2272,K2272,$L$1:L2272,L2272))=2,"0"&amp;COUNTIFS($H$1:H2272,$H2272,$I$1:I2272,$I2272,$J$1:J2272,$J2272,$K$1:K2272,K2272,$L$1:L2272,L2272),COUNTIFS($H$1:H2272,$H2272,$I$1:I2272,$I2272,$J$1:J2272,$J2272,$K$1:K2272,K2272,$L$1:L2272,L2272)))</f>
        <v>001</v>
      </c>
      <c r="N227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72" s="14" t="e">
        <f>+LEN(Table4[[#This Row],[New Item Code]])</f>
        <v>#N/A</v>
      </c>
      <c r="P2272" s="15" t="s">
        <v>4747</v>
      </c>
      <c r="Q2272" s="15" t="s">
        <v>4749</v>
      </c>
      <c r="R2272" s="15"/>
      <c r="S2272" s="15"/>
      <c r="T2272" s="15" t="s">
        <v>4693</v>
      </c>
    </row>
    <row r="2273" spans="1:20" x14ac:dyDescent="0.35">
      <c r="A2273" s="2" t="s">
        <v>4477</v>
      </c>
      <c r="B2273" s="2" t="s">
        <v>4478</v>
      </c>
      <c r="C2273" s="2" t="s">
        <v>9</v>
      </c>
      <c r="D2273" s="2">
        <v>437</v>
      </c>
      <c r="E2273" s="2" t="s">
        <v>10</v>
      </c>
      <c r="F2273" s="2">
        <v>2</v>
      </c>
      <c r="G2273" s="22">
        <f>Table4[[#This Row],[Item Cost]]*Table4[[#This Row],[In Stock]]</f>
        <v>874</v>
      </c>
      <c r="H2273" s="12" t="s">
        <v>4661</v>
      </c>
      <c r="I2273" s="13" t="s">
        <v>4664</v>
      </c>
      <c r="J2273" s="13" t="s">
        <v>4693</v>
      </c>
      <c r="K2273" s="13" t="s">
        <v>4672</v>
      </c>
      <c r="L2273" s="12" t="s">
        <v>4672</v>
      </c>
      <c r="M2273" s="17" t="str">
        <f>IF(LEN(COUNTIFS($H$1:H2273,$H2273,$I$1:I2273,$I2273,$J$1:J2273,$J2273,$K$1:K2273,K2273,$L$1:L2273,L2273))=1,"00"&amp;COUNTIFS($H$1:H2273,$H2273,$I$1:I2273,$I2273,$J$1:J2273,$J2273,$K$1:K2273,K2273,$L$1:L2273,L2273),IF(LEN(COUNTIFS($H$1:H2273,$H2273,$I$1:I2273,$I2273,$J$1:J2273,$J2273,$K$1:K2273,K2273,$L$1:L2273,L2273))=2,"0"&amp;COUNTIFS($H$1:H2273,$H2273,$I$1:I2273,$I2273,$J$1:J2273,$J2273,$K$1:K2273,K2273,$L$1:L2273,L2273),COUNTIFS($H$1:H2273,$H2273,$I$1:I2273,$I2273,$J$1:J2273,$J2273,$K$1:K2273,K2273,$L$1:L2273,L2273)))</f>
        <v>014</v>
      </c>
      <c r="N227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73" s="14" t="e">
        <f>+LEN(Table4[[#This Row],[New Item Code]])</f>
        <v>#N/A</v>
      </c>
      <c r="P2273" s="15" t="s">
        <v>4747</v>
      </c>
      <c r="Q2273" s="15" t="s">
        <v>4749</v>
      </c>
      <c r="R2273" s="15"/>
      <c r="S2273" s="15"/>
      <c r="T2273" s="15" t="s">
        <v>4693</v>
      </c>
    </row>
    <row r="2274" spans="1:20" x14ac:dyDescent="0.35">
      <c r="A2274" s="3" t="s">
        <v>4479</v>
      </c>
      <c r="B2274" s="3" t="s">
        <v>4480</v>
      </c>
      <c r="C2274" s="3" t="s">
        <v>15</v>
      </c>
      <c r="D2274" s="5">
        <v>928</v>
      </c>
      <c r="E2274" s="3" t="s">
        <v>10</v>
      </c>
      <c r="F2274" s="3">
        <v>0</v>
      </c>
      <c r="G2274" s="21">
        <f>Table4[[#This Row],[Item Cost]]*Table4[[#This Row],[In Stock]]</f>
        <v>0</v>
      </c>
      <c r="H2274" s="12" t="s">
        <v>4661</v>
      </c>
      <c r="I2274" s="13" t="s">
        <v>4666</v>
      </c>
      <c r="J2274" s="13" t="s">
        <v>4693</v>
      </c>
      <c r="K2274" s="13" t="s">
        <v>4672</v>
      </c>
      <c r="L2274" s="12" t="s">
        <v>4672</v>
      </c>
      <c r="M2274" s="17">
        <f>IF(LEN(COUNTIFS($H$1:H2274,$H2274,$I$1:I2274,$I2274,$J$1:J2274,$J2274,$K$1:K2274,K2274,$L$1:L2274,L2274))=1,"00"&amp;COUNTIFS($H$1:H2274,$H2274,$I$1:I2274,$I2274,$J$1:J2274,$J2274,$K$1:K2274,K2274,$L$1:L2274,L2274),IF(LEN(COUNTIFS($H$1:H2274,$H2274,$I$1:I2274,$I2274,$J$1:J2274,$J2274,$K$1:K2274,K2274,$L$1:L2274,L2274))=2,"0"&amp;COUNTIFS($H$1:H2274,$H2274,$I$1:I2274,$I2274,$J$1:J2274,$J2274,$K$1:K2274,K2274,$L$1:L2274,L2274),COUNTIFS($H$1:H2274,$H2274,$I$1:I2274,$I2274,$J$1:J2274,$J2274,$K$1:K2274,K2274,$L$1:L2274,L2274)))</f>
        <v>147</v>
      </c>
      <c r="N227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74" s="14" t="e">
        <f>+LEN(Table4[[#This Row],[New Item Code]])</f>
        <v>#N/A</v>
      </c>
      <c r="P2274" s="15" t="s">
        <v>4747</v>
      </c>
      <c r="Q2274" s="15" t="s">
        <v>4749</v>
      </c>
      <c r="R2274" s="15"/>
      <c r="S2274" s="15"/>
      <c r="T2274" s="15" t="s">
        <v>4693</v>
      </c>
    </row>
    <row r="2275" spans="1:20" x14ac:dyDescent="0.35">
      <c r="A2275" s="2" t="s">
        <v>4481</v>
      </c>
      <c r="B2275" s="2" t="s">
        <v>4482</v>
      </c>
      <c r="C2275" s="2" t="s">
        <v>15</v>
      </c>
      <c r="D2275" s="4">
        <v>13464.54</v>
      </c>
      <c r="E2275" s="2" t="s">
        <v>10</v>
      </c>
      <c r="F2275" s="2">
        <v>0</v>
      </c>
      <c r="G2275" s="22">
        <f>Table4[[#This Row],[Item Cost]]*Table4[[#This Row],[In Stock]]</f>
        <v>0</v>
      </c>
      <c r="H2275" s="12" t="s">
        <v>4661</v>
      </c>
      <c r="I2275" s="13" t="s">
        <v>4666</v>
      </c>
      <c r="J2275" s="13" t="s">
        <v>4693</v>
      </c>
      <c r="K2275" s="13" t="s">
        <v>4672</v>
      </c>
      <c r="L2275" s="12" t="s">
        <v>4672</v>
      </c>
      <c r="M2275" s="17">
        <f>IF(LEN(COUNTIFS($H$1:H2275,$H2275,$I$1:I2275,$I2275,$J$1:J2275,$J2275,$K$1:K2275,K2275,$L$1:L2275,L2275))=1,"00"&amp;COUNTIFS($H$1:H2275,$H2275,$I$1:I2275,$I2275,$J$1:J2275,$J2275,$K$1:K2275,K2275,$L$1:L2275,L2275),IF(LEN(COUNTIFS($H$1:H2275,$H2275,$I$1:I2275,$I2275,$J$1:J2275,$J2275,$K$1:K2275,K2275,$L$1:L2275,L2275))=2,"0"&amp;COUNTIFS($H$1:H2275,$H2275,$I$1:I2275,$I2275,$J$1:J2275,$J2275,$K$1:K2275,K2275,$L$1:L2275,L2275),COUNTIFS($H$1:H2275,$H2275,$I$1:I2275,$I2275,$J$1:J2275,$J2275,$K$1:K2275,K2275,$L$1:L2275,L2275)))</f>
        <v>148</v>
      </c>
      <c r="N227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75" s="14" t="e">
        <f>+LEN(Table4[[#This Row],[New Item Code]])</f>
        <v>#N/A</v>
      </c>
      <c r="P2275" s="15" t="s">
        <v>4747</v>
      </c>
      <c r="Q2275" s="15" t="s">
        <v>4749</v>
      </c>
      <c r="R2275" s="15"/>
      <c r="S2275" s="15"/>
      <c r="T2275" s="15" t="s">
        <v>4693</v>
      </c>
    </row>
    <row r="2276" spans="1:20" x14ac:dyDescent="0.35">
      <c r="A2276" s="3" t="s">
        <v>4483</v>
      </c>
      <c r="B2276" s="3" t="s">
        <v>4484</v>
      </c>
      <c r="C2276" s="3" t="s">
        <v>9</v>
      </c>
      <c r="D2276" s="3">
        <v>3420</v>
      </c>
      <c r="E2276" s="3" t="s">
        <v>10</v>
      </c>
      <c r="F2276" s="3">
        <v>1</v>
      </c>
      <c r="G2276" s="21">
        <f>Table4[[#This Row],[Item Cost]]*Table4[[#This Row],[In Stock]]</f>
        <v>3420</v>
      </c>
      <c r="H2276" s="12" t="s">
        <v>4661</v>
      </c>
      <c r="I2276" s="13" t="s">
        <v>4664</v>
      </c>
      <c r="J2276" s="13" t="s">
        <v>4693</v>
      </c>
      <c r="K2276" s="13" t="s">
        <v>4672</v>
      </c>
      <c r="L2276" s="12" t="s">
        <v>4672</v>
      </c>
      <c r="M2276" s="17" t="str">
        <f>IF(LEN(COUNTIFS($H$1:H2276,$H2276,$I$1:I2276,$I2276,$J$1:J2276,$J2276,$K$1:K2276,K2276,$L$1:L2276,L2276))=1,"00"&amp;COUNTIFS($H$1:H2276,$H2276,$I$1:I2276,$I2276,$J$1:J2276,$J2276,$K$1:K2276,K2276,$L$1:L2276,L2276),IF(LEN(COUNTIFS($H$1:H2276,$H2276,$I$1:I2276,$I2276,$J$1:J2276,$J2276,$K$1:K2276,K2276,$L$1:L2276,L2276))=2,"0"&amp;COUNTIFS($H$1:H2276,$H2276,$I$1:I2276,$I2276,$J$1:J2276,$J2276,$K$1:K2276,K2276,$L$1:L2276,L2276),COUNTIFS($H$1:H2276,$H2276,$I$1:I2276,$I2276,$J$1:J2276,$J2276,$K$1:K2276,K2276,$L$1:L2276,L2276)))</f>
        <v>015</v>
      </c>
      <c r="N227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76" s="14" t="e">
        <f>+LEN(Table4[[#This Row],[New Item Code]])</f>
        <v>#N/A</v>
      </c>
      <c r="P2276" s="15" t="s">
        <v>4747</v>
      </c>
      <c r="Q2276" s="15" t="s">
        <v>4749</v>
      </c>
      <c r="R2276" s="15"/>
      <c r="S2276" s="15"/>
      <c r="T2276" s="15" t="s">
        <v>4693</v>
      </c>
    </row>
    <row r="2277" spans="1:20" x14ac:dyDescent="0.35">
      <c r="A2277" s="2" t="s">
        <v>4485</v>
      </c>
      <c r="B2277" s="2" t="s">
        <v>4486</v>
      </c>
      <c r="C2277" s="2" t="s">
        <v>9</v>
      </c>
      <c r="D2277" s="2">
        <v>201</v>
      </c>
      <c r="E2277" s="2" t="s">
        <v>10</v>
      </c>
      <c r="F2277" s="2">
        <v>2</v>
      </c>
      <c r="G2277" s="22">
        <f>Table4[[#This Row],[Item Cost]]*Table4[[#This Row],[In Stock]]</f>
        <v>402</v>
      </c>
      <c r="H2277" s="12" t="s">
        <v>4661</v>
      </c>
      <c r="I2277" s="13" t="s">
        <v>4664</v>
      </c>
      <c r="J2277" s="13" t="s">
        <v>4693</v>
      </c>
      <c r="K2277" s="13" t="s">
        <v>4672</v>
      </c>
      <c r="L2277" s="12" t="s">
        <v>4672</v>
      </c>
      <c r="M2277" s="17" t="str">
        <f>IF(LEN(COUNTIFS($H$1:H2277,$H2277,$I$1:I2277,$I2277,$J$1:J2277,$J2277,$K$1:K2277,K2277,$L$1:L2277,L2277))=1,"00"&amp;COUNTIFS($H$1:H2277,$H2277,$I$1:I2277,$I2277,$J$1:J2277,$J2277,$K$1:K2277,K2277,$L$1:L2277,L2277),IF(LEN(COUNTIFS($H$1:H2277,$H2277,$I$1:I2277,$I2277,$J$1:J2277,$J2277,$K$1:K2277,K2277,$L$1:L2277,L2277))=2,"0"&amp;COUNTIFS($H$1:H2277,$H2277,$I$1:I2277,$I2277,$J$1:J2277,$J2277,$K$1:K2277,K2277,$L$1:L2277,L2277),COUNTIFS($H$1:H2277,$H2277,$I$1:I2277,$I2277,$J$1:J2277,$J2277,$K$1:K2277,K2277,$L$1:L2277,L2277)))</f>
        <v>016</v>
      </c>
      <c r="N227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77" s="14" t="e">
        <f>+LEN(Table4[[#This Row],[New Item Code]])</f>
        <v>#N/A</v>
      </c>
      <c r="P2277" s="15" t="s">
        <v>4747</v>
      </c>
      <c r="Q2277" s="15" t="s">
        <v>4749</v>
      </c>
      <c r="R2277" s="15"/>
      <c r="S2277" s="15"/>
      <c r="T2277" s="15" t="s">
        <v>4693</v>
      </c>
    </row>
    <row r="2278" spans="1:20" x14ac:dyDescent="0.35">
      <c r="A2278" s="3" t="s">
        <v>4487</v>
      </c>
      <c r="B2278" s="3" t="s">
        <v>4488</v>
      </c>
      <c r="C2278" s="3" t="s">
        <v>56</v>
      </c>
      <c r="D2278" s="5">
        <v>150</v>
      </c>
      <c r="E2278" s="3" t="s">
        <v>10</v>
      </c>
      <c r="F2278" s="3">
        <v>4</v>
      </c>
      <c r="G2278" s="21">
        <f>Table4[[#This Row],[Item Cost]]*Table4[[#This Row],[In Stock]]</f>
        <v>600</v>
      </c>
      <c r="H2278" s="12" t="s">
        <v>4661</v>
      </c>
      <c r="I2278" s="13" t="s">
        <v>4668</v>
      </c>
      <c r="J2278" s="13" t="s">
        <v>4693</v>
      </c>
      <c r="K2278" s="13" t="s">
        <v>4672</v>
      </c>
      <c r="L2278" s="12" t="s">
        <v>4672</v>
      </c>
      <c r="M2278" s="17" t="str">
        <f>IF(LEN(COUNTIFS($H$1:H2278,$H2278,$I$1:I2278,$I2278,$J$1:J2278,$J2278,$K$1:K2278,K2278,$L$1:L2278,L2278))=1,"00"&amp;COUNTIFS($H$1:H2278,$H2278,$I$1:I2278,$I2278,$J$1:J2278,$J2278,$K$1:K2278,K2278,$L$1:L2278,L2278),IF(LEN(COUNTIFS($H$1:H2278,$H2278,$I$1:I2278,$I2278,$J$1:J2278,$J2278,$K$1:K2278,K2278,$L$1:L2278,L2278))=2,"0"&amp;COUNTIFS($H$1:H2278,$H2278,$I$1:I2278,$I2278,$J$1:J2278,$J2278,$K$1:K2278,K2278,$L$1:L2278,L2278),COUNTIFS($H$1:H2278,$H2278,$I$1:I2278,$I2278,$J$1:J2278,$J2278,$K$1:K2278,K2278,$L$1:L2278,L2278)))</f>
        <v>077</v>
      </c>
      <c r="N227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78" s="14" t="e">
        <f>+LEN(Table4[[#This Row],[New Item Code]])</f>
        <v>#N/A</v>
      </c>
      <c r="P2278" s="15" t="s">
        <v>4747</v>
      </c>
      <c r="Q2278" s="15" t="s">
        <v>4749</v>
      </c>
      <c r="R2278" s="15"/>
      <c r="S2278" s="15"/>
      <c r="T2278" s="15" t="s">
        <v>4693</v>
      </c>
    </row>
    <row r="2279" spans="1:20" x14ac:dyDescent="0.35">
      <c r="A2279" s="2" t="s">
        <v>4489</v>
      </c>
      <c r="B2279" s="2" t="s">
        <v>4490</v>
      </c>
      <c r="C2279" s="2" t="s">
        <v>15</v>
      </c>
      <c r="D2279" s="4">
        <v>201</v>
      </c>
      <c r="E2279" s="2" t="s">
        <v>10</v>
      </c>
      <c r="F2279" s="2">
        <v>0</v>
      </c>
      <c r="G2279" s="22">
        <f>Table4[[#This Row],[Item Cost]]*Table4[[#This Row],[In Stock]]</f>
        <v>0</v>
      </c>
      <c r="H2279" s="12" t="s">
        <v>4661</v>
      </c>
      <c r="I2279" s="13" t="s">
        <v>4666</v>
      </c>
      <c r="J2279" s="13" t="s">
        <v>4693</v>
      </c>
      <c r="K2279" s="13" t="s">
        <v>4672</v>
      </c>
      <c r="L2279" s="12" t="s">
        <v>4672</v>
      </c>
      <c r="M2279" s="17">
        <f>IF(LEN(COUNTIFS($H$1:H2279,$H2279,$I$1:I2279,$I2279,$J$1:J2279,$J2279,$K$1:K2279,K2279,$L$1:L2279,L2279))=1,"00"&amp;COUNTIFS($H$1:H2279,$H2279,$I$1:I2279,$I2279,$J$1:J2279,$J2279,$K$1:K2279,K2279,$L$1:L2279,L2279),IF(LEN(COUNTIFS($H$1:H2279,$H2279,$I$1:I2279,$I2279,$J$1:J2279,$J2279,$K$1:K2279,K2279,$L$1:L2279,L2279))=2,"0"&amp;COUNTIFS($H$1:H2279,$H2279,$I$1:I2279,$I2279,$J$1:J2279,$J2279,$K$1:K2279,K2279,$L$1:L2279,L2279),COUNTIFS($H$1:H2279,$H2279,$I$1:I2279,$I2279,$J$1:J2279,$J2279,$K$1:K2279,K2279,$L$1:L2279,L2279)))</f>
        <v>149</v>
      </c>
      <c r="N227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79" s="14" t="e">
        <f>+LEN(Table4[[#This Row],[New Item Code]])</f>
        <v>#N/A</v>
      </c>
      <c r="P2279" s="15" t="s">
        <v>4747</v>
      </c>
      <c r="Q2279" s="15" t="s">
        <v>4749</v>
      </c>
      <c r="R2279" s="15"/>
      <c r="S2279" s="15"/>
      <c r="T2279" s="15" t="s">
        <v>4693</v>
      </c>
    </row>
    <row r="2280" spans="1:20" x14ac:dyDescent="0.35">
      <c r="A2280" s="3" t="s">
        <v>4491</v>
      </c>
      <c r="B2280" s="3" t="s">
        <v>4492</v>
      </c>
      <c r="C2280" s="3" t="s">
        <v>9</v>
      </c>
      <c r="D2280" s="3">
        <v>15</v>
      </c>
      <c r="E2280" s="3" t="s">
        <v>10</v>
      </c>
      <c r="F2280" s="3">
        <v>20</v>
      </c>
      <c r="G2280" s="21">
        <f>Table4[[#This Row],[Item Cost]]*Table4[[#This Row],[In Stock]]</f>
        <v>300</v>
      </c>
      <c r="H2280" s="12" t="s">
        <v>4661</v>
      </c>
      <c r="I2280" s="13" t="s">
        <v>4664</v>
      </c>
      <c r="J2280" s="13" t="s">
        <v>4693</v>
      </c>
      <c r="K2280" s="13" t="s">
        <v>4672</v>
      </c>
      <c r="L2280" s="12" t="s">
        <v>4672</v>
      </c>
      <c r="M2280" s="17" t="str">
        <f>IF(LEN(COUNTIFS($H$1:H2280,$H2280,$I$1:I2280,$I2280,$J$1:J2280,$J2280,$K$1:K2280,K2280,$L$1:L2280,L2280))=1,"00"&amp;COUNTIFS($H$1:H2280,$H2280,$I$1:I2280,$I2280,$J$1:J2280,$J2280,$K$1:K2280,K2280,$L$1:L2280,L2280),IF(LEN(COUNTIFS($H$1:H2280,$H2280,$I$1:I2280,$I2280,$J$1:J2280,$J2280,$K$1:K2280,K2280,$L$1:L2280,L2280))=2,"0"&amp;COUNTIFS($H$1:H2280,$H2280,$I$1:I2280,$I2280,$J$1:J2280,$J2280,$K$1:K2280,K2280,$L$1:L2280,L2280),COUNTIFS($H$1:H2280,$H2280,$I$1:I2280,$I2280,$J$1:J2280,$J2280,$K$1:K2280,K2280,$L$1:L2280,L2280)))</f>
        <v>017</v>
      </c>
      <c r="N228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80" s="14" t="e">
        <f>+LEN(Table4[[#This Row],[New Item Code]])</f>
        <v>#N/A</v>
      </c>
      <c r="P2280" s="15" t="s">
        <v>4747</v>
      </c>
      <c r="Q2280" s="15" t="s">
        <v>4749</v>
      </c>
      <c r="R2280" s="15"/>
      <c r="S2280" s="15"/>
      <c r="T2280" s="15" t="s">
        <v>4693</v>
      </c>
    </row>
    <row r="2281" spans="1:20" x14ac:dyDescent="0.35">
      <c r="A2281" s="2" t="s">
        <v>4493</v>
      </c>
      <c r="B2281" s="2" t="s">
        <v>4494</v>
      </c>
      <c r="C2281" s="2" t="s">
        <v>15</v>
      </c>
      <c r="D2281" s="2">
        <v>913</v>
      </c>
      <c r="E2281" s="2" t="s">
        <v>10</v>
      </c>
      <c r="F2281" s="2">
        <v>0</v>
      </c>
      <c r="G2281" s="22">
        <f>Table4[[#This Row],[Item Cost]]*Table4[[#This Row],[In Stock]]</f>
        <v>0</v>
      </c>
      <c r="H2281" s="12" t="s">
        <v>4661</v>
      </c>
      <c r="I2281" s="13" t="s">
        <v>4666</v>
      </c>
      <c r="J2281" s="13" t="s">
        <v>4693</v>
      </c>
      <c r="K2281" s="13" t="s">
        <v>4672</v>
      </c>
      <c r="L2281" s="12" t="s">
        <v>4672</v>
      </c>
      <c r="M2281" s="17">
        <f>IF(LEN(COUNTIFS($H$1:H2281,$H2281,$I$1:I2281,$I2281,$J$1:J2281,$J2281,$K$1:K2281,K2281,$L$1:L2281,L2281))=1,"00"&amp;COUNTIFS($H$1:H2281,$H2281,$I$1:I2281,$I2281,$J$1:J2281,$J2281,$K$1:K2281,K2281,$L$1:L2281,L2281),IF(LEN(COUNTIFS($H$1:H2281,$H2281,$I$1:I2281,$I2281,$J$1:J2281,$J2281,$K$1:K2281,K2281,$L$1:L2281,L2281))=2,"0"&amp;COUNTIFS($H$1:H2281,$H2281,$I$1:I2281,$I2281,$J$1:J2281,$J2281,$K$1:K2281,K2281,$L$1:L2281,L2281),COUNTIFS($H$1:H2281,$H2281,$I$1:I2281,$I2281,$J$1:J2281,$J2281,$K$1:K2281,K2281,$L$1:L2281,L2281)))</f>
        <v>150</v>
      </c>
      <c r="N228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81" s="14" t="e">
        <f>+LEN(Table4[[#This Row],[New Item Code]])</f>
        <v>#N/A</v>
      </c>
      <c r="P2281" s="15" t="s">
        <v>4747</v>
      </c>
      <c r="Q2281" s="15" t="s">
        <v>4749</v>
      </c>
      <c r="R2281" s="15"/>
      <c r="S2281" s="15"/>
      <c r="T2281" s="15" t="s">
        <v>4693</v>
      </c>
    </row>
    <row r="2282" spans="1:20" x14ac:dyDescent="0.35">
      <c r="A2282" s="3" t="s">
        <v>4495</v>
      </c>
      <c r="B2282" s="3" t="s">
        <v>4496</v>
      </c>
      <c r="C2282" s="3" t="s">
        <v>15</v>
      </c>
      <c r="D2282" s="3">
        <v>922.45500000000004</v>
      </c>
      <c r="E2282" s="3" t="s">
        <v>10</v>
      </c>
      <c r="F2282" s="3">
        <v>0</v>
      </c>
      <c r="G2282" s="21">
        <f>Table4[[#This Row],[Item Cost]]*Table4[[#This Row],[In Stock]]</f>
        <v>0</v>
      </c>
      <c r="H2282" s="12" t="s">
        <v>4661</v>
      </c>
      <c r="I2282" s="13" t="s">
        <v>4666</v>
      </c>
      <c r="J2282" s="13" t="s">
        <v>4693</v>
      </c>
      <c r="K2282" s="13" t="s">
        <v>4672</v>
      </c>
      <c r="L2282" s="12" t="s">
        <v>4672</v>
      </c>
      <c r="M2282" s="17">
        <f>IF(LEN(COUNTIFS($H$1:H2282,$H2282,$I$1:I2282,$I2282,$J$1:J2282,$J2282,$K$1:K2282,K2282,$L$1:L2282,L2282))=1,"00"&amp;COUNTIFS($H$1:H2282,$H2282,$I$1:I2282,$I2282,$J$1:J2282,$J2282,$K$1:K2282,K2282,$L$1:L2282,L2282),IF(LEN(COUNTIFS($H$1:H2282,$H2282,$I$1:I2282,$I2282,$J$1:J2282,$J2282,$K$1:K2282,K2282,$L$1:L2282,L2282))=2,"0"&amp;COUNTIFS($H$1:H2282,$H2282,$I$1:I2282,$I2282,$J$1:J2282,$J2282,$K$1:K2282,K2282,$L$1:L2282,L2282),COUNTIFS($H$1:H2282,$H2282,$I$1:I2282,$I2282,$J$1:J2282,$J2282,$K$1:K2282,K2282,$L$1:L2282,L2282)))</f>
        <v>151</v>
      </c>
      <c r="N228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82" s="14" t="e">
        <f>+LEN(Table4[[#This Row],[New Item Code]])</f>
        <v>#N/A</v>
      </c>
      <c r="P2282" s="15" t="s">
        <v>4747</v>
      </c>
      <c r="Q2282" s="15" t="s">
        <v>4749</v>
      </c>
      <c r="R2282" s="15"/>
      <c r="S2282" s="15"/>
      <c r="T2282" s="15" t="s">
        <v>4693</v>
      </c>
    </row>
    <row r="2283" spans="1:20" x14ac:dyDescent="0.35">
      <c r="A2283" s="2" t="s">
        <v>4497</v>
      </c>
      <c r="B2283" s="2" t="s">
        <v>4498</v>
      </c>
      <c r="C2283" s="2" t="s">
        <v>15</v>
      </c>
      <c r="D2283" s="2">
        <v>94</v>
      </c>
      <c r="E2283" s="2" t="s">
        <v>10</v>
      </c>
      <c r="F2283" s="2">
        <v>0</v>
      </c>
      <c r="G2283" s="22">
        <f>Table4[[#This Row],[Item Cost]]*Table4[[#This Row],[In Stock]]</f>
        <v>0</v>
      </c>
      <c r="H2283" s="12" t="s">
        <v>4661</v>
      </c>
      <c r="I2283" s="13" t="s">
        <v>4666</v>
      </c>
      <c r="J2283" s="13" t="s">
        <v>4693</v>
      </c>
      <c r="K2283" s="13" t="s">
        <v>4672</v>
      </c>
      <c r="L2283" s="12" t="s">
        <v>4672</v>
      </c>
      <c r="M2283" s="17">
        <f>IF(LEN(COUNTIFS($H$1:H2283,$H2283,$I$1:I2283,$I2283,$J$1:J2283,$J2283,$K$1:K2283,K2283,$L$1:L2283,L2283))=1,"00"&amp;COUNTIFS($H$1:H2283,$H2283,$I$1:I2283,$I2283,$J$1:J2283,$J2283,$K$1:K2283,K2283,$L$1:L2283,L2283),IF(LEN(COUNTIFS($H$1:H2283,$H2283,$I$1:I2283,$I2283,$J$1:J2283,$J2283,$K$1:K2283,K2283,$L$1:L2283,L2283))=2,"0"&amp;COUNTIFS($H$1:H2283,$H2283,$I$1:I2283,$I2283,$J$1:J2283,$J2283,$K$1:K2283,K2283,$L$1:L2283,L2283),COUNTIFS($H$1:H2283,$H2283,$I$1:I2283,$I2283,$J$1:J2283,$J2283,$K$1:K2283,K2283,$L$1:L2283,L2283)))</f>
        <v>152</v>
      </c>
      <c r="N228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83" s="14" t="e">
        <f>+LEN(Table4[[#This Row],[New Item Code]])</f>
        <v>#N/A</v>
      </c>
      <c r="P2283" s="15" t="s">
        <v>4747</v>
      </c>
      <c r="Q2283" s="15" t="s">
        <v>4749</v>
      </c>
      <c r="R2283" s="15"/>
      <c r="S2283" s="15"/>
      <c r="T2283" s="15" t="s">
        <v>4693</v>
      </c>
    </row>
    <row r="2284" spans="1:20" x14ac:dyDescent="0.35">
      <c r="A2284" s="3" t="s">
        <v>4499</v>
      </c>
      <c r="B2284" s="3" t="s">
        <v>4500</v>
      </c>
      <c r="C2284" s="3" t="s">
        <v>15</v>
      </c>
      <c r="D2284" s="3">
        <v>18</v>
      </c>
      <c r="E2284" s="3" t="s">
        <v>10</v>
      </c>
      <c r="F2284" s="3">
        <v>7</v>
      </c>
      <c r="G2284" s="21">
        <f>Table4[[#This Row],[Item Cost]]*Table4[[#This Row],[In Stock]]</f>
        <v>126</v>
      </c>
      <c r="H2284" s="12" t="s">
        <v>4661</v>
      </c>
      <c r="I2284" s="13" t="s">
        <v>4666</v>
      </c>
      <c r="J2284" s="13" t="s">
        <v>4693</v>
      </c>
      <c r="K2284" s="13" t="s">
        <v>4672</v>
      </c>
      <c r="L2284" s="12" t="s">
        <v>4672</v>
      </c>
      <c r="M2284" s="17">
        <f>IF(LEN(COUNTIFS($H$1:H2284,$H2284,$I$1:I2284,$I2284,$J$1:J2284,$J2284,$K$1:K2284,K2284,$L$1:L2284,L2284))=1,"00"&amp;COUNTIFS($H$1:H2284,$H2284,$I$1:I2284,$I2284,$J$1:J2284,$J2284,$K$1:K2284,K2284,$L$1:L2284,L2284),IF(LEN(COUNTIFS($H$1:H2284,$H2284,$I$1:I2284,$I2284,$J$1:J2284,$J2284,$K$1:K2284,K2284,$L$1:L2284,L2284))=2,"0"&amp;COUNTIFS($H$1:H2284,$H2284,$I$1:I2284,$I2284,$J$1:J2284,$J2284,$K$1:K2284,K2284,$L$1:L2284,L2284),COUNTIFS($H$1:H2284,$H2284,$I$1:I2284,$I2284,$J$1:J2284,$J2284,$K$1:K2284,K2284,$L$1:L2284,L2284)))</f>
        <v>153</v>
      </c>
      <c r="N228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84" s="14" t="e">
        <f>+LEN(Table4[[#This Row],[New Item Code]])</f>
        <v>#N/A</v>
      </c>
      <c r="P2284" s="15" t="s">
        <v>4747</v>
      </c>
      <c r="Q2284" s="15" t="s">
        <v>4749</v>
      </c>
      <c r="R2284" s="15"/>
      <c r="S2284" s="15"/>
      <c r="T2284" s="15" t="s">
        <v>4693</v>
      </c>
    </row>
    <row r="2285" spans="1:20" x14ac:dyDescent="0.35">
      <c r="A2285" s="2" t="s">
        <v>4501</v>
      </c>
      <c r="B2285" s="2" t="s">
        <v>4502</v>
      </c>
      <c r="C2285" s="2" t="s">
        <v>15</v>
      </c>
      <c r="D2285" s="2">
        <v>83</v>
      </c>
      <c r="E2285" s="2" t="s">
        <v>10</v>
      </c>
      <c r="F2285" s="2">
        <v>15</v>
      </c>
      <c r="G2285" s="22">
        <f>Table4[[#This Row],[Item Cost]]*Table4[[#This Row],[In Stock]]</f>
        <v>1245</v>
      </c>
      <c r="H2285" s="12" t="s">
        <v>4661</v>
      </c>
      <c r="I2285" s="13" t="s">
        <v>4666</v>
      </c>
      <c r="J2285" s="13" t="s">
        <v>4693</v>
      </c>
      <c r="K2285" s="13" t="s">
        <v>4672</v>
      </c>
      <c r="L2285" s="12" t="s">
        <v>4672</v>
      </c>
      <c r="M2285" s="17">
        <f>IF(LEN(COUNTIFS($H$1:H2285,$H2285,$I$1:I2285,$I2285,$J$1:J2285,$J2285,$K$1:K2285,K2285,$L$1:L2285,L2285))=1,"00"&amp;COUNTIFS($H$1:H2285,$H2285,$I$1:I2285,$I2285,$J$1:J2285,$J2285,$K$1:K2285,K2285,$L$1:L2285,L2285),IF(LEN(COUNTIFS($H$1:H2285,$H2285,$I$1:I2285,$I2285,$J$1:J2285,$J2285,$K$1:K2285,K2285,$L$1:L2285,L2285))=2,"0"&amp;COUNTIFS($H$1:H2285,$H2285,$I$1:I2285,$I2285,$J$1:J2285,$J2285,$K$1:K2285,K2285,$L$1:L2285,L2285),COUNTIFS($H$1:H2285,$H2285,$I$1:I2285,$I2285,$J$1:J2285,$J2285,$K$1:K2285,K2285,$L$1:L2285,L2285)))</f>
        <v>154</v>
      </c>
      <c r="N228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85" s="14" t="e">
        <f>+LEN(Table4[[#This Row],[New Item Code]])</f>
        <v>#N/A</v>
      </c>
      <c r="P2285" s="15" t="s">
        <v>4747</v>
      </c>
      <c r="Q2285" s="15" t="s">
        <v>4749</v>
      </c>
      <c r="R2285" s="15"/>
      <c r="S2285" s="15"/>
      <c r="T2285" s="15" t="s">
        <v>4693</v>
      </c>
    </row>
    <row r="2286" spans="1:20" x14ac:dyDescent="0.35">
      <c r="A2286" s="3" t="s">
        <v>4503</v>
      </c>
      <c r="B2286" s="3" t="s">
        <v>4504</v>
      </c>
      <c r="C2286" s="3" t="s">
        <v>15</v>
      </c>
      <c r="D2286" s="3">
        <v>130</v>
      </c>
      <c r="E2286" s="3" t="s">
        <v>10</v>
      </c>
      <c r="F2286" s="3">
        <v>3</v>
      </c>
      <c r="G2286" s="21">
        <f>Table4[[#This Row],[Item Cost]]*Table4[[#This Row],[In Stock]]</f>
        <v>390</v>
      </c>
      <c r="H2286" s="12" t="s">
        <v>4661</v>
      </c>
      <c r="I2286" s="13" t="s">
        <v>4666</v>
      </c>
      <c r="J2286" s="13" t="s">
        <v>4693</v>
      </c>
      <c r="K2286" s="13" t="s">
        <v>4672</v>
      </c>
      <c r="L2286" s="12" t="s">
        <v>4672</v>
      </c>
      <c r="M2286" s="17">
        <f>IF(LEN(COUNTIFS($H$1:H2286,$H2286,$I$1:I2286,$I2286,$J$1:J2286,$J2286,$K$1:K2286,K2286,$L$1:L2286,L2286))=1,"00"&amp;COUNTIFS($H$1:H2286,$H2286,$I$1:I2286,$I2286,$J$1:J2286,$J2286,$K$1:K2286,K2286,$L$1:L2286,L2286),IF(LEN(COUNTIFS($H$1:H2286,$H2286,$I$1:I2286,$I2286,$J$1:J2286,$J2286,$K$1:K2286,K2286,$L$1:L2286,L2286))=2,"0"&amp;COUNTIFS($H$1:H2286,$H2286,$I$1:I2286,$I2286,$J$1:J2286,$J2286,$K$1:K2286,K2286,$L$1:L2286,L2286),COUNTIFS($H$1:H2286,$H2286,$I$1:I2286,$I2286,$J$1:J2286,$J2286,$K$1:K2286,K2286,$L$1:L2286,L2286)))</f>
        <v>155</v>
      </c>
      <c r="N228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86" s="14" t="e">
        <f>+LEN(Table4[[#This Row],[New Item Code]])</f>
        <v>#N/A</v>
      </c>
      <c r="P2286" s="15" t="s">
        <v>4747</v>
      </c>
      <c r="Q2286" s="15" t="s">
        <v>4749</v>
      </c>
      <c r="R2286" s="15"/>
      <c r="S2286" s="15"/>
      <c r="T2286" s="15" t="s">
        <v>4693</v>
      </c>
    </row>
    <row r="2287" spans="1:20" x14ac:dyDescent="0.35">
      <c r="A2287" s="2" t="s">
        <v>4505</v>
      </c>
      <c r="B2287" s="2" t="s">
        <v>4506</v>
      </c>
      <c r="C2287" s="2" t="s">
        <v>15</v>
      </c>
      <c r="D2287" s="2">
        <v>175</v>
      </c>
      <c r="E2287" s="2" t="s">
        <v>10</v>
      </c>
      <c r="F2287" s="2">
        <v>5</v>
      </c>
      <c r="G2287" s="22">
        <f>Table4[[#This Row],[Item Cost]]*Table4[[#This Row],[In Stock]]</f>
        <v>875</v>
      </c>
      <c r="H2287" s="12" t="s">
        <v>4661</v>
      </c>
      <c r="I2287" s="13" t="s">
        <v>4666</v>
      </c>
      <c r="J2287" s="13" t="s">
        <v>4693</v>
      </c>
      <c r="K2287" s="13" t="s">
        <v>4672</v>
      </c>
      <c r="L2287" s="12" t="s">
        <v>4672</v>
      </c>
      <c r="M2287" s="17">
        <f>IF(LEN(COUNTIFS($H$1:H2287,$H2287,$I$1:I2287,$I2287,$J$1:J2287,$J2287,$K$1:K2287,K2287,$L$1:L2287,L2287))=1,"00"&amp;COUNTIFS($H$1:H2287,$H2287,$I$1:I2287,$I2287,$J$1:J2287,$J2287,$K$1:K2287,K2287,$L$1:L2287,L2287),IF(LEN(COUNTIFS($H$1:H2287,$H2287,$I$1:I2287,$I2287,$J$1:J2287,$J2287,$K$1:K2287,K2287,$L$1:L2287,L2287))=2,"0"&amp;COUNTIFS($H$1:H2287,$H2287,$I$1:I2287,$I2287,$J$1:J2287,$J2287,$K$1:K2287,K2287,$L$1:L2287,L2287),COUNTIFS($H$1:H2287,$H2287,$I$1:I2287,$I2287,$J$1:J2287,$J2287,$K$1:K2287,K2287,$L$1:L2287,L2287)))</f>
        <v>156</v>
      </c>
      <c r="N228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87" s="14" t="e">
        <f>+LEN(Table4[[#This Row],[New Item Code]])</f>
        <v>#N/A</v>
      </c>
      <c r="P2287" s="15" t="s">
        <v>4747</v>
      </c>
      <c r="Q2287" s="15" t="s">
        <v>4749</v>
      </c>
      <c r="R2287" s="15"/>
      <c r="S2287" s="15"/>
      <c r="T2287" s="15" t="s">
        <v>4693</v>
      </c>
    </row>
    <row r="2288" spans="1:20" x14ac:dyDescent="0.35">
      <c r="A2288" s="3" t="s">
        <v>4507</v>
      </c>
      <c r="B2288" s="3" t="s">
        <v>4508</v>
      </c>
      <c r="C2288" s="3" t="s">
        <v>15</v>
      </c>
      <c r="D2288" s="3">
        <v>173</v>
      </c>
      <c r="E2288" s="3" t="s">
        <v>10</v>
      </c>
      <c r="F2288" s="3">
        <v>12</v>
      </c>
      <c r="G2288" s="21">
        <f>Table4[[#This Row],[Item Cost]]*Table4[[#This Row],[In Stock]]</f>
        <v>2076</v>
      </c>
      <c r="H2288" s="12" t="s">
        <v>4661</v>
      </c>
      <c r="I2288" s="13" t="s">
        <v>4666</v>
      </c>
      <c r="J2288" s="13" t="s">
        <v>4693</v>
      </c>
      <c r="K2288" s="13" t="s">
        <v>4672</v>
      </c>
      <c r="L2288" s="12" t="s">
        <v>4672</v>
      </c>
      <c r="M2288" s="17">
        <f>IF(LEN(COUNTIFS($H$1:H2288,$H2288,$I$1:I2288,$I2288,$J$1:J2288,$J2288,$K$1:K2288,K2288,$L$1:L2288,L2288))=1,"00"&amp;COUNTIFS($H$1:H2288,$H2288,$I$1:I2288,$I2288,$J$1:J2288,$J2288,$K$1:K2288,K2288,$L$1:L2288,L2288),IF(LEN(COUNTIFS($H$1:H2288,$H2288,$I$1:I2288,$I2288,$J$1:J2288,$J2288,$K$1:K2288,K2288,$L$1:L2288,L2288))=2,"0"&amp;COUNTIFS($H$1:H2288,$H2288,$I$1:I2288,$I2288,$J$1:J2288,$J2288,$K$1:K2288,K2288,$L$1:L2288,L2288),COUNTIFS($H$1:H2288,$H2288,$I$1:I2288,$I2288,$J$1:J2288,$J2288,$K$1:K2288,K2288,$L$1:L2288,L2288)))</f>
        <v>157</v>
      </c>
      <c r="N228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88" s="14" t="e">
        <f>+LEN(Table4[[#This Row],[New Item Code]])</f>
        <v>#N/A</v>
      </c>
      <c r="P2288" s="15" t="s">
        <v>4747</v>
      </c>
      <c r="Q2288" s="15" t="s">
        <v>4749</v>
      </c>
      <c r="R2288" s="15"/>
      <c r="S2288" s="15"/>
      <c r="T2288" s="15" t="s">
        <v>4693</v>
      </c>
    </row>
    <row r="2289" spans="1:20" x14ac:dyDescent="0.35">
      <c r="A2289" s="2" t="s">
        <v>4509</v>
      </c>
      <c r="B2289" s="2" t="s">
        <v>4510</v>
      </c>
      <c r="C2289" s="2" t="s">
        <v>15</v>
      </c>
      <c r="D2289" s="2">
        <v>63.5</v>
      </c>
      <c r="E2289" s="2" t="s">
        <v>10</v>
      </c>
      <c r="F2289" s="2">
        <v>7</v>
      </c>
      <c r="G2289" s="22">
        <f>Table4[[#This Row],[Item Cost]]*Table4[[#This Row],[In Stock]]</f>
        <v>444.5</v>
      </c>
      <c r="H2289" s="12" t="s">
        <v>4661</v>
      </c>
      <c r="I2289" s="13" t="s">
        <v>4666</v>
      </c>
      <c r="J2289" s="13" t="s">
        <v>4693</v>
      </c>
      <c r="K2289" s="13" t="s">
        <v>4672</v>
      </c>
      <c r="L2289" s="12" t="s">
        <v>4672</v>
      </c>
      <c r="M2289" s="17">
        <f>IF(LEN(COUNTIFS($H$1:H2289,$H2289,$I$1:I2289,$I2289,$J$1:J2289,$J2289,$K$1:K2289,K2289,$L$1:L2289,L2289))=1,"00"&amp;COUNTIFS($H$1:H2289,$H2289,$I$1:I2289,$I2289,$J$1:J2289,$J2289,$K$1:K2289,K2289,$L$1:L2289,L2289),IF(LEN(COUNTIFS($H$1:H2289,$H2289,$I$1:I2289,$I2289,$J$1:J2289,$J2289,$K$1:K2289,K2289,$L$1:L2289,L2289))=2,"0"&amp;COUNTIFS($H$1:H2289,$H2289,$I$1:I2289,$I2289,$J$1:J2289,$J2289,$K$1:K2289,K2289,$L$1:L2289,L2289),COUNTIFS($H$1:H2289,$H2289,$I$1:I2289,$I2289,$J$1:J2289,$J2289,$K$1:K2289,K2289,$L$1:L2289,L2289)))</f>
        <v>158</v>
      </c>
      <c r="N228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89" s="14" t="e">
        <f>+LEN(Table4[[#This Row],[New Item Code]])</f>
        <v>#N/A</v>
      </c>
      <c r="P2289" s="15" t="s">
        <v>4747</v>
      </c>
      <c r="Q2289" s="15" t="s">
        <v>4749</v>
      </c>
      <c r="R2289" s="15"/>
      <c r="S2289" s="15"/>
      <c r="T2289" s="15" t="s">
        <v>4693</v>
      </c>
    </row>
    <row r="2290" spans="1:20" x14ac:dyDescent="0.35">
      <c r="A2290" s="3" t="s">
        <v>4511</v>
      </c>
      <c r="B2290" s="3" t="s">
        <v>4512</v>
      </c>
      <c r="C2290" s="3" t="s">
        <v>15</v>
      </c>
      <c r="D2290" s="3">
        <v>0</v>
      </c>
      <c r="E2290" s="3" t="s">
        <v>57</v>
      </c>
      <c r="F2290" s="3">
        <v>0</v>
      </c>
      <c r="G2290" s="21">
        <f>Table4[[#This Row],[Item Cost]]*Table4[[#This Row],[In Stock]]</f>
        <v>0</v>
      </c>
      <c r="H2290" s="12" t="s">
        <v>4661</v>
      </c>
      <c r="I2290" s="13" t="s">
        <v>4666</v>
      </c>
      <c r="J2290" s="13" t="s">
        <v>4693</v>
      </c>
      <c r="K2290" s="13" t="s">
        <v>4672</v>
      </c>
      <c r="L2290" s="12" t="s">
        <v>4672</v>
      </c>
      <c r="M2290" s="17">
        <f>IF(LEN(COUNTIFS($H$1:H2290,$H2290,$I$1:I2290,$I2290,$J$1:J2290,$J2290,$K$1:K2290,K2290,$L$1:L2290,L2290))=1,"00"&amp;COUNTIFS($H$1:H2290,$H2290,$I$1:I2290,$I2290,$J$1:J2290,$J2290,$K$1:K2290,K2290,$L$1:L2290,L2290),IF(LEN(COUNTIFS($H$1:H2290,$H2290,$I$1:I2290,$I2290,$J$1:J2290,$J2290,$K$1:K2290,K2290,$L$1:L2290,L2290))=2,"0"&amp;COUNTIFS($H$1:H2290,$H2290,$I$1:I2290,$I2290,$J$1:J2290,$J2290,$K$1:K2290,K2290,$L$1:L2290,L2290),COUNTIFS($H$1:H2290,$H2290,$I$1:I2290,$I2290,$J$1:J2290,$J2290,$K$1:K2290,K2290,$L$1:L2290,L2290)))</f>
        <v>159</v>
      </c>
      <c r="N229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90" s="14" t="e">
        <f>+LEN(Table4[[#This Row],[New Item Code]])</f>
        <v>#N/A</v>
      </c>
      <c r="P2290" s="15" t="s">
        <v>4747</v>
      </c>
      <c r="Q2290" s="15" t="s">
        <v>4749</v>
      </c>
      <c r="R2290" s="15"/>
      <c r="S2290" s="15"/>
      <c r="T2290" s="15" t="s">
        <v>4693</v>
      </c>
    </row>
    <row r="2291" spans="1:20" x14ac:dyDescent="0.35">
      <c r="A2291" s="2" t="s">
        <v>4513</v>
      </c>
      <c r="B2291" s="2" t="s">
        <v>4514</v>
      </c>
      <c r="C2291" s="2" t="s">
        <v>56</v>
      </c>
      <c r="D2291" s="2">
        <v>0</v>
      </c>
      <c r="E2291" s="2" t="s">
        <v>57</v>
      </c>
      <c r="F2291" s="2">
        <v>0</v>
      </c>
      <c r="G2291" s="22">
        <f>Table4[[#This Row],[Item Cost]]*Table4[[#This Row],[In Stock]]</f>
        <v>0</v>
      </c>
      <c r="H2291" s="12" t="s">
        <v>4661</v>
      </c>
      <c r="I2291" s="13" t="s">
        <v>4668</v>
      </c>
      <c r="J2291" s="13" t="s">
        <v>4693</v>
      </c>
      <c r="K2291" s="13" t="s">
        <v>4672</v>
      </c>
      <c r="L2291" s="12" t="s">
        <v>4672</v>
      </c>
      <c r="M2291" s="17" t="str">
        <f>IF(LEN(COUNTIFS($H$1:H2291,$H2291,$I$1:I2291,$I2291,$J$1:J2291,$J2291,$K$1:K2291,K2291,$L$1:L2291,L2291))=1,"00"&amp;COUNTIFS($H$1:H2291,$H2291,$I$1:I2291,$I2291,$J$1:J2291,$J2291,$K$1:K2291,K2291,$L$1:L2291,L2291),IF(LEN(COUNTIFS($H$1:H2291,$H2291,$I$1:I2291,$I2291,$J$1:J2291,$J2291,$K$1:K2291,K2291,$L$1:L2291,L2291))=2,"0"&amp;COUNTIFS($H$1:H2291,$H2291,$I$1:I2291,$I2291,$J$1:J2291,$J2291,$K$1:K2291,K2291,$L$1:L2291,L2291),COUNTIFS($H$1:H2291,$H2291,$I$1:I2291,$I2291,$J$1:J2291,$J2291,$K$1:K2291,K2291,$L$1:L2291,L2291)))</f>
        <v>078</v>
      </c>
      <c r="N229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91" s="14" t="e">
        <f>+LEN(Table4[[#This Row],[New Item Code]])</f>
        <v>#N/A</v>
      </c>
      <c r="P2291" s="15" t="s">
        <v>4747</v>
      </c>
      <c r="Q2291" s="15" t="s">
        <v>4749</v>
      </c>
      <c r="R2291" s="15"/>
      <c r="S2291" s="15"/>
      <c r="T2291" s="15" t="s">
        <v>4693</v>
      </c>
    </row>
    <row r="2292" spans="1:20" x14ac:dyDescent="0.35">
      <c r="A2292" s="3" t="s">
        <v>4515</v>
      </c>
      <c r="B2292" s="3" t="s">
        <v>4516</v>
      </c>
      <c r="C2292" s="3" t="s">
        <v>9</v>
      </c>
      <c r="D2292" s="3">
        <v>289.08499999999998</v>
      </c>
      <c r="E2292" s="3" t="s">
        <v>10</v>
      </c>
      <c r="F2292" s="3">
        <v>2</v>
      </c>
      <c r="G2292" s="21">
        <f>Table4[[#This Row],[Item Cost]]*Table4[[#This Row],[In Stock]]</f>
        <v>578.16999999999996</v>
      </c>
      <c r="H2292" s="12" t="s">
        <v>4661</v>
      </c>
      <c r="I2292" s="13" t="s">
        <v>4664</v>
      </c>
      <c r="J2292" s="13" t="s">
        <v>4729</v>
      </c>
      <c r="K2292" t="s">
        <v>4798</v>
      </c>
      <c r="L2292" s="12" t="s">
        <v>4672</v>
      </c>
      <c r="M2292" s="17" t="str">
        <f>IF(LEN(COUNTIFS($H$1:H2292,$H2292,$I$1:I2292,$I2292,$J$1:J2292,$J2292,$K$1:K2292,K2292,$L$1:L2292,L2292))=1,"00"&amp;COUNTIFS($H$1:H2292,$H2292,$I$1:I2292,$I2292,$J$1:J2292,$J2292,$K$1:K2292,K2292,$L$1:L2292,L2292),IF(LEN(COUNTIFS($H$1:H2292,$H2292,$I$1:I2292,$I2292,$J$1:J2292,$J2292,$K$1:K2292,K2292,$L$1:L2292,L2292))=2,"0"&amp;COUNTIFS($H$1:H2292,$H2292,$I$1:I2292,$I2292,$J$1:J2292,$J2292,$K$1:K2292,K2292,$L$1:L2292,L2292),COUNTIFS($H$1:H2292,$H2292,$I$1:I2292,$I2292,$J$1:J2292,$J2292,$K$1:K2292,K2292,$L$1:L2292,L2292)))</f>
        <v>001</v>
      </c>
      <c r="N229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92" s="14" t="e">
        <f>+LEN(Table4[[#This Row],[New Item Code]])</f>
        <v>#N/A</v>
      </c>
      <c r="P2292" s="15" t="s">
        <v>4747</v>
      </c>
      <c r="Q2292" s="15" t="s">
        <v>4749</v>
      </c>
      <c r="R2292" s="15"/>
      <c r="S2292" s="15"/>
      <c r="T2292" s="15" t="s">
        <v>4729</v>
      </c>
    </row>
    <row r="2293" spans="1:20" x14ac:dyDescent="0.35">
      <c r="A2293" s="2" t="s">
        <v>4517</v>
      </c>
      <c r="B2293" s="2" t="s">
        <v>4518</v>
      </c>
      <c r="C2293" s="2" t="s">
        <v>9</v>
      </c>
      <c r="D2293" s="2">
        <v>3052.875</v>
      </c>
      <c r="E2293" s="2" t="s">
        <v>10</v>
      </c>
      <c r="F2293" s="2">
        <v>2</v>
      </c>
      <c r="G2293" s="22">
        <f>Table4[[#This Row],[Item Cost]]*Table4[[#This Row],[In Stock]]</f>
        <v>6105.75</v>
      </c>
      <c r="H2293" s="12" t="s">
        <v>4661</v>
      </c>
      <c r="I2293" s="13" t="s">
        <v>4664</v>
      </c>
      <c r="J2293" s="13" t="s">
        <v>4729</v>
      </c>
      <c r="K2293" t="s">
        <v>4798</v>
      </c>
      <c r="L2293" s="12" t="s">
        <v>4672</v>
      </c>
      <c r="M2293" s="17" t="str">
        <f>IF(LEN(COUNTIFS($H$1:H2293,$H2293,$I$1:I2293,$I2293,$J$1:J2293,$J2293,$K$1:K2293,K2293,$L$1:L2293,L2293))=1,"00"&amp;COUNTIFS($H$1:H2293,$H2293,$I$1:I2293,$I2293,$J$1:J2293,$J2293,$K$1:K2293,K2293,$L$1:L2293,L2293),IF(LEN(COUNTIFS($H$1:H2293,$H2293,$I$1:I2293,$I2293,$J$1:J2293,$J2293,$K$1:K2293,K2293,$L$1:L2293,L2293))=2,"0"&amp;COUNTIFS($H$1:H2293,$H2293,$I$1:I2293,$I2293,$J$1:J2293,$J2293,$K$1:K2293,K2293,$L$1:L2293,L2293),COUNTIFS($H$1:H2293,$H2293,$I$1:I2293,$I2293,$J$1:J2293,$J2293,$K$1:K2293,K2293,$L$1:L2293,L2293)))</f>
        <v>002</v>
      </c>
      <c r="N229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93" s="14" t="e">
        <f>+LEN(Table4[[#This Row],[New Item Code]])</f>
        <v>#N/A</v>
      </c>
      <c r="P2293" s="15" t="s">
        <v>4747</v>
      </c>
      <c r="Q2293" s="15" t="s">
        <v>4749</v>
      </c>
      <c r="R2293" s="15"/>
      <c r="S2293" s="15"/>
      <c r="T2293" s="15" t="s">
        <v>4729</v>
      </c>
    </row>
    <row r="2294" spans="1:20" x14ac:dyDescent="0.35">
      <c r="A2294" s="3" t="s">
        <v>4519</v>
      </c>
      <c r="B2294" s="3" t="s">
        <v>4520</v>
      </c>
      <c r="C2294" s="3" t="s">
        <v>9</v>
      </c>
      <c r="D2294" s="3">
        <v>415.90499999999997</v>
      </c>
      <c r="E2294" s="3" t="s">
        <v>10</v>
      </c>
      <c r="F2294" s="3">
        <v>2</v>
      </c>
      <c r="G2294" s="21">
        <f>Table4[[#This Row],[Item Cost]]*Table4[[#This Row],[In Stock]]</f>
        <v>831.81</v>
      </c>
      <c r="H2294" s="12" t="s">
        <v>4661</v>
      </c>
      <c r="I2294" s="13" t="s">
        <v>4664</v>
      </c>
      <c r="J2294" s="13" t="s">
        <v>4729</v>
      </c>
      <c r="K2294" s="13" t="s">
        <v>4672</v>
      </c>
      <c r="L2294" s="12" t="s">
        <v>4672</v>
      </c>
      <c r="M2294" s="17" t="str">
        <f>IF(LEN(COUNTIFS($H$1:H2294,$H2294,$I$1:I2294,$I2294,$J$1:J2294,$J2294,$K$1:K2294,K2294,$L$1:L2294,L2294))=1,"00"&amp;COUNTIFS($H$1:H2294,$H2294,$I$1:I2294,$I2294,$J$1:J2294,$J2294,$K$1:K2294,K2294,$L$1:L2294,L2294),IF(LEN(COUNTIFS($H$1:H2294,$H2294,$I$1:I2294,$I2294,$J$1:J2294,$J2294,$K$1:K2294,K2294,$L$1:L2294,L2294))=2,"0"&amp;COUNTIFS($H$1:H2294,$H2294,$I$1:I2294,$I2294,$J$1:J2294,$J2294,$K$1:K2294,K2294,$L$1:L2294,L2294),COUNTIFS($H$1:H2294,$H2294,$I$1:I2294,$I2294,$J$1:J2294,$J2294,$K$1:K2294,K2294,$L$1:L2294,L2294)))</f>
        <v>001</v>
      </c>
      <c r="N229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94" s="14" t="e">
        <f>+LEN(Table4[[#This Row],[New Item Code]])</f>
        <v>#N/A</v>
      </c>
      <c r="P2294" s="15" t="s">
        <v>4747</v>
      </c>
      <c r="Q2294" s="15" t="s">
        <v>4749</v>
      </c>
      <c r="R2294" s="15"/>
      <c r="S2294" s="15"/>
      <c r="T2294" s="15" t="s">
        <v>4729</v>
      </c>
    </row>
    <row r="2295" spans="1:20" x14ac:dyDescent="0.35">
      <c r="A2295" s="2" t="s">
        <v>4521</v>
      </c>
      <c r="B2295" s="2" t="s">
        <v>4522</v>
      </c>
      <c r="C2295" s="2" t="s">
        <v>9</v>
      </c>
      <c r="D2295" s="2">
        <v>355.255</v>
      </c>
      <c r="E2295" s="2" t="s">
        <v>10</v>
      </c>
      <c r="F2295" s="2">
        <v>2</v>
      </c>
      <c r="G2295" s="22">
        <f>Table4[[#This Row],[Item Cost]]*Table4[[#This Row],[In Stock]]</f>
        <v>710.51</v>
      </c>
      <c r="H2295" s="12" t="s">
        <v>4661</v>
      </c>
      <c r="I2295" s="13" t="s">
        <v>4664</v>
      </c>
      <c r="J2295" s="13" t="s">
        <v>4729</v>
      </c>
      <c r="K2295" s="13" t="s">
        <v>4672</v>
      </c>
      <c r="L2295" s="12" t="s">
        <v>4672</v>
      </c>
      <c r="M2295" s="17" t="str">
        <f>IF(LEN(COUNTIFS($H$1:H2295,$H2295,$I$1:I2295,$I2295,$J$1:J2295,$J2295,$K$1:K2295,K2295,$L$1:L2295,L2295))=1,"00"&amp;COUNTIFS($H$1:H2295,$H2295,$I$1:I2295,$I2295,$J$1:J2295,$J2295,$K$1:K2295,K2295,$L$1:L2295,L2295),IF(LEN(COUNTIFS($H$1:H2295,$H2295,$I$1:I2295,$I2295,$J$1:J2295,$J2295,$K$1:K2295,K2295,$L$1:L2295,L2295))=2,"0"&amp;COUNTIFS($H$1:H2295,$H2295,$I$1:I2295,$I2295,$J$1:J2295,$J2295,$K$1:K2295,K2295,$L$1:L2295,L2295),COUNTIFS($H$1:H2295,$H2295,$I$1:I2295,$I2295,$J$1:J2295,$J2295,$K$1:K2295,K2295,$L$1:L2295,L2295)))</f>
        <v>002</v>
      </c>
      <c r="N229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95" s="14" t="e">
        <f>+LEN(Table4[[#This Row],[New Item Code]])</f>
        <v>#N/A</v>
      </c>
      <c r="P2295" s="15" t="s">
        <v>4747</v>
      </c>
      <c r="Q2295" s="15" t="s">
        <v>4749</v>
      </c>
      <c r="R2295" s="15"/>
      <c r="S2295" s="15"/>
      <c r="T2295" s="15" t="s">
        <v>4729</v>
      </c>
    </row>
    <row r="2296" spans="1:20" x14ac:dyDescent="0.35">
      <c r="A2296" s="3" t="s">
        <v>4523</v>
      </c>
      <c r="B2296" s="3" t="s">
        <v>4524</v>
      </c>
      <c r="C2296" s="3" t="s">
        <v>9</v>
      </c>
      <c r="D2296" s="5">
        <v>781.26499999999999</v>
      </c>
      <c r="E2296" s="3" t="s">
        <v>10</v>
      </c>
      <c r="F2296" s="3">
        <v>2</v>
      </c>
      <c r="G2296" s="21">
        <f>Table4[[#This Row],[Item Cost]]*Table4[[#This Row],[In Stock]]</f>
        <v>1562.53</v>
      </c>
      <c r="H2296" s="12" t="s">
        <v>4661</v>
      </c>
      <c r="I2296" s="13" t="s">
        <v>4664</v>
      </c>
      <c r="J2296" s="13" t="s">
        <v>4729</v>
      </c>
      <c r="K2296" t="s">
        <v>4799</v>
      </c>
      <c r="L2296" s="12" t="s">
        <v>4672</v>
      </c>
      <c r="M2296" s="17" t="str">
        <f>IF(LEN(COUNTIFS($H$1:H2296,$H2296,$I$1:I2296,$I2296,$J$1:J2296,$J2296,$K$1:K2296,K2296,$L$1:L2296,L2296))=1,"00"&amp;COUNTIFS($H$1:H2296,$H2296,$I$1:I2296,$I2296,$J$1:J2296,$J2296,$K$1:K2296,K2296,$L$1:L2296,L2296),IF(LEN(COUNTIFS($H$1:H2296,$H2296,$I$1:I2296,$I2296,$J$1:J2296,$J2296,$K$1:K2296,K2296,$L$1:L2296,L2296))=2,"0"&amp;COUNTIFS($H$1:H2296,$H2296,$I$1:I2296,$I2296,$J$1:J2296,$J2296,$K$1:K2296,K2296,$L$1:L2296,L2296),COUNTIFS($H$1:H2296,$H2296,$I$1:I2296,$I2296,$J$1:J2296,$J2296,$K$1:K2296,K2296,$L$1:L2296,L2296)))</f>
        <v>001</v>
      </c>
      <c r="N229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96" s="14" t="e">
        <f>+LEN(Table4[[#This Row],[New Item Code]])</f>
        <v>#N/A</v>
      </c>
      <c r="P2296" s="15" t="s">
        <v>4747</v>
      </c>
      <c r="Q2296" s="15" t="s">
        <v>4749</v>
      </c>
      <c r="R2296" s="15"/>
      <c r="S2296" s="15"/>
      <c r="T2296" s="15" t="s">
        <v>4729</v>
      </c>
    </row>
    <row r="2297" spans="1:20" x14ac:dyDescent="0.35">
      <c r="A2297" s="2" t="s">
        <v>4525</v>
      </c>
      <c r="B2297" s="2" t="s">
        <v>4526</v>
      </c>
      <c r="C2297" s="2" t="s">
        <v>9</v>
      </c>
      <c r="D2297" s="2">
        <v>561.35500000000002</v>
      </c>
      <c r="E2297" s="2" t="s">
        <v>10</v>
      </c>
      <c r="F2297" s="2">
        <v>2</v>
      </c>
      <c r="G2297" s="22">
        <f>Table4[[#This Row],[Item Cost]]*Table4[[#This Row],[In Stock]]</f>
        <v>1122.71</v>
      </c>
      <c r="H2297" s="12" t="s">
        <v>4661</v>
      </c>
      <c r="I2297" s="13" t="s">
        <v>4664</v>
      </c>
      <c r="J2297" s="13" t="s">
        <v>4729</v>
      </c>
      <c r="K2297" s="13" t="s">
        <v>4672</v>
      </c>
      <c r="L2297" s="12" t="s">
        <v>4672</v>
      </c>
      <c r="M2297" s="17" t="str">
        <f>IF(LEN(COUNTIFS($H$1:H2297,$H2297,$I$1:I2297,$I2297,$J$1:J2297,$J2297,$K$1:K2297,K2297,$L$1:L2297,L2297))=1,"00"&amp;COUNTIFS($H$1:H2297,$H2297,$I$1:I2297,$I2297,$J$1:J2297,$J2297,$K$1:K2297,K2297,$L$1:L2297,L2297),IF(LEN(COUNTIFS($H$1:H2297,$H2297,$I$1:I2297,$I2297,$J$1:J2297,$J2297,$K$1:K2297,K2297,$L$1:L2297,L2297))=2,"0"&amp;COUNTIFS($H$1:H2297,$H2297,$I$1:I2297,$I2297,$J$1:J2297,$J2297,$K$1:K2297,K2297,$L$1:L2297,L2297),COUNTIFS($H$1:H2297,$H2297,$I$1:I2297,$I2297,$J$1:J2297,$J2297,$K$1:K2297,K2297,$L$1:L2297,L2297)))</f>
        <v>003</v>
      </c>
      <c r="N229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97" s="14" t="e">
        <f>+LEN(Table4[[#This Row],[New Item Code]])</f>
        <v>#N/A</v>
      </c>
      <c r="P2297" s="15" t="s">
        <v>4747</v>
      </c>
      <c r="Q2297" s="15" t="s">
        <v>4749</v>
      </c>
      <c r="R2297" s="15"/>
      <c r="S2297" s="15"/>
      <c r="T2297" s="15" t="s">
        <v>4729</v>
      </c>
    </row>
    <row r="2298" spans="1:20" x14ac:dyDescent="0.35">
      <c r="A2298" s="3" t="s">
        <v>4527</v>
      </c>
      <c r="B2298" s="3" t="s">
        <v>4528</v>
      </c>
      <c r="C2298" s="3" t="s">
        <v>9</v>
      </c>
      <c r="D2298" s="3">
        <v>1255.81</v>
      </c>
      <c r="E2298" s="3" t="s">
        <v>10</v>
      </c>
      <c r="F2298" s="3">
        <v>2</v>
      </c>
      <c r="G2298" s="21">
        <f>Table4[[#This Row],[Item Cost]]*Table4[[#This Row],[In Stock]]</f>
        <v>2511.62</v>
      </c>
      <c r="H2298" s="12" t="s">
        <v>4661</v>
      </c>
      <c r="I2298" s="13" t="s">
        <v>4664</v>
      </c>
      <c r="J2298" s="13" t="s">
        <v>4729</v>
      </c>
      <c r="K2298" s="13" t="s">
        <v>4672</v>
      </c>
      <c r="L2298" s="12" t="s">
        <v>4672</v>
      </c>
      <c r="M2298" s="17" t="str">
        <f>IF(LEN(COUNTIFS($H$1:H2298,$H2298,$I$1:I2298,$I2298,$J$1:J2298,$J2298,$K$1:K2298,K2298,$L$1:L2298,L2298))=1,"00"&amp;COUNTIFS($H$1:H2298,$H2298,$I$1:I2298,$I2298,$J$1:J2298,$J2298,$K$1:K2298,K2298,$L$1:L2298,L2298),IF(LEN(COUNTIFS($H$1:H2298,$H2298,$I$1:I2298,$I2298,$J$1:J2298,$J2298,$K$1:K2298,K2298,$L$1:L2298,L2298))=2,"0"&amp;COUNTIFS($H$1:H2298,$H2298,$I$1:I2298,$I2298,$J$1:J2298,$J2298,$K$1:K2298,K2298,$L$1:L2298,L2298),COUNTIFS($H$1:H2298,$H2298,$I$1:I2298,$I2298,$J$1:J2298,$J2298,$K$1:K2298,K2298,$L$1:L2298,L2298)))</f>
        <v>004</v>
      </c>
      <c r="N229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98" s="14" t="e">
        <f>+LEN(Table4[[#This Row],[New Item Code]])</f>
        <v>#N/A</v>
      </c>
      <c r="P2298" s="15" t="s">
        <v>4747</v>
      </c>
      <c r="Q2298" s="15" t="s">
        <v>4749</v>
      </c>
      <c r="R2298" s="15"/>
      <c r="S2298" s="15"/>
      <c r="T2298" s="15" t="s">
        <v>4729</v>
      </c>
    </row>
    <row r="2299" spans="1:20" x14ac:dyDescent="0.35">
      <c r="A2299" s="2" t="s">
        <v>4529</v>
      </c>
      <c r="B2299" s="2" t="s">
        <v>4530</v>
      </c>
      <c r="C2299" s="2" t="s">
        <v>9</v>
      </c>
      <c r="D2299" s="2">
        <v>530.48800000000006</v>
      </c>
      <c r="E2299" s="2" t="s">
        <v>10</v>
      </c>
      <c r="F2299" s="2">
        <v>0</v>
      </c>
      <c r="G2299" s="22">
        <f>Table4[[#This Row],[Item Cost]]*Table4[[#This Row],[In Stock]]</f>
        <v>0</v>
      </c>
      <c r="H2299" s="12" t="s">
        <v>4661</v>
      </c>
      <c r="I2299" s="13" t="s">
        <v>4664</v>
      </c>
      <c r="J2299" s="13" t="s">
        <v>4729</v>
      </c>
      <c r="K2299" s="13" t="s">
        <v>4672</v>
      </c>
      <c r="L2299" s="12" t="s">
        <v>4672</v>
      </c>
      <c r="M2299" s="17" t="str">
        <f>IF(LEN(COUNTIFS($H$1:H2299,$H2299,$I$1:I2299,$I2299,$J$1:J2299,$J2299,$K$1:K2299,K2299,$L$1:L2299,L2299))=1,"00"&amp;COUNTIFS($H$1:H2299,$H2299,$I$1:I2299,$I2299,$J$1:J2299,$J2299,$K$1:K2299,K2299,$L$1:L2299,L2299),IF(LEN(COUNTIFS($H$1:H2299,$H2299,$I$1:I2299,$I2299,$J$1:J2299,$J2299,$K$1:K2299,K2299,$L$1:L2299,L2299))=2,"0"&amp;COUNTIFS($H$1:H2299,$H2299,$I$1:I2299,$I2299,$J$1:J2299,$J2299,$K$1:K2299,K2299,$L$1:L2299,L2299),COUNTIFS($H$1:H2299,$H2299,$I$1:I2299,$I2299,$J$1:J2299,$J2299,$K$1:K2299,K2299,$L$1:L2299,L2299)))</f>
        <v>005</v>
      </c>
      <c r="N229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299" s="14" t="e">
        <f>+LEN(Table4[[#This Row],[New Item Code]])</f>
        <v>#N/A</v>
      </c>
      <c r="P2299" s="15" t="s">
        <v>4747</v>
      </c>
      <c r="Q2299" s="15" t="s">
        <v>4749</v>
      </c>
      <c r="R2299" s="15"/>
      <c r="S2299" s="15"/>
      <c r="T2299" s="15" t="s">
        <v>4729</v>
      </c>
    </row>
    <row r="2300" spans="1:20" x14ac:dyDescent="0.35">
      <c r="A2300" s="3" t="s">
        <v>4531</v>
      </c>
      <c r="B2300" s="3" t="s">
        <v>4532</v>
      </c>
      <c r="C2300" s="3" t="s">
        <v>9</v>
      </c>
      <c r="D2300" s="3">
        <v>810.2</v>
      </c>
      <c r="E2300" s="3" t="s">
        <v>10</v>
      </c>
      <c r="F2300" s="3">
        <v>2</v>
      </c>
      <c r="G2300" s="21">
        <f>Table4[[#This Row],[Item Cost]]*Table4[[#This Row],[In Stock]]</f>
        <v>1620.4</v>
      </c>
      <c r="H2300" s="12" t="s">
        <v>4661</v>
      </c>
      <c r="I2300" s="13" t="s">
        <v>4664</v>
      </c>
      <c r="J2300" s="13" t="s">
        <v>4729</v>
      </c>
      <c r="K2300" s="13" t="s">
        <v>4672</v>
      </c>
      <c r="L2300" s="12" t="s">
        <v>4672</v>
      </c>
      <c r="M2300" s="17" t="str">
        <f>IF(LEN(COUNTIFS($H$1:H2300,$H2300,$I$1:I2300,$I2300,$J$1:J2300,$J2300,$K$1:K2300,K2300,$L$1:L2300,L2300))=1,"00"&amp;COUNTIFS($H$1:H2300,$H2300,$I$1:I2300,$I2300,$J$1:J2300,$J2300,$K$1:K2300,K2300,$L$1:L2300,L2300),IF(LEN(COUNTIFS($H$1:H2300,$H2300,$I$1:I2300,$I2300,$J$1:J2300,$J2300,$K$1:K2300,K2300,$L$1:L2300,L2300))=2,"0"&amp;COUNTIFS($H$1:H2300,$H2300,$I$1:I2300,$I2300,$J$1:J2300,$J2300,$K$1:K2300,K2300,$L$1:L2300,L2300),COUNTIFS($H$1:H2300,$H2300,$I$1:I2300,$I2300,$J$1:J2300,$J2300,$K$1:K2300,K2300,$L$1:L2300,L2300)))</f>
        <v>006</v>
      </c>
      <c r="N230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00" s="14" t="e">
        <f>+LEN(Table4[[#This Row],[New Item Code]])</f>
        <v>#N/A</v>
      </c>
      <c r="P2300" s="15" t="s">
        <v>4747</v>
      </c>
      <c r="Q2300" s="15" t="s">
        <v>4749</v>
      </c>
      <c r="R2300" s="15"/>
      <c r="S2300" s="15"/>
      <c r="T2300" s="15" t="s">
        <v>4729</v>
      </c>
    </row>
    <row r="2301" spans="1:20" x14ac:dyDescent="0.35">
      <c r="A2301" s="2" t="s">
        <v>4533</v>
      </c>
      <c r="B2301" s="2" t="s">
        <v>4534</v>
      </c>
      <c r="C2301" s="2" t="s">
        <v>9</v>
      </c>
      <c r="D2301" s="4">
        <v>1356.617</v>
      </c>
      <c r="E2301" s="2" t="s">
        <v>10</v>
      </c>
      <c r="F2301" s="2">
        <v>16</v>
      </c>
      <c r="G2301" s="22">
        <f>Table4[[#This Row],[Item Cost]]*Table4[[#This Row],[In Stock]]</f>
        <v>21705.871999999999</v>
      </c>
      <c r="H2301" s="12" t="s">
        <v>4661</v>
      </c>
      <c r="I2301" s="13" t="s">
        <v>4664</v>
      </c>
      <c r="J2301" s="13" t="s">
        <v>4729</v>
      </c>
      <c r="K2301" s="13" t="s">
        <v>4672</v>
      </c>
      <c r="L2301" s="12" t="s">
        <v>4672</v>
      </c>
      <c r="M2301" s="17" t="str">
        <f>IF(LEN(COUNTIFS($H$1:H2301,$H2301,$I$1:I2301,$I2301,$J$1:J2301,$J2301,$K$1:K2301,K2301,$L$1:L2301,L2301))=1,"00"&amp;COUNTIFS($H$1:H2301,$H2301,$I$1:I2301,$I2301,$J$1:J2301,$J2301,$K$1:K2301,K2301,$L$1:L2301,L2301),IF(LEN(COUNTIFS($H$1:H2301,$H2301,$I$1:I2301,$I2301,$J$1:J2301,$J2301,$K$1:K2301,K2301,$L$1:L2301,L2301))=2,"0"&amp;COUNTIFS($H$1:H2301,$H2301,$I$1:I2301,$I2301,$J$1:J2301,$J2301,$K$1:K2301,K2301,$L$1:L2301,L2301),COUNTIFS($H$1:H2301,$H2301,$I$1:I2301,$I2301,$J$1:J2301,$J2301,$K$1:K2301,K2301,$L$1:L2301,L2301)))</f>
        <v>007</v>
      </c>
      <c r="N230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01" s="14" t="e">
        <f>+LEN(Table4[[#This Row],[New Item Code]])</f>
        <v>#N/A</v>
      </c>
      <c r="P2301" s="15" t="s">
        <v>4747</v>
      </c>
      <c r="Q2301" s="15" t="s">
        <v>4749</v>
      </c>
      <c r="R2301" s="15"/>
      <c r="S2301" s="15"/>
      <c r="T2301" s="15" t="s">
        <v>4729</v>
      </c>
    </row>
    <row r="2302" spans="1:20" x14ac:dyDescent="0.35">
      <c r="A2302" s="3" t="s">
        <v>4535</v>
      </c>
      <c r="B2302" s="3" t="s">
        <v>4536</v>
      </c>
      <c r="C2302" s="3" t="s">
        <v>9</v>
      </c>
      <c r="D2302" s="3">
        <v>2064.105</v>
      </c>
      <c r="E2302" s="3" t="s">
        <v>10</v>
      </c>
      <c r="F2302" s="3">
        <v>4</v>
      </c>
      <c r="G2302" s="21">
        <f>Table4[[#This Row],[Item Cost]]*Table4[[#This Row],[In Stock]]</f>
        <v>8256.42</v>
      </c>
      <c r="H2302" s="12" t="s">
        <v>4661</v>
      </c>
      <c r="I2302" s="13" t="s">
        <v>4664</v>
      </c>
      <c r="J2302" s="13" t="s">
        <v>4729</v>
      </c>
      <c r="K2302" s="13" t="s">
        <v>4672</v>
      </c>
      <c r="L2302" s="12" t="s">
        <v>4672</v>
      </c>
      <c r="M2302" s="17" t="str">
        <f>IF(LEN(COUNTIFS($H$1:H2302,$H2302,$I$1:I2302,$I2302,$J$1:J2302,$J2302,$K$1:K2302,K2302,$L$1:L2302,L2302))=1,"00"&amp;COUNTIFS($H$1:H2302,$H2302,$I$1:I2302,$I2302,$J$1:J2302,$J2302,$K$1:K2302,K2302,$L$1:L2302,L2302),IF(LEN(COUNTIFS($H$1:H2302,$H2302,$I$1:I2302,$I2302,$J$1:J2302,$J2302,$K$1:K2302,K2302,$L$1:L2302,L2302))=2,"0"&amp;COUNTIFS($H$1:H2302,$H2302,$I$1:I2302,$I2302,$J$1:J2302,$J2302,$K$1:K2302,K2302,$L$1:L2302,L2302),COUNTIFS($H$1:H2302,$H2302,$I$1:I2302,$I2302,$J$1:J2302,$J2302,$K$1:K2302,K2302,$L$1:L2302,L2302)))</f>
        <v>008</v>
      </c>
      <c r="N230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02" s="14" t="e">
        <f>+LEN(Table4[[#This Row],[New Item Code]])</f>
        <v>#N/A</v>
      </c>
      <c r="P2302" s="15" t="s">
        <v>4747</v>
      </c>
      <c r="Q2302" s="15" t="s">
        <v>4749</v>
      </c>
      <c r="R2302" s="15"/>
      <c r="S2302" s="15"/>
      <c r="T2302" s="15" t="s">
        <v>4729</v>
      </c>
    </row>
    <row r="2303" spans="1:20" x14ac:dyDescent="0.35">
      <c r="A2303" s="2" t="s">
        <v>4537</v>
      </c>
      <c r="B2303" s="2" t="s">
        <v>4538</v>
      </c>
      <c r="C2303" s="2" t="s">
        <v>9</v>
      </c>
      <c r="D2303" s="2">
        <v>4672.93</v>
      </c>
      <c r="E2303" s="2" t="s">
        <v>10</v>
      </c>
      <c r="F2303" s="2">
        <v>1</v>
      </c>
      <c r="G2303" s="22">
        <f>Table4[[#This Row],[Item Cost]]*Table4[[#This Row],[In Stock]]</f>
        <v>4672.93</v>
      </c>
      <c r="H2303" s="12" t="s">
        <v>4661</v>
      </c>
      <c r="I2303" s="13" t="s">
        <v>4664</v>
      </c>
      <c r="J2303" s="13" t="s">
        <v>4729</v>
      </c>
      <c r="K2303" s="13" t="s">
        <v>4672</v>
      </c>
      <c r="L2303" s="12" t="s">
        <v>4672</v>
      </c>
      <c r="M2303" s="17" t="str">
        <f>IF(LEN(COUNTIFS($H$1:H2303,$H2303,$I$1:I2303,$I2303,$J$1:J2303,$J2303,$K$1:K2303,K2303,$L$1:L2303,L2303))=1,"00"&amp;COUNTIFS($H$1:H2303,$H2303,$I$1:I2303,$I2303,$J$1:J2303,$J2303,$K$1:K2303,K2303,$L$1:L2303,L2303),IF(LEN(COUNTIFS($H$1:H2303,$H2303,$I$1:I2303,$I2303,$J$1:J2303,$J2303,$K$1:K2303,K2303,$L$1:L2303,L2303))=2,"0"&amp;COUNTIFS($H$1:H2303,$H2303,$I$1:I2303,$I2303,$J$1:J2303,$J2303,$K$1:K2303,K2303,$L$1:L2303,L2303),COUNTIFS($H$1:H2303,$H2303,$I$1:I2303,$I2303,$J$1:J2303,$J2303,$K$1:K2303,K2303,$L$1:L2303,L2303)))</f>
        <v>009</v>
      </c>
      <c r="N230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03" s="14" t="e">
        <f>+LEN(Table4[[#This Row],[New Item Code]])</f>
        <v>#N/A</v>
      </c>
      <c r="P2303" s="15" t="s">
        <v>4747</v>
      </c>
      <c r="Q2303" s="15" t="s">
        <v>4749</v>
      </c>
      <c r="R2303" s="15"/>
      <c r="S2303" s="15"/>
      <c r="T2303" s="15" t="s">
        <v>4729</v>
      </c>
    </row>
    <row r="2304" spans="1:20" x14ac:dyDescent="0.35">
      <c r="A2304" s="3" t="s">
        <v>4539</v>
      </c>
      <c r="B2304" s="3" t="s">
        <v>4540</v>
      </c>
      <c r="C2304" s="3" t="s">
        <v>9</v>
      </c>
      <c r="D2304" s="5">
        <v>502.32499999999999</v>
      </c>
      <c r="E2304" s="3" t="s">
        <v>10</v>
      </c>
      <c r="F2304" s="3">
        <v>2</v>
      </c>
      <c r="G2304" s="21">
        <f>Table4[[#This Row],[Item Cost]]*Table4[[#This Row],[In Stock]]</f>
        <v>1004.65</v>
      </c>
      <c r="H2304" s="12" t="s">
        <v>4661</v>
      </c>
      <c r="I2304" s="13" t="s">
        <v>4664</v>
      </c>
      <c r="J2304" s="13" t="s">
        <v>4729</v>
      </c>
      <c r="K2304" s="13" t="s">
        <v>4672</v>
      </c>
      <c r="L2304" s="12" t="s">
        <v>4672</v>
      </c>
      <c r="M2304" s="17" t="str">
        <f>IF(LEN(COUNTIFS($H$1:H2304,$H2304,$I$1:I2304,$I2304,$J$1:J2304,$J2304,$K$1:K2304,K2304,$L$1:L2304,L2304))=1,"00"&amp;COUNTIFS($H$1:H2304,$H2304,$I$1:I2304,$I2304,$J$1:J2304,$J2304,$K$1:K2304,K2304,$L$1:L2304,L2304),IF(LEN(COUNTIFS($H$1:H2304,$H2304,$I$1:I2304,$I2304,$J$1:J2304,$J2304,$K$1:K2304,K2304,$L$1:L2304,L2304))=2,"0"&amp;COUNTIFS($H$1:H2304,$H2304,$I$1:I2304,$I2304,$J$1:J2304,$J2304,$K$1:K2304,K2304,$L$1:L2304,L2304),COUNTIFS($H$1:H2304,$H2304,$I$1:I2304,$I2304,$J$1:J2304,$J2304,$K$1:K2304,K2304,$L$1:L2304,L2304)))</f>
        <v>010</v>
      </c>
      <c r="N230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04" s="14" t="e">
        <f>+LEN(Table4[[#This Row],[New Item Code]])</f>
        <v>#N/A</v>
      </c>
      <c r="P2304" s="15" t="s">
        <v>4747</v>
      </c>
      <c r="Q2304" s="15" t="s">
        <v>4749</v>
      </c>
      <c r="R2304" s="15"/>
      <c r="S2304" s="15"/>
      <c r="T2304" s="15" t="s">
        <v>4729</v>
      </c>
    </row>
    <row r="2305" spans="1:20" x14ac:dyDescent="0.35">
      <c r="A2305" s="2" t="s">
        <v>4541</v>
      </c>
      <c r="B2305" s="2" t="s">
        <v>4542</v>
      </c>
      <c r="C2305" s="2" t="s">
        <v>9</v>
      </c>
      <c r="D2305" s="4">
        <v>1085.67</v>
      </c>
      <c r="E2305" s="2" t="s">
        <v>10</v>
      </c>
      <c r="F2305" s="2">
        <v>1</v>
      </c>
      <c r="G2305" s="22">
        <f>Table4[[#This Row],[Item Cost]]*Table4[[#This Row],[In Stock]]</f>
        <v>1085.67</v>
      </c>
      <c r="H2305" s="12" t="s">
        <v>4661</v>
      </c>
      <c r="I2305" s="13" t="s">
        <v>4664</v>
      </c>
      <c r="J2305" s="13" t="s">
        <v>4729</v>
      </c>
      <c r="K2305" s="13" t="s">
        <v>4672</v>
      </c>
      <c r="L2305" s="12" t="s">
        <v>4672</v>
      </c>
      <c r="M2305" s="17" t="str">
        <f>IF(LEN(COUNTIFS($H$1:H2305,$H2305,$I$1:I2305,$I2305,$J$1:J2305,$J2305,$K$1:K2305,K2305,$L$1:L2305,L2305))=1,"00"&amp;COUNTIFS($H$1:H2305,$H2305,$I$1:I2305,$I2305,$J$1:J2305,$J2305,$K$1:K2305,K2305,$L$1:L2305,L2305),IF(LEN(COUNTIFS($H$1:H2305,$H2305,$I$1:I2305,$I2305,$J$1:J2305,$J2305,$K$1:K2305,K2305,$L$1:L2305,L2305))=2,"0"&amp;COUNTIFS($H$1:H2305,$H2305,$I$1:I2305,$I2305,$J$1:J2305,$J2305,$K$1:K2305,K2305,$L$1:L2305,L2305),COUNTIFS($H$1:H2305,$H2305,$I$1:I2305,$I2305,$J$1:J2305,$J2305,$K$1:K2305,K2305,$L$1:L2305,L2305)))</f>
        <v>011</v>
      </c>
      <c r="N230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05" s="14" t="e">
        <f>+LEN(Table4[[#This Row],[New Item Code]])</f>
        <v>#N/A</v>
      </c>
      <c r="P2305" s="15" t="s">
        <v>4747</v>
      </c>
      <c r="Q2305" s="15" t="s">
        <v>4749</v>
      </c>
      <c r="R2305" s="15"/>
      <c r="S2305" s="15"/>
      <c r="T2305" s="15" t="s">
        <v>4729</v>
      </c>
    </row>
    <row r="2306" spans="1:20" x14ac:dyDescent="0.35">
      <c r="A2306" s="3" t="s">
        <v>4543</v>
      </c>
      <c r="B2306" s="3" t="s">
        <v>4544</v>
      </c>
      <c r="C2306" s="3" t="s">
        <v>9</v>
      </c>
      <c r="D2306" s="5">
        <v>999.25</v>
      </c>
      <c r="E2306" s="3" t="s">
        <v>10</v>
      </c>
      <c r="F2306" s="3">
        <v>1</v>
      </c>
      <c r="G2306" s="21">
        <f>Table4[[#This Row],[Item Cost]]*Table4[[#This Row],[In Stock]]</f>
        <v>999.25</v>
      </c>
      <c r="H2306" s="12" t="s">
        <v>4661</v>
      </c>
      <c r="I2306" s="13" t="s">
        <v>4664</v>
      </c>
      <c r="J2306" s="13" t="s">
        <v>4729</v>
      </c>
      <c r="K2306" s="13" t="s">
        <v>4672</v>
      </c>
      <c r="L2306" s="12" t="s">
        <v>4672</v>
      </c>
      <c r="M2306" s="17" t="str">
        <f>IF(LEN(COUNTIFS($H$1:H2306,$H2306,$I$1:I2306,$I2306,$J$1:J2306,$J2306,$K$1:K2306,K2306,$L$1:L2306,L2306))=1,"00"&amp;COUNTIFS($H$1:H2306,$H2306,$I$1:I2306,$I2306,$J$1:J2306,$J2306,$K$1:K2306,K2306,$L$1:L2306,L2306),IF(LEN(COUNTIFS($H$1:H2306,$H2306,$I$1:I2306,$I2306,$J$1:J2306,$J2306,$K$1:K2306,K2306,$L$1:L2306,L2306))=2,"0"&amp;COUNTIFS($H$1:H2306,$H2306,$I$1:I2306,$I2306,$J$1:J2306,$J2306,$K$1:K2306,K2306,$L$1:L2306,L2306),COUNTIFS($H$1:H2306,$H2306,$I$1:I2306,$I2306,$J$1:J2306,$J2306,$K$1:K2306,K2306,$L$1:L2306,L2306)))</f>
        <v>012</v>
      </c>
      <c r="N230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06" s="14" t="e">
        <f>+LEN(Table4[[#This Row],[New Item Code]])</f>
        <v>#N/A</v>
      </c>
      <c r="P2306" s="15" t="s">
        <v>4747</v>
      </c>
      <c r="Q2306" s="15" t="s">
        <v>4749</v>
      </c>
      <c r="R2306" s="15"/>
      <c r="S2306" s="15"/>
      <c r="T2306" s="15" t="s">
        <v>4729</v>
      </c>
    </row>
    <row r="2307" spans="1:20" x14ac:dyDescent="0.35">
      <c r="A2307" s="2" t="s">
        <v>4545</v>
      </c>
      <c r="B2307" s="2" t="s">
        <v>4546</v>
      </c>
      <c r="C2307" s="2" t="s">
        <v>9</v>
      </c>
      <c r="D2307" s="2">
        <v>761.59</v>
      </c>
      <c r="E2307" s="2" t="s">
        <v>10</v>
      </c>
      <c r="F2307" s="2">
        <v>1</v>
      </c>
      <c r="G2307" s="22">
        <f>Table4[[#This Row],[Item Cost]]*Table4[[#This Row],[In Stock]]</f>
        <v>761.59</v>
      </c>
      <c r="H2307" s="12" t="s">
        <v>4661</v>
      </c>
      <c r="I2307" s="13" t="s">
        <v>4664</v>
      </c>
      <c r="J2307" s="13" t="s">
        <v>4729</v>
      </c>
      <c r="K2307" s="13" t="s">
        <v>4672</v>
      </c>
      <c r="L2307" s="12" t="s">
        <v>4672</v>
      </c>
      <c r="M2307" s="17" t="str">
        <f>IF(LEN(COUNTIFS($H$1:H2307,$H2307,$I$1:I2307,$I2307,$J$1:J2307,$J2307,$K$1:K2307,K2307,$L$1:L2307,L2307))=1,"00"&amp;COUNTIFS($H$1:H2307,$H2307,$I$1:I2307,$I2307,$J$1:J2307,$J2307,$K$1:K2307,K2307,$L$1:L2307,L2307),IF(LEN(COUNTIFS($H$1:H2307,$H2307,$I$1:I2307,$I2307,$J$1:J2307,$J2307,$K$1:K2307,K2307,$L$1:L2307,L2307))=2,"0"&amp;COUNTIFS($H$1:H2307,$H2307,$I$1:I2307,$I2307,$J$1:J2307,$J2307,$K$1:K2307,K2307,$L$1:L2307,L2307),COUNTIFS($H$1:H2307,$H2307,$I$1:I2307,$I2307,$J$1:J2307,$J2307,$K$1:K2307,K2307,$L$1:L2307,L2307)))</f>
        <v>013</v>
      </c>
      <c r="N230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07" s="14" t="e">
        <f>+LEN(Table4[[#This Row],[New Item Code]])</f>
        <v>#N/A</v>
      </c>
      <c r="P2307" s="15" t="s">
        <v>4747</v>
      </c>
      <c r="Q2307" s="15" t="s">
        <v>4749</v>
      </c>
      <c r="R2307" s="15"/>
      <c r="S2307" s="15"/>
      <c r="T2307" s="15" t="s">
        <v>4729</v>
      </c>
    </row>
    <row r="2308" spans="1:20" x14ac:dyDescent="0.35">
      <c r="A2308" s="3" t="s">
        <v>4547</v>
      </c>
      <c r="B2308" s="3" t="s">
        <v>4548</v>
      </c>
      <c r="C2308" s="3" t="s">
        <v>9</v>
      </c>
      <c r="D2308" s="5">
        <v>98.781000000000006</v>
      </c>
      <c r="E2308" s="3" t="s">
        <v>10</v>
      </c>
      <c r="F2308" s="3">
        <v>17</v>
      </c>
      <c r="G2308" s="21">
        <f>Table4[[#This Row],[Item Cost]]*Table4[[#This Row],[In Stock]]</f>
        <v>1679.277</v>
      </c>
      <c r="H2308" s="12" t="s">
        <v>4661</v>
      </c>
      <c r="I2308" s="13" t="s">
        <v>4664</v>
      </c>
      <c r="J2308" s="13" t="s">
        <v>4729</v>
      </c>
      <c r="K2308" s="13" t="s">
        <v>4672</v>
      </c>
      <c r="L2308" s="12" t="s">
        <v>4672</v>
      </c>
      <c r="M2308" s="17" t="str">
        <f>IF(LEN(COUNTIFS($H$1:H2308,$H2308,$I$1:I2308,$I2308,$J$1:J2308,$J2308,$K$1:K2308,K2308,$L$1:L2308,L2308))=1,"00"&amp;COUNTIFS($H$1:H2308,$H2308,$I$1:I2308,$I2308,$J$1:J2308,$J2308,$K$1:K2308,K2308,$L$1:L2308,L2308),IF(LEN(COUNTIFS($H$1:H2308,$H2308,$I$1:I2308,$I2308,$J$1:J2308,$J2308,$K$1:K2308,K2308,$L$1:L2308,L2308))=2,"0"&amp;COUNTIFS($H$1:H2308,$H2308,$I$1:I2308,$I2308,$J$1:J2308,$J2308,$K$1:K2308,K2308,$L$1:L2308,L2308),COUNTIFS($H$1:H2308,$H2308,$I$1:I2308,$I2308,$J$1:J2308,$J2308,$K$1:K2308,K2308,$L$1:L2308,L2308)))</f>
        <v>014</v>
      </c>
      <c r="N230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08" s="14" t="e">
        <f>+LEN(Table4[[#This Row],[New Item Code]])</f>
        <v>#N/A</v>
      </c>
      <c r="P2308" s="15" t="s">
        <v>4747</v>
      </c>
      <c r="Q2308" s="15" t="s">
        <v>4749</v>
      </c>
      <c r="R2308" s="15"/>
      <c r="S2308" s="15"/>
      <c r="T2308" s="15" t="s">
        <v>4729</v>
      </c>
    </row>
    <row r="2309" spans="1:20" x14ac:dyDescent="0.35">
      <c r="A2309" s="2" t="s">
        <v>4549</v>
      </c>
      <c r="B2309" s="2" t="s">
        <v>4550</v>
      </c>
      <c r="C2309" s="2" t="s">
        <v>9</v>
      </c>
      <c r="D2309" s="2">
        <v>114.40300000000001</v>
      </c>
      <c r="E2309" s="2" t="s">
        <v>10</v>
      </c>
      <c r="F2309" s="2">
        <v>9</v>
      </c>
      <c r="G2309" s="22">
        <f>Table4[[#This Row],[Item Cost]]*Table4[[#This Row],[In Stock]]</f>
        <v>1029.627</v>
      </c>
      <c r="H2309" s="12" t="s">
        <v>4661</v>
      </c>
      <c r="I2309" s="13" t="s">
        <v>4664</v>
      </c>
      <c r="J2309" s="13" t="s">
        <v>4729</v>
      </c>
      <c r="K2309" s="13" t="s">
        <v>4672</v>
      </c>
      <c r="L2309" s="12" t="s">
        <v>4672</v>
      </c>
      <c r="M2309" s="17" t="str">
        <f>IF(LEN(COUNTIFS($H$1:H2309,$H2309,$I$1:I2309,$I2309,$J$1:J2309,$J2309,$K$1:K2309,K2309,$L$1:L2309,L2309))=1,"00"&amp;COUNTIFS($H$1:H2309,$H2309,$I$1:I2309,$I2309,$J$1:J2309,$J2309,$K$1:K2309,K2309,$L$1:L2309,L2309),IF(LEN(COUNTIFS($H$1:H2309,$H2309,$I$1:I2309,$I2309,$J$1:J2309,$J2309,$K$1:K2309,K2309,$L$1:L2309,L2309))=2,"0"&amp;COUNTIFS($H$1:H2309,$H2309,$I$1:I2309,$I2309,$J$1:J2309,$J2309,$K$1:K2309,K2309,$L$1:L2309,L2309),COUNTIFS($H$1:H2309,$H2309,$I$1:I2309,$I2309,$J$1:J2309,$J2309,$K$1:K2309,K2309,$L$1:L2309,L2309)))</f>
        <v>015</v>
      </c>
      <c r="N230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09" s="14" t="e">
        <f>+LEN(Table4[[#This Row],[New Item Code]])</f>
        <v>#N/A</v>
      </c>
      <c r="P2309" s="15" t="s">
        <v>4747</v>
      </c>
      <c r="Q2309" s="15" t="s">
        <v>4749</v>
      </c>
      <c r="R2309" s="15"/>
      <c r="S2309" s="15"/>
      <c r="T2309" s="15" t="s">
        <v>4729</v>
      </c>
    </row>
    <row r="2310" spans="1:20" x14ac:dyDescent="0.35">
      <c r="A2310" s="3" t="s">
        <v>4551</v>
      </c>
      <c r="B2310" s="3" t="s">
        <v>4552</v>
      </c>
      <c r="C2310" s="3" t="s">
        <v>9</v>
      </c>
      <c r="D2310" s="3">
        <v>121.002</v>
      </c>
      <c r="E2310" s="3" t="s">
        <v>10</v>
      </c>
      <c r="F2310" s="3">
        <v>9</v>
      </c>
      <c r="G2310" s="21">
        <f>Table4[[#This Row],[Item Cost]]*Table4[[#This Row],[In Stock]]</f>
        <v>1089.018</v>
      </c>
      <c r="H2310" s="12" t="s">
        <v>4661</v>
      </c>
      <c r="I2310" s="13" t="s">
        <v>4664</v>
      </c>
      <c r="J2310" s="13" t="s">
        <v>4729</v>
      </c>
      <c r="K2310" s="13" t="s">
        <v>4672</v>
      </c>
      <c r="L2310" s="12" t="s">
        <v>4672</v>
      </c>
      <c r="M2310" s="17" t="str">
        <f>IF(LEN(COUNTIFS($H$1:H2310,$H2310,$I$1:I2310,$I2310,$J$1:J2310,$J2310,$K$1:K2310,K2310,$L$1:L2310,L2310))=1,"00"&amp;COUNTIFS($H$1:H2310,$H2310,$I$1:I2310,$I2310,$J$1:J2310,$J2310,$K$1:K2310,K2310,$L$1:L2310,L2310),IF(LEN(COUNTIFS($H$1:H2310,$H2310,$I$1:I2310,$I2310,$J$1:J2310,$J2310,$K$1:K2310,K2310,$L$1:L2310,L2310))=2,"0"&amp;COUNTIFS($H$1:H2310,$H2310,$I$1:I2310,$I2310,$J$1:J2310,$J2310,$K$1:K2310,K2310,$L$1:L2310,L2310),COUNTIFS($H$1:H2310,$H2310,$I$1:I2310,$I2310,$J$1:J2310,$J2310,$K$1:K2310,K2310,$L$1:L2310,L2310)))</f>
        <v>016</v>
      </c>
      <c r="N231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10" s="14" t="e">
        <f>+LEN(Table4[[#This Row],[New Item Code]])</f>
        <v>#N/A</v>
      </c>
      <c r="P2310" s="15" t="s">
        <v>4747</v>
      </c>
      <c r="Q2310" s="15" t="s">
        <v>4749</v>
      </c>
      <c r="R2310" s="15"/>
      <c r="S2310" s="15"/>
      <c r="T2310" s="15" t="s">
        <v>4729</v>
      </c>
    </row>
    <row r="2311" spans="1:20" x14ac:dyDescent="0.35">
      <c r="A2311" s="2" t="s">
        <v>4553</v>
      </c>
      <c r="B2311" s="2" t="s">
        <v>4554</v>
      </c>
      <c r="C2311" s="2" t="s">
        <v>9</v>
      </c>
      <c r="D2311" s="2">
        <v>1250.0250000000001</v>
      </c>
      <c r="E2311" s="2" t="s">
        <v>10</v>
      </c>
      <c r="F2311" s="2">
        <v>2</v>
      </c>
      <c r="G2311" s="22">
        <f>Table4[[#This Row],[Item Cost]]*Table4[[#This Row],[In Stock]]</f>
        <v>2500.0500000000002</v>
      </c>
      <c r="H2311" s="12" t="s">
        <v>4661</v>
      </c>
      <c r="I2311" s="13" t="s">
        <v>4664</v>
      </c>
      <c r="J2311" s="13" t="s">
        <v>4729</v>
      </c>
      <c r="K2311" s="13" t="s">
        <v>4672</v>
      </c>
      <c r="L2311" s="12" t="s">
        <v>4672</v>
      </c>
      <c r="M2311" s="17" t="str">
        <f>IF(LEN(COUNTIFS($H$1:H2311,$H2311,$I$1:I2311,$I2311,$J$1:J2311,$J2311,$K$1:K2311,K2311,$L$1:L2311,L2311))=1,"00"&amp;COUNTIFS($H$1:H2311,$H2311,$I$1:I2311,$I2311,$J$1:J2311,$J2311,$K$1:K2311,K2311,$L$1:L2311,L2311),IF(LEN(COUNTIFS($H$1:H2311,$H2311,$I$1:I2311,$I2311,$J$1:J2311,$J2311,$K$1:K2311,K2311,$L$1:L2311,L2311))=2,"0"&amp;COUNTIFS($H$1:H2311,$H2311,$I$1:I2311,$I2311,$J$1:J2311,$J2311,$K$1:K2311,K2311,$L$1:L2311,L2311),COUNTIFS($H$1:H2311,$H2311,$I$1:I2311,$I2311,$J$1:J2311,$J2311,$K$1:K2311,K2311,$L$1:L2311,L2311)))</f>
        <v>017</v>
      </c>
      <c r="N231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11" s="14" t="e">
        <f>+LEN(Table4[[#This Row],[New Item Code]])</f>
        <v>#N/A</v>
      </c>
      <c r="P2311" s="15" t="s">
        <v>4747</v>
      </c>
      <c r="Q2311" s="15" t="s">
        <v>4749</v>
      </c>
      <c r="R2311" s="15"/>
      <c r="S2311" s="15"/>
      <c r="T2311" s="15" t="s">
        <v>4729</v>
      </c>
    </row>
    <row r="2312" spans="1:20" x14ac:dyDescent="0.35">
      <c r="A2312" s="3" t="s">
        <v>4555</v>
      </c>
      <c r="B2312" s="3" t="s">
        <v>4556</v>
      </c>
      <c r="C2312" s="3" t="s">
        <v>9</v>
      </c>
      <c r="D2312" s="3">
        <v>9307.67</v>
      </c>
      <c r="E2312" s="3" t="s">
        <v>10</v>
      </c>
      <c r="F2312" s="3">
        <v>1</v>
      </c>
      <c r="G2312" s="21">
        <f>Table4[[#This Row],[Item Cost]]*Table4[[#This Row],[In Stock]]</f>
        <v>9307.67</v>
      </c>
      <c r="H2312" s="12" t="s">
        <v>4661</v>
      </c>
      <c r="I2312" s="13" t="s">
        <v>4664</v>
      </c>
      <c r="J2312" s="13" t="s">
        <v>4729</v>
      </c>
      <c r="K2312" s="13" t="s">
        <v>4672</v>
      </c>
      <c r="L2312" s="12" t="s">
        <v>4672</v>
      </c>
      <c r="M2312" s="17" t="str">
        <f>IF(LEN(COUNTIFS($H$1:H2312,$H2312,$I$1:I2312,$I2312,$J$1:J2312,$J2312,$K$1:K2312,K2312,$L$1:L2312,L2312))=1,"00"&amp;COUNTIFS($H$1:H2312,$H2312,$I$1:I2312,$I2312,$J$1:J2312,$J2312,$K$1:K2312,K2312,$L$1:L2312,L2312),IF(LEN(COUNTIFS($H$1:H2312,$H2312,$I$1:I2312,$I2312,$J$1:J2312,$J2312,$K$1:K2312,K2312,$L$1:L2312,L2312))=2,"0"&amp;COUNTIFS($H$1:H2312,$H2312,$I$1:I2312,$I2312,$J$1:J2312,$J2312,$K$1:K2312,K2312,$L$1:L2312,L2312),COUNTIFS($H$1:H2312,$H2312,$I$1:I2312,$I2312,$J$1:J2312,$J2312,$K$1:K2312,K2312,$L$1:L2312,L2312)))</f>
        <v>018</v>
      </c>
      <c r="N231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12" s="14" t="e">
        <f>+LEN(Table4[[#This Row],[New Item Code]])</f>
        <v>#N/A</v>
      </c>
      <c r="P2312" s="15" t="s">
        <v>4747</v>
      </c>
      <c r="Q2312" s="15" t="s">
        <v>4749</v>
      </c>
      <c r="R2312" s="15"/>
      <c r="S2312" s="15"/>
      <c r="T2312" s="15" t="s">
        <v>4729</v>
      </c>
    </row>
    <row r="2313" spans="1:20" x14ac:dyDescent="0.35">
      <c r="A2313" s="2" t="s">
        <v>4557</v>
      </c>
      <c r="B2313" s="2" t="s">
        <v>4558</v>
      </c>
      <c r="C2313" s="2" t="s">
        <v>9</v>
      </c>
      <c r="D2313" s="2">
        <v>140.435</v>
      </c>
      <c r="E2313" s="2" t="s">
        <v>10</v>
      </c>
      <c r="F2313" s="2">
        <v>2</v>
      </c>
      <c r="G2313" s="22">
        <f>Table4[[#This Row],[Item Cost]]*Table4[[#This Row],[In Stock]]</f>
        <v>280.87</v>
      </c>
      <c r="H2313" s="12" t="s">
        <v>4661</v>
      </c>
      <c r="I2313" s="13" t="s">
        <v>4664</v>
      </c>
      <c r="J2313" s="13" t="s">
        <v>4729</v>
      </c>
      <c r="K2313" s="13" t="s">
        <v>4672</v>
      </c>
      <c r="L2313" s="12" t="s">
        <v>4672</v>
      </c>
      <c r="M2313" s="17" t="str">
        <f>IF(LEN(COUNTIFS($H$1:H2313,$H2313,$I$1:I2313,$I2313,$J$1:J2313,$J2313,$K$1:K2313,K2313,$L$1:L2313,L2313))=1,"00"&amp;COUNTIFS($H$1:H2313,$H2313,$I$1:I2313,$I2313,$J$1:J2313,$J2313,$K$1:K2313,K2313,$L$1:L2313,L2313),IF(LEN(COUNTIFS($H$1:H2313,$H2313,$I$1:I2313,$I2313,$J$1:J2313,$J2313,$K$1:K2313,K2313,$L$1:L2313,L2313))=2,"0"&amp;COUNTIFS($H$1:H2313,$H2313,$I$1:I2313,$I2313,$J$1:J2313,$J2313,$K$1:K2313,K2313,$L$1:L2313,L2313),COUNTIFS($H$1:H2313,$H2313,$I$1:I2313,$I2313,$J$1:J2313,$J2313,$K$1:K2313,K2313,$L$1:L2313,L2313)))</f>
        <v>019</v>
      </c>
      <c r="N231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13" s="14" t="e">
        <f>+LEN(Table4[[#This Row],[New Item Code]])</f>
        <v>#N/A</v>
      </c>
      <c r="P2313" s="15" t="s">
        <v>4747</v>
      </c>
      <c r="Q2313" s="15" t="s">
        <v>4749</v>
      </c>
      <c r="R2313" s="15"/>
      <c r="S2313" s="15"/>
      <c r="T2313" s="15" t="s">
        <v>4729</v>
      </c>
    </row>
    <row r="2314" spans="1:20" x14ac:dyDescent="0.35">
      <c r="A2314" s="3" t="s">
        <v>4559</v>
      </c>
      <c r="B2314" s="3" t="s">
        <v>4560</v>
      </c>
      <c r="C2314" s="3" t="s">
        <v>9</v>
      </c>
      <c r="D2314" s="5">
        <v>340.28500000000003</v>
      </c>
      <c r="E2314" s="3" t="s">
        <v>10</v>
      </c>
      <c r="F2314" s="3">
        <v>2</v>
      </c>
      <c r="G2314" s="21">
        <f>Table4[[#This Row],[Item Cost]]*Table4[[#This Row],[In Stock]]</f>
        <v>680.57</v>
      </c>
      <c r="H2314" s="12" t="s">
        <v>4661</v>
      </c>
      <c r="I2314" s="13" t="s">
        <v>4664</v>
      </c>
      <c r="J2314" s="13" t="s">
        <v>4729</v>
      </c>
      <c r="K2314" s="13" t="s">
        <v>4672</v>
      </c>
      <c r="L2314" s="12" t="s">
        <v>4672</v>
      </c>
      <c r="M2314" s="17" t="str">
        <f>IF(LEN(COUNTIFS($H$1:H2314,$H2314,$I$1:I2314,$I2314,$J$1:J2314,$J2314,$K$1:K2314,K2314,$L$1:L2314,L2314))=1,"00"&amp;COUNTIFS($H$1:H2314,$H2314,$I$1:I2314,$I2314,$J$1:J2314,$J2314,$K$1:K2314,K2314,$L$1:L2314,L2314),IF(LEN(COUNTIFS($H$1:H2314,$H2314,$I$1:I2314,$I2314,$J$1:J2314,$J2314,$K$1:K2314,K2314,$L$1:L2314,L2314))=2,"0"&amp;COUNTIFS($H$1:H2314,$H2314,$I$1:I2314,$I2314,$J$1:J2314,$J2314,$K$1:K2314,K2314,$L$1:L2314,L2314),COUNTIFS($H$1:H2314,$H2314,$I$1:I2314,$I2314,$J$1:J2314,$J2314,$K$1:K2314,K2314,$L$1:L2314,L2314)))</f>
        <v>020</v>
      </c>
      <c r="N231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14" s="14" t="e">
        <f>+LEN(Table4[[#This Row],[New Item Code]])</f>
        <v>#N/A</v>
      </c>
      <c r="P2314" s="15" t="s">
        <v>4747</v>
      </c>
      <c r="Q2314" s="15" t="s">
        <v>4749</v>
      </c>
      <c r="R2314" s="15"/>
      <c r="S2314" s="15"/>
      <c r="T2314" s="15" t="s">
        <v>4729</v>
      </c>
    </row>
    <row r="2315" spans="1:20" x14ac:dyDescent="0.35">
      <c r="A2315" s="2" t="s">
        <v>4561</v>
      </c>
      <c r="B2315" s="2" t="s">
        <v>4562</v>
      </c>
      <c r="C2315" s="2" t="s">
        <v>9</v>
      </c>
      <c r="D2315" s="4">
        <v>253.86</v>
      </c>
      <c r="E2315" s="2" t="s">
        <v>10</v>
      </c>
      <c r="F2315" s="2">
        <v>1</v>
      </c>
      <c r="G2315" s="22">
        <f>Table4[[#This Row],[Item Cost]]*Table4[[#This Row],[In Stock]]</f>
        <v>253.86</v>
      </c>
      <c r="H2315" s="12" t="s">
        <v>4661</v>
      </c>
      <c r="I2315" s="13" t="s">
        <v>4664</v>
      </c>
      <c r="J2315" s="13" t="s">
        <v>4729</v>
      </c>
      <c r="K2315" s="13" t="s">
        <v>4672</v>
      </c>
      <c r="L2315" s="12" t="s">
        <v>4672</v>
      </c>
      <c r="M2315" s="17" t="str">
        <f>IF(LEN(COUNTIFS($H$1:H2315,$H2315,$I$1:I2315,$I2315,$J$1:J2315,$J2315,$K$1:K2315,K2315,$L$1:L2315,L2315))=1,"00"&amp;COUNTIFS($H$1:H2315,$H2315,$I$1:I2315,$I2315,$J$1:J2315,$J2315,$K$1:K2315,K2315,$L$1:L2315,L2315),IF(LEN(COUNTIFS($H$1:H2315,$H2315,$I$1:I2315,$I2315,$J$1:J2315,$J2315,$K$1:K2315,K2315,$L$1:L2315,L2315))=2,"0"&amp;COUNTIFS($H$1:H2315,$H2315,$I$1:I2315,$I2315,$J$1:J2315,$J2315,$K$1:K2315,K2315,$L$1:L2315,L2315),COUNTIFS($H$1:H2315,$H2315,$I$1:I2315,$I2315,$J$1:J2315,$J2315,$K$1:K2315,K2315,$L$1:L2315,L2315)))</f>
        <v>021</v>
      </c>
      <c r="N231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15" s="14" t="e">
        <f>+LEN(Table4[[#This Row],[New Item Code]])</f>
        <v>#N/A</v>
      </c>
      <c r="P2315" s="15" t="s">
        <v>4747</v>
      </c>
      <c r="Q2315" s="15" t="s">
        <v>4749</v>
      </c>
      <c r="R2315" s="15"/>
      <c r="S2315" s="15"/>
      <c r="T2315" s="15" t="s">
        <v>4729</v>
      </c>
    </row>
    <row r="2316" spans="1:20" x14ac:dyDescent="0.35">
      <c r="A2316" s="3" t="s">
        <v>4563</v>
      </c>
      <c r="B2316" s="3" t="s">
        <v>4564</v>
      </c>
      <c r="C2316" s="3" t="s">
        <v>9</v>
      </c>
      <c r="D2316" s="3">
        <v>215.28</v>
      </c>
      <c r="E2316" s="3" t="s">
        <v>10</v>
      </c>
      <c r="F2316" s="3">
        <v>1</v>
      </c>
      <c r="G2316" s="21">
        <f>Table4[[#This Row],[Item Cost]]*Table4[[#This Row],[In Stock]]</f>
        <v>215.28</v>
      </c>
      <c r="H2316" s="12" t="s">
        <v>4661</v>
      </c>
      <c r="I2316" s="13" t="s">
        <v>4664</v>
      </c>
      <c r="J2316" s="13" t="s">
        <v>4729</v>
      </c>
      <c r="K2316" s="13" t="s">
        <v>4672</v>
      </c>
      <c r="L2316" s="12" t="s">
        <v>4672</v>
      </c>
      <c r="M2316" s="17" t="str">
        <f>IF(LEN(COUNTIFS($H$1:H2316,$H2316,$I$1:I2316,$I2316,$J$1:J2316,$J2316,$K$1:K2316,K2316,$L$1:L2316,L2316))=1,"00"&amp;COUNTIFS($H$1:H2316,$H2316,$I$1:I2316,$I2316,$J$1:J2316,$J2316,$K$1:K2316,K2316,$L$1:L2316,L2316),IF(LEN(COUNTIFS($H$1:H2316,$H2316,$I$1:I2316,$I2316,$J$1:J2316,$J2316,$K$1:K2316,K2316,$L$1:L2316,L2316))=2,"0"&amp;COUNTIFS($H$1:H2316,$H2316,$I$1:I2316,$I2316,$J$1:J2316,$J2316,$K$1:K2316,K2316,$L$1:L2316,L2316),COUNTIFS($H$1:H2316,$H2316,$I$1:I2316,$I2316,$J$1:J2316,$J2316,$K$1:K2316,K2316,$L$1:L2316,L2316)))</f>
        <v>022</v>
      </c>
      <c r="N231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16" s="14" t="e">
        <f>+LEN(Table4[[#This Row],[New Item Code]])</f>
        <v>#N/A</v>
      </c>
      <c r="P2316" s="15" t="s">
        <v>4747</v>
      </c>
      <c r="Q2316" s="15" t="s">
        <v>4749</v>
      </c>
      <c r="R2316" s="15"/>
      <c r="S2316" s="15"/>
      <c r="T2316" s="15" t="s">
        <v>4729</v>
      </c>
    </row>
    <row r="2317" spans="1:20" x14ac:dyDescent="0.35">
      <c r="A2317" s="2" t="s">
        <v>4565</v>
      </c>
      <c r="B2317" s="2" t="s">
        <v>4566</v>
      </c>
      <c r="C2317" s="2" t="s">
        <v>9</v>
      </c>
      <c r="D2317" s="2">
        <v>2989.26</v>
      </c>
      <c r="E2317" s="2" t="s">
        <v>10</v>
      </c>
      <c r="F2317" s="2">
        <v>1</v>
      </c>
      <c r="G2317" s="22">
        <f>Table4[[#This Row],[Item Cost]]*Table4[[#This Row],[In Stock]]</f>
        <v>2989.26</v>
      </c>
      <c r="H2317" s="12" t="s">
        <v>4661</v>
      </c>
      <c r="I2317" s="13" t="s">
        <v>4664</v>
      </c>
      <c r="J2317" s="13" t="s">
        <v>4729</v>
      </c>
      <c r="K2317" s="13" t="s">
        <v>4672</v>
      </c>
      <c r="L2317" s="12" t="s">
        <v>4672</v>
      </c>
      <c r="M2317" s="17" t="str">
        <f>IF(LEN(COUNTIFS($H$1:H2317,$H2317,$I$1:I2317,$I2317,$J$1:J2317,$J2317,$K$1:K2317,K2317,$L$1:L2317,L2317))=1,"00"&amp;COUNTIFS($H$1:H2317,$H2317,$I$1:I2317,$I2317,$J$1:J2317,$J2317,$K$1:K2317,K2317,$L$1:L2317,L2317),IF(LEN(COUNTIFS($H$1:H2317,$H2317,$I$1:I2317,$I2317,$J$1:J2317,$J2317,$K$1:K2317,K2317,$L$1:L2317,L2317))=2,"0"&amp;COUNTIFS($H$1:H2317,$H2317,$I$1:I2317,$I2317,$J$1:J2317,$J2317,$K$1:K2317,K2317,$L$1:L2317,L2317),COUNTIFS($H$1:H2317,$H2317,$I$1:I2317,$I2317,$J$1:J2317,$J2317,$K$1:K2317,K2317,$L$1:L2317,L2317)))</f>
        <v>023</v>
      </c>
      <c r="N231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17" s="14" t="e">
        <f>+LEN(Table4[[#This Row],[New Item Code]])</f>
        <v>#N/A</v>
      </c>
      <c r="P2317" s="15" t="s">
        <v>4747</v>
      </c>
      <c r="Q2317" s="15" t="s">
        <v>4749</v>
      </c>
      <c r="R2317" s="15"/>
      <c r="S2317" s="15"/>
      <c r="T2317" s="15" t="s">
        <v>4729</v>
      </c>
    </row>
    <row r="2318" spans="1:20" x14ac:dyDescent="0.35">
      <c r="A2318" s="3" t="s">
        <v>4567</v>
      </c>
      <c r="B2318" s="3" t="s">
        <v>4568</v>
      </c>
      <c r="C2318" s="3" t="s">
        <v>9</v>
      </c>
      <c r="D2318" s="3">
        <v>7929.55</v>
      </c>
      <c r="E2318" s="3" t="s">
        <v>10</v>
      </c>
      <c r="F2318" s="3">
        <v>1</v>
      </c>
      <c r="G2318" s="21">
        <f>Table4[[#This Row],[Item Cost]]*Table4[[#This Row],[In Stock]]</f>
        <v>7929.55</v>
      </c>
      <c r="H2318" s="12" t="s">
        <v>4661</v>
      </c>
      <c r="I2318" s="13" t="s">
        <v>4664</v>
      </c>
      <c r="J2318" s="13" t="s">
        <v>4729</v>
      </c>
      <c r="K2318" s="13" t="s">
        <v>4672</v>
      </c>
      <c r="L2318" s="12" t="s">
        <v>4672</v>
      </c>
      <c r="M2318" s="17" t="str">
        <f>IF(LEN(COUNTIFS($H$1:H2318,$H2318,$I$1:I2318,$I2318,$J$1:J2318,$J2318,$K$1:K2318,K2318,$L$1:L2318,L2318))=1,"00"&amp;COUNTIFS($H$1:H2318,$H2318,$I$1:I2318,$I2318,$J$1:J2318,$J2318,$K$1:K2318,K2318,$L$1:L2318,L2318),IF(LEN(COUNTIFS($H$1:H2318,$H2318,$I$1:I2318,$I2318,$J$1:J2318,$J2318,$K$1:K2318,K2318,$L$1:L2318,L2318))=2,"0"&amp;COUNTIFS($H$1:H2318,$H2318,$I$1:I2318,$I2318,$J$1:J2318,$J2318,$K$1:K2318,K2318,$L$1:L2318,L2318),COUNTIFS($H$1:H2318,$H2318,$I$1:I2318,$I2318,$J$1:J2318,$J2318,$K$1:K2318,K2318,$L$1:L2318,L2318)))</f>
        <v>024</v>
      </c>
      <c r="N231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18" s="14" t="e">
        <f>+LEN(Table4[[#This Row],[New Item Code]])</f>
        <v>#N/A</v>
      </c>
      <c r="P2318" s="15" t="s">
        <v>4747</v>
      </c>
      <c r="Q2318" s="15" t="s">
        <v>4749</v>
      </c>
      <c r="R2318" s="15"/>
      <c r="S2318" s="15"/>
      <c r="T2318" s="15" t="s">
        <v>4729</v>
      </c>
    </row>
    <row r="2319" spans="1:20" x14ac:dyDescent="0.35">
      <c r="A2319" s="2" t="s">
        <v>4569</v>
      </c>
      <c r="B2319" s="2" t="s">
        <v>4570</v>
      </c>
      <c r="C2319" s="2" t="s">
        <v>9</v>
      </c>
      <c r="D2319" s="2">
        <v>290.13</v>
      </c>
      <c r="E2319" s="2" t="s">
        <v>10</v>
      </c>
      <c r="F2319" s="2">
        <v>2</v>
      </c>
      <c r="G2319" s="22">
        <f>Table4[[#This Row],[Item Cost]]*Table4[[#This Row],[In Stock]]</f>
        <v>580.26</v>
      </c>
      <c r="H2319" s="12" t="s">
        <v>4661</v>
      </c>
      <c r="I2319" s="13" t="s">
        <v>4664</v>
      </c>
      <c r="J2319" s="13" t="s">
        <v>4729</v>
      </c>
      <c r="K2319" s="13" t="s">
        <v>4672</v>
      </c>
      <c r="L2319" s="12" t="s">
        <v>4672</v>
      </c>
      <c r="M2319" s="17" t="str">
        <f>IF(LEN(COUNTIFS($H$1:H2319,$H2319,$I$1:I2319,$I2319,$J$1:J2319,$J2319,$K$1:K2319,K2319,$L$1:L2319,L2319))=1,"00"&amp;COUNTIFS($H$1:H2319,$H2319,$I$1:I2319,$I2319,$J$1:J2319,$J2319,$K$1:K2319,K2319,$L$1:L2319,L2319),IF(LEN(COUNTIFS($H$1:H2319,$H2319,$I$1:I2319,$I2319,$J$1:J2319,$J2319,$K$1:K2319,K2319,$L$1:L2319,L2319))=2,"0"&amp;COUNTIFS($H$1:H2319,$H2319,$I$1:I2319,$I2319,$J$1:J2319,$J2319,$K$1:K2319,K2319,$L$1:L2319,L2319),COUNTIFS($H$1:H2319,$H2319,$I$1:I2319,$I2319,$J$1:J2319,$J2319,$K$1:K2319,K2319,$L$1:L2319,L2319)))</f>
        <v>025</v>
      </c>
      <c r="N231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19" s="14" t="e">
        <f>+LEN(Table4[[#This Row],[New Item Code]])</f>
        <v>#N/A</v>
      </c>
      <c r="P2319" s="15" t="s">
        <v>4747</v>
      </c>
      <c r="Q2319" s="15" t="s">
        <v>4749</v>
      </c>
      <c r="R2319" s="15"/>
      <c r="S2319" s="15"/>
      <c r="T2319" s="15" t="s">
        <v>4729</v>
      </c>
    </row>
    <row r="2320" spans="1:20" x14ac:dyDescent="0.35">
      <c r="A2320" s="3" t="s">
        <v>4571</v>
      </c>
      <c r="B2320" s="3" t="s">
        <v>4572</v>
      </c>
      <c r="C2320" s="3" t="s">
        <v>9</v>
      </c>
      <c r="D2320" s="5">
        <v>223.77</v>
      </c>
      <c r="E2320" s="3" t="s">
        <v>10</v>
      </c>
      <c r="F2320" s="3">
        <v>2</v>
      </c>
      <c r="G2320" s="21">
        <f>Table4[[#This Row],[Item Cost]]*Table4[[#This Row],[In Stock]]</f>
        <v>447.54</v>
      </c>
      <c r="H2320" s="12" t="s">
        <v>4661</v>
      </c>
      <c r="I2320" s="13" t="s">
        <v>4664</v>
      </c>
      <c r="J2320" s="13" t="s">
        <v>4729</v>
      </c>
      <c r="K2320" s="13" t="s">
        <v>4672</v>
      </c>
      <c r="L2320" s="12" t="s">
        <v>4672</v>
      </c>
      <c r="M2320" s="17" t="str">
        <f>IF(LEN(COUNTIFS($H$1:H2320,$H2320,$I$1:I2320,$I2320,$J$1:J2320,$J2320,$K$1:K2320,K2320,$L$1:L2320,L2320))=1,"00"&amp;COUNTIFS($H$1:H2320,$H2320,$I$1:I2320,$I2320,$J$1:J2320,$J2320,$K$1:K2320,K2320,$L$1:L2320,L2320),IF(LEN(COUNTIFS($H$1:H2320,$H2320,$I$1:I2320,$I2320,$J$1:J2320,$J2320,$K$1:K2320,K2320,$L$1:L2320,L2320))=2,"0"&amp;COUNTIFS($H$1:H2320,$H2320,$I$1:I2320,$I2320,$J$1:J2320,$J2320,$K$1:K2320,K2320,$L$1:L2320,L2320),COUNTIFS($H$1:H2320,$H2320,$I$1:I2320,$I2320,$J$1:J2320,$J2320,$K$1:K2320,K2320,$L$1:L2320,L2320)))</f>
        <v>026</v>
      </c>
      <c r="N232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20" s="14" t="e">
        <f>+LEN(Table4[[#This Row],[New Item Code]])</f>
        <v>#N/A</v>
      </c>
      <c r="P2320" s="15" t="s">
        <v>4747</v>
      </c>
      <c r="Q2320" s="15" t="s">
        <v>4749</v>
      </c>
      <c r="R2320" s="15"/>
      <c r="S2320" s="15"/>
      <c r="T2320" s="15" t="s">
        <v>4729</v>
      </c>
    </row>
    <row r="2321" spans="1:20" x14ac:dyDescent="0.35">
      <c r="A2321" s="2" t="s">
        <v>4573</v>
      </c>
      <c r="B2321" s="2" t="s">
        <v>4574</v>
      </c>
      <c r="C2321" s="2" t="s">
        <v>9</v>
      </c>
      <c r="D2321" s="4">
        <v>744.03499999999997</v>
      </c>
      <c r="E2321" s="2" t="s">
        <v>10</v>
      </c>
      <c r="F2321" s="2">
        <v>2</v>
      </c>
      <c r="G2321" s="22">
        <f>Table4[[#This Row],[Item Cost]]*Table4[[#This Row],[In Stock]]</f>
        <v>1488.07</v>
      </c>
      <c r="H2321" s="12" t="s">
        <v>4661</v>
      </c>
      <c r="I2321" s="13" t="s">
        <v>4664</v>
      </c>
      <c r="J2321" s="13" t="s">
        <v>4729</v>
      </c>
      <c r="K2321" s="13" t="s">
        <v>4672</v>
      </c>
      <c r="L2321" s="12" t="s">
        <v>4672</v>
      </c>
      <c r="M2321" s="17" t="str">
        <f>IF(LEN(COUNTIFS($H$1:H2321,$H2321,$I$1:I2321,$I2321,$J$1:J2321,$J2321,$K$1:K2321,K2321,$L$1:L2321,L2321))=1,"00"&amp;COUNTIFS($H$1:H2321,$H2321,$I$1:I2321,$I2321,$J$1:J2321,$J2321,$K$1:K2321,K2321,$L$1:L2321,L2321),IF(LEN(COUNTIFS($H$1:H2321,$H2321,$I$1:I2321,$I2321,$J$1:J2321,$J2321,$K$1:K2321,K2321,$L$1:L2321,L2321))=2,"0"&amp;COUNTIFS($H$1:H2321,$H2321,$I$1:I2321,$I2321,$J$1:J2321,$J2321,$K$1:K2321,K2321,$L$1:L2321,L2321),COUNTIFS($H$1:H2321,$H2321,$I$1:I2321,$I2321,$J$1:J2321,$J2321,$K$1:K2321,K2321,$L$1:L2321,L2321)))</f>
        <v>027</v>
      </c>
      <c r="N232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21" s="14" t="e">
        <f>+LEN(Table4[[#This Row],[New Item Code]])</f>
        <v>#N/A</v>
      </c>
      <c r="P2321" s="15" t="s">
        <v>4747</v>
      </c>
      <c r="Q2321" s="15" t="s">
        <v>4749</v>
      </c>
      <c r="R2321" s="15"/>
      <c r="S2321" s="15"/>
      <c r="T2321" s="15" t="s">
        <v>4729</v>
      </c>
    </row>
    <row r="2322" spans="1:20" x14ac:dyDescent="0.35">
      <c r="A2322" s="3" t="s">
        <v>4575</v>
      </c>
      <c r="B2322" s="3" t="s">
        <v>4576</v>
      </c>
      <c r="C2322" s="3" t="s">
        <v>9</v>
      </c>
      <c r="D2322" s="3">
        <v>630.79999999999995</v>
      </c>
      <c r="E2322" s="3" t="s">
        <v>10</v>
      </c>
      <c r="F2322" s="3">
        <v>1</v>
      </c>
      <c r="G2322" s="21">
        <f>Table4[[#This Row],[Item Cost]]*Table4[[#This Row],[In Stock]]</f>
        <v>630.79999999999995</v>
      </c>
      <c r="H2322" s="12" t="s">
        <v>4661</v>
      </c>
      <c r="I2322" s="13" t="s">
        <v>4664</v>
      </c>
      <c r="J2322" s="13" t="s">
        <v>4729</v>
      </c>
      <c r="K2322" s="13" t="s">
        <v>4672</v>
      </c>
      <c r="L2322" s="12" t="s">
        <v>4672</v>
      </c>
      <c r="M2322" s="17" t="str">
        <f>IF(LEN(COUNTIFS($H$1:H2322,$H2322,$I$1:I2322,$I2322,$J$1:J2322,$J2322,$K$1:K2322,K2322,$L$1:L2322,L2322))=1,"00"&amp;COUNTIFS($H$1:H2322,$H2322,$I$1:I2322,$I2322,$J$1:J2322,$J2322,$K$1:K2322,K2322,$L$1:L2322,L2322),IF(LEN(COUNTIFS($H$1:H2322,$H2322,$I$1:I2322,$I2322,$J$1:J2322,$J2322,$K$1:K2322,K2322,$L$1:L2322,L2322))=2,"0"&amp;COUNTIFS($H$1:H2322,$H2322,$I$1:I2322,$I2322,$J$1:J2322,$J2322,$K$1:K2322,K2322,$L$1:L2322,L2322),COUNTIFS($H$1:H2322,$H2322,$I$1:I2322,$I2322,$J$1:J2322,$J2322,$K$1:K2322,K2322,$L$1:L2322,L2322)))</f>
        <v>028</v>
      </c>
      <c r="N232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22" s="14" t="e">
        <f>+LEN(Table4[[#This Row],[New Item Code]])</f>
        <v>#N/A</v>
      </c>
      <c r="P2322" s="15" t="s">
        <v>4747</v>
      </c>
      <c r="Q2322" s="15" t="s">
        <v>4749</v>
      </c>
      <c r="R2322" s="15"/>
      <c r="S2322" s="15"/>
      <c r="T2322" s="15" t="s">
        <v>4729</v>
      </c>
    </row>
    <row r="2323" spans="1:20" x14ac:dyDescent="0.35">
      <c r="A2323" s="2" t="s">
        <v>4577</v>
      </c>
      <c r="B2323" s="2" t="s">
        <v>4578</v>
      </c>
      <c r="C2323" s="2" t="s">
        <v>9</v>
      </c>
      <c r="D2323" s="2">
        <v>1034.355</v>
      </c>
      <c r="E2323" s="2" t="s">
        <v>10</v>
      </c>
      <c r="F2323" s="2">
        <v>2</v>
      </c>
      <c r="G2323" s="22">
        <f>Table4[[#This Row],[Item Cost]]*Table4[[#This Row],[In Stock]]</f>
        <v>2068.71</v>
      </c>
      <c r="H2323" s="12" t="s">
        <v>4661</v>
      </c>
      <c r="I2323" s="13" t="s">
        <v>4664</v>
      </c>
      <c r="J2323" s="13" t="s">
        <v>4729</v>
      </c>
      <c r="K2323" s="13" t="s">
        <v>4776</v>
      </c>
      <c r="L2323" s="12" t="s">
        <v>4672</v>
      </c>
      <c r="M2323" s="17" t="str">
        <f>IF(LEN(COUNTIFS($H$1:H2323,$H2323,$I$1:I2323,$I2323,$J$1:J2323,$J2323,$K$1:K2323,K2323,$L$1:L2323,L2323))=1,"00"&amp;COUNTIFS($H$1:H2323,$H2323,$I$1:I2323,$I2323,$J$1:J2323,$J2323,$K$1:K2323,K2323,$L$1:L2323,L2323),IF(LEN(COUNTIFS($H$1:H2323,$H2323,$I$1:I2323,$I2323,$J$1:J2323,$J2323,$K$1:K2323,K2323,$L$1:L2323,L2323))=2,"0"&amp;COUNTIFS($H$1:H2323,$H2323,$I$1:I2323,$I2323,$J$1:J2323,$J2323,$K$1:K2323,K2323,$L$1:L2323,L2323),COUNTIFS($H$1:H2323,$H2323,$I$1:I2323,$I2323,$J$1:J2323,$J2323,$K$1:K2323,K2323,$L$1:L2323,L2323)))</f>
        <v>001</v>
      </c>
      <c r="N232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23" s="14" t="e">
        <f>+LEN(Table4[[#This Row],[New Item Code]])</f>
        <v>#N/A</v>
      </c>
      <c r="P2323" s="15" t="s">
        <v>4747</v>
      </c>
      <c r="Q2323" s="15" t="s">
        <v>4749</v>
      </c>
      <c r="R2323" s="15"/>
      <c r="S2323" s="15"/>
      <c r="T2323" s="15" t="s">
        <v>4729</v>
      </c>
    </row>
    <row r="2324" spans="1:20" x14ac:dyDescent="0.35">
      <c r="A2324" s="3" t="s">
        <v>4579</v>
      </c>
      <c r="B2324" s="3" t="s">
        <v>4580</v>
      </c>
      <c r="C2324" s="3" t="s">
        <v>9</v>
      </c>
      <c r="D2324" s="3">
        <v>13261.06</v>
      </c>
      <c r="E2324" s="3" t="s">
        <v>10</v>
      </c>
      <c r="F2324" s="3">
        <v>1</v>
      </c>
      <c r="G2324" s="21">
        <f>Table4[[#This Row],[Item Cost]]*Table4[[#This Row],[In Stock]]</f>
        <v>13261.06</v>
      </c>
      <c r="H2324" s="12" t="s">
        <v>4661</v>
      </c>
      <c r="I2324" s="13" t="s">
        <v>4664</v>
      </c>
      <c r="J2324" s="13" t="s">
        <v>4729</v>
      </c>
      <c r="K2324" s="13" t="s">
        <v>4776</v>
      </c>
      <c r="L2324" s="12" t="s">
        <v>4672</v>
      </c>
      <c r="M2324" s="17" t="str">
        <f>IF(LEN(COUNTIFS($H$1:H2324,$H2324,$I$1:I2324,$I2324,$J$1:J2324,$J2324,$K$1:K2324,K2324,$L$1:L2324,L2324))=1,"00"&amp;COUNTIFS($H$1:H2324,$H2324,$I$1:I2324,$I2324,$J$1:J2324,$J2324,$K$1:K2324,K2324,$L$1:L2324,L2324),IF(LEN(COUNTIFS($H$1:H2324,$H2324,$I$1:I2324,$I2324,$J$1:J2324,$J2324,$K$1:K2324,K2324,$L$1:L2324,L2324))=2,"0"&amp;COUNTIFS($H$1:H2324,$H2324,$I$1:I2324,$I2324,$J$1:J2324,$J2324,$K$1:K2324,K2324,$L$1:L2324,L2324),COUNTIFS($H$1:H2324,$H2324,$I$1:I2324,$I2324,$J$1:J2324,$J2324,$K$1:K2324,K2324,$L$1:L2324,L2324)))</f>
        <v>002</v>
      </c>
      <c r="N232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24" s="14" t="e">
        <f>+LEN(Table4[[#This Row],[New Item Code]])</f>
        <v>#N/A</v>
      </c>
      <c r="P2324" s="15" t="s">
        <v>4747</v>
      </c>
      <c r="Q2324" s="15" t="s">
        <v>4749</v>
      </c>
      <c r="R2324" s="15"/>
      <c r="S2324" s="15"/>
      <c r="T2324" s="15" t="s">
        <v>4729</v>
      </c>
    </row>
    <row r="2325" spans="1:20" x14ac:dyDescent="0.35">
      <c r="A2325" s="2" t="s">
        <v>4581</v>
      </c>
      <c r="B2325" s="2" t="s">
        <v>4582</v>
      </c>
      <c r="C2325" s="2" t="s">
        <v>9</v>
      </c>
      <c r="D2325" s="2">
        <v>540.32500000000005</v>
      </c>
      <c r="E2325" s="2" t="s">
        <v>10</v>
      </c>
      <c r="F2325" s="2">
        <v>2</v>
      </c>
      <c r="G2325" s="22">
        <f>Table4[[#This Row],[Item Cost]]*Table4[[#This Row],[In Stock]]</f>
        <v>1080.6500000000001</v>
      </c>
      <c r="H2325" s="12" t="s">
        <v>4661</v>
      </c>
      <c r="I2325" s="13" t="s">
        <v>4664</v>
      </c>
      <c r="J2325" s="13" t="s">
        <v>4729</v>
      </c>
      <c r="K2325" s="13" t="s">
        <v>4776</v>
      </c>
      <c r="L2325" s="12" t="s">
        <v>4672</v>
      </c>
      <c r="M2325" s="17" t="str">
        <f>IF(LEN(COUNTIFS($H$1:H2325,$H2325,$I$1:I2325,$I2325,$J$1:J2325,$J2325,$K$1:K2325,K2325,$L$1:L2325,L2325))=1,"00"&amp;COUNTIFS($H$1:H2325,$H2325,$I$1:I2325,$I2325,$J$1:J2325,$J2325,$K$1:K2325,K2325,$L$1:L2325,L2325),IF(LEN(COUNTIFS($H$1:H2325,$H2325,$I$1:I2325,$I2325,$J$1:J2325,$J2325,$K$1:K2325,K2325,$L$1:L2325,L2325))=2,"0"&amp;COUNTIFS($H$1:H2325,$H2325,$I$1:I2325,$I2325,$J$1:J2325,$J2325,$K$1:K2325,K2325,$L$1:L2325,L2325),COUNTIFS($H$1:H2325,$H2325,$I$1:I2325,$I2325,$J$1:J2325,$J2325,$K$1:K2325,K2325,$L$1:L2325,L2325)))</f>
        <v>003</v>
      </c>
      <c r="N232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25" s="14" t="e">
        <f>+LEN(Table4[[#This Row],[New Item Code]])</f>
        <v>#N/A</v>
      </c>
      <c r="P2325" s="15" t="s">
        <v>4747</v>
      </c>
      <c r="Q2325" s="15" t="s">
        <v>4749</v>
      </c>
      <c r="R2325" s="15"/>
      <c r="S2325" s="15"/>
      <c r="T2325" s="15" t="s">
        <v>4729</v>
      </c>
    </row>
    <row r="2326" spans="1:20" x14ac:dyDescent="0.35">
      <c r="A2326" s="3" t="s">
        <v>4583</v>
      </c>
      <c r="B2326" s="3" t="s">
        <v>4584</v>
      </c>
      <c r="C2326" s="3" t="s">
        <v>9</v>
      </c>
      <c r="D2326" s="5">
        <v>212.965</v>
      </c>
      <c r="E2326" s="3" t="s">
        <v>10</v>
      </c>
      <c r="F2326" s="3">
        <v>2</v>
      </c>
      <c r="G2326" s="21">
        <f>Table4[[#This Row],[Item Cost]]*Table4[[#This Row],[In Stock]]</f>
        <v>425.93</v>
      </c>
      <c r="H2326" s="12" t="s">
        <v>4661</v>
      </c>
      <c r="I2326" s="13" t="s">
        <v>4664</v>
      </c>
      <c r="J2326" s="13" t="s">
        <v>4729</v>
      </c>
      <c r="K2326" s="13" t="s">
        <v>4672</v>
      </c>
      <c r="L2326" s="12" t="s">
        <v>4672</v>
      </c>
      <c r="M2326" s="17" t="str">
        <f>IF(LEN(COUNTIFS($H$1:H2326,$H2326,$I$1:I2326,$I2326,$J$1:J2326,$J2326,$K$1:K2326,K2326,$L$1:L2326,L2326))=1,"00"&amp;COUNTIFS($H$1:H2326,$H2326,$I$1:I2326,$I2326,$J$1:J2326,$J2326,$K$1:K2326,K2326,$L$1:L2326,L2326),IF(LEN(COUNTIFS($H$1:H2326,$H2326,$I$1:I2326,$I2326,$J$1:J2326,$J2326,$K$1:K2326,K2326,$L$1:L2326,L2326))=2,"0"&amp;COUNTIFS($H$1:H2326,$H2326,$I$1:I2326,$I2326,$J$1:J2326,$J2326,$K$1:K2326,K2326,$L$1:L2326,L2326),COUNTIFS($H$1:H2326,$H2326,$I$1:I2326,$I2326,$J$1:J2326,$J2326,$K$1:K2326,K2326,$L$1:L2326,L2326)))</f>
        <v>029</v>
      </c>
      <c r="N232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26" s="14" t="e">
        <f>+LEN(Table4[[#This Row],[New Item Code]])</f>
        <v>#N/A</v>
      </c>
      <c r="P2326" s="15" t="s">
        <v>4747</v>
      </c>
      <c r="Q2326" s="15" t="s">
        <v>4749</v>
      </c>
      <c r="R2326" s="15"/>
      <c r="S2326" s="15"/>
      <c r="T2326" s="15" t="s">
        <v>4729</v>
      </c>
    </row>
    <row r="2327" spans="1:20" x14ac:dyDescent="0.35">
      <c r="A2327" s="2" t="s">
        <v>4585</v>
      </c>
      <c r="B2327" s="2" t="s">
        <v>4586</v>
      </c>
      <c r="C2327" s="2" t="s">
        <v>9</v>
      </c>
      <c r="D2327" s="4">
        <v>645.85</v>
      </c>
      <c r="E2327" s="2" t="s">
        <v>10</v>
      </c>
      <c r="F2327" s="2">
        <v>1</v>
      </c>
      <c r="G2327" s="22">
        <f>Table4[[#This Row],[Item Cost]]*Table4[[#This Row],[In Stock]]</f>
        <v>645.85</v>
      </c>
      <c r="H2327" s="12" t="s">
        <v>4661</v>
      </c>
      <c r="I2327" s="13" t="s">
        <v>4664</v>
      </c>
      <c r="J2327" s="13" t="s">
        <v>4729</v>
      </c>
      <c r="K2327" s="13" t="s">
        <v>4776</v>
      </c>
      <c r="L2327" s="12" t="s">
        <v>4672</v>
      </c>
      <c r="M2327" s="17" t="str">
        <f>IF(LEN(COUNTIFS($H$1:H2327,$H2327,$I$1:I2327,$I2327,$J$1:J2327,$J2327,$K$1:K2327,K2327,$L$1:L2327,L2327))=1,"00"&amp;COUNTIFS($H$1:H2327,$H2327,$I$1:I2327,$I2327,$J$1:J2327,$J2327,$K$1:K2327,K2327,$L$1:L2327,L2327),IF(LEN(COUNTIFS($H$1:H2327,$H2327,$I$1:I2327,$I2327,$J$1:J2327,$J2327,$K$1:K2327,K2327,$L$1:L2327,L2327))=2,"0"&amp;COUNTIFS($H$1:H2327,$H2327,$I$1:I2327,$I2327,$J$1:J2327,$J2327,$K$1:K2327,K2327,$L$1:L2327,L2327),COUNTIFS($H$1:H2327,$H2327,$I$1:I2327,$I2327,$J$1:J2327,$J2327,$K$1:K2327,K2327,$L$1:L2327,L2327)))</f>
        <v>004</v>
      </c>
      <c r="N232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27" s="14" t="e">
        <f>+LEN(Table4[[#This Row],[New Item Code]])</f>
        <v>#N/A</v>
      </c>
      <c r="P2327" s="15" t="s">
        <v>4747</v>
      </c>
      <c r="Q2327" s="15" t="s">
        <v>4749</v>
      </c>
      <c r="R2327" s="15"/>
      <c r="S2327" s="15"/>
      <c r="T2327" s="15" t="s">
        <v>4729</v>
      </c>
    </row>
    <row r="2328" spans="1:20" x14ac:dyDescent="0.35">
      <c r="A2328" s="3" t="s">
        <v>4587</v>
      </c>
      <c r="B2328" s="3" t="s">
        <v>4588</v>
      </c>
      <c r="C2328" s="3" t="s">
        <v>9</v>
      </c>
      <c r="D2328" s="3">
        <v>7929.17</v>
      </c>
      <c r="E2328" s="3" t="s">
        <v>10</v>
      </c>
      <c r="F2328" s="3">
        <v>1</v>
      </c>
      <c r="G2328" s="21">
        <f>Table4[[#This Row],[Item Cost]]*Table4[[#This Row],[In Stock]]</f>
        <v>7929.17</v>
      </c>
      <c r="H2328" s="12" t="s">
        <v>4661</v>
      </c>
      <c r="I2328" s="13" t="s">
        <v>4664</v>
      </c>
      <c r="J2328" s="13" t="s">
        <v>4729</v>
      </c>
      <c r="K2328" s="13" t="s">
        <v>4672</v>
      </c>
      <c r="L2328" s="12" t="s">
        <v>4672</v>
      </c>
      <c r="M2328" s="17" t="str">
        <f>IF(LEN(COUNTIFS($H$1:H2328,$H2328,$I$1:I2328,$I2328,$J$1:J2328,$J2328,$K$1:K2328,K2328,$L$1:L2328,L2328))=1,"00"&amp;COUNTIFS($H$1:H2328,$H2328,$I$1:I2328,$I2328,$J$1:J2328,$J2328,$K$1:K2328,K2328,$L$1:L2328,L2328),IF(LEN(COUNTIFS($H$1:H2328,$H2328,$I$1:I2328,$I2328,$J$1:J2328,$J2328,$K$1:K2328,K2328,$L$1:L2328,L2328))=2,"0"&amp;COUNTIFS($H$1:H2328,$H2328,$I$1:I2328,$I2328,$J$1:J2328,$J2328,$K$1:K2328,K2328,$L$1:L2328,L2328),COUNTIFS($H$1:H2328,$H2328,$I$1:I2328,$I2328,$J$1:J2328,$J2328,$K$1:K2328,K2328,$L$1:L2328,L2328)))</f>
        <v>030</v>
      </c>
      <c r="N232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28" s="14" t="e">
        <f>+LEN(Table4[[#This Row],[New Item Code]])</f>
        <v>#N/A</v>
      </c>
      <c r="P2328" s="15" t="s">
        <v>4747</v>
      </c>
      <c r="Q2328" s="15" t="s">
        <v>4749</v>
      </c>
      <c r="R2328" s="15"/>
      <c r="S2328" s="15"/>
      <c r="T2328" s="15" t="s">
        <v>4729</v>
      </c>
    </row>
    <row r="2329" spans="1:20" x14ac:dyDescent="0.35">
      <c r="A2329" s="2" t="s">
        <v>4589</v>
      </c>
      <c r="B2329" s="2" t="s">
        <v>4590</v>
      </c>
      <c r="C2329" s="2" t="s">
        <v>9</v>
      </c>
      <c r="D2329" s="2">
        <v>703.14</v>
      </c>
      <c r="E2329" s="2" t="s">
        <v>10</v>
      </c>
      <c r="F2329" s="2">
        <v>1</v>
      </c>
      <c r="G2329" s="22">
        <f>Table4[[#This Row],[Item Cost]]*Table4[[#This Row],[In Stock]]</f>
        <v>703.14</v>
      </c>
      <c r="H2329" s="12" t="s">
        <v>4661</v>
      </c>
      <c r="I2329" s="13" t="s">
        <v>4664</v>
      </c>
      <c r="J2329" s="13" t="s">
        <v>4729</v>
      </c>
      <c r="K2329" s="13" t="s">
        <v>4776</v>
      </c>
      <c r="L2329" s="12" t="s">
        <v>4672</v>
      </c>
      <c r="M2329" s="17" t="str">
        <f>IF(LEN(COUNTIFS($H$1:H2329,$H2329,$I$1:I2329,$I2329,$J$1:J2329,$J2329,$K$1:K2329,K2329,$L$1:L2329,L2329))=1,"00"&amp;COUNTIFS($H$1:H2329,$H2329,$I$1:I2329,$I2329,$J$1:J2329,$J2329,$K$1:K2329,K2329,$L$1:L2329,L2329),IF(LEN(COUNTIFS($H$1:H2329,$H2329,$I$1:I2329,$I2329,$J$1:J2329,$J2329,$K$1:K2329,K2329,$L$1:L2329,L2329))=2,"0"&amp;COUNTIFS($H$1:H2329,$H2329,$I$1:I2329,$I2329,$J$1:J2329,$J2329,$K$1:K2329,K2329,$L$1:L2329,L2329),COUNTIFS($H$1:H2329,$H2329,$I$1:I2329,$I2329,$J$1:J2329,$J2329,$K$1:K2329,K2329,$L$1:L2329,L2329)))</f>
        <v>005</v>
      </c>
      <c r="N232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29" s="14" t="e">
        <f>+LEN(Table4[[#This Row],[New Item Code]])</f>
        <v>#N/A</v>
      </c>
      <c r="P2329" s="15" t="s">
        <v>4747</v>
      </c>
      <c r="Q2329" s="15" t="s">
        <v>4749</v>
      </c>
      <c r="R2329" s="15"/>
      <c r="S2329" s="15"/>
      <c r="T2329" s="15" t="s">
        <v>4729</v>
      </c>
    </row>
    <row r="2330" spans="1:20" x14ac:dyDescent="0.35">
      <c r="A2330" s="3" t="s">
        <v>4591</v>
      </c>
      <c r="B2330" s="3" t="s">
        <v>4592</v>
      </c>
      <c r="C2330" s="3" t="s">
        <v>9</v>
      </c>
      <c r="D2330" s="3">
        <v>1482.09</v>
      </c>
      <c r="E2330" s="3" t="s">
        <v>10</v>
      </c>
      <c r="F2330" s="3">
        <v>1</v>
      </c>
      <c r="G2330" s="21">
        <f>Table4[[#This Row],[Item Cost]]*Table4[[#This Row],[In Stock]]</f>
        <v>1482.09</v>
      </c>
      <c r="H2330" s="12" t="s">
        <v>4661</v>
      </c>
      <c r="I2330" s="13" t="s">
        <v>4664</v>
      </c>
      <c r="J2330" s="13" t="s">
        <v>4729</v>
      </c>
      <c r="K2330" s="13" t="s">
        <v>4776</v>
      </c>
      <c r="L2330" s="12" t="s">
        <v>4672</v>
      </c>
      <c r="M2330" s="17" t="str">
        <f>IF(LEN(COUNTIFS($H$1:H2330,$H2330,$I$1:I2330,$I2330,$J$1:J2330,$J2330,$K$1:K2330,K2330,$L$1:L2330,L2330))=1,"00"&amp;COUNTIFS($H$1:H2330,$H2330,$I$1:I2330,$I2330,$J$1:J2330,$J2330,$K$1:K2330,K2330,$L$1:L2330,L2330),IF(LEN(COUNTIFS($H$1:H2330,$H2330,$I$1:I2330,$I2330,$J$1:J2330,$J2330,$K$1:K2330,K2330,$L$1:L2330,L2330))=2,"0"&amp;COUNTIFS($H$1:H2330,$H2330,$I$1:I2330,$I2330,$J$1:J2330,$J2330,$K$1:K2330,K2330,$L$1:L2330,L2330),COUNTIFS($H$1:H2330,$H2330,$I$1:I2330,$I2330,$J$1:J2330,$J2330,$K$1:K2330,K2330,$L$1:L2330,L2330)))</f>
        <v>006</v>
      </c>
      <c r="N233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30" s="14" t="e">
        <f>+LEN(Table4[[#This Row],[New Item Code]])</f>
        <v>#N/A</v>
      </c>
      <c r="P2330" s="15" t="s">
        <v>4747</v>
      </c>
      <c r="Q2330" s="15" t="s">
        <v>4749</v>
      </c>
      <c r="R2330" s="15"/>
      <c r="S2330" s="15"/>
      <c r="T2330" s="15" t="s">
        <v>4729</v>
      </c>
    </row>
    <row r="2331" spans="1:20" x14ac:dyDescent="0.35">
      <c r="A2331" s="2" t="s">
        <v>4593</v>
      </c>
      <c r="B2331" s="2" t="s">
        <v>4594</v>
      </c>
      <c r="C2331" s="2" t="s">
        <v>9</v>
      </c>
      <c r="D2331" s="4">
        <v>4343.83</v>
      </c>
      <c r="E2331" s="2" t="s">
        <v>10</v>
      </c>
      <c r="F2331" s="2">
        <v>1</v>
      </c>
      <c r="G2331" s="22">
        <f>Table4[[#This Row],[Item Cost]]*Table4[[#This Row],[In Stock]]</f>
        <v>4343.83</v>
      </c>
      <c r="H2331" s="12" t="s">
        <v>4661</v>
      </c>
      <c r="I2331" s="13" t="s">
        <v>4664</v>
      </c>
      <c r="J2331" s="13" t="s">
        <v>4729</v>
      </c>
      <c r="K2331" s="13" t="s">
        <v>4776</v>
      </c>
      <c r="L2331" s="12" t="s">
        <v>4672</v>
      </c>
      <c r="M2331" s="17" t="str">
        <f>IF(LEN(COUNTIFS($H$1:H2331,$H2331,$I$1:I2331,$I2331,$J$1:J2331,$J2331,$K$1:K2331,K2331,$L$1:L2331,L2331))=1,"00"&amp;COUNTIFS($H$1:H2331,$H2331,$I$1:I2331,$I2331,$J$1:J2331,$J2331,$K$1:K2331,K2331,$L$1:L2331,L2331),IF(LEN(COUNTIFS($H$1:H2331,$H2331,$I$1:I2331,$I2331,$J$1:J2331,$J2331,$K$1:K2331,K2331,$L$1:L2331,L2331))=2,"0"&amp;COUNTIFS($H$1:H2331,$H2331,$I$1:I2331,$I2331,$J$1:J2331,$J2331,$K$1:K2331,K2331,$L$1:L2331,L2331),COUNTIFS($H$1:H2331,$H2331,$I$1:I2331,$I2331,$J$1:J2331,$J2331,$K$1:K2331,K2331,$L$1:L2331,L2331)))</f>
        <v>007</v>
      </c>
      <c r="N233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31" s="14" t="e">
        <f>+LEN(Table4[[#This Row],[New Item Code]])</f>
        <v>#N/A</v>
      </c>
      <c r="P2331" s="15" t="s">
        <v>4747</v>
      </c>
      <c r="Q2331" s="15" t="s">
        <v>4749</v>
      </c>
      <c r="R2331" s="15"/>
      <c r="S2331" s="15"/>
      <c r="T2331" s="15" t="s">
        <v>4729</v>
      </c>
    </row>
    <row r="2332" spans="1:20" x14ac:dyDescent="0.35">
      <c r="A2332" s="3" t="s">
        <v>4595</v>
      </c>
      <c r="B2332" s="3" t="s">
        <v>4596</v>
      </c>
      <c r="C2332" s="3" t="s">
        <v>9</v>
      </c>
      <c r="D2332" s="3">
        <v>2325.59</v>
      </c>
      <c r="E2332" s="3" t="s">
        <v>10</v>
      </c>
      <c r="F2332" s="3">
        <v>1</v>
      </c>
      <c r="G2332" s="21">
        <f>Table4[[#This Row],[Item Cost]]*Table4[[#This Row],[In Stock]]</f>
        <v>2325.59</v>
      </c>
      <c r="H2332" s="12" t="s">
        <v>4661</v>
      </c>
      <c r="I2332" s="13" t="s">
        <v>4664</v>
      </c>
      <c r="J2332" s="13" t="s">
        <v>4729</v>
      </c>
      <c r="K2332" s="13" t="s">
        <v>4672</v>
      </c>
      <c r="L2332" s="12" t="s">
        <v>4672</v>
      </c>
      <c r="M2332" s="17" t="str">
        <f>IF(LEN(COUNTIFS($H$1:H2332,$H2332,$I$1:I2332,$I2332,$J$1:J2332,$J2332,$K$1:K2332,K2332,$L$1:L2332,L2332))=1,"00"&amp;COUNTIFS($H$1:H2332,$H2332,$I$1:I2332,$I2332,$J$1:J2332,$J2332,$K$1:K2332,K2332,$L$1:L2332,L2332),IF(LEN(COUNTIFS($H$1:H2332,$H2332,$I$1:I2332,$I2332,$J$1:J2332,$J2332,$K$1:K2332,K2332,$L$1:L2332,L2332))=2,"0"&amp;COUNTIFS($H$1:H2332,$H2332,$I$1:I2332,$I2332,$J$1:J2332,$J2332,$K$1:K2332,K2332,$L$1:L2332,L2332),COUNTIFS($H$1:H2332,$H2332,$I$1:I2332,$I2332,$J$1:J2332,$J2332,$K$1:K2332,K2332,$L$1:L2332,L2332)))</f>
        <v>031</v>
      </c>
      <c r="N233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32" s="14" t="e">
        <f>+LEN(Table4[[#This Row],[New Item Code]])</f>
        <v>#N/A</v>
      </c>
      <c r="P2332" s="15" t="s">
        <v>4747</v>
      </c>
      <c r="Q2332" s="15" t="s">
        <v>4749</v>
      </c>
      <c r="R2332" s="15"/>
      <c r="S2332" s="15"/>
      <c r="T2332" s="15" t="s">
        <v>4729</v>
      </c>
    </row>
    <row r="2333" spans="1:20" x14ac:dyDescent="0.35">
      <c r="A2333" s="2" t="s">
        <v>4597</v>
      </c>
      <c r="B2333" s="2" t="s">
        <v>4598</v>
      </c>
      <c r="C2333" s="2" t="s">
        <v>9</v>
      </c>
      <c r="D2333" s="4">
        <v>2924.05</v>
      </c>
      <c r="E2333" s="2" t="s">
        <v>10</v>
      </c>
      <c r="F2333" s="2">
        <v>0</v>
      </c>
      <c r="G2333" s="22">
        <f>Table4[[#This Row],[Item Cost]]*Table4[[#This Row],[In Stock]]</f>
        <v>0</v>
      </c>
      <c r="H2333" s="12" t="s">
        <v>4661</v>
      </c>
      <c r="I2333" s="13" t="s">
        <v>4664</v>
      </c>
      <c r="J2333" s="13" t="s">
        <v>4729</v>
      </c>
      <c r="K2333" s="13" t="s">
        <v>4672</v>
      </c>
      <c r="L2333" s="12" t="s">
        <v>4672</v>
      </c>
      <c r="M2333" s="17" t="str">
        <f>IF(LEN(COUNTIFS($H$1:H2333,$H2333,$I$1:I2333,$I2333,$J$1:J2333,$J2333,$K$1:K2333,K2333,$L$1:L2333,L2333))=1,"00"&amp;COUNTIFS($H$1:H2333,$H2333,$I$1:I2333,$I2333,$J$1:J2333,$J2333,$K$1:K2333,K2333,$L$1:L2333,L2333),IF(LEN(COUNTIFS($H$1:H2333,$H2333,$I$1:I2333,$I2333,$J$1:J2333,$J2333,$K$1:K2333,K2333,$L$1:L2333,L2333))=2,"0"&amp;COUNTIFS($H$1:H2333,$H2333,$I$1:I2333,$I2333,$J$1:J2333,$J2333,$K$1:K2333,K2333,$L$1:L2333,L2333),COUNTIFS($H$1:H2333,$H2333,$I$1:I2333,$I2333,$J$1:J2333,$J2333,$K$1:K2333,K2333,$L$1:L2333,L2333)))</f>
        <v>032</v>
      </c>
      <c r="N233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33" s="14" t="e">
        <f>+LEN(Table4[[#This Row],[New Item Code]])</f>
        <v>#N/A</v>
      </c>
      <c r="P2333" s="15" t="s">
        <v>4747</v>
      </c>
      <c r="Q2333" s="15" t="s">
        <v>4749</v>
      </c>
      <c r="R2333" s="15"/>
      <c r="S2333" s="15"/>
      <c r="T2333" s="15" t="s">
        <v>4729</v>
      </c>
    </row>
    <row r="2334" spans="1:20" x14ac:dyDescent="0.35">
      <c r="A2334" s="3" t="s">
        <v>4599</v>
      </c>
      <c r="B2334" s="3" t="s">
        <v>4600</v>
      </c>
      <c r="C2334" s="3" t="s">
        <v>9</v>
      </c>
      <c r="D2334" s="5">
        <v>594.34</v>
      </c>
      <c r="E2334" s="3" t="s">
        <v>10</v>
      </c>
      <c r="F2334" s="3">
        <v>1</v>
      </c>
      <c r="G2334" s="21">
        <f>Table4[[#This Row],[Item Cost]]*Table4[[#This Row],[In Stock]]</f>
        <v>594.34</v>
      </c>
      <c r="H2334" s="12" t="s">
        <v>4661</v>
      </c>
      <c r="I2334" s="13" t="s">
        <v>4664</v>
      </c>
      <c r="J2334" s="13" t="s">
        <v>4729</v>
      </c>
      <c r="K2334" s="13" t="s">
        <v>4672</v>
      </c>
      <c r="L2334" s="12" t="s">
        <v>4672</v>
      </c>
      <c r="M2334" s="17" t="str">
        <f>IF(LEN(COUNTIFS($H$1:H2334,$H2334,$I$1:I2334,$I2334,$J$1:J2334,$J2334,$K$1:K2334,K2334,$L$1:L2334,L2334))=1,"00"&amp;COUNTIFS($H$1:H2334,$H2334,$I$1:I2334,$I2334,$J$1:J2334,$J2334,$K$1:K2334,K2334,$L$1:L2334,L2334),IF(LEN(COUNTIFS($H$1:H2334,$H2334,$I$1:I2334,$I2334,$J$1:J2334,$J2334,$K$1:K2334,K2334,$L$1:L2334,L2334))=2,"0"&amp;COUNTIFS($H$1:H2334,$H2334,$I$1:I2334,$I2334,$J$1:J2334,$J2334,$K$1:K2334,K2334,$L$1:L2334,L2334),COUNTIFS($H$1:H2334,$H2334,$I$1:I2334,$I2334,$J$1:J2334,$J2334,$K$1:K2334,K2334,$L$1:L2334,L2334)))</f>
        <v>033</v>
      </c>
      <c r="N233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34" s="14" t="e">
        <f>+LEN(Table4[[#This Row],[New Item Code]])</f>
        <v>#N/A</v>
      </c>
      <c r="P2334" s="15" t="s">
        <v>4747</v>
      </c>
      <c r="Q2334" s="15" t="s">
        <v>4749</v>
      </c>
      <c r="R2334" s="15"/>
      <c r="S2334" s="15"/>
      <c r="T2334" s="15" t="s">
        <v>4729</v>
      </c>
    </row>
    <row r="2335" spans="1:20" x14ac:dyDescent="0.35">
      <c r="A2335" s="2" t="s">
        <v>4601</v>
      </c>
      <c r="B2335" s="2" t="s">
        <v>4602</v>
      </c>
      <c r="C2335" s="2" t="s">
        <v>9</v>
      </c>
      <c r="D2335" s="4">
        <v>260</v>
      </c>
      <c r="E2335" s="2" t="s">
        <v>10</v>
      </c>
      <c r="F2335" s="2">
        <v>3</v>
      </c>
      <c r="G2335" s="22">
        <f>Table4[[#This Row],[Item Cost]]*Table4[[#This Row],[In Stock]]</f>
        <v>780</v>
      </c>
      <c r="H2335" s="12" t="s">
        <v>4661</v>
      </c>
      <c r="I2335" s="13" t="s">
        <v>4664</v>
      </c>
      <c r="J2335" s="13" t="s">
        <v>4729</v>
      </c>
      <c r="K2335" s="13" t="s">
        <v>4672</v>
      </c>
      <c r="L2335" s="12" t="s">
        <v>4672</v>
      </c>
      <c r="M2335" s="17" t="str">
        <f>IF(LEN(COUNTIFS($H$1:H2335,$H2335,$I$1:I2335,$I2335,$J$1:J2335,$J2335,$K$1:K2335,K2335,$L$1:L2335,L2335))=1,"00"&amp;COUNTIFS($H$1:H2335,$H2335,$I$1:I2335,$I2335,$J$1:J2335,$J2335,$K$1:K2335,K2335,$L$1:L2335,L2335),IF(LEN(COUNTIFS($H$1:H2335,$H2335,$I$1:I2335,$I2335,$J$1:J2335,$J2335,$K$1:K2335,K2335,$L$1:L2335,L2335))=2,"0"&amp;COUNTIFS($H$1:H2335,$H2335,$I$1:I2335,$I2335,$J$1:J2335,$J2335,$K$1:K2335,K2335,$L$1:L2335,L2335),COUNTIFS($H$1:H2335,$H2335,$I$1:I2335,$I2335,$J$1:J2335,$J2335,$K$1:K2335,K2335,$L$1:L2335,L2335)))</f>
        <v>034</v>
      </c>
      <c r="N233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35" s="14" t="e">
        <f>+LEN(Table4[[#This Row],[New Item Code]])</f>
        <v>#N/A</v>
      </c>
      <c r="P2335" s="15" t="s">
        <v>4747</v>
      </c>
      <c r="Q2335" s="15" t="s">
        <v>4749</v>
      </c>
      <c r="R2335" s="15"/>
      <c r="S2335" s="15"/>
      <c r="T2335" s="15" t="s">
        <v>4729</v>
      </c>
    </row>
    <row r="2336" spans="1:20" x14ac:dyDescent="0.35">
      <c r="A2336" s="3" t="s">
        <v>4603</v>
      </c>
      <c r="B2336" s="3" t="s">
        <v>4604</v>
      </c>
      <c r="C2336" s="3" t="s">
        <v>9</v>
      </c>
      <c r="D2336" s="5">
        <v>240</v>
      </c>
      <c r="E2336" s="3" t="s">
        <v>10</v>
      </c>
      <c r="F2336" s="3">
        <v>3</v>
      </c>
      <c r="G2336" s="21">
        <f>Table4[[#This Row],[Item Cost]]*Table4[[#This Row],[In Stock]]</f>
        <v>720</v>
      </c>
      <c r="H2336" s="12" t="s">
        <v>4661</v>
      </c>
      <c r="I2336" s="13" t="s">
        <v>4664</v>
      </c>
      <c r="J2336" s="13" t="s">
        <v>4729</v>
      </c>
      <c r="K2336" s="13" t="s">
        <v>4672</v>
      </c>
      <c r="L2336" s="12" t="s">
        <v>4672</v>
      </c>
      <c r="M2336" s="17" t="str">
        <f>IF(LEN(COUNTIFS($H$1:H2336,$H2336,$I$1:I2336,$I2336,$J$1:J2336,$J2336,$K$1:K2336,K2336,$L$1:L2336,L2336))=1,"00"&amp;COUNTIFS($H$1:H2336,$H2336,$I$1:I2336,$I2336,$J$1:J2336,$J2336,$K$1:K2336,K2336,$L$1:L2336,L2336),IF(LEN(COUNTIFS($H$1:H2336,$H2336,$I$1:I2336,$I2336,$J$1:J2336,$J2336,$K$1:K2336,K2336,$L$1:L2336,L2336))=2,"0"&amp;COUNTIFS($H$1:H2336,$H2336,$I$1:I2336,$I2336,$J$1:J2336,$J2336,$K$1:K2336,K2336,$L$1:L2336,L2336),COUNTIFS($H$1:H2336,$H2336,$I$1:I2336,$I2336,$J$1:J2336,$J2336,$K$1:K2336,K2336,$L$1:L2336,L2336)))</f>
        <v>035</v>
      </c>
      <c r="N233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36" s="14" t="e">
        <f>+LEN(Table4[[#This Row],[New Item Code]])</f>
        <v>#N/A</v>
      </c>
      <c r="P2336" s="15" t="s">
        <v>4747</v>
      </c>
      <c r="Q2336" s="15" t="s">
        <v>4749</v>
      </c>
      <c r="R2336" s="15"/>
      <c r="S2336" s="15"/>
      <c r="T2336" s="15" t="s">
        <v>4729</v>
      </c>
    </row>
    <row r="2337" spans="1:20" x14ac:dyDescent="0.35">
      <c r="A2337" s="2" t="s">
        <v>4605</v>
      </c>
      <c r="B2337" s="2" t="s">
        <v>4606</v>
      </c>
      <c r="C2337" s="2" t="s">
        <v>56</v>
      </c>
      <c r="D2337" s="2">
        <v>0</v>
      </c>
      <c r="E2337" s="2" t="s">
        <v>57</v>
      </c>
      <c r="F2337" s="2">
        <v>0</v>
      </c>
      <c r="G2337" s="22">
        <f>Table4[[#This Row],[Item Cost]]*Table4[[#This Row],[In Stock]]</f>
        <v>0</v>
      </c>
      <c r="H2337" s="12" t="s">
        <v>4661</v>
      </c>
      <c r="I2337" s="13" t="s">
        <v>4668</v>
      </c>
      <c r="J2337" s="13" t="s">
        <v>4729</v>
      </c>
      <c r="K2337" s="13" t="s">
        <v>4672</v>
      </c>
      <c r="L2337" s="12" t="s">
        <v>4672</v>
      </c>
      <c r="M2337" s="17" t="str">
        <f>IF(LEN(COUNTIFS($H$1:H2337,$H2337,$I$1:I2337,$I2337,$J$1:J2337,$J2337,$K$1:K2337,K2337,$L$1:L2337,L2337))=1,"00"&amp;COUNTIFS($H$1:H2337,$H2337,$I$1:I2337,$I2337,$J$1:J2337,$J2337,$K$1:K2337,K2337,$L$1:L2337,L2337),IF(LEN(COUNTIFS($H$1:H2337,$H2337,$I$1:I2337,$I2337,$J$1:J2337,$J2337,$K$1:K2337,K2337,$L$1:L2337,L2337))=2,"0"&amp;COUNTIFS($H$1:H2337,$H2337,$I$1:I2337,$I2337,$J$1:J2337,$J2337,$K$1:K2337,K2337,$L$1:L2337,L2337),COUNTIFS($H$1:H2337,$H2337,$I$1:I2337,$I2337,$J$1:J2337,$J2337,$K$1:K2337,K2337,$L$1:L2337,L2337)))</f>
        <v>001</v>
      </c>
      <c r="N233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37" s="14" t="e">
        <f>+LEN(Table4[[#This Row],[New Item Code]])</f>
        <v>#N/A</v>
      </c>
      <c r="P2337" s="15" t="s">
        <v>4747</v>
      </c>
      <c r="Q2337" s="15" t="s">
        <v>4749</v>
      </c>
      <c r="R2337" s="15"/>
      <c r="S2337" s="15"/>
      <c r="T2337" s="15" t="s">
        <v>4729</v>
      </c>
    </row>
    <row r="2338" spans="1:20" x14ac:dyDescent="0.35">
      <c r="A2338" s="3" t="s">
        <v>4607</v>
      </c>
      <c r="B2338" s="3" t="s">
        <v>4608</v>
      </c>
      <c r="C2338" s="3" t="s">
        <v>15</v>
      </c>
      <c r="D2338" s="3">
        <v>120</v>
      </c>
      <c r="E2338" s="3" t="s">
        <v>10</v>
      </c>
      <c r="F2338" s="3">
        <v>10</v>
      </c>
      <c r="G2338" s="21">
        <f>Table4[[#This Row],[Item Cost]]*Table4[[#This Row],[In Stock]]</f>
        <v>1200</v>
      </c>
      <c r="H2338" s="12" t="s">
        <v>4661</v>
      </c>
      <c r="I2338" s="13" t="s">
        <v>4666</v>
      </c>
      <c r="J2338" s="13" t="s">
        <v>4729</v>
      </c>
      <c r="K2338" s="13" t="s">
        <v>4672</v>
      </c>
      <c r="L2338" s="12" t="s">
        <v>4672</v>
      </c>
      <c r="M2338" s="17" t="str">
        <f>IF(LEN(COUNTIFS($H$1:H2338,$H2338,$I$1:I2338,$I2338,$J$1:J2338,$J2338,$K$1:K2338,K2338,$L$1:L2338,L2338))=1,"00"&amp;COUNTIFS($H$1:H2338,$H2338,$I$1:I2338,$I2338,$J$1:J2338,$J2338,$K$1:K2338,K2338,$L$1:L2338,L2338),IF(LEN(COUNTIFS($H$1:H2338,$H2338,$I$1:I2338,$I2338,$J$1:J2338,$J2338,$K$1:K2338,K2338,$L$1:L2338,L2338))=2,"0"&amp;COUNTIFS($H$1:H2338,$H2338,$I$1:I2338,$I2338,$J$1:J2338,$J2338,$K$1:K2338,K2338,$L$1:L2338,L2338),COUNTIFS($H$1:H2338,$H2338,$I$1:I2338,$I2338,$J$1:J2338,$J2338,$K$1:K2338,K2338,$L$1:L2338,L2338)))</f>
        <v>001</v>
      </c>
      <c r="N233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38" s="14" t="e">
        <f>+LEN(Table4[[#This Row],[New Item Code]])</f>
        <v>#N/A</v>
      </c>
      <c r="P2338" s="15" t="s">
        <v>4747</v>
      </c>
      <c r="Q2338" s="15" t="s">
        <v>4749</v>
      </c>
      <c r="R2338" s="15"/>
      <c r="S2338" s="15"/>
      <c r="T2338" s="15" t="s">
        <v>4729</v>
      </c>
    </row>
    <row r="2339" spans="1:20" x14ac:dyDescent="0.35">
      <c r="A2339" s="2" t="s">
        <v>4609</v>
      </c>
      <c r="B2339" s="2" t="s">
        <v>4610</v>
      </c>
      <c r="C2339" s="2" t="s">
        <v>15</v>
      </c>
      <c r="D2339" s="2">
        <v>74</v>
      </c>
      <c r="E2339" s="2" t="s">
        <v>10</v>
      </c>
      <c r="F2339" s="2">
        <v>5</v>
      </c>
      <c r="G2339" s="22">
        <f>Table4[[#This Row],[Item Cost]]*Table4[[#This Row],[In Stock]]</f>
        <v>370</v>
      </c>
      <c r="H2339" s="12" t="s">
        <v>4661</v>
      </c>
      <c r="I2339" s="13" t="s">
        <v>4666</v>
      </c>
      <c r="J2339" s="13" t="s">
        <v>4729</v>
      </c>
      <c r="K2339" t="s">
        <v>4793</v>
      </c>
      <c r="L2339" s="12" t="s">
        <v>4672</v>
      </c>
      <c r="M2339" s="17" t="str">
        <f>IF(LEN(COUNTIFS($H$1:H2339,$H2339,$I$1:I2339,$I2339,$J$1:J2339,$J2339,$K$1:K2339,K2339,$L$1:L2339,L2339))=1,"00"&amp;COUNTIFS($H$1:H2339,$H2339,$I$1:I2339,$I2339,$J$1:J2339,$J2339,$K$1:K2339,K2339,$L$1:L2339,L2339),IF(LEN(COUNTIFS($H$1:H2339,$H2339,$I$1:I2339,$I2339,$J$1:J2339,$J2339,$K$1:K2339,K2339,$L$1:L2339,L2339))=2,"0"&amp;COUNTIFS($H$1:H2339,$H2339,$I$1:I2339,$I2339,$J$1:J2339,$J2339,$K$1:K2339,K2339,$L$1:L2339,L2339),COUNTIFS($H$1:H2339,$H2339,$I$1:I2339,$I2339,$J$1:J2339,$J2339,$K$1:K2339,K2339,$L$1:L2339,L2339)))</f>
        <v>001</v>
      </c>
      <c r="N233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39" s="14" t="e">
        <f>+LEN(Table4[[#This Row],[New Item Code]])</f>
        <v>#N/A</v>
      </c>
      <c r="P2339" s="15" t="s">
        <v>4747</v>
      </c>
      <c r="Q2339" s="15" t="s">
        <v>4749</v>
      </c>
      <c r="R2339" s="15"/>
      <c r="S2339" s="15"/>
      <c r="T2339" s="15" t="s">
        <v>4729</v>
      </c>
    </row>
    <row r="2340" spans="1:20" x14ac:dyDescent="0.35">
      <c r="A2340" s="3" t="s">
        <v>4611</v>
      </c>
      <c r="B2340" s="3" t="s">
        <v>4612</v>
      </c>
      <c r="C2340" s="3" t="s">
        <v>15</v>
      </c>
      <c r="D2340" s="3">
        <v>0</v>
      </c>
      <c r="E2340" s="3" t="s">
        <v>57</v>
      </c>
      <c r="F2340" s="3">
        <v>0</v>
      </c>
      <c r="G2340" s="21">
        <f>Table4[[#This Row],[Item Cost]]*Table4[[#This Row],[In Stock]]</f>
        <v>0</v>
      </c>
      <c r="H2340" s="12" t="s">
        <v>4661</v>
      </c>
      <c r="I2340" s="13" t="s">
        <v>4666</v>
      </c>
      <c r="J2340" s="13" t="s">
        <v>4729</v>
      </c>
      <c r="K2340" s="13" t="s">
        <v>4672</v>
      </c>
      <c r="L2340" s="12" t="s">
        <v>4672</v>
      </c>
      <c r="M2340" s="17" t="str">
        <f>IF(LEN(COUNTIFS($H$1:H2340,$H2340,$I$1:I2340,$I2340,$J$1:J2340,$J2340,$K$1:K2340,K2340,$L$1:L2340,L2340))=1,"00"&amp;COUNTIFS($H$1:H2340,$H2340,$I$1:I2340,$I2340,$J$1:J2340,$J2340,$K$1:K2340,K2340,$L$1:L2340,L2340),IF(LEN(COUNTIFS($H$1:H2340,$H2340,$I$1:I2340,$I2340,$J$1:J2340,$J2340,$K$1:K2340,K2340,$L$1:L2340,L2340))=2,"0"&amp;COUNTIFS($H$1:H2340,$H2340,$I$1:I2340,$I2340,$J$1:J2340,$J2340,$K$1:K2340,K2340,$L$1:L2340,L2340),COUNTIFS($H$1:H2340,$H2340,$I$1:I2340,$I2340,$J$1:J2340,$J2340,$K$1:K2340,K2340,$L$1:L2340,L2340)))</f>
        <v>002</v>
      </c>
      <c r="N234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40" s="14" t="e">
        <f>+LEN(Table4[[#This Row],[New Item Code]])</f>
        <v>#N/A</v>
      </c>
      <c r="P2340" s="15" t="s">
        <v>4747</v>
      </c>
      <c r="Q2340" s="15" t="s">
        <v>4749</v>
      </c>
      <c r="R2340" s="15"/>
      <c r="S2340" s="15"/>
      <c r="T2340" s="15" t="s">
        <v>4729</v>
      </c>
    </row>
    <row r="2341" spans="1:20" x14ac:dyDescent="0.35">
      <c r="A2341" s="2" t="s">
        <v>4613</v>
      </c>
      <c r="B2341" s="2" t="s">
        <v>4614</v>
      </c>
      <c r="C2341" s="2" t="s">
        <v>15</v>
      </c>
      <c r="D2341" s="2">
        <v>4.8099999999999996</v>
      </c>
      <c r="E2341" s="2" t="s">
        <v>10</v>
      </c>
      <c r="F2341" s="2">
        <v>20</v>
      </c>
      <c r="G2341" s="22">
        <f>Table4[[#This Row],[Item Cost]]*Table4[[#This Row],[In Stock]]</f>
        <v>96.199999999999989</v>
      </c>
      <c r="H2341" s="12" t="s">
        <v>4661</v>
      </c>
      <c r="I2341" s="13" t="s">
        <v>4666</v>
      </c>
      <c r="J2341" s="13" t="s">
        <v>4729</v>
      </c>
      <c r="K2341" s="13" t="s">
        <v>4672</v>
      </c>
      <c r="L2341" s="12" t="s">
        <v>4672</v>
      </c>
      <c r="M2341" s="17" t="str">
        <f>IF(LEN(COUNTIFS($H$1:H2341,$H2341,$I$1:I2341,$I2341,$J$1:J2341,$J2341,$K$1:K2341,K2341,$L$1:L2341,L2341))=1,"00"&amp;COUNTIFS($H$1:H2341,$H2341,$I$1:I2341,$I2341,$J$1:J2341,$J2341,$K$1:K2341,K2341,$L$1:L2341,L2341),IF(LEN(COUNTIFS($H$1:H2341,$H2341,$I$1:I2341,$I2341,$J$1:J2341,$J2341,$K$1:K2341,K2341,$L$1:L2341,L2341))=2,"0"&amp;COUNTIFS($H$1:H2341,$H2341,$I$1:I2341,$I2341,$J$1:J2341,$J2341,$K$1:K2341,K2341,$L$1:L2341,L2341),COUNTIFS($H$1:H2341,$H2341,$I$1:I2341,$I2341,$J$1:J2341,$J2341,$K$1:K2341,K2341,$L$1:L2341,L2341)))</f>
        <v>003</v>
      </c>
      <c r="N234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41" s="14" t="e">
        <f>+LEN(Table4[[#This Row],[New Item Code]])</f>
        <v>#N/A</v>
      </c>
      <c r="P2341" s="15" t="s">
        <v>4747</v>
      </c>
      <c r="Q2341" s="15" t="s">
        <v>4749</v>
      </c>
      <c r="R2341" s="15"/>
      <c r="S2341" s="15"/>
      <c r="T2341" s="15" t="s">
        <v>4729</v>
      </c>
    </row>
    <row r="2342" spans="1:20" x14ac:dyDescent="0.35">
      <c r="A2342" s="3" t="s">
        <v>4615</v>
      </c>
      <c r="B2342" s="3" t="s">
        <v>4616</v>
      </c>
      <c r="C2342" s="3" t="s">
        <v>9</v>
      </c>
      <c r="D2342" s="3">
        <v>65</v>
      </c>
      <c r="E2342" s="3" t="s">
        <v>10</v>
      </c>
      <c r="F2342" s="3">
        <v>1</v>
      </c>
      <c r="G2342" s="21">
        <f>Table4[[#This Row],[Item Cost]]*Table4[[#This Row],[In Stock]]</f>
        <v>65</v>
      </c>
      <c r="H2342" s="12" t="s">
        <v>4661</v>
      </c>
      <c r="I2342" s="13" t="s">
        <v>4664</v>
      </c>
      <c r="J2342" s="13" t="s">
        <v>4731</v>
      </c>
      <c r="K2342" s="7" t="s">
        <v>4775</v>
      </c>
      <c r="L2342" s="12" t="s">
        <v>4672</v>
      </c>
      <c r="M2342" s="17" t="str">
        <f>IF(LEN(COUNTIFS($H$1:H2342,$H2342,$I$1:I2342,$I2342,$J$1:J2342,$J2342,$K$1:K2342,K2342,$L$1:L2342,L2342))=1,"00"&amp;COUNTIFS($H$1:H2342,$H2342,$I$1:I2342,$I2342,$J$1:J2342,$J2342,$K$1:K2342,K2342,$L$1:L2342,L2342),IF(LEN(COUNTIFS($H$1:H2342,$H2342,$I$1:I2342,$I2342,$J$1:J2342,$J2342,$K$1:K2342,K2342,$L$1:L2342,L2342))=2,"0"&amp;COUNTIFS($H$1:H2342,$H2342,$I$1:I2342,$I2342,$J$1:J2342,$J2342,$K$1:K2342,K2342,$L$1:L2342,L2342),COUNTIFS($H$1:H2342,$H2342,$I$1:I2342,$I2342,$J$1:J2342,$J2342,$K$1:K2342,K2342,$L$1:L2342,L2342)))</f>
        <v>001</v>
      </c>
      <c r="N234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42" s="14" t="e">
        <f>+LEN(Table4[[#This Row],[New Item Code]])</f>
        <v>#N/A</v>
      </c>
      <c r="P2342" s="15" t="s">
        <v>4747</v>
      </c>
      <c r="Q2342" s="15" t="s">
        <v>4749</v>
      </c>
      <c r="R2342" s="15"/>
      <c r="S2342" s="15"/>
      <c r="T2342" s="15" t="s">
        <v>5710</v>
      </c>
    </row>
    <row r="2343" spans="1:20" x14ac:dyDescent="0.35">
      <c r="A2343" s="2" t="s">
        <v>4617</v>
      </c>
      <c r="B2343" s="2" t="s">
        <v>4618</v>
      </c>
      <c r="C2343" s="2" t="s">
        <v>9</v>
      </c>
      <c r="D2343" s="2">
        <v>110</v>
      </c>
      <c r="E2343" s="2" t="s">
        <v>10</v>
      </c>
      <c r="F2343" s="2">
        <v>2</v>
      </c>
      <c r="G2343" s="22">
        <f>Table4[[#This Row],[Item Cost]]*Table4[[#This Row],[In Stock]]</f>
        <v>220</v>
      </c>
      <c r="H2343" s="12" t="s">
        <v>4661</v>
      </c>
      <c r="I2343" s="13" t="s">
        <v>4664</v>
      </c>
      <c r="J2343" s="13" t="s">
        <v>4731</v>
      </c>
      <c r="K2343" s="7" t="s">
        <v>4774</v>
      </c>
      <c r="L2343" s="12" t="s">
        <v>4672</v>
      </c>
      <c r="M2343" s="17" t="str">
        <f>IF(LEN(COUNTIFS($H$1:H2343,$H2343,$I$1:I2343,$I2343,$J$1:J2343,$J2343,$K$1:K2343,K2343,$L$1:L2343,L2343))=1,"00"&amp;COUNTIFS($H$1:H2343,$H2343,$I$1:I2343,$I2343,$J$1:J2343,$J2343,$K$1:K2343,K2343,$L$1:L2343,L2343),IF(LEN(COUNTIFS($H$1:H2343,$H2343,$I$1:I2343,$I2343,$J$1:J2343,$J2343,$K$1:K2343,K2343,$L$1:L2343,L2343))=2,"0"&amp;COUNTIFS($H$1:H2343,$H2343,$I$1:I2343,$I2343,$J$1:J2343,$J2343,$K$1:K2343,K2343,$L$1:L2343,L2343),COUNTIFS($H$1:H2343,$H2343,$I$1:I2343,$I2343,$J$1:J2343,$J2343,$K$1:K2343,K2343,$L$1:L2343,L2343)))</f>
        <v>001</v>
      </c>
      <c r="N234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43" s="14" t="e">
        <f>+LEN(Table4[[#This Row],[New Item Code]])</f>
        <v>#N/A</v>
      </c>
      <c r="P2343" s="15" t="s">
        <v>4747</v>
      </c>
      <c r="Q2343" s="15" t="s">
        <v>4749</v>
      </c>
      <c r="R2343" s="15"/>
      <c r="S2343" s="15"/>
      <c r="T2343" s="15" t="s">
        <v>5710</v>
      </c>
    </row>
    <row r="2344" spans="1:20" x14ac:dyDescent="0.35">
      <c r="A2344" s="3" t="s">
        <v>4619</v>
      </c>
      <c r="B2344" s="3" t="s">
        <v>4620</v>
      </c>
      <c r="C2344" s="3" t="s">
        <v>15</v>
      </c>
      <c r="D2344" s="3">
        <v>340</v>
      </c>
      <c r="E2344" s="3" t="s">
        <v>10</v>
      </c>
      <c r="F2344" s="3">
        <v>0</v>
      </c>
      <c r="G2344" s="21">
        <f>Table4[[#This Row],[Item Cost]]*Table4[[#This Row],[In Stock]]</f>
        <v>0</v>
      </c>
      <c r="H2344" s="12" t="s">
        <v>4661</v>
      </c>
      <c r="I2344" s="13" t="s">
        <v>4666</v>
      </c>
      <c r="J2344" s="13" t="s">
        <v>4731</v>
      </c>
      <c r="K2344" s="13" t="s">
        <v>4770</v>
      </c>
      <c r="L2344" s="12" t="s">
        <v>4672</v>
      </c>
      <c r="M2344" s="17" t="str">
        <f>IF(LEN(COUNTIFS($H$1:H2344,$H2344,$I$1:I2344,$I2344,$J$1:J2344,$J2344,$K$1:K2344,K2344,$L$1:L2344,L2344))=1,"00"&amp;COUNTIFS($H$1:H2344,$H2344,$I$1:I2344,$I2344,$J$1:J2344,$J2344,$K$1:K2344,K2344,$L$1:L2344,L2344),IF(LEN(COUNTIFS($H$1:H2344,$H2344,$I$1:I2344,$I2344,$J$1:J2344,$J2344,$K$1:K2344,K2344,$L$1:L2344,L2344))=2,"0"&amp;COUNTIFS($H$1:H2344,$H2344,$I$1:I2344,$I2344,$J$1:J2344,$J2344,$K$1:K2344,K2344,$L$1:L2344,L2344),COUNTIFS($H$1:H2344,$H2344,$I$1:I2344,$I2344,$J$1:J2344,$J2344,$K$1:K2344,K2344,$L$1:L2344,L2344)))</f>
        <v>001</v>
      </c>
      <c r="N234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44" s="14" t="e">
        <f>+LEN(Table4[[#This Row],[New Item Code]])</f>
        <v>#N/A</v>
      </c>
      <c r="P2344" s="15" t="s">
        <v>4747</v>
      </c>
      <c r="Q2344" s="15" t="s">
        <v>4749</v>
      </c>
      <c r="R2344" s="15"/>
      <c r="S2344" s="15"/>
      <c r="T2344" s="15" t="s">
        <v>5710</v>
      </c>
    </row>
    <row r="2345" spans="1:20" x14ac:dyDescent="0.35">
      <c r="A2345" s="2" t="s">
        <v>4621</v>
      </c>
      <c r="B2345" s="2" t="s">
        <v>4622</v>
      </c>
      <c r="C2345" s="2" t="s">
        <v>15</v>
      </c>
      <c r="D2345" s="2">
        <v>120</v>
      </c>
      <c r="E2345" s="2" t="s">
        <v>10</v>
      </c>
      <c r="F2345" s="2">
        <v>0</v>
      </c>
      <c r="G2345" s="22">
        <f>Table4[[#This Row],[Item Cost]]*Table4[[#This Row],[In Stock]]</f>
        <v>0</v>
      </c>
      <c r="H2345" s="12" t="s">
        <v>4661</v>
      </c>
      <c r="I2345" s="13" t="s">
        <v>4666</v>
      </c>
      <c r="J2345" s="13" t="s">
        <v>4731</v>
      </c>
      <c r="K2345" s="7" t="s">
        <v>4774</v>
      </c>
      <c r="L2345" s="12" t="s">
        <v>4672</v>
      </c>
      <c r="M2345" s="17" t="str">
        <f>IF(LEN(COUNTIFS($H$1:H2345,$H2345,$I$1:I2345,$I2345,$J$1:J2345,$J2345,$K$1:K2345,K2345,$L$1:L2345,L2345))=1,"00"&amp;COUNTIFS($H$1:H2345,$H2345,$I$1:I2345,$I2345,$J$1:J2345,$J2345,$K$1:K2345,K2345,$L$1:L2345,L2345),IF(LEN(COUNTIFS($H$1:H2345,$H2345,$I$1:I2345,$I2345,$J$1:J2345,$J2345,$K$1:K2345,K2345,$L$1:L2345,L2345))=2,"0"&amp;COUNTIFS($H$1:H2345,$H2345,$I$1:I2345,$I2345,$J$1:J2345,$J2345,$K$1:K2345,K2345,$L$1:L2345,L2345),COUNTIFS($H$1:H2345,$H2345,$I$1:I2345,$I2345,$J$1:J2345,$J2345,$K$1:K2345,K2345,$L$1:L2345,L2345)))</f>
        <v>001</v>
      </c>
      <c r="N234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45" s="14" t="e">
        <f>+LEN(Table4[[#This Row],[New Item Code]])</f>
        <v>#N/A</v>
      </c>
      <c r="P2345" s="15" t="s">
        <v>4747</v>
      </c>
      <c r="Q2345" s="15" t="s">
        <v>4749</v>
      </c>
      <c r="R2345" s="15"/>
      <c r="S2345" s="15"/>
      <c r="T2345" s="15" t="s">
        <v>5710</v>
      </c>
    </row>
    <row r="2346" spans="1:20" x14ac:dyDescent="0.35">
      <c r="A2346" s="3" t="s">
        <v>4623</v>
      </c>
      <c r="B2346" s="3" t="s">
        <v>4624</v>
      </c>
      <c r="C2346" s="3" t="s">
        <v>56</v>
      </c>
      <c r="D2346" s="3">
        <v>75</v>
      </c>
      <c r="E2346" s="3" t="s">
        <v>10</v>
      </c>
      <c r="F2346" s="3">
        <v>2</v>
      </c>
      <c r="G2346" s="21">
        <f>Table4[[#This Row],[Item Cost]]*Table4[[#This Row],[In Stock]]</f>
        <v>150</v>
      </c>
      <c r="H2346" s="12" t="s">
        <v>4661</v>
      </c>
      <c r="I2346" s="13" t="s">
        <v>4668</v>
      </c>
      <c r="J2346" s="13" t="s">
        <v>4731</v>
      </c>
      <c r="K2346" s="7" t="s">
        <v>4774</v>
      </c>
      <c r="L2346" s="12" t="s">
        <v>4672</v>
      </c>
      <c r="M2346" s="17" t="str">
        <f>IF(LEN(COUNTIFS($H$1:H2346,$H2346,$I$1:I2346,$I2346,$J$1:J2346,$J2346,$K$1:K2346,K2346,$L$1:L2346,L2346))=1,"00"&amp;COUNTIFS($H$1:H2346,$H2346,$I$1:I2346,$I2346,$J$1:J2346,$J2346,$K$1:K2346,K2346,$L$1:L2346,L2346),IF(LEN(COUNTIFS($H$1:H2346,$H2346,$I$1:I2346,$I2346,$J$1:J2346,$J2346,$K$1:K2346,K2346,$L$1:L2346,L2346))=2,"0"&amp;COUNTIFS($H$1:H2346,$H2346,$I$1:I2346,$I2346,$J$1:J2346,$J2346,$K$1:K2346,K2346,$L$1:L2346,L2346),COUNTIFS($H$1:H2346,$H2346,$I$1:I2346,$I2346,$J$1:J2346,$J2346,$K$1:K2346,K2346,$L$1:L2346,L2346)))</f>
        <v>001</v>
      </c>
      <c r="N234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46" s="14" t="e">
        <f>+LEN(Table4[[#This Row],[New Item Code]])</f>
        <v>#N/A</v>
      </c>
      <c r="P2346" s="15" t="s">
        <v>4747</v>
      </c>
      <c r="Q2346" s="15" t="s">
        <v>4749</v>
      </c>
      <c r="R2346" s="15"/>
      <c r="S2346" s="15"/>
      <c r="T2346" s="15" t="s">
        <v>5710</v>
      </c>
    </row>
    <row r="2347" spans="1:20" x14ac:dyDescent="0.35">
      <c r="A2347" s="2" t="s">
        <v>4625</v>
      </c>
      <c r="B2347" s="2" t="s">
        <v>4626</v>
      </c>
      <c r="C2347" s="2" t="s">
        <v>56</v>
      </c>
      <c r="D2347" s="2">
        <v>230</v>
      </c>
      <c r="E2347" s="2" t="s">
        <v>10</v>
      </c>
      <c r="F2347" s="2">
        <v>1</v>
      </c>
      <c r="G2347" s="22">
        <f>Table4[[#This Row],[Item Cost]]*Table4[[#This Row],[In Stock]]</f>
        <v>230</v>
      </c>
      <c r="H2347" s="12" t="s">
        <v>4661</v>
      </c>
      <c r="I2347" s="13" t="s">
        <v>4668</v>
      </c>
      <c r="J2347" s="13" t="s">
        <v>4731</v>
      </c>
      <c r="K2347" s="7" t="s">
        <v>4773</v>
      </c>
      <c r="L2347" s="12" t="s">
        <v>4672</v>
      </c>
      <c r="M2347" s="17" t="str">
        <f>IF(LEN(COUNTIFS($H$1:H2347,$H2347,$I$1:I2347,$I2347,$J$1:J2347,$J2347,$K$1:K2347,K2347,$L$1:L2347,L2347))=1,"00"&amp;COUNTIFS($H$1:H2347,$H2347,$I$1:I2347,$I2347,$J$1:J2347,$J2347,$K$1:K2347,K2347,$L$1:L2347,L2347),IF(LEN(COUNTIFS($H$1:H2347,$H2347,$I$1:I2347,$I2347,$J$1:J2347,$J2347,$K$1:K2347,K2347,$L$1:L2347,L2347))=2,"0"&amp;COUNTIFS($H$1:H2347,$H2347,$I$1:I2347,$I2347,$J$1:J2347,$J2347,$K$1:K2347,K2347,$L$1:L2347,L2347),COUNTIFS($H$1:H2347,$H2347,$I$1:I2347,$I2347,$J$1:J2347,$J2347,$K$1:K2347,K2347,$L$1:L2347,L2347)))</f>
        <v>001</v>
      </c>
      <c r="N234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47" s="14" t="e">
        <f>+LEN(Table4[[#This Row],[New Item Code]])</f>
        <v>#N/A</v>
      </c>
      <c r="P2347" s="15" t="s">
        <v>4747</v>
      </c>
      <c r="Q2347" s="15" t="s">
        <v>4749</v>
      </c>
      <c r="R2347" s="15"/>
      <c r="S2347" s="15"/>
      <c r="T2347" s="15" t="s">
        <v>5710</v>
      </c>
    </row>
    <row r="2348" spans="1:20" x14ac:dyDescent="0.35">
      <c r="A2348" s="3" t="s">
        <v>4627</v>
      </c>
      <c r="B2348" s="3" t="s">
        <v>4628</v>
      </c>
      <c r="C2348" s="3" t="s">
        <v>56</v>
      </c>
      <c r="D2348" s="3">
        <v>850</v>
      </c>
      <c r="E2348" s="3" t="s">
        <v>10</v>
      </c>
      <c r="F2348" s="3">
        <v>1</v>
      </c>
      <c r="G2348" s="21">
        <f>Table4[[#This Row],[Item Cost]]*Table4[[#This Row],[In Stock]]</f>
        <v>850</v>
      </c>
      <c r="H2348" s="12" t="s">
        <v>4661</v>
      </c>
      <c r="I2348" s="13" t="s">
        <v>4668</v>
      </c>
      <c r="J2348" s="13" t="s">
        <v>4731</v>
      </c>
      <c r="K2348" s="13" t="s">
        <v>4672</v>
      </c>
      <c r="L2348" s="12" t="s">
        <v>4672</v>
      </c>
      <c r="M2348" s="17" t="str">
        <f>IF(LEN(COUNTIFS($H$1:H2348,$H2348,$I$1:I2348,$I2348,$J$1:J2348,$J2348,$K$1:K2348,K2348,$L$1:L2348,L2348))=1,"00"&amp;COUNTIFS($H$1:H2348,$H2348,$I$1:I2348,$I2348,$J$1:J2348,$J2348,$K$1:K2348,K2348,$L$1:L2348,L2348),IF(LEN(COUNTIFS($H$1:H2348,$H2348,$I$1:I2348,$I2348,$J$1:J2348,$J2348,$K$1:K2348,K2348,$L$1:L2348,L2348))=2,"0"&amp;COUNTIFS($H$1:H2348,$H2348,$I$1:I2348,$I2348,$J$1:J2348,$J2348,$K$1:K2348,K2348,$L$1:L2348,L2348),COUNTIFS($H$1:H2348,$H2348,$I$1:I2348,$I2348,$J$1:J2348,$J2348,$K$1:K2348,K2348,$L$1:L2348,L2348)))</f>
        <v>001</v>
      </c>
      <c r="N234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48" s="14" t="e">
        <f>+LEN(Table4[[#This Row],[New Item Code]])</f>
        <v>#N/A</v>
      </c>
      <c r="P2348" s="15" t="s">
        <v>4747</v>
      </c>
      <c r="Q2348" s="15" t="s">
        <v>4749</v>
      </c>
      <c r="R2348" s="15"/>
      <c r="S2348" s="15"/>
      <c r="T2348" s="15" t="s">
        <v>5710</v>
      </c>
    </row>
    <row r="2349" spans="1:20" x14ac:dyDescent="0.35">
      <c r="A2349" s="2" t="s">
        <v>4629</v>
      </c>
      <c r="B2349" s="2" t="s">
        <v>4630</v>
      </c>
      <c r="C2349" s="2" t="s">
        <v>56</v>
      </c>
      <c r="D2349" s="2">
        <v>57</v>
      </c>
      <c r="E2349" s="2" t="s">
        <v>10</v>
      </c>
      <c r="F2349" s="2">
        <v>2</v>
      </c>
      <c r="G2349" s="22">
        <f>Table4[[#This Row],[Item Cost]]*Table4[[#This Row],[In Stock]]</f>
        <v>114</v>
      </c>
      <c r="H2349" s="12" t="s">
        <v>4661</v>
      </c>
      <c r="I2349" s="13" t="s">
        <v>4668</v>
      </c>
      <c r="J2349" s="13" t="s">
        <v>4731</v>
      </c>
      <c r="K2349" s="13" t="s">
        <v>4672</v>
      </c>
      <c r="L2349" s="12" t="s">
        <v>4672</v>
      </c>
      <c r="M2349" s="17" t="str">
        <f>IF(LEN(COUNTIFS($H$1:H2349,$H2349,$I$1:I2349,$I2349,$J$1:J2349,$J2349,$K$1:K2349,K2349,$L$1:L2349,L2349))=1,"00"&amp;COUNTIFS($H$1:H2349,$H2349,$I$1:I2349,$I2349,$J$1:J2349,$J2349,$K$1:K2349,K2349,$L$1:L2349,L2349),IF(LEN(COUNTIFS($H$1:H2349,$H2349,$I$1:I2349,$I2349,$J$1:J2349,$J2349,$K$1:K2349,K2349,$L$1:L2349,L2349))=2,"0"&amp;COUNTIFS($H$1:H2349,$H2349,$I$1:I2349,$I2349,$J$1:J2349,$J2349,$K$1:K2349,K2349,$L$1:L2349,L2349),COUNTIFS($H$1:H2349,$H2349,$I$1:I2349,$I2349,$J$1:J2349,$J2349,$K$1:K2349,K2349,$L$1:L2349,L2349)))</f>
        <v>002</v>
      </c>
      <c r="N234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49" s="14" t="e">
        <f>+LEN(Table4[[#This Row],[New Item Code]])</f>
        <v>#N/A</v>
      </c>
      <c r="P2349" s="15" t="s">
        <v>4747</v>
      </c>
      <c r="Q2349" s="15" t="s">
        <v>4749</v>
      </c>
      <c r="R2349" s="15"/>
      <c r="S2349" s="15"/>
      <c r="T2349" s="15" t="s">
        <v>5710</v>
      </c>
    </row>
    <row r="2350" spans="1:20" x14ac:dyDescent="0.35">
      <c r="A2350" s="3" t="s">
        <v>4631</v>
      </c>
      <c r="B2350" s="3" t="s">
        <v>4632</v>
      </c>
      <c r="C2350" s="3" t="s">
        <v>56</v>
      </c>
      <c r="D2350" s="3">
        <v>75</v>
      </c>
      <c r="E2350" s="3" t="s">
        <v>10</v>
      </c>
      <c r="F2350" s="3">
        <v>1</v>
      </c>
      <c r="G2350" s="21">
        <f>Table4[[#This Row],[Item Cost]]*Table4[[#This Row],[In Stock]]</f>
        <v>75</v>
      </c>
      <c r="H2350" s="12" t="s">
        <v>4661</v>
      </c>
      <c r="I2350" s="13" t="s">
        <v>4668</v>
      </c>
      <c r="J2350" s="13" t="s">
        <v>4731</v>
      </c>
      <c r="K2350" s="13" t="s">
        <v>4776</v>
      </c>
      <c r="L2350" s="12" t="s">
        <v>4672</v>
      </c>
      <c r="M2350" s="17" t="str">
        <f>IF(LEN(COUNTIFS($H$1:H2350,$H2350,$I$1:I2350,$I2350,$J$1:J2350,$J2350,$K$1:K2350,K2350,$L$1:L2350,L2350))=1,"00"&amp;COUNTIFS($H$1:H2350,$H2350,$I$1:I2350,$I2350,$J$1:J2350,$J2350,$K$1:K2350,K2350,$L$1:L2350,L2350),IF(LEN(COUNTIFS($H$1:H2350,$H2350,$I$1:I2350,$I2350,$J$1:J2350,$J2350,$K$1:K2350,K2350,$L$1:L2350,L2350))=2,"0"&amp;COUNTIFS($H$1:H2350,$H2350,$I$1:I2350,$I2350,$J$1:J2350,$J2350,$K$1:K2350,K2350,$L$1:L2350,L2350),COUNTIFS($H$1:H2350,$H2350,$I$1:I2350,$I2350,$J$1:J2350,$J2350,$K$1:K2350,K2350,$L$1:L2350,L2350)))</f>
        <v>001</v>
      </c>
      <c r="N235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50" s="14" t="e">
        <f>+LEN(Table4[[#This Row],[New Item Code]])</f>
        <v>#N/A</v>
      </c>
      <c r="P2350" s="15" t="s">
        <v>4747</v>
      </c>
      <c r="Q2350" s="15" t="s">
        <v>4749</v>
      </c>
      <c r="R2350" s="15"/>
      <c r="S2350" s="15"/>
      <c r="T2350" s="15" t="s">
        <v>5710</v>
      </c>
    </row>
    <row r="2351" spans="1:20" x14ac:dyDescent="0.35">
      <c r="A2351" s="2" t="s">
        <v>4633</v>
      </c>
      <c r="B2351" s="2" t="s">
        <v>4634</v>
      </c>
      <c r="C2351" s="2" t="s">
        <v>9</v>
      </c>
      <c r="D2351" s="2">
        <v>1250</v>
      </c>
      <c r="E2351" s="2" t="s">
        <v>10</v>
      </c>
      <c r="F2351" s="2">
        <v>2</v>
      </c>
      <c r="G2351" s="22">
        <f>Table4[[#This Row],[Item Cost]]*Table4[[#This Row],[In Stock]]</f>
        <v>2500</v>
      </c>
      <c r="H2351" s="12" t="s">
        <v>4661</v>
      </c>
      <c r="I2351" s="13" t="s">
        <v>4664</v>
      </c>
      <c r="J2351" s="13" t="s">
        <v>4731</v>
      </c>
      <c r="K2351" s="7" t="s">
        <v>4772</v>
      </c>
      <c r="L2351" s="12" t="s">
        <v>4672</v>
      </c>
      <c r="M2351" s="17" t="str">
        <f>IF(LEN(COUNTIFS($H$1:H2351,$H2351,$I$1:I2351,$I2351,$J$1:J2351,$J2351,$K$1:K2351,K2351,$L$1:L2351,L2351))=1,"00"&amp;COUNTIFS($H$1:H2351,$H2351,$I$1:I2351,$I2351,$J$1:J2351,$J2351,$K$1:K2351,K2351,$L$1:L2351,L2351),IF(LEN(COUNTIFS($H$1:H2351,$H2351,$I$1:I2351,$I2351,$J$1:J2351,$J2351,$K$1:K2351,K2351,$L$1:L2351,L2351))=2,"0"&amp;COUNTIFS($H$1:H2351,$H2351,$I$1:I2351,$I2351,$J$1:J2351,$J2351,$K$1:K2351,K2351,$L$1:L2351,L2351),COUNTIFS($H$1:H2351,$H2351,$I$1:I2351,$I2351,$J$1:J2351,$J2351,$K$1:K2351,K2351,$L$1:L2351,L2351)))</f>
        <v>001</v>
      </c>
      <c r="N235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51" s="14" t="e">
        <f>+LEN(Table4[[#This Row],[New Item Code]])</f>
        <v>#N/A</v>
      </c>
      <c r="P2351" s="15" t="s">
        <v>4747</v>
      </c>
      <c r="Q2351" s="15" t="s">
        <v>4749</v>
      </c>
      <c r="R2351" s="15"/>
      <c r="S2351" s="15"/>
      <c r="T2351" s="15" t="s">
        <v>5710</v>
      </c>
    </row>
    <row r="2352" spans="1:20" x14ac:dyDescent="0.35">
      <c r="A2352" s="3" t="s">
        <v>4635</v>
      </c>
      <c r="B2352" s="3" t="s">
        <v>4636</v>
      </c>
      <c r="C2352" s="3" t="s">
        <v>15</v>
      </c>
      <c r="D2352" s="3">
        <v>35.1</v>
      </c>
      <c r="E2352" s="3" t="s">
        <v>10</v>
      </c>
      <c r="F2352" s="3">
        <v>4</v>
      </c>
      <c r="G2352" s="21">
        <f>Table4[[#This Row],[Item Cost]]*Table4[[#This Row],[In Stock]]</f>
        <v>140.4</v>
      </c>
      <c r="H2352" s="12" t="s">
        <v>4661</v>
      </c>
      <c r="I2352" s="13" t="s">
        <v>4666</v>
      </c>
      <c r="J2352" s="13" t="s">
        <v>4731</v>
      </c>
      <c r="K2352" s="7" t="s">
        <v>4771</v>
      </c>
      <c r="L2352" s="12" t="s">
        <v>4672</v>
      </c>
      <c r="M2352" s="17" t="str">
        <f>IF(LEN(COUNTIFS($H$1:H2352,$H2352,$I$1:I2352,$I2352,$J$1:J2352,$J2352,$K$1:K2352,K2352,$L$1:L2352,L2352))=1,"00"&amp;COUNTIFS($H$1:H2352,$H2352,$I$1:I2352,$I2352,$J$1:J2352,$J2352,$K$1:K2352,K2352,$L$1:L2352,L2352),IF(LEN(COUNTIFS($H$1:H2352,$H2352,$I$1:I2352,$I2352,$J$1:J2352,$J2352,$K$1:K2352,K2352,$L$1:L2352,L2352))=2,"0"&amp;COUNTIFS($H$1:H2352,$H2352,$I$1:I2352,$I2352,$J$1:J2352,$J2352,$K$1:K2352,K2352,$L$1:L2352,L2352),COUNTIFS($H$1:H2352,$H2352,$I$1:I2352,$I2352,$J$1:J2352,$J2352,$K$1:K2352,K2352,$L$1:L2352,L2352)))</f>
        <v>001</v>
      </c>
      <c r="N235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52" s="14" t="e">
        <f>+LEN(Table4[[#This Row],[New Item Code]])</f>
        <v>#N/A</v>
      </c>
      <c r="P2352" s="15" t="s">
        <v>4747</v>
      </c>
      <c r="Q2352" s="15" t="s">
        <v>4749</v>
      </c>
      <c r="R2352" s="15"/>
      <c r="S2352" s="15"/>
      <c r="T2352" s="15" t="s">
        <v>5710</v>
      </c>
    </row>
    <row r="2353" spans="1:20" x14ac:dyDescent="0.35">
      <c r="A2353" s="2" t="s">
        <v>4637</v>
      </c>
      <c r="B2353" s="2" t="s">
        <v>4638</v>
      </c>
      <c r="C2353" s="2" t="s">
        <v>9</v>
      </c>
      <c r="D2353" s="2">
        <v>1475</v>
      </c>
      <c r="E2353" s="2" t="s">
        <v>10</v>
      </c>
      <c r="F2353" s="2">
        <v>1</v>
      </c>
      <c r="G2353" s="22">
        <f>Table4[[#This Row],[Item Cost]]*Table4[[#This Row],[In Stock]]</f>
        <v>1475</v>
      </c>
      <c r="H2353" s="12" t="s">
        <v>4661</v>
      </c>
      <c r="I2353" s="13" t="s">
        <v>4664</v>
      </c>
      <c r="J2353" s="13" t="s">
        <v>4731</v>
      </c>
      <c r="K2353" s="13" t="s">
        <v>4672</v>
      </c>
      <c r="L2353" s="12" t="s">
        <v>4672</v>
      </c>
      <c r="M2353" s="17" t="str">
        <f>IF(LEN(COUNTIFS($H$1:H2353,$H2353,$I$1:I2353,$I2353,$J$1:J2353,$J2353,$K$1:K2353,K2353,$L$1:L2353,L2353))=1,"00"&amp;COUNTIFS($H$1:H2353,$H2353,$I$1:I2353,$I2353,$J$1:J2353,$J2353,$K$1:K2353,K2353,$L$1:L2353,L2353),IF(LEN(COUNTIFS($H$1:H2353,$H2353,$I$1:I2353,$I2353,$J$1:J2353,$J2353,$K$1:K2353,K2353,$L$1:L2353,L2353))=2,"0"&amp;COUNTIFS($H$1:H2353,$H2353,$I$1:I2353,$I2353,$J$1:J2353,$J2353,$K$1:K2353,K2353,$L$1:L2353,L2353),COUNTIFS($H$1:H2353,$H2353,$I$1:I2353,$I2353,$J$1:J2353,$J2353,$K$1:K2353,K2353,$L$1:L2353,L2353)))</f>
        <v>001</v>
      </c>
      <c r="N2353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53" s="14" t="e">
        <f>+LEN(Table4[[#This Row],[New Item Code]])</f>
        <v>#N/A</v>
      </c>
      <c r="P2353" s="15" t="s">
        <v>4747</v>
      </c>
      <c r="Q2353" s="15" t="s">
        <v>4749</v>
      </c>
      <c r="R2353" s="15"/>
      <c r="S2353" s="15"/>
      <c r="T2353" s="15" t="s">
        <v>5710</v>
      </c>
    </row>
    <row r="2354" spans="1:20" x14ac:dyDescent="0.35">
      <c r="A2354" s="3" t="s">
        <v>4639</v>
      </c>
      <c r="B2354" s="3" t="s">
        <v>4640</v>
      </c>
      <c r="C2354" s="3" t="s">
        <v>15</v>
      </c>
      <c r="D2354" s="5">
        <v>420</v>
      </c>
      <c r="E2354" s="3" t="s">
        <v>10</v>
      </c>
      <c r="F2354" s="3">
        <v>1</v>
      </c>
      <c r="G2354" s="21">
        <f>Table4[[#This Row],[Item Cost]]*Table4[[#This Row],[In Stock]]</f>
        <v>420</v>
      </c>
      <c r="H2354" s="12" t="s">
        <v>4661</v>
      </c>
      <c r="I2354" s="13" t="s">
        <v>4666</v>
      </c>
      <c r="J2354" s="13" t="s">
        <v>4731</v>
      </c>
      <c r="K2354" s="7" t="s">
        <v>4777</v>
      </c>
      <c r="L2354" s="12" t="s">
        <v>4672</v>
      </c>
      <c r="M2354" s="17" t="str">
        <f>IF(LEN(COUNTIFS($H$1:H2354,$H2354,$I$1:I2354,$I2354,$J$1:J2354,$J2354,$K$1:K2354,K2354,$L$1:L2354,L2354))=1,"00"&amp;COUNTIFS($H$1:H2354,$H2354,$I$1:I2354,$I2354,$J$1:J2354,$J2354,$K$1:K2354,K2354,$L$1:L2354,L2354),IF(LEN(COUNTIFS($H$1:H2354,$H2354,$I$1:I2354,$I2354,$J$1:J2354,$J2354,$K$1:K2354,K2354,$L$1:L2354,L2354))=2,"0"&amp;COUNTIFS($H$1:H2354,$H2354,$I$1:I2354,$I2354,$J$1:J2354,$J2354,$K$1:K2354,K2354,$L$1:L2354,L2354),COUNTIFS($H$1:H2354,$H2354,$I$1:I2354,$I2354,$J$1:J2354,$J2354,$K$1:K2354,K2354,$L$1:L2354,L2354)))</f>
        <v>001</v>
      </c>
      <c r="N2354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54" s="14" t="e">
        <f>+LEN(Table4[[#This Row],[New Item Code]])</f>
        <v>#N/A</v>
      </c>
      <c r="P2354" s="15" t="s">
        <v>4747</v>
      </c>
      <c r="Q2354" s="15" t="s">
        <v>4749</v>
      </c>
      <c r="R2354" s="15"/>
      <c r="S2354" s="15"/>
      <c r="T2354" s="15" t="s">
        <v>5710</v>
      </c>
    </row>
    <row r="2355" spans="1:20" x14ac:dyDescent="0.35">
      <c r="A2355" s="2" t="s">
        <v>4641</v>
      </c>
      <c r="B2355" s="2" t="s">
        <v>4642</v>
      </c>
      <c r="C2355" s="2" t="s">
        <v>56</v>
      </c>
      <c r="D2355" s="2">
        <v>398.75</v>
      </c>
      <c r="E2355" s="2" t="s">
        <v>10</v>
      </c>
      <c r="F2355" s="2">
        <v>4</v>
      </c>
      <c r="G2355" s="22">
        <f>Table4[[#This Row],[Item Cost]]*Table4[[#This Row],[In Stock]]</f>
        <v>1595</v>
      </c>
      <c r="H2355" s="12" t="s">
        <v>4661</v>
      </c>
      <c r="I2355" s="13" t="s">
        <v>4668</v>
      </c>
      <c r="J2355" s="13" t="s">
        <v>4731</v>
      </c>
      <c r="K2355" s="13" t="s">
        <v>4672</v>
      </c>
      <c r="L2355" s="12" t="s">
        <v>4672</v>
      </c>
      <c r="M2355" s="17" t="str">
        <f>IF(LEN(COUNTIFS($H$1:H2355,$H2355,$I$1:I2355,$I2355,$J$1:J2355,$J2355,$K$1:K2355,K2355,$L$1:L2355,L2355))=1,"00"&amp;COUNTIFS($H$1:H2355,$H2355,$I$1:I2355,$I2355,$J$1:J2355,$J2355,$K$1:K2355,K2355,$L$1:L2355,L2355),IF(LEN(COUNTIFS($H$1:H2355,$H2355,$I$1:I2355,$I2355,$J$1:J2355,$J2355,$K$1:K2355,K2355,$L$1:L2355,L2355))=2,"0"&amp;COUNTIFS($H$1:H2355,$H2355,$I$1:I2355,$I2355,$J$1:J2355,$J2355,$K$1:K2355,K2355,$L$1:L2355,L2355),COUNTIFS($H$1:H2355,$H2355,$I$1:I2355,$I2355,$J$1:J2355,$J2355,$K$1:K2355,K2355,$L$1:L2355,L2355)))</f>
        <v>003</v>
      </c>
      <c r="N2355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55" s="14" t="e">
        <f>+LEN(Table4[[#This Row],[New Item Code]])</f>
        <v>#N/A</v>
      </c>
      <c r="P2355" s="15" t="s">
        <v>4747</v>
      </c>
      <c r="Q2355" s="15" t="s">
        <v>4749</v>
      </c>
      <c r="R2355" s="15"/>
      <c r="S2355" s="15"/>
      <c r="T2355" s="15" t="s">
        <v>5710</v>
      </c>
    </row>
    <row r="2356" spans="1:20" x14ac:dyDescent="0.35">
      <c r="A2356" s="3" t="s">
        <v>4643</v>
      </c>
      <c r="B2356" s="3" t="s">
        <v>4644</v>
      </c>
      <c r="C2356" s="3" t="s">
        <v>56</v>
      </c>
      <c r="D2356" s="5">
        <v>180</v>
      </c>
      <c r="E2356" s="3" t="s">
        <v>10</v>
      </c>
      <c r="F2356" s="3">
        <v>2</v>
      </c>
      <c r="G2356" s="21">
        <f>Table4[[#This Row],[Item Cost]]*Table4[[#This Row],[In Stock]]</f>
        <v>360</v>
      </c>
      <c r="H2356" s="12" t="s">
        <v>4661</v>
      </c>
      <c r="I2356" s="13" t="s">
        <v>4668</v>
      </c>
      <c r="J2356" s="13" t="s">
        <v>4731</v>
      </c>
      <c r="K2356" s="13" t="s">
        <v>4776</v>
      </c>
      <c r="L2356" s="12" t="s">
        <v>4672</v>
      </c>
      <c r="M2356" s="17" t="str">
        <f>IF(LEN(COUNTIFS($H$1:H2356,$H2356,$I$1:I2356,$I2356,$J$1:J2356,$J2356,$K$1:K2356,K2356,$L$1:L2356,L2356))=1,"00"&amp;COUNTIFS($H$1:H2356,$H2356,$I$1:I2356,$I2356,$J$1:J2356,$J2356,$K$1:K2356,K2356,$L$1:L2356,L2356),IF(LEN(COUNTIFS($H$1:H2356,$H2356,$I$1:I2356,$I2356,$J$1:J2356,$J2356,$K$1:K2356,K2356,$L$1:L2356,L2356))=2,"0"&amp;COUNTIFS($H$1:H2356,$H2356,$I$1:I2356,$I2356,$J$1:J2356,$J2356,$K$1:K2356,K2356,$L$1:L2356,L2356),COUNTIFS($H$1:H2356,$H2356,$I$1:I2356,$I2356,$J$1:J2356,$J2356,$K$1:K2356,K2356,$L$1:L2356,L2356)))</f>
        <v>002</v>
      </c>
      <c r="N2356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56" s="14" t="e">
        <f>+LEN(Table4[[#This Row],[New Item Code]])</f>
        <v>#N/A</v>
      </c>
      <c r="P2356" s="15" t="s">
        <v>4747</v>
      </c>
      <c r="Q2356" s="15" t="s">
        <v>4749</v>
      </c>
      <c r="R2356" s="15"/>
      <c r="S2356" s="15"/>
      <c r="T2356" s="15" t="s">
        <v>5710</v>
      </c>
    </row>
    <row r="2357" spans="1:20" x14ac:dyDescent="0.35">
      <c r="A2357" s="2" t="s">
        <v>4645</v>
      </c>
      <c r="B2357" s="2" t="s">
        <v>4646</v>
      </c>
      <c r="C2357" s="2" t="s">
        <v>15</v>
      </c>
      <c r="D2357" s="2">
        <v>235</v>
      </c>
      <c r="E2357" s="2" t="s">
        <v>10</v>
      </c>
      <c r="F2357" s="2">
        <v>0</v>
      </c>
      <c r="G2357" s="22">
        <f>Table4[[#This Row],[Item Cost]]*Table4[[#This Row],[In Stock]]</f>
        <v>0</v>
      </c>
      <c r="H2357" s="12" t="s">
        <v>4661</v>
      </c>
      <c r="I2357" s="13" t="s">
        <v>4666</v>
      </c>
      <c r="J2357" s="13" t="s">
        <v>4731</v>
      </c>
      <c r="K2357" s="13" t="s">
        <v>4770</v>
      </c>
      <c r="L2357" s="12" t="s">
        <v>4672</v>
      </c>
      <c r="M2357" s="17" t="str">
        <f>IF(LEN(COUNTIFS($H$1:H2357,$H2357,$I$1:I2357,$I2357,$J$1:J2357,$J2357,$K$1:K2357,K2357,$L$1:L2357,L2357))=1,"00"&amp;COUNTIFS($H$1:H2357,$H2357,$I$1:I2357,$I2357,$J$1:J2357,$J2357,$K$1:K2357,K2357,$L$1:L2357,L2357),IF(LEN(COUNTIFS($H$1:H2357,$H2357,$I$1:I2357,$I2357,$J$1:J2357,$J2357,$K$1:K2357,K2357,$L$1:L2357,L2357))=2,"0"&amp;COUNTIFS($H$1:H2357,$H2357,$I$1:I2357,$I2357,$J$1:J2357,$J2357,$K$1:K2357,K2357,$L$1:L2357,L2357),COUNTIFS($H$1:H2357,$H2357,$I$1:I2357,$I2357,$J$1:J2357,$J2357,$K$1:K2357,K2357,$L$1:L2357,L2357)))</f>
        <v>002</v>
      </c>
      <c r="N2357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57" s="14" t="e">
        <f>+LEN(Table4[[#This Row],[New Item Code]])</f>
        <v>#N/A</v>
      </c>
      <c r="P2357" s="15" t="s">
        <v>4747</v>
      </c>
      <c r="Q2357" s="15" t="s">
        <v>4749</v>
      </c>
      <c r="R2357" s="15"/>
      <c r="S2357" s="15"/>
      <c r="T2357" s="15" t="s">
        <v>5710</v>
      </c>
    </row>
    <row r="2358" spans="1:20" x14ac:dyDescent="0.35">
      <c r="A2358" s="3" t="s">
        <v>4647</v>
      </c>
      <c r="B2358" s="3" t="s">
        <v>4648</v>
      </c>
      <c r="C2358" s="3" t="s">
        <v>9</v>
      </c>
      <c r="D2358" s="3">
        <v>154</v>
      </c>
      <c r="E2358" s="3" t="s">
        <v>10</v>
      </c>
      <c r="F2358" s="3">
        <v>5</v>
      </c>
      <c r="G2358" s="21">
        <f>Table4[[#This Row],[Item Cost]]*Table4[[#This Row],[In Stock]]</f>
        <v>770</v>
      </c>
      <c r="H2358" s="12" t="s">
        <v>4661</v>
      </c>
      <c r="I2358" s="13" t="s">
        <v>4664</v>
      </c>
      <c r="J2358" s="13" t="s">
        <v>4731</v>
      </c>
      <c r="K2358" s="13" t="s">
        <v>4770</v>
      </c>
      <c r="L2358" s="12" t="s">
        <v>4672</v>
      </c>
      <c r="M2358" s="17" t="str">
        <f>IF(LEN(COUNTIFS($H$1:H2358,$H2358,$I$1:I2358,$I2358,$J$1:J2358,$J2358,$K$1:K2358,K2358,$L$1:L2358,L2358))=1,"00"&amp;COUNTIFS($H$1:H2358,$H2358,$I$1:I2358,$I2358,$J$1:J2358,$J2358,$K$1:K2358,K2358,$L$1:L2358,L2358),IF(LEN(COUNTIFS($H$1:H2358,$H2358,$I$1:I2358,$I2358,$J$1:J2358,$J2358,$K$1:K2358,K2358,$L$1:L2358,L2358))=2,"0"&amp;COUNTIFS($H$1:H2358,$H2358,$I$1:I2358,$I2358,$J$1:J2358,$J2358,$K$1:K2358,K2358,$L$1:L2358,L2358),COUNTIFS($H$1:H2358,$H2358,$I$1:I2358,$I2358,$J$1:J2358,$J2358,$K$1:K2358,K2358,$L$1:L2358,L2358)))</f>
        <v>001</v>
      </c>
      <c r="N2358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58" s="14" t="e">
        <f>+LEN(Table4[[#This Row],[New Item Code]])</f>
        <v>#N/A</v>
      </c>
      <c r="P2358" s="15" t="s">
        <v>4747</v>
      </c>
      <c r="Q2358" s="15" t="s">
        <v>4749</v>
      </c>
      <c r="R2358" s="15"/>
      <c r="S2358" s="15"/>
      <c r="T2358" s="15" t="s">
        <v>5710</v>
      </c>
    </row>
    <row r="2359" spans="1:20" x14ac:dyDescent="0.35">
      <c r="A2359" s="2" t="s">
        <v>4649</v>
      </c>
      <c r="B2359" s="2" t="s">
        <v>4650</v>
      </c>
      <c r="C2359" s="2" t="s">
        <v>56</v>
      </c>
      <c r="D2359" s="2">
        <v>0</v>
      </c>
      <c r="E2359" s="2" t="s">
        <v>57</v>
      </c>
      <c r="F2359" s="2">
        <v>0</v>
      </c>
      <c r="G2359" s="22">
        <f>Table4[[#This Row],[Item Cost]]*Table4[[#This Row],[In Stock]]</f>
        <v>0</v>
      </c>
      <c r="H2359" s="12" t="s">
        <v>4661</v>
      </c>
      <c r="I2359" s="13" t="s">
        <v>4668</v>
      </c>
      <c r="J2359" s="13" t="s">
        <v>4731</v>
      </c>
      <c r="K2359" s="7" t="s">
        <v>4650</v>
      </c>
      <c r="L2359" s="12" t="s">
        <v>4672</v>
      </c>
      <c r="M2359" s="17" t="str">
        <f>IF(LEN(COUNTIFS($H$1:H2359,$H2359,$I$1:I2359,$I2359,$J$1:J2359,$J2359,$K$1:K2359,K2359,$L$1:L2359,L2359))=1,"00"&amp;COUNTIFS($H$1:H2359,$H2359,$I$1:I2359,$I2359,$J$1:J2359,$J2359,$K$1:K2359,K2359,$L$1:L2359,L2359),IF(LEN(COUNTIFS($H$1:H2359,$H2359,$I$1:I2359,$I2359,$J$1:J2359,$J2359,$K$1:K2359,K2359,$L$1:L2359,L2359))=2,"0"&amp;COUNTIFS($H$1:H2359,$H2359,$I$1:I2359,$I2359,$J$1:J2359,$J2359,$K$1:K2359,K2359,$L$1:L2359,L2359),COUNTIFS($H$1:H2359,$H2359,$I$1:I2359,$I2359,$J$1:J2359,$J2359,$K$1:K2359,K2359,$L$1:L2359,L2359)))</f>
        <v>001</v>
      </c>
      <c r="N2359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59" s="14" t="e">
        <f>+LEN(Table4[[#This Row],[New Item Code]])</f>
        <v>#N/A</v>
      </c>
      <c r="P2359" s="15" t="s">
        <v>4747</v>
      </c>
      <c r="Q2359" s="15" t="s">
        <v>4749</v>
      </c>
      <c r="R2359" s="15"/>
      <c r="S2359" s="15"/>
      <c r="T2359" s="15" t="s">
        <v>5710</v>
      </c>
    </row>
    <row r="2360" spans="1:20" x14ac:dyDescent="0.35">
      <c r="A2360" s="3" t="s">
        <v>4651</v>
      </c>
      <c r="B2360" s="3" t="s">
        <v>4652</v>
      </c>
      <c r="C2360" s="3" t="s">
        <v>15</v>
      </c>
      <c r="D2360" s="3">
        <v>0</v>
      </c>
      <c r="E2360" s="3" t="s">
        <v>10</v>
      </c>
      <c r="F2360" s="3">
        <v>0</v>
      </c>
      <c r="G2360" s="21">
        <f>Table4[[#This Row],[Item Cost]]*Table4[[#This Row],[In Stock]]</f>
        <v>0</v>
      </c>
      <c r="H2360" s="12" t="s">
        <v>4661</v>
      </c>
      <c r="I2360" s="13" t="s">
        <v>4666</v>
      </c>
      <c r="J2360" s="13" t="s">
        <v>4731</v>
      </c>
      <c r="K2360" s="13" t="s">
        <v>4770</v>
      </c>
      <c r="L2360" s="12" t="s">
        <v>4672</v>
      </c>
      <c r="M2360" s="17" t="str">
        <f>IF(LEN(COUNTIFS($H$1:H2360,$H2360,$I$1:I2360,$I2360,$J$1:J2360,$J2360,$K$1:K2360,K2360,$L$1:L2360,L2360))=1,"00"&amp;COUNTIFS($H$1:H2360,$H2360,$I$1:I2360,$I2360,$J$1:J2360,$J2360,$K$1:K2360,K2360,$L$1:L2360,L2360),IF(LEN(COUNTIFS($H$1:H2360,$H2360,$I$1:I2360,$I2360,$J$1:J2360,$J2360,$K$1:K2360,K2360,$L$1:L2360,L2360))=2,"0"&amp;COUNTIFS($H$1:H2360,$H2360,$I$1:I2360,$I2360,$J$1:J2360,$J2360,$K$1:K2360,K2360,$L$1:L2360,L2360),COUNTIFS($H$1:H2360,$H2360,$I$1:I2360,$I2360,$J$1:J2360,$J2360,$K$1:K2360,K2360,$L$1:L2360,L2360)))</f>
        <v>003</v>
      </c>
      <c r="N2360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60" s="14" t="e">
        <f>+LEN(Table4[[#This Row],[New Item Code]])</f>
        <v>#N/A</v>
      </c>
      <c r="P2360" s="15" t="s">
        <v>4747</v>
      </c>
      <c r="Q2360" s="15" t="s">
        <v>4749</v>
      </c>
      <c r="R2360" s="15"/>
      <c r="S2360" s="15"/>
      <c r="T2360" s="15" t="e">
        <v>#N/A</v>
      </c>
    </row>
    <row r="2361" spans="1:20" x14ac:dyDescent="0.35">
      <c r="A2361" s="2" t="s">
        <v>4653</v>
      </c>
      <c r="B2361" s="2" t="s">
        <v>4654</v>
      </c>
      <c r="C2361" s="2" t="s">
        <v>15</v>
      </c>
      <c r="D2361" s="2">
        <v>0</v>
      </c>
      <c r="E2361" s="2" t="s">
        <v>10</v>
      </c>
      <c r="F2361" s="2">
        <v>0</v>
      </c>
      <c r="G2361" s="22">
        <f>Table4[[#This Row],[Item Cost]]*Table4[[#This Row],[In Stock]]</f>
        <v>0</v>
      </c>
      <c r="H2361" s="12" t="s">
        <v>4661</v>
      </c>
      <c r="I2361" s="13" t="s">
        <v>4666</v>
      </c>
      <c r="J2361" s="13" t="s">
        <v>4731</v>
      </c>
      <c r="K2361" s="13" t="s">
        <v>4770</v>
      </c>
      <c r="L2361" s="12" t="s">
        <v>4672</v>
      </c>
      <c r="M2361" s="17" t="str">
        <f>IF(LEN(COUNTIFS($H$1:H2361,$H2361,$I$1:I2361,$I2361,$J$1:J2361,$J2361,$K$1:K2361,K2361,$L$1:L2361,L2361))=1,"00"&amp;COUNTIFS($H$1:H2361,$H2361,$I$1:I2361,$I2361,$J$1:J2361,$J2361,$K$1:K2361,K2361,$L$1:L2361,L2361),IF(LEN(COUNTIFS($H$1:H2361,$H2361,$I$1:I2361,$I2361,$J$1:J2361,$J2361,$K$1:K2361,K2361,$L$1:L2361,L2361))=2,"0"&amp;COUNTIFS($H$1:H2361,$H2361,$I$1:I2361,$I2361,$J$1:J2361,$J2361,$K$1:K2361,K2361,$L$1:L2361,L2361),COUNTIFS($H$1:H2361,$H2361,$I$1:I2361,$I2361,$J$1:J2361,$J2361,$K$1:K2361,K2361,$L$1:L2361,L2361)))</f>
        <v>004</v>
      </c>
      <c r="N2361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61" s="14" t="e">
        <f>+LEN(Table4[[#This Row],[New Item Code]])</f>
        <v>#N/A</v>
      </c>
      <c r="P2361" s="15" t="s">
        <v>4747</v>
      </c>
      <c r="Q2361" s="15" t="s">
        <v>4749</v>
      </c>
      <c r="R2361" s="15"/>
      <c r="S2361" s="15"/>
      <c r="T2361" s="15" t="e">
        <v>#N/A</v>
      </c>
    </row>
    <row r="2362" spans="1:20" x14ac:dyDescent="0.35">
      <c r="A2362" s="6" t="s">
        <v>4655</v>
      </c>
      <c r="B2362" s="6" t="s">
        <v>4656</v>
      </c>
      <c r="C2362" s="6" t="s">
        <v>15</v>
      </c>
      <c r="D2362" s="6">
        <v>0</v>
      </c>
      <c r="E2362" s="6" t="s">
        <v>10</v>
      </c>
      <c r="F2362" s="6">
        <v>0</v>
      </c>
      <c r="G2362" s="25">
        <f>Table4[[#This Row],[Item Cost]]*Table4[[#This Row],[In Stock]]</f>
        <v>0</v>
      </c>
      <c r="H2362" s="12" t="s">
        <v>4661</v>
      </c>
      <c r="I2362" s="13" t="s">
        <v>4666</v>
      </c>
      <c r="J2362" s="13" t="s">
        <v>4731</v>
      </c>
      <c r="K2362" s="13" t="s">
        <v>4770</v>
      </c>
      <c r="L2362" s="12" t="s">
        <v>4672</v>
      </c>
      <c r="M2362" s="17" t="str">
        <f>IF(LEN(COUNTIFS($H$1:H2362,$H2362,$I$1:I2362,$I2362,$J$1:J2362,$J2362,$K$1:K2362,K2362,$L$1:L2362,L2362))=1,"00"&amp;COUNTIFS($H$1:H2362,$H2362,$I$1:I2362,$I2362,$J$1:J2362,$J2362,$K$1:K2362,K2362,$L$1:L2362,L2362),IF(LEN(COUNTIFS($H$1:H2362,$H2362,$I$1:I2362,$I2362,$J$1:J2362,$J2362,$K$1:K2362,K2362,$L$1:L2362,L2362))=2,"0"&amp;COUNTIFS($H$1:H2362,$H2362,$I$1:I2362,$I2362,$J$1:J2362,$J2362,$K$1:K2362,K2362,$L$1:L2362,L2362),COUNTIFS($H$1:H2362,$H2362,$I$1:I2362,$I2362,$J$1:J2362,$J2362,$K$1:K2362,K2362,$L$1:L2362,L2362)))</f>
        <v>005</v>
      </c>
      <c r="N2362" s="12" t="e">
        <f>VLOOKUP(Table4[[#This Row],[Department]],'Mapping code'!A:B,2,0)&amp;"-"&amp;VLOOKUP(Table4[[#This Row],[Category]],'Mapping code'!E:F,2,0)&amp;"-"&amp;VLOOKUP(Table4[[#This Row],[Machine]],'Mapping code'!I:J,2,0)&amp;"-"&amp;VLOOKUP(Table4[[#This Row],[Product Nature]],'Mapping code'!N:O,2,0)&amp;"-"&amp;VLOOKUP(Table4[[#This Row],[Category2]],'Mapping code'!Q:R,2,0)&amp;"-"&amp;Table4[[#This Row],[Seq]]</f>
        <v>#N/A</v>
      </c>
      <c r="O2362" s="14" t="e">
        <f>+LEN(Table4[[#This Row],[New Item Code]])</f>
        <v>#N/A</v>
      </c>
      <c r="P2362" s="15" t="s">
        <v>4747</v>
      </c>
      <c r="Q2362" s="15" t="s">
        <v>4749</v>
      </c>
      <c r="R2362" s="15"/>
      <c r="S2362" s="15"/>
      <c r="T2362" s="15" t="e">
        <v>#N/A</v>
      </c>
    </row>
  </sheetData>
  <phoneticPr fontId="5" type="noConversion"/>
  <conditionalFormatting sqref="N2:N2362">
    <cfRule type="duplicateValues" dxfId="5" priority="1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851B779-0A73-42D3-A3CB-E917C9E856C6}">
          <x14:formula1>
            <xm:f>'Mapping code'!$N$2:$N$6</xm:f>
          </x14:formula1>
          <xm:sqref>K2360:K2362 K2357:K2358 K2355 K2230:K2243 K2:K50 I12 K859:K1046 K101 K103:K105 K2351:K2353 K107:K166 K450:K452 K492:K588 K454:K490 K590 K592:K857 K52:K99 K1050:K1061 K1066:K1112 K2332:K2349 K168:K448 K1114:K1537 K1635:K1645 K1647:K1648 K1540:K1565 K1568:K1633 K1964:K2030 K2062:K2225 K2032:K2060 K1650:K1959 K2326 K2328 K2245:K2322</xm:sqref>
        </x14:dataValidation>
        <x14:dataValidation type="list" allowBlank="1" showInputMessage="1" showErrorMessage="1" xr:uid="{282E29DC-98C8-48A7-AF80-3E591712D4F0}">
          <x14:formula1>
            <xm:f>'Mapping code'!$A$2:$A$3</xm:f>
          </x14:formula1>
          <xm:sqref>H2:H2362</xm:sqref>
        </x14:dataValidation>
        <x14:dataValidation type="list" allowBlank="1" showInputMessage="1" showErrorMessage="1" xr:uid="{5C8937A7-BA2F-4D20-B2AC-46B6DD8BC2FA}">
          <x14:formula1>
            <xm:f>'Mapping code'!$E$2:$E$3</xm:f>
          </x14:formula1>
          <xm:sqref>I2:I11 I13:I2362</xm:sqref>
        </x14:dataValidation>
        <x14:dataValidation type="list" allowBlank="1" showInputMessage="1" showErrorMessage="1" xr:uid="{98AC20F6-F80F-48E5-9878-3BA4986FAD5D}">
          <x14:formula1>
            <xm:f>'Mapping code'!$I$2:$I$35</xm:f>
          </x14:formula1>
          <xm:sqref>J2:J2362</xm:sqref>
        </x14:dataValidation>
        <x14:dataValidation type="list" allowBlank="1" showInputMessage="1" showErrorMessage="1" xr:uid="{2801AF41-12E0-4B20-A172-0FA430BA33D5}">
          <x14:formula1>
            <xm:f>'Mapping code'!$N$2:$N$30</xm:f>
          </x14:formula1>
          <xm:sqref>K51 K2356 K2350 K2329:K2331 K2327 K2323:K2325 K2244 K2226:K2229 K2061 K2031 K1960:K1963 K1649 K1646 K1634 K1566:K1567 K1538:K1539 K1113 K1062:K1065 K1047:K1049 K858 K591 K589 K491 K453 K449 K167 K106 K102 K100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0C0E5-5B7D-43E6-85E4-1A1512CF28FC}">
  <dimension ref="A1:R36"/>
  <sheetViews>
    <sheetView workbookViewId="0">
      <selection activeCell="T25" sqref="T25"/>
    </sheetView>
  </sheetViews>
  <sheetFormatPr defaultRowHeight="14.5" x14ac:dyDescent="0.35"/>
  <cols>
    <col min="1" max="1" width="27.08984375" customWidth="1"/>
    <col min="2" max="2" width="6.08984375" customWidth="1"/>
    <col min="5" max="5" width="16.36328125" customWidth="1"/>
    <col min="6" max="6" width="6.54296875" bestFit="1" customWidth="1"/>
    <col min="9" max="9" width="19.08984375" bestFit="1" customWidth="1"/>
    <col min="10" max="10" width="6.54296875" style="10" bestFit="1" customWidth="1"/>
    <col min="14" max="14" width="22.453125" bestFit="1" customWidth="1"/>
    <col min="15" max="15" width="6.54296875" bestFit="1" customWidth="1"/>
    <col min="17" max="17" width="16.6328125" bestFit="1" customWidth="1"/>
  </cols>
  <sheetData>
    <row r="1" spans="1:18" x14ac:dyDescent="0.35">
      <c r="A1" s="8" t="s">
        <v>4662</v>
      </c>
      <c r="B1" s="8" t="s">
        <v>4660</v>
      </c>
      <c r="E1" s="8" t="s">
        <v>4660</v>
      </c>
      <c r="F1" s="8" t="s">
        <v>4663</v>
      </c>
      <c r="G1" s="8"/>
      <c r="H1" s="8"/>
      <c r="I1" s="8" t="s">
        <v>4660</v>
      </c>
      <c r="J1" s="30" t="s">
        <v>4663</v>
      </c>
      <c r="K1" s="8"/>
      <c r="L1" s="8"/>
      <c r="M1" s="8"/>
      <c r="N1" s="31" t="s">
        <v>4740</v>
      </c>
      <c r="O1" s="8" t="s">
        <v>4663</v>
      </c>
      <c r="P1" s="8"/>
      <c r="Q1" s="31" t="s">
        <v>4732</v>
      </c>
      <c r="R1" s="8" t="s">
        <v>4663</v>
      </c>
    </row>
    <row r="2" spans="1:18" x14ac:dyDescent="0.35">
      <c r="A2" s="7" t="s">
        <v>4941</v>
      </c>
      <c r="B2" s="7" t="s">
        <v>4942</v>
      </c>
      <c r="E2" t="s">
        <v>4664</v>
      </c>
      <c r="F2" s="9" t="s">
        <v>4808</v>
      </c>
      <c r="I2" t="s">
        <v>4672</v>
      </c>
      <c r="J2" s="11" t="s">
        <v>4736</v>
      </c>
      <c r="N2" t="s">
        <v>4672</v>
      </c>
      <c r="O2" s="11" t="s">
        <v>4735</v>
      </c>
      <c r="Q2" t="s">
        <v>4672</v>
      </c>
      <c r="R2" s="11" t="s">
        <v>4735</v>
      </c>
    </row>
    <row r="3" spans="1:18" x14ac:dyDescent="0.35">
      <c r="A3" t="s">
        <v>4944</v>
      </c>
      <c r="B3" t="s">
        <v>4943</v>
      </c>
      <c r="E3" t="s">
        <v>4666</v>
      </c>
      <c r="F3" s="9" t="s">
        <v>4809</v>
      </c>
      <c r="I3" t="s">
        <v>4673</v>
      </c>
      <c r="J3" s="11" t="s">
        <v>4669</v>
      </c>
      <c r="N3" s="7" t="s">
        <v>4733</v>
      </c>
      <c r="O3" s="11" t="s">
        <v>4665</v>
      </c>
      <c r="Q3" t="s">
        <v>4845</v>
      </c>
      <c r="R3" s="11" t="s">
        <v>4665</v>
      </c>
    </row>
    <row r="4" spans="1:18" x14ac:dyDescent="0.35">
      <c r="A4" t="s">
        <v>4932</v>
      </c>
      <c r="B4" t="s">
        <v>4936</v>
      </c>
      <c r="I4" t="s">
        <v>4674</v>
      </c>
      <c r="J4" s="11" t="s">
        <v>4670</v>
      </c>
      <c r="N4" s="7" t="s">
        <v>4734</v>
      </c>
      <c r="O4" s="11" t="s">
        <v>4667</v>
      </c>
      <c r="Q4" t="s">
        <v>4846</v>
      </c>
      <c r="R4" s="11" t="s">
        <v>4667</v>
      </c>
    </row>
    <row r="5" spans="1:18" x14ac:dyDescent="0.35">
      <c r="A5" t="s">
        <v>4933</v>
      </c>
      <c r="B5" t="s">
        <v>4935</v>
      </c>
      <c r="I5" t="s">
        <v>4675</v>
      </c>
      <c r="J5" s="11" t="s">
        <v>4671</v>
      </c>
      <c r="N5" s="7" t="s">
        <v>4831</v>
      </c>
      <c r="O5" s="11" t="s">
        <v>4756</v>
      </c>
      <c r="Q5" t="s">
        <v>4847</v>
      </c>
      <c r="R5" s="11" t="s">
        <v>4756</v>
      </c>
    </row>
    <row r="6" spans="1:18" x14ac:dyDescent="0.35">
      <c r="A6" t="s">
        <v>4934</v>
      </c>
      <c r="B6" t="s">
        <v>4937</v>
      </c>
      <c r="I6" t="s">
        <v>4677</v>
      </c>
      <c r="J6" s="11" t="s">
        <v>4676</v>
      </c>
      <c r="N6" t="s">
        <v>4770</v>
      </c>
      <c r="O6" s="11" t="s">
        <v>4757</v>
      </c>
      <c r="Q6" t="s">
        <v>4848</v>
      </c>
      <c r="R6" s="11" t="s">
        <v>4757</v>
      </c>
    </row>
    <row r="7" spans="1:18" x14ac:dyDescent="0.35">
      <c r="A7" t="s">
        <v>4939</v>
      </c>
      <c r="B7" t="s">
        <v>4940</v>
      </c>
      <c r="I7" t="s">
        <v>4679</v>
      </c>
      <c r="J7" s="11" t="s">
        <v>4678</v>
      </c>
      <c r="N7" s="7" t="s">
        <v>4771</v>
      </c>
      <c r="O7" s="11" t="s">
        <v>4759</v>
      </c>
      <c r="Q7" t="s">
        <v>4849</v>
      </c>
      <c r="R7" s="11" t="s">
        <v>4759</v>
      </c>
    </row>
    <row r="8" spans="1:18" x14ac:dyDescent="0.35">
      <c r="A8" t="s">
        <v>7321</v>
      </c>
      <c r="B8" t="s">
        <v>7322</v>
      </c>
      <c r="I8" t="s">
        <v>4681</v>
      </c>
      <c r="J8" s="11" t="s">
        <v>4680</v>
      </c>
      <c r="N8" s="7" t="s">
        <v>4772</v>
      </c>
      <c r="O8" s="11" t="s">
        <v>4760</v>
      </c>
      <c r="Q8" t="s">
        <v>4850</v>
      </c>
      <c r="R8" s="11" t="s">
        <v>4760</v>
      </c>
    </row>
    <row r="9" spans="1:18" x14ac:dyDescent="0.35">
      <c r="I9" t="s">
        <v>4683</v>
      </c>
      <c r="J9" s="11" t="s">
        <v>4682</v>
      </c>
      <c r="N9" s="7" t="s">
        <v>4832</v>
      </c>
      <c r="O9" s="11" t="s">
        <v>4761</v>
      </c>
      <c r="Q9" t="s">
        <v>4851</v>
      </c>
      <c r="R9" s="11" t="s">
        <v>4761</v>
      </c>
    </row>
    <row r="10" spans="1:18" x14ac:dyDescent="0.35">
      <c r="I10" t="s">
        <v>4685</v>
      </c>
      <c r="J10" s="11" t="s">
        <v>4684</v>
      </c>
      <c r="N10" s="7" t="s">
        <v>4774</v>
      </c>
      <c r="O10" s="11" t="s">
        <v>4762</v>
      </c>
      <c r="Q10" t="s">
        <v>4852</v>
      </c>
      <c r="R10" s="11" t="s">
        <v>4762</v>
      </c>
    </row>
    <row r="11" spans="1:18" x14ac:dyDescent="0.35">
      <c r="I11" t="s">
        <v>4687</v>
      </c>
      <c r="J11" s="11" t="s">
        <v>4686</v>
      </c>
      <c r="N11" s="7" t="s">
        <v>4775</v>
      </c>
      <c r="O11" s="11" t="s">
        <v>4763</v>
      </c>
      <c r="Q11" t="s">
        <v>4853</v>
      </c>
      <c r="R11" s="11" t="s">
        <v>4763</v>
      </c>
    </row>
    <row r="12" spans="1:18" x14ac:dyDescent="0.35">
      <c r="I12" t="s">
        <v>4689</v>
      </c>
      <c r="J12" s="11" t="s">
        <v>4688</v>
      </c>
      <c r="N12" t="s">
        <v>4827</v>
      </c>
      <c r="O12" s="11" t="s">
        <v>4764</v>
      </c>
      <c r="Q12" t="s">
        <v>4854</v>
      </c>
      <c r="R12" s="11" t="s">
        <v>4764</v>
      </c>
    </row>
    <row r="13" spans="1:18" x14ac:dyDescent="0.35">
      <c r="I13" s="29" t="s">
        <v>4755</v>
      </c>
      <c r="J13" s="11" t="s">
        <v>4690</v>
      </c>
      <c r="N13" s="7" t="s">
        <v>4777</v>
      </c>
      <c r="O13" s="11" t="s">
        <v>4765</v>
      </c>
      <c r="Q13" t="s">
        <v>4852</v>
      </c>
      <c r="R13" s="11" t="s">
        <v>4765</v>
      </c>
    </row>
    <row r="14" spans="1:18" x14ac:dyDescent="0.35">
      <c r="I14" t="s">
        <v>4693</v>
      </c>
      <c r="J14" s="11" t="s">
        <v>4692</v>
      </c>
      <c r="N14" s="7" t="s">
        <v>4650</v>
      </c>
      <c r="O14" s="11" t="s">
        <v>4766</v>
      </c>
      <c r="Q14" t="s">
        <v>4855</v>
      </c>
      <c r="R14" s="11" t="s">
        <v>4766</v>
      </c>
    </row>
    <row r="15" spans="1:18" x14ac:dyDescent="0.35">
      <c r="I15" t="s">
        <v>4695</v>
      </c>
      <c r="J15" s="11" t="s">
        <v>4694</v>
      </c>
      <c r="N15" t="s">
        <v>4828</v>
      </c>
      <c r="O15" s="11" t="s">
        <v>4767</v>
      </c>
      <c r="Q15" t="s">
        <v>4856</v>
      </c>
      <c r="R15" s="11" t="s">
        <v>4767</v>
      </c>
    </row>
    <row r="16" spans="1:18" x14ac:dyDescent="0.35">
      <c r="I16" t="s">
        <v>4699</v>
      </c>
      <c r="J16" s="11" t="s">
        <v>4696</v>
      </c>
      <c r="N16" t="s">
        <v>4779</v>
      </c>
      <c r="O16" s="11" t="s">
        <v>4768</v>
      </c>
      <c r="Q16" t="s">
        <v>4857</v>
      </c>
      <c r="R16" s="11" t="s">
        <v>4768</v>
      </c>
    </row>
    <row r="17" spans="9:18" x14ac:dyDescent="0.35">
      <c r="I17" t="s">
        <v>4701</v>
      </c>
      <c r="J17" s="11" t="s">
        <v>4698</v>
      </c>
      <c r="N17" t="s">
        <v>4840</v>
      </c>
      <c r="O17" s="11" t="s">
        <v>4769</v>
      </c>
      <c r="Q17" t="s">
        <v>4858</v>
      </c>
      <c r="R17" s="11" t="s">
        <v>4769</v>
      </c>
    </row>
    <row r="18" spans="9:18" x14ac:dyDescent="0.35">
      <c r="I18" t="s">
        <v>4703</v>
      </c>
      <c r="J18" s="11" t="s">
        <v>4700</v>
      </c>
      <c r="N18" t="s">
        <v>4833</v>
      </c>
      <c r="O18" s="11" t="s">
        <v>4782</v>
      </c>
      <c r="Q18" t="s">
        <v>4929</v>
      </c>
      <c r="R18" s="11" t="s">
        <v>4782</v>
      </c>
    </row>
    <row r="19" spans="9:18" x14ac:dyDescent="0.35">
      <c r="I19" t="s">
        <v>4705</v>
      </c>
      <c r="J19" s="11" t="s">
        <v>4702</v>
      </c>
      <c r="N19" t="s">
        <v>4834</v>
      </c>
      <c r="O19" s="11" t="s">
        <v>4783</v>
      </c>
      <c r="Q19" t="s">
        <v>4930</v>
      </c>
      <c r="R19" s="11" t="s">
        <v>4783</v>
      </c>
    </row>
    <row r="20" spans="9:18" x14ac:dyDescent="0.35">
      <c r="I20" s="29" t="s">
        <v>4754</v>
      </c>
      <c r="J20" s="11" t="s">
        <v>4704</v>
      </c>
      <c r="N20" t="s">
        <v>4838</v>
      </c>
      <c r="O20" s="11" t="s">
        <v>4784</v>
      </c>
      <c r="Q20" t="s">
        <v>4931</v>
      </c>
      <c r="R20" s="11" t="s">
        <v>4784</v>
      </c>
    </row>
    <row r="21" spans="9:18" x14ac:dyDescent="0.35">
      <c r="I21" t="s">
        <v>4709</v>
      </c>
      <c r="J21" s="11" t="s">
        <v>4706</v>
      </c>
      <c r="N21" t="s">
        <v>4795</v>
      </c>
      <c r="O21" s="11" t="s">
        <v>4785</v>
      </c>
    </row>
    <row r="22" spans="9:18" x14ac:dyDescent="0.35">
      <c r="I22" t="s">
        <v>4711</v>
      </c>
      <c r="J22" s="11" t="s">
        <v>4708</v>
      </c>
      <c r="N22" t="s">
        <v>4796</v>
      </c>
      <c r="O22" s="11" t="s">
        <v>4786</v>
      </c>
    </row>
    <row r="23" spans="9:18" x14ac:dyDescent="0.35">
      <c r="I23" t="s">
        <v>4713</v>
      </c>
      <c r="J23" s="11" t="s">
        <v>4710</v>
      </c>
      <c r="N23" t="s">
        <v>4829</v>
      </c>
      <c r="O23" s="11" t="s">
        <v>4787</v>
      </c>
    </row>
    <row r="24" spans="9:18" x14ac:dyDescent="0.35">
      <c r="I24" t="s">
        <v>4830</v>
      </c>
      <c r="J24" s="11" t="s">
        <v>4712</v>
      </c>
      <c r="N24" t="s">
        <v>3950</v>
      </c>
      <c r="O24" s="11" t="s">
        <v>4788</v>
      </c>
    </row>
    <row r="25" spans="9:18" x14ac:dyDescent="0.35">
      <c r="I25" t="s">
        <v>4753</v>
      </c>
      <c r="J25" s="11" t="s">
        <v>4714</v>
      </c>
      <c r="N25" t="s">
        <v>4693</v>
      </c>
      <c r="O25" s="11" t="s">
        <v>4789</v>
      </c>
    </row>
    <row r="26" spans="9:18" x14ac:dyDescent="0.35">
      <c r="I26" t="s">
        <v>4719</v>
      </c>
      <c r="J26" s="11" t="s">
        <v>4716</v>
      </c>
      <c r="N26" t="s">
        <v>4835</v>
      </c>
      <c r="O26" s="11" t="s">
        <v>4790</v>
      </c>
    </row>
    <row r="27" spans="9:18" x14ac:dyDescent="0.35">
      <c r="I27" t="s">
        <v>4721</v>
      </c>
      <c r="J27" s="11" t="s">
        <v>4718</v>
      </c>
      <c r="N27" t="s">
        <v>4836</v>
      </c>
      <c r="O27" s="11" t="s">
        <v>4791</v>
      </c>
    </row>
    <row r="28" spans="9:18" x14ac:dyDescent="0.35">
      <c r="I28" t="s">
        <v>4725</v>
      </c>
      <c r="J28" s="11" t="s">
        <v>4720</v>
      </c>
      <c r="N28" t="s">
        <v>4837</v>
      </c>
      <c r="O28" s="11" t="s">
        <v>4792</v>
      </c>
    </row>
    <row r="29" spans="9:18" x14ac:dyDescent="0.35">
      <c r="I29" t="s">
        <v>4727</v>
      </c>
      <c r="J29" s="11" t="s">
        <v>4722</v>
      </c>
      <c r="N29" t="s">
        <v>4839</v>
      </c>
      <c r="O29" s="11" t="s">
        <v>4802</v>
      </c>
    </row>
    <row r="30" spans="9:18" x14ac:dyDescent="0.35">
      <c r="I30" t="s">
        <v>4729</v>
      </c>
      <c r="J30" s="11" t="s">
        <v>4724</v>
      </c>
      <c r="N30" t="s">
        <v>4841</v>
      </c>
      <c r="O30" s="11" t="s">
        <v>4803</v>
      </c>
    </row>
    <row r="31" spans="9:18" x14ac:dyDescent="0.35">
      <c r="I31" t="s">
        <v>4731</v>
      </c>
      <c r="J31" s="11" t="s">
        <v>4726</v>
      </c>
      <c r="N31" t="s">
        <v>4844</v>
      </c>
      <c r="O31" s="11" t="s">
        <v>4804</v>
      </c>
    </row>
    <row r="32" spans="9:18" x14ac:dyDescent="0.35">
      <c r="I32" t="s">
        <v>4823</v>
      </c>
      <c r="J32" s="11" t="s">
        <v>4728</v>
      </c>
      <c r="N32" t="s">
        <v>4859</v>
      </c>
      <c r="O32" s="11" t="s">
        <v>4805</v>
      </c>
    </row>
    <row r="33" spans="9:15" x14ac:dyDescent="0.35">
      <c r="I33" t="s">
        <v>4824</v>
      </c>
      <c r="J33" s="11" t="s">
        <v>4730</v>
      </c>
      <c r="N33" t="s">
        <v>4928</v>
      </c>
      <c r="O33" s="11" t="s">
        <v>4806</v>
      </c>
    </row>
    <row r="34" spans="9:15" x14ac:dyDescent="0.35">
      <c r="I34" t="s">
        <v>4825</v>
      </c>
      <c r="J34" s="11" t="s">
        <v>4826</v>
      </c>
      <c r="N34" t="s">
        <v>4938</v>
      </c>
      <c r="O34" s="11" t="s">
        <v>4807</v>
      </c>
    </row>
    <row r="35" spans="9:15" x14ac:dyDescent="0.35">
      <c r="I35" t="s">
        <v>4843</v>
      </c>
      <c r="J35" s="11" t="s">
        <v>4842</v>
      </c>
      <c r="N35" t="s">
        <v>5152</v>
      </c>
      <c r="O35" s="11" t="s">
        <v>5154</v>
      </c>
    </row>
    <row r="36" spans="9:15" x14ac:dyDescent="0.35">
      <c r="I36" t="s">
        <v>4860</v>
      </c>
      <c r="J36" s="11" t="s">
        <v>4861</v>
      </c>
      <c r="N36" t="s">
        <v>5153</v>
      </c>
      <c r="O36" s="11" t="s">
        <v>5155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5A38E-89D4-4790-93BB-0043A37011F1}">
  <dimension ref="A1:B45"/>
  <sheetViews>
    <sheetView topLeftCell="A13" workbookViewId="0">
      <selection activeCell="I34" sqref="I34"/>
    </sheetView>
  </sheetViews>
  <sheetFormatPr defaultRowHeight="14.5" x14ac:dyDescent="0.35"/>
  <cols>
    <col min="1" max="1" width="14.36328125" customWidth="1"/>
    <col min="2" max="2" width="62.1796875" customWidth="1"/>
  </cols>
  <sheetData>
    <row r="1" spans="1:2" x14ac:dyDescent="0.35">
      <c r="A1" s="37" t="s">
        <v>4976</v>
      </c>
      <c r="B1" s="38" t="s">
        <v>4662</v>
      </c>
    </row>
    <row r="2" spans="1:2" x14ac:dyDescent="0.35">
      <c r="A2" s="40" t="s">
        <v>4677</v>
      </c>
      <c r="B2" s="39" t="s">
        <v>4977</v>
      </c>
    </row>
    <row r="3" spans="1:2" x14ac:dyDescent="0.35">
      <c r="A3" s="40" t="s">
        <v>4945</v>
      </c>
      <c r="B3" s="39" t="s">
        <v>4978</v>
      </c>
    </row>
    <row r="4" spans="1:2" x14ac:dyDescent="0.35">
      <c r="A4" s="40" t="s">
        <v>4946</v>
      </c>
      <c r="B4" s="39" t="s">
        <v>3950</v>
      </c>
    </row>
    <row r="5" spans="1:2" x14ac:dyDescent="0.35">
      <c r="A5" s="40" t="s">
        <v>4947</v>
      </c>
      <c r="B5" s="39" t="s">
        <v>4979</v>
      </c>
    </row>
    <row r="6" spans="1:2" x14ac:dyDescent="0.35">
      <c r="A6" s="45" t="s">
        <v>5195</v>
      </c>
      <c r="B6" s="46" t="s">
        <v>5196</v>
      </c>
    </row>
    <row r="7" spans="1:2" x14ac:dyDescent="0.35">
      <c r="A7" s="40" t="s">
        <v>4948</v>
      </c>
      <c r="B7" s="39" t="s">
        <v>4980</v>
      </c>
    </row>
    <row r="8" spans="1:2" x14ac:dyDescent="0.35">
      <c r="A8" s="40" t="s">
        <v>4949</v>
      </c>
      <c r="B8" s="39" t="s">
        <v>4981</v>
      </c>
    </row>
    <row r="9" spans="1:2" x14ac:dyDescent="0.35">
      <c r="A9" s="40" t="s">
        <v>4950</v>
      </c>
      <c r="B9" s="39" t="s">
        <v>4982</v>
      </c>
    </row>
    <row r="10" spans="1:2" x14ac:dyDescent="0.35">
      <c r="A10" s="40" t="s">
        <v>4951</v>
      </c>
      <c r="B10" s="39" t="s">
        <v>4673</v>
      </c>
    </row>
    <row r="11" spans="1:2" x14ac:dyDescent="0.35">
      <c r="A11" s="40" t="s">
        <v>4997</v>
      </c>
      <c r="B11" s="39" t="s">
        <v>4998</v>
      </c>
    </row>
    <row r="12" spans="1:2" x14ac:dyDescent="0.35">
      <c r="A12" s="40" t="s">
        <v>5197</v>
      </c>
      <c r="B12" s="39" t="s">
        <v>5193</v>
      </c>
    </row>
    <row r="13" spans="1:2" x14ac:dyDescent="0.35">
      <c r="A13" s="40" t="s">
        <v>4952</v>
      </c>
      <c r="B13" s="39" t="s">
        <v>4674</v>
      </c>
    </row>
    <row r="14" spans="1:2" x14ac:dyDescent="0.35">
      <c r="A14" s="40" t="s">
        <v>4953</v>
      </c>
      <c r="B14" s="39" t="s">
        <v>4695</v>
      </c>
    </row>
    <row r="15" spans="1:2" x14ac:dyDescent="0.35">
      <c r="A15" s="40" t="s">
        <v>4954</v>
      </c>
      <c r="B15" s="39" t="s">
        <v>4983</v>
      </c>
    </row>
    <row r="16" spans="1:2" x14ac:dyDescent="0.35">
      <c r="A16" s="40" t="s">
        <v>4699</v>
      </c>
      <c r="B16" s="39" t="s">
        <v>4984</v>
      </c>
    </row>
    <row r="17" spans="1:2" x14ac:dyDescent="0.35">
      <c r="A17" s="40" t="s">
        <v>5641</v>
      </c>
      <c r="B17" s="39" t="s">
        <v>5642</v>
      </c>
    </row>
    <row r="18" spans="1:2" x14ac:dyDescent="0.35">
      <c r="A18" s="40" t="s">
        <v>4955</v>
      </c>
      <c r="B18" s="39" t="s">
        <v>4985</v>
      </c>
    </row>
    <row r="19" spans="1:2" x14ac:dyDescent="0.35">
      <c r="A19" s="40" t="s">
        <v>4956</v>
      </c>
      <c r="B19" s="39" t="s">
        <v>4705</v>
      </c>
    </row>
    <row r="20" spans="1:2" x14ac:dyDescent="0.35">
      <c r="A20" s="40" t="s">
        <v>4975</v>
      </c>
      <c r="B20" s="39" t="s">
        <v>4991</v>
      </c>
    </row>
    <row r="21" spans="1:2" x14ac:dyDescent="0.35">
      <c r="A21" s="40" t="s">
        <v>4957</v>
      </c>
      <c r="B21" s="39" t="s">
        <v>5644</v>
      </c>
    </row>
    <row r="22" spans="1:2" x14ac:dyDescent="0.35">
      <c r="A22" s="40" t="s">
        <v>4958</v>
      </c>
      <c r="B22" s="39" t="s">
        <v>4986</v>
      </c>
    </row>
    <row r="23" spans="1:2" x14ac:dyDescent="0.35">
      <c r="A23" s="40" t="s">
        <v>4959</v>
      </c>
      <c r="B23" s="39" t="s">
        <v>4709</v>
      </c>
    </row>
    <row r="24" spans="1:2" x14ac:dyDescent="0.35">
      <c r="A24" s="40" t="s">
        <v>4960</v>
      </c>
      <c r="B24" s="39" t="s">
        <v>4994</v>
      </c>
    </row>
    <row r="25" spans="1:2" x14ac:dyDescent="0.35">
      <c r="A25" s="40" t="s">
        <v>4961</v>
      </c>
      <c r="B25" s="39" t="s">
        <v>4996</v>
      </c>
    </row>
    <row r="26" spans="1:2" x14ac:dyDescent="0.35">
      <c r="A26" s="40" t="s">
        <v>5648</v>
      </c>
      <c r="B26" s="39" t="s">
        <v>5647</v>
      </c>
    </row>
    <row r="27" spans="1:2" x14ac:dyDescent="0.35">
      <c r="A27" s="45" t="s">
        <v>4962</v>
      </c>
      <c r="B27" s="47" t="s">
        <v>5682</v>
      </c>
    </row>
    <row r="28" spans="1:2" x14ac:dyDescent="0.35">
      <c r="A28" s="45" t="s">
        <v>4963</v>
      </c>
      <c r="B28" s="47" t="s">
        <v>4711</v>
      </c>
    </row>
    <row r="29" spans="1:2" x14ac:dyDescent="0.35">
      <c r="A29" s="48" t="s">
        <v>4964</v>
      </c>
      <c r="B29" s="47" t="s">
        <v>4713</v>
      </c>
    </row>
    <row r="30" spans="1:2" x14ac:dyDescent="0.35">
      <c r="A30" s="45" t="s">
        <v>4965</v>
      </c>
      <c r="B30" s="47" t="s">
        <v>4987</v>
      </c>
    </row>
    <row r="31" spans="1:2" x14ac:dyDescent="0.35">
      <c r="A31" s="45" t="s">
        <v>5066</v>
      </c>
      <c r="B31" s="47" t="s">
        <v>5683</v>
      </c>
    </row>
    <row r="32" spans="1:2" x14ac:dyDescent="0.35">
      <c r="A32" s="45" t="s">
        <v>5198</v>
      </c>
      <c r="B32" s="47" t="s">
        <v>5684</v>
      </c>
    </row>
    <row r="33" spans="1:2" x14ac:dyDescent="0.35">
      <c r="A33" s="45" t="s">
        <v>5135</v>
      </c>
      <c r="B33" s="47" t="s">
        <v>5136</v>
      </c>
    </row>
    <row r="34" spans="1:2" x14ac:dyDescent="0.35">
      <c r="A34" s="45" t="s">
        <v>4995</v>
      </c>
      <c r="B34" s="47" t="s">
        <v>5685</v>
      </c>
    </row>
    <row r="35" spans="1:2" x14ac:dyDescent="0.35">
      <c r="A35" s="45" t="s">
        <v>4966</v>
      </c>
      <c r="B35" s="47" t="s">
        <v>4675</v>
      </c>
    </row>
    <row r="36" spans="1:2" x14ac:dyDescent="0.35">
      <c r="A36" s="48" t="s">
        <v>4967</v>
      </c>
      <c r="B36" s="47" t="s">
        <v>5686</v>
      </c>
    </row>
    <row r="37" spans="1:2" x14ac:dyDescent="0.35">
      <c r="A37" s="45" t="s">
        <v>4721</v>
      </c>
      <c r="B37" s="47" t="s">
        <v>5687</v>
      </c>
    </row>
    <row r="38" spans="1:2" x14ac:dyDescent="0.35">
      <c r="A38" s="48" t="s">
        <v>4968</v>
      </c>
      <c r="B38" s="47" t="s">
        <v>4988</v>
      </c>
    </row>
    <row r="39" spans="1:2" x14ac:dyDescent="0.35">
      <c r="A39" s="45" t="s">
        <v>4969</v>
      </c>
      <c r="B39" s="47" t="s">
        <v>5688</v>
      </c>
    </row>
    <row r="40" spans="1:2" x14ac:dyDescent="0.35">
      <c r="A40" s="45" t="s">
        <v>4970</v>
      </c>
      <c r="B40" s="47" t="s">
        <v>5689</v>
      </c>
    </row>
    <row r="41" spans="1:2" x14ac:dyDescent="0.35">
      <c r="A41" s="45" t="s">
        <v>4971</v>
      </c>
      <c r="B41" s="47" t="s">
        <v>4989</v>
      </c>
    </row>
    <row r="42" spans="1:2" x14ac:dyDescent="0.35">
      <c r="A42" s="48" t="s">
        <v>4972</v>
      </c>
      <c r="B42" s="47" t="s">
        <v>4993</v>
      </c>
    </row>
    <row r="43" spans="1:2" x14ac:dyDescent="0.35">
      <c r="A43" s="45" t="s">
        <v>4973</v>
      </c>
      <c r="B43" s="47" t="s">
        <v>5690</v>
      </c>
    </row>
    <row r="44" spans="1:2" x14ac:dyDescent="0.35">
      <c r="A44" s="45" t="s">
        <v>4974</v>
      </c>
      <c r="B44" s="47" t="s">
        <v>4990</v>
      </c>
    </row>
    <row r="45" spans="1:2" x14ac:dyDescent="0.35">
      <c r="A45" s="45" t="s">
        <v>4992</v>
      </c>
      <c r="B45" s="39" t="s">
        <v>5691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82204-ECDA-4BC3-937B-EB2C4CB092DD}">
  <sheetPr>
    <pageSetUpPr fitToPage="1"/>
  </sheetPr>
  <dimension ref="A1:AA1670"/>
  <sheetViews>
    <sheetView tabSelected="1" zoomScaleNormal="100" workbookViewId="0">
      <pane ySplit="1" topLeftCell="A2" activePane="bottomLeft" state="frozen"/>
      <selection pane="bottomLeft" activeCell="E23" sqref="E23"/>
    </sheetView>
  </sheetViews>
  <sheetFormatPr defaultRowHeight="14.5" x14ac:dyDescent="0.35"/>
  <cols>
    <col min="1" max="1" width="14.81640625" customWidth="1"/>
    <col min="2" max="2" width="88.453125" bestFit="1" customWidth="1"/>
    <col min="3" max="3" width="28.36328125" customWidth="1"/>
    <col min="4" max="4" width="10.90625" customWidth="1"/>
    <col min="5" max="5" width="14.6328125" customWidth="1"/>
    <col min="6" max="6" width="8.36328125" customWidth="1"/>
    <col min="7" max="7" width="7" customWidth="1"/>
    <col min="8" max="8" width="8.6328125" customWidth="1"/>
    <col min="9" max="9" width="13.36328125" style="24" customWidth="1"/>
    <col min="10" max="10" width="19" customWidth="1"/>
    <col min="11" max="11" width="13.08984375" customWidth="1"/>
    <col min="12" max="12" width="20.1796875" customWidth="1"/>
    <col min="13" max="13" width="20.6328125" customWidth="1"/>
    <col min="14" max="14" width="21.6328125" customWidth="1"/>
    <col min="15" max="15" width="11.54296875" style="18" customWidth="1"/>
    <col min="16" max="16" width="22.08984375" bestFit="1" customWidth="1"/>
    <col min="17" max="17" width="20" bestFit="1" customWidth="1"/>
    <col min="18" max="18" width="18.81640625" customWidth="1"/>
    <col min="19" max="19" width="61" customWidth="1"/>
    <col min="20" max="20" width="8.7265625" customWidth="1"/>
    <col min="21" max="21" width="11.453125" customWidth="1"/>
    <col min="22" max="22" width="12.54296875" bestFit="1" customWidth="1"/>
  </cols>
  <sheetData>
    <row r="1" spans="1:22" ht="39" customHeight="1" x14ac:dyDescent="0.35">
      <c r="A1" s="1" t="s">
        <v>7315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4862</v>
      </c>
      <c r="G1" s="1" t="s">
        <v>4863</v>
      </c>
      <c r="H1" s="1" t="s">
        <v>5</v>
      </c>
      <c r="I1" s="23" t="s">
        <v>6</v>
      </c>
      <c r="J1" s="19" t="s">
        <v>4737</v>
      </c>
      <c r="K1" s="20" t="s">
        <v>4738</v>
      </c>
      <c r="L1" s="20" t="s">
        <v>4739</v>
      </c>
      <c r="M1" s="20" t="s">
        <v>4740</v>
      </c>
      <c r="N1" s="20" t="s">
        <v>4741</v>
      </c>
      <c r="O1" s="16" t="s">
        <v>4744</v>
      </c>
      <c r="P1" s="1" t="s">
        <v>4742</v>
      </c>
      <c r="Q1" s="35" t="s">
        <v>4927</v>
      </c>
      <c r="R1" s="35" t="s">
        <v>4659</v>
      </c>
      <c r="S1" s="35" t="s">
        <v>5692</v>
      </c>
      <c r="T1" s="35" t="s">
        <v>7258</v>
      </c>
      <c r="U1" s="35" t="s">
        <v>7259</v>
      </c>
      <c r="V1" s="56" t="s">
        <v>7323</v>
      </c>
    </row>
    <row r="2" spans="1:22" x14ac:dyDescent="0.35">
      <c r="A2" s="2" t="s">
        <v>7</v>
      </c>
      <c r="B2" s="2" t="s">
        <v>5693</v>
      </c>
      <c r="C2" s="2" t="s">
        <v>9</v>
      </c>
      <c r="D2" s="2">
        <v>84.213999999999999</v>
      </c>
      <c r="E2" s="2" t="s">
        <v>10</v>
      </c>
      <c r="F2" s="2">
        <v>1</v>
      </c>
      <c r="G2" s="2">
        <v>3</v>
      </c>
      <c r="H2" s="2">
        <v>20</v>
      </c>
      <c r="I2" s="22">
        <f>Table43[[#This Row],[Item Cost]]*Table43[[#This Row],[In Stock]]</f>
        <v>1684.28</v>
      </c>
      <c r="J2" s="12" t="s">
        <v>4941</v>
      </c>
      <c r="K2" s="13" t="s">
        <v>4664</v>
      </c>
      <c r="L2" s="13" t="s">
        <v>4677</v>
      </c>
      <c r="M2" s="13" t="s">
        <v>4828</v>
      </c>
      <c r="N2" s="12" t="s">
        <v>4845</v>
      </c>
      <c r="O2" s="17" t="str">
        <f>IF(LEN(COUNTIFS($J$1:J2,$J2,$K$1:K2,$K2,$L$1:L2,$L2,$M$1:M2,M2,$N$1:N2,N2))=1,"00"&amp;COUNTIFS($J$1:J2,$J2,$K$1:K2,$K2,$L$1:L2,$L2,$M$1:M2,M2,$N$1:N2,N2),IF(LEN(COUNTIFS($J$1:J2,$J2,$K$1:K2,$K2,$L$1:L2,$L2,$M$1:M2,M2,$N$1:N2,N2))=2,"0"&amp;COUNTIFS($J$1:J2,$J2,$K$1:K2,$K2,$L$1:L2,$L2,$M$1:M2,M2,$N$1:N2,N2),COUNTIFS($J$1:J2,$J2,$K$1:K2,$K2,$L$1:L2,$L2,$M$1:M2,M2,$N$1:N2,N2)))</f>
        <v>001</v>
      </c>
      <c r="P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MS-CS-004-13-01001-INV</v>
      </c>
      <c r="Q2" s="57"/>
      <c r="R2" s="34" t="s">
        <v>7227</v>
      </c>
      <c r="S2" s="34" t="s">
        <v>5711</v>
      </c>
      <c r="T2" s="34">
        <f>+IFERROR(_xlfn.XLOOKUP(Table43[[#This Row],[Column1]],#REF!,#REF!),0)</f>
        <v>0</v>
      </c>
      <c r="U2" s="50">
        <f>IFERROR(_xlfn.XLOOKUP(Table43[[#This Row],[Column1]],#REF!,#REF!),0)</f>
        <v>0</v>
      </c>
      <c r="V2" s="39"/>
    </row>
    <row r="3" spans="1:22" x14ac:dyDescent="0.35">
      <c r="A3" s="2" t="s">
        <v>11</v>
      </c>
      <c r="B3" s="3" t="s">
        <v>12</v>
      </c>
      <c r="C3" s="3" t="s">
        <v>9</v>
      </c>
      <c r="D3" s="3">
        <v>76.194000000000003</v>
      </c>
      <c r="E3" s="3" t="s">
        <v>10</v>
      </c>
      <c r="F3" s="2">
        <v>1</v>
      </c>
      <c r="G3" s="3">
        <v>3</v>
      </c>
      <c r="H3" s="3">
        <v>20</v>
      </c>
      <c r="I3" s="21">
        <f>Table43[[#This Row],[Item Cost]]*Table43[[#This Row],[In Stock]]</f>
        <v>1523.88</v>
      </c>
      <c r="J3" s="12" t="s">
        <v>4941</v>
      </c>
      <c r="K3" s="13" t="s">
        <v>4664</v>
      </c>
      <c r="L3" s="13" t="s">
        <v>4677</v>
      </c>
      <c r="M3" s="13" t="s">
        <v>4828</v>
      </c>
      <c r="N3" s="12" t="s">
        <v>4845</v>
      </c>
      <c r="O3" s="17" t="str">
        <f>IF(LEN(COUNTIFS($J$1:J3,$J3,$K$1:K3,$K3,$L$1:L3,$L3,$M$1:M3,M3,$N$1:N3,N3))=1,"00"&amp;COUNTIFS($J$1:J3,$J3,$K$1:K3,$K3,$L$1:L3,$L3,$M$1:M3,M3,$N$1:N3,N3),IF(LEN(COUNTIFS($J$1:J3,$J3,$K$1:K3,$K3,$L$1:L3,$L3,$M$1:M3,M3,$N$1:N3,N3))=2,"0"&amp;COUNTIFS($J$1:J3,$J3,$K$1:K3,$K3,$L$1:L3,$L3,$M$1:M3,M3,$N$1:N3,N3),COUNTIFS($J$1:J3,$J3,$K$1:K3,$K3,$L$1:L3,$L3,$M$1:M3,M3,$N$1:N3,N3)))</f>
        <v>002</v>
      </c>
      <c r="P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MS-CS-004-13-01002-INV</v>
      </c>
      <c r="Q3" s="57"/>
      <c r="R3" s="34" t="s">
        <v>7228</v>
      </c>
      <c r="S3" s="34" t="s">
        <v>5712</v>
      </c>
      <c r="T3" s="34">
        <f>+IFERROR(_xlfn.XLOOKUP(Table43[[#This Row],[Column1]],#REF!,#REF!),0)</f>
        <v>0</v>
      </c>
      <c r="U3" s="50">
        <f>IFERROR(_xlfn.XLOOKUP(Table43[[#This Row],[Column1]],#REF!,#REF!),0)</f>
        <v>0</v>
      </c>
      <c r="V3" s="39"/>
    </row>
    <row r="4" spans="1:22" x14ac:dyDescent="0.35">
      <c r="A4" s="2" t="s">
        <v>13</v>
      </c>
      <c r="B4" s="2" t="s">
        <v>14</v>
      </c>
      <c r="C4" s="2" t="s">
        <v>9</v>
      </c>
      <c r="D4" s="4">
        <v>33284.660000000003</v>
      </c>
      <c r="E4" s="2" t="s">
        <v>10</v>
      </c>
      <c r="F4" s="2">
        <v>1</v>
      </c>
      <c r="G4" s="2">
        <v>3</v>
      </c>
      <c r="H4" s="2">
        <v>1</v>
      </c>
      <c r="I4" s="22">
        <f>Table43[[#This Row],[Item Cost]]*Table43[[#This Row],[In Stock]]</f>
        <v>33284.660000000003</v>
      </c>
      <c r="J4" s="12" t="s">
        <v>4941</v>
      </c>
      <c r="K4" s="13" t="s">
        <v>4664</v>
      </c>
      <c r="L4" s="13" t="s">
        <v>4677</v>
      </c>
      <c r="M4" s="13" t="s">
        <v>4734</v>
      </c>
      <c r="N4" s="12" t="s">
        <v>4845</v>
      </c>
      <c r="O4" s="17" t="str">
        <f>IF(LEN(COUNTIFS($J$1:J4,$J4,$K$1:K4,$K4,$L$1:L4,$L4,$M$1:M4,M4,$N$1:N4,N4))=1,"00"&amp;COUNTIFS($J$1:J4,$J4,$K$1:K4,$K4,$L$1:L4,$L4,$M$1:M4,M4,$N$1:N4,N4),IF(LEN(COUNTIFS($J$1:J4,$J4,$K$1:K4,$K4,$L$1:L4,$L4,$M$1:M4,M4,$N$1:N4,N4))=2,"0"&amp;COUNTIFS($J$1:J4,$J4,$K$1:K4,$K4,$L$1:L4,$L4,$M$1:M4,M4,$N$1:N4,N4),COUNTIFS($J$1:J4,$J4,$K$1:K4,$K4,$L$1:L4,$L4,$M$1:M4,M4,$N$1:N4,N4)))</f>
        <v>001</v>
      </c>
      <c r="P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MS-CS-004-02-01001-INV</v>
      </c>
      <c r="Q4" s="57"/>
      <c r="R4" s="34" t="s">
        <v>5843</v>
      </c>
      <c r="S4" s="34" t="s">
        <v>14</v>
      </c>
      <c r="T4" s="34">
        <f>+IFERROR(_xlfn.XLOOKUP(Table43[[#This Row],[Column1]],#REF!,#REF!),0)</f>
        <v>0</v>
      </c>
      <c r="U4" s="50">
        <f>IFERROR(_xlfn.XLOOKUP(Table43[[#This Row],[Column1]],#REF!,#REF!),0)</f>
        <v>0</v>
      </c>
      <c r="V4" s="39"/>
    </row>
    <row r="5" spans="1:22" x14ac:dyDescent="0.35">
      <c r="A5" s="2" t="s">
        <v>5199</v>
      </c>
      <c r="B5" s="3" t="s">
        <v>17</v>
      </c>
      <c r="C5" s="3" t="s">
        <v>9</v>
      </c>
      <c r="D5" s="3">
        <v>200.51</v>
      </c>
      <c r="E5" s="3" t="s">
        <v>10</v>
      </c>
      <c r="F5" s="2">
        <v>1</v>
      </c>
      <c r="G5" s="3">
        <v>2</v>
      </c>
      <c r="H5" s="3">
        <v>1</v>
      </c>
      <c r="I5" s="21">
        <f>Table43[[#This Row],[Item Cost]]*Table43[[#This Row],[In Stock]]</f>
        <v>200.51</v>
      </c>
      <c r="J5" s="12" t="s">
        <v>4941</v>
      </c>
      <c r="K5" s="13" t="s">
        <v>4664</v>
      </c>
      <c r="L5" s="13" t="s">
        <v>4677</v>
      </c>
      <c r="M5" s="13" t="s">
        <v>4693</v>
      </c>
      <c r="N5" s="12" t="s">
        <v>4845</v>
      </c>
      <c r="O5" s="17" t="str">
        <f>IF(LEN(COUNTIFS($J$1:J5,$J5,$K$1:K5,$K5,$L$1:L5,$L5,$M$1:M5,M5,$N$1:N5,N5))=1,"00"&amp;COUNTIFS($J$1:J5,$J5,$K$1:K5,$K5,$L$1:L5,$L5,$M$1:M5,M5,$N$1:N5,N5),IF(LEN(COUNTIFS($J$1:J5,$J5,$K$1:K5,$K5,$L$1:L5,$L5,$M$1:M5,M5,$N$1:N5,N5))=2,"0"&amp;COUNTIFS($J$1:J5,$J5,$K$1:K5,$K5,$L$1:L5,$L5,$M$1:M5,M5,$N$1:N5,N5),COUNTIFS($J$1:J5,$J5,$K$1:K5,$K5,$L$1:L5,$L5,$M$1:M5,M5,$N$1:N5,N5)))</f>
        <v>001</v>
      </c>
      <c r="P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MS-CS-004-23-01001-INV</v>
      </c>
      <c r="Q5" s="57" t="s">
        <v>7324</v>
      </c>
      <c r="R5" s="34" t="s">
        <v>5844</v>
      </c>
      <c r="S5" s="34" t="s">
        <v>17</v>
      </c>
      <c r="T5" s="34">
        <f>+IFERROR(_xlfn.XLOOKUP(Table43[[#This Row],[Column1]],#REF!,#REF!),0)</f>
        <v>0</v>
      </c>
      <c r="U5" s="50">
        <f>IFERROR(_xlfn.XLOOKUP(Table43[[#This Row],[Column1]],#REF!,#REF!),0)</f>
        <v>0</v>
      </c>
      <c r="V5" s="39"/>
    </row>
    <row r="6" spans="1:22" x14ac:dyDescent="0.35">
      <c r="A6" s="2" t="s">
        <v>5200</v>
      </c>
      <c r="B6" s="2" t="s">
        <v>19</v>
      </c>
      <c r="C6" s="2" t="s">
        <v>9</v>
      </c>
      <c r="D6" s="4">
        <v>2726.94</v>
      </c>
      <c r="E6" s="2" t="s">
        <v>10</v>
      </c>
      <c r="F6" s="2">
        <v>1</v>
      </c>
      <c r="G6" s="2">
        <v>2</v>
      </c>
      <c r="H6" s="2">
        <v>1</v>
      </c>
      <c r="I6" s="22">
        <f>Table43[[#This Row],[Item Cost]]*Table43[[#This Row],[In Stock]]</f>
        <v>2726.94</v>
      </c>
      <c r="J6" s="12" t="s">
        <v>4941</v>
      </c>
      <c r="K6" s="13" t="s">
        <v>4664</v>
      </c>
      <c r="L6" s="13" t="s">
        <v>4677</v>
      </c>
      <c r="M6" s="13" t="s">
        <v>4833</v>
      </c>
      <c r="N6" s="12" t="s">
        <v>4845</v>
      </c>
      <c r="O6" s="17" t="str">
        <f>IF(LEN(COUNTIFS($J$1:J6,$J6,$K$1:K6,$K6,$L$1:L6,$L6,$M$1:M6,M6,$N$1:N6,N6))=1,"00"&amp;COUNTIFS($J$1:J6,$J6,$K$1:K6,$K6,$L$1:L6,$L6,$M$1:M6,M6,$N$1:N6,N6),IF(LEN(COUNTIFS($J$1:J6,$J6,$K$1:K6,$K6,$L$1:L6,$L6,$M$1:M6,M6,$N$1:N6,N6))=2,"0"&amp;COUNTIFS($J$1:J6,$J6,$K$1:K6,$K6,$L$1:L6,$L6,$M$1:M6,M6,$N$1:N6,N6),COUNTIFS($J$1:J6,$J6,$K$1:K6,$K6,$L$1:L6,$L6,$M$1:M6,M6,$N$1:N6,N6)))</f>
        <v>001</v>
      </c>
      <c r="P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MS-CS-004-16-01001-INV</v>
      </c>
      <c r="Q6" s="57" t="s">
        <v>7325</v>
      </c>
      <c r="R6" s="34" t="s">
        <v>5845</v>
      </c>
      <c r="S6" s="34" t="s">
        <v>19</v>
      </c>
      <c r="T6" s="34">
        <f>+IFERROR(_xlfn.XLOOKUP(Table43[[#This Row],[Column1]],#REF!,#REF!),0)</f>
        <v>0</v>
      </c>
      <c r="U6" s="50">
        <f>IFERROR(_xlfn.XLOOKUP(Table43[[#This Row],[Column1]],#REF!,#REF!),0)</f>
        <v>0</v>
      </c>
      <c r="V6" s="39"/>
    </row>
    <row r="7" spans="1:22" x14ac:dyDescent="0.35">
      <c r="A7" s="2" t="s">
        <v>16</v>
      </c>
      <c r="B7" s="3" t="s">
        <v>21</v>
      </c>
      <c r="C7" s="3" t="s">
        <v>9</v>
      </c>
      <c r="D7" s="5">
        <v>5072.01</v>
      </c>
      <c r="E7" s="3" t="s">
        <v>10</v>
      </c>
      <c r="F7" s="2">
        <v>1</v>
      </c>
      <c r="G7" s="3">
        <v>2</v>
      </c>
      <c r="H7" s="3">
        <v>1</v>
      </c>
      <c r="I7" s="21">
        <f>Table43[[#This Row],[Item Cost]]*Table43[[#This Row],[In Stock]]</f>
        <v>5072.01</v>
      </c>
      <c r="J7" s="12" t="s">
        <v>4941</v>
      </c>
      <c r="K7" s="13" t="s">
        <v>4664</v>
      </c>
      <c r="L7" s="13" t="s">
        <v>4677</v>
      </c>
      <c r="M7" s="13" t="s">
        <v>4833</v>
      </c>
      <c r="N7" s="12" t="s">
        <v>4845</v>
      </c>
      <c r="O7" s="17" t="str">
        <f>IF(LEN(COUNTIFS($J$1:J7,$J7,$K$1:K7,$K7,$L$1:L7,$L7,$M$1:M7,M7,$N$1:N7,N7))=1,"00"&amp;COUNTIFS($J$1:J7,$J7,$K$1:K7,$K7,$L$1:L7,$L7,$M$1:M7,M7,$N$1:N7,N7),IF(LEN(COUNTIFS($J$1:J7,$J7,$K$1:K7,$K7,$L$1:L7,$L7,$M$1:M7,M7,$N$1:N7,N7))=2,"0"&amp;COUNTIFS($J$1:J7,$J7,$K$1:K7,$K7,$L$1:L7,$L7,$M$1:M7,M7,$N$1:N7,N7),COUNTIFS($J$1:J7,$J7,$K$1:K7,$K7,$L$1:L7,$L7,$M$1:M7,M7,$N$1:N7,N7)))</f>
        <v>002</v>
      </c>
      <c r="P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MS-CS-004-16-01002-INV</v>
      </c>
      <c r="Q7" s="57" t="s">
        <v>7325</v>
      </c>
      <c r="R7" s="34" t="s">
        <v>5846</v>
      </c>
      <c r="S7" s="34" t="s">
        <v>21</v>
      </c>
      <c r="T7" s="34">
        <f>+IFERROR(_xlfn.XLOOKUP(Table43[[#This Row],[Column1]],#REF!,#REF!),0)</f>
        <v>0</v>
      </c>
      <c r="U7" s="50">
        <f>IFERROR(_xlfn.XLOOKUP(Table43[[#This Row],[Column1]],#REF!,#REF!),0)</f>
        <v>0</v>
      </c>
      <c r="V7" s="39"/>
    </row>
    <row r="8" spans="1:22" x14ac:dyDescent="0.35">
      <c r="A8" s="2" t="s">
        <v>18</v>
      </c>
      <c r="B8" s="2" t="s">
        <v>23</v>
      </c>
      <c r="C8" s="2" t="s">
        <v>9</v>
      </c>
      <c r="D8" s="4">
        <v>1403.57</v>
      </c>
      <c r="E8" s="2" t="s">
        <v>10</v>
      </c>
      <c r="F8" s="2">
        <v>1</v>
      </c>
      <c r="G8" s="2">
        <v>2</v>
      </c>
      <c r="H8" s="2">
        <v>1</v>
      </c>
      <c r="I8" s="22">
        <f>Table43[[#This Row],[Item Cost]]*Table43[[#This Row],[In Stock]]</f>
        <v>1403.57</v>
      </c>
      <c r="J8" s="12" t="s">
        <v>4941</v>
      </c>
      <c r="K8" s="13" t="s">
        <v>4664</v>
      </c>
      <c r="L8" s="13" t="s">
        <v>4677</v>
      </c>
      <c r="M8" s="13" t="s">
        <v>4833</v>
      </c>
      <c r="N8" s="12" t="s">
        <v>4845</v>
      </c>
      <c r="O8" s="17" t="str">
        <f>IF(LEN(COUNTIFS($J$1:J8,$J8,$K$1:K8,$K8,$L$1:L8,$L8,$M$1:M8,M8,$N$1:N8,N8))=1,"00"&amp;COUNTIFS($J$1:J8,$J8,$K$1:K8,$K8,$L$1:L8,$L8,$M$1:M8,M8,$N$1:N8,N8),IF(LEN(COUNTIFS($J$1:J8,$J8,$K$1:K8,$K8,$L$1:L8,$L8,$M$1:M8,M8,$N$1:N8,N8))=2,"0"&amp;COUNTIFS($J$1:J8,$J8,$K$1:K8,$K8,$L$1:L8,$L8,$M$1:M8,M8,$N$1:N8,N8),COUNTIFS($J$1:J8,$J8,$K$1:K8,$K8,$L$1:L8,$L8,$M$1:M8,M8,$N$1:N8,N8)))</f>
        <v>003</v>
      </c>
      <c r="P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MS-CS-004-16-01003-INV</v>
      </c>
      <c r="Q8" s="57" t="s">
        <v>7325</v>
      </c>
      <c r="R8" s="34" t="s">
        <v>5847</v>
      </c>
      <c r="S8" s="34" t="s">
        <v>23</v>
      </c>
      <c r="T8" s="34">
        <f>+IFERROR(_xlfn.XLOOKUP(Table43[[#This Row],[Column1]],#REF!,#REF!),0)</f>
        <v>0</v>
      </c>
      <c r="U8" s="50">
        <f>IFERROR(_xlfn.XLOOKUP(Table43[[#This Row],[Column1]],#REF!,#REF!),0)</f>
        <v>0</v>
      </c>
      <c r="V8" s="39"/>
    </row>
    <row r="9" spans="1:22" x14ac:dyDescent="0.35">
      <c r="A9" s="2" t="s">
        <v>20</v>
      </c>
      <c r="B9" s="3" t="s">
        <v>25</v>
      </c>
      <c r="C9" s="3" t="s">
        <v>9</v>
      </c>
      <c r="D9" s="5">
        <v>3448.77</v>
      </c>
      <c r="E9" s="3" t="s">
        <v>10</v>
      </c>
      <c r="F9" s="2">
        <v>1</v>
      </c>
      <c r="G9" s="2">
        <v>2</v>
      </c>
      <c r="H9" s="3">
        <v>1</v>
      </c>
      <c r="I9" s="21">
        <f>Table43[[#This Row],[Item Cost]]*Table43[[#This Row],[In Stock]]</f>
        <v>3448.77</v>
      </c>
      <c r="J9" s="12" t="s">
        <v>4941</v>
      </c>
      <c r="K9" s="13" t="s">
        <v>4664</v>
      </c>
      <c r="L9" s="13" t="s">
        <v>4677</v>
      </c>
      <c r="M9" s="13" t="s">
        <v>4733</v>
      </c>
      <c r="N9" s="12" t="s">
        <v>4845</v>
      </c>
      <c r="O9" s="17" t="str">
        <f>IF(LEN(COUNTIFS($J$1:J9,$J9,$K$1:K9,$K9,$L$1:L9,$L9,$M$1:M9,M9,$N$1:N9,N9))=1,"00"&amp;COUNTIFS($J$1:J9,$J9,$K$1:K9,$K9,$L$1:L9,$L9,$M$1:M9,M9,$N$1:N9,N9),IF(LEN(COUNTIFS($J$1:J9,$J9,$K$1:K9,$K9,$L$1:L9,$L9,$M$1:M9,M9,$N$1:N9,N9))=2,"0"&amp;COUNTIFS($J$1:J9,$J9,$K$1:K9,$K9,$L$1:L9,$L9,$M$1:M9,M9,$N$1:N9,N9),COUNTIFS($J$1:J9,$J9,$K$1:K9,$K9,$L$1:L9,$L9,$M$1:M9,M9,$N$1:N9,N9)))</f>
        <v>001</v>
      </c>
      <c r="P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MS-CS-004-01-01001-INV</v>
      </c>
      <c r="Q9" s="57"/>
      <c r="R9" s="34" t="s">
        <v>5848</v>
      </c>
      <c r="S9" s="34" t="s">
        <v>25</v>
      </c>
      <c r="T9" s="34">
        <f>+IFERROR(_xlfn.XLOOKUP(Table43[[#This Row],[Column1]],#REF!,#REF!),0)</f>
        <v>0</v>
      </c>
      <c r="U9" s="50">
        <f>IFERROR(_xlfn.XLOOKUP(Table43[[#This Row],[Column1]],#REF!,#REF!),0)</f>
        <v>0</v>
      </c>
      <c r="V9" s="39"/>
    </row>
    <row r="10" spans="1:22" x14ac:dyDescent="0.35">
      <c r="A10" s="2" t="s">
        <v>22</v>
      </c>
      <c r="B10" s="2" t="s">
        <v>4657</v>
      </c>
      <c r="C10" s="2" t="s">
        <v>9</v>
      </c>
      <c r="D10" s="4">
        <v>1022.6</v>
      </c>
      <c r="E10" s="2" t="s">
        <v>10</v>
      </c>
      <c r="F10" s="2">
        <v>1</v>
      </c>
      <c r="G10" s="2">
        <v>2</v>
      </c>
      <c r="H10" s="2">
        <v>1</v>
      </c>
      <c r="I10" s="22">
        <f>Table43[[#This Row],[Item Cost]]*Table43[[#This Row],[In Stock]]</f>
        <v>1022.6</v>
      </c>
      <c r="J10" s="12" t="s">
        <v>4941</v>
      </c>
      <c r="K10" s="13" t="s">
        <v>4664</v>
      </c>
      <c r="L10" s="13" t="s">
        <v>4677</v>
      </c>
      <c r="M10" s="13" t="s">
        <v>4733</v>
      </c>
      <c r="N10" s="12" t="s">
        <v>4845</v>
      </c>
      <c r="O10" s="17" t="str">
        <f>IF(LEN(COUNTIFS($J$1:J10,$J10,$K$1:K10,$K10,$L$1:L10,$L10,$M$1:M10,M10,$N$1:N10,N10))=1,"00"&amp;COUNTIFS($J$1:J10,$J10,$K$1:K10,$K10,$L$1:L10,$L10,$M$1:M10,M10,$N$1:N10,N10),IF(LEN(COUNTIFS($J$1:J10,$J10,$K$1:K10,$K10,$L$1:L10,$L10,$M$1:M10,M10,$N$1:N10,N10))=2,"0"&amp;COUNTIFS($J$1:J10,$J10,$K$1:K10,$K10,$L$1:L10,$L10,$M$1:M10,M10,$N$1:N10,N10),COUNTIFS($J$1:J10,$J10,$K$1:K10,$K10,$L$1:L10,$L10,$M$1:M10,M10,$N$1:N10,N10)))</f>
        <v>002</v>
      </c>
      <c r="P1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MS-CS-004-01-01002-INV</v>
      </c>
      <c r="Q10" s="57" t="s">
        <v>7326</v>
      </c>
      <c r="R10" s="34" t="s">
        <v>5849</v>
      </c>
      <c r="S10" s="34" t="s">
        <v>4657</v>
      </c>
      <c r="T10" s="34">
        <f>+IFERROR(_xlfn.XLOOKUP(Table43[[#This Row],[Column1]],#REF!,#REF!),0)</f>
        <v>0</v>
      </c>
      <c r="U10" s="50">
        <f>IFERROR(_xlfn.XLOOKUP(Table43[[#This Row],[Column1]],#REF!,#REF!),0)</f>
        <v>0</v>
      </c>
      <c r="V10" s="39"/>
    </row>
    <row r="11" spans="1:22" x14ac:dyDescent="0.35">
      <c r="A11" s="2" t="s">
        <v>24</v>
      </c>
      <c r="B11" s="3" t="s">
        <v>4658</v>
      </c>
      <c r="C11" s="3" t="s">
        <v>9</v>
      </c>
      <c r="D11" s="5">
        <v>1423.62</v>
      </c>
      <c r="E11" s="3" t="s">
        <v>10</v>
      </c>
      <c r="F11" s="2">
        <v>1</v>
      </c>
      <c r="G11" s="2">
        <v>2</v>
      </c>
      <c r="H11" s="3">
        <v>1</v>
      </c>
      <c r="I11" s="21">
        <f>Table43[[#This Row],[Item Cost]]*Table43[[#This Row],[In Stock]]</f>
        <v>1423.62</v>
      </c>
      <c r="J11" s="12" t="s">
        <v>4941</v>
      </c>
      <c r="K11" s="13" t="s">
        <v>4664</v>
      </c>
      <c r="L11" s="13" t="s">
        <v>4677</v>
      </c>
      <c r="M11" s="13" t="s">
        <v>4733</v>
      </c>
      <c r="N11" s="12" t="s">
        <v>4845</v>
      </c>
      <c r="O11" s="17" t="str">
        <f>IF(LEN(COUNTIFS($J$1:J11,$J11,$K$1:K11,$K11,$L$1:L11,$L11,$M$1:M11,M11,$N$1:N11,N11))=1,"00"&amp;COUNTIFS($J$1:J11,$J11,$K$1:K11,$K11,$L$1:L11,$L11,$M$1:M11,M11,$N$1:N11,N11),IF(LEN(COUNTIFS($J$1:J11,$J11,$K$1:K11,$K11,$L$1:L11,$L11,$M$1:M11,M11,$N$1:N11,N11))=2,"0"&amp;COUNTIFS($J$1:J11,$J11,$K$1:K11,$K11,$L$1:L11,$L11,$M$1:M11,M11,$N$1:N11,N11),COUNTIFS($J$1:J11,$J11,$K$1:K11,$K11,$L$1:L11,$L11,$M$1:M11,M11,$N$1:N11,N11)))</f>
        <v>003</v>
      </c>
      <c r="P1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MS-CS-004-01-01003-INV</v>
      </c>
      <c r="Q11" s="57" t="s">
        <v>7326</v>
      </c>
      <c r="R11" s="34" t="s">
        <v>5850</v>
      </c>
      <c r="S11" s="34" t="s">
        <v>4658</v>
      </c>
      <c r="T11" s="34">
        <f>+IFERROR(_xlfn.XLOOKUP(Table43[[#This Row],[Column1]],#REF!,#REF!),0)</f>
        <v>0</v>
      </c>
      <c r="U11" s="50">
        <f>IFERROR(_xlfn.XLOOKUP(Table43[[#This Row],[Column1]],#REF!,#REF!),0)</f>
        <v>0</v>
      </c>
      <c r="V11" s="39"/>
    </row>
    <row r="12" spans="1:22" x14ac:dyDescent="0.35">
      <c r="A12" s="2" t="s">
        <v>26</v>
      </c>
      <c r="B12" s="2" t="s">
        <v>29</v>
      </c>
      <c r="C12" s="2" t="s">
        <v>9</v>
      </c>
      <c r="D12" s="2">
        <v>962.45</v>
      </c>
      <c r="E12" s="2" t="s">
        <v>10</v>
      </c>
      <c r="F12" s="2">
        <v>1</v>
      </c>
      <c r="G12" s="2">
        <v>2</v>
      </c>
      <c r="H12" s="2">
        <v>1</v>
      </c>
      <c r="I12" s="22">
        <f>Table43[[#This Row],[Item Cost]]*Table43[[#This Row],[In Stock]]</f>
        <v>962.45</v>
      </c>
      <c r="J12" s="12" t="s">
        <v>4941</v>
      </c>
      <c r="K12" s="13" t="s">
        <v>4664</v>
      </c>
      <c r="L12" s="13" t="s">
        <v>4677</v>
      </c>
      <c r="M12" s="13" t="s">
        <v>4733</v>
      </c>
      <c r="N12" s="12" t="s">
        <v>4845</v>
      </c>
      <c r="O12" s="17" t="str">
        <f>IF(LEN(COUNTIFS($J$1:J12,$J12,$K$1:K12,$K12,$L$1:L12,$L12,$M$1:M12,M12,$N$1:N12,N12))=1,"00"&amp;COUNTIFS($J$1:J12,$J12,$K$1:K12,$K12,$L$1:L12,$L12,$M$1:M12,M12,$N$1:N12,N12),IF(LEN(COUNTIFS($J$1:J12,$J12,$K$1:K12,$K12,$L$1:L12,$L12,$M$1:M12,M12,$N$1:N12,N12))=2,"0"&amp;COUNTIFS($J$1:J12,$J12,$K$1:K12,$K12,$L$1:L12,$L12,$M$1:M12,M12,$N$1:N12,N12),COUNTIFS($J$1:J12,$J12,$K$1:K12,$K12,$L$1:L12,$L12,$M$1:M12,M12,$N$1:N12,N12)))</f>
        <v>004</v>
      </c>
      <c r="P1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MS-CS-004-01-01004-INV</v>
      </c>
      <c r="Q12" s="57" t="s">
        <v>7325</v>
      </c>
      <c r="R12" s="34" t="s">
        <v>5851</v>
      </c>
      <c r="S12" s="34" t="s">
        <v>29</v>
      </c>
      <c r="T12" s="34">
        <f>+IFERROR(_xlfn.XLOOKUP(Table43[[#This Row],[Column1]],#REF!,#REF!),0)</f>
        <v>0</v>
      </c>
      <c r="U12" s="50">
        <f>IFERROR(_xlfn.XLOOKUP(Table43[[#This Row],[Column1]],#REF!,#REF!),0)</f>
        <v>0</v>
      </c>
      <c r="V12" s="39"/>
    </row>
    <row r="13" spans="1:22" x14ac:dyDescent="0.35">
      <c r="A13" s="2" t="s">
        <v>27</v>
      </c>
      <c r="B13" s="3" t="s">
        <v>31</v>
      </c>
      <c r="C13" s="3" t="s">
        <v>9</v>
      </c>
      <c r="D13" s="3">
        <v>320.82</v>
      </c>
      <c r="E13" s="3" t="s">
        <v>10</v>
      </c>
      <c r="F13" s="2">
        <v>1</v>
      </c>
      <c r="G13" s="2">
        <v>2</v>
      </c>
      <c r="H13" s="3">
        <v>1</v>
      </c>
      <c r="I13" s="21">
        <f>Table43[[#This Row],[Item Cost]]*Table43[[#This Row],[In Stock]]</f>
        <v>320.82</v>
      </c>
      <c r="J13" s="12" t="s">
        <v>4941</v>
      </c>
      <c r="K13" s="13" t="s">
        <v>4664</v>
      </c>
      <c r="L13" s="13" t="s">
        <v>4677</v>
      </c>
      <c r="M13" s="13" t="s">
        <v>4693</v>
      </c>
      <c r="N13" s="12" t="s">
        <v>4845</v>
      </c>
      <c r="O13" s="17" t="str">
        <f>IF(LEN(COUNTIFS($J$1:J13,$J13,$K$1:K13,$K13,$L$1:L13,$L13,$M$1:M13,M13,$N$1:N13,N13))=1,"00"&amp;COUNTIFS($J$1:J13,$J13,$K$1:K13,$K13,$L$1:L13,$L13,$M$1:M13,M13,$N$1:N13,N13),IF(LEN(COUNTIFS($J$1:J13,$J13,$K$1:K13,$K13,$L$1:L13,$L13,$M$1:M13,M13,$N$1:N13,N13))=2,"0"&amp;COUNTIFS($J$1:J13,$J13,$K$1:K13,$K13,$L$1:L13,$L13,$M$1:M13,M13,$N$1:N13,N13),COUNTIFS($J$1:J13,$J13,$K$1:K13,$K13,$L$1:L13,$L13,$M$1:M13,M13,$N$1:N13,N13)))</f>
        <v>002</v>
      </c>
      <c r="P1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MS-CS-004-23-01002-INV</v>
      </c>
      <c r="Q13" s="57" t="s">
        <v>7325</v>
      </c>
      <c r="R13" s="34" t="s">
        <v>5852</v>
      </c>
      <c r="S13" s="34" t="s">
        <v>31</v>
      </c>
      <c r="T13" s="34">
        <f>+IFERROR(_xlfn.XLOOKUP(Table43[[#This Row],[Column1]],#REF!,#REF!),0)</f>
        <v>0</v>
      </c>
      <c r="U13" s="50">
        <f>IFERROR(_xlfn.XLOOKUP(Table43[[#This Row],[Column1]],#REF!,#REF!),0)</f>
        <v>0</v>
      </c>
      <c r="V13" s="39"/>
    </row>
    <row r="14" spans="1:22" x14ac:dyDescent="0.35">
      <c r="A14" s="2" t="s">
        <v>28</v>
      </c>
      <c r="B14" s="2" t="s">
        <v>33</v>
      </c>
      <c r="C14" s="2" t="s">
        <v>9</v>
      </c>
      <c r="D14" s="2">
        <v>160.41</v>
      </c>
      <c r="E14" s="2" t="s">
        <v>10</v>
      </c>
      <c r="F14" s="2">
        <v>1</v>
      </c>
      <c r="G14" s="2">
        <v>2</v>
      </c>
      <c r="H14" s="2">
        <v>1</v>
      </c>
      <c r="I14" s="22">
        <f>Table43[[#This Row],[Item Cost]]*Table43[[#This Row],[In Stock]]</f>
        <v>160.41</v>
      </c>
      <c r="J14" s="12" t="s">
        <v>4941</v>
      </c>
      <c r="K14" s="13" t="s">
        <v>4664</v>
      </c>
      <c r="L14" s="13" t="s">
        <v>4677</v>
      </c>
      <c r="M14" s="13" t="s">
        <v>4828</v>
      </c>
      <c r="N14" s="12" t="s">
        <v>4845</v>
      </c>
      <c r="O14" s="17" t="str">
        <f>IF(LEN(COUNTIFS($J$1:J14,$J14,$K$1:K14,$K14,$L$1:L14,$L14,$M$1:M14,M14,$N$1:N14,N14))=1,"00"&amp;COUNTIFS($J$1:J14,$J14,$K$1:K14,$K14,$L$1:L14,$L14,$M$1:M14,M14,$N$1:N14,N14),IF(LEN(COUNTIFS($J$1:J14,$J14,$K$1:K14,$K14,$L$1:L14,$L14,$M$1:M14,M14,$N$1:N14,N14))=2,"0"&amp;COUNTIFS($J$1:J14,$J14,$K$1:K14,$K14,$L$1:L14,$L14,$M$1:M14,M14,$N$1:N14,N14),COUNTIFS($J$1:J14,$J14,$K$1:K14,$K14,$L$1:L14,$L14,$M$1:M14,M14,$N$1:N14,N14)))</f>
        <v>003</v>
      </c>
      <c r="P1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MS-CS-004-13-01003-INV</v>
      </c>
      <c r="Q14" s="57" t="s">
        <v>7326</v>
      </c>
      <c r="R14" s="34" t="s">
        <v>5853</v>
      </c>
      <c r="S14" s="34" t="s">
        <v>33</v>
      </c>
      <c r="T14" s="34">
        <f>+IFERROR(_xlfn.XLOOKUP(Table43[[#This Row],[Column1]],#REF!,#REF!),0)</f>
        <v>0</v>
      </c>
      <c r="U14" s="50">
        <f>IFERROR(_xlfn.XLOOKUP(Table43[[#This Row],[Column1]],#REF!,#REF!),0)</f>
        <v>0</v>
      </c>
      <c r="V14" s="39"/>
    </row>
    <row r="15" spans="1:22" x14ac:dyDescent="0.35">
      <c r="A15" s="2" t="s">
        <v>30</v>
      </c>
      <c r="B15" s="3" t="s">
        <v>35</v>
      </c>
      <c r="C15" s="3" t="s">
        <v>9</v>
      </c>
      <c r="D15" s="3">
        <v>140.36000000000001</v>
      </c>
      <c r="E15" s="3" t="s">
        <v>10</v>
      </c>
      <c r="F15" s="2">
        <v>1</v>
      </c>
      <c r="G15" s="2">
        <v>2</v>
      </c>
      <c r="H15" s="3">
        <v>1</v>
      </c>
      <c r="I15" s="21">
        <f>Table43[[#This Row],[Item Cost]]*Table43[[#This Row],[In Stock]]</f>
        <v>140.36000000000001</v>
      </c>
      <c r="J15" s="12" t="s">
        <v>4941</v>
      </c>
      <c r="K15" s="13" t="s">
        <v>4664</v>
      </c>
      <c r="L15" s="13" t="s">
        <v>4677</v>
      </c>
      <c r="M15" s="13" t="s">
        <v>4828</v>
      </c>
      <c r="N15" s="12" t="s">
        <v>4845</v>
      </c>
      <c r="O15" s="17" t="str">
        <f>IF(LEN(COUNTIFS($J$1:J15,$J15,$K$1:K15,$K15,$L$1:L15,$L15,$M$1:M15,M15,$N$1:N15,N15))=1,"00"&amp;COUNTIFS($J$1:J15,$J15,$K$1:K15,$K15,$L$1:L15,$L15,$M$1:M15,M15,$N$1:N15,N15),IF(LEN(COUNTIFS($J$1:J15,$J15,$K$1:K15,$K15,$L$1:L15,$L15,$M$1:M15,M15,$N$1:N15,N15))=2,"0"&amp;COUNTIFS($J$1:J15,$J15,$K$1:K15,$K15,$L$1:L15,$L15,$M$1:M15,M15,$N$1:N15,N15),COUNTIFS($J$1:J15,$J15,$K$1:K15,$K15,$L$1:L15,$L15,$M$1:M15,M15,$N$1:N15,N15)))</f>
        <v>004</v>
      </c>
      <c r="P1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MS-CS-004-13-01004-INV</v>
      </c>
      <c r="Q15" s="57" t="s">
        <v>7326</v>
      </c>
      <c r="R15" s="34" t="s">
        <v>5854</v>
      </c>
      <c r="S15" s="34" t="s">
        <v>35</v>
      </c>
      <c r="T15" s="34">
        <f>+IFERROR(_xlfn.XLOOKUP(Table43[[#This Row],[Column1]],#REF!,#REF!),0)</f>
        <v>0</v>
      </c>
      <c r="U15" s="50">
        <f>IFERROR(_xlfn.XLOOKUP(Table43[[#This Row],[Column1]],#REF!,#REF!),0)</f>
        <v>0</v>
      </c>
      <c r="V15" s="39"/>
    </row>
    <row r="16" spans="1:22" x14ac:dyDescent="0.35">
      <c r="A16" s="2" t="s">
        <v>32</v>
      </c>
      <c r="B16" s="2" t="s">
        <v>37</v>
      </c>
      <c r="C16" s="2" t="s">
        <v>9</v>
      </c>
      <c r="D16" s="4">
        <v>6215.81</v>
      </c>
      <c r="E16" s="2" t="s">
        <v>10</v>
      </c>
      <c r="F16" s="2">
        <v>1</v>
      </c>
      <c r="G16" s="2">
        <v>2</v>
      </c>
      <c r="H16" s="2">
        <v>2</v>
      </c>
      <c r="I16" s="22">
        <f>Table43[[#This Row],[Item Cost]]*Table43[[#This Row],[In Stock]]</f>
        <v>12431.62</v>
      </c>
      <c r="J16" s="12" t="s">
        <v>4941</v>
      </c>
      <c r="K16" s="13" t="s">
        <v>4664</v>
      </c>
      <c r="L16" s="13" t="s">
        <v>4677</v>
      </c>
      <c r="M16" s="13" t="s">
        <v>4840</v>
      </c>
      <c r="N16" s="12" t="s">
        <v>4845</v>
      </c>
      <c r="O16" s="17" t="str">
        <f>IF(LEN(COUNTIFS($J$1:J16,$J16,$K$1:K16,$K16,$L$1:L16,$L16,$M$1:M16,M16,$N$1:N16,N16))=1,"00"&amp;COUNTIFS($J$1:J16,$J16,$K$1:K16,$K16,$L$1:L16,$L16,$M$1:M16,M16,$N$1:N16,N16),IF(LEN(COUNTIFS($J$1:J16,$J16,$K$1:K16,$K16,$L$1:L16,$L16,$M$1:M16,M16,$N$1:N16,N16))=2,"0"&amp;COUNTIFS($J$1:J16,$J16,$K$1:K16,$K16,$L$1:L16,$L16,$M$1:M16,M16,$N$1:N16,N16),COUNTIFS($J$1:J16,$J16,$K$1:K16,$K16,$L$1:L16,$L16,$M$1:M16,M16,$N$1:N16,N16)))</f>
        <v>001</v>
      </c>
      <c r="P1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MS-CS-004-15-01001-INV</v>
      </c>
      <c r="Q16" s="57" t="s">
        <v>7327</v>
      </c>
      <c r="R16" s="34" t="s">
        <v>5855</v>
      </c>
      <c r="S16" s="34" t="s">
        <v>37</v>
      </c>
      <c r="T16" s="34">
        <f>+IFERROR(_xlfn.XLOOKUP(Table43[[#This Row],[Column1]],#REF!,#REF!),0)</f>
        <v>0</v>
      </c>
      <c r="U16" s="50">
        <f>IFERROR(_xlfn.XLOOKUP(Table43[[#This Row],[Column1]],#REF!,#REF!),0)</f>
        <v>0</v>
      </c>
      <c r="V16" s="39"/>
    </row>
    <row r="17" spans="1:22" x14ac:dyDescent="0.35">
      <c r="A17" s="2" t="s">
        <v>34</v>
      </c>
      <c r="B17" s="3" t="s">
        <v>39</v>
      </c>
      <c r="C17" s="3" t="s">
        <v>9</v>
      </c>
      <c r="D17" s="5">
        <v>5213.26</v>
      </c>
      <c r="E17" s="3" t="s">
        <v>10</v>
      </c>
      <c r="F17" s="2">
        <v>1</v>
      </c>
      <c r="G17" s="2">
        <v>2</v>
      </c>
      <c r="H17" s="3">
        <v>1</v>
      </c>
      <c r="I17" s="21">
        <f>Table43[[#This Row],[Item Cost]]*Table43[[#This Row],[In Stock]]</f>
        <v>5213.26</v>
      </c>
      <c r="J17" s="12" t="s">
        <v>4941</v>
      </c>
      <c r="K17" s="13" t="s">
        <v>4664</v>
      </c>
      <c r="L17" s="13" t="s">
        <v>4677</v>
      </c>
      <c r="M17" s="13" t="s">
        <v>4840</v>
      </c>
      <c r="N17" s="12" t="s">
        <v>4845</v>
      </c>
      <c r="O17" s="17" t="str">
        <f>IF(LEN(COUNTIFS($J$1:J17,$J17,$K$1:K17,$K17,$L$1:L17,$L17,$M$1:M17,M17,$N$1:N17,N17))=1,"00"&amp;COUNTIFS($J$1:J17,$J17,$K$1:K17,$K17,$L$1:L17,$L17,$M$1:M17,M17,$N$1:N17,N17),IF(LEN(COUNTIFS($J$1:J17,$J17,$K$1:K17,$K17,$L$1:L17,$L17,$M$1:M17,M17,$N$1:N17,N17))=2,"0"&amp;COUNTIFS($J$1:J17,$J17,$K$1:K17,$K17,$L$1:L17,$L17,$M$1:M17,M17,$N$1:N17,N17),COUNTIFS($J$1:J17,$J17,$K$1:K17,$K17,$L$1:L17,$L17,$M$1:M17,M17,$N$1:N17,N17)))</f>
        <v>002</v>
      </c>
      <c r="P1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MS-CS-004-15-01002-INV</v>
      </c>
      <c r="Q17" s="57" t="s">
        <v>7327</v>
      </c>
      <c r="R17" s="34" t="s">
        <v>5856</v>
      </c>
      <c r="S17" s="34" t="s">
        <v>39</v>
      </c>
      <c r="T17" s="34">
        <f>+IFERROR(_xlfn.XLOOKUP(Table43[[#This Row],[Column1]],#REF!,#REF!),0)</f>
        <v>0</v>
      </c>
      <c r="U17" s="50">
        <f>IFERROR(_xlfn.XLOOKUP(Table43[[#This Row],[Column1]],#REF!,#REF!),0)</f>
        <v>0</v>
      </c>
      <c r="V17" s="39"/>
    </row>
    <row r="18" spans="1:22" x14ac:dyDescent="0.35">
      <c r="A18" s="2" t="s">
        <v>36</v>
      </c>
      <c r="B18" s="2" t="s">
        <v>41</v>
      </c>
      <c r="C18" s="2" t="s">
        <v>9</v>
      </c>
      <c r="D18" s="2">
        <v>120.30500000000001</v>
      </c>
      <c r="E18" s="2" t="s">
        <v>10</v>
      </c>
      <c r="F18" s="2">
        <v>1</v>
      </c>
      <c r="G18" s="2">
        <v>2</v>
      </c>
      <c r="H18" s="2">
        <v>2</v>
      </c>
      <c r="I18" s="22">
        <f>Table43[[#This Row],[Item Cost]]*Table43[[#This Row],[In Stock]]</f>
        <v>240.61</v>
      </c>
      <c r="J18" s="12" t="s">
        <v>4941</v>
      </c>
      <c r="K18" s="13" t="s">
        <v>4664</v>
      </c>
      <c r="L18" s="13" t="s">
        <v>4677</v>
      </c>
      <c r="M18" s="13" t="s">
        <v>4828</v>
      </c>
      <c r="N18" s="12" t="s">
        <v>4845</v>
      </c>
      <c r="O18" s="17" t="str">
        <f>IF(LEN(COUNTIFS($J$1:J18,$J18,$K$1:K18,$K18,$L$1:L18,$L18,$M$1:M18,M18,$N$1:N18,N18))=1,"00"&amp;COUNTIFS($J$1:J18,$J18,$K$1:K18,$K18,$L$1:L18,$L18,$M$1:M18,M18,$N$1:N18,N18),IF(LEN(COUNTIFS($J$1:J18,$J18,$K$1:K18,$K18,$L$1:L18,$L18,$M$1:M18,M18,$N$1:N18,N18))=2,"0"&amp;COUNTIFS($J$1:J18,$J18,$K$1:K18,$K18,$L$1:L18,$L18,$M$1:M18,M18,$N$1:N18,N18),COUNTIFS($J$1:J18,$J18,$K$1:K18,$K18,$L$1:L18,$L18,$M$1:M18,M18,$N$1:N18,N18)))</f>
        <v>005</v>
      </c>
      <c r="P1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MS-CS-004-13-01005-INV</v>
      </c>
      <c r="Q18" s="57" t="s">
        <v>7326</v>
      </c>
      <c r="R18" s="34" t="s">
        <v>5857</v>
      </c>
      <c r="S18" s="34" t="s">
        <v>41</v>
      </c>
      <c r="T18" s="34">
        <f>+IFERROR(_xlfn.XLOOKUP(Table43[[#This Row],[Column1]],#REF!,#REF!),0)</f>
        <v>0</v>
      </c>
      <c r="U18" s="50">
        <f>IFERROR(_xlfn.XLOOKUP(Table43[[#This Row],[Column1]],#REF!,#REF!),0)</f>
        <v>0</v>
      </c>
      <c r="V18" s="39"/>
    </row>
    <row r="19" spans="1:22" x14ac:dyDescent="0.35">
      <c r="A19" s="2" t="s">
        <v>38</v>
      </c>
      <c r="B19" s="3" t="s">
        <v>43</v>
      </c>
      <c r="C19" s="3" t="s">
        <v>9</v>
      </c>
      <c r="D19" s="3">
        <v>379</v>
      </c>
      <c r="E19" s="3" t="s">
        <v>10</v>
      </c>
      <c r="F19" s="2">
        <v>1</v>
      </c>
      <c r="G19" s="2">
        <v>2</v>
      </c>
      <c r="H19" s="3">
        <v>6</v>
      </c>
      <c r="I19" s="21">
        <f>Table43[[#This Row],[Item Cost]]*Table43[[#This Row],[In Stock]]</f>
        <v>2274</v>
      </c>
      <c r="J19" s="12" t="s">
        <v>4941</v>
      </c>
      <c r="K19" s="13" t="s">
        <v>4664</v>
      </c>
      <c r="L19" s="13" t="s">
        <v>4677</v>
      </c>
      <c r="M19" s="13" t="s">
        <v>4839</v>
      </c>
      <c r="N19" s="12" t="s">
        <v>4845</v>
      </c>
      <c r="O19" s="17" t="str">
        <f>IF(LEN(COUNTIFS($J$1:J19,$J19,$K$1:K19,$K19,$L$1:L19,$L19,$M$1:M19,M19,$N$1:N19,N19))=1,"00"&amp;COUNTIFS($J$1:J19,$J19,$K$1:K19,$K19,$L$1:L19,$L19,$M$1:M19,M19,$N$1:N19,N19),IF(LEN(COUNTIFS($J$1:J19,$J19,$K$1:K19,$K19,$L$1:L19,$L19,$M$1:M19,M19,$N$1:N19,N19))=2,"0"&amp;COUNTIFS($J$1:J19,$J19,$K$1:K19,$K19,$L$1:L19,$L19,$M$1:M19,M19,$N$1:N19,N19),COUNTIFS($J$1:J19,$J19,$K$1:K19,$K19,$L$1:L19,$L19,$M$1:M19,M19,$N$1:N19,N19)))</f>
        <v>001</v>
      </c>
      <c r="P1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MS-CS-004-27-01001-INV</v>
      </c>
      <c r="Q19" s="57" t="s">
        <v>7326</v>
      </c>
      <c r="R19" s="34" t="s">
        <v>5858</v>
      </c>
      <c r="S19" s="34" t="s">
        <v>43</v>
      </c>
      <c r="T19" s="34">
        <f>+IFERROR(_xlfn.XLOOKUP(Table43[[#This Row],[Column1]],#REF!,#REF!),0)</f>
        <v>0</v>
      </c>
      <c r="U19" s="50">
        <f>IFERROR(_xlfn.XLOOKUP(Table43[[#This Row],[Column1]],#REF!,#REF!),0)</f>
        <v>0</v>
      </c>
      <c r="V19" s="39"/>
    </row>
    <row r="20" spans="1:22" x14ac:dyDescent="0.35">
      <c r="A20" s="2" t="s">
        <v>40</v>
      </c>
      <c r="B20" s="2" t="s">
        <v>45</v>
      </c>
      <c r="C20" s="2" t="s">
        <v>9</v>
      </c>
      <c r="D20" s="2">
        <v>124</v>
      </c>
      <c r="E20" s="2" t="s">
        <v>10</v>
      </c>
      <c r="F20" s="2">
        <v>1</v>
      </c>
      <c r="G20" s="2">
        <v>2</v>
      </c>
      <c r="H20" s="2">
        <v>7</v>
      </c>
      <c r="I20" s="22">
        <f>Table43[[#This Row],[Item Cost]]*Table43[[#This Row],[In Stock]]</f>
        <v>868</v>
      </c>
      <c r="J20" s="12" t="s">
        <v>4941</v>
      </c>
      <c r="K20" s="13" t="s">
        <v>4664</v>
      </c>
      <c r="L20" s="13" t="s">
        <v>4677</v>
      </c>
      <c r="M20" s="13" t="s">
        <v>4839</v>
      </c>
      <c r="N20" s="12" t="s">
        <v>4845</v>
      </c>
      <c r="O20" s="17" t="str">
        <f>IF(LEN(COUNTIFS($J$1:J20,$J20,$K$1:K20,$K20,$L$1:L20,$L20,$M$1:M20,M20,$N$1:N20,N20))=1,"00"&amp;COUNTIFS($J$1:J20,$J20,$K$1:K20,$K20,$L$1:L20,$L20,$M$1:M20,M20,$N$1:N20,N20),IF(LEN(COUNTIFS($J$1:J20,$J20,$K$1:K20,$K20,$L$1:L20,$L20,$M$1:M20,M20,$N$1:N20,N20))=2,"0"&amp;COUNTIFS($J$1:J20,$J20,$K$1:K20,$K20,$L$1:L20,$L20,$M$1:M20,M20,$N$1:N20,N20),COUNTIFS($J$1:J20,$J20,$K$1:K20,$K20,$L$1:L20,$L20,$M$1:M20,M20,$N$1:N20,N20)))</f>
        <v>002</v>
      </c>
      <c r="P2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MS-CS-004-27-01002-INV</v>
      </c>
      <c r="Q20" s="57" t="s">
        <v>7326</v>
      </c>
      <c r="R20" s="34" t="s">
        <v>5859</v>
      </c>
      <c r="S20" s="34" t="s">
        <v>45</v>
      </c>
      <c r="T20" s="34">
        <f>+IFERROR(_xlfn.XLOOKUP(Table43[[#This Row],[Column1]],#REF!,#REF!),0)</f>
        <v>0</v>
      </c>
      <c r="U20" s="50">
        <f>IFERROR(_xlfn.XLOOKUP(Table43[[#This Row],[Column1]],#REF!,#REF!),0)</f>
        <v>0</v>
      </c>
      <c r="V20" s="39"/>
    </row>
    <row r="21" spans="1:22" x14ac:dyDescent="0.35">
      <c r="A21" s="2" t="s">
        <v>42</v>
      </c>
      <c r="B21" s="3" t="s">
        <v>47</v>
      </c>
      <c r="C21" s="3" t="s">
        <v>9</v>
      </c>
      <c r="D21" s="5">
        <v>4598</v>
      </c>
      <c r="E21" s="3" t="s">
        <v>10</v>
      </c>
      <c r="F21" s="2">
        <v>1</v>
      </c>
      <c r="G21" s="2">
        <v>2</v>
      </c>
      <c r="H21" s="3">
        <v>2</v>
      </c>
      <c r="I21" s="21">
        <f>Table43[[#This Row],[Item Cost]]*Table43[[#This Row],[In Stock]]</f>
        <v>9196</v>
      </c>
      <c r="J21" s="12" t="s">
        <v>4941</v>
      </c>
      <c r="K21" s="13" t="s">
        <v>4664</v>
      </c>
      <c r="L21" s="13" t="s">
        <v>4677</v>
      </c>
      <c r="M21" s="13" t="s">
        <v>4733</v>
      </c>
      <c r="N21" s="12" t="s">
        <v>4845</v>
      </c>
      <c r="O21" s="17" t="str">
        <f>IF(LEN(COUNTIFS($J$1:J21,$J21,$K$1:K21,$K21,$L$1:L21,$L21,$M$1:M21,M21,$N$1:N21,N21))=1,"00"&amp;COUNTIFS($J$1:J21,$J21,$K$1:K21,$K21,$L$1:L21,$L21,$M$1:M21,M21,$N$1:N21,N21),IF(LEN(COUNTIFS($J$1:J21,$J21,$K$1:K21,$K21,$L$1:L21,$L21,$M$1:M21,M21,$N$1:N21,N21))=2,"0"&amp;COUNTIFS($J$1:J21,$J21,$K$1:K21,$K21,$L$1:L21,$L21,$M$1:M21,M21,$N$1:N21,N21),COUNTIFS($J$1:J21,$J21,$K$1:K21,$K21,$L$1:L21,$L21,$M$1:M21,M21,$N$1:N21,N21)))</f>
        <v>005</v>
      </c>
      <c r="P2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MS-CS-004-01-01005-INV</v>
      </c>
      <c r="Q21" s="57" t="s">
        <v>7328</v>
      </c>
      <c r="R21" s="34" t="s">
        <v>5860</v>
      </c>
      <c r="S21" s="34" t="s">
        <v>47</v>
      </c>
      <c r="T21" s="34">
        <f>+IFERROR(_xlfn.XLOOKUP(Table43[[#This Row],[Column1]],#REF!,#REF!),0)</f>
        <v>0</v>
      </c>
      <c r="U21" s="50">
        <f>IFERROR(_xlfn.XLOOKUP(Table43[[#This Row],[Column1]],#REF!,#REF!),0)</f>
        <v>0</v>
      </c>
      <c r="V21" s="39"/>
    </row>
    <row r="22" spans="1:22" x14ac:dyDescent="0.35">
      <c r="A22" s="2" t="s">
        <v>44</v>
      </c>
      <c r="B22" s="2" t="s">
        <v>49</v>
      </c>
      <c r="C22" s="2" t="s">
        <v>9</v>
      </c>
      <c r="D22" s="2">
        <v>627</v>
      </c>
      <c r="E22" s="2" t="s">
        <v>10</v>
      </c>
      <c r="F22" s="2">
        <v>1</v>
      </c>
      <c r="G22" s="2">
        <v>2</v>
      </c>
      <c r="H22" s="2">
        <v>2</v>
      </c>
      <c r="I22" s="22">
        <f>Table43[[#This Row],[Item Cost]]*Table43[[#This Row],[In Stock]]</f>
        <v>1254</v>
      </c>
      <c r="J22" s="12" t="s">
        <v>4941</v>
      </c>
      <c r="K22" s="13" t="s">
        <v>4664</v>
      </c>
      <c r="L22" s="13" t="s">
        <v>4677</v>
      </c>
      <c r="M22" s="13" t="s">
        <v>4733</v>
      </c>
      <c r="N22" s="12" t="s">
        <v>4845</v>
      </c>
      <c r="O22" s="17" t="str">
        <f>IF(LEN(COUNTIFS($J$1:J22,$J22,$K$1:K22,$K22,$L$1:L22,$L22,$M$1:M22,M22,$N$1:N22,N22))=1,"00"&amp;COUNTIFS($J$1:J22,$J22,$K$1:K22,$K22,$L$1:L22,$L22,$M$1:M22,M22,$N$1:N22,N22),IF(LEN(COUNTIFS($J$1:J22,$J22,$K$1:K22,$K22,$L$1:L22,$L22,$M$1:M22,M22,$N$1:N22,N22))=2,"0"&amp;COUNTIFS($J$1:J22,$J22,$K$1:K22,$K22,$L$1:L22,$L22,$M$1:M22,M22,$N$1:N22,N22),COUNTIFS($J$1:J22,$J22,$K$1:K22,$K22,$L$1:L22,$L22,$M$1:M22,M22,$N$1:N22,N22)))</f>
        <v>006</v>
      </c>
      <c r="P2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MS-CS-004-01-01006-INV</v>
      </c>
      <c r="Q22" s="57" t="s">
        <v>7326</v>
      </c>
      <c r="R22" s="34" t="s">
        <v>5861</v>
      </c>
      <c r="S22" s="34" t="s">
        <v>49</v>
      </c>
      <c r="T22" s="34">
        <f>+IFERROR(_xlfn.XLOOKUP(Table43[[#This Row],[Column1]],#REF!,#REF!),0)</f>
        <v>0</v>
      </c>
      <c r="U22" s="50">
        <f>IFERROR(_xlfn.XLOOKUP(Table43[[#This Row],[Column1]],#REF!,#REF!),0)</f>
        <v>0</v>
      </c>
      <c r="V22" s="39"/>
    </row>
    <row r="23" spans="1:22" x14ac:dyDescent="0.35">
      <c r="A23" s="2" t="s">
        <v>46</v>
      </c>
      <c r="B23" s="3" t="s">
        <v>51</v>
      </c>
      <c r="C23" s="3" t="s">
        <v>9</v>
      </c>
      <c r="D23" s="5">
        <v>20357</v>
      </c>
      <c r="E23" s="3" t="s">
        <v>10</v>
      </c>
      <c r="F23" s="2">
        <v>1</v>
      </c>
      <c r="G23" s="2">
        <v>2</v>
      </c>
      <c r="H23" s="3">
        <v>2</v>
      </c>
      <c r="I23" s="21">
        <f>Table43[[#This Row],[Item Cost]]*Table43[[#This Row],[In Stock]]</f>
        <v>40714</v>
      </c>
      <c r="J23" s="12" t="s">
        <v>4941</v>
      </c>
      <c r="K23" s="13" t="s">
        <v>4664</v>
      </c>
      <c r="L23" s="13" t="s">
        <v>4677</v>
      </c>
      <c r="M23" s="13" t="s">
        <v>4828</v>
      </c>
      <c r="N23" s="12" t="s">
        <v>4845</v>
      </c>
      <c r="O23" s="17" t="str">
        <f>IF(LEN(COUNTIFS($J$1:J23,$J23,$K$1:K23,$K23,$L$1:L23,$L23,$M$1:M23,M23,$N$1:N23,N23))=1,"00"&amp;COUNTIFS($J$1:J23,$J23,$K$1:K23,$K23,$L$1:L23,$L23,$M$1:M23,M23,$N$1:N23,N23),IF(LEN(COUNTIFS($J$1:J23,$J23,$K$1:K23,$K23,$L$1:L23,$L23,$M$1:M23,M23,$N$1:N23,N23))=2,"0"&amp;COUNTIFS($J$1:J23,$J23,$K$1:K23,$K23,$L$1:L23,$L23,$M$1:M23,M23,$N$1:N23,N23),COUNTIFS($J$1:J23,$J23,$K$1:K23,$K23,$L$1:L23,$L23,$M$1:M23,M23,$N$1:N23,N23)))</f>
        <v>006</v>
      </c>
      <c r="P2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MS-CS-004-13-01006-INV</v>
      </c>
      <c r="Q23" s="57" t="s">
        <v>7329</v>
      </c>
      <c r="R23" s="34" t="s">
        <v>5862</v>
      </c>
      <c r="S23" s="34" t="s">
        <v>51</v>
      </c>
      <c r="T23" s="34">
        <f>+IFERROR(_xlfn.XLOOKUP(Table43[[#This Row],[Column1]],#REF!,#REF!),0)</f>
        <v>0</v>
      </c>
      <c r="U23" s="50">
        <f>IFERROR(_xlfn.XLOOKUP(Table43[[#This Row],[Column1]],#REF!,#REF!),0)</f>
        <v>0</v>
      </c>
      <c r="V23" s="39"/>
    </row>
    <row r="24" spans="1:22" x14ac:dyDescent="0.35">
      <c r="A24" s="2" t="s">
        <v>48</v>
      </c>
      <c r="B24" s="2" t="s">
        <v>53</v>
      </c>
      <c r="C24" s="2" t="s">
        <v>15</v>
      </c>
      <c r="D24" s="4">
        <v>10100</v>
      </c>
      <c r="E24" s="2" t="s">
        <v>10</v>
      </c>
      <c r="F24" s="2">
        <v>1</v>
      </c>
      <c r="G24" s="2">
        <v>3</v>
      </c>
      <c r="H24" s="2">
        <v>0</v>
      </c>
      <c r="I24" s="22">
        <f>Table43[[#This Row],[Item Cost]]*Table43[[#This Row],[In Stock]]</f>
        <v>0</v>
      </c>
      <c r="J24" s="12" t="s">
        <v>4941</v>
      </c>
      <c r="K24" s="13" t="s">
        <v>4666</v>
      </c>
      <c r="L24" s="13" t="s">
        <v>4677</v>
      </c>
      <c r="M24" s="13" t="s">
        <v>4828</v>
      </c>
      <c r="N24" s="12" t="s">
        <v>4845</v>
      </c>
      <c r="O24" s="17" t="str">
        <f>IF(LEN(COUNTIFS($J$1:J24,$J24,$K$1:K24,$K24,$L$1:L24,$L24,$M$1:M24,M24,$N$1:N24,N24))=1,"00"&amp;COUNTIFS($J$1:J24,$J24,$K$1:K24,$K24,$L$1:L24,$L24,$M$1:M24,M24,$N$1:N24,N24),IF(LEN(COUNTIFS($J$1:J24,$J24,$K$1:K24,$K24,$L$1:L24,$L24,$M$1:M24,M24,$N$1:N24,N24))=2,"0"&amp;COUNTIFS($J$1:J24,$J24,$K$1:K24,$K24,$L$1:L24,$L24,$M$1:M24,M24,$N$1:N24,N24),COUNTIFS($J$1:J24,$J24,$K$1:K24,$K24,$L$1:L24,$L24,$M$1:M24,M24,$N$1:N24,N24)))</f>
        <v>001</v>
      </c>
      <c r="P2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MS-NS-004-13-01001-INV</v>
      </c>
      <c r="Q24" s="57" t="s">
        <v>7330</v>
      </c>
      <c r="R24" s="34" t="s">
        <v>5863</v>
      </c>
      <c r="S24" s="34" t="s">
        <v>53</v>
      </c>
      <c r="T24" s="34">
        <f>+IFERROR(_xlfn.XLOOKUP(Table43[[#This Row],[Column1]],#REF!,#REF!),0)</f>
        <v>0</v>
      </c>
      <c r="U24" s="50">
        <f>IFERROR(_xlfn.XLOOKUP(Table43[[#This Row],[Column1]],#REF!,#REF!),0)</f>
        <v>0</v>
      </c>
      <c r="V24" s="39"/>
    </row>
    <row r="25" spans="1:22" x14ac:dyDescent="0.35">
      <c r="A25" s="2" t="s">
        <v>50</v>
      </c>
      <c r="B25" s="3" t="s">
        <v>61</v>
      </c>
      <c r="C25" s="3" t="s">
        <v>15</v>
      </c>
      <c r="D25" s="3">
        <v>6.61</v>
      </c>
      <c r="E25" s="3" t="s">
        <v>10</v>
      </c>
      <c r="F25" s="2">
        <v>1</v>
      </c>
      <c r="G25" s="3">
        <v>10</v>
      </c>
      <c r="H25" s="3">
        <v>29</v>
      </c>
      <c r="I25" s="21">
        <f>Table43[[#This Row],[Item Cost]]*Table43[[#This Row],[In Stock]]</f>
        <v>191.69</v>
      </c>
      <c r="J25" s="12" t="s">
        <v>4941</v>
      </c>
      <c r="K25" s="13" t="s">
        <v>4666</v>
      </c>
      <c r="L25" s="13" t="s">
        <v>4677</v>
      </c>
      <c r="M25" s="13" t="s">
        <v>4838</v>
      </c>
      <c r="N25" s="12" t="s">
        <v>4845</v>
      </c>
      <c r="O25" s="17" t="str">
        <f>IF(LEN(COUNTIFS($J$1:J25,$J25,$K$1:K25,$K25,$L$1:L25,$L25,$M$1:M25,M25,$N$1:N25,N25))=1,"00"&amp;COUNTIFS($J$1:J25,$J25,$K$1:K25,$K25,$L$1:L25,$L25,$M$1:M25,M25,$N$1:N25,N25),IF(LEN(COUNTIFS($J$1:J25,$J25,$K$1:K25,$K25,$L$1:L25,$L25,$M$1:M25,M25,$N$1:N25,N25))=2,"0"&amp;COUNTIFS($J$1:J25,$J25,$K$1:K25,$K25,$L$1:L25,$L25,$M$1:M25,M25,$N$1:N25,N25),COUNTIFS($J$1:J25,$J25,$K$1:K25,$K25,$L$1:L25,$L25,$M$1:M25,M25,$N$1:N25,N25)))</f>
        <v>001</v>
      </c>
      <c r="P2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MS-NS-004-18-01001-INV</v>
      </c>
      <c r="Q25" s="57" t="s">
        <v>7326</v>
      </c>
      <c r="R25" s="34" t="s">
        <v>5864</v>
      </c>
      <c r="S25" s="34" t="s">
        <v>61</v>
      </c>
      <c r="T25" s="34">
        <f>+IFERROR(_xlfn.XLOOKUP(Table43[[#This Row],[Column1]],#REF!,#REF!),0)</f>
        <v>0</v>
      </c>
      <c r="U25" s="50">
        <f>IFERROR(_xlfn.XLOOKUP(Table43[[#This Row],[Column1]],#REF!,#REF!),0)</f>
        <v>0</v>
      </c>
      <c r="V25" s="39"/>
    </row>
    <row r="26" spans="1:22" x14ac:dyDescent="0.35">
      <c r="A26" s="2" t="s">
        <v>52</v>
      </c>
      <c r="B26" s="2" t="s">
        <v>63</v>
      </c>
      <c r="C26" s="2" t="s">
        <v>15</v>
      </c>
      <c r="D26" s="2">
        <v>16.29</v>
      </c>
      <c r="E26" s="2" t="s">
        <v>10</v>
      </c>
      <c r="F26" s="2">
        <v>1</v>
      </c>
      <c r="G26" s="2">
        <v>10</v>
      </c>
      <c r="H26" s="2">
        <v>29</v>
      </c>
      <c r="I26" s="22">
        <f>Table43[[#This Row],[Item Cost]]*Table43[[#This Row],[In Stock]]</f>
        <v>472.40999999999997</v>
      </c>
      <c r="J26" s="12" t="s">
        <v>4941</v>
      </c>
      <c r="K26" s="13" t="s">
        <v>4666</v>
      </c>
      <c r="L26" s="13" t="s">
        <v>4677</v>
      </c>
      <c r="M26" s="13" t="s">
        <v>4838</v>
      </c>
      <c r="N26" s="12" t="s">
        <v>4845</v>
      </c>
      <c r="O26" s="17" t="str">
        <f>IF(LEN(COUNTIFS($J$1:J26,$J26,$K$1:K26,$K26,$L$1:L26,$L26,$M$1:M26,M26,$N$1:N26,N26))=1,"00"&amp;COUNTIFS($J$1:J26,$J26,$K$1:K26,$K26,$L$1:L26,$L26,$M$1:M26,M26,$N$1:N26,N26),IF(LEN(COUNTIFS($J$1:J26,$J26,$K$1:K26,$K26,$L$1:L26,$L26,$M$1:M26,M26,$N$1:N26,N26))=2,"0"&amp;COUNTIFS($J$1:J26,$J26,$K$1:K26,$K26,$L$1:L26,$L26,$M$1:M26,M26,$N$1:N26,N26),COUNTIFS($J$1:J26,$J26,$K$1:K26,$K26,$L$1:L26,$L26,$M$1:M26,M26,$N$1:N26,N26)))</f>
        <v>002</v>
      </c>
      <c r="P2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MS-NS-004-18-01002-INV</v>
      </c>
      <c r="Q26" s="57" t="s">
        <v>7326</v>
      </c>
      <c r="R26" s="34" t="s">
        <v>5865</v>
      </c>
      <c r="S26" s="34" t="s">
        <v>63</v>
      </c>
      <c r="T26" s="34">
        <f>+IFERROR(_xlfn.XLOOKUP(Table43[[#This Row],[Column1]],#REF!,#REF!),0)</f>
        <v>0</v>
      </c>
      <c r="U26" s="50">
        <f>IFERROR(_xlfn.XLOOKUP(Table43[[#This Row],[Column1]],#REF!,#REF!),0)</f>
        <v>0</v>
      </c>
      <c r="V26" s="39"/>
    </row>
    <row r="27" spans="1:22" x14ac:dyDescent="0.35">
      <c r="A27" s="2" t="s">
        <v>54</v>
      </c>
      <c r="B27" s="3" t="s">
        <v>65</v>
      </c>
      <c r="C27" s="3" t="s">
        <v>15</v>
      </c>
      <c r="D27" s="3">
        <v>14.2</v>
      </c>
      <c r="E27" s="3" t="s">
        <v>10</v>
      </c>
      <c r="F27" s="2">
        <v>1</v>
      </c>
      <c r="G27" s="3">
        <v>10</v>
      </c>
      <c r="H27" s="3">
        <v>15</v>
      </c>
      <c r="I27" s="21">
        <f>Table43[[#This Row],[Item Cost]]*Table43[[#This Row],[In Stock]]</f>
        <v>213</v>
      </c>
      <c r="J27" s="12" t="s">
        <v>4941</v>
      </c>
      <c r="K27" s="13" t="s">
        <v>4666</v>
      </c>
      <c r="L27" s="13" t="s">
        <v>4677</v>
      </c>
      <c r="M27" s="13" t="s">
        <v>4838</v>
      </c>
      <c r="N27" s="12" t="s">
        <v>4845</v>
      </c>
      <c r="O27" s="17" t="str">
        <f>IF(LEN(COUNTIFS($J$1:J27,$J27,$K$1:K27,$K27,$L$1:L27,$L27,$M$1:M27,M27,$N$1:N27,N27))=1,"00"&amp;COUNTIFS($J$1:J27,$J27,$K$1:K27,$K27,$L$1:L27,$L27,$M$1:M27,M27,$N$1:N27,N27),IF(LEN(COUNTIFS($J$1:J27,$J27,$K$1:K27,$K27,$L$1:L27,$L27,$M$1:M27,M27,$N$1:N27,N27))=2,"0"&amp;COUNTIFS($J$1:J27,$J27,$K$1:K27,$K27,$L$1:L27,$L27,$M$1:M27,M27,$N$1:N27,N27),COUNTIFS($J$1:J27,$J27,$K$1:K27,$K27,$L$1:L27,$L27,$M$1:M27,M27,$N$1:N27,N27)))</f>
        <v>003</v>
      </c>
      <c r="P2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MS-NS-004-18-01003-INV</v>
      </c>
      <c r="Q27" s="57" t="s">
        <v>7326</v>
      </c>
      <c r="R27" s="34" t="s">
        <v>5866</v>
      </c>
      <c r="S27" s="34" t="s">
        <v>65</v>
      </c>
      <c r="T27" s="34">
        <f>+IFERROR(_xlfn.XLOOKUP(Table43[[#This Row],[Column1]],#REF!,#REF!),0)</f>
        <v>0</v>
      </c>
      <c r="U27" s="50">
        <f>IFERROR(_xlfn.XLOOKUP(Table43[[#This Row],[Column1]],#REF!,#REF!),0)</f>
        <v>0</v>
      </c>
      <c r="V27" s="39"/>
    </row>
    <row r="28" spans="1:22" x14ac:dyDescent="0.35">
      <c r="A28" s="2" t="s">
        <v>58</v>
      </c>
      <c r="B28" s="2" t="s">
        <v>67</v>
      </c>
      <c r="C28" s="2" t="s">
        <v>15</v>
      </c>
      <c r="D28" s="2">
        <v>1.24</v>
      </c>
      <c r="E28" s="2" t="s">
        <v>10</v>
      </c>
      <c r="F28" s="2">
        <v>1</v>
      </c>
      <c r="G28" s="2">
        <v>10</v>
      </c>
      <c r="H28" s="2">
        <v>55</v>
      </c>
      <c r="I28" s="22">
        <f>Table43[[#This Row],[Item Cost]]*Table43[[#This Row],[In Stock]]</f>
        <v>68.2</v>
      </c>
      <c r="J28" s="12" t="s">
        <v>4941</v>
      </c>
      <c r="K28" s="13" t="s">
        <v>4666</v>
      </c>
      <c r="L28" s="13" t="s">
        <v>4677</v>
      </c>
      <c r="M28" s="13" t="s">
        <v>4838</v>
      </c>
      <c r="N28" s="12" t="s">
        <v>4845</v>
      </c>
      <c r="O28" s="17" t="str">
        <f>IF(LEN(COUNTIFS($J$1:J28,$J28,$K$1:K28,$K28,$L$1:L28,$L28,$M$1:M28,M28,$N$1:N28,N28))=1,"00"&amp;COUNTIFS($J$1:J28,$J28,$K$1:K28,$K28,$L$1:L28,$L28,$M$1:M28,M28,$N$1:N28,N28),IF(LEN(COUNTIFS($J$1:J28,$J28,$K$1:K28,$K28,$L$1:L28,$L28,$M$1:M28,M28,$N$1:N28,N28))=2,"0"&amp;COUNTIFS($J$1:J28,$J28,$K$1:K28,$K28,$L$1:L28,$L28,$M$1:M28,M28,$N$1:N28,N28),COUNTIFS($J$1:J28,$J28,$K$1:K28,$K28,$L$1:L28,$L28,$M$1:M28,M28,$N$1:N28,N28)))</f>
        <v>004</v>
      </c>
      <c r="P2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MS-NS-004-18-01004-INV</v>
      </c>
      <c r="Q28" s="57" t="s">
        <v>7326</v>
      </c>
      <c r="R28" s="34" t="s">
        <v>5867</v>
      </c>
      <c r="S28" s="34" t="s">
        <v>67</v>
      </c>
      <c r="T28" s="34">
        <f>+IFERROR(_xlfn.XLOOKUP(Table43[[#This Row],[Column1]],#REF!,#REF!),0)</f>
        <v>0</v>
      </c>
      <c r="U28" s="50">
        <f>IFERROR(_xlfn.XLOOKUP(Table43[[#This Row],[Column1]],#REF!,#REF!),0)</f>
        <v>0</v>
      </c>
      <c r="V28" s="39"/>
    </row>
    <row r="29" spans="1:22" x14ac:dyDescent="0.35">
      <c r="A29" s="2" t="s">
        <v>60</v>
      </c>
      <c r="B29" s="3" t="s">
        <v>69</v>
      </c>
      <c r="C29" s="3" t="s">
        <v>15</v>
      </c>
      <c r="D29" s="3">
        <v>1.04</v>
      </c>
      <c r="E29" s="3" t="s">
        <v>10</v>
      </c>
      <c r="F29" s="2">
        <v>1</v>
      </c>
      <c r="G29" s="3">
        <v>10</v>
      </c>
      <c r="H29" s="3">
        <v>55</v>
      </c>
      <c r="I29" s="21">
        <f>Table43[[#This Row],[Item Cost]]*Table43[[#This Row],[In Stock]]</f>
        <v>57.2</v>
      </c>
      <c r="J29" s="12" t="s">
        <v>4941</v>
      </c>
      <c r="K29" s="13" t="s">
        <v>4666</v>
      </c>
      <c r="L29" s="13" t="s">
        <v>4677</v>
      </c>
      <c r="M29" s="13" t="s">
        <v>4838</v>
      </c>
      <c r="N29" s="12" t="s">
        <v>4845</v>
      </c>
      <c r="O29" s="17" t="str">
        <f>IF(LEN(COUNTIFS($J$1:J29,$J29,$K$1:K29,$K29,$L$1:L29,$L29,$M$1:M29,M29,$N$1:N29,N29))=1,"00"&amp;COUNTIFS($J$1:J29,$J29,$K$1:K29,$K29,$L$1:L29,$L29,$M$1:M29,M29,$N$1:N29,N29),IF(LEN(COUNTIFS($J$1:J29,$J29,$K$1:K29,$K29,$L$1:L29,$L29,$M$1:M29,M29,$N$1:N29,N29))=2,"0"&amp;COUNTIFS($J$1:J29,$J29,$K$1:K29,$K29,$L$1:L29,$L29,$M$1:M29,M29,$N$1:N29,N29),COUNTIFS($J$1:J29,$J29,$K$1:K29,$K29,$L$1:L29,$L29,$M$1:M29,M29,$N$1:N29,N29)))</f>
        <v>005</v>
      </c>
      <c r="P2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MS-NS-004-18-01005-INV</v>
      </c>
      <c r="Q29" s="57" t="s">
        <v>7326</v>
      </c>
      <c r="R29" s="34" t="s">
        <v>5868</v>
      </c>
      <c r="S29" s="34" t="s">
        <v>69</v>
      </c>
      <c r="T29" s="34">
        <f>+IFERROR(_xlfn.XLOOKUP(Table43[[#This Row],[Column1]],#REF!,#REF!),0)</f>
        <v>0</v>
      </c>
      <c r="U29" s="50">
        <f>IFERROR(_xlfn.XLOOKUP(Table43[[#This Row],[Column1]],#REF!,#REF!),0)</f>
        <v>0</v>
      </c>
      <c r="V29" s="39"/>
    </row>
    <row r="30" spans="1:22" x14ac:dyDescent="0.35">
      <c r="A30" s="2" t="s">
        <v>62</v>
      </c>
      <c r="B30" s="2" t="s">
        <v>71</v>
      </c>
      <c r="C30" s="2" t="s">
        <v>15</v>
      </c>
      <c r="D30" s="2">
        <v>6.61</v>
      </c>
      <c r="E30" s="2" t="s">
        <v>10</v>
      </c>
      <c r="F30" s="2">
        <v>1</v>
      </c>
      <c r="G30" s="2">
        <v>10</v>
      </c>
      <c r="H30" s="2">
        <v>35</v>
      </c>
      <c r="I30" s="22">
        <f>Table43[[#This Row],[Item Cost]]*Table43[[#This Row],[In Stock]]</f>
        <v>231.35000000000002</v>
      </c>
      <c r="J30" s="12" t="s">
        <v>4941</v>
      </c>
      <c r="K30" s="13" t="s">
        <v>4666</v>
      </c>
      <c r="L30" s="13" t="s">
        <v>4677</v>
      </c>
      <c r="M30" s="13" t="s">
        <v>4838</v>
      </c>
      <c r="N30" s="12" t="s">
        <v>4845</v>
      </c>
      <c r="O30" s="17" t="str">
        <f>IF(LEN(COUNTIFS($J$1:J30,$J30,$K$1:K30,$K30,$L$1:L30,$L30,$M$1:M30,M30,$N$1:N30,N30))=1,"00"&amp;COUNTIFS($J$1:J30,$J30,$K$1:K30,$K30,$L$1:L30,$L30,$M$1:M30,M30,$N$1:N30,N30),IF(LEN(COUNTIFS($J$1:J30,$J30,$K$1:K30,$K30,$L$1:L30,$L30,$M$1:M30,M30,$N$1:N30,N30))=2,"0"&amp;COUNTIFS($J$1:J30,$J30,$K$1:K30,$K30,$L$1:L30,$L30,$M$1:M30,M30,$N$1:N30,N30),COUNTIFS($J$1:J30,$J30,$K$1:K30,$K30,$L$1:L30,$L30,$M$1:M30,M30,$N$1:N30,N30)))</f>
        <v>006</v>
      </c>
      <c r="P3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MS-NS-004-18-01006-INV</v>
      </c>
      <c r="Q30" s="57" t="s">
        <v>7326</v>
      </c>
      <c r="R30" s="34" t="s">
        <v>5869</v>
      </c>
      <c r="S30" s="34" t="s">
        <v>71</v>
      </c>
      <c r="T30" s="34">
        <f>+IFERROR(_xlfn.XLOOKUP(Table43[[#This Row],[Column1]],#REF!,#REF!),0)</f>
        <v>0</v>
      </c>
      <c r="U30" s="50">
        <f>IFERROR(_xlfn.XLOOKUP(Table43[[#This Row],[Column1]],#REF!,#REF!),0)</f>
        <v>0</v>
      </c>
      <c r="V30" s="39"/>
    </row>
    <row r="31" spans="1:22" x14ac:dyDescent="0.35">
      <c r="A31" s="2" t="s">
        <v>64</v>
      </c>
      <c r="B31" s="3" t="s">
        <v>73</v>
      </c>
      <c r="C31" s="3" t="s">
        <v>15</v>
      </c>
      <c r="D31" s="3">
        <v>17.079999999999998</v>
      </c>
      <c r="E31" s="3" t="s">
        <v>10</v>
      </c>
      <c r="F31" s="2">
        <v>1</v>
      </c>
      <c r="G31" s="3">
        <v>10</v>
      </c>
      <c r="H31" s="3">
        <v>25</v>
      </c>
      <c r="I31" s="21">
        <f>Table43[[#This Row],[Item Cost]]*Table43[[#This Row],[In Stock]]</f>
        <v>426.99999999999994</v>
      </c>
      <c r="J31" s="12" t="s">
        <v>4941</v>
      </c>
      <c r="K31" s="13" t="s">
        <v>4666</v>
      </c>
      <c r="L31" s="13" t="s">
        <v>4677</v>
      </c>
      <c r="M31" s="13" t="s">
        <v>4838</v>
      </c>
      <c r="N31" s="12" t="s">
        <v>4845</v>
      </c>
      <c r="O31" s="17" t="str">
        <f>IF(LEN(COUNTIFS($J$1:J31,$J31,$K$1:K31,$K31,$L$1:L31,$L31,$M$1:M31,M31,$N$1:N31,N31))=1,"00"&amp;COUNTIFS($J$1:J31,$J31,$K$1:K31,$K31,$L$1:L31,$L31,$M$1:M31,M31,$N$1:N31,N31),IF(LEN(COUNTIFS($J$1:J31,$J31,$K$1:K31,$K31,$L$1:L31,$L31,$M$1:M31,M31,$N$1:N31,N31))=2,"0"&amp;COUNTIFS($J$1:J31,$J31,$K$1:K31,$K31,$L$1:L31,$L31,$M$1:M31,M31,$N$1:N31,N31),COUNTIFS($J$1:J31,$J31,$K$1:K31,$K31,$L$1:L31,$L31,$M$1:M31,M31,$N$1:N31,N31)))</f>
        <v>007</v>
      </c>
      <c r="P3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MS-NS-004-18-01007-INV</v>
      </c>
      <c r="Q31" s="57" t="s">
        <v>7326</v>
      </c>
      <c r="R31" s="34" t="s">
        <v>5870</v>
      </c>
      <c r="S31" s="34" t="s">
        <v>73</v>
      </c>
      <c r="T31" s="34">
        <f>+IFERROR(_xlfn.XLOOKUP(Table43[[#This Row],[Column1]],#REF!,#REF!),0)</f>
        <v>0</v>
      </c>
      <c r="U31" s="50">
        <f>IFERROR(_xlfn.XLOOKUP(Table43[[#This Row],[Column1]],#REF!,#REF!),0)</f>
        <v>0</v>
      </c>
      <c r="V31" s="39"/>
    </row>
    <row r="32" spans="1:22" x14ac:dyDescent="0.35">
      <c r="A32" s="2" t="s">
        <v>66</v>
      </c>
      <c r="B32" s="2" t="s">
        <v>75</v>
      </c>
      <c r="C32" s="2" t="s">
        <v>15</v>
      </c>
      <c r="D32" s="2">
        <v>16.89</v>
      </c>
      <c r="E32" s="2" t="s">
        <v>10</v>
      </c>
      <c r="F32" s="2">
        <v>1</v>
      </c>
      <c r="G32" s="2">
        <v>10</v>
      </c>
      <c r="H32" s="2">
        <v>15</v>
      </c>
      <c r="I32" s="22">
        <f>Table43[[#This Row],[Item Cost]]*Table43[[#This Row],[In Stock]]</f>
        <v>253.35000000000002</v>
      </c>
      <c r="J32" s="12" t="s">
        <v>4941</v>
      </c>
      <c r="K32" s="13" t="s">
        <v>4666</v>
      </c>
      <c r="L32" s="13" t="s">
        <v>4677</v>
      </c>
      <c r="M32" s="13" t="s">
        <v>4838</v>
      </c>
      <c r="N32" s="12" t="s">
        <v>4845</v>
      </c>
      <c r="O32" s="17" t="str">
        <f>IF(LEN(COUNTIFS($J$1:J32,$J32,$K$1:K32,$K32,$L$1:L32,$L32,$M$1:M32,M32,$N$1:N32,N32))=1,"00"&amp;COUNTIFS($J$1:J32,$J32,$K$1:K32,$K32,$L$1:L32,$L32,$M$1:M32,M32,$N$1:N32,N32),IF(LEN(COUNTIFS($J$1:J32,$J32,$K$1:K32,$K32,$L$1:L32,$L32,$M$1:M32,M32,$N$1:N32,N32))=2,"0"&amp;COUNTIFS($J$1:J32,$J32,$K$1:K32,$K32,$L$1:L32,$L32,$M$1:M32,M32,$N$1:N32,N32),COUNTIFS($J$1:J32,$J32,$K$1:K32,$K32,$L$1:L32,$L32,$M$1:M32,M32,$N$1:N32,N32)))</f>
        <v>008</v>
      </c>
      <c r="P3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MS-NS-004-18-01008-INV</v>
      </c>
      <c r="Q32" s="57" t="s">
        <v>7326</v>
      </c>
      <c r="R32" s="34" t="s">
        <v>5871</v>
      </c>
      <c r="S32" s="34" t="s">
        <v>75</v>
      </c>
      <c r="T32" s="34">
        <f>+IFERROR(_xlfn.XLOOKUP(Table43[[#This Row],[Column1]],#REF!,#REF!),0)</f>
        <v>0</v>
      </c>
      <c r="U32" s="50">
        <f>IFERROR(_xlfn.XLOOKUP(Table43[[#This Row],[Column1]],#REF!,#REF!),0)</f>
        <v>0</v>
      </c>
      <c r="V32" s="39"/>
    </row>
    <row r="33" spans="1:22" x14ac:dyDescent="0.35">
      <c r="A33" s="2" t="s">
        <v>68</v>
      </c>
      <c r="B33" s="3" t="s">
        <v>77</v>
      </c>
      <c r="C33" s="3" t="s">
        <v>15</v>
      </c>
      <c r="D33" s="3">
        <v>1.44</v>
      </c>
      <c r="E33" s="3" t="s">
        <v>10</v>
      </c>
      <c r="F33" s="2">
        <v>1</v>
      </c>
      <c r="G33" s="3">
        <v>10</v>
      </c>
      <c r="H33" s="3">
        <v>54</v>
      </c>
      <c r="I33" s="21">
        <f>Table43[[#This Row],[Item Cost]]*Table43[[#This Row],[In Stock]]</f>
        <v>77.759999999999991</v>
      </c>
      <c r="J33" s="12" t="s">
        <v>4941</v>
      </c>
      <c r="K33" s="13" t="s">
        <v>4666</v>
      </c>
      <c r="L33" s="13" t="s">
        <v>4677</v>
      </c>
      <c r="M33" s="13" t="s">
        <v>4838</v>
      </c>
      <c r="N33" s="12" t="s">
        <v>4845</v>
      </c>
      <c r="O33" s="17" t="str">
        <f>IF(LEN(COUNTIFS($J$1:J33,$J33,$K$1:K33,$K33,$L$1:L33,$L33,$M$1:M33,M33,$N$1:N33,N33))=1,"00"&amp;COUNTIFS($J$1:J33,$J33,$K$1:K33,$K33,$L$1:L33,$L33,$M$1:M33,M33,$N$1:N33,N33),IF(LEN(COUNTIFS($J$1:J33,$J33,$K$1:K33,$K33,$L$1:L33,$L33,$M$1:M33,M33,$N$1:N33,N33))=2,"0"&amp;COUNTIFS($J$1:J33,$J33,$K$1:K33,$K33,$L$1:L33,$L33,$M$1:M33,M33,$N$1:N33,N33),COUNTIFS($J$1:J33,$J33,$K$1:K33,$K33,$L$1:L33,$L33,$M$1:M33,M33,$N$1:N33,N33)))</f>
        <v>009</v>
      </c>
      <c r="P3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MS-NS-004-18-01009-INV</v>
      </c>
      <c r="Q33" s="57" t="s">
        <v>7326</v>
      </c>
      <c r="R33" s="34" t="s">
        <v>5872</v>
      </c>
      <c r="S33" s="34" t="s">
        <v>77</v>
      </c>
      <c r="T33" s="34">
        <f>+IFERROR(_xlfn.XLOOKUP(Table43[[#This Row],[Column1]],#REF!,#REF!),0)</f>
        <v>0</v>
      </c>
      <c r="U33" s="50">
        <f>IFERROR(_xlfn.XLOOKUP(Table43[[#This Row],[Column1]],#REF!,#REF!),0)</f>
        <v>0</v>
      </c>
      <c r="V33" s="39"/>
    </row>
    <row r="34" spans="1:22" x14ac:dyDescent="0.35">
      <c r="A34" s="2" t="s">
        <v>70</v>
      </c>
      <c r="B34" s="2" t="s">
        <v>79</v>
      </c>
      <c r="C34" s="2" t="s">
        <v>15</v>
      </c>
      <c r="D34" s="2">
        <v>1.24</v>
      </c>
      <c r="E34" s="2" t="s">
        <v>10</v>
      </c>
      <c r="F34" s="2">
        <v>1</v>
      </c>
      <c r="G34" s="2">
        <v>10</v>
      </c>
      <c r="H34" s="2">
        <v>55</v>
      </c>
      <c r="I34" s="22">
        <f>Table43[[#This Row],[Item Cost]]*Table43[[#This Row],[In Stock]]</f>
        <v>68.2</v>
      </c>
      <c r="J34" s="12" t="s">
        <v>4941</v>
      </c>
      <c r="K34" s="13" t="s">
        <v>4666</v>
      </c>
      <c r="L34" s="13" t="s">
        <v>4677</v>
      </c>
      <c r="M34" s="13" t="s">
        <v>4838</v>
      </c>
      <c r="N34" s="12" t="s">
        <v>4845</v>
      </c>
      <c r="O34" s="17" t="str">
        <f>IF(LEN(COUNTIFS($J$1:J34,$J34,$K$1:K34,$K34,$L$1:L34,$L34,$M$1:M34,M34,$N$1:N34,N34))=1,"00"&amp;COUNTIFS($J$1:J34,$J34,$K$1:K34,$K34,$L$1:L34,$L34,$M$1:M34,M34,$N$1:N34,N34),IF(LEN(COUNTIFS($J$1:J34,$J34,$K$1:K34,$K34,$L$1:L34,$L34,$M$1:M34,M34,$N$1:N34,N34))=2,"0"&amp;COUNTIFS($J$1:J34,$J34,$K$1:K34,$K34,$L$1:L34,$L34,$M$1:M34,M34,$N$1:N34,N34),COUNTIFS($J$1:J34,$J34,$K$1:K34,$K34,$L$1:L34,$L34,$M$1:M34,M34,$N$1:N34,N34)))</f>
        <v>010</v>
      </c>
      <c r="P3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MS-NS-004-18-01010-INV</v>
      </c>
      <c r="Q34" s="57" t="s">
        <v>7326</v>
      </c>
      <c r="R34" s="34" t="s">
        <v>5873</v>
      </c>
      <c r="S34" s="34" t="s">
        <v>79</v>
      </c>
      <c r="T34" s="34">
        <f>+IFERROR(_xlfn.XLOOKUP(Table43[[#This Row],[Column1]],#REF!,#REF!),0)</f>
        <v>0</v>
      </c>
      <c r="U34" s="50">
        <f>IFERROR(_xlfn.XLOOKUP(Table43[[#This Row],[Column1]],#REF!,#REF!),0)</f>
        <v>0</v>
      </c>
      <c r="V34" s="39"/>
    </row>
    <row r="35" spans="1:22" x14ac:dyDescent="0.35">
      <c r="A35" s="2" t="s">
        <v>72</v>
      </c>
      <c r="B35" s="3" t="s">
        <v>81</v>
      </c>
      <c r="C35" s="3" t="s">
        <v>15</v>
      </c>
      <c r="D35" s="3">
        <v>74.614999999999995</v>
      </c>
      <c r="E35" s="3" t="s">
        <v>10</v>
      </c>
      <c r="F35" s="2">
        <v>1</v>
      </c>
      <c r="G35" s="3">
        <v>10</v>
      </c>
      <c r="H35" s="3">
        <v>18</v>
      </c>
      <c r="I35" s="21">
        <f>Table43[[#This Row],[Item Cost]]*Table43[[#This Row],[In Stock]]</f>
        <v>1343.07</v>
      </c>
      <c r="J35" s="12" t="s">
        <v>4941</v>
      </c>
      <c r="K35" s="13" t="s">
        <v>4666</v>
      </c>
      <c r="L35" s="13" t="s">
        <v>4677</v>
      </c>
      <c r="M35" s="13" t="s">
        <v>4838</v>
      </c>
      <c r="N35" s="12" t="s">
        <v>4845</v>
      </c>
      <c r="O35" s="17" t="str">
        <f>IF(LEN(COUNTIFS($J$1:J35,$J35,$K$1:K35,$K35,$L$1:L35,$L35,$M$1:M35,M35,$N$1:N35,N35))=1,"00"&amp;COUNTIFS($J$1:J35,$J35,$K$1:K35,$K35,$L$1:L35,$L35,$M$1:M35,M35,$N$1:N35,N35),IF(LEN(COUNTIFS($J$1:J35,$J35,$K$1:K35,$K35,$L$1:L35,$L35,$M$1:M35,M35,$N$1:N35,N35))=2,"0"&amp;COUNTIFS($J$1:J35,$J35,$K$1:K35,$K35,$L$1:L35,$L35,$M$1:M35,M35,$N$1:N35,N35),COUNTIFS($J$1:J35,$J35,$K$1:K35,$K35,$L$1:L35,$L35,$M$1:M35,M35,$N$1:N35,N35)))</f>
        <v>011</v>
      </c>
      <c r="P3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MS-NS-004-18-01011-INV</v>
      </c>
      <c r="Q35" s="57"/>
      <c r="R35" s="34" t="s">
        <v>5874</v>
      </c>
      <c r="S35" s="34" t="s">
        <v>81</v>
      </c>
      <c r="T35" s="34">
        <f>+IFERROR(_xlfn.XLOOKUP(Table43[[#This Row],[Column1]],#REF!,#REF!),0)</f>
        <v>0</v>
      </c>
      <c r="U35" s="50">
        <f>IFERROR(_xlfn.XLOOKUP(Table43[[#This Row],[Column1]],#REF!,#REF!),0)</f>
        <v>0</v>
      </c>
      <c r="V35" s="39"/>
    </row>
    <row r="36" spans="1:22" x14ac:dyDescent="0.35">
      <c r="A36" s="2" t="s">
        <v>74</v>
      </c>
      <c r="B36" s="2" t="s">
        <v>83</v>
      </c>
      <c r="C36" s="2" t="s">
        <v>15</v>
      </c>
      <c r="D36" s="2">
        <v>93.070999999999998</v>
      </c>
      <c r="E36" s="2" t="s">
        <v>10</v>
      </c>
      <c r="F36" s="2">
        <v>1</v>
      </c>
      <c r="G36" s="2">
        <v>10</v>
      </c>
      <c r="H36" s="2">
        <v>17</v>
      </c>
      <c r="I36" s="22">
        <f>Table43[[#This Row],[Item Cost]]*Table43[[#This Row],[In Stock]]</f>
        <v>1582.2069999999999</v>
      </c>
      <c r="J36" s="12" t="s">
        <v>4941</v>
      </c>
      <c r="K36" s="13" t="s">
        <v>4666</v>
      </c>
      <c r="L36" s="13" t="s">
        <v>4677</v>
      </c>
      <c r="M36" s="13" t="s">
        <v>4838</v>
      </c>
      <c r="N36" s="12" t="s">
        <v>4845</v>
      </c>
      <c r="O36" s="17" t="str">
        <f>IF(LEN(COUNTIFS($J$1:J36,$J36,$K$1:K36,$K36,$L$1:L36,$L36,$M$1:M36,M36,$N$1:N36,N36))=1,"00"&amp;COUNTIFS($J$1:J36,$J36,$K$1:K36,$K36,$L$1:L36,$L36,$M$1:M36,M36,$N$1:N36,N36),IF(LEN(COUNTIFS($J$1:J36,$J36,$K$1:K36,$K36,$L$1:L36,$L36,$M$1:M36,M36,$N$1:N36,N36))=2,"0"&amp;COUNTIFS($J$1:J36,$J36,$K$1:K36,$K36,$L$1:L36,$L36,$M$1:M36,M36,$N$1:N36,N36),COUNTIFS($J$1:J36,$J36,$K$1:K36,$K36,$L$1:L36,$L36,$M$1:M36,M36,$N$1:N36,N36)))</f>
        <v>012</v>
      </c>
      <c r="P3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MS-NS-004-18-01012-INV</v>
      </c>
      <c r="Q36" s="57"/>
      <c r="R36" s="34" t="s">
        <v>5875</v>
      </c>
      <c r="S36" s="34" t="s">
        <v>83</v>
      </c>
      <c r="T36" s="34">
        <f>+IFERROR(_xlfn.XLOOKUP(Table43[[#This Row],[Column1]],#REF!,#REF!),0)</f>
        <v>0</v>
      </c>
      <c r="U36" s="50">
        <f>IFERROR(_xlfn.XLOOKUP(Table43[[#This Row],[Column1]],#REF!,#REF!),0)</f>
        <v>0</v>
      </c>
      <c r="V36" s="39"/>
    </row>
    <row r="37" spans="1:22" x14ac:dyDescent="0.35">
      <c r="A37" s="2" t="s">
        <v>76</v>
      </c>
      <c r="B37" s="3" t="s">
        <v>85</v>
      </c>
      <c r="C37" s="3" t="s">
        <v>15</v>
      </c>
      <c r="D37" s="3">
        <v>4.5199999999999996</v>
      </c>
      <c r="E37" s="3" t="s">
        <v>10</v>
      </c>
      <c r="F37" s="2">
        <v>1</v>
      </c>
      <c r="G37" s="3">
        <v>10</v>
      </c>
      <c r="H37" s="3">
        <v>35</v>
      </c>
      <c r="I37" s="21">
        <f>Table43[[#This Row],[Item Cost]]*Table43[[#This Row],[In Stock]]</f>
        <v>158.19999999999999</v>
      </c>
      <c r="J37" s="12" t="s">
        <v>4941</v>
      </c>
      <c r="K37" s="13" t="s">
        <v>4666</v>
      </c>
      <c r="L37" s="13" t="s">
        <v>4677</v>
      </c>
      <c r="M37" s="13" t="s">
        <v>4838</v>
      </c>
      <c r="N37" s="12" t="s">
        <v>4845</v>
      </c>
      <c r="O37" s="17" t="str">
        <f>IF(LEN(COUNTIFS($J$1:J37,$J37,$K$1:K37,$K37,$L$1:L37,$L37,$M$1:M37,M37,$N$1:N37,N37))=1,"00"&amp;COUNTIFS($J$1:J37,$J37,$K$1:K37,$K37,$L$1:L37,$L37,$M$1:M37,M37,$N$1:N37,N37),IF(LEN(COUNTIFS($J$1:J37,$J37,$K$1:K37,$K37,$L$1:L37,$L37,$M$1:M37,M37,$N$1:N37,N37))=2,"0"&amp;COUNTIFS($J$1:J37,$J37,$K$1:K37,$K37,$L$1:L37,$L37,$M$1:M37,M37,$N$1:N37,N37),COUNTIFS($J$1:J37,$J37,$K$1:K37,$K37,$L$1:L37,$L37,$M$1:M37,M37,$N$1:N37,N37)))</f>
        <v>013</v>
      </c>
      <c r="P3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MS-NS-004-18-01013-INV</v>
      </c>
      <c r="Q37" s="57" t="s">
        <v>7326</v>
      </c>
      <c r="R37" s="34" t="s">
        <v>5876</v>
      </c>
      <c r="S37" s="34" t="s">
        <v>85</v>
      </c>
      <c r="T37" s="34">
        <f>+IFERROR(_xlfn.XLOOKUP(Table43[[#This Row],[Column1]],#REF!,#REF!),0)</f>
        <v>0</v>
      </c>
      <c r="U37" s="50">
        <f>IFERROR(_xlfn.XLOOKUP(Table43[[#This Row],[Column1]],#REF!,#REF!),0)</f>
        <v>0</v>
      </c>
      <c r="V37" s="39"/>
    </row>
    <row r="38" spans="1:22" x14ac:dyDescent="0.35">
      <c r="A38" s="2" t="s">
        <v>78</v>
      </c>
      <c r="B38" s="2" t="s">
        <v>87</v>
      </c>
      <c r="C38" s="2" t="s">
        <v>15</v>
      </c>
      <c r="D38" s="2">
        <v>6.61</v>
      </c>
      <c r="E38" s="2" t="s">
        <v>10</v>
      </c>
      <c r="F38" s="2">
        <v>1</v>
      </c>
      <c r="G38" s="2">
        <v>10</v>
      </c>
      <c r="H38" s="2">
        <v>16</v>
      </c>
      <c r="I38" s="22">
        <f>Table43[[#This Row],[Item Cost]]*Table43[[#This Row],[In Stock]]</f>
        <v>105.76</v>
      </c>
      <c r="J38" s="12" t="s">
        <v>4941</v>
      </c>
      <c r="K38" s="13" t="s">
        <v>4666</v>
      </c>
      <c r="L38" s="13" t="s">
        <v>4677</v>
      </c>
      <c r="M38" s="13" t="s">
        <v>4838</v>
      </c>
      <c r="N38" s="12" t="s">
        <v>4845</v>
      </c>
      <c r="O38" s="17" t="str">
        <f>IF(LEN(COUNTIFS($J$1:J38,$J38,$K$1:K38,$K38,$L$1:L38,$L38,$M$1:M38,M38,$N$1:N38,N38))=1,"00"&amp;COUNTIFS($J$1:J38,$J38,$K$1:K38,$K38,$L$1:L38,$L38,$M$1:M38,M38,$N$1:N38,N38),IF(LEN(COUNTIFS($J$1:J38,$J38,$K$1:K38,$K38,$L$1:L38,$L38,$M$1:M38,M38,$N$1:N38,N38))=2,"0"&amp;COUNTIFS($J$1:J38,$J38,$K$1:K38,$K38,$L$1:L38,$L38,$M$1:M38,M38,$N$1:N38,N38),COUNTIFS($J$1:J38,$J38,$K$1:K38,$K38,$L$1:L38,$L38,$M$1:M38,M38,$N$1:N38,N38)))</f>
        <v>014</v>
      </c>
      <c r="P3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MS-NS-004-18-01014-INV</v>
      </c>
      <c r="Q38" s="57" t="s">
        <v>7326</v>
      </c>
      <c r="R38" s="34" t="s">
        <v>5877</v>
      </c>
      <c r="S38" s="34" t="s">
        <v>87</v>
      </c>
      <c r="T38" s="34">
        <f>+IFERROR(_xlfn.XLOOKUP(Table43[[#This Row],[Column1]],#REF!,#REF!),0)</f>
        <v>0</v>
      </c>
      <c r="U38" s="50">
        <f>IFERROR(_xlfn.XLOOKUP(Table43[[#This Row],[Column1]],#REF!,#REF!),0)</f>
        <v>0</v>
      </c>
      <c r="V38" s="39"/>
    </row>
    <row r="39" spans="1:22" x14ac:dyDescent="0.35">
      <c r="A39" s="2" t="s">
        <v>80</v>
      </c>
      <c r="B39" s="3" t="s">
        <v>89</v>
      </c>
      <c r="C39" s="3" t="s">
        <v>15</v>
      </c>
      <c r="D39" s="3">
        <v>4.72</v>
      </c>
      <c r="E39" s="3" t="s">
        <v>10</v>
      </c>
      <c r="F39" s="2">
        <v>1</v>
      </c>
      <c r="G39" s="3">
        <v>10</v>
      </c>
      <c r="H39" s="3">
        <v>4</v>
      </c>
      <c r="I39" s="21">
        <f>Table43[[#This Row],[Item Cost]]*Table43[[#This Row],[In Stock]]</f>
        <v>18.88</v>
      </c>
      <c r="J39" s="12" t="s">
        <v>4941</v>
      </c>
      <c r="K39" s="13" t="s">
        <v>4666</v>
      </c>
      <c r="L39" s="13" t="s">
        <v>4677</v>
      </c>
      <c r="M39" s="13" t="s">
        <v>4838</v>
      </c>
      <c r="N39" s="12" t="s">
        <v>4845</v>
      </c>
      <c r="O39" s="17" t="str">
        <f>IF(LEN(COUNTIFS($J$1:J39,$J39,$K$1:K39,$K39,$L$1:L39,$L39,$M$1:M39,M39,$N$1:N39,N39))=1,"00"&amp;COUNTIFS($J$1:J39,$J39,$K$1:K39,$K39,$L$1:L39,$L39,$M$1:M39,M39,$N$1:N39,N39),IF(LEN(COUNTIFS($J$1:J39,$J39,$K$1:K39,$K39,$L$1:L39,$L39,$M$1:M39,M39,$N$1:N39,N39))=2,"0"&amp;COUNTIFS($J$1:J39,$J39,$K$1:K39,$K39,$L$1:L39,$L39,$M$1:M39,M39,$N$1:N39,N39),COUNTIFS($J$1:J39,$J39,$K$1:K39,$K39,$L$1:L39,$L39,$M$1:M39,M39,$N$1:N39,N39)))</f>
        <v>015</v>
      </c>
      <c r="P3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MS-NS-004-18-01015-INV</v>
      </c>
      <c r="Q39" s="57"/>
      <c r="R39" s="34" t="s">
        <v>5878</v>
      </c>
      <c r="S39" s="34" t="s">
        <v>89</v>
      </c>
      <c r="T39" s="34">
        <f>+IFERROR(_xlfn.XLOOKUP(Table43[[#This Row],[Column1]],#REF!,#REF!),0)</f>
        <v>0</v>
      </c>
      <c r="U39" s="50">
        <f>IFERROR(_xlfn.XLOOKUP(Table43[[#This Row],[Column1]],#REF!,#REF!),0)</f>
        <v>0</v>
      </c>
      <c r="V39" s="39"/>
    </row>
    <row r="40" spans="1:22" x14ac:dyDescent="0.35">
      <c r="A40" s="2" t="s">
        <v>82</v>
      </c>
      <c r="B40" s="2" t="s">
        <v>91</v>
      </c>
      <c r="C40" s="2" t="s">
        <v>15</v>
      </c>
      <c r="D40" s="2">
        <v>1.24</v>
      </c>
      <c r="E40" s="2" t="s">
        <v>10</v>
      </c>
      <c r="F40" s="2">
        <v>1</v>
      </c>
      <c r="G40" s="2">
        <v>10</v>
      </c>
      <c r="H40" s="2">
        <v>4</v>
      </c>
      <c r="I40" s="22">
        <f>Table43[[#This Row],[Item Cost]]*Table43[[#This Row],[In Stock]]</f>
        <v>4.96</v>
      </c>
      <c r="J40" s="12" t="s">
        <v>4941</v>
      </c>
      <c r="K40" s="13" t="s">
        <v>4666</v>
      </c>
      <c r="L40" s="13" t="s">
        <v>4677</v>
      </c>
      <c r="M40" s="13" t="s">
        <v>4838</v>
      </c>
      <c r="N40" s="12" t="s">
        <v>4845</v>
      </c>
      <c r="O40" s="17" t="str">
        <f>IF(LEN(COUNTIFS($J$1:J40,$J40,$K$1:K40,$K40,$L$1:L40,$L40,$M$1:M40,M40,$N$1:N40,N40))=1,"00"&amp;COUNTIFS($J$1:J40,$J40,$K$1:K40,$K40,$L$1:L40,$L40,$M$1:M40,M40,$N$1:N40,N40),IF(LEN(COUNTIFS($J$1:J40,$J40,$K$1:K40,$K40,$L$1:L40,$L40,$M$1:M40,M40,$N$1:N40,N40))=2,"0"&amp;COUNTIFS($J$1:J40,$J40,$K$1:K40,$K40,$L$1:L40,$L40,$M$1:M40,M40,$N$1:N40,N40),COUNTIFS($J$1:J40,$J40,$K$1:K40,$K40,$L$1:L40,$L40,$M$1:M40,M40,$N$1:N40,N40)))</f>
        <v>016</v>
      </c>
      <c r="P4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MS-NS-004-18-01016-INV</v>
      </c>
      <c r="Q40" s="57" t="s">
        <v>7328</v>
      </c>
      <c r="R40" s="34" t="s">
        <v>5879</v>
      </c>
      <c r="S40" s="34" t="s">
        <v>91</v>
      </c>
      <c r="T40" s="34">
        <f>+IFERROR(_xlfn.XLOOKUP(Table43[[#This Row],[Column1]],#REF!,#REF!),0)</f>
        <v>0</v>
      </c>
      <c r="U40" s="50">
        <f>IFERROR(_xlfn.XLOOKUP(Table43[[#This Row],[Column1]],#REF!,#REF!),0)</f>
        <v>0</v>
      </c>
      <c r="V40" s="39"/>
    </row>
    <row r="41" spans="1:22" x14ac:dyDescent="0.35">
      <c r="A41" s="2" t="s">
        <v>84</v>
      </c>
      <c r="B41" s="3" t="s">
        <v>93</v>
      </c>
      <c r="C41" s="3" t="s">
        <v>15</v>
      </c>
      <c r="D41" s="3">
        <v>10</v>
      </c>
      <c r="E41" s="3" t="s">
        <v>10</v>
      </c>
      <c r="F41" s="2">
        <v>1</v>
      </c>
      <c r="G41" s="3">
        <v>10</v>
      </c>
      <c r="H41" s="3">
        <v>6</v>
      </c>
      <c r="I41" s="21">
        <f>Table43[[#This Row],[Item Cost]]*Table43[[#This Row],[In Stock]]</f>
        <v>60</v>
      </c>
      <c r="J41" s="12" t="s">
        <v>4941</v>
      </c>
      <c r="K41" s="13" t="s">
        <v>4666</v>
      </c>
      <c r="L41" s="13" t="s">
        <v>4677</v>
      </c>
      <c r="M41" s="13" t="s">
        <v>4838</v>
      </c>
      <c r="N41" s="12" t="s">
        <v>4845</v>
      </c>
      <c r="O41" s="17" t="str">
        <f>IF(LEN(COUNTIFS($J$1:J41,$J41,$K$1:K41,$K41,$L$1:L41,$L41,$M$1:M41,M41,$N$1:N41,N41))=1,"00"&amp;COUNTIFS($J$1:J41,$J41,$K$1:K41,$K41,$L$1:L41,$L41,$M$1:M41,M41,$N$1:N41,N41),IF(LEN(COUNTIFS($J$1:J41,$J41,$K$1:K41,$K41,$L$1:L41,$L41,$M$1:M41,M41,$N$1:N41,N41))=2,"0"&amp;COUNTIFS($J$1:J41,$J41,$K$1:K41,$K41,$L$1:L41,$L41,$M$1:M41,M41,$N$1:N41,N41),COUNTIFS($J$1:J41,$J41,$K$1:K41,$K41,$L$1:L41,$L41,$M$1:M41,M41,$N$1:N41,N41)))</f>
        <v>017</v>
      </c>
      <c r="P4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MS-NS-004-18-01017-INV</v>
      </c>
      <c r="Q41" s="57" t="s">
        <v>7326</v>
      </c>
      <c r="R41" s="34" t="s">
        <v>5880</v>
      </c>
      <c r="S41" s="34" t="s">
        <v>93</v>
      </c>
      <c r="T41" s="34">
        <f>+IFERROR(_xlfn.XLOOKUP(Table43[[#This Row],[Column1]],#REF!,#REF!),0)</f>
        <v>0</v>
      </c>
      <c r="U41" s="50">
        <f>IFERROR(_xlfn.XLOOKUP(Table43[[#This Row],[Column1]],#REF!,#REF!),0)</f>
        <v>0</v>
      </c>
      <c r="V41" s="39"/>
    </row>
    <row r="42" spans="1:22" x14ac:dyDescent="0.35">
      <c r="A42" s="2" t="s">
        <v>86</v>
      </c>
      <c r="B42" s="2" t="s">
        <v>95</v>
      </c>
      <c r="C42" s="2" t="s">
        <v>15</v>
      </c>
      <c r="D42" s="2">
        <v>34.020000000000003</v>
      </c>
      <c r="E42" s="2" t="s">
        <v>10</v>
      </c>
      <c r="F42" s="2">
        <v>1</v>
      </c>
      <c r="G42" s="2">
        <v>5</v>
      </c>
      <c r="H42" s="2">
        <v>0</v>
      </c>
      <c r="I42" s="22">
        <f>Table43[[#This Row],[Item Cost]]*Table43[[#This Row],[In Stock]]</f>
        <v>0</v>
      </c>
      <c r="J42" s="12" t="s">
        <v>4941</v>
      </c>
      <c r="K42" s="13" t="s">
        <v>4666</v>
      </c>
      <c r="L42" s="13" t="s">
        <v>4677</v>
      </c>
      <c r="M42" s="13" t="s">
        <v>4774</v>
      </c>
      <c r="N42" s="12" t="s">
        <v>4845</v>
      </c>
      <c r="O42" s="17" t="str">
        <f>IF(LEN(COUNTIFS($J$1:J42,$J42,$K$1:K42,$K42,$L$1:L42,$L42,$M$1:M42,M42,$N$1:N42,N42))=1,"00"&amp;COUNTIFS($J$1:J42,$J42,$K$1:K42,$K42,$L$1:L42,$L42,$M$1:M42,M42,$N$1:N42,N42),IF(LEN(COUNTIFS($J$1:J42,$J42,$K$1:K42,$K42,$L$1:L42,$L42,$M$1:M42,M42,$N$1:N42,N42))=2,"0"&amp;COUNTIFS($J$1:J42,$J42,$K$1:K42,$K42,$L$1:L42,$L42,$M$1:M42,M42,$N$1:N42,N42),COUNTIFS($J$1:J42,$J42,$K$1:K42,$K42,$L$1:L42,$L42,$M$1:M42,M42,$N$1:N42,N42)))</f>
        <v>001</v>
      </c>
      <c r="P4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MS-NS-004-08-01001-INV</v>
      </c>
      <c r="Q42" s="57"/>
      <c r="R42" s="34" t="s">
        <v>5881</v>
      </c>
      <c r="S42" s="34" t="s">
        <v>95</v>
      </c>
      <c r="T42" s="34">
        <f>+IFERROR(_xlfn.XLOOKUP(Table43[[#This Row],[Column1]],#REF!,#REF!),0)</f>
        <v>0</v>
      </c>
      <c r="U42" s="50">
        <f>IFERROR(_xlfn.XLOOKUP(Table43[[#This Row],[Column1]],#REF!,#REF!),0)</f>
        <v>0</v>
      </c>
      <c r="V42" s="39"/>
    </row>
    <row r="43" spans="1:22" x14ac:dyDescent="0.35">
      <c r="A43" s="2" t="s">
        <v>88</v>
      </c>
      <c r="B43" s="3" t="s">
        <v>97</v>
      </c>
      <c r="C43" s="3" t="s">
        <v>15</v>
      </c>
      <c r="D43" s="3">
        <v>27.251000000000001</v>
      </c>
      <c r="E43" s="3" t="s">
        <v>10</v>
      </c>
      <c r="F43" s="2">
        <v>1</v>
      </c>
      <c r="G43" s="3">
        <v>5</v>
      </c>
      <c r="H43" s="3">
        <v>0</v>
      </c>
      <c r="I43" s="21">
        <f>Table43[[#This Row],[Item Cost]]*Table43[[#This Row],[In Stock]]</f>
        <v>0</v>
      </c>
      <c r="J43" s="12" t="s">
        <v>4941</v>
      </c>
      <c r="K43" s="13" t="s">
        <v>4666</v>
      </c>
      <c r="L43" s="13" t="s">
        <v>4677</v>
      </c>
      <c r="M43" s="13" t="s">
        <v>4774</v>
      </c>
      <c r="N43" s="12" t="s">
        <v>4845</v>
      </c>
      <c r="O43" s="17" t="str">
        <f>IF(LEN(COUNTIFS($J$1:J43,$J43,$K$1:K43,$K43,$L$1:L43,$L43,$M$1:M43,M43,$N$1:N43,N43))=1,"00"&amp;COUNTIFS($J$1:J43,$J43,$K$1:K43,$K43,$L$1:L43,$L43,$M$1:M43,M43,$N$1:N43,N43),IF(LEN(COUNTIFS($J$1:J43,$J43,$K$1:K43,$K43,$L$1:L43,$L43,$M$1:M43,M43,$N$1:N43,N43))=2,"0"&amp;COUNTIFS($J$1:J43,$J43,$K$1:K43,$K43,$L$1:L43,$L43,$M$1:M43,M43,$N$1:N43,N43),COUNTIFS($J$1:J43,$J43,$K$1:K43,$K43,$L$1:L43,$L43,$M$1:M43,M43,$N$1:N43,N43)))</f>
        <v>002</v>
      </c>
      <c r="P4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MS-NS-004-08-01002-INV</v>
      </c>
      <c r="Q43" s="57"/>
      <c r="R43" s="34" t="s">
        <v>5882</v>
      </c>
      <c r="S43" s="34" t="s">
        <v>97</v>
      </c>
      <c r="T43" s="34">
        <f>+IFERROR(_xlfn.XLOOKUP(Table43[[#This Row],[Column1]],#REF!,#REF!),0)</f>
        <v>0</v>
      </c>
      <c r="U43" s="50">
        <f>IFERROR(_xlfn.XLOOKUP(Table43[[#This Row],[Column1]],#REF!,#REF!),0)</f>
        <v>0</v>
      </c>
      <c r="V43" s="39"/>
    </row>
    <row r="44" spans="1:22" x14ac:dyDescent="0.35">
      <c r="A44" s="2" t="s">
        <v>90</v>
      </c>
      <c r="B44" s="2" t="s">
        <v>99</v>
      </c>
      <c r="C44" s="2" t="s">
        <v>15</v>
      </c>
      <c r="D44" s="2">
        <v>0</v>
      </c>
      <c r="E44" s="3" t="s">
        <v>10</v>
      </c>
      <c r="F44" s="2">
        <v>1</v>
      </c>
      <c r="G44" s="2">
        <v>5</v>
      </c>
      <c r="H44" s="2">
        <v>0</v>
      </c>
      <c r="I44" s="22">
        <f>Table43[[#This Row],[Item Cost]]*Table43[[#This Row],[In Stock]]</f>
        <v>0</v>
      </c>
      <c r="J44" s="12" t="s">
        <v>4941</v>
      </c>
      <c r="K44" s="13" t="s">
        <v>4666</v>
      </c>
      <c r="L44" s="13" t="s">
        <v>4677</v>
      </c>
      <c r="M44" s="13" t="s">
        <v>4774</v>
      </c>
      <c r="N44" s="12" t="s">
        <v>4845</v>
      </c>
      <c r="O44" s="17" t="str">
        <f>IF(LEN(COUNTIFS($J$1:J44,$J44,$K$1:K44,$K44,$L$1:L44,$L44,$M$1:M44,M44,$N$1:N44,N44))=1,"00"&amp;COUNTIFS($J$1:J44,$J44,$K$1:K44,$K44,$L$1:L44,$L44,$M$1:M44,M44,$N$1:N44,N44),IF(LEN(COUNTIFS($J$1:J44,$J44,$K$1:K44,$K44,$L$1:L44,$L44,$M$1:M44,M44,$N$1:N44,N44))=2,"0"&amp;COUNTIFS($J$1:J44,$J44,$K$1:K44,$K44,$L$1:L44,$L44,$M$1:M44,M44,$N$1:N44,N44),COUNTIFS($J$1:J44,$J44,$K$1:K44,$K44,$L$1:L44,$L44,$M$1:M44,M44,$N$1:N44,N44)))</f>
        <v>003</v>
      </c>
      <c r="P4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MS-NS-004-08-01003-INV</v>
      </c>
      <c r="Q44" s="57"/>
      <c r="R44" s="34" t="s">
        <v>5883</v>
      </c>
      <c r="S44" s="34" t="s">
        <v>99</v>
      </c>
      <c r="T44" s="34">
        <f>+IFERROR(_xlfn.XLOOKUP(Table43[[#This Row],[Column1]],#REF!,#REF!),0)</f>
        <v>0</v>
      </c>
      <c r="U44" s="50">
        <f>IFERROR(_xlfn.XLOOKUP(Table43[[#This Row],[Column1]],#REF!,#REF!),0)</f>
        <v>0</v>
      </c>
      <c r="V44" s="39"/>
    </row>
    <row r="45" spans="1:22" x14ac:dyDescent="0.35">
      <c r="A45" s="2" t="s">
        <v>92</v>
      </c>
      <c r="B45" s="3" t="s">
        <v>101</v>
      </c>
      <c r="C45" s="3" t="s">
        <v>9</v>
      </c>
      <c r="D45" s="3">
        <v>429</v>
      </c>
      <c r="E45" s="3" t="s">
        <v>10</v>
      </c>
      <c r="F45" s="2">
        <v>1</v>
      </c>
      <c r="G45" s="2">
        <v>2</v>
      </c>
      <c r="H45" s="3">
        <v>1</v>
      </c>
      <c r="I45" s="21">
        <f>Table43[[#This Row],[Item Cost]]*Table43[[#This Row],[In Stock]]</f>
        <v>429</v>
      </c>
      <c r="J45" s="12" t="s">
        <v>4941</v>
      </c>
      <c r="K45" s="13" t="s">
        <v>4664</v>
      </c>
      <c r="L45" s="13" t="s">
        <v>4677</v>
      </c>
      <c r="M45" s="13" t="s">
        <v>4775</v>
      </c>
      <c r="N45" s="12" t="s">
        <v>4845</v>
      </c>
      <c r="O45" s="17" t="str">
        <f>IF(LEN(COUNTIFS($J$1:J45,$J45,$K$1:K45,$K45,$L$1:L45,$L45,$M$1:M45,M45,$N$1:N45,N45))=1,"00"&amp;COUNTIFS($J$1:J45,$J45,$K$1:K45,$K45,$L$1:L45,$L45,$M$1:M45,M45,$N$1:N45,N45),IF(LEN(COUNTIFS($J$1:J45,$J45,$K$1:K45,$K45,$L$1:L45,$L45,$M$1:M45,M45,$N$1:N45,N45))=2,"0"&amp;COUNTIFS($J$1:J45,$J45,$K$1:K45,$K45,$L$1:L45,$L45,$M$1:M45,M45,$N$1:N45,N45),COUNTIFS($J$1:J45,$J45,$K$1:K45,$K45,$L$1:L45,$L45,$M$1:M45,M45,$N$1:N45,N45)))</f>
        <v>001</v>
      </c>
      <c r="P4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MS-CS-004-09-01001-INV</v>
      </c>
      <c r="Q45" s="57" t="s">
        <v>7328</v>
      </c>
      <c r="R45" s="34" t="s">
        <v>5884</v>
      </c>
      <c r="S45" s="34" t="s">
        <v>101</v>
      </c>
      <c r="T45" s="34">
        <f>+IFERROR(_xlfn.XLOOKUP(Table43[[#This Row],[Column1]],#REF!,#REF!),0)</f>
        <v>0</v>
      </c>
      <c r="U45" s="50">
        <f>IFERROR(_xlfn.XLOOKUP(Table43[[#This Row],[Column1]],#REF!,#REF!),0)</f>
        <v>0</v>
      </c>
      <c r="V45" s="39"/>
    </row>
    <row r="46" spans="1:22" x14ac:dyDescent="0.35">
      <c r="A46" s="2" t="s">
        <v>94</v>
      </c>
      <c r="B46" s="2" t="s">
        <v>103</v>
      </c>
      <c r="C46" s="2" t="s">
        <v>9</v>
      </c>
      <c r="D46" s="2">
        <v>68.125</v>
      </c>
      <c r="E46" s="2" t="s">
        <v>10</v>
      </c>
      <c r="F46" s="2">
        <v>1</v>
      </c>
      <c r="G46" s="2">
        <v>2</v>
      </c>
      <c r="H46" s="2">
        <v>2</v>
      </c>
      <c r="I46" s="22">
        <f>Table43[[#This Row],[Item Cost]]*Table43[[#This Row],[In Stock]]</f>
        <v>136.25</v>
      </c>
      <c r="J46" s="12" t="s">
        <v>4941</v>
      </c>
      <c r="K46" s="13" t="s">
        <v>4664</v>
      </c>
      <c r="L46" s="13" t="s">
        <v>4677</v>
      </c>
      <c r="M46" s="13" t="s">
        <v>4828</v>
      </c>
      <c r="N46" s="12" t="s">
        <v>4845</v>
      </c>
      <c r="O46" s="17" t="str">
        <f>IF(LEN(COUNTIFS($J$1:J46,$J46,$K$1:K46,$K46,$L$1:L46,$L46,$M$1:M46,M46,$N$1:N46,N46))=1,"00"&amp;COUNTIFS($J$1:J46,$J46,$K$1:K46,$K46,$L$1:L46,$L46,$M$1:M46,M46,$N$1:N46,N46),IF(LEN(COUNTIFS($J$1:J46,$J46,$K$1:K46,$K46,$L$1:L46,$L46,$M$1:M46,M46,$N$1:N46,N46))=2,"0"&amp;COUNTIFS($J$1:J46,$J46,$K$1:K46,$K46,$L$1:L46,$L46,$M$1:M46,M46,$N$1:N46,N46),COUNTIFS($J$1:J46,$J46,$K$1:K46,$K46,$L$1:L46,$L46,$M$1:M46,M46,$N$1:N46,N46)))</f>
        <v>007</v>
      </c>
      <c r="P4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MS-CS-004-13-01007-INV</v>
      </c>
      <c r="Q46" s="57" t="s">
        <v>7331</v>
      </c>
      <c r="R46" s="34" t="s">
        <v>5885</v>
      </c>
      <c r="S46" s="34" t="s">
        <v>103</v>
      </c>
      <c r="T46" s="34">
        <f>+IFERROR(_xlfn.XLOOKUP(Table43[[#This Row],[Column1]],#REF!,#REF!),0)</f>
        <v>0</v>
      </c>
      <c r="U46" s="50">
        <f>IFERROR(_xlfn.XLOOKUP(Table43[[#This Row],[Column1]],#REF!,#REF!),0)</f>
        <v>0</v>
      </c>
      <c r="V46" s="39"/>
    </row>
    <row r="47" spans="1:22" x14ac:dyDescent="0.35">
      <c r="A47" s="2" t="s">
        <v>96</v>
      </c>
      <c r="B47" s="3" t="s">
        <v>107</v>
      </c>
      <c r="C47" s="3" t="s">
        <v>15</v>
      </c>
      <c r="D47" s="3">
        <v>0</v>
      </c>
      <c r="E47" s="3" t="s">
        <v>10</v>
      </c>
      <c r="F47" s="2">
        <v>1</v>
      </c>
      <c r="G47" s="3">
        <v>5</v>
      </c>
      <c r="H47" s="3">
        <v>0</v>
      </c>
      <c r="I47" s="21">
        <f>Table43[[#This Row],[Item Cost]]*Table43[[#This Row],[In Stock]]</f>
        <v>0</v>
      </c>
      <c r="J47" s="12" t="s">
        <v>4941</v>
      </c>
      <c r="K47" s="13" t="s">
        <v>4666</v>
      </c>
      <c r="L47" s="13" t="s">
        <v>4677</v>
      </c>
      <c r="M47" s="13" t="s">
        <v>4770</v>
      </c>
      <c r="N47" s="12" t="s">
        <v>4845</v>
      </c>
      <c r="O47" s="17" t="str">
        <f>IF(LEN(COUNTIFS($J$1:J47,$J47,$K$1:K47,$K47,$L$1:L47,$L47,$M$1:M47,M47,$N$1:N47,N47))=1,"00"&amp;COUNTIFS($J$1:J47,$J47,$K$1:K47,$K47,$L$1:L47,$L47,$M$1:M47,M47,$N$1:N47,N47),IF(LEN(COUNTIFS($J$1:J47,$J47,$K$1:K47,$K47,$L$1:L47,$L47,$M$1:M47,M47,$N$1:N47,N47))=2,"0"&amp;COUNTIFS($J$1:J47,$J47,$K$1:K47,$K47,$L$1:L47,$L47,$M$1:M47,M47,$N$1:N47,N47),COUNTIFS($J$1:J47,$J47,$K$1:K47,$K47,$L$1:L47,$L47,$M$1:M47,M47,$N$1:N47,N47)))</f>
        <v>001</v>
      </c>
      <c r="P4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MS-NS-004-04-01001-INV</v>
      </c>
      <c r="Q47" s="57" t="s">
        <v>7326</v>
      </c>
      <c r="R47" s="34" t="s">
        <v>5886</v>
      </c>
      <c r="S47" s="34" t="s">
        <v>107</v>
      </c>
      <c r="T47" s="34">
        <f>+IFERROR(_xlfn.XLOOKUP(Table43[[#This Row],[Column1]],#REF!,#REF!),0)</f>
        <v>0</v>
      </c>
      <c r="U47" s="50">
        <f>IFERROR(_xlfn.XLOOKUP(Table43[[#This Row],[Column1]],#REF!,#REF!),0)</f>
        <v>0</v>
      </c>
      <c r="V47" s="39"/>
    </row>
    <row r="48" spans="1:22" x14ac:dyDescent="0.35">
      <c r="A48" s="2" t="s">
        <v>98</v>
      </c>
      <c r="B48" s="2" t="s">
        <v>109</v>
      </c>
      <c r="C48" s="2" t="s">
        <v>9</v>
      </c>
      <c r="D48" s="4">
        <v>4041.36</v>
      </c>
      <c r="E48" s="2" t="s">
        <v>10</v>
      </c>
      <c r="F48" s="2">
        <v>1</v>
      </c>
      <c r="G48" s="2">
        <v>2</v>
      </c>
      <c r="H48" s="2">
        <v>2</v>
      </c>
      <c r="I48" s="22">
        <f>Table43[[#This Row],[Item Cost]]*Table43[[#This Row],[In Stock]]</f>
        <v>8082.72</v>
      </c>
      <c r="J48" s="12" t="s">
        <v>4941</v>
      </c>
      <c r="K48" s="13" t="s">
        <v>4664</v>
      </c>
      <c r="L48" s="13" t="s">
        <v>4677</v>
      </c>
      <c r="M48" s="13" t="s">
        <v>4838</v>
      </c>
      <c r="N48" s="12" t="s">
        <v>4845</v>
      </c>
      <c r="O48" s="17" t="str">
        <f>IF(LEN(COUNTIFS($J$1:J48,$J48,$K$1:K48,$K48,$L$1:L48,$L48,$M$1:M48,M48,$N$1:N48,N48))=1,"00"&amp;COUNTIFS($J$1:J48,$J48,$K$1:K48,$K48,$L$1:L48,$L48,$M$1:M48,M48,$N$1:N48,N48),IF(LEN(COUNTIFS($J$1:J48,$J48,$K$1:K48,$K48,$L$1:L48,$L48,$M$1:M48,M48,$N$1:N48,N48))=2,"0"&amp;COUNTIFS($J$1:J48,$J48,$K$1:K48,$K48,$L$1:L48,$L48,$M$1:M48,M48,$N$1:N48,N48),COUNTIFS($J$1:J48,$J48,$K$1:K48,$K48,$L$1:L48,$L48,$M$1:M48,M48,$N$1:N48,N48)))</f>
        <v>001</v>
      </c>
      <c r="P4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MS-CS-004-18-01001-INV</v>
      </c>
      <c r="Q48" s="57" t="s">
        <v>7325</v>
      </c>
      <c r="R48" s="34" t="s">
        <v>5887</v>
      </c>
      <c r="S48" s="34" t="s">
        <v>109</v>
      </c>
      <c r="T48" s="34">
        <f>+IFERROR(_xlfn.XLOOKUP(Table43[[#This Row],[Column1]],#REF!,#REF!),0)</f>
        <v>0</v>
      </c>
      <c r="U48" s="50">
        <f>IFERROR(_xlfn.XLOOKUP(Table43[[#This Row],[Column1]],#REF!,#REF!),0)</f>
        <v>0</v>
      </c>
      <c r="V48" s="39"/>
    </row>
    <row r="49" spans="1:22" x14ac:dyDescent="0.35">
      <c r="A49" s="2" t="s">
        <v>100</v>
      </c>
      <c r="B49" s="3" t="s">
        <v>111</v>
      </c>
      <c r="C49" s="3" t="s">
        <v>9</v>
      </c>
      <c r="D49" s="5">
        <v>1673</v>
      </c>
      <c r="E49" s="3" t="s">
        <v>10</v>
      </c>
      <c r="F49" s="2">
        <v>1</v>
      </c>
      <c r="G49" s="2">
        <v>2</v>
      </c>
      <c r="H49" s="3">
        <v>0</v>
      </c>
      <c r="I49" s="21">
        <f>Table43[[#This Row],[Item Cost]]*Table43[[#This Row],[In Stock]]</f>
        <v>0</v>
      </c>
      <c r="J49" s="12" t="s">
        <v>4941</v>
      </c>
      <c r="K49" s="13" t="s">
        <v>4664</v>
      </c>
      <c r="L49" s="13" t="s">
        <v>4677</v>
      </c>
      <c r="M49" s="13" t="s">
        <v>4734</v>
      </c>
      <c r="N49" s="12" t="s">
        <v>4845</v>
      </c>
      <c r="O49" s="17" t="str">
        <f>IF(LEN(COUNTIFS($J$1:J49,$J49,$K$1:K49,$K49,$L$1:L49,$L49,$M$1:M49,M49,$N$1:N49,N49))=1,"00"&amp;COUNTIFS($J$1:J49,$J49,$K$1:K49,$K49,$L$1:L49,$L49,$M$1:M49,M49,$N$1:N49,N49),IF(LEN(COUNTIFS($J$1:J49,$J49,$K$1:K49,$K49,$L$1:L49,$L49,$M$1:M49,M49,$N$1:N49,N49))=2,"0"&amp;COUNTIFS($J$1:J49,$J49,$K$1:K49,$K49,$L$1:L49,$L49,$M$1:M49,M49,$N$1:N49,N49),COUNTIFS($J$1:J49,$J49,$K$1:K49,$K49,$L$1:L49,$L49,$M$1:M49,M49,$N$1:N49,N49)))</f>
        <v>002</v>
      </c>
      <c r="P4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MS-CS-004-02-01002-INV</v>
      </c>
      <c r="Q49" s="57"/>
      <c r="R49" s="34" t="s">
        <v>5888</v>
      </c>
      <c r="S49" s="34" t="s">
        <v>111</v>
      </c>
      <c r="T49" s="34">
        <f>+IFERROR(_xlfn.XLOOKUP(Table43[[#This Row],[Column1]],#REF!,#REF!),0)</f>
        <v>0</v>
      </c>
      <c r="U49" s="50">
        <f>IFERROR(_xlfn.XLOOKUP(Table43[[#This Row],[Column1]],#REF!,#REF!),0)</f>
        <v>0</v>
      </c>
      <c r="V49" s="39"/>
    </row>
    <row r="50" spans="1:22" x14ac:dyDescent="0.35">
      <c r="A50" s="2" t="s">
        <v>102</v>
      </c>
      <c r="B50" s="2" t="s">
        <v>113</v>
      </c>
      <c r="C50" s="2" t="s">
        <v>15</v>
      </c>
      <c r="D50" s="4">
        <v>1850</v>
      </c>
      <c r="E50" s="2" t="s">
        <v>10</v>
      </c>
      <c r="F50" s="2">
        <v>1</v>
      </c>
      <c r="G50" s="2">
        <v>5</v>
      </c>
      <c r="H50" s="2">
        <v>0</v>
      </c>
      <c r="I50" s="22">
        <f>Table43[[#This Row],[Item Cost]]*Table43[[#This Row],[In Stock]]</f>
        <v>0</v>
      </c>
      <c r="J50" s="12" t="s">
        <v>4941</v>
      </c>
      <c r="K50" s="13" t="s">
        <v>4666</v>
      </c>
      <c r="L50" s="13" t="s">
        <v>4677</v>
      </c>
      <c r="M50" s="13" t="s">
        <v>4775</v>
      </c>
      <c r="N50" s="12" t="s">
        <v>4845</v>
      </c>
      <c r="O50" s="17" t="str">
        <f>IF(LEN(COUNTIFS($J$1:J50,$J50,$K$1:K50,$K50,$L$1:L50,$L50,$M$1:M50,M50,$N$1:N50,N50))=1,"00"&amp;COUNTIFS($J$1:J50,$J50,$K$1:K50,$K50,$L$1:L50,$L50,$M$1:M50,M50,$N$1:N50,N50),IF(LEN(COUNTIFS($J$1:J50,$J50,$K$1:K50,$K50,$L$1:L50,$L50,$M$1:M50,M50,$N$1:N50,N50))=2,"0"&amp;COUNTIFS($J$1:J50,$J50,$K$1:K50,$K50,$L$1:L50,$L50,$M$1:M50,M50,$N$1:N50,N50),COUNTIFS($J$1:J50,$J50,$K$1:K50,$K50,$L$1:L50,$L50,$M$1:M50,M50,$N$1:N50,N50)))</f>
        <v>001</v>
      </c>
      <c r="P5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MS-NS-004-09-01001-INV</v>
      </c>
      <c r="Q50" s="57"/>
      <c r="R50" s="34" t="s">
        <v>5889</v>
      </c>
      <c r="S50" s="34" t="s">
        <v>113</v>
      </c>
      <c r="T50" s="34">
        <f>+IFERROR(_xlfn.XLOOKUP(Table43[[#This Row],[Column1]],#REF!,#REF!),0)</f>
        <v>0</v>
      </c>
      <c r="U50" s="50">
        <f>IFERROR(_xlfn.XLOOKUP(Table43[[#This Row],[Column1]],#REF!,#REF!),0)</f>
        <v>0</v>
      </c>
      <c r="V50" s="39"/>
    </row>
    <row r="51" spans="1:22" x14ac:dyDescent="0.35">
      <c r="A51" s="2" t="s">
        <v>5201</v>
      </c>
      <c r="B51" s="3" t="s">
        <v>115</v>
      </c>
      <c r="C51" s="3" t="s">
        <v>15</v>
      </c>
      <c r="D51" s="3">
        <v>0</v>
      </c>
      <c r="E51" s="3" t="s">
        <v>10</v>
      </c>
      <c r="F51" s="2">
        <v>1</v>
      </c>
      <c r="G51" s="3">
        <v>3</v>
      </c>
      <c r="H51" s="3">
        <v>0</v>
      </c>
      <c r="I51" s="21">
        <f>Table43[[#This Row],[Item Cost]]*Table43[[#This Row],[In Stock]]</f>
        <v>0</v>
      </c>
      <c r="J51" s="12" t="s">
        <v>4941</v>
      </c>
      <c r="K51" s="13" t="s">
        <v>4666</v>
      </c>
      <c r="L51" s="13" t="s">
        <v>4677</v>
      </c>
      <c r="M51" s="13" t="s">
        <v>4734</v>
      </c>
      <c r="N51" s="12" t="s">
        <v>4845</v>
      </c>
      <c r="O51" s="17" t="str">
        <f>IF(LEN(COUNTIFS($J$1:J51,$J51,$K$1:K51,$K51,$L$1:L51,$L51,$M$1:M51,M51,$N$1:N51,N51))=1,"00"&amp;COUNTIFS($J$1:J51,$J51,$K$1:K51,$K51,$L$1:L51,$L51,$M$1:M51,M51,$N$1:N51,N51),IF(LEN(COUNTIFS($J$1:J51,$J51,$K$1:K51,$K51,$L$1:L51,$L51,$M$1:M51,M51,$N$1:N51,N51))=2,"0"&amp;COUNTIFS($J$1:J51,$J51,$K$1:K51,$K51,$L$1:L51,$L51,$M$1:M51,M51,$N$1:N51,N51),COUNTIFS($J$1:J51,$J51,$K$1:K51,$K51,$L$1:L51,$L51,$M$1:M51,M51,$N$1:N51,N51)))</f>
        <v>001</v>
      </c>
      <c r="P5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MS-NS-004-02-01001-INV</v>
      </c>
      <c r="Q51" s="57" t="s">
        <v>7332</v>
      </c>
      <c r="R51" s="34" t="s">
        <v>5890</v>
      </c>
      <c r="S51" s="34" t="s">
        <v>115</v>
      </c>
      <c r="T51" s="34">
        <f>+IFERROR(_xlfn.XLOOKUP(Table43[[#This Row],[Column1]],#REF!,#REF!),0)</f>
        <v>0</v>
      </c>
      <c r="U51" s="50">
        <f>IFERROR(_xlfn.XLOOKUP(Table43[[#This Row],[Column1]],#REF!,#REF!),0)</f>
        <v>0</v>
      </c>
      <c r="V51" s="39"/>
    </row>
    <row r="52" spans="1:22" x14ac:dyDescent="0.35">
      <c r="A52" s="2" t="s">
        <v>104</v>
      </c>
      <c r="B52" s="2" t="s">
        <v>117</v>
      </c>
      <c r="C52" s="2" t="s">
        <v>15</v>
      </c>
      <c r="D52" s="2">
        <v>149</v>
      </c>
      <c r="E52" s="2" t="s">
        <v>10</v>
      </c>
      <c r="F52" s="2">
        <v>1</v>
      </c>
      <c r="G52" s="2">
        <v>10</v>
      </c>
      <c r="H52" s="2">
        <v>10</v>
      </c>
      <c r="I52" s="22">
        <f>Table43[[#This Row],[Item Cost]]*Table43[[#This Row],[In Stock]]</f>
        <v>1490</v>
      </c>
      <c r="J52" s="12" t="s">
        <v>4941</v>
      </c>
      <c r="K52" s="13" t="s">
        <v>4666</v>
      </c>
      <c r="L52" s="13" t="s">
        <v>4677</v>
      </c>
      <c r="M52" s="13" t="s">
        <v>4693</v>
      </c>
      <c r="N52" s="12" t="s">
        <v>4845</v>
      </c>
      <c r="O52" s="17" t="str">
        <f>IF(LEN(COUNTIFS($J$1:J52,$J52,$K$1:K52,$K52,$L$1:L52,$L52,$M$1:M52,M52,$N$1:N52,N52))=1,"00"&amp;COUNTIFS($J$1:J52,$J52,$K$1:K52,$K52,$L$1:L52,$L52,$M$1:M52,M52,$N$1:N52,N52),IF(LEN(COUNTIFS($J$1:J52,$J52,$K$1:K52,$K52,$L$1:L52,$L52,$M$1:M52,M52,$N$1:N52,N52))=2,"0"&amp;COUNTIFS($J$1:J52,$J52,$K$1:K52,$K52,$L$1:L52,$L52,$M$1:M52,M52,$N$1:N52,N52),COUNTIFS($J$1:J52,$J52,$K$1:K52,$K52,$L$1:L52,$L52,$M$1:M52,M52,$N$1:N52,N52)))</f>
        <v>001</v>
      </c>
      <c r="P5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MS-NS-004-23-01001-INV</v>
      </c>
      <c r="Q52" s="57" t="s">
        <v>7330</v>
      </c>
      <c r="R52" s="34" t="s">
        <v>5891</v>
      </c>
      <c r="S52" s="34" t="s">
        <v>117</v>
      </c>
      <c r="T52" s="34">
        <f>+IFERROR(_xlfn.XLOOKUP(Table43[[#This Row],[Column1]],#REF!,#REF!),0)</f>
        <v>0</v>
      </c>
      <c r="U52" s="50">
        <f>IFERROR(_xlfn.XLOOKUP(Table43[[#This Row],[Column1]],#REF!,#REF!),0)</f>
        <v>0</v>
      </c>
      <c r="V52" s="39"/>
    </row>
    <row r="53" spans="1:22" x14ac:dyDescent="0.35">
      <c r="A53" s="2" t="s">
        <v>106</v>
      </c>
      <c r="B53" s="3" t="s">
        <v>119</v>
      </c>
      <c r="C53" s="3" t="s">
        <v>15</v>
      </c>
      <c r="D53" s="5">
        <v>10500</v>
      </c>
      <c r="E53" s="3" t="s">
        <v>10</v>
      </c>
      <c r="F53" s="2">
        <v>1</v>
      </c>
      <c r="G53" s="3">
        <v>2</v>
      </c>
      <c r="H53" s="3">
        <v>1</v>
      </c>
      <c r="I53" s="21">
        <f>Table43[[#This Row],[Item Cost]]*Table43[[#This Row],[In Stock]]</f>
        <v>10500</v>
      </c>
      <c r="J53" s="12" t="s">
        <v>4941</v>
      </c>
      <c r="K53" s="13" t="s">
        <v>4666</v>
      </c>
      <c r="L53" s="13" t="s">
        <v>4677</v>
      </c>
      <c r="M53" s="13" t="s">
        <v>4734</v>
      </c>
      <c r="N53" s="12" t="s">
        <v>4845</v>
      </c>
      <c r="O53" s="17" t="str">
        <f>IF(LEN(COUNTIFS($J$1:J53,$J53,$K$1:K53,$K53,$L$1:L53,$L53,$M$1:M53,M53,$N$1:N53,N53))=1,"00"&amp;COUNTIFS($J$1:J53,$J53,$K$1:K53,$K53,$L$1:L53,$L53,$M$1:M53,M53,$N$1:N53,N53),IF(LEN(COUNTIFS($J$1:J53,$J53,$K$1:K53,$K53,$L$1:L53,$L53,$M$1:M53,M53,$N$1:N53,N53))=2,"0"&amp;COUNTIFS($J$1:J53,$J53,$K$1:K53,$K53,$L$1:L53,$L53,$M$1:M53,M53,$N$1:N53,N53),COUNTIFS($J$1:J53,$J53,$K$1:K53,$K53,$L$1:L53,$L53,$M$1:M53,M53,$N$1:N53,N53)))</f>
        <v>002</v>
      </c>
      <c r="P5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MS-NS-004-02-01002-INV</v>
      </c>
      <c r="Q53" s="57" t="s">
        <v>7325</v>
      </c>
      <c r="R53" s="34" t="s">
        <v>5892</v>
      </c>
      <c r="S53" s="34" t="s">
        <v>119</v>
      </c>
      <c r="T53" s="34">
        <f>+IFERROR(_xlfn.XLOOKUP(Table43[[#This Row],[Column1]],#REF!,#REF!),0)</f>
        <v>0</v>
      </c>
      <c r="U53" s="50">
        <f>IFERROR(_xlfn.XLOOKUP(Table43[[#This Row],[Column1]],#REF!,#REF!),0)</f>
        <v>0</v>
      </c>
      <c r="V53" s="39"/>
    </row>
    <row r="54" spans="1:22" x14ac:dyDescent="0.35">
      <c r="A54" s="2" t="s">
        <v>120</v>
      </c>
      <c r="B54" s="2" t="s">
        <v>121</v>
      </c>
      <c r="C54" s="2" t="s">
        <v>15</v>
      </c>
      <c r="D54" s="2">
        <v>82</v>
      </c>
      <c r="E54" s="2" t="s">
        <v>10</v>
      </c>
      <c r="F54" s="2">
        <v>1</v>
      </c>
      <c r="G54" s="2">
        <v>5</v>
      </c>
      <c r="H54" s="2">
        <v>4</v>
      </c>
      <c r="I54" s="22">
        <f>Table43[[#This Row],[Item Cost]]*Table43[[#This Row],[In Stock]]</f>
        <v>328</v>
      </c>
      <c r="J54" s="12" t="s">
        <v>4941</v>
      </c>
      <c r="K54" s="13" t="s">
        <v>4666</v>
      </c>
      <c r="L54" s="13" t="s">
        <v>4677</v>
      </c>
      <c r="M54" s="13" t="s">
        <v>4693</v>
      </c>
      <c r="N54" s="12" t="s">
        <v>4845</v>
      </c>
      <c r="O54" s="17" t="str">
        <f>IF(LEN(COUNTIFS($J$1:J54,$J54,$K$1:K54,$K54,$L$1:L54,$L54,$M$1:M54,M54,$N$1:N54,N54))=1,"00"&amp;COUNTIFS($J$1:J54,$J54,$K$1:K54,$K54,$L$1:L54,$L54,$M$1:M54,M54,$N$1:N54,N54),IF(LEN(COUNTIFS($J$1:J54,$J54,$K$1:K54,$K54,$L$1:L54,$L54,$M$1:M54,M54,$N$1:N54,N54))=2,"0"&amp;COUNTIFS($J$1:J54,$J54,$K$1:K54,$K54,$L$1:L54,$L54,$M$1:M54,M54,$N$1:N54,N54),COUNTIFS($J$1:J54,$J54,$K$1:K54,$K54,$L$1:L54,$L54,$M$1:M54,M54,$N$1:N54,N54)))</f>
        <v>002</v>
      </c>
      <c r="P5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MS-NS-004-23-01002-INV</v>
      </c>
      <c r="Q54" s="57" t="s">
        <v>7325</v>
      </c>
      <c r="R54" s="34" t="s">
        <v>5893</v>
      </c>
      <c r="S54" s="34" t="s">
        <v>121</v>
      </c>
      <c r="T54" s="34">
        <f>+IFERROR(_xlfn.XLOOKUP(Table43[[#This Row],[Column1]],#REF!,#REF!),0)</f>
        <v>0</v>
      </c>
      <c r="U54" s="50">
        <f>IFERROR(_xlfn.XLOOKUP(Table43[[#This Row],[Column1]],#REF!,#REF!),0)</f>
        <v>0</v>
      </c>
      <c r="V54" s="39"/>
    </row>
    <row r="55" spans="1:22" x14ac:dyDescent="0.35">
      <c r="A55" s="2" t="s">
        <v>122</v>
      </c>
      <c r="B55" s="3" t="s">
        <v>123</v>
      </c>
      <c r="C55" s="3" t="s">
        <v>15</v>
      </c>
      <c r="D55" s="3">
        <v>64.5</v>
      </c>
      <c r="E55" s="3" t="s">
        <v>10</v>
      </c>
      <c r="F55" s="2">
        <v>1</v>
      </c>
      <c r="G55" s="3">
        <v>5</v>
      </c>
      <c r="H55" s="3">
        <v>4</v>
      </c>
      <c r="I55" s="21">
        <f>Table43[[#This Row],[Item Cost]]*Table43[[#This Row],[In Stock]]</f>
        <v>258</v>
      </c>
      <c r="J55" s="12" t="s">
        <v>4941</v>
      </c>
      <c r="K55" s="13" t="s">
        <v>4666</v>
      </c>
      <c r="L55" s="13" t="s">
        <v>4677</v>
      </c>
      <c r="M55" s="13" t="s">
        <v>4828</v>
      </c>
      <c r="N55" s="12" t="s">
        <v>4845</v>
      </c>
      <c r="O55" s="17" t="str">
        <f>IF(LEN(COUNTIFS($J$1:J55,$J55,$K$1:K55,$K55,$L$1:L55,$L55,$M$1:M55,M55,$N$1:N55,N55))=1,"00"&amp;COUNTIFS($J$1:J55,$J55,$K$1:K55,$K55,$L$1:L55,$L55,$M$1:M55,M55,$N$1:N55,N55),IF(LEN(COUNTIFS($J$1:J55,$J55,$K$1:K55,$K55,$L$1:L55,$L55,$M$1:M55,M55,$N$1:N55,N55))=2,"0"&amp;COUNTIFS($J$1:J55,$J55,$K$1:K55,$K55,$L$1:L55,$L55,$M$1:M55,M55,$N$1:N55,N55),COUNTIFS($J$1:J55,$J55,$K$1:K55,$K55,$L$1:L55,$L55,$M$1:M55,M55,$N$1:N55,N55)))</f>
        <v>002</v>
      </c>
      <c r="P5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MS-NS-004-13-01002-INV</v>
      </c>
      <c r="Q55" s="57" t="s">
        <v>7325</v>
      </c>
      <c r="R55" s="34" t="s">
        <v>5894</v>
      </c>
      <c r="S55" s="34" t="s">
        <v>123</v>
      </c>
      <c r="T55" s="34">
        <f>+IFERROR(_xlfn.XLOOKUP(Table43[[#This Row],[Column1]],#REF!,#REF!),0)</f>
        <v>0</v>
      </c>
      <c r="U55" s="50">
        <f>IFERROR(_xlfn.XLOOKUP(Table43[[#This Row],[Column1]],#REF!,#REF!),0)</f>
        <v>0</v>
      </c>
      <c r="V55" s="39"/>
    </row>
    <row r="56" spans="1:22" x14ac:dyDescent="0.35">
      <c r="A56" s="2" t="s">
        <v>124</v>
      </c>
      <c r="B56" s="2" t="s">
        <v>125</v>
      </c>
      <c r="C56" s="2" t="s">
        <v>15</v>
      </c>
      <c r="D56" s="4">
        <v>1077</v>
      </c>
      <c r="E56" s="2" t="s">
        <v>10</v>
      </c>
      <c r="F56" s="2">
        <v>1</v>
      </c>
      <c r="G56" s="2">
        <v>2</v>
      </c>
      <c r="H56" s="2">
        <v>1</v>
      </c>
      <c r="I56" s="22">
        <f>Table43[[#This Row],[Item Cost]]*Table43[[#This Row],[In Stock]]</f>
        <v>1077</v>
      </c>
      <c r="J56" s="12" t="s">
        <v>4941</v>
      </c>
      <c r="K56" s="13" t="s">
        <v>4666</v>
      </c>
      <c r="L56" s="13" t="s">
        <v>4677</v>
      </c>
      <c r="M56" s="13" t="s">
        <v>4693</v>
      </c>
      <c r="N56" s="12" t="s">
        <v>4845</v>
      </c>
      <c r="O56" s="17" t="str">
        <f>IF(LEN(COUNTIFS($J$1:J56,$J56,$K$1:K56,$K56,$L$1:L56,$L56,$M$1:M56,M56,$N$1:N56,N56))=1,"00"&amp;COUNTIFS($J$1:J56,$J56,$K$1:K56,$K56,$L$1:L56,$L56,$M$1:M56,M56,$N$1:N56,N56),IF(LEN(COUNTIFS($J$1:J56,$J56,$K$1:K56,$K56,$L$1:L56,$L56,$M$1:M56,M56,$N$1:N56,N56))=2,"0"&amp;COUNTIFS($J$1:J56,$J56,$K$1:K56,$K56,$L$1:L56,$L56,$M$1:M56,M56,$N$1:N56,N56),COUNTIFS($J$1:J56,$J56,$K$1:K56,$K56,$L$1:L56,$L56,$M$1:M56,M56,$N$1:N56,N56)))</f>
        <v>003</v>
      </c>
      <c r="P5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MS-NS-004-23-01003-INV</v>
      </c>
      <c r="Q56" s="57" t="s">
        <v>7325</v>
      </c>
      <c r="R56" s="34" t="s">
        <v>5895</v>
      </c>
      <c r="S56" s="34" t="s">
        <v>125</v>
      </c>
      <c r="T56" s="34">
        <f>+IFERROR(_xlfn.XLOOKUP(Table43[[#This Row],[Column1]],#REF!,#REF!),0)</f>
        <v>0</v>
      </c>
      <c r="U56" s="50">
        <f>IFERROR(_xlfn.XLOOKUP(Table43[[#This Row],[Column1]],#REF!,#REF!),0)</f>
        <v>0</v>
      </c>
      <c r="V56" s="39"/>
    </row>
    <row r="57" spans="1:22" x14ac:dyDescent="0.35">
      <c r="A57" s="2" t="s">
        <v>126</v>
      </c>
      <c r="B57" s="3" t="s">
        <v>127</v>
      </c>
      <c r="C57" s="3" t="s">
        <v>15</v>
      </c>
      <c r="D57" s="3">
        <v>55</v>
      </c>
      <c r="E57" s="3" t="s">
        <v>10</v>
      </c>
      <c r="F57" s="2">
        <v>1</v>
      </c>
      <c r="G57" s="2">
        <v>2</v>
      </c>
      <c r="H57" s="3">
        <v>1</v>
      </c>
      <c r="I57" s="21">
        <f>Table43[[#This Row],[Item Cost]]*Table43[[#This Row],[In Stock]]</f>
        <v>55</v>
      </c>
      <c r="J57" s="12" t="s">
        <v>4941</v>
      </c>
      <c r="K57" s="13" t="s">
        <v>4666</v>
      </c>
      <c r="L57" s="13" t="s">
        <v>4677</v>
      </c>
      <c r="M57" s="13" t="s">
        <v>4693</v>
      </c>
      <c r="N57" s="12" t="s">
        <v>4845</v>
      </c>
      <c r="O57" s="17" t="str">
        <f>IF(LEN(COUNTIFS($J$1:J57,$J57,$K$1:K57,$K57,$L$1:L57,$L57,$M$1:M57,M57,$N$1:N57,N57))=1,"00"&amp;COUNTIFS($J$1:J57,$J57,$K$1:K57,$K57,$L$1:L57,$L57,$M$1:M57,M57,$N$1:N57,N57),IF(LEN(COUNTIFS($J$1:J57,$J57,$K$1:K57,$K57,$L$1:L57,$L57,$M$1:M57,M57,$N$1:N57,N57))=2,"0"&amp;COUNTIFS($J$1:J57,$J57,$K$1:K57,$K57,$L$1:L57,$L57,$M$1:M57,M57,$N$1:N57,N57),COUNTIFS($J$1:J57,$J57,$K$1:K57,$K57,$L$1:L57,$L57,$M$1:M57,M57,$N$1:N57,N57)))</f>
        <v>004</v>
      </c>
      <c r="P5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MS-NS-004-23-01004-INV</v>
      </c>
      <c r="Q57" s="57" t="s">
        <v>7324</v>
      </c>
      <c r="R57" s="34" t="s">
        <v>5896</v>
      </c>
      <c r="S57" s="34" t="s">
        <v>127</v>
      </c>
      <c r="T57" s="34">
        <f>+IFERROR(_xlfn.XLOOKUP(Table43[[#This Row],[Column1]],#REF!,#REF!),0)</f>
        <v>0</v>
      </c>
      <c r="U57" s="50">
        <f>IFERROR(_xlfn.XLOOKUP(Table43[[#This Row],[Column1]],#REF!,#REF!),0)</f>
        <v>0</v>
      </c>
      <c r="V57" s="39"/>
    </row>
    <row r="58" spans="1:22" x14ac:dyDescent="0.35">
      <c r="A58" s="2" t="s">
        <v>128</v>
      </c>
      <c r="B58" s="2" t="s">
        <v>129</v>
      </c>
      <c r="C58" s="2" t="s">
        <v>15</v>
      </c>
      <c r="D58" s="4">
        <v>1077</v>
      </c>
      <c r="E58" s="2" t="s">
        <v>10</v>
      </c>
      <c r="F58" s="2">
        <v>1</v>
      </c>
      <c r="G58" s="2">
        <v>2</v>
      </c>
      <c r="H58" s="2">
        <v>1</v>
      </c>
      <c r="I58" s="22">
        <f>Table43[[#This Row],[Item Cost]]*Table43[[#This Row],[In Stock]]</f>
        <v>1077</v>
      </c>
      <c r="J58" s="12" t="s">
        <v>4941</v>
      </c>
      <c r="K58" s="13" t="s">
        <v>4666</v>
      </c>
      <c r="L58" s="13" t="s">
        <v>4677</v>
      </c>
      <c r="M58" s="13" t="s">
        <v>4693</v>
      </c>
      <c r="N58" s="12" t="s">
        <v>4845</v>
      </c>
      <c r="O58" s="17" t="str">
        <f>IF(LEN(COUNTIFS($J$1:J58,$J58,$K$1:K58,$K58,$L$1:L58,$L58,$M$1:M58,M58,$N$1:N58,N58))=1,"00"&amp;COUNTIFS($J$1:J58,$J58,$K$1:K58,$K58,$L$1:L58,$L58,$M$1:M58,M58,$N$1:N58,N58),IF(LEN(COUNTIFS($J$1:J58,$J58,$K$1:K58,$K58,$L$1:L58,$L58,$M$1:M58,M58,$N$1:N58,N58))=2,"0"&amp;COUNTIFS($J$1:J58,$J58,$K$1:K58,$K58,$L$1:L58,$L58,$M$1:M58,M58,$N$1:N58,N58),COUNTIFS($J$1:J58,$J58,$K$1:K58,$K58,$L$1:L58,$L58,$M$1:M58,M58,$N$1:N58,N58)))</f>
        <v>005</v>
      </c>
      <c r="P5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MS-NS-004-23-01005-INV</v>
      </c>
      <c r="Q58" s="57"/>
      <c r="R58" s="34" t="s">
        <v>5897</v>
      </c>
      <c r="S58" s="34" t="s">
        <v>129</v>
      </c>
      <c r="T58" s="34">
        <f>+IFERROR(_xlfn.XLOOKUP(Table43[[#This Row],[Column1]],#REF!,#REF!),0)</f>
        <v>0</v>
      </c>
      <c r="U58" s="50">
        <f>IFERROR(_xlfn.XLOOKUP(Table43[[#This Row],[Column1]],#REF!,#REF!),0)</f>
        <v>0</v>
      </c>
      <c r="V58" s="39"/>
    </row>
    <row r="59" spans="1:22" x14ac:dyDescent="0.35">
      <c r="A59" s="2" t="s">
        <v>130</v>
      </c>
      <c r="B59" s="3" t="s">
        <v>131</v>
      </c>
      <c r="C59" s="3" t="s">
        <v>15</v>
      </c>
      <c r="D59" s="3">
        <v>0</v>
      </c>
      <c r="E59" s="3" t="s">
        <v>10</v>
      </c>
      <c r="F59" s="2">
        <v>1</v>
      </c>
      <c r="G59" s="2">
        <v>2</v>
      </c>
      <c r="H59" s="3">
        <v>0</v>
      </c>
      <c r="I59" s="21">
        <f>Table43[[#This Row],[Item Cost]]*Table43[[#This Row],[In Stock]]</f>
        <v>0</v>
      </c>
      <c r="J59" s="12" t="s">
        <v>4941</v>
      </c>
      <c r="K59" s="13" t="s">
        <v>4666</v>
      </c>
      <c r="L59" s="13" t="s">
        <v>4677</v>
      </c>
      <c r="M59" s="13" t="s">
        <v>4844</v>
      </c>
      <c r="N59" s="12" t="s">
        <v>4845</v>
      </c>
      <c r="O59" s="17" t="str">
        <f>IF(LEN(COUNTIFS($J$1:J59,$J59,$K$1:K59,$K59,$L$1:L59,$L59,$M$1:M59,M59,$N$1:N59,N59))=1,"00"&amp;COUNTIFS($J$1:J59,$J59,$K$1:K59,$K59,$L$1:L59,$L59,$M$1:M59,M59,$N$1:N59,N59),IF(LEN(COUNTIFS($J$1:J59,$J59,$K$1:K59,$K59,$L$1:L59,$L59,$M$1:M59,M59,$N$1:N59,N59))=2,"0"&amp;COUNTIFS($J$1:J59,$J59,$K$1:K59,$K59,$L$1:L59,$L59,$M$1:M59,M59,$N$1:N59,N59),COUNTIFS($J$1:J59,$J59,$K$1:K59,$K59,$L$1:L59,$L59,$M$1:M59,M59,$N$1:N59,N59)))</f>
        <v>001</v>
      </c>
      <c r="P5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MS-NS-004-29-01001-INV</v>
      </c>
      <c r="Q59" s="57" t="s">
        <v>7325</v>
      </c>
      <c r="R59" s="34" t="s">
        <v>5898</v>
      </c>
      <c r="S59" s="34" t="s">
        <v>131</v>
      </c>
      <c r="T59" s="34">
        <f>+IFERROR(_xlfn.XLOOKUP(Table43[[#This Row],[Column1]],#REF!,#REF!),0)</f>
        <v>0</v>
      </c>
      <c r="U59" s="50">
        <f>IFERROR(_xlfn.XLOOKUP(Table43[[#This Row],[Column1]],#REF!,#REF!),0)</f>
        <v>0</v>
      </c>
      <c r="V59" s="39"/>
    </row>
    <row r="60" spans="1:22" x14ac:dyDescent="0.35">
      <c r="A60" s="2" t="s">
        <v>132</v>
      </c>
      <c r="B60" s="2" t="s">
        <v>133</v>
      </c>
      <c r="C60" s="2" t="s">
        <v>15</v>
      </c>
      <c r="D60" s="2">
        <v>238.715</v>
      </c>
      <c r="E60" s="2" t="s">
        <v>10</v>
      </c>
      <c r="F60" s="2">
        <v>1</v>
      </c>
      <c r="G60" s="2">
        <v>2</v>
      </c>
      <c r="H60" s="2">
        <v>2</v>
      </c>
      <c r="I60" s="22">
        <f>Table43[[#This Row],[Item Cost]]*Table43[[#This Row],[In Stock]]</f>
        <v>477.43</v>
      </c>
      <c r="J60" s="12" t="s">
        <v>4941</v>
      </c>
      <c r="K60" s="13" t="s">
        <v>4666</v>
      </c>
      <c r="L60" s="13" t="s">
        <v>4677</v>
      </c>
      <c r="M60" s="13" t="s">
        <v>4844</v>
      </c>
      <c r="N60" s="12" t="s">
        <v>4845</v>
      </c>
      <c r="O60" s="17" t="str">
        <f>IF(LEN(COUNTIFS($J$1:J60,$J60,$K$1:K60,$K60,$L$1:L60,$L60,$M$1:M60,M60,$N$1:N60,N60))=1,"00"&amp;COUNTIFS($J$1:J60,$J60,$K$1:K60,$K60,$L$1:L60,$L60,$M$1:M60,M60,$N$1:N60,N60),IF(LEN(COUNTIFS($J$1:J60,$J60,$K$1:K60,$K60,$L$1:L60,$L60,$M$1:M60,M60,$N$1:N60,N60))=2,"0"&amp;COUNTIFS($J$1:J60,$J60,$K$1:K60,$K60,$L$1:L60,$L60,$M$1:M60,M60,$N$1:N60,N60),COUNTIFS($J$1:J60,$J60,$K$1:K60,$K60,$L$1:L60,$L60,$M$1:M60,M60,$N$1:N60,N60)))</f>
        <v>002</v>
      </c>
      <c r="P6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MS-NS-004-29-01002-INV</v>
      </c>
      <c r="Q60" s="57"/>
      <c r="R60" s="34" t="s">
        <v>5899</v>
      </c>
      <c r="S60" s="34" t="s">
        <v>133</v>
      </c>
      <c r="T60" s="34">
        <f>+IFERROR(_xlfn.XLOOKUP(Table43[[#This Row],[Column1]],#REF!,#REF!),0)</f>
        <v>0</v>
      </c>
      <c r="U60" s="50">
        <f>IFERROR(_xlfn.XLOOKUP(Table43[[#This Row],[Column1]],#REF!,#REF!),0)</f>
        <v>0</v>
      </c>
      <c r="V60" s="39"/>
    </row>
    <row r="61" spans="1:22" x14ac:dyDescent="0.35">
      <c r="A61" s="2" t="s">
        <v>134</v>
      </c>
      <c r="B61" s="3" t="s">
        <v>135</v>
      </c>
      <c r="C61" s="3" t="s">
        <v>15</v>
      </c>
      <c r="D61" s="3">
        <v>326.85500000000002</v>
      </c>
      <c r="E61" s="3" t="s">
        <v>10</v>
      </c>
      <c r="F61" s="2">
        <v>1</v>
      </c>
      <c r="G61" s="2">
        <v>2</v>
      </c>
      <c r="H61" s="3">
        <v>2</v>
      </c>
      <c r="I61" s="21">
        <f>Table43[[#This Row],[Item Cost]]*Table43[[#This Row],[In Stock]]</f>
        <v>653.71</v>
      </c>
      <c r="J61" s="12" t="s">
        <v>4941</v>
      </c>
      <c r="K61" s="13" t="s">
        <v>4666</v>
      </c>
      <c r="L61" s="13" t="s">
        <v>4677</v>
      </c>
      <c r="M61" s="13" t="s">
        <v>4844</v>
      </c>
      <c r="N61" s="12" t="s">
        <v>4845</v>
      </c>
      <c r="O61" s="17" t="str">
        <f>IF(LEN(COUNTIFS($J$1:J61,$J61,$K$1:K61,$K61,$L$1:L61,$L61,$M$1:M61,M61,$N$1:N61,N61))=1,"00"&amp;COUNTIFS($J$1:J61,$J61,$K$1:K61,$K61,$L$1:L61,$L61,$M$1:M61,M61,$N$1:N61,N61),IF(LEN(COUNTIFS($J$1:J61,$J61,$K$1:K61,$K61,$L$1:L61,$L61,$M$1:M61,M61,$N$1:N61,N61))=2,"0"&amp;COUNTIFS($J$1:J61,$J61,$K$1:K61,$K61,$L$1:L61,$L61,$M$1:M61,M61,$N$1:N61,N61),COUNTIFS($J$1:J61,$J61,$K$1:K61,$K61,$L$1:L61,$L61,$M$1:M61,M61,$N$1:N61,N61)))</f>
        <v>003</v>
      </c>
      <c r="P6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MS-NS-004-29-01003-INV</v>
      </c>
      <c r="Q61" s="57"/>
      <c r="R61" s="34" t="s">
        <v>5900</v>
      </c>
      <c r="S61" s="34" t="s">
        <v>135</v>
      </c>
      <c r="T61" s="34">
        <f>+IFERROR(_xlfn.XLOOKUP(Table43[[#This Row],[Column1]],#REF!,#REF!),0)</f>
        <v>0</v>
      </c>
      <c r="U61" s="50">
        <f>IFERROR(_xlfn.XLOOKUP(Table43[[#This Row],[Column1]],#REF!,#REF!),0)</f>
        <v>0</v>
      </c>
      <c r="V61" s="39"/>
    </row>
    <row r="62" spans="1:22" x14ac:dyDescent="0.35">
      <c r="A62" s="2" t="s">
        <v>136</v>
      </c>
      <c r="B62" s="2" t="s">
        <v>137</v>
      </c>
      <c r="C62" s="2" t="s">
        <v>15</v>
      </c>
      <c r="D62" s="2">
        <v>275.44</v>
      </c>
      <c r="E62" s="2" t="s">
        <v>10</v>
      </c>
      <c r="F62" s="2">
        <v>1</v>
      </c>
      <c r="G62" s="2">
        <v>2</v>
      </c>
      <c r="H62" s="2">
        <v>2</v>
      </c>
      <c r="I62" s="22">
        <f>Table43[[#This Row],[Item Cost]]*Table43[[#This Row],[In Stock]]</f>
        <v>550.88</v>
      </c>
      <c r="J62" s="12" t="s">
        <v>4941</v>
      </c>
      <c r="K62" s="13" t="s">
        <v>4666</v>
      </c>
      <c r="L62" s="13" t="s">
        <v>4677</v>
      </c>
      <c r="M62" s="13" t="s">
        <v>4844</v>
      </c>
      <c r="N62" s="12" t="s">
        <v>4845</v>
      </c>
      <c r="O62" s="17" t="str">
        <f>IF(LEN(COUNTIFS($J$1:J62,$J62,$K$1:K62,$K62,$L$1:L62,$L62,$M$1:M62,M62,$N$1:N62,N62))=1,"00"&amp;COUNTIFS($J$1:J62,$J62,$K$1:K62,$K62,$L$1:L62,$L62,$M$1:M62,M62,$N$1:N62,N62),IF(LEN(COUNTIFS($J$1:J62,$J62,$K$1:K62,$K62,$L$1:L62,$L62,$M$1:M62,M62,$N$1:N62,N62))=2,"0"&amp;COUNTIFS($J$1:J62,$J62,$K$1:K62,$K62,$L$1:L62,$L62,$M$1:M62,M62,$N$1:N62,N62),COUNTIFS($J$1:J62,$J62,$K$1:K62,$K62,$L$1:L62,$L62,$M$1:M62,M62,$N$1:N62,N62)))</f>
        <v>004</v>
      </c>
      <c r="P6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MS-NS-004-29-01004-INV</v>
      </c>
      <c r="Q62" s="57" t="s">
        <v>7325</v>
      </c>
      <c r="R62" s="34" t="s">
        <v>5901</v>
      </c>
      <c r="S62" s="34" t="s">
        <v>137</v>
      </c>
      <c r="T62" s="34">
        <f>+IFERROR(_xlfn.XLOOKUP(Table43[[#This Row],[Column1]],#REF!,#REF!),0)</f>
        <v>0</v>
      </c>
      <c r="U62" s="50">
        <f>IFERROR(_xlfn.XLOOKUP(Table43[[#This Row],[Column1]],#REF!,#REF!),0)</f>
        <v>0</v>
      </c>
      <c r="V62" s="39"/>
    </row>
    <row r="63" spans="1:22" x14ac:dyDescent="0.35">
      <c r="A63" s="2" t="s">
        <v>138</v>
      </c>
      <c r="B63" s="3" t="s">
        <v>139</v>
      </c>
      <c r="C63" s="3" t="s">
        <v>15</v>
      </c>
      <c r="D63" s="3">
        <v>0</v>
      </c>
      <c r="E63" s="3" t="s">
        <v>10</v>
      </c>
      <c r="F63" s="2">
        <v>1</v>
      </c>
      <c r="G63" s="2">
        <v>2</v>
      </c>
      <c r="H63" s="3">
        <v>0</v>
      </c>
      <c r="I63" s="21">
        <f>Table43[[#This Row],[Item Cost]]*Table43[[#This Row],[In Stock]]</f>
        <v>0</v>
      </c>
      <c r="J63" s="12" t="s">
        <v>4941</v>
      </c>
      <c r="K63" s="13" t="s">
        <v>4666</v>
      </c>
      <c r="L63" s="13" t="s">
        <v>4677</v>
      </c>
      <c r="M63" s="13" t="s">
        <v>4844</v>
      </c>
      <c r="N63" s="12" t="s">
        <v>4845</v>
      </c>
      <c r="O63" s="17" t="str">
        <f>IF(LEN(COUNTIFS($J$1:J63,$J63,$K$1:K63,$K63,$L$1:L63,$L63,$M$1:M63,M63,$N$1:N63,N63))=1,"00"&amp;COUNTIFS($J$1:J63,$J63,$K$1:K63,$K63,$L$1:L63,$L63,$M$1:M63,M63,$N$1:N63,N63),IF(LEN(COUNTIFS($J$1:J63,$J63,$K$1:K63,$K63,$L$1:L63,$L63,$M$1:M63,M63,$N$1:N63,N63))=2,"0"&amp;COUNTIFS($J$1:J63,$J63,$K$1:K63,$K63,$L$1:L63,$L63,$M$1:M63,M63,$N$1:N63,N63),COUNTIFS($J$1:J63,$J63,$K$1:K63,$K63,$L$1:L63,$L63,$M$1:M63,M63,$N$1:N63,N63)))</f>
        <v>005</v>
      </c>
      <c r="P6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MS-NS-004-29-01005-INV</v>
      </c>
      <c r="Q63" s="57" t="s">
        <v>7325</v>
      </c>
      <c r="R63" s="34" t="s">
        <v>5902</v>
      </c>
      <c r="S63" s="34" t="s">
        <v>139</v>
      </c>
      <c r="T63" s="34">
        <f>+IFERROR(_xlfn.XLOOKUP(Table43[[#This Row],[Column1]],#REF!,#REF!),0)</f>
        <v>0</v>
      </c>
      <c r="U63" s="50">
        <f>IFERROR(_xlfn.XLOOKUP(Table43[[#This Row],[Column1]],#REF!,#REF!),0)</f>
        <v>0</v>
      </c>
      <c r="V63" s="39"/>
    </row>
    <row r="64" spans="1:22" x14ac:dyDescent="0.35">
      <c r="A64" s="2" t="s">
        <v>140</v>
      </c>
      <c r="B64" s="2" t="s">
        <v>141</v>
      </c>
      <c r="C64" s="2" t="s">
        <v>15</v>
      </c>
      <c r="D64" s="2">
        <v>0</v>
      </c>
      <c r="E64" s="2" t="s">
        <v>10</v>
      </c>
      <c r="F64" s="2">
        <v>1</v>
      </c>
      <c r="G64" s="2">
        <v>2</v>
      </c>
      <c r="H64" s="2">
        <v>0</v>
      </c>
      <c r="I64" s="22">
        <f>Table43[[#This Row],[Item Cost]]*Table43[[#This Row],[In Stock]]</f>
        <v>0</v>
      </c>
      <c r="J64" s="12" t="s">
        <v>4941</v>
      </c>
      <c r="K64" s="13" t="s">
        <v>4666</v>
      </c>
      <c r="L64" s="13" t="s">
        <v>4677</v>
      </c>
      <c r="M64" s="13" t="s">
        <v>4844</v>
      </c>
      <c r="N64" s="12" t="s">
        <v>4845</v>
      </c>
      <c r="O64" s="17" t="str">
        <f>IF(LEN(COUNTIFS($J$1:J64,$J64,$K$1:K64,$K64,$L$1:L64,$L64,$M$1:M64,M64,$N$1:N64,N64))=1,"00"&amp;COUNTIFS($J$1:J64,$J64,$K$1:K64,$K64,$L$1:L64,$L64,$M$1:M64,M64,$N$1:N64,N64),IF(LEN(COUNTIFS($J$1:J64,$J64,$K$1:K64,$K64,$L$1:L64,$L64,$M$1:M64,M64,$N$1:N64,N64))=2,"0"&amp;COUNTIFS($J$1:J64,$J64,$K$1:K64,$K64,$L$1:L64,$L64,$M$1:M64,M64,$N$1:N64,N64),COUNTIFS($J$1:J64,$J64,$K$1:K64,$K64,$L$1:L64,$L64,$M$1:M64,M64,$N$1:N64,N64)))</f>
        <v>006</v>
      </c>
      <c r="P6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MS-NS-004-29-01006-INV</v>
      </c>
      <c r="Q64" s="57"/>
      <c r="R64" s="34" t="s">
        <v>5903</v>
      </c>
      <c r="S64" s="34" t="s">
        <v>141</v>
      </c>
      <c r="T64" s="34">
        <f>+IFERROR(_xlfn.XLOOKUP(Table43[[#This Row],[Column1]],#REF!,#REF!),0)</f>
        <v>0</v>
      </c>
      <c r="U64" s="50">
        <f>IFERROR(_xlfn.XLOOKUP(Table43[[#This Row],[Column1]],#REF!,#REF!),0)</f>
        <v>0</v>
      </c>
      <c r="V64" s="39"/>
    </row>
    <row r="65" spans="1:22" x14ac:dyDescent="0.35">
      <c r="A65" s="2" t="s">
        <v>142</v>
      </c>
      <c r="B65" s="3" t="s">
        <v>143</v>
      </c>
      <c r="C65" s="3" t="s">
        <v>15</v>
      </c>
      <c r="D65" s="3">
        <v>4.59</v>
      </c>
      <c r="E65" s="3" t="s">
        <v>10</v>
      </c>
      <c r="F65" s="2">
        <v>1</v>
      </c>
      <c r="G65" s="2">
        <v>2</v>
      </c>
      <c r="H65" s="3">
        <v>0</v>
      </c>
      <c r="I65" s="21">
        <f>Table43[[#This Row],[Item Cost]]*Table43[[#This Row],[In Stock]]</f>
        <v>0</v>
      </c>
      <c r="J65" s="12" t="s">
        <v>4941</v>
      </c>
      <c r="K65" s="13" t="s">
        <v>4666</v>
      </c>
      <c r="L65" s="13" t="s">
        <v>4677</v>
      </c>
      <c r="M65" s="13" t="s">
        <v>4693</v>
      </c>
      <c r="N65" s="12" t="s">
        <v>4845</v>
      </c>
      <c r="O65" s="17" t="str">
        <f>IF(LEN(COUNTIFS($J$1:J65,$J65,$K$1:K65,$K65,$L$1:L65,$L65,$M$1:M65,M65,$N$1:N65,N65))=1,"00"&amp;COUNTIFS($J$1:J65,$J65,$K$1:K65,$K65,$L$1:L65,$L65,$M$1:M65,M65,$N$1:N65,N65),IF(LEN(COUNTIFS($J$1:J65,$J65,$K$1:K65,$K65,$L$1:L65,$L65,$M$1:M65,M65,$N$1:N65,N65))=2,"0"&amp;COUNTIFS($J$1:J65,$J65,$K$1:K65,$K65,$L$1:L65,$L65,$M$1:M65,M65,$N$1:N65,N65),COUNTIFS($J$1:J65,$J65,$K$1:K65,$K65,$L$1:L65,$L65,$M$1:M65,M65,$N$1:N65,N65)))</f>
        <v>006</v>
      </c>
      <c r="P6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MS-NS-004-23-01006-INV</v>
      </c>
      <c r="Q65" s="57"/>
      <c r="R65" s="34" t="s">
        <v>5904</v>
      </c>
      <c r="S65" s="34" t="s">
        <v>143</v>
      </c>
      <c r="T65" s="34">
        <f>+IFERROR(_xlfn.XLOOKUP(Table43[[#This Row],[Column1]],#REF!,#REF!),0)</f>
        <v>0</v>
      </c>
      <c r="U65" s="50">
        <f>IFERROR(_xlfn.XLOOKUP(Table43[[#This Row],[Column1]],#REF!,#REF!),0)</f>
        <v>0</v>
      </c>
      <c r="V65" s="39"/>
    </row>
    <row r="66" spans="1:22" x14ac:dyDescent="0.35">
      <c r="A66" s="2" t="s">
        <v>144</v>
      </c>
      <c r="B66" s="2" t="s">
        <v>145</v>
      </c>
      <c r="C66" s="2" t="s">
        <v>15</v>
      </c>
      <c r="D66" s="2">
        <v>89.42</v>
      </c>
      <c r="E66" s="2" t="s">
        <v>10</v>
      </c>
      <c r="F66" s="2">
        <v>1</v>
      </c>
      <c r="G66" s="2">
        <v>2</v>
      </c>
      <c r="H66" s="2">
        <v>0</v>
      </c>
      <c r="I66" s="22">
        <f>Table43[[#This Row],[Item Cost]]*Table43[[#This Row],[In Stock]]</f>
        <v>0</v>
      </c>
      <c r="J66" s="12" t="s">
        <v>4941</v>
      </c>
      <c r="K66" s="13" t="s">
        <v>4666</v>
      </c>
      <c r="L66" s="13" t="s">
        <v>4677</v>
      </c>
      <c r="M66" s="13" t="s">
        <v>4693</v>
      </c>
      <c r="N66" s="12" t="s">
        <v>4845</v>
      </c>
      <c r="O66" s="17" t="str">
        <f>IF(LEN(COUNTIFS($J$1:J66,$J66,$K$1:K66,$K66,$L$1:L66,$L66,$M$1:M66,M66,$N$1:N66,N66))=1,"00"&amp;COUNTIFS($J$1:J66,$J66,$K$1:K66,$K66,$L$1:L66,$L66,$M$1:M66,M66,$N$1:N66,N66),IF(LEN(COUNTIFS($J$1:J66,$J66,$K$1:K66,$K66,$L$1:L66,$L66,$M$1:M66,M66,$N$1:N66,N66))=2,"0"&amp;COUNTIFS($J$1:J66,$J66,$K$1:K66,$K66,$L$1:L66,$L66,$M$1:M66,M66,$N$1:N66,N66),COUNTIFS($J$1:J66,$J66,$K$1:K66,$K66,$L$1:L66,$L66,$M$1:M66,M66,$N$1:N66,N66)))</f>
        <v>007</v>
      </c>
      <c r="P6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MS-NS-004-23-01007-INV</v>
      </c>
      <c r="Q66" s="57"/>
      <c r="R66" s="34" t="s">
        <v>5905</v>
      </c>
      <c r="S66" s="34" t="s">
        <v>145</v>
      </c>
      <c r="T66" s="34">
        <f>+IFERROR(_xlfn.XLOOKUP(Table43[[#This Row],[Column1]],#REF!,#REF!),0)</f>
        <v>0</v>
      </c>
      <c r="U66" s="50">
        <f>IFERROR(_xlfn.XLOOKUP(Table43[[#This Row],[Column1]],#REF!,#REF!),0)</f>
        <v>0</v>
      </c>
      <c r="V66" s="39"/>
    </row>
    <row r="67" spans="1:22" x14ac:dyDescent="0.35">
      <c r="A67" s="2" t="s">
        <v>146</v>
      </c>
      <c r="B67" s="3" t="s">
        <v>147</v>
      </c>
      <c r="C67" s="3" t="s">
        <v>15</v>
      </c>
      <c r="D67" s="3">
        <v>17.16</v>
      </c>
      <c r="E67" s="3" t="s">
        <v>10</v>
      </c>
      <c r="F67" s="2">
        <v>1</v>
      </c>
      <c r="G67" s="2">
        <v>2</v>
      </c>
      <c r="H67" s="3">
        <v>0</v>
      </c>
      <c r="I67" s="21">
        <f>Table43[[#This Row],[Item Cost]]*Table43[[#This Row],[In Stock]]</f>
        <v>0</v>
      </c>
      <c r="J67" s="12" t="s">
        <v>4941</v>
      </c>
      <c r="K67" s="13" t="s">
        <v>4666</v>
      </c>
      <c r="L67" s="13" t="s">
        <v>4677</v>
      </c>
      <c r="M67" s="13" t="s">
        <v>4693</v>
      </c>
      <c r="N67" s="12" t="s">
        <v>4845</v>
      </c>
      <c r="O67" s="17" t="str">
        <f>IF(LEN(COUNTIFS($J$1:J67,$J67,$K$1:K67,$K67,$L$1:L67,$L67,$M$1:M67,M67,$N$1:N67,N67))=1,"00"&amp;COUNTIFS($J$1:J67,$J67,$K$1:K67,$K67,$L$1:L67,$L67,$M$1:M67,M67,$N$1:N67,N67),IF(LEN(COUNTIFS($J$1:J67,$J67,$K$1:K67,$K67,$L$1:L67,$L67,$M$1:M67,M67,$N$1:N67,N67))=2,"0"&amp;COUNTIFS($J$1:J67,$J67,$K$1:K67,$K67,$L$1:L67,$L67,$M$1:M67,M67,$N$1:N67,N67),COUNTIFS($J$1:J67,$J67,$K$1:K67,$K67,$L$1:L67,$L67,$M$1:M67,M67,$N$1:N67,N67)))</f>
        <v>008</v>
      </c>
      <c r="P6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MS-NS-004-23-01008-INV</v>
      </c>
      <c r="Q67" s="57" t="s">
        <v>7333</v>
      </c>
      <c r="R67" s="34" t="s">
        <v>5906</v>
      </c>
      <c r="S67" s="34" t="s">
        <v>147</v>
      </c>
      <c r="T67" s="34">
        <f>+IFERROR(_xlfn.XLOOKUP(Table43[[#This Row],[Column1]],#REF!,#REF!),0)</f>
        <v>0</v>
      </c>
      <c r="U67" s="50">
        <f>IFERROR(_xlfn.XLOOKUP(Table43[[#This Row],[Column1]],#REF!,#REF!),0)</f>
        <v>0</v>
      </c>
      <c r="V67" s="39"/>
    </row>
    <row r="68" spans="1:22" x14ac:dyDescent="0.35">
      <c r="A68" s="2" t="s">
        <v>148</v>
      </c>
      <c r="B68" s="2" t="s">
        <v>149</v>
      </c>
      <c r="C68" s="2" t="s">
        <v>15</v>
      </c>
      <c r="D68" s="2">
        <v>113.33</v>
      </c>
      <c r="E68" s="2" t="s">
        <v>10</v>
      </c>
      <c r="F68" s="2">
        <v>1</v>
      </c>
      <c r="G68" s="2">
        <v>2</v>
      </c>
      <c r="H68" s="2">
        <v>0</v>
      </c>
      <c r="I68" s="22">
        <f>Table43[[#This Row],[Item Cost]]*Table43[[#This Row],[In Stock]]</f>
        <v>0</v>
      </c>
      <c r="J68" s="12" t="s">
        <v>4941</v>
      </c>
      <c r="K68" s="13" t="s">
        <v>4666</v>
      </c>
      <c r="L68" s="13" t="s">
        <v>4677</v>
      </c>
      <c r="M68" s="13" t="s">
        <v>4693</v>
      </c>
      <c r="N68" s="12" t="s">
        <v>4845</v>
      </c>
      <c r="O68" s="17" t="str">
        <f>IF(LEN(COUNTIFS($J$1:J68,$J68,$K$1:K68,$K68,$L$1:L68,$L68,$M$1:M68,M68,$N$1:N68,N68))=1,"00"&amp;COUNTIFS($J$1:J68,$J68,$K$1:K68,$K68,$L$1:L68,$L68,$M$1:M68,M68,$N$1:N68,N68),IF(LEN(COUNTIFS($J$1:J68,$J68,$K$1:K68,$K68,$L$1:L68,$L68,$M$1:M68,M68,$N$1:N68,N68))=2,"0"&amp;COUNTIFS($J$1:J68,$J68,$K$1:K68,$K68,$L$1:L68,$L68,$M$1:M68,M68,$N$1:N68,N68),COUNTIFS($J$1:J68,$J68,$K$1:K68,$K68,$L$1:L68,$L68,$M$1:M68,M68,$N$1:N68,N68)))</f>
        <v>009</v>
      </c>
      <c r="P6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MS-NS-004-23-01009-INV</v>
      </c>
      <c r="Q68" s="57"/>
      <c r="R68" s="34" t="s">
        <v>5907</v>
      </c>
      <c r="S68" s="34" t="s">
        <v>149</v>
      </c>
      <c r="T68" s="34">
        <f>+IFERROR(_xlfn.XLOOKUP(Table43[[#This Row],[Column1]],#REF!,#REF!),0)</f>
        <v>0</v>
      </c>
      <c r="U68" s="50">
        <f>IFERROR(_xlfn.XLOOKUP(Table43[[#This Row],[Column1]],#REF!,#REF!),0)</f>
        <v>0</v>
      </c>
      <c r="V68" s="39"/>
    </row>
    <row r="69" spans="1:22" x14ac:dyDescent="0.35">
      <c r="A69" s="2" t="s">
        <v>150</v>
      </c>
      <c r="B69" s="3" t="s">
        <v>151</v>
      </c>
      <c r="C69" s="3" t="s">
        <v>15</v>
      </c>
      <c r="D69" s="3">
        <v>63.14</v>
      </c>
      <c r="E69" s="3" t="s">
        <v>10</v>
      </c>
      <c r="F69" s="2">
        <v>1</v>
      </c>
      <c r="G69" s="2">
        <v>2</v>
      </c>
      <c r="H69" s="3">
        <v>0</v>
      </c>
      <c r="I69" s="21">
        <f>Table43[[#This Row],[Item Cost]]*Table43[[#This Row],[In Stock]]</f>
        <v>0</v>
      </c>
      <c r="J69" s="12" t="s">
        <v>4941</v>
      </c>
      <c r="K69" s="13" t="s">
        <v>4666</v>
      </c>
      <c r="L69" s="13" t="s">
        <v>4677</v>
      </c>
      <c r="M69" s="13" t="s">
        <v>4693</v>
      </c>
      <c r="N69" s="12" t="s">
        <v>4845</v>
      </c>
      <c r="O69" s="17" t="str">
        <f>IF(LEN(COUNTIFS($J$1:J69,$J69,$K$1:K69,$K69,$L$1:L69,$L69,$M$1:M69,M69,$N$1:N69,N69))=1,"00"&amp;COUNTIFS($J$1:J69,$J69,$K$1:K69,$K69,$L$1:L69,$L69,$M$1:M69,M69,$N$1:N69,N69),IF(LEN(COUNTIFS($J$1:J69,$J69,$K$1:K69,$K69,$L$1:L69,$L69,$M$1:M69,M69,$N$1:N69,N69))=2,"0"&amp;COUNTIFS($J$1:J69,$J69,$K$1:K69,$K69,$L$1:L69,$L69,$M$1:M69,M69,$N$1:N69,N69),COUNTIFS($J$1:J69,$J69,$K$1:K69,$K69,$L$1:L69,$L69,$M$1:M69,M69,$N$1:N69,N69)))</f>
        <v>010</v>
      </c>
      <c r="P6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MS-NS-004-23-01010-INV</v>
      </c>
      <c r="Q69" s="57"/>
      <c r="R69" s="34" t="s">
        <v>5908</v>
      </c>
      <c r="S69" s="34" t="s">
        <v>151</v>
      </c>
      <c r="T69" s="34">
        <f>+IFERROR(_xlfn.XLOOKUP(Table43[[#This Row],[Column1]],#REF!,#REF!),0)</f>
        <v>0</v>
      </c>
      <c r="U69" s="50">
        <f>IFERROR(_xlfn.XLOOKUP(Table43[[#This Row],[Column1]],#REF!,#REF!),0)</f>
        <v>0</v>
      </c>
      <c r="V69" s="39"/>
    </row>
    <row r="70" spans="1:22" x14ac:dyDescent="0.35">
      <c r="A70" s="2" t="s">
        <v>152</v>
      </c>
      <c r="B70" s="2" t="s">
        <v>153</v>
      </c>
      <c r="C70" s="2" t="s">
        <v>15</v>
      </c>
      <c r="D70" s="2">
        <v>45.61</v>
      </c>
      <c r="E70" s="2" t="s">
        <v>10</v>
      </c>
      <c r="F70" s="2">
        <v>1</v>
      </c>
      <c r="G70" s="2">
        <v>2</v>
      </c>
      <c r="H70" s="2">
        <v>0</v>
      </c>
      <c r="I70" s="22">
        <f>Table43[[#This Row],[Item Cost]]*Table43[[#This Row],[In Stock]]</f>
        <v>0</v>
      </c>
      <c r="J70" s="12" t="s">
        <v>4941</v>
      </c>
      <c r="K70" s="13" t="s">
        <v>4666</v>
      </c>
      <c r="L70" s="13" t="s">
        <v>4677</v>
      </c>
      <c r="M70" s="13" t="s">
        <v>4693</v>
      </c>
      <c r="N70" s="12" t="s">
        <v>4845</v>
      </c>
      <c r="O70" s="17" t="str">
        <f>IF(LEN(COUNTIFS($J$1:J70,$J70,$K$1:K70,$K70,$L$1:L70,$L70,$M$1:M70,M70,$N$1:N70,N70))=1,"00"&amp;COUNTIFS($J$1:J70,$J70,$K$1:K70,$K70,$L$1:L70,$L70,$M$1:M70,M70,$N$1:N70,N70),IF(LEN(COUNTIFS($J$1:J70,$J70,$K$1:K70,$K70,$L$1:L70,$L70,$M$1:M70,M70,$N$1:N70,N70))=2,"0"&amp;COUNTIFS($J$1:J70,$J70,$K$1:K70,$K70,$L$1:L70,$L70,$M$1:M70,M70,$N$1:N70,N70),COUNTIFS($J$1:J70,$J70,$K$1:K70,$K70,$L$1:L70,$L70,$M$1:M70,M70,$N$1:N70,N70)))</f>
        <v>011</v>
      </c>
      <c r="P7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MS-NS-004-23-01011-INV</v>
      </c>
      <c r="Q70" s="57"/>
      <c r="R70" s="34" t="s">
        <v>5909</v>
      </c>
      <c r="S70" s="34" t="s">
        <v>153</v>
      </c>
      <c r="T70" s="34">
        <f>+IFERROR(_xlfn.XLOOKUP(Table43[[#This Row],[Column1]],#REF!,#REF!),0)</f>
        <v>0</v>
      </c>
      <c r="U70" s="50">
        <f>IFERROR(_xlfn.XLOOKUP(Table43[[#This Row],[Column1]],#REF!,#REF!),0)</f>
        <v>0</v>
      </c>
      <c r="V70" s="39"/>
    </row>
    <row r="71" spans="1:22" x14ac:dyDescent="0.35">
      <c r="A71" s="2" t="s">
        <v>154</v>
      </c>
      <c r="B71" s="3" t="s">
        <v>155</v>
      </c>
      <c r="C71" s="3" t="s">
        <v>15</v>
      </c>
      <c r="D71" s="3">
        <v>41.86</v>
      </c>
      <c r="E71" s="3" t="s">
        <v>10</v>
      </c>
      <c r="F71" s="2">
        <v>1</v>
      </c>
      <c r="G71" s="2">
        <v>2</v>
      </c>
      <c r="H71" s="3">
        <v>0</v>
      </c>
      <c r="I71" s="21">
        <f>Table43[[#This Row],[Item Cost]]*Table43[[#This Row],[In Stock]]</f>
        <v>0</v>
      </c>
      <c r="J71" s="12" t="s">
        <v>4941</v>
      </c>
      <c r="K71" s="13" t="s">
        <v>4666</v>
      </c>
      <c r="L71" s="13" t="s">
        <v>4677</v>
      </c>
      <c r="M71" s="13" t="s">
        <v>4693</v>
      </c>
      <c r="N71" s="12" t="s">
        <v>4845</v>
      </c>
      <c r="O71" s="17" t="str">
        <f>IF(LEN(COUNTIFS($J$1:J71,$J71,$K$1:K71,$K71,$L$1:L71,$L71,$M$1:M71,M71,$N$1:N71,N71))=1,"00"&amp;COUNTIFS($J$1:J71,$J71,$K$1:K71,$K71,$L$1:L71,$L71,$M$1:M71,M71,$N$1:N71,N71),IF(LEN(COUNTIFS($J$1:J71,$J71,$K$1:K71,$K71,$L$1:L71,$L71,$M$1:M71,M71,$N$1:N71,N71))=2,"0"&amp;COUNTIFS($J$1:J71,$J71,$K$1:K71,$K71,$L$1:L71,$L71,$M$1:M71,M71,$N$1:N71,N71),COUNTIFS($J$1:J71,$J71,$K$1:K71,$K71,$L$1:L71,$L71,$M$1:M71,M71,$N$1:N71,N71)))</f>
        <v>012</v>
      </c>
      <c r="P7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MS-NS-004-23-01012-INV</v>
      </c>
      <c r="Q71" s="57"/>
      <c r="R71" s="34" t="s">
        <v>5910</v>
      </c>
      <c r="S71" s="34" t="s">
        <v>155</v>
      </c>
      <c r="T71" s="34">
        <f>+IFERROR(_xlfn.XLOOKUP(Table43[[#This Row],[Column1]],#REF!,#REF!),0)</f>
        <v>0</v>
      </c>
      <c r="U71" s="50">
        <f>IFERROR(_xlfn.XLOOKUP(Table43[[#This Row],[Column1]],#REF!,#REF!),0)</f>
        <v>0</v>
      </c>
      <c r="V71" s="39"/>
    </row>
    <row r="72" spans="1:22" x14ac:dyDescent="0.35">
      <c r="A72" s="2" t="s">
        <v>156</v>
      </c>
      <c r="B72" s="2" t="s">
        <v>157</v>
      </c>
      <c r="C72" s="2" t="s">
        <v>15</v>
      </c>
      <c r="D72" s="2">
        <v>51.4</v>
      </c>
      <c r="E72" s="2" t="s">
        <v>10</v>
      </c>
      <c r="F72" s="2">
        <v>1</v>
      </c>
      <c r="G72" s="2">
        <v>2</v>
      </c>
      <c r="H72" s="2">
        <v>0</v>
      </c>
      <c r="I72" s="22">
        <f>Table43[[#This Row],[Item Cost]]*Table43[[#This Row],[In Stock]]</f>
        <v>0</v>
      </c>
      <c r="J72" s="12" t="s">
        <v>4941</v>
      </c>
      <c r="K72" s="13" t="s">
        <v>4666</v>
      </c>
      <c r="L72" s="13" t="s">
        <v>4677</v>
      </c>
      <c r="M72" s="13" t="s">
        <v>4693</v>
      </c>
      <c r="N72" s="12" t="s">
        <v>4845</v>
      </c>
      <c r="O72" s="17" t="str">
        <f>IF(LEN(COUNTIFS($J$1:J72,$J72,$K$1:K72,$K72,$L$1:L72,$L72,$M$1:M72,M72,$N$1:N72,N72))=1,"00"&amp;COUNTIFS($J$1:J72,$J72,$K$1:K72,$K72,$L$1:L72,$L72,$M$1:M72,M72,$N$1:N72,N72),IF(LEN(COUNTIFS($J$1:J72,$J72,$K$1:K72,$K72,$L$1:L72,$L72,$M$1:M72,M72,$N$1:N72,N72))=2,"0"&amp;COUNTIFS($J$1:J72,$J72,$K$1:K72,$K72,$L$1:L72,$L72,$M$1:M72,M72,$N$1:N72,N72),COUNTIFS($J$1:J72,$J72,$K$1:K72,$K72,$L$1:L72,$L72,$M$1:M72,M72,$N$1:N72,N72)))</f>
        <v>013</v>
      </c>
      <c r="P7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MS-NS-004-23-01013-INV</v>
      </c>
      <c r="Q72" s="57"/>
      <c r="R72" s="34" t="s">
        <v>5911</v>
      </c>
      <c r="S72" s="34" t="s">
        <v>157</v>
      </c>
      <c r="T72" s="34">
        <f>+IFERROR(_xlfn.XLOOKUP(Table43[[#This Row],[Column1]],#REF!,#REF!),0)</f>
        <v>0</v>
      </c>
      <c r="U72" s="50">
        <f>IFERROR(_xlfn.XLOOKUP(Table43[[#This Row],[Column1]],#REF!,#REF!),0)</f>
        <v>0</v>
      </c>
      <c r="V72" s="39"/>
    </row>
    <row r="73" spans="1:22" x14ac:dyDescent="0.35">
      <c r="A73" s="2" t="s">
        <v>158</v>
      </c>
      <c r="B73" s="3" t="s">
        <v>159</v>
      </c>
      <c r="C73" s="3" t="s">
        <v>15</v>
      </c>
      <c r="D73" s="3">
        <v>49.15</v>
      </c>
      <c r="E73" s="3" t="s">
        <v>10</v>
      </c>
      <c r="F73" s="2">
        <v>1</v>
      </c>
      <c r="G73" s="2">
        <v>2</v>
      </c>
      <c r="H73" s="3">
        <v>0</v>
      </c>
      <c r="I73" s="21">
        <f>Table43[[#This Row],[Item Cost]]*Table43[[#This Row],[In Stock]]</f>
        <v>0</v>
      </c>
      <c r="J73" s="12" t="s">
        <v>4941</v>
      </c>
      <c r="K73" s="13" t="s">
        <v>4666</v>
      </c>
      <c r="L73" s="13" t="s">
        <v>4677</v>
      </c>
      <c r="M73" s="13" t="s">
        <v>4693</v>
      </c>
      <c r="N73" s="12" t="s">
        <v>4845</v>
      </c>
      <c r="O73" s="17" t="str">
        <f>IF(LEN(COUNTIFS($J$1:J73,$J73,$K$1:K73,$K73,$L$1:L73,$L73,$M$1:M73,M73,$N$1:N73,N73))=1,"00"&amp;COUNTIFS($J$1:J73,$J73,$K$1:K73,$K73,$L$1:L73,$L73,$M$1:M73,M73,$N$1:N73,N73),IF(LEN(COUNTIFS($J$1:J73,$J73,$K$1:K73,$K73,$L$1:L73,$L73,$M$1:M73,M73,$N$1:N73,N73))=2,"0"&amp;COUNTIFS($J$1:J73,$J73,$K$1:K73,$K73,$L$1:L73,$L73,$M$1:M73,M73,$N$1:N73,N73),COUNTIFS($J$1:J73,$J73,$K$1:K73,$K73,$L$1:L73,$L73,$M$1:M73,M73,$N$1:N73,N73)))</f>
        <v>014</v>
      </c>
      <c r="P7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MS-NS-004-23-01014-INV</v>
      </c>
      <c r="Q73" s="57"/>
      <c r="R73" s="34" t="s">
        <v>5912</v>
      </c>
      <c r="S73" s="34" t="s">
        <v>159</v>
      </c>
      <c r="T73" s="34">
        <f>+IFERROR(_xlfn.XLOOKUP(Table43[[#This Row],[Column1]],#REF!,#REF!),0)</f>
        <v>0</v>
      </c>
      <c r="U73" s="50">
        <f>IFERROR(_xlfn.XLOOKUP(Table43[[#This Row],[Column1]],#REF!,#REF!),0)</f>
        <v>0</v>
      </c>
      <c r="V73" s="39"/>
    </row>
    <row r="74" spans="1:22" x14ac:dyDescent="0.35">
      <c r="A74" s="2" t="s">
        <v>160</v>
      </c>
      <c r="B74" s="2" t="s">
        <v>161</v>
      </c>
      <c r="C74" s="2" t="s">
        <v>15</v>
      </c>
      <c r="D74" s="2">
        <v>0</v>
      </c>
      <c r="E74" s="2" t="s">
        <v>10</v>
      </c>
      <c r="F74" s="2">
        <v>1</v>
      </c>
      <c r="G74" s="2">
        <v>2</v>
      </c>
      <c r="H74" s="2">
        <v>0</v>
      </c>
      <c r="I74" s="22">
        <f>Table43[[#This Row],[Item Cost]]*Table43[[#This Row],[In Stock]]</f>
        <v>0</v>
      </c>
      <c r="J74" s="12" t="s">
        <v>4941</v>
      </c>
      <c r="K74" s="13" t="s">
        <v>4666</v>
      </c>
      <c r="L74" s="13" t="s">
        <v>4677</v>
      </c>
      <c r="M74" s="13" t="s">
        <v>4827</v>
      </c>
      <c r="N74" s="12" t="s">
        <v>4845</v>
      </c>
      <c r="O74" s="17" t="str">
        <f>IF(LEN(COUNTIFS($J$1:J74,$J74,$K$1:K74,$K74,$L$1:L74,$L74,$M$1:M74,M74,$N$1:N74,N74))=1,"00"&amp;COUNTIFS($J$1:J74,$J74,$K$1:K74,$K74,$L$1:L74,$L74,$M$1:M74,M74,$N$1:N74,N74),IF(LEN(COUNTIFS($J$1:J74,$J74,$K$1:K74,$K74,$L$1:L74,$L74,$M$1:M74,M74,$N$1:N74,N74))=2,"0"&amp;COUNTIFS($J$1:J74,$J74,$K$1:K74,$K74,$L$1:L74,$L74,$M$1:M74,M74,$N$1:N74,N74),COUNTIFS($J$1:J74,$J74,$K$1:K74,$K74,$L$1:L74,$L74,$M$1:M74,M74,$N$1:N74,N74)))</f>
        <v>001</v>
      </c>
      <c r="P7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MS-NS-004-10-01001-INV</v>
      </c>
      <c r="Q74" s="57"/>
      <c r="R74" s="34" t="s">
        <v>5913</v>
      </c>
      <c r="S74" s="34" t="s">
        <v>161</v>
      </c>
      <c r="T74" s="34">
        <f>+IFERROR(_xlfn.XLOOKUP(Table43[[#This Row],[Column1]],#REF!,#REF!),0)</f>
        <v>0</v>
      </c>
      <c r="U74" s="50">
        <f>IFERROR(_xlfn.XLOOKUP(Table43[[#This Row],[Column1]],#REF!,#REF!),0)</f>
        <v>0</v>
      </c>
      <c r="V74" s="39"/>
    </row>
    <row r="75" spans="1:22" x14ac:dyDescent="0.35">
      <c r="A75" s="2" t="s">
        <v>162</v>
      </c>
      <c r="B75" s="3" t="s">
        <v>163</v>
      </c>
      <c r="C75" s="3" t="s">
        <v>15</v>
      </c>
      <c r="D75" s="3">
        <v>0</v>
      </c>
      <c r="E75" s="3" t="s">
        <v>10</v>
      </c>
      <c r="F75" s="2">
        <v>1</v>
      </c>
      <c r="G75" s="2">
        <v>2</v>
      </c>
      <c r="H75" s="3">
        <v>0</v>
      </c>
      <c r="I75" s="21">
        <f>Table43[[#This Row],[Item Cost]]*Table43[[#This Row],[In Stock]]</f>
        <v>0</v>
      </c>
      <c r="J75" s="12" t="s">
        <v>4941</v>
      </c>
      <c r="K75" s="13" t="s">
        <v>4666</v>
      </c>
      <c r="L75" s="13" t="s">
        <v>4677</v>
      </c>
      <c r="M75" s="13" t="s">
        <v>4827</v>
      </c>
      <c r="N75" s="12" t="s">
        <v>4845</v>
      </c>
      <c r="O75" s="17" t="str">
        <f>IF(LEN(COUNTIFS($J$1:J75,$J75,$K$1:K75,$K75,$L$1:L75,$L75,$M$1:M75,M75,$N$1:N75,N75))=1,"00"&amp;COUNTIFS($J$1:J75,$J75,$K$1:K75,$K75,$L$1:L75,$L75,$M$1:M75,M75,$N$1:N75,N75),IF(LEN(COUNTIFS($J$1:J75,$J75,$K$1:K75,$K75,$L$1:L75,$L75,$M$1:M75,M75,$N$1:N75,N75))=2,"0"&amp;COUNTIFS($J$1:J75,$J75,$K$1:K75,$K75,$L$1:L75,$L75,$M$1:M75,M75,$N$1:N75,N75),COUNTIFS($J$1:J75,$J75,$K$1:K75,$K75,$L$1:L75,$L75,$M$1:M75,M75,$N$1:N75,N75)))</f>
        <v>002</v>
      </c>
      <c r="P7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MS-NS-004-10-01002-INV</v>
      </c>
      <c r="Q75" s="57"/>
      <c r="R75" s="34" t="s">
        <v>5914</v>
      </c>
      <c r="S75" s="34" t="s">
        <v>163</v>
      </c>
      <c r="T75" s="34">
        <f>+IFERROR(_xlfn.XLOOKUP(Table43[[#This Row],[Column1]],#REF!,#REF!),0)</f>
        <v>0</v>
      </c>
      <c r="U75" s="50">
        <f>IFERROR(_xlfn.XLOOKUP(Table43[[#This Row],[Column1]],#REF!,#REF!),0)</f>
        <v>0</v>
      </c>
      <c r="V75" s="39"/>
    </row>
    <row r="76" spans="1:22" x14ac:dyDescent="0.35">
      <c r="A76" s="2" t="s">
        <v>164</v>
      </c>
      <c r="B76" s="2" t="s">
        <v>165</v>
      </c>
      <c r="C76" s="2" t="s">
        <v>15</v>
      </c>
      <c r="D76" s="2">
        <v>0</v>
      </c>
      <c r="E76" s="2" t="s">
        <v>10</v>
      </c>
      <c r="F76" s="2">
        <v>1</v>
      </c>
      <c r="G76" s="2">
        <v>2</v>
      </c>
      <c r="H76" s="2">
        <v>0</v>
      </c>
      <c r="I76" s="22">
        <f>Table43[[#This Row],[Item Cost]]*Table43[[#This Row],[In Stock]]</f>
        <v>0</v>
      </c>
      <c r="J76" s="12" t="s">
        <v>4941</v>
      </c>
      <c r="K76" s="13" t="s">
        <v>4666</v>
      </c>
      <c r="L76" s="13" t="s">
        <v>4677</v>
      </c>
      <c r="M76" s="13" t="s">
        <v>4827</v>
      </c>
      <c r="N76" s="12" t="s">
        <v>4845</v>
      </c>
      <c r="O76" s="17" t="str">
        <f>IF(LEN(COUNTIFS($J$1:J76,$J76,$K$1:K76,$K76,$L$1:L76,$L76,$M$1:M76,M76,$N$1:N76,N76))=1,"00"&amp;COUNTIFS($J$1:J76,$J76,$K$1:K76,$K76,$L$1:L76,$L76,$M$1:M76,M76,$N$1:N76,N76),IF(LEN(COUNTIFS($J$1:J76,$J76,$K$1:K76,$K76,$L$1:L76,$L76,$M$1:M76,M76,$N$1:N76,N76))=2,"0"&amp;COUNTIFS($J$1:J76,$J76,$K$1:K76,$K76,$L$1:L76,$L76,$M$1:M76,M76,$N$1:N76,N76),COUNTIFS($J$1:J76,$J76,$K$1:K76,$K76,$L$1:L76,$L76,$M$1:M76,M76,$N$1:N76,N76)))</f>
        <v>003</v>
      </c>
      <c r="P7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MS-NS-004-10-01003-INV</v>
      </c>
      <c r="Q76" s="57"/>
      <c r="R76" s="34" t="s">
        <v>5915</v>
      </c>
      <c r="S76" s="34" t="s">
        <v>165</v>
      </c>
      <c r="T76" s="34">
        <f>+IFERROR(_xlfn.XLOOKUP(Table43[[#This Row],[Column1]],#REF!,#REF!),0)</f>
        <v>0</v>
      </c>
      <c r="U76" s="50">
        <f>IFERROR(_xlfn.XLOOKUP(Table43[[#This Row],[Column1]],#REF!,#REF!),0)</f>
        <v>0</v>
      </c>
      <c r="V76" s="39"/>
    </row>
    <row r="77" spans="1:22" x14ac:dyDescent="0.35">
      <c r="A77" s="2" t="s">
        <v>166</v>
      </c>
      <c r="B77" s="3" t="s">
        <v>167</v>
      </c>
      <c r="C77" s="3" t="s">
        <v>15</v>
      </c>
      <c r="D77" s="3">
        <v>0</v>
      </c>
      <c r="E77" s="3" t="s">
        <v>10</v>
      </c>
      <c r="F77" s="2">
        <v>1</v>
      </c>
      <c r="G77" s="2">
        <v>2</v>
      </c>
      <c r="H77" s="3">
        <v>0</v>
      </c>
      <c r="I77" s="21">
        <f>Table43[[#This Row],[Item Cost]]*Table43[[#This Row],[In Stock]]</f>
        <v>0</v>
      </c>
      <c r="J77" s="12" t="s">
        <v>4941</v>
      </c>
      <c r="K77" s="13" t="s">
        <v>4666</v>
      </c>
      <c r="L77" s="13" t="s">
        <v>4677</v>
      </c>
      <c r="M77" s="13" t="s">
        <v>4827</v>
      </c>
      <c r="N77" s="12" t="s">
        <v>4845</v>
      </c>
      <c r="O77" s="17" t="str">
        <f>IF(LEN(COUNTIFS($J$1:J77,$J77,$K$1:K77,$K77,$L$1:L77,$L77,$M$1:M77,M77,$N$1:N77,N77))=1,"00"&amp;COUNTIFS($J$1:J77,$J77,$K$1:K77,$K77,$L$1:L77,$L77,$M$1:M77,M77,$N$1:N77,N77),IF(LEN(COUNTIFS($J$1:J77,$J77,$K$1:K77,$K77,$L$1:L77,$L77,$M$1:M77,M77,$N$1:N77,N77))=2,"0"&amp;COUNTIFS($J$1:J77,$J77,$K$1:K77,$K77,$L$1:L77,$L77,$M$1:M77,M77,$N$1:N77,N77),COUNTIFS($J$1:J77,$J77,$K$1:K77,$K77,$L$1:L77,$L77,$M$1:M77,M77,$N$1:N77,N77)))</f>
        <v>004</v>
      </c>
      <c r="P7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MS-NS-004-10-01004-INV</v>
      </c>
      <c r="Q77" s="57"/>
      <c r="R77" s="34" t="s">
        <v>5916</v>
      </c>
      <c r="S77" s="34" t="s">
        <v>167</v>
      </c>
      <c r="T77" s="34">
        <f>+IFERROR(_xlfn.XLOOKUP(Table43[[#This Row],[Column1]],#REF!,#REF!),0)</f>
        <v>0</v>
      </c>
      <c r="U77" s="50">
        <f>IFERROR(_xlfn.XLOOKUP(Table43[[#This Row],[Column1]],#REF!,#REF!),0)</f>
        <v>0</v>
      </c>
      <c r="V77" s="39"/>
    </row>
    <row r="78" spans="1:22" x14ac:dyDescent="0.35">
      <c r="A78" s="2" t="s">
        <v>168</v>
      </c>
      <c r="B78" s="2" t="s">
        <v>169</v>
      </c>
      <c r="C78" s="2" t="s">
        <v>15</v>
      </c>
      <c r="D78" s="2">
        <v>141.99</v>
      </c>
      <c r="E78" s="2" t="s">
        <v>10</v>
      </c>
      <c r="F78" s="2">
        <v>1</v>
      </c>
      <c r="G78" s="2">
        <v>2</v>
      </c>
      <c r="H78" s="2">
        <v>5</v>
      </c>
      <c r="I78" s="22">
        <f>Table43[[#This Row],[Item Cost]]*Table43[[#This Row],[In Stock]]</f>
        <v>709.95</v>
      </c>
      <c r="J78" s="12" t="s">
        <v>4941</v>
      </c>
      <c r="K78" s="13" t="s">
        <v>4666</v>
      </c>
      <c r="L78" s="13" t="s">
        <v>4677</v>
      </c>
      <c r="M78" s="13" t="s">
        <v>4844</v>
      </c>
      <c r="N78" s="12" t="s">
        <v>4845</v>
      </c>
      <c r="O78" s="17" t="str">
        <f>IF(LEN(COUNTIFS($J$1:J78,$J78,$K$1:K78,$K78,$L$1:L78,$L78,$M$1:M78,M78,$N$1:N78,N78))=1,"00"&amp;COUNTIFS($J$1:J78,$J78,$K$1:K78,$K78,$L$1:L78,$L78,$M$1:M78,M78,$N$1:N78,N78),IF(LEN(COUNTIFS($J$1:J78,$J78,$K$1:K78,$K78,$L$1:L78,$L78,$M$1:M78,M78,$N$1:N78,N78))=2,"0"&amp;COUNTIFS($J$1:J78,$J78,$K$1:K78,$K78,$L$1:L78,$L78,$M$1:M78,M78,$N$1:N78,N78),COUNTIFS($J$1:J78,$J78,$K$1:K78,$K78,$L$1:L78,$L78,$M$1:M78,M78,$N$1:N78,N78)))</f>
        <v>007</v>
      </c>
      <c r="P7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MS-NS-004-29-01007-INV</v>
      </c>
      <c r="Q78" s="57" t="s">
        <v>7324</v>
      </c>
      <c r="R78" s="34" t="s">
        <v>5917</v>
      </c>
      <c r="S78" s="34" t="s">
        <v>169</v>
      </c>
      <c r="T78" s="34">
        <f>+IFERROR(_xlfn.XLOOKUP(Table43[[#This Row],[Column1]],#REF!,#REF!),0)</f>
        <v>0</v>
      </c>
      <c r="U78" s="50">
        <f>IFERROR(_xlfn.XLOOKUP(Table43[[#This Row],[Column1]],#REF!,#REF!),0)</f>
        <v>0</v>
      </c>
      <c r="V78" s="39"/>
    </row>
    <row r="79" spans="1:22" x14ac:dyDescent="0.35">
      <c r="A79" s="2" t="s">
        <v>170</v>
      </c>
      <c r="B79" s="3" t="s">
        <v>171</v>
      </c>
      <c r="C79" s="3" t="s">
        <v>15</v>
      </c>
      <c r="D79" s="3">
        <v>195.85</v>
      </c>
      <c r="E79" s="3" t="s">
        <v>10</v>
      </c>
      <c r="F79" s="2">
        <v>1</v>
      </c>
      <c r="G79" s="2">
        <v>2</v>
      </c>
      <c r="H79" s="3">
        <v>5</v>
      </c>
      <c r="I79" s="21">
        <f>Table43[[#This Row],[Item Cost]]*Table43[[#This Row],[In Stock]]</f>
        <v>979.25</v>
      </c>
      <c r="J79" s="12" t="s">
        <v>4941</v>
      </c>
      <c r="K79" s="13" t="s">
        <v>4666</v>
      </c>
      <c r="L79" s="13" t="s">
        <v>4677</v>
      </c>
      <c r="M79" s="13" t="s">
        <v>4844</v>
      </c>
      <c r="N79" s="12" t="s">
        <v>4845</v>
      </c>
      <c r="O79" s="17" t="str">
        <f>IF(LEN(COUNTIFS($J$1:J79,$J79,$K$1:K79,$K79,$L$1:L79,$L79,$M$1:M79,M79,$N$1:N79,N79))=1,"00"&amp;COUNTIFS($J$1:J79,$J79,$K$1:K79,$K79,$L$1:L79,$L79,$M$1:M79,M79,$N$1:N79,N79),IF(LEN(COUNTIFS($J$1:J79,$J79,$K$1:K79,$K79,$L$1:L79,$L79,$M$1:M79,M79,$N$1:N79,N79))=2,"0"&amp;COUNTIFS($J$1:J79,$J79,$K$1:K79,$K79,$L$1:L79,$L79,$M$1:M79,M79,$N$1:N79,N79),COUNTIFS($J$1:J79,$J79,$K$1:K79,$K79,$L$1:L79,$L79,$M$1:M79,M79,$N$1:N79,N79)))</f>
        <v>008</v>
      </c>
      <c r="P7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MS-NS-004-29-01008-INV</v>
      </c>
      <c r="Q79" s="57" t="s">
        <v>7324</v>
      </c>
      <c r="R79" s="34" t="s">
        <v>5918</v>
      </c>
      <c r="S79" s="34" t="s">
        <v>171</v>
      </c>
      <c r="T79" s="34">
        <f>+IFERROR(_xlfn.XLOOKUP(Table43[[#This Row],[Column1]],#REF!,#REF!),0)</f>
        <v>0</v>
      </c>
      <c r="U79" s="50">
        <f>IFERROR(_xlfn.XLOOKUP(Table43[[#This Row],[Column1]],#REF!,#REF!),0)</f>
        <v>0</v>
      </c>
      <c r="V79" s="39"/>
    </row>
    <row r="80" spans="1:22" x14ac:dyDescent="0.35">
      <c r="A80" s="2" t="s">
        <v>172</v>
      </c>
      <c r="B80" s="2" t="s">
        <v>173</v>
      </c>
      <c r="C80" s="2" t="s">
        <v>15</v>
      </c>
      <c r="D80" s="2">
        <v>37.630000000000003</v>
      </c>
      <c r="E80" s="2" t="s">
        <v>10</v>
      </c>
      <c r="F80" s="2">
        <v>1</v>
      </c>
      <c r="G80" s="2">
        <v>10</v>
      </c>
      <c r="H80" s="2">
        <v>10</v>
      </c>
      <c r="I80" s="22">
        <f>Table43[[#This Row],[Item Cost]]*Table43[[#This Row],[In Stock]]</f>
        <v>376.3</v>
      </c>
      <c r="J80" s="12" t="s">
        <v>4941</v>
      </c>
      <c r="K80" s="13" t="s">
        <v>4666</v>
      </c>
      <c r="L80" s="13" t="s">
        <v>4677</v>
      </c>
      <c r="M80" s="13" t="s">
        <v>4844</v>
      </c>
      <c r="N80" s="12" t="s">
        <v>4845</v>
      </c>
      <c r="O80" s="17" t="str">
        <f>IF(LEN(COUNTIFS($J$1:J80,$J80,$K$1:K80,$K80,$L$1:L80,$L80,$M$1:M80,M80,$N$1:N80,N80))=1,"00"&amp;COUNTIFS($J$1:J80,$J80,$K$1:K80,$K80,$L$1:L80,$L80,$M$1:M80,M80,$N$1:N80,N80),IF(LEN(COUNTIFS($J$1:J80,$J80,$K$1:K80,$K80,$L$1:L80,$L80,$M$1:M80,M80,$N$1:N80,N80))=2,"0"&amp;COUNTIFS($J$1:J80,$J80,$K$1:K80,$K80,$L$1:L80,$L80,$M$1:M80,M80,$N$1:N80,N80),COUNTIFS($J$1:J80,$J80,$K$1:K80,$K80,$L$1:L80,$L80,$M$1:M80,M80,$N$1:N80,N80)))</f>
        <v>009</v>
      </c>
      <c r="P8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MS-NS-004-29-01009-INV</v>
      </c>
      <c r="Q80" s="57" t="s">
        <v>7324</v>
      </c>
      <c r="R80" s="34" t="s">
        <v>5919</v>
      </c>
      <c r="S80" s="34" t="s">
        <v>173</v>
      </c>
      <c r="T80" s="34">
        <f>+IFERROR(_xlfn.XLOOKUP(Table43[[#This Row],[Column1]],#REF!,#REF!),0)</f>
        <v>0</v>
      </c>
      <c r="U80" s="50">
        <f>IFERROR(_xlfn.XLOOKUP(Table43[[#This Row],[Column1]],#REF!,#REF!),0)</f>
        <v>0</v>
      </c>
      <c r="V80" s="39"/>
    </row>
    <row r="81" spans="1:22" x14ac:dyDescent="0.35">
      <c r="A81" s="2" t="s">
        <v>174</v>
      </c>
      <c r="B81" s="3" t="s">
        <v>175</v>
      </c>
      <c r="C81" s="3" t="s">
        <v>15</v>
      </c>
      <c r="D81" s="3">
        <v>42.76</v>
      </c>
      <c r="E81" s="3" t="s">
        <v>10</v>
      </c>
      <c r="F81" s="2">
        <v>1</v>
      </c>
      <c r="G81" s="3">
        <v>10</v>
      </c>
      <c r="H81" s="3">
        <v>10</v>
      </c>
      <c r="I81" s="21">
        <f>Table43[[#This Row],[Item Cost]]*Table43[[#This Row],[In Stock]]</f>
        <v>427.59999999999997</v>
      </c>
      <c r="J81" s="12" t="s">
        <v>4941</v>
      </c>
      <c r="K81" s="13" t="s">
        <v>4666</v>
      </c>
      <c r="L81" s="13" t="s">
        <v>4677</v>
      </c>
      <c r="M81" s="13" t="s">
        <v>4844</v>
      </c>
      <c r="N81" s="12" t="s">
        <v>4845</v>
      </c>
      <c r="O81" s="17" t="str">
        <f>IF(LEN(COUNTIFS($J$1:J81,$J81,$K$1:K81,$K81,$L$1:L81,$L81,$M$1:M81,M81,$N$1:N81,N81))=1,"00"&amp;COUNTIFS($J$1:J81,$J81,$K$1:K81,$K81,$L$1:L81,$L81,$M$1:M81,M81,$N$1:N81,N81),IF(LEN(COUNTIFS($J$1:J81,$J81,$K$1:K81,$K81,$L$1:L81,$L81,$M$1:M81,M81,$N$1:N81,N81))=2,"0"&amp;COUNTIFS($J$1:J81,$J81,$K$1:K81,$K81,$L$1:L81,$L81,$M$1:M81,M81,$N$1:N81,N81),COUNTIFS($J$1:J81,$J81,$K$1:K81,$K81,$L$1:L81,$L81,$M$1:M81,M81,$N$1:N81,N81)))</f>
        <v>010</v>
      </c>
      <c r="P8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MS-NS-004-29-01010-INV</v>
      </c>
      <c r="Q81" s="57" t="s">
        <v>7324</v>
      </c>
      <c r="R81" s="34" t="s">
        <v>5920</v>
      </c>
      <c r="S81" s="34" t="s">
        <v>175</v>
      </c>
      <c r="T81" s="34">
        <f>+IFERROR(_xlfn.XLOOKUP(Table43[[#This Row],[Column1]],#REF!,#REF!),0)</f>
        <v>0</v>
      </c>
      <c r="U81" s="50">
        <f>IFERROR(_xlfn.XLOOKUP(Table43[[#This Row],[Column1]],#REF!,#REF!),0)</f>
        <v>0</v>
      </c>
      <c r="V81" s="39"/>
    </row>
    <row r="82" spans="1:22" x14ac:dyDescent="0.35">
      <c r="A82" s="2" t="s">
        <v>176</v>
      </c>
      <c r="B82" s="2" t="s">
        <v>177</v>
      </c>
      <c r="C82" s="2" t="s">
        <v>15</v>
      </c>
      <c r="D82" s="2">
        <v>45.88</v>
      </c>
      <c r="E82" s="2" t="s">
        <v>10</v>
      </c>
      <c r="F82" s="2">
        <v>1</v>
      </c>
      <c r="G82" s="2">
        <v>10</v>
      </c>
      <c r="H82" s="2">
        <v>10</v>
      </c>
      <c r="I82" s="22">
        <f>Table43[[#This Row],[Item Cost]]*Table43[[#This Row],[In Stock]]</f>
        <v>458.8</v>
      </c>
      <c r="J82" s="12" t="s">
        <v>4941</v>
      </c>
      <c r="K82" s="13" t="s">
        <v>4666</v>
      </c>
      <c r="L82" s="13" t="s">
        <v>4677</v>
      </c>
      <c r="M82" s="13" t="s">
        <v>4844</v>
      </c>
      <c r="N82" s="12" t="s">
        <v>4845</v>
      </c>
      <c r="O82" s="17" t="str">
        <f>IF(LEN(COUNTIFS($J$1:J82,$J82,$K$1:K82,$K82,$L$1:L82,$L82,$M$1:M82,M82,$N$1:N82,N82))=1,"00"&amp;COUNTIFS($J$1:J82,$J82,$K$1:K82,$K82,$L$1:L82,$L82,$M$1:M82,M82,$N$1:N82,N82),IF(LEN(COUNTIFS($J$1:J82,$J82,$K$1:K82,$K82,$L$1:L82,$L82,$M$1:M82,M82,$N$1:N82,N82))=2,"0"&amp;COUNTIFS($J$1:J82,$J82,$K$1:K82,$K82,$L$1:L82,$L82,$M$1:M82,M82,$N$1:N82,N82),COUNTIFS($J$1:J82,$J82,$K$1:K82,$K82,$L$1:L82,$L82,$M$1:M82,M82,$N$1:N82,N82)))</f>
        <v>011</v>
      </c>
      <c r="P8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MS-NS-004-29-01011-INV</v>
      </c>
      <c r="Q82" s="57"/>
      <c r="R82" s="34" t="s">
        <v>5921</v>
      </c>
      <c r="S82" s="34" t="s">
        <v>177</v>
      </c>
      <c r="T82" s="34">
        <f>+IFERROR(_xlfn.XLOOKUP(Table43[[#This Row],[Column1]],#REF!,#REF!),0)</f>
        <v>0</v>
      </c>
      <c r="U82" s="50">
        <f>IFERROR(_xlfn.XLOOKUP(Table43[[#This Row],[Column1]],#REF!,#REF!),0)</f>
        <v>0</v>
      </c>
      <c r="V82" s="39"/>
    </row>
    <row r="83" spans="1:22" x14ac:dyDescent="0.35">
      <c r="A83" s="2" t="s">
        <v>178</v>
      </c>
      <c r="B83" s="3" t="s">
        <v>179</v>
      </c>
      <c r="C83" s="3" t="s">
        <v>15</v>
      </c>
      <c r="D83" s="3">
        <v>21.6</v>
      </c>
      <c r="E83" s="3" t="s">
        <v>10</v>
      </c>
      <c r="F83" s="2">
        <v>1</v>
      </c>
      <c r="G83" s="3">
        <v>10</v>
      </c>
      <c r="H83" s="3">
        <v>10</v>
      </c>
      <c r="I83" s="21">
        <f>Table43[[#This Row],[Item Cost]]*Table43[[#This Row],[In Stock]]</f>
        <v>216</v>
      </c>
      <c r="J83" s="12" t="s">
        <v>4941</v>
      </c>
      <c r="K83" s="13" t="s">
        <v>4666</v>
      </c>
      <c r="L83" s="13" t="s">
        <v>4677</v>
      </c>
      <c r="M83" s="13" t="s">
        <v>4844</v>
      </c>
      <c r="N83" s="12" t="s">
        <v>4845</v>
      </c>
      <c r="O83" s="17" t="str">
        <f>IF(LEN(COUNTIFS($J$1:J83,$J83,$K$1:K83,$K83,$L$1:L83,$L83,$M$1:M83,M83,$N$1:N83,N83))=1,"00"&amp;COUNTIFS($J$1:J83,$J83,$K$1:K83,$K83,$L$1:L83,$L83,$M$1:M83,M83,$N$1:N83,N83),IF(LEN(COUNTIFS($J$1:J83,$J83,$K$1:K83,$K83,$L$1:L83,$L83,$M$1:M83,M83,$N$1:N83,N83))=2,"0"&amp;COUNTIFS($J$1:J83,$J83,$K$1:K83,$K83,$L$1:L83,$L83,$M$1:M83,M83,$N$1:N83,N83),COUNTIFS($J$1:J83,$J83,$K$1:K83,$K83,$L$1:L83,$L83,$M$1:M83,M83,$N$1:N83,N83)))</f>
        <v>012</v>
      </c>
      <c r="P8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MS-NS-004-29-01012-INV</v>
      </c>
      <c r="Q83" s="57" t="s">
        <v>7324</v>
      </c>
      <c r="R83" s="34" t="s">
        <v>5922</v>
      </c>
      <c r="S83" s="34" t="s">
        <v>179</v>
      </c>
      <c r="T83" s="34">
        <f>+IFERROR(_xlfn.XLOOKUP(Table43[[#This Row],[Column1]],#REF!,#REF!),0)</f>
        <v>0</v>
      </c>
      <c r="U83" s="50">
        <f>IFERROR(_xlfn.XLOOKUP(Table43[[#This Row],[Column1]],#REF!,#REF!),0)</f>
        <v>0</v>
      </c>
      <c r="V83" s="39"/>
    </row>
    <row r="84" spans="1:22" x14ac:dyDescent="0.35">
      <c r="A84" s="2" t="s">
        <v>180</v>
      </c>
      <c r="B84" s="2" t="s">
        <v>181</v>
      </c>
      <c r="C84" s="2" t="s">
        <v>15</v>
      </c>
      <c r="D84" s="2">
        <v>278.94</v>
      </c>
      <c r="E84" s="2" t="s">
        <v>10</v>
      </c>
      <c r="F84" s="2">
        <v>1</v>
      </c>
      <c r="G84" s="2">
        <v>8</v>
      </c>
      <c r="H84" s="2">
        <v>1</v>
      </c>
      <c r="I84" s="22">
        <f>Table43[[#This Row],[Item Cost]]*Table43[[#This Row],[In Stock]]</f>
        <v>278.94</v>
      </c>
      <c r="J84" s="12" t="s">
        <v>4941</v>
      </c>
      <c r="K84" s="13" t="s">
        <v>4666</v>
      </c>
      <c r="L84" s="13" t="s">
        <v>4677</v>
      </c>
      <c r="M84" s="13" t="s">
        <v>4844</v>
      </c>
      <c r="N84" s="12" t="s">
        <v>4845</v>
      </c>
      <c r="O84" s="17" t="str">
        <f>IF(LEN(COUNTIFS($J$1:J84,$J84,$K$1:K84,$K84,$L$1:L84,$L84,$M$1:M84,M84,$N$1:N84,N84))=1,"00"&amp;COUNTIFS($J$1:J84,$J84,$K$1:K84,$K84,$L$1:L84,$L84,$M$1:M84,M84,$N$1:N84,N84),IF(LEN(COUNTIFS($J$1:J84,$J84,$K$1:K84,$K84,$L$1:L84,$L84,$M$1:M84,M84,$N$1:N84,N84))=2,"0"&amp;COUNTIFS($J$1:J84,$J84,$K$1:K84,$K84,$L$1:L84,$L84,$M$1:M84,M84,$N$1:N84,N84),COUNTIFS($J$1:J84,$J84,$K$1:K84,$K84,$L$1:L84,$L84,$M$1:M84,M84,$N$1:N84,N84)))</f>
        <v>013</v>
      </c>
      <c r="P8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MS-NS-004-29-01013-INV</v>
      </c>
      <c r="Q84" s="57"/>
      <c r="R84" s="34" t="s">
        <v>5923</v>
      </c>
      <c r="S84" s="34" t="s">
        <v>181</v>
      </c>
      <c r="T84" s="34">
        <f>+IFERROR(_xlfn.XLOOKUP(Table43[[#This Row],[Column1]],#REF!,#REF!),0)</f>
        <v>0</v>
      </c>
      <c r="U84" s="50">
        <f>IFERROR(_xlfn.XLOOKUP(Table43[[#This Row],[Column1]],#REF!,#REF!),0)</f>
        <v>0</v>
      </c>
      <c r="V84" s="39"/>
    </row>
    <row r="85" spans="1:22" x14ac:dyDescent="0.35">
      <c r="A85" s="2" t="s">
        <v>182</v>
      </c>
      <c r="B85" s="3" t="s">
        <v>183</v>
      </c>
      <c r="C85" s="3" t="s">
        <v>15</v>
      </c>
      <c r="D85" s="3">
        <v>35.979999999999997</v>
      </c>
      <c r="E85" s="3" t="s">
        <v>10</v>
      </c>
      <c r="F85" s="2">
        <v>1</v>
      </c>
      <c r="G85" s="3">
        <v>10</v>
      </c>
      <c r="H85" s="3">
        <v>10</v>
      </c>
      <c r="I85" s="21">
        <f>Table43[[#This Row],[Item Cost]]*Table43[[#This Row],[In Stock]]</f>
        <v>359.79999999999995</v>
      </c>
      <c r="J85" s="12" t="s">
        <v>4941</v>
      </c>
      <c r="K85" s="13" t="s">
        <v>4666</v>
      </c>
      <c r="L85" s="13" t="s">
        <v>4677</v>
      </c>
      <c r="M85" s="13" t="s">
        <v>4844</v>
      </c>
      <c r="N85" s="12" t="s">
        <v>4845</v>
      </c>
      <c r="O85" s="17" t="str">
        <f>IF(LEN(COUNTIFS($J$1:J85,$J85,$K$1:K85,$K85,$L$1:L85,$L85,$M$1:M85,M85,$N$1:N85,N85))=1,"00"&amp;COUNTIFS($J$1:J85,$J85,$K$1:K85,$K85,$L$1:L85,$L85,$M$1:M85,M85,$N$1:N85,N85),IF(LEN(COUNTIFS($J$1:J85,$J85,$K$1:K85,$K85,$L$1:L85,$L85,$M$1:M85,M85,$N$1:N85,N85))=2,"0"&amp;COUNTIFS($J$1:J85,$J85,$K$1:K85,$K85,$L$1:L85,$L85,$M$1:M85,M85,$N$1:N85,N85),COUNTIFS($J$1:J85,$J85,$K$1:K85,$K85,$L$1:L85,$L85,$M$1:M85,M85,$N$1:N85,N85)))</f>
        <v>014</v>
      </c>
      <c r="P8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MS-NS-004-29-01014-INV</v>
      </c>
      <c r="Q85" s="57" t="s">
        <v>7324</v>
      </c>
      <c r="R85" s="34" t="s">
        <v>5924</v>
      </c>
      <c r="S85" s="34" t="s">
        <v>183</v>
      </c>
      <c r="T85" s="34">
        <f>+IFERROR(_xlfn.XLOOKUP(Table43[[#This Row],[Column1]],#REF!,#REF!),0)</f>
        <v>0</v>
      </c>
      <c r="U85" s="50">
        <f>IFERROR(_xlfn.XLOOKUP(Table43[[#This Row],[Column1]],#REF!,#REF!),0)</f>
        <v>0</v>
      </c>
      <c r="V85" s="39"/>
    </row>
    <row r="86" spans="1:22" x14ac:dyDescent="0.35">
      <c r="A86" s="2" t="s">
        <v>184</v>
      </c>
      <c r="B86" s="2" t="s">
        <v>185</v>
      </c>
      <c r="C86" s="2" t="s">
        <v>15</v>
      </c>
      <c r="D86" s="4">
        <v>2427.3200000000002</v>
      </c>
      <c r="E86" s="2" t="s">
        <v>10</v>
      </c>
      <c r="F86" s="2">
        <v>1</v>
      </c>
      <c r="G86" s="2">
        <v>5</v>
      </c>
      <c r="H86" s="2">
        <v>4</v>
      </c>
      <c r="I86" s="22">
        <f>Table43[[#This Row],[Item Cost]]*Table43[[#This Row],[In Stock]]</f>
        <v>9709.2800000000007</v>
      </c>
      <c r="J86" s="12" t="s">
        <v>4941</v>
      </c>
      <c r="K86" s="13" t="s">
        <v>4666</v>
      </c>
      <c r="L86" s="13" t="s">
        <v>4677</v>
      </c>
      <c r="M86" s="13" t="s">
        <v>4838</v>
      </c>
      <c r="N86" s="12" t="s">
        <v>4845</v>
      </c>
      <c r="O86" s="17" t="str">
        <f>IF(LEN(COUNTIFS($J$1:J86,$J86,$K$1:K86,$K86,$L$1:L86,$L86,$M$1:M86,M86,$N$1:N86,N86))=1,"00"&amp;COUNTIFS($J$1:J86,$J86,$K$1:K86,$K86,$L$1:L86,$L86,$M$1:M86,M86,$N$1:N86,N86),IF(LEN(COUNTIFS($J$1:J86,$J86,$K$1:K86,$K86,$L$1:L86,$L86,$M$1:M86,M86,$N$1:N86,N86))=2,"0"&amp;COUNTIFS($J$1:J86,$J86,$K$1:K86,$K86,$L$1:L86,$L86,$M$1:M86,M86,$N$1:N86,N86),COUNTIFS($J$1:J86,$J86,$K$1:K86,$K86,$L$1:L86,$L86,$M$1:M86,M86,$N$1:N86,N86)))</f>
        <v>018</v>
      </c>
      <c r="P8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MS-NS-004-18-01018-INV</v>
      </c>
      <c r="Q86" s="57" t="s">
        <v>7326</v>
      </c>
      <c r="R86" s="34" t="s">
        <v>5925</v>
      </c>
      <c r="S86" s="34" t="s">
        <v>185</v>
      </c>
      <c r="T86" s="34">
        <f>+IFERROR(_xlfn.XLOOKUP(Table43[[#This Row],[Column1]],#REF!,#REF!),0)</f>
        <v>0</v>
      </c>
      <c r="U86" s="50">
        <f>IFERROR(_xlfn.XLOOKUP(Table43[[#This Row],[Column1]],#REF!,#REF!),0)</f>
        <v>0</v>
      </c>
      <c r="V86" s="39"/>
    </row>
    <row r="87" spans="1:22" x14ac:dyDescent="0.35">
      <c r="A87" s="2" t="s">
        <v>186</v>
      </c>
      <c r="B87" s="3" t="s">
        <v>187</v>
      </c>
      <c r="C87" s="3" t="s">
        <v>15</v>
      </c>
      <c r="D87" s="5">
        <v>2879.92</v>
      </c>
      <c r="E87" s="3" t="s">
        <v>10</v>
      </c>
      <c r="F87" s="2">
        <v>1</v>
      </c>
      <c r="G87" s="3">
        <v>5</v>
      </c>
      <c r="H87" s="3">
        <v>4</v>
      </c>
      <c r="I87" s="21">
        <f>Table43[[#This Row],[Item Cost]]*Table43[[#This Row],[In Stock]]</f>
        <v>11519.68</v>
      </c>
      <c r="J87" s="12" t="s">
        <v>4941</v>
      </c>
      <c r="K87" s="13" t="s">
        <v>4666</v>
      </c>
      <c r="L87" s="13" t="s">
        <v>4677</v>
      </c>
      <c r="M87" s="13" t="s">
        <v>4838</v>
      </c>
      <c r="N87" s="12" t="s">
        <v>4845</v>
      </c>
      <c r="O87" s="17" t="str">
        <f>IF(LEN(COUNTIFS($J$1:J87,$J87,$K$1:K87,$K87,$L$1:L87,$L87,$M$1:M87,M87,$N$1:N87,N87))=1,"00"&amp;COUNTIFS($J$1:J87,$J87,$K$1:K87,$K87,$L$1:L87,$L87,$M$1:M87,M87,$N$1:N87,N87),IF(LEN(COUNTIFS($J$1:J87,$J87,$K$1:K87,$K87,$L$1:L87,$L87,$M$1:M87,M87,$N$1:N87,N87))=2,"0"&amp;COUNTIFS($J$1:J87,$J87,$K$1:K87,$K87,$L$1:L87,$L87,$M$1:M87,M87,$N$1:N87,N87),COUNTIFS($J$1:J87,$J87,$K$1:K87,$K87,$L$1:L87,$L87,$M$1:M87,M87,$N$1:N87,N87)))</f>
        <v>019</v>
      </c>
      <c r="P8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MS-NS-004-18-01019-INV</v>
      </c>
      <c r="Q87" s="57" t="s">
        <v>7326</v>
      </c>
      <c r="R87" s="34" t="s">
        <v>5926</v>
      </c>
      <c r="S87" s="34" t="s">
        <v>187</v>
      </c>
      <c r="T87" s="34">
        <f>+IFERROR(_xlfn.XLOOKUP(Table43[[#This Row],[Column1]],#REF!,#REF!),0)</f>
        <v>0</v>
      </c>
      <c r="U87" s="50">
        <f>IFERROR(_xlfn.XLOOKUP(Table43[[#This Row],[Column1]],#REF!,#REF!),0)</f>
        <v>0</v>
      </c>
      <c r="V87" s="39"/>
    </row>
    <row r="88" spans="1:22" x14ac:dyDescent="0.35">
      <c r="A88" s="2" t="s">
        <v>188</v>
      </c>
      <c r="B88" s="2" t="s">
        <v>189</v>
      </c>
      <c r="C88" s="2" t="s">
        <v>15</v>
      </c>
      <c r="D88" s="2">
        <v>117.25</v>
      </c>
      <c r="E88" s="2" t="s">
        <v>10</v>
      </c>
      <c r="F88" s="2">
        <v>1</v>
      </c>
      <c r="G88" s="2">
        <v>5</v>
      </c>
      <c r="H88" s="2">
        <v>4</v>
      </c>
      <c r="I88" s="22">
        <f>Table43[[#This Row],[Item Cost]]*Table43[[#This Row],[In Stock]]</f>
        <v>469</v>
      </c>
      <c r="J88" s="12" t="s">
        <v>4941</v>
      </c>
      <c r="K88" s="13" t="s">
        <v>4666</v>
      </c>
      <c r="L88" s="13" t="s">
        <v>4677</v>
      </c>
      <c r="M88" s="13" t="s">
        <v>4838</v>
      </c>
      <c r="N88" s="12" t="s">
        <v>4845</v>
      </c>
      <c r="O88" s="17" t="str">
        <f>IF(LEN(COUNTIFS($J$1:J88,$J88,$K$1:K88,$K88,$L$1:L88,$L88,$M$1:M88,M88,$N$1:N88,N88))=1,"00"&amp;COUNTIFS($J$1:J88,$J88,$K$1:K88,$K88,$L$1:L88,$L88,$M$1:M88,M88,$N$1:N88,N88),IF(LEN(COUNTIFS($J$1:J88,$J88,$K$1:K88,$K88,$L$1:L88,$L88,$M$1:M88,M88,$N$1:N88,N88))=2,"0"&amp;COUNTIFS($J$1:J88,$J88,$K$1:K88,$K88,$L$1:L88,$L88,$M$1:M88,M88,$N$1:N88,N88),COUNTIFS($J$1:J88,$J88,$K$1:K88,$K88,$L$1:L88,$L88,$M$1:M88,M88,$N$1:N88,N88)))</f>
        <v>020</v>
      </c>
      <c r="P8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MS-NS-004-18-01020-INV</v>
      </c>
      <c r="Q88" s="57" t="s">
        <v>7326</v>
      </c>
      <c r="R88" s="34" t="s">
        <v>5927</v>
      </c>
      <c r="S88" s="34" t="s">
        <v>189</v>
      </c>
      <c r="T88" s="34">
        <f>+IFERROR(_xlfn.XLOOKUP(Table43[[#This Row],[Column1]],#REF!,#REF!),0)</f>
        <v>0</v>
      </c>
      <c r="U88" s="50">
        <f>IFERROR(_xlfn.XLOOKUP(Table43[[#This Row],[Column1]],#REF!,#REF!),0)</f>
        <v>0</v>
      </c>
      <c r="V88" s="39"/>
    </row>
    <row r="89" spans="1:22" x14ac:dyDescent="0.35">
      <c r="A89" s="2" t="s">
        <v>190</v>
      </c>
      <c r="B89" s="3" t="s">
        <v>191</v>
      </c>
      <c r="C89" s="3" t="s">
        <v>15</v>
      </c>
      <c r="D89" s="5">
        <v>2452.61</v>
      </c>
      <c r="E89" s="3" t="s">
        <v>10</v>
      </c>
      <c r="F89" s="2">
        <v>1</v>
      </c>
      <c r="G89" s="3">
        <v>5</v>
      </c>
      <c r="H89" s="3">
        <v>3</v>
      </c>
      <c r="I89" s="21">
        <f>Table43[[#This Row],[Item Cost]]*Table43[[#This Row],[In Stock]]</f>
        <v>7357.83</v>
      </c>
      <c r="J89" s="12" t="s">
        <v>4941</v>
      </c>
      <c r="K89" s="13" t="s">
        <v>4666</v>
      </c>
      <c r="L89" s="13" t="s">
        <v>4677</v>
      </c>
      <c r="M89" s="13" t="s">
        <v>4838</v>
      </c>
      <c r="N89" s="12" t="s">
        <v>4845</v>
      </c>
      <c r="O89" s="17" t="str">
        <f>IF(LEN(COUNTIFS($J$1:J89,$J89,$K$1:K89,$K89,$L$1:L89,$L89,$M$1:M89,M89,$N$1:N89,N89))=1,"00"&amp;COUNTIFS($J$1:J89,$J89,$K$1:K89,$K89,$L$1:L89,$L89,$M$1:M89,M89,$N$1:N89,N89),IF(LEN(COUNTIFS($J$1:J89,$J89,$K$1:K89,$K89,$L$1:L89,$L89,$M$1:M89,M89,$N$1:N89,N89))=2,"0"&amp;COUNTIFS($J$1:J89,$J89,$K$1:K89,$K89,$L$1:L89,$L89,$M$1:M89,M89,$N$1:N89,N89),COUNTIFS($J$1:J89,$J89,$K$1:K89,$K89,$L$1:L89,$L89,$M$1:M89,M89,$N$1:N89,N89)))</f>
        <v>021</v>
      </c>
      <c r="P8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MS-NS-004-18-01021-INV</v>
      </c>
      <c r="Q89" s="57"/>
      <c r="R89" s="34" t="s">
        <v>5928</v>
      </c>
      <c r="S89" s="34" t="s">
        <v>191</v>
      </c>
      <c r="T89" s="34">
        <f>+IFERROR(_xlfn.XLOOKUP(Table43[[#This Row],[Column1]],#REF!,#REF!),0)</f>
        <v>0</v>
      </c>
      <c r="U89" s="50">
        <f>IFERROR(_xlfn.XLOOKUP(Table43[[#This Row],[Column1]],#REF!,#REF!),0)</f>
        <v>0</v>
      </c>
      <c r="V89" s="39"/>
    </row>
    <row r="90" spans="1:22" x14ac:dyDescent="0.35">
      <c r="A90" s="2" t="s">
        <v>192</v>
      </c>
      <c r="B90" s="2" t="s">
        <v>193</v>
      </c>
      <c r="C90" s="2" t="s">
        <v>15</v>
      </c>
      <c r="D90" s="4">
        <v>3445.96</v>
      </c>
      <c r="E90" s="2" t="s">
        <v>10</v>
      </c>
      <c r="F90" s="2">
        <v>1</v>
      </c>
      <c r="G90" s="2">
        <v>5</v>
      </c>
      <c r="H90" s="2">
        <v>3</v>
      </c>
      <c r="I90" s="22">
        <f>Table43[[#This Row],[Item Cost]]*Table43[[#This Row],[In Stock]]</f>
        <v>10337.880000000001</v>
      </c>
      <c r="J90" s="12" t="s">
        <v>4941</v>
      </c>
      <c r="K90" s="13" t="s">
        <v>4666</v>
      </c>
      <c r="L90" s="13" t="s">
        <v>4677</v>
      </c>
      <c r="M90" s="13" t="s">
        <v>4838</v>
      </c>
      <c r="N90" s="12" t="s">
        <v>4845</v>
      </c>
      <c r="O90" s="17" t="str">
        <f>IF(LEN(COUNTIFS($J$1:J90,$J90,$K$1:K90,$K90,$L$1:L90,$L90,$M$1:M90,M90,$N$1:N90,N90))=1,"00"&amp;COUNTIFS($J$1:J90,$J90,$K$1:K90,$K90,$L$1:L90,$L90,$M$1:M90,M90,$N$1:N90,N90),IF(LEN(COUNTIFS($J$1:J90,$J90,$K$1:K90,$K90,$L$1:L90,$L90,$M$1:M90,M90,$N$1:N90,N90))=2,"0"&amp;COUNTIFS($J$1:J90,$J90,$K$1:K90,$K90,$L$1:L90,$L90,$M$1:M90,M90,$N$1:N90,N90),COUNTIFS($J$1:J90,$J90,$K$1:K90,$K90,$L$1:L90,$L90,$M$1:M90,M90,$N$1:N90,N90)))</f>
        <v>022</v>
      </c>
      <c r="P9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MS-NS-004-18-01022-INV</v>
      </c>
      <c r="Q90" s="57" t="s">
        <v>7326</v>
      </c>
      <c r="R90" s="34" t="s">
        <v>5929</v>
      </c>
      <c r="S90" s="34" t="s">
        <v>193</v>
      </c>
      <c r="T90" s="34">
        <f>+IFERROR(_xlfn.XLOOKUP(Table43[[#This Row],[Column1]],#REF!,#REF!),0)</f>
        <v>0</v>
      </c>
      <c r="U90" s="50">
        <f>IFERROR(_xlfn.XLOOKUP(Table43[[#This Row],[Column1]],#REF!,#REF!),0)</f>
        <v>0</v>
      </c>
      <c r="V90" s="39"/>
    </row>
    <row r="91" spans="1:22" x14ac:dyDescent="0.35">
      <c r="A91" s="2" t="s">
        <v>194</v>
      </c>
      <c r="B91" s="3" t="s">
        <v>195</v>
      </c>
      <c r="C91" s="3" t="s">
        <v>15</v>
      </c>
      <c r="D91" s="3">
        <v>603.46</v>
      </c>
      <c r="E91" s="3" t="s">
        <v>10</v>
      </c>
      <c r="F91" s="2">
        <v>1</v>
      </c>
      <c r="G91" s="3">
        <v>5</v>
      </c>
      <c r="H91" s="3">
        <v>3</v>
      </c>
      <c r="I91" s="21">
        <f>Table43[[#This Row],[Item Cost]]*Table43[[#This Row],[In Stock]]</f>
        <v>1810.38</v>
      </c>
      <c r="J91" s="12" t="s">
        <v>4941</v>
      </c>
      <c r="K91" s="13" t="s">
        <v>4666</v>
      </c>
      <c r="L91" s="13" t="s">
        <v>4677</v>
      </c>
      <c r="M91" s="13" t="s">
        <v>4838</v>
      </c>
      <c r="N91" s="12" t="s">
        <v>4845</v>
      </c>
      <c r="O91" s="17" t="str">
        <f>IF(LEN(COUNTIFS($J$1:J91,$J91,$K$1:K91,$K91,$L$1:L91,$L91,$M$1:M91,M91,$N$1:N91,N91))=1,"00"&amp;COUNTIFS($J$1:J91,$J91,$K$1:K91,$K91,$L$1:L91,$L91,$M$1:M91,M91,$N$1:N91,N91),IF(LEN(COUNTIFS($J$1:J91,$J91,$K$1:K91,$K91,$L$1:L91,$L91,$M$1:M91,M91,$N$1:N91,N91))=2,"0"&amp;COUNTIFS($J$1:J91,$J91,$K$1:K91,$K91,$L$1:L91,$L91,$M$1:M91,M91,$N$1:N91,N91),COUNTIFS($J$1:J91,$J91,$K$1:K91,$K91,$L$1:L91,$L91,$M$1:M91,M91,$N$1:N91,N91)))</f>
        <v>023</v>
      </c>
      <c r="P9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MS-NS-004-18-01023-INV</v>
      </c>
      <c r="Q91" s="57" t="s">
        <v>7326</v>
      </c>
      <c r="R91" s="34" t="s">
        <v>5930</v>
      </c>
      <c r="S91" s="34" t="s">
        <v>195</v>
      </c>
      <c r="T91" s="34">
        <f>+IFERROR(_xlfn.XLOOKUP(Table43[[#This Row],[Column1]],#REF!,#REF!),0)</f>
        <v>0</v>
      </c>
      <c r="U91" s="50">
        <f>IFERROR(_xlfn.XLOOKUP(Table43[[#This Row],[Column1]],#REF!,#REF!),0)</f>
        <v>0</v>
      </c>
      <c r="V91" s="39"/>
    </row>
    <row r="92" spans="1:22" x14ac:dyDescent="0.35">
      <c r="A92" s="2" t="s">
        <v>196</v>
      </c>
      <c r="B92" s="2" t="s">
        <v>197</v>
      </c>
      <c r="C92" s="2" t="s">
        <v>15</v>
      </c>
      <c r="D92" s="4">
        <v>2413.86</v>
      </c>
      <c r="E92" s="2" t="s">
        <v>10</v>
      </c>
      <c r="F92" s="2">
        <v>1</v>
      </c>
      <c r="G92" s="2">
        <v>5</v>
      </c>
      <c r="H92" s="2">
        <v>2</v>
      </c>
      <c r="I92" s="22">
        <f>Table43[[#This Row],[Item Cost]]*Table43[[#This Row],[In Stock]]</f>
        <v>4827.72</v>
      </c>
      <c r="J92" s="12" t="s">
        <v>4941</v>
      </c>
      <c r="K92" s="13" t="s">
        <v>4666</v>
      </c>
      <c r="L92" s="13" t="s">
        <v>4677</v>
      </c>
      <c r="M92" s="13" t="s">
        <v>4838</v>
      </c>
      <c r="N92" s="12" t="s">
        <v>4845</v>
      </c>
      <c r="O92" s="17" t="str">
        <f>IF(LEN(COUNTIFS($J$1:J92,$J92,$K$1:K92,$K92,$L$1:L92,$L92,$M$1:M92,M92,$N$1:N92,N92))=1,"00"&amp;COUNTIFS($J$1:J92,$J92,$K$1:K92,$K92,$L$1:L92,$L92,$M$1:M92,M92,$N$1:N92,N92),IF(LEN(COUNTIFS($J$1:J92,$J92,$K$1:K92,$K92,$L$1:L92,$L92,$M$1:M92,M92,$N$1:N92,N92))=2,"0"&amp;COUNTIFS($J$1:J92,$J92,$K$1:K92,$K92,$L$1:L92,$L92,$M$1:M92,M92,$N$1:N92,N92),COUNTIFS($J$1:J92,$J92,$K$1:K92,$K92,$L$1:L92,$L92,$M$1:M92,M92,$N$1:N92,N92)))</f>
        <v>024</v>
      </c>
      <c r="P9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MS-NS-004-18-01024-INV</v>
      </c>
      <c r="Q92" s="57" t="s">
        <v>7326</v>
      </c>
      <c r="R92" s="34" t="s">
        <v>5931</v>
      </c>
      <c r="S92" s="34" t="s">
        <v>197</v>
      </c>
      <c r="T92" s="34">
        <f>+IFERROR(_xlfn.XLOOKUP(Table43[[#This Row],[Column1]],#REF!,#REF!),0)</f>
        <v>0</v>
      </c>
      <c r="U92" s="50">
        <f>IFERROR(_xlfn.XLOOKUP(Table43[[#This Row],[Column1]],#REF!,#REF!),0)</f>
        <v>0</v>
      </c>
      <c r="V92" s="39"/>
    </row>
    <row r="93" spans="1:22" x14ac:dyDescent="0.35">
      <c r="A93" s="2" t="s">
        <v>198</v>
      </c>
      <c r="B93" s="3" t="s">
        <v>199</v>
      </c>
      <c r="C93" s="3" t="s">
        <v>15</v>
      </c>
      <c r="D93" s="5">
        <v>1152.78</v>
      </c>
      <c r="E93" s="3" t="s">
        <v>10</v>
      </c>
      <c r="F93" s="2">
        <v>1</v>
      </c>
      <c r="G93" s="3">
        <v>5</v>
      </c>
      <c r="H93" s="3">
        <v>2</v>
      </c>
      <c r="I93" s="21">
        <f>Table43[[#This Row],[Item Cost]]*Table43[[#This Row],[In Stock]]</f>
        <v>2305.56</v>
      </c>
      <c r="J93" s="12" t="s">
        <v>4941</v>
      </c>
      <c r="K93" s="13" t="s">
        <v>4666</v>
      </c>
      <c r="L93" s="13" t="s">
        <v>4677</v>
      </c>
      <c r="M93" s="13" t="s">
        <v>4838</v>
      </c>
      <c r="N93" s="12" t="s">
        <v>4845</v>
      </c>
      <c r="O93" s="17" t="str">
        <f>IF(LEN(COUNTIFS($J$1:J93,$J93,$K$1:K93,$K93,$L$1:L93,$L93,$M$1:M93,M93,$N$1:N93,N93))=1,"00"&amp;COUNTIFS($J$1:J93,$J93,$K$1:K93,$K93,$L$1:L93,$L93,$M$1:M93,M93,$N$1:N93,N93),IF(LEN(COUNTIFS($J$1:J93,$J93,$K$1:K93,$K93,$L$1:L93,$L93,$M$1:M93,M93,$N$1:N93,N93))=2,"0"&amp;COUNTIFS($J$1:J93,$J93,$K$1:K93,$K93,$L$1:L93,$L93,$M$1:M93,M93,$N$1:N93,N93),COUNTIFS($J$1:J93,$J93,$K$1:K93,$K93,$L$1:L93,$L93,$M$1:M93,M93,$N$1:N93,N93)))</f>
        <v>025</v>
      </c>
      <c r="P9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MS-NS-004-18-01025-INV</v>
      </c>
      <c r="Q93" s="57" t="s">
        <v>7326</v>
      </c>
      <c r="R93" s="34" t="s">
        <v>5932</v>
      </c>
      <c r="S93" s="34" t="s">
        <v>199</v>
      </c>
      <c r="T93" s="34">
        <f>+IFERROR(_xlfn.XLOOKUP(Table43[[#This Row],[Column1]],#REF!,#REF!),0)</f>
        <v>0</v>
      </c>
      <c r="U93" s="50">
        <f>IFERROR(_xlfn.XLOOKUP(Table43[[#This Row],[Column1]],#REF!,#REF!),0)</f>
        <v>0</v>
      </c>
      <c r="V93" s="39"/>
    </row>
    <row r="94" spans="1:22" x14ac:dyDescent="0.35">
      <c r="A94" s="2" t="s">
        <v>200</v>
      </c>
      <c r="B94" s="2" t="s">
        <v>201</v>
      </c>
      <c r="C94" s="2" t="s">
        <v>15</v>
      </c>
      <c r="D94" s="4">
        <v>2413.86</v>
      </c>
      <c r="E94" s="2" t="s">
        <v>10</v>
      </c>
      <c r="F94" s="2">
        <v>1</v>
      </c>
      <c r="G94" s="2">
        <v>5</v>
      </c>
      <c r="H94" s="2">
        <v>2</v>
      </c>
      <c r="I94" s="22">
        <f>Table43[[#This Row],[Item Cost]]*Table43[[#This Row],[In Stock]]</f>
        <v>4827.72</v>
      </c>
      <c r="J94" s="12" t="s">
        <v>4941</v>
      </c>
      <c r="K94" s="13" t="s">
        <v>4666</v>
      </c>
      <c r="L94" s="13" t="s">
        <v>4677</v>
      </c>
      <c r="M94" s="13" t="s">
        <v>4838</v>
      </c>
      <c r="N94" s="12" t="s">
        <v>4845</v>
      </c>
      <c r="O94" s="17" t="str">
        <f>IF(LEN(COUNTIFS($J$1:J94,$J94,$K$1:K94,$K94,$L$1:L94,$L94,$M$1:M94,M94,$N$1:N94,N94))=1,"00"&amp;COUNTIFS($J$1:J94,$J94,$K$1:K94,$K94,$L$1:L94,$L94,$M$1:M94,M94,$N$1:N94,N94),IF(LEN(COUNTIFS($J$1:J94,$J94,$K$1:K94,$K94,$L$1:L94,$L94,$M$1:M94,M94,$N$1:N94,N94))=2,"0"&amp;COUNTIFS($J$1:J94,$J94,$K$1:K94,$K94,$L$1:L94,$L94,$M$1:M94,M94,$N$1:N94,N94),COUNTIFS($J$1:J94,$J94,$K$1:K94,$K94,$L$1:L94,$L94,$M$1:M94,M94,$N$1:N94,N94)))</f>
        <v>026</v>
      </c>
      <c r="P9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MS-NS-004-18-01026-INV</v>
      </c>
      <c r="Q94" s="57"/>
      <c r="R94" s="34" t="s">
        <v>5933</v>
      </c>
      <c r="S94" s="34" t="s">
        <v>201</v>
      </c>
      <c r="T94" s="34">
        <f>+IFERROR(_xlfn.XLOOKUP(Table43[[#This Row],[Column1]],#REF!,#REF!),0)</f>
        <v>0</v>
      </c>
      <c r="U94" s="50">
        <f>IFERROR(_xlfn.XLOOKUP(Table43[[#This Row],[Column1]],#REF!,#REF!),0)</f>
        <v>0</v>
      </c>
      <c r="V94" s="39"/>
    </row>
    <row r="95" spans="1:22" x14ac:dyDescent="0.35">
      <c r="A95" s="2" t="s">
        <v>202</v>
      </c>
      <c r="B95" s="3" t="s">
        <v>203</v>
      </c>
      <c r="C95" s="3" t="s">
        <v>15</v>
      </c>
      <c r="D95" s="3">
        <v>196.16</v>
      </c>
      <c r="E95" s="3" t="s">
        <v>10</v>
      </c>
      <c r="F95" s="2">
        <v>1</v>
      </c>
      <c r="G95" s="3">
        <v>5</v>
      </c>
      <c r="H95" s="3">
        <v>1</v>
      </c>
      <c r="I95" s="21">
        <f>Table43[[#This Row],[Item Cost]]*Table43[[#This Row],[In Stock]]</f>
        <v>196.16</v>
      </c>
      <c r="J95" s="12" t="s">
        <v>4941</v>
      </c>
      <c r="K95" s="13" t="s">
        <v>4666</v>
      </c>
      <c r="L95" s="13" t="s">
        <v>4677</v>
      </c>
      <c r="M95" s="13" t="s">
        <v>4838</v>
      </c>
      <c r="N95" s="12" t="s">
        <v>4845</v>
      </c>
      <c r="O95" s="17" t="str">
        <f>IF(LEN(COUNTIFS($J$1:J95,$J95,$K$1:K95,$K95,$L$1:L95,$L95,$M$1:M95,M95,$N$1:N95,N95))=1,"00"&amp;COUNTIFS($J$1:J95,$J95,$K$1:K95,$K95,$L$1:L95,$L95,$M$1:M95,M95,$N$1:N95,N95),IF(LEN(COUNTIFS($J$1:J95,$J95,$K$1:K95,$K95,$L$1:L95,$L95,$M$1:M95,M95,$N$1:N95,N95))=2,"0"&amp;COUNTIFS($J$1:J95,$J95,$K$1:K95,$K95,$L$1:L95,$L95,$M$1:M95,M95,$N$1:N95,N95),COUNTIFS($J$1:J95,$J95,$K$1:K95,$K95,$L$1:L95,$L95,$M$1:M95,M95,$N$1:N95,N95)))</f>
        <v>027</v>
      </c>
      <c r="P9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MS-NS-004-18-01027-INV</v>
      </c>
      <c r="Q95" s="57"/>
      <c r="R95" s="34" t="s">
        <v>5934</v>
      </c>
      <c r="S95" s="34" t="s">
        <v>203</v>
      </c>
      <c r="T95" s="34">
        <f>+IFERROR(_xlfn.XLOOKUP(Table43[[#This Row],[Column1]],#REF!,#REF!),0)</f>
        <v>0</v>
      </c>
      <c r="U95" s="50">
        <f>IFERROR(_xlfn.XLOOKUP(Table43[[#This Row],[Column1]],#REF!,#REF!),0)</f>
        <v>0</v>
      </c>
      <c r="V95" s="39"/>
    </row>
    <row r="96" spans="1:22" x14ac:dyDescent="0.35">
      <c r="A96" s="2" t="s">
        <v>204</v>
      </c>
      <c r="B96" s="2" t="s">
        <v>205</v>
      </c>
      <c r="C96" s="2" t="s">
        <v>15</v>
      </c>
      <c r="D96" s="2">
        <v>213.52</v>
      </c>
      <c r="E96" s="2" t="s">
        <v>10</v>
      </c>
      <c r="F96" s="2">
        <v>1</v>
      </c>
      <c r="G96" s="2">
        <v>5</v>
      </c>
      <c r="H96" s="2">
        <v>2</v>
      </c>
      <c r="I96" s="22">
        <f>Table43[[#This Row],[Item Cost]]*Table43[[#This Row],[In Stock]]</f>
        <v>427.04</v>
      </c>
      <c r="J96" s="12" t="s">
        <v>4941</v>
      </c>
      <c r="K96" s="13" t="s">
        <v>4666</v>
      </c>
      <c r="L96" s="13" t="s">
        <v>4677</v>
      </c>
      <c r="M96" s="13" t="s">
        <v>4838</v>
      </c>
      <c r="N96" s="12" t="s">
        <v>4845</v>
      </c>
      <c r="O96" s="17" t="str">
        <f>IF(LEN(COUNTIFS($J$1:J96,$J96,$K$1:K96,$K96,$L$1:L96,$L96,$M$1:M96,M96,$N$1:N96,N96))=1,"00"&amp;COUNTIFS($J$1:J96,$J96,$K$1:K96,$K96,$L$1:L96,$L96,$M$1:M96,M96,$N$1:N96,N96),IF(LEN(COUNTIFS($J$1:J96,$J96,$K$1:K96,$K96,$L$1:L96,$L96,$M$1:M96,M96,$N$1:N96,N96))=2,"0"&amp;COUNTIFS($J$1:J96,$J96,$K$1:K96,$K96,$L$1:L96,$L96,$M$1:M96,M96,$N$1:N96,N96),COUNTIFS($J$1:J96,$J96,$K$1:K96,$K96,$L$1:L96,$L96,$M$1:M96,M96,$N$1:N96,N96)))</f>
        <v>028</v>
      </c>
      <c r="P9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MS-NS-004-18-01028-INV</v>
      </c>
      <c r="Q96" s="57" t="s">
        <v>7325</v>
      </c>
      <c r="R96" s="34" t="s">
        <v>5935</v>
      </c>
      <c r="S96" s="34" t="s">
        <v>205</v>
      </c>
      <c r="T96" s="34">
        <f>+IFERROR(_xlfn.XLOOKUP(Table43[[#This Row],[Column1]],#REF!,#REF!),0)</f>
        <v>0</v>
      </c>
      <c r="U96" s="50">
        <f>IFERROR(_xlfn.XLOOKUP(Table43[[#This Row],[Column1]],#REF!,#REF!),0)</f>
        <v>0</v>
      </c>
      <c r="V96" s="39"/>
    </row>
    <row r="97" spans="1:22" x14ac:dyDescent="0.35">
      <c r="A97" s="2" t="s">
        <v>206</v>
      </c>
      <c r="B97" s="3" t="s">
        <v>207</v>
      </c>
      <c r="C97" s="3" t="s">
        <v>15</v>
      </c>
      <c r="D97" s="3">
        <v>827.83</v>
      </c>
      <c r="E97" s="3" t="s">
        <v>10</v>
      </c>
      <c r="F97" s="2">
        <v>1</v>
      </c>
      <c r="G97" s="3">
        <v>5</v>
      </c>
      <c r="H97" s="3">
        <v>2</v>
      </c>
      <c r="I97" s="21">
        <f>Table43[[#This Row],[Item Cost]]*Table43[[#This Row],[In Stock]]</f>
        <v>1655.66</v>
      </c>
      <c r="J97" s="12" t="s">
        <v>4941</v>
      </c>
      <c r="K97" s="13" t="s">
        <v>4666</v>
      </c>
      <c r="L97" s="13" t="s">
        <v>4677</v>
      </c>
      <c r="M97" s="13" t="s">
        <v>4838</v>
      </c>
      <c r="N97" s="12" t="s">
        <v>4845</v>
      </c>
      <c r="O97" s="17" t="str">
        <f>IF(LEN(COUNTIFS($J$1:J97,$J97,$K$1:K97,$K97,$L$1:L97,$L97,$M$1:M97,M97,$N$1:N97,N97))=1,"00"&amp;COUNTIFS($J$1:J97,$J97,$K$1:K97,$K97,$L$1:L97,$L97,$M$1:M97,M97,$N$1:N97,N97),IF(LEN(COUNTIFS($J$1:J97,$J97,$K$1:K97,$K97,$L$1:L97,$L97,$M$1:M97,M97,$N$1:N97,N97))=2,"0"&amp;COUNTIFS($J$1:J97,$J97,$K$1:K97,$K97,$L$1:L97,$L97,$M$1:M97,M97,$N$1:N97,N97),COUNTIFS($J$1:J97,$J97,$K$1:K97,$K97,$L$1:L97,$L97,$M$1:M97,M97,$N$1:N97,N97)))</f>
        <v>029</v>
      </c>
      <c r="P9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MS-NS-004-18-01029-INV</v>
      </c>
      <c r="Q97" s="57" t="s">
        <v>7326</v>
      </c>
      <c r="R97" s="34" t="s">
        <v>5936</v>
      </c>
      <c r="S97" s="34" t="s">
        <v>207</v>
      </c>
      <c r="T97" s="34">
        <f>+IFERROR(_xlfn.XLOOKUP(Table43[[#This Row],[Column1]],#REF!,#REF!),0)</f>
        <v>0</v>
      </c>
      <c r="U97" s="50">
        <f>IFERROR(_xlfn.XLOOKUP(Table43[[#This Row],[Column1]],#REF!,#REF!),0)</f>
        <v>0</v>
      </c>
      <c r="V97" s="39"/>
    </row>
    <row r="98" spans="1:22" x14ac:dyDescent="0.35">
      <c r="A98" s="2" t="s">
        <v>208</v>
      </c>
      <c r="B98" s="2" t="s">
        <v>209</v>
      </c>
      <c r="C98" s="2" t="s">
        <v>15</v>
      </c>
      <c r="D98" s="4">
        <v>1350.01</v>
      </c>
      <c r="E98" s="2" t="s">
        <v>10</v>
      </c>
      <c r="F98" s="2">
        <v>1</v>
      </c>
      <c r="G98" s="2">
        <v>2</v>
      </c>
      <c r="H98" s="2">
        <v>1</v>
      </c>
      <c r="I98" s="22">
        <f>Table43[[#This Row],[Item Cost]]*Table43[[#This Row],[In Stock]]</f>
        <v>1350.01</v>
      </c>
      <c r="J98" s="12" t="s">
        <v>4941</v>
      </c>
      <c r="K98" s="13" t="s">
        <v>4666</v>
      </c>
      <c r="L98" s="13" t="s">
        <v>4677</v>
      </c>
      <c r="M98" s="13" t="s">
        <v>4838</v>
      </c>
      <c r="N98" s="12" t="s">
        <v>4845</v>
      </c>
      <c r="O98" s="17" t="str">
        <f>IF(LEN(COUNTIFS($J$1:J98,$J98,$K$1:K98,$K98,$L$1:L98,$L98,$M$1:M98,M98,$N$1:N98,N98))=1,"00"&amp;COUNTIFS($J$1:J98,$J98,$K$1:K98,$K98,$L$1:L98,$L98,$M$1:M98,M98,$N$1:N98,N98),IF(LEN(COUNTIFS($J$1:J98,$J98,$K$1:K98,$K98,$L$1:L98,$L98,$M$1:M98,M98,$N$1:N98,N98))=2,"0"&amp;COUNTIFS($J$1:J98,$J98,$K$1:K98,$K98,$L$1:L98,$L98,$M$1:M98,M98,$N$1:N98,N98),COUNTIFS($J$1:J98,$J98,$K$1:K98,$K98,$L$1:L98,$L98,$M$1:M98,M98,$N$1:N98,N98)))</f>
        <v>030</v>
      </c>
      <c r="P9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MS-NS-004-18-01030-INV</v>
      </c>
      <c r="Q98" s="57" t="s">
        <v>7326</v>
      </c>
      <c r="R98" s="34" t="s">
        <v>5937</v>
      </c>
      <c r="S98" s="34" t="s">
        <v>209</v>
      </c>
      <c r="T98" s="34">
        <f>+IFERROR(_xlfn.XLOOKUP(Table43[[#This Row],[Column1]],#REF!,#REF!),0)</f>
        <v>0</v>
      </c>
      <c r="U98" s="50">
        <f>IFERROR(_xlfn.XLOOKUP(Table43[[#This Row],[Column1]],#REF!,#REF!),0)</f>
        <v>0</v>
      </c>
      <c r="V98" s="39"/>
    </row>
    <row r="99" spans="1:22" x14ac:dyDescent="0.35">
      <c r="A99" s="2" t="s">
        <v>210</v>
      </c>
      <c r="B99" s="3" t="s">
        <v>211</v>
      </c>
      <c r="C99" s="3" t="s">
        <v>15</v>
      </c>
      <c r="D99" s="5">
        <v>4133.55</v>
      </c>
      <c r="E99" s="3" t="s">
        <v>10</v>
      </c>
      <c r="F99" s="2">
        <v>1</v>
      </c>
      <c r="G99" s="3">
        <v>2</v>
      </c>
      <c r="H99" s="3">
        <v>1</v>
      </c>
      <c r="I99" s="21">
        <f>Table43[[#This Row],[Item Cost]]*Table43[[#This Row],[In Stock]]</f>
        <v>4133.55</v>
      </c>
      <c r="J99" s="12" t="s">
        <v>4941</v>
      </c>
      <c r="K99" s="13" t="s">
        <v>4666</v>
      </c>
      <c r="L99" s="13" t="s">
        <v>4677</v>
      </c>
      <c r="M99" s="13" t="s">
        <v>4838</v>
      </c>
      <c r="N99" s="12" t="s">
        <v>4845</v>
      </c>
      <c r="O99" s="17" t="str">
        <f>IF(LEN(COUNTIFS($J$1:J99,$J99,$K$1:K99,$K99,$L$1:L99,$L99,$M$1:M99,M99,$N$1:N99,N99))=1,"00"&amp;COUNTIFS($J$1:J99,$J99,$K$1:K99,$K99,$L$1:L99,$L99,$M$1:M99,M99,$N$1:N99,N99),IF(LEN(COUNTIFS($J$1:J99,$J99,$K$1:K99,$K99,$L$1:L99,$L99,$M$1:M99,M99,$N$1:N99,N99))=2,"0"&amp;COUNTIFS($J$1:J99,$J99,$K$1:K99,$K99,$L$1:L99,$L99,$M$1:M99,M99,$N$1:N99,N99),COUNTIFS($J$1:J99,$J99,$K$1:K99,$K99,$L$1:L99,$L99,$M$1:M99,M99,$N$1:N99,N99)))</f>
        <v>031</v>
      </c>
      <c r="P9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MS-NS-004-18-01031-INV</v>
      </c>
      <c r="Q99" s="57" t="s">
        <v>7326</v>
      </c>
      <c r="R99" s="34" t="s">
        <v>5938</v>
      </c>
      <c r="S99" s="34" t="s">
        <v>211</v>
      </c>
      <c r="T99" s="34">
        <f>+IFERROR(_xlfn.XLOOKUP(Table43[[#This Row],[Column1]],#REF!,#REF!),0)</f>
        <v>0</v>
      </c>
      <c r="U99" s="50">
        <f>IFERROR(_xlfn.XLOOKUP(Table43[[#This Row],[Column1]],#REF!,#REF!),0)</f>
        <v>0</v>
      </c>
      <c r="V99" s="39"/>
    </row>
    <row r="100" spans="1:22" x14ac:dyDescent="0.35">
      <c r="A100" s="2" t="s">
        <v>212</v>
      </c>
      <c r="B100" s="2" t="s">
        <v>213</v>
      </c>
      <c r="C100" s="2" t="s">
        <v>15</v>
      </c>
      <c r="D100" s="2">
        <v>812.38</v>
      </c>
      <c r="E100" s="2" t="s">
        <v>10</v>
      </c>
      <c r="F100" s="2">
        <v>1</v>
      </c>
      <c r="G100" s="2">
        <v>2</v>
      </c>
      <c r="H100" s="2">
        <v>1</v>
      </c>
      <c r="I100" s="22">
        <f>Table43[[#This Row],[Item Cost]]*Table43[[#This Row],[In Stock]]</f>
        <v>812.38</v>
      </c>
      <c r="J100" s="12" t="s">
        <v>4941</v>
      </c>
      <c r="K100" s="13" t="s">
        <v>4666</v>
      </c>
      <c r="L100" s="13" t="s">
        <v>4677</v>
      </c>
      <c r="M100" s="13" t="s">
        <v>4838</v>
      </c>
      <c r="N100" s="12" t="s">
        <v>4845</v>
      </c>
      <c r="O100" s="17" t="str">
        <f>IF(LEN(COUNTIFS($J$1:J100,$J100,$K$1:K100,$K100,$L$1:L100,$L100,$M$1:M100,M100,$N$1:N100,N100))=1,"00"&amp;COUNTIFS($J$1:J100,$J100,$K$1:K100,$K100,$L$1:L100,$L100,$M$1:M100,M100,$N$1:N100,N100),IF(LEN(COUNTIFS($J$1:J100,$J100,$K$1:K100,$K100,$L$1:L100,$L100,$M$1:M100,M100,$N$1:N100,N100))=2,"0"&amp;COUNTIFS($J$1:J100,$J100,$K$1:K100,$K100,$L$1:L100,$L100,$M$1:M100,M100,$N$1:N100,N100),COUNTIFS($J$1:J100,$J100,$K$1:K100,$K100,$L$1:L100,$L100,$M$1:M100,M100,$N$1:N100,N100)))</f>
        <v>032</v>
      </c>
      <c r="P10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MS-NS-004-18-01032-INV</v>
      </c>
      <c r="Q100" s="57" t="s">
        <v>7326</v>
      </c>
      <c r="R100" s="34" t="s">
        <v>5939</v>
      </c>
      <c r="S100" s="34" t="s">
        <v>213</v>
      </c>
      <c r="T100" s="34">
        <f>+IFERROR(_xlfn.XLOOKUP(Table43[[#This Row],[Column1]],#REF!,#REF!),0)</f>
        <v>0</v>
      </c>
      <c r="U100" s="50">
        <f>IFERROR(_xlfn.XLOOKUP(Table43[[#This Row],[Column1]],#REF!,#REF!),0)</f>
        <v>0</v>
      </c>
      <c r="V100" s="39"/>
    </row>
    <row r="101" spans="1:22" x14ac:dyDescent="0.35">
      <c r="A101" s="2" t="s">
        <v>214</v>
      </c>
      <c r="B101" s="3" t="s">
        <v>215</v>
      </c>
      <c r="C101" s="3" t="s">
        <v>15</v>
      </c>
      <c r="D101" s="5">
        <v>1206.93</v>
      </c>
      <c r="E101" s="3" t="s">
        <v>10</v>
      </c>
      <c r="F101" s="2">
        <v>1</v>
      </c>
      <c r="G101" s="3">
        <v>2</v>
      </c>
      <c r="H101" s="3">
        <v>1</v>
      </c>
      <c r="I101" s="21">
        <f>Table43[[#This Row],[Item Cost]]*Table43[[#This Row],[In Stock]]</f>
        <v>1206.93</v>
      </c>
      <c r="J101" s="12" t="s">
        <v>4941</v>
      </c>
      <c r="K101" s="13" t="s">
        <v>4666</v>
      </c>
      <c r="L101" s="13" t="s">
        <v>4677</v>
      </c>
      <c r="M101" s="13" t="s">
        <v>4838</v>
      </c>
      <c r="N101" s="12" t="s">
        <v>4845</v>
      </c>
      <c r="O101" s="17" t="str">
        <f>IF(LEN(COUNTIFS($J$1:J101,$J101,$K$1:K101,$K101,$L$1:L101,$L101,$M$1:M101,M101,$N$1:N101,N101))=1,"00"&amp;COUNTIFS($J$1:J101,$J101,$K$1:K101,$K101,$L$1:L101,$L101,$M$1:M101,M101,$N$1:N101,N101),IF(LEN(COUNTIFS($J$1:J101,$J101,$K$1:K101,$K101,$L$1:L101,$L101,$M$1:M101,M101,$N$1:N101,N101))=2,"0"&amp;COUNTIFS($J$1:J101,$J101,$K$1:K101,$K101,$L$1:L101,$L101,$M$1:M101,M101,$N$1:N101,N101),COUNTIFS($J$1:J101,$J101,$K$1:K101,$K101,$L$1:L101,$L101,$M$1:M101,M101,$N$1:N101,N101)))</f>
        <v>033</v>
      </c>
      <c r="P10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MS-NS-004-18-01033-INV</v>
      </c>
      <c r="Q101" s="57" t="s">
        <v>7326</v>
      </c>
      <c r="R101" s="34" t="s">
        <v>5940</v>
      </c>
      <c r="S101" s="34" t="s">
        <v>215</v>
      </c>
      <c r="T101" s="34">
        <f>+IFERROR(_xlfn.XLOOKUP(Table43[[#This Row],[Column1]],#REF!,#REF!),0)</f>
        <v>0</v>
      </c>
      <c r="U101" s="50">
        <f>IFERROR(_xlfn.XLOOKUP(Table43[[#This Row],[Column1]],#REF!,#REF!),0)</f>
        <v>0</v>
      </c>
      <c r="V101" s="39"/>
    </row>
    <row r="102" spans="1:22" x14ac:dyDescent="0.35">
      <c r="A102" s="2" t="s">
        <v>216</v>
      </c>
      <c r="B102" s="2" t="s">
        <v>217</v>
      </c>
      <c r="C102" s="2" t="s">
        <v>15</v>
      </c>
      <c r="D102" s="2">
        <v>196.16</v>
      </c>
      <c r="E102" s="2" t="s">
        <v>10</v>
      </c>
      <c r="F102" s="2">
        <v>1</v>
      </c>
      <c r="G102" s="2">
        <v>2</v>
      </c>
      <c r="H102" s="2">
        <v>1</v>
      </c>
      <c r="I102" s="22">
        <f>Table43[[#This Row],[Item Cost]]*Table43[[#This Row],[In Stock]]</f>
        <v>196.16</v>
      </c>
      <c r="J102" s="12" t="s">
        <v>4941</v>
      </c>
      <c r="K102" s="13" t="s">
        <v>4666</v>
      </c>
      <c r="L102" s="13" t="s">
        <v>4677</v>
      </c>
      <c r="M102" s="13" t="s">
        <v>4838</v>
      </c>
      <c r="N102" s="12" t="s">
        <v>4845</v>
      </c>
      <c r="O102" s="17" t="str">
        <f>IF(LEN(COUNTIFS($J$1:J102,$J102,$K$1:K102,$K102,$L$1:L102,$L102,$M$1:M102,M102,$N$1:N102,N102))=1,"00"&amp;COUNTIFS($J$1:J102,$J102,$K$1:K102,$K102,$L$1:L102,$L102,$M$1:M102,M102,$N$1:N102,N102),IF(LEN(COUNTIFS($J$1:J102,$J102,$K$1:K102,$K102,$L$1:L102,$L102,$M$1:M102,M102,$N$1:N102,N102))=2,"0"&amp;COUNTIFS($J$1:J102,$J102,$K$1:K102,$K102,$L$1:L102,$L102,$M$1:M102,M102,$N$1:N102,N102),COUNTIFS($J$1:J102,$J102,$K$1:K102,$K102,$L$1:L102,$L102,$M$1:M102,M102,$N$1:N102,N102)))</f>
        <v>034</v>
      </c>
      <c r="P10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MS-NS-004-18-01034-INV</v>
      </c>
      <c r="Q102" s="57" t="s">
        <v>7326</v>
      </c>
      <c r="R102" s="34" t="s">
        <v>5941</v>
      </c>
      <c r="S102" s="34" t="s">
        <v>217</v>
      </c>
      <c r="T102" s="34">
        <f>+IFERROR(_xlfn.XLOOKUP(Table43[[#This Row],[Column1]],#REF!,#REF!),0)</f>
        <v>0</v>
      </c>
      <c r="U102" s="50">
        <f>IFERROR(_xlfn.XLOOKUP(Table43[[#This Row],[Column1]],#REF!,#REF!),0)</f>
        <v>0</v>
      </c>
      <c r="V102" s="39"/>
    </row>
    <row r="103" spans="1:22" x14ac:dyDescent="0.35">
      <c r="A103" s="2" t="s">
        <v>218</v>
      </c>
      <c r="B103" s="3" t="s">
        <v>219</v>
      </c>
      <c r="C103" s="3" t="s">
        <v>15</v>
      </c>
      <c r="D103" s="5">
        <v>2021.02</v>
      </c>
      <c r="E103" s="3" t="s">
        <v>10</v>
      </c>
      <c r="F103" s="2">
        <v>1</v>
      </c>
      <c r="G103" s="3">
        <v>2</v>
      </c>
      <c r="H103" s="3">
        <v>1</v>
      </c>
      <c r="I103" s="21">
        <f>Table43[[#This Row],[Item Cost]]*Table43[[#This Row],[In Stock]]</f>
        <v>2021.02</v>
      </c>
      <c r="J103" s="12" t="s">
        <v>4941</v>
      </c>
      <c r="K103" s="13" t="s">
        <v>4666</v>
      </c>
      <c r="L103" s="13" t="s">
        <v>4677</v>
      </c>
      <c r="M103" s="13" t="s">
        <v>4838</v>
      </c>
      <c r="N103" s="12" t="s">
        <v>4845</v>
      </c>
      <c r="O103" s="17" t="str">
        <f>IF(LEN(COUNTIFS($J$1:J103,$J103,$K$1:K103,$K103,$L$1:L103,$L103,$M$1:M103,M103,$N$1:N103,N103))=1,"00"&amp;COUNTIFS($J$1:J103,$J103,$K$1:K103,$K103,$L$1:L103,$L103,$M$1:M103,M103,$N$1:N103,N103),IF(LEN(COUNTIFS($J$1:J103,$J103,$K$1:K103,$K103,$L$1:L103,$L103,$M$1:M103,M103,$N$1:N103,N103))=2,"0"&amp;COUNTIFS($J$1:J103,$J103,$K$1:K103,$K103,$L$1:L103,$L103,$M$1:M103,M103,$N$1:N103,N103),COUNTIFS($J$1:J103,$J103,$K$1:K103,$K103,$L$1:L103,$L103,$M$1:M103,M103,$N$1:N103,N103)))</f>
        <v>035</v>
      </c>
      <c r="P10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MS-NS-004-18-01035-INV</v>
      </c>
      <c r="Q103" s="57" t="s">
        <v>7325</v>
      </c>
      <c r="R103" s="34" t="s">
        <v>5942</v>
      </c>
      <c r="S103" s="34" t="s">
        <v>219</v>
      </c>
      <c r="T103" s="34">
        <f>+IFERROR(_xlfn.XLOOKUP(Table43[[#This Row],[Column1]],#REF!,#REF!),0)</f>
        <v>0</v>
      </c>
      <c r="U103" s="50">
        <f>IFERROR(_xlfn.XLOOKUP(Table43[[#This Row],[Column1]],#REF!,#REF!),0)</f>
        <v>0</v>
      </c>
      <c r="V103" s="39"/>
    </row>
    <row r="104" spans="1:22" x14ac:dyDescent="0.35">
      <c r="A104" s="2" t="s">
        <v>220</v>
      </c>
      <c r="B104" s="2" t="s">
        <v>221</v>
      </c>
      <c r="C104" s="2" t="s">
        <v>15</v>
      </c>
      <c r="D104" s="2">
        <v>0</v>
      </c>
      <c r="E104" s="2" t="s">
        <v>10</v>
      </c>
      <c r="F104" s="2">
        <v>1</v>
      </c>
      <c r="G104" s="2">
        <v>2</v>
      </c>
      <c r="H104" s="2">
        <v>0</v>
      </c>
      <c r="I104" s="22">
        <f>Table43[[#This Row],[Item Cost]]*Table43[[#This Row],[In Stock]]</f>
        <v>0</v>
      </c>
      <c r="J104" s="12" t="s">
        <v>4941</v>
      </c>
      <c r="K104" s="13" t="s">
        <v>4666</v>
      </c>
      <c r="L104" s="13" t="s">
        <v>4677</v>
      </c>
      <c r="M104" s="13" t="s">
        <v>4827</v>
      </c>
      <c r="N104" s="12" t="s">
        <v>4845</v>
      </c>
      <c r="O104" s="17" t="str">
        <f>IF(LEN(COUNTIFS($J$1:J104,$J104,$K$1:K104,$K104,$L$1:L104,$L104,$M$1:M104,M104,$N$1:N104,N104))=1,"00"&amp;COUNTIFS($J$1:J104,$J104,$K$1:K104,$K104,$L$1:L104,$L104,$M$1:M104,M104,$N$1:N104,N104),IF(LEN(COUNTIFS($J$1:J104,$J104,$K$1:K104,$K104,$L$1:L104,$L104,$M$1:M104,M104,$N$1:N104,N104))=2,"0"&amp;COUNTIFS($J$1:J104,$J104,$K$1:K104,$K104,$L$1:L104,$L104,$M$1:M104,M104,$N$1:N104,N104),COUNTIFS($J$1:J104,$J104,$K$1:K104,$K104,$L$1:L104,$L104,$M$1:M104,M104,$N$1:N104,N104)))</f>
        <v>005</v>
      </c>
      <c r="P10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MS-NS-004-10-01005-INV</v>
      </c>
      <c r="Q104" s="57"/>
      <c r="R104" s="34" t="s">
        <v>5943</v>
      </c>
      <c r="S104" s="34" t="s">
        <v>221</v>
      </c>
      <c r="T104" s="34">
        <f>+IFERROR(_xlfn.XLOOKUP(Table43[[#This Row],[Column1]],#REF!,#REF!),0)</f>
        <v>0</v>
      </c>
      <c r="U104" s="50">
        <f>IFERROR(_xlfn.XLOOKUP(Table43[[#This Row],[Column1]],#REF!,#REF!),0)</f>
        <v>0</v>
      </c>
      <c r="V104" s="39"/>
    </row>
    <row r="105" spans="1:22" x14ac:dyDescent="0.35">
      <c r="A105" s="2" t="s">
        <v>222</v>
      </c>
      <c r="B105" s="3" t="s">
        <v>223</v>
      </c>
      <c r="C105" s="3" t="s">
        <v>15</v>
      </c>
      <c r="D105" s="3">
        <v>0</v>
      </c>
      <c r="E105" s="3" t="s">
        <v>10</v>
      </c>
      <c r="F105" s="2">
        <v>1</v>
      </c>
      <c r="G105" s="3">
        <v>2</v>
      </c>
      <c r="H105" s="3">
        <v>0</v>
      </c>
      <c r="I105" s="21">
        <f>Table43[[#This Row],[Item Cost]]*Table43[[#This Row],[In Stock]]</f>
        <v>0</v>
      </c>
      <c r="J105" s="12" t="s">
        <v>4941</v>
      </c>
      <c r="K105" s="13" t="s">
        <v>4666</v>
      </c>
      <c r="L105" s="13" t="s">
        <v>4677</v>
      </c>
      <c r="M105" s="13" t="s">
        <v>4827</v>
      </c>
      <c r="N105" s="12" t="s">
        <v>4845</v>
      </c>
      <c r="O105" s="17" t="str">
        <f>IF(LEN(COUNTIFS($J$1:J105,$J105,$K$1:K105,$K105,$L$1:L105,$L105,$M$1:M105,M105,$N$1:N105,N105))=1,"00"&amp;COUNTIFS($J$1:J105,$J105,$K$1:K105,$K105,$L$1:L105,$L105,$M$1:M105,M105,$N$1:N105,N105),IF(LEN(COUNTIFS($J$1:J105,$J105,$K$1:K105,$K105,$L$1:L105,$L105,$M$1:M105,M105,$N$1:N105,N105))=2,"0"&amp;COUNTIFS($J$1:J105,$J105,$K$1:K105,$K105,$L$1:L105,$L105,$M$1:M105,M105,$N$1:N105,N105),COUNTIFS($J$1:J105,$J105,$K$1:K105,$K105,$L$1:L105,$L105,$M$1:M105,M105,$N$1:N105,N105)))</f>
        <v>006</v>
      </c>
      <c r="P10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MS-NS-004-10-01006-INV</v>
      </c>
      <c r="Q105" s="58"/>
      <c r="R105" s="34" t="s">
        <v>5944</v>
      </c>
      <c r="S105" s="34" t="s">
        <v>223</v>
      </c>
      <c r="T105" s="34">
        <f>+IFERROR(_xlfn.XLOOKUP(Table43[[#This Row],[Column1]],#REF!,#REF!),0)</f>
        <v>0</v>
      </c>
      <c r="U105" s="50">
        <f>IFERROR(_xlfn.XLOOKUP(Table43[[#This Row],[Column1]],#REF!,#REF!),0)</f>
        <v>0</v>
      </c>
      <c r="V105" s="39"/>
    </row>
    <row r="106" spans="1:22" x14ac:dyDescent="0.35">
      <c r="A106" s="3" t="s">
        <v>289</v>
      </c>
      <c r="B106" s="3" t="s">
        <v>290</v>
      </c>
      <c r="C106" s="3" t="s">
        <v>15</v>
      </c>
      <c r="D106" s="3">
        <v>0</v>
      </c>
      <c r="E106" s="3" t="s">
        <v>10</v>
      </c>
      <c r="F106" s="3">
        <v>1</v>
      </c>
      <c r="G106" s="3">
        <v>10</v>
      </c>
      <c r="H106" s="3">
        <v>0</v>
      </c>
      <c r="I106" s="21">
        <f>Table43[[#This Row],[Item Cost]]*Table43[[#This Row],[In Stock]]</f>
        <v>0</v>
      </c>
      <c r="J106" s="12" t="s">
        <v>4941</v>
      </c>
      <c r="K106" s="13" t="s">
        <v>4666</v>
      </c>
      <c r="L106" s="13" t="s">
        <v>4672</v>
      </c>
      <c r="M106" s="13" t="s">
        <v>3950</v>
      </c>
      <c r="N106" s="12" t="s">
        <v>4672</v>
      </c>
      <c r="O106" s="17" t="str">
        <f>IF(LEN(COUNTIFS($J$1:J106,$J106,$K$1:K106,$K106,$L$1:L106,$L106,$M$1:M106,M106,$N$1:N106,N106))=1,"00"&amp;COUNTIFS($J$1:J106,$J106,$K$1:K106,$K106,$L$1:L106,$L106,$M$1:M106,M106,$N$1:N106,N106),IF(LEN(COUNTIFS($J$1:J106,$J106,$K$1:K106,$K106,$L$1:L106,$L106,$M$1:M106,M106,$N$1:N106,N106))=2,"0"&amp;COUNTIFS($J$1:J106,$J106,$K$1:K106,$K106,$L$1:L106,$L106,$M$1:M106,M106,$N$1:N106,N106),COUNTIFS($J$1:J106,$J106,$K$1:K106,$K106,$L$1:L106,$L106,$M$1:M106,M106,$N$1:N106,N106)))</f>
        <v>001</v>
      </c>
      <c r="P10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MS-NS-000-22-00001-INV</v>
      </c>
      <c r="Q106" s="59"/>
      <c r="R106" s="34"/>
      <c r="S106" s="34">
        <v>0</v>
      </c>
      <c r="T106" s="34">
        <f>+IFERROR(_xlfn.XLOOKUP(Table43[[#This Row],[Column1]],#REF!,#REF!),0)</f>
        <v>0</v>
      </c>
      <c r="U106" s="50">
        <f>IFERROR(_xlfn.XLOOKUP(Table43[[#This Row],[Column1]],#REF!,#REF!),0)</f>
        <v>0</v>
      </c>
      <c r="V106" s="39"/>
    </row>
    <row r="107" spans="1:22" x14ac:dyDescent="0.35">
      <c r="A107" s="3" t="s">
        <v>291</v>
      </c>
      <c r="B107" s="2" t="s">
        <v>292</v>
      </c>
      <c r="C107" s="2" t="s">
        <v>15</v>
      </c>
      <c r="D107" s="2">
        <v>100</v>
      </c>
      <c r="E107" s="2" t="s">
        <v>10</v>
      </c>
      <c r="F107" s="3">
        <v>1</v>
      </c>
      <c r="G107" s="3">
        <v>10</v>
      </c>
      <c r="H107" s="2">
        <v>2</v>
      </c>
      <c r="I107" s="22">
        <f>Table43[[#This Row],[Item Cost]]*Table43[[#This Row],[In Stock]]</f>
        <v>200</v>
      </c>
      <c r="J107" s="12" t="s">
        <v>4941</v>
      </c>
      <c r="K107" s="13" t="s">
        <v>4666</v>
      </c>
      <c r="L107" s="13" t="s">
        <v>4672</v>
      </c>
      <c r="M107" s="13" t="s">
        <v>3950</v>
      </c>
      <c r="N107" s="12" t="s">
        <v>4672</v>
      </c>
      <c r="O107" s="17" t="str">
        <f>IF(LEN(COUNTIFS($J$1:J107,$J107,$K$1:K107,$K107,$L$1:L107,$L107,$M$1:M107,M107,$N$1:N107,N107))=1,"00"&amp;COUNTIFS($J$1:J107,$J107,$K$1:K107,$K107,$L$1:L107,$L107,$M$1:M107,M107,$N$1:N107,N107),IF(LEN(COUNTIFS($J$1:J107,$J107,$K$1:K107,$K107,$L$1:L107,$L107,$M$1:M107,M107,$N$1:N107,N107))=2,"0"&amp;COUNTIFS($J$1:J107,$J107,$K$1:K107,$K107,$L$1:L107,$L107,$M$1:M107,M107,$N$1:N107,N107),COUNTIFS($J$1:J107,$J107,$K$1:K107,$K107,$L$1:L107,$L107,$M$1:M107,M107,$N$1:N107,N107)))</f>
        <v>002</v>
      </c>
      <c r="P10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MS-NS-000-22-00002-INV</v>
      </c>
      <c r="Q107" s="59"/>
      <c r="R107" s="34" t="s">
        <v>5945</v>
      </c>
      <c r="S107" s="34" t="s">
        <v>292</v>
      </c>
      <c r="T107" s="34">
        <f>+IFERROR(_xlfn.XLOOKUP(Table43[[#This Row],[Column1]],#REF!,#REF!),0)</f>
        <v>0</v>
      </c>
      <c r="U107" s="50">
        <f>IFERROR(_xlfn.XLOOKUP(Table43[[#This Row],[Column1]],#REF!,#REF!),0)</f>
        <v>0</v>
      </c>
      <c r="V107" s="39"/>
    </row>
    <row r="108" spans="1:22" x14ac:dyDescent="0.35">
      <c r="A108" s="3" t="s">
        <v>293</v>
      </c>
      <c r="B108" s="3" t="s">
        <v>294</v>
      </c>
      <c r="C108" s="3" t="s">
        <v>15</v>
      </c>
      <c r="D108" s="3">
        <v>14</v>
      </c>
      <c r="E108" s="3" t="s">
        <v>10</v>
      </c>
      <c r="F108" s="3">
        <v>1</v>
      </c>
      <c r="G108" s="3">
        <v>10</v>
      </c>
      <c r="H108" s="3">
        <v>3</v>
      </c>
      <c r="I108" s="21">
        <f>Table43[[#This Row],[Item Cost]]*Table43[[#This Row],[In Stock]]</f>
        <v>42</v>
      </c>
      <c r="J108" s="12" t="s">
        <v>4941</v>
      </c>
      <c r="K108" s="13" t="s">
        <v>4666</v>
      </c>
      <c r="L108" s="13" t="s">
        <v>4672</v>
      </c>
      <c r="M108" s="13" t="s">
        <v>3950</v>
      </c>
      <c r="N108" s="12" t="s">
        <v>4672</v>
      </c>
      <c r="O108" s="17" t="str">
        <f>IF(LEN(COUNTIFS($J$1:J108,$J108,$K$1:K108,$K108,$L$1:L108,$L108,$M$1:M108,M108,$N$1:N108,N108))=1,"00"&amp;COUNTIFS($J$1:J108,$J108,$K$1:K108,$K108,$L$1:L108,$L108,$M$1:M108,M108,$N$1:N108,N108),IF(LEN(COUNTIFS($J$1:J108,$J108,$K$1:K108,$K108,$L$1:L108,$L108,$M$1:M108,M108,$N$1:N108,N108))=2,"0"&amp;COUNTIFS($J$1:J108,$J108,$K$1:K108,$K108,$L$1:L108,$L108,$M$1:M108,M108,$N$1:N108,N108),COUNTIFS($J$1:J108,$J108,$K$1:K108,$K108,$L$1:L108,$L108,$M$1:M108,M108,$N$1:N108,N108)))</f>
        <v>003</v>
      </c>
      <c r="P10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MS-NS-000-22-00003-INV</v>
      </c>
      <c r="Q108" s="59"/>
      <c r="R108" s="34" t="s">
        <v>5946</v>
      </c>
      <c r="S108" s="34" t="s">
        <v>294</v>
      </c>
      <c r="T108" s="34">
        <f>+IFERROR(_xlfn.XLOOKUP(Table43[[#This Row],[Column1]],#REF!,#REF!),0)</f>
        <v>0</v>
      </c>
      <c r="U108" s="50">
        <f>IFERROR(_xlfn.XLOOKUP(Table43[[#This Row],[Column1]],#REF!,#REF!),0)</f>
        <v>0</v>
      </c>
      <c r="V108" s="39"/>
    </row>
    <row r="109" spans="1:22" x14ac:dyDescent="0.35">
      <c r="A109" s="3" t="s">
        <v>295</v>
      </c>
      <c r="B109" s="2" t="s">
        <v>296</v>
      </c>
      <c r="C109" s="2" t="s">
        <v>15</v>
      </c>
      <c r="D109" s="2">
        <v>23.428000000000001</v>
      </c>
      <c r="E109" s="2" t="s">
        <v>10</v>
      </c>
      <c r="F109" s="3">
        <v>1</v>
      </c>
      <c r="G109" s="3">
        <v>10</v>
      </c>
      <c r="H109" s="2">
        <v>6</v>
      </c>
      <c r="I109" s="22">
        <f>Table43[[#This Row],[Item Cost]]*Table43[[#This Row],[In Stock]]</f>
        <v>140.56800000000001</v>
      </c>
      <c r="J109" s="12" t="s">
        <v>4941</v>
      </c>
      <c r="K109" s="13" t="s">
        <v>4666</v>
      </c>
      <c r="L109" s="13" t="s">
        <v>4672</v>
      </c>
      <c r="M109" s="13" t="s">
        <v>3950</v>
      </c>
      <c r="N109" s="12" t="s">
        <v>4672</v>
      </c>
      <c r="O109" s="17" t="str">
        <f>IF(LEN(COUNTIFS($J$1:J109,$J109,$K$1:K109,$K109,$L$1:L109,$L109,$M$1:M109,M109,$N$1:N109,N109))=1,"00"&amp;COUNTIFS($J$1:J109,$J109,$K$1:K109,$K109,$L$1:L109,$L109,$M$1:M109,M109,$N$1:N109,N109),IF(LEN(COUNTIFS($J$1:J109,$J109,$K$1:K109,$K109,$L$1:L109,$L109,$M$1:M109,M109,$N$1:N109,N109))=2,"0"&amp;COUNTIFS($J$1:J109,$J109,$K$1:K109,$K109,$L$1:L109,$L109,$M$1:M109,M109,$N$1:N109,N109),COUNTIFS($J$1:J109,$J109,$K$1:K109,$K109,$L$1:L109,$L109,$M$1:M109,M109,$N$1:N109,N109)))</f>
        <v>004</v>
      </c>
      <c r="P10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MS-NS-000-22-00004-INV</v>
      </c>
      <c r="Q109" s="59" t="s">
        <v>7334</v>
      </c>
      <c r="R109" s="34" t="s">
        <v>5947</v>
      </c>
      <c r="S109" s="34" t="s">
        <v>296</v>
      </c>
      <c r="T109" s="34">
        <f>+IFERROR(_xlfn.XLOOKUP(Table43[[#This Row],[Column1]],#REF!,#REF!),0)</f>
        <v>0</v>
      </c>
      <c r="U109" s="50">
        <f>IFERROR(_xlfn.XLOOKUP(Table43[[#This Row],[Column1]],#REF!,#REF!),0)</f>
        <v>0</v>
      </c>
      <c r="V109" s="39"/>
    </row>
    <row r="110" spans="1:22" x14ac:dyDescent="0.35">
      <c r="A110" s="3" t="s">
        <v>297</v>
      </c>
      <c r="B110" s="3" t="s">
        <v>298</v>
      </c>
      <c r="C110" s="3" t="s">
        <v>15</v>
      </c>
      <c r="D110" s="3">
        <v>20</v>
      </c>
      <c r="E110" s="3" t="s">
        <v>10</v>
      </c>
      <c r="F110" s="3">
        <v>1</v>
      </c>
      <c r="G110" s="3">
        <v>10</v>
      </c>
      <c r="H110" s="3">
        <v>2</v>
      </c>
      <c r="I110" s="21">
        <f>Table43[[#This Row],[Item Cost]]*Table43[[#This Row],[In Stock]]</f>
        <v>40</v>
      </c>
      <c r="J110" s="12" t="s">
        <v>4941</v>
      </c>
      <c r="K110" s="13" t="s">
        <v>4666</v>
      </c>
      <c r="L110" s="13" t="s">
        <v>4672</v>
      </c>
      <c r="M110" s="13" t="s">
        <v>3950</v>
      </c>
      <c r="N110" s="12" t="s">
        <v>4672</v>
      </c>
      <c r="O110" s="17" t="str">
        <f>IF(LEN(COUNTIFS($J$1:J110,$J110,$K$1:K110,$K110,$L$1:L110,$L110,$M$1:M110,M110,$N$1:N110,N110))=1,"00"&amp;COUNTIFS($J$1:J110,$J110,$K$1:K110,$K110,$L$1:L110,$L110,$M$1:M110,M110,$N$1:N110,N110),IF(LEN(COUNTIFS($J$1:J110,$J110,$K$1:K110,$K110,$L$1:L110,$L110,$M$1:M110,M110,$N$1:N110,N110))=2,"0"&amp;COUNTIFS($J$1:J110,$J110,$K$1:K110,$K110,$L$1:L110,$L110,$M$1:M110,M110,$N$1:N110,N110),COUNTIFS($J$1:J110,$J110,$K$1:K110,$K110,$L$1:L110,$L110,$M$1:M110,M110,$N$1:N110,N110)))</f>
        <v>005</v>
      </c>
      <c r="P11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MS-NS-000-22-00005-INV</v>
      </c>
      <c r="Q110" s="59" t="s">
        <v>7334</v>
      </c>
      <c r="R110" s="34" t="s">
        <v>5948</v>
      </c>
      <c r="S110" s="34" t="s">
        <v>298</v>
      </c>
      <c r="T110" s="34">
        <f>+IFERROR(_xlfn.XLOOKUP(Table43[[#This Row],[Column1]],#REF!,#REF!),0)</f>
        <v>0</v>
      </c>
      <c r="U110" s="50">
        <f>IFERROR(_xlfn.XLOOKUP(Table43[[#This Row],[Column1]],#REF!,#REF!),0)</f>
        <v>0</v>
      </c>
      <c r="V110" s="39"/>
    </row>
    <row r="111" spans="1:22" x14ac:dyDescent="0.35">
      <c r="A111" s="3" t="s">
        <v>299</v>
      </c>
      <c r="B111" s="2" t="s">
        <v>300</v>
      </c>
      <c r="C111" s="2" t="s">
        <v>15</v>
      </c>
      <c r="D111" s="2">
        <v>8.5</v>
      </c>
      <c r="E111" s="2" t="s">
        <v>10</v>
      </c>
      <c r="F111" s="3">
        <v>1</v>
      </c>
      <c r="G111" s="3">
        <v>10</v>
      </c>
      <c r="H111" s="2">
        <v>2</v>
      </c>
      <c r="I111" s="22">
        <f>Table43[[#This Row],[Item Cost]]*Table43[[#This Row],[In Stock]]</f>
        <v>17</v>
      </c>
      <c r="J111" s="12" t="s">
        <v>4941</v>
      </c>
      <c r="K111" s="13" t="s">
        <v>4666</v>
      </c>
      <c r="L111" s="13" t="s">
        <v>4672</v>
      </c>
      <c r="M111" s="13" t="s">
        <v>3950</v>
      </c>
      <c r="N111" s="12" t="s">
        <v>4672</v>
      </c>
      <c r="O111" s="17" t="str">
        <f>IF(LEN(COUNTIFS($J$1:J111,$J111,$K$1:K111,$K111,$L$1:L111,$L111,$M$1:M111,M111,$N$1:N111,N111))=1,"00"&amp;COUNTIFS($J$1:J111,$J111,$K$1:K111,$K111,$L$1:L111,$L111,$M$1:M111,M111,$N$1:N111,N111),IF(LEN(COUNTIFS($J$1:J111,$J111,$K$1:K111,$K111,$L$1:L111,$L111,$M$1:M111,M111,$N$1:N111,N111))=2,"0"&amp;COUNTIFS($J$1:J111,$J111,$K$1:K111,$K111,$L$1:L111,$L111,$M$1:M111,M111,$N$1:N111,N111),COUNTIFS($J$1:J111,$J111,$K$1:K111,$K111,$L$1:L111,$L111,$M$1:M111,M111,$N$1:N111,N111)))</f>
        <v>006</v>
      </c>
      <c r="P11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MS-NS-000-22-00006-INV</v>
      </c>
      <c r="Q111" s="59" t="s">
        <v>7334</v>
      </c>
      <c r="R111" s="34" t="s">
        <v>5949</v>
      </c>
      <c r="S111" s="34" t="s">
        <v>300</v>
      </c>
      <c r="T111" s="34">
        <f>+IFERROR(_xlfn.XLOOKUP(Table43[[#This Row],[Column1]],#REF!,#REF!),0)</f>
        <v>0</v>
      </c>
      <c r="U111" s="50">
        <f>IFERROR(_xlfn.XLOOKUP(Table43[[#This Row],[Column1]],#REF!,#REF!),0)</f>
        <v>0</v>
      </c>
      <c r="V111" s="39"/>
    </row>
    <row r="112" spans="1:22" x14ac:dyDescent="0.35">
      <c r="A112" s="3" t="s">
        <v>301</v>
      </c>
      <c r="B112" s="3" t="s">
        <v>302</v>
      </c>
      <c r="C112" s="3" t="s">
        <v>15</v>
      </c>
      <c r="D112" s="3">
        <v>7.5</v>
      </c>
      <c r="E112" s="3" t="s">
        <v>10</v>
      </c>
      <c r="F112" s="3">
        <v>1</v>
      </c>
      <c r="G112" s="3">
        <v>10</v>
      </c>
      <c r="H112" s="3">
        <v>16</v>
      </c>
      <c r="I112" s="21">
        <f>Table43[[#This Row],[Item Cost]]*Table43[[#This Row],[In Stock]]</f>
        <v>120</v>
      </c>
      <c r="J112" s="12" t="s">
        <v>4941</v>
      </c>
      <c r="K112" s="13" t="s">
        <v>4666</v>
      </c>
      <c r="L112" s="13" t="s">
        <v>4672</v>
      </c>
      <c r="M112" s="13" t="s">
        <v>3950</v>
      </c>
      <c r="N112" s="12" t="s">
        <v>4672</v>
      </c>
      <c r="O112" s="17" t="str">
        <f>IF(LEN(COUNTIFS($J$1:J112,$J112,$K$1:K112,$K112,$L$1:L112,$L112,$M$1:M112,M112,$N$1:N112,N112))=1,"00"&amp;COUNTIFS($J$1:J112,$J112,$K$1:K112,$K112,$L$1:L112,$L112,$M$1:M112,M112,$N$1:N112,N112),IF(LEN(COUNTIFS($J$1:J112,$J112,$K$1:K112,$K112,$L$1:L112,$L112,$M$1:M112,M112,$N$1:N112,N112))=2,"0"&amp;COUNTIFS($J$1:J112,$J112,$K$1:K112,$K112,$L$1:L112,$L112,$M$1:M112,M112,$N$1:N112,N112),COUNTIFS($J$1:J112,$J112,$K$1:K112,$K112,$L$1:L112,$L112,$M$1:M112,M112,$N$1:N112,N112)))</f>
        <v>007</v>
      </c>
      <c r="P11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MS-NS-000-22-00007-INV</v>
      </c>
      <c r="Q112" s="59"/>
      <c r="R112" s="34" t="s">
        <v>5950</v>
      </c>
      <c r="S112" s="34" t="s">
        <v>302</v>
      </c>
      <c r="T112" s="34">
        <f>+IFERROR(_xlfn.XLOOKUP(Table43[[#This Row],[Column1]],#REF!,#REF!),0)</f>
        <v>0</v>
      </c>
      <c r="U112" s="50">
        <f>IFERROR(_xlfn.XLOOKUP(Table43[[#This Row],[Column1]],#REF!,#REF!),0)</f>
        <v>0</v>
      </c>
      <c r="V112" s="39"/>
    </row>
    <row r="113" spans="1:22" x14ac:dyDescent="0.35">
      <c r="A113" s="3" t="s">
        <v>303</v>
      </c>
      <c r="B113" s="2" t="s">
        <v>304</v>
      </c>
      <c r="C113" s="2" t="s">
        <v>15</v>
      </c>
      <c r="D113" s="2">
        <v>0</v>
      </c>
      <c r="E113" s="2" t="s">
        <v>10</v>
      </c>
      <c r="F113" s="3">
        <v>1</v>
      </c>
      <c r="G113" s="3">
        <v>10</v>
      </c>
      <c r="H113" s="2">
        <v>0</v>
      </c>
      <c r="I113" s="22">
        <f>Table43[[#This Row],[Item Cost]]*Table43[[#This Row],[In Stock]]</f>
        <v>0</v>
      </c>
      <c r="J113" s="12" t="s">
        <v>4941</v>
      </c>
      <c r="K113" s="13" t="s">
        <v>4666</v>
      </c>
      <c r="L113" s="13" t="s">
        <v>4672</v>
      </c>
      <c r="M113" s="13" t="s">
        <v>3950</v>
      </c>
      <c r="N113" s="12" t="s">
        <v>4672</v>
      </c>
      <c r="O113" s="17" t="str">
        <f>IF(LEN(COUNTIFS($J$1:J113,$J113,$K$1:K113,$K113,$L$1:L113,$L113,$M$1:M113,M113,$N$1:N113,N113))=1,"00"&amp;COUNTIFS($J$1:J113,$J113,$K$1:K113,$K113,$L$1:L113,$L113,$M$1:M113,M113,$N$1:N113,N113),IF(LEN(COUNTIFS($J$1:J113,$J113,$K$1:K113,$K113,$L$1:L113,$L113,$M$1:M113,M113,$N$1:N113,N113))=2,"0"&amp;COUNTIFS($J$1:J113,$J113,$K$1:K113,$K113,$L$1:L113,$L113,$M$1:M113,M113,$N$1:N113,N113),COUNTIFS($J$1:J113,$J113,$K$1:K113,$K113,$L$1:L113,$L113,$M$1:M113,M113,$N$1:N113,N113)))</f>
        <v>008</v>
      </c>
      <c r="P11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MS-NS-000-22-00008-INV</v>
      </c>
      <c r="Q113" s="59"/>
      <c r="R113" s="34"/>
      <c r="S113" s="34">
        <v>0</v>
      </c>
      <c r="T113" s="34">
        <f>+IFERROR(_xlfn.XLOOKUP(Table43[[#This Row],[Column1]],#REF!,#REF!),0)</f>
        <v>0</v>
      </c>
      <c r="U113" s="50">
        <f>IFERROR(_xlfn.XLOOKUP(Table43[[#This Row],[Column1]],#REF!,#REF!),0)</f>
        <v>0</v>
      </c>
      <c r="V113" s="39"/>
    </row>
    <row r="114" spans="1:22" x14ac:dyDescent="0.35">
      <c r="A114" s="3" t="s">
        <v>305</v>
      </c>
      <c r="B114" s="3" t="s">
        <v>306</v>
      </c>
      <c r="C114" s="3" t="s">
        <v>15</v>
      </c>
      <c r="D114" s="3">
        <v>0</v>
      </c>
      <c r="E114" s="3" t="s">
        <v>10</v>
      </c>
      <c r="F114" s="3">
        <v>1</v>
      </c>
      <c r="G114" s="3">
        <v>10</v>
      </c>
      <c r="H114" s="3">
        <v>0</v>
      </c>
      <c r="I114" s="21">
        <f>Table43[[#This Row],[Item Cost]]*Table43[[#This Row],[In Stock]]</f>
        <v>0</v>
      </c>
      <c r="J114" s="12" t="s">
        <v>4941</v>
      </c>
      <c r="K114" s="13" t="s">
        <v>4666</v>
      </c>
      <c r="L114" s="13" t="s">
        <v>4672</v>
      </c>
      <c r="M114" s="13" t="s">
        <v>3950</v>
      </c>
      <c r="N114" s="12" t="s">
        <v>4672</v>
      </c>
      <c r="O114" s="17" t="str">
        <f>IF(LEN(COUNTIFS($J$1:J114,$J114,$K$1:K114,$K114,$L$1:L114,$L114,$M$1:M114,M114,$N$1:N114,N114))=1,"00"&amp;COUNTIFS($J$1:J114,$J114,$K$1:K114,$K114,$L$1:L114,$L114,$M$1:M114,M114,$N$1:N114,N114),IF(LEN(COUNTIFS($J$1:J114,$J114,$K$1:K114,$K114,$L$1:L114,$L114,$M$1:M114,M114,$N$1:N114,N114))=2,"0"&amp;COUNTIFS($J$1:J114,$J114,$K$1:K114,$K114,$L$1:L114,$L114,$M$1:M114,M114,$N$1:N114,N114),COUNTIFS($J$1:J114,$J114,$K$1:K114,$K114,$L$1:L114,$L114,$M$1:M114,M114,$N$1:N114,N114)))</f>
        <v>009</v>
      </c>
      <c r="P11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MS-NS-000-22-00009-INV</v>
      </c>
      <c r="Q114" s="59"/>
      <c r="R114" s="34"/>
      <c r="S114" s="34">
        <v>0</v>
      </c>
      <c r="T114" s="34">
        <f>+IFERROR(_xlfn.XLOOKUP(Table43[[#This Row],[Column1]],#REF!,#REF!),0)</f>
        <v>0</v>
      </c>
      <c r="U114" s="50">
        <f>IFERROR(_xlfn.XLOOKUP(Table43[[#This Row],[Column1]],#REF!,#REF!),0)</f>
        <v>0</v>
      </c>
      <c r="V114" s="39"/>
    </row>
    <row r="115" spans="1:22" x14ac:dyDescent="0.35">
      <c r="A115" s="3" t="s">
        <v>307</v>
      </c>
      <c r="B115" s="2" t="s">
        <v>308</v>
      </c>
      <c r="C115" s="2" t="s">
        <v>15</v>
      </c>
      <c r="D115" s="2">
        <v>65.870999999999995</v>
      </c>
      <c r="E115" s="2" t="s">
        <v>10</v>
      </c>
      <c r="F115" s="3">
        <v>1</v>
      </c>
      <c r="G115" s="3">
        <v>10</v>
      </c>
      <c r="H115" s="2">
        <v>19</v>
      </c>
      <c r="I115" s="22">
        <f>Table43[[#This Row],[Item Cost]]*Table43[[#This Row],[In Stock]]</f>
        <v>1251.549</v>
      </c>
      <c r="J115" s="12" t="s">
        <v>4941</v>
      </c>
      <c r="K115" s="13" t="s">
        <v>4666</v>
      </c>
      <c r="L115" s="13" t="s">
        <v>4672</v>
      </c>
      <c r="M115" s="13" t="s">
        <v>3950</v>
      </c>
      <c r="N115" s="12" t="s">
        <v>4672</v>
      </c>
      <c r="O115" s="17" t="str">
        <f>IF(LEN(COUNTIFS($J$1:J115,$J115,$K$1:K115,$K115,$L$1:L115,$L115,$M$1:M115,M115,$N$1:N115,N115))=1,"00"&amp;COUNTIFS($J$1:J115,$J115,$K$1:K115,$K115,$L$1:L115,$L115,$M$1:M115,M115,$N$1:N115,N115),IF(LEN(COUNTIFS($J$1:J115,$J115,$K$1:K115,$K115,$L$1:L115,$L115,$M$1:M115,M115,$N$1:N115,N115))=2,"0"&amp;COUNTIFS($J$1:J115,$J115,$K$1:K115,$K115,$L$1:L115,$L115,$M$1:M115,M115,$N$1:N115,N115),COUNTIFS($J$1:J115,$J115,$K$1:K115,$K115,$L$1:L115,$L115,$M$1:M115,M115,$N$1:N115,N115)))</f>
        <v>010</v>
      </c>
      <c r="P11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MS-NS-000-22-00010-INV</v>
      </c>
      <c r="Q115" s="59"/>
      <c r="R115" s="34" t="s">
        <v>5951</v>
      </c>
      <c r="S115" s="34" t="s">
        <v>308</v>
      </c>
      <c r="T115" s="34">
        <f>+IFERROR(_xlfn.XLOOKUP(Table43[[#This Row],[Column1]],#REF!,#REF!),0)</f>
        <v>0</v>
      </c>
      <c r="U115" s="50">
        <f>IFERROR(_xlfn.XLOOKUP(Table43[[#This Row],[Column1]],#REF!,#REF!),0)</f>
        <v>0</v>
      </c>
      <c r="V115" s="39"/>
    </row>
    <row r="116" spans="1:22" x14ac:dyDescent="0.35">
      <c r="A116" s="3" t="s">
        <v>309</v>
      </c>
      <c r="B116" s="3" t="s">
        <v>310</v>
      </c>
      <c r="C116" s="3" t="s">
        <v>15</v>
      </c>
      <c r="D116" s="3">
        <v>20</v>
      </c>
      <c r="E116" s="3" t="s">
        <v>10</v>
      </c>
      <c r="F116" s="3">
        <v>1</v>
      </c>
      <c r="G116" s="3">
        <v>10</v>
      </c>
      <c r="H116" s="3">
        <v>2</v>
      </c>
      <c r="I116" s="21">
        <f>Table43[[#This Row],[Item Cost]]*Table43[[#This Row],[In Stock]]</f>
        <v>40</v>
      </c>
      <c r="J116" s="12" t="s">
        <v>4941</v>
      </c>
      <c r="K116" s="13" t="s">
        <v>4666</v>
      </c>
      <c r="L116" s="13" t="s">
        <v>4672</v>
      </c>
      <c r="M116" s="13" t="s">
        <v>3950</v>
      </c>
      <c r="N116" s="12" t="s">
        <v>4672</v>
      </c>
      <c r="O116" s="17" t="str">
        <f>IF(LEN(COUNTIFS($J$1:J116,$J116,$K$1:K116,$K116,$L$1:L116,$L116,$M$1:M116,M116,$N$1:N116,N116))=1,"00"&amp;COUNTIFS($J$1:J116,$J116,$K$1:K116,$K116,$L$1:L116,$L116,$M$1:M116,M116,$N$1:N116,N116),IF(LEN(COUNTIFS($J$1:J116,$J116,$K$1:K116,$K116,$L$1:L116,$L116,$M$1:M116,M116,$N$1:N116,N116))=2,"0"&amp;COUNTIFS($J$1:J116,$J116,$K$1:K116,$K116,$L$1:L116,$L116,$M$1:M116,M116,$N$1:N116,N116),COUNTIFS($J$1:J116,$J116,$K$1:K116,$K116,$L$1:L116,$L116,$M$1:M116,M116,$N$1:N116,N116)))</f>
        <v>011</v>
      </c>
      <c r="P11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MS-NS-000-22-00011-INV</v>
      </c>
      <c r="Q116" s="59"/>
      <c r="R116" s="34" t="s">
        <v>5952</v>
      </c>
      <c r="S116" s="34" t="s">
        <v>310</v>
      </c>
      <c r="T116" s="34">
        <f>+IFERROR(_xlfn.XLOOKUP(Table43[[#This Row],[Column1]],#REF!,#REF!),0)</f>
        <v>0</v>
      </c>
      <c r="U116" s="50">
        <f>IFERROR(_xlfn.XLOOKUP(Table43[[#This Row],[Column1]],#REF!,#REF!),0)</f>
        <v>0</v>
      </c>
      <c r="V116" s="39"/>
    </row>
    <row r="117" spans="1:22" x14ac:dyDescent="0.35">
      <c r="A117" s="3" t="s">
        <v>311</v>
      </c>
      <c r="B117" s="2" t="s">
        <v>312</v>
      </c>
      <c r="C117" s="2" t="s">
        <v>15</v>
      </c>
      <c r="D117" s="2">
        <v>20</v>
      </c>
      <c r="E117" s="2" t="s">
        <v>10</v>
      </c>
      <c r="F117" s="3">
        <v>1</v>
      </c>
      <c r="G117" s="3">
        <v>10</v>
      </c>
      <c r="H117" s="2">
        <v>5</v>
      </c>
      <c r="I117" s="22">
        <f>Table43[[#This Row],[Item Cost]]*Table43[[#This Row],[In Stock]]</f>
        <v>100</v>
      </c>
      <c r="J117" s="12" t="s">
        <v>4941</v>
      </c>
      <c r="K117" s="13" t="s">
        <v>4666</v>
      </c>
      <c r="L117" s="13" t="s">
        <v>4672</v>
      </c>
      <c r="M117" s="13" t="s">
        <v>3950</v>
      </c>
      <c r="N117" s="12" t="s">
        <v>4672</v>
      </c>
      <c r="O117" s="17" t="str">
        <f>IF(LEN(COUNTIFS($J$1:J117,$J117,$K$1:K117,$K117,$L$1:L117,$L117,$M$1:M117,M117,$N$1:N117,N117))=1,"00"&amp;COUNTIFS($J$1:J117,$J117,$K$1:K117,$K117,$L$1:L117,$L117,$M$1:M117,M117,$N$1:N117,N117),IF(LEN(COUNTIFS($J$1:J117,$J117,$K$1:K117,$K117,$L$1:L117,$L117,$M$1:M117,M117,$N$1:N117,N117))=2,"0"&amp;COUNTIFS($J$1:J117,$J117,$K$1:K117,$K117,$L$1:L117,$L117,$M$1:M117,M117,$N$1:N117,N117),COUNTIFS($J$1:J117,$J117,$K$1:K117,$K117,$L$1:L117,$L117,$M$1:M117,M117,$N$1:N117,N117)))</f>
        <v>012</v>
      </c>
      <c r="P11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MS-NS-000-22-00012-INV</v>
      </c>
      <c r="Q117" s="59" t="s">
        <v>7334</v>
      </c>
      <c r="R117" s="34" t="s">
        <v>5953</v>
      </c>
      <c r="S117" s="34" t="s">
        <v>312</v>
      </c>
      <c r="T117" s="34">
        <f>+IFERROR(_xlfn.XLOOKUP(Table43[[#This Row],[Column1]],#REF!,#REF!),0)</f>
        <v>0</v>
      </c>
      <c r="U117" s="50">
        <f>IFERROR(_xlfn.XLOOKUP(Table43[[#This Row],[Column1]],#REF!,#REF!),0)</f>
        <v>0</v>
      </c>
      <c r="V117" s="39"/>
    </row>
    <row r="118" spans="1:22" x14ac:dyDescent="0.35">
      <c r="A118" s="3" t="s">
        <v>313</v>
      </c>
      <c r="B118" s="3" t="s">
        <v>314</v>
      </c>
      <c r="C118" s="3" t="s">
        <v>15</v>
      </c>
      <c r="D118" s="3">
        <v>20</v>
      </c>
      <c r="E118" s="3" t="s">
        <v>10</v>
      </c>
      <c r="F118" s="3">
        <v>1</v>
      </c>
      <c r="G118" s="3">
        <v>10</v>
      </c>
      <c r="H118" s="3">
        <v>1</v>
      </c>
      <c r="I118" s="21">
        <f>Table43[[#This Row],[Item Cost]]*Table43[[#This Row],[In Stock]]</f>
        <v>20</v>
      </c>
      <c r="J118" s="12" t="s">
        <v>4941</v>
      </c>
      <c r="K118" s="13" t="s">
        <v>4666</v>
      </c>
      <c r="L118" s="13" t="s">
        <v>4672</v>
      </c>
      <c r="M118" s="13" t="s">
        <v>3950</v>
      </c>
      <c r="N118" s="12" t="s">
        <v>4672</v>
      </c>
      <c r="O118" s="17" t="str">
        <f>IF(LEN(COUNTIFS($J$1:J118,$J118,$K$1:K118,$K118,$L$1:L118,$L118,$M$1:M118,M118,$N$1:N118,N118))=1,"00"&amp;COUNTIFS($J$1:J118,$J118,$K$1:K118,$K118,$L$1:L118,$L118,$M$1:M118,M118,$N$1:N118,N118),IF(LEN(COUNTIFS($J$1:J118,$J118,$K$1:K118,$K118,$L$1:L118,$L118,$M$1:M118,M118,$N$1:N118,N118))=2,"0"&amp;COUNTIFS($J$1:J118,$J118,$K$1:K118,$K118,$L$1:L118,$L118,$M$1:M118,M118,$N$1:N118,N118),COUNTIFS($J$1:J118,$J118,$K$1:K118,$K118,$L$1:L118,$L118,$M$1:M118,M118,$N$1:N118,N118)))</f>
        <v>013</v>
      </c>
      <c r="P11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MS-NS-000-22-00013-INV</v>
      </c>
      <c r="Q118" s="59"/>
      <c r="R118" s="34" t="s">
        <v>5954</v>
      </c>
      <c r="S118" s="34" t="s">
        <v>314</v>
      </c>
      <c r="T118" s="34">
        <f>+IFERROR(_xlfn.XLOOKUP(Table43[[#This Row],[Column1]],#REF!,#REF!),0)</f>
        <v>0</v>
      </c>
      <c r="U118" s="50">
        <f>IFERROR(_xlfn.XLOOKUP(Table43[[#This Row],[Column1]],#REF!,#REF!),0)</f>
        <v>0</v>
      </c>
      <c r="V118" s="39"/>
    </row>
    <row r="119" spans="1:22" x14ac:dyDescent="0.35">
      <c r="A119" s="3" t="s">
        <v>315</v>
      </c>
      <c r="B119" s="2" t="s">
        <v>316</v>
      </c>
      <c r="C119" s="2" t="s">
        <v>15</v>
      </c>
      <c r="D119" s="2">
        <v>20</v>
      </c>
      <c r="E119" s="2" t="s">
        <v>10</v>
      </c>
      <c r="F119" s="3">
        <v>1</v>
      </c>
      <c r="G119" s="3">
        <v>10</v>
      </c>
      <c r="H119" s="2">
        <v>5</v>
      </c>
      <c r="I119" s="22">
        <f>Table43[[#This Row],[Item Cost]]*Table43[[#This Row],[In Stock]]</f>
        <v>100</v>
      </c>
      <c r="J119" s="12" t="s">
        <v>4941</v>
      </c>
      <c r="K119" s="13" t="s">
        <v>4666</v>
      </c>
      <c r="L119" s="13" t="s">
        <v>4672</v>
      </c>
      <c r="M119" s="13" t="s">
        <v>3950</v>
      </c>
      <c r="N119" s="12" t="s">
        <v>4672</v>
      </c>
      <c r="O119" s="17" t="str">
        <f>IF(LEN(COUNTIFS($J$1:J119,$J119,$K$1:K119,$K119,$L$1:L119,$L119,$M$1:M119,M119,$N$1:N119,N119))=1,"00"&amp;COUNTIFS($J$1:J119,$J119,$K$1:K119,$K119,$L$1:L119,$L119,$M$1:M119,M119,$N$1:N119,N119),IF(LEN(COUNTIFS($J$1:J119,$J119,$K$1:K119,$K119,$L$1:L119,$L119,$M$1:M119,M119,$N$1:N119,N119))=2,"0"&amp;COUNTIFS($J$1:J119,$J119,$K$1:K119,$K119,$L$1:L119,$L119,$M$1:M119,M119,$N$1:N119,N119),COUNTIFS($J$1:J119,$J119,$K$1:K119,$K119,$L$1:L119,$L119,$M$1:M119,M119,$N$1:N119,N119)))</f>
        <v>014</v>
      </c>
      <c r="P11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MS-NS-000-22-00014-INV</v>
      </c>
      <c r="Q119" s="59" t="s">
        <v>7334</v>
      </c>
      <c r="R119" s="34" t="s">
        <v>5955</v>
      </c>
      <c r="S119" s="34" t="s">
        <v>316</v>
      </c>
      <c r="T119" s="34">
        <f>+IFERROR(_xlfn.XLOOKUP(Table43[[#This Row],[Column1]],#REF!,#REF!),0)</f>
        <v>0</v>
      </c>
      <c r="U119" s="50">
        <f>IFERROR(_xlfn.XLOOKUP(Table43[[#This Row],[Column1]],#REF!,#REF!),0)</f>
        <v>0</v>
      </c>
      <c r="V119" s="39"/>
    </row>
    <row r="120" spans="1:22" x14ac:dyDescent="0.35">
      <c r="A120" s="3" t="s">
        <v>317</v>
      </c>
      <c r="B120" s="3" t="s">
        <v>318</v>
      </c>
      <c r="C120" s="3" t="s">
        <v>15</v>
      </c>
      <c r="D120" s="3">
        <v>20</v>
      </c>
      <c r="E120" s="3" t="s">
        <v>10</v>
      </c>
      <c r="F120" s="3">
        <v>1</v>
      </c>
      <c r="G120" s="3">
        <v>10</v>
      </c>
      <c r="H120" s="3">
        <v>1</v>
      </c>
      <c r="I120" s="21">
        <f>Table43[[#This Row],[Item Cost]]*Table43[[#This Row],[In Stock]]</f>
        <v>20</v>
      </c>
      <c r="J120" s="12" t="s">
        <v>4941</v>
      </c>
      <c r="K120" s="13" t="s">
        <v>4666</v>
      </c>
      <c r="L120" s="13" t="s">
        <v>4672</v>
      </c>
      <c r="M120" s="13" t="s">
        <v>3950</v>
      </c>
      <c r="N120" s="12" t="s">
        <v>4672</v>
      </c>
      <c r="O120" s="17" t="str">
        <f>IF(LEN(COUNTIFS($J$1:J120,$J120,$K$1:K120,$K120,$L$1:L120,$L120,$M$1:M120,M120,$N$1:N120,N120))=1,"00"&amp;COUNTIFS($J$1:J120,$J120,$K$1:K120,$K120,$L$1:L120,$L120,$M$1:M120,M120,$N$1:N120,N120),IF(LEN(COUNTIFS($J$1:J120,$J120,$K$1:K120,$K120,$L$1:L120,$L120,$M$1:M120,M120,$N$1:N120,N120))=2,"0"&amp;COUNTIFS($J$1:J120,$J120,$K$1:K120,$K120,$L$1:L120,$L120,$M$1:M120,M120,$N$1:N120,N120),COUNTIFS($J$1:J120,$J120,$K$1:K120,$K120,$L$1:L120,$L120,$M$1:M120,M120,$N$1:N120,N120)))</f>
        <v>015</v>
      </c>
      <c r="P12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MS-NS-000-22-00015-INV</v>
      </c>
      <c r="Q120" s="59" t="s">
        <v>7334</v>
      </c>
      <c r="R120" s="34" t="s">
        <v>5956</v>
      </c>
      <c r="S120" s="34" t="s">
        <v>318</v>
      </c>
      <c r="T120" s="34">
        <f>+IFERROR(_xlfn.XLOOKUP(Table43[[#This Row],[Column1]],#REF!,#REF!),0)</f>
        <v>0</v>
      </c>
      <c r="U120" s="50">
        <f>IFERROR(_xlfn.XLOOKUP(Table43[[#This Row],[Column1]],#REF!,#REF!),0)</f>
        <v>0</v>
      </c>
      <c r="V120" s="39"/>
    </row>
    <row r="121" spans="1:22" x14ac:dyDescent="0.35">
      <c r="A121" s="3" t="s">
        <v>319</v>
      </c>
      <c r="B121" s="2" t="s">
        <v>320</v>
      </c>
      <c r="C121" s="2" t="s">
        <v>15</v>
      </c>
      <c r="D121" s="2">
        <v>6.5</v>
      </c>
      <c r="E121" s="2" t="s">
        <v>10</v>
      </c>
      <c r="F121" s="3">
        <v>1</v>
      </c>
      <c r="G121" s="3">
        <v>10</v>
      </c>
      <c r="H121" s="2">
        <v>10</v>
      </c>
      <c r="I121" s="22">
        <f>Table43[[#This Row],[Item Cost]]*Table43[[#This Row],[In Stock]]</f>
        <v>65</v>
      </c>
      <c r="J121" s="12" t="s">
        <v>4941</v>
      </c>
      <c r="K121" s="13" t="s">
        <v>4666</v>
      </c>
      <c r="L121" s="13" t="s">
        <v>4672</v>
      </c>
      <c r="M121" s="13" t="s">
        <v>3950</v>
      </c>
      <c r="N121" s="12" t="s">
        <v>4672</v>
      </c>
      <c r="O121" s="17" t="str">
        <f>IF(LEN(COUNTIFS($J$1:J121,$J121,$K$1:K121,$K121,$L$1:L121,$L121,$M$1:M121,M121,$N$1:N121,N121))=1,"00"&amp;COUNTIFS($J$1:J121,$J121,$K$1:K121,$K121,$L$1:L121,$L121,$M$1:M121,M121,$N$1:N121,N121),IF(LEN(COUNTIFS($J$1:J121,$J121,$K$1:K121,$K121,$L$1:L121,$L121,$M$1:M121,M121,$N$1:N121,N121))=2,"0"&amp;COUNTIFS($J$1:J121,$J121,$K$1:K121,$K121,$L$1:L121,$L121,$M$1:M121,M121,$N$1:N121,N121),COUNTIFS($J$1:J121,$J121,$K$1:K121,$K121,$L$1:L121,$L121,$M$1:M121,M121,$N$1:N121,N121)))</f>
        <v>016</v>
      </c>
      <c r="P12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MS-NS-000-22-00016-INV</v>
      </c>
      <c r="Q121" s="59"/>
      <c r="R121" s="34" t="s">
        <v>5957</v>
      </c>
      <c r="S121" s="34" t="s">
        <v>320</v>
      </c>
      <c r="T121" s="34">
        <f>+IFERROR(_xlfn.XLOOKUP(Table43[[#This Row],[Column1]],#REF!,#REF!),0)</f>
        <v>0</v>
      </c>
      <c r="U121" s="50">
        <f>IFERROR(_xlfn.XLOOKUP(Table43[[#This Row],[Column1]],#REF!,#REF!),0)</f>
        <v>0</v>
      </c>
      <c r="V121" s="39"/>
    </row>
    <row r="122" spans="1:22" x14ac:dyDescent="0.35">
      <c r="A122" s="3" t="s">
        <v>321</v>
      </c>
      <c r="B122" s="3" t="s">
        <v>322</v>
      </c>
      <c r="C122" s="3" t="s">
        <v>15</v>
      </c>
      <c r="D122" s="3">
        <v>0</v>
      </c>
      <c r="E122" s="3" t="s">
        <v>10</v>
      </c>
      <c r="F122" s="3">
        <v>0</v>
      </c>
      <c r="G122" s="3">
        <v>100</v>
      </c>
      <c r="H122" s="3">
        <v>0</v>
      </c>
      <c r="I122" s="21">
        <f>Table43[[#This Row],[Item Cost]]*Table43[[#This Row],[In Stock]]</f>
        <v>0</v>
      </c>
      <c r="J122" s="12" t="s">
        <v>4941</v>
      </c>
      <c r="K122" s="13" t="s">
        <v>4666</v>
      </c>
      <c r="L122" s="13" t="s">
        <v>4672</v>
      </c>
      <c r="M122" s="13" t="s">
        <v>3950</v>
      </c>
      <c r="N122" s="12" t="s">
        <v>4672</v>
      </c>
      <c r="O122" s="17" t="str">
        <f>IF(LEN(COUNTIFS($J$1:J122,$J122,$K$1:K122,$K122,$L$1:L122,$L122,$M$1:M122,M122,$N$1:N122,N122))=1,"00"&amp;COUNTIFS($J$1:J122,$J122,$K$1:K122,$K122,$L$1:L122,$L122,$M$1:M122,M122,$N$1:N122,N122),IF(LEN(COUNTIFS($J$1:J122,$J122,$K$1:K122,$K122,$L$1:L122,$L122,$M$1:M122,M122,$N$1:N122,N122))=2,"0"&amp;COUNTIFS($J$1:J122,$J122,$K$1:K122,$K122,$L$1:L122,$L122,$M$1:M122,M122,$N$1:N122,N122),COUNTIFS($J$1:J122,$J122,$K$1:K122,$K122,$L$1:L122,$L122,$M$1:M122,M122,$N$1:N122,N122)))</f>
        <v>017</v>
      </c>
      <c r="P12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MS-NS-000-22-00017-INV</v>
      </c>
      <c r="Q122" s="59" t="s">
        <v>7334</v>
      </c>
      <c r="R122" s="34"/>
      <c r="S122" s="34">
        <v>0</v>
      </c>
      <c r="T122" s="34">
        <f>+IFERROR(_xlfn.XLOOKUP(Table43[[#This Row],[Column1]],#REF!,#REF!),0)</f>
        <v>0</v>
      </c>
      <c r="U122" s="50">
        <f>IFERROR(_xlfn.XLOOKUP(Table43[[#This Row],[Column1]],#REF!,#REF!),0)</f>
        <v>0</v>
      </c>
      <c r="V122" s="39"/>
    </row>
    <row r="123" spans="1:22" x14ac:dyDescent="0.35">
      <c r="A123" s="3" t="s">
        <v>4925</v>
      </c>
      <c r="B123" s="3" t="s">
        <v>4913</v>
      </c>
      <c r="C123" s="3" t="s">
        <v>15</v>
      </c>
      <c r="D123" s="3"/>
      <c r="E123" s="3" t="s">
        <v>10</v>
      </c>
      <c r="F123" s="2">
        <v>0</v>
      </c>
      <c r="G123" s="2">
        <v>4</v>
      </c>
      <c r="H123" s="3">
        <v>0</v>
      </c>
      <c r="I123" s="21">
        <f>Table43[[#This Row],[Item Cost]]*Table43[[#This Row],[In Stock]]</f>
        <v>0</v>
      </c>
      <c r="J123" s="12" t="s">
        <v>4941</v>
      </c>
      <c r="K123" s="13" t="s">
        <v>4666</v>
      </c>
      <c r="L123" s="13" t="s">
        <v>4725</v>
      </c>
      <c r="M123" s="13" t="s">
        <v>4672</v>
      </c>
      <c r="N123" s="12" t="s">
        <v>4672</v>
      </c>
      <c r="O123" s="17" t="str">
        <f>IF(LEN(COUNTIFS($J$1:J123,$J123,$K$1:K123,$K123,$L$1:L123,$L123,$M$1:M123,M123,$N$1:N123,N123))=1,"00"&amp;COUNTIFS($J$1:J123,$J123,$K$1:K123,$K123,$L$1:L123,$L123,$M$1:M123,M123,$N$1:N123,N123),IF(LEN(COUNTIFS($J$1:J123,$J123,$K$1:K123,$K123,$L$1:L123,$L123,$M$1:M123,M123,$N$1:N123,N123))=2,"0"&amp;COUNTIFS($J$1:J123,$J123,$K$1:K123,$K123,$L$1:L123,$L123,$M$1:M123,M123,$N$1:N123,N123),COUNTIFS($J$1:J123,$J123,$K$1:K123,$K123,$L$1:L123,$L123,$M$1:M123,M123,$N$1:N123,N123)))</f>
        <v>001</v>
      </c>
      <c r="P12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MS-NS-026-00-00001-INV</v>
      </c>
      <c r="Q123" s="59"/>
      <c r="R123" s="34" t="s">
        <v>5958</v>
      </c>
      <c r="S123" s="34" t="s">
        <v>4913</v>
      </c>
      <c r="T123" s="34">
        <f>+IFERROR(_xlfn.XLOOKUP(Table43[[#This Row],[Column1]],#REF!,#REF!),0)</f>
        <v>0</v>
      </c>
      <c r="U123" s="50">
        <f>IFERROR(_xlfn.XLOOKUP(Table43[[#This Row],[Column1]],#REF!,#REF!),0)</f>
        <v>0</v>
      </c>
      <c r="V123" s="39"/>
    </row>
    <row r="124" spans="1:22" x14ac:dyDescent="0.35">
      <c r="A124" s="3" t="s">
        <v>4926</v>
      </c>
      <c r="B124" s="3" t="s">
        <v>4914</v>
      </c>
      <c r="C124" s="3" t="s">
        <v>15</v>
      </c>
      <c r="D124" s="3"/>
      <c r="E124" s="3" t="s">
        <v>10</v>
      </c>
      <c r="F124" s="2">
        <v>0</v>
      </c>
      <c r="G124" s="2">
        <v>4</v>
      </c>
      <c r="H124" s="3">
        <v>0</v>
      </c>
      <c r="I124" s="21">
        <f>Table43[[#This Row],[Item Cost]]*Table43[[#This Row],[In Stock]]</f>
        <v>0</v>
      </c>
      <c r="J124" s="12" t="s">
        <v>4941</v>
      </c>
      <c r="K124" s="13" t="s">
        <v>4666</v>
      </c>
      <c r="L124" s="13" t="s">
        <v>4725</v>
      </c>
      <c r="M124" s="13" t="s">
        <v>4672</v>
      </c>
      <c r="N124" s="12" t="s">
        <v>4672</v>
      </c>
      <c r="O124" s="17" t="str">
        <f>IF(LEN(COUNTIFS($J$1:J139,$J124,$K$1:K139,$K124,$L$1:L139,$L124,$M$1:M139,M124,$N$1:N139,N124))=1,"00"&amp;COUNTIFS($J$1:J139,$J124,$K$1:K139,$K124,$L$1:L139,$L124,$M$1:M139,M124,$N$1:N139,N124),IF(LEN(COUNTIFS($J$1:J139,$J124,$K$1:K139,$K124,$L$1:L139,$L124,$M$1:M139,M124,$N$1:N139,N124))=2,"0"&amp;COUNTIFS($J$1:J139,$J124,$K$1:K139,$K124,$L$1:L139,$L124,$M$1:M139,M124,$N$1:N139,N124),COUNTIFS($J$1:J139,$J124,$K$1:K139,$K124,$L$1:L139,$L124,$M$1:M139,M124,$N$1:N139,N124)))</f>
        <v>002</v>
      </c>
      <c r="P12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MS-NS-026-00-00002-INV</v>
      </c>
      <c r="Q124" s="59"/>
      <c r="R124" s="34" t="s">
        <v>5959</v>
      </c>
      <c r="S124" s="34" t="s">
        <v>4914</v>
      </c>
      <c r="T124" s="34">
        <f>+IFERROR(_xlfn.XLOOKUP(Table43[[#This Row],[Column1]],#REF!,#REF!),0)</f>
        <v>0</v>
      </c>
      <c r="U124" s="50">
        <f>IFERROR(_xlfn.XLOOKUP(Table43[[#This Row],[Column1]],#REF!,#REF!),0)</f>
        <v>0</v>
      </c>
      <c r="V124" s="39"/>
    </row>
    <row r="125" spans="1:22" x14ac:dyDescent="0.35">
      <c r="A125" s="2" t="s">
        <v>323</v>
      </c>
      <c r="B125" s="2" t="s">
        <v>324</v>
      </c>
      <c r="C125" s="2" t="s">
        <v>15</v>
      </c>
      <c r="D125" s="2">
        <v>0</v>
      </c>
      <c r="E125" s="2" t="s">
        <v>10</v>
      </c>
      <c r="F125" s="3">
        <v>1</v>
      </c>
      <c r="G125" s="3">
        <v>10</v>
      </c>
      <c r="H125" s="2">
        <v>0</v>
      </c>
      <c r="I125" s="22">
        <f>Table43[[#This Row],[Item Cost]]*Table43[[#This Row],[In Stock]]</f>
        <v>0</v>
      </c>
      <c r="J125" s="12" t="s">
        <v>4941</v>
      </c>
      <c r="K125" s="13" t="s">
        <v>4666</v>
      </c>
      <c r="L125" s="13" t="s">
        <v>4681</v>
      </c>
      <c r="M125" s="13" t="s">
        <v>4693</v>
      </c>
      <c r="N125" s="12" t="s">
        <v>4672</v>
      </c>
      <c r="O125" s="17" t="str">
        <f>IF(LEN(COUNTIFS($J$1:J125,$J125,$K$1:K125,$K125,$L$1:L125,$L125,$M$1:M125,M125,$N$1:N125,N125))=1,"00"&amp;COUNTIFS($J$1:J125,$J125,$K$1:K125,$K125,$L$1:L125,$L125,$M$1:M125,M125,$N$1:N125,N125),IF(LEN(COUNTIFS($J$1:J125,$J125,$K$1:K125,$K125,$L$1:L125,$L125,$M$1:M125,M125,$N$1:N125,N125))=2,"0"&amp;COUNTIFS($J$1:J125,$J125,$K$1:K125,$K125,$L$1:L125,$L125,$M$1:M125,M125,$N$1:N125,N125),COUNTIFS($J$1:J125,$J125,$K$1:K125,$K125,$L$1:L125,$L125,$M$1:M125,M125,$N$1:N125,N125)))</f>
        <v>001</v>
      </c>
      <c r="P12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MS-NS-006-23-00001-INV</v>
      </c>
      <c r="Q125" s="34"/>
      <c r="R125" s="34" t="s">
        <v>5960</v>
      </c>
      <c r="S125" s="34" t="s">
        <v>324</v>
      </c>
      <c r="T125" s="34">
        <f>+IFERROR(_xlfn.XLOOKUP(Table43[[#This Row],[Column1]],#REF!,#REF!),0)</f>
        <v>0</v>
      </c>
      <c r="U125" s="50">
        <f>IFERROR(_xlfn.XLOOKUP(Table43[[#This Row],[Column1]],#REF!,#REF!),0)</f>
        <v>0</v>
      </c>
      <c r="V125" s="39"/>
    </row>
    <row r="126" spans="1:22" x14ac:dyDescent="0.35">
      <c r="A126" s="2" t="s">
        <v>325</v>
      </c>
      <c r="B126" s="3" t="s">
        <v>326</v>
      </c>
      <c r="C126" s="3" t="s">
        <v>15</v>
      </c>
      <c r="D126" s="5">
        <v>1170</v>
      </c>
      <c r="E126" s="3" t="s">
        <v>10</v>
      </c>
      <c r="F126" s="3">
        <v>0</v>
      </c>
      <c r="G126" s="3">
        <v>1</v>
      </c>
      <c r="H126" s="3">
        <v>0</v>
      </c>
      <c r="I126" s="21">
        <f>Table43[[#This Row],[Item Cost]]*Table43[[#This Row],[In Stock]]</f>
        <v>0</v>
      </c>
      <c r="J126" s="12" t="s">
        <v>4941</v>
      </c>
      <c r="K126" s="13" t="s">
        <v>4666</v>
      </c>
      <c r="L126" s="13" t="s">
        <v>4681</v>
      </c>
      <c r="M126" s="13" t="s">
        <v>4693</v>
      </c>
      <c r="N126" s="12" t="s">
        <v>4672</v>
      </c>
      <c r="O126" s="17" t="str">
        <f>IF(LEN(COUNTIFS($J$1:J126,$J126,$K$1:K126,$K126,$L$1:L126,$L126,$M$1:M126,M126,$N$1:N126,N126))=1,"00"&amp;COUNTIFS($J$1:J126,$J126,$K$1:K126,$K126,$L$1:L126,$L126,$M$1:M126,M126,$N$1:N126,N126),IF(LEN(COUNTIFS($J$1:J126,$J126,$K$1:K126,$K126,$L$1:L126,$L126,$M$1:M126,M126,$N$1:N126,N126))=2,"0"&amp;COUNTIFS($J$1:J126,$J126,$K$1:K126,$K126,$L$1:L126,$L126,$M$1:M126,M126,$N$1:N126,N126),COUNTIFS($J$1:J126,$J126,$K$1:K126,$K126,$L$1:L126,$L126,$M$1:M126,M126,$N$1:N126,N126)))</f>
        <v>002</v>
      </c>
      <c r="P12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MS-NS-006-23-00002-INV</v>
      </c>
      <c r="Q126" s="34"/>
      <c r="R126" s="34" t="s">
        <v>5961</v>
      </c>
      <c r="S126" s="34" t="s">
        <v>326</v>
      </c>
      <c r="T126" s="34">
        <f>+IFERROR(_xlfn.XLOOKUP(Table43[[#This Row],[Column1]],#REF!,#REF!),0)</f>
        <v>0</v>
      </c>
      <c r="U126" s="50">
        <f>IFERROR(_xlfn.XLOOKUP(Table43[[#This Row],[Column1]],#REF!,#REF!),0)</f>
        <v>0</v>
      </c>
      <c r="V126" s="39"/>
    </row>
    <row r="127" spans="1:22" x14ac:dyDescent="0.35">
      <c r="A127" s="2" t="s">
        <v>327</v>
      </c>
      <c r="B127" s="2" t="s">
        <v>328</v>
      </c>
      <c r="C127" s="2" t="s">
        <v>15</v>
      </c>
      <c r="D127" s="4">
        <v>1308</v>
      </c>
      <c r="E127" s="2" t="s">
        <v>10</v>
      </c>
      <c r="F127" s="2">
        <v>1</v>
      </c>
      <c r="G127" s="2">
        <v>2</v>
      </c>
      <c r="H127" s="2">
        <v>1</v>
      </c>
      <c r="I127" s="22">
        <f>Table43[[#This Row],[Item Cost]]*Table43[[#This Row],[In Stock]]</f>
        <v>1308</v>
      </c>
      <c r="J127" s="12" t="s">
        <v>4941</v>
      </c>
      <c r="K127" s="13" t="s">
        <v>4666</v>
      </c>
      <c r="L127" s="13" t="s">
        <v>4681</v>
      </c>
      <c r="M127" s="13" t="s">
        <v>4693</v>
      </c>
      <c r="N127" s="12" t="s">
        <v>4672</v>
      </c>
      <c r="O127" s="17" t="str">
        <f>IF(LEN(COUNTIFS($J$1:J127,$J127,$K$1:K127,$K127,$L$1:L127,$L127,$M$1:M127,M127,$N$1:N127,N127))=1,"00"&amp;COUNTIFS($J$1:J127,$J127,$K$1:K127,$K127,$L$1:L127,$L127,$M$1:M127,M127,$N$1:N127,N127),IF(LEN(COUNTIFS($J$1:J127,$J127,$K$1:K127,$K127,$L$1:L127,$L127,$M$1:M127,M127,$N$1:N127,N127))=2,"0"&amp;COUNTIFS($J$1:J127,$J127,$K$1:K127,$K127,$L$1:L127,$L127,$M$1:M127,M127,$N$1:N127,N127),COUNTIFS($J$1:J127,$J127,$K$1:K127,$K127,$L$1:L127,$L127,$M$1:M127,M127,$N$1:N127,N127)))</f>
        <v>003</v>
      </c>
      <c r="P12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MS-NS-006-23-00003-INV</v>
      </c>
      <c r="Q127" s="34"/>
      <c r="R127" s="34" t="s">
        <v>5962</v>
      </c>
      <c r="S127" s="34" t="s">
        <v>328</v>
      </c>
      <c r="T127" s="34">
        <f>+IFERROR(_xlfn.XLOOKUP(Table43[[#This Row],[Column1]],#REF!,#REF!),0)</f>
        <v>0</v>
      </c>
      <c r="U127" s="50">
        <f>IFERROR(_xlfn.XLOOKUP(Table43[[#This Row],[Column1]],#REF!,#REF!),0)</f>
        <v>0</v>
      </c>
      <c r="V127" s="39"/>
    </row>
    <row r="128" spans="1:22" x14ac:dyDescent="0.35">
      <c r="A128" s="2" t="s">
        <v>329</v>
      </c>
      <c r="B128" s="3" t="s">
        <v>330</v>
      </c>
      <c r="C128" s="3" t="s">
        <v>15</v>
      </c>
      <c r="D128" s="3">
        <v>250</v>
      </c>
      <c r="E128" s="3" t="s">
        <v>10</v>
      </c>
      <c r="F128" s="3">
        <v>1</v>
      </c>
      <c r="G128" s="3">
        <v>4</v>
      </c>
      <c r="H128" s="3">
        <v>10</v>
      </c>
      <c r="I128" s="21">
        <f>Table43[[#This Row],[Item Cost]]*Table43[[#This Row],[In Stock]]</f>
        <v>2500</v>
      </c>
      <c r="J128" s="12" t="s">
        <v>4941</v>
      </c>
      <c r="K128" s="13" t="s">
        <v>4666</v>
      </c>
      <c r="L128" s="13" t="s">
        <v>4681</v>
      </c>
      <c r="M128" s="13" t="s">
        <v>4770</v>
      </c>
      <c r="N128" s="12" t="s">
        <v>4672</v>
      </c>
      <c r="O128" s="17" t="str">
        <f>IF(LEN(COUNTIFS($J$1:J128,$J128,$K$1:K128,$K128,$L$1:L128,$L128,$M$1:M128,M128,$N$1:N128,N128))=1,"00"&amp;COUNTIFS($J$1:J128,$J128,$K$1:K128,$K128,$L$1:L128,$L128,$M$1:M128,M128,$N$1:N128,N128),IF(LEN(COUNTIFS($J$1:J128,$J128,$K$1:K128,$K128,$L$1:L128,$L128,$M$1:M128,M128,$N$1:N128,N128))=2,"0"&amp;COUNTIFS($J$1:J128,$J128,$K$1:K128,$K128,$L$1:L128,$L128,$M$1:M128,M128,$N$1:N128,N128),COUNTIFS($J$1:J128,$J128,$K$1:K128,$K128,$L$1:L128,$L128,$M$1:M128,M128,$N$1:N128,N128)))</f>
        <v>001</v>
      </c>
      <c r="P12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MS-NS-006-04-00001-INV</v>
      </c>
      <c r="Q128" s="34"/>
      <c r="R128" s="34" t="s">
        <v>5963</v>
      </c>
      <c r="S128" s="34" t="s">
        <v>330</v>
      </c>
      <c r="T128" s="34">
        <f>+IFERROR(_xlfn.XLOOKUP(Table43[[#This Row],[Column1]],#REF!,#REF!),0)</f>
        <v>0</v>
      </c>
      <c r="U128" s="50">
        <f>IFERROR(_xlfn.XLOOKUP(Table43[[#This Row],[Column1]],#REF!,#REF!),0)</f>
        <v>0</v>
      </c>
      <c r="V128" s="39"/>
    </row>
    <row r="129" spans="1:22" x14ac:dyDescent="0.35">
      <c r="A129" s="2" t="s">
        <v>331</v>
      </c>
      <c r="B129" s="2" t="s">
        <v>332</v>
      </c>
      <c r="C129" s="2" t="s">
        <v>15</v>
      </c>
      <c r="D129" s="2">
        <v>250</v>
      </c>
      <c r="E129" s="2" t="s">
        <v>10</v>
      </c>
      <c r="F129" s="3">
        <v>1</v>
      </c>
      <c r="G129" s="3">
        <v>4</v>
      </c>
      <c r="H129" s="2">
        <v>4</v>
      </c>
      <c r="I129" s="22">
        <f>Table43[[#This Row],[Item Cost]]*Table43[[#This Row],[In Stock]]</f>
        <v>1000</v>
      </c>
      <c r="J129" s="12" t="s">
        <v>4941</v>
      </c>
      <c r="K129" s="13" t="s">
        <v>4666</v>
      </c>
      <c r="L129" s="13" t="s">
        <v>4681</v>
      </c>
      <c r="M129" s="13" t="s">
        <v>4770</v>
      </c>
      <c r="N129" s="12" t="s">
        <v>4672</v>
      </c>
      <c r="O129" s="17" t="str">
        <f>IF(LEN(COUNTIFS($J$1:J129,$J129,$K$1:K129,$K129,$L$1:L129,$L129,$M$1:M129,M129,$N$1:N129,N129))=1,"00"&amp;COUNTIFS($J$1:J129,$J129,$K$1:K129,$K129,$L$1:L129,$L129,$M$1:M129,M129,$N$1:N129,N129),IF(LEN(COUNTIFS($J$1:J129,$J129,$K$1:K129,$K129,$L$1:L129,$L129,$M$1:M129,M129,$N$1:N129,N129))=2,"0"&amp;COUNTIFS($J$1:J129,$J129,$K$1:K129,$K129,$L$1:L129,$L129,$M$1:M129,M129,$N$1:N129,N129),COUNTIFS($J$1:J129,$J129,$K$1:K129,$K129,$L$1:L129,$L129,$M$1:M129,M129,$N$1:N129,N129)))</f>
        <v>002</v>
      </c>
      <c r="P12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MS-NS-006-04-00002-INV</v>
      </c>
      <c r="Q129" s="34"/>
      <c r="R129" s="34" t="s">
        <v>5964</v>
      </c>
      <c r="S129" s="34" t="s">
        <v>332</v>
      </c>
      <c r="T129" s="34">
        <f>+IFERROR(_xlfn.XLOOKUP(Table43[[#This Row],[Column1]],#REF!,#REF!),0)</f>
        <v>0</v>
      </c>
      <c r="U129" s="50">
        <f>IFERROR(_xlfn.XLOOKUP(Table43[[#This Row],[Column1]],#REF!,#REF!),0)</f>
        <v>0</v>
      </c>
      <c r="V129" s="39"/>
    </row>
    <row r="130" spans="1:22" x14ac:dyDescent="0.35">
      <c r="A130" s="2" t="s">
        <v>333</v>
      </c>
      <c r="B130" s="3" t="s">
        <v>334</v>
      </c>
      <c r="C130" s="3" t="s">
        <v>15</v>
      </c>
      <c r="D130" s="3">
        <v>250</v>
      </c>
      <c r="E130" s="3" t="s">
        <v>10</v>
      </c>
      <c r="F130" s="3">
        <v>1</v>
      </c>
      <c r="G130" s="3">
        <v>4</v>
      </c>
      <c r="H130" s="3">
        <v>6</v>
      </c>
      <c r="I130" s="21">
        <f>Table43[[#This Row],[Item Cost]]*Table43[[#This Row],[In Stock]]</f>
        <v>1500</v>
      </c>
      <c r="J130" s="12" t="s">
        <v>4941</v>
      </c>
      <c r="K130" s="13" t="s">
        <v>4666</v>
      </c>
      <c r="L130" s="13" t="s">
        <v>4681</v>
      </c>
      <c r="M130" s="13" t="s">
        <v>4770</v>
      </c>
      <c r="N130" s="12" t="s">
        <v>4672</v>
      </c>
      <c r="O130" s="17" t="str">
        <f>IF(LEN(COUNTIFS($J$1:J130,$J130,$K$1:K130,$K130,$L$1:L130,$L130,$M$1:M130,M130,$N$1:N130,N130))=1,"00"&amp;COUNTIFS($J$1:J130,$J130,$K$1:K130,$K130,$L$1:L130,$L130,$M$1:M130,M130,$N$1:N130,N130),IF(LEN(COUNTIFS($J$1:J130,$J130,$K$1:K130,$K130,$L$1:L130,$L130,$M$1:M130,M130,$N$1:N130,N130))=2,"0"&amp;COUNTIFS($J$1:J130,$J130,$K$1:K130,$K130,$L$1:L130,$L130,$M$1:M130,M130,$N$1:N130,N130),COUNTIFS($J$1:J130,$J130,$K$1:K130,$K130,$L$1:L130,$L130,$M$1:M130,M130,$N$1:N130,N130)))</f>
        <v>003</v>
      </c>
      <c r="P13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MS-NS-006-04-00003-INV</v>
      </c>
      <c r="Q130" s="34"/>
      <c r="R130" s="34" t="s">
        <v>5965</v>
      </c>
      <c r="S130" s="34" t="s">
        <v>334</v>
      </c>
      <c r="T130" s="34">
        <f>+IFERROR(_xlfn.XLOOKUP(Table43[[#This Row],[Column1]],#REF!,#REF!),0)</f>
        <v>0</v>
      </c>
      <c r="U130" s="50">
        <f>IFERROR(_xlfn.XLOOKUP(Table43[[#This Row],[Column1]],#REF!,#REF!),0)</f>
        <v>0</v>
      </c>
      <c r="V130" s="39"/>
    </row>
    <row r="131" spans="1:22" x14ac:dyDescent="0.35">
      <c r="A131" s="2" t="s">
        <v>335</v>
      </c>
      <c r="B131" s="2" t="s">
        <v>336</v>
      </c>
      <c r="C131" s="2" t="s">
        <v>15</v>
      </c>
      <c r="D131" s="2">
        <v>500</v>
      </c>
      <c r="E131" s="2" t="s">
        <v>10</v>
      </c>
      <c r="F131" s="3">
        <v>0</v>
      </c>
      <c r="G131" s="2">
        <v>2</v>
      </c>
      <c r="H131" s="2">
        <v>2</v>
      </c>
      <c r="I131" s="22">
        <f>Table43[[#This Row],[Item Cost]]*Table43[[#This Row],[In Stock]]</f>
        <v>1000</v>
      </c>
      <c r="J131" s="12" t="s">
        <v>4941</v>
      </c>
      <c r="K131" s="13" t="s">
        <v>4666</v>
      </c>
      <c r="L131" s="13" t="s">
        <v>4681</v>
      </c>
      <c r="M131" s="13" t="s">
        <v>4796</v>
      </c>
      <c r="N131" s="12" t="s">
        <v>4672</v>
      </c>
      <c r="O131" s="17" t="str">
        <f>IF(LEN(COUNTIFS($J$1:J131,$J131,$K$1:K131,$K131,$L$1:L131,$L131,$M$1:M131,M131,$N$1:N131,N131))=1,"00"&amp;COUNTIFS($J$1:J131,$J131,$K$1:K131,$K131,$L$1:L131,$L131,$M$1:M131,M131,$N$1:N131,N131),IF(LEN(COUNTIFS($J$1:J131,$J131,$K$1:K131,$K131,$L$1:L131,$L131,$M$1:M131,M131,$N$1:N131,N131))=2,"0"&amp;COUNTIFS($J$1:J131,$J131,$K$1:K131,$K131,$L$1:L131,$L131,$M$1:M131,M131,$N$1:N131,N131),COUNTIFS($J$1:J131,$J131,$K$1:K131,$K131,$L$1:L131,$L131,$M$1:M131,M131,$N$1:N131,N131)))</f>
        <v>001</v>
      </c>
      <c r="P13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MS-NS-006-20-00001-INV</v>
      </c>
      <c r="Q131" s="34"/>
      <c r="R131" s="34" t="s">
        <v>5966</v>
      </c>
      <c r="S131" s="34" t="s">
        <v>336</v>
      </c>
      <c r="T131" s="34">
        <f>+IFERROR(_xlfn.XLOOKUP(Table43[[#This Row],[Column1]],#REF!,#REF!),0)</f>
        <v>0</v>
      </c>
      <c r="U131" s="50">
        <f>IFERROR(_xlfn.XLOOKUP(Table43[[#This Row],[Column1]],#REF!,#REF!),0)</f>
        <v>0</v>
      </c>
      <c r="V131" s="39"/>
    </row>
    <row r="132" spans="1:22" x14ac:dyDescent="0.35">
      <c r="A132" s="2" t="s">
        <v>337</v>
      </c>
      <c r="B132" s="3" t="s">
        <v>338</v>
      </c>
      <c r="C132" s="3" t="s">
        <v>15</v>
      </c>
      <c r="D132" s="3">
        <v>250</v>
      </c>
      <c r="E132" s="3" t="s">
        <v>10</v>
      </c>
      <c r="F132" s="3">
        <v>1</v>
      </c>
      <c r="G132" s="3">
        <v>4</v>
      </c>
      <c r="H132" s="3">
        <v>1</v>
      </c>
      <c r="I132" s="21">
        <f>Table43[[#This Row],[Item Cost]]*Table43[[#This Row],[In Stock]]</f>
        <v>250</v>
      </c>
      <c r="J132" s="12" t="s">
        <v>4941</v>
      </c>
      <c r="K132" s="13" t="s">
        <v>4666</v>
      </c>
      <c r="L132" s="13" t="s">
        <v>4681</v>
      </c>
      <c r="M132" s="13" t="s">
        <v>4770</v>
      </c>
      <c r="N132" s="12" t="s">
        <v>4672</v>
      </c>
      <c r="O132" s="17" t="str">
        <f>IF(LEN(COUNTIFS($J$1:J132,$J132,$K$1:K132,$K132,$L$1:L132,$L132,$M$1:M132,M132,$N$1:N132,N132))=1,"00"&amp;COUNTIFS($J$1:J132,$J132,$K$1:K132,$K132,$L$1:L132,$L132,$M$1:M132,M132,$N$1:N132,N132),IF(LEN(COUNTIFS($J$1:J132,$J132,$K$1:K132,$K132,$L$1:L132,$L132,$M$1:M132,M132,$N$1:N132,N132))=2,"0"&amp;COUNTIFS($J$1:J132,$J132,$K$1:K132,$K132,$L$1:L132,$L132,$M$1:M132,M132,$N$1:N132,N132),COUNTIFS($J$1:J132,$J132,$K$1:K132,$K132,$L$1:L132,$L132,$M$1:M132,M132,$N$1:N132,N132)))</f>
        <v>004</v>
      </c>
      <c r="P13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MS-NS-006-04-00004-INV</v>
      </c>
      <c r="Q132" s="34"/>
      <c r="R132" s="34" t="s">
        <v>5967</v>
      </c>
      <c r="S132" s="34" t="s">
        <v>338</v>
      </c>
      <c r="T132" s="34">
        <f>+IFERROR(_xlfn.XLOOKUP(Table43[[#This Row],[Column1]],#REF!,#REF!),0)</f>
        <v>0</v>
      </c>
      <c r="U132" s="50">
        <f>IFERROR(_xlfn.XLOOKUP(Table43[[#This Row],[Column1]],#REF!,#REF!),0)</f>
        <v>0</v>
      </c>
      <c r="V132" s="39"/>
    </row>
    <row r="133" spans="1:22" x14ac:dyDescent="0.35">
      <c r="A133" s="2" t="s">
        <v>339</v>
      </c>
      <c r="B133" s="2" t="s">
        <v>340</v>
      </c>
      <c r="C133" s="2" t="s">
        <v>15</v>
      </c>
      <c r="D133" s="2">
        <v>250</v>
      </c>
      <c r="E133" s="2" t="s">
        <v>10</v>
      </c>
      <c r="F133" s="2">
        <v>1</v>
      </c>
      <c r="G133" s="2">
        <v>2</v>
      </c>
      <c r="H133" s="2">
        <v>2</v>
      </c>
      <c r="I133" s="22">
        <f>Table43[[#This Row],[Item Cost]]*Table43[[#This Row],[In Stock]]</f>
        <v>500</v>
      </c>
      <c r="J133" s="12" t="s">
        <v>4941</v>
      </c>
      <c r="K133" s="13" t="s">
        <v>4666</v>
      </c>
      <c r="L133" s="13" t="s">
        <v>4681</v>
      </c>
      <c r="M133" s="13" t="s">
        <v>4834</v>
      </c>
      <c r="N133" s="12" t="s">
        <v>4672</v>
      </c>
      <c r="O133" s="17" t="str">
        <f>IF(LEN(COUNTIFS($J$1:J133,$J133,$K$1:K133,$K133,$L$1:L133,$L133,$M$1:M133,M133,$N$1:N133,N133))=1,"00"&amp;COUNTIFS($J$1:J133,$J133,$K$1:K133,$K133,$L$1:L133,$L133,$M$1:M133,M133,$N$1:N133,N133),IF(LEN(COUNTIFS($J$1:J133,$J133,$K$1:K133,$K133,$L$1:L133,$L133,$M$1:M133,M133,$N$1:N133,N133))=2,"0"&amp;COUNTIFS($J$1:J133,$J133,$K$1:K133,$K133,$L$1:L133,$L133,$M$1:M133,M133,$N$1:N133,N133),COUNTIFS($J$1:J133,$J133,$K$1:K133,$K133,$L$1:L133,$L133,$M$1:M133,M133,$N$1:N133,N133)))</f>
        <v>001</v>
      </c>
      <c r="P13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MS-NS-006-17-00001-INV</v>
      </c>
      <c r="Q133" s="34"/>
      <c r="R133" s="34" t="s">
        <v>5968</v>
      </c>
      <c r="S133" s="34" t="s">
        <v>340</v>
      </c>
      <c r="T133" s="34">
        <f>+IFERROR(_xlfn.XLOOKUP(Table43[[#This Row],[Column1]],#REF!,#REF!),0)</f>
        <v>0</v>
      </c>
      <c r="U133" s="50">
        <f>IFERROR(_xlfn.XLOOKUP(Table43[[#This Row],[Column1]],#REF!,#REF!),0)</f>
        <v>0</v>
      </c>
      <c r="V133" s="39"/>
    </row>
    <row r="134" spans="1:22" x14ac:dyDescent="0.35">
      <c r="A134" s="2" t="s">
        <v>341</v>
      </c>
      <c r="B134" s="3" t="s">
        <v>342</v>
      </c>
      <c r="C134" s="3" t="s">
        <v>15</v>
      </c>
      <c r="D134" s="3">
        <v>210</v>
      </c>
      <c r="E134" s="3" t="s">
        <v>10</v>
      </c>
      <c r="F134" s="3">
        <v>1</v>
      </c>
      <c r="G134" s="3">
        <v>3</v>
      </c>
      <c r="H134" s="3">
        <v>12</v>
      </c>
      <c r="I134" s="21">
        <f>Table43[[#This Row],[Item Cost]]*Table43[[#This Row],[In Stock]]</f>
        <v>2520</v>
      </c>
      <c r="J134" s="12" t="s">
        <v>4941</v>
      </c>
      <c r="K134" s="13" t="s">
        <v>4666</v>
      </c>
      <c r="L134" s="13" t="s">
        <v>4681</v>
      </c>
      <c r="M134" s="13" t="s">
        <v>4693</v>
      </c>
      <c r="N134" s="12" t="s">
        <v>4672</v>
      </c>
      <c r="O134" s="17" t="str">
        <f>IF(LEN(COUNTIFS($J$1:J134,$J134,$K$1:K134,$K134,$L$1:L134,$L134,$M$1:M134,M134,$N$1:N134,N134))=1,"00"&amp;COUNTIFS($J$1:J134,$J134,$K$1:K134,$K134,$L$1:L134,$L134,$M$1:M134,M134,$N$1:N134,N134),IF(LEN(COUNTIFS($J$1:J134,$J134,$K$1:K134,$K134,$L$1:L134,$L134,$M$1:M134,M134,$N$1:N134,N134))=2,"0"&amp;COUNTIFS($J$1:J134,$J134,$K$1:K134,$K134,$L$1:L134,$L134,$M$1:M134,M134,$N$1:N134,N134),COUNTIFS($J$1:J134,$J134,$K$1:K134,$K134,$L$1:L134,$L134,$M$1:M134,M134,$N$1:N134,N134)))</f>
        <v>004</v>
      </c>
      <c r="P13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MS-NS-006-23-00004-INV</v>
      </c>
      <c r="Q134" s="34"/>
      <c r="R134" s="34" t="s">
        <v>5969</v>
      </c>
      <c r="S134" s="34" t="s">
        <v>342</v>
      </c>
      <c r="T134" s="34">
        <f>+IFERROR(_xlfn.XLOOKUP(Table43[[#This Row],[Column1]],#REF!,#REF!),0)</f>
        <v>0</v>
      </c>
      <c r="U134" s="50">
        <f>IFERROR(_xlfn.XLOOKUP(Table43[[#This Row],[Column1]],#REF!,#REF!),0)</f>
        <v>0</v>
      </c>
      <c r="V134" s="39"/>
    </row>
    <row r="135" spans="1:22" x14ac:dyDescent="0.35">
      <c r="A135" s="2" t="s">
        <v>343</v>
      </c>
      <c r="B135" s="2" t="s">
        <v>344</v>
      </c>
      <c r="C135" s="2" t="s">
        <v>15</v>
      </c>
      <c r="D135" s="2">
        <v>275.44</v>
      </c>
      <c r="E135" s="2" t="s">
        <v>10</v>
      </c>
      <c r="F135" s="3">
        <v>1</v>
      </c>
      <c r="G135" s="3">
        <v>3</v>
      </c>
      <c r="H135" s="2">
        <v>3</v>
      </c>
      <c r="I135" s="22">
        <f>Table43[[#This Row],[Item Cost]]*Table43[[#This Row],[In Stock]]</f>
        <v>826.31999999999994</v>
      </c>
      <c r="J135" s="12" t="s">
        <v>4941</v>
      </c>
      <c r="K135" s="13" t="s">
        <v>4666</v>
      </c>
      <c r="L135" s="13" t="s">
        <v>4681</v>
      </c>
      <c r="M135" s="13" t="s">
        <v>4844</v>
      </c>
      <c r="N135" s="12" t="s">
        <v>4850</v>
      </c>
      <c r="O135" s="17" t="str">
        <f>IF(LEN(COUNTIFS($J$1:J135,$J135,$K$1:K135,$K135,$L$1:L135,$L135,$M$1:M135,M135,$N$1:N135,N135))=1,"00"&amp;COUNTIFS($J$1:J135,$J135,$K$1:K135,$K135,$L$1:L135,$L135,$M$1:M135,M135,$N$1:N135,N135),IF(LEN(COUNTIFS($J$1:J135,$J135,$K$1:K135,$K135,$L$1:L135,$L135,$M$1:M135,M135,$N$1:N135,N135))=2,"0"&amp;COUNTIFS($J$1:J135,$J135,$K$1:K135,$K135,$L$1:L135,$L135,$M$1:M135,M135,$N$1:N135,N135),COUNTIFS($J$1:J135,$J135,$K$1:K135,$K135,$L$1:L135,$L135,$M$1:M135,M135,$N$1:N135,N135)))</f>
        <v>001</v>
      </c>
      <c r="P13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MS-NS-006-29-06001-INV</v>
      </c>
      <c r="Q135" s="34"/>
      <c r="R135" s="34" t="s">
        <v>5970</v>
      </c>
      <c r="S135" s="34" t="s">
        <v>344</v>
      </c>
      <c r="T135" s="34">
        <f>+IFERROR(_xlfn.XLOOKUP(Table43[[#This Row],[Column1]],#REF!,#REF!),0)</f>
        <v>0</v>
      </c>
      <c r="U135" s="50">
        <f>IFERROR(_xlfn.XLOOKUP(Table43[[#This Row],[Column1]],#REF!,#REF!),0)</f>
        <v>0</v>
      </c>
      <c r="V135" s="39"/>
    </row>
    <row r="136" spans="1:22" x14ac:dyDescent="0.35">
      <c r="A136" s="2" t="s">
        <v>345</v>
      </c>
      <c r="B136" s="3" t="s">
        <v>346</v>
      </c>
      <c r="C136" s="3" t="s">
        <v>15</v>
      </c>
      <c r="D136" s="3">
        <v>881.4</v>
      </c>
      <c r="E136" s="3" t="s">
        <v>10</v>
      </c>
      <c r="F136" s="3">
        <v>1</v>
      </c>
      <c r="G136" s="3">
        <v>3</v>
      </c>
      <c r="H136" s="3">
        <v>3</v>
      </c>
      <c r="I136" s="21">
        <f>Table43[[#This Row],[Item Cost]]*Table43[[#This Row],[In Stock]]</f>
        <v>2644.2</v>
      </c>
      <c r="J136" s="12" t="s">
        <v>4941</v>
      </c>
      <c r="K136" s="13" t="s">
        <v>4666</v>
      </c>
      <c r="L136" s="13" t="s">
        <v>4681</v>
      </c>
      <c r="M136" s="13" t="s">
        <v>4844</v>
      </c>
      <c r="N136" s="12" t="s">
        <v>4854</v>
      </c>
      <c r="O136" s="17" t="str">
        <f>IF(LEN(COUNTIFS($J$1:J136,$J136,$K$1:K136,$K136,$L$1:L136,$L136,$M$1:M136,M136,$N$1:N136,N136))=1,"00"&amp;COUNTIFS($J$1:J136,$J136,$K$1:K136,$K136,$L$1:L136,$L136,$M$1:M136,M136,$N$1:N136,N136),IF(LEN(COUNTIFS($J$1:J136,$J136,$K$1:K136,$K136,$L$1:L136,$L136,$M$1:M136,M136,$N$1:N136,N136))=2,"0"&amp;COUNTIFS($J$1:J136,$J136,$K$1:K136,$K136,$L$1:L136,$L136,$M$1:M136,M136,$N$1:N136,N136),COUNTIFS($J$1:J136,$J136,$K$1:K136,$K136,$L$1:L136,$L136,$M$1:M136,M136,$N$1:N136,N136)))</f>
        <v>001</v>
      </c>
      <c r="P13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MS-NS-006-29-10001-INV</v>
      </c>
      <c r="Q136" s="34"/>
      <c r="R136" s="34" t="s">
        <v>5971</v>
      </c>
      <c r="S136" s="34" t="s">
        <v>346</v>
      </c>
      <c r="T136" s="34">
        <f>+IFERROR(_xlfn.XLOOKUP(Table43[[#This Row],[Column1]],#REF!,#REF!),0)</f>
        <v>0</v>
      </c>
      <c r="U136" s="50">
        <f>IFERROR(_xlfn.XLOOKUP(Table43[[#This Row],[Column1]],#REF!,#REF!),0)</f>
        <v>0</v>
      </c>
      <c r="V136" s="39"/>
    </row>
    <row r="137" spans="1:22" x14ac:dyDescent="0.35">
      <c r="A137" s="2" t="s">
        <v>347</v>
      </c>
      <c r="B137" s="2" t="s">
        <v>348</v>
      </c>
      <c r="C137" s="2" t="s">
        <v>15</v>
      </c>
      <c r="D137" s="2">
        <v>881.4</v>
      </c>
      <c r="E137" s="2" t="s">
        <v>10</v>
      </c>
      <c r="F137" s="3">
        <v>1</v>
      </c>
      <c r="G137" s="3">
        <v>3</v>
      </c>
      <c r="H137" s="2">
        <v>3</v>
      </c>
      <c r="I137" s="22">
        <f>Table43[[#This Row],[Item Cost]]*Table43[[#This Row],[In Stock]]</f>
        <v>2644.2</v>
      </c>
      <c r="J137" s="12" t="s">
        <v>4941</v>
      </c>
      <c r="K137" s="13" t="s">
        <v>4666</v>
      </c>
      <c r="L137" s="13" t="s">
        <v>4681</v>
      </c>
      <c r="M137" s="13" t="s">
        <v>4844</v>
      </c>
      <c r="N137" s="12" t="s">
        <v>4672</v>
      </c>
      <c r="O137" s="17" t="str">
        <f>IF(LEN(COUNTIFS($J$1:J137,$J137,$K$1:K137,$K137,$L$1:L137,$L137,$M$1:M137,M137,$N$1:N137,N137))=1,"00"&amp;COUNTIFS($J$1:J137,$J137,$K$1:K137,$K137,$L$1:L137,$L137,$M$1:M137,M137,$N$1:N137,N137),IF(LEN(COUNTIFS($J$1:J137,$J137,$K$1:K137,$K137,$L$1:L137,$L137,$M$1:M137,M137,$N$1:N137,N137))=2,"0"&amp;COUNTIFS($J$1:J137,$J137,$K$1:K137,$K137,$L$1:L137,$L137,$M$1:M137,M137,$N$1:N137,N137),COUNTIFS($J$1:J137,$J137,$K$1:K137,$K137,$L$1:L137,$L137,$M$1:M137,M137,$N$1:N137,N137)))</f>
        <v>001</v>
      </c>
      <c r="P13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MS-NS-006-29-00001-INV</v>
      </c>
      <c r="Q137" s="34"/>
      <c r="R137" s="34" t="s">
        <v>5972</v>
      </c>
      <c r="S137" s="34" t="s">
        <v>348</v>
      </c>
      <c r="T137" s="34">
        <f>+IFERROR(_xlfn.XLOOKUP(Table43[[#This Row],[Column1]],#REF!,#REF!),0)</f>
        <v>0</v>
      </c>
      <c r="U137" s="50">
        <f>IFERROR(_xlfn.XLOOKUP(Table43[[#This Row],[Column1]],#REF!,#REF!),0)</f>
        <v>0</v>
      </c>
      <c r="V137" s="39"/>
    </row>
    <row r="138" spans="1:22" x14ac:dyDescent="0.35">
      <c r="A138" s="2" t="s">
        <v>349</v>
      </c>
      <c r="B138" s="3" t="s">
        <v>350</v>
      </c>
      <c r="C138" s="3" t="s">
        <v>15</v>
      </c>
      <c r="D138" s="5">
        <v>2534.027</v>
      </c>
      <c r="E138" s="3" t="s">
        <v>10</v>
      </c>
      <c r="F138" s="3">
        <v>1</v>
      </c>
      <c r="G138" s="3">
        <v>3</v>
      </c>
      <c r="H138" s="3">
        <v>3</v>
      </c>
      <c r="I138" s="21">
        <f>Table43[[#This Row],[Item Cost]]*Table43[[#This Row],[In Stock]]</f>
        <v>7602.0810000000001</v>
      </c>
      <c r="J138" s="12" t="s">
        <v>4941</v>
      </c>
      <c r="K138" s="13" t="s">
        <v>4666</v>
      </c>
      <c r="L138" s="13" t="s">
        <v>4681</v>
      </c>
      <c r="M138" s="13" t="s">
        <v>4844</v>
      </c>
      <c r="N138" s="12" t="s">
        <v>4672</v>
      </c>
      <c r="O138" s="17" t="str">
        <f>IF(LEN(COUNTIFS($J$1:J138,$J138,$K$1:K138,$K138,$L$1:L138,$L138,$M$1:M138,M138,$N$1:N138,N138))=1,"00"&amp;COUNTIFS($J$1:J138,$J138,$K$1:K138,$K138,$L$1:L138,$L138,$M$1:M138,M138,$N$1:N138,N138),IF(LEN(COUNTIFS($J$1:J138,$J138,$K$1:K138,$K138,$L$1:L138,$L138,$M$1:M138,M138,$N$1:N138,N138))=2,"0"&amp;COUNTIFS($J$1:J138,$J138,$K$1:K138,$K138,$L$1:L138,$L138,$M$1:M138,M138,$N$1:N138,N138),COUNTIFS($J$1:J138,$J138,$K$1:K138,$K138,$L$1:L138,$L138,$M$1:M138,M138,$N$1:N138,N138)))</f>
        <v>002</v>
      </c>
      <c r="P13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MS-NS-006-29-00002-INV</v>
      </c>
      <c r="Q138" s="34"/>
      <c r="R138" s="34" t="s">
        <v>5973</v>
      </c>
      <c r="S138" s="34" t="s">
        <v>350</v>
      </c>
      <c r="T138" s="34">
        <f>+IFERROR(_xlfn.XLOOKUP(Table43[[#This Row],[Column1]],#REF!,#REF!),0)</f>
        <v>0</v>
      </c>
      <c r="U138" s="50">
        <f>IFERROR(_xlfn.XLOOKUP(Table43[[#This Row],[Column1]],#REF!,#REF!),0)</f>
        <v>0</v>
      </c>
      <c r="V138" s="39"/>
    </row>
    <row r="139" spans="1:22" x14ac:dyDescent="0.35">
      <c r="A139" s="2" t="s">
        <v>351</v>
      </c>
      <c r="B139" s="2" t="s">
        <v>352</v>
      </c>
      <c r="C139" s="2" t="s">
        <v>15</v>
      </c>
      <c r="D139" s="2">
        <v>128.54</v>
      </c>
      <c r="E139" s="2" t="s">
        <v>10</v>
      </c>
      <c r="F139" s="3">
        <v>1</v>
      </c>
      <c r="G139" s="3">
        <v>3</v>
      </c>
      <c r="H139" s="2">
        <v>3</v>
      </c>
      <c r="I139" s="22">
        <f>Table43[[#This Row],[Item Cost]]*Table43[[#This Row],[In Stock]]</f>
        <v>385.62</v>
      </c>
      <c r="J139" s="12" t="s">
        <v>4941</v>
      </c>
      <c r="K139" s="13" t="s">
        <v>4666</v>
      </c>
      <c r="L139" s="13" t="s">
        <v>4681</v>
      </c>
      <c r="M139" s="13" t="s">
        <v>4844</v>
      </c>
      <c r="N139" s="12" t="s">
        <v>4852</v>
      </c>
      <c r="O139" s="17" t="str">
        <f>IF(LEN(COUNTIFS($J$1:J139,$J139,$K$1:K139,$K139,$L$1:L139,$L139,$M$1:M139,M139,$N$1:N139,N139))=1,"00"&amp;COUNTIFS($J$1:J139,$J139,$K$1:K139,$K139,$L$1:L139,$L139,$M$1:M139,M139,$N$1:N139,N139),IF(LEN(COUNTIFS($J$1:J139,$J139,$K$1:K139,$K139,$L$1:L139,$L139,$M$1:M139,M139,$N$1:N139,N139))=2,"0"&amp;COUNTIFS($J$1:J139,$J139,$K$1:K139,$K139,$L$1:L139,$L139,$M$1:M139,M139,$N$1:N139,N139),COUNTIFS($J$1:J139,$J139,$K$1:K139,$K139,$L$1:L139,$L139,$M$1:M139,M139,$N$1:N139,N139)))</f>
        <v>001</v>
      </c>
      <c r="P13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MS-NS-006-29-08001-INV</v>
      </c>
      <c r="Q139" s="34"/>
      <c r="R139" s="34" t="s">
        <v>5974</v>
      </c>
      <c r="S139" s="34" t="s">
        <v>352</v>
      </c>
      <c r="T139" s="34">
        <f>+IFERROR(_xlfn.XLOOKUP(Table43[[#This Row],[Column1]],#REF!,#REF!),0)</f>
        <v>0</v>
      </c>
      <c r="U139" s="50">
        <f>IFERROR(_xlfn.XLOOKUP(Table43[[#This Row],[Column1]],#REF!,#REF!),0)</f>
        <v>0</v>
      </c>
      <c r="V139" s="39"/>
    </row>
    <row r="140" spans="1:22" x14ac:dyDescent="0.35">
      <c r="A140" s="3" t="s">
        <v>7281</v>
      </c>
      <c r="B140" s="3" t="s">
        <v>7277</v>
      </c>
      <c r="C140" s="2" t="s">
        <v>15</v>
      </c>
      <c r="D140" s="2">
        <v>0</v>
      </c>
      <c r="E140" s="2" t="s">
        <v>10</v>
      </c>
      <c r="F140" s="3">
        <v>1</v>
      </c>
      <c r="G140" s="3">
        <v>10</v>
      </c>
      <c r="H140" s="2">
        <v>0</v>
      </c>
      <c r="I140" s="22">
        <f>Table43[[#This Row],[Item Cost]]*Table43[[#This Row],[In Stock]]</f>
        <v>0</v>
      </c>
      <c r="J140" s="12" t="s">
        <v>4941</v>
      </c>
      <c r="K140" s="13" t="s">
        <v>4666</v>
      </c>
      <c r="L140" s="13" t="s">
        <v>4681</v>
      </c>
      <c r="M140" s="13" t="s">
        <v>4844</v>
      </c>
      <c r="N140" s="12" t="s">
        <v>4856</v>
      </c>
      <c r="O140" s="17" t="str">
        <f>IF(LEN(COUNTIFS($J$1:J140,$J140,$K$1:K140,$K140,$L$1:L140,$L140,$M$1:M140,M140,$N$1:N140,N140))=1,"00"&amp;COUNTIFS($J$1:J140,$J140,$K$1:K140,$K140,$L$1:L140,$L140,$M$1:M140,M140,$N$1:N140,N140),IF(LEN(COUNTIFS($J$1:J140,$J140,$K$1:K140,$K140,$L$1:L140,$L140,$M$1:M140,M140,$N$1:N140,N140))=2,"0"&amp;COUNTIFS($J$1:J140,$J140,$K$1:K140,$K140,$L$1:L140,$L140,$M$1:M140,M140,$N$1:N140,N140),COUNTIFS($J$1:J140,$J140,$K$1:K140,$K140,$L$1:L140,$L140,$M$1:M140,M140,$N$1:N140,N140)))</f>
        <v>001</v>
      </c>
      <c r="P14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MS-NS-006-29-13001-INV</v>
      </c>
      <c r="Q140" s="34"/>
      <c r="R140" s="34"/>
      <c r="S140" s="34"/>
      <c r="T140" s="34">
        <f>+IFERROR(_xlfn.XLOOKUP(Table43[[#This Row],[Column1]],#REF!,#REF!),0)</f>
        <v>0</v>
      </c>
      <c r="U140" s="51">
        <f>IFERROR(_xlfn.XLOOKUP(Table43[[#This Row],[Column1]],#REF!,#REF!),0)</f>
        <v>0</v>
      </c>
      <c r="V140" s="39"/>
    </row>
    <row r="141" spans="1:22" x14ac:dyDescent="0.35">
      <c r="A141" s="3" t="s">
        <v>7282</v>
      </c>
      <c r="B141" s="3" t="s">
        <v>7262</v>
      </c>
      <c r="C141" s="2" t="s">
        <v>15</v>
      </c>
      <c r="D141" s="2">
        <v>0</v>
      </c>
      <c r="E141" s="2" t="s">
        <v>10</v>
      </c>
      <c r="F141" s="3">
        <v>1</v>
      </c>
      <c r="G141" s="3">
        <v>10</v>
      </c>
      <c r="H141" s="2">
        <v>0</v>
      </c>
      <c r="I141" s="22">
        <f>Table43[[#This Row],[Item Cost]]*Table43[[#This Row],[In Stock]]</f>
        <v>0</v>
      </c>
      <c r="J141" s="12" t="s">
        <v>4941</v>
      </c>
      <c r="K141" s="13" t="s">
        <v>4666</v>
      </c>
      <c r="L141" s="13" t="s">
        <v>4681</v>
      </c>
      <c r="M141" s="13" t="s">
        <v>4844</v>
      </c>
      <c r="N141" s="12" t="s">
        <v>4856</v>
      </c>
      <c r="O141" s="17" t="str">
        <f>IF(LEN(COUNTIFS($J$1:J141,$J141,$K$1:K141,$K141,$L$1:L141,$L141,$M$1:M141,M141,$N$1:N141,N141))=1,"00"&amp;COUNTIFS($J$1:J141,$J141,$K$1:K141,$K141,$L$1:L141,$L141,$M$1:M141,M141,$N$1:N141,N141),IF(LEN(COUNTIFS($J$1:J141,$J141,$K$1:K141,$K141,$L$1:L141,$L141,$M$1:M141,M141,$N$1:N141,N141))=2,"0"&amp;COUNTIFS($J$1:J141,$J141,$K$1:K141,$K141,$L$1:L141,$L141,$M$1:M141,M141,$N$1:N141,N141),COUNTIFS($J$1:J141,$J141,$K$1:K141,$K141,$L$1:L141,$L141,$M$1:M141,M141,$N$1:N141,N141)))</f>
        <v>002</v>
      </c>
      <c r="P14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MS-NS-006-29-13002-INV</v>
      </c>
      <c r="Q141" s="34"/>
      <c r="R141" s="34"/>
      <c r="S141" s="34"/>
      <c r="T141" s="34">
        <f>+IFERROR(_xlfn.XLOOKUP(Table43[[#This Row],[Column1]],#REF!,#REF!),0)</f>
        <v>0</v>
      </c>
      <c r="U141" s="51">
        <f>IFERROR(_xlfn.XLOOKUP(Table43[[#This Row],[Column1]],#REF!,#REF!),0)</f>
        <v>0</v>
      </c>
      <c r="V141" s="39"/>
    </row>
    <row r="142" spans="1:22" x14ac:dyDescent="0.35">
      <c r="A142" s="3" t="s">
        <v>7283</v>
      </c>
      <c r="B142" s="3" t="s">
        <v>7263</v>
      </c>
      <c r="C142" s="2" t="s">
        <v>15</v>
      </c>
      <c r="D142" s="2">
        <v>0</v>
      </c>
      <c r="E142" s="2" t="s">
        <v>10</v>
      </c>
      <c r="F142" s="3">
        <v>1</v>
      </c>
      <c r="G142" s="3">
        <v>10</v>
      </c>
      <c r="H142" s="2">
        <v>0</v>
      </c>
      <c r="I142" s="22">
        <f>Table43[[#This Row],[Item Cost]]*Table43[[#This Row],[In Stock]]</f>
        <v>0</v>
      </c>
      <c r="J142" s="12" t="s">
        <v>4941</v>
      </c>
      <c r="K142" s="13" t="s">
        <v>4666</v>
      </c>
      <c r="L142" s="13" t="s">
        <v>4681</v>
      </c>
      <c r="M142" s="13" t="s">
        <v>4844</v>
      </c>
      <c r="N142" s="12" t="s">
        <v>4856</v>
      </c>
      <c r="O142" s="17" t="str">
        <f>IF(LEN(COUNTIFS($J$1:J142,$J142,$K$1:K142,$K142,$L$1:L142,$L142,$M$1:M142,M142,$N$1:N142,N142))=1,"00"&amp;COUNTIFS($J$1:J142,$J142,$K$1:K142,$K142,$L$1:L142,$L142,$M$1:M142,M142,$N$1:N142,N142),IF(LEN(COUNTIFS($J$1:J142,$J142,$K$1:K142,$K142,$L$1:L142,$L142,$M$1:M142,M142,$N$1:N142,N142))=2,"0"&amp;COUNTIFS($J$1:J142,$J142,$K$1:K142,$K142,$L$1:L142,$L142,$M$1:M142,M142,$N$1:N142,N142),COUNTIFS($J$1:J142,$J142,$K$1:K142,$K142,$L$1:L142,$L142,$M$1:M142,M142,$N$1:N142,N142)))</f>
        <v>003</v>
      </c>
      <c r="P14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MS-NS-006-29-13003-INV</v>
      </c>
      <c r="Q142" s="34"/>
      <c r="R142" s="34"/>
      <c r="S142" s="34"/>
      <c r="T142" s="34">
        <f>+IFERROR(_xlfn.XLOOKUP(Table43[[#This Row],[Column1]],#REF!,#REF!),0)</f>
        <v>0</v>
      </c>
      <c r="U142" s="51">
        <f>IFERROR(_xlfn.XLOOKUP(Table43[[#This Row],[Column1]],#REF!,#REF!),0)</f>
        <v>0</v>
      </c>
      <c r="V142" s="39"/>
    </row>
    <row r="143" spans="1:22" x14ac:dyDescent="0.35">
      <c r="A143" s="3" t="s">
        <v>7284</v>
      </c>
      <c r="B143" s="3" t="s">
        <v>7264</v>
      </c>
      <c r="C143" s="2" t="s">
        <v>15</v>
      </c>
      <c r="D143" s="2">
        <v>0</v>
      </c>
      <c r="E143" s="2" t="s">
        <v>10</v>
      </c>
      <c r="F143" s="3">
        <v>1</v>
      </c>
      <c r="G143" s="3">
        <v>10</v>
      </c>
      <c r="H143" s="2">
        <v>0</v>
      </c>
      <c r="I143" s="22">
        <f>Table43[[#This Row],[Item Cost]]*Table43[[#This Row],[In Stock]]</f>
        <v>0</v>
      </c>
      <c r="J143" s="12" t="s">
        <v>4941</v>
      </c>
      <c r="K143" s="13" t="s">
        <v>4666</v>
      </c>
      <c r="L143" s="13" t="s">
        <v>4681</v>
      </c>
      <c r="M143" s="13" t="s">
        <v>4844</v>
      </c>
      <c r="N143" s="12" t="s">
        <v>4856</v>
      </c>
      <c r="O143" s="17" t="str">
        <f>IF(LEN(COUNTIFS($J$1:J143,$J143,$K$1:K143,$K143,$L$1:L143,$L143,$M$1:M143,M143,$N$1:N143,N143))=1,"00"&amp;COUNTIFS($J$1:J143,$J143,$K$1:K143,$K143,$L$1:L143,$L143,$M$1:M143,M143,$N$1:N143,N143),IF(LEN(COUNTIFS($J$1:J143,$J143,$K$1:K143,$K143,$L$1:L143,$L143,$M$1:M143,M143,$N$1:N143,N143))=2,"0"&amp;COUNTIFS($J$1:J143,$J143,$K$1:K143,$K143,$L$1:L143,$L143,$M$1:M143,M143,$N$1:N143,N143),COUNTIFS($J$1:J143,$J143,$K$1:K143,$K143,$L$1:L143,$L143,$M$1:M143,M143,$N$1:N143,N143)))</f>
        <v>004</v>
      </c>
      <c r="P14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MS-NS-006-29-13004-INV</v>
      </c>
      <c r="Q143" s="34"/>
      <c r="R143" s="34"/>
      <c r="S143" s="34"/>
      <c r="T143" s="34">
        <f>+IFERROR(_xlfn.XLOOKUP(Table43[[#This Row],[Column1]],#REF!,#REF!),0)</f>
        <v>0</v>
      </c>
      <c r="U143" s="51">
        <f>IFERROR(_xlfn.XLOOKUP(Table43[[#This Row],[Column1]],#REF!,#REF!),0)</f>
        <v>0</v>
      </c>
      <c r="V143" s="39"/>
    </row>
    <row r="144" spans="1:22" x14ac:dyDescent="0.35">
      <c r="A144" s="3" t="s">
        <v>7285</v>
      </c>
      <c r="B144" s="3" t="s">
        <v>7265</v>
      </c>
      <c r="C144" s="2" t="s">
        <v>15</v>
      </c>
      <c r="D144" s="2">
        <v>0</v>
      </c>
      <c r="E144" s="2" t="s">
        <v>10</v>
      </c>
      <c r="F144" s="3">
        <v>1</v>
      </c>
      <c r="G144" s="3">
        <v>10</v>
      </c>
      <c r="H144" s="2">
        <v>0</v>
      </c>
      <c r="I144" s="22">
        <f>Table43[[#This Row],[Item Cost]]*Table43[[#This Row],[In Stock]]</f>
        <v>0</v>
      </c>
      <c r="J144" s="12" t="s">
        <v>4941</v>
      </c>
      <c r="K144" s="13" t="s">
        <v>4666</v>
      </c>
      <c r="L144" s="13" t="s">
        <v>4681</v>
      </c>
      <c r="M144" s="13" t="s">
        <v>4844</v>
      </c>
      <c r="N144" s="12" t="s">
        <v>4856</v>
      </c>
      <c r="O144" s="17" t="str">
        <f>IF(LEN(COUNTIFS($J$1:J144,$J144,$K$1:K144,$K144,$L$1:L144,$L144,$M$1:M144,M144,$N$1:N144,N144))=1,"00"&amp;COUNTIFS($J$1:J144,$J144,$K$1:K144,$K144,$L$1:L144,$L144,$M$1:M144,M144,$N$1:N144,N144),IF(LEN(COUNTIFS($J$1:J144,$J144,$K$1:K144,$K144,$L$1:L144,$L144,$M$1:M144,M144,$N$1:N144,N144))=2,"0"&amp;COUNTIFS($J$1:J144,$J144,$K$1:K144,$K144,$L$1:L144,$L144,$M$1:M144,M144,$N$1:N144,N144),COUNTIFS($J$1:J144,$J144,$K$1:K144,$K144,$L$1:L144,$L144,$M$1:M144,M144,$N$1:N144,N144)))</f>
        <v>005</v>
      </c>
      <c r="P14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MS-NS-006-29-13005-INV</v>
      </c>
      <c r="Q144" s="34"/>
      <c r="R144" s="34"/>
      <c r="S144" s="34"/>
      <c r="T144" s="34">
        <f>+IFERROR(_xlfn.XLOOKUP(Table43[[#This Row],[Column1]],#REF!,#REF!),0)</f>
        <v>0</v>
      </c>
      <c r="U144" s="51">
        <f>IFERROR(_xlfn.XLOOKUP(Table43[[#This Row],[Column1]],#REF!,#REF!),0)</f>
        <v>0</v>
      </c>
      <c r="V144" s="39"/>
    </row>
    <row r="145" spans="1:22" x14ac:dyDescent="0.35">
      <c r="A145" s="3" t="s">
        <v>7285</v>
      </c>
      <c r="B145" s="3" t="s">
        <v>7266</v>
      </c>
      <c r="C145" s="2" t="s">
        <v>15</v>
      </c>
      <c r="D145" s="2">
        <v>0</v>
      </c>
      <c r="E145" s="2" t="s">
        <v>10</v>
      </c>
      <c r="F145" s="3">
        <v>1</v>
      </c>
      <c r="G145" s="3">
        <v>10</v>
      </c>
      <c r="H145" s="2">
        <v>0</v>
      </c>
      <c r="I145" s="22">
        <f>Table43[[#This Row],[Item Cost]]*Table43[[#This Row],[In Stock]]</f>
        <v>0</v>
      </c>
      <c r="J145" s="12" t="s">
        <v>4941</v>
      </c>
      <c r="K145" s="13" t="s">
        <v>4666</v>
      </c>
      <c r="L145" s="13" t="s">
        <v>4681</v>
      </c>
      <c r="M145" s="13" t="s">
        <v>4844</v>
      </c>
      <c r="N145" s="12" t="s">
        <v>4856</v>
      </c>
      <c r="O145" s="17" t="str">
        <f>IF(LEN(COUNTIFS($J$1:J145,$J145,$K$1:K145,$K145,$L$1:L145,$L145,$M$1:M145,M145,$N$1:N145,N145))=1,"00"&amp;COUNTIFS($J$1:J145,$J145,$K$1:K145,$K145,$L$1:L145,$L145,$M$1:M145,M145,$N$1:N145,N145),IF(LEN(COUNTIFS($J$1:J145,$J145,$K$1:K145,$K145,$L$1:L145,$L145,$M$1:M145,M145,$N$1:N145,N145))=2,"0"&amp;COUNTIFS($J$1:J145,$J145,$K$1:K145,$K145,$L$1:L145,$L145,$M$1:M145,M145,$N$1:N145,N145),COUNTIFS($J$1:J145,$J145,$K$1:K145,$K145,$L$1:L145,$L145,$M$1:M145,M145,$N$1:N145,N145)))</f>
        <v>006</v>
      </c>
      <c r="P14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MS-NS-006-29-13006-INV</v>
      </c>
      <c r="Q145" s="34"/>
      <c r="R145" s="34"/>
      <c r="S145" s="34"/>
      <c r="T145" s="34">
        <f>+IFERROR(_xlfn.XLOOKUP(Table43[[#This Row],[Column1]],#REF!,#REF!),0)</f>
        <v>0</v>
      </c>
      <c r="U145" s="51">
        <f>IFERROR(_xlfn.XLOOKUP(Table43[[#This Row],[Column1]],#REF!,#REF!),0)</f>
        <v>0</v>
      </c>
      <c r="V145" s="39"/>
    </row>
    <row r="146" spans="1:22" x14ac:dyDescent="0.35">
      <c r="A146" s="3" t="s">
        <v>7286</v>
      </c>
      <c r="B146" s="3" t="s">
        <v>7267</v>
      </c>
      <c r="C146" s="2" t="s">
        <v>15</v>
      </c>
      <c r="D146" s="2">
        <v>0</v>
      </c>
      <c r="E146" s="2" t="s">
        <v>10</v>
      </c>
      <c r="F146" s="3">
        <v>1</v>
      </c>
      <c r="G146" s="3">
        <v>10</v>
      </c>
      <c r="H146" s="2">
        <v>0</v>
      </c>
      <c r="I146" s="22">
        <f>Table43[[#This Row],[Item Cost]]*Table43[[#This Row],[In Stock]]</f>
        <v>0</v>
      </c>
      <c r="J146" s="12" t="s">
        <v>4941</v>
      </c>
      <c r="K146" s="13" t="s">
        <v>4666</v>
      </c>
      <c r="L146" s="13" t="s">
        <v>4681</v>
      </c>
      <c r="M146" s="13" t="s">
        <v>4844</v>
      </c>
      <c r="N146" s="12" t="s">
        <v>4856</v>
      </c>
      <c r="O146" s="17" t="str">
        <f>IF(LEN(COUNTIFS($J$1:J146,$J146,$K$1:K146,$K146,$L$1:L146,$L146,$M$1:M146,M146,$N$1:N146,N146))=1,"00"&amp;COUNTIFS($J$1:J146,$J146,$K$1:K146,$K146,$L$1:L146,$L146,$M$1:M146,M146,$N$1:N146,N146),IF(LEN(COUNTIFS($J$1:J146,$J146,$K$1:K146,$K146,$L$1:L146,$L146,$M$1:M146,M146,$N$1:N146,N146))=2,"0"&amp;COUNTIFS($J$1:J146,$J146,$K$1:K146,$K146,$L$1:L146,$L146,$M$1:M146,M146,$N$1:N146,N146),COUNTIFS($J$1:J146,$J146,$K$1:K146,$K146,$L$1:L146,$L146,$M$1:M146,M146,$N$1:N146,N146)))</f>
        <v>007</v>
      </c>
      <c r="P14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MS-NS-006-29-13007-INV</v>
      </c>
      <c r="Q146" s="34"/>
      <c r="R146" s="34"/>
      <c r="S146" s="34"/>
      <c r="T146" s="34">
        <f>+IFERROR(_xlfn.XLOOKUP(Table43[[#This Row],[Column1]],#REF!,#REF!),0)</f>
        <v>0</v>
      </c>
      <c r="U146" s="51">
        <f>IFERROR(_xlfn.XLOOKUP(Table43[[#This Row],[Column1]],#REF!,#REF!),0)</f>
        <v>0</v>
      </c>
      <c r="V146" s="39"/>
    </row>
    <row r="147" spans="1:22" x14ac:dyDescent="0.35">
      <c r="A147" s="3" t="s">
        <v>7287</v>
      </c>
      <c r="B147" s="3" t="s">
        <v>7268</v>
      </c>
      <c r="C147" s="2" t="s">
        <v>15</v>
      </c>
      <c r="D147" s="2">
        <v>0</v>
      </c>
      <c r="E147" s="2" t="s">
        <v>10</v>
      </c>
      <c r="F147" s="3">
        <v>1</v>
      </c>
      <c r="G147" s="3">
        <v>10</v>
      </c>
      <c r="H147" s="2">
        <v>0</v>
      </c>
      <c r="I147" s="22">
        <f>Table43[[#This Row],[Item Cost]]*Table43[[#This Row],[In Stock]]</f>
        <v>0</v>
      </c>
      <c r="J147" s="12" t="s">
        <v>4941</v>
      </c>
      <c r="K147" s="13" t="s">
        <v>4666</v>
      </c>
      <c r="L147" s="13" t="s">
        <v>4681</v>
      </c>
      <c r="M147" s="13" t="s">
        <v>4844</v>
      </c>
      <c r="N147" s="12" t="s">
        <v>4856</v>
      </c>
      <c r="O147" s="17" t="str">
        <f>IF(LEN(COUNTIFS($J$1:J147,$J147,$K$1:K147,$K147,$L$1:L147,$L147,$M$1:M147,M147,$N$1:N147,N147))=1,"00"&amp;COUNTIFS($J$1:J147,$J147,$K$1:K147,$K147,$L$1:L147,$L147,$M$1:M147,M147,$N$1:N147,N147),IF(LEN(COUNTIFS($J$1:J147,$J147,$K$1:K147,$K147,$L$1:L147,$L147,$M$1:M147,M147,$N$1:N147,N147))=2,"0"&amp;COUNTIFS($J$1:J147,$J147,$K$1:K147,$K147,$L$1:L147,$L147,$M$1:M147,M147,$N$1:N147,N147),COUNTIFS($J$1:J147,$J147,$K$1:K147,$K147,$L$1:L147,$L147,$M$1:M147,M147,$N$1:N147,N147)))</f>
        <v>008</v>
      </c>
      <c r="P14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MS-NS-006-29-13008-INV</v>
      </c>
      <c r="Q147" s="34"/>
      <c r="R147" s="34"/>
      <c r="S147" s="34"/>
      <c r="T147" s="34">
        <f>+IFERROR(_xlfn.XLOOKUP(Table43[[#This Row],[Column1]],#REF!,#REF!),0)</f>
        <v>0</v>
      </c>
      <c r="U147" s="51">
        <f>IFERROR(_xlfn.XLOOKUP(Table43[[#This Row],[Column1]],#REF!,#REF!),0)</f>
        <v>0</v>
      </c>
      <c r="V147" s="39"/>
    </row>
    <row r="148" spans="1:22" x14ac:dyDescent="0.35">
      <c r="A148" s="3" t="s">
        <v>7288</v>
      </c>
      <c r="B148" s="3" t="s">
        <v>7269</v>
      </c>
      <c r="C148" s="2" t="s">
        <v>15</v>
      </c>
      <c r="D148" s="2">
        <v>0</v>
      </c>
      <c r="E148" s="2" t="s">
        <v>10</v>
      </c>
      <c r="F148" s="3">
        <v>1</v>
      </c>
      <c r="G148" s="3">
        <v>10</v>
      </c>
      <c r="H148" s="2">
        <v>0</v>
      </c>
      <c r="I148" s="22">
        <f>Table43[[#This Row],[Item Cost]]*Table43[[#This Row],[In Stock]]</f>
        <v>0</v>
      </c>
      <c r="J148" s="12" t="s">
        <v>4941</v>
      </c>
      <c r="K148" s="13" t="s">
        <v>4666</v>
      </c>
      <c r="L148" s="13" t="s">
        <v>4681</v>
      </c>
      <c r="M148" s="13" t="s">
        <v>4844</v>
      </c>
      <c r="N148" s="12" t="s">
        <v>4856</v>
      </c>
      <c r="O148" s="17" t="str">
        <f>IF(LEN(COUNTIFS($J$1:J148,$J148,$K$1:K148,$K148,$L$1:L148,$L148,$M$1:M148,M148,$N$1:N148,N148))=1,"00"&amp;COUNTIFS($J$1:J148,$J148,$K$1:K148,$K148,$L$1:L148,$L148,$M$1:M148,M148,$N$1:N148,N148),IF(LEN(COUNTIFS($J$1:J148,$J148,$K$1:K148,$K148,$L$1:L148,$L148,$M$1:M148,M148,$N$1:N148,N148))=2,"0"&amp;COUNTIFS($J$1:J148,$J148,$K$1:K148,$K148,$L$1:L148,$L148,$M$1:M148,M148,$N$1:N148,N148),COUNTIFS($J$1:J148,$J148,$K$1:K148,$K148,$L$1:L148,$L148,$M$1:M148,M148,$N$1:N148,N148)))</f>
        <v>009</v>
      </c>
      <c r="P14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MS-NS-006-29-13009-INV</v>
      </c>
      <c r="Q148" s="34"/>
      <c r="R148" s="34"/>
      <c r="S148" s="34"/>
      <c r="T148" s="34">
        <f>+IFERROR(_xlfn.XLOOKUP(Table43[[#This Row],[Column1]],#REF!,#REF!),0)</f>
        <v>0</v>
      </c>
      <c r="U148" s="51">
        <f>IFERROR(_xlfn.XLOOKUP(Table43[[#This Row],[Column1]],#REF!,#REF!),0)</f>
        <v>0</v>
      </c>
      <c r="V148" s="39"/>
    </row>
    <row r="149" spans="1:22" x14ac:dyDescent="0.35">
      <c r="A149" s="2" t="s">
        <v>5194</v>
      </c>
      <c r="B149" s="2" t="s">
        <v>766</v>
      </c>
      <c r="C149" s="2" t="s">
        <v>15</v>
      </c>
      <c r="D149" s="4">
        <v>5028</v>
      </c>
      <c r="E149" s="2" t="s">
        <v>10</v>
      </c>
      <c r="F149" s="2">
        <v>1</v>
      </c>
      <c r="G149" s="2">
        <v>2</v>
      </c>
      <c r="H149" s="2">
        <v>5</v>
      </c>
      <c r="I149" s="22">
        <f>Table43[[#This Row],[Item Cost]]*Table43[[#This Row],[In Stock]]</f>
        <v>25140</v>
      </c>
      <c r="J149" s="12" t="s">
        <v>4941</v>
      </c>
      <c r="K149" s="13" t="s">
        <v>4666</v>
      </c>
      <c r="L149" s="13" t="s">
        <v>4683</v>
      </c>
      <c r="M149" s="13" t="s">
        <v>4733</v>
      </c>
      <c r="N149" s="12" t="s">
        <v>4672</v>
      </c>
      <c r="O149" s="17" t="str">
        <f>IF(LEN(COUNTIFS($J$1:J149,$J149,$K$1:K149,$K149,$L$1:L149,$L149,$M$1:M149,M149,$N$1:N149,N149))=1,"00"&amp;COUNTIFS($J$1:J149,$J149,$K$1:K149,$K149,$L$1:L149,$L149,$M$1:M149,M149,$N$1:N149,N149),IF(LEN(COUNTIFS($J$1:J149,$J149,$K$1:K149,$K149,$L$1:L149,$L149,$M$1:M149,M149,$N$1:N149,N149))=2,"0"&amp;COUNTIFS($J$1:J149,$J149,$K$1:K149,$K149,$L$1:L149,$L149,$M$1:M149,M149,$N$1:N149,N149),COUNTIFS($J$1:J149,$J149,$K$1:K149,$K149,$L$1:L149,$L149,$M$1:M149,M149,$N$1:N149,N149)))</f>
        <v>001</v>
      </c>
      <c r="P14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MS-NS-007-01-00001-INV</v>
      </c>
      <c r="Q149" s="59" t="s">
        <v>7335</v>
      </c>
      <c r="R149" s="34" t="s">
        <v>5975</v>
      </c>
      <c r="S149" s="34" t="s">
        <v>766</v>
      </c>
      <c r="T149" s="34">
        <f>+IFERROR(_xlfn.XLOOKUP(Table43[[#This Row],[Column1]],#REF!,#REF!),0)</f>
        <v>0</v>
      </c>
      <c r="U149" s="50">
        <f>IFERROR(_xlfn.XLOOKUP(Table43[[#This Row],[Column1]],#REF!,#REF!),0)</f>
        <v>0</v>
      </c>
      <c r="V149" s="39"/>
    </row>
    <row r="150" spans="1:22" x14ac:dyDescent="0.35">
      <c r="A150" s="3" t="s">
        <v>767</v>
      </c>
      <c r="B150" s="3" t="s">
        <v>768</v>
      </c>
      <c r="C150" s="3" t="s">
        <v>15</v>
      </c>
      <c r="D150" s="5">
        <v>3000</v>
      </c>
      <c r="E150" s="3" t="s">
        <v>10</v>
      </c>
      <c r="F150" s="3">
        <v>1</v>
      </c>
      <c r="G150" s="3">
        <v>2</v>
      </c>
      <c r="H150" s="3">
        <v>0</v>
      </c>
      <c r="I150" s="21">
        <f>Table43[[#This Row],[Item Cost]]*Table43[[#This Row],[In Stock]]</f>
        <v>0</v>
      </c>
      <c r="J150" s="12" t="s">
        <v>4939</v>
      </c>
      <c r="K150" s="13" t="s">
        <v>4666</v>
      </c>
      <c r="L150" s="13" t="s">
        <v>4685</v>
      </c>
      <c r="M150" s="13" t="s">
        <v>4693</v>
      </c>
      <c r="N150" s="12" t="s">
        <v>4672</v>
      </c>
      <c r="O150" s="17" t="str">
        <f>IF(LEN(COUNTIFS($J$1:J150,$J150,$K$1:K150,$K150,$L$1:L150,$L150,$M$1:M150,M150,$N$1:N150,N150))=1,"00"&amp;COUNTIFS($J$1:J150,$J150,$K$1:K150,$K150,$L$1:L150,$L150,$M$1:M150,M150,$N$1:N150,N150),IF(LEN(COUNTIFS($J$1:J150,$J150,$K$1:K150,$K150,$L$1:L150,$L150,$M$1:M150,M150,$N$1:N150,N150))=2,"0"&amp;COUNTIFS($J$1:J150,$J150,$K$1:K150,$K150,$L$1:L150,$L150,$M$1:M150,M150,$N$1:N150,N150),COUNTIFS($J$1:J150,$J150,$K$1:K150,$K150,$L$1:L150,$L150,$M$1:M150,M150,$N$1:N150,N150)))</f>
        <v>001</v>
      </c>
      <c r="P15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FS-NS-008-23-00001-INV</v>
      </c>
      <c r="Q150" s="59"/>
      <c r="R150" s="34"/>
      <c r="S150" s="34">
        <v>0</v>
      </c>
      <c r="T150" s="34">
        <f>+IFERROR(_xlfn.XLOOKUP(Table43[[#This Row],[Column1]],#REF!,#REF!),0)</f>
        <v>0</v>
      </c>
      <c r="U150" s="50">
        <f>IFERROR(_xlfn.XLOOKUP(Table43[[#This Row],[Column1]],#REF!,#REF!),0)</f>
        <v>0</v>
      </c>
      <c r="V150" s="39"/>
    </row>
    <row r="151" spans="1:22" x14ac:dyDescent="0.35">
      <c r="A151" s="3" t="s">
        <v>5202</v>
      </c>
      <c r="B151" s="2" t="s">
        <v>770</v>
      </c>
      <c r="C151" s="2" t="s">
        <v>15</v>
      </c>
      <c r="D151" s="2">
        <v>0</v>
      </c>
      <c r="E151" s="2" t="s">
        <v>10</v>
      </c>
      <c r="F151" s="2">
        <v>2</v>
      </c>
      <c r="G151" s="2">
        <v>5</v>
      </c>
      <c r="H151" s="2">
        <v>0</v>
      </c>
      <c r="I151" s="22">
        <f>Table43[[#This Row],[Item Cost]]*Table43[[#This Row],[In Stock]]</f>
        <v>0</v>
      </c>
      <c r="J151" s="12" t="s">
        <v>4939</v>
      </c>
      <c r="K151" s="13" t="s">
        <v>4666</v>
      </c>
      <c r="L151" s="13" t="s">
        <v>4685</v>
      </c>
      <c r="M151" s="13" t="s">
        <v>4672</v>
      </c>
      <c r="N151" s="12" t="s">
        <v>4672</v>
      </c>
      <c r="O151" s="17" t="str">
        <f>IF(LEN(COUNTIFS($J$1:J151,$J151,$K$1:K151,$K151,$L$1:L151,$L151,$M$1:M151,M151,$N$1:N151,N151))=1,"00"&amp;COUNTIFS($J$1:J151,$J151,$K$1:K151,$K151,$L$1:L151,$L151,$M$1:M151,M151,$N$1:N151,N151),IF(LEN(COUNTIFS($J$1:J151,$J151,$K$1:K151,$K151,$L$1:L151,$L151,$M$1:M151,M151,$N$1:N151,N151))=2,"0"&amp;COUNTIFS($J$1:J151,$J151,$K$1:K151,$K151,$L$1:L151,$L151,$M$1:M151,M151,$N$1:N151,N151),COUNTIFS($J$1:J151,$J151,$K$1:K151,$K151,$L$1:L151,$L151,$M$1:M151,M151,$N$1:N151,N151)))</f>
        <v>001</v>
      </c>
      <c r="P15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FS-NS-008-00-00001-INV</v>
      </c>
      <c r="Q151" s="59"/>
      <c r="R151" s="34" t="s">
        <v>5976</v>
      </c>
      <c r="S151" s="34" t="s">
        <v>770</v>
      </c>
      <c r="T151" s="34">
        <f>+IFERROR(_xlfn.XLOOKUP(Table43[[#This Row],[Column1]],#REF!,#REF!),0)</f>
        <v>0</v>
      </c>
      <c r="U151" s="50">
        <f>IFERROR(_xlfn.XLOOKUP(Table43[[#This Row],[Column1]],#REF!,#REF!),0)</f>
        <v>0</v>
      </c>
      <c r="V151" s="39"/>
    </row>
    <row r="152" spans="1:22" x14ac:dyDescent="0.35">
      <c r="A152" s="3" t="s">
        <v>5203</v>
      </c>
      <c r="B152" s="3" t="s">
        <v>772</v>
      </c>
      <c r="C152" s="3" t="s">
        <v>9</v>
      </c>
      <c r="D152" s="3">
        <v>50</v>
      </c>
      <c r="E152" s="3" t="s">
        <v>10</v>
      </c>
      <c r="F152" s="2">
        <v>1</v>
      </c>
      <c r="G152" s="2">
        <v>2</v>
      </c>
      <c r="H152" s="3">
        <v>19</v>
      </c>
      <c r="I152" s="21">
        <f>Table43[[#This Row],[Item Cost]]*Table43[[#This Row],[In Stock]]</f>
        <v>950</v>
      </c>
      <c r="J152" s="12" t="s">
        <v>4939</v>
      </c>
      <c r="K152" s="13" t="s">
        <v>4664</v>
      </c>
      <c r="L152" s="13" t="s">
        <v>4685</v>
      </c>
      <c r="M152" s="13" t="s">
        <v>4838</v>
      </c>
      <c r="N152" s="12" t="s">
        <v>4672</v>
      </c>
      <c r="O152" s="17" t="str">
        <f>IF(LEN(COUNTIFS($J$1:J152,$J152,$K$1:K152,$K152,$L$1:L152,$L152,$M$1:M152,M152,$N$1:N152,N152))=1,"00"&amp;COUNTIFS($J$1:J152,$J152,$K$1:K152,$K152,$L$1:L152,$L152,$M$1:M152,M152,$N$1:N152,N152),IF(LEN(COUNTIFS($J$1:J152,$J152,$K$1:K152,$K152,$L$1:L152,$L152,$M$1:M152,M152,$N$1:N152,N152))=2,"0"&amp;COUNTIFS($J$1:J152,$J152,$K$1:K152,$K152,$L$1:L152,$L152,$M$1:M152,M152,$N$1:N152,N152),COUNTIFS($J$1:J152,$J152,$K$1:K152,$K152,$L$1:L152,$L152,$M$1:M152,M152,$N$1:N152,N152)))</f>
        <v>001</v>
      </c>
      <c r="P15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FS-CS-008-18-00001-INV</v>
      </c>
      <c r="Q152" s="59"/>
      <c r="R152" s="34" t="s">
        <v>5977</v>
      </c>
      <c r="S152" s="34" t="s">
        <v>772</v>
      </c>
      <c r="T152" s="34">
        <f>+IFERROR(_xlfn.XLOOKUP(Table43[[#This Row],[Column1]],#REF!,#REF!),0)</f>
        <v>0</v>
      </c>
      <c r="U152" s="50">
        <f>IFERROR(_xlfn.XLOOKUP(Table43[[#This Row],[Column1]],#REF!,#REF!),0)</f>
        <v>0</v>
      </c>
      <c r="V152" s="39"/>
    </row>
    <row r="153" spans="1:22" x14ac:dyDescent="0.35">
      <c r="A153" s="3" t="s">
        <v>769</v>
      </c>
      <c r="B153" s="2" t="s">
        <v>774</v>
      </c>
      <c r="C153" s="2" t="s">
        <v>15</v>
      </c>
      <c r="D153" s="2">
        <v>0</v>
      </c>
      <c r="E153" s="2" t="s">
        <v>10</v>
      </c>
      <c r="F153" s="3">
        <v>0</v>
      </c>
      <c r="G153" s="3">
        <v>100</v>
      </c>
      <c r="H153" s="2">
        <v>0</v>
      </c>
      <c r="I153" s="22">
        <f>Table43[[#This Row],[Item Cost]]*Table43[[#This Row],[In Stock]]</f>
        <v>0</v>
      </c>
      <c r="J153" s="12" t="s">
        <v>4939</v>
      </c>
      <c r="K153" s="13" t="s">
        <v>4666</v>
      </c>
      <c r="L153" s="13" t="s">
        <v>4685</v>
      </c>
      <c r="M153" s="13" t="s">
        <v>4693</v>
      </c>
      <c r="N153" s="12" t="s">
        <v>4672</v>
      </c>
      <c r="O153" s="17" t="str">
        <f>IF(LEN(COUNTIFS($J$1:J153,$J153,$K$1:K153,$K153,$L$1:L153,$L153,$M$1:M153,M153,$N$1:N153,N153))=1,"00"&amp;COUNTIFS($J$1:J153,$J153,$K$1:K153,$K153,$L$1:L153,$L153,$M$1:M153,M153,$N$1:N153,N153),IF(LEN(COUNTIFS($J$1:J153,$J153,$K$1:K153,$K153,$L$1:L153,$L153,$M$1:M153,M153,$N$1:N153,N153))=2,"0"&amp;COUNTIFS($J$1:J153,$J153,$K$1:K153,$K153,$L$1:L153,$L153,$M$1:M153,M153,$N$1:N153,N153),COUNTIFS($J$1:J153,$J153,$K$1:K153,$K153,$L$1:L153,$L153,$M$1:M153,M153,$N$1:N153,N153)))</f>
        <v>002</v>
      </c>
      <c r="P15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FS-NS-008-23-00002-INV</v>
      </c>
      <c r="Q153" s="59"/>
      <c r="R153" s="34"/>
      <c r="S153" s="34">
        <v>0</v>
      </c>
      <c r="T153" s="34">
        <f>+IFERROR(_xlfn.XLOOKUP(Table43[[#This Row],[Column1]],#REF!,#REF!),0)</f>
        <v>0</v>
      </c>
      <c r="U153" s="50">
        <f>IFERROR(_xlfn.XLOOKUP(Table43[[#This Row],[Column1]],#REF!,#REF!),0)</f>
        <v>0</v>
      </c>
      <c r="V153" s="39"/>
    </row>
    <row r="154" spans="1:22" x14ac:dyDescent="0.35">
      <c r="A154" s="3" t="s">
        <v>771</v>
      </c>
      <c r="B154" s="3" t="s">
        <v>776</v>
      </c>
      <c r="C154" s="3" t="s">
        <v>15</v>
      </c>
      <c r="D154" s="3">
        <v>0</v>
      </c>
      <c r="E154" s="3" t="s">
        <v>10</v>
      </c>
      <c r="F154" s="3">
        <v>0</v>
      </c>
      <c r="G154" s="3">
        <v>100</v>
      </c>
      <c r="H154" s="3">
        <v>0</v>
      </c>
      <c r="I154" s="21">
        <f>Table43[[#This Row],[Item Cost]]*Table43[[#This Row],[In Stock]]</f>
        <v>0</v>
      </c>
      <c r="J154" s="12" t="s">
        <v>4939</v>
      </c>
      <c r="K154" s="13" t="s">
        <v>4666</v>
      </c>
      <c r="L154" s="13" t="s">
        <v>4685</v>
      </c>
      <c r="M154" s="13" t="s">
        <v>4859</v>
      </c>
      <c r="N154" s="12" t="s">
        <v>4672</v>
      </c>
      <c r="O154" s="17" t="str">
        <f>IF(LEN(COUNTIFS($J$1:J154,$J154,$K$1:K154,$K154,$L$1:L154,$L154,$M$1:M154,M154,$N$1:N154,N154))=1,"00"&amp;COUNTIFS($J$1:J154,$J154,$K$1:K154,$K154,$L$1:L154,$L154,$M$1:M154,M154,$N$1:N154,N154),IF(LEN(COUNTIFS($J$1:J154,$J154,$K$1:K154,$K154,$L$1:L154,$L154,$M$1:M154,M154,$N$1:N154,N154))=2,"0"&amp;COUNTIFS($J$1:J154,$J154,$K$1:K154,$K154,$L$1:L154,$L154,$M$1:M154,M154,$N$1:N154,N154),COUNTIFS($J$1:J154,$J154,$K$1:K154,$K154,$L$1:L154,$L154,$M$1:M154,M154,$N$1:N154,N154)))</f>
        <v>001</v>
      </c>
      <c r="P15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FS-NS-008-30-00001-INV</v>
      </c>
      <c r="Q154" s="59"/>
      <c r="R154" s="34"/>
      <c r="S154" s="34">
        <v>0</v>
      </c>
      <c r="T154" s="34">
        <f>+IFERROR(_xlfn.XLOOKUP(Table43[[#This Row],[Column1]],#REF!,#REF!),0)</f>
        <v>0</v>
      </c>
      <c r="U154" s="50">
        <f>IFERROR(_xlfn.XLOOKUP(Table43[[#This Row],[Column1]],#REF!,#REF!),0)</f>
        <v>0</v>
      </c>
      <c r="V154" s="39"/>
    </row>
    <row r="155" spans="1:22" x14ac:dyDescent="0.35">
      <c r="A155" s="3" t="s">
        <v>773</v>
      </c>
      <c r="B155" s="2" t="s">
        <v>778</v>
      </c>
      <c r="C155" s="2" t="s">
        <v>15</v>
      </c>
      <c r="D155" s="2">
        <v>0</v>
      </c>
      <c r="E155" s="2" t="s">
        <v>10</v>
      </c>
      <c r="F155" s="3">
        <v>0</v>
      </c>
      <c r="G155" s="3">
        <v>100</v>
      </c>
      <c r="H155" s="2">
        <v>0</v>
      </c>
      <c r="I155" s="22">
        <f>Table43[[#This Row],[Item Cost]]*Table43[[#This Row],[In Stock]]</f>
        <v>0</v>
      </c>
      <c r="J155" s="12" t="s">
        <v>4939</v>
      </c>
      <c r="K155" s="13" t="s">
        <v>4666</v>
      </c>
      <c r="L155" s="13" t="s">
        <v>4685</v>
      </c>
      <c r="M155" s="13" t="s">
        <v>4841</v>
      </c>
      <c r="N155" s="12" t="s">
        <v>4672</v>
      </c>
      <c r="O155" s="17" t="str">
        <f>IF(LEN(COUNTIFS($J$1:J155,$J155,$K$1:K155,$K155,$L$1:L155,$L155,$M$1:M155,M155,$N$1:N155,N155))=1,"00"&amp;COUNTIFS($J$1:J155,$J155,$K$1:K155,$K155,$L$1:L155,$L155,$M$1:M155,M155,$N$1:N155,N155),IF(LEN(COUNTIFS($J$1:J155,$J155,$K$1:K155,$K155,$L$1:L155,$L155,$M$1:M155,M155,$N$1:N155,N155))=2,"0"&amp;COUNTIFS($J$1:J155,$J155,$K$1:K155,$K155,$L$1:L155,$L155,$M$1:M155,M155,$N$1:N155,N155),COUNTIFS($J$1:J155,$J155,$K$1:K155,$K155,$L$1:L155,$L155,$M$1:M155,M155,$N$1:N155,N155)))</f>
        <v>001</v>
      </c>
      <c r="P15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FS-NS-008-28-00001-INV</v>
      </c>
      <c r="Q155" s="59"/>
      <c r="R155" s="34"/>
      <c r="S155" s="34">
        <v>0</v>
      </c>
      <c r="T155" s="34">
        <f>+IFERROR(_xlfn.XLOOKUP(Table43[[#This Row],[Column1]],#REF!,#REF!),0)</f>
        <v>0</v>
      </c>
      <c r="U155" s="50">
        <f>IFERROR(_xlfn.XLOOKUP(Table43[[#This Row],[Column1]],#REF!,#REF!),0)</f>
        <v>0</v>
      </c>
      <c r="V155" s="39"/>
    </row>
    <row r="156" spans="1:22" x14ac:dyDescent="0.35">
      <c r="A156" s="3" t="s">
        <v>775</v>
      </c>
      <c r="B156" s="3" t="s">
        <v>780</v>
      </c>
      <c r="C156" s="3" t="s">
        <v>15</v>
      </c>
      <c r="D156" s="3">
        <v>0</v>
      </c>
      <c r="E156" s="3" t="s">
        <v>10</v>
      </c>
      <c r="F156" s="3">
        <v>0</v>
      </c>
      <c r="G156" s="3">
        <v>100</v>
      </c>
      <c r="H156" s="3">
        <v>0</v>
      </c>
      <c r="I156" s="21">
        <f>Table43[[#This Row],[Item Cost]]*Table43[[#This Row],[In Stock]]</f>
        <v>0</v>
      </c>
      <c r="J156" s="12" t="s">
        <v>4939</v>
      </c>
      <c r="K156" s="13" t="s">
        <v>4666</v>
      </c>
      <c r="L156" s="13" t="s">
        <v>4685</v>
      </c>
      <c r="M156" s="13" t="s">
        <v>4841</v>
      </c>
      <c r="N156" s="12" t="s">
        <v>4672</v>
      </c>
      <c r="O156" s="17" t="str">
        <f>IF(LEN(COUNTIFS($J$1:J156,$J156,$K$1:K156,$K156,$L$1:L156,$L156,$M$1:M156,M156,$N$1:N156,N156))=1,"00"&amp;COUNTIFS($J$1:J156,$J156,$K$1:K156,$K156,$L$1:L156,$L156,$M$1:M156,M156,$N$1:N156,N156),IF(LEN(COUNTIFS($J$1:J156,$J156,$K$1:K156,$K156,$L$1:L156,$L156,$M$1:M156,M156,$N$1:N156,N156))=2,"0"&amp;COUNTIFS($J$1:J156,$J156,$K$1:K156,$K156,$L$1:L156,$L156,$M$1:M156,M156,$N$1:N156,N156),COUNTIFS($J$1:J156,$J156,$K$1:K156,$K156,$L$1:L156,$L156,$M$1:M156,M156,$N$1:N156,N156)))</f>
        <v>002</v>
      </c>
      <c r="P15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FS-NS-008-28-00002-INV</v>
      </c>
      <c r="Q156" s="59"/>
      <c r="R156" s="34"/>
      <c r="S156" s="34">
        <v>0</v>
      </c>
      <c r="T156" s="34">
        <f>+IFERROR(_xlfn.XLOOKUP(Table43[[#This Row],[Column1]],#REF!,#REF!),0)</f>
        <v>0</v>
      </c>
      <c r="U156" s="50">
        <f>IFERROR(_xlfn.XLOOKUP(Table43[[#This Row],[Column1]],#REF!,#REF!),0)</f>
        <v>0</v>
      </c>
      <c r="V156" s="39"/>
    </row>
    <row r="157" spans="1:22" x14ac:dyDescent="0.35">
      <c r="A157" s="2" t="s">
        <v>781</v>
      </c>
      <c r="B157" s="2" t="s">
        <v>782</v>
      </c>
      <c r="C157" s="2" t="s">
        <v>9</v>
      </c>
      <c r="D157" s="2">
        <v>730.83</v>
      </c>
      <c r="E157" s="2" t="s">
        <v>10</v>
      </c>
      <c r="F157" s="2">
        <v>1</v>
      </c>
      <c r="G157" s="2">
        <v>2</v>
      </c>
      <c r="H157" s="2">
        <v>1</v>
      </c>
      <c r="I157" s="22">
        <f>Table43[[#This Row],[Item Cost]]*Table43[[#This Row],[In Stock]]</f>
        <v>730.83</v>
      </c>
      <c r="J157" s="12" t="s">
        <v>4941</v>
      </c>
      <c r="K157" s="13" t="s">
        <v>4664</v>
      </c>
      <c r="L157" s="13" t="s">
        <v>4687</v>
      </c>
      <c r="M157" s="13" t="s">
        <v>4693</v>
      </c>
      <c r="N157" s="12" t="s">
        <v>4848</v>
      </c>
      <c r="O157" s="17" t="str">
        <f>IF(LEN(COUNTIFS($J$1:J157,$J157,$K$1:K157,$K157,$L$1:L157,$L157,$M$1:M157,M157,$N$1:N157,N157))=1,"00"&amp;COUNTIFS($J$1:J157,$J157,$K$1:K157,$K157,$L$1:L157,$L157,$M$1:M157,M157,$N$1:N157,N157),IF(LEN(COUNTIFS($J$1:J157,$J157,$K$1:K157,$K157,$L$1:L157,$L157,$M$1:M157,M157,$N$1:N157,N157))=2,"0"&amp;COUNTIFS($J$1:J157,$J157,$K$1:K157,$K157,$L$1:L157,$L157,$M$1:M157,M157,$N$1:N157,N157),COUNTIFS($J$1:J157,$J157,$K$1:K157,$K157,$L$1:L157,$L157,$M$1:M157,M157,$N$1:N157,N157)))</f>
        <v>001</v>
      </c>
      <c r="P15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MS-CS-009-23-04001-INV</v>
      </c>
      <c r="Q157" s="59" t="s">
        <v>7336</v>
      </c>
      <c r="R157" s="34" t="s">
        <v>5978</v>
      </c>
      <c r="S157" s="34" t="s">
        <v>782</v>
      </c>
      <c r="T157" s="34">
        <f>+IFERROR(_xlfn.XLOOKUP(Table43[[#This Row],[Column1]],#REF!,#REF!),0)</f>
        <v>0</v>
      </c>
      <c r="U157" s="50">
        <f>IFERROR(_xlfn.XLOOKUP(Table43[[#This Row],[Column1]],#REF!,#REF!),0)</f>
        <v>0</v>
      </c>
      <c r="V157" s="39"/>
    </row>
    <row r="158" spans="1:22" x14ac:dyDescent="0.35">
      <c r="A158" s="3" t="s">
        <v>783</v>
      </c>
      <c r="B158" s="3" t="s">
        <v>784</v>
      </c>
      <c r="C158" s="3" t="s">
        <v>9</v>
      </c>
      <c r="D158" s="3">
        <v>467.51</v>
      </c>
      <c r="E158" s="3" t="s">
        <v>10</v>
      </c>
      <c r="F158" s="2">
        <v>1</v>
      </c>
      <c r="G158" s="2">
        <v>2</v>
      </c>
      <c r="H158" s="3">
        <v>0</v>
      </c>
      <c r="I158" s="21">
        <f>Table43[[#This Row],[Item Cost]]*Table43[[#This Row],[In Stock]]</f>
        <v>0</v>
      </c>
      <c r="J158" s="12" t="s">
        <v>4941</v>
      </c>
      <c r="K158" s="13" t="s">
        <v>4664</v>
      </c>
      <c r="L158" s="13" t="s">
        <v>4687</v>
      </c>
      <c r="M158" s="13" t="s">
        <v>4693</v>
      </c>
      <c r="N158" s="12" t="s">
        <v>4848</v>
      </c>
      <c r="O158" s="17" t="str">
        <f>IF(LEN(COUNTIFS($J$1:J158,$J158,$K$1:K158,$K158,$L$1:L158,$L158,$M$1:M158,M158,$N$1:N158,N158))=1,"00"&amp;COUNTIFS($J$1:J158,$J158,$K$1:K158,$K158,$L$1:L158,$L158,$M$1:M158,M158,$N$1:N158,N158),IF(LEN(COUNTIFS($J$1:J158,$J158,$K$1:K158,$K158,$L$1:L158,$L158,$M$1:M158,M158,$N$1:N158,N158))=2,"0"&amp;COUNTIFS($J$1:J158,$J158,$K$1:K158,$K158,$L$1:L158,$L158,$M$1:M158,M158,$N$1:N158,N158),COUNTIFS($J$1:J158,$J158,$K$1:K158,$K158,$L$1:L158,$L158,$M$1:M158,M158,$N$1:N158,N158)))</f>
        <v>002</v>
      </c>
      <c r="P15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MS-CS-009-23-04002-INV</v>
      </c>
      <c r="Q158" s="59" t="s">
        <v>7336</v>
      </c>
      <c r="R158" s="34" t="s">
        <v>5979</v>
      </c>
      <c r="S158" s="34" t="s">
        <v>784</v>
      </c>
      <c r="T158" s="34">
        <f>+IFERROR(_xlfn.XLOOKUP(Table43[[#This Row],[Column1]],#REF!,#REF!),0)</f>
        <v>0</v>
      </c>
      <c r="U158" s="50">
        <f>IFERROR(_xlfn.XLOOKUP(Table43[[#This Row],[Column1]],#REF!,#REF!),0)</f>
        <v>0</v>
      </c>
      <c r="V158" s="39"/>
    </row>
    <row r="159" spans="1:22" x14ac:dyDescent="0.35">
      <c r="A159" s="2" t="s">
        <v>785</v>
      </c>
      <c r="B159" s="2" t="s">
        <v>786</v>
      </c>
      <c r="C159" s="2" t="s">
        <v>9</v>
      </c>
      <c r="D159" s="4">
        <v>1485.89</v>
      </c>
      <c r="E159" s="2" t="s">
        <v>10</v>
      </c>
      <c r="F159" s="2">
        <v>1</v>
      </c>
      <c r="G159" s="2">
        <v>2</v>
      </c>
      <c r="H159" s="2">
        <v>1</v>
      </c>
      <c r="I159" s="22">
        <f>Table43[[#This Row],[Item Cost]]*Table43[[#This Row],[In Stock]]</f>
        <v>1485.89</v>
      </c>
      <c r="J159" s="12" t="s">
        <v>4941</v>
      </c>
      <c r="K159" s="13" t="s">
        <v>4664</v>
      </c>
      <c r="L159" s="13" t="s">
        <v>4687</v>
      </c>
      <c r="M159" s="13" t="s">
        <v>4693</v>
      </c>
      <c r="N159" s="12" t="s">
        <v>4848</v>
      </c>
      <c r="O159" s="17" t="str">
        <f>IF(LEN(COUNTIFS($J$1:J159,$J159,$K$1:K159,$K159,$L$1:L159,$L159,$M$1:M159,M159,$N$1:N159,N159))=1,"00"&amp;COUNTIFS($J$1:J159,$J159,$K$1:K159,$K159,$L$1:L159,$L159,$M$1:M159,M159,$N$1:N159,N159),IF(LEN(COUNTIFS($J$1:J159,$J159,$K$1:K159,$K159,$L$1:L159,$L159,$M$1:M159,M159,$N$1:N159,N159))=2,"0"&amp;COUNTIFS($J$1:J159,$J159,$K$1:K159,$K159,$L$1:L159,$L159,$M$1:M159,M159,$N$1:N159,N159),COUNTIFS($J$1:J159,$J159,$K$1:K159,$K159,$L$1:L159,$L159,$M$1:M159,M159,$N$1:N159,N159)))</f>
        <v>003</v>
      </c>
      <c r="P15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MS-CS-009-23-04003-INV</v>
      </c>
      <c r="Q159" s="59" t="s">
        <v>7336</v>
      </c>
      <c r="R159" s="34" t="s">
        <v>5980</v>
      </c>
      <c r="S159" s="34" t="s">
        <v>786</v>
      </c>
      <c r="T159" s="34">
        <f>+IFERROR(_xlfn.XLOOKUP(Table43[[#This Row],[Column1]],#REF!,#REF!),0)</f>
        <v>0</v>
      </c>
      <c r="U159" s="50">
        <f>IFERROR(_xlfn.XLOOKUP(Table43[[#This Row],[Column1]],#REF!,#REF!),0)</f>
        <v>0</v>
      </c>
      <c r="V159" s="39"/>
    </row>
    <row r="160" spans="1:22" x14ac:dyDescent="0.35">
      <c r="A160" s="2" t="s">
        <v>787</v>
      </c>
      <c r="B160" s="3" t="s">
        <v>788</v>
      </c>
      <c r="C160" s="3" t="s">
        <v>9</v>
      </c>
      <c r="D160" s="5">
        <v>1108.73</v>
      </c>
      <c r="E160" s="3" t="s">
        <v>10</v>
      </c>
      <c r="F160" s="2">
        <v>1</v>
      </c>
      <c r="G160" s="2">
        <v>2</v>
      </c>
      <c r="H160" s="3">
        <v>1</v>
      </c>
      <c r="I160" s="21">
        <f>Table43[[#This Row],[Item Cost]]*Table43[[#This Row],[In Stock]]</f>
        <v>1108.73</v>
      </c>
      <c r="J160" s="12" t="s">
        <v>4941</v>
      </c>
      <c r="K160" s="13" t="s">
        <v>4664</v>
      </c>
      <c r="L160" s="13" t="s">
        <v>4687</v>
      </c>
      <c r="M160" s="13" t="s">
        <v>4693</v>
      </c>
      <c r="N160" s="12" t="s">
        <v>4848</v>
      </c>
      <c r="O160" s="17" t="str">
        <f>IF(LEN(COUNTIFS($J$1:J160,$J160,$K$1:K160,$K160,$L$1:L160,$L160,$M$1:M160,M160,$N$1:N160,N160))=1,"00"&amp;COUNTIFS($J$1:J160,$J160,$K$1:K160,$K160,$L$1:L160,$L160,$M$1:M160,M160,$N$1:N160,N160),IF(LEN(COUNTIFS($J$1:J160,$J160,$K$1:K160,$K160,$L$1:L160,$L160,$M$1:M160,M160,$N$1:N160,N160))=2,"0"&amp;COUNTIFS($J$1:J160,$J160,$K$1:K160,$K160,$L$1:L160,$L160,$M$1:M160,M160,$N$1:N160,N160),COUNTIFS($J$1:J160,$J160,$K$1:K160,$K160,$L$1:L160,$L160,$M$1:M160,M160,$N$1:N160,N160)))</f>
        <v>004</v>
      </c>
      <c r="P16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MS-CS-009-23-04004-INV</v>
      </c>
      <c r="Q160" s="59" t="s">
        <v>7336</v>
      </c>
      <c r="R160" s="34" t="s">
        <v>5981</v>
      </c>
      <c r="S160" s="34" t="s">
        <v>788</v>
      </c>
      <c r="T160" s="34">
        <f>+IFERROR(_xlfn.XLOOKUP(Table43[[#This Row],[Column1]],#REF!,#REF!),0)</f>
        <v>0</v>
      </c>
      <c r="U160" s="50">
        <f>IFERROR(_xlfn.XLOOKUP(Table43[[#This Row],[Column1]],#REF!,#REF!),0)</f>
        <v>0</v>
      </c>
      <c r="V160" s="39"/>
    </row>
    <row r="161" spans="1:22" x14ac:dyDescent="0.35">
      <c r="A161" s="3" t="s">
        <v>789</v>
      </c>
      <c r="B161" s="2" t="s">
        <v>790</v>
      </c>
      <c r="C161" s="2" t="s">
        <v>9</v>
      </c>
      <c r="D161" s="2">
        <v>106.14</v>
      </c>
      <c r="E161" s="2" t="s">
        <v>10</v>
      </c>
      <c r="F161" s="2">
        <v>1</v>
      </c>
      <c r="G161" s="2">
        <v>2</v>
      </c>
      <c r="H161" s="2">
        <v>1</v>
      </c>
      <c r="I161" s="22">
        <f>Table43[[#This Row],[Item Cost]]*Table43[[#This Row],[In Stock]]</f>
        <v>106.14</v>
      </c>
      <c r="J161" s="12" t="s">
        <v>4941</v>
      </c>
      <c r="K161" s="13" t="s">
        <v>4664</v>
      </c>
      <c r="L161" s="13" t="s">
        <v>4687</v>
      </c>
      <c r="M161" s="13" t="s">
        <v>4837</v>
      </c>
      <c r="N161" s="12" t="s">
        <v>4848</v>
      </c>
      <c r="O161" s="17" t="str">
        <f>IF(LEN(COUNTIFS($J$1:J161,$J161,$K$1:K161,$K161,$L$1:L161,$L161,$M$1:M161,M161,$N$1:N161,N161))=1,"00"&amp;COUNTIFS($J$1:J161,$J161,$K$1:K161,$K161,$L$1:L161,$L161,$M$1:M161,M161,$N$1:N161,N161),IF(LEN(COUNTIFS($J$1:J161,$J161,$K$1:K161,$K161,$L$1:L161,$L161,$M$1:M161,M161,$N$1:N161,N161))=2,"0"&amp;COUNTIFS($J$1:J161,$J161,$K$1:K161,$K161,$L$1:L161,$L161,$M$1:M161,M161,$N$1:N161,N161),COUNTIFS($J$1:J161,$J161,$K$1:K161,$K161,$L$1:L161,$L161,$M$1:M161,M161,$N$1:N161,N161)))</f>
        <v>001</v>
      </c>
      <c r="P16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MS-CS-009-26-04001-INV</v>
      </c>
      <c r="Q161" s="59"/>
      <c r="R161" s="34" t="s">
        <v>5982</v>
      </c>
      <c r="S161" s="34" t="s">
        <v>790</v>
      </c>
      <c r="T161" s="34">
        <f>+IFERROR(_xlfn.XLOOKUP(Table43[[#This Row],[Column1]],#REF!,#REF!),0)</f>
        <v>0</v>
      </c>
      <c r="U161" s="50">
        <f>IFERROR(_xlfn.XLOOKUP(Table43[[#This Row],[Column1]],#REF!,#REF!),0)</f>
        <v>0</v>
      </c>
      <c r="V161" s="39"/>
    </row>
    <row r="162" spans="1:22" x14ac:dyDescent="0.35">
      <c r="A162" s="2" t="s">
        <v>791</v>
      </c>
      <c r="B162" s="3" t="s">
        <v>792</v>
      </c>
      <c r="C162" s="3" t="s">
        <v>9</v>
      </c>
      <c r="D162" s="3">
        <v>92.91</v>
      </c>
      <c r="E162" s="3" t="s">
        <v>10</v>
      </c>
      <c r="F162" s="2">
        <v>1</v>
      </c>
      <c r="G162" s="2">
        <v>2</v>
      </c>
      <c r="H162" s="3">
        <v>1</v>
      </c>
      <c r="I162" s="21">
        <f>Table43[[#This Row],[Item Cost]]*Table43[[#This Row],[In Stock]]</f>
        <v>92.91</v>
      </c>
      <c r="J162" s="12" t="s">
        <v>4941</v>
      </c>
      <c r="K162" s="13" t="s">
        <v>4664</v>
      </c>
      <c r="L162" s="13" t="s">
        <v>4687</v>
      </c>
      <c r="M162" s="13" t="s">
        <v>4837</v>
      </c>
      <c r="N162" s="12" t="s">
        <v>4848</v>
      </c>
      <c r="O162" s="17" t="str">
        <f>IF(LEN(COUNTIFS($J$1:J162,$J162,$K$1:K162,$K162,$L$1:L162,$L162,$M$1:M162,M162,$N$1:N162,N162))=1,"00"&amp;COUNTIFS($J$1:J162,$J162,$K$1:K162,$K162,$L$1:L162,$L162,$M$1:M162,M162,$N$1:N162,N162),IF(LEN(COUNTIFS($J$1:J162,$J162,$K$1:K162,$K162,$L$1:L162,$L162,$M$1:M162,M162,$N$1:N162,N162))=2,"0"&amp;COUNTIFS($J$1:J162,$J162,$K$1:K162,$K162,$L$1:L162,$L162,$M$1:M162,M162,$N$1:N162,N162),COUNTIFS($J$1:J162,$J162,$K$1:K162,$K162,$L$1:L162,$L162,$M$1:M162,M162,$N$1:N162,N162)))</f>
        <v>002</v>
      </c>
      <c r="P16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MS-CS-009-26-04002-INV</v>
      </c>
      <c r="Q162" s="59"/>
      <c r="R162" s="34" t="s">
        <v>5983</v>
      </c>
      <c r="S162" s="34" t="s">
        <v>792</v>
      </c>
      <c r="T162" s="34">
        <f>+IFERROR(_xlfn.XLOOKUP(Table43[[#This Row],[Column1]],#REF!,#REF!),0)</f>
        <v>0</v>
      </c>
      <c r="U162" s="50">
        <f>IFERROR(_xlfn.XLOOKUP(Table43[[#This Row],[Column1]],#REF!,#REF!),0)</f>
        <v>0</v>
      </c>
      <c r="V162" s="39"/>
    </row>
    <row r="163" spans="1:22" x14ac:dyDescent="0.35">
      <c r="A163" s="2" t="s">
        <v>793</v>
      </c>
      <c r="B163" s="2" t="s">
        <v>794</v>
      </c>
      <c r="C163" s="2" t="s">
        <v>9</v>
      </c>
      <c r="D163" s="2">
        <v>861.57</v>
      </c>
      <c r="E163" s="2" t="s">
        <v>10</v>
      </c>
      <c r="F163" s="2">
        <v>1</v>
      </c>
      <c r="G163" s="2">
        <v>2</v>
      </c>
      <c r="H163" s="2">
        <v>0</v>
      </c>
      <c r="I163" s="22">
        <f>Table43[[#This Row],[Item Cost]]*Table43[[#This Row],[In Stock]]</f>
        <v>0</v>
      </c>
      <c r="J163" s="12" t="s">
        <v>4941</v>
      </c>
      <c r="K163" s="13" t="s">
        <v>4664</v>
      </c>
      <c r="L163" s="13" t="s">
        <v>4687</v>
      </c>
      <c r="M163" s="13" t="s">
        <v>4693</v>
      </c>
      <c r="N163" s="12" t="s">
        <v>4848</v>
      </c>
      <c r="O163" s="17" t="str">
        <f>IF(LEN(COUNTIFS($J$1:J163,$J163,$K$1:K163,$K163,$L$1:L163,$L163,$M$1:M163,M163,$N$1:N163,N163))=1,"00"&amp;COUNTIFS($J$1:J163,$J163,$K$1:K163,$K163,$L$1:L163,$L163,$M$1:M163,M163,$N$1:N163,N163),IF(LEN(COUNTIFS($J$1:J163,$J163,$K$1:K163,$K163,$L$1:L163,$L163,$M$1:M163,M163,$N$1:N163,N163))=2,"0"&amp;COUNTIFS($J$1:J163,$J163,$K$1:K163,$K163,$L$1:L163,$L163,$M$1:M163,M163,$N$1:N163,N163),COUNTIFS($J$1:J163,$J163,$K$1:K163,$K163,$L$1:L163,$L163,$M$1:M163,M163,$N$1:N163,N163)))</f>
        <v>005</v>
      </c>
      <c r="P16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MS-CS-009-23-04005-INV</v>
      </c>
      <c r="Q163" s="59" t="s">
        <v>7336</v>
      </c>
      <c r="R163" s="34" t="s">
        <v>5984</v>
      </c>
      <c r="S163" s="34" t="s">
        <v>794</v>
      </c>
      <c r="T163" s="34">
        <f>+IFERROR(_xlfn.XLOOKUP(Table43[[#This Row],[Column1]],#REF!,#REF!),0)</f>
        <v>0</v>
      </c>
      <c r="U163" s="50">
        <f>IFERROR(_xlfn.XLOOKUP(Table43[[#This Row],[Column1]],#REF!,#REF!),0)</f>
        <v>0</v>
      </c>
      <c r="V163" s="39"/>
    </row>
    <row r="164" spans="1:22" x14ac:dyDescent="0.35">
      <c r="A164" s="3" t="s">
        <v>795</v>
      </c>
      <c r="B164" s="3" t="s">
        <v>796</v>
      </c>
      <c r="C164" s="3" t="s">
        <v>9</v>
      </c>
      <c r="D164" s="3">
        <v>27.91</v>
      </c>
      <c r="E164" s="3" t="s">
        <v>10</v>
      </c>
      <c r="F164" s="2">
        <v>1</v>
      </c>
      <c r="G164" s="2">
        <v>2</v>
      </c>
      <c r="H164" s="3">
        <v>1</v>
      </c>
      <c r="I164" s="21">
        <f>Table43[[#This Row],[Item Cost]]*Table43[[#This Row],[In Stock]]</f>
        <v>27.91</v>
      </c>
      <c r="J164" s="12" t="s">
        <v>4941</v>
      </c>
      <c r="K164" s="13" t="s">
        <v>4664</v>
      </c>
      <c r="L164" s="13" t="s">
        <v>4687</v>
      </c>
      <c r="M164" s="13" t="s">
        <v>4837</v>
      </c>
      <c r="N164" s="12" t="s">
        <v>4848</v>
      </c>
      <c r="O164" s="17" t="str">
        <f>IF(LEN(COUNTIFS($J$1:J164,$J164,$K$1:K164,$K164,$L$1:L164,$L164,$M$1:M164,M164,$N$1:N164,N164))=1,"00"&amp;COUNTIFS($J$1:J164,$J164,$K$1:K164,$K164,$L$1:L164,$L164,$M$1:M164,M164,$N$1:N164,N164),IF(LEN(COUNTIFS($J$1:J164,$J164,$K$1:K164,$K164,$L$1:L164,$L164,$M$1:M164,M164,$N$1:N164,N164))=2,"0"&amp;COUNTIFS($J$1:J164,$J164,$K$1:K164,$K164,$L$1:L164,$L164,$M$1:M164,M164,$N$1:N164,N164),COUNTIFS($J$1:J164,$J164,$K$1:K164,$K164,$L$1:L164,$L164,$M$1:M164,M164,$N$1:N164,N164)))</f>
        <v>003</v>
      </c>
      <c r="P16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MS-CS-009-26-04003-INV</v>
      </c>
      <c r="Q164" s="59" t="s">
        <v>7336</v>
      </c>
      <c r="R164" s="34" t="s">
        <v>5985</v>
      </c>
      <c r="S164" s="34" t="s">
        <v>796</v>
      </c>
      <c r="T164" s="34">
        <f>+IFERROR(_xlfn.XLOOKUP(Table43[[#This Row],[Column1]],#REF!,#REF!),0)</f>
        <v>0</v>
      </c>
      <c r="U164" s="50">
        <f>IFERROR(_xlfn.XLOOKUP(Table43[[#This Row],[Column1]],#REF!,#REF!),0)</f>
        <v>0</v>
      </c>
      <c r="V164" s="39"/>
    </row>
    <row r="165" spans="1:22" x14ac:dyDescent="0.35">
      <c r="A165" s="2" t="s">
        <v>797</v>
      </c>
      <c r="B165" s="2" t="s">
        <v>798</v>
      </c>
      <c r="C165" s="2" t="s">
        <v>9</v>
      </c>
      <c r="D165" s="2">
        <v>878</v>
      </c>
      <c r="E165" s="2" t="s">
        <v>10</v>
      </c>
      <c r="F165" s="2">
        <v>1</v>
      </c>
      <c r="G165" s="2">
        <v>2</v>
      </c>
      <c r="H165" s="2">
        <v>2</v>
      </c>
      <c r="I165" s="22">
        <f>Table43[[#This Row],[Item Cost]]*Table43[[#This Row],[In Stock]]</f>
        <v>1756</v>
      </c>
      <c r="J165" s="12" t="s">
        <v>4941</v>
      </c>
      <c r="K165" s="13" t="s">
        <v>4664</v>
      </c>
      <c r="L165" s="13" t="s">
        <v>4687</v>
      </c>
      <c r="M165" s="13" t="s">
        <v>4837</v>
      </c>
      <c r="N165" s="12" t="s">
        <v>4848</v>
      </c>
      <c r="O165" s="17" t="str">
        <f>IF(LEN(COUNTIFS($J$1:J165,$J165,$K$1:K165,$K165,$L$1:L165,$L165,$M$1:M165,M165,$N$1:N165,N165))=1,"00"&amp;COUNTIFS($J$1:J165,$J165,$K$1:K165,$K165,$L$1:L165,$L165,$M$1:M165,M165,$N$1:N165,N165),IF(LEN(COUNTIFS($J$1:J165,$J165,$K$1:K165,$K165,$L$1:L165,$L165,$M$1:M165,M165,$N$1:N165,N165))=2,"0"&amp;COUNTIFS($J$1:J165,$J165,$K$1:K165,$K165,$L$1:L165,$L165,$M$1:M165,M165,$N$1:N165,N165),COUNTIFS($J$1:J165,$J165,$K$1:K165,$K165,$L$1:L165,$L165,$M$1:M165,M165,$N$1:N165,N165)))</f>
        <v>004</v>
      </c>
      <c r="P16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MS-CS-009-26-04004-INV</v>
      </c>
      <c r="Q165" s="59" t="s">
        <v>7337</v>
      </c>
      <c r="R165" s="34" t="s">
        <v>5986</v>
      </c>
      <c r="S165" s="34" t="s">
        <v>798</v>
      </c>
      <c r="T165" s="34">
        <f>+IFERROR(_xlfn.XLOOKUP(Table43[[#This Row],[Column1]],#REF!,#REF!),0)</f>
        <v>0</v>
      </c>
      <c r="U165" s="50">
        <f>IFERROR(_xlfn.XLOOKUP(Table43[[#This Row],[Column1]],#REF!,#REF!),0)</f>
        <v>0</v>
      </c>
      <c r="V165" s="39"/>
    </row>
    <row r="166" spans="1:22" x14ac:dyDescent="0.35">
      <c r="A166" s="2" t="s">
        <v>799</v>
      </c>
      <c r="B166" s="3" t="s">
        <v>800</v>
      </c>
      <c r="C166" s="3" t="s">
        <v>9</v>
      </c>
      <c r="D166" s="3">
        <v>719.81</v>
      </c>
      <c r="E166" s="3" t="s">
        <v>10</v>
      </c>
      <c r="F166" s="2">
        <v>1</v>
      </c>
      <c r="G166" s="2">
        <v>2</v>
      </c>
      <c r="H166" s="3">
        <v>1</v>
      </c>
      <c r="I166" s="21">
        <f>Table43[[#This Row],[Item Cost]]*Table43[[#This Row],[In Stock]]</f>
        <v>719.81</v>
      </c>
      <c r="J166" s="12" t="s">
        <v>4941</v>
      </c>
      <c r="K166" s="13" t="s">
        <v>4664</v>
      </c>
      <c r="L166" s="13" t="s">
        <v>4687</v>
      </c>
      <c r="M166" s="13" t="s">
        <v>4833</v>
      </c>
      <c r="N166" s="12" t="s">
        <v>4848</v>
      </c>
      <c r="O166" s="17" t="str">
        <f>IF(LEN(COUNTIFS($J$1:J166,$J166,$K$1:K166,$K166,$L$1:L166,$L166,$M$1:M166,M166,$N$1:N166,N166))=1,"00"&amp;COUNTIFS($J$1:J166,$J166,$K$1:K166,$K166,$L$1:L166,$L166,$M$1:M166,M166,$N$1:N166,N166),IF(LEN(COUNTIFS($J$1:J166,$J166,$K$1:K166,$K166,$L$1:L166,$L166,$M$1:M166,M166,$N$1:N166,N166))=2,"0"&amp;COUNTIFS($J$1:J166,$J166,$K$1:K166,$K166,$L$1:L166,$L166,$M$1:M166,M166,$N$1:N166,N166),COUNTIFS($J$1:J166,$J166,$K$1:K166,$K166,$L$1:L166,$L166,$M$1:M166,M166,$N$1:N166,N166)))</f>
        <v>001</v>
      </c>
      <c r="P16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MS-CS-009-16-04001-INV</v>
      </c>
      <c r="Q166" s="59" t="s">
        <v>7336</v>
      </c>
      <c r="R166" s="34" t="s">
        <v>5987</v>
      </c>
      <c r="S166" s="34" t="s">
        <v>800</v>
      </c>
      <c r="T166" s="34">
        <f>+IFERROR(_xlfn.XLOOKUP(Table43[[#This Row],[Column1]],#REF!,#REF!),0)</f>
        <v>0</v>
      </c>
      <c r="U166" s="50">
        <f>IFERROR(_xlfn.XLOOKUP(Table43[[#This Row],[Column1]],#REF!,#REF!),0)</f>
        <v>0</v>
      </c>
      <c r="V166" s="39"/>
    </row>
    <row r="167" spans="1:22" x14ac:dyDescent="0.35">
      <c r="A167" s="3" t="s">
        <v>801</v>
      </c>
      <c r="B167" s="2" t="s">
        <v>802</v>
      </c>
      <c r="C167" s="2" t="s">
        <v>9</v>
      </c>
      <c r="D167" s="2">
        <v>978.72</v>
      </c>
      <c r="E167" s="2" t="s">
        <v>10</v>
      </c>
      <c r="F167" s="2">
        <v>1</v>
      </c>
      <c r="G167" s="2">
        <v>2</v>
      </c>
      <c r="H167" s="2">
        <v>1</v>
      </c>
      <c r="I167" s="22">
        <f>Table43[[#This Row],[Item Cost]]*Table43[[#This Row],[In Stock]]</f>
        <v>978.72</v>
      </c>
      <c r="J167" s="12" t="s">
        <v>4941</v>
      </c>
      <c r="K167" s="13" t="s">
        <v>4664</v>
      </c>
      <c r="L167" s="13" t="s">
        <v>4687</v>
      </c>
      <c r="M167" s="13" t="s">
        <v>4833</v>
      </c>
      <c r="N167" s="12" t="s">
        <v>4848</v>
      </c>
      <c r="O167" s="17" t="str">
        <f>IF(LEN(COUNTIFS($J$1:J167,$J167,$K$1:K167,$K167,$L$1:L167,$L167,$M$1:M167,M167,$N$1:N167,N167))=1,"00"&amp;COUNTIFS($J$1:J167,$J167,$K$1:K167,$K167,$L$1:L167,$L167,$M$1:M167,M167,$N$1:N167,N167),IF(LEN(COUNTIFS($J$1:J167,$J167,$K$1:K167,$K167,$L$1:L167,$L167,$M$1:M167,M167,$N$1:N167,N167))=2,"0"&amp;COUNTIFS($J$1:J167,$J167,$K$1:K167,$K167,$L$1:L167,$L167,$M$1:M167,M167,$N$1:N167,N167),COUNTIFS($J$1:J167,$J167,$K$1:K167,$K167,$L$1:L167,$L167,$M$1:M167,M167,$N$1:N167,N167)))</f>
        <v>002</v>
      </c>
      <c r="P16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MS-CS-009-16-04002-INV</v>
      </c>
      <c r="Q167" s="59" t="s">
        <v>7336</v>
      </c>
      <c r="R167" s="34" t="s">
        <v>5988</v>
      </c>
      <c r="S167" s="34" t="s">
        <v>802</v>
      </c>
      <c r="T167" s="34">
        <f>+IFERROR(_xlfn.XLOOKUP(Table43[[#This Row],[Column1]],#REF!,#REF!),0)</f>
        <v>0</v>
      </c>
      <c r="U167" s="50">
        <f>IFERROR(_xlfn.XLOOKUP(Table43[[#This Row],[Column1]],#REF!,#REF!),0)</f>
        <v>0</v>
      </c>
      <c r="V167" s="39"/>
    </row>
    <row r="168" spans="1:22" x14ac:dyDescent="0.35">
      <c r="A168" s="2" t="s">
        <v>803</v>
      </c>
      <c r="B168" s="3" t="s">
        <v>804</v>
      </c>
      <c r="C168" s="3" t="s">
        <v>9</v>
      </c>
      <c r="D168" s="3">
        <v>981.29</v>
      </c>
      <c r="E168" s="3" t="s">
        <v>10</v>
      </c>
      <c r="F168" s="2">
        <v>1</v>
      </c>
      <c r="G168" s="2">
        <v>2</v>
      </c>
      <c r="H168" s="3">
        <v>1</v>
      </c>
      <c r="I168" s="21">
        <f>Table43[[#This Row],[Item Cost]]*Table43[[#This Row],[In Stock]]</f>
        <v>981.29</v>
      </c>
      <c r="J168" s="12" t="s">
        <v>4941</v>
      </c>
      <c r="K168" s="13" t="s">
        <v>4664</v>
      </c>
      <c r="L168" s="13" t="s">
        <v>4687</v>
      </c>
      <c r="M168" s="13" t="s">
        <v>4833</v>
      </c>
      <c r="N168" s="12" t="s">
        <v>4848</v>
      </c>
      <c r="O168" s="17" t="str">
        <f>IF(LEN(COUNTIFS($J$1:J168,$J168,$K$1:K168,$K168,$L$1:L168,$L168,$M$1:M168,M168,$N$1:N168,N168))=1,"00"&amp;COUNTIFS($J$1:J168,$J168,$K$1:K168,$K168,$L$1:L168,$L168,$M$1:M168,M168,$N$1:N168,N168),IF(LEN(COUNTIFS($J$1:J168,$J168,$K$1:K168,$K168,$L$1:L168,$L168,$M$1:M168,M168,$N$1:N168,N168))=2,"0"&amp;COUNTIFS($J$1:J168,$J168,$K$1:K168,$K168,$L$1:L168,$L168,$M$1:M168,M168,$N$1:N168,N168),COUNTIFS($J$1:J168,$J168,$K$1:K168,$K168,$L$1:L168,$L168,$M$1:M168,M168,$N$1:N168,N168)))</f>
        <v>003</v>
      </c>
      <c r="P16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MS-CS-009-16-04003-INV</v>
      </c>
      <c r="Q168" s="59" t="s">
        <v>7336</v>
      </c>
      <c r="R168" s="34" t="s">
        <v>5989</v>
      </c>
      <c r="S168" s="34" t="s">
        <v>804</v>
      </c>
      <c r="T168" s="34">
        <f>+IFERROR(_xlfn.XLOOKUP(Table43[[#This Row],[Column1]],#REF!,#REF!),0)</f>
        <v>0</v>
      </c>
      <c r="U168" s="50">
        <f>IFERROR(_xlfn.XLOOKUP(Table43[[#This Row],[Column1]],#REF!,#REF!),0)</f>
        <v>0</v>
      </c>
      <c r="V168" s="39"/>
    </row>
    <row r="169" spans="1:22" x14ac:dyDescent="0.35">
      <c r="A169" s="2" t="s">
        <v>805</v>
      </c>
      <c r="B169" s="2" t="s">
        <v>806</v>
      </c>
      <c r="C169" s="2" t="s">
        <v>9</v>
      </c>
      <c r="D169" s="4">
        <v>1406.93</v>
      </c>
      <c r="E169" s="2" t="s">
        <v>10</v>
      </c>
      <c r="F169" s="2">
        <v>1</v>
      </c>
      <c r="G169" s="2">
        <v>2</v>
      </c>
      <c r="H169" s="2">
        <v>1</v>
      </c>
      <c r="I169" s="22">
        <f>Table43[[#This Row],[Item Cost]]*Table43[[#This Row],[In Stock]]</f>
        <v>1406.93</v>
      </c>
      <c r="J169" s="12" t="s">
        <v>4941</v>
      </c>
      <c r="K169" s="13" t="s">
        <v>4664</v>
      </c>
      <c r="L169" s="13" t="s">
        <v>4687</v>
      </c>
      <c r="M169" s="13" t="s">
        <v>4733</v>
      </c>
      <c r="N169" s="12" t="s">
        <v>4848</v>
      </c>
      <c r="O169" s="17" t="str">
        <f>IF(LEN(COUNTIFS($J$1:J169,$J169,$K$1:K169,$K169,$L$1:L169,$L169,$M$1:M169,M169,$N$1:N169,N169))=1,"00"&amp;COUNTIFS($J$1:J169,$J169,$K$1:K169,$K169,$L$1:L169,$L169,$M$1:M169,M169,$N$1:N169,N169),IF(LEN(COUNTIFS($J$1:J169,$J169,$K$1:K169,$K169,$L$1:L169,$L169,$M$1:M169,M169,$N$1:N169,N169))=2,"0"&amp;COUNTIFS($J$1:J169,$J169,$K$1:K169,$K169,$L$1:L169,$L169,$M$1:M169,M169,$N$1:N169,N169),COUNTIFS($J$1:J169,$J169,$K$1:K169,$K169,$L$1:L169,$L169,$M$1:M169,M169,$N$1:N169,N169)))</f>
        <v>001</v>
      </c>
      <c r="P16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MS-CS-009-01-04001-INV</v>
      </c>
      <c r="Q169" s="59" t="s">
        <v>7336</v>
      </c>
      <c r="R169" s="34" t="s">
        <v>5990</v>
      </c>
      <c r="S169" s="34" t="s">
        <v>806</v>
      </c>
      <c r="T169" s="34">
        <f>+IFERROR(_xlfn.XLOOKUP(Table43[[#This Row],[Column1]],#REF!,#REF!),0)</f>
        <v>0</v>
      </c>
      <c r="U169" s="50">
        <f>IFERROR(_xlfn.XLOOKUP(Table43[[#This Row],[Column1]],#REF!,#REF!),0)</f>
        <v>0</v>
      </c>
      <c r="V169" s="39"/>
    </row>
    <row r="170" spans="1:22" x14ac:dyDescent="0.35">
      <c r="A170" s="3" t="s">
        <v>807</v>
      </c>
      <c r="B170" s="3" t="s">
        <v>808</v>
      </c>
      <c r="C170" s="3" t="s">
        <v>15</v>
      </c>
      <c r="D170" s="5">
        <v>1270.32</v>
      </c>
      <c r="E170" s="3" t="s">
        <v>10</v>
      </c>
      <c r="F170" s="3">
        <v>0</v>
      </c>
      <c r="G170" s="3">
        <v>5</v>
      </c>
      <c r="H170" s="3">
        <v>0</v>
      </c>
      <c r="I170" s="21">
        <f>Table43[[#This Row],[Item Cost]]*Table43[[#This Row],[In Stock]]</f>
        <v>0</v>
      </c>
      <c r="J170" s="12" t="s">
        <v>4941</v>
      </c>
      <c r="K170" s="13" t="s">
        <v>4666</v>
      </c>
      <c r="L170" s="13" t="s">
        <v>4687</v>
      </c>
      <c r="M170" s="13" t="s">
        <v>4839</v>
      </c>
      <c r="N170" s="12" t="s">
        <v>4848</v>
      </c>
      <c r="O170" s="17" t="str">
        <f>IF(LEN(COUNTIFS($J$1:J170,$J170,$K$1:K170,$K170,$L$1:L170,$L170,$M$1:M170,M170,$N$1:N170,N170))=1,"00"&amp;COUNTIFS($J$1:J170,$J170,$K$1:K170,$K170,$L$1:L170,$L170,$M$1:M170,M170,$N$1:N170,N170),IF(LEN(COUNTIFS($J$1:J170,$J170,$K$1:K170,$K170,$L$1:L170,$L170,$M$1:M170,M170,$N$1:N170,N170))=2,"0"&amp;COUNTIFS($J$1:J170,$J170,$K$1:K170,$K170,$L$1:L170,$L170,$M$1:M170,M170,$N$1:N170,N170),COUNTIFS($J$1:J170,$J170,$K$1:K170,$K170,$L$1:L170,$L170,$M$1:M170,M170,$N$1:N170,N170)))</f>
        <v>001</v>
      </c>
      <c r="P17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MS-NS-009-27-04001-INV</v>
      </c>
      <c r="Q170" s="59" t="s">
        <v>7337</v>
      </c>
      <c r="R170" s="34" t="s">
        <v>5991</v>
      </c>
      <c r="S170" s="34" t="s">
        <v>808</v>
      </c>
      <c r="T170" s="34">
        <f>+IFERROR(_xlfn.XLOOKUP(Table43[[#This Row],[Column1]],#REF!,#REF!),0)</f>
        <v>0</v>
      </c>
      <c r="U170" s="50">
        <f>IFERROR(_xlfn.XLOOKUP(Table43[[#This Row],[Column1]],#REF!,#REF!),0)</f>
        <v>0</v>
      </c>
      <c r="V170" s="39"/>
    </row>
    <row r="171" spans="1:22" x14ac:dyDescent="0.35">
      <c r="A171" s="2" t="s">
        <v>809</v>
      </c>
      <c r="B171" s="2" t="s">
        <v>810</v>
      </c>
      <c r="C171" s="2" t="s">
        <v>15</v>
      </c>
      <c r="D171" s="2">
        <v>40.4</v>
      </c>
      <c r="E171" s="2" t="s">
        <v>10</v>
      </c>
      <c r="F171" s="3">
        <v>0</v>
      </c>
      <c r="G171" s="3">
        <v>5</v>
      </c>
      <c r="H171" s="2">
        <v>1</v>
      </c>
      <c r="I171" s="22">
        <f>Table43[[#This Row],[Item Cost]]*Table43[[#This Row],[In Stock]]</f>
        <v>40.4</v>
      </c>
      <c r="J171" s="12" t="s">
        <v>4941</v>
      </c>
      <c r="K171" s="13" t="s">
        <v>4666</v>
      </c>
      <c r="L171" s="13" t="s">
        <v>4687</v>
      </c>
      <c r="M171" s="13" t="s">
        <v>4839</v>
      </c>
      <c r="N171" s="12" t="s">
        <v>4848</v>
      </c>
      <c r="O171" s="17" t="str">
        <f>IF(LEN(COUNTIFS($J$1:J171,$J171,$K$1:K171,$K171,$L$1:L171,$L171,$M$1:M171,M171,$N$1:N171,N171))=1,"00"&amp;COUNTIFS($J$1:J171,$J171,$K$1:K171,$K171,$L$1:L171,$L171,$M$1:M171,M171,$N$1:N171,N171),IF(LEN(COUNTIFS($J$1:J171,$J171,$K$1:K171,$K171,$L$1:L171,$L171,$M$1:M171,M171,$N$1:N171,N171))=2,"0"&amp;COUNTIFS($J$1:J171,$J171,$K$1:K171,$K171,$L$1:L171,$L171,$M$1:M171,M171,$N$1:N171,N171),COUNTIFS($J$1:J171,$J171,$K$1:K171,$K171,$L$1:L171,$L171,$M$1:M171,M171,$N$1:N171,N171)))</f>
        <v>002</v>
      </c>
      <c r="P17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MS-NS-009-27-04002-INV</v>
      </c>
      <c r="Q171" s="59" t="s">
        <v>7336</v>
      </c>
      <c r="R171" s="34" t="s">
        <v>5992</v>
      </c>
      <c r="S171" s="34" t="s">
        <v>810</v>
      </c>
      <c r="T171" s="34">
        <f>+IFERROR(_xlfn.XLOOKUP(Table43[[#This Row],[Column1]],#REF!,#REF!),0)</f>
        <v>0</v>
      </c>
      <c r="U171" s="50">
        <f>IFERROR(_xlfn.XLOOKUP(Table43[[#This Row],[Column1]],#REF!,#REF!),0)</f>
        <v>0</v>
      </c>
      <c r="V171" s="39"/>
    </row>
    <row r="172" spans="1:22" x14ac:dyDescent="0.35">
      <c r="A172" s="2" t="s">
        <v>811</v>
      </c>
      <c r="B172" s="3" t="s">
        <v>812</v>
      </c>
      <c r="C172" s="3" t="s">
        <v>15</v>
      </c>
      <c r="D172" s="3">
        <v>30.11</v>
      </c>
      <c r="E172" s="3" t="s">
        <v>10</v>
      </c>
      <c r="F172" s="3">
        <v>0</v>
      </c>
      <c r="G172" s="3">
        <v>5</v>
      </c>
      <c r="H172" s="3">
        <v>1</v>
      </c>
      <c r="I172" s="21">
        <f>Table43[[#This Row],[Item Cost]]*Table43[[#This Row],[In Stock]]</f>
        <v>30.11</v>
      </c>
      <c r="J172" s="12" t="s">
        <v>4941</v>
      </c>
      <c r="K172" s="13" t="s">
        <v>4666</v>
      </c>
      <c r="L172" s="13" t="s">
        <v>4687</v>
      </c>
      <c r="M172" s="13" t="s">
        <v>4693</v>
      </c>
      <c r="N172" s="12" t="s">
        <v>4848</v>
      </c>
      <c r="O172" s="17" t="str">
        <f>IF(LEN(COUNTIFS($J$1:J172,$J172,$K$1:K172,$K172,$L$1:L172,$L172,$M$1:M172,M172,$N$1:N172,N172))=1,"00"&amp;COUNTIFS($J$1:J172,$J172,$K$1:K172,$K172,$L$1:L172,$L172,$M$1:M172,M172,$N$1:N172,N172),IF(LEN(COUNTIFS($J$1:J172,$J172,$K$1:K172,$K172,$L$1:L172,$L172,$M$1:M172,M172,$N$1:N172,N172))=2,"0"&amp;COUNTIFS($J$1:J172,$J172,$K$1:K172,$K172,$L$1:L172,$L172,$M$1:M172,M172,$N$1:N172,N172),COUNTIFS($J$1:J172,$J172,$K$1:K172,$K172,$L$1:L172,$L172,$M$1:M172,M172,$N$1:N172,N172)))</f>
        <v>001</v>
      </c>
      <c r="P17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MS-NS-009-23-04001-INV</v>
      </c>
      <c r="Q172" s="59" t="s">
        <v>7336</v>
      </c>
      <c r="R172" s="34" t="s">
        <v>5993</v>
      </c>
      <c r="S172" s="34" t="s">
        <v>812</v>
      </c>
      <c r="T172" s="34">
        <f>+IFERROR(_xlfn.XLOOKUP(Table43[[#This Row],[Column1]],#REF!,#REF!),0)</f>
        <v>0</v>
      </c>
      <c r="U172" s="50">
        <f>IFERROR(_xlfn.XLOOKUP(Table43[[#This Row],[Column1]],#REF!,#REF!),0)</f>
        <v>0</v>
      </c>
      <c r="V172" s="39"/>
    </row>
    <row r="173" spans="1:22" x14ac:dyDescent="0.35">
      <c r="A173" s="3" t="s">
        <v>813</v>
      </c>
      <c r="B173" s="2" t="s">
        <v>814</v>
      </c>
      <c r="C173" s="2" t="s">
        <v>15</v>
      </c>
      <c r="D173" s="2">
        <v>22.77</v>
      </c>
      <c r="E173" s="2" t="s">
        <v>10</v>
      </c>
      <c r="F173" s="3">
        <v>0</v>
      </c>
      <c r="G173" s="3">
        <v>5</v>
      </c>
      <c r="H173" s="2">
        <v>0</v>
      </c>
      <c r="I173" s="22">
        <f>Table43[[#This Row],[Item Cost]]*Table43[[#This Row],[In Stock]]</f>
        <v>0</v>
      </c>
      <c r="J173" s="12" t="s">
        <v>4941</v>
      </c>
      <c r="K173" s="13" t="s">
        <v>4666</v>
      </c>
      <c r="L173" s="13" t="s">
        <v>4687</v>
      </c>
      <c r="M173" s="13" t="s">
        <v>4693</v>
      </c>
      <c r="N173" s="12" t="s">
        <v>4848</v>
      </c>
      <c r="O173" s="17" t="str">
        <f>IF(LEN(COUNTIFS($J$1:J173,$J173,$K$1:K173,$K173,$L$1:L173,$L173,$M$1:M173,M173,$N$1:N173,N173))=1,"00"&amp;COUNTIFS($J$1:J173,$J173,$K$1:K173,$K173,$L$1:L173,$L173,$M$1:M173,M173,$N$1:N173,N173),IF(LEN(COUNTIFS($J$1:J173,$J173,$K$1:K173,$K173,$L$1:L173,$L173,$M$1:M173,M173,$N$1:N173,N173))=2,"0"&amp;COUNTIFS($J$1:J173,$J173,$K$1:K173,$K173,$L$1:L173,$L173,$M$1:M173,M173,$N$1:N173,N173),COUNTIFS($J$1:J173,$J173,$K$1:K173,$K173,$L$1:L173,$L173,$M$1:M173,M173,$N$1:N173,N173)))</f>
        <v>002</v>
      </c>
      <c r="P17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MS-NS-009-23-04002-INV</v>
      </c>
      <c r="Q173" s="59" t="s">
        <v>7336</v>
      </c>
      <c r="R173" s="34" t="s">
        <v>5994</v>
      </c>
      <c r="S173" s="34" t="s">
        <v>814</v>
      </c>
      <c r="T173" s="34">
        <f>+IFERROR(_xlfn.XLOOKUP(Table43[[#This Row],[Column1]],#REF!,#REF!),0)</f>
        <v>0</v>
      </c>
      <c r="U173" s="50">
        <f>IFERROR(_xlfn.XLOOKUP(Table43[[#This Row],[Column1]],#REF!,#REF!),0)</f>
        <v>0</v>
      </c>
      <c r="V173" s="39"/>
    </row>
    <row r="174" spans="1:22" x14ac:dyDescent="0.35">
      <c r="A174" s="2" t="s">
        <v>815</v>
      </c>
      <c r="B174" s="3" t="s">
        <v>816</v>
      </c>
      <c r="C174" s="3" t="s">
        <v>15</v>
      </c>
      <c r="D174" s="3">
        <v>60.96</v>
      </c>
      <c r="E174" s="3" t="s">
        <v>10</v>
      </c>
      <c r="F174" s="3">
        <v>0</v>
      </c>
      <c r="G174" s="3">
        <v>5</v>
      </c>
      <c r="H174" s="3">
        <v>1</v>
      </c>
      <c r="I174" s="21">
        <f>Table43[[#This Row],[Item Cost]]*Table43[[#This Row],[In Stock]]</f>
        <v>60.96</v>
      </c>
      <c r="J174" s="12" t="s">
        <v>4941</v>
      </c>
      <c r="K174" s="13" t="s">
        <v>4666</v>
      </c>
      <c r="L174" s="13" t="s">
        <v>4687</v>
      </c>
      <c r="M174" s="13" t="s">
        <v>4693</v>
      </c>
      <c r="N174" s="12" t="s">
        <v>4848</v>
      </c>
      <c r="O174" s="17" t="str">
        <f>IF(LEN(COUNTIFS($J$1:J174,$J174,$K$1:K174,$K174,$L$1:L174,$L174,$M$1:M174,M174,$N$1:N174,N174))=1,"00"&amp;COUNTIFS($J$1:J174,$J174,$K$1:K174,$K174,$L$1:L174,$L174,$M$1:M174,M174,$N$1:N174,N174),IF(LEN(COUNTIFS($J$1:J174,$J174,$K$1:K174,$K174,$L$1:L174,$L174,$M$1:M174,M174,$N$1:N174,N174))=2,"0"&amp;COUNTIFS($J$1:J174,$J174,$K$1:K174,$K174,$L$1:L174,$L174,$M$1:M174,M174,$N$1:N174,N174),COUNTIFS($J$1:J174,$J174,$K$1:K174,$K174,$L$1:L174,$L174,$M$1:M174,M174,$N$1:N174,N174)))</f>
        <v>003</v>
      </c>
      <c r="P17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MS-NS-009-23-04003-INV</v>
      </c>
      <c r="Q174" s="59" t="s">
        <v>7336</v>
      </c>
      <c r="R174" s="34" t="s">
        <v>5995</v>
      </c>
      <c r="S174" s="34" t="s">
        <v>816</v>
      </c>
      <c r="T174" s="34">
        <f>+IFERROR(_xlfn.XLOOKUP(Table43[[#This Row],[Column1]],#REF!,#REF!),0)</f>
        <v>0</v>
      </c>
      <c r="U174" s="50">
        <f>IFERROR(_xlfn.XLOOKUP(Table43[[#This Row],[Column1]],#REF!,#REF!),0)</f>
        <v>0</v>
      </c>
      <c r="V174" s="39"/>
    </row>
    <row r="175" spans="1:22" x14ac:dyDescent="0.35">
      <c r="A175" s="2" t="s">
        <v>817</v>
      </c>
      <c r="B175" s="2" t="s">
        <v>818</v>
      </c>
      <c r="C175" s="2" t="s">
        <v>15</v>
      </c>
      <c r="D175" s="2">
        <v>224.39</v>
      </c>
      <c r="E175" s="2" t="s">
        <v>10</v>
      </c>
      <c r="F175" s="3">
        <v>0</v>
      </c>
      <c r="G175" s="3">
        <v>5</v>
      </c>
      <c r="H175" s="2">
        <v>1</v>
      </c>
      <c r="I175" s="22">
        <f>Table43[[#This Row],[Item Cost]]*Table43[[#This Row],[In Stock]]</f>
        <v>224.39</v>
      </c>
      <c r="J175" s="12" t="s">
        <v>4941</v>
      </c>
      <c r="K175" s="13" t="s">
        <v>4666</v>
      </c>
      <c r="L175" s="13" t="s">
        <v>4687</v>
      </c>
      <c r="M175" s="13" t="s">
        <v>4693</v>
      </c>
      <c r="N175" s="12" t="s">
        <v>4848</v>
      </c>
      <c r="O175" s="17" t="str">
        <f>IF(LEN(COUNTIFS($J$1:J175,$J175,$K$1:K175,$K175,$L$1:L175,$L175,$M$1:M175,M175,$N$1:N175,N175))=1,"00"&amp;COUNTIFS($J$1:J175,$J175,$K$1:K175,$K175,$L$1:L175,$L175,$M$1:M175,M175,$N$1:N175,N175),IF(LEN(COUNTIFS($J$1:J175,$J175,$K$1:K175,$K175,$L$1:L175,$L175,$M$1:M175,M175,$N$1:N175,N175))=2,"0"&amp;COUNTIFS($J$1:J175,$J175,$K$1:K175,$K175,$L$1:L175,$L175,$M$1:M175,M175,$N$1:N175,N175),COUNTIFS($J$1:J175,$J175,$K$1:K175,$K175,$L$1:L175,$L175,$M$1:M175,M175,$N$1:N175,N175)))</f>
        <v>004</v>
      </c>
      <c r="P17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MS-NS-009-23-04004-INV</v>
      </c>
      <c r="Q175" s="59" t="s">
        <v>7336</v>
      </c>
      <c r="R175" s="34" t="s">
        <v>5996</v>
      </c>
      <c r="S175" s="34" t="s">
        <v>818</v>
      </c>
      <c r="T175" s="34">
        <f>+IFERROR(_xlfn.XLOOKUP(Table43[[#This Row],[Column1]],#REF!,#REF!),0)</f>
        <v>0</v>
      </c>
      <c r="U175" s="50">
        <f>IFERROR(_xlfn.XLOOKUP(Table43[[#This Row],[Column1]],#REF!,#REF!),0)</f>
        <v>0</v>
      </c>
      <c r="V175" s="39"/>
    </row>
    <row r="176" spans="1:22" x14ac:dyDescent="0.35">
      <c r="A176" s="3" t="s">
        <v>819</v>
      </c>
      <c r="B176" s="3" t="s">
        <v>820</v>
      </c>
      <c r="C176" s="3" t="s">
        <v>9</v>
      </c>
      <c r="D176" s="3">
        <v>27.18</v>
      </c>
      <c r="E176" s="3" t="s">
        <v>10</v>
      </c>
      <c r="F176" s="2">
        <v>1</v>
      </c>
      <c r="G176" s="2">
        <v>2</v>
      </c>
      <c r="H176" s="3">
        <v>0</v>
      </c>
      <c r="I176" s="21">
        <f>Table43[[#This Row],[Item Cost]]*Table43[[#This Row],[In Stock]]</f>
        <v>0</v>
      </c>
      <c r="J176" s="12" t="s">
        <v>4941</v>
      </c>
      <c r="K176" s="13" t="s">
        <v>4664</v>
      </c>
      <c r="L176" s="13" t="s">
        <v>4687</v>
      </c>
      <c r="M176" s="13" t="s">
        <v>4777</v>
      </c>
      <c r="N176" s="12" t="s">
        <v>4848</v>
      </c>
      <c r="O176" s="17" t="str">
        <f>IF(LEN(COUNTIFS($J$1:J176,$J176,$K$1:K176,$K176,$L$1:L176,$L176,$M$1:M176,M176,$N$1:N176,N176))=1,"00"&amp;COUNTIFS($J$1:J176,$J176,$K$1:K176,$K176,$L$1:L176,$L176,$M$1:M176,M176,$N$1:N176,N176),IF(LEN(COUNTIFS($J$1:J176,$J176,$K$1:K176,$K176,$L$1:L176,$L176,$M$1:M176,M176,$N$1:N176,N176))=2,"0"&amp;COUNTIFS($J$1:J176,$J176,$K$1:K176,$K176,$L$1:L176,$L176,$M$1:M176,M176,$N$1:N176,N176),COUNTIFS($J$1:J176,$J176,$K$1:K176,$K176,$L$1:L176,$L176,$M$1:M176,M176,$N$1:N176,N176)))</f>
        <v>001</v>
      </c>
      <c r="P17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MS-CS-009-11-04001-INV</v>
      </c>
      <c r="Q176" s="59" t="s">
        <v>7336</v>
      </c>
      <c r="R176" s="34" t="s">
        <v>5997</v>
      </c>
      <c r="S176" s="34" t="s">
        <v>820</v>
      </c>
      <c r="T176" s="34">
        <f>+IFERROR(_xlfn.XLOOKUP(Table43[[#This Row],[Column1]],#REF!,#REF!),0)</f>
        <v>0</v>
      </c>
      <c r="U176" s="50">
        <f>IFERROR(_xlfn.XLOOKUP(Table43[[#This Row],[Column1]],#REF!,#REF!),0)</f>
        <v>0</v>
      </c>
      <c r="V176" s="39"/>
    </row>
    <row r="177" spans="1:22" x14ac:dyDescent="0.35">
      <c r="A177" s="2" t="s">
        <v>821</v>
      </c>
      <c r="B177" s="2" t="s">
        <v>822</v>
      </c>
      <c r="C177" s="2" t="s">
        <v>9</v>
      </c>
      <c r="D177" s="2">
        <v>27.18</v>
      </c>
      <c r="E177" s="2" t="s">
        <v>10</v>
      </c>
      <c r="F177" s="2">
        <v>1</v>
      </c>
      <c r="G177" s="2">
        <v>2</v>
      </c>
      <c r="H177" s="2">
        <v>1</v>
      </c>
      <c r="I177" s="22">
        <f>Table43[[#This Row],[Item Cost]]*Table43[[#This Row],[In Stock]]</f>
        <v>27.18</v>
      </c>
      <c r="J177" s="12" t="s">
        <v>4941</v>
      </c>
      <c r="K177" s="13" t="s">
        <v>4664</v>
      </c>
      <c r="L177" s="13" t="s">
        <v>4687</v>
      </c>
      <c r="M177" s="13" t="s">
        <v>4777</v>
      </c>
      <c r="N177" s="12" t="s">
        <v>4848</v>
      </c>
      <c r="O177" s="17" t="str">
        <f>IF(LEN(COUNTIFS($J$1:J177,$J177,$K$1:K177,$K177,$L$1:L177,$L177,$M$1:M177,M177,$N$1:N177,N177))=1,"00"&amp;COUNTIFS($J$1:J177,$J177,$K$1:K177,$K177,$L$1:L177,$L177,$M$1:M177,M177,$N$1:N177,N177),IF(LEN(COUNTIFS($J$1:J177,$J177,$K$1:K177,$K177,$L$1:L177,$L177,$M$1:M177,M177,$N$1:N177,N177))=2,"0"&amp;COUNTIFS($J$1:J177,$J177,$K$1:K177,$K177,$L$1:L177,$L177,$M$1:M177,M177,$N$1:N177,N177),COUNTIFS($J$1:J177,$J177,$K$1:K177,$K177,$L$1:L177,$L177,$M$1:M177,M177,$N$1:N177,N177)))</f>
        <v>002</v>
      </c>
      <c r="P17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MS-CS-009-11-04002-INV</v>
      </c>
      <c r="Q177" s="59" t="s">
        <v>7336</v>
      </c>
      <c r="R177" s="34" t="s">
        <v>5998</v>
      </c>
      <c r="S177" s="34" t="s">
        <v>822</v>
      </c>
      <c r="T177" s="34">
        <f>+IFERROR(_xlfn.XLOOKUP(Table43[[#This Row],[Column1]],#REF!,#REF!),0)</f>
        <v>0</v>
      </c>
      <c r="U177" s="50">
        <f>IFERROR(_xlfn.XLOOKUP(Table43[[#This Row],[Column1]],#REF!,#REF!),0)</f>
        <v>0</v>
      </c>
      <c r="V177" s="39"/>
    </row>
    <row r="178" spans="1:22" x14ac:dyDescent="0.35">
      <c r="A178" s="2" t="s">
        <v>823</v>
      </c>
      <c r="B178" s="2" t="s">
        <v>826</v>
      </c>
      <c r="C178" s="2" t="s">
        <v>9</v>
      </c>
      <c r="D178" s="4">
        <v>1277.3</v>
      </c>
      <c r="E178" s="2" t="s">
        <v>10</v>
      </c>
      <c r="F178" s="2">
        <v>1</v>
      </c>
      <c r="G178" s="2">
        <v>2</v>
      </c>
      <c r="H178" s="2">
        <v>1</v>
      </c>
      <c r="I178" s="22">
        <f>Table43[[#This Row],[Item Cost]]*Table43[[#This Row],[In Stock]]</f>
        <v>1277.3</v>
      </c>
      <c r="J178" s="12" t="s">
        <v>4941</v>
      </c>
      <c r="K178" s="13" t="s">
        <v>4664</v>
      </c>
      <c r="L178" s="13" t="s">
        <v>4687</v>
      </c>
      <c r="M178" s="13" t="s">
        <v>4693</v>
      </c>
      <c r="N178" s="12" t="s">
        <v>4848</v>
      </c>
      <c r="O178" s="17" t="str">
        <f>IF(LEN(COUNTIFS($J$1:J178,$J178,$K$1:K178,$K178,$L$1:L178,$L178,$M$1:M178,M178,$N$1:N178,N178))=1,"00"&amp;COUNTIFS($J$1:J178,$J178,$K$1:K178,$K178,$L$1:L178,$L178,$M$1:M178,M178,$N$1:N178,N178),IF(LEN(COUNTIFS($J$1:J178,$J178,$K$1:K178,$K178,$L$1:L178,$L178,$M$1:M178,M178,$N$1:N178,N178))=2,"0"&amp;COUNTIFS($J$1:J178,$J178,$K$1:K178,$K178,$L$1:L178,$L178,$M$1:M178,M178,$N$1:N178,N178),COUNTIFS($J$1:J178,$J178,$K$1:K178,$K178,$L$1:L178,$L178,$M$1:M178,M178,$N$1:N178,N178)))</f>
        <v>006</v>
      </c>
      <c r="P17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MS-CS-009-23-04006-INV</v>
      </c>
      <c r="Q178" s="59" t="s">
        <v>7337</v>
      </c>
      <c r="R178" s="34" t="s">
        <v>5999</v>
      </c>
      <c r="S178" s="34" t="s">
        <v>826</v>
      </c>
      <c r="T178" s="34">
        <f>+IFERROR(_xlfn.XLOOKUP(Table43[[#This Row],[Column1]],#REF!,#REF!),0)</f>
        <v>0</v>
      </c>
      <c r="U178" s="50">
        <f>IFERROR(_xlfn.XLOOKUP(Table43[[#This Row],[Column1]],#REF!,#REF!),0)</f>
        <v>0</v>
      </c>
      <c r="V178" s="39"/>
    </row>
    <row r="179" spans="1:22" x14ac:dyDescent="0.35">
      <c r="A179" s="3" t="s">
        <v>825</v>
      </c>
      <c r="B179" s="3" t="s">
        <v>828</v>
      </c>
      <c r="C179" s="3" t="s">
        <v>15</v>
      </c>
      <c r="D179" s="3">
        <v>160.49</v>
      </c>
      <c r="E179" s="3" t="s">
        <v>10</v>
      </c>
      <c r="F179" s="3">
        <v>0</v>
      </c>
      <c r="G179" s="3">
        <v>5</v>
      </c>
      <c r="H179" s="3">
        <v>1</v>
      </c>
      <c r="I179" s="21">
        <f>Table43[[#This Row],[Item Cost]]*Table43[[#This Row],[In Stock]]</f>
        <v>160.49</v>
      </c>
      <c r="J179" s="12" t="s">
        <v>4941</v>
      </c>
      <c r="K179" s="13" t="s">
        <v>4666</v>
      </c>
      <c r="L179" s="13" t="s">
        <v>4687</v>
      </c>
      <c r="M179" s="13" t="s">
        <v>4775</v>
      </c>
      <c r="N179" s="12" t="s">
        <v>4848</v>
      </c>
      <c r="O179" s="17" t="str">
        <f>IF(LEN(COUNTIFS($J$1:J179,$J179,$K$1:K179,$K179,$L$1:L179,$L179,$M$1:M179,M179,$N$1:N179,N179))=1,"00"&amp;COUNTIFS($J$1:J179,$J179,$K$1:K179,$K179,$L$1:L179,$L179,$M$1:M179,M179,$N$1:N179,N179),IF(LEN(COUNTIFS($J$1:J179,$J179,$K$1:K179,$K179,$L$1:L179,$L179,$M$1:M179,M179,$N$1:N179,N179))=2,"0"&amp;COUNTIFS($J$1:J179,$J179,$K$1:K179,$K179,$L$1:L179,$L179,$M$1:M179,M179,$N$1:N179,N179),COUNTIFS($J$1:J179,$J179,$K$1:K179,$K179,$L$1:L179,$L179,$M$1:M179,M179,$N$1:N179,N179)))</f>
        <v>001</v>
      </c>
      <c r="P17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MS-NS-009-09-04001-INV</v>
      </c>
      <c r="Q179" s="59"/>
      <c r="R179" s="34" t="s">
        <v>6000</v>
      </c>
      <c r="S179" s="34" t="s">
        <v>828</v>
      </c>
      <c r="T179" s="34">
        <f>+IFERROR(_xlfn.XLOOKUP(Table43[[#This Row],[Column1]],#REF!,#REF!),0)</f>
        <v>0</v>
      </c>
      <c r="U179" s="50">
        <f>IFERROR(_xlfn.XLOOKUP(Table43[[#This Row],[Column1]],#REF!,#REF!),0)</f>
        <v>0</v>
      </c>
      <c r="V179" s="39"/>
    </row>
    <row r="180" spans="1:22" x14ac:dyDescent="0.35">
      <c r="A180" s="2" t="s">
        <v>827</v>
      </c>
      <c r="B180" s="2" t="s">
        <v>830</v>
      </c>
      <c r="C180" s="2" t="s">
        <v>15</v>
      </c>
      <c r="D180" s="2">
        <v>56.19</v>
      </c>
      <c r="E180" s="2" t="s">
        <v>10</v>
      </c>
      <c r="F180" s="3">
        <v>0</v>
      </c>
      <c r="G180" s="3">
        <v>5</v>
      </c>
      <c r="H180" s="2">
        <v>1</v>
      </c>
      <c r="I180" s="22">
        <f>Table43[[#This Row],[Item Cost]]*Table43[[#This Row],[In Stock]]</f>
        <v>56.19</v>
      </c>
      <c r="J180" s="12" t="s">
        <v>4941</v>
      </c>
      <c r="K180" s="13" t="s">
        <v>4666</v>
      </c>
      <c r="L180" s="13" t="s">
        <v>4687</v>
      </c>
      <c r="M180" s="13" t="s">
        <v>4775</v>
      </c>
      <c r="N180" s="12" t="s">
        <v>4848</v>
      </c>
      <c r="O180" s="17" t="str">
        <f>IF(LEN(COUNTIFS($J$1:J180,$J180,$K$1:K180,$K180,$L$1:L180,$L180,$M$1:M180,M180,$N$1:N180,N180))=1,"00"&amp;COUNTIFS($J$1:J180,$J180,$K$1:K180,$K180,$L$1:L180,$L180,$M$1:M180,M180,$N$1:N180,N180),IF(LEN(COUNTIFS($J$1:J180,$J180,$K$1:K180,$K180,$L$1:L180,$L180,$M$1:M180,M180,$N$1:N180,N180))=2,"0"&amp;COUNTIFS($J$1:J180,$J180,$K$1:K180,$K180,$L$1:L180,$L180,$M$1:M180,M180,$N$1:N180,N180),COUNTIFS($J$1:J180,$J180,$K$1:K180,$K180,$L$1:L180,$L180,$M$1:M180,M180,$N$1:N180,N180)))</f>
        <v>002</v>
      </c>
      <c r="P18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MS-NS-009-09-04002-INV</v>
      </c>
      <c r="Q180" s="59" t="s">
        <v>7336</v>
      </c>
      <c r="R180" s="34" t="s">
        <v>6001</v>
      </c>
      <c r="S180" s="34" t="s">
        <v>830</v>
      </c>
      <c r="T180" s="34">
        <f>+IFERROR(_xlfn.XLOOKUP(Table43[[#This Row],[Column1]],#REF!,#REF!),0)</f>
        <v>0</v>
      </c>
      <c r="U180" s="50">
        <f>IFERROR(_xlfn.XLOOKUP(Table43[[#This Row],[Column1]],#REF!,#REF!),0)</f>
        <v>0</v>
      </c>
      <c r="V180" s="39"/>
    </row>
    <row r="181" spans="1:22" x14ac:dyDescent="0.35">
      <c r="A181" s="2" t="s">
        <v>829</v>
      </c>
      <c r="B181" s="3" t="s">
        <v>832</v>
      </c>
      <c r="C181" s="3" t="s">
        <v>15</v>
      </c>
      <c r="D181" s="3">
        <v>56.19</v>
      </c>
      <c r="E181" s="3" t="s">
        <v>10</v>
      </c>
      <c r="F181" s="3">
        <v>0</v>
      </c>
      <c r="G181" s="3">
        <v>5</v>
      </c>
      <c r="H181" s="3">
        <v>1</v>
      </c>
      <c r="I181" s="21">
        <f>Table43[[#This Row],[Item Cost]]*Table43[[#This Row],[In Stock]]</f>
        <v>56.19</v>
      </c>
      <c r="J181" s="12" t="s">
        <v>4941</v>
      </c>
      <c r="K181" s="13" t="s">
        <v>4666</v>
      </c>
      <c r="L181" s="13" t="s">
        <v>4687</v>
      </c>
      <c r="M181" s="13" t="s">
        <v>4775</v>
      </c>
      <c r="N181" s="12" t="s">
        <v>4848</v>
      </c>
      <c r="O181" s="17" t="str">
        <f>IF(LEN(COUNTIFS($J$1:J181,$J181,$K$1:K181,$K181,$L$1:L181,$L181,$M$1:M181,M181,$N$1:N181,N181))=1,"00"&amp;COUNTIFS($J$1:J181,$J181,$K$1:K181,$K181,$L$1:L181,$L181,$M$1:M181,M181,$N$1:N181,N181),IF(LEN(COUNTIFS($J$1:J181,$J181,$K$1:K181,$K181,$L$1:L181,$L181,$M$1:M181,M181,$N$1:N181,N181))=2,"0"&amp;COUNTIFS($J$1:J181,$J181,$K$1:K181,$K181,$L$1:L181,$L181,$M$1:M181,M181,$N$1:N181,N181),COUNTIFS($J$1:J181,$J181,$K$1:K181,$K181,$L$1:L181,$L181,$M$1:M181,M181,$N$1:N181,N181)))</f>
        <v>003</v>
      </c>
      <c r="P18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MS-NS-009-09-04003-INV</v>
      </c>
      <c r="Q181" s="59" t="s">
        <v>7336</v>
      </c>
      <c r="R181" s="34" t="s">
        <v>6002</v>
      </c>
      <c r="S181" s="34" t="s">
        <v>832</v>
      </c>
      <c r="T181" s="34">
        <f>+IFERROR(_xlfn.XLOOKUP(Table43[[#This Row],[Column1]],#REF!,#REF!),0)</f>
        <v>0</v>
      </c>
      <c r="U181" s="50">
        <f>IFERROR(_xlfn.XLOOKUP(Table43[[#This Row],[Column1]],#REF!,#REF!),0)</f>
        <v>0</v>
      </c>
      <c r="V181" s="39"/>
    </row>
    <row r="182" spans="1:22" x14ac:dyDescent="0.35">
      <c r="A182" s="3" t="s">
        <v>831</v>
      </c>
      <c r="B182" s="2" t="s">
        <v>834</v>
      </c>
      <c r="C182" s="2" t="s">
        <v>15</v>
      </c>
      <c r="D182" s="2">
        <v>56.19</v>
      </c>
      <c r="E182" s="2" t="s">
        <v>10</v>
      </c>
      <c r="F182" s="3">
        <v>0</v>
      </c>
      <c r="G182" s="3">
        <v>5</v>
      </c>
      <c r="H182" s="2">
        <v>1</v>
      </c>
      <c r="I182" s="22">
        <f>Table43[[#This Row],[Item Cost]]*Table43[[#This Row],[In Stock]]</f>
        <v>56.19</v>
      </c>
      <c r="J182" s="12" t="s">
        <v>4941</v>
      </c>
      <c r="K182" s="13" t="s">
        <v>4666</v>
      </c>
      <c r="L182" s="13" t="s">
        <v>4687</v>
      </c>
      <c r="M182" s="13" t="s">
        <v>4775</v>
      </c>
      <c r="N182" s="12" t="s">
        <v>4848</v>
      </c>
      <c r="O182" s="17" t="str">
        <f>IF(LEN(COUNTIFS($J$1:J182,$J182,$K$1:K182,$K182,$L$1:L182,$L182,$M$1:M182,M182,$N$1:N182,N182))=1,"00"&amp;COUNTIFS($J$1:J182,$J182,$K$1:K182,$K182,$L$1:L182,$L182,$M$1:M182,M182,$N$1:N182,N182),IF(LEN(COUNTIFS($J$1:J182,$J182,$K$1:K182,$K182,$L$1:L182,$L182,$M$1:M182,M182,$N$1:N182,N182))=2,"0"&amp;COUNTIFS($J$1:J182,$J182,$K$1:K182,$K182,$L$1:L182,$L182,$M$1:M182,M182,$N$1:N182,N182),COUNTIFS($J$1:J182,$J182,$K$1:K182,$K182,$L$1:L182,$L182,$M$1:M182,M182,$N$1:N182,N182)))</f>
        <v>004</v>
      </c>
      <c r="P18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MS-NS-009-09-04004-INV</v>
      </c>
      <c r="Q182" s="59"/>
      <c r="R182" s="34" t="s">
        <v>6003</v>
      </c>
      <c r="S182" s="34" t="s">
        <v>834</v>
      </c>
      <c r="T182" s="34">
        <f>+IFERROR(_xlfn.XLOOKUP(Table43[[#This Row],[Column1]],#REF!,#REF!),0)</f>
        <v>0</v>
      </c>
      <c r="U182" s="50">
        <f>IFERROR(_xlfn.XLOOKUP(Table43[[#This Row],[Column1]],#REF!,#REF!),0)</f>
        <v>0</v>
      </c>
      <c r="V182" s="39"/>
    </row>
    <row r="183" spans="1:22" x14ac:dyDescent="0.35">
      <c r="A183" s="2" t="s">
        <v>833</v>
      </c>
      <c r="B183" s="3" t="s">
        <v>836</v>
      </c>
      <c r="C183" s="3" t="s">
        <v>15</v>
      </c>
      <c r="D183" s="3">
        <v>56.19</v>
      </c>
      <c r="E183" s="3" t="s">
        <v>10</v>
      </c>
      <c r="F183" s="3">
        <v>0</v>
      </c>
      <c r="G183" s="3">
        <v>5</v>
      </c>
      <c r="H183" s="3">
        <v>1</v>
      </c>
      <c r="I183" s="21">
        <f>Table43[[#This Row],[Item Cost]]*Table43[[#This Row],[In Stock]]</f>
        <v>56.19</v>
      </c>
      <c r="J183" s="12" t="s">
        <v>4941</v>
      </c>
      <c r="K183" s="13" t="s">
        <v>4666</v>
      </c>
      <c r="L183" s="13" t="s">
        <v>4687</v>
      </c>
      <c r="M183" s="13" t="s">
        <v>4775</v>
      </c>
      <c r="N183" s="12" t="s">
        <v>4848</v>
      </c>
      <c r="O183" s="17" t="str">
        <f>IF(LEN(COUNTIFS($J$1:J183,$J183,$K$1:K183,$K183,$L$1:L183,$L183,$M$1:M183,M183,$N$1:N183,N183))=1,"00"&amp;COUNTIFS($J$1:J183,$J183,$K$1:K183,$K183,$L$1:L183,$L183,$M$1:M183,M183,$N$1:N183,N183),IF(LEN(COUNTIFS($J$1:J183,$J183,$K$1:K183,$K183,$L$1:L183,$L183,$M$1:M183,M183,$N$1:N183,N183))=2,"0"&amp;COUNTIFS($J$1:J183,$J183,$K$1:K183,$K183,$L$1:L183,$L183,$M$1:M183,M183,$N$1:N183,N183),COUNTIFS($J$1:J183,$J183,$K$1:K183,$K183,$L$1:L183,$L183,$M$1:M183,M183,$N$1:N183,N183)))</f>
        <v>005</v>
      </c>
      <c r="P18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MS-NS-009-09-04005-INV</v>
      </c>
      <c r="Q183" s="59" t="s">
        <v>7336</v>
      </c>
      <c r="R183" s="34" t="s">
        <v>6004</v>
      </c>
      <c r="S183" s="34" t="s">
        <v>836</v>
      </c>
      <c r="T183" s="34">
        <f>+IFERROR(_xlfn.XLOOKUP(Table43[[#This Row],[Column1]],#REF!,#REF!),0)</f>
        <v>0</v>
      </c>
      <c r="U183" s="50">
        <f>IFERROR(_xlfn.XLOOKUP(Table43[[#This Row],[Column1]],#REF!,#REF!),0)</f>
        <v>0</v>
      </c>
      <c r="V183" s="39"/>
    </row>
    <row r="184" spans="1:22" x14ac:dyDescent="0.35">
      <c r="A184" s="2" t="s">
        <v>835</v>
      </c>
      <c r="B184" s="2" t="s">
        <v>838</v>
      </c>
      <c r="C184" s="2" t="s">
        <v>15</v>
      </c>
      <c r="D184" s="2">
        <v>56.19</v>
      </c>
      <c r="E184" s="2" t="s">
        <v>10</v>
      </c>
      <c r="F184" s="3">
        <v>0</v>
      </c>
      <c r="G184" s="3">
        <v>5</v>
      </c>
      <c r="H184" s="2">
        <v>1</v>
      </c>
      <c r="I184" s="22">
        <f>Table43[[#This Row],[Item Cost]]*Table43[[#This Row],[In Stock]]</f>
        <v>56.19</v>
      </c>
      <c r="J184" s="12" t="s">
        <v>4941</v>
      </c>
      <c r="K184" s="13" t="s">
        <v>4666</v>
      </c>
      <c r="L184" s="13" t="s">
        <v>4687</v>
      </c>
      <c r="M184" s="13" t="s">
        <v>4775</v>
      </c>
      <c r="N184" s="12" t="s">
        <v>4848</v>
      </c>
      <c r="O184" s="17" t="str">
        <f>IF(LEN(COUNTIFS($J$1:J184,$J184,$K$1:K184,$K184,$L$1:L184,$L184,$M$1:M184,M184,$N$1:N184,N184))=1,"00"&amp;COUNTIFS($J$1:J184,$J184,$K$1:K184,$K184,$L$1:L184,$L184,$M$1:M184,M184,$N$1:N184,N184),IF(LEN(COUNTIFS($J$1:J184,$J184,$K$1:K184,$K184,$L$1:L184,$L184,$M$1:M184,M184,$N$1:N184,N184))=2,"0"&amp;COUNTIFS($J$1:J184,$J184,$K$1:K184,$K184,$L$1:L184,$L184,$M$1:M184,M184,$N$1:N184,N184),COUNTIFS($J$1:J184,$J184,$K$1:K184,$K184,$L$1:L184,$L184,$M$1:M184,M184,$N$1:N184,N184)))</f>
        <v>006</v>
      </c>
      <c r="P18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MS-NS-009-09-04006-INV</v>
      </c>
      <c r="Q184" s="59" t="s">
        <v>7336</v>
      </c>
      <c r="R184" s="34" t="s">
        <v>6005</v>
      </c>
      <c r="S184" s="34" t="s">
        <v>838</v>
      </c>
      <c r="T184" s="34">
        <f>+IFERROR(_xlfn.XLOOKUP(Table43[[#This Row],[Column1]],#REF!,#REF!),0)</f>
        <v>0</v>
      </c>
      <c r="U184" s="50">
        <f>IFERROR(_xlfn.XLOOKUP(Table43[[#This Row],[Column1]],#REF!,#REF!),0)</f>
        <v>0</v>
      </c>
      <c r="V184" s="39"/>
    </row>
    <row r="185" spans="1:22" x14ac:dyDescent="0.35">
      <c r="A185" s="3" t="s">
        <v>837</v>
      </c>
      <c r="B185" s="3" t="s">
        <v>840</v>
      </c>
      <c r="C185" s="3" t="s">
        <v>9</v>
      </c>
      <c r="D185" s="5">
        <v>1245.71</v>
      </c>
      <c r="E185" s="3" t="s">
        <v>10</v>
      </c>
      <c r="F185" s="2">
        <v>1</v>
      </c>
      <c r="G185" s="2">
        <v>2</v>
      </c>
      <c r="H185" s="3">
        <v>1</v>
      </c>
      <c r="I185" s="21">
        <f>Table43[[#This Row],[Item Cost]]*Table43[[#This Row],[In Stock]]</f>
        <v>1245.71</v>
      </c>
      <c r="J185" s="12" t="s">
        <v>4941</v>
      </c>
      <c r="K185" s="13" t="s">
        <v>4664</v>
      </c>
      <c r="L185" s="13" t="s">
        <v>4687</v>
      </c>
      <c r="M185" s="13" t="s">
        <v>4770</v>
      </c>
      <c r="N185" s="12" t="s">
        <v>4848</v>
      </c>
      <c r="O185" s="17" t="str">
        <f>IF(LEN(COUNTIFS($J$1:J185,$J185,$K$1:K185,$K185,$L$1:L185,$L185,$M$1:M185,M185,$N$1:N185,N185))=1,"00"&amp;COUNTIFS($J$1:J185,$J185,$K$1:K185,$K185,$L$1:L185,$L185,$M$1:M185,M185,$N$1:N185,N185),IF(LEN(COUNTIFS($J$1:J185,$J185,$K$1:K185,$K185,$L$1:L185,$L185,$M$1:M185,M185,$N$1:N185,N185))=2,"0"&amp;COUNTIFS($J$1:J185,$J185,$K$1:K185,$K185,$L$1:L185,$L185,$M$1:M185,M185,$N$1:N185,N185),COUNTIFS($J$1:J185,$J185,$K$1:K185,$K185,$L$1:L185,$L185,$M$1:M185,M185,$N$1:N185,N185)))</f>
        <v>001</v>
      </c>
      <c r="P18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MS-CS-009-04-04001-INV</v>
      </c>
      <c r="Q185" s="59" t="s">
        <v>7337</v>
      </c>
      <c r="R185" s="34" t="s">
        <v>6006</v>
      </c>
      <c r="S185" s="34" t="s">
        <v>840</v>
      </c>
      <c r="T185" s="34">
        <f>+IFERROR(_xlfn.XLOOKUP(Table43[[#This Row],[Column1]],#REF!,#REF!),0)</f>
        <v>0</v>
      </c>
      <c r="U185" s="50">
        <f>IFERROR(_xlfn.XLOOKUP(Table43[[#This Row],[Column1]],#REF!,#REF!),0)</f>
        <v>0</v>
      </c>
      <c r="V185" s="39"/>
    </row>
    <row r="186" spans="1:22" x14ac:dyDescent="0.35">
      <c r="A186" s="2" t="s">
        <v>839</v>
      </c>
      <c r="B186" s="2" t="s">
        <v>842</v>
      </c>
      <c r="C186" s="2" t="s">
        <v>9</v>
      </c>
      <c r="D186" s="4">
        <v>9162.89</v>
      </c>
      <c r="E186" s="2" t="s">
        <v>10</v>
      </c>
      <c r="F186" s="2">
        <v>1</v>
      </c>
      <c r="G186" s="2">
        <v>2</v>
      </c>
      <c r="H186" s="2">
        <v>0</v>
      </c>
      <c r="I186" s="22">
        <f>Table43[[#This Row],[Item Cost]]*Table43[[#This Row],[In Stock]]</f>
        <v>0</v>
      </c>
      <c r="J186" s="12" t="s">
        <v>4941</v>
      </c>
      <c r="K186" s="13" t="s">
        <v>4664</v>
      </c>
      <c r="L186" s="13" t="s">
        <v>4687</v>
      </c>
      <c r="M186" s="13" t="s">
        <v>4827</v>
      </c>
      <c r="N186" s="12" t="s">
        <v>4848</v>
      </c>
      <c r="O186" s="17" t="str">
        <f>IF(LEN(COUNTIFS($J$1:J186,$J186,$K$1:K186,$K186,$L$1:L186,$L186,$M$1:M186,M186,$N$1:N186,N186))=1,"00"&amp;COUNTIFS($J$1:J186,$J186,$K$1:K186,$K186,$L$1:L186,$L186,$M$1:M186,M186,$N$1:N186,N186),IF(LEN(COUNTIFS($J$1:J186,$J186,$K$1:K186,$K186,$L$1:L186,$L186,$M$1:M186,M186,$N$1:N186,N186))=2,"0"&amp;COUNTIFS($J$1:J186,$J186,$K$1:K186,$K186,$L$1:L186,$L186,$M$1:M186,M186,$N$1:N186,N186),COUNTIFS($J$1:J186,$J186,$K$1:K186,$K186,$L$1:L186,$L186,$M$1:M186,M186,$N$1:N186,N186)))</f>
        <v>001</v>
      </c>
      <c r="P18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MS-CS-009-10-04001-INV</v>
      </c>
      <c r="Q186" s="59" t="s">
        <v>7337</v>
      </c>
      <c r="R186" s="34" t="s">
        <v>6007</v>
      </c>
      <c r="S186" s="34" t="s">
        <v>842</v>
      </c>
      <c r="T186" s="34">
        <f>+IFERROR(_xlfn.XLOOKUP(Table43[[#This Row],[Column1]],#REF!,#REF!),0)</f>
        <v>0</v>
      </c>
      <c r="U186" s="50">
        <f>IFERROR(_xlfn.XLOOKUP(Table43[[#This Row],[Column1]],#REF!,#REF!),0)</f>
        <v>0</v>
      </c>
      <c r="V186" s="39"/>
    </row>
    <row r="187" spans="1:22" x14ac:dyDescent="0.35">
      <c r="A187" s="2" t="s">
        <v>841</v>
      </c>
      <c r="B187" s="3" t="s">
        <v>844</v>
      </c>
      <c r="C187" s="3" t="s">
        <v>9</v>
      </c>
      <c r="D187" s="5">
        <v>1708.08</v>
      </c>
      <c r="E187" s="3" t="s">
        <v>10</v>
      </c>
      <c r="F187" s="2">
        <v>1</v>
      </c>
      <c r="G187" s="2">
        <v>2</v>
      </c>
      <c r="H187" s="3">
        <v>0</v>
      </c>
      <c r="I187" s="21">
        <f>Table43[[#This Row],[Item Cost]]*Table43[[#This Row],[In Stock]]</f>
        <v>0</v>
      </c>
      <c r="J187" s="12" t="s">
        <v>4941</v>
      </c>
      <c r="K187" s="13" t="s">
        <v>4664</v>
      </c>
      <c r="L187" s="13" t="s">
        <v>4687</v>
      </c>
      <c r="M187" s="13" t="s">
        <v>4828</v>
      </c>
      <c r="N187" s="12" t="s">
        <v>4848</v>
      </c>
      <c r="O187" s="17" t="str">
        <f>IF(LEN(COUNTIFS($J$1:J187,$J187,$K$1:K187,$K187,$L$1:L187,$L187,$M$1:M187,M187,$N$1:N187,N187))=1,"00"&amp;COUNTIFS($J$1:J187,$J187,$K$1:K187,$K187,$L$1:L187,$L187,$M$1:M187,M187,$N$1:N187,N187),IF(LEN(COUNTIFS($J$1:J187,$J187,$K$1:K187,$K187,$L$1:L187,$L187,$M$1:M187,M187,$N$1:N187,N187))=2,"0"&amp;COUNTIFS($J$1:J187,$J187,$K$1:K187,$K187,$L$1:L187,$L187,$M$1:M187,M187,$N$1:N187,N187),COUNTIFS($J$1:J187,$J187,$K$1:K187,$K187,$L$1:L187,$L187,$M$1:M187,M187,$N$1:N187,N187)))</f>
        <v>001</v>
      </c>
      <c r="P18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MS-CS-009-13-04001-INV</v>
      </c>
      <c r="Q187" s="59"/>
      <c r="R187" s="34" t="s">
        <v>6008</v>
      </c>
      <c r="S187" s="34" t="s">
        <v>844</v>
      </c>
      <c r="T187" s="34">
        <f>+IFERROR(_xlfn.XLOOKUP(Table43[[#This Row],[Column1]],#REF!,#REF!),0)</f>
        <v>0</v>
      </c>
      <c r="U187" s="50">
        <f>IFERROR(_xlfn.XLOOKUP(Table43[[#This Row],[Column1]],#REF!,#REF!),0)</f>
        <v>0</v>
      </c>
      <c r="V187" s="39"/>
    </row>
    <row r="188" spans="1:22" x14ac:dyDescent="0.35">
      <c r="A188" s="3" t="s">
        <v>843</v>
      </c>
      <c r="B188" s="2" t="s">
        <v>846</v>
      </c>
      <c r="C188" s="2" t="s">
        <v>9</v>
      </c>
      <c r="D188" s="2">
        <v>458.33</v>
      </c>
      <c r="E188" s="2" t="s">
        <v>10</v>
      </c>
      <c r="F188" s="2">
        <v>1</v>
      </c>
      <c r="G188" s="2">
        <v>2</v>
      </c>
      <c r="H188" s="2">
        <v>1</v>
      </c>
      <c r="I188" s="22">
        <f>Table43[[#This Row],[Item Cost]]*Table43[[#This Row],[In Stock]]</f>
        <v>458.33</v>
      </c>
      <c r="J188" s="12" t="s">
        <v>4941</v>
      </c>
      <c r="K188" s="13" t="s">
        <v>4664</v>
      </c>
      <c r="L188" s="13" t="s">
        <v>4687</v>
      </c>
      <c r="M188" s="13" t="s">
        <v>4859</v>
      </c>
      <c r="N188" s="12" t="s">
        <v>4848</v>
      </c>
      <c r="O188" s="17" t="str">
        <f>IF(LEN(COUNTIFS($J$1:J188,$J188,$K$1:K188,$K188,$L$1:L188,$L188,$M$1:M188,M188,$N$1:N188,N188))=1,"00"&amp;COUNTIFS($J$1:J188,$J188,$K$1:K188,$K188,$L$1:L188,$L188,$M$1:M188,M188,$N$1:N188,N188),IF(LEN(COUNTIFS($J$1:J188,$J188,$K$1:K188,$K188,$L$1:L188,$L188,$M$1:M188,M188,$N$1:N188,N188))=2,"0"&amp;COUNTIFS($J$1:J188,$J188,$K$1:K188,$K188,$L$1:L188,$L188,$M$1:M188,M188,$N$1:N188,N188),COUNTIFS($J$1:J188,$J188,$K$1:K188,$K188,$L$1:L188,$L188,$M$1:M188,M188,$N$1:N188,N188)))</f>
        <v>001</v>
      </c>
      <c r="P18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MS-CS-009-30-04001-INV</v>
      </c>
      <c r="Q188" s="59" t="s">
        <v>7337</v>
      </c>
      <c r="R188" s="34" t="s">
        <v>6009</v>
      </c>
      <c r="S188" s="34" t="s">
        <v>846</v>
      </c>
      <c r="T188" s="34">
        <f>+IFERROR(_xlfn.XLOOKUP(Table43[[#This Row],[Column1]],#REF!,#REF!),0)</f>
        <v>0</v>
      </c>
      <c r="U188" s="50">
        <f>IFERROR(_xlfn.XLOOKUP(Table43[[#This Row],[Column1]],#REF!,#REF!),0)</f>
        <v>0</v>
      </c>
      <c r="V188" s="39"/>
    </row>
    <row r="189" spans="1:22" x14ac:dyDescent="0.35">
      <c r="A189" s="2" t="s">
        <v>845</v>
      </c>
      <c r="B189" s="2" t="s">
        <v>850</v>
      </c>
      <c r="C189" s="2" t="s">
        <v>9</v>
      </c>
      <c r="D189" s="2">
        <v>120.09</v>
      </c>
      <c r="E189" s="2" t="s">
        <v>10</v>
      </c>
      <c r="F189" s="2">
        <v>1</v>
      </c>
      <c r="G189" s="2">
        <v>2</v>
      </c>
      <c r="H189" s="2">
        <v>2</v>
      </c>
      <c r="I189" s="22">
        <f>Table43[[#This Row],[Item Cost]]*Table43[[#This Row],[In Stock]]</f>
        <v>240.18</v>
      </c>
      <c r="J189" s="12" t="s">
        <v>4941</v>
      </c>
      <c r="K189" s="13" t="s">
        <v>4664</v>
      </c>
      <c r="L189" s="13" t="s">
        <v>4687</v>
      </c>
      <c r="M189" s="13" t="s">
        <v>4693</v>
      </c>
      <c r="N189" s="12" t="s">
        <v>4848</v>
      </c>
      <c r="O189" s="17" t="str">
        <f>IF(LEN(COUNTIFS($J$1:J189,$J189,$K$1:K189,$K189,$L$1:L189,$L189,$M$1:M189,M189,$N$1:N189,N189))=1,"00"&amp;COUNTIFS($J$1:J189,$J189,$K$1:K189,$K189,$L$1:L189,$L189,$M$1:M189,M189,$N$1:N189,N189),IF(LEN(COUNTIFS($J$1:J189,$J189,$K$1:K189,$K189,$L$1:L189,$L189,$M$1:M189,M189,$N$1:N189,N189))=2,"0"&amp;COUNTIFS($J$1:J189,$J189,$K$1:K189,$K189,$L$1:L189,$L189,$M$1:M189,M189,$N$1:N189,N189),COUNTIFS($J$1:J189,$J189,$K$1:K189,$K189,$L$1:L189,$L189,$M$1:M189,M189,$N$1:N189,N189)))</f>
        <v>007</v>
      </c>
      <c r="P18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MS-CS-009-23-04007-INV</v>
      </c>
      <c r="Q189" s="59" t="s">
        <v>7336</v>
      </c>
      <c r="R189" s="34" t="s">
        <v>6010</v>
      </c>
      <c r="S189" s="34" t="s">
        <v>850</v>
      </c>
      <c r="T189" s="34">
        <f>+IFERROR(_xlfn.XLOOKUP(Table43[[#This Row],[Column1]],#REF!,#REF!),0)</f>
        <v>0</v>
      </c>
      <c r="U189" s="50">
        <f>IFERROR(_xlfn.XLOOKUP(Table43[[#This Row],[Column1]],#REF!,#REF!),0)</f>
        <v>0</v>
      </c>
      <c r="V189" s="39"/>
    </row>
    <row r="190" spans="1:22" x14ac:dyDescent="0.35">
      <c r="A190" s="2" t="s">
        <v>847</v>
      </c>
      <c r="B190" s="3" t="s">
        <v>4868</v>
      </c>
      <c r="C190" s="3" t="s">
        <v>9</v>
      </c>
      <c r="D190" s="3">
        <v>139.55500000000001</v>
      </c>
      <c r="E190" s="3" t="s">
        <v>10</v>
      </c>
      <c r="F190" s="2">
        <v>1</v>
      </c>
      <c r="G190" s="2">
        <v>2</v>
      </c>
      <c r="H190" s="3">
        <v>2</v>
      </c>
      <c r="I190" s="21">
        <f>Table43[[#This Row],[Item Cost]]*Table43[[#This Row],[In Stock]]</f>
        <v>279.11</v>
      </c>
      <c r="J190" s="12" t="s">
        <v>4941</v>
      </c>
      <c r="K190" s="13" t="s">
        <v>4664</v>
      </c>
      <c r="L190" s="13" t="s">
        <v>4687</v>
      </c>
      <c r="M190" s="13" t="s">
        <v>4693</v>
      </c>
      <c r="N190" s="12" t="s">
        <v>4848</v>
      </c>
      <c r="O190" s="17" t="str">
        <f>IF(LEN(COUNTIFS($J$1:J190,$J190,$K$1:K190,$K190,$L$1:L190,$L190,$M$1:M190,M190,$N$1:N190,N190))=1,"00"&amp;COUNTIFS($J$1:J190,$J190,$K$1:K190,$K190,$L$1:L190,$L190,$M$1:M190,M190,$N$1:N190,N190),IF(LEN(COUNTIFS($J$1:J190,$J190,$K$1:K190,$K190,$L$1:L190,$L190,$M$1:M190,M190,$N$1:N190,N190))=2,"0"&amp;COUNTIFS($J$1:J190,$J190,$K$1:K190,$K190,$L$1:L190,$L190,$M$1:M190,M190,$N$1:N190,N190),COUNTIFS($J$1:J190,$J190,$K$1:K190,$K190,$L$1:L190,$L190,$M$1:M190,M190,$N$1:N190,N190)))</f>
        <v>008</v>
      </c>
      <c r="P19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MS-CS-009-23-04008-INV</v>
      </c>
      <c r="Q190" s="59"/>
      <c r="R190" s="34" t="s">
        <v>7229</v>
      </c>
      <c r="S190" s="34" t="s">
        <v>848</v>
      </c>
      <c r="T190" s="34">
        <f>+IFERROR(_xlfn.XLOOKUP(Table43[[#This Row],[Column1]],#REF!,#REF!),0)</f>
        <v>0</v>
      </c>
      <c r="U190" s="50">
        <f>IFERROR(_xlfn.XLOOKUP(Table43[[#This Row],[Column1]],#REF!,#REF!),0)</f>
        <v>0</v>
      </c>
      <c r="V190" s="39"/>
    </row>
    <row r="191" spans="1:22" x14ac:dyDescent="0.35">
      <c r="A191" s="3" t="s">
        <v>849</v>
      </c>
      <c r="B191" s="2" t="s">
        <v>854</v>
      </c>
      <c r="C191" s="2" t="s">
        <v>9</v>
      </c>
      <c r="D191" s="2">
        <v>72.349999999999994</v>
      </c>
      <c r="E191" s="2" t="s">
        <v>10</v>
      </c>
      <c r="F191" s="2">
        <v>1</v>
      </c>
      <c r="G191" s="2">
        <v>2</v>
      </c>
      <c r="H191" s="2">
        <v>1</v>
      </c>
      <c r="I191" s="22">
        <f>Table43[[#This Row],[Item Cost]]*Table43[[#This Row],[In Stock]]</f>
        <v>72.349999999999994</v>
      </c>
      <c r="J191" s="12" t="s">
        <v>4941</v>
      </c>
      <c r="K191" s="13" t="s">
        <v>4664</v>
      </c>
      <c r="L191" s="13" t="s">
        <v>4687</v>
      </c>
      <c r="M191" s="13" t="s">
        <v>4770</v>
      </c>
      <c r="N191" s="12" t="s">
        <v>4848</v>
      </c>
      <c r="O191" s="17" t="str">
        <f>IF(LEN(COUNTIFS($J$1:J191,$J191,$K$1:K191,$K191,$L$1:L191,$L191,$M$1:M191,M191,$N$1:N191,N191))=1,"00"&amp;COUNTIFS($J$1:J191,$J191,$K$1:K191,$K191,$L$1:L191,$L191,$M$1:M191,M191,$N$1:N191,N191),IF(LEN(COUNTIFS($J$1:J191,$J191,$K$1:K191,$K191,$L$1:L191,$L191,$M$1:M191,M191,$N$1:N191,N191))=2,"0"&amp;COUNTIFS($J$1:J191,$J191,$K$1:K191,$K191,$L$1:L191,$L191,$M$1:M191,M191,$N$1:N191,N191),COUNTIFS($J$1:J191,$J191,$K$1:K191,$K191,$L$1:L191,$L191,$M$1:M191,M191,$N$1:N191,N191)))</f>
        <v>002</v>
      </c>
      <c r="P19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MS-CS-009-04-04002-INV</v>
      </c>
      <c r="Q191" s="59" t="s">
        <v>7337</v>
      </c>
      <c r="R191" s="34" t="s">
        <v>6011</v>
      </c>
      <c r="S191" s="34" t="s">
        <v>854</v>
      </c>
      <c r="T191" s="34">
        <f>+IFERROR(_xlfn.XLOOKUP(Table43[[#This Row],[Column1]],#REF!,#REF!),0)</f>
        <v>0</v>
      </c>
      <c r="U191" s="50">
        <f>IFERROR(_xlfn.XLOOKUP(Table43[[#This Row],[Column1]],#REF!,#REF!),0)</f>
        <v>0</v>
      </c>
      <c r="V191" s="39"/>
    </row>
    <row r="192" spans="1:22" x14ac:dyDescent="0.35">
      <c r="A192" s="2" t="s">
        <v>851</v>
      </c>
      <c r="B192" s="3" t="s">
        <v>856</v>
      </c>
      <c r="C192" s="3" t="s">
        <v>9</v>
      </c>
      <c r="D192" s="3">
        <v>282.42</v>
      </c>
      <c r="E192" s="3" t="s">
        <v>10</v>
      </c>
      <c r="F192" s="2">
        <v>1</v>
      </c>
      <c r="G192" s="2">
        <v>2</v>
      </c>
      <c r="H192" s="3">
        <v>1</v>
      </c>
      <c r="I192" s="21">
        <f>Table43[[#This Row],[Item Cost]]*Table43[[#This Row],[In Stock]]</f>
        <v>282.42</v>
      </c>
      <c r="J192" s="12" t="s">
        <v>4941</v>
      </c>
      <c r="K192" s="13" t="s">
        <v>4664</v>
      </c>
      <c r="L192" s="13" t="s">
        <v>4687</v>
      </c>
      <c r="M192" s="13" t="s">
        <v>4770</v>
      </c>
      <c r="N192" s="12" t="s">
        <v>4848</v>
      </c>
      <c r="O192" s="17" t="str">
        <f>IF(LEN(COUNTIFS($J$1:J192,$J192,$K$1:K192,$K192,$L$1:L192,$L192,$M$1:M192,M192,$N$1:N192,N192))=1,"00"&amp;COUNTIFS($J$1:J192,$J192,$K$1:K192,$K192,$L$1:L192,$L192,$M$1:M192,M192,$N$1:N192,N192),IF(LEN(COUNTIFS($J$1:J192,$J192,$K$1:K192,$K192,$L$1:L192,$L192,$M$1:M192,M192,$N$1:N192,N192))=2,"0"&amp;COUNTIFS($J$1:J192,$J192,$K$1:K192,$K192,$L$1:L192,$L192,$M$1:M192,M192,$N$1:N192,N192),COUNTIFS($J$1:J192,$J192,$K$1:K192,$K192,$L$1:L192,$L192,$M$1:M192,M192,$N$1:N192,N192)))</f>
        <v>003</v>
      </c>
      <c r="P19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MS-CS-009-04-04003-INV</v>
      </c>
      <c r="Q192" s="59" t="s">
        <v>7337</v>
      </c>
      <c r="R192" s="34" t="s">
        <v>6012</v>
      </c>
      <c r="S192" s="34" t="s">
        <v>856</v>
      </c>
      <c r="T192" s="34">
        <f>+IFERROR(_xlfn.XLOOKUP(Table43[[#This Row],[Column1]],#REF!,#REF!),0)</f>
        <v>0</v>
      </c>
      <c r="U192" s="50">
        <f>IFERROR(_xlfn.XLOOKUP(Table43[[#This Row],[Column1]],#REF!,#REF!),0)</f>
        <v>0</v>
      </c>
      <c r="V192" s="39"/>
    </row>
    <row r="193" spans="1:22" x14ac:dyDescent="0.35">
      <c r="A193" s="2" t="s">
        <v>853</v>
      </c>
      <c r="B193" s="2" t="s">
        <v>858</v>
      </c>
      <c r="C193" s="2" t="s">
        <v>9</v>
      </c>
      <c r="D193" s="4">
        <v>1227.72</v>
      </c>
      <c r="E193" s="2" t="s">
        <v>10</v>
      </c>
      <c r="F193" s="2">
        <v>1</v>
      </c>
      <c r="G193" s="2">
        <v>2</v>
      </c>
      <c r="H193" s="2">
        <v>0</v>
      </c>
      <c r="I193" s="22">
        <f>Table43[[#This Row],[Item Cost]]*Table43[[#This Row],[In Stock]]</f>
        <v>0</v>
      </c>
      <c r="J193" s="12" t="s">
        <v>4941</v>
      </c>
      <c r="K193" s="13" t="s">
        <v>4664</v>
      </c>
      <c r="L193" s="13" t="s">
        <v>4687</v>
      </c>
      <c r="M193" s="13" t="s">
        <v>4770</v>
      </c>
      <c r="N193" s="12" t="s">
        <v>4848</v>
      </c>
      <c r="O193" s="17" t="str">
        <f>IF(LEN(COUNTIFS($J$1:J193,$J193,$K$1:K193,$K193,$L$1:L193,$L193,$M$1:M193,M193,$N$1:N193,N193))=1,"00"&amp;COUNTIFS($J$1:J193,$J193,$K$1:K193,$K193,$L$1:L193,$L193,$M$1:M193,M193,$N$1:N193,N193),IF(LEN(COUNTIFS($J$1:J193,$J193,$K$1:K193,$K193,$L$1:L193,$L193,$M$1:M193,M193,$N$1:N193,N193))=2,"0"&amp;COUNTIFS($J$1:J193,$J193,$K$1:K193,$K193,$L$1:L193,$L193,$M$1:M193,M193,$N$1:N193,N193),COUNTIFS($J$1:J193,$J193,$K$1:K193,$K193,$L$1:L193,$L193,$M$1:M193,M193,$N$1:N193,N193)))</f>
        <v>004</v>
      </c>
      <c r="P19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MS-CS-009-04-04004-INV</v>
      </c>
      <c r="Q193" s="59" t="s">
        <v>7338</v>
      </c>
      <c r="R193" s="34" t="s">
        <v>6013</v>
      </c>
      <c r="S193" s="34" t="s">
        <v>858</v>
      </c>
      <c r="T193" s="34">
        <f>+IFERROR(_xlfn.XLOOKUP(Table43[[#This Row],[Column1]],#REF!,#REF!),0)</f>
        <v>0</v>
      </c>
      <c r="U193" s="50">
        <f>IFERROR(_xlfn.XLOOKUP(Table43[[#This Row],[Column1]],#REF!,#REF!),0)</f>
        <v>0</v>
      </c>
      <c r="V193" s="39"/>
    </row>
    <row r="194" spans="1:22" x14ac:dyDescent="0.35">
      <c r="A194" s="3" t="s">
        <v>855</v>
      </c>
      <c r="B194" s="3" t="s">
        <v>860</v>
      </c>
      <c r="C194" s="3" t="s">
        <v>9</v>
      </c>
      <c r="D194" s="3">
        <v>30.85</v>
      </c>
      <c r="E194" s="3" t="s">
        <v>10</v>
      </c>
      <c r="F194" s="2">
        <v>1</v>
      </c>
      <c r="G194" s="2">
        <v>2</v>
      </c>
      <c r="H194" s="3">
        <v>2</v>
      </c>
      <c r="I194" s="21">
        <f>Table43[[#This Row],[Item Cost]]*Table43[[#This Row],[In Stock]]</f>
        <v>61.7</v>
      </c>
      <c r="J194" s="12" t="s">
        <v>4941</v>
      </c>
      <c r="K194" s="13" t="s">
        <v>4664</v>
      </c>
      <c r="L194" s="13" t="s">
        <v>4687</v>
      </c>
      <c r="M194" s="13" t="s">
        <v>4834</v>
      </c>
      <c r="N194" s="12" t="s">
        <v>4848</v>
      </c>
      <c r="O194" s="17" t="str">
        <f>IF(LEN(COUNTIFS($J$1:J194,$J194,$K$1:K194,$K194,$L$1:L194,$L194,$M$1:M194,M194,$N$1:N194,N194))=1,"00"&amp;COUNTIFS($J$1:J194,$J194,$K$1:K194,$K194,$L$1:L194,$L194,$M$1:M194,M194,$N$1:N194,N194),IF(LEN(COUNTIFS($J$1:J194,$J194,$K$1:K194,$K194,$L$1:L194,$L194,$M$1:M194,M194,$N$1:N194,N194))=2,"0"&amp;COUNTIFS($J$1:J194,$J194,$K$1:K194,$K194,$L$1:L194,$L194,$M$1:M194,M194,$N$1:N194,N194),COUNTIFS($J$1:J194,$J194,$K$1:K194,$K194,$L$1:L194,$L194,$M$1:M194,M194,$N$1:N194,N194)))</f>
        <v>001</v>
      </c>
      <c r="P19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MS-CS-009-17-04001-INV</v>
      </c>
      <c r="Q194" s="59" t="s">
        <v>7336</v>
      </c>
      <c r="R194" s="34" t="s">
        <v>6014</v>
      </c>
      <c r="S194" s="34" t="s">
        <v>860</v>
      </c>
      <c r="T194" s="34">
        <f>+IFERROR(_xlfn.XLOOKUP(Table43[[#This Row],[Column1]],#REF!,#REF!),0)</f>
        <v>0</v>
      </c>
      <c r="U194" s="50">
        <f>IFERROR(_xlfn.XLOOKUP(Table43[[#This Row],[Column1]],#REF!,#REF!),0)</f>
        <v>0</v>
      </c>
      <c r="V194" s="39"/>
    </row>
    <row r="195" spans="1:22" x14ac:dyDescent="0.35">
      <c r="A195" s="2" t="s">
        <v>857</v>
      </c>
      <c r="B195" s="2" t="s">
        <v>862</v>
      </c>
      <c r="C195" s="2" t="s">
        <v>9</v>
      </c>
      <c r="D195" s="2">
        <v>34.155000000000001</v>
      </c>
      <c r="E195" s="2" t="s">
        <v>10</v>
      </c>
      <c r="F195" s="2">
        <v>1</v>
      </c>
      <c r="G195" s="2">
        <v>2</v>
      </c>
      <c r="H195" s="2">
        <v>2</v>
      </c>
      <c r="I195" s="22">
        <f>Table43[[#This Row],[Item Cost]]*Table43[[#This Row],[In Stock]]</f>
        <v>68.31</v>
      </c>
      <c r="J195" s="12" t="s">
        <v>4941</v>
      </c>
      <c r="K195" s="13" t="s">
        <v>4664</v>
      </c>
      <c r="L195" s="13" t="s">
        <v>4687</v>
      </c>
      <c r="M195" s="13" t="s">
        <v>4834</v>
      </c>
      <c r="N195" s="12" t="s">
        <v>4848</v>
      </c>
      <c r="O195" s="17" t="str">
        <f>IF(LEN(COUNTIFS($J$1:J195,$J195,$K$1:K195,$K195,$L$1:L195,$L195,$M$1:M195,M195,$N$1:N195,N195))=1,"00"&amp;COUNTIFS($J$1:J195,$J195,$K$1:K195,$K195,$L$1:L195,$L195,$M$1:M195,M195,$N$1:N195,N195),IF(LEN(COUNTIFS($J$1:J195,$J195,$K$1:K195,$K195,$L$1:L195,$L195,$M$1:M195,M195,$N$1:N195,N195))=2,"0"&amp;COUNTIFS($J$1:J195,$J195,$K$1:K195,$K195,$L$1:L195,$L195,$M$1:M195,M195,$N$1:N195,N195),COUNTIFS($J$1:J195,$J195,$K$1:K195,$K195,$L$1:L195,$L195,$M$1:M195,M195,$N$1:N195,N195)))</f>
        <v>002</v>
      </c>
      <c r="P19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MS-CS-009-17-04002-INV</v>
      </c>
      <c r="Q195" s="59"/>
      <c r="R195" s="34" t="s">
        <v>6015</v>
      </c>
      <c r="S195" s="34" t="s">
        <v>862</v>
      </c>
      <c r="T195" s="34">
        <f>+IFERROR(_xlfn.XLOOKUP(Table43[[#This Row],[Column1]],#REF!,#REF!),0)</f>
        <v>0</v>
      </c>
      <c r="U195" s="50">
        <f>IFERROR(_xlfn.XLOOKUP(Table43[[#This Row],[Column1]],#REF!,#REF!),0)</f>
        <v>0</v>
      </c>
      <c r="V195" s="39"/>
    </row>
    <row r="196" spans="1:22" x14ac:dyDescent="0.35">
      <c r="A196" s="2" t="s">
        <v>859</v>
      </c>
      <c r="B196" s="3" t="s">
        <v>864</v>
      </c>
      <c r="C196" s="3" t="s">
        <v>9</v>
      </c>
      <c r="D196" s="3">
        <v>30.85</v>
      </c>
      <c r="E196" s="3" t="s">
        <v>10</v>
      </c>
      <c r="F196" s="2">
        <v>1</v>
      </c>
      <c r="G196" s="2">
        <v>2</v>
      </c>
      <c r="H196" s="3">
        <v>2</v>
      </c>
      <c r="I196" s="21">
        <f>Table43[[#This Row],[Item Cost]]*Table43[[#This Row],[In Stock]]</f>
        <v>61.7</v>
      </c>
      <c r="J196" s="12" t="s">
        <v>4941</v>
      </c>
      <c r="K196" s="13" t="s">
        <v>4664</v>
      </c>
      <c r="L196" s="13" t="s">
        <v>4687</v>
      </c>
      <c r="M196" s="13" t="s">
        <v>4834</v>
      </c>
      <c r="N196" s="12" t="s">
        <v>4848</v>
      </c>
      <c r="O196" s="17" t="str">
        <f>IF(LEN(COUNTIFS($J$1:J196,$J196,$K$1:K196,$K196,$L$1:L196,$L196,$M$1:M196,M196,$N$1:N196,N196))=1,"00"&amp;COUNTIFS($J$1:J196,$J196,$K$1:K196,$K196,$L$1:L196,$L196,$M$1:M196,M196,$N$1:N196,N196),IF(LEN(COUNTIFS($J$1:J196,$J196,$K$1:K196,$K196,$L$1:L196,$L196,$M$1:M196,M196,$N$1:N196,N196))=2,"0"&amp;COUNTIFS($J$1:J196,$J196,$K$1:K196,$K196,$L$1:L196,$L196,$M$1:M196,M196,$N$1:N196,N196),COUNTIFS($J$1:J196,$J196,$K$1:K196,$K196,$L$1:L196,$L196,$M$1:M196,M196,$N$1:N196,N196)))</f>
        <v>003</v>
      </c>
      <c r="P19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MS-CS-009-17-04003-INV</v>
      </c>
      <c r="Q196" s="59" t="s">
        <v>7336</v>
      </c>
      <c r="R196" s="34" t="s">
        <v>6016</v>
      </c>
      <c r="S196" s="34" t="s">
        <v>864</v>
      </c>
      <c r="T196" s="34">
        <f>+IFERROR(_xlfn.XLOOKUP(Table43[[#This Row],[Column1]],#REF!,#REF!),0)</f>
        <v>0</v>
      </c>
      <c r="U196" s="50">
        <f>IFERROR(_xlfn.XLOOKUP(Table43[[#This Row],[Column1]],#REF!,#REF!),0)</f>
        <v>0</v>
      </c>
      <c r="V196" s="39"/>
    </row>
    <row r="197" spans="1:22" x14ac:dyDescent="0.35">
      <c r="A197" s="3" t="s">
        <v>861</v>
      </c>
      <c r="B197" s="2" t="s">
        <v>866</v>
      </c>
      <c r="C197" s="2" t="s">
        <v>9</v>
      </c>
      <c r="D197" s="2">
        <v>57.66</v>
      </c>
      <c r="E197" s="2" t="s">
        <v>10</v>
      </c>
      <c r="F197" s="2">
        <v>1</v>
      </c>
      <c r="G197" s="2">
        <v>2</v>
      </c>
      <c r="H197" s="2">
        <v>0</v>
      </c>
      <c r="I197" s="22">
        <f>Table43[[#This Row],[Item Cost]]*Table43[[#This Row],[In Stock]]</f>
        <v>0</v>
      </c>
      <c r="J197" s="12" t="s">
        <v>4941</v>
      </c>
      <c r="K197" s="13" t="s">
        <v>4664</v>
      </c>
      <c r="L197" s="13" t="s">
        <v>4687</v>
      </c>
      <c r="M197" s="13" t="s">
        <v>4834</v>
      </c>
      <c r="N197" s="12" t="s">
        <v>4848</v>
      </c>
      <c r="O197" s="17" t="str">
        <f>IF(LEN(COUNTIFS($J$1:J197,$J197,$K$1:K197,$K197,$L$1:L197,$L197,$M$1:M197,M197,$N$1:N197,N197))=1,"00"&amp;COUNTIFS($J$1:J197,$J197,$K$1:K197,$K197,$L$1:L197,$L197,$M$1:M197,M197,$N$1:N197,N197),IF(LEN(COUNTIFS($J$1:J197,$J197,$K$1:K197,$K197,$L$1:L197,$L197,$M$1:M197,M197,$N$1:N197,N197))=2,"0"&amp;COUNTIFS($J$1:J197,$J197,$K$1:K197,$K197,$L$1:L197,$L197,$M$1:M197,M197,$N$1:N197,N197),COUNTIFS($J$1:J197,$J197,$K$1:K197,$K197,$L$1:L197,$L197,$M$1:M197,M197,$N$1:N197,N197)))</f>
        <v>004</v>
      </c>
      <c r="P19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MS-CS-009-17-04004-INV</v>
      </c>
      <c r="Q197" s="59"/>
      <c r="R197" s="34" t="s">
        <v>6017</v>
      </c>
      <c r="S197" s="34" t="s">
        <v>866</v>
      </c>
      <c r="T197" s="34">
        <f>+IFERROR(_xlfn.XLOOKUP(Table43[[#This Row],[Column1]],#REF!,#REF!),0)</f>
        <v>0</v>
      </c>
      <c r="U197" s="50">
        <f>IFERROR(_xlfn.XLOOKUP(Table43[[#This Row],[Column1]],#REF!,#REF!),0)</f>
        <v>0</v>
      </c>
      <c r="V197" s="39"/>
    </row>
    <row r="198" spans="1:22" x14ac:dyDescent="0.35">
      <c r="A198" s="2" t="s">
        <v>863</v>
      </c>
      <c r="B198" s="3" t="s">
        <v>868</v>
      </c>
      <c r="C198" s="3" t="s">
        <v>9</v>
      </c>
      <c r="D198" s="3">
        <v>276.17</v>
      </c>
      <c r="E198" s="3" t="s">
        <v>10</v>
      </c>
      <c r="F198" s="2">
        <v>1</v>
      </c>
      <c r="G198" s="2">
        <v>2</v>
      </c>
      <c r="H198" s="3">
        <v>1</v>
      </c>
      <c r="I198" s="21">
        <f>Table43[[#This Row],[Item Cost]]*Table43[[#This Row],[In Stock]]</f>
        <v>276.17</v>
      </c>
      <c r="J198" s="12" t="s">
        <v>4941</v>
      </c>
      <c r="K198" s="13" t="s">
        <v>4664</v>
      </c>
      <c r="L198" s="13" t="s">
        <v>4687</v>
      </c>
      <c r="M198" s="13" t="s">
        <v>4770</v>
      </c>
      <c r="N198" s="12" t="s">
        <v>4848</v>
      </c>
      <c r="O198" s="17" t="str">
        <f>IF(LEN(COUNTIFS($J$1:J198,$J198,$K$1:K198,$K198,$L$1:L198,$L198,$M$1:M198,M198,$N$1:N198,N198))=1,"00"&amp;COUNTIFS($J$1:J198,$J198,$K$1:K198,$K198,$L$1:L198,$L198,$M$1:M198,M198,$N$1:N198,N198),IF(LEN(COUNTIFS($J$1:J198,$J198,$K$1:K198,$K198,$L$1:L198,$L198,$M$1:M198,M198,$N$1:N198,N198))=2,"0"&amp;COUNTIFS($J$1:J198,$J198,$K$1:K198,$K198,$L$1:L198,$L198,$M$1:M198,M198,$N$1:N198,N198),COUNTIFS($J$1:J198,$J198,$K$1:K198,$K198,$L$1:L198,$L198,$M$1:M198,M198,$N$1:N198,N198)))</f>
        <v>005</v>
      </c>
      <c r="P19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MS-CS-009-04-04005-INV</v>
      </c>
      <c r="Q198" s="59" t="s">
        <v>7337</v>
      </c>
      <c r="R198" s="34" t="s">
        <v>6018</v>
      </c>
      <c r="S198" s="34" t="s">
        <v>868</v>
      </c>
      <c r="T198" s="34">
        <f>+IFERROR(_xlfn.XLOOKUP(Table43[[#This Row],[Column1]],#REF!,#REF!),0)</f>
        <v>0</v>
      </c>
      <c r="U198" s="50">
        <f>IFERROR(_xlfn.XLOOKUP(Table43[[#This Row],[Column1]],#REF!,#REF!),0)</f>
        <v>0</v>
      </c>
      <c r="V198" s="39"/>
    </row>
    <row r="199" spans="1:22" x14ac:dyDescent="0.35">
      <c r="A199" s="2" t="s">
        <v>865</v>
      </c>
      <c r="B199" s="2" t="s">
        <v>870</v>
      </c>
      <c r="C199" s="2" t="s">
        <v>9</v>
      </c>
      <c r="D199" s="2">
        <v>515.99</v>
      </c>
      <c r="E199" s="2" t="s">
        <v>10</v>
      </c>
      <c r="F199" s="2">
        <v>1</v>
      </c>
      <c r="G199" s="2">
        <v>2</v>
      </c>
      <c r="H199" s="2">
        <v>1</v>
      </c>
      <c r="I199" s="22">
        <f>Table43[[#This Row],[Item Cost]]*Table43[[#This Row],[In Stock]]</f>
        <v>515.99</v>
      </c>
      <c r="J199" s="12" t="s">
        <v>4941</v>
      </c>
      <c r="K199" s="13" t="s">
        <v>4664</v>
      </c>
      <c r="L199" s="13" t="s">
        <v>4687</v>
      </c>
      <c r="M199" s="13" t="s">
        <v>4770</v>
      </c>
      <c r="N199" s="12" t="s">
        <v>4848</v>
      </c>
      <c r="O199" s="17" t="str">
        <f>IF(LEN(COUNTIFS($J$1:J199,$J199,$K$1:K199,$K199,$L$1:L199,$L199,$M$1:M199,M199,$N$1:N199,N199))=1,"00"&amp;COUNTIFS($J$1:J199,$J199,$K$1:K199,$K199,$L$1:L199,$L199,$M$1:M199,M199,$N$1:N199,N199),IF(LEN(COUNTIFS($J$1:J199,$J199,$K$1:K199,$K199,$L$1:L199,$L199,$M$1:M199,M199,$N$1:N199,N199))=2,"0"&amp;COUNTIFS($J$1:J199,$J199,$K$1:K199,$K199,$L$1:L199,$L199,$M$1:M199,M199,$N$1:N199,N199),COUNTIFS($J$1:J199,$J199,$K$1:K199,$K199,$L$1:L199,$L199,$M$1:M199,M199,$N$1:N199,N199)))</f>
        <v>006</v>
      </c>
      <c r="P19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MS-CS-009-04-04006-INV</v>
      </c>
      <c r="Q199" s="59" t="s">
        <v>7339</v>
      </c>
      <c r="R199" s="34" t="s">
        <v>6019</v>
      </c>
      <c r="S199" s="34" t="s">
        <v>870</v>
      </c>
      <c r="T199" s="34">
        <f>+IFERROR(_xlfn.XLOOKUP(Table43[[#This Row],[Column1]],#REF!,#REF!),0)</f>
        <v>0</v>
      </c>
      <c r="U199" s="50">
        <f>IFERROR(_xlfn.XLOOKUP(Table43[[#This Row],[Column1]],#REF!,#REF!),0)</f>
        <v>0</v>
      </c>
      <c r="V199" s="39"/>
    </row>
    <row r="200" spans="1:22" x14ac:dyDescent="0.35">
      <c r="A200" s="3" t="s">
        <v>867</v>
      </c>
      <c r="B200" s="3" t="s">
        <v>872</v>
      </c>
      <c r="C200" s="3" t="s">
        <v>9</v>
      </c>
      <c r="D200" s="3">
        <v>91.08</v>
      </c>
      <c r="E200" s="3" t="s">
        <v>10</v>
      </c>
      <c r="F200" s="2">
        <v>1</v>
      </c>
      <c r="G200" s="2">
        <v>2</v>
      </c>
      <c r="H200" s="3">
        <v>1</v>
      </c>
      <c r="I200" s="21">
        <f>Table43[[#This Row],[Item Cost]]*Table43[[#This Row],[In Stock]]</f>
        <v>91.08</v>
      </c>
      <c r="J200" s="12" t="s">
        <v>4941</v>
      </c>
      <c r="K200" s="13" t="s">
        <v>4664</v>
      </c>
      <c r="L200" s="13" t="s">
        <v>4687</v>
      </c>
      <c r="M200" s="13" t="s">
        <v>4770</v>
      </c>
      <c r="N200" s="12" t="s">
        <v>4848</v>
      </c>
      <c r="O200" s="17" t="str">
        <f>IF(LEN(COUNTIFS($J$1:J200,$J200,$K$1:K200,$K200,$L$1:L200,$L200,$M$1:M200,M200,$N$1:N200,N200))=1,"00"&amp;COUNTIFS($J$1:J200,$J200,$K$1:K200,$K200,$L$1:L200,$L200,$M$1:M200,M200,$N$1:N200,N200),IF(LEN(COUNTIFS($J$1:J200,$J200,$K$1:K200,$K200,$L$1:L200,$L200,$M$1:M200,M200,$N$1:N200,N200))=2,"0"&amp;COUNTIFS($J$1:J200,$J200,$K$1:K200,$K200,$L$1:L200,$L200,$M$1:M200,M200,$N$1:N200,N200),COUNTIFS($J$1:J200,$J200,$K$1:K200,$K200,$L$1:L200,$L200,$M$1:M200,M200,$N$1:N200,N200)))</f>
        <v>007</v>
      </c>
      <c r="P20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MS-CS-009-04-04007-INV</v>
      </c>
      <c r="Q200" s="59" t="s">
        <v>7337</v>
      </c>
      <c r="R200" s="34" t="s">
        <v>6020</v>
      </c>
      <c r="S200" s="34" t="s">
        <v>872</v>
      </c>
      <c r="T200" s="34">
        <f>+IFERROR(_xlfn.XLOOKUP(Table43[[#This Row],[Column1]],#REF!,#REF!),0)</f>
        <v>0</v>
      </c>
      <c r="U200" s="50">
        <f>IFERROR(_xlfn.XLOOKUP(Table43[[#This Row],[Column1]],#REF!,#REF!),0)</f>
        <v>0</v>
      </c>
      <c r="V200" s="39"/>
    </row>
    <row r="201" spans="1:22" x14ac:dyDescent="0.35">
      <c r="A201" s="2" t="s">
        <v>869</v>
      </c>
      <c r="B201" s="2" t="s">
        <v>874</v>
      </c>
      <c r="C201" s="2" t="s">
        <v>9</v>
      </c>
      <c r="D201" s="2">
        <v>266.99</v>
      </c>
      <c r="E201" s="2" t="s">
        <v>10</v>
      </c>
      <c r="F201" s="2">
        <v>1</v>
      </c>
      <c r="G201" s="2">
        <v>2</v>
      </c>
      <c r="H201" s="2">
        <v>1</v>
      </c>
      <c r="I201" s="22">
        <f>Table43[[#This Row],[Item Cost]]*Table43[[#This Row],[In Stock]]</f>
        <v>266.99</v>
      </c>
      <c r="J201" s="12" t="s">
        <v>4941</v>
      </c>
      <c r="K201" s="13" t="s">
        <v>4664</v>
      </c>
      <c r="L201" s="13" t="s">
        <v>4687</v>
      </c>
      <c r="M201" s="13" t="s">
        <v>4827</v>
      </c>
      <c r="N201" s="12" t="s">
        <v>4848</v>
      </c>
      <c r="O201" s="17" t="str">
        <f>IF(LEN(COUNTIFS($J$1:J201,$J201,$K$1:K201,$K201,$L$1:L201,$L201,$M$1:M201,M201,$N$1:N201,N201))=1,"00"&amp;COUNTIFS($J$1:J201,$J201,$K$1:K201,$K201,$L$1:L201,$L201,$M$1:M201,M201,$N$1:N201,N201),IF(LEN(COUNTIFS($J$1:J201,$J201,$K$1:K201,$K201,$L$1:L201,$L201,$M$1:M201,M201,$N$1:N201,N201))=2,"0"&amp;COUNTIFS($J$1:J201,$J201,$K$1:K201,$K201,$L$1:L201,$L201,$M$1:M201,M201,$N$1:N201,N201),COUNTIFS($J$1:J201,$J201,$K$1:K201,$K201,$L$1:L201,$L201,$M$1:M201,M201,$N$1:N201,N201)))</f>
        <v>002</v>
      </c>
      <c r="P20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MS-CS-009-10-04002-INV</v>
      </c>
      <c r="Q201" s="59" t="s">
        <v>7337</v>
      </c>
      <c r="R201" s="34" t="s">
        <v>6021</v>
      </c>
      <c r="S201" s="34" t="s">
        <v>874</v>
      </c>
      <c r="T201" s="34">
        <f>+IFERROR(_xlfn.XLOOKUP(Table43[[#This Row],[Column1]],#REF!,#REF!),0)</f>
        <v>0</v>
      </c>
      <c r="U201" s="50">
        <f>IFERROR(_xlfn.XLOOKUP(Table43[[#This Row],[Column1]],#REF!,#REF!),0)</f>
        <v>0</v>
      </c>
      <c r="V201" s="39"/>
    </row>
    <row r="202" spans="1:22" x14ac:dyDescent="0.35">
      <c r="A202" s="2" t="s">
        <v>871</v>
      </c>
      <c r="B202" s="3" t="s">
        <v>876</v>
      </c>
      <c r="C202" s="3" t="s">
        <v>9</v>
      </c>
      <c r="D202" s="3">
        <v>166</v>
      </c>
      <c r="E202" s="3" t="s">
        <v>10</v>
      </c>
      <c r="F202" s="2">
        <v>1</v>
      </c>
      <c r="G202" s="2">
        <v>2</v>
      </c>
      <c r="H202" s="3">
        <v>1</v>
      </c>
      <c r="I202" s="21">
        <f>Table43[[#This Row],[Item Cost]]*Table43[[#This Row],[In Stock]]</f>
        <v>166</v>
      </c>
      <c r="J202" s="12" t="s">
        <v>4941</v>
      </c>
      <c r="K202" s="13" t="s">
        <v>4664</v>
      </c>
      <c r="L202" s="13" t="s">
        <v>4687</v>
      </c>
      <c r="M202" s="13" t="s">
        <v>4827</v>
      </c>
      <c r="N202" s="12" t="s">
        <v>4848</v>
      </c>
      <c r="O202" s="17" t="str">
        <f>IF(LEN(COUNTIFS($J$1:J202,$J202,$K$1:K202,$K202,$L$1:L202,$L202,$M$1:M202,M202,$N$1:N202,N202))=1,"00"&amp;COUNTIFS($J$1:J202,$J202,$K$1:K202,$K202,$L$1:L202,$L202,$M$1:M202,M202,$N$1:N202,N202),IF(LEN(COUNTIFS($J$1:J202,$J202,$K$1:K202,$K202,$L$1:L202,$L202,$M$1:M202,M202,$N$1:N202,N202))=2,"0"&amp;COUNTIFS($J$1:J202,$J202,$K$1:K202,$K202,$L$1:L202,$L202,$M$1:M202,M202,$N$1:N202,N202),COUNTIFS($J$1:J202,$J202,$K$1:K202,$K202,$L$1:L202,$L202,$M$1:M202,M202,$N$1:N202,N202)))</f>
        <v>003</v>
      </c>
      <c r="P20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MS-CS-009-10-04003-INV</v>
      </c>
      <c r="Q202" s="59" t="s">
        <v>7337</v>
      </c>
      <c r="R202" s="34" t="s">
        <v>6022</v>
      </c>
      <c r="S202" s="34" t="s">
        <v>876</v>
      </c>
      <c r="T202" s="34">
        <f>+IFERROR(_xlfn.XLOOKUP(Table43[[#This Row],[Column1]],#REF!,#REF!),0)</f>
        <v>0</v>
      </c>
      <c r="U202" s="50">
        <f>IFERROR(_xlfn.XLOOKUP(Table43[[#This Row],[Column1]],#REF!,#REF!),0)</f>
        <v>0</v>
      </c>
      <c r="V202" s="39"/>
    </row>
    <row r="203" spans="1:22" x14ac:dyDescent="0.35">
      <c r="A203" s="3" t="s">
        <v>873</v>
      </c>
      <c r="B203" s="2" t="s">
        <v>878</v>
      </c>
      <c r="C203" s="2" t="s">
        <v>9</v>
      </c>
      <c r="D203" s="2">
        <v>146.53</v>
      </c>
      <c r="E203" s="2" t="s">
        <v>10</v>
      </c>
      <c r="F203" s="2">
        <v>1</v>
      </c>
      <c r="G203" s="2">
        <v>2</v>
      </c>
      <c r="H203" s="2">
        <v>1</v>
      </c>
      <c r="I203" s="22">
        <f>Table43[[#This Row],[Item Cost]]*Table43[[#This Row],[In Stock]]</f>
        <v>146.53</v>
      </c>
      <c r="J203" s="12" t="s">
        <v>4941</v>
      </c>
      <c r="K203" s="13" t="s">
        <v>4664</v>
      </c>
      <c r="L203" s="13" t="s">
        <v>4687</v>
      </c>
      <c r="M203" s="13" t="s">
        <v>4827</v>
      </c>
      <c r="N203" s="12" t="s">
        <v>4848</v>
      </c>
      <c r="O203" s="17" t="str">
        <f>IF(LEN(COUNTIFS($J$1:J203,$J203,$K$1:K203,$K203,$L$1:L203,$L203,$M$1:M203,M203,$N$1:N203,N203))=1,"00"&amp;COUNTIFS($J$1:J203,$J203,$K$1:K203,$K203,$L$1:L203,$L203,$M$1:M203,M203,$N$1:N203,N203),IF(LEN(COUNTIFS($J$1:J203,$J203,$K$1:K203,$K203,$L$1:L203,$L203,$M$1:M203,M203,$N$1:N203,N203))=2,"0"&amp;COUNTIFS($J$1:J203,$J203,$K$1:K203,$K203,$L$1:L203,$L203,$M$1:M203,M203,$N$1:N203,N203),COUNTIFS($J$1:J203,$J203,$K$1:K203,$K203,$L$1:L203,$L203,$M$1:M203,M203,$N$1:N203,N203)))</f>
        <v>004</v>
      </c>
      <c r="P20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MS-CS-009-10-04004-INV</v>
      </c>
      <c r="Q203" s="59" t="s">
        <v>7337</v>
      </c>
      <c r="R203" s="34" t="s">
        <v>6023</v>
      </c>
      <c r="S203" s="34" t="s">
        <v>878</v>
      </c>
      <c r="T203" s="34">
        <f>+IFERROR(_xlfn.XLOOKUP(Table43[[#This Row],[Column1]],#REF!,#REF!),0)</f>
        <v>0</v>
      </c>
      <c r="U203" s="50">
        <f>IFERROR(_xlfn.XLOOKUP(Table43[[#This Row],[Column1]],#REF!,#REF!),0)</f>
        <v>0</v>
      </c>
      <c r="V203" s="39"/>
    </row>
    <row r="204" spans="1:22" x14ac:dyDescent="0.35">
      <c r="A204" s="2" t="s">
        <v>875</v>
      </c>
      <c r="B204" s="3" t="s">
        <v>880</v>
      </c>
      <c r="C204" s="3" t="s">
        <v>9</v>
      </c>
      <c r="D204" s="5">
        <v>1175.93</v>
      </c>
      <c r="E204" s="3" t="s">
        <v>10</v>
      </c>
      <c r="F204" s="2">
        <v>1</v>
      </c>
      <c r="G204" s="2">
        <v>2</v>
      </c>
      <c r="H204" s="3">
        <v>1</v>
      </c>
      <c r="I204" s="21">
        <f>Table43[[#This Row],[Item Cost]]*Table43[[#This Row],[In Stock]]</f>
        <v>1175.93</v>
      </c>
      <c r="J204" s="12" t="s">
        <v>4941</v>
      </c>
      <c r="K204" s="13" t="s">
        <v>4664</v>
      </c>
      <c r="L204" s="13" t="s">
        <v>4687</v>
      </c>
      <c r="M204" s="13" t="s">
        <v>4859</v>
      </c>
      <c r="N204" s="12" t="s">
        <v>4848</v>
      </c>
      <c r="O204" s="17" t="str">
        <f>IF(LEN(COUNTIFS($J$1:J204,$J204,$K$1:K204,$K204,$L$1:L204,$L204,$M$1:M204,M204,$N$1:N204,N204))=1,"00"&amp;COUNTIFS($J$1:J204,$J204,$K$1:K204,$K204,$L$1:L204,$L204,$M$1:M204,M204,$N$1:N204,N204),IF(LEN(COUNTIFS($J$1:J204,$J204,$K$1:K204,$K204,$L$1:L204,$L204,$M$1:M204,M204,$N$1:N204,N204))=2,"0"&amp;COUNTIFS($J$1:J204,$J204,$K$1:K204,$K204,$L$1:L204,$L204,$M$1:M204,M204,$N$1:N204,N204),COUNTIFS($J$1:J204,$J204,$K$1:K204,$K204,$L$1:L204,$L204,$M$1:M204,M204,$N$1:N204,N204)))</f>
        <v>002</v>
      </c>
      <c r="P20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MS-CS-009-30-04002-INV</v>
      </c>
      <c r="Q204" s="59" t="s">
        <v>7337</v>
      </c>
      <c r="R204" s="34" t="s">
        <v>6024</v>
      </c>
      <c r="S204" s="34" t="s">
        <v>880</v>
      </c>
      <c r="T204" s="34">
        <f>+IFERROR(_xlfn.XLOOKUP(Table43[[#This Row],[Column1]],#REF!,#REF!),0)</f>
        <v>0</v>
      </c>
      <c r="U204" s="50">
        <f>IFERROR(_xlfn.XLOOKUP(Table43[[#This Row],[Column1]],#REF!,#REF!),0)</f>
        <v>0</v>
      </c>
      <c r="V204" s="39"/>
    </row>
    <row r="205" spans="1:22" x14ac:dyDescent="0.35">
      <c r="A205" s="2" t="s">
        <v>877</v>
      </c>
      <c r="B205" s="2" t="s">
        <v>882</v>
      </c>
      <c r="C205" s="2" t="s">
        <v>9</v>
      </c>
      <c r="D205" s="2">
        <v>367.25</v>
      </c>
      <c r="E205" s="2" t="s">
        <v>10</v>
      </c>
      <c r="F205" s="2">
        <v>1</v>
      </c>
      <c r="G205" s="2">
        <v>2</v>
      </c>
      <c r="H205" s="2">
        <v>2</v>
      </c>
      <c r="I205" s="22">
        <f>Table43[[#This Row],[Item Cost]]*Table43[[#This Row],[In Stock]]</f>
        <v>734.5</v>
      </c>
      <c r="J205" s="12" t="s">
        <v>4941</v>
      </c>
      <c r="K205" s="13" t="s">
        <v>4664</v>
      </c>
      <c r="L205" s="13" t="s">
        <v>4687</v>
      </c>
      <c r="M205" s="13" t="s">
        <v>4844</v>
      </c>
      <c r="N205" s="12" t="s">
        <v>4848</v>
      </c>
      <c r="O205" s="17" t="str">
        <f>IF(LEN(COUNTIFS($J$1:J205,$J205,$K$1:K205,$K205,$L$1:L205,$L205,$M$1:M205,M205,$N$1:N205,N205))=1,"00"&amp;COUNTIFS($J$1:J205,$J205,$K$1:K205,$K205,$L$1:L205,$L205,$M$1:M205,M205,$N$1:N205,N205),IF(LEN(COUNTIFS($J$1:J205,$J205,$K$1:K205,$K205,$L$1:L205,$L205,$M$1:M205,M205,$N$1:N205,N205))=2,"0"&amp;COUNTIFS($J$1:J205,$J205,$K$1:K205,$K205,$L$1:L205,$L205,$M$1:M205,M205,$N$1:N205,N205),COUNTIFS($J$1:J205,$J205,$K$1:K205,$K205,$L$1:L205,$L205,$M$1:M205,M205,$N$1:N205,N205)))</f>
        <v>001</v>
      </c>
      <c r="P20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MS-CS-009-29-04001-INV</v>
      </c>
      <c r="Q205" s="59"/>
      <c r="R205" s="34" t="s">
        <v>6025</v>
      </c>
      <c r="S205" s="34" t="s">
        <v>882</v>
      </c>
      <c r="T205" s="34">
        <f>+IFERROR(_xlfn.XLOOKUP(Table43[[#This Row],[Column1]],#REF!,#REF!),0)</f>
        <v>0</v>
      </c>
      <c r="U205" s="50">
        <f>IFERROR(_xlfn.XLOOKUP(Table43[[#This Row],[Column1]],#REF!,#REF!),0)</f>
        <v>0</v>
      </c>
      <c r="V205" s="39"/>
    </row>
    <row r="206" spans="1:22" x14ac:dyDescent="0.35">
      <c r="A206" s="3" t="s">
        <v>879</v>
      </c>
      <c r="B206" s="3" t="s">
        <v>884</v>
      </c>
      <c r="C206" s="3" t="s">
        <v>9</v>
      </c>
      <c r="D206" s="3">
        <v>321.33999999999997</v>
      </c>
      <c r="E206" s="3" t="s">
        <v>10</v>
      </c>
      <c r="F206" s="2">
        <v>1</v>
      </c>
      <c r="G206" s="2">
        <v>2</v>
      </c>
      <c r="H206" s="3">
        <v>1</v>
      </c>
      <c r="I206" s="21">
        <f>Table43[[#This Row],[Item Cost]]*Table43[[#This Row],[In Stock]]</f>
        <v>321.33999999999997</v>
      </c>
      <c r="J206" s="12" t="s">
        <v>4941</v>
      </c>
      <c r="K206" s="13" t="s">
        <v>4664</v>
      </c>
      <c r="L206" s="13" t="s">
        <v>4687</v>
      </c>
      <c r="M206" s="13" t="s">
        <v>4844</v>
      </c>
      <c r="N206" s="12" t="s">
        <v>4848</v>
      </c>
      <c r="O206" s="17" t="str">
        <f>IF(LEN(COUNTIFS($J$1:J206,$J206,$K$1:K206,$K206,$L$1:L206,$L206,$M$1:M206,M206,$N$1:N206,N206))=1,"00"&amp;COUNTIFS($J$1:J206,$J206,$K$1:K206,$K206,$L$1:L206,$L206,$M$1:M206,M206,$N$1:N206,N206),IF(LEN(COUNTIFS($J$1:J206,$J206,$K$1:K206,$K206,$L$1:L206,$L206,$M$1:M206,M206,$N$1:N206,N206))=2,"0"&amp;COUNTIFS($J$1:J206,$J206,$K$1:K206,$K206,$L$1:L206,$L206,$M$1:M206,M206,$N$1:N206,N206),COUNTIFS($J$1:J206,$J206,$K$1:K206,$K206,$L$1:L206,$L206,$M$1:M206,M206,$N$1:N206,N206)))</f>
        <v>002</v>
      </c>
      <c r="P20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MS-CS-009-29-04002-INV</v>
      </c>
      <c r="Q206" s="59" t="s">
        <v>7337</v>
      </c>
      <c r="R206" s="34" t="s">
        <v>6026</v>
      </c>
      <c r="S206" s="34" t="s">
        <v>884</v>
      </c>
      <c r="T206" s="34">
        <f>+IFERROR(_xlfn.XLOOKUP(Table43[[#This Row],[Column1]],#REF!,#REF!),0)</f>
        <v>0</v>
      </c>
      <c r="U206" s="50">
        <f>IFERROR(_xlfn.XLOOKUP(Table43[[#This Row],[Column1]],#REF!,#REF!),0)</f>
        <v>0</v>
      </c>
      <c r="V206" s="39"/>
    </row>
    <row r="207" spans="1:22" x14ac:dyDescent="0.35">
      <c r="A207" s="2" t="s">
        <v>881</v>
      </c>
      <c r="B207" s="2" t="s">
        <v>886</v>
      </c>
      <c r="C207" s="2" t="s">
        <v>9</v>
      </c>
      <c r="D207" s="2">
        <v>321.33999999999997</v>
      </c>
      <c r="E207" s="2" t="s">
        <v>10</v>
      </c>
      <c r="F207" s="2">
        <v>1</v>
      </c>
      <c r="G207" s="2">
        <v>2</v>
      </c>
      <c r="H207" s="2">
        <v>1</v>
      </c>
      <c r="I207" s="22">
        <f>Table43[[#This Row],[Item Cost]]*Table43[[#This Row],[In Stock]]</f>
        <v>321.33999999999997</v>
      </c>
      <c r="J207" s="12" t="s">
        <v>4941</v>
      </c>
      <c r="K207" s="13" t="s">
        <v>4664</v>
      </c>
      <c r="L207" s="13" t="s">
        <v>4687</v>
      </c>
      <c r="M207" s="13" t="s">
        <v>4844</v>
      </c>
      <c r="N207" s="12" t="s">
        <v>4848</v>
      </c>
      <c r="O207" s="17" t="str">
        <f>IF(LEN(COUNTIFS($J$1:J207,$J207,$K$1:K207,$K207,$L$1:L207,$L207,$M$1:M207,M207,$N$1:N207,N207))=1,"00"&amp;COUNTIFS($J$1:J207,$J207,$K$1:K207,$K207,$L$1:L207,$L207,$M$1:M207,M207,$N$1:N207,N207),IF(LEN(COUNTIFS($J$1:J207,$J207,$K$1:K207,$K207,$L$1:L207,$L207,$M$1:M207,M207,$N$1:N207,N207))=2,"0"&amp;COUNTIFS($J$1:J207,$J207,$K$1:K207,$K207,$L$1:L207,$L207,$M$1:M207,M207,$N$1:N207,N207),COUNTIFS($J$1:J207,$J207,$K$1:K207,$K207,$L$1:L207,$L207,$M$1:M207,M207,$N$1:N207,N207)))</f>
        <v>003</v>
      </c>
      <c r="P20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MS-CS-009-29-04003-INV</v>
      </c>
      <c r="Q207" s="59" t="s">
        <v>7337</v>
      </c>
      <c r="R207" s="34" t="s">
        <v>6027</v>
      </c>
      <c r="S207" s="34" t="s">
        <v>886</v>
      </c>
      <c r="T207" s="34">
        <f>+IFERROR(_xlfn.XLOOKUP(Table43[[#This Row],[Column1]],#REF!,#REF!),0)</f>
        <v>0</v>
      </c>
      <c r="U207" s="50">
        <f>IFERROR(_xlfn.XLOOKUP(Table43[[#This Row],[Column1]],#REF!,#REF!),0)</f>
        <v>0</v>
      </c>
      <c r="V207" s="39"/>
    </row>
    <row r="208" spans="1:22" x14ac:dyDescent="0.35">
      <c r="A208" s="2" t="s">
        <v>883</v>
      </c>
      <c r="B208" s="3" t="s">
        <v>888</v>
      </c>
      <c r="C208" s="3" t="s">
        <v>9</v>
      </c>
      <c r="D208" s="3">
        <v>601.37</v>
      </c>
      <c r="E208" s="3" t="s">
        <v>10</v>
      </c>
      <c r="F208" s="2">
        <v>1</v>
      </c>
      <c r="G208" s="2">
        <v>2</v>
      </c>
      <c r="H208" s="3">
        <v>2</v>
      </c>
      <c r="I208" s="21">
        <f>Table43[[#This Row],[Item Cost]]*Table43[[#This Row],[In Stock]]</f>
        <v>1202.74</v>
      </c>
      <c r="J208" s="12" t="s">
        <v>4941</v>
      </c>
      <c r="K208" s="13" t="s">
        <v>4664</v>
      </c>
      <c r="L208" s="13" t="s">
        <v>4687</v>
      </c>
      <c r="M208" s="13" t="s">
        <v>4844</v>
      </c>
      <c r="N208" s="12" t="s">
        <v>4848</v>
      </c>
      <c r="O208" s="17" t="str">
        <f>IF(LEN(COUNTIFS($J$1:J208,$J208,$K$1:K208,$K208,$L$1:L208,$L208,$M$1:M208,M208,$N$1:N208,N208))=1,"00"&amp;COUNTIFS($J$1:J208,$J208,$K$1:K208,$K208,$L$1:L208,$L208,$M$1:M208,M208,$N$1:N208,N208),IF(LEN(COUNTIFS($J$1:J208,$J208,$K$1:K208,$K208,$L$1:L208,$L208,$M$1:M208,M208,$N$1:N208,N208))=2,"0"&amp;COUNTIFS($J$1:J208,$J208,$K$1:K208,$K208,$L$1:L208,$L208,$M$1:M208,M208,$N$1:N208,N208),COUNTIFS($J$1:J208,$J208,$K$1:K208,$K208,$L$1:L208,$L208,$M$1:M208,M208,$N$1:N208,N208)))</f>
        <v>004</v>
      </c>
      <c r="P20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MS-CS-009-29-04004-INV</v>
      </c>
      <c r="Q208" s="59" t="s">
        <v>7337</v>
      </c>
      <c r="R208" s="34" t="s">
        <v>6028</v>
      </c>
      <c r="S208" s="34" t="s">
        <v>888</v>
      </c>
      <c r="T208" s="34">
        <f>+IFERROR(_xlfn.XLOOKUP(Table43[[#This Row],[Column1]],#REF!,#REF!),0)</f>
        <v>0</v>
      </c>
      <c r="U208" s="50">
        <f>IFERROR(_xlfn.XLOOKUP(Table43[[#This Row],[Column1]],#REF!,#REF!),0)</f>
        <v>0</v>
      </c>
      <c r="V208" s="39"/>
    </row>
    <row r="209" spans="1:22" x14ac:dyDescent="0.35">
      <c r="A209" s="3" t="s">
        <v>885</v>
      </c>
      <c r="B209" s="2" t="s">
        <v>890</v>
      </c>
      <c r="C209" s="2" t="s">
        <v>9</v>
      </c>
      <c r="D209" s="2">
        <v>638.09500000000003</v>
      </c>
      <c r="E209" s="2" t="s">
        <v>10</v>
      </c>
      <c r="F209" s="2">
        <v>1</v>
      </c>
      <c r="G209" s="2">
        <v>2</v>
      </c>
      <c r="H209" s="2">
        <v>2</v>
      </c>
      <c r="I209" s="22">
        <f>Table43[[#This Row],[Item Cost]]*Table43[[#This Row],[In Stock]]</f>
        <v>1276.19</v>
      </c>
      <c r="J209" s="12" t="s">
        <v>4941</v>
      </c>
      <c r="K209" s="13" t="s">
        <v>4664</v>
      </c>
      <c r="L209" s="13" t="s">
        <v>4687</v>
      </c>
      <c r="M209" s="13" t="s">
        <v>4844</v>
      </c>
      <c r="N209" s="12" t="s">
        <v>4848</v>
      </c>
      <c r="O209" s="17" t="str">
        <f>IF(LEN(COUNTIFS($J$1:J209,$J209,$K$1:K209,$K209,$L$1:L209,$L209,$M$1:M209,M209,$N$1:N209,N209))=1,"00"&amp;COUNTIFS($J$1:J209,$J209,$K$1:K209,$K209,$L$1:L209,$L209,$M$1:M209,M209,$N$1:N209,N209),IF(LEN(COUNTIFS($J$1:J209,$J209,$K$1:K209,$K209,$L$1:L209,$L209,$M$1:M209,M209,$N$1:N209,N209))=2,"0"&amp;COUNTIFS($J$1:J209,$J209,$K$1:K209,$K209,$L$1:L209,$L209,$M$1:M209,M209,$N$1:N209,N209),COUNTIFS($J$1:J209,$J209,$K$1:K209,$K209,$L$1:L209,$L209,$M$1:M209,M209,$N$1:N209,N209)))</f>
        <v>005</v>
      </c>
      <c r="P20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MS-CS-009-29-04005-INV</v>
      </c>
      <c r="Q209" s="59" t="s">
        <v>7337</v>
      </c>
      <c r="R209" s="34" t="s">
        <v>6029</v>
      </c>
      <c r="S209" s="34" t="s">
        <v>890</v>
      </c>
      <c r="T209" s="34">
        <f>+IFERROR(_xlfn.XLOOKUP(Table43[[#This Row],[Column1]],#REF!,#REF!),0)</f>
        <v>0</v>
      </c>
      <c r="U209" s="50">
        <f>IFERROR(_xlfn.XLOOKUP(Table43[[#This Row],[Column1]],#REF!,#REF!),0)</f>
        <v>0</v>
      </c>
      <c r="V209" s="39"/>
    </row>
    <row r="210" spans="1:22" x14ac:dyDescent="0.35">
      <c r="A210" s="2" t="s">
        <v>887</v>
      </c>
      <c r="B210" s="3" t="s">
        <v>892</v>
      </c>
      <c r="C210" s="3" t="s">
        <v>9</v>
      </c>
      <c r="D210" s="3">
        <v>826.31</v>
      </c>
      <c r="E210" s="3" t="s">
        <v>10</v>
      </c>
      <c r="F210" s="2">
        <v>1</v>
      </c>
      <c r="G210" s="2">
        <v>2</v>
      </c>
      <c r="H210" s="3">
        <v>1</v>
      </c>
      <c r="I210" s="21">
        <f>Table43[[#This Row],[Item Cost]]*Table43[[#This Row],[In Stock]]</f>
        <v>826.31</v>
      </c>
      <c r="J210" s="12" t="s">
        <v>4941</v>
      </c>
      <c r="K210" s="13" t="s">
        <v>4664</v>
      </c>
      <c r="L210" s="13" t="s">
        <v>4687</v>
      </c>
      <c r="M210" s="13" t="s">
        <v>4844</v>
      </c>
      <c r="N210" s="12" t="s">
        <v>4848</v>
      </c>
      <c r="O210" s="17" t="str">
        <f>IF(LEN(COUNTIFS($J$1:J210,$J210,$K$1:K210,$K210,$L$1:L210,$L210,$M$1:M210,M210,$N$1:N210,N210))=1,"00"&amp;COUNTIFS($J$1:J210,$J210,$K$1:K210,$K210,$L$1:L210,$L210,$M$1:M210,M210,$N$1:N210,N210),IF(LEN(COUNTIFS($J$1:J210,$J210,$K$1:K210,$K210,$L$1:L210,$L210,$M$1:M210,M210,$N$1:N210,N210))=2,"0"&amp;COUNTIFS($J$1:J210,$J210,$K$1:K210,$K210,$L$1:L210,$L210,$M$1:M210,M210,$N$1:N210,N210),COUNTIFS($J$1:J210,$J210,$K$1:K210,$K210,$L$1:L210,$L210,$M$1:M210,M210,$N$1:N210,N210)))</f>
        <v>006</v>
      </c>
      <c r="P21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MS-CS-009-29-04006-INV</v>
      </c>
      <c r="Q210" s="59" t="s">
        <v>7337</v>
      </c>
      <c r="R210" s="34" t="s">
        <v>6030</v>
      </c>
      <c r="S210" s="34" t="s">
        <v>892</v>
      </c>
      <c r="T210" s="34">
        <f>+IFERROR(_xlfn.XLOOKUP(Table43[[#This Row],[Column1]],#REF!,#REF!),0)</f>
        <v>0</v>
      </c>
      <c r="U210" s="50">
        <f>IFERROR(_xlfn.XLOOKUP(Table43[[#This Row],[Column1]],#REF!,#REF!),0)</f>
        <v>0</v>
      </c>
      <c r="V210" s="39"/>
    </row>
    <row r="211" spans="1:22" x14ac:dyDescent="0.35">
      <c r="A211" s="2" t="s">
        <v>889</v>
      </c>
      <c r="B211" s="2" t="s">
        <v>894</v>
      </c>
      <c r="C211" s="2" t="s">
        <v>9</v>
      </c>
      <c r="D211" s="2">
        <v>826.31</v>
      </c>
      <c r="E211" s="2" t="s">
        <v>10</v>
      </c>
      <c r="F211" s="2">
        <v>1</v>
      </c>
      <c r="G211" s="2">
        <v>2</v>
      </c>
      <c r="H211" s="2">
        <v>1</v>
      </c>
      <c r="I211" s="22">
        <f>Table43[[#This Row],[Item Cost]]*Table43[[#This Row],[In Stock]]</f>
        <v>826.31</v>
      </c>
      <c r="J211" s="12" t="s">
        <v>4941</v>
      </c>
      <c r="K211" s="13" t="s">
        <v>4664</v>
      </c>
      <c r="L211" s="13" t="s">
        <v>4687</v>
      </c>
      <c r="M211" s="13" t="s">
        <v>4844</v>
      </c>
      <c r="N211" s="12" t="s">
        <v>4848</v>
      </c>
      <c r="O211" s="17" t="str">
        <f>IF(LEN(COUNTIFS($J$1:J211,$J211,$K$1:K211,$K211,$L$1:L211,$L211,$M$1:M211,M211,$N$1:N211,N211))=1,"00"&amp;COUNTIFS($J$1:J211,$J211,$K$1:K211,$K211,$L$1:L211,$L211,$M$1:M211,M211,$N$1:N211,N211),IF(LEN(COUNTIFS($J$1:J211,$J211,$K$1:K211,$K211,$L$1:L211,$L211,$M$1:M211,M211,$N$1:N211,N211))=2,"0"&amp;COUNTIFS($J$1:J211,$J211,$K$1:K211,$K211,$L$1:L211,$L211,$M$1:M211,M211,$N$1:N211,N211),COUNTIFS($J$1:J211,$J211,$K$1:K211,$K211,$L$1:L211,$L211,$M$1:M211,M211,$N$1:N211,N211)))</f>
        <v>007</v>
      </c>
      <c r="P21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MS-CS-009-29-04007-INV</v>
      </c>
      <c r="Q211" s="59" t="s">
        <v>7337</v>
      </c>
      <c r="R211" s="34" t="s">
        <v>6031</v>
      </c>
      <c r="S211" s="34" t="s">
        <v>894</v>
      </c>
      <c r="T211" s="34">
        <f>+IFERROR(_xlfn.XLOOKUP(Table43[[#This Row],[Column1]],#REF!,#REF!),0)</f>
        <v>0</v>
      </c>
      <c r="U211" s="50">
        <f>IFERROR(_xlfn.XLOOKUP(Table43[[#This Row],[Column1]],#REF!,#REF!),0)</f>
        <v>0</v>
      </c>
      <c r="V211" s="39"/>
    </row>
    <row r="212" spans="1:22" x14ac:dyDescent="0.35">
      <c r="A212" s="3" t="s">
        <v>891</v>
      </c>
      <c r="B212" s="3" t="s">
        <v>896</v>
      </c>
      <c r="C212" s="3" t="s">
        <v>9</v>
      </c>
      <c r="D212" s="3">
        <v>826.31</v>
      </c>
      <c r="E212" s="3" t="s">
        <v>10</v>
      </c>
      <c r="F212" s="2">
        <v>1</v>
      </c>
      <c r="G212" s="2">
        <v>2</v>
      </c>
      <c r="H212" s="3">
        <v>1</v>
      </c>
      <c r="I212" s="21">
        <f>Table43[[#This Row],[Item Cost]]*Table43[[#This Row],[In Stock]]</f>
        <v>826.31</v>
      </c>
      <c r="J212" s="12" t="s">
        <v>4941</v>
      </c>
      <c r="K212" s="13" t="s">
        <v>4664</v>
      </c>
      <c r="L212" s="13" t="s">
        <v>4687</v>
      </c>
      <c r="M212" s="13" t="s">
        <v>4844</v>
      </c>
      <c r="N212" s="12" t="s">
        <v>4848</v>
      </c>
      <c r="O212" s="17" t="str">
        <f>IF(LEN(COUNTIFS($J$1:J212,$J212,$K$1:K212,$K212,$L$1:L212,$L212,$M$1:M212,M212,$N$1:N212,N212))=1,"00"&amp;COUNTIFS($J$1:J212,$J212,$K$1:K212,$K212,$L$1:L212,$L212,$M$1:M212,M212,$N$1:N212,N212),IF(LEN(COUNTIFS($J$1:J212,$J212,$K$1:K212,$K212,$L$1:L212,$L212,$M$1:M212,M212,$N$1:N212,N212))=2,"0"&amp;COUNTIFS($J$1:J212,$J212,$K$1:K212,$K212,$L$1:L212,$L212,$M$1:M212,M212,$N$1:N212,N212),COUNTIFS($J$1:J212,$J212,$K$1:K212,$K212,$L$1:L212,$L212,$M$1:M212,M212,$N$1:N212,N212)))</f>
        <v>008</v>
      </c>
      <c r="P21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MS-CS-009-29-04008-INV</v>
      </c>
      <c r="Q212" s="59" t="s">
        <v>7337</v>
      </c>
      <c r="R212" s="34" t="s">
        <v>6032</v>
      </c>
      <c r="S212" s="34" t="s">
        <v>896</v>
      </c>
      <c r="T212" s="34">
        <f>+IFERROR(_xlfn.XLOOKUP(Table43[[#This Row],[Column1]],#REF!,#REF!),0)</f>
        <v>0</v>
      </c>
      <c r="U212" s="50">
        <f>IFERROR(_xlfn.XLOOKUP(Table43[[#This Row],[Column1]],#REF!,#REF!),0)</f>
        <v>0</v>
      </c>
      <c r="V212" s="39"/>
    </row>
    <row r="213" spans="1:22" x14ac:dyDescent="0.35">
      <c r="A213" s="2" t="s">
        <v>893</v>
      </c>
      <c r="B213" s="2" t="s">
        <v>898</v>
      </c>
      <c r="C213" s="2" t="s">
        <v>9</v>
      </c>
      <c r="D213" s="2">
        <v>826.31</v>
      </c>
      <c r="E213" s="2" t="s">
        <v>10</v>
      </c>
      <c r="F213" s="2">
        <v>1</v>
      </c>
      <c r="G213" s="2">
        <v>2</v>
      </c>
      <c r="H213" s="2">
        <v>1</v>
      </c>
      <c r="I213" s="22">
        <f>Table43[[#This Row],[Item Cost]]*Table43[[#This Row],[In Stock]]</f>
        <v>826.31</v>
      </c>
      <c r="J213" s="12" t="s">
        <v>4941</v>
      </c>
      <c r="K213" s="13" t="s">
        <v>4664</v>
      </c>
      <c r="L213" s="13" t="s">
        <v>4687</v>
      </c>
      <c r="M213" s="13" t="s">
        <v>4844</v>
      </c>
      <c r="N213" s="12" t="s">
        <v>4848</v>
      </c>
      <c r="O213" s="17" t="str">
        <f>IF(LEN(COUNTIFS($J$1:J213,$J213,$K$1:K213,$K213,$L$1:L213,$L213,$M$1:M213,M213,$N$1:N213,N213))=1,"00"&amp;COUNTIFS($J$1:J213,$J213,$K$1:K213,$K213,$L$1:L213,$L213,$M$1:M213,M213,$N$1:N213,N213),IF(LEN(COUNTIFS($J$1:J213,$J213,$K$1:K213,$K213,$L$1:L213,$L213,$M$1:M213,M213,$N$1:N213,N213))=2,"0"&amp;COUNTIFS($J$1:J213,$J213,$K$1:K213,$K213,$L$1:L213,$L213,$M$1:M213,M213,$N$1:N213,N213),COUNTIFS($J$1:J213,$J213,$K$1:K213,$K213,$L$1:L213,$L213,$M$1:M213,M213,$N$1:N213,N213)))</f>
        <v>009</v>
      </c>
      <c r="P21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MS-CS-009-29-04009-INV</v>
      </c>
      <c r="Q213" s="59" t="s">
        <v>7337</v>
      </c>
      <c r="R213" s="34" t="s">
        <v>6033</v>
      </c>
      <c r="S213" s="34" t="s">
        <v>898</v>
      </c>
      <c r="T213" s="34">
        <f>+IFERROR(_xlfn.XLOOKUP(Table43[[#This Row],[Column1]],#REF!,#REF!),0)</f>
        <v>0</v>
      </c>
      <c r="U213" s="50">
        <f>IFERROR(_xlfn.XLOOKUP(Table43[[#This Row],[Column1]],#REF!,#REF!),0)</f>
        <v>0</v>
      </c>
      <c r="V213" s="39"/>
    </row>
    <row r="214" spans="1:22" x14ac:dyDescent="0.35">
      <c r="A214" s="2" t="s">
        <v>895</v>
      </c>
      <c r="B214" s="3" t="s">
        <v>900</v>
      </c>
      <c r="C214" s="3" t="s">
        <v>9</v>
      </c>
      <c r="D214" s="3">
        <v>192.80500000000001</v>
      </c>
      <c r="E214" s="3" t="s">
        <v>10</v>
      </c>
      <c r="F214" s="2">
        <v>1</v>
      </c>
      <c r="G214" s="2">
        <v>2</v>
      </c>
      <c r="H214" s="3">
        <v>2</v>
      </c>
      <c r="I214" s="21">
        <f>Table43[[#This Row],[Item Cost]]*Table43[[#This Row],[In Stock]]</f>
        <v>385.61</v>
      </c>
      <c r="J214" s="12" t="s">
        <v>4941</v>
      </c>
      <c r="K214" s="13" t="s">
        <v>4664</v>
      </c>
      <c r="L214" s="13" t="s">
        <v>4687</v>
      </c>
      <c r="M214" s="13" t="s">
        <v>4844</v>
      </c>
      <c r="N214" s="12" t="s">
        <v>4848</v>
      </c>
      <c r="O214" s="17" t="str">
        <f>IF(LEN(COUNTIFS($J$1:J214,$J214,$K$1:K214,$K214,$L$1:L214,$L214,$M$1:M214,M214,$N$1:N214,N214))=1,"00"&amp;COUNTIFS($J$1:J214,$J214,$K$1:K214,$K214,$L$1:L214,$L214,$M$1:M214,M214,$N$1:N214,N214),IF(LEN(COUNTIFS($J$1:J214,$J214,$K$1:K214,$K214,$L$1:L214,$L214,$M$1:M214,M214,$N$1:N214,N214))=2,"0"&amp;COUNTIFS($J$1:J214,$J214,$K$1:K214,$K214,$L$1:L214,$L214,$M$1:M214,M214,$N$1:N214,N214),COUNTIFS($J$1:J214,$J214,$K$1:K214,$K214,$L$1:L214,$L214,$M$1:M214,M214,$N$1:N214,N214)))</f>
        <v>010</v>
      </c>
      <c r="P21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MS-CS-009-29-04010-INV</v>
      </c>
      <c r="Q214" s="59" t="s">
        <v>7337</v>
      </c>
      <c r="R214" s="34" t="s">
        <v>6034</v>
      </c>
      <c r="S214" s="34" t="s">
        <v>900</v>
      </c>
      <c r="T214" s="34">
        <f>+IFERROR(_xlfn.XLOOKUP(Table43[[#This Row],[Column1]],#REF!,#REF!),0)</f>
        <v>0</v>
      </c>
      <c r="U214" s="50">
        <f>IFERROR(_xlfn.XLOOKUP(Table43[[#This Row],[Column1]],#REF!,#REF!),0)</f>
        <v>0</v>
      </c>
      <c r="V214" s="39"/>
    </row>
    <row r="215" spans="1:22" x14ac:dyDescent="0.35">
      <c r="A215" s="3" t="s">
        <v>897</v>
      </c>
      <c r="B215" s="2" t="s">
        <v>902</v>
      </c>
      <c r="C215" s="2" t="s">
        <v>9</v>
      </c>
      <c r="D215" s="2">
        <v>385.61500000000001</v>
      </c>
      <c r="E215" s="2" t="s">
        <v>10</v>
      </c>
      <c r="F215" s="2">
        <v>1</v>
      </c>
      <c r="G215" s="2">
        <v>2</v>
      </c>
      <c r="H215" s="2">
        <v>2</v>
      </c>
      <c r="I215" s="22">
        <f>Table43[[#This Row],[Item Cost]]*Table43[[#This Row],[In Stock]]</f>
        <v>771.23</v>
      </c>
      <c r="J215" s="12" t="s">
        <v>4941</v>
      </c>
      <c r="K215" s="13" t="s">
        <v>4664</v>
      </c>
      <c r="L215" s="13" t="s">
        <v>4687</v>
      </c>
      <c r="M215" s="13" t="s">
        <v>4844</v>
      </c>
      <c r="N215" s="12" t="s">
        <v>4848</v>
      </c>
      <c r="O215" s="17" t="str">
        <f>IF(LEN(COUNTIFS($J$1:J215,$J215,$K$1:K215,$K215,$L$1:L215,$L215,$M$1:M215,M215,$N$1:N215,N215))=1,"00"&amp;COUNTIFS($J$1:J215,$J215,$K$1:K215,$K215,$L$1:L215,$L215,$M$1:M215,M215,$N$1:N215,N215),IF(LEN(COUNTIFS($J$1:J215,$J215,$K$1:K215,$K215,$L$1:L215,$L215,$M$1:M215,M215,$N$1:N215,N215))=2,"0"&amp;COUNTIFS($J$1:J215,$J215,$K$1:K215,$K215,$L$1:L215,$L215,$M$1:M215,M215,$N$1:N215,N215),COUNTIFS($J$1:J215,$J215,$K$1:K215,$K215,$L$1:L215,$L215,$M$1:M215,M215,$N$1:N215,N215)))</f>
        <v>011</v>
      </c>
      <c r="P21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MS-CS-009-29-04011-INV</v>
      </c>
      <c r="Q215" s="59" t="s">
        <v>7337</v>
      </c>
      <c r="R215" s="34" t="s">
        <v>6035</v>
      </c>
      <c r="S215" s="34" t="s">
        <v>902</v>
      </c>
      <c r="T215" s="34">
        <f>+IFERROR(_xlfn.XLOOKUP(Table43[[#This Row],[Column1]],#REF!,#REF!),0)</f>
        <v>0</v>
      </c>
      <c r="U215" s="50">
        <f>IFERROR(_xlfn.XLOOKUP(Table43[[#This Row],[Column1]],#REF!,#REF!),0)</f>
        <v>0</v>
      </c>
      <c r="V215" s="39"/>
    </row>
    <row r="216" spans="1:22" x14ac:dyDescent="0.35">
      <c r="A216" s="2" t="s">
        <v>903</v>
      </c>
      <c r="B216" s="2" t="s">
        <v>904</v>
      </c>
      <c r="C216" s="2" t="s">
        <v>15</v>
      </c>
      <c r="D216" s="2">
        <v>441</v>
      </c>
      <c r="E216" s="2" t="s">
        <v>10</v>
      </c>
      <c r="F216" s="3">
        <v>0</v>
      </c>
      <c r="G216" s="3">
        <v>0</v>
      </c>
      <c r="H216" s="2">
        <v>1</v>
      </c>
      <c r="I216" s="22">
        <f>Table43[[#This Row],[Item Cost]]*Table43[[#This Row],[In Stock]]</f>
        <v>441</v>
      </c>
      <c r="J216" s="12" t="s">
        <v>4941</v>
      </c>
      <c r="K216" s="13" t="s">
        <v>4666</v>
      </c>
      <c r="L216" s="13" t="s">
        <v>4689</v>
      </c>
      <c r="M216" s="13" t="s">
        <v>4672</v>
      </c>
      <c r="N216" s="12" t="s">
        <v>4672</v>
      </c>
      <c r="O216" s="17" t="str">
        <f>IF(LEN(COUNTIFS($J$1:J216,$J216,$K$1:K216,$K216,$L$1:L216,$L216,$M$1:M216,M216,$N$1:N216,N216))=1,"00"&amp;COUNTIFS($J$1:J216,$J216,$K$1:K216,$K216,$L$1:L216,$L216,$M$1:M216,M216,$N$1:N216,N216),IF(LEN(COUNTIFS($J$1:J216,$J216,$K$1:K216,$K216,$L$1:L216,$L216,$M$1:M216,M216,$N$1:N216,N216))=2,"0"&amp;COUNTIFS($J$1:J216,$J216,$K$1:K216,$K216,$L$1:L216,$L216,$M$1:M216,M216,$N$1:N216,N216),COUNTIFS($J$1:J216,$J216,$K$1:K216,$K216,$L$1:L216,$L216,$M$1:M216,M216,$N$1:N216,N216)))</f>
        <v>001</v>
      </c>
      <c r="P21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MS-NS-010-00-00001-INV</v>
      </c>
      <c r="Q216" s="34"/>
      <c r="R216" s="34" t="s">
        <v>6036</v>
      </c>
      <c r="S216" s="34" t="s">
        <v>904</v>
      </c>
      <c r="T216" s="34">
        <f>+IFERROR(_xlfn.XLOOKUP(Table43[[#This Row],[Column1]],#REF!,#REF!),0)</f>
        <v>0</v>
      </c>
      <c r="U216" s="50">
        <f>IFERROR(_xlfn.XLOOKUP(Table43[[#This Row],[Column1]],#REF!,#REF!),0)</f>
        <v>0</v>
      </c>
      <c r="V216" s="39"/>
    </row>
    <row r="217" spans="1:22" x14ac:dyDescent="0.35">
      <c r="A217" s="3" t="s">
        <v>905</v>
      </c>
      <c r="B217" s="3" t="s">
        <v>906</v>
      </c>
      <c r="C217" s="3" t="s">
        <v>15</v>
      </c>
      <c r="D217" s="3">
        <v>0</v>
      </c>
      <c r="E217" s="3" t="s">
        <v>10</v>
      </c>
      <c r="F217" s="3">
        <v>0</v>
      </c>
      <c r="G217" s="3">
        <v>0</v>
      </c>
      <c r="H217" s="3">
        <v>0</v>
      </c>
      <c r="I217" s="21">
        <f>Table43[[#This Row],[Item Cost]]*Table43[[#This Row],[In Stock]]</f>
        <v>0</v>
      </c>
      <c r="J217" s="12" t="s">
        <v>4941</v>
      </c>
      <c r="K217" s="13" t="s">
        <v>4666</v>
      </c>
      <c r="L217" s="13" t="s">
        <v>4689</v>
      </c>
      <c r="M217" s="13" t="s">
        <v>4672</v>
      </c>
      <c r="N217" s="12" t="s">
        <v>4672</v>
      </c>
      <c r="O217" s="17" t="str">
        <f>IF(LEN(COUNTIFS($J$1:J217,$J217,$K$1:K217,$K217,$L$1:L217,$L217,$M$1:M217,M217,$N$1:N217,N217))=1,"00"&amp;COUNTIFS($J$1:J217,$J217,$K$1:K217,$K217,$L$1:L217,$L217,$M$1:M217,M217,$N$1:N217,N217),IF(LEN(COUNTIFS($J$1:J217,$J217,$K$1:K217,$K217,$L$1:L217,$L217,$M$1:M217,M217,$N$1:N217,N217))=2,"0"&amp;COUNTIFS($J$1:J217,$J217,$K$1:K217,$K217,$L$1:L217,$L217,$M$1:M217,M217,$N$1:N217,N217),COUNTIFS($J$1:J217,$J217,$K$1:K217,$K217,$L$1:L217,$L217,$M$1:M217,M217,$N$1:N217,N217)))</f>
        <v>002</v>
      </c>
      <c r="P21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MS-NS-010-00-00002-INV</v>
      </c>
      <c r="Q217" s="34"/>
      <c r="R217" s="34" t="s">
        <v>6037</v>
      </c>
      <c r="S217" s="34" t="s">
        <v>906</v>
      </c>
      <c r="T217" s="34">
        <f>+IFERROR(_xlfn.XLOOKUP(Table43[[#This Row],[Column1]],#REF!,#REF!),0)</f>
        <v>0</v>
      </c>
      <c r="U217" s="50">
        <f>IFERROR(_xlfn.XLOOKUP(Table43[[#This Row],[Column1]],#REF!,#REF!),0)</f>
        <v>0</v>
      </c>
      <c r="V217" s="39"/>
    </row>
    <row r="218" spans="1:22" x14ac:dyDescent="0.35">
      <c r="A218" s="2" t="s">
        <v>907</v>
      </c>
      <c r="B218" s="2" t="s">
        <v>912</v>
      </c>
      <c r="C218" s="2" t="s">
        <v>15</v>
      </c>
      <c r="D218" s="2">
        <v>13.97</v>
      </c>
      <c r="E218" s="2" t="s">
        <v>10</v>
      </c>
      <c r="F218" s="3">
        <v>0</v>
      </c>
      <c r="G218" s="3">
        <v>0</v>
      </c>
      <c r="H218" s="2">
        <v>1</v>
      </c>
      <c r="I218" s="22">
        <f>Table43[[#This Row],[Item Cost]]*Table43[[#This Row],[In Stock]]</f>
        <v>13.97</v>
      </c>
      <c r="J218" s="12" t="s">
        <v>4941</v>
      </c>
      <c r="K218" s="13" t="s">
        <v>4666</v>
      </c>
      <c r="L218" s="13" t="s">
        <v>4689</v>
      </c>
      <c r="M218" s="13" t="s">
        <v>4672</v>
      </c>
      <c r="N218" s="12" t="s">
        <v>4672</v>
      </c>
      <c r="O218" s="17" t="str">
        <f>IF(LEN(COUNTIFS($J$1:J218,$J218,$K$1:K218,$K218,$L$1:L218,$L218,$M$1:M218,M218,$N$1:N218,N218))=1,"00"&amp;COUNTIFS($J$1:J218,$J218,$K$1:K218,$K218,$L$1:L218,$L218,$M$1:M218,M218,$N$1:N218,N218),IF(LEN(COUNTIFS($J$1:J218,$J218,$K$1:K218,$K218,$L$1:L218,$L218,$M$1:M218,M218,$N$1:N218,N218))=2,"0"&amp;COUNTIFS($J$1:J218,$J218,$K$1:K218,$K218,$L$1:L218,$L218,$M$1:M218,M218,$N$1:N218,N218),COUNTIFS($J$1:J218,$J218,$K$1:K218,$K218,$L$1:L218,$L218,$M$1:M218,M218,$N$1:N218,N218)))</f>
        <v>003</v>
      </c>
      <c r="P21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MS-NS-010-00-00003-INV</v>
      </c>
      <c r="Q218" s="34"/>
      <c r="R218" s="34" t="s">
        <v>6038</v>
      </c>
      <c r="S218" s="34" t="s">
        <v>912</v>
      </c>
      <c r="T218" s="34">
        <f>+IFERROR(_xlfn.XLOOKUP(Table43[[#This Row],[Column1]],#REF!,#REF!),0)</f>
        <v>0</v>
      </c>
      <c r="U218" s="50">
        <f>IFERROR(_xlfn.XLOOKUP(Table43[[#This Row],[Column1]],#REF!,#REF!),0)</f>
        <v>0</v>
      </c>
      <c r="V218" s="39"/>
    </row>
    <row r="219" spans="1:22" x14ac:dyDescent="0.35">
      <c r="A219" s="3" t="s">
        <v>909</v>
      </c>
      <c r="B219" s="3" t="s">
        <v>914</v>
      </c>
      <c r="C219" s="3" t="s">
        <v>15</v>
      </c>
      <c r="D219" s="3">
        <v>74</v>
      </c>
      <c r="E219" s="3" t="s">
        <v>10</v>
      </c>
      <c r="F219" s="3">
        <v>0</v>
      </c>
      <c r="G219" s="3">
        <v>0</v>
      </c>
      <c r="H219" s="3">
        <v>1</v>
      </c>
      <c r="I219" s="21">
        <f>Table43[[#This Row],[Item Cost]]*Table43[[#This Row],[In Stock]]</f>
        <v>74</v>
      </c>
      <c r="J219" s="12" t="s">
        <v>4941</v>
      </c>
      <c r="K219" s="13" t="s">
        <v>4666</v>
      </c>
      <c r="L219" s="13" t="s">
        <v>4689</v>
      </c>
      <c r="M219" s="13" t="s">
        <v>4672</v>
      </c>
      <c r="N219" s="12" t="s">
        <v>4672</v>
      </c>
      <c r="O219" s="17" t="str">
        <f>IF(LEN(COUNTIFS($J$1:J219,$J219,$K$1:K219,$K219,$L$1:L219,$L219,$M$1:M219,M219,$N$1:N219,N219))=1,"00"&amp;COUNTIFS($J$1:J219,$J219,$K$1:K219,$K219,$L$1:L219,$L219,$M$1:M219,M219,$N$1:N219,N219),IF(LEN(COUNTIFS($J$1:J219,$J219,$K$1:K219,$K219,$L$1:L219,$L219,$M$1:M219,M219,$N$1:N219,N219))=2,"0"&amp;COUNTIFS($J$1:J219,$J219,$K$1:K219,$K219,$L$1:L219,$L219,$M$1:M219,M219,$N$1:N219,N219),COUNTIFS($J$1:J219,$J219,$K$1:K219,$K219,$L$1:L219,$L219,$M$1:M219,M219,$N$1:N219,N219)))</f>
        <v>004</v>
      </c>
      <c r="P21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MS-NS-010-00-00004-INV</v>
      </c>
      <c r="Q219" s="34"/>
      <c r="R219" s="34" t="s">
        <v>6039</v>
      </c>
      <c r="S219" s="34" t="s">
        <v>914</v>
      </c>
      <c r="T219" s="34">
        <f>+IFERROR(_xlfn.XLOOKUP(Table43[[#This Row],[Column1]],#REF!,#REF!),0)</f>
        <v>0</v>
      </c>
      <c r="U219" s="50">
        <f>IFERROR(_xlfn.XLOOKUP(Table43[[#This Row],[Column1]],#REF!,#REF!),0)</f>
        <v>0</v>
      </c>
      <c r="V219" s="39"/>
    </row>
    <row r="220" spans="1:22" x14ac:dyDescent="0.35">
      <c r="A220" s="2" t="s">
        <v>911</v>
      </c>
      <c r="B220" s="2" t="s">
        <v>4869</v>
      </c>
      <c r="C220" s="2" t="s">
        <v>15</v>
      </c>
      <c r="D220" s="2">
        <v>48</v>
      </c>
      <c r="E220" s="2" t="s">
        <v>10</v>
      </c>
      <c r="F220" s="3">
        <v>0</v>
      </c>
      <c r="G220" s="3">
        <v>0</v>
      </c>
      <c r="H220" s="2">
        <v>1</v>
      </c>
      <c r="I220" s="22">
        <f>Table43[[#This Row],[Item Cost]]*Table43[[#This Row],[In Stock]]</f>
        <v>48</v>
      </c>
      <c r="J220" s="12" t="s">
        <v>4941</v>
      </c>
      <c r="K220" s="13" t="s">
        <v>4666</v>
      </c>
      <c r="L220" s="13" t="s">
        <v>4689</v>
      </c>
      <c r="M220" s="13" t="s">
        <v>4672</v>
      </c>
      <c r="N220" s="12" t="s">
        <v>4672</v>
      </c>
      <c r="O220" s="17" t="str">
        <f>IF(LEN(COUNTIFS($J$1:J220,$J220,$K$1:K220,$K220,$L$1:L220,$L220,$M$1:M220,M220,$N$1:N220,N220))=1,"00"&amp;COUNTIFS($J$1:J220,$J220,$K$1:K220,$K220,$L$1:L220,$L220,$M$1:M220,M220,$N$1:N220,N220),IF(LEN(COUNTIFS($J$1:J220,$J220,$K$1:K220,$K220,$L$1:L220,$L220,$M$1:M220,M220,$N$1:N220,N220))=2,"0"&amp;COUNTIFS($J$1:J220,$J220,$K$1:K220,$K220,$L$1:L220,$L220,$M$1:M220,M220,$N$1:N220,N220),COUNTIFS($J$1:J220,$J220,$K$1:K220,$K220,$L$1:L220,$L220,$M$1:M220,M220,$N$1:N220,N220)))</f>
        <v>005</v>
      </c>
      <c r="P22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MS-NS-010-00-00005-INV</v>
      </c>
      <c r="Q220" s="34"/>
      <c r="R220" s="49" t="s">
        <v>5706</v>
      </c>
      <c r="S220" s="34" t="s">
        <v>916</v>
      </c>
      <c r="T220" s="34">
        <f>+IFERROR(_xlfn.XLOOKUP(Table43[[#This Row],[Column1]],#REF!,#REF!),0)</f>
        <v>0</v>
      </c>
      <c r="U220" s="50">
        <f>IFERROR(_xlfn.XLOOKUP(Table43[[#This Row],[Column1]],#REF!,#REF!),0)</f>
        <v>0</v>
      </c>
      <c r="V220" s="39"/>
    </row>
    <row r="221" spans="1:22" x14ac:dyDescent="0.35">
      <c r="A221" s="3" t="s">
        <v>913</v>
      </c>
      <c r="B221" s="3" t="s">
        <v>4870</v>
      </c>
      <c r="C221" s="3" t="s">
        <v>15</v>
      </c>
      <c r="D221" s="3">
        <v>53.69</v>
      </c>
      <c r="E221" s="3" t="s">
        <v>10</v>
      </c>
      <c r="F221" s="3">
        <v>0</v>
      </c>
      <c r="G221" s="3">
        <v>0</v>
      </c>
      <c r="H221" s="3">
        <v>1</v>
      </c>
      <c r="I221" s="21">
        <f>Table43[[#This Row],[Item Cost]]*Table43[[#This Row],[In Stock]]</f>
        <v>53.69</v>
      </c>
      <c r="J221" s="12" t="s">
        <v>4941</v>
      </c>
      <c r="K221" s="13" t="s">
        <v>4666</v>
      </c>
      <c r="L221" s="13" t="s">
        <v>4689</v>
      </c>
      <c r="M221" s="13" t="s">
        <v>4672</v>
      </c>
      <c r="N221" s="12" t="s">
        <v>4672</v>
      </c>
      <c r="O221" s="17" t="str">
        <f>IF(LEN(COUNTIFS($J$1:J221,$J221,$K$1:K221,$K221,$L$1:L221,$L221,$M$1:M221,M221,$N$1:N221,N221))=1,"00"&amp;COUNTIFS($J$1:J221,$J221,$K$1:K221,$K221,$L$1:L221,$L221,$M$1:M221,M221,$N$1:N221,N221),IF(LEN(COUNTIFS($J$1:J221,$J221,$K$1:K221,$K221,$L$1:L221,$L221,$M$1:M221,M221,$N$1:N221,N221))=2,"0"&amp;COUNTIFS($J$1:J221,$J221,$K$1:K221,$K221,$L$1:L221,$L221,$M$1:M221,M221,$N$1:N221,N221),COUNTIFS($J$1:J221,$J221,$K$1:K221,$K221,$L$1:L221,$L221,$M$1:M221,M221,$N$1:N221,N221)))</f>
        <v>006</v>
      </c>
      <c r="P22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MS-NS-010-00-00006-INV</v>
      </c>
      <c r="Q221" s="34"/>
      <c r="R221" s="34"/>
      <c r="S221" s="34">
        <v>0</v>
      </c>
      <c r="T221" s="34">
        <f>+IFERROR(_xlfn.XLOOKUP(Table43[[#This Row],[Column1]],#REF!,#REF!),0)</f>
        <v>0</v>
      </c>
      <c r="U221" s="50">
        <f>IFERROR(_xlfn.XLOOKUP(Table43[[#This Row],[Column1]],#REF!,#REF!),0)</f>
        <v>0</v>
      </c>
      <c r="V221" s="39"/>
    </row>
    <row r="222" spans="1:22" x14ac:dyDescent="0.35">
      <c r="A222" s="2" t="s">
        <v>915</v>
      </c>
      <c r="B222" s="2" t="s">
        <v>920</v>
      </c>
      <c r="C222" s="2" t="s">
        <v>15</v>
      </c>
      <c r="D222" s="2">
        <v>177</v>
      </c>
      <c r="E222" s="2" t="s">
        <v>10</v>
      </c>
      <c r="F222" s="3">
        <v>0</v>
      </c>
      <c r="G222" s="3">
        <v>0</v>
      </c>
      <c r="H222" s="2">
        <v>0</v>
      </c>
      <c r="I222" s="22">
        <f>Table43[[#This Row],[Item Cost]]*Table43[[#This Row],[In Stock]]</f>
        <v>0</v>
      </c>
      <c r="J222" s="12" t="s">
        <v>4941</v>
      </c>
      <c r="K222" s="13" t="s">
        <v>4666</v>
      </c>
      <c r="L222" s="13" t="s">
        <v>4689</v>
      </c>
      <c r="M222" s="13" t="s">
        <v>4672</v>
      </c>
      <c r="N222" s="12" t="s">
        <v>4672</v>
      </c>
      <c r="O222" s="17" t="str">
        <f>IF(LEN(COUNTIFS($J$1:J222,$J222,$K$1:K222,$K222,$L$1:L222,$L222,$M$1:M222,M222,$N$1:N222,N222))=1,"00"&amp;COUNTIFS($J$1:J222,$J222,$K$1:K222,$K222,$L$1:L222,$L222,$M$1:M222,M222,$N$1:N222,N222),IF(LEN(COUNTIFS($J$1:J222,$J222,$K$1:K222,$K222,$L$1:L222,$L222,$M$1:M222,M222,$N$1:N222,N222))=2,"0"&amp;COUNTIFS($J$1:J222,$J222,$K$1:K222,$K222,$L$1:L222,$L222,$M$1:M222,M222,$N$1:N222,N222),COUNTIFS($J$1:J222,$J222,$K$1:K222,$K222,$L$1:L222,$L222,$M$1:M222,M222,$N$1:N222,N222)))</f>
        <v>007</v>
      </c>
      <c r="P22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MS-NS-010-00-00007-INV</v>
      </c>
      <c r="Q222" s="34"/>
      <c r="R222" s="34" t="s">
        <v>6040</v>
      </c>
      <c r="S222" s="34" t="s">
        <v>920</v>
      </c>
      <c r="T222" s="34">
        <f>+IFERROR(_xlfn.XLOOKUP(Table43[[#This Row],[Column1]],#REF!,#REF!),0)</f>
        <v>0</v>
      </c>
      <c r="U222" s="50">
        <f>IFERROR(_xlfn.XLOOKUP(Table43[[#This Row],[Column1]],#REF!,#REF!),0)</f>
        <v>0</v>
      </c>
      <c r="V222" s="39"/>
    </row>
    <row r="223" spans="1:22" x14ac:dyDescent="0.35">
      <c r="A223" s="3" t="s">
        <v>917</v>
      </c>
      <c r="B223" s="3" t="s">
        <v>922</v>
      </c>
      <c r="C223" s="3" t="s">
        <v>15</v>
      </c>
      <c r="D223" s="3">
        <v>275</v>
      </c>
      <c r="E223" s="3" t="s">
        <v>10</v>
      </c>
      <c r="F223" s="3">
        <v>0</v>
      </c>
      <c r="G223" s="3">
        <v>0</v>
      </c>
      <c r="H223" s="3">
        <v>0</v>
      </c>
      <c r="I223" s="21">
        <f>Table43[[#This Row],[Item Cost]]*Table43[[#This Row],[In Stock]]</f>
        <v>0</v>
      </c>
      <c r="J223" s="12" t="s">
        <v>4941</v>
      </c>
      <c r="K223" s="13" t="s">
        <v>4666</v>
      </c>
      <c r="L223" s="13" t="s">
        <v>4689</v>
      </c>
      <c r="M223" s="13" t="s">
        <v>4672</v>
      </c>
      <c r="N223" s="12" t="s">
        <v>4672</v>
      </c>
      <c r="O223" s="17" t="str">
        <f>IF(LEN(COUNTIFS($J$1:J223,$J223,$K$1:K223,$K223,$L$1:L223,$L223,$M$1:M223,M223,$N$1:N223,N223))=1,"00"&amp;COUNTIFS($J$1:J223,$J223,$K$1:K223,$K223,$L$1:L223,$L223,$M$1:M223,M223,$N$1:N223,N223),IF(LEN(COUNTIFS($J$1:J223,$J223,$K$1:K223,$K223,$L$1:L223,$L223,$M$1:M223,M223,$N$1:N223,N223))=2,"0"&amp;COUNTIFS($J$1:J223,$J223,$K$1:K223,$K223,$L$1:L223,$L223,$M$1:M223,M223,$N$1:N223,N223),COUNTIFS($J$1:J223,$J223,$K$1:K223,$K223,$L$1:L223,$L223,$M$1:M223,M223,$N$1:N223,N223)))</f>
        <v>008</v>
      </c>
      <c r="P22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MS-NS-010-00-00008-INV</v>
      </c>
      <c r="Q223" s="34"/>
      <c r="R223" s="34" t="s">
        <v>6041</v>
      </c>
      <c r="S223" s="34" t="s">
        <v>922</v>
      </c>
      <c r="T223" s="34">
        <f>+IFERROR(_xlfn.XLOOKUP(Table43[[#This Row],[Column1]],#REF!,#REF!),0)</f>
        <v>0</v>
      </c>
      <c r="U223" s="50">
        <f>IFERROR(_xlfn.XLOOKUP(Table43[[#This Row],[Column1]],#REF!,#REF!),0)</f>
        <v>0</v>
      </c>
      <c r="V223" s="39"/>
    </row>
    <row r="224" spans="1:22" x14ac:dyDescent="0.35">
      <c r="A224" s="2" t="s">
        <v>919</v>
      </c>
      <c r="B224" s="2" t="s">
        <v>924</v>
      </c>
      <c r="C224" s="2" t="s">
        <v>15</v>
      </c>
      <c r="D224" s="4">
        <v>2400</v>
      </c>
      <c r="E224" s="2" t="s">
        <v>10</v>
      </c>
      <c r="F224" s="3">
        <v>0</v>
      </c>
      <c r="G224" s="3">
        <v>0</v>
      </c>
      <c r="H224" s="2">
        <v>1</v>
      </c>
      <c r="I224" s="22">
        <f>Table43[[#This Row],[Item Cost]]*Table43[[#This Row],[In Stock]]</f>
        <v>2400</v>
      </c>
      <c r="J224" s="12" t="s">
        <v>4941</v>
      </c>
      <c r="K224" s="13" t="s">
        <v>4666</v>
      </c>
      <c r="L224" s="13" t="s">
        <v>4689</v>
      </c>
      <c r="M224" s="13" t="s">
        <v>4672</v>
      </c>
      <c r="N224" s="12" t="s">
        <v>4672</v>
      </c>
      <c r="O224" s="17" t="str">
        <f>IF(LEN(COUNTIFS($J$1:J224,$J224,$K$1:K224,$K224,$L$1:L224,$L224,$M$1:M224,M224,$N$1:N224,N224))=1,"00"&amp;COUNTIFS($J$1:J224,$J224,$K$1:K224,$K224,$L$1:L224,$L224,$M$1:M224,M224,$N$1:N224,N224),IF(LEN(COUNTIFS($J$1:J224,$J224,$K$1:K224,$K224,$L$1:L224,$L224,$M$1:M224,M224,$N$1:N224,N224))=2,"0"&amp;COUNTIFS($J$1:J224,$J224,$K$1:K224,$K224,$L$1:L224,$L224,$M$1:M224,M224,$N$1:N224,N224),COUNTIFS($J$1:J224,$J224,$K$1:K224,$K224,$L$1:L224,$L224,$M$1:M224,M224,$N$1:N224,N224)))</f>
        <v>009</v>
      </c>
      <c r="P22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MS-NS-010-00-00009-INV</v>
      </c>
      <c r="Q224" s="34"/>
      <c r="R224" s="34" t="s">
        <v>6042</v>
      </c>
      <c r="S224" s="34" t="s">
        <v>924</v>
      </c>
      <c r="T224" s="34">
        <f>+IFERROR(_xlfn.XLOOKUP(Table43[[#This Row],[Column1]],#REF!,#REF!),0)</f>
        <v>0</v>
      </c>
      <c r="U224" s="50">
        <f>IFERROR(_xlfn.XLOOKUP(Table43[[#This Row],[Column1]],#REF!,#REF!),0)</f>
        <v>0</v>
      </c>
      <c r="V224" s="39"/>
    </row>
    <row r="225" spans="1:22" x14ac:dyDescent="0.35">
      <c r="A225" s="3" t="s">
        <v>921</v>
      </c>
      <c r="B225" s="3" t="s">
        <v>926</v>
      </c>
      <c r="C225" s="3" t="s">
        <v>15</v>
      </c>
      <c r="D225" s="5">
        <v>3570</v>
      </c>
      <c r="E225" s="3" t="s">
        <v>10</v>
      </c>
      <c r="F225" s="3">
        <v>0</v>
      </c>
      <c r="G225" s="3">
        <v>0</v>
      </c>
      <c r="H225" s="3">
        <v>1</v>
      </c>
      <c r="I225" s="21">
        <f>Table43[[#This Row],[Item Cost]]*Table43[[#This Row],[In Stock]]</f>
        <v>3570</v>
      </c>
      <c r="J225" s="12" t="s">
        <v>4941</v>
      </c>
      <c r="K225" s="13" t="s">
        <v>4666</v>
      </c>
      <c r="L225" s="13" t="s">
        <v>4689</v>
      </c>
      <c r="M225" s="13" t="s">
        <v>4672</v>
      </c>
      <c r="N225" s="12" t="s">
        <v>4672</v>
      </c>
      <c r="O225" s="17" t="str">
        <f>IF(LEN(COUNTIFS($J$1:J225,$J225,$K$1:K225,$K225,$L$1:L225,$L225,$M$1:M225,M225,$N$1:N225,N225))=1,"00"&amp;COUNTIFS($J$1:J225,$J225,$K$1:K225,$K225,$L$1:L225,$L225,$M$1:M225,M225,$N$1:N225,N225),IF(LEN(COUNTIFS($J$1:J225,$J225,$K$1:K225,$K225,$L$1:L225,$L225,$M$1:M225,M225,$N$1:N225,N225))=2,"0"&amp;COUNTIFS($J$1:J225,$J225,$K$1:K225,$K225,$L$1:L225,$L225,$M$1:M225,M225,$N$1:N225,N225),COUNTIFS($J$1:J225,$J225,$K$1:K225,$K225,$L$1:L225,$L225,$M$1:M225,M225,$N$1:N225,N225)))</f>
        <v>010</v>
      </c>
      <c r="P22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MS-NS-010-00-00010-INV</v>
      </c>
      <c r="Q225" s="34"/>
      <c r="R225" s="34" t="s">
        <v>6043</v>
      </c>
      <c r="S225" s="34" t="s">
        <v>926</v>
      </c>
      <c r="T225" s="34">
        <f>+IFERROR(_xlfn.XLOOKUP(Table43[[#This Row],[Column1]],#REF!,#REF!),0)</f>
        <v>0</v>
      </c>
      <c r="U225" s="50">
        <f>IFERROR(_xlfn.XLOOKUP(Table43[[#This Row],[Column1]],#REF!,#REF!),0)</f>
        <v>0</v>
      </c>
      <c r="V225" s="39"/>
    </row>
    <row r="226" spans="1:22" x14ac:dyDescent="0.35">
      <c r="A226" s="2" t="s">
        <v>923</v>
      </c>
      <c r="B226" s="2" t="s">
        <v>928</v>
      </c>
      <c r="C226" s="2" t="s">
        <v>15</v>
      </c>
      <c r="D226" s="4">
        <v>2693</v>
      </c>
      <c r="E226" s="2" t="s">
        <v>10</v>
      </c>
      <c r="F226" s="3">
        <v>0</v>
      </c>
      <c r="G226" s="3">
        <v>0</v>
      </c>
      <c r="H226" s="2">
        <v>1</v>
      </c>
      <c r="I226" s="22">
        <f>Table43[[#This Row],[Item Cost]]*Table43[[#This Row],[In Stock]]</f>
        <v>2693</v>
      </c>
      <c r="J226" s="12" t="s">
        <v>4941</v>
      </c>
      <c r="K226" s="13" t="s">
        <v>4666</v>
      </c>
      <c r="L226" s="13" t="s">
        <v>4689</v>
      </c>
      <c r="M226" s="13" t="s">
        <v>4672</v>
      </c>
      <c r="N226" s="12" t="s">
        <v>4672</v>
      </c>
      <c r="O226" s="17" t="str">
        <f>IF(LEN(COUNTIFS($J$1:J226,$J226,$K$1:K226,$K226,$L$1:L226,$L226,$M$1:M226,M226,$N$1:N226,N226))=1,"00"&amp;COUNTIFS($J$1:J226,$J226,$K$1:K226,$K226,$L$1:L226,$L226,$M$1:M226,M226,$N$1:N226,N226),IF(LEN(COUNTIFS($J$1:J226,$J226,$K$1:K226,$K226,$L$1:L226,$L226,$M$1:M226,M226,$N$1:N226,N226))=2,"0"&amp;COUNTIFS($J$1:J226,$J226,$K$1:K226,$K226,$L$1:L226,$L226,$M$1:M226,M226,$N$1:N226,N226),COUNTIFS($J$1:J226,$J226,$K$1:K226,$K226,$L$1:L226,$L226,$M$1:M226,M226,$N$1:N226,N226)))</f>
        <v>011</v>
      </c>
      <c r="P22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MS-NS-010-00-00011-INV</v>
      </c>
      <c r="Q226" s="34"/>
      <c r="R226" s="34" t="s">
        <v>6044</v>
      </c>
      <c r="S226" s="34" t="s">
        <v>928</v>
      </c>
      <c r="T226" s="34">
        <f>+IFERROR(_xlfn.XLOOKUP(Table43[[#This Row],[Column1]],#REF!,#REF!),0)</f>
        <v>0</v>
      </c>
      <c r="U226" s="50">
        <f>IFERROR(_xlfn.XLOOKUP(Table43[[#This Row],[Column1]],#REF!,#REF!),0)</f>
        <v>0</v>
      </c>
      <c r="V226" s="39"/>
    </row>
    <row r="227" spans="1:22" x14ac:dyDescent="0.35">
      <c r="A227" s="3" t="s">
        <v>925</v>
      </c>
      <c r="B227" s="3" t="s">
        <v>930</v>
      </c>
      <c r="C227" s="3" t="s">
        <v>15</v>
      </c>
      <c r="D227" s="5">
        <v>1500</v>
      </c>
      <c r="E227" s="3" t="s">
        <v>10</v>
      </c>
      <c r="F227" s="3">
        <v>0</v>
      </c>
      <c r="G227" s="3">
        <v>0</v>
      </c>
      <c r="H227" s="3">
        <v>1</v>
      </c>
      <c r="I227" s="21">
        <f>Table43[[#This Row],[Item Cost]]*Table43[[#This Row],[In Stock]]</f>
        <v>1500</v>
      </c>
      <c r="J227" s="12" t="s">
        <v>4941</v>
      </c>
      <c r="K227" s="13" t="s">
        <v>4666</v>
      </c>
      <c r="L227" s="13" t="s">
        <v>4689</v>
      </c>
      <c r="M227" s="13" t="s">
        <v>4672</v>
      </c>
      <c r="N227" s="12" t="s">
        <v>4672</v>
      </c>
      <c r="O227" s="17" t="str">
        <f>IF(LEN(COUNTIFS($J$1:J227,$J227,$K$1:K227,$K227,$L$1:L227,$L227,$M$1:M227,M227,$N$1:N227,N227))=1,"00"&amp;COUNTIFS($J$1:J227,$J227,$K$1:K227,$K227,$L$1:L227,$L227,$M$1:M227,M227,$N$1:N227,N227),IF(LEN(COUNTIFS($J$1:J227,$J227,$K$1:K227,$K227,$L$1:L227,$L227,$M$1:M227,M227,$N$1:N227,N227))=2,"0"&amp;COUNTIFS($J$1:J227,$J227,$K$1:K227,$K227,$L$1:L227,$L227,$M$1:M227,M227,$N$1:N227,N227),COUNTIFS($J$1:J227,$J227,$K$1:K227,$K227,$L$1:L227,$L227,$M$1:M227,M227,$N$1:N227,N227)))</f>
        <v>012</v>
      </c>
      <c r="P22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MS-NS-010-00-00012-INV</v>
      </c>
      <c r="Q227" s="34"/>
      <c r="R227" s="34" t="s">
        <v>6045</v>
      </c>
      <c r="S227" s="34" t="s">
        <v>930</v>
      </c>
      <c r="T227" s="34">
        <f>+IFERROR(_xlfn.XLOOKUP(Table43[[#This Row],[Column1]],#REF!,#REF!),0)</f>
        <v>0</v>
      </c>
      <c r="U227" s="50">
        <f>IFERROR(_xlfn.XLOOKUP(Table43[[#This Row],[Column1]],#REF!,#REF!),0)</f>
        <v>0</v>
      </c>
      <c r="V227" s="39"/>
    </row>
    <row r="228" spans="1:22" x14ac:dyDescent="0.35">
      <c r="A228" s="2" t="s">
        <v>927</v>
      </c>
      <c r="B228" s="2" t="s">
        <v>932</v>
      </c>
      <c r="C228" s="2" t="s">
        <v>15</v>
      </c>
      <c r="D228" s="4">
        <v>7500</v>
      </c>
      <c r="E228" s="2" t="s">
        <v>10</v>
      </c>
      <c r="F228" s="3">
        <v>0</v>
      </c>
      <c r="G228" s="3">
        <v>0</v>
      </c>
      <c r="H228" s="2">
        <v>1</v>
      </c>
      <c r="I228" s="22">
        <f>Table43[[#This Row],[Item Cost]]*Table43[[#This Row],[In Stock]]</f>
        <v>7500</v>
      </c>
      <c r="J228" s="12" t="s">
        <v>4941</v>
      </c>
      <c r="K228" s="13" t="s">
        <v>4666</v>
      </c>
      <c r="L228" s="13" t="s">
        <v>4689</v>
      </c>
      <c r="M228" s="13" t="s">
        <v>4672</v>
      </c>
      <c r="N228" s="12" t="s">
        <v>4672</v>
      </c>
      <c r="O228" s="17" t="str">
        <f>IF(LEN(COUNTIFS($J$1:J228,$J228,$K$1:K228,$K228,$L$1:L228,$L228,$M$1:M228,M228,$N$1:N228,N228))=1,"00"&amp;COUNTIFS($J$1:J228,$J228,$K$1:K228,$K228,$L$1:L228,$L228,$M$1:M228,M228,$N$1:N228,N228),IF(LEN(COUNTIFS($J$1:J228,$J228,$K$1:K228,$K228,$L$1:L228,$L228,$M$1:M228,M228,$N$1:N228,N228))=2,"0"&amp;COUNTIFS($J$1:J228,$J228,$K$1:K228,$K228,$L$1:L228,$L228,$M$1:M228,M228,$N$1:N228,N228),COUNTIFS($J$1:J228,$J228,$K$1:K228,$K228,$L$1:L228,$L228,$M$1:M228,M228,$N$1:N228,N228)))</f>
        <v>013</v>
      </c>
      <c r="P22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MS-NS-010-00-00013-INV</v>
      </c>
      <c r="Q228" s="34"/>
      <c r="R228" s="34" t="s">
        <v>6046</v>
      </c>
      <c r="S228" s="34" t="s">
        <v>932</v>
      </c>
      <c r="T228" s="34">
        <f>+IFERROR(_xlfn.XLOOKUP(Table43[[#This Row],[Column1]],#REF!,#REF!),0)</f>
        <v>0</v>
      </c>
      <c r="U228" s="50">
        <f>IFERROR(_xlfn.XLOOKUP(Table43[[#This Row],[Column1]],#REF!,#REF!),0)</f>
        <v>0</v>
      </c>
      <c r="V228" s="39"/>
    </row>
    <row r="229" spans="1:22" x14ac:dyDescent="0.35">
      <c r="A229" s="3" t="s">
        <v>929</v>
      </c>
      <c r="B229" s="3" t="s">
        <v>934</v>
      </c>
      <c r="C229" s="3" t="s">
        <v>15</v>
      </c>
      <c r="D229" s="5">
        <v>5800</v>
      </c>
      <c r="E229" s="3" t="s">
        <v>10</v>
      </c>
      <c r="F229" s="3">
        <v>0</v>
      </c>
      <c r="G229" s="3">
        <v>0</v>
      </c>
      <c r="H229" s="3">
        <v>1</v>
      </c>
      <c r="I229" s="21">
        <f>Table43[[#This Row],[Item Cost]]*Table43[[#This Row],[In Stock]]</f>
        <v>5800</v>
      </c>
      <c r="J229" s="12" t="s">
        <v>4941</v>
      </c>
      <c r="K229" s="13" t="s">
        <v>4666</v>
      </c>
      <c r="L229" s="13" t="s">
        <v>4689</v>
      </c>
      <c r="M229" s="13" t="s">
        <v>4672</v>
      </c>
      <c r="N229" s="12" t="s">
        <v>4672</v>
      </c>
      <c r="O229" s="17" t="str">
        <f>IF(LEN(COUNTIFS($J$1:J229,$J229,$K$1:K229,$K229,$L$1:L229,$L229,$M$1:M229,M229,$N$1:N229,N229))=1,"00"&amp;COUNTIFS($J$1:J229,$J229,$K$1:K229,$K229,$L$1:L229,$L229,$M$1:M229,M229,$N$1:N229,N229),IF(LEN(COUNTIFS($J$1:J229,$J229,$K$1:K229,$K229,$L$1:L229,$L229,$M$1:M229,M229,$N$1:N229,N229))=2,"0"&amp;COUNTIFS($J$1:J229,$J229,$K$1:K229,$K229,$L$1:L229,$L229,$M$1:M229,M229,$N$1:N229,N229),COUNTIFS($J$1:J229,$J229,$K$1:K229,$K229,$L$1:L229,$L229,$M$1:M229,M229,$N$1:N229,N229)))</f>
        <v>014</v>
      </c>
      <c r="P22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MS-NS-010-00-00014-INV</v>
      </c>
      <c r="Q229" s="34"/>
      <c r="R229" s="34" t="s">
        <v>6047</v>
      </c>
      <c r="S229" s="34" t="s">
        <v>934</v>
      </c>
      <c r="T229" s="34">
        <f>+IFERROR(_xlfn.XLOOKUP(Table43[[#This Row],[Column1]],#REF!,#REF!),0)</f>
        <v>0</v>
      </c>
      <c r="U229" s="50">
        <f>IFERROR(_xlfn.XLOOKUP(Table43[[#This Row],[Column1]],#REF!,#REF!),0)</f>
        <v>0</v>
      </c>
      <c r="V229" s="39"/>
    </row>
    <row r="230" spans="1:22" x14ac:dyDescent="0.35">
      <c r="A230" s="2" t="s">
        <v>931</v>
      </c>
      <c r="B230" s="2" t="s">
        <v>936</v>
      </c>
      <c r="C230" s="2" t="s">
        <v>15</v>
      </c>
      <c r="D230" s="4">
        <v>1500</v>
      </c>
      <c r="E230" s="2" t="s">
        <v>10</v>
      </c>
      <c r="F230" s="3">
        <v>0</v>
      </c>
      <c r="G230" s="3">
        <v>0</v>
      </c>
      <c r="H230" s="2">
        <v>1</v>
      </c>
      <c r="I230" s="22">
        <f>Table43[[#This Row],[Item Cost]]*Table43[[#This Row],[In Stock]]</f>
        <v>1500</v>
      </c>
      <c r="J230" s="12" t="s">
        <v>4941</v>
      </c>
      <c r="K230" s="13" t="s">
        <v>4666</v>
      </c>
      <c r="L230" s="13" t="s">
        <v>4689</v>
      </c>
      <c r="M230" s="13" t="s">
        <v>4672</v>
      </c>
      <c r="N230" s="12" t="s">
        <v>4672</v>
      </c>
      <c r="O230" s="17" t="str">
        <f>IF(LEN(COUNTIFS($J$1:J230,$J230,$K$1:K230,$K230,$L$1:L230,$L230,$M$1:M230,M230,$N$1:N230,N230))=1,"00"&amp;COUNTIFS($J$1:J230,$J230,$K$1:K230,$K230,$L$1:L230,$L230,$M$1:M230,M230,$N$1:N230,N230),IF(LEN(COUNTIFS($J$1:J230,$J230,$K$1:K230,$K230,$L$1:L230,$L230,$M$1:M230,M230,$N$1:N230,N230))=2,"0"&amp;COUNTIFS($J$1:J230,$J230,$K$1:K230,$K230,$L$1:L230,$L230,$M$1:M230,M230,$N$1:N230,N230),COUNTIFS($J$1:J230,$J230,$K$1:K230,$K230,$L$1:L230,$L230,$M$1:M230,M230,$N$1:N230,N230)))</f>
        <v>015</v>
      </c>
      <c r="P23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MS-NS-010-00-00015-INV</v>
      </c>
      <c r="Q230" s="34"/>
      <c r="R230" s="34" t="s">
        <v>6048</v>
      </c>
      <c r="S230" s="34" t="s">
        <v>936</v>
      </c>
      <c r="T230" s="34">
        <f>+IFERROR(_xlfn.XLOOKUP(Table43[[#This Row],[Column1]],#REF!,#REF!),0)</f>
        <v>0</v>
      </c>
      <c r="U230" s="50">
        <f>IFERROR(_xlfn.XLOOKUP(Table43[[#This Row],[Column1]],#REF!,#REF!),0)</f>
        <v>0</v>
      </c>
      <c r="V230" s="39"/>
    </row>
    <row r="231" spans="1:22" x14ac:dyDescent="0.35">
      <c r="A231" s="3" t="s">
        <v>933</v>
      </c>
      <c r="B231" s="3" t="s">
        <v>938</v>
      </c>
      <c r="C231" s="3" t="s">
        <v>15</v>
      </c>
      <c r="D231" s="5">
        <v>1610</v>
      </c>
      <c r="E231" s="3" t="s">
        <v>10</v>
      </c>
      <c r="F231" s="3">
        <v>0</v>
      </c>
      <c r="G231" s="3">
        <v>0</v>
      </c>
      <c r="H231" s="3">
        <v>2</v>
      </c>
      <c r="I231" s="21">
        <f>Table43[[#This Row],[Item Cost]]*Table43[[#This Row],[In Stock]]</f>
        <v>3220</v>
      </c>
      <c r="J231" s="12" t="s">
        <v>4941</v>
      </c>
      <c r="K231" s="13" t="s">
        <v>4666</v>
      </c>
      <c r="L231" s="13" t="s">
        <v>4689</v>
      </c>
      <c r="M231" s="13" t="s">
        <v>4672</v>
      </c>
      <c r="N231" s="12" t="s">
        <v>4672</v>
      </c>
      <c r="O231" s="17" t="str">
        <f>IF(LEN(COUNTIFS($J$1:J231,$J231,$K$1:K231,$K231,$L$1:L231,$L231,$M$1:M231,M231,$N$1:N231,N231))=1,"00"&amp;COUNTIFS($J$1:J231,$J231,$K$1:K231,$K231,$L$1:L231,$L231,$M$1:M231,M231,$N$1:N231,N231),IF(LEN(COUNTIFS($J$1:J231,$J231,$K$1:K231,$K231,$L$1:L231,$L231,$M$1:M231,M231,$N$1:N231,N231))=2,"0"&amp;COUNTIFS($J$1:J231,$J231,$K$1:K231,$K231,$L$1:L231,$L231,$M$1:M231,M231,$N$1:N231,N231),COUNTIFS($J$1:J231,$J231,$K$1:K231,$K231,$L$1:L231,$L231,$M$1:M231,M231,$N$1:N231,N231)))</f>
        <v>016</v>
      </c>
      <c r="P23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MS-NS-010-00-00016-INV</v>
      </c>
      <c r="Q231" s="34"/>
      <c r="R231" s="34" t="s">
        <v>6049</v>
      </c>
      <c r="S231" s="34" t="s">
        <v>938</v>
      </c>
      <c r="T231" s="34">
        <f>+IFERROR(_xlfn.XLOOKUP(Table43[[#This Row],[Column1]],#REF!,#REF!),0)</f>
        <v>0</v>
      </c>
      <c r="U231" s="50">
        <f>IFERROR(_xlfn.XLOOKUP(Table43[[#This Row],[Column1]],#REF!,#REF!),0)</f>
        <v>0</v>
      </c>
      <c r="V231" s="39"/>
    </row>
    <row r="232" spans="1:22" x14ac:dyDescent="0.35">
      <c r="A232" s="2" t="s">
        <v>935</v>
      </c>
      <c r="B232" s="2" t="s">
        <v>940</v>
      </c>
      <c r="C232" s="2" t="s">
        <v>15</v>
      </c>
      <c r="D232" s="4">
        <v>1145</v>
      </c>
      <c r="E232" s="2" t="s">
        <v>10</v>
      </c>
      <c r="F232" s="3">
        <v>0</v>
      </c>
      <c r="G232" s="3">
        <v>0</v>
      </c>
      <c r="H232" s="2">
        <v>2</v>
      </c>
      <c r="I232" s="22">
        <f>Table43[[#This Row],[Item Cost]]*Table43[[#This Row],[In Stock]]</f>
        <v>2290</v>
      </c>
      <c r="J232" s="12" t="s">
        <v>4941</v>
      </c>
      <c r="K232" s="13" t="s">
        <v>4666</v>
      </c>
      <c r="L232" s="13" t="s">
        <v>4689</v>
      </c>
      <c r="M232" s="13" t="s">
        <v>4672</v>
      </c>
      <c r="N232" s="12" t="s">
        <v>4672</v>
      </c>
      <c r="O232" s="17" t="str">
        <f>IF(LEN(COUNTIFS($J$1:J232,$J232,$K$1:K232,$K232,$L$1:L232,$L232,$M$1:M232,M232,$N$1:N232,N232))=1,"00"&amp;COUNTIFS($J$1:J232,$J232,$K$1:K232,$K232,$L$1:L232,$L232,$M$1:M232,M232,$N$1:N232,N232),IF(LEN(COUNTIFS($J$1:J232,$J232,$K$1:K232,$K232,$L$1:L232,$L232,$M$1:M232,M232,$N$1:N232,N232))=2,"0"&amp;COUNTIFS($J$1:J232,$J232,$K$1:K232,$K232,$L$1:L232,$L232,$M$1:M232,M232,$N$1:N232,N232),COUNTIFS($J$1:J232,$J232,$K$1:K232,$K232,$L$1:L232,$L232,$M$1:M232,M232,$N$1:N232,N232)))</f>
        <v>017</v>
      </c>
      <c r="P23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MS-NS-010-00-00017-INV</v>
      </c>
      <c r="Q232" s="34"/>
      <c r="R232" s="34" t="s">
        <v>6050</v>
      </c>
      <c r="S232" s="34" t="s">
        <v>940</v>
      </c>
      <c r="T232" s="34">
        <f>+IFERROR(_xlfn.XLOOKUP(Table43[[#This Row],[Column1]],#REF!,#REF!),0)</f>
        <v>0</v>
      </c>
      <c r="U232" s="50">
        <f>IFERROR(_xlfn.XLOOKUP(Table43[[#This Row],[Column1]],#REF!,#REF!),0)</f>
        <v>0</v>
      </c>
      <c r="V232" s="39"/>
    </row>
    <row r="233" spans="1:22" x14ac:dyDescent="0.35">
      <c r="A233" s="3" t="s">
        <v>937</v>
      </c>
      <c r="B233" s="3" t="s">
        <v>942</v>
      </c>
      <c r="C233" s="3" t="s">
        <v>15</v>
      </c>
      <c r="D233" s="3">
        <v>415</v>
      </c>
      <c r="E233" s="3" t="s">
        <v>10</v>
      </c>
      <c r="F233" s="3">
        <v>0</v>
      </c>
      <c r="G233" s="3">
        <v>0</v>
      </c>
      <c r="H233" s="3">
        <v>3</v>
      </c>
      <c r="I233" s="21">
        <f>Table43[[#This Row],[Item Cost]]*Table43[[#This Row],[In Stock]]</f>
        <v>1245</v>
      </c>
      <c r="J233" s="12" t="s">
        <v>4941</v>
      </c>
      <c r="K233" s="13" t="s">
        <v>4666</v>
      </c>
      <c r="L233" s="13" t="s">
        <v>4689</v>
      </c>
      <c r="M233" s="13" t="s">
        <v>4672</v>
      </c>
      <c r="N233" s="12" t="s">
        <v>4672</v>
      </c>
      <c r="O233" s="17" t="str">
        <f>IF(LEN(COUNTIFS($J$1:J233,$J233,$K$1:K233,$K233,$L$1:L233,$L233,$M$1:M233,M233,$N$1:N233,N233))=1,"00"&amp;COUNTIFS($J$1:J233,$J233,$K$1:K233,$K233,$L$1:L233,$L233,$M$1:M233,M233,$N$1:N233,N233),IF(LEN(COUNTIFS($J$1:J233,$J233,$K$1:K233,$K233,$L$1:L233,$L233,$M$1:M233,M233,$N$1:N233,N233))=2,"0"&amp;COUNTIFS($J$1:J233,$J233,$K$1:K233,$K233,$L$1:L233,$L233,$M$1:M233,M233,$N$1:N233,N233),COUNTIFS($J$1:J233,$J233,$K$1:K233,$K233,$L$1:L233,$L233,$M$1:M233,M233,$N$1:N233,N233)))</f>
        <v>018</v>
      </c>
      <c r="P23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MS-NS-010-00-00018-INV</v>
      </c>
      <c r="Q233" s="34"/>
      <c r="R233" s="34" t="s">
        <v>6051</v>
      </c>
      <c r="S233" s="34" t="s">
        <v>942</v>
      </c>
      <c r="T233" s="34">
        <f>+IFERROR(_xlfn.XLOOKUP(Table43[[#This Row],[Column1]],#REF!,#REF!),0)</f>
        <v>0</v>
      </c>
      <c r="U233" s="50">
        <f>IFERROR(_xlfn.XLOOKUP(Table43[[#This Row],[Column1]],#REF!,#REF!),0)</f>
        <v>0</v>
      </c>
      <c r="V233" s="39"/>
    </row>
    <row r="234" spans="1:22" x14ac:dyDescent="0.35">
      <c r="A234" s="2" t="s">
        <v>939</v>
      </c>
      <c r="B234" s="2" t="s">
        <v>944</v>
      </c>
      <c r="C234" s="2" t="s">
        <v>15</v>
      </c>
      <c r="D234" s="4">
        <v>7500</v>
      </c>
      <c r="E234" s="2" t="s">
        <v>10</v>
      </c>
      <c r="F234" s="3">
        <v>0</v>
      </c>
      <c r="G234" s="3">
        <v>0</v>
      </c>
      <c r="H234" s="2">
        <v>1</v>
      </c>
      <c r="I234" s="22">
        <f>Table43[[#This Row],[Item Cost]]*Table43[[#This Row],[In Stock]]</f>
        <v>7500</v>
      </c>
      <c r="J234" s="12" t="s">
        <v>4941</v>
      </c>
      <c r="K234" s="13" t="s">
        <v>4666</v>
      </c>
      <c r="L234" s="13" t="s">
        <v>4689</v>
      </c>
      <c r="M234" s="13" t="s">
        <v>4672</v>
      </c>
      <c r="N234" s="12" t="s">
        <v>4672</v>
      </c>
      <c r="O234" s="17" t="str">
        <f>IF(LEN(COUNTIFS($J$1:J234,$J234,$K$1:K234,$K234,$L$1:L234,$L234,$M$1:M234,M234,$N$1:N234,N234))=1,"00"&amp;COUNTIFS($J$1:J234,$J234,$K$1:K234,$K234,$L$1:L234,$L234,$M$1:M234,M234,$N$1:N234,N234),IF(LEN(COUNTIFS($J$1:J234,$J234,$K$1:K234,$K234,$L$1:L234,$L234,$M$1:M234,M234,$N$1:N234,N234))=2,"0"&amp;COUNTIFS($J$1:J234,$J234,$K$1:K234,$K234,$L$1:L234,$L234,$M$1:M234,M234,$N$1:N234,N234),COUNTIFS($J$1:J234,$J234,$K$1:K234,$K234,$L$1:L234,$L234,$M$1:M234,M234,$N$1:N234,N234)))</f>
        <v>019</v>
      </c>
      <c r="P23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MS-NS-010-00-00019-INV</v>
      </c>
      <c r="Q234" s="34"/>
      <c r="R234" s="34" t="s">
        <v>6052</v>
      </c>
      <c r="S234" s="34" t="s">
        <v>944</v>
      </c>
      <c r="T234" s="34">
        <f>+IFERROR(_xlfn.XLOOKUP(Table43[[#This Row],[Column1]],#REF!,#REF!),0)</f>
        <v>0</v>
      </c>
      <c r="U234" s="50">
        <f>IFERROR(_xlfn.XLOOKUP(Table43[[#This Row],[Column1]],#REF!,#REF!),0)</f>
        <v>0</v>
      </c>
      <c r="V234" s="39"/>
    </row>
    <row r="235" spans="1:22" x14ac:dyDescent="0.35">
      <c r="A235" s="3" t="s">
        <v>941</v>
      </c>
      <c r="B235" s="3" t="s">
        <v>946</v>
      </c>
      <c r="C235" s="3" t="s">
        <v>15</v>
      </c>
      <c r="D235" s="5">
        <v>6500</v>
      </c>
      <c r="E235" s="3" t="s">
        <v>10</v>
      </c>
      <c r="F235" s="3">
        <v>0</v>
      </c>
      <c r="G235" s="3">
        <v>0</v>
      </c>
      <c r="H235" s="3">
        <v>1</v>
      </c>
      <c r="I235" s="21">
        <f>Table43[[#This Row],[Item Cost]]*Table43[[#This Row],[In Stock]]</f>
        <v>6500</v>
      </c>
      <c r="J235" s="12" t="s">
        <v>4941</v>
      </c>
      <c r="K235" s="13" t="s">
        <v>4666</v>
      </c>
      <c r="L235" s="13" t="s">
        <v>4689</v>
      </c>
      <c r="M235" s="13" t="s">
        <v>4672</v>
      </c>
      <c r="N235" s="12" t="s">
        <v>4672</v>
      </c>
      <c r="O235" s="17" t="str">
        <f>IF(LEN(COUNTIFS($J$1:J235,$J235,$K$1:K235,$K235,$L$1:L235,$L235,$M$1:M235,M235,$N$1:N235,N235))=1,"00"&amp;COUNTIFS($J$1:J235,$J235,$K$1:K235,$K235,$L$1:L235,$L235,$M$1:M235,M235,$N$1:N235,N235),IF(LEN(COUNTIFS($J$1:J235,$J235,$K$1:K235,$K235,$L$1:L235,$L235,$M$1:M235,M235,$N$1:N235,N235))=2,"0"&amp;COUNTIFS($J$1:J235,$J235,$K$1:K235,$K235,$L$1:L235,$L235,$M$1:M235,M235,$N$1:N235,N235),COUNTIFS($J$1:J235,$J235,$K$1:K235,$K235,$L$1:L235,$L235,$M$1:M235,M235,$N$1:N235,N235)))</f>
        <v>020</v>
      </c>
      <c r="P23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MS-NS-010-00-00020-INV</v>
      </c>
      <c r="Q235" s="34"/>
      <c r="R235" s="34" t="s">
        <v>6053</v>
      </c>
      <c r="S235" s="34" t="s">
        <v>946</v>
      </c>
      <c r="T235" s="34">
        <f>+IFERROR(_xlfn.XLOOKUP(Table43[[#This Row],[Column1]],#REF!,#REF!),0)</f>
        <v>0</v>
      </c>
      <c r="U235" s="50">
        <f>IFERROR(_xlfn.XLOOKUP(Table43[[#This Row],[Column1]],#REF!,#REF!),0)</f>
        <v>0</v>
      </c>
      <c r="V235" s="39"/>
    </row>
    <row r="236" spans="1:22" x14ac:dyDescent="0.35">
      <c r="A236" s="2" t="s">
        <v>943</v>
      </c>
      <c r="B236" s="2" t="s">
        <v>948</v>
      </c>
      <c r="C236" s="2" t="s">
        <v>15</v>
      </c>
      <c r="D236" s="4">
        <v>8000</v>
      </c>
      <c r="E236" s="2" t="s">
        <v>10</v>
      </c>
      <c r="F236" s="3">
        <v>0</v>
      </c>
      <c r="G236" s="3">
        <v>0</v>
      </c>
      <c r="H236" s="2">
        <v>1</v>
      </c>
      <c r="I236" s="22">
        <f>Table43[[#This Row],[Item Cost]]*Table43[[#This Row],[In Stock]]</f>
        <v>8000</v>
      </c>
      <c r="J236" s="12" t="s">
        <v>4941</v>
      </c>
      <c r="K236" s="13" t="s">
        <v>4666</v>
      </c>
      <c r="L236" s="13" t="s">
        <v>4689</v>
      </c>
      <c r="M236" s="13" t="s">
        <v>4672</v>
      </c>
      <c r="N236" s="12" t="s">
        <v>4672</v>
      </c>
      <c r="O236" s="17" t="str">
        <f>IF(LEN(COUNTIFS($J$1:J236,$J236,$K$1:K236,$K236,$L$1:L236,$L236,$M$1:M236,M236,$N$1:N236,N236))=1,"00"&amp;COUNTIFS($J$1:J236,$J236,$K$1:K236,$K236,$L$1:L236,$L236,$M$1:M236,M236,$N$1:N236,N236),IF(LEN(COUNTIFS($J$1:J236,$J236,$K$1:K236,$K236,$L$1:L236,$L236,$M$1:M236,M236,$N$1:N236,N236))=2,"0"&amp;COUNTIFS($J$1:J236,$J236,$K$1:K236,$K236,$L$1:L236,$L236,$M$1:M236,M236,$N$1:N236,N236),COUNTIFS($J$1:J236,$J236,$K$1:K236,$K236,$L$1:L236,$L236,$M$1:M236,M236,$N$1:N236,N236)))</f>
        <v>021</v>
      </c>
      <c r="P23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MS-NS-010-00-00021-INV</v>
      </c>
      <c r="Q236" s="34"/>
      <c r="R236" s="49" t="s">
        <v>5707</v>
      </c>
      <c r="S236" s="34" t="s">
        <v>5713</v>
      </c>
      <c r="T236" s="34">
        <f>+IFERROR(_xlfn.XLOOKUP(Table43[[#This Row],[Column1]],#REF!,#REF!),0)</f>
        <v>0</v>
      </c>
      <c r="U236" s="50">
        <f>IFERROR(_xlfn.XLOOKUP(Table43[[#This Row],[Column1]],#REF!,#REF!),0)</f>
        <v>0</v>
      </c>
      <c r="V236" s="39"/>
    </row>
    <row r="237" spans="1:22" x14ac:dyDescent="0.35">
      <c r="A237" s="3" t="s">
        <v>945</v>
      </c>
      <c r="B237" s="3" t="s">
        <v>950</v>
      </c>
      <c r="C237" s="3" t="s">
        <v>15</v>
      </c>
      <c r="D237" s="5">
        <v>5000</v>
      </c>
      <c r="E237" s="3" t="s">
        <v>10</v>
      </c>
      <c r="F237" s="3">
        <v>0</v>
      </c>
      <c r="G237" s="3">
        <v>0</v>
      </c>
      <c r="H237" s="3">
        <v>1</v>
      </c>
      <c r="I237" s="21">
        <f>Table43[[#This Row],[Item Cost]]*Table43[[#This Row],[In Stock]]</f>
        <v>5000</v>
      </c>
      <c r="J237" s="12" t="s">
        <v>4941</v>
      </c>
      <c r="K237" s="13" t="s">
        <v>4666</v>
      </c>
      <c r="L237" s="13" t="s">
        <v>4689</v>
      </c>
      <c r="M237" s="13" t="s">
        <v>4672</v>
      </c>
      <c r="N237" s="12" t="s">
        <v>4672</v>
      </c>
      <c r="O237" s="17" t="str">
        <f>IF(LEN(COUNTIFS($J$1:J237,$J237,$K$1:K237,$K237,$L$1:L237,$L237,$M$1:M237,M237,$N$1:N237,N237))=1,"00"&amp;COUNTIFS($J$1:J237,$J237,$K$1:K237,$K237,$L$1:L237,$L237,$M$1:M237,M237,$N$1:N237,N237),IF(LEN(COUNTIFS($J$1:J237,$J237,$K$1:K237,$K237,$L$1:L237,$L237,$M$1:M237,M237,$N$1:N237,N237))=2,"0"&amp;COUNTIFS($J$1:J237,$J237,$K$1:K237,$K237,$L$1:L237,$L237,$M$1:M237,M237,$N$1:N237,N237),COUNTIFS($J$1:J237,$J237,$K$1:K237,$K237,$L$1:L237,$L237,$M$1:M237,M237,$N$1:N237,N237)))</f>
        <v>022</v>
      </c>
      <c r="P23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MS-NS-010-00-00022-INV</v>
      </c>
      <c r="Q237" s="34"/>
      <c r="R237" s="34" t="s">
        <v>6054</v>
      </c>
      <c r="S237" s="34" t="s">
        <v>950</v>
      </c>
      <c r="T237" s="34">
        <f>+IFERROR(_xlfn.XLOOKUP(Table43[[#This Row],[Column1]],#REF!,#REF!),0)</f>
        <v>0</v>
      </c>
      <c r="U237" s="50">
        <f>IFERROR(_xlfn.XLOOKUP(Table43[[#This Row],[Column1]],#REF!,#REF!),0)</f>
        <v>0</v>
      </c>
      <c r="V237" s="39"/>
    </row>
    <row r="238" spans="1:22" x14ac:dyDescent="0.35">
      <c r="A238" s="2" t="s">
        <v>947</v>
      </c>
      <c r="B238" s="2" t="s">
        <v>952</v>
      </c>
      <c r="C238" s="2" t="s">
        <v>15</v>
      </c>
      <c r="D238" s="2">
        <v>900</v>
      </c>
      <c r="E238" s="2" t="s">
        <v>10</v>
      </c>
      <c r="F238" s="3">
        <v>0</v>
      </c>
      <c r="G238" s="3">
        <v>0</v>
      </c>
      <c r="H238" s="2">
        <v>1</v>
      </c>
      <c r="I238" s="22">
        <f>Table43[[#This Row],[Item Cost]]*Table43[[#This Row],[In Stock]]</f>
        <v>900</v>
      </c>
      <c r="J238" s="12" t="s">
        <v>4941</v>
      </c>
      <c r="K238" s="13" t="s">
        <v>4666</v>
      </c>
      <c r="L238" s="13" t="s">
        <v>4689</v>
      </c>
      <c r="M238" s="13" t="s">
        <v>4672</v>
      </c>
      <c r="N238" s="12" t="s">
        <v>4672</v>
      </c>
      <c r="O238" s="17" t="str">
        <f>IF(LEN(COUNTIFS($J$1:J238,$J238,$K$1:K238,$K238,$L$1:L238,$L238,$M$1:M238,M238,$N$1:N238,N238))=1,"00"&amp;COUNTIFS($J$1:J238,$J238,$K$1:K238,$K238,$L$1:L238,$L238,$M$1:M238,M238,$N$1:N238,N238),IF(LEN(COUNTIFS($J$1:J238,$J238,$K$1:K238,$K238,$L$1:L238,$L238,$M$1:M238,M238,$N$1:N238,N238))=2,"0"&amp;COUNTIFS($J$1:J238,$J238,$K$1:K238,$K238,$L$1:L238,$L238,$M$1:M238,M238,$N$1:N238,N238),COUNTIFS($J$1:J238,$J238,$K$1:K238,$K238,$L$1:L238,$L238,$M$1:M238,M238,$N$1:N238,N238)))</f>
        <v>023</v>
      </c>
      <c r="P23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MS-NS-010-00-00023-INV</v>
      </c>
      <c r="Q238" s="34"/>
      <c r="R238" s="34" t="s">
        <v>6055</v>
      </c>
      <c r="S238" s="34" t="s">
        <v>952</v>
      </c>
      <c r="T238" s="34">
        <f>+IFERROR(_xlfn.XLOOKUP(Table43[[#This Row],[Column1]],#REF!,#REF!),0)</f>
        <v>0</v>
      </c>
      <c r="U238" s="50">
        <f>IFERROR(_xlfn.XLOOKUP(Table43[[#This Row],[Column1]],#REF!,#REF!),0)</f>
        <v>0</v>
      </c>
      <c r="V238" s="39"/>
    </row>
    <row r="239" spans="1:22" x14ac:dyDescent="0.35">
      <c r="A239" s="3" t="s">
        <v>949</v>
      </c>
      <c r="B239" s="3" t="s">
        <v>954</v>
      </c>
      <c r="C239" s="3" t="s">
        <v>15</v>
      </c>
      <c r="D239" s="3">
        <v>800</v>
      </c>
      <c r="E239" s="3" t="s">
        <v>10</v>
      </c>
      <c r="F239" s="3">
        <v>0</v>
      </c>
      <c r="G239" s="3">
        <v>0</v>
      </c>
      <c r="H239" s="3">
        <v>1</v>
      </c>
      <c r="I239" s="21">
        <f>Table43[[#This Row],[Item Cost]]*Table43[[#This Row],[In Stock]]</f>
        <v>800</v>
      </c>
      <c r="J239" s="12" t="s">
        <v>4941</v>
      </c>
      <c r="K239" s="13" t="s">
        <v>4666</v>
      </c>
      <c r="L239" s="13" t="s">
        <v>4689</v>
      </c>
      <c r="M239" s="13" t="s">
        <v>4672</v>
      </c>
      <c r="N239" s="12" t="s">
        <v>4672</v>
      </c>
      <c r="O239" s="17" t="str">
        <f>IF(LEN(COUNTIFS($J$1:J239,$J239,$K$1:K239,$K239,$L$1:L239,$L239,$M$1:M239,M239,$N$1:N239,N239))=1,"00"&amp;COUNTIFS($J$1:J239,$J239,$K$1:K239,$K239,$L$1:L239,$L239,$M$1:M239,M239,$N$1:N239,N239),IF(LEN(COUNTIFS($J$1:J239,$J239,$K$1:K239,$K239,$L$1:L239,$L239,$M$1:M239,M239,$N$1:N239,N239))=2,"0"&amp;COUNTIFS($J$1:J239,$J239,$K$1:K239,$K239,$L$1:L239,$L239,$M$1:M239,M239,$N$1:N239,N239),COUNTIFS($J$1:J239,$J239,$K$1:K239,$K239,$L$1:L239,$L239,$M$1:M239,M239,$N$1:N239,N239)))</f>
        <v>024</v>
      </c>
      <c r="P23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MS-NS-010-00-00024-INV</v>
      </c>
      <c r="Q239" s="34"/>
      <c r="R239" s="34" t="s">
        <v>6056</v>
      </c>
      <c r="S239" s="34" t="s">
        <v>954</v>
      </c>
      <c r="T239" s="34">
        <f>+IFERROR(_xlfn.XLOOKUP(Table43[[#This Row],[Column1]],#REF!,#REF!),0)</f>
        <v>0</v>
      </c>
      <c r="U239" s="50">
        <f>IFERROR(_xlfn.XLOOKUP(Table43[[#This Row],[Column1]],#REF!,#REF!),0)</f>
        <v>0</v>
      </c>
      <c r="V239" s="39"/>
    </row>
    <row r="240" spans="1:22" x14ac:dyDescent="0.35">
      <c r="A240" s="2" t="s">
        <v>955</v>
      </c>
      <c r="B240" s="2" t="s">
        <v>956</v>
      </c>
      <c r="C240" s="2" t="s">
        <v>15</v>
      </c>
      <c r="D240" s="4">
        <v>10810</v>
      </c>
      <c r="E240" s="2" t="s">
        <v>10</v>
      </c>
      <c r="F240" s="2">
        <v>1</v>
      </c>
      <c r="G240" s="2">
        <v>2</v>
      </c>
      <c r="H240" s="2">
        <v>0</v>
      </c>
      <c r="I240" s="22">
        <f>Table43[[#This Row],[Item Cost]]*Table43[[#This Row],[In Stock]]</f>
        <v>0</v>
      </c>
      <c r="J240" s="12" t="s">
        <v>4941</v>
      </c>
      <c r="K240" s="13" t="s">
        <v>4666</v>
      </c>
      <c r="L240" s="13" t="s">
        <v>4673</v>
      </c>
      <c r="M240" s="13" t="s">
        <v>4734</v>
      </c>
      <c r="N240" s="12" t="s">
        <v>4672</v>
      </c>
      <c r="O240" s="17" t="str">
        <f>IF(LEN(COUNTIFS($J$1:J240,$J240,$K$1:K240,$K240,$L$1:L240,$L240,$M$1:M240,M240,$N$1:N240,N240))=1,"00"&amp;COUNTIFS($J$1:J240,$J240,$K$1:K240,$K240,$L$1:L240,$L240,$M$1:M240,M240,$N$1:N240,N240),IF(LEN(COUNTIFS($J$1:J240,$J240,$K$1:K240,$K240,$L$1:L240,$L240,$M$1:M240,M240,$N$1:N240,N240))=2,"0"&amp;COUNTIFS($J$1:J240,$J240,$K$1:K240,$K240,$L$1:L240,$L240,$M$1:M240,M240,$N$1:N240,N240),COUNTIFS($J$1:J240,$J240,$K$1:K240,$K240,$L$1:L240,$L240,$M$1:M240,M240,$N$1:N240,N240)))</f>
        <v>001</v>
      </c>
      <c r="P24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MS-NS-001-02-00001-INV</v>
      </c>
      <c r="Q240" s="59"/>
      <c r="R240" s="34" t="s">
        <v>6057</v>
      </c>
      <c r="S240" s="34" t="s">
        <v>956</v>
      </c>
      <c r="T240" s="34">
        <f>+IFERROR(_xlfn.XLOOKUP(Table43[[#This Row],[Column1]],#REF!,#REF!),0)</f>
        <v>0</v>
      </c>
      <c r="U240" s="50">
        <f>IFERROR(_xlfn.XLOOKUP(Table43[[#This Row],[Column1]],#REF!,#REF!),0)</f>
        <v>0</v>
      </c>
      <c r="V240" s="39"/>
    </row>
    <row r="241" spans="1:22" x14ac:dyDescent="0.35">
      <c r="A241" s="3" t="s">
        <v>957</v>
      </c>
      <c r="B241" s="3" t="s">
        <v>958</v>
      </c>
      <c r="C241" s="3" t="s">
        <v>15</v>
      </c>
      <c r="D241" s="5">
        <v>17833.330000000002</v>
      </c>
      <c r="E241" s="3" t="s">
        <v>10</v>
      </c>
      <c r="F241" s="3">
        <v>1</v>
      </c>
      <c r="G241" s="3">
        <v>2</v>
      </c>
      <c r="H241" s="3">
        <v>0</v>
      </c>
      <c r="I241" s="21">
        <f>Table43[[#This Row],[Item Cost]]*Table43[[#This Row],[In Stock]]</f>
        <v>0</v>
      </c>
      <c r="J241" s="12" t="s">
        <v>4941</v>
      </c>
      <c r="K241" s="13" t="s">
        <v>4666</v>
      </c>
      <c r="L241" s="13" t="s">
        <v>4673</v>
      </c>
      <c r="M241" s="13" t="s">
        <v>4734</v>
      </c>
      <c r="N241" s="12" t="s">
        <v>4672</v>
      </c>
      <c r="O241" s="17" t="str">
        <f>IF(LEN(COUNTIFS($J$1:J241,$J241,$K$1:K241,$K241,$L$1:L241,$L241,$M$1:M241,M241,$N$1:N241,N241))=1,"00"&amp;COUNTIFS($J$1:J241,$J241,$K$1:K241,$K241,$L$1:L241,$L241,$M$1:M241,M241,$N$1:N241,N241),IF(LEN(COUNTIFS($J$1:J241,$J241,$K$1:K241,$K241,$L$1:L241,$L241,$M$1:M241,M241,$N$1:N241,N241))=2,"0"&amp;COUNTIFS($J$1:J241,$J241,$K$1:K241,$K241,$L$1:L241,$L241,$M$1:M241,M241,$N$1:N241,N241),COUNTIFS($J$1:J241,$J241,$K$1:K241,$K241,$L$1:L241,$L241,$M$1:M241,M241,$N$1:N241,N241)))</f>
        <v>002</v>
      </c>
      <c r="P24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MS-NS-001-02-00002-INV</v>
      </c>
      <c r="Q241" s="59" t="s">
        <v>7334</v>
      </c>
      <c r="R241" s="34" t="s">
        <v>7230</v>
      </c>
      <c r="S241" s="34" t="s">
        <v>5714</v>
      </c>
      <c r="T241" s="34">
        <f>+IFERROR(_xlfn.XLOOKUP(Table43[[#This Row],[Column1]],#REF!,#REF!),0)</f>
        <v>0</v>
      </c>
      <c r="U241" s="50">
        <f>IFERROR(_xlfn.XLOOKUP(Table43[[#This Row],[Column1]],#REF!,#REF!),0)</f>
        <v>0</v>
      </c>
      <c r="V241" s="39"/>
    </row>
    <row r="242" spans="1:22" x14ac:dyDescent="0.35">
      <c r="A242" s="2" t="s">
        <v>959</v>
      </c>
      <c r="B242" s="2" t="s">
        <v>960</v>
      </c>
      <c r="C242" s="2" t="s">
        <v>15</v>
      </c>
      <c r="D242" s="4">
        <v>19000</v>
      </c>
      <c r="E242" s="2" t="s">
        <v>10</v>
      </c>
      <c r="F242" s="2">
        <v>1</v>
      </c>
      <c r="G242" s="2">
        <v>2</v>
      </c>
      <c r="H242" s="2">
        <v>0</v>
      </c>
      <c r="I242" s="22">
        <f>Table43[[#This Row],[Item Cost]]*Table43[[#This Row],[In Stock]]</f>
        <v>0</v>
      </c>
      <c r="J242" s="12" t="s">
        <v>4941</v>
      </c>
      <c r="K242" s="13" t="s">
        <v>4666</v>
      </c>
      <c r="L242" s="13" t="s">
        <v>4673</v>
      </c>
      <c r="M242" s="13" t="s">
        <v>4734</v>
      </c>
      <c r="N242" s="12" t="s">
        <v>4672</v>
      </c>
      <c r="O242" s="17" t="str">
        <f>IF(LEN(COUNTIFS($J$1:J242,$J242,$K$1:K242,$K242,$L$1:L242,$L242,$M$1:M242,M242,$N$1:N242,N242))=1,"00"&amp;COUNTIFS($J$1:J242,$J242,$K$1:K242,$K242,$L$1:L242,$L242,$M$1:M242,M242,$N$1:N242,N242),IF(LEN(COUNTIFS($J$1:J242,$J242,$K$1:K242,$K242,$L$1:L242,$L242,$M$1:M242,M242,$N$1:N242,N242))=2,"0"&amp;COUNTIFS($J$1:J242,$J242,$K$1:K242,$K242,$L$1:L242,$L242,$M$1:M242,M242,$N$1:N242,N242),COUNTIFS($J$1:J242,$J242,$K$1:K242,$K242,$L$1:L242,$L242,$M$1:M242,M242,$N$1:N242,N242)))</f>
        <v>003</v>
      </c>
      <c r="P24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MS-NS-001-02-00003-INV</v>
      </c>
      <c r="Q242" s="59"/>
      <c r="R242" s="34" t="s">
        <v>6058</v>
      </c>
      <c r="S242" s="34" t="s">
        <v>960</v>
      </c>
      <c r="T242" s="34">
        <f>+IFERROR(_xlfn.XLOOKUP(Table43[[#This Row],[Column1]],#REF!,#REF!),0)</f>
        <v>0</v>
      </c>
      <c r="U242" s="50">
        <f>IFERROR(_xlfn.XLOOKUP(Table43[[#This Row],[Column1]],#REF!,#REF!),0)</f>
        <v>0</v>
      </c>
      <c r="V242" s="39"/>
    </row>
    <row r="243" spans="1:22" x14ac:dyDescent="0.35">
      <c r="A243" s="3" t="s">
        <v>961</v>
      </c>
      <c r="B243" s="3" t="s">
        <v>962</v>
      </c>
      <c r="C243" s="3" t="s">
        <v>9</v>
      </c>
      <c r="D243" s="5">
        <v>1475</v>
      </c>
      <c r="E243" s="3" t="s">
        <v>10</v>
      </c>
      <c r="F243" s="2">
        <v>1</v>
      </c>
      <c r="G243" s="3">
        <v>3</v>
      </c>
      <c r="H243" s="3">
        <v>1</v>
      </c>
      <c r="I243" s="21">
        <f>Table43[[#This Row],[Item Cost]]*Table43[[#This Row],[In Stock]]</f>
        <v>1475</v>
      </c>
      <c r="J243" s="12" t="s">
        <v>4941</v>
      </c>
      <c r="K243" s="13" t="s">
        <v>4664</v>
      </c>
      <c r="L243" s="13" t="s">
        <v>4673</v>
      </c>
      <c r="M243" s="13" t="s">
        <v>4734</v>
      </c>
      <c r="N243" s="12" t="s">
        <v>4672</v>
      </c>
      <c r="O243" s="17" t="str">
        <f>IF(LEN(COUNTIFS($J$1:J243,$J243,$K$1:K243,$K243,$L$1:L243,$L243,$M$1:M243,M243,$N$1:N243,N243))=1,"00"&amp;COUNTIFS($J$1:J243,$J243,$K$1:K243,$K243,$L$1:L243,$L243,$M$1:M243,M243,$N$1:N243,N243),IF(LEN(COUNTIFS($J$1:J243,$J243,$K$1:K243,$K243,$L$1:L243,$L243,$M$1:M243,M243,$N$1:N243,N243))=2,"0"&amp;COUNTIFS($J$1:J243,$J243,$K$1:K243,$K243,$L$1:L243,$L243,$M$1:M243,M243,$N$1:N243,N243),COUNTIFS($J$1:J243,$J243,$K$1:K243,$K243,$L$1:L243,$L243,$M$1:M243,M243,$N$1:N243,N243)))</f>
        <v>001</v>
      </c>
      <c r="P24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MS-CS-001-02-00001-INV</v>
      </c>
      <c r="Q243" s="59"/>
      <c r="R243" s="34" t="s">
        <v>6059</v>
      </c>
      <c r="S243" s="34" t="s">
        <v>962</v>
      </c>
      <c r="T243" s="34">
        <f>+IFERROR(_xlfn.XLOOKUP(Table43[[#This Row],[Column1]],#REF!,#REF!),0)</f>
        <v>0</v>
      </c>
      <c r="U243" s="50">
        <f>IFERROR(_xlfn.XLOOKUP(Table43[[#This Row],[Column1]],#REF!,#REF!),0)</f>
        <v>0</v>
      </c>
      <c r="V243" s="39"/>
    </row>
    <row r="244" spans="1:22" x14ac:dyDescent="0.35">
      <c r="A244" s="2" t="s">
        <v>963</v>
      </c>
      <c r="B244" s="2" t="s">
        <v>964</v>
      </c>
      <c r="C244" s="2" t="s">
        <v>15</v>
      </c>
      <c r="D244" s="2">
        <v>0</v>
      </c>
      <c r="E244" s="2" t="s">
        <v>10</v>
      </c>
      <c r="F244" s="2">
        <v>1</v>
      </c>
      <c r="G244" s="2">
        <v>2</v>
      </c>
      <c r="H244" s="2">
        <v>0</v>
      </c>
      <c r="I244" s="22">
        <f>Table43[[#This Row],[Item Cost]]*Table43[[#This Row],[In Stock]]</f>
        <v>0</v>
      </c>
      <c r="J244" s="12" t="s">
        <v>4941</v>
      </c>
      <c r="K244" s="13" t="s">
        <v>4666</v>
      </c>
      <c r="L244" s="13" t="s">
        <v>4673</v>
      </c>
      <c r="M244" s="13" t="s">
        <v>4770</v>
      </c>
      <c r="N244" s="12" t="s">
        <v>4672</v>
      </c>
      <c r="O244" s="17" t="str">
        <f>IF(LEN(COUNTIFS($J$1:J244,$J244,$K$1:K244,$K244,$L$1:L244,$L244,$M$1:M244,M244,$N$1:N244,N244))=1,"00"&amp;COUNTIFS($J$1:J244,$J244,$K$1:K244,$K244,$L$1:L244,$L244,$M$1:M244,M244,$N$1:N244,N244),IF(LEN(COUNTIFS($J$1:J244,$J244,$K$1:K244,$K244,$L$1:L244,$L244,$M$1:M244,M244,$N$1:N244,N244))=2,"0"&amp;COUNTIFS($J$1:J244,$J244,$K$1:K244,$K244,$L$1:L244,$L244,$M$1:M244,M244,$N$1:N244,N244),COUNTIFS($J$1:J244,$J244,$K$1:K244,$K244,$L$1:L244,$L244,$M$1:M244,M244,$N$1:N244,N244)))</f>
        <v>001</v>
      </c>
      <c r="P24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MS-NS-001-04-00001-INV</v>
      </c>
      <c r="Q244" s="59" t="s">
        <v>7340</v>
      </c>
      <c r="R244" s="34" t="s">
        <v>6060</v>
      </c>
      <c r="S244" s="34" t="s">
        <v>964</v>
      </c>
      <c r="T244" s="34">
        <f>+IFERROR(_xlfn.XLOOKUP(Table43[[#This Row],[Column1]],#REF!,#REF!),0)</f>
        <v>0</v>
      </c>
      <c r="U244" s="50">
        <f>IFERROR(_xlfn.XLOOKUP(Table43[[#This Row],[Column1]],#REF!,#REF!),0)</f>
        <v>0</v>
      </c>
      <c r="V244" s="39"/>
    </row>
    <row r="245" spans="1:22" x14ac:dyDescent="0.35">
      <c r="A245" s="3" t="s">
        <v>965</v>
      </c>
      <c r="B245" s="3" t="s">
        <v>966</v>
      </c>
      <c r="C245" s="3" t="s">
        <v>15</v>
      </c>
      <c r="D245" s="3">
        <v>187</v>
      </c>
      <c r="E245" s="3" t="s">
        <v>10</v>
      </c>
      <c r="F245" s="2">
        <v>1</v>
      </c>
      <c r="G245" s="2">
        <v>2</v>
      </c>
      <c r="H245" s="3">
        <v>0</v>
      </c>
      <c r="I245" s="21">
        <f>Table43[[#This Row],[Item Cost]]*Table43[[#This Row],[In Stock]]</f>
        <v>0</v>
      </c>
      <c r="J245" s="12" t="s">
        <v>4941</v>
      </c>
      <c r="K245" s="13" t="s">
        <v>4666</v>
      </c>
      <c r="L245" s="13" t="s">
        <v>4673</v>
      </c>
      <c r="M245" s="13" t="s">
        <v>4693</v>
      </c>
      <c r="N245" s="12" t="s">
        <v>4672</v>
      </c>
      <c r="O245" s="17" t="str">
        <f>IF(LEN(COUNTIFS($J$1:J245,$J245,$K$1:K245,$K245,$L$1:L245,$L245,$M$1:M245,M245,$N$1:N245,N245))=1,"00"&amp;COUNTIFS($J$1:J245,$J245,$K$1:K245,$K245,$L$1:L245,$L245,$M$1:M245,M245,$N$1:N245,N245),IF(LEN(COUNTIFS($J$1:J245,$J245,$K$1:K245,$K245,$L$1:L245,$L245,$M$1:M245,M245,$N$1:N245,N245))=2,"0"&amp;COUNTIFS($J$1:J245,$J245,$K$1:K245,$K245,$L$1:L245,$L245,$M$1:M245,M245,$N$1:N245,N245),COUNTIFS($J$1:J245,$J245,$K$1:K245,$K245,$L$1:L245,$L245,$M$1:M245,M245,$N$1:N245,N245)))</f>
        <v>001</v>
      </c>
      <c r="P24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MS-NS-001-23-00001-INV</v>
      </c>
      <c r="Q245" s="59"/>
      <c r="R245" s="34" t="s">
        <v>6061</v>
      </c>
      <c r="S245" s="34" t="s">
        <v>966</v>
      </c>
      <c r="T245" s="34">
        <f>+IFERROR(_xlfn.XLOOKUP(Table43[[#This Row],[Column1]],#REF!,#REF!),0)</f>
        <v>0</v>
      </c>
      <c r="U245" s="50">
        <f>IFERROR(_xlfn.XLOOKUP(Table43[[#This Row],[Column1]],#REF!,#REF!),0)</f>
        <v>0</v>
      </c>
      <c r="V245" s="39"/>
    </row>
    <row r="246" spans="1:22" x14ac:dyDescent="0.35">
      <c r="A246" s="2" t="s">
        <v>967</v>
      </c>
      <c r="B246" s="2" t="s">
        <v>968</v>
      </c>
      <c r="C246" s="2" t="s">
        <v>15</v>
      </c>
      <c r="D246" s="4">
        <v>1800</v>
      </c>
      <c r="E246" s="2" t="s">
        <v>10</v>
      </c>
      <c r="F246" s="2">
        <v>1</v>
      </c>
      <c r="G246" s="2">
        <v>2</v>
      </c>
      <c r="H246" s="2">
        <v>0</v>
      </c>
      <c r="I246" s="22">
        <f>Table43[[#This Row],[Item Cost]]*Table43[[#This Row],[In Stock]]</f>
        <v>0</v>
      </c>
      <c r="J246" s="12" t="s">
        <v>4941</v>
      </c>
      <c r="K246" s="13" t="s">
        <v>4666</v>
      </c>
      <c r="L246" s="13" t="s">
        <v>4673</v>
      </c>
      <c r="M246" s="13" t="s">
        <v>4734</v>
      </c>
      <c r="N246" s="12" t="s">
        <v>4672</v>
      </c>
      <c r="O246" s="17" t="str">
        <f>IF(LEN(COUNTIFS($J$1:J246,$J246,$K$1:K246,$K246,$L$1:L246,$L246,$M$1:M246,M246,$N$1:N246,N246))=1,"00"&amp;COUNTIFS($J$1:J246,$J246,$K$1:K246,$K246,$L$1:L246,$L246,$M$1:M246,M246,$N$1:N246,N246),IF(LEN(COUNTIFS($J$1:J246,$J246,$K$1:K246,$K246,$L$1:L246,$L246,$M$1:M246,M246,$N$1:N246,N246))=2,"0"&amp;COUNTIFS($J$1:J246,$J246,$K$1:K246,$K246,$L$1:L246,$L246,$M$1:M246,M246,$N$1:N246,N246),COUNTIFS($J$1:J246,$J246,$K$1:K246,$K246,$L$1:L246,$L246,$M$1:M246,M246,$N$1:N246,N246)))</f>
        <v>004</v>
      </c>
      <c r="P24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MS-NS-001-02-00004-INV</v>
      </c>
      <c r="Q246" s="59"/>
      <c r="R246" s="34" t="s">
        <v>6062</v>
      </c>
      <c r="S246" s="34" t="s">
        <v>968</v>
      </c>
      <c r="T246" s="34">
        <f>+IFERROR(_xlfn.XLOOKUP(Table43[[#This Row],[Column1]],#REF!,#REF!),0)</f>
        <v>0</v>
      </c>
      <c r="U246" s="50">
        <f>IFERROR(_xlfn.XLOOKUP(Table43[[#This Row],[Column1]],#REF!,#REF!),0)</f>
        <v>0</v>
      </c>
      <c r="V246" s="39"/>
    </row>
    <row r="247" spans="1:22" x14ac:dyDescent="0.35">
      <c r="A247" s="3" t="s">
        <v>969</v>
      </c>
      <c r="B247" s="3" t="s">
        <v>970</v>
      </c>
      <c r="C247" s="3" t="s">
        <v>9</v>
      </c>
      <c r="D247" s="3">
        <v>257</v>
      </c>
      <c r="E247" s="3" t="s">
        <v>10</v>
      </c>
      <c r="F247" s="2">
        <v>1</v>
      </c>
      <c r="G247" s="3">
        <v>3</v>
      </c>
      <c r="H247" s="3">
        <v>2</v>
      </c>
      <c r="I247" s="21">
        <f>Table43[[#This Row],[Item Cost]]*Table43[[#This Row],[In Stock]]</f>
        <v>514</v>
      </c>
      <c r="J247" s="12" t="s">
        <v>4941</v>
      </c>
      <c r="K247" s="13" t="s">
        <v>4664</v>
      </c>
      <c r="L247" s="13" t="s">
        <v>4673</v>
      </c>
      <c r="M247" s="13" t="s">
        <v>4771</v>
      </c>
      <c r="N247" s="12" t="s">
        <v>4672</v>
      </c>
      <c r="O247" s="17" t="str">
        <f>IF(LEN(COUNTIFS($J$1:J247,$J247,$K$1:K247,$K247,$L$1:L247,$L247,$M$1:M247,M247,$N$1:N247,N247))=1,"00"&amp;COUNTIFS($J$1:J247,$J247,$K$1:K247,$K247,$L$1:L247,$L247,$M$1:M247,M247,$N$1:N247,N247),IF(LEN(COUNTIFS($J$1:J247,$J247,$K$1:K247,$K247,$L$1:L247,$L247,$M$1:M247,M247,$N$1:N247,N247))=2,"0"&amp;COUNTIFS($J$1:J247,$J247,$K$1:K247,$K247,$L$1:L247,$L247,$M$1:M247,M247,$N$1:N247,N247),COUNTIFS($J$1:J247,$J247,$K$1:K247,$K247,$L$1:L247,$L247,$M$1:M247,M247,$N$1:N247,N247)))</f>
        <v>001</v>
      </c>
      <c r="P24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MS-CS-001-05-00001-INV</v>
      </c>
      <c r="Q247" s="59" t="s">
        <v>7341</v>
      </c>
      <c r="R247" s="34" t="s">
        <v>6063</v>
      </c>
      <c r="S247" s="34" t="s">
        <v>970</v>
      </c>
      <c r="T247" s="34">
        <f>+IFERROR(_xlfn.XLOOKUP(Table43[[#This Row],[Column1]],#REF!,#REF!),0)</f>
        <v>0</v>
      </c>
      <c r="U247" s="50">
        <f>IFERROR(_xlfn.XLOOKUP(Table43[[#This Row],[Column1]],#REF!,#REF!),0)</f>
        <v>0</v>
      </c>
      <c r="V247" s="39"/>
    </row>
    <row r="248" spans="1:22" x14ac:dyDescent="0.35">
      <c r="A248" s="2" t="s">
        <v>971</v>
      </c>
      <c r="B248" s="2" t="s">
        <v>972</v>
      </c>
      <c r="C248" s="2" t="s">
        <v>9</v>
      </c>
      <c r="D248" s="2">
        <v>319</v>
      </c>
      <c r="E248" s="2" t="s">
        <v>10</v>
      </c>
      <c r="F248" s="2">
        <v>1</v>
      </c>
      <c r="G248" s="2">
        <v>3</v>
      </c>
      <c r="H248" s="2">
        <v>3</v>
      </c>
      <c r="I248" s="22">
        <f>Table43[[#This Row],[Item Cost]]*Table43[[#This Row],[In Stock]]</f>
        <v>957</v>
      </c>
      <c r="J248" s="12" t="s">
        <v>4941</v>
      </c>
      <c r="K248" s="13" t="s">
        <v>4664</v>
      </c>
      <c r="L248" s="13" t="s">
        <v>4673</v>
      </c>
      <c r="M248" s="13" t="s">
        <v>4771</v>
      </c>
      <c r="N248" s="12" t="s">
        <v>4672</v>
      </c>
      <c r="O248" s="17" t="str">
        <f>IF(LEN(COUNTIFS($J$1:J248,$J248,$K$1:K248,$K248,$L$1:L248,$L248,$M$1:M248,M248,$N$1:N248,N248))=1,"00"&amp;COUNTIFS($J$1:J248,$J248,$K$1:K248,$K248,$L$1:L248,$L248,$M$1:M248,M248,$N$1:N248,N248),IF(LEN(COUNTIFS($J$1:J248,$J248,$K$1:K248,$K248,$L$1:L248,$L248,$M$1:M248,M248,$N$1:N248,N248))=2,"0"&amp;COUNTIFS($J$1:J248,$J248,$K$1:K248,$K248,$L$1:L248,$L248,$M$1:M248,M248,$N$1:N248,N248),COUNTIFS($J$1:J248,$J248,$K$1:K248,$K248,$L$1:L248,$L248,$M$1:M248,M248,$N$1:N248,N248)))</f>
        <v>002</v>
      </c>
      <c r="P24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MS-CS-001-05-00002-INV</v>
      </c>
      <c r="Q248" s="59" t="s">
        <v>7341</v>
      </c>
      <c r="R248" s="34" t="s">
        <v>6064</v>
      </c>
      <c r="S248" s="34" t="s">
        <v>972</v>
      </c>
      <c r="T248" s="34">
        <f>+IFERROR(_xlfn.XLOOKUP(Table43[[#This Row],[Column1]],#REF!,#REF!),0)</f>
        <v>0</v>
      </c>
      <c r="U248" s="50">
        <f>IFERROR(_xlfn.XLOOKUP(Table43[[#This Row],[Column1]],#REF!,#REF!),0)</f>
        <v>0</v>
      </c>
      <c r="V248" s="39"/>
    </row>
    <row r="249" spans="1:22" x14ac:dyDescent="0.35">
      <c r="A249" s="3" t="s">
        <v>973</v>
      </c>
      <c r="B249" s="3" t="s">
        <v>974</v>
      </c>
      <c r="C249" s="3" t="s">
        <v>9</v>
      </c>
      <c r="D249" s="3">
        <v>195.375</v>
      </c>
      <c r="E249" s="3" t="s">
        <v>10</v>
      </c>
      <c r="F249" s="2">
        <v>1</v>
      </c>
      <c r="G249" s="3">
        <v>3</v>
      </c>
      <c r="H249" s="3">
        <v>4</v>
      </c>
      <c r="I249" s="21">
        <f>Table43[[#This Row],[Item Cost]]*Table43[[#This Row],[In Stock]]</f>
        <v>781.5</v>
      </c>
      <c r="J249" s="12" t="s">
        <v>4941</v>
      </c>
      <c r="K249" s="13" t="s">
        <v>4664</v>
      </c>
      <c r="L249" s="13" t="s">
        <v>4673</v>
      </c>
      <c r="M249" s="13" t="s">
        <v>4771</v>
      </c>
      <c r="N249" s="12" t="s">
        <v>4672</v>
      </c>
      <c r="O249" s="17" t="str">
        <f>IF(LEN(COUNTIFS($J$1:J249,$J249,$K$1:K249,$K249,$L$1:L249,$L249,$M$1:M249,M249,$N$1:N249,N249))=1,"00"&amp;COUNTIFS($J$1:J249,$J249,$K$1:K249,$K249,$L$1:L249,$L249,$M$1:M249,M249,$N$1:N249,N249),IF(LEN(COUNTIFS($J$1:J249,$J249,$K$1:K249,$K249,$L$1:L249,$L249,$M$1:M249,M249,$N$1:N249,N249))=2,"0"&amp;COUNTIFS($J$1:J249,$J249,$K$1:K249,$K249,$L$1:L249,$L249,$M$1:M249,M249,$N$1:N249,N249),COUNTIFS($J$1:J249,$J249,$K$1:K249,$K249,$L$1:L249,$L249,$M$1:M249,M249,$N$1:N249,N249)))</f>
        <v>003</v>
      </c>
      <c r="P24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MS-CS-001-05-00003-INV</v>
      </c>
      <c r="Q249" s="59" t="s">
        <v>7341</v>
      </c>
      <c r="R249" s="34" t="s">
        <v>6065</v>
      </c>
      <c r="S249" s="34" t="s">
        <v>974</v>
      </c>
      <c r="T249" s="34">
        <f>+IFERROR(_xlfn.XLOOKUP(Table43[[#This Row],[Column1]],#REF!,#REF!),0)</f>
        <v>0</v>
      </c>
      <c r="U249" s="50">
        <f>IFERROR(_xlfn.XLOOKUP(Table43[[#This Row],[Column1]],#REF!,#REF!),0)</f>
        <v>0</v>
      </c>
      <c r="V249" s="39"/>
    </row>
    <row r="250" spans="1:22" x14ac:dyDescent="0.35">
      <c r="A250" s="2" t="s">
        <v>975</v>
      </c>
      <c r="B250" s="2" t="s">
        <v>976</v>
      </c>
      <c r="C250" s="2" t="s">
        <v>9</v>
      </c>
      <c r="D250" s="2">
        <v>420</v>
      </c>
      <c r="E250" s="2" t="s">
        <v>10</v>
      </c>
      <c r="F250" s="2">
        <v>1</v>
      </c>
      <c r="G250" s="2">
        <v>3</v>
      </c>
      <c r="H250" s="2">
        <v>1</v>
      </c>
      <c r="I250" s="22">
        <f>Table43[[#This Row],[Item Cost]]*Table43[[#This Row],[In Stock]]</f>
        <v>420</v>
      </c>
      <c r="J250" s="12" t="s">
        <v>4941</v>
      </c>
      <c r="K250" s="13" t="s">
        <v>4664</v>
      </c>
      <c r="L250" s="13" t="s">
        <v>4673</v>
      </c>
      <c r="M250" s="13" t="s">
        <v>4771</v>
      </c>
      <c r="N250" s="12" t="s">
        <v>4672</v>
      </c>
      <c r="O250" s="17" t="str">
        <f>IF(LEN(COUNTIFS($J$1:J250,$J250,$K$1:K250,$K250,$L$1:L250,$L250,$M$1:M250,M250,$N$1:N250,N250))=1,"00"&amp;COUNTIFS($J$1:J250,$J250,$K$1:K250,$K250,$L$1:L250,$L250,$M$1:M250,M250,$N$1:N250,N250),IF(LEN(COUNTIFS($J$1:J250,$J250,$K$1:K250,$K250,$L$1:L250,$L250,$M$1:M250,M250,$N$1:N250,N250))=2,"0"&amp;COUNTIFS($J$1:J250,$J250,$K$1:K250,$K250,$L$1:L250,$L250,$M$1:M250,M250,$N$1:N250,N250),COUNTIFS($J$1:J250,$J250,$K$1:K250,$K250,$L$1:L250,$L250,$M$1:M250,M250,$N$1:N250,N250)))</f>
        <v>004</v>
      </c>
      <c r="P25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MS-CS-001-05-00004-INV</v>
      </c>
      <c r="Q250" s="59" t="s">
        <v>7341</v>
      </c>
      <c r="R250" s="34" t="s">
        <v>6066</v>
      </c>
      <c r="S250" s="34" t="s">
        <v>976</v>
      </c>
      <c r="T250" s="34">
        <f>+IFERROR(_xlfn.XLOOKUP(Table43[[#This Row],[Column1]],#REF!,#REF!),0)</f>
        <v>0</v>
      </c>
      <c r="U250" s="50">
        <f>IFERROR(_xlfn.XLOOKUP(Table43[[#This Row],[Column1]],#REF!,#REF!),0)</f>
        <v>0</v>
      </c>
      <c r="V250" s="39"/>
    </row>
    <row r="251" spans="1:22" x14ac:dyDescent="0.35">
      <c r="A251" s="3" t="s">
        <v>977</v>
      </c>
      <c r="B251" s="3" t="s">
        <v>978</v>
      </c>
      <c r="C251" s="3" t="s">
        <v>9</v>
      </c>
      <c r="D251" s="3">
        <v>135</v>
      </c>
      <c r="E251" s="3" t="s">
        <v>10</v>
      </c>
      <c r="F251" s="2">
        <v>1</v>
      </c>
      <c r="G251" s="3">
        <v>3</v>
      </c>
      <c r="H251" s="3">
        <v>0</v>
      </c>
      <c r="I251" s="21">
        <f>Table43[[#This Row],[Item Cost]]*Table43[[#This Row],[In Stock]]</f>
        <v>0</v>
      </c>
      <c r="J251" s="12" t="s">
        <v>4941</v>
      </c>
      <c r="K251" s="13" t="s">
        <v>4664</v>
      </c>
      <c r="L251" s="13" t="s">
        <v>4673</v>
      </c>
      <c r="M251" s="13" t="s">
        <v>4771</v>
      </c>
      <c r="N251" s="12" t="s">
        <v>4672</v>
      </c>
      <c r="O251" s="17" t="str">
        <f>IF(LEN(COUNTIFS($J$1:J251,$J251,$K$1:K251,$K251,$L$1:L251,$L251,$M$1:M251,M251,$N$1:N251,N251))=1,"00"&amp;COUNTIFS($J$1:J251,$J251,$K$1:K251,$K251,$L$1:L251,$L251,$M$1:M251,M251,$N$1:N251,N251),IF(LEN(COUNTIFS($J$1:J251,$J251,$K$1:K251,$K251,$L$1:L251,$L251,$M$1:M251,M251,$N$1:N251,N251))=2,"0"&amp;COUNTIFS($J$1:J251,$J251,$K$1:K251,$K251,$L$1:L251,$L251,$M$1:M251,M251,$N$1:N251,N251),COUNTIFS($J$1:J251,$J251,$K$1:K251,$K251,$L$1:L251,$L251,$M$1:M251,M251,$N$1:N251,N251)))</f>
        <v>005</v>
      </c>
      <c r="P25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MS-CS-001-05-00005-INV</v>
      </c>
      <c r="Q251" s="59" t="s">
        <v>7341</v>
      </c>
      <c r="R251" s="34" t="s">
        <v>6067</v>
      </c>
      <c r="S251" s="34" t="s">
        <v>978</v>
      </c>
      <c r="T251" s="34">
        <f>+IFERROR(_xlfn.XLOOKUP(Table43[[#This Row],[Column1]],#REF!,#REF!),0)</f>
        <v>0</v>
      </c>
      <c r="U251" s="50">
        <f>IFERROR(_xlfn.XLOOKUP(Table43[[#This Row],[Column1]],#REF!,#REF!),0)</f>
        <v>0</v>
      </c>
      <c r="V251" s="39"/>
    </row>
    <row r="252" spans="1:22" x14ac:dyDescent="0.35">
      <c r="A252" s="2" t="s">
        <v>979</v>
      </c>
      <c r="B252" s="2" t="s">
        <v>980</v>
      </c>
      <c r="C252" s="2" t="s">
        <v>9</v>
      </c>
      <c r="D252" s="2">
        <v>54</v>
      </c>
      <c r="E252" s="2" t="s">
        <v>10</v>
      </c>
      <c r="F252" s="2">
        <v>1</v>
      </c>
      <c r="G252" s="2">
        <v>3</v>
      </c>
      <c r="H252" s="2">
        <v>1</v>
      </c>
      <c r="I252" s="22">
        <f>Table43[[#This Row],[Item Cost]]*Table43[[#This Row],[In Stock]]</f>
        <v>54</v>
      </c>
      <c r="J252" s="12" t="s">
        <v>4941</v>
      </c>
      <c r="K252" s="13" t="s">
        <v>4664</v>
      </c>
      <c r="L252" s="13" t="s">
        <v>4673</v>
      </c>
      <c r="M252" s="13" t="s">
        <v>3950</v>
      </c>
      <c r="N252" s="12" t="s">
        <v>4672</v>
      </c>
      <c r="O252" s="17" t="str">
        <f>IF(LEN(COUNTIFS($J$1:J252,$J252,$K$1:K252,$K252,$L$1:L252,$L252,$M$1:M252,M252,$N$1:N252,N252))=1,"00"&amp;COUNTIFS($J$1:J252,$J252,$K$1:K252,$K252,$L$1:L252,$L252,$M$1:M252,M252,$N$1:N252,N252),IF(LEN(COUNTIFS($J$1:J252,$J252,$K$1:K252,$K252,$L$1:L252,$L252,$M$1:M252,M252,$N$1:N252,N252))=2,"0"&amp;COUNTIFS($J$1:J252,$J252,$K$1:K252,$K252,$L$1:L252,$L252,$M$1:M252,M252,$N$1:N252,N252),COUNTIFS($J$1:J252,$J252,$K$1:K252,$K252,$L$1:L252,$L252,$M$1:M252,M252,$N$1:N252,N252)))</f>
        <v>001</v>
      </c>
      <c r="P25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MS-CS-001-22-00001-INV</v>
      </c>
      <c r="Q252" s="59" t="s">
        <v>7334</v>
      </c>
      <c r="R252" s="34" t="s">
        <v>6068</v>
      </c>
      <c r="S252" s="34" t="s">
        <v>980</v>
      </c>
      <c r="T252" s="34">
        <f>+IFERROR(_xlfn.XLOOKUP(Table43[[#This Row],[Column1]],#REF!,#REF!),0)</f>
        <v>0</v>
      </c>
      <c r="U252" s="50">
        <f>IFERROR(_xlfn.XLOOKUP(Table43[[#This Row],[Column1]],#REF!,#REF!),0)</f>
        <v>0</v>
      </c>
      <c r="V252" s="39"/>
    </row>
    <row r="253" spans="1:22" x14ac:dyDescent="0.35">
      <c r="A253" s="3" t="s">
        <v>981</v>
      </c>
      <c r="B253" s="3" t="s">
        <v>982</v>
      </c>
      <c r="C253" s="3" t="s">
        <v>9</v>
      </c>
      <c r="D253" s="3">
        <v>50</v>
      </c>
      <c r="E253" s="3" t="s">
        <v>10</v>
      </c>
      <c r="F253" s="2">
        <v>1</v>
      </c>
      <c r="G253" s="3">
        <v>3</v>
      </c>
      <c r="H253" s="3">
        <v>16</v>
      </c>
      <c r="I253" s="21">
        <f>Table43[[#This Row],[Item Cost]]*Table43[[#This Row],[In Stock]]</f>
        <v>800</v>
      </c>
      <c r="J253" s="12" t="s">
        <v>4941</v>
      </c>
      <c r="K253" s="13" t="s">
        <v>4664</v>
      </c>
      <c r="L253" s="13" t="s">
        <v>4673</v>
      </c>
      <c r="M253" s="13" t="s">
        <v>3950</v>
      </c>
      <c r="N253" s="12" t="s">
        <v>4672</v>
      </c>
      <c r="O253" s="17" t="str">
        <f>IF(LEN(COUNTIFS($J$1:J253,$J253,$K$1:K253,$K253,$L$1:L253,$L253,$M$1:M253,M253,$N$1:N253,N253))=1,"00"&amp;COUNTIFS($J$1:J253,$J253,$K$1:K253,$K253,$L$1:L253,$L253,$M$1:M253,M253,$N$1:N253,N253),IF(LEN(COUNTIFS($J$1:J253,$J253,$K$1:K253,$K253,$L$1:L253,$L253,$M$1:M253,M253,$N$1:N253,N253))=2,"0"&amp;COUNTIFS($J$1:J253,$J253,$K$1:K253,$K253,$L$1:L253,$L253,$M$1:M253,M253,$N$1:N253,N253),COUNTIFS($J$1:J253,$J253,$K$1:K253,$K253,$L$1:L253,$L253,$M$1:M253,M253,$N$1:N253,N253)))</f>
        <v>002</v>
      </c>
      <c r="P25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MS-CS-001-22-00002-INV</v>
      </c>
      <c r="Q253" s="59" t="s">
        <v>7334</v>
      </c>
      <c r="R253" s="34" t="s">
        <v>6069</v>
      </c>
      <c r="S253" s="34" t="s">
        <v>982</v>
      </c>
      <c r="T253" s="34">
        <f>+IFERROR(_xlfn.XLOOKUP(Table43[[#This Row],[Column1]],#REF!,#REF!),0)</f>
        <v>0</v>
      </c>
      <c r="U253" s="50">
        <f>IFERROR(_xlfn.XLOOKUP(Table43[[#This Row],[Column1]],#REF!,#REF!),0)</f>
        <v>0</v>
      </c>
      <c r="V253" s="39"/>
    </row>
    <row r="254" spans="1:22" x14ac:dyDescent="0.35">
      <c r="A254" s="2" t="s">
        <v>983</v>
      </c>
      <c r="B254" s="2" t="s">
        <v>984</v>
      </c>
      <c r="C254" s="2" t="s">
        <v>15</v>
      </c>
      <c r="D254" s="4">
        <v>2430</v>
      </c>
      <c r="E254" s="2" t="s">
        <v>10</v>
      </c>
      <c r="F254" s="2">
        <v>1</v>
      </c>
      <c r="G254" s="2">
        <v>3</v>
      </c>
      <c r="H254" s="2">
        <v>0</v>
      </c>
      <c r="I254" s="22">
        <f>Table43[[#This Row],[Item Cost]]*Table43[[#This Row],[In Stock]]</f>
        <v>0</v>
      </c>
      <c r="J254" s="12" t="s">
        <v>4941</v>
      </c>
      <c r="K254" s="13" t="s">
        <v>4666</v>
      </c>
      <c r="L254" s="13" t="s">
        <v>4673</v>
      </c>
      <c r="M254" s="13" t="s">
        <v>4772</v>
      </c>
      <c r="N254" s="12" t="s">
        <v>4672</v>
      </c>
      <c r="O254" s="17" t="str">
        <f>IF(LEN(COUNTIFS($J$1:J254,$J254,$K$1:K254,$K254,$L$1:L254,$L254,$M$1:M254,M254,$N$1:N254,N254))=1,"00"&amp;COUNTIFS($J$1:J254,$J254,$K$1:K254,$K254,$L$1:L254,$L254,$M$1:M254,M254,$N$1:N254,N254),IF(LEN(COUNTIFS($J$1:J254,$J254,$K$1:K254,$K254,$L$1:L254,$L254,$M$1:M254,M254,$N$1:N254,N254))=2,"0"&amp;COUNTIFS($J$1:J254,$J254,$K$1:K254,$K254,$L$1:L254,$L254,$M$1:M254,M254,$N$1:N254,N254),COUNTIFS($J$1:J254,$J254,$K$1:K254,$K254,$L$1:L254,$L254,$M$1:M254,M254,$N$1:N254,N254)))</f>
        <v>001</v>
      </c>
      <c r="P25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MS-NS-001-06-00001-INV</v>
      </c>
      <c r="Q254" s="59"/>
      <c r="R254" s="34" t="s">
        <v>6070</v>
      </c>
      <c r="S254" s="34" t="s">
        <v>984</v>
      </c>
      <c r="T254" s="34">
        <f>+IFERROR(_xlfn.XLOOKUP(Table43[[#This Row],[Column1]],#REF!,#REF!),0)</f>
        <v>0</v>
      </c>
      <c r="U254" s="50">
        <f>IFERROR(_xlfn.XLOOKUP(Table43[[#This Row],[Column1]],#REF!,#REF!),0)</f>
        <v>0</v>
      </c>
      <c r="V254" s="39"/>
    </row>
    <row r="255" spans="1:22" x14ac:dyDescent="0.35">
      <c r="A255" s="3" t="s">
        <v>985</v>
      </c>
      <c r="B255" s="3" t="s">
        <v>986</v>
      </c>
      <c r="C255" s="3" t="s">
        <v>15</v>
      </c>
      <c r="D255" s="5">
        <v>1500</v>
      </c>
      <c r="E255" s="3" t="s">
        <v>10</v>
      </c>
      <c r="F255" s="2">
        <v>1</v>
      </c>
      <c r="G255" s="2">
        <v>2</v>
      </c>
      <c r="H255" s="3">
        <v>0</v>
      </c>
      <c r="I255" s="21">
        <f>Table43[[#This Row],[Item Cost]]*Table43[[#This Row],[In Stock]]</f>
        <v>0</v>
      </c>
      <c r="J255" s="12" t="s">
        <v>4941</v>
      </c>
      <c r="K255" s="13" t="s">
        <v>4666</v>
      </c>
      <c r="L255" s="13" t="s">
        <v>4673</v>
      </c>
      <c r="M255" s="13" t="s">
        <v>4772</v>
      </c>
      <c r="N255" s="12" t="s">
        <v>4672</v>
      </c>
      <c r="O255" s="17" t="str">
        <f>IF(LEN(COUNTIFS($J$1:J255,$J255,$K$1:K255,$K255,$L$1:L255,$L255,$M$1:M255,M255,$N$1:N255,N255))=1,"00"&amp;COUNTIFS($J$1:J255,$J255,$K$1:K255,$K255,$L$1:L255,$L255,$M$1:M255,M255,$N$1:N255,N255),IF(LEN(COUNTIFS($J$1:J255,$J255,$K$1:K255,$K255,$L$1:L255,$L255,$M$1:M255,M255,$N$1:N255,N255))=2,"0"&amp;COUNTIFS($J$1:J255,$J255,$K$1:K255,$K255,$L$1:L255,$L255,$M$1:M255,M255,$N$1:N255,N255),COUNTIFS($J$1:J255,$J255,$K$1:K255,$K255,$L$1:L255,$L255,$M$1:M255,M255,$N$1:N255,N255)))</f>
        <v>002</v>
      </c>
      <c r="P25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MS-NS-001-06-00002-INV</v>
      </c>
      <c r="Q255" s="59"/>
      <c r="R255" s="34" t="s">
        <v>6071</v>
      </c>
      <c r="S255" s="34" t="s">
        <v>986</v>
      </c>
      <c r="T255" s="34">
        <f>+IFERROR(_xlfn.XLOOKUP(Table43[[#This Row],[Column1]],#REF!,#REF!),0)</f>
        <v>0</v>
      </c>
      <c r="U255" s="50">
        <f>IFERROR(_xlfn.XLOOKUP(Table43[[#This Row],[Column1]],#REF!,#REF!),0)</f>
        <v>0</v>
      </c>
      <c r="V255" s="39"/>
    </row>
    <row r="256" spans="1:22" x14ac:dyDescent="0.35">
      <c r="A256" s="2" t="s">
        <v>987</v>
      </c>
      <c r="B256" s="2" t="s">
        <v>988</v>
      </c>
      <c r="C256" s="2" t="s">
        <v>9</v>
      </c>
      <c r="D256" s="2">
        <v>185</v>
      </c>
      <c r="E256" s="2" t="s">
        <v>10</v>
      </c>
      <c r="F256" s="2">
        <v>1</v>
      </c>
      <c r="G256" s="2">
        <v>3</v>
      </c>
      <c r="H256" s="2">
        <v>1</v>
      </c>
      <c r="I256" s="22">
        <f>Table43[[#This Row],[Item Cost]]*Table43[[#This Row],[In Stock]]</f>
        <v>185</v>
      </c>
      <c r="J256" s="12" t="s">
        <v>4941</v>
      </c>
      <c r="K256" s="13" t="s">
        <v>4664</v>
      </c>
      <c r="L256" s="13" t="s">
        <v>4673</v>
      </c>
      <c r="M256" s="13" t="s">
        <v>4859</v>
      </c>
      <c r="N256" s="12" t="s">
        <v>4672</v>
      </c>
      <c r="O256" s="17" t="str">
        <f>IF(LEN(COUNTIFS($J$1:J256,$J256,$K$1:K256,$K256,$L$1:L256,$L256,$M$1:M256,M256,$N$1:N256,N256))=1,"00"&amp;COUNTIFS($J$1:J256,$J256,$K$1:K256,$K256,$L$1:L256,$L256,$M$1:M256,M256,$N$1:N256,N256),IF(LEN(COUNTIFS($J$1:J256,$J256,$K$1:K256,$K256,$L$1:L256,$L256,$M$1:M256,M256,$N$1:N256,N256))=2,"0"&amp;COUNTIFS($J$1:J256,$J256,$K$1:K256,$K256,$L$1:L256,$L256,$M$1:M256,M256,$N$1:N256,N256),COUNTIFS($J$1:J256,$J256,$K$1:K256,$K256,$L$1:L256,$L256,$M$1:M256,M256,$N$1:N256,N256)))</f>
        <v>001</v>
      </c>
      <c r="P25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MS-CS-001-30-00001-INV</v>
      </c>
      <c r="Q256" s="59"/>
      <c r="R256" s="34" t="s">
        <v>6072</v>
      </c>
      <c r="S256" s="34" t="s">
        <v>988</v>
      </c>
      <c r="T256" s="34">
        <f>+IFERROR(_xlfn.XLOOKUP(Table43[[#This Row],[Column1]],#REF!,#REF!),0)</f>
        <v>0</v>
      </c>
      <c r="U256" s="50">
        <f>IFERROR(_xlfn.XLOOKUP(Table43[[#This Row],[Column1]],#REF!,#REF!),0)</f>
        <v>0</v>
      </c>
      <c r="V256" s="39"/>
    </row>
    <row r="257" spans="1:22" x14ac:dyDescent="0.35">
      <c r="A257" s="3" t="s">
        <v>989</v>
      </c>
      <c r="B257" s="3" t="s">
        <v>990</v>
      </c>
      <c r="C257" s="3" t="s">
        <v>9</v>
      </c>
      <c r="D257" s="5">
        <v>3875.5</v>
      </c>
      <c r="E257" s="3" t="s">
        <v>10</v>
      </c>
      <c r="F257" s="2">
        <v>1</v>
      </c>
      <c r="G257" s="3">
        <v>2</v>
      </c>
      <c r="H257" s="3">
        <v>1</v>
      </c>
      <c r="I257" s="21">
        <f>Table43[[#This Row],[Item Cost]]*Table43[[#This Row],[In Stock]]</f>
        <v>3875.5</v>
      </c>
      <c r="J257" s="12" t="s">
        <v>4941</v>
      </c>
      <c r="K257" s="13" t="s">
        <v>4664</v>
      </c>
      <c r="L257" s="13" t="s">
        <v>4673</v>
      </c>
      <c r="M257" s="13" t="s">
        <v>4837</v>
      </c>
      <c r="N257" s="12" t="s">
        <v>4672</v>
      </c>
      <c r="O257" s="17" t="str">
        <f>IF(LEN(COUNTIFS($J$1:J257,$J257,$K$1:K257,$K257,$L$1:L257,$L257,$M$1:M257,M257,$N$1:N257,N257))=1,"00"&amp;COUNTIFS($J$1:J257,$J257,$K$1:K257,$K257,$L$1:L257,$L257,$M$1:M257,M257,$N$1:N257,N257),IF(LEN(COUNTIFS($J$1:J257,$J257,$K$1:K257,$K257,$L$1:L257,$L257,$M$1:M257,M257,$N$1:N257,N257))=2,"0"&amp;COUNTIFS($J$1:J257,$J257,$K$1:K257,$K257,$L$1:L257,$L257,$M$1:M257,M257,$N$1:N257,N257),COUNTIFS($J$1:J257,$J257,$K$1:K257,$K257,$L$1:L257,$L257,$M$1:M257,M257,$N$1:N257,N257)))</f>
        <v>001</v>
      </c>
      <c r="P25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MS-CS-001-26-00001-INV</v>
      </c>
      <c r="Q257" s="59" t="s">
        <v>7340</v>
      </c>
      <c r="R257" s="34" t="s">
        <v>6073</v>
      </c>
      <c r="S257" s="34" t="s">
        <v>990</v>
      </c>
      <c r="T257" s="34">
        <f>+IFERROR(_xlfn.XLOOKUP(Table43[[#This Row],[Column1]],#REF!,#REF!),0)</f>
        <v>0</v>
      </c>
      <c r="U257" s="50">
        <f>IFERROR(_xlfn.XLOOKUP(Table43[[#This Row],[Column1]],#REF!,#REF!),0)</f>
        <v>0</v>
      </c>
      <c r="V257" s="39"/>
    </row>
    <row r="258" spans="1:22" x14ac:dyDescent="0.35">
      <c r="A258" s="2" t="s">
        <v>991</v>
      </c>
      <c r="B258" s="2" t="s">
        <v>992</v>
      </c>
      <c r="C258" s="2" t="s">
        <v>9</v>
      </c>
      <c r="D258" s="2">
        <v>215.333</v>
      </c>
      <c r="E258" s="2" t="s">
        <v>10</v>
      </c>
      <c r="F258" s="2">
        <v>1</v>
      </c>
      <c r="G258" s="2">
        <v>2</v>
      </c>
      <c r="H258" s="2">
        <v>4</v>
      </c>
      <c r="I258" s="22">
        <f>Table43[[#This Row],[Item Cost]]*Table43[[#This Row],[In Stock]]</f>
        <v>861.33199999999999</v>
      </c>
      <c r="J258" s="12" t="s">
        <v>4941</v>
      </c>
      <c r="K258" s="13" t="s">
        <v>4664</v>
      </c>
      <c r="L258" s="13" t="s">
        <v>4673</v>
      </c>
      <c r="M258" s="13" t="s">
        <v>4693</v>
      </c>
      <c r="N258" s="12" t="s">
        <v>4672</v>
      </c>
      <c r="O258" s="17" t="str">
        <f>IF(LEN(COUNTIFS($J$1:J258,$J258,$K$1:K258,$K258,$L$1:L258,$L258,$M$1:M258,M258,$N$1:N258,N258))=1,"00"&amp;COUNTIFS($J$1:J258,$J258,$K$1:K258,$K258,$L$1:L258,$L258,$M$1:M258,M258,$N$1:N258,N258),IF(LEN(COUNTIFS($J$1:J258,$J258,$K$1:K258,$K258,$L$1:L258,$L258,$M$1:M258,M258,$N$1:N258,N258))=2,"0"&amp;COUNTIFS($J$1:J258,$J258,$K$1:K258,$K258,$L$1:L258,$L258,$M$1:M258,M258,$N$1:N258,N258),COUNTIFS($J$1:J258,$J258,$K$1:K258,$K258,$L$1:L258,$L258,$M$1:M258,M258,$N$1:N258,N258)))</f>
        <v>001</v>
      </c>
      <c r="P25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MS-CS-001-23-00001-INV</v>
      </c>
      <c r="Q258" s="59" t="s">
        <v>7334</v>
      </c>
      <c r="R258" s="34" t="s">
        <v>6074</v>
      </c>
      <c r="S258" s="34" t="s">
        <v>992</v>
      </c>
      <c r="T258" s="34">
        <f>+IFERROR(_xlfn.XLOOKUP(Table43[[#This Row],[Column1]],#REF!,#REF!),0)</f>
        <v>0</v>
      </c>
      <c r="U258" s="50">
        <f>IFERROR(_xlfn.XLOOKUP(Table43[[#This Row],[Column1]],#REF!,#REF!),0)</f>
        <v>0</v>
      </c>
      <c r="V258" s="39"/>
    </row>
    <row r="259" spans="1:22" x14ac:dyDescent="0.35">
      <c r="A259" s="3" t="s">
        <v>993</v>
      </c>
      <c r="B259" s="3" t="s">
        <v>994</v>
      </c>
      <c r="C259" s="3" t="s">
        <v>9</v>
      </c>
      <c r="D259" s="5">
        <v>1250</v>
      </c>
      <c r="E259" s="3" t="s">
        <v>10</v>
      </c>
      <c r="F259" s="2">
        <v>1</v>
      </c>
      <c r="G259" s="3">
        <v>2</v>
      </c>
      <c r="H259" s="3">
        <v>4</v>
      </c>
      <c r="I259" s="21">
        <f>Table43[[#This Row],[Item Cost]]*Table43[[#This Row],[In Stock]]</f>
        <v>5000</v>
      </c>
      <c r="J259" s="12" t="s">
        <v>4941</v>
      </c>
      <c r="K259" s="13" t="s">
        <v>4664</v>
      </c>
      <c r="L259" s="13" t="s">
        <v>4673</v>
      </c>
      <c r="M259" s="13" t="s">
        <v>4837</v>
      </c>
      <c r="N259" s="12" t="s">
        <v>4672</v>
      </c>
      <c r="O259" s="17" t="str">
        <f>IF(LEN(COUNTIFS($J$1:J259,$J259,$K$1:K259,$K259,$L$1:L259,$L259,$M$1:M259,M259,$N$1:N259,N259))=1,"00"&amp;COUNTIFS($J$1:J259,$J259,$K$1:K259,$K259,$L$1:L259,$L259,$M$1:M259,M259,$N$1:N259,N259),IF(LEN(COUNTIFS($J$1:J259,$J259,$K$1:K259,$K259,$L$1:L259,$L259,$M$1:M259,M259,$N$1:N259,N259))=2,"0"&amp;COUNTIFS($J$1:J259,$J259,$K$1:K259,$K259,$L$1:L259,$L259,$M$1:M259,M259,$N$1:N259,N259),COUNTIFS($J$1:J259,$J259,$K$1:K259,$K259,$L$1:L259,$L259,$M$1:M259,M259,$N$1:N259,N259)))</f>
        <v>002</v>
      </c>
      <c r="P25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MS-CS-001-26-00002-INV</v>
      </c>
      <c r="Q259" s="59" t="s">
        <v>7341</v>
      </c>
      <c r="R259" s="34" t="s">
        <v>6075</v>
      </c>
      <c r="S259" s="34" t="s">
        <v>994</v>
      </c>
      <c r="T259" s="34">
        <f>+IFERROR(_xlfn.XLOOKUP(Table43[[#This Row],[Column1]],#REF!,#REF!),0)</f>
        <v>0</v>
      </c>
      <c r="U259" s="50">
        <f>IFERROR(_xlfn.XLOOKUP(Table43[[#This Row],[Column1]],#REF!,#REF!),0)</f>
        <v>0</v>
      </c>
      <c r="V259" s="39"/>
    </row>
    <row r="260" spans="1:22" x14ac:dyDescent="0.35">
      <c r="A260" s="2" t="s">
        <v>995</v>
      </c>
      <c r="B260" s="2" t="s">
        <v>996</v>
      </c>
      <c r="C260" s="2" t="s">
        <v>9</v>
      </c>
      <c r="D260" s="2">
        <v>195</v>
      </c>
      <c r="E260" s="2" t="s">
        <v>10</v>
      </c>
      <c r="F260" s="2">
        <v>1</v>
      </c>
      <c r="G260" s="2">
        <v>2</v>
      </c>
      <c r="H260" s="2">
        <v>3</v>
      </c>
      <c r="I260" s="22">
        <f>Table43[[#This Row],[Item Cost]]*Table43[[#This Row],[In Stock]]</f>
        <v>585</v>
      </c>
      <c r="J260" s="12" t="s">
        <v>4941</v>
      </c>
      <c r="K260" s="13" t="s">
        <v>4664</v>
      </c>
      <c r="L260" s="13" t="s">
        <v>4673</v>
      </c>
      <c r="M260" s="13" t="s">
        <v>4837</v>
      </c>
      <c r="N260" s="12" t="s">
        <v>4672</v>
      </c>
      <c r="O260" s="17" t="str">
        <f>IF(LEN(COUNTIFS($J$1:J260,$J260,$K$1:K260,$K260,$L$1:L260,$L260,$M$1:M260,M260,$N$1:N260,N260))=1,"00"&amp;COUNTIFS($J$1:J260,$J260,$K$1:K260,$K260,$L$1:L260,$L260,$M$1:M260,M260,$N$1:N260,N260),IF(LEN(COUNTIFS($J$1:J260,$J260,$K$1:K260,$K260,$L$1:L260,$L260,$M$1:M260,M260,$N$1:N260,N260))=2,"0"&amp;COUNTIFS($J$1:J260,$J260,$K$1:K260,$K260,$L$1:L260,$L260,$M$1:M260,M260,$N$1:N260,N260),COUNTIFS($J$1:J260,$J260,$K$1:K260,$K260,$L$1:L260,$L260,$M$1:M260,M260,$N$1:N260,N260)))</f>
        <v>003</v>
      </c>
      <c r="P26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MS-CS-001-26-00003-INV</v>
      </c>
      <c r="Q260" s="59"/>
      <c r="R260" s="34" t="s">
        <v>6076</v>
      </c>
      <c r="S260" s="34" t="s">
        <v>996</v>
      </c>
      <c r="T260" s="34">
        <f>+IFERROR(_xlfn.XLOOKUP(Table43[[#This Row],[Column1]],#REF!,#REF!),0)</f>
        <v>0</v>
      </c>
      <c r="U260" s="50">
        <f>IFERROR(_xlfn.XLOOKUP(Table43[[#This Row],[Column1]],#REF!,#REF!),0)</f>
        <v>0</v>
      </c>
      <c r="V260" s="39"/>
    </row>
    <row r="261" spans="1:22" x14ac:dyDescent="0.35">
      <c r="A261" s="3" t="s">
        <v>997</v>
      </c>
      <c r="B261" s="3" t="s">
        <v>998</v>
      </c>
      <c r="C261" s="3" t="s">
        <v>15</v>
      </c>
      <c r="D261" s="3">
        <v>65</v>
      </c>
      <c r="E261" s="3" t="s">
        <v>10</v>
      </c>
      <c r="F261" s="2">
        <v>1</v>
      </c>
      <c r="G261" s="2">
        <v>2</v>
      </c>
      <c r="H261" s="3">
        <v>0</v>
      </c>
      <c r="I261" s="21">
        <f>Table43[[#This Row],[Item Cost]]*Table43[[#This Row],[In Stock]]</f>
        <v>0</v>
      </c>
      <c r="J261" s="12" t="s">
        <v>4941</v>
      </c>
      <c r="K261" s="13" t="s">
        <v>4666</v>
      </c>
      <c r="L261" s="13" t="s">
        <v>4673</v>
      </c>
      <c r="M261" s="13" t="s">
        <v>3950</v>
      </c>
      <c r="N261" s="12" t="s">
        <v>4672</v>
      </c>
      <c r="O261" s="17" t="str">
        <f>IF(LEN(COUNTIFS($J$1:J261,$J261,$K$1:K261,$K261,$L$1:L261,$L261,$M$1:M261,M261,$N$1:N261,N261))=1,"00"&amp;COUNTIFS($J$1:J261,$J261,$K$1:K261,$K261,$L$1:L261,$L261,$M$1:M261,M261,$N$1:N261,N261),IF(LEN(COUNTIFS($J$1:J261,$J261,$K$1:K261,$K261,$L$1:L261,$L261,$M$1:M261,M261,$N$1:N261,N261))=2,"0"&amp;COUNTIFS($J$1:J261,$J261,$K$1:K261,$K261,$L$1:L261,$L261,$M$1:M261,M261,$N$1:N261,N261),COUNTIFS($J$1:J261,$J261,$K$1:K261,$K261,$L$1:L261,$L261,$M$1:M261,M261,$N$1:N261,N261)))</f>
        <v>001</v>
      </c>
      <c r="P26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MS-NS-001-22-00001-INV</v>
      </c>
      <c r="Q261" s="59"/>
      <c r="R261" s="34" t="s">
        <v>6077</v>
      </c>
      <c r="S261" s="34" t="s">
        <v>998</v>
      </c>
      <c r="T261" s="34">
        <f>+IFERROR(_xlfn.XLOOKUP(Table43[[#This Row],[Column1]],#REF!,#REF!),0)</f>
        <v>0</v>
      </c>
      <c r="U261" s="50">
        <f>IFERROR(_xlfn.XLOOKUP(Table43[[#This Row],[Column1]],#REF!,#REF!),0)</f>
        <v>0</v>
      </c>
      <c r="V261" s="39"/>
    </row>
    <row r="262" spans="1:22" x14ac:dyDescent="0.35">
      <c r="A262" s="2" t="s">
        <v>999</v>
      </c>
      <c r="B262" s="2" t="s">
        <v>1000</v>
      </c>
      <c r="C262" s="2" t="s">
        <v>9</v>
      </c>
      <c r="D262" s="4">
        <v>1050</v>
      </c>
      <c r="E262" s="2" t="s">
        <v>10</v>
      </c>
      <c r="F262" s="2">
        <v>1</v>
      </c>
      <c r="G262" s="2">
        <v>2</v>
      </c>
      <c r="H262" s="2">
        <v>6</v>
      </c>
      <c r="I262" s="22">
        <f>Table43[[#This Row],[Item Cost]]*Table43[[#This Row],[In Stock]]</f>
        <v>6300</v>
      </c>
      <c r="J262" s="12" t="s">
        <v>4941</v>
      </c>
      <c r="K262" s="13" t="s">
        <v>4664</v>
      </c>
      <c r="L262" s="13" t="s">
        <v>4673</v>
      </c>
      <c r="M262" s="13" t="s">
        <v>4828</v>
      </c>
      <c r="N262" s="12" t="s">
        <v>4672</v>
      </c>
      <c r="O262" s="17" t="str">
        <f>IF(LEN(COUNTIFS($J$1:J262,$J262,$K$1:K262,$K262,$L$1:L262,$L262,$M$1:M262,M262,$N$1:N262,N262))=1,"00"&amp;COUNTIFS($J$1:J262,$J262,$K$1:K262,$K262,$L$1:L262,$L262,$M$1:M262,M262,$N$1:N262,N262),IF(LEN(COUNTIFS($J$1:J262,$J262,$K$1:K262,$K262,$L$1:L262,$L262,$M$1:M262,M262,$N$1:N262,N262))=2,"0"&amp;COUNTIFS($J$1:J262,$J262,$K$1:K262,$K262,$L$1:L262,$L262,$M$1:M262,M262,$N$1:N262,N262),COUNTIFS($J$1:J262,$J262,$K$1:K262,$K262,$L$1:L262,$L262,$M$1:M262,M262,$N$1:N262,N262)))</f>
        <v>001</v>
      </c>
      <c r="P26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MS-CS-001-13-00001-INV</v>
      </c>
      <c r="Q262" s="59" t="s">
        <v>7342</v>
      </c>
      <c r="R262" s="34" t="s">
        <v>6078</v>
      </c>
      <c r="S262" s="34" t="s">
        <v>1000</v>
      </c>
      <c r="T262" s="34">
        <f>+IFERROR(_xlfn.XLOOKUP(Table43[[#This Row],[Column1]],#REF!,#REF!),0)</f>
        <v>0</v>
      </c>
      <c r="U262" s="50">
        <f>IFERROR(_xlfn.XLOOKUP(Table43[[#This Row],[Column1]],#REF!,#REF!),0)</f>
        <v>0</v>
      </c>
      <c r="V262" s="39"/>
    </row>
    <row r="263" spans="1:22" x14ac:dyDescent="0.35">
      <c r="A263" s="3" t="s">
        <v>1001</v>
      </c>
      <c r="B263" s="3" t="s">
        <v>1002</v>
      </c>
      <c r="C263" s="3" t="s">
        <v>15</v>
      </c>
      <c r="D263" s="3">
        <v>0</v>
      </c>
      <c r="E263" s="3" t="s">
        <v>10</v>
      </c>
      <c r="F263" s="2">
        <v>1</v>
      </c>
      <c r="G263" s="2">
        <v>2</v>
      </c>
      <c r="H263" s="3">
        <v>0</v>
      </c>
      <c r="I263" s="21">
        <f>Table43[[#This Row],[Item Cost]]*Table43[[#This Row],[In Stock]]</f>
        <v>0</v>
      </c>
      <c r="J263" s="12" t="s">
        <v>4941</v>
      </c>
      <c r="K263" s="13" t="s">
        <v>4666</v>
      </c>
      <c r="L263" s="13" t="s">
        <v>4673</v>
      </c>
      <c r="M263" s="13" t="s">
        <v>4828</v>
      </c>
      <c r="N263" s="12" t="s">
        <v>4672</v>
      </c>
      <c r="O263" s="17" t="str">
        <f>IF(LEN(COUNTIFS($J$1:J263,$J263,$K$1:K263,$K263,$L$1:L263,$L263,$M$1:M263,M263,$N$1:N263,N263))=1,"00"&amp;COUNTIFS($J$1:J263,$J263,$K$1:K263,$K263,$L$1:L263,$L263,$M$1:M263,M263,$N$1:N263,N263),IF(LEN(COUNTIFS($J$1:J263,$J263,$K$1:K263,$K263,$L$1:L263,$L263,$M$1:M263,M263,$N$1:N263,N263))=2,"0"&amp;COUNTIFS($J$1:J263,$J263,$K$1:K263,$K263,$L$1:L263,$L263,$M$1:M263,M263,$N$1:N263,N263),COUNTIFS($J$1:J263,$J263,$K$1:K263,$K263,$L$1:L263,$L263,$M$1:M263,M263,$N$1:N263,N263)))</f>
        <v>001</v>
      </c>
      <c r="P26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MS-NS-001-13-00001-INV</v>
      </c>
      <c r="Q263" s="59" t="s">
        <v>7343</v>
      </c>
      <c r="R263" s="34" t="s">
        <v>6079</v>
      </c>
      <c r="S263" s="34" t="s">
        <v>1002</v>
      </c>
      <c r="T263" s="34">
        <f>+IFERROR(_xlfn.XLOOKUP(Table43[[#This Row],[Column1]],#REF!,#REF!),0)</f>
        <v>0</v>
      </c>
      <c r="U263" s="50">
        <f>IFERROR(_xlfn.XLOOKUP(Table43[[#This Row],[Column1]],#REF!,#REF!),0)</f>
        <v>0</v>
      </c>
      <c r="V263" s="39"/>
    </row>
    <row r="264" spans="1:22" x14ac:dyDescent="0.35">
      <c r="A264" s="2" t="s">
        <v>5204</v>
      </c>
      <c r="B264" s="3" t="s">
        <v>1004</v>
      </c>
      <c r="C264" s="3" t="s">
        <v>15</v>
      </c>
      <c r="D264" s="3">
        <v>0</v>
      </c>
      <c r="E264" s="3" t="s">
        <v>10</v>
      </c>
      <c r="F264" s="2">
        <v>1</v>
      </c>
      <c r="G264" s="2">
        <v>2</v>
      </c>
      <c r="H264" s="3">
        <v>0</v>
      </c>
      <c r="I264" s="21">
        <f>Table43[[#This Row],[Item Cost]]*Table43[[#This Row],[In Stock]]</f>
        <v>0</v>
      </c>
      <c r="J264" s="12" t="s">
        <v>4941</v>
      </c>
      <c r="K264" s="13" t="s">
        <v>4666</v>
      </c>
      <c r="L264" s="13" t="s">
        <v>4673</v>
      </c>
      <c r="M264" s="13" t="s">
        <v>4837</v>
      </c>
      <c r="N264" s="12" t="s">
        <v>4672</v>
      </c>
      <c r="O264" s="17" t="str">
        <f>IF(LEN(COUNTIFS($J$1:J264,$J264,$K$1:K264,$K264,$L$1:L264,$L264,$M$1:M264,M264,$N$1:N264,N264))=1,"00"&amp;COUNTIFS($J$1:J264,$J264,$K$1:K264,$K264,$L$1:L264,$L264,$M$1:M264,M264,$N$1:N264,N264),IF(LEN(COUNTIFS($J$1:J264,$J264,$K$1:K264,$K264,$L$1:L264,$L264,$M$1:M264,M264,$N$1:N264,N264))=2,"0"&amp;COUNTIFS($J$1:J264,$J264,$K$1:K264,$K264,$L$1:L264,$L264,$M$1:M264,M264,$N$1:N264,N264),COUNTIFS($J$1:J264,$J264,$K$1:K264,$K264,$L$1:L264,$L264,$M$1:M264,M264,$N$1:N264,N264)))</f>
        <v>001</v>
      </c>
      <c r="P26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MS-NS-001-26-00001-INV</v>
      </c>
      <c r="Q264" s="59"/>
      <c r="R264" s="34" t="s">
        <v>6080</v>
      </c>
      <c r="S264" s="34" t="s">
        <v>1004</v>
      </c>
      <c r="T264" s="34">
        <f>+IFERROR(_xlfn.XLOOKUP(Table43[[#This Row],[Column1]],#REF!,#REF!),0)</f>
        <v>0</v>
      </c>
      <c r="U264" s="50">
        <f>IFERROR(_xlfn.XLOOKUP(Table43[[#This Row],[Column1]],#REF!,#REF!),0)</f>
        <v>0</v>
      </c>
      <c r="V264" s="39"/>
    </row>
    <row r="265" spans="1:22" x14ac:dyDescent="0.35">
      <c r="A265" s="3" t="s">
        <v>1003</v>
      </c>
      <c r="B265" s="2" t="s">
        <v>1006</v>
      </c>
      <c r="C265" s="2" t="s">
        <v>9</v>
      </c>
      <c r="D265" s="4">
        <v>6272</v>
      </c>
      <c r="E265" s="2" t="s">
        <v>10</v>
      </c>
      <c r="F265" s="2">
        <v>1</v>
      </c>
      <c r="G265" s="2">
        <v>2</v>
      </c>
      <c r="H265" s="2">
        <v>2</v>
      </c>
      <c r="I265" s="22">
        <f>Table43[[#This Row],[Item Cost]]*Table43[[#This Row],[In Stock]]</f>
        <v>12544</v>
      </c>
      <c r="J265" s="12" t="s">
        <v>4941</v>
      </c>
      <c r="K265" s="13" t="s">
        <v>4664</v>
      </c>
      <c r="L265" s="13" t="s">
        <v>4673</v>
      </c>
      <c r="M265" s="13" t="s">
        <v>4837</v>
      </c>
      <c r="N265" s="12" t="s">
        <v>4672</v>
      </c>
      <c r="O265" s="17" t="str">
        <f>IF(LEN(COUNTIFS($J$1:J265,$J265,$K$1:K265,$K265,$L$1:L265,$L265,$M$1:M265,M265,$N$1:N265,N265))=1,"00"&amp;COUNTIFS($J$1:J265,$J265,$K$1:K265,$K265,$L$1:L265,$L265,$M$1:M265,M265,$N$1:N265,N265),IF(LEN(COUNTIFS($J$1:J265,$J265,$K$1:K265,$K265,$L$1:L265,$L265,$M$1:M265,M265,$N$1:N265,N265))=2,"0"&amp;COUNTIFS($J$1:J265,$J265,$K$1:K265,$K265,$L$1:L265,$L265,$M$1:M265,M265,$N$1:N265,N265),COUNTIFS($J$1:J265,$J265,$K$1:K265,$K265,$L$1:L265,$L265,$M$1:M265,M265,$N$1:N265,N265)))</f>
        <v>004</v>
      </c>
      <c r="P26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MS-CS-001-26-00004-INV</v>
      </c>
      <c r="Q265" s="59" t="s">
        <v>7344</v>
      </c>
      <c r="R265" s="34" t="s">
        <v>6081</v>
      </c>
      <c r="S265" s="34" t="s">
        <v>1006</v>
      </c>
      <c r="T265" s="34">
        <f>+IFERROR(_xlfn.XLOOKUP(Table43[[#This Row],[Column1]],#REF!,#REF!),0)</f>
        <v>0</v>
      </c>
      <c r="U265" s="50">
        <f>IFERROR(_xlfn.XLOOKUP(Table43[[#This Row],[Column1]],#REF!,#REF!),0)</f>
        <v>0</v>
      </c>
      <c r="V265" s="39"/>
    </row>
    <row r="266" spans="1:22" x14ac:dyDescent="0.35">
      <c r="A266" s="2" t="s">
        <v>1005</v>
      </c>
      <c r="B266" s="3" t="s">
        <v>1008</v>
      </c>
      <c r="C266" s="3" t="s">
        <v>15</v>
      </c>
      <c r="D266" s="3">
        <v>0</v>
      </c>
      <c r="E266" s="3" t="s">
        <v>10</v>
      </c>
      <c r="F266" s="2">
        <v>1</v>
      </c>
      <c r="G266" s="2">
        <v>2</v>
      </c>
      <c r="H266" s="3">
        <v>0</v>
      </c>
      <c r="I266" s="21">
        <f>Table43[[#This Row],[Item Cost]]*Table43[[#This Row],[In Stock]]</f>
        <v>0</v>
      </c>
      <c r="J266" s="12" t="s">
        <v>4941</v>
      </c>
      <c r="K266" s="13" t="s">
        <v>4666</v>
      </c>
      <c r="L266" s="13" t="s">
        <v>4673</v>
      </c>
      <c r="M266" s="13" t="s">
        <v>4837</v>
      </c>
      <c r="N266" s="12" t="s">
        <v>4672</v>
      </c>
      <c r="O266" s="17" t="str">
        <f>IF(LEN(COUNTIFS($J$1:J266,$J266,$K$1:K266,$K266,$L$1:L266,$L266,$M$1:M266,M266,$N$1:N266,N266))=1,"00"&amp;COUNTIFS($J$1:J266,$J266,$K$1:K266,$K266,$L$1:L266,$L266,$M$1:M266,M266,$N$1:N266,N266),IF(LEN(COUNTIFS($J$1:J266,$J266,$K$1:K266,$K266,$L$1:L266,$L266,$M$1:M266,M266,$N$1:N266,N266))=2,"0"&amp;COUNTIFS($J$1:J266,$J266,$K$1:K266,$K266,$L$1:L266,$L266,$M$1:M266,M266,$N$1:N266,N266),COUNTIFS($J$1:J266,$J266,$K$1:K266,$K266,$L$1:L266,$L266,$M$1:M266,M266,$N$1:N266,N266)))</f>
        <v>002</v>
      </c>
      <c r="P26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MS-NS-001-26-00002-INV</v>
      </c>
      <c r="Q266" s="59" t="s">
        <v>7343</v>
      </c>
      <c r="R266" s="34" t="s">
        <v>6082</v>
      </c>
      <c r="S266" s="34" t="s">
        <v>1008</v>
      </c>
      <c r="T266" s="34">
        <f>+IFERROR(_xlfn.XLOOKUP(Table43[[#This Row],[Column1]],#REF!,#REF!),0)</f>
        <v>0</v>
      </c>
      <c r="U266" s="50">
        <f>IFERROR(_xlfn.XLOOKUP(Table43[[#This Row],[Column1]],#REF!,#REF!),0)</f>
        <v>0</v>
      </c>
      <c r="V266" s="39"/>
    </row>
    <row r="267" spans="1:22" x14ac:dyDescent="0.35">
      <c r="A267" s="3" t="s">
        <v>1007</v>
      </c>
      <c r="B267" s="2" t="s">
        <v>1010</v>
      </c>
      <c r="C267" s="2" t="s">
        <v>15</v>
      </c>
      <c r="D267" s="2">
        <v>0</v>
      </c>
      <c r="E267" s="2" t="s">
        <v>10</v>
      </c>
      <c r="F267" s="2">
        <v>1</v>
      </c>
      <c r="G267" s="2">
        <v>2</v>
      </c>
      <c r="H267" s="2">
        <v>0</v>
      </c>
      <c r="I267" s="22">
        <f>Table43[[#This Row],[Item Cost]]*Table43[[#This Row],[In Stock]]</f>
        <v>0</v>
      </c>
      <c r="J267" s="12" t="s">
        <v>4941</v>
      </c>
      <c r="K267" s="13" t="s">
        <v>4666</v>
      </c>
      <c r="L267" s="13" t="s">
        <v>4673</v>
      </c>
      <c r="M267" s="13" t="s">
        <v>4837</v>
      </c>
      <c r="N267" s="12" t="s">
        <v>4672</v>
      </c>
      <c r="O267" s="17" t="str">
        <f>IF(LEN(COUNTIFS($J$1:J267,$J267,$K$1:K267,$K267,$L$1:L267,$L267,$M$1:M267,M267,$N$1:N267,N267))=1,"00"&amp;COUNTIFS($J$1:J267,$J267,$K$1:K267,$K267,$L$1:L267,$L267,$M$1:M267,M267,$N$1:N267,N267),IF(LEN(COUNTIFS($J$1:J267,$J267,$K$1:K267,$K267,$L$1:L267,$L267,$M$1:M267,M267,$N$1:N267,N267))=2,"0"&amp;COUNTIFS($J$1:J267,$J267,$K$1:K267,$K267,$L$1:L267,$L267,$M$1:M267,M267,$N$1:N267,N267),COUNTIFS($J$1:J267,$J267,$K$1:K267,$K267,$L$1:L267,$L267,$M$1:M267,M267,$N$1:N267,N267)))</f>
        <v>003</v>
      </c>
      <c r="P26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MS-NS-001-26-00003-INV</v>
      </c>
      <c r="Q267" s="59"/>
      <c r="R267" s="34" t="s">
        <v>6083</v>
      </c>
      <c r="S267" s="34" t="s">
        <v>1010</v>
      </c>
      <c r="T267" s="34">
        <f>+IFERROR(_xlfn.XLOOKUP(Table43[[#This Row],[Column1]],#REF!,#REF!),0)</f>
        <v>0</v>
      </c>
      <c r="U267" s="50">
        <f>IFERROR(_xlfn.XLOOKUP(Table43[[#This Row],[Column1]],#REF!,#REF!),0)</f>
        <v>0</v>
      </c>
      <c r="V267" s="39"/>
    </row>
    <row r="268" spans="1:22" x14ac:dyDescent="0.35">
      <c r="A268" s="2" t="s">
        <v>1009</v>
      </c>
      <c r="B268" s="3" t="s">
        <v>1012</v>
      </c>
      <c r="C268" s="3" t="s">
        <v>15</v>
      </c>
      <c r="D268" s="3">
        <v>0</v>
      </c>
      <c r="E268" s="3" t="s">
        <v>10</v>
      </c>
      <c r="F268" s="2">
        <v>1</v>
      </c>
      <c r="G268" s="2">
        <v>2</v>
      </c>
      <c r="H268" s="3">
        <v>0</v>
      </c>
      <c r="I268" s="21">
        <f>Table43[[#This Row],[Item Cost]]*Table43[[#This Row],[In Stock]]</f>
        <v>0</v>
      </c>
      <c r="J268" s="12" t="s">
        <v>4941</v>
      </c>
      <c r="K268" s="13" t="s">
        <v>4666</v>
      </c>
      <c r="L268" s="13" t="s">
        <v>4673</v>
      </c>
      <c r="M268" s="13" t="s">
        <v>4837</v>
      </c>
      <c r="N268" s="12" t="s">
        <v>4672</v>
      </c>
      <c r="O268" s="17" t="str">
        <f>IF(LEN(COUNTIFS($J$1:J268,$J268,$K$1:K268,$K268,$L$1:L268,$L268,$M$1:M268,M268,$N$1:N268,N268))=1,"00"&amp;COUNTIFS($J$1:J268,$J268,$K$1:K268,$K268,$L$1:L268,$L268,$M$1:M268,M268,$N$1:N268,N268),IF(LEN(COUNTIFS($J$1:J268,$J268,$K$1:K268,$K268,$L$1:L268,$L268,$M$1:M268,M268,$N$1:N268,N268))=2,"0"&amp;COUNTIFS($J$1:J268,$J268,$K$1:K268,$K268,$L$1:L268,$L268,$M$1:M268,M268,$N$1:N268,N268),COUNTIFS($J$1:J268,$J268,$K$1:K268,$K268,$L$1:L268,$L268,$M$1:M268,M268,$N$1:N268,N268)))</f>
        <v>004</v>
      </c>
      <c r="P26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MS-NS-001-26-00004-INV</v>
      </c>
      <c r="Q268" s="59"/>
      <c r="R268" s="34" t="s">
        <v>6084</v>
      </c>
      <c r="S268" s="34" t="s">
        <v>1012</v>
      </c>
      <c r="T268" s="34">
        <f>+IFERROR(_xlfn.XLOOKUP(Table43[[#This Row],[Column1]],#REF!,#REF!),0)</f>
        <v>0</v>
      </c>
      <c r="U268" s="50">
        <f>IFERROR(_xlfn.XLOOKUP(Table43[[#This Row],[Column1]],#REF!,#REF!),0)</f>
        <v>0</v>
      </c>
      <c r="V268" s="39"/>
    </row>
    <row r="269" spans="1:22" x14ac:dyDescent="0.35">
      <c r="A269" s="3" t="s">
        <v>1011</v>
      </c>
      <c r="B269" s="2" t="s">
        <v>1014</v>
      </c>
      <c r="C269" s="2" t="s">
        <v>15</v>
      </c>
      <c r="D269" s="2">
        <v>0</v>
      </c>
      <c r="E269" s="2" t="s">
        <v>10</v>
      </c>
      <c r="F269" s="2">
        <v>1</v>
      </c>
      <c r="G269" s="2">
        <v>2</v>
      </c>
      <c r="H269" s="2">
        <v>0</v>
      </c>
      <c r="I269" s="22">
        <f>Table43[[#This Row],[Item Cost]]*Table43[[#This Row],[In Stock]]</f>
        <v>0</v>
      </c>
      <c r="J269" s="12" t="s">
        <v>4941</v>
      </c>
      <c r="K269" s="13" t="s">
        <v>4666</v>
      </c>
      <c r="L269" s="13" t="s">
        <v>4673</v>
      </c>
      <c r="M269" s="13" t="s">
        <v>4837</v>
      </c>
      <c r="N269" s="12" t="s">
        <v>4672</v>
      </c>
      <c r="O269" s="17" t="str">
        <f>IF(LEN(COUNTIFS($J$1:J269,$J269,$K$1:K269,$K269,$L$1:L269,$L269,$M$1:M269,M269,$N$1:N269,N269))=1,"00"&amp;COUNTIFS($J$1:J269,$J269,$K$1:K269,$K269,$L$1:L269,$L269,$M$1:M269,M269,$N$1:N269,N269),IF(LEN(COUNTIFS($J$1:J269,$J269,$K$1:K269,$K269,$L$1:L269,$L269,$M$1:M269,M269,$N$1:N269,N269))=2,"0"&amp;COUNTIFS($J$1:J269,$J269,$K$1:K269,$K269,$L$1:L269,$L269,$M$1:M269,M269,$N$1:N269,N269),COUNTIFS($J$1:J269,$J269,$K$1:K269,$K269,$L$1:L269,$L269,$M$1:M269,M269,$N$1:N269,N269)))</f>
        <v>005</v>
      </c>
      <c r="P26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MS-NS-001-26-00005-INV</v>
      </c>
      <c r="Q269" s="59"/>
      <c r="R269" s="34" t="s">
        <v>6085</v>
      </c>
      <c r="S269" s="34" t="s">
        <v>1014</v>
      </c>
      <c r="T269" s="34">
        <f>+IFERROR(_xlfn.XLOOKUP(Table43[[#This Row],[Column1]],#REF!,#REF!),0)</f>
        <v>0</v>
      </c>
      <c r="U269" s="50">
        <f>IFERROR(_xlfn.XLOOKUP(Table43[[#This Row],[Column1]],#REF!,#REF!),0)</f>
        <v>0</v>
      </c>
      <c r="V269" s="39"/>
    </row>
    <row r="270" spans="1:22" x14ac:dyDescent="0.35">
      <c r="A270" s="2" t="s">
        <v>1013</v>
      </c>
      <c r="B270" s="3" t="s">
        <v>1016</v>
      </c>
      <c r="C270" s="3" t="s">
        <v>9</v>
      </c>
      <c r="D270" s="3">
        <v>65</v>
      </c>
      <c r="E270" s="3" t="s">
        <v>10</v>
      </c>
      <c r="F270" s="2">
        <v>1</v>
      </c>
      <c r="G270" s="3">
        <v>2</v>
      </c>
      <c r="H270" s="3">
        <v>1</v>
      </c>
      <c r="I270" s="21">
        <f>Table43[[#This Row],[Item Cost]]*Table43[[#This Row],[In Stock]]</f>
        <v>65</v>
      </c>
      <c r="J270" s="12" t="s">
        <v>4941</v>
      </c>
      <c r="K270" s="13" t="s">
        <v>4664</v>
      </c>
      <c r="L270" s="13" t="s">
        <v>4673</v>
      </c>
      <c r="M270" s="13" t="s">
        <v>4837</v>
      </c>
      <c r="N270" s="12" t="s">
        <v>4672</v>
      </c>
      <c r="O270" s="17" t="str">
        <f>IF(LEN(COUNTIFS($J$1:J270,$J270,$K$1:K270,$K270,$L$1:L270,$L270,$M$1:M270,M270,$N$1:N270,N270))=1,"00"&amp;COUNTIFS($J$1:J270,$J270,$K$1:K270,$K270,$L$1:L270,$L270,$M$1:M270,M270,$N$1:N270,N270),IF(LEN(COUNTIFS($J$1:J270,$J270,$K$1:K270,$K270,$L$1:L270,$L270,$M$1:M270,M270,$N$1:N270,N270))=2,"0"&amp;COUNTIFS($J$1:J270,$J270,$K$1:K270,$K270,$L$1:L270,$L270,$M$1:M270,M270,$N$1:N270,N270),COUNTIFS($J$1:J270,$J270,$K$1:K270,$K270,$L$1:L270,$L270,$M$1:M270,M270,$N$1:N270,N270)))</f>
        <v>005</v>
      </c>
      <c r="P27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MS-CS-001-26-00005-INV</v>
      </c>
      <c r="Q270" s="59" t="s">
        <v>7345</v>
      </c>
      <c r="R270" s="34" t="s">
        <v>6086</v>
      </c>
      <c r="S270" s="34" t="s">
        <v>1016</v>
      </c>
      <c r="T270" s="34">
        <f>+IFERROR(_xlfn.XLOOKUP(Table43[[#This Row],[Column1]],#REF!,#REF!),0)</f>
        <v>0</v>
      </c>
      <c r="U270" s="50">
        <f>IFERROR(_xlfn.XLOOKUP(Table43[[#This Row],[Column1]],#REF!,#REF!),0)</f>
        <v>0</v>
      </c>
      <c r="V270" s="39"/>
    </row>
    <row r="271" spans="1:22" x14ac:dyDescent="0.35">
      <c r="A271" s="3" t="s">
        <v>1015</v>
      </c>
      <c r="B271" s="2" t="s">
        <v>1018</v>
      </c>
      <c r="C271" s="2" t="s">
        <v>9</v>
      </c>
      <c r="D271" s="2">
        <v>240</v>
      </c>
      <c r="E271" s="2" t="s">
        <v>10</v>
      </c>
      <c r="F271" s="2">
        <v>1</v>
      </c>
      <c r="G271" s="2">
        <v>2</v>
      </c>
      <c r="H271" s="2">
        <v>4</v>
      </c>
      <c r="I271" s="22">
        <f>Table43[[#This Row],[Item Cost]]*Table43[[#This Row],[In Stock]]</f>
        <v>960</v>
      </c>
      <c r="J271" s="12" t="s">
        <v>4941</v>
      </c>
      <c r="K271" s="13" t="s">
        <v>4664</v>
      </c>
      <c r="L271" s="13" t="s">
        <v>4673</v>
      </c>
      <c r="M271" s="13" t="s">
        <v>4837</v>
      </c>
      <c r="N271" s="12" t="s">
        <v>4672</v>
      </c>
      <c r="O271" s="17" t="str">
        <f>IF(LEN(COUNTIFS($J$1:J271,$J271,$K$1:K271,$K271,$L$1:L271,$L271,$M$1:M271,M271,$N$1:N271,N271))=1,"00"&amp;COUNTIFS($J$1:J271,$J271,$K$1:K271,$K271,$L$1:L271,$L271,$M$1:M271,M271,$N$1:N271,N271),IF(LEN(COUNTIFS($J$1:J271,$J271,$K$1:K271,$K271,$L$1:L271,$L271,$M$1:M271,M271,$N$1:N271,N271))=2,"0"&amp;COUNTIFS($J$1:J271,$J271,$K$1:K271,$K271,$L$1:L271,$L271,$M$1:M271,M271,$N$1:N271,N271),COUNTIFS($J$1:J271,$J271,$K$1:K271,$K271,$L$1:L271,$L271,$M$1:M271,M271,$N$1:N271,N271)))</f>
        <v>006</v>
      </c>
      <c r="P27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MS-CS-001-26-00006-INV</v>
      </c>
      <c r="Q271" s="59"/>
      <c r="R271" s="34" t="s">
        <v>6087</v>
      </c>
      <c r="S271" s="34" t="s">
        <v>1018</v>
      </c>
      <c r="T271" s="34">
        <f>+IFERROR(_xlfn.XLOOKUP(Table43[[#This Row],[Column1]],#REF!,#REF!),0)</f>
        <v>0</v>
      </c>
      <c r="U271" s="50">
        <f>IFERROR(_xlfn.XLOOKUP(Table43[[#This Row],[Column1]],#REF!,#REF!),0)</f>
        <v>0</v>
      </c>
      <c r="V271" s="39"/>
    </row>
    <row r="272" spans="1:22" x14ac:dyDescent="0.35">
      <c r="A272" s="2" t="s">
        <v>1017</v>
      </c>
      <c r="B272" s="3" t="s">
        <v>1020</v>
      </c>
      <c r="C272" s="3" t="s">
        <v>9</v>
      </c>
      <c r="D272" s="3">
        <v>495</v>
      </c>
      <c r="E272" s="3" t="s">
        <v>10</v>
      </c>
      <c r="F272" s="2">
        <v>1</v>
      </c>
      <c r="G272" s="3">
        <v>2</v>
      </c>
      <c r="H272" s="3">
        <v>2</v>
      </c>
      <c r="I272" s="21">
        <f>Table43[[#This Row],[Item Cost]]*Table43[[#This Row],[In Stock]]</f>
        <v>990</v>
      </c>
      <c r="J272" s="12" t="s">
        <v>4941</v>
      </c>
      <c r="K272" s="13" t="s">
        <v>4664</v>
      </c>
      <c r="L272" s="13" t="s">
        <v>4673</v>
      </c>
      <c r="M272" s="13" t="s">
        <v>4837</v>
      </c>
      <c r="N272" s="12" t="s">
        <v>4672</v>
      </c>
      <c r="O272" s="17" t="str">
        <f>IF(LEN(COUNTIFS($J$1:J272,$J272,$K$1:K272,$K272,$L$1:L272,$L272,$M$1:M272,M272,$N$1:N272,N272))=1,"00"&amp;COUNTIFS($J$1:J272,$J272,$K$1:K272,$K272,$L$1:L272,$L272,$M$1:M272,M272,$N$1:N272,N272),IF(LEN(COUNTIFS($J$1:J272,$J272,$K$1:K272,$K272,$L$1:L272,$L272,$M$1:M272,M272,$N$1:N272,N272))=2,"0"&amp;COUNTIFS($J$1:J272,$J272,$K$1:K272,$K272,$L$1:L272,$L272,$M$1:M272,M272,$N$1:N272,N272),COUNTIFS($J$1:J272,$J272,$K$1:K272,$K272,$L$1:L272,$L272,$M$1:M272,M272,$N$1:N272,N272)))</f>
        <v>007</v>
      </c>
      <c r="P27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MS-CS-001-26-00007-INV</v>
      </c>
      <c r="Q272" s="59"/>
      <c r="R272" s="34" t="s">
        <v>6088</v>
      </c>
      <c r="S272" s="34" t="s">
        <v>1020</v>
      </c>
      <c r="T272" s="34">
        <f>+IFERROR(_xlfn.XLOOKUP(Table43[[#This Row],[Column1]],#REF!,#REF!),0)</f>
        <v>0</v>
      </c>
      <c r="U272" s="50">
        <f>IFERROR(_xlfn.XLOOKUP(Table43[[#This Row],[Column1]],#REF!,#REF!),0)</f>
        <v>0</v>
      </c>
      <c r="V272" s="39"/>
    </row>
    <row r="273" spans="1:22" x14ac:dyDescent="0.35">
      <c r="A273" s="3" t="s">
        <v>1019</v>
      </c>
      <c r="B273" s="2" t="s">
        <v>1022</v>
      </c>
      <c r="C273" s="2" t="s">
        <v>9</v>
      </c>
      <c r="D273" s="2">
        <v>32</v>
      </c>
      <c r="E273" s="2" t="s">
        <v>10</v>
      </c>
      <c r="F273" s="2">
        <v>1</v>
      </c>
      <c r="G273" s="2">
        <v>2</v>
      </c>
      <c r="H273" s="2">
        <v>4</v>
      </c>
      <c r="I273" s="22">
        <f>Table43[[#This Row],[Item Cost]]*Table43[[#This Row],[In Stock]]</f>
        <v>128</v>
      </c>
      <c r="J273" s="12" t="s">
        <v>4941</v>
      </c>
      <c r="K273" s="13" t="s">
        <v>4664</v>
      </c>
      <c r="L273" s="13" t="s">
        <v>4673</v>
      </c>
      <c r="M273" s="13" t="s">
        <v>4837</v>
      </c>
      <c r="N273" s="12" t="s">
        <v>4672</v>
      </c>
      <c r="O273" s="17" t="str">
        <f>IF(LEN(COUNTIFS($J$1:J273,$J273,$K$1:K273,$K273,$L$1:L273,$L273,$M$1:M273,M273,$N$1:N273,N273))=1,"00"&amp;COUNTIFS($J$1:J273,$J273,$K$1:K273,$K273,$L$1:L273,$L273,$M$1:M273,M273,$N$1:N273,N273),IF(LEN(COUNTIFS($J$1:J273,$J273,$K$1:K273,$K273,$L$1:L273,$L273,$M$1:M273,M273,$N$1:N273,N273))=2,"0"&amp;COUNTIFS($J$1:J273,$J273,$K$1:K273,$K273,$L$1:L273,$L273,$M$1:M273,M273,$N$1:N273,N273),COUNTIFS($J$1:J273,$J273,$K$1:K273,$K273,$L$1:L273,$L273,$M$1:M273,M273,$N$1:N273,N273)))</f>
        <v>008</v>
      </c>
      <c r="P27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MS-CS-001-26-00008-INV</v>
      </c>
      <c r="Q273" s="59" t="s">
        <v>7334</v>
      </c>
      <c r="R273" s="34" t="s">
        <v>6089</v>
      </c>
      <c r="S273" s="34" t="s">
        <v>1022</v>
      </c>
      <c r="T273" s="34">
        <f>+IFERROR(_xlfn.XLOOKUP(Table43[[#This Row],[Column1]],#REF!,#REF!),0)</f>
        <v>0</v>
      </c>
      <c r="U273" s="50">
        <f>IFERROR(_xlfn.XLOOKUP(Table43[[#This Row],[Column1]],#REF!,#REF!),0)</f>
        <v>0</v>
      </c>
      <c r="V273" s="39"/>
    </row>
    <row r="274" spans="1:22" x14ac:dyDescent="0.35">
      <c r="A274" s="2" t="s">
        <v>1021</v>
      </c>
      <c r="B274" s="3" t="s">
        <v>1024</v>
      </c>
      <c r="C274" s="3" t="s">
        <v>9</v>
      </c>
      <c r="D274" s="3">
        <v>95</v>
      </c>
      <c r="E274" s="3" t="s">
        <v>10</v>
      </c>
      <c r="F274" s="2">
        <v>1</v>
      </c>
      <c r="G274" s="3">
        <v>2</v>
      </c>
      <c r="H274" s="3">
        <v>0</v>
      </c>
      <c r="I274" s="21">
        <f>Table43[[#This Row],[Item Cost]]*Table43[[#This Row],[In Stock]]</f>
        <v>0</v>
      </c>
      <c r="J274" s="12" t="s">
        <v>4941</v>
      </c>
      <c r="K274" s="13" t="s">
        <v>4664</v>
      </c>
      <c r="L274" s="13" t="s">
        <v>4673</v>
      </c>
      <c r="M274" s="13" t="s">
        <v>4837</v>
      </c>
      <c r="N274" s="12" t="s">
        <v>4672</v>
      </c>
      <c r="O274" s="17" t="str">
        <f>IF(LEN(COUNTIFS($J$1:J274,$J274,$K$1:K274,$K274,$L$1:L274,$L274,$M$1:M274,M274,$N$1:N274,N274))=1,"00"&amp;COUNTIFS($J$1:J274,$J274,$K$1:K274,$K274,$L$1:L274,$L274,$M$1:M274,M274,$N$1:N274,N274),IF(LEN(COUNTIFS($J$1:J274,$J274,$K$1:K274,$K274,$L$1:L274,$L274,$M$1:M274,M274,$N$1:N274,N274))=2,"0"&amp;COUNTIFS($J$1:J274,$J274,$K$1:K274,$K274,$L$1:L274,$L274,$M$1:M274,M274,$N$1:N274,N274),COUNTIFS($J$1:J274,$J274,$K$1:K274,$K274,$L$1:L274,$L274,$M$1:M274,M274,$N$1:N274,N274)))</f>
        <v>009</v>
      </c>
      <c r="P27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MS-CS-001-26-00009-INV</v>
      </c>
      <c r="Q274" s="59"/>
      <c r="R274" s="34" t="s">
        <v>6090</v>
      </c>
      <c r="S274" s="34" t="s">
        <v>1024</v>
      </c>
      <c r="T274" s="34">
        <f>+IFERROR(_xlfn.XLOOKUP(Table43[[#This Row],[Column1]],#REF!,#REF!),0)</f>
        <v>0</v>
      </c>
      <c r="U274" s="50">
        <f>IFERROR(_xlfn.XLOOKUP(Table43[[#This Row],[Column1]],#REF!,#REF!),0)</f>
        <v>0</v>
      </c>
      <c r="V274" s="39"/>
    </row>
    <row r="275" spans="1:22" x14ac:dyDescent="0.35">
      <c r="A275" s="3" t="s">
        <v>1023</v>
      </c>
      <c r="B275" s="2" t="s">
        <v>1026</v>
      </c>
      <c r="C275" s="2" t="s">
        <v>9</v>
      </c>
      <c r="D275" s="4">
        <v>1000</v>
      </c>
      <c r="E275" s="2" t="s">
        <v>10</v>
      </c>
      <c r="F275" s="2">
        <v>1</v>
      </c>
      <c r="G275" s="2">
        <v>2</v>
      </c>
      <c r="H275" s="2">
        <v>1</v>
      </c>
      <c r="I275" s="22">
        <f>Table43[[#This Row],[Item Cost]]*Table43[[#This Row],[In Stock]]</f>
        <v>1000</v>
      </c>
      <c r="J275" s="12" t="s">
        <v>4941</v>
      </c>
      <c r="K275" s="13" t="s">
        <v>4664</v>
      </c>
      <c r="L275" s="13" t="s">
        <v>4673</v>
      </c>
      <c r="M275" s="13" t="s">
        <v>4733</v>
      </c>
      <c r="N275" s="12" t="s">
        <v>4672</v>
      </c>
      <c r="O275" s="17" t="str">
        <f>IF(LEN(COUNTIFS($J$1:J275,$J275,$K$1:K275,$K275,$L$1:L275,$L275,$M$1:M275,M275,$N$1:N275,N275))=1,"00"&amp;COUNTIFS($J$1:J275,$J275,$K$1:K275,$K275,$L$1:L275,$L275,$M$1:M275,M275,$N$1:N275,N275),IF(LEN(COUNTIFS($J$1:J275,$J275,$K$1:K275,$K275,$L$1:L275,$L275,$M$1:M275,M275,$N$1:N275,N275))=2,"0"&amp;COUNTIFS($J$1:J275,$J275,$K$1:K275,$K275,$L$1:L275,$L275,$M$1:M275,M275,$N$1:N275,N275),COUNTIFS($J$1:J275,$J275,$K$1:K275,$K275,$L$1:L275,$L275,$M$1:M275,M275,$N$1:N275,N275)))</f>
        <v>001</v>
      </c>
      <c r="P27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MS-CS-001-01-00001-INV</v>
      </c>
      <c r="Q275" s="59" t="s">
        <v>7340</v>
      </c>
      <c r="R275" s="34" t="s">
        <v>6091</v>
      </c>
      <c r="S275" s="34" t="s">
        <v>1026</v>
      </c>
      <c r="T275" s="34">
        <f>+IFERROR(_xlfn.XLOOKUP(Table43[[#This Row],[Column1]],#REF!,#REF!),0)</f>
        <v>0</v>
      </c>
      <c r="U275" s="50">
        <f>IFERROR(_xlfn.XLOOKUP(Table43[[#This Row],[Column1]],#REF!,#REF!),0)</f>
        <v>0</v>
      </c>
      <c r="V275" s="39"/>
    </row>
    <row r="276" spans="1:22" x14ac:dyDescent="0.35">
      <c r="A276" s="2" t="s">
        <v>1025</v>
      </c>
      <c r="B276" s="3" t="s">
        <v>1028</v>
      </c>
      <c r="C276" s="3" t="s">
        <v>15</v>
      </c>
      <c r="D276" s="5">
        <v>22500</v>
      </c>
      <c r="E276" s="3" t="s">
        <v>10</v>
      </c>
      <c r="F276" s="2">
        <v>1</v>
      </c>
      <c r="G276" s="2">
        <v>2</v>
      </c>
      <c r="H276" s="3">
        <v>0</v>
      </c>
      <c r="I276" s="21">
        <f>Table43[[#This Row],[Item Cost]]*Table43[[#This Row],[In Stock]]</f>
        <v>0</v>
      </c>
      <c r="J276" s="12" t="s">
        <v>4941</v>
      </c>
      <c r="K276" s="13" t="s">
        <v>4666</v>
      </c>
      <c r="L276" s="13" t="s">
        <v>4673</v>
      </c>
      <c r="M276" s="13" t="s">
        <v>4733</v>
      </c>
      <c r="N276" s="12" t="s">
        <v>4672</v>
      </c>
      <c r="O276" s="17" t="str">
        <f>IF(LEN(COUNTIFS($J$1:J276,$J276,$K$1:K276,$K276,$L$1:L276,$L276,$M$1:M276,M276,$N$1:N276,N276))=1,"00"&amp;COUNTIFS($J$1:J276,$J276,$K$1:K276,$K276,$L$1:L276,$L276,$M$1:M276,M276,$N$1:N276,N276),IF(LEN(COUNTIFS($J$1:J276,$J276,$K$1:K276,$K276,$L$1:L276,$L276,$M$1:M276,M276,$N$1:N276,N276))=2,"0"&amp;COUNTIFS($J$1:J276,$J276,$K$1:K276,$K276,$L$1:L276,$L276,$M$1:M276,M276,$N$1:N276,N276),COUNTIFS($J$1:J276,$J276,$K$1:K276,$K276,$L$1:L276,$L276,$M$1:M276,M276,$N$1:N276,N276)))</f>
        <v>001</v>
      </c>
      <c r="P27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MS-NS-001-01-00001-INV</v>
      </c>
      <c r="Q276" s="59"/>
      <c r="R276" s="34" t="s">
        <v>6092</v>
      </c>
      <c r="S276" s="34" t="s">
        <v>1028</v>
      </c>
      <c r="T276" s="34">
        <f>+IFERROR(_xlfn.XLOOKUP(Table43[[#This Row],[Column1]],#REF!,#REF!),0)</f>
        <v>0</v>
      </c>
      <c r="U276" s="50">
        <f>IFERROR(_xlfn.XLOOKUP(Table43[[#This Row],[Column1]],#REF!,#REF!),0)</f>
        <v>0</v>
      </c>
      <c r="V276" s="39"/>
    </row>
    <row r="277" spans="1:22" x14ac:dyDescent="0.35">
      <c r="A277" s="3" t="s">
        <v>1027</v>
      </c>
      <c r="B277" s="2" t="s">
        <v>1030</v>
      </c>
      <c r="C277" s="2" t="s">
        <v>15</v>
      </c>
      <c r="D277" s="4">
        <v>11500</v>
      </c>
      <c r="E277" s="2" t="s">
        <v>10</v>
      </c>
      <c r="F277" s="2">
        <v>1</v>
      </c>
      <c r="G277" s="2">
        <v>2</v>
      </c>
      <c r="H277" s="2">
        <v>0</v>
      </c>
      <c r="I277" s="22">
        <f>Table43[[#This Row],[Item Cost]]*Table43[[#This Row],[In Stock]]</f>
        <v>0</v>
      </c>
      <c r="J277" s="12" t="s">
        <v>4941</v>
      </c>
      <c r="K277" s="13" t="s">
        <v>4666</v>
      </c>
      <c r="L277" s="13" t="s">
        <v>4673</v>
      </c>
      <c r="M277" s="13" t="s">
        <v>4733</v>
      </c>
      <c r="N277" s="12" t="s">
        <v>4672</v>
      </c>
      <c r="O277" s="17" t="str">
        <f>IF(LEN(COUNTIFS($J$1:J277,$J277,$K$1:K277,$K277,$L$1:L277,$L277,$M$1:M277,M277,$N$1:N277,N277))=1,"00"&amp;COUNTIFS($J$1:J277,$J277,$K$1:K277,$K277,$L$1:L277,$L277,$M$1:M277,M277,$N$1:N277,N277),IF(LEN(COUNTIFS($J$1:J277,$J277,$K$1:K277,$K277,$L$1:L277,$L277,$M$1:M277,M277,$N$1:N277,N277))=2,"0"&amp;COUNTIFS($J$1:J277,$J277,$K$1:K277,$K277,$L$1:L277,$L277,$M$1:M277,M277,$N$1:N277,N277),COUNTIFS($J$1:J277,$J277,$K$1:K277,$K277,$L$1:L277,$L277,$M$1:M277,M277,$N$1:N277,N277)))</f>
        <v>002</v>
      </c>
      <c r="P27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MS-NS-001-01-00002-INV</v>
      </c>
      <c r="Q277" s="59" t="s">
        <v>7340</v>
      </c>
      <c r="R277" s="34" t="s">
        <v>6093</v>
      </c>
      <c r="S277" s="34" t="s">
        <v>1030</v>
      </c>
      <c r="T277" s="34">
        <f>+IFERROR(_xlfn.XLOOKUP(Table43[[#This Row],[Column1]],#REF!,#REF!),0)</f>
        <v>0</v>
      </c>
      <c r="U277" s="50">
        <f>IFERROR(_xlfn.XLOOKUP(Table43[[#This Row],[Column1]],#REF!,#REF!),0)</f>
        <v>0</v>
      </c>
      <c r="V277" s="39"/>
    </row>
    <row r="278" spans="1:22" x14ac:dyDescent="0.35">
      <c r="A278" s="2" t="s">
        <v>1029</v>
      </c>
      <c r="B278" s="3" t="s">
        <v>1032</v>
      </c>
      <c r="C278" s="3" t="s">
        <v>15</v>
      </c>
      <c r="D278" s="5">
        <v>9750</v>
      </c>
      <c r="E278" s="3" t="s">
        <v>10</v>
      </c>
      <c r="F278" s="2">
        <v>1</v>
      </c>
      <c r="G278" s="2">
        <v>2</v>
      </c>
      <c r="H278" s="3">
        <v>0</v>
      </c>
      <c r="I278" s="21">
        <f>Table43[[#This Row],[Item Cost]]*Table43[[#This Row],[In Stock]]</f>
        <v>0</v>
      </c>
      <c r="J278" s="12" t="s">
        <v>4941</v>
      </c>
      <c r="K278" s="13" t="s">
        <v>4666</v>
      </c>
      <c r="L278" s="13" t="s">
        <v>4673</v>
      </c>
      <c r="M278" s="13" t="s">
        <v>4733</v>
      </c>
      <c r="N278" s="12" t="s">
        <v>4672</v>
      </c>
      <c r="O278" s="17" t="str">
        <f>IF(LEN(COUNTIFS($J$1:J278,$J278,$K$1:K278,$K278,$L$1:L278,$L278,$M$1:M278,M278,$N$1:N278,N278))=1,"00"&amp;COUNTIFS($J$1:J278,$J278,$K$1:K278,$K278,$L$1:L278,$L278,$M$1:M278,M278,$N$1:N278,N278),IF(LEN(COUNTIFS($J$1:J278,$J278,$K$1:K278,$K278,$L$1:L278,$L278,$M$1:M278,M278,$N$1:N278,N278))=2,"0"&amp;COUNTIFS($J$1:J278,$J278,$K$1:K278,$K278,$L$1:L278,$L278,$M$1:M278,M278,$N$1:N278,N278),COUNTIFS($J$1:J278,$J278,$K$1:K278,$K278,$L$1:L278,$L278,$M$1:M278,M278,$N$1:N278,N278)))</f>
        <v>003</v>
      </c>
      <c r="P27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MS-NS-001-01-00003-INV</v>
      </c>
      <c r="Q278" s="59" t="s">
        <v>7340</v>
      </c>
      <c r="R278" s="34" t="s">
        <v>6094</v>
      </c>
      <c r="S278" s="34" t="s">
        <v>1032</v>
      </c>
      <c r="T278" s="34">
        <f>+IFERROR(_xlfn.XLOOKUP(Table43[[#This Row],[Column1]],#REF!,#REF!),0)</f>
        <v>0</v>
      </c>
      <c r="U278" s="50">
        <f>IFERROR(_xlfn.XLOOKUP(Table43[[#This Row],[Column1]],#REF!,#REF!),0)</f>
        <v>0</v>
      </c>
      <c r="V278" s="39"/>
    </row>
    <row r="279" spans="1:22" x14ac:dyDescent="0.35">
      <c r="A279" s="3" t="s">
        <v>1031</v>
      </c>
      <c r="B279" s="2" t="s">
        <v>1034</v>
      </c>
      <c r="C279" s="2" t="s">
        <v>15</v>
      </c>
      <c r="D279" s="4">
        <v>15500</v>
      </c>
      <c r="E279" s="2" t="s">
        <v>10</v>
      </c>
      <c r="F279" s="2">
        <v>1</v>
      </c>
      <c r="G279" s="2">
        <v>2</v>
      </c>
      <c r="H279" s="2">
        <v>0</v>
      </c>
      <c r="I279" s="22">
        <f>Table43[[#This Row],[Item Cost]]*Table43[[#This Row],[In Stock]]</f>
        <v>0</v>
      </c>
      <c r="J279" s="12" t="s">
        <v>4941</v>
      </c>
      <c r="K279" s="13" t="s">
        <v>4666</v>
      </c>
      <c r="L279" s="13" t="s">
        <v>4673</v>
      </c>
      <c r="M279" s="13" t="s">
        <v>4772</v>
      </c>
      <c r="N279" s="12" t="s">
        <v>4672</v>
      </c>
      <c r="O279" s="17" t="str">
        <f>IF(LEN(COUNTIFS($J$1:J279,$J279,$K$1:K279,$K279,$L$1:L279,$L279,$M$1:M279,M279,$N$1:N279,N279))=1,"00"&amp;COUNTIFS($J$1:J279,$J279,$K$1:K279,$K279,$L$1:L279,$L279,$M$1:M279,M279,$N$1:N279,N279),IF(LEN(COUNTIFS($J$1:J279,$J279,$K$1:K279,$K279,$L$1:L279,$L279,$M$1:M279,M279,$N$1:N279,N279))=2,"0"&amp;COUNTIFS($J$1:J279,$J279,$K$1:K279,$K279,$L$1:L279,$L279,$M$1:M279,M279,$N$1:N279,N279),COUNTIFS($J$1:J279,$J279,$K$1:K279,$K279,$L$1:L279,$L279,$M$1:M279,M279,$N$1:N279,N279)))</f>
        <v>003</v>
      </c>
      <c r="P27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MS-NS-001-06-00003-INV</v>
      </c>
      <c r="Q279" s="59"/>
      <c r="R279" s="34" t="s">
        <v>6095</v>
      </c>
      <c r="S279" s="34" t="s">
        <v>1034</v>
      </c>
      <c r="T279" s="34">
        <f>+IFERROR(_xlfn.XLOOKUP(Table43[[#This Row],[Column1]],#REF!,#REF!),0)</f>
        <v>0</v>
      </c>
      <c r="U279" s="50">
        <f>IFERROR(_xlfn.XLOOKUP(Table43[[#This Row],[Column1]],#REF!,#REF!),0)</f>
        <v>0</v>
      </c>
      <c r="V279" s="39"/>
    </row>
    <row r="280" spans="1:22" x14ac:dyDescent="0.35">
      <c r="A280" s="2" t="s">
        <v>1033</v>
      </c>
      <c r="B280" s="3" t="s">
        <v>1036</v>
      </c>
      <c r="C280" s="3" t="s">
        <v>15</v>
      </c>
      <c r="D280" s="3">
        <v>0</v>
      </c>
      <c r="E280" s="3" t="s">
        <v>10</v>
      </c>
      <c r="F280" s="2">
        <v>1</v>
      </c>
      <c r="G280" s="2">
        <v>2</v>
      </c>
      <c r="H280" s="3">
        <v>0</v>
      </c>
      <c r="I280" s="21">
        <f>Table43[[#This Row],[Item Cost]]*Table43[[#This Row],[In Stock]]</f>
        <v>0</v>
      </c>
      <c r="J280" s="12" t="s">
        <v>4941</v>
      </c>
      <c r="K280" s="13" t="s">
        <v>4666</v>
      </c>
      <c r="L280" s="13" t="s">
        <v>4673</v>
      </c>
      <c r="M280" s="13" t="s">
        <v>4693</v>
      </c>
      <c r="N280" s="12" t="s">
        <v>4672</v>
      </c>
      <c r="O280" s="17" t="str">
        <f>IF(LEN(COUNTIFS($J$1:J280,$J280,$K$1:K280,$K280,$L$1:L280,$L280,$M$1:M280,M280,$N$1:N280,N280))=1,"00"&amp;COUNTIFS($J$1:J280,$J280,$K$1:K280,$K280,$L$1:L280,$L280,$M$1:M280,M280,$N$1:N280,N280),IF(LEN(COUNTIFS($J$1:J280,$J280,$K$1:K280,$K280,$L$1:L280,$L280,$M$1:M280,M280,$N$1:N280,N280))=2,"0"&amp;COUNTIFS($J$1:J280,$J280,$K$1:K280,$K280,$L$1:L280,$L280,$M$1:M280,M280,$N$1:N280,N280),COUNTIFS($J$1:J280,$J280,$K$1:K280,$K280,$L$1:L280,$L280,$M$1:M280,M280,$N$1:N280,N280)))</f>
        <v>002</v>
      </c>
      <c r="P28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MS-NS-001-23-00002-INV</v>
      </c>
      <c r="Q280" s="59"/>
      <c r="R280" s="34" t="s">
        <v>6096</v>
      </c>
      <c r="S280" s="34" t="s">
        <v>1036</v>
      </c>
      <c r="T280" s="34">
        <f>+IFERROR(_xlfn.XLOOKUP(Table43[[#This Row],[Column1]],#REF!,#REF!),0)</f>
        <v>0</v>
      </c>
      <c r="U280" s="50">
        <f>IFERROR(_xlfn.XLOOKUP(Table43[[#This Row],[Column1]],#REF!,#REF!),0)</f>
        <v>0</v>
      </c>
      <c r="V280" s="39"/>
    </row>
    <row r="281" spans="1:22" x14ac:dyDescent="0.35">
      <c r="A281" s="3" t="s">
        <v>1035</v>
      </c>
      <c r="B281" s="2" t="s">
        <v>1038</v>
      </c>
      <c r="C281" s="2" t="s">
        <v>9</v>
      </c>
      <c r="D281" s="4">
        <v>9500</v>
      </c>
      <c r="E281" s="2" t="s">
        <v>10</v>
      </c>
      <c r="F281" s="2">
        <v>1</v>
      </c>
      <c r="G281" s="2">
        <v>2</v>
      </c>
      <c r="H281" s="2">
        <v>1</v>
      </c>
      <c r="I281" s="22">
        <f>Table43[[#This Row],[Item Cost]]*Table43[[#This Row],[In Stock]]</f>
        <v>9500</v>
      </c>
      <c r="J281" s="12" t="s">
        <v>4941</v>
      </c>
      <c r="K281" s="13" t="s">
        <v>4664</v>
      </c>
      <c r="L281" s="13" t="s">
        <v>4673</v>
      </c>
      <c r="M281" s="13" t="s">
        <v>4733</v>
      </c>
      <c r="N281" s="12" t="s">
        <v>4672</v>
      </c>
      <c r="O281" s="17" t="str">
        <f>IF(LEN(COUNTIFS($J$1:J281,$J281,$K$1:K281,$K281,$L$1:L281,$L281,$M$1:M281,M281,$N$1:N281,N281))=1,"00"&amp;COUNTIFS($J$1:J281,$J281,$K$1:K281,$K281,$L$1:L281,$L281,$M$1:M281,M281,$N$1:N281,N281),IF(LEN(COUNTIFS($J$1:J281,$J281,$K$1:K281,$K281,$L$1:L281,$L281,$M$1:M281,M281,$N$1:N281,N281))=2,"0"&amp;COUNTIFS($J$1:J281,$J281,$K$1:K281,$K281,$L$1:L281,$L281,$M$1:M281,M281,$N$1:N281,N281),COUNTIFS($J$1:J281,$J281,$K$1:K281,$K281,$L$1:L281,$L281,$M$1:M281,M281,$N$1:N281,N281)))</f>
        <v>002</v>
      </c>
      <c r="P28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MS-CS-001-01-00002-INV</v>
      </c>
      <c r="Q281" s="59" t="s">
        <v>7340</v>
      </c>
      <c r="R281" s="34" t="s">
        <v>6097</v>
      </c>
      <c r="S281" s="34" t="s">
        <v>1038</v>
      </c>
      <c r="T281" s="34">
        <f>+IFERROR(_xlfn.XLOOKUP(Table43[[#This Row],[Column1]],#REF!,#REF!),0)</f>
        <v>0</v>
      </c>
      <c r="U281" s="50">
        <f>IFERROR(_xlfn.XLOOKUP(Table43[[#This Row],[Column1]],#REF!,#REF!),0)</f>
        <v>0</v>
      </c>
      <c r="V281" s="39"/>
    </row>
    <row r="282" spans="1:22" x14ac:dyDescent="0.35">
      <c r="A282" s="2" t="s">
        <v>1037</v>
      </c>
      <c r="B282" s="3" t="s">
        <v>1040</v>
      </c>
      <c r="C282" s="3" t="s">
        <v>15</v>
      </c>
      <c r="D282" s="5">
        <v>4630</v>
      </c>
      <c r="E282" s="3" t="s">
        <v>10</v>
      </c>
      <c r="F282" s="2">
        <v>1</v>
      </c>
      <c r="G282" s="2">
        <v>2</v>
      </c>
      <c r="H282" s="3">
        <v>0</v>
      </c>
      <c r="I282" s="21">
        <f>Table43[[#This Row],[Item Cost]]*Table43[[#This Row],[In Stock]]</f>
        <v>0</v>
      </c>
      <c r="J282" s="12" t="s">
        <v>4941</v>
      </c>
      <c r="K282" s="13" t="s">
        <v>4666</v>
      </c>
      <c r="L282" s="13" t="s">
        <v>4673</v>
      </c>
      <c r="M282" s="13" t="s">
        <v>4733</v>
      </c>
      <c r="N282" s="12" t="s">
        <v>4672</v>
      </c>
      <c r="O282" s="17" t="str">
        <f>IF(LEN(COUNTIFS($J$1:J282,$J282,$K$1:K282,$K282,$L$1:L282,$L282,$M$1:M282,M282,$N$1:N282,N282))=1,"00"&amp;COUNTIFS($J$1:J282,$J282,$K$1:K282,$K282,$L$1:L282,$L282,$M$1:M282,M282,$N$1:N282,N282),IF(LEN(COUNTIFS($J$1:J282,$J282,$K$1:K282,$K282,$L$1:L282,$L282,$M$1:M282,M282,$N$1:N282,N282))=2,"0"&amp;COUNTIFS($J$1:J282,$J282,$K$1:K282,$K282,$L$1:L282,$L282,$M$1:M282,M282,$N$1:N282,N282),COUNTIFS($J$1:J282,$J282,$K$1:K282,$K282,$L$1:L282,$L282,$M$1:M282,M282,$N$1:N282,N282)))</f>
        <v>004</v>
      </c>
      <c r="P28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MS-NS-001-01-00004-INV</v>
      </c>
      <c r="Q282" s="59" t="s">
        <v>7344</v>
      </c>
      <c r="R282" s="34" t="s">
        <v>6098</v>
      </c>
      <c r="S282" s="34" t="s">
        <v>1040</v>
      </c>
      <c r="T282" s="34">
        <f>+IFERROR(_xlfn.XLOOKUP(Table43[[#This Row],[Column1]],#REF!,#REF!),0)</f>
        <v>0</v>
      </c>
      <c r="U282" s="50">
        <f>IFERROR(_xlfn.XLOOKUP(Table43[[#This Row],[Column1]],#REF!,#REF!),0)</f>
        <v>0</v>
      </c>
      <c r="V282" s="39"/>
    </row>
    <row r="283" spans="1:22" x14ac:dyDescent="0.35">
      <c r="A283" s="3" t="s">
        <v>1039</v>
      </c>
      <c r="B283" s="2" t="s">
        <v>1042</v>
      </c>
      <c r="C283" s="2" t="s">
        <v>9</v>
      </c>
      <c r="D283" s="4">
        <v>3000</v>
      </c>
      <c r="E283" s="2" t="s">
        <v>10</v>
      </c>
      <c r="F283" s="2">
        <v>1</v>
      </c>
      <c r="G283" s="2">
        <v>2</v>
      </c>
      <c r="H283" s="2">
        <v>1</v>
      </c>
      <c r="I283" s="22">
        <f>Table43[[#This Row],[Item Cost]]*Table43[[#This Row],[In Stock]]</f>
        <v>3000</v>
      </c>
      <c r="J283" s="12" t="s">
        <v>4941</v>
      </c>
      <c r="K283" s="13" t="s">
        <v>4664</v>
      </c>
      <c r="L283" s="13" t="s">
        <v>4673</v>
      </c>
      <c r="M283" s="13" t="s">
        <v>4693</v>
      </c>
      <c r="N283" s="12" t="s">
        <v>4672</v>
      </c>
      <c r="O283" s="17" t="str">
        <f>IF(LEN(COUNTIFS($J$1:J283,$J283,$K$1:K283,$K283,$L$1:L283,$L283,$M$1:M283,M283,$N$1:N283,N283))=1,"00"&amp;COUNTIFS($J$1:J283,$J283,$K$1:K283,$K283,$L$1:L283,$L283,$M$1:M283,M283,$N$1:N283,N283),IF(LEN(COUNTIFS($J$1:J283,$J283,$K$1:K283,$K283,$L$1:L283,$L283,$M$1:M283,M283,$N$1:N283,N283))=2,"0"&amp;COUNTIFS($J$1:J283,$J283,$K$1:K283,$K283,$L$1:L283,$L283,$M$1:M283,M283,$N$1:N283,N283),COUNTIFS($J$1:J283,$J283,$K$1:K283,$K283,$L$1:L283,$L283,$M$1:M283,M283,$N$1:N283,N283)))</f>
        <v>002</v>
      </c>
      <c r="P28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MS-CS-001-23-00002-INV</v>
      </c>
      <c r="Q283" s="59"/>
      <c r="R283" s="34" t="s">
        <v>6099</v>
      </c>
      <c r="S283" s="34" t="s">
        <v>1042</v>
      </c>
      <c r="T283" s="34">
        <f>+IFERROR(_xlfn.XLOOKUP(Table43[[#This Row],[Column1]],#REF!,#REF!),0)</f>
        <v>0</v>
      </c>
      <c r="U283" s="50">
        <f>IFERROR(_xlfn.XLOOKUP(Table43[[#This Row],[Column1]],#REF!,#REF!),0)</f>
        <v>0</v>
      </c>
      <c r="V283" s="39"/>
    </row>
    <row r="284" spans="1:22" x14ac:dyDescent="0.35">
      <c r="A284" s="2" t="s">
        <v>1041</v>
      </c>
      <c r="B284" s="3" t="s">
        <v>1044</v>
      </c>
      <c r="C284" s="3" t="s">
        <v>9</v>
      </c>
      <c r="D284" s="5">
        <v>1000</v>
      </c>
      <c r="E284" s="3" t="s">
        <v>10</v>
      </c>
      <c r="F284" s="2">
        <v>1</v>
      </c>
      <c r="G284" s="2">
        <v>2</v>
      </c>
      <c r="H284" s="3">
        <v>3</v>
      </c>
      <c r="I284" s="21">
        <f>Table43[[#This Row],[Item Cost]]*Table43[[#This Row],[In Stock]]</f>
        <v>3000</v>
      </c>
      <c r="J284" s="12" t="s">
        <v>4941</v>
      </c>
      <c r="K284" s="13" t="s">
        <v>4664</v>
      </c>
      <c r="L284" s="13" t="s">
        <v>4673</v>
      </c>
      <c r="M284" s="13" t="s">
        <v>4837</v>
      </c>
      <c r="N284" s="12" t="s">
        <v>4672</v>
      </c>
      <c r="O284" s="17" t="str">
        <f>IF(LEN(COUNTIFS($J$1:J284,$J284,$K$1:K284,$K284,$L$1:L284,$L284,$M$1:M284,M284,$N$1:N284,N284))=1,"00"&amp;COUNTIFS($J$1:J284,$J284,$K$1:K284,$K284,$L$1:L284,$L284,$M$1:M284,M284,$N$1:N284,N284),IF(LEN(COUNTIFS($J$1:J284,$J284,$K$1:K284,$K284,$L$1:L284,$L284,$M$1:M284,M284,$N$1:N284,N284))=2,"0"&amp;COUNTIFS($J$1:J284,$J284,$K$1:K284,$K284,$L$1:L284,$L284,$M$1:M284,M284,$N$1:N284,N284),COUNTIFS($J$1:J284,$J284,$K$1:K284,$K284,$L$1:L284,$L284,$M$1:M284,M284,$N$1:N284,N284)))</f>
        <v>010</v>
      </c>
      <c r="P28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MS-CS-001-26-00010-INV</v>
      </c>
      <c r="Q284" s="59" t="s">
        <v>7340</v>
      </c>
      <c r="R284" s="34" t="s">
        <v>6100</v>
      </c>
      <c r="S284" s="34" t="s">
        <v>1044</v>
      </c>
      <c r="T284" s="34">
        <f>+IFERROR(_xlfn.XLOOKUP(Table43[[#This Row],[Column1]],#REF!,#REF!),0)</f>
        <v>0</v>
      </c>
      <c r="U284" s="50">
        <f>IFERROR(_xlfn.XLOOKUP(Table43[[#This Row],[Column1]],#REF!,#REF!),0)</f>
        <v>0</v>
      </c>
      <c r="V284" s="39"/>
    </row>
    <row r="285" spans="1:22" x14ac:dyDescent="0.35">
      <c r="A285" s="3" t="s">
        <v>1043</v>
      </c>
      <c r="B285" s="2" t="s">
        <v>1046</v>
      </c>
      <c r="C285" s="2" t="s">
        <v>9</v>
      </c>
      <c r="D285" s="4">
        <v>9350</v>
      </c>
      <c r="E285" s="2" t="s">
        <v>10</v>
      </c>
      <c r="F285" s="2">
        <v>1</v>
      </c>
      <c r="G285" s="2">
        <v>2</v>
      </c>
      <c r="H285" s="2">
        <v>1</v>
      </c>
      <c r="I285" s="22">
        <f>Table43[[#This Row],[Item Cost]]*Table43[[#This Row],[In Stock]]</f>
        <v>9350</v>
      </c>
      <c r="J285" s="12" t="s">
        <v>4941</v>
      </c>
      <c r="K285" s="13" t="s">
        <v>4664</v>
      </c>
      <c r="L285" s="13" t="s">
        <v>4673</v>
      </c>
      <c r="M285" s="13" t="s">
        <v>4772</v>
      </c>
      <c r="N285" s="12" t="s">
        <v>4672</v>
      </c>
      <c r="O285" s="17" t="str">
        <f>IF(LEN(COUNTIFS($J$1:J285,$J285,$K$1:K285,$K285,$L$1:L285,$L285,$M$1:M285,M285,$N$1:N285,N285))=1,"00"&amp;COUNTIFS($J$1:J285,$J285,$K$1:K285,$K285,$L$1:L285,$L285,$M$1:M285,M285,$N$1:N285,N285),IF(LEN(COUNTIFS($J$1:J285,$J285,$K$1:K285,$K285,$L$1:L285,$L285,$M$1:M285,M285,$N$1:N285,N285))=2,"0"&amp;COUNTIFS($J$1:J285,$J285,$K$1:K285,$K285,$L$1:L285,$L285,$M$1:M285,M285,$N$1:N285,N285),COUNTIFS($J$1:J285,$J285,$K$1:K285,$K285,$L$1:L285,$L285,$M$1:M285,M285,$N$1:N285,N285)))</f>
        <v>001</v>
      </c>
      <c r="P28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MS-CS-001-06-00001-INV</v>
      </c>
      <c r="Q285" s="59"/>
      <c r="R285" s="34" t="s">
        <v>6101</v>
      </c>
      <c r="S285" s="34" t="s">
        <v>1046</v>
      </c>
      <c r="T285" s="34">
        <f>+IFERROR(_xlfn.XLOOKUP(Table43[[#This Row],[Column1]],#REF!,#REF!),0)</f>
        <v>0</v>
      </c>
      <c r="U285" s="50">
        <f>IFERROR(_xlfn.XLOOKUP(Table43[[#This Row],[Column1]],#REF!,#REF!),0)</f>
        <v>0</v>
      </c>
      <c r="V285" s="39"/>
    </row>
    <row r="286" spans="1:22" x14ac:dyDescent="0.35">
      <c r="A286" s="2" t="s">
        <v>5205</v>
      </c>
      <c r="B286" s="3" t="s">
        <v>1048</v>
      </c>
      <c r="C286" s="3" t="s">
        <v>9</v>
      </c>
      <c r="D286" s="5">
        <v>15800</v>
      </c>
      <c r="E286" s="3" t="s">
        <v>10</v>
      </c>
      <c r="F286" s="2">
        <v>1</v>
      </c>
      <c r="G286" s="2">
        <v>2</v>
      </c>
      <c r="H286" s="3">
        <v>1</v>
      </c>
      <c r="I286" s="21">
        <f>Table43[[#This Row],[Item Cost]]*Table43[[#This Row],[In Stock]]</f>
        <v>15800</v>
      </c>
      <c r="J286" s="12" t="s">
        <v>4941</v>
      </c>
      <c r="K286" s="13" t="s">
        <v>4664</v>
      </c>
      <c r="L286" s="13" t="s">
        <v>4673</v>
      </c>
      <c r="M286" s="13" t="s">
        <v>4772</v>
      </c>
      <c r="N286" s="12" t="s">
        <v>4672</v>
      </c>
      <c r="O286" s="17" t="str">
        <f>IF(LEN(COUNTIFS($J$1:J286,$J286,$K$1:K286,$K286,$L$1:L286,$L286,$M$1:M286,M286,$N$1:N286,N286))=1,"00"&amp;COUNTIFS($J$1:J286,$J286,$K$1:K286,$K286,$L$1:L286,$L286,$M$1:M286,M286,$N$1:N286,N286),IF(LEN(COUNTIFS($J$1:J286,$J286,$K$1:K286,$K286,$L$1:L286,$L286,$M$1:M286,M286,$N$1:N286,N286))=2,"0"&amp;COUNTIFS($J$1:J286,$J286,$K$1:K286,$K286,$L$1:L286,$L286,$M$1:M286,M286,$N$1:N286,N286),COUNTIFS($J$1:J286,$J286,$K$1:K286,$K286,$L$1:L286,$L286,$M$1:M286,M286,$N$1:N286,N286)))</f>
        <v>002</v>
      </c>
      <c r="P28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MS-CS-001-06-00002-INV</v>
      </c>
      <c r="Q286" s="59" t="s">
        <v>7343</v>
      </c>
      <c r="R286" s="34" t="s">
        <v>6102</v>
      </c>
      <c r="S286" s="34" t="s">
        <v>1048</v>
      </c>
      <c r="T286" s="34">
        <f>+IFERROR(_xlfn.XLOOKUP(Table43[[#This Row],[Column1]],#REF!,#REF!),0)</f>
        <v>0</v>
      </c>
      <c r="U286" s="50">
        <f>IFERROR(_xlfn.XLOOKUP(Table43[[#This Row],[Column1]],#REF!,#REF!),0)</f>
        <v>0</v>
      </c>
      <c r="V286" s="39"/>
    </row>
    <row r="287" spans="1:22" x14ac:dyDescent="0.35">
      <c r="A287" s="3" t="s">
        <v>1045</v>
      </c>
      <c r="B287" s="2" t="s">
        <v>1050</v>
      </c>
      <c r="C287" s="2" t="s">
        <v>15</v>
      </c>
      <c r="D287" s="2">
        <v>215.55</v>
      </c>
      <c r="E287" s="2" t="s">
        <v>10</v>
      </c>
      <c r="F287" s="2">
        <v>1</v>
      </c>
      <c r="G287" s="2">
        <v>2</v>
      </c>
      <c r="H287" s="2">
        <v>0</v>
      </c>
      <c r="I287" s="22">
        <f>Table43[[#This Row],[Item Cost]]*Table43[[#This Row],[In Stock]]</f>
        <v>0</v>
      </c>
      <c r="J287" s="12" t="s">
        <v>4941</v>
      </c>
      <c r="K287" s="13" t="s">
        <v>4666</v>
      </c>
      <c r="L287" s="13" t="s">
        <v>4673</v>
      </c>
      <c r="M287" s="13" t="s">
        <v>4693</v>
      </c>
      <c r="N287" s="12" t="s">
        <v>4672</v>
      </c>
      <c r="O287" s="17" t="str">
        <f>IF(LEN(COUNTIFS($J$1:J287,$J287,$K$1:K287,$K287,$L$1:L287,$L287,$M$1:M287,M287,$N$1:N287,N287))=1,"00"&amp;COUNTIFS($J$1:J287,$J287,$K$1:K287,$K287,$L$1:L287,$L287,$M$1:M287,M287,$N$1:N287,N287),IF(LEN(COUNTIFS($J$1:J287,$J287,$K$1:K287,$K287,$L$1:L287,$L287,$M$1:M287,M287,$N$1:N287,N287))=2,"0"&amp;COUNTIFS($J$1:J287,$J287,$K$1:K287,$K287,$L$1:L287,$L287,$M$1:M287,M287,$N$1:N287,N287),COUNTIFS($J$1:J287,$J287,$K$1:K287,$K287,$L$1:L287,$L287,$M$1:M287,M287,$N$1:N287,N287)))</f>
        <v>003</v>
      </c>
      <c r="P28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MS-NS-001-23-00003-INV</v>
      </c>
      <c r="Q287" s="59"/>
      <c r="R287" s="34" t="s">
        <v>6103</v>
      </c>
      <c r="S287" s="34" t="s">
        <v>1050</v>
      </c>
      <c r="T287" s="34">
        <f>+IFERROR(_xlfn.XLOOKUP(Table43[[#This Row],[Column1]],#REF!,#REF!),0)</f>
        <v>0</v>
      </c>
      <c r="U287" s="50">
        <f>IFERROR(_xlfn.XLOOKUP(Table43[[#This Row],[Column1]],#REF!,#REF!),0)</f>
        <v>0</v>
      </c>
      <c r="V287" s="39"/>
    </row>
    <row r="288" spans="1:22" x14ac:dyDescent="0.35">
      <c r="A288" s="2" t="s">
        <v>1047</v>
      </c>
      <c r="B288" s="2" t="s">
        <v>1052</v>
      </c>
      <c r="C288" s="2" t="s">
        <v>15</v>
      </c>
      <c r="D288" s="2">
        <v>466.428</v>
      </c>
      <c r="E288" s="2" t="s">
        <v>10</v>
      </c>
      <c r="F288" s="2">
        <v>1</v>
      </c>
      <c r="G288" s="2">
        <v>2</v>
      </c>
      <c r="H288" s="2">
        <v>13</v>
      </c>
      <c r="I288" s="22">
        <f>Table43[[#This Row],[Item Cost]]*Table43[[#This Row],[In Stock]]</f>
        <v>6063.5640000000003</v>
      </c>
      <c r="J288" s="12" t="s">
        <v>4941</v>
      </c>
      <c r="K288" s="13" t="s">
        <v>4666</v>
      </c>
      <c r="L288" s="13" t="s">
        <v>4673</v>
      </c>
      <c r="M288" s="13" t="s">
        <v>4859</v>
      </c>
      <c r="N288" s="12" t="s">
        <v>4672</v>
      </c>
      <c r="O288" s="17" t="str">
        <f>IF(LEN(COUNTIFS($J$1:J288,$J288,$K$1:K288,$K288,$L$1:L288,$L288,$M$1:M288,M288,$N$1:N288,N288))=1,"00"&amp;COUNTIFS($J$1:J288,$J288,$K$1:K288,$K288,$L$1:L288,$L288,$M$1:M288,M288,$N$1:N288,N288),IF(LEN(COUNTIFS($J$1:J288,$J288,$K$1:K288,$K288,$L$1:L288,$L288,$M$1:M288,M288,$N$1:N288,N288))=2,"0"&amp;COUNTIFS($J$1:J288,$J288,$K$1:K288,$K288,$L$1:L288,$L288,$M$1:M288,M288,$N$1:N288,N288),COUNTIFS($J$1:J288,$J288,$K$1:K288,$K288,$L$1:L288,$L288,$M$1:M288,M288,$N$1:N288,N288)))</f>
        <v>001</v>
      </c>
      <c r="P28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MS-NS-001-30-00001-INV</v>
      </c>
      <c r="Q288" s="59"/>
      <c r="R288" s="34" t="s">
        <v>6104</v>
      </c>
      <c r="S288" s="34" t="s">
        <v>1052</v>
      </c>
      <c r="T288" s="34">
        <f>+IFERROR(_xlfn.XLOOKUP(Table43[[#This Row],[Column1]],#REF!,#REF!),0)</f>
        <v>0</v>
      </c>
      <c r="U288" s="50">
        <f>IFERROR(_xlfn.XLOOKUP(Table43[[#This Row],[Column1]],#REF!,#REF!),0)</f>
        <v>0</v>
      </c>
      <c r="V288" s="39"/>
    </row>
    <row r="289" spans="1:22" x14ac:dyDescent="0.35">
      <c r="A289" s="3" t="s">
        <v>5206</v>
      </c>
      <c r="B289" s="3" t="s">
        <v>1054</v>
      </c>
      <c r="C289" s="3" t="s">
        <v>15</v>
      </c>
      <c r="D289" s="5">
        <v>1500</v>
      </c>
      <c r="E289" s="3" t="s">
        <v>10</v>
      </c>
      <c r="F289" s="3">
        <v>0</v>
      </c>
      <c r="G289" s="3">
        <v>1</v>
      </c>
      <c r="H289" s="3">
        <v>1</v>
      </c>
      <c r="I289" s="21">
        <f>Table43[[#This Row],[Item Cost]]*Table43[[#This Row],[In Stock]]</f>
        <v>1500</v>
      </c>
      <c r="J289" s="12" t="s">
        <v>4941</v>
      </c>
      <c r="K289" s="13" t="s">
        <v>4666</v>
      </c>
      <c r="L289" s="13" t="s">
        <v>4673</v>
      </c>
      <c r="M289" s="13" t="s">
        <v>4837</v>
      </c>
      <c r="N289" s="12" t="s">
        <v>4672</v>
      </c>
      <c r="O289" s="17" t="str">
        <f>IF(LEN(COUNTIFS($J$1:J289,$J289,$K$1:K289,$K289,$L$1:L289,$L289,$M$1:M289,M289,$N$1:N289,N289))=1,"00"&amp;COUNTIFS($J$1:J289,$J289,$K$1:K289,$K289,$L$1:L289,$L289,$M$1:M289,M289,$N$1:N289,N289),IF(LEN(COUNTIFS($J$1:J289,$J289,$K$1:K289,$K289,$L$1:L289,$L289,$M$1:M289,M289,$N$1:N289,N289))=2,"0"&amp;COUNTIFS($J$1:J289,$J289,$K$1:K289,$K289,$L$1:L289,$L289,$M$1:M289,M289,$N$1:N289,N289),COUNTIFS($J$1:J289,$J289,$K$1:K289,$K289,$L$1:L289,$L289,$M$1:M289,M289,$N$1:N289,N289)))</f>
        <v>006</v>
      </c>
      <c r="P28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MS-NS-001-26-00006-INV</v>
      </c>
      <c r="Q289" s="59"/>
      <c r="R289" s="34" t="s">
        <v>6105</v>
      </c>
      <c r="S289" s="34" t="s">
        <v>1054</v>
      </c>
      <c r="T289" s="34">
        <f>+IFERROR(_xlfn.XLOOKUP(Table43[[#This Row],[Column1]],#REF!,#REF!),0)</f>
        <v>0</v>
      </c>
      <c r="U289" s="50">
        <f>IFERROR(_xlfn.XLOOKUP(Table43[[#This Row],[Column1]],#REF!,#REF!),0)</f>
        <v>0</v>
      </c>
      <c r="V289" s="39"/>
    </row>
    <row r="290" spans="1:22" x14ac:dyDescent="0.35">
      <c r="A290" s="2" t="s">
        <v>5207</v>
      </c>
      <c r="B290" s="2" t="s">
        <v>1056</v>
      </c>
      <c r="C290" s="2" t="s">
        <v>15</v>
      </c>
      <c r="D290" s="2">
        <v>55</v>
      </c>
      <c r="E290" s="2" t="s">
        <v>10</v>
      </c>
      <c r="F290" s="2">
        <v>5</v>
      </c>
      <c r="G290" s="2">
        <v>10</v>
      </c>
      <c r="H290" s="2">
        <v>19</v>
      </c>
      <c r="I290" s="22">
        <f>Table43[[#This Row],[Item Cost]]*Table43[[#This Row],[In Stock]]</f>
        <v>1045</v>
      </c>
      <c r="J290" s="12" t="s">
        <v>4941</v>
      </c>
      <c r="K290" s="13" t="s">
        <v>4666</v>
      </c>
      <c r="L290" s="13" t="s">
        <v>4673</v>
      </c>
      <c r="M290" s="13" t="s">
        <v>4837</v>
      </c>
      <c r="N290" s="12" t="s">
        <v>4672</v>
      </c>
      <c r="O290" s="17" t="str">
        <f>IF(LEN(COUNTIFS($J$1:J290,$J290,$K$1:K290,$K290,$L$1:L290,$L290,$M$1:M290,M290,$N$1:N290,N290))=1,"00"&amp;COUNTIFS($J$1:J290,$J290,$K$1:K290,$K290,$L$1:L290,$L290,$M$1:M290,M290,$N$1:N290,N290),IF(LEN(COUNTIFS($J$1:J290,$J290,$K$1:K290,$K290,$L$1:L290,$L290,$M$1:M290,M290,$N$1:N290,N290))=2,"0"&amp;COUNTIFS($J$1:J290,$J290,$K$1:K290,$K290,$L$1:L290,$L290,$M$1:M290,M290,$N$1:N290,N290),COUNTIFS($J$1:J290,$J290,$K$1:K290,$K290,$L$1:L290,$L290,$M$1:M290,M290,$N$1:N290,N290)))</f>
        <v>007</v>
      </c>
      <c r="P29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MS-NS-001-26-00007-INV</v>
      </c>
      <c r="Q290" s="59"/>
      <c r="R290" s="34" t="s">
        <v>6106</v>
      </c>
      <c r="S290" s="34" t="s">
        <v>1056</v>
      </c>
      <c r="T290" s="34">
        <f>+IFERROR(_xlfn.XLOOKUP(Table43[[#This Row],[Column1]],#REF!,#REF!),0)</f>
        <v>0</v>
      </c>
      <c r="U290" s="50">
        <f>IFERROR(_xlfn.XLOOKUP(Table43[[#This Row],[Column1]],#REF!,#REF!),0)</f>
        <v>0</v>
      </c>
      <c r="V290" s="39"/>
    </row>
    <row r="291" spans="1:22" x14ac:dyDescent="0.35">
      <c r="A291" s="3" t="s">
        <v>5208</v>
      </c>
      <c r="B291" s="3" t="s">
        <v>1058</v>
      </c>
      <c r="C291" s="3" t="s">
        <v>15</v>
      </c>
      <c r="D291" s="3">
        <v>250</v>
      </c>
      <c r="E291" s="3" t="s">
        <v>10</v>
      </c>
      <c r="F291" s="3">
        <v>2</v>
      </c>
      <c r="G291" s="3">
        <v>5</v>
      </c>
      <c r="H291" s="3">
        <v>31</v>
      </c>
      <c r="I291" s="21">
        <f>Table43[[#This Row],[Item Cost]]*Table43[[#This Row],[In Stock]]</f>
        <v>7750</v>
      </c>
      <c r="J291" s="12" t="s">
        <v>4941</v>
      </c>
      <c r="K291" s="13" t="s">
        <v>4666</v>
      </c>
      <c r="L291" s="13" t="s">
        <v>4673</v>
      </c>
      <c r="M291" s="13" t="s">
        <v>4837</v>
      </c>
      <c r="N291" s="12" t="s">
        <v>4672</v>
      </c>
      <c r="O291" s="17" t="str">
        <f>IF(LEN(COUNTIFS($J$1:J291,$J291,$K$1:K291,$K291,$L$1:L291,$L291,$M$1:M291,M291,$N$1:N291,N291))=1,"00"&amp;COUNTIFS($J$1:J291,$J291,$K$1:K291,$K291,$L$1:L291,$L291,$M$1:M291,M291,$N$1:N291,N291),IF(LEN(COUNTIFS($J$1:J291,$J291,$K$1:K291,$K291,$L$1:L291,$L291,$M$1:M291,M291,$N$1:N291,N291))=2,"0"&amp;COUNTIFS($J$1:J291,$J291,$K$1:K291,$K291,$L$1:L291,$L291,$M$1:M291,M291,$N$1:N291,N291),COUNTIFS($J$1:J291,$J291,$K$1:K291,$K291,$L$1:L291,$L291,$M$1:M291,M291,$N$1:N291,N291)))</f>
        <v>008</v>
      </c>
      <c r="P29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MS-NS-001-26-00008-INV</v>
      </c>
      <c r="Q291" s="59" t="s">
        <v>7340</v>
      </c>
      <c r="R291" s="34" t="s">
        <v>6107</v>
      </c>
      <c r="S291" s="34" t="s">
        <v>1058</v>
      </c>
      <c r="T291" s="34">
        <f>+IFERROR(_xlfn.XLOOKUP(Table43[[#This Row],[Column1]],#REF!,#REF!),0)</f>
        <v>0</v>
      </c>
      <c r="U291" s="50">
        <f>IFERROR(_xlfn.XLOOKUP(Table43[[#This Row],[Column1]],#REF!,#REF!),0)</f>
        <v>0</v>
      </c>
      <c r="V291" s="39"/>
    </row>
    <row r="292" spans="1:22" x14ac:dyDescent="0.35">
      <c r="A292" s="2" t="s">
        <v>5209</v>
      </c>
      <c r="B292" s="2" t="s">
        <v>1060</v>
      </c>
      <c r="C292" s="2" t="s">
        <v>15</v>
      </c>
      <c r="D292" s="4">
        <v>1400</v>
      </c>
      <c r="E292" s="2" t="s">
        <v>10</v>
      </c>
      <c r="F292" s="2">
        <v>1</v>
      </c>
      <c r="G292" s="2">
        <v>3</v>
      </c>
      <c r="H292" s="2">
        <v>3</v>
      </c>
      <c r="I292" s="22">
        <f>Table43[[#This Row],[Item Cost]]*Table43[[#This Row],[In Stock]]</f>
        <v>4200</v>
      </c>
      <c r="J292" s="12" t="s">
        <v>4941</v>
      </c>
      <c r="K292" s="13" t="s">
        <v>4666</v>
      </c>
      <c r="L292" s="13" t="s">
        <v>4673</v>
      </c>
      <c r="M292" s="13" t="s">
        <v>4734</v>
      </c>
      <c r="N292" s="12" t="s">
        <v>4672</v>
      </c>
      <c r="O292" s="17" t="str">
        <f>IF(LEN(COUNTIFS($J$1:J292,$J292,$K$1:K292,$K292,$L$1:L292,$L292,$M$1:M292,M292,$N$1:N292,N292))=1,"00"&amp;COUNTIFS($J$1:J292,$J292,$K$1:K292,$K292,$L$1:L292,$L292,$M$1:M292,M292,$N$1:N292,N292),IF(LEN(COUNTIFS($J$1:J292,$J292,$K$1:K292,$K292,$L$1:L292,$L292,$M$1:M292,M292,$N$1:N292,N292))=2,"0"&amp;COUNTIFS($J$1:J292,$J292,$K$1:K292,$K292,$L$1:L292,$L292,$M$1:M292,M292,$N$1:N292,N292),COUNTIFS($J$1:J292,$J292,$K$1:K292,$K292,$L$1:L292,$L292,$M$1:M292,M292,$N$1:N292,N292)))</f>
        <v>005</v>
      </c>
      <c r="P29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MS-NS-001-02-00005-INV</v>
      </c>
      <c r="Q292" s="59" t="s">
        <v>7343</v>
      </c>
      <c r="R292" s="34" t="s">
        <v>6108</v>
      </c>
      <c r="S292" s="34" t="s">
        <v>1060</v>
      </c>
      <c r="T292" s="34">
        <f>+IFERROR(_xlfn.XLOOKUP(Table43[[#This Row],[Column1]],#REF!,#REF!),0)</f>
        <v>0</v>
      </c>
      <c r="U292" s="50">
        <f>IFERROR(_xlfn.XLOOKUP(Table43[[#This Row],[Column1]],#REF!,#REF!),0)</f>
        <v>0</v>
      </c>
      <c r="V292" s="39"/>
    </row>
    <row r="293" spans="1:22" x14ac:dyDescent="0.35">
      <c r="A293" s="3" t="s">
        <v>5210</v>
      </c>
      <c r="B293" s="3" t="s">
        <v>1062</v>
      </c>
      <c r="C293" s="3" t="s">
        <v>15</v>
      </c>
      <c r="D293" s="3">
        <v>0</v>
      </c>
      <c r="E293" s="3" t="s">
        <v>10</v>
      </c>
      <c r="F293" s="3">
        <v>1</v>
      </c>
      <c r="G293" s="3">
        <v>2</v>
      </c>
      <c r="H293" s="3">
        <v>0</v>
      </c>
      <c r="I293" s="21">
        <f>Table43[[#This Row],[Item Cost]]*Table43[[#This Row],[In Stock]]</f>
        <v>0</v>
      </c>
      <c r="J293" s="12" t="s">
        <v>4941</v>
      </c>
      <c r="K293" s="13" t="s">
        <v>4666</v>
      </c>
      <c r="L293" s="13" t="s">
        <v>4673</v>
      </c>
      <c r="M293" s="13" t="s">
        <v>4841</v>
      </c>
      <c r="N293" s="12" t="s">
        <v>4672</v>
      </c>
      <c r="O293" s="17" t="str">
        <f>IF(LEN(COUNTIFS($J$1:J293,$J293,$K$1:K293,$K293,$L$1:L293,$L293,$M$1:M293,M293,$N$1:N293,N293))=1,"00"&amp;COUNTIFS($J$1:J293,$J293,$K$1:K293,$K293,$L$1:L293,$L293,$M$1:M293,M293,$N$1:N293,N293),IF(LEN(COUNTIFS($J$1:J293,$J293,$K$1:K293,$K293,$L$1:L293,$L293,$M$1:M293,M293,$N$1:N293,N293))=2,"0"&amp;COUNTIFS($J$1:J293,$J293,$K$1:K293,$K293,$L$1:L293,$L293,$M$1:M293,M293,$N$1:N293,N293),COUNTIFS($J$1:J293,$J293,$K$1:K293,$K293,$L$1:L293,$L293,$M$1:M293,M293,$N$1:N293,N293)))</f>
        <v>001</v>
      </c>
      <c r="P29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MS-NS-001-28-00001-INV</v>
      </c>
      <c r="Q293" s="59"/>
      <c r="R293" s="34" t="s">
        <v>6109</v>
      </c>
      <c r="S293" s="34" t="s">
        <v>1062</v>
      </c>
      <c r="T293" s="34">
        <f>+IFERROR(_xlfn.XLOOKUP(Table43[[#This Row],[Column1]],#REF!,#REF!),0)</f>
        <v>0</v>
      </c>
      <c r="U293" s="50">
        <f>IFERROR(_xlfn.XLOOKUP(Table43[[#This Row],[Column1]],#REF!,#REF!),0)</f>
        <v>0</v>
      </c>
      <c r="V293" s="39"/>
    </row>
    <row r="294" spans="1:22" x14ac:dyDescent="0.35">
      <c r="A294" s="2" t="s">
        <v>5211</v>
      </c>
      <c r="B294" s="3" t="s">
        <v>1064</v>
      </c>
      <c r="C294" s="3" t="s">
        <v>15</v>
      </c>
      <c r="D294" s="3">
        <v>850</v>
      </c>
      <c r="E294" s="3" t="s">
        <v>10</v>
      </c>
      <c r="F294" s="3">
        <v>1</v>
      </c>
      <c r="G294" s="3">
        <v>2</v>
      </c>
      <c r="H294" s="3">
        <v>1</v>
      </c>
      <c r="I294" s="21">
        <f>Table43[[#This Row],[Item Cost]]*Table43[[#This Row],[In Stock]]</f>
        <v>850</v>
      </c>
      <c r="J294" s="12" t="s">
        <v>4941</v>
      </c>
      <c r="K294" s="13" t="s">
        <v>4666</v>
      </c>
      <c r="L294" s="13" t="s">
        <v>4673</v>
      </c>
      <c r="M294" s="13" t="s">
        <v>4770</v>
      </c>
      <c r="N294" s="12" t="s">
        <v>4672</v>
      </c>
      <c r="O294" s="17" t="str">
        <f>IF(LEN(COUNTIFS($J$1:J294,$J294,$K$1:K294,$K294,$L$1:L294,$L294,$M$1:M294,M294,$N$1:N294,N294))=1,"00"&amp;COUNTIFS($J$1:J294,$J294,$K$1:K294,$K294,$L$1:L294,$L294,$M$1:M294,M294,$N$1:N294,N294),IF(LEN(COUNTIFS($J$1:J294,$J294,$K$1:K294,$K294,$L$1:L294,$L294,$M$1:M294,M294,$N$1:N294,N294))=2,"0"&amp;COUNTIFS($J$1:J294,$J294,$K$1:K294,$K294,$L$1:L294,$L294,$M$1:M294,M294,$N$1:N294,N294),COUNTIFS($J$1:J294,$J294,$K$1:K294,$K294,$L$1:L294,$L294,$M$1:M294,M294,$N$1:N294,N294)))</f>
        <v>002</v>
      </c>
      <c r="P29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MS-NS-001-04-00002-INV</v>
      </c>
      <c r="Q294" s="59"/>
      <c r="R294" s="34" t="s">
        <v>6110</v>
      </c>
      <c r="S294" s="34" t="s">
        <v>1064</v>
      </c>
      <c r="T294" s="34">
        <f>+IFERROR(_xlfn.XLOOKUP(Table43[[#This Row],[Column1]],#REF!,#REF!),0)</f>
        <v>0</v>
      </c>
      <c r="U294" s="50">
        <f>IFERROR(_xlfn.XLOOKUP(Table43[[#This Row],[Column1]],#REF!,#REF!),0)</f>
        <v>0</v>
      </c>
      <c r="V294" s="39"/>
    </row>
    <row r="295" spans="1:22" x14ac:dyDescent="0.35">
      <c r="A295" s="3" t="s">
        <v>5212</v>
      </c>
      <c r="B295" s="3" t="s">
        <v>1066</v>
      </c>
      <c r="C295" s="3" t="s">
        <v>15</v>
      </c>
      <c r="D295" s="3">
        <v>0</v>
      </c>
      <c r="E295" s="3" t="s">
        <v>10</v>
      </c>
      <c r="F295" s="3">
        <v>1</v>
      </c>
      <c r="G295" s="3">
        <v>2</v>
      </c>
      <c r="H295" s="3">
        <v>0</v>
      </c>
      <c r="I295" s="21">
        <f>Table43[[#This Row],[Item Cost]]*Table43[[#This Row],[In Stock]]</f>
        <v>0</v>
      </c>
      <c r="J295" s="12" t="s">
        <v>4941</v>
      </c>
      <c r="K295" s="13" t="s">
        <v>4666</v>
      </c>
      <c r="L295" s="13" t="s">
        <v>4673</v>
      </c>
      <c r="M295" s="13" t="s">
        <v>4837</v>
      </c>
      <c r="N295" s="12" t="s">
        <v>4672</v>
      </c>
      <c r="O295" s="17" t="str">
        <f>IF(LEN(COUNTIFS($J$1:J295,$J295,$K$1:K295,$K295,$L$1:L295,$L295,$M$1:M295,M295,$N$1:N295,N295))=1,"00"&amp;COUNTIFS($J$1:J295,$J295,$K$1:K295,$K295,$L$1:L295,$L295,$M$1:M295,M295,$N$1:N295,N295),IF(LEN(COUNTIFS($J$1:J295,$J295,$K$1:K295,$K295,$L$1:L295,$L295,$M$1:M295,M295,$N$1:N295,N295))=2,"0"&amp;COUNTIFS($J$1:J295,$J295,$K$1:K295,$K295,$L$1:L295,$L295,$M$1:M295,M295,$N$1:N295,N295),COUNTIFS($J$1:J295,$J295,$K$1:K295,$K295,$L$1:L295,$L295,$M$1:M295,M295,$N$1:N295,N295)))</f>
        <v>009</v>
      </c>
      <c r="P29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MS-NS-001-26-00009-INV</v>
      </c>
      <c r="Q295" s="59"/>
      <c r="R295" s="34" t="s">
        <v>6111</v>
      </c>
      <c r="S295" s="34" t="s">
        <v>1066</v>
      </c>
      <c r="T295" s="34">
        <f>+IFERROR(_xlfn.XLOOKUP(Table43[[#This Row],[Column1]],#REF!,#REF!),0)</f>
        <v>0</v>
      </c>
      <c r="U295" s="50">
        <f>IFERROR(_xlfn.XLOOKUP(Table43[[#This Row],[Column1]],#REF!,#REF!),0)</f>
        <v>0</v>
      </c>
      <c r="V295" s="39"/>
    </row>
    <row r="296" spans="1:22" x14ac:dyDescent="0.35">
      <c r="A296" s="2" t="s">
        <v>5213</v>
      </c>
      <c r="B296" s="2" t="s">
        <v>1068</v>
      </c>
      <c r="C296" s="2" t="s">
        <v>15</v>
      </c>
      <c r="D296" s="2">
        <v>0</v>
      </c>
      <c r="E296" s="2" t="s">
        <v>10</v>
      </c>
      <c r="F296" s="3">
        <v>1</v>
      </c>
      <c r="G296" s="3">
        <v>2</v>
      </c>
      <c r="H296" s="2">
        <v>0</v>
      </c>
      <c r="I296" s="22">
        <f>Table43[[#This Row],[Item Cost]]*Table43[[#This Row],[In Stock]]</f>
        <v>0</v>
      </c>
      <c r="J296" s="12" t="s">
        <v>4941</v>
      </c>
      <c r="K296" s="13" t="s">
        <v>4666</v>
      </c>
      <c r="L296" s="13" t="s">
        <v>4673</v>
      </c>
      <c r="M296" s="13" t="s">
        <v>4837</v>
      </c>
      <c r="N296" s="12" t="s">
        <v>4672</v>
      </c>
      <c r="O296" s="17" t="str">
        <f>IF(LEN(COUNTIFS($J$1:J296,$J296,$K$1:K296,$K296,$L$1:L296,$L296,$M$1:M296,M296,$N$1:N296,N296))=1,"00"&amp;COUNTIFS($J$1:J296,$J296,$K$1:K296,$K296,$L$1:L296,$L296,$M$1:M296,M296,$N$1:N296,N296),IF(LEN(COUNTIFS($J$1:J296,$J296,$K$1:K296,$K296,$L$1:L296,$L296,$M$1:M296,M296,$N$1:N296,N296))=2,"0"&amp;COUNTIFS($J$1:J296,$J296,$K$1:K296,$K296,$L$1:L296,$L296,$M$1:M296,M296,$N$1:N296,N296),COUNTIFS($J$1:J296,$J296,$K$1:K296,$K296,$L$1:L296,$L296,$M$1:M296,M296,$N$1:N296,N296)))</f>
        <v>010</v>
      </c>
      <c r="P29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MS-NS-001-26-00010-INV</v>
      </c>
      <c r="Q296" s="59"/>
      <c r="R296" s="34" t="s">
        <v>6112</v>
      </c>
      <c r="S296" s="34" t="s">
        <v>1068</v>
      </c>
      <c r="T296" s="34">
        <f>+IFERROR(_xlfn.XLOOKUP(Table43[[#This Row],[Column1]],#REF!,#REF!),0)</f>
        <v>0</v>
      </c>
      <c r="U296" s="50">
        <f>IFERROR(_xlfn.XLOOKUP(Table43[[#This Row],[Column1]],#REF!,#REF!),0)</f>
        <v>0</v>
      </c>
      <c r="V296" s="39"/>
    </row>
    <row r="297" spans="1:22" x14ac:dyDescent="0.35">
      <c r="A297" s="3" t="s">
        <v>5214</v>
      </c>
      <c r="B297" s="3" t="s">
        <v>1070</v>
      </c>
      <c r="C297" s="3" t="s">
        <v>15</v>
      </c>
      <c r="D297" s="3">
        <v>75</v>
      </c>
      <c r="E297" s="3" t="s">
        <v>10</v>
      </c>
      <c r="F297" s="3">
        <v>2</v>
      </c>
      <c r="G297" s="3">
        <v>5</v>
      </c>
      <c r="H297" s="3">
        <v>4</v>
      </c>
      <c r="I297" s="21">
        <f>Table43[[#This Row],[Item Cost]]*Table43[[#This Row],[In Stock]]</f>
        <v>300</v>
      </c>
      <c r="J297" s="12" t="s">
        <v>4941</v>
      </c>
      <c r="K297" s="13" t="s">
        <v>4666</v>
      </c>
      <c r="L297" s="13" t="s">
        <v>4673</v>
      </c>
      <c r="M297" s="13" t="s">
        <v>4837</v>
      </c>
      <c r="N297" s="12" t="s">
        <v>4672</v>
      </c>
      <c r="O297" s="17" t="str">
        <f>IF(LEN(COUNTIFS($J$1:J297,$J297,$K$1:K297,$K297,$L$1:L297,$L297,$M$1:M297,M297,$N$1:N297,N297))=1,"00"&amp;COUNTIFS($J$1:J297,$J297,$K$1:K297,$K297,$L$1:L297,$L297,$M$1:M297,M297,$N$1:N297,N297),IF(LEN(COUNTIFS($J$1:J297,$J297,$K$1:K297,$K297,$L$1:L297,$L297,$M$1:M297,M297,$N$1:N297,N297))=2,"0"&amp;COUNTIFS($J$1:J297,$J297,$K$1:K297,$K297,$L$1:L297,$L297,$M$1:M297,M297,$N$1:N297,N297),COUNTIFS($J$1:J297,$J297,$K$1:K297,$K297,$L$1:L297,$L297,$M$1:M297,M297,$N$1:N297,N297)))</f>
        <v>011</v>
      </c>
      <c r="P29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MS-NS-001-26-00011-INV</v>
      </c>
      <c r="Q297" s="59"/>
      <c r="R297" s="34" t="s">
        <v>6113</v>
      </c>
      <c r="S297" s="34" t="s">
        <v>1070</v>
      </c>
      <c r="T297" s="34">
        <f>+IFERROR(_xlfn.XLOOKUP(Table43[[#This Row],[Column1]],#REF!,#REF!),0)</f>
        <v>0</v>
      </c>
      <c r="U297" s="50">
        <f>IFERROR(_xlfn.XLOOKUP(Table43[[#This Row],[Column1]],#REF!,#REF!),0)</f>
        <v>0</v>
      </c>
      <c r="V297" s="39"/>
    </row>
    <row r="298" spans="1:22" x14ac:dyDescent="0.35">
      <c r="A298" s="2" t="s">
        <v>5215</v>
      </c>
      <c r="B298" s="2" t="s">
        <v>1072</v>
      </c>
      <c r="C298" s="2" t="s">
        <v>15</v>
      </c>
      <c r="D298" s="2">
        <v>0</v>
      </c>
      <c r="E298" s="2" t="s">
        <v>10</v>
      </c>
      <c r="F298" s="3">
        <v>1</v>
      </c>
      <c r="G298" s="3">
        <v>2</v>
      </c>
      <c r="H298" s="2">
        <v>0</v>
      </c>
      <c r="I298" s="22">
        <f>Table43[[#This Row],[Item Cost]]*Table43[[#This Row],[In Stock]]</f>
        <v>0</v>
      </c>
      <c r="J298" s="12" t="s">
        <v>4941</v>
      </c>
      <c r="K298" s="13" t="s">
        <v>4666</v>
      </c>
      <c r="L298" s="13" t="s">
        <v>4673</v>
      </c>
      <c r="M298" s="13" t="s">
        <v>4837</v>
      </c>
      <c r="N298" s="12" t="s">
        <v>4672</v>
      </c>
      <c r="O298" s="17" t="str">
        <f>IF(LEN(COUNTIFS($J$1:J298,$J298,$K$1:K298,$K298,$L$1:L298,$L298,$M$1:M298,M298,$N$1:N298,N298))=1,"00"&amp;COUNTIFS($J$1:J298,$J298,$K$1:K298,$K298,$L$1:L298,$L298,$M$1:M298,M298,$N$1:N298,N298),IF(LEN(COUNTIFS($J$1:J298,$J298,$K$1:K298,$K298,$L$1:L298,$L298,$M$1:M298,M298,$N$1:N298,N298))=2,"0"&amp;COUNTIFS($J$1:J298,$J298,$K$1:K298,$K298,$L$1:L298,$L298,$M$1:M298,M298,$N$1:N298,N298),COUNTIFS($J$1:J298,$J298,$K$1:K298,$K298,$L$1:L298,$L298,$M$1:M298,M298,$N$1:N298,N298)))</f>
        <v>012</v>
      </c>
      <c r="P29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MS-NS-001-26-00012-INV</v>
      </c>
      <c r="Q298" s="59"/>
      <c r="R298" s="34" t="s">
        <v>6114</v>
      </c>
      <c r="S298" s="34" t="s">
        <v>1072</v>
      </c>
      <c r="T298" s="34">
        <f>+IFERROR(_xlfn.XLOOKUP(Table43[[#This Row],[Column1]],#REF!,#REF!),0)</f>
        <v>0</v>
      </c>
      <c r="U298" s="50">
        <f>IFERROR(_xlfn.XLOOKUP(Table43[[#This Row],[Column1]],#REF!,#REF!),0)</f>
        <v>0</v>
      </c>
      <c r="V298" s="39"/>
    </row>
    <row r="299" spans="1:22" x14ac:dyDescent="0.35">
      <c r="A299" s="3" t="s">
        <v>5216</v>
      </c>
      <c r="B299" s="3" t="s">
        <v>1074</v>
      </c>
      <c r="C299" s="3" t="s">
        <v>15</v>
      </c>
      <c r="D299" s="3">
        <v>0</v>
      </c>
      <c r="E299" s="3" t="s">
        <v>10</v>
      </c>
      <c r="F299" s="3">
        <v>1</v>
      </c>
      <c r="G299" s="3">
        <v>2</v>
      </c>
      <c r="H299" s="3">
        <v>0</v>
      </c>
      <c r="I299" s="21">
        <f>Table43[[#This Row],[Item Cost]]*Table43[[#This Row],[In Stock]]</f>
        <v>0</v>
      </c>
      <c r="J299" s="12" t="s">
        <v>4941</v>
      </c>
      <c r="K299" s="13" t="s">
        <v>4666</v>
      </c>
      <c r="L299" s="13" t="s">
        <v>4673</v>
      </c>
      <c r="M299" s="13" t="s">
        <v>4837</v>
      </c>
      <c r="N299" s="12" t="s">
        <v>4672</v>
      </c>
      <c r="O299" s="17" t="str">
        <f>IF(LEN(COUNTIFS($J$1:J299,$J299,$K$1:K299,$K299,$L$1:L299,$L299,$M$1:M299,M299,$N$1:N299,N299))=1,"00"&amp;COUNTIFS($J$1:J299,$J299,$K$1:K299,$K299,$L$1:L299,$L299,$M$1:M299,M299,$N$1:N299,N299),IF(LEN(COUNTIFS($J$1:J299,$J299,$K$1:K299,$K299,$L$1:L299,$L299,$M$1:M299,M299,$N$1:N299,N299))=2,"0"&amp;COUNTIFS($J$1:J299,$J299,$K$1:K299,$K299,$L$1:L299,$L299,$M$1:M299,M299,$N$1:N299,N299),COUNTIFS($J$1:J299,$J299,$K$1:K299,$K299,$L$1:L299,$L299,$M$1:M299,M299,$N$1:N299,N299)))</f>
        <v>013</v>
      </c>
      <c r="P29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MS-NS-001-26-00013-INV</v>
      </c>
      <c r="Q299" s="59"/>
      <c r="R299" s="34" t="s">
        <v>6115</v>
      </c>
      <c r="S299" s="34" t="s">
        <v>1074</v>
      </c>
      <c r="T299" s="34">
        <f>+IFERROR(_xlfn.XLOOKUP(Table43[[#This Row],[Column1]],#REF!,#REF!),0)</f>
        <v>0</v>
      </c>
      <c r="U299" s="50">
        <f>IFERROR(_xlfn.XLOOKUP(Table43[[#This Row],[Column1]],#REF!,#REF!),0)</f>
        <v>0</v>
      </c>
      <c r="V299" s="39"/>
    </row>
    <row r="300" spans="1:22" x14ac:dyDescent="0.35">
      <c r="A300" s="2" t="s">
        <v>5217</v>
      </c>
      <c r="B300" s="2" t="s">
        <v>1076</v>
      </c>
      <c r="C300" s="2" t="s">
        <v>15</v>
      </c>
      <c r="D300" s="2">
        <v>0</v>
      </c>
      <c r="E300" s="2" t="s">
        <v>10</v>
      </c>
      <c r="F300" s="3">
        <v>1</v>
      </c>
      <c r="G300" s="3">
        <v>2</v>
      </c>
      <c r="H300" s="2">
        <v>0</v>
      </c>
      <c r="I300" s="22">
        <f>Table43[[#This Row],[Item Cost]]*Table43[[#This Row],[In Stock]]</f>
        <v>0</v>
      </c>
      <c r="J300" s="12" t="s">
        <v>4941</v>
      </c>
      <c r="K300" s="13" t="s">
        <v>4666</v>
      </c>
      <c r="L300" s="13" t="s">
        <v>4673</v>
      </c>
      <c r="M300" s="13" t="s">
        <v>4827</v>
      </c>
      <c r="N300" s="12" t="s">
        <v>4672</v>
      </c>
      <c r="O300" s="17" t="str">
        <f>IF(LEN(COUNTIFS($J$1:J300,$J300,$K$1:K300,$K300,$L$1:L300,$L300,$M$1:M300,M300,$N$1:N300,N300))=1,"00"&amp;COUNTIFS($J$1:J300,$J300,$K$1:K300,$K300,$L$1:L300,$L300,$M$1:M300,M300,$N$1:N300,N300),IF(LEN(COUNTIFS($J$1:J300,$J300,$K$1:K300,$K300,$L$1:L300,$L300,$M$1:M300,M300,$N$1:N300,N300))=2,"0"&amp;COUNTIFS($J$1:J300,$J300,$K$1:K300,$K300,$L$1:L300,$L300,$M$1:M300,M300,$N$1:N300,N300),COUNTIFS($J$1:J300,$J300,$K$1:K300,$K300,$L$1:L300,$L300,$M$1:M300,M300,$N$1:N300,N300)))</f>
        <v>001</v>
      </c>
      <c r="P30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MS-NS-001-10-00001-INV</v>
      </c>
      <c r="Q300" s="59" t="s">
        <v>7346</v>
      </c>
      <c r="R300" s="34"/>
      <c r="S300" s="34">
        <v>0</v>
      </c>
      <c r="T300" s="34">
        <f>+IFERROR(_xlfn.XLOOKUP(Table43[[#This Row],[Column1]],#REF!,#REF!),0)</f>
        <v>0</v>
      </c>
      <c r="U300" s="50">
        <f>IFERROR(_xlfn.XLOOKUP(Table43[[#This Row],[Column1]],#REF!,#REF!),0)</f>
        <v>0</v>
      </c>
      <c r="V300" s="39"/>
    </row>
    <row r="301" spans="1:22" x14ac:dyDescent="0.35">
      <c r="A301" s="3" t="s">
        <v>5218</v>
      </c>
      <c r="B301" s="3" t="s">
        <v>282</v>
      </c>
      <c r="C301" s="3" t="s">
        <v>15</v>
      </c>
      <c r="D301" s="5">
        <v>3000</v>
      </c>
      <c r="E301" s="3" t="s">
        <v>10</v>
      </c>
      <c r="F301" s="3">
        <v>1</v>
      </c>
      <c r="G301" s="3">
        <v>2</v>
      </c>
      <c r="H301" s="3">
        <v>1</v>
      </c>
      <c r="I301" s="21">
        <f>Table43[[#This Row],[Item Cost]]*Table43[[#This Row],[In Stock]]</f>
        <v>3000</v>
      </c>
      <c r="J301" s="12" t="s">
        <v>4941</v>
      </c>
      <c r="K301" s="13" t="s">
        <v>4666</v>
      </c>
      <c r="L301" s="13" t="s">
        <v>4673</v>
      </c>
      <c r="M301" s="13" t="s">
        <v>4772</v>
      </c>
      <c r="N301" s="12" t="s">
        <v>4672</v>
      </c>
      <c r="O301" s="17" t="str">
        <f>IF(LEN(COUNTIFS($J$1:J301,$J301,$K$1:K301,$K301,$L$1:L301,$L301,$M$1:M301,M301,$N$1:N301,N301))=1,"00"&amp;COUNTIFS($J$1:J301,$J301,$K$1:K301,$K301,$L$1:L301,$L301,$M$1:M301,M301,$N$1:N301,N301),IF(LEN(COUNTIFS($J$1:J301,$J301,$K$1:K301,$K301,$L$1:L301,$L301,$M$1:M301,M301,$N$1:N301,N301))=2,"0"&amp;COUNTIFS($J$1:J301,$J301,$K$1:K301,$K301,$L$1:L301,$L301,$M$1:M301,M301,$N$1:N301,N301),COUNTIFS($J$1:J301,$J301,$K$1:K301,$K301,$L$1:L301,$L301,$M$1:M301,M301,$N$1:N301,N301)))</f>
        <v>004</v>
      </c>
      <c r="P30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MS-NS-001-06-00004-INV</v>
      </c>
      <c r="Q301" s="59" t="s">
        <v>7328</v>
      </c>
      <c r="R301" s="34" t="s">
        <v>6116</v>
      </c>
      <c r="S301" s="34" t="s">
        <v>282</v>
      </c>
      <c r="T301" s="34">
        <f>+IFERROR(_xlfn.XLOOKUP(Table43[[#This Row],[Column1]],#REF!,#REF!),0)</f>
        <v>0</v>
      </c>
      <c r="U301" s="50">
        <f>IFERROR(_xlfn.XLOOKUP(Table43[[#This Row],[Column1]],#REF!,#REF!),0)</f>
        <v>0</v>
      </c>
      <c r="V301" s="39"/>
    </row>
    <row r="302" spans="1:22" x14ac:dyDescent="0.35">
      <c r="A302" s="2" t="s">
        <v>5219</v>
      </c>
      <c r="B302" s="2" t="s">
        <v>1079</v>
      </c>
      <c r="C302" s="2" t="s">
        <v>15</v>
      </c>
      <c r="D302" s="4">
        <v>2225.9</v>
      </c>
      <c r="E302" s="2" t="s">
        <v>10</v>
      </c>
      <c r="F302" s="3">
        <v>1</v>
      </c>
      <c r="G302" s="3">
        <v>2</v>
      </c>
      <c r="H302" s="2">
        <v>0</v>
      </c>
      <c r="I302" s="22">
        <f>Table43[[#This Row],[Item Cost]]*Table43[[#This Row],[In Stock]]</f>
        <v>0</v>
      </c>
      <c r="J302" s="12" t="s">
        <v>4941</v>
      </c>
      <c r="K302" s="13" t="s">
        <v>4666</v>
      </c>
      <c r="L302" s="13" t="s">
        <v>4673</v>
      </c>
      <c r="M302" s="13" t="s">
        <v>4693</v>
      </c>
      <c r="N302" s="12" t="s">
        <v>4672</v>
      </c>
      <c r="O302" s="17" t="str">
        <f>IF(LEN(COUNTIFS($J$1:J302,$J302,$K$1:K302,$K302,$L$1:L302,$L302,$M$1:M302,M302,$N$1:N302,N302))=1,"00"&amp;COUNTIFS($J$1:J302,$J302,$K$1:K302,$K302,$L$1:L302,$L302,$M$1:M302,M302,$N$1:N302,N302),IF(LEN(COUNTIFS($J$1:J302,$J302,$K$1:K302,$K302,$L$1:L302,$L302,$M$1:M302,M302,$N$1:N302,N302))=2,"0"&amp;COUNTIFS($J$1:J302,$J302,$K$1:K302,$K302,$L$1:L302,$L302,$M$1:M302,M302,$N$1:N302,N302),COUNTIFS($J$1:J302,$J302,$K$1:K302,$K302,$L$1:L302,$L302,$M$1:M302,M302,$N$1:N302,N302)))</f>
        <v>004</v>
      </c>
      <c r="P30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MS-NS-001-23-00004-INV</v>
      </c>
      <c r="Q302" s="59"/>
      <c r="R302" s="34" t="s">
        <v>6117</v>
      </c>
      <c r="S302" s="34" t="s">
        <v>1079</v>
      </c>
      <c r="T302" s="34">
        <f>+IFERROR(_xlfn.XLOOKUP(Table43[[#This Row],[Column1]],#REF!,#REF!),0)</f>
        <v>0</v>
      </c>
      <c r="U302" s="50">
        <f>IFERROR(_xlfn.XLOOKUP(Table43[[#This Row],[Column1]],#REF!,#REF!),0)</f>
        <v>0</v>
      </c>
      <c r="V302" s="39"/>
    </row>
    <row r="303" spans="1:22" x14ac:dyDescent="0.35">
      <c r="A303" s="3" t="s">
        <v>5220</v>
      </c>
      <c r="B303" s="2" t="s">
        <v>1081</v>
      </c>
      <c r="C303" s="2" t="s">
        <v>15</v>
      </c>
      <c r="D303" s="2">
        <v>605</v>
      </c>
      <c r="E303" s="2" t="s">
        <v>10</v>
      </c>
      <c r="F303" s="3">
        <v>1</v>
      </c>
      <c r="G303" s="3">
        <v>2</v>
      </c>
      <c r="H303" s="2">
        <v>0</v>
      </c>
      <c r="I303" s="22">
        <f>Table43[[#This Row],[Item Cost]]*Table43[[#This Row],[In Stock]]</f>
        <v>0</v>
      </c>
      <c r="J303" s="12" t="s">
        <v>4941</v>
      </c>
      <c r="K303" s="13" t="s">
        <v>4666</v>
      </c>
      <c r="L303" s="13" t="s">
        <v>4673</v>
      </c>
      <c r="M303" s="13" t="s">
        <v>4839</v>
      </c>
      <c r="N303" s="12" t="s">
        <v>4672</v>
      </c>
      <c r="O303" s="17" t="str">
        <f>IF(LEN(COUNTIFS($J$1:J303,$J303,$K$1:K303,$K303,$L$1:L303,$L303,$M$1:M303,M303,$N$1:N303,N303))=1,"00"&amp;COUNTIFS($J$1:J303,$J303,$K$1:K303,$K303,$L$1:L303,$L303,$M$1:M303,M303,$N$1:N303,N303),IF(LEN(COUNTIFS($J$1:J303,$J303,$K$1:K303,$K303,$L$1:L303,$L303,$M$1:M303,M303,$N$1:N303,N303))=2,"0"&amp;COUNTIFS($J$1:J303,$J303,$K$1:K303,$K303,$L$1:L303,$L303,$M$1:M303,M303,$N$1:N303,N303),COUNTIFS($J$1:J303,$J303,$K$1:K303,$K303,$L$1:L303,$L303,$M$1:M303,M303,$N$1:N303,N303)))</f>
        <v>001</v>
      </c>
      <c r="P30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MS-NS-001-27-00001-INV</v>
      </c>
      <c r="Q303" s="59" t="s">
        <v>7334</v>
      </c>
      <c r="R303" s="34" t="s">
        <v>6118</v>
      </c>
      <c r="S303" s="34" t="s">
        <v>1081</v>
      </c>
      <c r="T303" s="34">
        <f>+IFERROR(_xlfn.XLOOKUP(Table43[[#This Row],[Column1]],#REF!,#REF!),0)</f>
        <v>0</v>
      </c>
      <c r="U303" s="50">
        <f>IFERROR(_xlfn.XLOOKUP(Table43[[#This Row],[Column1]],#REF!,#REF!),0)</f>
        <v>0</v>
      </c>
      <c r="V303" s="39"/>
    </row>
    <row r="304" spans="1:22" x14ac:dyDescent="0.35">
      <c r="A304" s="2" t="s">
        <v>5221</v>
      </c>
      <c r="B304" s="3" t="s">
        <v>1083</v>
      </c>
      <c r="C304" s="3" t="s">
        <v>15</v>
      </c>
      <c r="D304" s="3">
        <v>48</v>
      </c>
      <c r="E304" s="3" t="s">
        <v>10</v>
      </c>
      <c r="F304" s="3">
        <v>1</v>
      </c>
      <c r="G304" s="3">
        <v>2</v>
      </c>
      <c r="H304" s="3">
        <v>0</v>
      </c>
      <c r="I304" s="21">
        <f>Table43[[#This Row],[Item Cost]]*Table43[[#This Row],[In Stock]]</f>
        <v>0</v>
      </c>
      <c r="J304" s="12" t="s">
        <v>4941</v>
      </c>
      <c r="K304" s="13" t="s">
        <v>4666</v>
      </c>
      <c r="L304" s="13" t="s">
        <v>4673</v>
      </c>
      <c r="M304" s="13" t="s">
        <v>4839</v>
      </c>
      <c r="N304" s="12" t="s">
        <v>4672</v>
      </c>
      <c r="O304" s="17" t="str">
        <f>IF(LEN(COUNTIFS($J$1:J304,$J304,$K$1:K304,$K304,$L$1:L304,$L304,$M$1:M304,M304,$N$1:N304,N304))=1,"00"&amp;COUNTIFS($J$1:J304,$J304,$K$1:K304,$K304,$L$1:L304,$L304,$M$1:M304,M304,$N$1:N304,N304),IF(LEN(COUNTIFS($J$1:J304,$J304,$K$1:K304,$K304,$L$1:L304,$L304,$M$1:M304,M304,$N$1:N304,N304))=2,"0"&amp;COUNTIFS($J$1:J304,$J304,$K$1:K304,$K304,$L$1:L304,$L304,$M$1:M304,M304,$N$1:N304,N304),COUNTIFS($J$1:J304,$J304,$K$1:K304,$K304,$L$1:L304,$L304,$M$1:M304,M304,$N$1:N304,N304)))</f>
        <v>002</v>
      </c>
      <c r="P30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MS-NS-001-27-00002-INV</v>
      </c>
      <c r="Q304" s="59"/>
      <c r="R304" s="34" t="s">
        <v>6119</v>
      </c>
      <c r="S304" s="34" t="s">
        <v>1083</v>
      </c>
      <c r="T304" s="34">
        <f>+IFERROR(_xlfn.XLOOKUP(Table43[[#This Row],[Column1]],#REF!,#REF!),0)</f>
        <v>0</v>
      </c>
      <c r="U304" s="50">
        <f>IFERROR(_xlfn.XLOOKUP(Table43[[#This Row],[Column1]],#REF!,#REF!),0)</f>
        <v>0</v>
      </c>
      <c r="V304" s="39"/>
    </row>
    <row r="305" spans="1:22" x14ac:dyDescent="0.35">
      <c r="A305" s="3" t="s">
        <v>5222</v>
      </c>
      <c r="B305" s="2" t="s">
        <v>1085</v>
      </c>
      <c r="C305" s="2" t="s">
        <v>15</v>
      </c>
      <c r="D305" s="2">
        <v>15</v>
      </c>
      <c r="E305" s="2" t="s">
        <v>10</v>
      </c>
      <c r="F305" s="3">
        <v>1</v>
      </c>
      <c r="G305" s="3">
        <v>2</v>
      </c>
      <c r="H305" s="2">
        <v>3</v>
      </c>
      <c r="I305" s="22">
        <f>Table43[[#This Row],[Item Cost]]*Table43[[#This Row],[In Stock]]</f>
        <v>45</v>
      </c>
      <c r="J305" s="12" t="s">
        <v>4941</v>
      </c>
      <c r="K305" s="13" t="s">
        <v>4666</v>
      </c>
      <c r="L305" s="13" t="s">
        <v>4673</v>
      </c>
      <c r="M305" s="13" t="s">
        <v>4839</v>
      </c>
      <c r="N305" s="12" t="s">
        <v>4672</v>
      </c>
      <c r="O305" s="17" t="str">
        <f>IF(LEN(COUNTIFS($J$1:J305,$J305,$K$1:K305,$K305,$L$1:L305,$L305,$M$1:M305,M305,$N$1:N305,N305))=1,"00"&amp;COUNTIFS($J$1:J305,$J305,$K$1:K305,$K305,$L$1:L305,$L305,$M$1:M305,M305,$N$1:N305,N305),IF(LEN(COUNTIFS($J$1:J305,$J305,$K$1:K305,$K305,$L$1:L305,$L305,$M$1:M305,M305,$N$1:N305,N305))=2,"0"&amp;COUNTIFS($J$1:J305,$J305,$K$1:K305,$K305,$L$1:L305,$L305,$M$1:M305,M305,$N$1:N305,N305),COUNTIFS($J$1:J305,$J305,$K$1:K305,$K305,$L$1:L305,$L305,$M$1:M305,M305,$N$1:N305,N305)))</f>
        <v>003</v>
      </c>
      <c r="P30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MS-NS-001-27-00003-INV</v>
      </c>
      <c r="Q305" s="59"/>
      <c r="R305" s="34" t="s">
        <v>6120</v>
      </c>
      <c r="S305" s="34" t="s">
        <v>1085</v>
      </c>
      <c r="T305" s="34">
        <f>+IFERROR(_xlfn.XLOOKUP(Table43[[#This Row],[Column1]],#REF!,#REF!),0)</f>
        <v>0</v>
      </c>
      <c r="U305" s="50">
        <f>IFERROR(_xlfn.XLOOKUP(Table43[[#This Row],[Column1]],#REF!,#REF!),0)</f>
        <v>0</v>
      </c>
      <c r="V305" s="39"/>
    </row>
    <row r="306" spans="1:22" x14ac:dyDescent="0.35">
      <c r="A306" s="2" t="s">
        <v>5223</v>
      </c>
      <c r="B306" s="3" t="s">
        <v>1087</v>
      </c>
      <c r="C306" s="3" t="s">
        <v>15</v>
      </c>
      <c r="D306" s="3">
        <v>0</v>
      </c>
      <c r="E306" s="3" t="s">
        <v>10</v>
      </c>
      <c r="F306" s="3">
        <v>1</v>
      </c>
      <c r="G306" s="3">
        <v>2</v>
      </c>
      <c r="H306" s="3">
        <v>0</v>
      </c>
      <c r="I306" s="21">
        <f>Table43[[#This Row],[Item Cost]]*Table43[[#This Row],[In Stock]]</f>
        <v>0</v>
      </c>
      <c r="J306" s="12" t="s">
        <v>4941</v>
      </c>
      <c r="K306" s="13" t="s">
        <v>4666</v>
      </c>
      <c r="L306" s="13" t="s">
        <v>4673</v>
      </c>
      <c r="M306" s="13" t="s">
        <v>4775</v>
      </c>
      <c r="N306" s="12" t="s">
        <v>4672</v>
      </c>
      <c r="O306" s="17" t="str">
        <f>IF(LEN(COUNTIFS($J$1:J306,$J306,$K$1:K306,$K306,$L$1:L306,$L306,$M$1:M306,M306,$N$1:N306,N306))=1,"00"&amp;COUNTIFS($J$1:J306,$J306,$K$1:K306,$K306,$L$1:L306,$L306,$M$1:M306,M306,$N$1:N306,N306),IF(LEN(COUNTIFS($J$1:J306,$J306,$K$1:K306,$K306,$L$1:L306,$L306,$M$1:M306,M306,$N$1:N306,N306))=2,"0"&amp;COUNTIFS($J$1:J306,$J306,$K$1:K306,$K306,$L$1:L306,$L306,$M$1:M306,M306,$N$1:N306,N306),COUNTIFS($J$1:J306,$J306,$K$1:K306,$K306,$L$1:L306,$L306,$M$1:M306,M306,$N$1:N306,N306)))</f>
        <v>001</v>
      </c>
      <c r="P30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MS-NS-001-09-00001-INV</v>
      </c>
      <c r="Q306" s="59"/>
      <c r="R306" s="34" t="s">
        <v>6121</v>
      </c>
      <c r="S306" s="34" t="s">
        <v>1087</v>
      </c>
      <c r="T306" s="34">
        <f>+IFERROR(_xlfn.XLOOKUP(Table43[[#This Row],[Column1]],#REF!,#REF!),0)</f>
        <v>0</v>
      </c>
      <c r="U306" s="50">
        <f>IFERROR(_xlfn.XLOOKUP(Table43[[#This Row],[Column1]],#REF!,#REF!),0)</f>
        <v>0</v>
      </c>
      <c r="V306" s="39"/>
    </row>
    <row r="307" spans="1:22" x14ac:dyDescent="0.35">
      <c r="A307" s="3" t="s">
        <v>5224</v>
      </c>
      <c r="B307" s="2" t="s">
        <v>1089</v>
      </c>
      <c r="C307" s="2" t="s">
        <v>15</v>
      </c>
      <c r="D307" s="2">
        <v>190</v>
      </c>
      <c r="E307" s="2" t="s">
        <v>10</v>
      </c>
      <c r="F307" s="2">
        <v>2</v>
      </c>
      <c r="G307" s="2">
        <v>5</v>
      </c>
      <c r="H307" s="2">
        <v>7</v>
      </c>
      <c r="I307" s="22">
        <f>Table43[[#This Row],[Item Cost]]*Table43[[#This Row],[In Stock]]</f>
        <v>1330</v>
      </c>
      <c r="J307" s="12" t="s">
        <v>4941</v>
      </c>
      <c r="K307" s="13" t="s">
        <v>4666</v>
      </c>
      <c r="L307" s="13" t="s">
        <v>4673</v>
      </c>
      <c r="M307" s="13" t="s">
        <v>4693</v>
      </c>
      <c r="N307" s="12" t="s">
        <v>4672</v>
      </c>
      <c r="O307" s="17" t="str">
        <f>IF(LEN(COUNTIFS($J$1:J307,$J307,$K$1:K307,$K307,$L$1:L307,$L307,$M$1:M307,M307,$N$1:N307,N307))=1,"00"&amp;COUNTIFS($J$1:J307,$J307,$K$1:K307,$K307,$L$1:L307,$L307,$M$1:M307,M307,$N$1:N307,N307),IF(LEN(COUNTIFS($J$1:J307,$J307,$K$1:K307,$K307,$L$1:L307,$L307,$M$1:M307,M307,$N$1:N307,N307))=2,"0"&amp;COUNTIFS($J$1:J307,$J307,$K$1:K307,$K307,$L$1:L307,$L307,$M$1:M307,M307,$N$1:N307,N307),COUNTIFS($J$1:J307,$J307,$K$1:K307,$K307,$L$1:L307,$L307,$M$1:M307,M307,$N$1:N307,N307)))</f>
        <v>005</v>
      </c>
      <c r="P30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MS-NS-001-23-00005-INV</v>
      </c>
      <c r="Q307" s="59" t="s">
        <v>7341</v>
      </c>
      <c r="R307" s="34" t="s">
        <v>6122</v>
      </c>
      <c r="S307" s="34" t="s">
        <v>1089</v>
      </c>
      <c r="T307" s="34">
        <f>+IFERROR(_xlfn.XLOOKUP(Table43[[#This Row],[Column1]],#REF!,#REF!),0)</f>
        <v>0</v>
      </c>
      <c r="U307" s="50">
        <f>IFERROR(_xlfn.XLOOKUP(Table43[[#This Row],[Column1]],#REF!,#REF!),0)</f>
        <v>0</v>
      </c>
      <c r="V307" s="39"/>
    </row>
    <row r="308" spans="1:22" x14ac:dyDescent="0.35">
      <c r="A308" s="2" t="s">
        <v>5225</v>
      </c>
      <c r="B308" s="3" t="s">
        <v>1091</v>
      </c>
      <c r="C308" s="3" t="s">
        <v>15</v>
      </c>
      <c r="D308" s="3">
        <v>450</v>
      </c>
      <c r="E308" s="3" t="s">
        <v>10</v>
      </c>
      <c r="F308" s="3">
        <v>1</v>
      </c>
      <c r="G308" s="3">
        <v>2</v>
      </c>
      <c r="H308" s="3">
        <v>1</v>
      </c>
      <c r="I308" s="21">
        <f>Table43[[#This Row],[Item Cost]]*Table43[[#This Row],[In Stock]]</f>
        <v>450</v>
      </c>
      <c r="J308" s="12" t="s">
        <v>4941</v>
      </c>
      <c r="K308" s="13" t="s">
        <v>4666</v>
      </c>
      <c r="L308" s="13" t="s">
        <v>4673</v>
      </c>
      <c r="M308" s="13" t="s">
        <v>4841</v>
      </c>
      <c r="N308" s="12" t="s">
        <v>4672</v>
      </c>
      <c r="O308" s="17" t="str">
        <f>IF(LEN(COUNTIFS($J$1:J308,$J308,$K$1:K308,$K308,$L$1:L308,$L308,$M$1:M308,M308,$N$1:N308,N308))=1,"00"&amp;COUNTIFS($J$1:J308,$J308,$K$1:K308,$K308,$L$1:L308,$L308,$M$1:M308,M308,$N$1:N308,N308),IF(LEN(COUNTIFS($J$1:J308,$J308,$K$1:K308,$K308,$L$1:L308,$L308,$M$1:M308,M308,$N$1:N308,N308))=2,"0"&amp;COUNTIFS($J$1:J308,$J308,$K$1:K308,$K308,$L$1:L308,$L308,$M$1:M308,M308,$N$1:N308,N308),COUNTIFS($J$1:J308,$J308,$K$1:K308,$K308,$L$1:L308,$L308,$M$1:M308,M308,$N$1:N308,N308)))</f>
        <v>002</v>
      </c>
      <c r="P30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MS-NS-001-28-00002-INV</v>
      </c>
      <c r="Q308" s="59"/>
      <c r="R308" s="34" t="s">
        <v>6123</v>
      </c>
      <c r="S308" s="34" t="s">
        <v>1091</v>
      </c>
      <c r="T308" s="34">
        <f>+IFERROR(_xlfn.XLOOKUP(Table43[[#This Row],[Column1]],#REF!,#REF!),0)</f>
        <v>0</v>
      </c>
      <c r="U308" s="50">
        <f>IFERROR(_xlfn.XLOOKUP(Table43[[#This Row],[Column1]],#REF!,#REF!),0)</f>
        <v>0</v>
      </c>
      <c r="V308" s="39"/>
    </row>
    <row r="309" spans="1:22" x14ac:dyDescent="0.35">
      <c r="A309" s="3" t="s">
        <v>5226</v>
      </c>
      <c r="B309" s="2" t="s">
        <v>1093</v>
      </c>
      <c r="C309" s="2" t="s">
        <v>15</v>
      </c>
      <c r="D309" s="2">
        <v>0</v>
      </c>
      <c r="E309" s="2" t="s">
        <v>10</v>
      </c>
      <c r="F309" s="3">
        <v>1</v>
      </c>
      <c r="G309" s="3">
        <v>2</v>
      </c>
      <c r="H309" s="2">
        <v>0</v>
      </c>
      <c r="I309" s="22">
        <f>Table43[[#This Row],[Item Cost]]*Table43[[#This Row],[In Stock]]</f>
        <v>0</v>
      </c>
      <c r="J309" s="12" t="s">
        <v>4941</v>
      </c>
      <c r="K309" s="13" t="s">
        <v>4666</v>
      </c>
      <c r="L309" s="13" t="s">
        <v>4673</v>
      </c>
      <c r="M309" s="13" t="s">
        <v>4837</v>
      </c>
      <c r="N309" s="12" t="s">
        <v>4672</v>
      </c>
      <c r="O309" s="17" t="str">
        <f>IF(LEN(COUNTIFS($J$1:J309,$J309,$K$1:K309,$K309,$L$1:L309,$L309,$M$1:M309,M309,$N$1:N309,N309))=1,"00"&amp;COUNTIFS($J$1:J309,$J309,$K$1:K309,$K309,$L$1:L309,$L309,$M$1:M309,M309,$N$1:N309,N309),IF(LEN(COUNTIFS($J$1:J309,$J309,$K$1:K309,$K309,$L$1:L309,$L309,$M$1:M309,M309,$N$1:N309,N309))=2,"0"&amp;COUNTIFS($J$1:J309,$J309,$K$1:K309,$K309,$L$1:L309,$L309,$M$1:M309,M309,$N$1:N309,N309),COUNTIFS($J$1:J309,$J309,$K$1:K309,$K309,$L$1:L309,$L309,$M$1:M309,M309,$N$1:N309,N309)))</f>
        <v>014</v>
      </c>
      <c r="P30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MS-NS-001-26-00014-INV</v>
      </c>
      <c r="Q309" s="59"/>
      <c r="R309" s="34" t="s">
        <v>6124</v>
      </c>
      <c r="S309" s="34" t="s">
        <v>1093</v>
      </c>
      <c r="T309" s="34">
        <f>+IFERROR(_xlfn.XLOOKUP(Table43[[#This Row],[Column1]],#REF!,#REF!),0)</f>
        <v>0</v>
      </c>
      <c r="U309" s="50">
        <f>IFERROR(_xlfn.XLOOKUP(Table43[[#This Row],[Column1]],#REF!,#REF!),0)</f>
        <v>0</v>
      </c>
      <c r="V309" s="39"/>
    </row>
    <row r="310" spans="1:22" x14ac:dyDescent="0.35">
      <c r="A310" s="2" t="s">
        <v>5227</v>
      </c>
      <c r="B310" s="3" t="s">
        <v>1095</v>
      </c>
      <c r="C310" s="3" t="s">
        <v>15</v>
      </c>
      <c r="D310" s="3">
        <v>0</v>
      </c>
      <c r="E310" s="3" t="s">
        <v>10</v>
      </c>
      <c r="F310" s="3">
        <v>1</v>
      </c>
      <c r="G310" s="3">
        <v>2</v>
      </c>
      <c r="H310" s="3">
        <v>0</v>
      </c>
      <c r="I310" s="21">
        <f>Table43[[#This Row],[Item Cost]]*Table43[[#This Row],[In Stock]]</f>
        <v>0</v>
      </c>
      <c r="J310" s="12" t="s">
        <v>4941</v>
      </c>
      <c r="K310" s="13" t="s">
        <v>4666</v>
      </c>
      <c r="L310" s="13" t="s">
        <v>4673</v>
      </c>
      <c r="M310" s="13" t="s">
        <v>4693</v>
      </c>
      <c r="N310" s="12" t="s">
        <v>4672</v>
      </c>
      <c r="O310" s="17" t="str">
        <f>IF(LEN(COUNTIFS($J$1:J310,$J310,$K$1:K310,$K310,$L$1:L310,$L310,$M$1:M310,M310,$N$1:N310,N310))=1,"00"&amp;COUNTIFS($J$1:J310,$J310,$K$1:K310,$K310,$L$1:L310,$L310,$M$1:M310,M310,$N$1:N310,N310),IF(LEN(COUNTIFS($J$1:J310,$J310,$K$1:K310,$K310,$L$1:L310,$L310,$M$1:M310,M310,$N$1:N310,N310))=2,"0"&amp;COUNTIFS($J$1:J310,$J310,$K$1:K310,$K310,$L$1:L310,$L310,$M$1:M310,M310,$N$1:N310,N310),COUNTIFS($J$1:J310,$J310,$K$1:K310,$K310,$L$1:L310,$L310,$M$1:M310,M310,$N$1:N310,N310)))</f>
        <v>006</v>
      </c>
      <c r="P31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MS-NS-001-23-00006-INV</v>
      </c>
      <c r="Q310" s="59" t="s">
        <v>7340</v>
      </c>
      <c r="R310" s="34" t="s">
        <v>6125</v>
      </c>
      <c r="S310" s="34" t="s">
        <v>1095</v>
      </c>
      <c r="T310" s="34">
        <f>+IFERROR(_xlfn.XLOOKUP(Table43[[#This Row],[Column1]],#REF!,#REF!),0)</f>
        <v>0</v>
      </c>
      <c r="U310" s="50">
        <f>IFERROR(_xlfn.XLOOKUP(Table43[[#This Row],[Column1]],#REF!,#REF!),0)</f>
        <v>0</v>
      </c>
      <c r="V310" s="39"/>
    </row>
    <row r="311" spans="1:22" x14ac:dyDescent="0.35">
      <c r="A311" s="3" t="s">
        <v>5228</v>
      </c>
      <c r="B311" s="2" t="s">
        <v>1097</v>
      </c>
      <c r="C311" s="2" t="s">
        <v>15</v>
      </c>
      <c r="D311" s="4">
        <v>2500</v>
      </c>
      <c r="E311" s="2" t="s">
        <v>10</v>
      </c>
      <c r="F311" s="3">
        <v>1</v>
      </c>
      <c r="G311" s="3">
        <v>2</v>
      </c>
      <c r="H311" s="2">
        <v>0</v>
      </c>
      <c r="I311" s="22">
        <f>Table43[[#This Row],[Item Cost]]*Table43[[#This Row],[In Stock]]</f>
        <v>0</v>
      </c>
      <c r="J311" s="12" t="s">
        <v>4941</v>
      </c>
      <c r="K311" s="13" t="s">
        <v>4666</v>
      </c>
      <c r="L311" s="13" t="s">
        <v>4673</v>
      </c>
      <c r="M311" s="13" t="s">
        <v>4693</v>
      </c>
      <c r="N311" s="12" t="s">
        <v>4672</v>
      </c>
      <c r="O311" s="17" t="str">
        <f>IF(LEN(COUNTIFS($J$1:J311,$J311,$K$1:K311,$K311,$L$1:L311,$L311,$M$1:M311,M311,$N$1:N311,N311))=1,"00"&amp;COUNTIFS($J$1:J311,$J311,$K$1:K311,$K311,$L$1:L311,$L311,$M$1:M311,M311,$N$1:N311,N311),IF(LEN(COUNTIFS($J$1:J311,$J311,$K$1:K311,$K311,$L$1:L311,$L311,$M$1:M311,M311,$N$1:N311,N311))=2,"0"&amp;COUNTIFS($J$1:J311,$J311,$K$1:K311,$K311,$L$1:L311,$L311,$M$1:M311,M311,$N$1:N311,N311),COUNTIFS($J$1:J311,$J311,$K$1:K311,$K311,$L$1:L311,$L311,$M$1:M311,M311,$N$1:N311,N311)))</f>
        <v>007</v>
      </c>
      <c r="P31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MS-NS-001-23-00007-INV</v>
      </c>
      <c r="Q311" s="59"/>
      <c r="R311" s="34" t="s">
        <v>6126</v>
      </c>
      <c r="S311" s="34" t="s">
        <v>1097</v>
      </c>
      <c r="T311" s="34">
        <f>+IFERROR(_xlfn.XLOOKUP(Table43[[#This Row],[Column1]],#REF!,#REF!),0)</f>
        <v>0</v>
      </c>
      <c r="U311" s="50">
        <f>IFERROR(_xlfn.XLOOKUP(Table43[[#This Row],[Column1]],#REF!,#REF!),0)</f>
        <v>0</v>
      </c>
      <c r="V311" s="39"/>
    </row>
    <row r="312" spans="1:22" x14ac:dyDescent="0.35">
      <c r="A312" s="2" t="s">
        <v>5229</v>
      </c>
      <c r="B312" s="3" t="s">
        <v>1099</v>
      </c>
      <c r="C312" s="3" t="s">
        <v>15</v>
      </c>
      <c r="D312" s="3">
        <v>200</v>
      </c>
      <c r="E312" s="3" t="s">
        <v>10</v>
      </c>
      <c r="F312" s="3">
        <v>6</v>
      </c>
      <c r="G312" s="3">
        <v>12</v>
      </c>
      <c r="H312" s="3">
        <v>24</v>
      </c>
      <c r="I312" s="21">
        <f>Table43[[#This Row],[Item Cost]]*Table43[[#This Row],[In Stock]]</f>
        <v>4800</v>
      </c>
      <c r="J312" s="12" t="s">
        <v>4941</v>
      </c>
      <c r="K312" s="13" t="s">
        <v>4666</v>
      </c>
      <c r="L312" s="13" t="s">
        <v>4673</v>
      </c>
      <c r="M312" s="13" t="s">
        <v>4837</v>
      </c>
      <c r="N312" s="12" t="s">
        <v>4672</v>
      </c>
      <c r="O312" s="17" t="str">
        <f>IF(LEN(COUNTIFS($J$1:J312,$J312,$K$1:K312,$K312,$L$1:L312,$L312,$M$1:M312,M312,$N$1:N312,N312))=1,"00"&amp;COUNTIFS($J$1:J312,$J312,$K$1:K312,$K312,$L$1:L312,$L312,$M$1:M312,M312,$N$1:N312,N312),IF(LEN(COUNTIFS($J$1:J312,$J312,$K$1:K312,$K312,$L$1:L312,$L312,$M$1:M312,M312,$N$1:N312,N312))=2,"0"&amp;COUNTIFS($J$1:J312,$J312,$K$1:K312,$K312,$L$1:L312,$L312,$M$1:M312,M312,$N$1:N312,N312),COUNTIFS($J$1:J312,$J312,$K$1:K312,$K312,$L$1:L312,$L312,$M$1:M312,M312,$N$1:N312,N312)))</f>
        <v>015</v>
      </c>
      <c r="P31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MS-NS-001-26-00015-INV</v>
      </c>
      <c r="Q312" s="59" t="s">
        <v>7334</v>
      </c>
      <c r="R312" s="34" t="s">
        <v>6127</v>
      </c>
      <c r="S312" s="34" t="s">
        <v>1099</v>
      </c>
      <c r="T312" s="34">
        <f>+IFERROR(_xlfn.XLOOKUP(Table43[[#This Row],[Column1]],#REF!,#REF!),0)</f>
        <v>0</v>
      </c>
      <c r="U312" s="50">
        <f>IFERROR(_xlfn.XLOOKUP(Table43[[#This Row],[Column1]],#REF!,#REF!),0)</f>
        <v>0</v>
      </c>
      <c r="V312" s="39"/>
    </row>
    <row r="313" spans="1:22" x14ac:dyDescent="0.35">
      <c r="A313" s="3" t="s">
        <v>5230</v>
      </c>
      <c r="B313" s="2" t="s">
        <v>1101</v>
      </c>
      <c r="C313" s="2" t="s">
        <v>15</v>
      </c>
      <c r="D313" s="4">
        <v>19500</v>
      </c>
      <c r="E313" s="2" t="s">
        <v>10</v>
      </c>
      <c r="F313" s="3">
        <v>1</v>
      </c>
      <c r="G313" s="3">
        <v>2</v>
      </c>
      <c r="H313" s="2">
        <v>1</v>
      </c>
      <c r="I313" s="22">
        <f>Table43[[#This Row],[Item Cost]]*Table43[[#This Row],[In Stock]]</f>
        <v>19500</v>
      </c>
      <c r="J313" s="12" t="s">
        <v>4941</v>
      </c>
      <c r="K313" s="13" t="s">
        <v>4666</v>
      </c>
      <c r="L313" s="13" t="s">
        <v>4673</v>
      </c>
      <c r="M313" s="13" t="s">
        <v>4693</v>
      </c>
      <c r="N313" s="12" t="s">
        <v>4672</v>
      </c>
      <c r="O313" s="17" t="str">
        <f>IF(LEN(COUNTIFS($J$1:J313,$J313,$K$1:K313,$K313,$L$1:L313,$L313,$M$1:M313,M313,$N$1:N313,N313))=1,"00"&amp;COUNTIFS($J$1:J313,$J313,$K$1:K313,$K313,$L$1:L313,$L313,$M$1:M313,M313,$N$1:N313,N313),IF(LEN(COUNTIFS($J$1:J313,$J313,$K$1:K313,$K313,$L$1:L313,$L313,$M$1:M313,M313,$N$1:N313,N313))=2,"0"&amp;COUNTIFS($J$1:J313,$J313,$K$1:K313,$K313,$L$1:L313,$L313,$M$1:M313,M313,$N$1:N313,N313),COUNTIFS($J$1:J313,$J313,$K$1:K313,$K313,$L$1:L313,$L313,$M$1:M313,M313,$N$1:N313,N313)))</f>
        <v>008</v>
      </c>
      <c r="P31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MS-NS-001-23-00008-INV</v>
      </c>
      <c r="Q313" s="59"/>
      <c r="R313" s="34" t="s">
        <v>6128</v>
      </c>
      <c r="S313" s="34" t="s">
        <v>1101</v>
      </c>
      <c r="T313" s="34">
        <f>+IFERROR(_xlfn.XLOOKUP(Table43[[#This Row],[Column1]],#REF!,#REF!),0)</f>
        <v>0</v>
      </c>
      <c r="U313" s="50">
        <f>IFERROR(_xlfn.XLOOKUP(Table43[[#This Row],[Column1]],#REF!,#REF!),0)</f>
        <v>0</v>
      </c>
      <c r="V313" s="39"/>
    </row>
    <row r="314" spans="1:22" x14ac:dyDescent="0.35">
      <c r="A314" s="2" t="s">
        <v>5231</v>
      </c>
      <c r="B314" s="3" t="s">
        <v>1103</v>
      </c>
      <c r="C314" s="3" t="s">
        <v>15</v>
      </c>
      <c r="D314" s="3">
        <v>250</v>
      </c>
      <c r="E314" s="3" t="s">
        <v>10</v>
      </c>
      <c r="F314" s="3">
        <v>1</v>
      </c>
      <c r="G314" s="3">
        <v>2</v>
      </c>
      <c r="H314" s="3">
        <v>1</v>
      </c>
      <c r="I314" s="21">
        <f>Table43[[#This Row],[Item Cost]]*Table43[[#This Row],[In Stock]]</f>
        <v>250</v>
      </c>
      <c r="J314" s="12" t="s">
        <v>4941</v>
      </c>
      <c r="K314" s="13" t="s">
        <v>4666</v>
      </c>
      <c r="L314" s="13" t="s">
        <v>4673</v>
      </c>
      <c r="M314" s="13" t="s">
        <v>4836</v>
      </c>
      <c r="N314" s="12" t="s">
        <v>4672</v>
      </c>
      <c r="O314" s="17" t="str">
        <f>IF(LEN(COUNTIFS($J$1:J314,$J314,$K$1:K314,$K314,$L$1:L314,$L314,$M$1:M314,M314,$N$1:N314,N314))=1,"00"&amp;COUNTIFS($J$1:J314,$J314,$K$1:K314,$K314,$L$1:L314,$L314,$M$1:M314,M314,$N$1:N314,N314),IF(LEN(COUNTIFS($J$1:J314,$J314,$K$1:K314,$K314,$L$1:L314,$L314,$M$1:M314,M314,$N$1:N314,N314))=2,"0"&amp;COUNTIFS($J$1:J314,$J314,$K$1:K314,$K314,$L$1:L314,$L314,$M$1:M314,M314,$N$1:N314,N314),COUNTIFS($J$1:J314,$J314,$K$1:K314,$K314,$L$1:L314,$L314,$M$1:M314,M314,$N$1:N314,N314)))</f>
        <v>001</v>
      </c>
      <c r="P31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MS-NS-001-25-00001-INV</v>
      </c>
      <c r="Q314" s="59" t="s">
        <v>7334</v>
      </c>
      <c r="R314" s="34" t="s">
        <v>6129</v>
      </c>
      <c r="S314" s="34" t="s">
        <v>1103</v>
      </c>
      <c r="T314" s="34">
        <f>+IFERROR(_xlfn.XLOOKUP(Table43[[#This Row],[Column1]],#REF!,#REF!),0)</f>
        <v>0</v>
      </c>
      <c r="U314" s="50">
        <f>IFERROR(_xlfn.XLOOKUP(Table43[[#This Row],[Column1]],#REF!,#REF!),0)</f>
        <v>0</v>
      </c>
      <c r="V314" s="39"/>
    </row>
    <row r="315" spans="1:22" x14ac:dyDescent="0.35">
      <c r="A315" s="3" t="s">
        <v>5232</v>
      </c>
      <c r="B315" s="2" t="s">
        <v>1105</v>
      </c>
      <c r="C315" s="2" t="s">
        <v>15</v>
      </c>
      <c r="D315" s="2">
        <v>34.54</v>
      </c>
      <c r="E315" s="2" t="s">
        <v>10</v>
      </c>
      <c r="F315" s="2">
        <v>4</v>
      </c>
      <c r="G315" s="2">
        <v>10</v>
      </c>
      <c r="H315" s="2">
        <v>1</v>
      </c>
      <c r="I315" s="22">
        <f>Table43[[#This Row],[Item Cost]]*Table43[[#This Row],[In Stock]]</f>
        <v>34.54</v>
      </c>
      <c r="J315" s="12" t="s">
        <v>4941</v>
      </c>
      <c r="K315" s="13" t="s">
        <v>4666</v>
      </c>
      <c r="L315" s="13" t="s">
        <v>4673</v>
      </c>
      <c r="M315" s="13" t="s">
        <v>3950</v>
      </c>
      <c r="N315" s="12" t="s">
        <v>4672</v>
      </c>
      <c r="O315" s="17" t="str">
        <f>IF(LEN(COUNTIFS($J$1:J315,$J315,$K$1:K315,$K315,$L$1:L315,$L315,$M$1:M315,M315,$N$1:N315,N315))=1,"00"&amp;COUNTIFS($J$1:J315,$J315,$K$1:K315,$K315,$L$1:L315,$L315,$M$1:M315,M315,$N$1:N315,N315),IF(LEN(COUNTIFS($J$1:J315,$J315,$K$1:K315,$K315,$L$1:L315,$L315,$M$1:M315,M315,$N$1:N315,N315))=2,"0"&amp;COUNTIFS($J$1:J315,$J315,$K$1:K315,$K315,$L$1:L315,$L315,$M$1:M315,M315,$N$1:N315,N315),COUNTIFS($J$1:J315,$J315,$K$1:K315,$K315,$L$1:L315,$L315,$M$1:M315,M315,$N$1:N315,N315)))</f>
        <v>002</v>
      </c>
      <c r="P31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MS-NS-001-22-00002-INV</v>
      </c>
      <c r="Q315" s="59"/>
      <c r="R315" s="34" t="s">
        <v>6130</v>
      </c>
      <c r="S315" s="34" t="s">
        <v>1105</v>
      </c>
      <c r="T315" s="34">
        <f>+IFERROR(_xlfn.XLOOKUP(Table43[[#This Row],[Column1]],#REF!,#REF!),0)</f>
        <v>0</v>
      </c>
      <c r="U315" s="50">
        <f>IFERROR(_xlfn.XLOOKUP(Table43[[#This Row],[Column1]],#REF!,#REF!),0)</f>
        <v>0</v>
      </c>
      <c r="V315" s="39"/>
    </row>
    <row r="316" spans="1:22" x14ac:dyDescent="0.35">
      <c r="A316" s="2" t="s">
        <v>5233</v>
      </c>
      <c r="B316" s="3" t="s">
        <v>1107</v>
      </c>
      <c r="C316" s="3" t="s">
        <v>15</v>
      </c>
      <c r="D316" s="3">
        <v>360</v>
      </c>
      <c r="E316" s="3" t="s">
        <v>10</v>
      </c>
      <c r="F316" s="2">
        <v>4</v>
      </c>
      <c r="G316" s="2">
        <v>10</v>
      </c>
      <c r="H316" s="3">
        <v>0</v>
      </c>
      <c r="I316" s="21">
        <f>Table43[[#This Row],[Item Cost]]*Table43[[#This Row],[In Stock]]</f>
        <v>0</v>
      </c>
      <c r="J316" s="12" t="s">
        <v>4941</v>
      </c>
      <c r="K316" s="13" t="s">
        <v>4666</v>
      </c>
      <c r="L316" s="13" t="s">
        <v>4673</v>
      </c>
      <c r="M316" s="13" t="s">
        <v>3950</v>
      </c>
      <c r="N316" s="12" t="s">
        <v>4672</v>
      </c>
      <c r="O316" s="17" t="str">
        <f>IF(LEN(COUNTIFS($J$1:J316,$J316,$K$1:K316,$K316,$L$1:L316,$L316,$M$1:M316,M316,$N$1:N316,N316))=1,"00"&amp;COUNTIFS($J$1:J316,$J316,$K$1:K316,$K316,$L$1:L316,$L316,$M$1:M316,M316,$N$1:N316,N316),IF(LEN(COUNTIFS($J$1:J316,$J316,$K$1:K316,$K316,$L$1:L316,$L316,$M$1:M316,M316,$N$1:N316,N316))=2,"0"&amp;COUNTIFS($J$1:J316,$J316,$K$1:K316,$K316,$L$1:L316,$L316,$M$1:M316,M316,$N$1:N316,N316),COUNTIFS($J$1:J316,$J316,$K$1:K316,$K316,$L$1:L316,$L316,$M$1:M316,M316,$N$1:N316,N316)))</f>
        <v>003</v>
      </c>
      <c r="P31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MS-NS-001-22-00003-INV</v>
      </c>
      <c r="Q316" s="59"/>
      <c r="R316" s="34" t="s">
        <v>6131</v>
      </c>
      <c r="S316" s="34" t="s">
        <v>1107</v>
      </c>
      <c r="T316" s="34">
        <f>+IFERROR(_xlfn.XLOOKUP(Table43[[#This Row],[Column1]],#REF!,#REF!),0)</f>
        <v>0</v>
      </c>
      <c r="U316" s="50">
        <f>IFERROR(_xlfn.XLOOKUP(Table43[[#This Row],[Column1]],#REF!,#REF!),0)</f>
        <v>0</v>
      </c>
      <c r="V316" s="39"/>
    </row>
    <row r="317" spans="1:22" x14ac:dyDescent="0.35">
      <c r="A317" s="3" t="s">
        <v>5234</v>
      </c>
      <c r="B317" s="2" t="s">
        <v>1109</v>
      </c>
      <c r="C317" s="2" t="s">
        <v>15</v>
      </c>
      <c r="D317" s="2">
        <v>215</v>
      </c>
      <c r="E317" s="2" t="s">
        <v>10</v>
      </c>
      <c r="F317" s="2">
        <v>4</v>
      </c>
      <c r="G317" s="2">
        <v>10</v>
      </c>
      <c r="H317" s="2">
        <v>0</v>
      </c>
      <c r="I317" s="22">
        <f>Table43[[#This Row],[Item Cost]]*Table43[[#This Row],[In Stock]]</f>
        <v>0</v>
      </c>
      <c r="J317" s="12" t="s">
        <v>4941</v>
      </c>
      <c r="K317" s="13" t="s">
        <v>4666</v>
      </c>
      <c r="L317" s="13" t="s">
        <v>4673</v>
      </c>
      <c r="M317" s="13" t="s">
        <v>3950</v>
      </c>
      <c r="N317" s="12" t="s">
        <v>4672</v>
      </c>
      <c r="O317" s="17" t="str">
        <f>IF(LEN(COUNTIFS($J$1:J317,$J317,$K$1:K317,$K317,$L$1:L317,$L317,$M$1:M317,M317,$N$1:N317,N317))=1,"00"&amp;COUNTIFS($J$1:J317,$J317,$K$1:K317,$K317,$L$1:L317,$L317,$M$1:M317,M317,$N$1:N317,N317),IF(LEN(COUNTIFS($J$1:J317,$J317,$K$1:K317,$K317,$L$1:L317,$L317,$M$1:M317,M317,$N$1:N317,N317))=2,"0"&amp;COUNTIFS($J$1:J317,$J317,$K$1:K317,$K317,$L$1:L317,$L317,$M$1:M317,M317,$N$1:N317,N317),COUNTIFS($J$1:J317,$J317,$K$1:K317,$K317,$L$1:L317,$L317,$M$1:M317,M317,$N$1:N317,N317)))</f>
        <v>004</v>
      </c>
      <c r="P31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MS-NS-001-22-00004-INV</v>
      </c>
      <c r="Q317" s="59"/>
      <c r="R317" s="34" t="s">
        <v>6132</v>
      </c>
      <c r="S317" s="34" t="s">
        <v>1109</v>
      </c>
      <c r="T317" s="34">
        <f>+IFERROR(_xlfn.XLOOKUP(Table43[[#This Row],[Column1]],#REF!,#REF!),0)</f>
        <v>0</v>
      </c>
      <c r="U317" s="50">
        <f>IFERROR(_xlfn.XLOOKUP(Table43[[#This Row],[Column1]],#REF!,#REF!),0)</f>
        <v>0</v>
      </c>
      <c r="V317" s="39"/>
    </row>
    <row r="318" spans="1:22" x14ac:dyDescent="0.35">
      <c r="A318" s="2" t="s">
        <v>5235</v>
      </c>
      <c r="B318" s="3" t="s">
        <v>1111</v>
      </c>
      <c r="C318" s="3" t="s">
        <v>15</v>
      </c>
      <c r="D318" s="3">
        <v>16</v>
      </c>
      <c r="E318" s="3" t="s">
        <v>10</v>
      </c>
      <c r="F318" s="2">
        <v>4</v>
      </c>
      <c r="G318" s="2">
        <v>10</v>
      </c>
      <c r="H318" s="3">
        <v>0</v>
      </c>
      <c r="I318" s="21">
        <f>Table43[[#This Row],[Item Cost]]*Table43[[#This Row],[In Stock]]</f>
        <v>0</v>
      </c>
      <c r="J318" s="12" t="s">
        <v>4941</v>
      </c>
      <c r="K318" s="13" t="s">
        <v>4666</v>
      </c>
      <c r="L318" s="13" t="s">
        <v>4673</v>
      </c>
      <c r="M318" s="13" t="s">
        <v>4835</v>
      </c>
      <c r="N318" s="12" t="s">
        <v>4672</v>
      </c>
      <c r="O318" s="17" t="str">
        <f>IF(LEN(COUNTIFS($J$1:J318,$J318,$K$1:K318,$K318,$L$1:L318,$L318,$M$1:M318,M318,$N$1:N318,N318))=1,"00"&amp;COUNTIFS($J$1:J318,$J318,$K$1:K318,$K318,$L$1:L318,$L318,$M$1:M318,M318,$N$1:N318,N318),IF(LEN(COUNTIFS($J$1:J318,$J318,$K$1:K318,$K318,$L$1:L318,$L318,$M$1:M318,M318,$N$1:N318,N318))=2,"0"&amp;COUNTIFS($J$1:J318,$J318,$K$1:K318,$K318,$L$1:L318,$L318,$M$1:M318,M318,$N$1:N318,N318),COUNTIFS($J$1:J318,$J318,$K$1:K318,$K318,$L$1:L318,$L318,$M$1:M318,M318,$N$1:N318,N318)))</f>
        <v>001</v>
      </c>
      <c r="P31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MS-NS-001-24-00001-INV</v>
      </c>
      <c r="Q318" s="59"/>
      <c r="R318" s="34" t="s">
        <v>6133</v>
      </c>
      <c r="S318" s="34" t="s">
        <v>1111</v>
      </c>
      <c r="T318" s="34">
        <f>+IFERROR(_xlfn.XLOOKUP(Table43[[#This Row],[Column1]],#REF!,#REF!),0)</f>
        <v>0</v>
      </c>
      <c r="U318" s="50">
        <f>IFERROR(_xlfn.XLOOKUP(Table43[[#This Row],[Column1]],#REF!,#REF!),0)</f>
        <v>0</v>
      </c>
      <c r="V318" s="39"/>
    </row>
    <row r="319" spans="1:22" x14ac:dyDescent="0.35">
      <c r="A319" s="3" t="s">
        <v>5236</v>
      </c>
      <c r="B319" s="2" t="s">
        <v>1113</v>
      </c>
      <c r="C319" s="2" t="s">
        <v>15</v>
      </c>
      <c r="D319" s="2">
        <v>30.577000000000002</v>
      </c>
      <c r="E319" s="2" t="s">
        <v>10</v>
      </c>
      <c r="F319" s="2">
        <v>4</v>
      </c>
      <c r="G319" s="2">
        <v>10</v>
      </c>
      <c r="H319" s="2">
        <v>30</v>
      </c>
      <c r="I319" s="22">
        <f>Table43[[#This Row],[Item Cost]]*Table43[[#This Row],[In Stock]]</f>
        <v>917.31000000000006</v>
      </c>
      <c r="J319" s="12" t="s">
        <v>4941</v>
      </c>
      <c r="K319" s="13" t="s">
        <v>4666</v>
      </c>
      <c r="L319" s="13" t="s">
        <v>4673</v>
      </c>
      <c r="M319" s="13" t="s">
        <v>4835</v>
      </c>
      <c r="N319" s="12" t="s">
        <v>4672</v>
      </c>
      <c r="O319" s="17" t="str">
        <f>IF(LEN(COUNTIFS($J$1:J319,$J319,$K$1:K319,$K319,$L$1:L319,$L319,$M$1:M319,M319,$N$1:N319,N319))=1,"00"&amp;COUNTIFS($J$1:J319,$J319,$K$1:K319,$K319,$L$1:L319,$L319,$M$1:M319,M319,$N$1:N319,N319),IF(LEN(COUNTIFS($J$1:J319,$J319,$K$1:K319,$K319,$L$1:L319,$L319,$M$1:M319,M319,$N$1:N319,N319))=2,"0"&amp;COUNTIFS($J$1:J319,$J319,$K$1:K319,$K319,$L$1:L319,$L319,$M$1:M319,M319,$N$1:N319,N319),COUNTIFS($J$1:J319,$J319,$K$1:K319,$K319,$L$1:L319,$L319,$M$1:M319,M319,$N$1:N319,N319)))</f>
        <v>002</v>
      </c>
      <c r="P31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MS-NS-001-24-00002-INV</v>
      </c>
      <c r="Q319" s="59"/>
      <c r="R319" s="34" t="s">
        <v>6134</v>
      </c>
      <c r="S319" s="34" t="s">
        <v>1113</v>
      </c>
      <c r="T319" s="34">
        <f>+IFERROR(_xlfn.XLOOKUP(Table43[[#This Row],[Column1]],#REF!,#REF!),0)</f>
        <v>0</v>
      </c>
      <c r="U319" s="50">
        <f>IFERROR(_xlfn.XLOOKUP(Table43[[#This Row],[Column1]],#REF!,#REF!),0)</f>
        <v>0</v>
      </c>
      <c r="V319" s="39"/>
    </row>
    <row r="320" spans="1:22" x14ac:dyDescent="0.35">
      <c r="A320" s="2" t="s">
        <v>5237</v>
      </c>
      <c r="B320" s="3" t="s">
        <v>1115</v>
      </c>
      <c r="C320" s="3" t="s">
        <v>15</v>
      </c>
      <c r="D320" s="3">
        <v>43.857999999999997</v>
      </c>
      <c r="E320" s="3" t="s">
        <v>10</v>
      </c>
      <c r="F320" s="2">
        <v>4</v>
      </c>
      <c r="G320" s="2">
        <v>10</v>
      </c>
      <c r="H320" s="3">
        <v>4</v>
      </c>
      <c r="I320" s="21">
        <f>Table43[[#This Row],[Item Cost]]*Table43[[#This Row],[In Stock]]</f>
        <v>175.43199999999999</v>
      </c>
      <c r="J320" s="12" t="s">
        <v>4941</v>
      </c>
      <c r="K320" s="13" t="s">
        <v>4666</v>
      </c>
      <c r="L320" s="13" t="s">
        <v>4673</v>
      </c>
      <c r="M320" s="13" t="s">
        <v>4835</v>
      </c>
      <c r="N320" s="12" t="s">
        <v>4672</v>
      </c>
      <c r="O320" s="17" t="str">
        <f>IF(LEN(COUNTIFS($J$1:J320,$J320,$K$1:K320,$K320,$L$1:L320,$L320,$M$1:M320,M320,$N$1:N320,N320))=1,"00"&amp;COUNTIFS($J$1:J320,$J320,$K$1:K320,$K320,$L$1:L320,$L320,$M$1:M320,M320,$N$1:N320,N320),IF(LEN(COUNTIFS($J$1:J320,$J320,$K$1:K320,$K320,$L$1:L320,$L320,$M$1:M320,M320,$N$1:N320,N320))=2,"0"&amp;COUNTIFS($J$1:J320,$J320,$K$1:K320,$K320,$L$1:L320,$L320,$M$1:M320,M320,$N$1:N320,N320),COUNTIFS($J$1:J320,$J320,$K$1:K320,$K320,$L$1:L320,$L320,$M$1:M320,M320,$N$1:N320,N320)))</f>
        <v>003</v>
      </c>
      <c r="P32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MS-NS-001-24-00003-INV</v>
      </c>
      <c r="Q320" s="59"/>
      <c r="R320" s="34" t="s">
        <v>6135</v>
      </c>
      <c r="S320" s="34" t="s">
        <v>1115</v>
      </c>
      <c r="T320" s="34">
        <f>+IFERROR(_xlfn.XLOOKUP(Table43[[#This Row],[Column1]],#REF!,#REF!),0)</f>
        <v>0</v>
      </c>
      <c r="U320" s="50">
        <f>IFERROR(_xlfn.XLOOKUP(Table43[[#This Row],[Column1]],#REF!,#REF!),0)</f>
        <v>0</v>
      </c>
      <c r="V320" s="39"/>
    </row>
    <row r="321" spans="1:22" x14ac:dyDescent="0.35">
      <c r="A321" s="3" t="s">
        <v>5238</v>
      </c>
      <c r="B321" s="2" t="s">
        <v>1117</v>
      </c>
      <c r="C321" s="2" t="s">
        <v>15</v>
      </c>
      <c r="D321" s="2">
        <v>46.813000000000002</v>
      </c>
      <c r="E321" s="2" t="s">
        <v>10</v>
      </c>
      <c r="F321" s="3">
        <v>1</v>
      </c>
      <c r="G321" s="3">
        <v>2</v>
      </c>
      <c r="H321" s="2">
        <v>0</v>
      </c>
      <c r="I321" s="22">
        <f>Table43[[#This Row],[Item Cost]]*Table43[[#This Row],[In Stock]]</f>
        <v>0</v>
      </c>
      <c r="J321" s="12" t="s">
        <v>4941</v>
      </c>
      <c r="K321" s="13" t="s">
        <v>4666</v>
      </c>
      <c r="L321" s="13" t="s">
        <v>4673</v>
      </c>
      <c r="M321" s="13" t="s">
        <v>4734</v>
      </c>
      <c r="N321" s="12" t="s">
        <v>4672</v>
      </c>
      <c r="O321" s="17" t="str">
        <f>IF(LEN(COUNTIFS($J$1:J321,$J321,$K$1:K321,$K321,$L$1:L321,$L321,$M$1:M321,M321,$N$1:N321,N321))=1,"00"&amp;COUNTIFS($J$1:J321,$J321,$K$1:K321,$K321,$L$1:L321,$L321,$M$1:M321,M321,$N$1:N321,N321),IF(LEN(COUNTIFS($J$1:J321,$J321,$K$1:K321,$K321,$L$1:L321,$L321,$M$1:M321,M321,$N$1:N321,N321))=2,"0"&amp;COUNTIFS($J$1:J321,$J321,$K$1:K321,$K321,$L$1:L321,$L321,$M$1:M321,M321,$N$1:N321,N321),COUNTIFS($J$1:J321,$J321,$K$1:K321,$K321,$L$1:L321,$L321,$M$1:M321,M321,$N$1:N321,N321)))</f>
        <v>006</v>
      </c>
      <c r="P32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MS-NS-001-02-00006-INV</v>
      </c>
      <c r="Q321" s="59" t="s">
        <v>7341</v>
      </c>
      <c r="R321" s="34" t="s">
        <v>6136</v>
      </c>
      <c r="S321" s="34" t="s">
        <v>1117</v>
      </c>
      <c r="T321" s="34">
        <f>+IFERROR(_xlfn.XLOOKUP(Table43[[#This Row],[Column1]],#REF!,#REF!),0)</f>
        <v>0</v>
      </c>
      <c r="U321" s="50">
        <f>IFERROR(_xlfn.XLOOKUP(Table43[[#This Row],[Column1]],#REF!,#REF!),0)</f>
        <v>0</v>
      </c>
      <c r="V321" s="39"/>
    </row>
    <row r="322" spans="1:22" x14ac:dyDescent="0.35">
      <c r="A322" s="2" t="s">
        <v>5239</v>
      </c>
      <c r="B322" s="3" t="s">
        <v>1119</v>
      </c>
      <c r="C322" s="3" t="s">
        <v>9</v>
      </c>
      <c r="D322" s="5">
        <v>22500</v>
      </c>
      <c r="E322" s="3" t="s">
        <v>10</v>
      </c>
      <c r="F322" s="2">
        <v>1</v>
      </c>
      <c r="G322" s="2">
        <v>2</v>
      </c>
      <c r="H322" s="3">
        <v>1</v>
      </c>
      <c r="I322" s="21">
        <f>Table43[[#This Row],[Item Cost]]*Table43[[#This Row],[In Stock]]</f>
        <v>22500</v>
      </c>
      <c r="J322" s="12" t="s">
        <v>4941</v>
      </c>
      <c r="K322" s="13" t="s">
        <v>4664</v>
      </c>
      <c r="L322" s="13" t="s">
        <v>4673</v>
      </c>
      <c r="M322" s="13" t="s">
        <v>4733</v>
      </c>
      <c r="N322" s="12" t="s">
        <v>4672</v>
      </c>
      <c r="O322" s="17" t="str">
        <f>IF(LEN(COUNTIFS($J$1:J322,$J322,$K$1:K322,$K322,$L$1:L322,$L322,$M$1:M322,M322,$N$1:N322,N322))=1,"00"&amp;COUNTIFS($J$1:J322,$J322,$K$1:K322,$K322,$L$1:L322,$L322,$M$1:M322,M322,$N$1:N322,N322),IF(LEN(COUNTIFS($J$1:J322,$J322,$K$1:K322,$K322,$L$1:L322,$L322,$M$1:M322,M322,$N$1:N322,N322))=2,"0"&amp;COUNTIFS($J$1:J322,$J322,$K$1:K322,$K322,$L$1:L322,$L322,$M$1:M322,M322,$N$1:N322,N322),COUNTIFS($J$1:J322,$J322,$K$1:K322,$K322,$L$1:L322,$L322,$M$1:M322,M322,$N$1:N322,N322)))</f>
        <v>003</v>
      </c>
      <c r="P32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MS-CS-001-01-00003-INV</v>
      </c>
      <c r="Q322" s="59"/>
      <c r="R322" s="34" t="s">
        <v>6137</v>
      </c>
      <c r="S322" s="34" t="s">
        <v>1119</v>
      </c>
      <c r="T322" s="34">
        <f>+IFERROR(_xlfn.XLOOKUP(Table43[[#This Row],[Column1]],#REF!,#REF!),0)</f>
        <v>0</v>
      </c>
      <c r="U322" s="50">
        <f>IFERROR(_xlfn.XLOOKUP(Table43[[#This Row],[Column1]],#REF!,#REF!),0)</f>
        <v>0</v>
      </c>
      <c r="V322" s="39"/>
    </row>
    <row r="323" spans="1:22" x14ac:dyDescent="0.35">
      <c r="A323" s="3" t="s">
        <v>5240</v>
      </c>
      <c r="B323" s="2" t="s">
        <v>1121</v>
      </c>
      <c r="C323" s="2" t="s">
        <v>15</v>
      </c>
      <c r="D323" s="2">
        <v>35</v>
      </c>
      <c r="E323" s="2" t="s">
        <v>10</v>
      </c>
      <c r="F323" s="3">
        <v>1</v>
      </c>
      <c r="G323" s="3">
        <v>2</v>
      </c>
      <c r="H323" s="2">
        <v>4</v>
      </c>
      <c r="I323" s="22">
        <f>Table43[[#This Row],[Item Cost]]*Table43[[#This Row],[In Stock]]</f>
        <v>140</v>
      </c>
      <c r="J323" s="12" t="s">
        <v>4941</v>
      </c>
      <c r="K323" s="13" t="s">
        <v>4666</v>
      </c>
      <c r="L323" s="13" t="s">
        <v>4673</v>
      </c>
      <c r="M323" s="13" t="s">
        <v>4837</v>
      </c>
      <c r="N323" s="12" t="s">
        <v>4672</v>
      </c>
      <c r="O323" s="17" t="str">
        <f>IF(LEN(COUNTIFS($J$1:J323,$J323,$K$1:K323,$K323,$L$1:L323,$L323,$M$1:M323,M323,$N$1:N323,N323))=1,"00"&amp;COUNTIFS($J$1:J323,$J323,$K$1:K323,$K323,$L$1:L323,$L323,$M$1:M323,M323,$N$1:N323,N323),IF(LEN(COUNTIFS($J$1:J323,$J323,$K$1:K323,$K323,$L$1:L323,$L323,$M$1:M323,M323,$N$1:N323,N323))=2,"0"&amp;COUNTIFS($J$1:J323,$J323,$K$1:K323,$K323,$L$1:L323,$L323,$M$1:M323,M323,$N$1:N323,N323),COUNTIFS($J$1:J323,$J323,$K$1:K323,$K323,$L$1:L323,$L323,$M$1:M323,M323,$N$1:N323,N323)))</f>
        <v>016</v>
      </c>
      <c r="P32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MS-NS-001-26-00016-INV</v>
      </c>
      <c r="Q323" s="59"/>
      <c r="R323" s="34" t="s">
        <v>6138</v>
      </c>
      <c r="S323" s="34" t="s">
        <v>1121</v>
      </c>
      <c r="T323" s="34">
        <f>+IFERROR(_xlfn.XLOOKUP(Table43[[#This Row],[Column1]],#REF!,#REF!),0)</f>
        <v>0</v>
      </c>
      <c r="U323" s="50">
        <f>IFERROR(_xlfn.XLOOKUP(Table43[[#This Row],[Column1]],#REF!,#REF!),0)</f>
        <v>0</v>
      </c>
      <c r="V323" s="39"/>
    </row>
    <row r="324" spans="1:22" x14ac:dyDescent="0.35">
      <c r="A324" s="2" t="s">
        <v>5241</v>
      </c>
      <c r="B324" s="3" t="s">
        <v>1123</v>
      </c>
      <c r="C324" s="3" t="s">
        <v>9</v>
      </c>
      <c r="D324" s="5">
        <v>1945</v>
      </c>
      <c r="E324" s="3" t="s">
        <v>10</v>
      </c>
      <c r="F324" s="2">
        <v>1</v>
      </c>
      <c r="G324" s="2">
        <v>2</v>
      </c>
      <c r="H324" s="3">
        <v>1</v>
      </c>
      <c r="I324" s="21">
        <f>Table43[[#This Row],[Item Cost]]*Table43[[#This Row],[In Stock]]</f>
        <v>1945</v>
      </c>
      <c r="J324" s="12" t="s">
        <v>4941</v>
      </c>
      <c r="K324" s="13" t="s">
        <v>4664</v>
      </c>
      <c r="L324" s="13" t="s">
        <v>4673</v>
      </c>
      <c r="M324" s="13" t="s">
        <v>4772</v>
      </c>
      <c r="N324" s="12" t="s">
        <v>4672</v>
      </c>
      <c r="O324" s="17" t="str">
        <f>IF(LEN(COUNTIFS($J$1:J324,$J324,$K$1:K324,$K324,$L$1:L324,$L324,$M$1:M324,M324,$N$1:N324,N324))=1,"00"&amp;COUNTIFS($J$1:J324,$J324,$K$1:K324,$K324,$L$1:L324,$L324,$M$1:M324,M324,$N$1:N324,N324),IF(LEN(COUNTIFS($J$1:J324,$J324,$K$1:K324,$K324,$L$1:L324,$L324,$M$1:M324,M324,$N$1:N324,N324))=2,"0"&amp;COUNTIFS($J$1:J324,$J324,$K$1:K324,$K324,$L$1:L324,$L324,$M$1:M324,M324,$N$1:N324,N324),COUNTIFS($J$1:J324,$J324,$K$1:K324,$K324,$L$1:L324,$L324,$M$1:M324,M324,$N$1:N324,N324)))</f>
        <v>003</v>
      </c>
      <c r="P32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MS-CS-001-06-00003-INV</v>
      </c>
      <c r="Q324" s="59"/>
      <c r="R324" s="34" t="s">
        <v>6139</v>
      </c>
      <c r="S324" s="34" t="s">
        <v>1123</v>
      </c>
      <c r="T324" s="34">
        <f>+IFERROR(_xlfn.XLOOKUP(Table43[[#This Row],[Column1]],#REF!,#REF!),0)</f>
        <v>0</v>
      </c>
      <c r="U324" s="50">
        <f>IFERROR(_xlfn.XLOOKUP(Table43[[#This Row],[Column1]],#REF!,#REF!),0)</f>
        <v>0</v>
      </c>
      <c r="V324" s="39"/>
    </row>
    <row r="325" spans="1:22" x14ac:dyDescent="0.35">
      <c r="A325" s="3" t="s">
        <v>5242</v>
      </c>
      <c r="B325" s="2" t="s">
        <v>1125</v>
      </c>
      <c r="C325" s="3" t="s">
        <v>15</v>
      </c>
      <c r="D325" s="3">
        <v>0</v>
      </c>
      <c r="E325" s="3" t="s">
        <v>10</v>
      </c>
      <c r="F325" s="3">
        <v>0</v>
      </c>
      <c r="G325" s="3">
        <v>100</v>
      </c>
      <c r="H325" s="2">
        <v>1</v>
      </c>
      <c r="I325" s="22">
        <f>Table43[[#This Row],[Item Cost]]*Table43[[#This Row],[In Stock]]</f>
        <v>0</v>
      </c>
      <c r="J325" s="12" t="s">
        <v>4941</v>
      </c>
      <c r="K325" s="13" t="s">
        <v>4666</v>
      </c>
      <c r="L325" s="13" t="s">
        <v>4673</v>
      </c>
      <c r="M325" s="13" t="s">
        <v>4837</v>
      </c>
      <c r="N325" s="12" t="s">
        <v>4672</v>
      </c>
      <c r="O325" s="17" t="str">
        <f>IF(LEN(COUNTIFS($J$1:J325,$J325,$K$1:K325,$K325,$L$1:L325,$L325,$M$1:M325,M325,$N$1:N325,N325))=1,"00"&amp;COUNTIFS($J$1:J325,$J325,$K$1:K325,$K325,$L$1:L325,$L325,$M$1:M325,M325,$N$1:N325,N325),IF(LEN(COUNTIFS($J$1:J325,$J325,$K$1:K325,$K325,$L$1:L325,$L325,$M$1:M325,M325,$N$1:N325,N325))=2,"0"&amp;COUNTIFS($J$1:J325,$J325,$K$1:K325,$K325,$L$1:L325,$L325,$M$1:M325,M325,$N$1:N325,N325),COUNTIFS($J$1:J325,$J325,$K$1:K325,$K325,$L$1:L325,$L325,$M$1:M325,M325,$N$1:N325,N325)))</f>
        <v>017</v>
      </c>
      <c r="P32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MS-NS-001-26-00017-INV</v>
      </c>
      <c r="Q325" s="59"/>
      <c r="R325" s="34"/>
      <c r="S325" s="34">
        <v>0</v>
      </c>
      <c r="T325" s="34">
        <f>+IFERROR(_xlfn.XLOOKUP(Table43[[#This Row],[Column1]],#REF!,#REF!),0)</f>
        <v>0</v>
      </c>
      <c r="U325" s="50">
        <f>IFERROR(_xlfn.XLOOKUP(Table43[[#This Row],[Column1]],#REF!,#REF!),0)</f>
        <v>0</v>
      </c>
      <c r="V325" s="39"/>
    </row>
    <row r="326" spans="1:22" x14ac:dyDescent="0.35">
      <c r="A326" s="2" t="s">
        <v>5243</v>
      </c>
      <c r="B326" s="3" t="s">
        <v>1127</v>
      </c>
      <c r="C326" s="3" t="s">
        <v>15</v>
      </c>
      <c r="D326" s="3">
        <v>0</v>
      </c>
      <c r="E326" s="3" t="s">
        <v>10</v>
      </c>
      <c r="F326" s="3">
        <v>0</v>
      </c>
      <c r="G326" s="3">
        <v>100</v>
      </c>
      <c r="H326" s="3">
        <v>1</v>
      </c>
      <c r="I326" s="21">
        <f>Table43[[#This Row],[Item Cost]]*Table43[[#This Row],[In Stock]]</f>
        <v>0</v>
      </c>
      <c r="J326" s="12" t="s">
        <v>4941</v>
      </c>
      <c r="K326" s="13" t="s">
        <v>4666</v>
      </c>
      <c r="L326" s="13" t="s">
        <v>4673</v>
      </c>
      <c r="M326" s="13" t="s">
        <v>4837</v>
      </c>
      <c r="N326" s="12" t="s">
        <v>4672</v>
      </c>
      <c r="O326" s="17" t="str">
        <f>IF(LEN(COUNTIFS($J$1:J326,$J326,$K$1:K326,$K326,$L$1:L326,$L326,$M$1:M326,M326,$N$1:N326,N326))=1,"00"&amp;COUNTIFS($J$1:J326,$J326,$K$1:K326,$K326,$L$1:L326,$L326,$M$1:M326,M326,$N$1:N326,N326),IF(LEN(COUNTIFS($J$1:J326,$J326,$K$1:K326,$K326,$L$1:L326,$L326,$M$1:M326,M326,$N$1:N326,N326))=2,"0"&amp;COUNTIFS($J$1:J326,$J326,$K$1:K326,$K326,$L$1:L326,$L326,$M$1:M326,M326,$N$1:N326,N326),COUNTIFS($J$1:J326,$J326,$K$1:K326,$K326,$L$1:L326,$L326,$M$1:M326,M326,$N$1:N326,N326)))</f>
        <v>018</v>
      </c>
      <c r="P32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MS-NS-001-26-00018-INV</v>
      </c>
      <c r="Q326" s="59"/>
      <c r="R326" s="34"/>
      <c r="S326" s="34">
        <v>0</v>
      </c>
      <c r="T326" s="34">
        <f>+IFERROR(_xlfn.XLOOKUP(Table43[[#This Row],[Column1]],#REF!,#REF!),0)</f>
        <v>0</v>
      </c>
      <c r="U326" s="50">
        <f>IFERROR(_xlfn.XLOOKUP(Table43[[#This Row],[Column1]],#REF!,#REF!),0)</f>
        <v>0</v>
      </c>
      <c r="V326" s="39"/>
    </row>
    <row r="327" spans="1:22" x14ac:dyDescent="0.35">
      <c r="A327" s="3" t="s">
        <v>5244</v>
      </c>
      <c r="B327" s="2" t="s">
        <v>1129</v>
      </c>
      <c r="C327" s="3" t="s">
        <v>15</v>
      </c>
      <c r="D327" s="3">
        <v>0</v>
      </c>
      <c r="E327" s="3" t="s">
        <v>10</v>
      </c>
      <c r="F327" s="3">
        <v>0</v>
      </c>
      <c r="G327" s="3">
        <v>100</v>
      </c>
      <c r="H327" s="2">
        <v>0</v>
      </c>
      <c r="I327" s="22">
        <f>Table43[[#This Row],[Item Cost]]*Table43[[#This Row],[In Stock]]</f>
        <v>0</v>
      </c>
      <c r="J327" s="12" t="s">
        <v>4941</v>
      </c>
      <c r="K327" s="13" t="s">
        <v>4666</v>
      </c>
      <c r="L327" s="13" t="s">
        <v>4673</v>
      </c>
      <c r="M327" s="13" t="s">
        <v>4837</v>
      </c>
      <c r="N327" s="12" t="s">
        <v>4672</v>
      </c>
      <c r="O327" s="17" t="str">
        <f>IF(LEN(COUNTIFS($J$1:J327,$J327,$K$1:K327,$K327,$L$1:L327,$L327,$M$1:M327,M327,$N$1:N327,N327))=1,"00"&amp;COUNTIFS($J$1:J327,$J327,$K$1:K327,$K327,$L$1:L327,$L327,$M$1:M327,M327,$N$1:N327,N327),IF(LEN(COUNTIFS($J$1:J327,$J327,$K$1:K327,$K327,$L$1:L327,$L327,$M$1:M327,M327,$N$1:N327,N327))=2,"0"&amp;COUNTIFS($J$1:J327,$J327,$K$1:K327,$K327,$L$1:L327,$L327,$M$1:M327,M327,$N$1:N327,N327),COUNTIFS($J$1:J327,$J327,$K$1:K327,$K327,$L$1:L327,$L327,$M$1:M327,M327,$N$1:N327,N327)))</f>
        <v>019</v>
      </c>
      <c r="P32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MS-NS-001-26-00019-INV</v>
      </c>
      <c r="Q327" s="59"/>
      <c r="R327" s="34"/>
      <c r="S327" s="34">
        <v>0</v>
      </c>
      <c r="T327" s="34">
        <f>+IFERROR(_xlfn.XLOOKUP(Table43[[#This Row],[Column1]],#REF!,#REF!),0)</f>
        <v>0</v>
      </c>
      <c r="U327" s="50">
        <f>IFERROR(_xlfn.XLOOKUP(Table43[[#This Row],[Column1]],#REF!,#REF!),0)</f>
        <v>0</v>
      </c>
      <c r="V327" s="39"/>
    </row>
    <row r="328" spans="1:22" x14ac:dyDescent="0.35">
      <c r="A328" s="2" t="s">
        <v>5245</v>
      </c>
      <c r="B328" s="3" t="s">
        <v>1131</v>
      </c>
      <c r="C328" s="3" t="s">
        <v>15</v>
      </c>
      <c r="D328" s="3">
        <v>0</v>
      </c>
      <c r="E328" s="3" t="s">
        <v>10</v>
      </c>
      <c r="F328" s="3">
        <v>0</v>
      </c>
      <c r="G328" s="3">
        <v>100</v>
      </c>
      <c r="H328" s="3">
        <v>0</v>
      </c>
      <c r="I328" s="21">
        <f>Table43[[#This Row],[Item Cost]]*Table43[[#This Row],[In Stock]]</f>
        <v>0</v>
      </c>
      <c r="J328" s="12" t="s">
        <v>4941</v>
      </c>
      <c r="K328" s="13" t="s">
        <v>4666</v>
      </c>
      <c r="L328" s="13" t="s">
        <v>4673</v>
      </c>
      <c r="M328" s="13" t="s">
        <v>4837</v>
      </c>
      <c r="N328" s="12" t="s">
        <v>4672</v>
      </c>
      <c r="O328" s="17" t="str">
        <f>IF(LEN(COUNTIFS($J$1:J328,$J328,$K$1:K328,$K328,$L$1:L328,$L328,$M$1:M328,M328,$N$1:N328,N328))=1,"00"&amp;COUNTIFS($J$1:J328,$J328,$K$1:K328,$K328,$L$1:L328,$L328,$M$1:M328,M328,$N$1:N328,N328),IF(LEN(COUNTIFS($J$1:J328,$J328,$K$1:K328,$K328,$L$1:L328,$L328,$M$1:M328,M328,$N$1:N328,N328))=2,"0"&amp;COUNTIFS($J$1:J328,$J328,$K$1:K328,$K328,$L$1:L328,$L328,$M$1:M328,M328,$N$1:N328,N328),COUNTIFS($J$1:J328,$J328,$K$1:K328,$K328,$L$1:L328,$L328,$M$1:M328,M328,$N$1:N328,N328)))</f>
        <v>020</v>
      </c>
      <c r="P32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MS-NS-001-26-00020-INV</v>
      </c>
      <c r="Q328" s="59"/>
      <c r="R328" s="34"/>
      <c r="S328" s="34">
        <v>0</v>
      </c>
      <c r="T328" s="34">
        <f>+IFERROR(_xlfn.XLOOKUP(Table43[[#This Row],[Column1]],#REF!,#REF!),0)</f>
        <v>0</v>
      </c>
      <c r="U328" s="50">
        <f>IFERROR(_xlfn.XLOOKUP(Table43[[#This Row],[Column1]],#REF!,#REF!),0)</f>
        <v>0</v>
      </c>
      <c r="V328" s="39"/>
    </row>
    <row r="329" spans="1:22" x14ac:dyDescent="0.35">
      <c r="A329" s="3" t="s">
        <v>5246</v>
      </c>
      <c r="B329" s="2" t="s">
        <v>1133</v>
      </c>
      <c r="C329" s="3" t="s">
        <v>15</v>
      </c>
      <c r="D329" s="3">
        <v>0</v>
      </c>
      <c r="E329" s="3" t="s">
        <v>10</v>
      </c>
      <c r="F329" s="3">
        <v>0</v>
      </c>
      <c r="G329" s="3">
        <v>100</v>
      </c>
      <c r="H329" s="2">
        <v>0</v>
      </c>
      <c r="I329" s="22">
        <f>Table43[[#This Row],[Item Cost]]*Table43[[#This Row],[In Stock]]</f>
        <v>0</v>
      </c>
      <c r="J329" s="12" t="s">
        <v>4941</v>
      </c>
      <c r="K329" s="13" t="s">
        <v>4666</v>
      </c>
      <c r="L329" s="13" t="s">
        <v>4673</v>
      </c>
      <c r="M329" s="13" t="s">
        <v>4837</v>
      </c>
      <c r="N329" s="12" t="s">
        <v>4672</v>
      </c>
      <c r="O329" s="17" t="str">
        <f>IF(LEN(COUNTIFS($J$1:J329,$J329,$K$1:K329,$K329,$L$1:L329,$L329,$M$1:M329,M329,$N$1:N329,N329))=1,"00"&amp;COUNTIFS($J$1:J329,$J329,$K$1:K329,$K329,$L$1:L329,$L329,$M$1:M329,M329,$N$1:N329,N329),IF(LEN(COUNTIFS($J$1:J329,$J329,$K$1:K329,$K329,$L$1:L329,$L329,$M$1:M329,M329,$N$1:N329,N329))=2,"0"&amp;COUNTIFS($J$1:J329,$J329,$K$1:K329,$K329,$L$1:L329,$L329,$M$1:M329,M329,$N$1:N329,N329),COUNTIFS($J$1:J329,$J329,$K$1:K329,$K329,$L$1:L329,$L329,$M$1:M329,M329,$N$1:N329,N329)))</f>
        <v>021</v>
      </c>
      <c r="P32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MS-NS-001-26-00021-INV</v>
      </c>
      <c r="Q329" s="59"/>
      <c r="R329" s="34"/>
      <c r="S329" s="34">
        <v>0</v>
      </c>
      <c r="T329" s="34">
        <f>+IFERROR(_xlfn.XLOOKUP(Table43[[#This Row],[Column1]],#REF!,#REF!),0)</f>
        <v>0</v>
      </c>
      <c r="U329" s="50">
        <f>IFERROR(_xlfn.XLOOKUP(Table43[[#This Row],[Column1]],#REF!,#REF!),0)</f>
        <v>0</v>
      </c>
      <c r="V329" s="39"/>
    </row>
    <row r="330" spans="1:22" x14ac:dyDescent="0.35">
      <c r="A330" s="2" t="s">
        <v>5247</v>
      </c>
      <c r="B330" s="3" t="s">
        <v>1135</v>
      </c>
      <c r="C330" s="3" t="s">
        <v>15</v>
      </c>
      <c r="D330" s="3">
        <v>0</v>
      </c>
      <c r="E330" s="3" t="s">
        <v>10</v>
      </c>
      <c r="F330" s="3">
        <v>0</v>
      </c>
      <c r="G330" s="3">
        <v>100</v>
      </c>
      <c r="H330" s="3">
        <v>0</v>
      </c>
      <c r="I330" s="21">
        <f>Table43[[#This Row],[Item Cost]]*Table43[[#This Row],[In Stock]]</f>
        <v>0</v>
      </c>
      <c r="J330" s="12" t="s">
        <v>4941</v>
      </c>
      <c r="K330" s="13" t="s">
        <v>4666</v>
      </c>
      <c r="L330" s="13" t="s">
        <v>4673</v>
      </c>
      <c r="M330" s="13" t="s">
        <v>4837</v>
      </c>
      <c r="N330" s="12" t="s">
        <v>4672</v>
      </c>
      <c r="O330" s="17" t="str">
        <f>IF(LEN(COUNTIFS($J$1:J330,$J330,$K$1:K330,$K330,$L$1:L330,$L330,$M$1:M330,M330,$N$1:N330,N330))=1,"00"&amp;COUNTIFS($J$1:J330,$J330,$K$1:K330,$K330,$L$1:L330,$L330,$M$1:M330,M330,$N$1:N330,N330),IF(LEN(COUNTIFS($J$1:J330,$J330,$K$1:K330,$K330,$L$1:L330,$L330,$M$1:M330,M330,$N$1:N330,N330))=2,"0"&amp;COUNTIFS($J$1:J330,$J330,$K$1:K330,$K330,$L$1:L330,$L330,$M$1:M330,M330,$N$1:N330,N330),COUNTIFS($J$1:J330,$J330,$K$1:K330,$K330,$L$1:L330,$L330,$M$1:M330,M330,$N$1:N330,N330)))</f>
        <v>022</v>
      </c>
      <c r="P33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MS-NS-001-26-00022-INV</v>
      </c>
      <c r="Q330" s="59"/>
      <c r="R330" s="34"/>
      <c r="S330" s="34">
        <v>0</v>
      </c>
      <c r="T330" s="34">
        <f>+IFERROR(_xlfn.XLOOKUP(Table43[[#This Row],[Column1]],#REF!,#REF!),0)</f>
        <v>0</v>
      </c>
      <c r="U330" s="50">
        <f>IFERROR(_xlfn.XLOOKUP(Table43[[#This Row],[Column1]],#REF!,#REF!),0)</f>
        <v>0</v>
      </c>
      <c r="V330" s="39"/>
    </row>
    <row r="331" spans="1:22" x14ac:dyDescent="0.35">
      <c r="A331" s="3" t="s">
        <v>5248</v>
      </c>
      <c r="B331" s="2" t="s">
        <v>1137</v>
      </c>
      <c r="C331" s="3" t="s">
        <v>15</v>
      </c>
      <c r="D331" s="3">
        <v>0</v>
      </c>
      <c r="E331" s="3" t="s">
        <v>10</v>
      </c>
      <c r="F331" s="3">
        <v>0</v>
      </c>
      <c r="G331" s="3">
        <v>100</v>
      </c>
      <c r="H331" s="2">
        <v>0</v>
      </c>
      <c r="I331" s="22">
        <f>Table43[[#This Row],[Item Cost]]*Table43[[#This Row],[In Stock]]</f>
        <v>0</v>
      </c>
      <c r="J331" s="12" t="s">
        <v>4941</v>
      </c>
      <c r="K331" s="13" t="s">
        <v>4666</v>
      </c>
      <c r="L331" s="13" t="s">
        <v>4673</v>
      </c>
      <c r="M331" s="13" t="s">
        <v>4837</v>
      </c>
      <c r="N331" s="12" t="s">
        <v>4672</v>
      </c>
      <c r="O331" s="17" t="str">
        <f>IF(LEN(COUNTIFS($J$1:J331,$J331,$K$1:K331,$K331,$L$1:L331,$L331,$M$1:M331,M331,$N$1:N331,N331))=1,"00"&amp;COUNTIFS($J$1:J331,$J331,$K$1:K331,$K331,$L$1:L331,$L331,$M$1:M331,M331,$N$1:N331,N331),IF(LEN(COUNTIFS($J$1:J331,$J331,$K$1:K331,$K331,$L$1:L331,$L331,$M$1:M331,M331,$N$1:N331,N331))=2,"0"&amp;COUNTIFS($J$1:J331,$J331,$K$1:K331,$K331,$L$1:L331,$L331,$M$1:M331,M331,$N$1:N331,N331),COUNTIFS($J$1:J331,$J331,$K$1:K331,$K331,$L$1:L331,$L331,$M$1:M331,M331,$N$1:N331,N331)))</f>
        <v>023</v>
      </c>
      <c r="P33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MS-NS-001-26-00023-INV</v>
      </c>
      <c r="Q331" s="59"/>
      <c r="R331" s="34"/>
      <c r="S331" s="34">
        <v>0</v>
      </c>
      <c r="T331" s="34">
        <f>+IFERROR(_xlfn.XLOOKUP(Table43[[#This Row],[Column1]],#REF!,#REF!),0)</f>
        <v>0</v>
      </c>
      <c r="U331" s="50">
        <f>IFERROR(_xlfn.XLOOKUP(Table43[[#This Row],[Column1]],#REF!,#REF!),0)</f>
        <v>0</v>
      </c>
      <c r="V331" s="39"/>
    </row>
    <row r="332" spans="1:22" x14ac:dyDescent="0.35">
      <c r="A332" s="2" t="s">
        <v>5249</v>
      </c>
      <c r="B332" s="3" t="s">
        <v>1139</v>
      </c>
      <c r="C332" s="3" t="s">
        <v>15</v>
      </c>
      <c r="D332" s="3">
        <v>265</v>
      </c>
      <c r="E332" s="3" t="s">
        <v>10</v>
      </c>
      <c r="F332" s="3">
        <v>1</v>
      </c>
      <c r="G332" s="3">
        <v>2</v>
      </c>
      <c r="H332" s="3">
        <v>2</v>
      </c>
      <c r="I332" s="21">
        <f>Table43[[#This Row],[Item Cost]]*Table43[[#This Row],[In Stock]]</f>
        <v>530</v>
      </c>
      <c r="J332" s="12" t="s">
        <v>4941</v>
      </c>
      <c r="K332" s="13" t="s">
        <v>4666</v>
      </c>
      <c r="L332" s="13" t="s">
        <v>4673</v>
      </c>
      <c r="M332" s="13" t="s">
        <v>4775</v>
      </c>
      <c r="N332" s="12" t="s">
        <v>4672</v>
      </c>
      <c r="O332" s="17" t="str">
        <f>IF(LEN(COUNTIFS($J$1:J332,$J332,$K$1:K332,$K332,$L$1:L332,$L332,$M$1:M332,M332,$N$1:N332,N332))=1,"00"&amp;COUNTIFS($J$1:J332,$J332,$K$1:K332,$K332,$L$1:L332,$L332,$M$1:M332,M332,$N$1:N332,N332),IF(LEN(COUNTIFS($J$1:J332,$J332,$K$1:K332,$K332,$L$1:L332,$L332,$M$1:M332,M332,$N$1:N332,N332))=2,"0"&amp;COUNTIFS($J$1:J332,$J332,$K$1:K332,$K332,$L$1:L332,$L332,$M$1:M332,M332,$N$1:N332,N332),COUNTIFS($J$1:J332,$J332,$K$1:K332,$K332,$L$1:L332,$L332,$M$1:M332,M332,$N$1:N332,N332)))</f>
        <v>002</v>
      </c>
      <c r="P33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MS-NS-001-09-00002-INV</v>
      </c>
      <c r="Q332" s="59"/>
      <c r="R332" s="34" t="s">
        <v>6140</v>
      </c>
      <c r="S332" s="34" t="s">
        <v>1139</v>
      </c>
      <c r="T332" s="34">
        <f>+IFERROR(_xlfn.XLOOKUP(Table43[[#This Row],[Column1]],#REF!,#REF!),0)</f>
        <v>0</v>
      </c>
      <c r="U332" s="50">
        <f>IFERROR(_xlfn.XLOOKUP(Table43[[#This Row],[Column1]],#REF!,#REF!),0)</f>
        <v>0</v>
      </c>
      <c r="V332" s="39"/>
    </row>
    <row r="333" spans="1:22" x14ac:dyDescent="0.35">
      <c r="A333" s="3" t="s">
        <v>5250</v>
      </c>
      <c r="B333" s="2" t="s">
        <v>1141</v>
      </c>
      <c r="C333" s="2" t="s">
        <v>15</v>
      </c>
      <c r="D333" s="4">
        <v>5500</v>
      </c>
      <c r="E333" s="2" t="s">
        <v>10</v>
      </c>
      <c r="F333" s="3">
        <v>1</v>
      </c>
      <c r="G333" s="3">
        <v>2</v>
      </c>
      <c r="H333" s="2">
        <v>0</v>
      </c>
      <c r="I333" s="22">
        <f>Table43[[#This Row],[Item Cost]]*Table43[[#This Row],[In Stock]]</f>
        <v>0</v>
      </c>
      <c r="J333" s="12" t="s">
        <v>4941</v>
      </c>
      <c r="K333" s="13" t="s">
        <v>4666</v>
      </c>
      <c r="L333" s="13" t="s">
        <v>4673</v>
      </c>
      <c r="M333" s="13" t="s">
        <v>4733</v>
      </c>
      <c r="N333" s="12" t="s">
        <v>4672</v>
      </c>
      <c r="O333" s="17" t="str">
        <f>IF(LEN(COUNTIFS($J$1:J333,$J333,$K$1:K333,$K333,$L$1:L333,$L333,$M$1:M333,M333,$N$1:N333,N333))=1,"00"&amp;COUNTIFS($J$1:J333,$J333,$K$1:K333,$K333,$L$1:L333,$L333,$M$1:M333,M333,$N$1:N333,N333),IF(LEN(COUNTIFS($J$1:J333,$J333,$K$1:K333,$K333,$L$1:L333,$L333,$M$1:M333,M333,$N$1:N333,N333))=2,"0"&amp;COUNTIFS($J$1:J333,$J333,$K$1:K333,$K333,$L$1:L333,$L333,$M$1:M333,M333,$N$1:N333,N333),COUNTIFS($J$1:J333,$J333,$K$1:K333,$K333,$L$1:L333,$L333,$M$1:M333,M333,$N$1:N333,N333)))</f>
        <v>005</v>
      </c>
      <c r="P33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MS-NS-001-01-00005-INV</v>
      </c>
      <c r="Q333" s="59"/>
      <c r="R333" s="34"/>
      <c r="S333" s="34">
        <v>0</v>
      </c>
      <c r="T333" s="34">
        <f>+IFERROR(_xlfn.XLOOKUP(Table43[[#This Row],[Column1]],#REF!,#REF!),0)</f>
        <v>0</v>
      </c>
      <c r="U333" s="50">
        <f>IFERROR(_xlfn.XLOOKUP(Table43[[#This Row],[Column1]],#REF!,#REF!),0)</f>
        <v>0</v>
      </c>
      <c r="V333" s="39"/>
    </row>
    <row r="334" spans="1:22" x14ac:dyDescent="0.35">
      <c r="A334" s="2" t="s">
        <v>5251</v>
      </c>
      <c r="B334" s="3" t="s">
        <v>1143</v>
      </c>
      <c r="C334" s="3" t="s">
        <v>15</v>
      </c>
      <c r="D334" s="3">
        <v>20</v>
      </c>
      <c r="E334" s="3" t="s">
        <v>10</v>
      </c>
      <c r="F334" s="3">
        <v>2</v>
      </c>
      <c r="G334" s="3">
        <v>4</v>
      </c>
      <c r="H334" s="3">
        <v>10</v>
      </c>
      <c r="I334" s="21">
        <f>Table43[[#This Row],[Item Cost]]*Table43[[#This Row],[In Stock]]</f>
        <v>200</v>
      </c>
      <c r="J334" s="12" t="s">
        <v>4941</v>
      </c>
      <c r="K334" s="13" t="s">
        <v>4666</v>
      </c>
      <c r="L334" s="13" t="s">
        <v>4673</v>
      </c>
      <c r="M334" s="13" t="s">
        <v>4835</v>
      </c>
      <c r="N334" s="12" t="s">
        <v>4672</v>
      </c>
      <c r="O334" s="17" t="str">
        <f>IF(LEN(COUNTIFS($J$1:J334,$J334,$K$1:K334,$K334,$L$1:L334,$L334,$M$1:M334,M334,$N$1:N334,N334))=1,"00"&amp;COUNTIFS($J$1:J334,$J334,$K$1:K334,$K334,$L$1:L334,$L334,$M$1:M334,M334,$N$1:N334,N334),IF(LEN(COUNTIFS($J$1:J334,$J334,$K$1:K334,$K334,$L$1:L334,$L334,$M$1:M334,M334,$N$1:N334,N334))=2,"0"&amp;COUNTIFS($J$1:J334,$J334,$K$1:K334,$K334,$L$1:L334,$L334,$M$1:M334,M334,$N$1:N334,N334),COUNTIFS($J$1:J334,$J334,$K$1:K334,$K334,$L$1:L334,$L334,$M$1:M334,M334,$N$1:N334,N334)))</f>
        <v>004</v>
      </c>
      <c r="P33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MS-NS-001-24-00004-INV</v>
      </c>
      <c r="Q334" s="59"/>
      <c r="R334" s="34" t="s">
        <v>6141</v>
      </c>
      <c r="S334" s="34" t="s">
        <v>1143</v>
      </c>
      <c r="T334" s="34">
        <f>+IFERROR(_xlfn.XLOOKUP(Table43[[#This Row],[Column1]],#REF!,#REF!),0)</f>
        <v>0</v>
      </c>
      <c r="U334" s="50">
        <f>IFERROR(_xlfn.XLOOKUP(Table43[[#This Row],[Column1]],#REF!,#REF!),0)</f>
        <v>0</v>
      </c>
      <c r="V334" s="39"/>
    </row>
    <row r="335" spans="1:22" x14ac:dyDescent="0.35">
      <c r="A335" s="3" t="s">
        <v>5252</v>
      </c>
      <c r="B335" s="2" t="s">
        <v>1145</v>
      </c>
      <c r="C335" s="2" t="s">
        <v>15</v>
      </c>
      <c r="D335" s="4">
        <v>2000</v>
      </c>
      <c r="E335" s="2" t="s">
        <v>10</v>
      </c>
      <c r="F335" s="3">
        <v>1</v>
      </c>
      <c r="G335" s="3">
        <v>2</v>
      </c>
      <c r="H335" s="2">
        <v>1</v>
      </c>
      <c r="I335" s="22">
        <f>Table43[[#This Row],[Item Cost]]*Table43[[#This Row],[In Stock]]</f>
        <v>2000</v>
      </c>
      <c r="J335" s="12" t="s">
        <v>4941</v>
      </c>
      <c r="K335" s="13" t="s">
        <v>4666</v>
      </c>
      <c r="L335" s="13" t="s">
        <v>4673</v>
      </c>
      <c r="M335" s="13" t="s">
        <v>4733</v>
      </c>
      <c r="N335" s="12" t="s">
        <v>4672</v>
      </c>
      <c r="O335" s="17" t="str">
        <f>IF(LEN(COUNTIFS($J$1:J335,$J335,$K$1:K335,$K335,$L$1:L335,$L335,$M$1:M335,M335,$N$1:N335,N335))=1,"00"&amp;COUNTIFS($J$1:J335,$J335,$K$1:K335,$K335,$L$1:L335,$L335,$M$1:M335,M335,$N$1:N335,N335),IF(LEN(COUNTIFS($J$1:J335,$J335,$K$1:K335,$K335,$L$1:L335,$L335,$M$1:M335,M335,$N$1:N335,N335))=2,"0"&amp;COUNTIFS($J$1:J335,$J335,$K$1:K335,$K335,$L$1:L335,$L335,$M$1:M335,M335,$N$1:N335,N335),COUNTIFS($J$1:J335,$J335,$K$1:K335,$K335,$L$1:L335,$L335,$M$1:M335,M335,$N$1:N335,N335)))</f>
        <v>006</v>
      </c>
      <c r="P33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MS-NS-001-01-00006-INV</v>
      </c>
      <c r="Q335" s="59" t="s">
        <v>7343</v>
      </c>
      <c r="R335" s="34"/>
      <c r="S335" s="34">
        <v>0</v>
      </c>
      <c r="T335" s="34">
        <f>+IFERROR(_xlfn.XLOOKUP(Table43[[#This Row],[Column1]],#REF!,#REF!),0)</f>
        <v>0</v>
      </c>
      <c r="U335" s="50">
        <f>IFERROR(_xlfn.XLOOKUP(Table43[[#This Row],[Column1]],#REF!,#REF!),0)</f>
        <v>0</v>
      </c>
      <c r="V335" s="39"/>
    </row>
    <row r="336" spans="1:22" x14ac:dyDescent="0.35">
      <c r="A336" s="2" t="s">
        <v>5253</v>
      </c>
      <c r="B336" s="3" t="s">
        <v>1147</v>
      </c>
      <c r="C336" s="3" t="s">
        <v>9</v>
      </c>
      <c r="D336" s="5">
        <v>2300</v>
      </c>
      <c r="E336" s="3" t="s">
        <v>10</v>
      </c>
      <c r="F336" s="2">
        <v>1</v>
      </c>
      <c r="G336" s="2">
        <v>2</v>
      </c>
      <c r="H336" s="3">
        <v>3</v>
      </c>
      <c r="I336" s="21">
        <f>Table43[[#This Row],[Item Cost]]*Table43[[#This Row],[In Stock]]</f>
        <v>6900</v>
      </c>
      <c r="J336" s="12" t="s">
        <v>4941</v>
      </c>
      <c r="K336" s="13" t="s">
        <v>4664</v>
      </c>
      <c r="L336" s="13" t="s">
        <v>4673</v>
      </c>
      <c r="M336" s="13" t="s">
        <v>4772</v>
      </c>
      <c r="N336" s="12" t="s">
        <v>4672</v>
      </c>
      <c r="O336" s="17" t="str">
        <f>IF(LEN(COUNTIFS($J$1:J336,$J336,$K$1:K336,$K336,$L$1:L336,$L336,$M$1:M336,M336,$N$1:N336,N336))=1,"00"&amp;COUNTIFS($J$1:J336,$J336,$K$1:K336,$K336,$L$1:L336,$L336,$M$1:M336,M336,$N$1:N336,N336),IF(LEN(COUNTIFS($J$1:J336,$J336,$K$1:K336,$K336,$L$1:L336,$L336,$M$1:M336,M336,$N$1:N336,N336))=2,"0"&amp;COUNTIFS($J$1:J336,$J336,$K$1:K336,$K336,$L$1:L336,$L336,$M$1:M336,M336,$N$1:N336,N336),COUNTIFS($J$1:J336,$J336,$K$1:K336,$K336,$L$1:L336,$L336,$M$1:M336,M336,$N$1:N336,N336)))</f>
        <v>004</v>
      </c>
      <c r="P33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MS-CS-001-06-00004-INV</v>
      </c>
      <c r="Q336" s="59" t="s">
        <v>7343</v>
      </c>
      <c r="R336" s="34"/>
      <c r="S336" s="34">
        <v>0</v>
      </c>
      <c r="T336" s="34">
        <f>+IFERROR(_xlfn.XLOOKUP(Table43[[#This Row],[Column1]],#REF!,#REF!),0)</f>
        <v>0</v>
      </c>
      <c r="U336" s="50">
        <f>IFERROR(_xlfn.XLOOKUP(Table43[[#This Row],[Column1]],#REF!,#REF!),0)</f>
        <v>0</v>
      </c>
      <c r="V336" s="39"/>
    </row>
    <row r="337" spans="1:22" x14ac:dyDescent="0.35">
      <c r="A337" s="3" t="s">
        <v>5254</v>
      </c>
      <c r="B337" s="2" t="s">
        <v>1149</v>
      </c>
      <c r="C337" s="2" t="s">
        <v>9</v>
      </c>
      <c r="D337" s="4">
        <v>4175</v>
      </c>
      <c r="E337" s="2" t="s">
        <v>10</v>
      </c>
      <c r="F337" s="2">
        <v>1</v>
      </c>
      <c r="G337" s="2">
        <v>2</v>
      </c>
      <c r="H337" s="2">
        <v>2</v>
      </c>
      <c r="I337" s="22">
        <f>Table43[[#This Row],[Item Cost]]*Table43[[#This Row],[In Stock]]</f>
        <v>8350</v>
      </c>
      <c r="J337" s="12" t="s">
        <v>4941</v>
      </c>
      <c r="K337" s="13" t="s">
        <v>4664</v>
      </c>
      <c r="L337" s="13" t="s">
        <v>4673</v>
      </c>
      <c r="M337" s="13" t="s">
        <v>4772</v>
      </c>
      <c r="N337" s="12" t="s">
        <v>4672</v>
      </c>
      <c r="O337" s="17" t="str">
        <f>IF(LEN(COUNTIFS($J$1:J337,$J337,$K$1:K337,$K337,$L$1:L337,$L337,$M$1:M337,M337,$N$1:N337,N337))=1,"00"&amp;COUNTIFS($J$1:J337,$J337,$K$1:K337,$K337,$L$1:L337,$L337,$M$1:M337,M337,$N$1:N337,N337),IF(LEN(COUNTIFS($J$1:J337,$J337,$K$1:K337,$K337,$L$1:L337,$L337,$M$1:M337,M337,$N$1:N337,N337))=2,"0"&amp;COUNTIFS($J$1:J337,$J337,$K$1:K337,$K337,$L$1:L337,$L337,$M$1:M337,M337,$N$1:N337,N337),COUNTIFS($J$1:J337,$J337,$K$1:K337,$K337,$L$1:L337,$L337,$M$1:M337,M337,$N$1:N337,N337)))</f>
        <v>005</v>
      </c>
      <c r="P33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MS-CS-001-06-00005-INV</v>
      </c>
      <c r="Q337" s="59" t="s">
        <v>7343</v>
      </c>
      <c r="R337" s="34"/>
      <c r="S337" s="34">
        <v>0</v>
      </c>
      <c r="T337" s="34">
        <f>+IFERROR(_xlfn.XLOOKUP(Table43[[#This Row],[Column1]],#REF!,#REF!),0)</f>
        <v>0</v>
      </c>
      <c r="U337" s="50">
        <f>IFERROR(_xlfn.XLOOKUP(Table43[[#This Row],[Column1]],#REF!,#REF!),0)</f>
        <v>0</v>
      </c>
      <c r="V337" s="39"/>
    </row>
    <row r="338" spans="1:22" x14ac:dyDescent="0.35">
      <c r="A338" s="2" t="s">
        <v>5255</v>
      </c>
      <c r="B338" s="3" t="s">
        <v>1151</v>
      </c>
      <c r="C338" s="3" t="s">
        <v>9</v>
      </c>
      <c r="D338" s="5">
        <v>4000</v>
      </c>
      <c r="E338" s="3" t="s">
        <v>10</v>
      </c>
      <c r="F338" s="2">
        <v>1</v>
      </c>
      <c r="G338" s="2">
        <v>2</v>
      </c>
      <c r="H338" s="3">
        <v>1</v>
      </c>
      <c r="I338" s="21">
        <f>Table43[[#This Row],[Item Cost]]*Table43[[#This Row],[In Stock]]</f>
        <v>4000</v>
      </c>
      <c r="J338" s="12" t="s">
        <v>4941</v>
      </c>
      <c r="K338" s="13" t="s">
        <v>4664</v>
      </c>
      <c r="L338" s="13" t="s">
        <v>4673</v>
      </c>
      <c r="M338" s="13" t="s">
        <v>4772</v>
      </c>
      <c r="N338" s="12" t="s">
        <v>4672</v>
      </c>
      <c r="O338" s="17" t="str">
        <f>IF(LEN(COUNTIFS($J$1:J338,$J338,$K$1:K338,$K338,$L$1:L338,$L338,$M$1:M338,M338,$N$1:N338,N338))=1,"00"&amp;COUNTIFS($J$1:J338,$J338,$K$1:K338,$K338,$L$1:L338,$L338,$M$1:M338,M338,$N$1:N338,N338),IF(LEN(COUNTIFS($J$1:J338,$J338,$K$1:K338,$K338,$L$1:L338,$L338,$M$1:M338,M338,$N$1:N338,N338))=2,"0"&amp;COUNTIFS($J$1:J338,$J338,$K$1:K338,$K338,$L$1:L338,$L338,$M$1:M338,M338,$N$1:N338,N338),COUNTIFS($J$1:J338,$J338,$K$1:K338,$K338,$L$1:L338,$L338,$M$1:M338,M338,$N$1:N338,N338)))</f>
        <v>006</v>
      </c>
      <c r="P33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MS-CS-001-06-00006-INV</v>
      </c>
      <c r="Q338" s="59"/>
      <c r="R338" s="34"/>
      <c r="S338" s="34">
        <v>0</v>
      </c>
      <c r="T338" s="34">
        <f>+IFERROR(_xlfn.XLOOKUP(Table43[[#This Row],[Column1]],#REF!,#REF!),0)</f>
        <v>0</v>
      </c>
      <c r="U338" s="50">
        <f>IFERROR(_xlfn.XLOOKUP(Table43[[#This Row],[Column1]],#REF!,#REF!),0)</f>
        <v>0</v>
      </c>
      <c r="V338" s="39"/>
    </row>
    <row r="339" spans="1:22" x14ac:dyDescent="0.35">
      <c r="A339" s="3" t="s">
        <v>5256</v>
      </c>
      <c r="B339" s="2" t="s">
        <v>1153</v>
      </c>
      <c r="C339" s="2" t="s">
        <v>15</v>
      </c>
      <c r="D339" s="2">
        <v>0</v>
      </c>
      <c r="E339" s="2" t="s">
        <v>10</v>
      </c>
      <c r="F339" s="3">
        <v>1</v>
      </c>
      <c r="G339" s="3">
        <v>2</v>
      </c>
      <c r="H339" s="2">
        <v>0</v>
      </c>
      <c r="I339" s="22">
        <f>Table43[[#This Row],[Item Cost]]*Table43[[#This Row],[In Stock]]</f>
        <v>0</v>
      </c>
      <c r="J339" s="12" t="s">
        <v>4941</v>
      </c>
      <c r="K339" s="13" t="s">
        <v>4666</v>
      </c>
      <c r="L339" s="13" t="s">
        <v>4673</v>
      </c>
      <c r="M339" s="13" t="s">
        <v>4837</v>
      </c>
      <c r="N339" s="12" t="s">
        <v>4672</v>
      </c>
      <c r="O339" s="17" t="str">
        <f>IF(LEN(COUNTIFS($J$1:J339,$J339,$K$1:K339,$K339,$L$1:L339,$L339,$M$1:M339,M339,$N$1:N339,N339))=1,"00"&amp;COUNTIFS($J$1:J339,$J339,$K$1:K339,$K339,$L$1:L339,$L339,$M$1:M339,M339,$N$1:N339,N339),IF(LEN(COUNTIFS($J$1:J339,$J339,$K$1:K339,$K339,$L$1:L339,$L339,$M$1:M339,M339,$N$1:N339,N339))=2,"0"&amp;COUNTIFS($J$1:J339,$J339,$K$1:K339,$K339,$L$1:L339,$L339,$M$1:M339,M339,$N$1:N339,N339),COUNTIFS($J$1:J339,$J339,$K$1:K339,$K339,$L$1:L339,$L339,$M$1:M339,M339,$N$1:N339,N339)))</f>
        <v>024</v>
      </c>
      <c r="P33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MS-NS-001-26-00024-INV</v>
      </c>
      <c r="Q339" s="59"/>
      <c r="R339" s="34" t="s">
        <v>6142</v>
      </c>
      <c r="S339" s="34" t="s">
        <v>1153</v>
      </c>
      <c r="T339" s="34">
        <f>+IFERROR(_xlfn.XLOOKUP(Table43[[#This Row],[Column1]],#REF!,#REF!),0)</f>
        <v>0</v>
      </c>
      <c r="U339" s="50">
        <f>IFERROR(_xlfn.XLOOKUP(Table43[[#This Row],[Column1]],#REF!,#REF!),0)</f>
        <v>0</v>
      </c>
      <c r="V339" s="39"/>
    </row>
    <row r="340" spans="1:22" x14ac:dyDescent="0.35">
      <c r="A340" s="2" t="s">
        <v>5257</v>
      </c>
      <c r="B340" s="3" t="s">
        <v>1155</v>
      </c>
      <c r="C340" s="3" t="s">
        <v>15</v>
      </c>
      <c r="D340" s="3">
        <v>0</v>
      </c>
      <c r="E340" s="3" t="s">
        <v>10</v>
      </c>
      <c r="F340" s="3">
        <v>1</v>
      </c>
      <c r="G340" s="3">
        <v>2</v>
      </c>
      <c r="H340" s="3">
        <v>0</v>
      </c>
      <c r="I340" s="21">
        <f>Table43[[#This Row],[Item Cost]]*Table43[[#This Row],[In Stock]]</f>
        <v>0</v>
      </c>
      <c r="J340" s="12" t="s">
        <v>4941</v>
      </c>
      <c r="K340" s="13" t="s">
        <v>4666</v>
      </c>
      <c r="L340" s="13" t="s">
        <v>4673</v>
      </c>
      <c r="M340" s="13" t="s">
        <v>4837</v>
      </c>
      <c r="N340" s="12" t="s">
        <v>4672</v>
      </c>
      <c r="O340" s="17" t="str">
        <f>IF(LEN(COUNTIFS($J$1:J340,$J340,$K$1:K340,$K340,$L$1:L340,$L340,$M$1:M340,M340,$N$1:N340,N340))=1,"00"&amp;COUNTIFS($J$1:J340,$J340,$K$1:K340,$K340,$L$1:L340,$L340,$M$1:M340,M340,$N$1:N340,N340),IF(LEN(COUNTIFS($J$1:J340,$J340,$K$1:K340,$K340,$L$1:L340,$L340,$M$1:M340,M340,$N$1:N340,N340))=2,"0"&amp;COUNTIFS($J$1:J340,$J340,$K$1:K340,$K340,$L$1:L340,$L340,$M$1:M340,M340,$N$1:N340,N340),COUNTIFS($J$1:J340,$J340,$K$1:K340,$K340,$L$1:L340,$L340,$M$1:M340,M340,$N$1:N340,N340)))</f>
        <v>025</v>
      </c>
      <c r="P34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MS-NS-001-26-00025-INV</v>
      </c>
      <c r="Q340" s="59"/>
      <c r="R340" s="34" t="s">
        <v>6143</v>
      </c>
      <c r="S340" s="34" t="s">
        <v>1155</v>
      </c>
      <c r="T340" s="34">
        <f>+IFERROR(_xlfn.XLOOKUP(Table43[[#This Row],[Column1]],#REF!,#REF!),0)</f>
        <v>0</v>
      </c>
      <c r="U340" s="50">
        <f>IFERROR(_xlfn.XLOOKUP(Table43[[#This Row],[Column1]],#REF!,#REF!),0)</f>
        <v>0</v>
      </c>
      <c r="V340" s="39"/>
    </row>
    <row r="341" spans="1:22" x14ac:dyDescent="0.35">
      <c r="A341" s="3" t="s">
        <v>5258</v>
      </c>
      <c r="B341" s="2" t="s">
        <v>1157</v>
      </c>
      <c r="C341" s="2" t="s">
        <v>15</v>
      </c>
      <c r="D341" s="2">
        <v>0</v>
      </c>
      <c r="E341" s="2" t="s">
        <v>10</v>
      </c>
      <c r="F341" s="3">
        <v>1</v>
      </c>
      <c r="G341" s="3">
        <v>2</v>
      </c>
      <c r="H341" s="2">
        <v>0</v>
      </c>
      <c r="I341" s="22">
        <f>Table43[[#This Row],[Item Cost]]*Table43[[#This Row],[In Stock]]</f>
        <v>0</v>
      </c>
      <c r="J341" s="3" t="s">
        <v>4941</v>
      </c>
      <c r="K341" s="13" t="s">
        <v>4666</v>
      </c>
      <c r="L341" s="13" t="s">
        <v>4673</v>
      </c>
      <c r="M341" s="13" t="s">
        <v>4837</v>
      </c>
      <c r="N341" s="3" t="s">
        <v>4672</v>
      </c>
      <c r="O341" s="17" t="str">
        <f>IF(LEN(COUNTIFS($J$1:J341,$J341,$K$1:K341,$K341,$L$1:L341,$L341,$M$1:M341,M341,$N$1:N341,N341))=1,"00"&amp;COUNTIFS($J$1:J341,$J341,$K$1:K341,$K341,$L$1:L341,$L341,$M$1:M341,M341,$N$1:N341,N341),IF(LEN(COUNTIFS($J$1:J341,$J341,$K$1:K341,$K341,$L$1:L341,$L341,$M$1:M341,M341,$N$1:N341,N341))=2,"0"&amp;COUNTIFS($J$1:J341,$J341,$K$1:K341,$K341,$L$1:L341,$L341,$M$1:M341,M341,$N$1:N341,N341),COUNTIFS($J$1:J341,$J341,$K$1:K341,$K341,$L$1:L341,$L341,$M$1:M341,M341,$N$1:N341,N341)))</f>
        <v>026</v>
      </c>
      <c r="P341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MS-NS-001-26-00026-INV</v>
      </c>
      <c r="Q341" s="59"/>
      <c r="R341" s="34" t="s">
        <v>6144</v>
      </c>
      <c r="S341" s="34" t="s">
        <v>1157</v>
      </c>
      <c r="T341" s="34">
        <f>+IFERROR(_xlfn.XLOOKUP(Table43[[#This Row],[Column1]],#REF!,#REF!),0)</f>
        <v>0</v>
      </c>
      <c r="U341" s="50">
        <f>IFERROR(_xlfn.XLOOKUP(Table43[[#This Row],[Column1]],#REF!,#REF!),0)</f>
        <v>0</v>
      </c>
      <c r="V341" s="39"/>
    </row>
    <row r="342" spans="1:22" x14ac:dyDescent="0.35">
      <c r="A342" s="2" t="s">
        <v>5259</v>
      </c>
      <c r="B342" s="2" t="s">
        <v>1161</v>
      </c>
      <c r="C342" s="2" t="s">
        <v>15</v>
      </c>
      <c r="D342" s="2">
        <v>0</v>
      </c>
      <c r="E342" s="2" t="s">
        <v>10</v>
      </c>
      <c r="F342" s="3">
        <v>1</v>
      </c>
      <c r="G342" s="3">
        <v>2</v>
      </c>
      <c r="H342" s="2">
        <v>0</v>
      </c>
      <c r="I342" s="22">
        <f>Table43[[#This Row],[Item Cost]]*Table43[[#This Row],[In Stock]]</f>
        <v>0</v>
      </c>
      <c r="J342" s="3" t="s">
        <v>4941</v>
      </c>
      <c r="K342" s="13" t="s">
        <v>4666</v>
      </c>
      <c r="L342" s="13" t="s">
        <v>4673</v>
      </c>
      <c r="M342" s="13" t="s">
        <v>4693</v>
      </c>
      <c r="N342" s="3" t="s">
        <v>4672</v>
      </c>
      <c r="O342" s="17" t="str">
        <f>IF(LEN(COUNTIFS($J$1:J342,$J342,$K$1:K342,$K342,$L$1:L342,$L342,$M$1:M342,M342,$N$1:N342,N342))=1,"00"&amp;COUNTIFS($J$1:J342,$J342,$K$1:K342,$K342,$L$1:L342,$L342,$M$1:M342,M342,$N$1:N342,N342),IF(LEN(COUNTIFS($J$1:J342,$J342,$K$1:K342,$K342,$L$1:L342,$L342,$M$1:M342,M342,$N$1:N342,N342))=2,"0"&amp;COUNTIFS($J$1:J342,$J342,$K$1:K342,$K342,$L$1:L342,$L342,$M$1:M342,M342,$N$1:N342,N342),COUNTIFS($J$1:J342,$J342,$K$1:K342,$K342,$L$1:L342,$L342,$M$1:M342,M342,$N$1:N342,N342)))</f>
        <v>009</v>
      </c>
      <c r="P342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MS-NS-001-23-00009-INV</v>
      </c>
      <c r="Q342" s="59"/>
      <c r="R342" s="34" t="s">
        <v>6145</v>
      </c>
      <c r="S342" s="34" t="s">
        <v>1161</v>
      </c>
      <c r="T342" s="34">
        <f>+IFERROR(_xlfn.XLOOKUP(Table43[[#This Row],[Column1]],#REF!,#REF!),0)</f>
        <v>0</v>
      </c>
      <c r="U342" s="50">
        <f>IFERROR(_xlfn.XLOOKUP(Table43[[#This Row],[Column1]],#REF!,#REF!),0)</f>
        <v>0</v>
      </c>
      <c r="V342" s="39"/>
    </row>
    <row r="343" spans="1:22" x14ac:dyDescent="0.35">
      <c r="A343" s="3" t="s">
        <v>5260</v>
      </c>
      <c r="B343" s="3" t="s">
        <v>1163</v>
      </c>
      <c r="C343" s="3" t="s">
        <v>15</v>
      </c>
      <c r="D343" s="3">
        <v>0</v>
      </c>
      <c r="E343" s="3" t="s">
        <v>10</v>
      </c>
      <c r="F343" s="3">
        <v>1</v>
      </c>
      <c r="G343" s="3">
        <v>2</v>
      </c>
      <c r="H343" s="3">
        <v>0</v>
      </c>
      <c r="I343" s="21">
        <f>Table43[[#This Row],[Item Cost]]*Table43[[#This Row],[In Stock]]</f>
        <v>0</v>
      </c>
      <c r="J343" s="3" t="s">
        <v>4941</v>
      </c>
      <c r="K343" s="13" t="s">
        <v>4666</v>
      </c>
      <c r="L343" s="13" t="s">
        <v>4673</v>
      </c>
      <c r="M343" s="13" t="s">
        <v>4693</v>
      </c>
      <c r="N343" s="3" t="s">
        <v>4672</v>
      </c>
      <c r="O343" s="17" t="str">
        <f>IF(LEN(COUNTIFS($J$1:J343,$J343,$K$1:K343,$K343,$L$1:L343,$L343,$M$1:M343,M343,$N$1:N343,N343))=1,"00"&amp;COUNTIFS($J$1:J343,$J343,$K$1:K343,$K343,$L$1:L343,$L343,$M$1:M343,M343,$N$1:N343,N343),IF(LEN(COUNTIFS($J$1:J343,$J343,$K$1:K343,$K343,$L$1:L343,$L343,$M$1:M343,M343,$N$1:N343,N343))=2,"0"&amp;COUNTIFS($J$1:J343,$J343,$K$1:K343,$K343,$L$1:L343,$L343,$M$1:M343,M343,$N$1:N343,N343),COUNTIFS($J$1:J343,$J343,$K$1:K343,$K343,$L$1:L343,$L343,$M$1:M343,M343,$N$1:N343,N343)))</f>
        <v>010</v>
      </c>
      <c r="P343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MS-NS-001-23-00010-INV</v>
      </c>
      <c r="Q343" s="59"/>
      <c r="R343" s="34" t="s">
        <v>6146</v>
      </c>
      <c r="S343" s="34" t="s">
        <v>1163</v>
      </c>
      <c r="T343" s="34">
        <f>+IFERROR(_xlfn.XLOOKUP(Table43[[#This Row],[Column1]],#REF!,#REF!),0)</f>
        <v>0</v>
      </c>
      <c r="U343" s="50">
        <f>IFERROR(_xlfn.XLOOKUP(Table43[[#This Row],[Column1]],#REF!,#REF!),0)</f>
        <v>0</v>
      </c>
      <c r="V343" s="39"/>
    </row>
    <row r="344" spans="1:22" x14ac:dyDescent="0.35">
      <c r="A344" s="2" t="s">
        <v>5261</v>
      </c>
      <c r="B344" s="2" t="s">
        <v>1165</v>
      </c>
      <c r="C344" s="2" t="s">
        <v>9</v>
      </c>
      <c r="D344" s="4">
        <v>2800</v>
      </c>
      <c r="E344" s="2" t="s">
        <v>10</v>
      </c>
      <c r="F344" s="2">
        <v>1</v>
      </c>
      <c r="G344" s="2">
        <v>2</v>
      </c>
      <c r="H344" s="2">
        <v>1</v>
      </c>
      <c r="I344" s="22">
        <f>Table43[[#This Row],[Item Cost]]*Table43[[#This Row],[In Stock]]</f>
        <v>2800</v>
      </c>
      <c r="J344" s="12" t="s">
        <v>4941</v>
      </c>
      <c r="K344" s="13" t="s">
        <v>4664</v>
      </c>
      <c r="L344" s="13" t="s">
        <v>4673</v>
      </c>
      <c r="M344" s="13" t="s">
        <v>4733</v>
      </c>
      <c r="N344" s="12" t="s">
        <v>4672</v>
      </c>
      <c r="O344" s="17" t="str">
        <f>IF(LEN(COUNTIFS($J$1:J344,$J344,$K$1:K344,$K344,$L$1:L344,$L344,$M$1:M344,M344,$N$1:N344,N344))=1,"00"&amp;COUNTIFS($J$1:J344,$J344,$K$1:K344,$K344,$L$1:L344,$L344,$M$1:M344,M344,$N$1:N344,N344),IF(LEN(COUNTIFS($J$1:J344,$J344,$K$1:K344,$K344,$L$1:L344,$L344,$M$1:M344,M344,$N$1:N344,N344))=2,"0"&amp;COUNTIFS($J$1:J344,$J344,$K$1:K344,$K344,$L$1:L344,$L344,$M$1:M344,M344,$N$1:N344,N344),COUNTIFS($J$1:J344,$J344,$K$1:K344,$K344,$L$1:L344,$L344,$M$1:M344,M344,$N$1:N344,N344)))</f>
        <v>004</v>
      </c>
      <c r="P34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MS-CS-001-01-00004-INV</v>
      </c>
      <c r="Q344" s="59" t="s">
        <v>7340</v>
      </c>
      <c r="R344" s="34"/>
      <c r="S344" s="34">
        <v>0</v>
      </c>
      <c r="T344" s="34">
        <f>+IFERROR(_xlfn.XLOOKUP(Table43[[#This Row],[Column1]],#REF!,#REF!),0)</f>
        <v>0</v>
      </c>
      <c r="U344" s="50">
        <f>IFERROR(_xlfn.XLOOKUP(Table43[[#This Row],[Column1]],#REF!,#REF!),0)</f>
        <v>0</v>
      </c>
      <c r="V344" s="39"/>
    </row>
    <row r="345" spans="1:22" x14ac:dyDescent="0.35">
      <c r="A345" s="3" t="s">
        <v>5262</v>
      </c>
      <c r="B345" s="3" t="s">
        <v>1167</v>
      </c>
      <c r="C345" s="3" t="s">
        <v>15</v>
      </c>
      <c r="D345" s="5">
        <v>2750</v>
      </c>
      <c r="E345" s="3" t="s">
        <v>10</v>
      </c>
      <c r="F345" s="3">
        <v>1</v>
      </c>
      <c r="G345" s="3">
        <v>2</v>
      </c>
      <c r="H345" s="3">
        <v>2</v>
      </c>
      <c r="I345" s="21">
        <f>Table43[[#This Row],[Item Cost]]*Table43[[#This Row],[In Stock]]</f>
        <v>5500</v>
      </c>
      <c r="J345" s="12" t="s">
        <v>4941</v>
      </c>
      <c r="K345" s="13" t="s">
        <v>4666</v>
      </c>
      <c r="L345" s="13" t="s">
        <v>4673</v>
      </c>
      <c r="M345" s="13" t="s">
        <v>4772</v>
      </c>
      <c r="N345" s="12" t="s">
        <v>4672</v>
      </c>
      <c r="O345" s="17" t="str">
        <f>IF(LEN(COUNTIFS($J$1:J345,$J345,$K$1:K345,$K345,$L$1:L345,$L345,$M$1:M345,M345,$N$1:N345,N345))=1,"00"&amp;COUNTIFS($J$1:J345,$J345,$K$1:K345,$K345,$L$1:L345,$L345,$M$1:M345,M345,$N$1:N345,N345),IF(LEN(COUNTIFS($J$1:J345,$J345,$K$1:K345,$K345,$L$1:L345,$L345,$M$1:M345,M345,$N$1:N345,N345))=2,"0"&amp;COUNTIFS($J$1:J345,$J345,$K$1:K345,$K345,$L$1:L345,$L345,$M$1:M345,M345,$N$1:N345,N345),COUNTIFS($J$1:J345,$J345,$K$1:K345,$K345,$L$1:L345,$L345,$M$1:M345,M345,$N$1:N345,N345)))</f>
        <v>005</v>
      </c>
      <c r="P34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MS-NS-001-06-00005-INV</v>
      </c>
      <c r="Q345" s="59"/>
      <c r="R345" s="34"/>
      <c r="S345" s="34">
        <v>0</v>
      </c>
      <c r="T345" s="34">
        <f>+IFERROR(_xlfn.XLOOKUP(Table43[[#This Row],[Column1]],#REF!,#REF!),0)</f>
        <v>0</v>
      </c>
      <c r="U345" s="50">
        <f>IFERROR(_xlfn.XLOOKUP(Table43[[#This Row],[Column1]],#REF!,#REF!),0)</f>
        <v>0</v>
      </c>
      <c r="V345" s="39"/>
    </row>
    <row r="346" spans="1:22" x14ac:dyDescent="0.35">
      <c r="A346" s="2" t="s">
        <v>5263</v>
      </c>
      <c r="B346" s="2" t="s">
        <v>1169</v>
      </c>
      <c r="C346" s="2" t="s">
        <v>15</v>
      </c>
      <c r="D346" s="4">
        <v>3500</v>
      </c>
      <c r="E346" s="2" t="s">
        <v>10</v>
      </c>
      <c r="F346" s="3">
        <v>1</v>
      </c>
      <c r="G346" s="3">
        <v>2</v>
      </c>
      <c r="H346" s="2">
        <v>1</v>
      </c>
      <c r="I346" s="22">
        <f>Table43[[#This Row],[Item Cost]]*Table43[[#This Row],[In Stock]]</f>
        <v>3500</v>
      </c>
      <c r="J346" s="12" t="s">
        <v>4941</v>
      </c>
      <c r="K346" s="13" t="s">
        <v>4666</v>
      </c>
      <c r="L346" s="13" t="s">
        <v>4673</v>
      </c>
      <c r="M346" s="13" t="s">
        <v>4772</v>
      </c>
      <c r="N346" s="12" t="s">
        <v>4672</v>
      </c>
      <c r="O346" s="17" t="str">
        <f>IF(LEN(COUNTIFS($J$1:J346,$J346,$K$1:K346,$K346,$L$1:L346,$L346,$M$1:M346,M346,$N$1:N346,N346))=1,"00"&amp;COUNTIFS($J$1:J346,$J346,$K$1:K346,$K346,$L$1:L346,$L346,$M$1:M346,M346,$N$1:N346,N346),IF(LEN(COUNTIFS($J$1:J346,$J346,$K$1:K346,$K346,$L$1:L346,$L346,$M$1:M346,M346,$N$1:N346,N346))=2,"0"&amp;COUNTIFS($J$1:J346,$J346,$K$1:K346,$K346,$L$1:L346,$L346,$M$1:M346,M346,$N$1:N346,N346),COUNTIFS($J$1:J346,$J346,$K$1:K346,$K346,$L$1:L346,$L346,$M$1:M346,M346,$N$1:N346,N346)))</f>
        <v>006</v>
      </c>
      <c r="P34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MS-NS-001-06-00006-INV</v>
      </c>
      <c r="Q346" s="59"/>
      <c r="R346" s="34"/>
      <c r="S346" s="34">
        <v>0</v>
      </c>
      <c r="T346" s="34">
        <f>+IFERROR(_xlfn.XLOOKUP(Table43[[#This Row],[Column1]],#REF!,#REF!),0)</f>
        <v>0</v>
      </c>
      <c r="U346" s="50">
        <f>IFERROR(_xlfn.XLOOKUP(Table43[[#This Row],[Column1]],#REF!,#REF!),0)</f>
        <v>0</v>
      </c>
      <c r="V346" s="39"/>
    </row>
    <row r="347" spans="1:22" x14ac:dyDescent="0.35">
      <c r="A347" s="3" t="s">
        <v>5264</v>
      </c>
      <c r="B347" s="3" t="s">
        <v>1171</v>
      </c>
      <c r="C347" s="3" t="s">
        <v>9</v>
      </c>
      <c r="D347" s="3">
        <v>0</v>
      </c>
      <c r="E347" s="3" t="s">
        <v>10</v>
      </c>
      <c r="F347" s="2">
        <v>1</v>
      </c>
      <c r="G347" s="2">
        <v>2</v>
      </c>
      <c r="H347" s="3">
        <v>0</v>
      </c>
      <c r="I347" s="21">
        <f>Table43[[#This Row],[Item Cost]]*Table43[[#This Row],[In Stock]]</f>
        <v>0</v>
      </c>
      <c r="J347" s="12" t="s">
        <v>4941</v>
      </c>
      <c r="K347" s="13" t="s">
        <v>4664</v>
      </c>
      <c r="L347" s="13" t="s">
        <v>4673</v>
      </c>
      <c r="M347" s="13" t="s">
        <v>4770</v>
      </c>
      <c r="N347" s="12" t="s">
        <v>4672</v>
      </c>
      <c r="O347" s="17" t="str">
        <f>IF(LEN(COUNTIFS($J$1:J347,$J347,$K$1:K347,$K347,$L$1:L347,$L347,$M$1:M347,M347,$N$1:N347,N347))=1,"00"&amp;COUNTIFS($J$1:J347,$J347,$K$1:K347,$K347,$L$1:L347,$L347,$M$1:M347,M347,$N$1:N347,N347),IF(LEN(COUNTIFS($J$1:J347,$J347,$K$1:K347,$K347,$L$1:L347,$L347,$M$1:M347,M347,$N$1:N347,N347))=2,"0"&amp;COUNTIFS($J$1:J347,$J347,$K$1:K347,$K347,$L$1:L347,$L347,$M$1:M347,M347,$N$1:N347,N347),COUNTIFS($J$1:J347,$J347,$K$1:K347,$K347,$L$1:L347,$L347,$M$1:M347,M347,$N$1:N347,N347)))</f>
        <v>001</v>
      </c>
      <c r="P34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MS-CS-001-04-00001-INV</v>
      </c>
      <c r="Q347" s="59"/>
      <c r="R347" s="34" t="s">
        <v>6147</v>
      </c>
      <c r="S347" s="34" t="s">
        <v>1171</v>
      </c>
      <c r="T347" s="34">
        <f>+IFERROR(_xlfn.XLOOKUP(Table43[[#This Row],[Column1]],#REF!,#REF!),0)</f>
        <v>0</v>
      </c>
      <c r="U347" s="50">
        <f>IFERROR(_xlfn.XLOOKUP(Table43[[#This Row],[Column1]],#REF!,#REF!),0)</f>
        <v>0</v>
      </c>
      <c r="V347" s="39"/>
    </row>
    <row r="348" spans="1:22" x14ac:dyDescent="0.35">
      <c r="A348" s="2" t="s">
        <v>5265</v>
      </c>
      <c r="B348" s="2" t="s">
        <v>1173</v>
      </c>
      <c r="C348" s="2" t="s">
        <v>9</v>
      </c>
      <c r="D348" s="2">
        <v>0</v>
      </c>
      <c r="E348" s="2" t="s">
        <v>10</v>
      </c>
      <c r="F348" s="2">
        <v>1</v>
      </c>
      <c r="G348" s="2">
        <v>2</v>
      </c>
      <c r="H348" s="2">
        <v>0</v>
      </c>
      <c r="I348" s="22">
        <f>Table43[[#This Row],[Item Cost]]*Table43[[#This Row],[In Stock]]</f>
        <v>0</v>
      </c>
      <c r="J348" s="12" t="s">
        <v>4941</v>
      </c>
      <c r="K348" s="13" t="s">
        <v>4664</v>
      </c>
      <c r="L348" s="13" t="s">
        <v>4673</v>
      </c>
      <c r="M348" s="13" t="s">
        <v>4734</v>
      </c>
      <c r="N348" s="12" t="s">
        <v>4672</v>
      </c>
      <c r="O348" s="17" t="str">
        <f>IF(LEN(COUNTIFS($J$1:J348,$J348,$K$1:K348,$K348,$L$1:L348,$L348,$M$1:M348,M348,$N$1:N348,N348))=1,"00"&amp;COUNTIFS($J$1:J348,$J348,$K$1:K348,$K348,$L$1:L348,$L348,$M$1:M348,M348,$N$1:N348,N348),IF(LEN(COUNTIFS($J$1:J348,$J348,$K$1:K348,$K348,$L$1:L348,$L348,$M$1:M348,M348,$N$1:N348,N348))=2,"0"&amp;COUNTIFS($J$1:J348,$J348,$K$1:K348,$K348,$L$1:L348,$L348,$M$1:M348,M348,$N$1:N348,N348),COUNTIFS($J$1:J348,$J348,$K$1:K348,$K348,$L$1:L348,$L348,$M$1:M348,M348,$N$1:N348,N348)))</f>
        <v>002</v>
      </c>
      <c r="P34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MS-CS-001-02-00002-INV</v>
      </c>
      <c r="Q348" s="59"/>
      <c r="R348" s="34" t="s">
        <v>6148</v>
      </c>
      <c r="S348" s="34" t="s">
        <v>1173</v>
      </c>
      <c r="T348" s="34">
        <f>+IFERROR(_xlfn.XLOOKUP(Table43[[#This Row],[Column1]],#REF!,#REF!),0)</f>
        <v>0</v>
      </c>
      <c r="U348" s="50">
        <f>IFERROR(_xlfn.XLOOKUP(Table43[[#This Row],[Column1]],#REF!,#REF!),0)</f>
        <v>0</v>
      </c>
      <c r="V348" s="39"/>
    </row>
    <row r="349" spans="1:22" x14ac:dyDescent="0.35">
      <c r="A349" s="3" t="s">
        <v>5266</v>
      </c>
      <c r="B349" s="3" t="s">
        <v>4810</v>
      </c>
      <c r="C349" s="2" t="s">
        <v>9</v>
      </c>
      <c r="D349" s="2">
        <v>0</v>
      </c>
      <c r="E349" s="2" t="s">
        <v>10</v>
      </c>
      <c r="F349" s="2">
        <v>1</v>
      </c>
      <c r="G349" s="2">
        <v>2</v>
      </c>
      <c r="H349" s="2">
        <v>0</v>
      </c>
      <c r="I349" s="22">
        <f>Table43[[#This Row],[Item Cost]]*Table43[[#This Row],[In Stock]]</f>
        <v>0</v>
      </c>
      <c r="J349" s="12" t="s">
        <v>4941</v>
      </c>
      <c r="K349" s="13" t="s">
        <v>4664</v>
      </c>
      <c r="L349" s="13" t="s">
        <v>4673</v>
      </c>
      <c r="M349" s="13" t="s">
        <v>4828</v>
      </c>
      <c r="N349" s="12" t="s">
        <v>4672</v>
      </c>
      <c r="O349" s="17" t="str">
        <f>IF(LEN(COUNTIFS($J$1:J349,$J349,$K$1:K349,$K349,$L$1:L349,$L349,$M$1:M349,M349,$N$1:N349,N349))=1,"00"&amp;COUNTIFS($J$1:J349,$J349,$K$1:K349,$K349,$L$1:L349,$L349,$M$1:M349,M349,$N$1:N349,N349),IF(LEN(COUNTIFS($J$1:J349,$J349,$K$1:K349,$K349,$L$1:L349,$L349,$M$1:M349,M349,$N$1:N349,N349))=2,"0"&amp;COUNTIFS($J$1:J349,$J349,$K$1:K349,$K349,$L$1:L349,$L349,$M$1:M349,M349,$N$1:N349,N349),COUNTIFS($J$1:J349,$J349,$K$1:K349,$K349,$L$1:L349,$L349,$M$1:M349,M349,$N$1:N349,N349)))</f>
        <v>002</v>
      </c>
      <c r="P34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MS-CS-001-13-00002-INV</v>
      </c>
      <c r="Q349" s="59"/>
      <c r="R349" s="34" t="s">
        <v>6149</v>
      </c>
      <c r="S349" s="34" t="s">
        <v>4810</v>
      </c>
      <c r="T349" s="34">
        <f>+IFERROR(_xlfn.XLOOKUP(Table43[[#This Row],[Column1]],#REF!,#REF!),0)</f>
        <v>0</v>
      </c>
      <c r="U349" s="50">
        <f>IFERROR(_xlfn.XLOOKUP(Table43[[#This Row],[Column1]],#REF!,#REF!),0)</f>
        <v>0</v>
      </c>
      <c r="V349" s="39"/>
    </row>
    <row r="350" spans="1:22" x14ac:dyDescent="0.35">
      <c r="A350" s="2" t="s">
        <v>5267</v>
      </c>
      <c r="B350" s="3" t="s">
        <v>5189</v>
      </c>
      <c r="C350" s="2" t="s">
        <v>15</v>
      </c>
      <c r="D350" s="2">
        <v>0</v>
      </c>
      <c r="E350" s="2" t="s">
        <v>10</v>
      </c>
      <c r="F350" s="2">
        <v>2</v>
      </c>
      <c r="G350" s="2">
        <v>5</v>
      </c>
      <c r="H350" s="2"/>
      <c r="I350" s="22">
        <f>Table43[[#This Row],[Item Cost]]*Table43[[#This Row],[In Stock]]</f>
        <v>0</v>
      </c>
      <c r="J350" s="12" t="s">
        <v>4941</v>
      </c>
      <c r="K350" s="13" t="s">
        <v>4666</v>
      </c>
      <c r="L350" s="13" t="s">
        <v>4673</v>
      </c>
      <c r="M350" s="13" t="s">
        <v>4837</v>
      </c>
      <c r="N350" s="12" t="s">
        <v>4672</v>
      </c>
      <c r="O350" s="17" t="str">
        <f>IF(LEN(COUNTIFS($J$1:J350,$J350,$K$1:K350,$K350,$L$1:L350,$L350,$M$1:M350,M350,$N$1:N350,N350))=1,"00"&amp;COUNTIFS($J$1:J350,$J350,$K$1:K350,$K350,$L$1:L350,$L350,$M$1:M350,M350,$N$1:N350,N350),IF(LEN(COUNTIFS($J$1:J350,$J350,$K$1:K350,$K350,$L$1:L350,$L350,$M$1:M350,M350,$N$1:N350,N350))=2,"0"&amp;COUNTIFS($J$1:J350,$J350,$K$1:K350,$K350,$L$1:L350,$L350,$M$1:M350,M350,$N$1:N350,N350),COUNTIFS($J$1:J350,$J350,$K$1:K350,$K350,$L$1:L350,$L350,$M$1:M350,M350,$N$1:N350,N350)))</f>
        <v>027</v>
      </c>
      <c r="P35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MS-NS-001-26-00027-INV</v>
      </c>
      <c r="Q350" s="59"/>
      <c r="R350" s="34"/>
      <c r="S350" s="34">
        <v>0</v>
      </c>
      <c r="T350" s="34">
        <f>+IFERROR(_xlfn.XLOOKUP(Table43[[#This Row],[Column1]],#REF!,#REF!),0)</f>
        <v>0</v>
      </c>
      <c r="U350" s="50">
        <f>IFERROR(_xlfn.XLOOKUP(Table43[[#This Row],[Column1]],#REF!,#REF!),0)</f>
        <v>0</v>
      </c>
      <c r="V350" s="39"/>
    </row>
    <row r="351" spans="1:22" x14ac:dyDescent="0.35">
      <c r="A351" s="3" t="s">
        <v>5268</v>
      </c>
      <c r="B351" s="3" t="s">
        <v>5190</v>
      </c>
      <c r="C351" s="2" t="s">
        <v>15</v>
      </c>
      <c r="D351" s="2">
        <v>0</v>
      </c>
      <c r="E351" s="2" t="s">
        <v>10</v>
      </c>
      <c r="F351" s="2">
        <v>2</v>
      </c>
      <c r="G351" s="2">
        <v>5</v>
      </c>
      <c r="H351" s="2"/>
      <c r="I351" s="22">
        <f>Table43[[#This Row],[Item Cost]]*Table43[[#This Row],[In Stock]]</f>
        <v>0</v>
      </c>
      <c r="J351" s="12" t="s">
        <v>4941</v>
      </c>
      <c r="K351" s="13" t="s">
        <v>4666</v>
      </c>
      <c r="L351" s="13" t="s">
        <v>4673</v>
      </c>
      <c r="M351" s="13" t="s">
        <v>4770</v>
      </c>
      <c r="N351" s="12" t="s">
        <v>4672</v>
      </c>
      <c r="O351" s="17" t="str">
        <f>IF(LEN(COUNTIFS($J$1:J351,$J351,$K$1:K351,$K351,$L$1:L351,$L351,$M$1:M351,M351,$N$1:N351,N351))=1,"00"&amp;COUNTIFS($J$1:J351,$J351,$K$1:K351,$K351,$L$1:L351,$L351,$M$1:M351,M351,$N$1:N351,N351),IF(LEN(COUNTIFS($J$1:J351,$J351,$K$1:K351,$K351,$L$1:L351,$L351,$M$1:M351,M351,$N$1:N351,N351))=2,"0"&amp;COUNTIFS($J$1:J351,$J351,$K$1:K351,$K351,$L$1:L351,$L351,$M$1:M351,M351,$N$1:N351,N351),COUNTIFS($J$1:J351,$J351,$K$1:K351,$K351,$L$1:L351,$L351,$M$1:M351,M351,$N$1:N351,N351)))</f>
        <v>003</v>
      </c>
      <c r="P35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MS-NS-001-04-00003-INV</v>
      </c>
      <c r="Q351" s="59"/>
      <c r="R351" s="34"/>
      <c r="S351" s="34">
        <v>0</v>
      </c>
      <c r="T351" s="34">
        <f>+IFERROR(_xlfn.XLOOKUP(Table43[[#This Row],[Column1]],#REF!,#REF!),0)</f>
        <v>0</v>
      </c>
      <c r="U351" s="50">
        <f>IFERROR(_xlfn.XLOOKUP(Table43[[#This Row],[Column1]],#REF!,#REF!),0)</f>
        <v>0</v>
      </c>
      <c r="V351" s="39"/>
    </row>
    <row r="352" spans="1:22" x14ac:dyDescent="0.35">
      <c r="A352" s="2" t="s">
        <v>5269</v>
      </c>
      <c r="B352" s="3" t="s">
        <v>5191</v>
      </c>
      <c r="C352" s="2" t="s">
        <v>15</v>
      </c>
      <c r="D352" s="2">
        <v>0</v>
      </c>
      <c r="E352" s="2" t="s">
        <v>10</v>
      </c>
      <c r="F352" s="2">
        <v>2</v>
      </c>
      <c r="G352" s="2">
        <v>5</v>
      </c>
      <c r="H352" s="2"/>
      <c r="I352" s="22">
        <f>Table43[[#This Row],[Item Cost]]*Table43[[#This Row],[In Stock]]</f>
        <v>0</v>
      </c>
      <c r="J352" s="12" t="s">
        <v>4941</v>
      </c>
      <c r="K352" s="13" t="s">
        <v>4666</v>
      </c>
      <c r="L352" s="13" t="s">
        <v>4673</v>
      </c>
      <c r="M352" s="13" t="s">
        <v>4770</v>
      </c>
      <c r="N352" s="12" t="s">
        <v>4672</v>
      </c>
      <c r="O352" s="17" t="str">
        <f>IF(LEN(COUNTIFS($J$1:J352,$J352,$K$1:K352,$K352,$L$1:L352,$L352,$M$1:M352,M352,$N$1:N352,N352))=1,"00"&amp;COUNTIFS($J$1:J352,$J352,$K$1:K352,$K352,$L$1:L352,$L352,$M$1:M352,M352,$N$1:N352,N352),IF(LEN(COUNTIFS($J$1:J352,$J352,$K$1:K352,$K352,$L$1:L352,$L352,$M$1:M352,M352,$N$1:N352,N352))=2,"0"&amp;COUNTIFS($J$1:J352,$J352,$K$1:K352,$K352,$L$1:L352,$L352,$M$1:M352,M352,$N$1:N352,N352),COUNTIFS($J$1:J352,$J352,$K$1:K352,$K352,$L$1:L352,$L352,$M$1:M352,M352,$N$1:N352,N352)))</f>
        <v>004</v>
      </c>
      <c r="P35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MS-NS-001-04-00004-INV</v>
      </c>
      <c r="Q352" s="59"/>
      <c r="R352" s="34"/>
      <c r="S352" s="34">
        <v>0</v>
      </c>
      <c r="T352" s="34">
        <f>+IFERROR(_xlfn.XLOOKUP(Table43[[#This Row],[Column1]],#REF!,#REF!),0)</f>
        <v>0</v>
      </c>
      <c r="U352" s="50">
        <f>IFERROR(_xlfn.XLOOKUP(Table43[[#This Row],[Column1]],#REF!,#REF!),0)</f>
        <v>0</v>
      </c>
      <c r="V352" s="39"/>
    </row>
    <row r="353" spans="1:22" x14ac:dyDescent="0.35">
      <c r="A353" s="3" t="s">
        <v>1174</v>
      </c>
      <c r="B353" s="3" t="s">
        <v>1175</v>
      </c>
      <c r="C353" s="3" t="s">
        <v>15</v>
      </c>
      <c r="D353" s="5">
        <v>2344.2979999999998</v>
      </c>
      <c r="E353" s="3" t="s">
        <v>10</v>
      </c>
      <c r="F353" s="3">
        <v>0</v>
      </c>
      <c r="G353" s="3">
        <v>4</v>
      </c>
      <c r="H353" s="3">
        <v>4</v>
      </c>
      <c r="I353" s="21">
        <f>Table43[[#This Row],[Item Cost]]*Table43[[#This Row],[In Stock]]</f>
        <v>9377.1919999999991</v>
      </c>
      <c r="J353" s="12" t="s">
        <v>4941</v>
      </c>
      <c r="K353" s="13" t="s">
        <v>4666</v>
      </c>
      <c r="L353" s="13" t="s">
        <v>4755</v>
      </c>
      <c r="M353" s="13" t="s">
        <v>4774</v>
      </c>
      <c r="N353" s="12" t="s">
        <v>4672</v>
      </c>
      <c r="O353" s="17" t="str">
        <f>IF(LEN(COUNTIFS($J$1:J353,$J353,$K$1:K353,$K353,$L$1:L353,$L353,$M$1:M353,M353,$N$1:N353,N353))=1,"00"&amp;COUNTIFS($J$1:J353,$J353,$K$1:K353,$K353,$L$1:L353,$L353,$M$1:M353,M353,$N$1:N353,N353),IF(LEN(COUNTIFS($J$1:J353,$J353,$K$1:K353,$K353,$L$1:L353,$L353,$M$1:M353,M353,$N$1:N353,N353))=2,"0"&amp;COUNTIFS($J$1:J353,$J353,$K$1:K353,$K353,$L$1:L353,$L353,$M$1:M353,M353,$N$1:N353,N353),COUNTIFS($J$1:J353,$J353,$K$1:K353,$K353,$L$1:L353,$L353,$M$1:M353,M353,$N$1:N353,N353)))</f>
        <v>001</v>
      </c>
      <c r="P35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MS-NS-011-08-00001-INV</v>
      </c>
      <c r="Q353" s="59"/>
      <c r="R353" s="34" t="s">
        <v>6150</v>
      </c>
      <c r="S353" s="34" t="s">
        <v>1175</v>
      </c>
      <c r="T353" s="34">
        <f>+IFERROR(_xlfn.XLOOKUP(Table43[[#This Row],[Column1]],#REF!,#REF!),0)</f>
        <v>0</v>
      </c>
      <c r="U353" s="50">
        <f>IFERROR(_xlfn.XLOOKUP(Table43[[#This Row],[Column1]],#REF!,#REF!),0)</f>
        <v>0</v>
      </c>
      <c r="V353" s="39"/>
    </row>
    <row r="354" spans="1:22" x14ac:dyDescent="0.35">
      <c r="A354" s="2" t="s">
        <v>1176</v>
      </c>
      <c r="B354" s="2" t="s">
        <v>1177</v>
      </c>
      <c r="C354" s="2" t="s">
        <v>15</v>
      </c>
      <c r="D354" s="4">
        <v>2122.875</v>
      </c>
      <c r="E354" s="2" t="s">
        <v>10</v>
      </c>
      <c r="F354" s="3">
        <v>0</v>
      </c>
      <c r="G354" s="3">
        <v>2</v>
      </c>
      <c r="H354" s="2">
        <v>2</v>
      </c>
      <c r="I354" s="22">
        <f>Table43[[#This Row],[Item Cost]]*Table43[[#This Row],[In Stock]]</f>
        <v>4245.75</v>
      </c>
      <c r="J354" s="12" t="s">
        <v>4941</v>
      </c>
      <c r="K354" s="13" t="s">
        <v>4666</v>
      </c>
      <c r="L354" s="13" t="s">
        <v>4755</v>
      </c>
      <c r="M354" s="13" t="s">
        <v>4774</v>
      </c>
      <c r="N354" s="12" t="s">
        <v>4672</v>
      </c>
      <c r="O354" s="17" t="str">
        <f>IF(LEN(COUNTIFS($J$1:J354,$J354,$K$1:K354,$K354,$L$1:L354,$L354,$M$1:M354,M354,$N$1:N354,N354))=1,"00"&amp;COUNTIFS($J$1:J354,$J354,$K$1:K354,$K354,$L$1:L354,$L354,$M$1:M354,M354,$N$1:N354,N354),IF(LEN(COUNTIFS($J$1:J354,$J354,$K$1:K354,$K354,$L$1:L354,$L354,$M$1:M354,M354,$N$1:N354,N354))=2,"0"&amp;COUNTIFS($J$1:J354,$J354,$K$1:K354,$K354,$L$1:L354,$L354,$M$1:M354,M354,$N$1:N354,N354),COUNTIFS($J$1:J354,$J354,$K$1:K354,$K354,$L$1:L354,$L354,$M$1:M354,M354,$N$1:N354,N354)))</f>
        <v>002</v>
      </c>
      <c r="P35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MS-NS-011-08-00002-INV</v>
      </c>
      <c r="Q354" s="59"/>
      <c r="R354" s="34" t="s">
        <v>6151</v>
      </c>
      <c r="S354" s="34" t="s">
        <v>1177</v>
      </c>
      <c r="T354" s="34">
        <f>+IFERROR(_xlfn.XLOOKUP(Table43[[#This Row],[Column1]],#REF!,#REF!),0)</f>
        <v>0</v>
      </c>
      <c r="U354" s="50">
        <f>IFERROR(_xlfn.XLOOKUP(Table43[[#This Row],[Column1]],#REF!,#REF!),0)</f>
        <v>0</v>
      </c>
      <c r="V354" s="39"/>
    </row>
    <row r="355" spans="1:22" x14ac:dyDescent="0.35">
      <c r="A355" s="3" t="s">
        <v>1178</v>
      </c>
      <c r="B355" s="3" t="s">
        <v>1179</v>
      </c>
      <c r="C355" s="3" t="s">
        <v>15</v>
      </c>
      <c r="D355" s="5">
        <v>1439.1479999999999</v>
      </c>
      <c r="E355" s="3" t="s">
        <v>10</v>
      </c>
      <c r="F355" s="3">
        <v>0</v>
      </c>
      <c r="G355" s="3">
        <v>2</v>
      </c>
      <c r="H355" s="3">
        <v>4</v>
      </c>
      <c r="I355" s="21">
        <f>Table43[[#This Row],[Item Cost]]*Table43[[#This Row],[In Stock]]</f>
        <v>5756.5919999999996</v>
      </c>
      <c r="J355" s="12" t="s">
        <v>4941</v>
      </c>
      <c r="K355" s="13" t="s">
        <v>4666</v>
      </c>
      <c r="L355" s="13" t="s">
        <v>4755</v>
      </c>
      <c r="M355" s="13" t="s">
        <v>4770</v>
      </c>
      <c r="N355" s="12" t="s">
        <v>4672</v>
      </c>
      <c r="O355" s="17" t="str">
        <f>IF(LEN(COUNTIFS($J$1:J355,$J355,$K$1:K355,$K355,$L$1:L355,$L355,$M$1:M355,M355,$N$1:N355,N355))=1,"00"&amp;COUNTIFS($J$1:J355,$J355,$K$1:K355,$K355,$L$1:L355,$L355,$M$1:M355,M355,$N$1:N355,N355),IF(LEN(COUNTIFS($J$1:J355,$J355,$K$1:K355,$K355,$L$1:L355,$L355,$M$1:M355,M355,$N$1:N355,N355))=2,"0"&amp;COUNTIFS($J$1:J355,$J355,$K$1:K355,$K355,$L$1:L355,$L355,$M$1:M355,M355,$N$1:N355,N355),COUNTIFS($J$1:J355,$J355,$K$1:K355,$K355,$L$1:L355,$L355,$M$1:M355,M355,$N$1:N355,N355)))</f>
        <v>001</v>
      </c>
      <c r="P35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MS-NS-011-04-00001-INV</v>
      </c>
      <c r="Q355" s="59"/>
      <c r="R355" s="34" t="s">
        <v>6152</v>
      </c>
      <c r="S355" s="34" t="s">
        <v>1179</v>
      </c>
      <c r="T355" s="34">
        <f>+IFERROR(_xlfn.XLOOKUP(Table43[[#This Row],[Column1]],#REF!,#REF!),0)</f>
        <v>0</v>
      </c>
      <c r="U355" s="50">
        <f>IFERROR(_xlfn.XLOOKUP(Table43[[#This Row],[Column1]],#REF!,#REF!),0)</f>
        <v>0</v>
      </c>
      <c r="V355" s="39"/>
    </row>
    <row r="356" spans="1:22" x14ac:dyDescent="0.35">
      <c r="A356" s="3" t="s">
        <v>1180</v>
      </c>
      <c r="B356" s="2" t="s">
        <v>1181</v>
      </c>
      <c r="C356" s="2" t="s">
        <v>15</v>
      </c>
      <c r="D356" s="2">
        <v>149.77000000000001</v>
      </c>
      <c r="E356" s="2" t="s">
        <v>10</v>
      </c>
      <c r="F356" s="3">
        <v>0</v>
      </c>
      <c r="G356" s="3">
        <v>2</v>
      </c>
      <c r="H356" s="2">
        <v>2</v>
      </c>
      <c r="I356" s="22">
        <f>Table43[[#This Row],[Item Cost]]*Table43[[#This Row],[In Stock]]</f>
        <v>299.54000000000002</v>
      </c>
      <c r="J356" s="12" t="s">
        <v>4941</v>
      </c>
      <c r="K356" s="13" t="s">
        <v>4666</v>
      </c>
      <c r="L356" s="13" t="s">
        <v>4755</v>
      </c>
      <c r="M356" s="13" t="s">
        <v>4774</v>
      </c>
      <c r="N356" s="12" t="s">
        <v>4672</v>
      </c>
      <c r="O356" s="17" t="str">
        <f>IF(LEN(COUNTIFS($J$1:J356,$J356,$K$1:K356,$K356,$L$1:L356,$L356,$M$1:M356,M356,$N$1:N356,N356))=1,"00"&amp;COUNTIFS($J$1:J356,$J356,$K$1:K356,$K356,$L$1:L356,$L356,$M$1:M356,M356,$N$1:N356,N356),IF(LEN(COUNTIFS($J$1:J356,$J356,$K$1:K356,$K356,$L$1:L356,$L356,$M$1:M356,M356,$N$1:N356,N356))=2,"0"&amp;COUNTIFS($J$1:J356,$J356,$K$1:K356,$K356,$L$1:L356,$L356,$M$1:M356,M356,$N$1:N356,N356),COUNTIFS($J$1:J356,$J356,$K$1:K356,$K356,$L$1:L356,$L356,$M$1:M356,M356,$N$1:N356,N356)))</f>
        <v>003</v>
      </c>
      <c r="P35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MS-NS-011-08-00003-INV</v>
      </c>
      <c r="Q356" s="59"/>
      <c r="R356" s="34" t="s">
        <v>6153</v>
      </c>
      <c r="S356" s="34" t="s">
        <v>1181</v>
      </c>
      <c r="T356" s="34">
        <f>+IFERROR(_xlfn.XLOOKUP(Table43[[#This Row],[Column1]],#REF!,#REF!),0)</f>
        <v>0</v>
      </c>
      <c r="U356" s="50">
        <f>IFERROR(_xlfn.XLOOKUP(Table43[[#This Row],[Column1]],#REF!,#REF!),0)</f>
        <v>0</v>
      </c>
      <c r="V356" s="39"/>
    </row>
    <row r="357" spans="1:22" x14ac:dyDescent="0.35">
      <c r="A357" s="2" t="s">
        <v>1182</v>
      </c>
      <c r="B357" s="3" t="s">
        <v>1183</v>
      </c>
      <c r="C357" s="3" t="s">
        <v>15</v>
      </c>
      <c r="D357" s="3">
        <v>149.768</v>
      </c>
      <c r="E357" s="3" t="s">
        <v>10</v>
      </c>
      <c r="F357" s="3">
        <v>0</v>
      </c>
      <c r="G357" s="3">
        <v>2</v>
      </c>
      <c r="H357" s="3">
        <v>10</v>
      </c>
      <c r="I357" s="21">
        <f>Table43[[#This Row],[Item Cost]]*Table43[[#This Row],[In Stock]]</f>
        <v>1497.68</v>
      </c>
      <c r="J357" s="12" t="s">
        <v>4941</v>
      </c>
      <c r="K357" s="13" t="s">
        <v>4666</v>
      </c>
      <c r="L357" s="13" t="s">
        <v>4755</v>
      </c>
      <c r="M357" s="13" t="s">
        <v>4834</v>
      </c>
      <c r="N357" s="12" t="s">
        <v>4672</v>
      </c>
      <c r="O357" s="17" t="str">
        <f>IF(LEN(COUNTIFS($J$1:J357,$J357,$K$1:K357,$K357,$L$1:L357,$L357,$M$1:M357,M357,$N$1:N357,N357))=1,"00"&amp;COUNTIFS($J$1:J357,$J357,$K$1:K357,$K357,$L$1:L357,$L357,$M$1:M357,M357,$N$1:N357,N357),IF(LEN(COUNTIFS($J$1:J357,$J357,$K$1:K357,$K357,$L$1:L357,$L357,$M$1:M357,M357,$N$1:N357,N357))=2,"0"&amp;COUNTIFS($J$1:J357,$J357,$K$1:K357,$K357,$L$1:L357,$L357,$M$1:M357,M357,$N$1:N357,N357),COUNTIFS($J$1:J357,$J357,$K$1:K357,$K357,$L$1:L357,$L357,$M$1:M357,M357,$N$1:N357,N357)))</f>
        <v>001</v>
      </c>
      <c r="P35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MS-NS-011-17-00001-INV</v>
      </c>
      <c r="Q357" s="59" t="s">
        <v>7347</v>
      </c>
      <c r="R357" s="34" t="s">
        <v>6154</v>
      </c>
      <c r="S357" s="34" t="s">
        <v>1183</v>
      </c>
      <c r="T357" s="34">
        <f>+IFERROR(_xlfn.XLOOKUP(Table43[[#This Row],[Column1]],#REF!,#REF!),0)</f>
        <v>0</v>
      </c>
      <c r="U357" s="50">
        <f>IFERROR(_xlfn.XLOOKUP(Table43[[#This Row],[Column1]],#REF!,#REF!),0)</f>
        <v>0</v>
      </c>
      <c r="V357" s="39"/>
    </row>
    <row r="358" spans="1:22" x14ac:dyDescent="0.35">
      <c r="A358" s="3" t="s">
        <v>1184</v>
      </c>
      <c r="B358" s="2" t="s">
        <v>1185</v>
      </c>
      <c r="C358" s="2" t="s">
        <v>15</v>
      </c>
      <c r="D358" s="4">
        <v>1751.722</v>
      </c>
      <c r="E358" s="2" t="s">
        <v>10</v>
      </c>
      <c r="F358" s="3">
        <v>0</v>
      </c>
      <c r="G358" s="3">
        <v>2</v>
      </c>
      <c r="H358" s="2">
        <v>5</v>
      </c>
      <c r="I358" s="22">
        <f>Table43[[#This Row],[Item Cost]]*Table43[[#This Row],[In Stock]]</f>
        <v>8758.61</v>
      </c>
      <c r="J358" s="12" t="s">
        <v>4941</v>
      </c>
      <c r="K358" s="13" t="s">
        <v>4666</v>
      </c>
      <c r="L358" s="13" t="s">
        <v>4755</v>
      </c>
      <c r="M358" s="13" t="s">
        <v>4774</v>
      </c>
      <c r="N358" s="12" t="s">
        <v>4672</v>
      </c>
      <c r="O358" s="17" t="str">
        <f>IF(LEN(COUNTIFS($J$1:J358,$J358,$K$1:K358,$K358,$L$1:L358,$L358,$M$1:M358,M358,$N$1:N358,N358))=1,"00"&amp;COUNTIFS($J$1:J358,$J358,$K$1:K358,$K358,$L$1:L358,$L358,$M$1:M358,M358,$N$1:N358,N358),IF(LEN(COUNTIFS($J$1:J358,$J358,$K$1:K358,$K358,$L$1:L358,$L358,$M$1:M358,M358,$N$1:N358,N358))=2,"0"&amp;COUNTIFS($J$1:J358,$J358,$K$1:K358,$K358,$L$1:L358,$L358,$M$1:M358,M358,$N$1:N358,N358),COUNTIFS($J$1:J358,$J358,$K$1:K358,$K358,$L$1:L358,$L358,$M$1:M358,M358,$N$1:N358,N358)))</f>
        <v>004</v>
      </c>
      <c r="P35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MS-NS-011-08-00004-INV</v>
      </c>
      <c r="Q358" s="59" t="s">
        <v>7348</v>
      </c>
      <c r="R358" s="34" t="s">
        <v>6155</v>
      </c>
      <c r="S358" s="34" t="s">
        <v>1185</v>
      </c>
      <c r="T358" s="34">
        <f>+IFERROR(_xlfn.XLOOKUP(Table43[[#This Row],[Column1]],#REF!,#REF!),0)</f>
        <v>0</v>
      </c>
      <c r="U358" s="50">
        <f>IFERROR(_xlfn.XLOOKUP(Table43[[#This Row],[Column1]],#REF!,#REF!),0)</f>
        <v>0</v>
      </c>
      <c r="V358" s="39"/>
    </row>
    <row r="359" spans="1:22" x14ac:dyDescent="0.35">
      <c r="A359" s="3" t="s">
        <v>1186</v>
      </c>
      <c r="B359" s="3" t="s">
        <v>1187</v>
      </c>
      <c r="C359" s="3" t="s">
        <v>15</v>
      </c>
      <c r="D359" s="3">
        <v>149.768</v>
      </c>
      <c r="E359" s="3" t="s">
        <v>10</v>
      </c>
      <c r="F359" s="3">
        <v>0</v>
      </c>
      <c r="G359" s="3">
        <v>2</v>
      </c>
      <c r="H359" s="3">
        <v>8</v>
      </c>
      <c r="I359" s="21">
        <f>Table43[[#This Row],[Item Cost]]*Table43[[#This Row],[In Stock]]</f>
        <v>1198.144</v>
      </c>
      <c r="J359" s="12" t="s">
        <v>4941</v>
      </c>
      <c r="K359" s="13" t="s">
        <v>4666</v>
      </c>
      <c r="L359" s="13" t="s">
        <v>4755</v>
      </c>
      <c r="M359" s="13" t="s">
        <v>4834</v>
      </c>
      <c r="N359" s="12" t="s">
        <v>4672</v>
      </c>
      <c r="O359" s="17" t="str">
        <f>IF(LEN(COUNTIFS($J$1:J359,$J359,$K$1:K359,$K359,$L$1:L359,$L359,$M$1:M359,M359,$N$1:N359,N359))=1,"00"&amp;COUNTIFS($J$1:J359,$J359,$K$1:K359,$K359,$L$1:L359,$L359,$M$1:M359,M359,$N$1:N359,N359),IF(LEN(COUNTIFS($J$1:J359,$J359,$K$1:K359,$K359,$L$1:L359,$L359,$M$1:M359,M359,$N$1:N359,N359))=2,"0"&amp;COUNTIFS($J$1:J359,$J359,$K$1:K359,$K359,$L$1:L359,$L359,$M$1:M359,M359,$N$1:N359,N359),COUNTIFS($J$1:J359,$J359,$K$1:K359,$K359,$L$1:L359,$L359,$M$1:M359,M359,$N$1:N359,N359)))</f>
        <v>002</v>
      </c>
      <c r="P35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MS-NS-011-17-00002-INV</v>
      </c>
      <c r="Q359" s="59" t="s">
        <v>7349</v>
      </c>
      <c r="R359" s="34" t="s">
        <v>6156</v>
      </c>
      <c r="S359" s="34" t="s">
        <v>1187</v>
      </c>
      <c r="T359" s="34">
        <f>+IFERROR(_xlfn.XLOOKUP(Table43[[#This Row],[Column1]],#REF!,#REF!),0)</f>
        <v>0</v>
      </c>
      <c r="U359" s="50">
        <f>IFERROR(_xlfn.XLOOKUP(Table43[[#This Row],[Column1]],#REF!,#REF!),0)</f>
        <v>0</v>
      </c>
      <c r="V359" s="39"/>
    </row>
    <row r="360" spans="1:22" x14ac:dyDescent="0.35">
      <c r="A360" s="2" t="s">
        <v>1188</v>
      </c>
      <c r="B360" s="2" t="s">
        <v>1189</v>
      </c>
      <c r="C360" s="2" t="s">
        <v>15</v>
      </c>
      <c r="D360" s="2">
        <v>8.5920000000000005</v>
      </c>
      <c r="E360" s="2" t="s">
        <v>10</v>
      </c>
      <c r="F360" s="3">
        <v>0</v>
      </c>
      <c r="G360" s="3">
        <v>2</v>
      </c>
      <c r="H360" s="2">
        <v>5</v>
      </c>
      <c r="I360" s="22">
        <f>Table43[[#This Row],[Item Cost]]*Table43[[#This Row],[In Stock]]</f>
        <v>42.96</v>
      </c>
      <c r="J360" s="12" t="s">
        <v>4941</v>
      </c>
      <c r="K360" s="13" t="s">
        <v>4666</v>
      </c>
      <c r="L360" s="13" t="s">
        <v>4755</v>
      </c>
      <c r="M360" s="13" t="s">
        <v>4834</v>
      </c>
      <c r="N360" s="12" t="s">
        <v>4672</v>
      </c>
      <c r="O360" s="17" t="str">
        <f>IF(LEN(COUNTIFS($J$1:J360,$J360,$K$1:K360,$K360,$L$1:L360,$L360,$M$1:M360,M360,$N$1:N360,N360))=1,"00"&amp;COUNTIFS($J$1:J360,$J360,$K$1:K360,$K360,$L$1:L360,$L360,$M$1:M360,M360,$N$1:N360,N360),IF(LEN(COUNTIFS($J$1:J360,$J360,$K$1:K360,$K360,$L$1:L360,$L360,$M$1:M360,M360,$N$1:N360,N360))=2,"0"&amp;COUNTIFS($J$1:J360,$J360,$K$1:K360,$K360,$L$1:L360,$L360,$M$1:M360,M360,$N$1:N360,N360),COUNTIFS($J$1:J360,$J360,$K$1:K360,$K360,$L$1:L360,$L360,$M$1:M360,M360,$N$1:N360,N360)))</f>
        <v>003</v>
      </c>
      <c r="P36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MS-NS-011-17-00003-INV</v>
      </c>
      <c r="Q360" s="59"/>
      <c r="R360" s="34" t="s">
        <v>6157</v>
      </c>
      <c r="S360" s="34" t="s">
        <v>1189</v>
      </c>
      <c r="T360" s="34">
        <f>+IFERROR(_xlfn.XLOOKUP(Table43[[#This Row],[Column1]],#REF!,#REF!),0)</f>
        <v>0</v>
      </c>
      <c r="U360" s="50">
        <f>IFERROR(_xlfn.XLOOKUP(Table43[[#This Row],[Column1]],#REF!,#REF!),0)</f>
        <v>0</v>
      </c>
      <c r="V360" s="39"/>
    </row>
    <row r="361" spans="1:22" x14ac:dyDescent="0.35">
      <c r="A361" s="3" t="s">
        <v>1190</v>
      </c>
      <c r="B361" s="3" t="s">
        <v>1191</v>
      </c>
      <c r="C361" s="3" t="s">
        <v>15</v>
      </c>
      <c r="D361" s="3">
        <v>910</v>
      </c>
      <c r="E361" s="3" t="s">
        <v>10</v>
      </c>
      <c r="F361" s="3">
        <v>0</v>
      </c>
      <c r="G361" s="3">
        <v>2</v>
      </c>
      <c r="H361" s="3">
        <v>2</v>
      </c>
      <c r="I361" s="21">
        <f>Table43[[#This Row],[Item Cost]]*Table43[[#This Row],[In Stock]]</f>
        <v>1820</v>
      </c>
      <c r="J361" s="12" t="s">
        <v>4941</v>
      </c>
      <c r="K361" s="13" t="s">
        <v>4666</v>
      </c>
      <c r="L361" s="13" t="s">
        <v>4755</v>
      </c>
      <c r="M361" s="13" t="s">
        <v>4770</v>
      </c>
      <c r="N361" s="12" t="s">
        <v>4672</v>
      </c>
      <c r="O361" s="17" t="str">
        <f>IF(LEN(COUNTIFS($J$1:J361,$J361,$K$1:K361,$K361,$L$1:L361,$L361,$M$1:M361,M361,$N$1:N361,N361))=1,"00"&amp;COUNTIFS($J$1:J361,$J361,$K$1:K361,$K361,$L$1:L361,$L361,$M$1:M361,M361,$N$1:N361,N361),IF(LEN(COUNTIFS($J$1:J361,$J361,$K$1:K361,$K361,$L$1:L361,$L361,$M$1:M361,M361,$N$1:N361,N361))=2,"0"&amp;COUNTIFS($J$1:J361,$J361,$K$1:K361,$K361,$L$1:L361,$L361,$M$1:M361,M361,$N$1:N361,N361),COUNTIFS($J$1:J361,$J361,$K$1:K361,$K361,$L$1:L361,$L361,$M$1:M361,M361,$N$1:N361,N361)))</f>
        <v>002</v>
      </c>
      <c r="P36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MS-NS-011-04-00002-INV</v>
      </c>
      <c r="Q361" s="59"/>
      <c r="R361" s="34" t="s">
        <v>6158</v>
      </c>
      <c r="S361" s="34" t="s">
        <v>1191</v>
      </c>
      <c r="T361" s="34">
        <f>+IFERROR(_xlfn.XLOOKUP(Table43[[#This Row],[Column1]],#REF!,#REF!),0)</f>
        <v>0</v>
      </c>
      <c r="U361" s="50">
        <f>IFERROR(_xlfn.XLOOKUP(Table43[[#This Row],[Column1]],#REF!,#REF!),0)</f>
        <v>0</v>
      </c>
      <c r="V361" s="39"/>
    </row>
    <row r="362" spans="1:22" x14ac:dyDescent="0.35">
      <c r="A362" s="3" t="s">
        <v>1192</v>
      </c>
      <c r="B362" s="2" t="s">
        <v>1193</v>
      </c>
      <c r="C362" s="2" t="s">
        <v>15</v>
      </c>
      <c r="D362" s="2">
        <v>11</v>
      </c>
      <c r="E362" s="2" t="s">
        <v>10</v>
      </c>
      <c r="F362" s="3">
        <v>0</v>
      </c>
      <c r="G362" s="3">
        <v>2</v>
      </c>
      <c r="H362" s="2">
        <v>5</v>
      </c>
      <c r="I362" s="22">
        <f>Table43[[#This Row],[Item Cost]]*Table43[[#This Row],[In Stock]]</f>
        <v>55</v>
      </c>
      <c r="J362" s="12" t="s">
        <v>4941</v>
      </c>
      <c r="K362" s="13" t="s">
        <v>4666</v>
      </c>
      <c r="L362" s="13" t="s">
        <v>4755</v>
      </c>
      <c r="M362" s="13" t="s">
        <v>4834</v>
      </c>
      <c r="N362" s="12" t="s">
        <v>4672</v>
      </c>
      <c r="O362" s="17" t="str">
        <f>IF(LEN(COUNTIFS($J$1:J362,$J362,$K$1:K362,$K362,$L$1:L362,$L362,$M$1:M362,M362,$N$1:N362,N362))=1,"00"&amp;COUNTIFS($J$1:J362,$J362,$K$1:K362,$K362,$L$1:L362,$L362,$M$1:M362,M362,$N$1:N362,N362),IF(LEN(COUNTIFS($J$1:J362,$J362,$K$1:K362,$K362,$L$1:L362,$L362,$M$1:M362,M362,$N$1:N362,N362))=2,"0"&amp;COUNTIFS($J$1:J362,$J362,$K$1:K362,$K362,$L$1:L362,$L362,$M$1:M362,M362,$N$1:N362,N362),COUNTIFS($J$1:J362,$J362,$K$1:K362,$K362,$L$1:L362,$L362,$M$1:M362,M362,$N$1:N362,N362)))</f>
        <v>004</v>
      </c>
      <c r="P36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MS-NS-011-17-00004-INV</v>
      </c>
      <c r="Q362" s="59"/>
      <c r="R362" s="34" t="s">
        <v>6159</v>
      </c>
      <c r="S362" s="34" t="s">
        <v>1193</v>
      </c>
      <c r="T362" s="34">
        <f>+IFERROR(_xlfn.XLOOKUP(Table43[[#This Row],[Column1]],#REF!,#REF!),0)</f>
        <v>0</v>
      </c>
      <c r="U362" s="50">
        <f>IFERROR(_xlfn.XLOOKUP(Table43[[#This Row],[Column1]],#REF!,#REF!),0)</f>
        <v>0</v>
      </c>
      <c r="V362" s="39"/>
    </row>
    <row r="363" spans="1:22" x14ac:dyDescent="0.35">
      <c r="A363" s="2" t="s">
        <v>1194</v>
      </c>
      <c r="B363" s="3" t="s">
        <v>1195</v>
      </c>
      <c r="C363" s="3" t="s">
        <v>15</v>
      </c>
      <c r="D363" s="3">
        <v>110</v>
      </c>
      <c r="E363" s="3" t="s">
        <v>10</v>
      </c>
      <c r="F363" s="3">
        <v>0</v>
      </c>
      <c r="G363" s="3">
        <v>2</v>
      </c>
      <c r="H363" s="3">
        <v>2</v>
      </c>
      <c r="I363" s="21">
        <f>Table43[[#This Row],[Item Cost]]*Table43[[#This Row],[In Stock]]</f>
        <v>220</v>
      </c>
      <c r="J363" s="12" t="s">
        <v>4941</v>
      </c>
      <c r="K363" s="13" t="s">
        <v>4666</v>
      </c>
      <c r="L363" s="13" t="s">
        <v>4755</v>
      </c>
      <c r="M363" s="13" t="s">
        <v>4693</v>
      </c>
      <c r="N363" s="12" t="s">
        <v>4672</v>
      </c>
      <c r="O363" s="17" t="str">
        <f>IF(LEN(COUNTIFS($J$1:J363,$J363,$K$1:K363,$K363,$L$1:L363,$L363,$M$1:M363,M363,$N$1:N363,N363))=1,"00"&amp;COUNTIFS($J$1:J363,$J363,$K$1:K363,$K363,$L$1:L363,$L363,$M$1:M363,M363,$N$1:N363,N363),IF(LEN(COUNTIFS($J$1:J363,$J363,$K$1:K363,$K363,$L$1:L363,$L363,$M$1:M363,M363,$N$1:N363,N363))=2,"0"&amp;COUNTIFS($J$1:J363,$J363,$K$1:K363,$K363,$L$1:L363,$L363,$M$1:M363,M363,$N$1:N363,N363),COUNTIFS($J$1:J363,$J363,$K$1:K363,$K363,$L$1:L363,$L363,$M$1:M363,M363,$N$1:N363,N363)))</f>
        <v>001</v>
      </c>
      <c r="P36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MS-NS-011-23-00001-INV</v>
      </c>
      <c r="Q363" s="59" t="s">
        <v>7336</v>
      </c>
      <c r="R363" s="34" t="s">
        <v>6160</v>
      </c>
      <c r="S363" s="34" t="s">
        <v>1195</v>
      </c>
      <c r="T363" s="34">
        <f>+IFERROR(_xlfn.XLOOKUP(Table43[[#This Row],[Column1]],#REF!,#REF!),0)</f>
        <v>0</v>
      </c>
      <c r="U363" s="50">
        <f>IFERROR(_xlfn.XLOOKUP(Table43[[#This Row],[Column1]],#REF!,#REF!),0)</f>
        <v>0</v>
      </c>
      <c r="V363" s="39"/>
    </row>
    <row r="364" spans="1:22" x14ac:dyDescent="0.35">
      <c r="A364" s="3" t="s">
        <v>1196</v>
      </c>
      <c r="B364" s="2" t="s">
        <v>1197</v>
      </c>
      <c r="C364" s="2" t="s">
        <v>15</v>
      </c>
      <c r="D364" s="2">
        <v>145</v>
      </c>
      <c r="E364" s="2" t="s">
        <v>10</v>
      </c>
      <c r="F364" s="3">
        <v>0</v>
      </c>
      <c r="G364" s="3">
        <v>2</v>
      </c>
      <c r="H364" s="2">
        <v>2</v>
      </c>
      <c r="I364" s="22">
        <f>Table43[[#This Row],[Item Cost]]*Table43[[#This Row],[In Stock]]</f>
        <v>290</v>
      </c>
      <c r="J364" s="12" t="s">
        <v>4941</v>
      </c>
      <c r="K364" s="13" t="s">
        <v>4666</v>
      </c>
      <c r="L364" s="13" t="s">
        <v>4755</v>
      </c>
      <c r="M364" s="13" t="s">
        <v>4693</v>
      </c>
      <c r="N364" s="12" t="s">
        <v>4672</v>
      </c>
      <c r="O364" s="17" t="str">
        <f>IF(LEN(COUNTIFS($J$1:J364,$J364,$K$1:K364,$K364,$L$1:L364,$L364,$M$1:M364,M364,$N$1:N364,N364))=1,"00"&amp;COUNTIFS($J$1:J364,$J364,$K$1:K364,$K364,$L$1:L364,$L364,$M$1:M364,M364,$N$1:N364,N364),IF(LEN(COUNTIFS($J$1:J364,$J364,$K$1:K364,$K364,$L$1:L364,$L364,$M$1:M364,M364,$N$1:N364,N364))=2,"0"&amp;COUNTIFS($J$1:J364,$J364,$K$1:K364,$K364,$L$1:L364,$L364,$M$1:M364,M364,$N$1:N364,N364),COUNTIFS($J$1:J364,$J364,$K$1:K364,$K364,$L$1:L364,$L364,$M$1:M364,M364,$N$1:N364,N364)))</f>
        <v>002</v>
      </c>
      <c r="P36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MS-NS-011-23-00002-INV</v>
      </c>
      <c r="Q364" s="59"/>
      <c r="R364" s="34" t="s">
        <v>6161</v>
      </c>
      <c r="S364" s="34" t="s">
        <v>1197</v>
      </c>
      <c r="T364" s="34">
        <f>+IFERROR(_xlfn.XLOOKUP(Table43[[#This Row],[Column1]],#REF!,#REF!),0)</f>
        <v>0</v>
      </c>
      <c r="U364" s="50">
        <f>IFERROR(_xlfn.XLOOKUP(Table43[[#This Row],[Column1]],#REF!,#REF!),0)</f>
        <v>0</v>
      </c>
      <c r="V364" s="39"/>
    </row>
    <row r="365" spans="1:22" x14ac:dyDescent="0.35">
      <c r="A365" s="3" t="s">
        <v>1198</v>
      </c>
      <c r="B365" s="3" t="s">
        <v>1199</v>
      </c>
      <c r="C365" s="3" t="s">
        <v>15</v>
      </c>
      <c r="D365" s="3">
        <v>110</v>
      </c>
      <c r="E365" s="3" t="s">
        <v>10</v>
      </c>
      <c r="F365" s="3">
        <v>0</v>
      </c>
      <c r="G365" s="3">
        <v>2</v>
      </c>
      <c r="H365" s="3">
        <v>2</v>
      </c>
      <c r="I365" s="21">
        <f>Table43[[#This Row],[Item Cost]]*Table43[[#This Row],[In Stock]]</f>
        <v>220</v>
      </c>
      <c r="J365" s="12" t="s">
        <v>4941</v>
      </c>
      <c r="K365" s="13" t="s">
        <v>4666</v>
      </c>
      <c r="L365" s="13" t="s">
        <v>4755</v>
      </c>
      <c r="M365" s="13" t="s">
        <v>4775</v>
      </c>
      <c r="N365" s="12" t="s">
        <v>4672</v>
      </c>
      <c r="O365" s="17" t="str">
        <f>IF(LEN(COUNTIFS($J$1:J365,$J365,$K$1:K365,$K365,$L$1:L365,$L365,$M$1:M365,M365,$N$1:N365,N365))=1,"00"&amp;COUNTIFS($J$1:J365,$J365,$K$1:K365,$K365,$L$1:L365,$L365,$M$1:M365,M365,$N$1:N365,N365),IF(LEN(COUNTIFS($J$1:J365,$J365,$K$1:K365,$K365,$L$1:L365,$L365,$M$1:M365,M365,$N$1:N365,N365))=2,"0"&amp;COUNTIFS($J$1:J365,$J365,$K$1:K365,$K365,$L$1:L365,$L365,$M$1:M365,M365,$N$1:N365,N365),COUNTIFS($J$1:J365,$J365,$K$1:K365,$K365,$L$1:L365,$L365,$M$1:M365,M365,$N$1:N365,N365)))</f>
        <v>001</v>
      </c>
      <c r="P36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MS-NS-011-09-00001-INV</v>
      </c>
      <c r="Q365" s="59" t="s">
        <v>7348</v>
      </c>
      <c r="R365" s="34" t="s">
        <v>6162</v>
      </c>
      <c r="S365" s="34" t="s">
        <v>1199</v>
      </c>
      <c r="T365" s="34">
        <f>+IFERROR(_xlfn.XLOOKUP(Table43[[#This Row],[Column1]],#REF!,#REF!),0)</f>
        <v>0</v>
      </c>
      <c r="U365" s="50">
        <f>IFERROR(_xlfn.XLOOKUP(Table43[[#This Row],[Column1]],#REF!,#REF!),0)</f>
        <v>0</v>
      </c>
      <c r="V365" s="39"/>
    </row>
    <row r="366" spans="1:22" x14ac:dyDescent="0.35">
      <c r="A366" s="2" t="s">
        <v>1200</v>
      </c>
      <c r="B366" s="2" t="s">
        <v>1201</v>
      </c>
      <c r="C366" s="2" t="s">
        <v>15</v>
      </c>
      <c r="D366" s="2">
        <v>160</v>
      </c>
      <c r="E366" s="2" t="s">
        <v>10</v>
      </c>
      <c r="F366" s="3">
        <v>0</v>
      </c>
      <c r="G366" s="3">
        <v>2</v>
      </c>
      <c r="H366" s="2">
        <v>5</v>
      </c>
      <c r="I366" s="22">
        <f>Table43[[#This Row],[Item Cost]]*Table43[[#This Row],[In Stock]]</f>
        <v>800</v>
      </c>
      <c r="J366" s="12" t="s">
        <v>4941</v>
      </c>
      <c r="K366" s="13" t="s">
        <v>4666</v>
      </c>
      <c r="L366" s="13" t="s">
        <v>4755</v>
      </c>
      <c r="M366" s="13" t="s">
        <v>4844</v>
      </c>
      <c r="N366" s="12" t="s">
        <v>4855</v>
      </c>
      <c r="O366" s="17" t="str">
        <f>IF(LEN(COUNTIFS($J$1:J366,$J366,$K$1:K366,$K366,$L$1:L366,$L366,$M$1:M366,M366,$N$1:N366,N366))=1,"00"&amp;COUNTIFS($J$1:J366,$J366,$K$1:K366,$K366,$L$1:L366,$L366,$M$1:M366,M366,$N$1:N366,N366),IF(LEN(COUNTIFS($J$1:J366,$J366,$K$1:K366,$K366,$L$1:L366,$L366,$M$1:M366,M366,$N$1:N366,N366))=2,"0"&amp;COUNTIFS($J$1:J366,$J366,$K$1:K366,$K366,$L$1:L366,$L366,$M$1:M366,M366,$N$1:N366,N366),COUNTIFS($J$1:J366,$J366,$K$1:K366,$K366,$L$1:L366,$L366,$M$1:M366,M366,$N$1:N366,N366)))</f>
        <v>001</v>
      </c>
      <c r="P36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MS-NS-011-29-12001-INV</v>
      </c>
      <c r="Q366" s="59"/>
      <c r="R366" s="34" t="s">
        <v>6163</v>
      </c>
      <c r="S366" s="34" t="s">
        <v>1201</v>
      </c>
      <c r="T366" s="34">
        <f>+IFERROR(_xlfn.XLOOKUP(Table43[[#This Row],[Column1]],#REF!,#REF!),0)</f>
        <v>0</v>
      </c>
      <c r="U366" s="50">
        <f>IFERROR(_xlfn.XLOOKUP(Table43[[#This Row],[Column1]],#REF!,#REF!),0)</f>
        <v>0</v>
      </c>
      <c r="V366" s="39"/>
    </row>
    <row r="367" spans="1:22" x14ac:dyDescent="0.35">
      <c r="A367" s="3" t="s">
        <v>1202</v>
      </c>
      <c r="B367" s="3" t="s">
        <v>1203</v>
      </c>
      <c r="C367" s="3" t="s">
        <v>15</v>
      </c>
      <c r="D367" s="3">
        <v>90</v>
      </c>
      <c r="E367" s="3" t="s">
        <v>10</v>
      </c>
      <c r="F367" s="3">
        <v>0</v>
      </c>
      <c r="G367" s="3">
        <v>2</v>
      </c>
      <c r="H367" s="3">
        <v>5</v>
      </c>
      <c r="I367" s="21">
        <f>Table43[[#This Row],[Item Cost]]*Table43[[#This Row],[In Stock]]</f>
        <v>450</v>
      </c>
      <c r="J367" s="12" t="s">
        <v>4941</v>
      </c>
      <c r="K367" s="13" t="s">
        <v>4666</v>
      </c>
      <c r="L367" s="13" t="s">
        <v>4755</v>
      </c>
      <c r="M367" s="13" t="s">
        <v>4844</v>
      </c>
      <c r="N367" s="12" t="s">
        <v>4855</v>
      </c>
      <c r="O367" s="17" t="str">
        <f>IF(LEN(COUNTIFS($J$1:J367,$J367,$K$1:K367,$K367,$L$1:L367,$L367,$M$1:M367,M367,$N$1:N367,N367))=1,"00"&amp;COUNTIFS($J$1:J367,$J367,$K$1:K367,$K367,$L$1:L367,$L367,$M$1:M367,M367,$N$1:N367,N367),IF(LEN(COUNTIFS($J$1:J367,$J367,$K$1:K367,$K367,$L$1:L367,$L367,$M$1:M367,M367,$N$1:N367,N367))=2,"0"&amp;COUNTIFS($J$1:J367,$J367,$K$1:K367,$K367,$L$1:L367,$L367,$M$1:M367,M367,$N$1:N367,N367),COUNTIFS($J$1:J367,$J367,$K$1:K367,$K367,$L$1:L367,$L367,$M$1:M367,M367,$N$1:N367,N367)))</f>
        <v>002</v>
      </c>
      <c r="P36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MS-NS-011-29-12002-INV</v>
      </c>
      <c r="Q367" s="59"/>
      <c r="R367" s="34" t="s">
        <v>6164</v>
      </c>
      <c r="S367" s="34" t="s">
        <v>1203</v>
      </c>
      <c r="T367" s="34">
        <f>+IFERROR(_xlfn.XLOOKUP(Table43[[#This Row],[Column1]],#REF!,#REF!),0)</f>
        <v>0</v>
      </c>
      <c r="U367" s="50">
        <f>IFERROR(_xlfn.XLOOKUP(Table43[[#This Row],[Column1]],#REF!,#REF!),0)</f>
        <v>0</v>
      </c>
      <c r="V367" s="39"/>
    </row>
    <row r="368" spans="1:22" x14ac:dyDescent="0.35">
      <c r="A368" s="3" t="s">
        <v>1204</v>
      </c>
      <c r="B368" s="2" t="s">
        <v>1205</v>
      </c>
      <c r="C368" s="2" t="s">
        <v>15</v>
      </c>
      <c r="D368" s="2">
        <v>35</v>
      </c>
      <c r="E368" s="2" t="s">
        <v>10</v>
      </c>
      <c r="F368" s="3">
        <v>0</v>
      </c>
      <c r="G368" s="3">
        <v>2</v>
      </c>
      <c r="H368" s="2">
        <v>5</v>
      </c>
      <c r="I368" s="22">
        <f>Table43[[#This Row],[Item Cost]]*Table43[[#This Row],[In Stock]]</f>
        <v>175</v>
      </c>
      <c r="J368" s="12" t="s">
        <v>4941</v>
      </c>
      <c r="K368" s="13" t="s">
        <v>4666</v>
      </c>
      <c r="L368" s="13" t="s">
        <v>4755</v>
      </c>
      <c r="M368" s="13" t="s">
        <v>4844</v>
      </c>
      <c r="N368" s="12" t="s">
        <v>4855</v>
      </c>
      <c r="O368" s="17" t="str">
        <f>IF(LEN(COUNTIFS($J$1:J368,$J368,$K$1:K368,$K368,$L$1:L368,$L368,$M$1:M368,M368,$N$1:N368,N368))=1,"00"&amp;COUNTIFS($J$1:J368,$J368,$K$1:K368,$K368,$L$1:L368,$L368,$M$1:M368,M368,$N$1:N368,N368),IF(LEN(COUNTIFS($J$1:J368,$J368,$K$1:K368,$K368,$L$1:L368,$L368,$M$1:M368,M368,$N$1:N368,N368))=2,"0"&amp;COUNTIFS($J$1:J368,$J368,$K$1:K368,$K368,$L$1:L368,$L368,$M$1:M368,M368,$N$1:N368,N368),COUNTIFS($J$1:J368,$J368,$K$1:K368,$K368,$L$1:L368,$L368,$M$1:M368,M368,$N$1:N368,N368)))</f>
        <v>003</v>
      </c>
      <c r="P36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MS-NS-011-29-12003-INV</v>
      </c>
      <c r="Q368" s="59"/>
      <c r="R368" s="34" t="s">
        <v>6165</v>
      </c>
      <c r="S368" s="34" t="s">
        <v>1205</v>
      </c>
      <c r="T368" s="34">
        <f>+IFERROR(_xlfn.XLOOKUP(Table43[[#This Row],[Column1]],#REF!,#REF!),0)</f>
        <v>0</v>
      </c>
      <c r="U368" s="50">
        <f>IFERROR(_xlfn.XLOOKUP(Table43[[#This Row],[Column1]],#REF!,#REF!),0)</f>
        <v>0</v>
      </c>
      <c r="V368" s="39"/>
    </row>
    <row r="369" spans="1:22" x14ac:dyDescent="0.35">
      <c r="A369" s="2" t="s">
        <v>1206</v>
      </c>
      <c r="B369" s="3" t="s">
        <v>1207</v>
      </c>
      <c r="C369" s="3" t="s">
        <v>15</v>
      </c>
      <c r="D369" s="5">
        <v>1120</v>
      </c>
      <c r="E369" s="3" t="s">
        <v>10</v>
      </c>
      <c r="F369" s="3">
        <v>0</v>
      </c>
      <c r="G369" s="3">
        <v>2</v>
      </c>
      <c r="H369" s="3">
        <v>1</v>
      </c>
      <c r="I369" s="21">
        <f>Table43[[#This Row],[Item Cost]]*Table43[[#This Row],[In Stock]]</f>
        <v>1120</v>
      </c>
      <c r="J369" s="12" t="s">
        <v>4941</v>
      </c>
      <c r="K369" s="13" t="s">
        <v>4666</v>
      </c>
      <c r="L369" s="13" t="s">
        <v>4755</v>
      </c>
      <c r="M369" s="13" t="s">
        <v>4844</v>
      </c>
      <c r="N369" s="12" t="s">
        <v>4855</v>
      </c>
      <c r="O369" s="17" t="str">
        <f>IF(LEN(COUNTIFS($J$1:J369,$J369,$K$1:K369,$K369,$L$1:L369,$L369,$M$1:M369,M369,$N$1:N369,N369))=1,"00"&amp;COUNTIFS($J$1:J369,$J369,$K$1:K369,$K369,$L$1:L369,$L369,$M$1:M369,M369,$N$1:N369,N369),IF(LEN(COUNTIFS($J$1:J369,$J369,$K$1:K369,$K369,$L$1:L369,$L369,$M$1:M369,M369,$N$1:N369,N369))=2,"0"&amp;COUNTIFS($J$1:J369,$J369,$K$1:K369,$K369,$L$1:L369,$L369,$M$1:M369,M369,$N$1:N369,N369),COUNTIFS($J$1:J369,$J369,$K$1:K369,$K369,$L$1:L369,$L369,$M$1:M369,M369,$N$1:N369,N369)))</f>
        <v>004</v>
      </c>
      <c r="P36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MS-NS-011-29-12004-INV</v>
      </c>
      <c r="Q369" s="59"/>
      <c r="R369" s="34" t="s">
        <v>6166</v>
      </c>
      <c r="S369" s="34" t="s">
        <v>1207</v>
      </c>
      <c r="T369" s="34">
        <f>+IFERROR(_xlfn.XLOOKUP(Table43[[#This Row],[Column1]],#REF!,#REF!),0)</f>
        <v>0</v>
      </c>
      <c r="U369" s="50">
        <f>IFERROR(_xlfn.XLOOKUP(Table43[[#This Row],[Column1]],#REF!,#REF!),0)</f>
        <v>0</v>
      </c>
      <c r="V369" s="39"/>
    </row>
    <row r="370" spans="1:22" x14ac:dyDescent="0.35">
      <c r="A370" s="3" t="s">
        <v>1208</v>
      </c>
      <c r="B370" s="2" t="s">
        <v>1209</v>
      </c>
      <c r="C370" s="2" t="s">
        <v>15</v>
      </c>
      <c r="D370" s="2">
        <v>36</v>
      </c>
      <c r="E370" s="2" t="s">
        <v>10</v>
      </c>
      <c r="F370" s="3">
        <v>0</v>
      </c>
      <c r="G370" s="3">
        <v>2</v>
      </c>
      <c r="H370" s="2">
        <v>10</v>
      </c>
      <c r="I370" s="22">
        <f>Table43[[#This Row],[Item Cost]]*Table43[[#This Row],[In Stock]]</f>
        <v>360</v>
      </c>
      <c r="J370" s="12" t="s">
        <v>4941</v>
      </c>
      <c r="K370" s="13" t="s">
        <v>4666</v>
      </c>
      <c r="L370" s="13" t="s">
        <v>4755</v>
      </c>
      <c r="M370" s="13" t="s">
        <v>4844</v>
      </c>
      <c r="N370" s="12" t="s">
        <v>4855</v>
      </c>
      <c r="O370" s="17" t="str">
        <f>IF(LEN(COUNTIFS($J$1:J370,$J370,$K$1:K370,$K370,$L$1:L370,$L370,$M$1:M370,M370,$N$1:N370,N370))=1,"00"&amp;COUNTIFS($J$1:J370,$J370,$K$1:K370,$K370,$L$1:L370,$L370,$M$1:M370,M370,$N$1:N370,N370),IF(LEN(COUNTIFS($J$1:J370,$J370,$K$1:K370,$K370,$L$1:L370,$L370,$M$1:M370,M370,$N$1:N370,N370))=2,"0"&amp;COUNTIFS($J$1:J370,$J370,$K$1:K370,$K370,$L$1:L370,$L370,$M$1:M370,M370,$N$1:N370,N370),COUNTIFS($J$1:J370,$J370,$K$1:K370,$K370,$L$1:L370,$L370,$M$1:M370,M370,$N$1:N370,N370)))</f>
        <v>005</v>
      </c>
      <c r="P37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MS-NS-011-29-12005-INV</v>
      </c>
      <c r="Q370" s="59"/>
      <c r="R370" s="34" t="s">
        <v>6167</v>
      </c>
      <c r="S370" s="34" t="s">
        <v>1209</v>
      </c>
      <c r="T370" s="34">
        <f>+IFERROR(_xlfn.XLOOKUP(Table43[[#This Row],[Column1]],#REF!,#REF!),0)</f>
        <v>0</v>
      </c>
      <c r="U370" s="50">
        <f>IFERROR(_xlfn.XLOOKUP(Table43[[#This Row],[Column1]],#REF!,#REF!),0)</f>
        <v>0</v>
      </c>
      <c r="V370" s="39"/>
    </row>
    <row r="371" spans="1:22" x14ac:dyDescent="0.35">
      <c r="A371" s="3" t="s">
        <v>1210</v>
      </c>
      <c r="B371" s="3" t="s">
        <v>1211</v>
      </c>
      <c r="C371" s="3" t="s">
        <v>15</v>
      </c>
      <c r="D371" s="3">
        <v>520</v>
      </c>
      <c r="E371" s="3" t="s">
        <v>10</v>
      </c>
      <c r="F371" s="3">
        <v>0</v>
      </c>
      <c r="G371" s="3">
        <v>2</v>
      </c>
      <c r="H371" s="3">
        <v>1</v>
      </c>
      <c r="I371" s="21">
        <f>Table43[[#This Row],[Item Cost]]*Table43[[#This Row],[In Stock]]</f>
        <v>520</v>
      </c>
      <c r="J371" s="12" t="s">
        <v>4941</v>
      </c>
      <c r="K371" s="13" t="s">
        <v>4666</v>
      </c>
      <c r="L371" s="13" t="s">
        <v>4755</v>
      </c>
      <c r="M371" s="13" t="s">
        <v>4844</v>
      </c>
      <c r="N371" s="12" t="s">
        <v>4855</v>
      </c>
      <c r="O371" s="17" t="str">
        <f>IF(LEN(COUNTIFS($J$1:J371,$J371,$K$1:K371,$K371,$L$1:L371,$L371,$M$1:M371,M371,$N$1:N371,N371))=1,"00"&amp;COUNTIFS($J$1:J371,$J371,$K$1:K371,$K371,$L$1:L371,$L371,$M$1:M371,M371,$N$1:N371,N371),IF(LEN(COUNTIFS($J$1:J371,$J371,$K$1:K371,$K371,$L$1:L371,$L371,$M$1:M371,M371,$N$1:N371,N371))=2,"0"&amp;COUNTIFS($J$1:J371,$J371,$K$1:K371,$K371,$L$1:L371,$L371,$M$1:M371,M371,$N$1:N371,N371),COUNTIFS($J$1:J371,$J371,$K$1:K371,$K371,$L$1:L371,$L371,$M$1:M371,M371,$N$1:N371,N371)))</f>
        <v>006</v>
      </c>
      <c r="P37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MS-NS-011-29-12006-INV</v>
      </c>
      <c r="Q371" s="59"/>
      <c r="R371" s="34" t="s">
        <v>6168</v>
      </c>
      <c r="S371" s="34" t="s">
        <v>1211</v>
      </c>
      <c r="T371" s="34">
        <f>+IFERROR(_xlfn.XLOOKUP(Table43[[#This Row],[Column1]],#REF!,#REF!),0)</f>
        <v>0</v>
      </c>
      <c r="U371" s="50">
        <f>IFERROR(_xlfn.XLOOKUP(Table43[[#This Row],[Column1]],#REF!,#REF!),0)</f>
        <v>0</v>
      </c>
      <c r="V371" s="39"/>
    </row>
    <row r="372" spans="1:22" x14ac:dyDescent="0.35">
      <c r="A372" s="2" t="s">
        <v>1212</v>
      </c>
      <c r="B372" s="2" t="s">
        <v>1213</v>
      </c>
      <c r="C372" s="2" t="s">
        <v>15</v>
      </c>
      <c r="D372" s="2">
        <v>130</v>
      </c>
      <c r="E372" s="2" t="s">
        <v>10</v>
      </c>
      <c r="F372" s="3">
        <v>0</v>
      </c>
      <c r="G372" s="3">
        <v>2</v>
      </c>
      <c r="H372" s="2">
        <v>1</v>
      </c>
      <c r="I372" s="22">
        <f>Table43[[#This Row],[Item Cost]]*Table43[[#This Row],[In Stock]]</f>
        <v>130</v>
      </c>
      <c r="J372" s="12" t="s">
        <v>4941</v>
      </c>
      <c r="K372" s="13" t="s">
        <v>4666</v>
      </c>
      <c r="L372" s="13" t="s">
        <v>4755</v>
      </c>
      <c r="M372" s="13" t="s">
        <v>4844</v>
      </c>
      <c r="N372" s="12" t="s">
        <v>4855</v>
      </c>
      <c r="O372" s="17" t="str">
        <f>IF(LEN(COUNTIFS($J$1:J372,$J372,$K$1:K372,$K372,$L$1:L372,$L372,$M$1:M372,M372,$N$1:N372,N372))=1,"00"&amp;COUNTIFS($J$1:J372,$J372,$K$1:K372,$K372,$L$1:L372,$L372,$M$1:M372,M372,$N$1:N372,N372),IF(LEN(COUNTIFS($J$1:J372,$J372,$K$1:K372,$K372,$L$1:L372,$L372,$M$1:M372,M372,$N$1:N372,N372))=2,"0"&amp;COUNTIFS($J$1:J372,$J372,$K$1:K372,$K372,$L$1:L372,$L372,$M$1:M372,M372,$N$1:N372,N372),COUNTIFS($J$1:J372,$J372,$K$1:K372,$K372,$L$1:L372,$L372,$M$1:M372,M372,$N$1:N372,N372)))</f>
        <v>007</v>
      </c>
      <c r="P37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MS-NS-011-29-12007-INV</v>
      </c>
      <c r="Q372" s="59"/>
      <c r="R372" s="34" t="s">
        <v>6169</v>
      </c>
      <c r="S372" s="34" t="s">
        <v>1213</v>
      </c>
      <c r="T372" s="34">
        <f>+IFERROR(_xlfn.XLOOKUP(Table43[[#This Row],[Column1]],#REF!,#REF!),0)</f>
        <v>0</v>
      </c>
      <c r="U372" s="50">
        <f>IFERROR(_xlfn.XLOOKUP(Table43[[#This Row],[Column1]],#REF!,#REF!),0)</f>
        <v>0</v>
      </c>
      <c r="V372" s="39"/>
    </row>
    <row r="373" spans="1:22" x14ac:dyDescent="0.35">
      <c r="A373" s="3" t="s">
        <v>1214</v>
      </c>
      <c r="B373" s="3" t="s">
        <v>1215</v>
      </c>
      <c r="C373" s="3" t="s">
        <v>15</v>
      </c>
      <c r="D373" s="3">
        <v>440</v>
      </c>
      <c r="E373" s="3" t="s">
        <v>10</v>
      </c>
      <c r="F373" s="3">
        <v>0</v>
      </c>
      <c r="G373" s="3">
        <v>2</v>
      </c>
      <c r="H373" s="3">
        <v>1</v>
      </c>
      <c r="I373" s="21">
        <f>Table43[[#This Row],[Item Cost]]*Table43[[#This Row],[In Stock]]</f>
        <v>440</v>
      </c>
      <c r="J373" s="12" t="s">
        <v>4941</v>
      </c>
      <c r="K373" s="13" t="s">
        <v>4666</v>
      </c>
      <c r="L373" s="13" t="s">
        <v>4755</v>
      </c>
      <c r="M373" s="13" t="s">
        <v>4844</v>
      </c>
      <c r="N373" s="12" t="s">
        <v>4855</v>
      </c>
      <c r="O373" s="17" t="str">
        <f>IF(LEN(COUNTIFS($J$1:J373,$J373,$K$1:K373,$K373,$L$1:L373,$L373,$M$1:M373,M373,$N$1:N373,N373))=1,"00"&amp;COUNTIFS($J$1:J373,$J373,$K$1:K373,$K373,$L$1:L373,$L373,$M$1:M373,M373,$N$1:N373,N373),IF(LEN(COUNTIFS($J$1:J373,$J373,$K$1:K373,$K373,$L$1:L373,$L373,$M$1:M373,M373,$N$1:N373,N373))=2,"0"&amp;COUNTIFS($J$1:J373,$J373,$K$1:K373,$K373,$L$1:L373,$L373,$M$1:M373,M373,$N$1:N373,N373),COUNTIFS($J$1:J373,$J373,$K$1:K373,$K373,$L$1:L373,$L373,$M$1:M373,M373,$N$1:N373,N373)))</f>
        <v>008</v>
      </c>
      <c r="P37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MS-NS-011-29-12008-INV</v>
      </c>
      <c r="Q373" s="59"/>
      <c r="R373" s="34" t="s">
        <v>6170</v>
      </c>
      <c r="S373" s="34" t="s">
        <v>1215</v>
      </c>
      <c r="T373" s="34">
        <f>+IFERROR(_xlfn.XLOOKUP(Table43[[#This Row],[Column1]],#REF!,#REF!),0)</f>
        <v>0</v>
      </c>
      <c r="U373" s="50">
        <f>IFERROR(_xlfn.XLOOKUP(Table43[[#This Row],[Column1]],#REF!,#REF!),0)</f>
        <v>0</v>
      </c>
      <c r="V373" s="39"/>
    </row>
    <row r="374" spans="1:22" x14ac:dyDescent="0.35">
      <c r="A374" s="3" t="s">
        <v>1216</v>
      </c>
      <c r="B374" s="2" t="s">
        <v>1217</v>
      </c>
      <c r="C374" s="2" t="s">
        <v>15</v>
      </c>
      <c r="D374" s="2">
        <v>430</v>
      </c>
      <c r="E374" s="2" t="s">
        <v>10</v>
      </c>
      <c r="F374" s="3">
        <v>0</v>
      </c>
      <c r="G374" s="3">
        <v>2</v>
      </c>
      <c r="H374" s="2">
        <v>1</v>
      </c>
      <c r="I374" s="22">
        <f>Table43[[#This Row],[Item Cost]]*Table43[[#This Row],[In Stock]]</f>
        <v>430</v>
      </c>
      <c r="J374" s="12" t="s">
        <v>4941</v>
      </c>
      <c r="K374" s="13" t="s">
        <v>4666</v>
      </c>
      <c r="L374" s="13" t="s">
        <v>4755</v>
      </c>
      <c r="M374" s="13" t="s">
        <v>4844</v>
      </c>
      <c r="N374" s="12" t="s">
        <v>4855</v>
      </c>
      <c r="O374" s="17" t="str">
        <f>IF(LEN(COUNTIFS($J$1:J374,$J374,$K$1:K374,$K374,$L$1:L374,$L374,$M$1:M374,M374,$N$1:N374,N374))=1,"00"&amp;COUNTIFS($J$1:J374,$J374,$K$1:K374,$K374,$L$1:L374,$L374,$M$1:M374,M374,$N$1:N374,N374),IF(LEN(COUNTIFS($J$1:J374,$J374,$K$1:K374,$K374,$L$1:L374,$L374,$M$1:M374,M374,$N$1:N374,N374))=2,"0"&amp;COUNTIFS($J$1:J374,$J374,$K$1:K374,$K374,$L$1:L374,$L374,$M$1:M374,M374,$N$1:N374,N374),COUNTIFS($J$1:J374,$J374,$K$1:K374,$K374,$L$1:L374,$L374,$M$1:M374,M374,$N$1:N374,N374)))</f>
        <v>009</v>
      </c>
      <c r="P37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MS-NS-011-29-12009-INV</v>
      </c>
      <c r="Q374" s="59"/>
      <c r="R374" s="34" t="s">
        <v>6171</v>
      </c>
      <c r="S374" s="34" t="s">
        <v>1217</v>
      </c>
      <c r="T374" s="34">
        <f>+IFERROR(_xlfn.XLOOKUP(Table43[[#This Row],[Column1]],#REF!,#REF!),0)</f>
        <v>0</v>
      </c>
      <c r="U374" s="50">
        <f>IFERROR(_xlfn.XLOOKUP(Table43[[#This Row],[Column1]],#REF!,#REF!),0)</f>
        <v>0</v>
      </c>
      <c r="V374" s="39"/>
    </row>
    <row r="375" spans="1:22" x14ac:dyDescent="0.35">
      <c r="A375" s="2" t="s">
        <v>1218</v>
      </c>
      <c r="B375" s="3" t="s">
        <v>1219</v>
      </c>
      <c r="C375" s="3" t="s">
        <v>15</v>
      </c>
      <c r="D375" s="3">
        <v>430</v>
      </c>
      <c r="E375" s="3" t="s">
        <v>10</v>
      </c>
      <c r="F375" s="3">
        <v>0</v>
      </c>
      <c r="G375" s="3">
        <v>2</v>
      </c>
      <c r="H375" s="3">
        <v>1</v>
      </c>
      <c r="I375" s="21">
        <f>Table43[[#This Row],[Item Cost]]*Table43[[#This Row],[In Stock]]</f>
        <v>430</v>
      </c>
      <c r="J375" s="12" t="s">
        <v>4941</v>
      </c>
      <c r="K375" s="13" t="s">
        <v>4666</v>
      </c>
      <c r="L375" s="13" t="s">
        <v>4755</v>
      </c>
      <c r="M375" s="13" t="s">
        <v>4844</v>
      </c>
      <c r="N375" s="12" t="s">
        <v>4855</v>
      </c>
      <c r="O375" s="17" t="str">
        <f>IF(LEN(COUNTIFS($J$1:J375,$J375,$K$1:K375,$K375,$L$1:L375,$L375,$M$1:M375,M375,$N$1:N375,N375))=1,"00"&amp;COUNTIFS($J$1:J375,$J375,$K$1:K375,$K375,$L$1:L375,$L375,$M$1:M375,M375,$N$1:N375,N375),IF(LEN(COUNTIFS($J$1:J375,$J375,$K$1:K375,$K375,$L$1:L375,$L375,$M$1:M375,M375,$N$1:N375,N375))=2,"0"&amp;COUNTIFS($J$1:J375,$J375,$K$1:K375,$K375,$L$1:L375,$L375,$M$1:M375,M375,$N$1:N375,N375),COUNTIFS($J$1:J375,$J375,$K$1:K375,$K375,$L$1:L375,$L375,$M$1:M375,M375,$N$1:N375,N375)))</f>
        <v>010</v>
      </c>
      <c r="P37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MS-NS-011-29-12010-INV</v>
      </c>
      <c r="Q375" s="59"/>
      <c r="R375" s="34" t="s">
        <v>6172</v>
      </c>
      <c r="S375" s="34" t="s">
        <v>1219</v>
      </c>
      <c r="T375" s="34">
        <f>+IFERROR(_xlfn.XLOOKUP(Table43[[#This Row],[Column1]],#REF!,#REF!),0)</f>
        <v>0</v>
      </c>
      <c r="U375" s="50">
        <f>IFERROR(_xlfn.XLOOKUP(Table43[[#This Row],[Column1]],#REF!,#REF!),0)</f>
        <v>0</v>
      </c>
      <c r="V375" s="39"/>
    </row>
    <row r="376" spans="1:22" x14ac:dyDescent="0.35">
      <c r="A376" s="3" t="s">
        <v>1220</v>
      </c>
      <c r="B376" s="2" t="s">
        <v>1221</v>
      </c>
      <c r="C376" s="2" t="s">
        <v>15</v>
      </c>
      <c r="D376" s="2">
        <v>480</v>
      </c>
      <c r="E376" s="2" t="s">
        <v>10</v>
      </c>
      <c r="F376" s="3">
        <v>0</v>
      </c>
      <c r="G376" s="3">
        <v>2</v>
      </c>
      <c r="H376" s="2">
        <v>2</v>
      </c>
      <c r="I376" s="22">
        <f>Table43[[#This Row],[Item Cost]]*Table43[[#This Row],[In Stock]]</f>
        <v>960</v>
      </c>
      <c r="J376" s="12" t="s">
        <v>4941</v>
      </c>
      <c r="K376" s="13" t="s">
        <v>4666</v>
      </c>
      <c r="L376" s="13" t="s">
        <v>4755</v>
      </c>
      <c r="M376" s="13" t="s">
        <v>4844</v>
      </c>
      <c r="N376" s="12" t="s">
        <v>4855</v>
      </c>
      <c r="O376" s="17" t="str">
        <f>IF(LEN(COUNTIFS($J$1:J376,$J376,$K$1:K376,$K376,$L$1:L376,$L376,$M$1:M376,M376,$N$1:N376,N376))=1,"00"&amp;COUNTIFS($J$1:J376,$J376,$K$1:K376,$K376,$L$1:L376,$L376,$M$1:M376,M376,$N$1:N376,N376),IF(LEN(COUNTIFS($J$1:J376,$J376,$K$1:K376,$K376,$L$1:L376,$L376,$M$1:M376,M376,$N$1:N376,N376))=2,"0"&amp;COUNTIFS($J$1:J376,$J376,$K$1:K376,$K376,$L$1:L376,$L376,$M$1:M376,M376,$N$1:N376,N376),COUNTIFS($J$1:J376,$J376,$K$1:K376,$K376,$L$1:L376,$L376,$M$1:M376,M376,$N$1:N376,N376)))</f>
        <v>011</v>
      </c>
      <c r="P37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MS-NS-011-29-12011-INV</v>
      </c>
      <c r="Q376" s="59"/>
      <c r="R376" s="34" t="s">
        <v>6173</v>
      </c>
      <c r="S376" s="34" t="s">
        <v>1221</v>
      </c>
      <c r="T376" s="34">
        <f>+IFERROR(_xlfn.XLOOKUP(Table43[[#This Row],[Column1]],#REF!,#REF!),0)</f>
        <v>0</v>
      </c>
      <c r="U376" s="50">
        <f>IFERROR(_xlfn.XLOOKUP(Table43[[#This Row],[Column1]],#REF!,#REF!),0)</f>
        <v>0</v>
      </c>
      <c r="V376" s="39"/>
    </row>
    <row r="377" spans="1:22" x14ac:dyDescent="0.35">
      <c r="A377" s="3" t="s">
        <v>1222</v>
      </c>
      <c r="B377" s="3" t="s">
        <v>1223</v>
      </c>
      <c r="C377" s="3" t="s">
        <v>15</v>
      </c>
      <c r="D377" s="3">
        <v>320</v>
      </c>
      <c r="E377" s="3" t="s">
        <v>10</v>
      </c>
      <c r="F377" s="3">
        <v>0</v>
      </c>
      <c r="G377" s="3">
        <v>2</v>
      </c>
      <c r="H377" s="3">
        <v>1</v>
      </c>
      <c r="I377" s="21">
        <f>Table43[[#This Row],[Item Cost]]*Table43[[#This Row],[In Stock]]</f>
        <v>320</v>
      </c>
      <c r="J377" s="12" t="s">
        <v>4941</v>
      </c>
      <c r="K377" s="13" t="s">
        <v>4666</v>
      </c>
      <c r="L377" s="13" t="s">
        <v>4755</v>
      </c>
      <c r="M377" s="13" t="s">
        <v>4844</v>
      </c>
      <c r="N377" s="12" t="s">
        <v>4855</v>
      </c>
      <c r="O377" s="17" t="str">
        <f>IF(LEN(COUNTIFS($J$1:J377,$J377,$K$1:K377,$K377,$L$1:L377,$L377,$M$1:M377,M377,$N$1:N377,N377))=1,"00"&amp;COUNTIFS($J$1:J377,$J377,$K$1:K377,$K377,$L$1:L377,$L377,$M$1:M377,M377,$N$1:N377,N377),IF(LEN(COUNTIFS($J$1:J377,$J377,$K$1:K377,$K377,$L$1:L377,$L377,$M$1:M377,M377,$N$1:N377,N377))=2,"0"&amp;COUNTIFS($J$1:J377,$J377,$K$1:K377,$K377,$L$1:L377,$L377,$M$1:M377,M377,$N$1:N377,N377),COUNTIFS($J$1:J377,$J377,$K$1:K377,$K377,$L$1:L377,$L377,$M$1:M377,M377,$N$1:N377,N377)))</f>
        <v>012</v>
      </c>
      <c r="P37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MS-NS-011-29-12012-INV</v>
      </c>
      <c r="Q377" s="59"/>
      <c r="R377" s="34" t="s">
        <v>6174</v>
      </c>
      <c r="S377" s="34" t="s">
        <v>1223</v>
      </c>
      <c r="T377" s="34">
        <f>+IFERROR(_xlfn.XLOOKUP(Table43[[#This Row],[Column1]],#REF!,#REF!),0)</f>
        <v>0</v>
      </c>
      <c r="U377" s="50">
        <f>IFERROR(_xlfn.XLOOKUP(Table43[[#This Row],[Column1]],#REF!,#REF!),0)</f>
        <v>0</v>
      </c>
      <c r="V377" s="39"/>
    </row>
    <row r="378" spans="1:22" x14ac:dyDescent="0.35">
      <c r="A378" s="2" t="s">
        <v>1224</v>
      </c>
      <c r="B378" s="2" t="s">
        <v>1225</v>
      </c>
      <c r="C378" s="2" t="s">
        <v>15</v>
      </c>
      <c r="D378" s="2">
        <v>360</v>
      </c>
      <c r="E378" s="2" t="s">
        <v>10</v>
      </c>
      <c r="F378" s="3">
        <v>0</v>
      </c>
      <c r="G378" s="3">
        <v>2</v>
      </c>
      <c r="H378" s="2">
        <v>1</v>
      </c>
      <c r="I378" s="22">
        <f>Table43[[#This Row],[Item Cost]]*Table43[[#This Row],[In Stock]]</f>
        <v>360</v>
      </c>
      <c r="J378" s="12" t="s">
        <v>4941</v>
      </c>
      <c r="K378" s="13" t="s">
        <v>4666</v>
      </c>
      <c r="L378" s="13" t="s">
        <v>4755</v>
      </c>
      <c r="M378" s="13" t="s">
        <v>4844</v>
      </c>
      <c r="N378" s="12" t="s">
        <v>4855</v>
      </c>
      <c r="O378" s="17" t="str">
        <f>IF(LEN(COUNTIFS($J$1:J378,$J378,$K$1:K378,$K378,$L$1:L378,$L378,$M$1:M378,M378,$N$1:N378,N378))=1,"00"&amp;COUNTIFS($J$1:J378,$J378,$K$1:K378,$K378,$L$1:L378,$L378,$M$1:M378,M378,$N$1:N378,N378),IF(LEN(COUNTIFS($J$1:J378,$J378,$K$1:K378,$K378,$L$1:L378,$L378,$M$1:M378,M378,$N$1:N378,N378))=2,"0"&amp;COUNTIFS($J$1:J378,$J378,$K$1:K378,$K378,$L$1:L378,$L378,$M$1:M378,M378,$N$1:N378,N378),COUNTIFS($J$1:J378,$J378,$K$1:K378,$K378,$L$1:L378,$L378,$M$1:M378,M378,$N$1:N378,N378)))</f>
        <v>013</v>
      </c>
      <c r="P37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MS-NS-011-29-12013-INV</v>
      </c>
      <c r="Q378" s="59"/>
      <c r="R378" s="34" t="s">
        <v>6175</v>
      </c>
      <c r="S378" s="34" t="s">
        <v>1225</v>
      </c>
      <c r="T378" s="34">
        <f>+IFERROR(_xlfn.XLOOKUP(Table43[[#This Row],[Column1]],#REF!,#REF!),0)</f>
        <v>0</v>
      </c>
      <c r="U378" s="50">
        <f>IFERROR(_xlfn.XLOOKUP(Table43[[#This Row],[Column1]],#REF!,#REF!),0)</f>
        <v>0</v>
      </c>
      <c r="V378" s="39"/>
    </row>
    <row r="379" spans="1:22" x14ac:dyDescent="0.35">
      <c r="A379" s="3" t="s">
        <v>1226</v>
      </c>
      <c r="B379" s="3" t="s">
        <v>1227</v>
      </c>
      <c r="C379" s="3" t="s">
        <v>15</v>
      </c>
      <c r="D379" s="3">
        <v>170</v>
      </c>
      <c r="E379" s="3" t="s">
        <v>10</v>
      </c>
      <c r="F379" s="3">
        <v>0</v>
      </c>
      <c r="G379" s="3">
        <v>2</v>
      </c>
      <c r="H379" s="3">
        <v>2</v>
      </c>
      <c r="I379" s="21">
        <f>Table43[[#This Row],[Item Cost]]*Table43[[#This Row],[In Stock]]</f>
        <v>340</v>
      </c>
      <c r="J379" s="12" t="s">
        <v>4941</v>
      </c>
      <c r="K379" s="13" t="s">
        <v>4666</v>
      </c>
      <c r="L379" s="13" t="s">
        <v>4755</v>
      </c>
      <c r="M379" s="13" t="s">
        <v>4844</v>
      </c>
      <c r="N379" s="12" t="s">
        <v>4855</v>
      </c>
      <c r="O379" s="17" t="str">
        <f>IF(LEN(COUNTIFS($J$1:J379,$J379,$K$1:K379,$K379,$L$1:L379,$L379,$M$1:M379,M379,$N$1:N379,N379))=1,"00"&amp;COUNTIFS($J$1:J379,$J379,$K$1:K379,$K379,$L$1:L379,$L379,$M$1:M379,M379,$N$1:N379,N379),IF(LEN(COUNTIFS($J$1:J379,$J379,$K$1:K379,$K379,$L$1:L379,$L379,$M$1:M379,M379,$N$1:N379,N379))=2,"0"&amp;COUNTIFS($J$1:J379,$J379,$K$1:K379,$K379,$L$1:L379,$L379,$M$1:M379,M379,$N$1:N379,N379),COUNTIFS($J$1:J379,$J379,$K$1:K379,$K379,$L$1:L379,$L379,$M$1:M379,M379,$N$1:N379,N379)))</f>
        <v>014</v>
      </c>
      <c r="P37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MS-NS-011-29-12014-INV</v>
      </c>
      <c r="Q379" s="59"/>
      <c r="R379" s="34" t="s">
        <v>6176</v>
      </c>
      <c r="S379" s="34" t="s">
        <v>1227</v>
      </c>
      <c r="T379" s="34">
        <f>+IFERROR(_xlfn.XLOOKUP(Table43[[#This Row],[Column1]],#REF!,#REF!),0)</f>
        <v>0</v>
      </c>
      <c r="U379" s="50">
        <f>IFERROR(_xlfn.XLOOKUP(Table43[[#This Row],[Column1]],#REF!,#REF!),0)</f>
        <v>0</v>
      </c>
      <c r="V379" s="39"/>
    </row>
    <row r="380" spans="1:22" x14ac:dyDescent="0.35">
      <c r="A380" s="3" t="s">
        <v>1228</v>
      </c>
      <c r="B380" s="2" t="s">
        <v>1229</v>
      </c>
      <c r="C380" s="2" t="s">
        <v>15</v>
      </c>
      <c r="D380" s="4">
        <v>1180</v>
      </c>
      <c r="E380" s="2" t="s">
        <v>10</v>
      </c>
      <c r="F380" s="3">
        <v>0</v>
      </c>
      <c r="G380" s="3">
        <v>2</v>
      </c>
      <c r="H380" s="2">
        <v>1</v>
      </c>
      <c r="I380" s="22">
        <f>Table43[[#This Row],[Item Cost]]*Table43[[#This Row],[In Stock]]</f>
        <v>1180</v>
      </c>
      <c r="J380" s="12" t="s">
        <v>4941</v>
      </c>
      <c r="K380" s="13" t="s">
        <v>4666</v>
      </c>
      <c r="L380" s="13" t="s">
        <v>4755</v>
      </c>
      <c r="M380" s="13" t="s">
        <v>4844</v>
      </c>
      <c r="N380" s="12" t="s">
        <v>4855</v>
      </c>
      <c r="O380" s="17" t="str">
        <f>IF(LEN(COUNTIFS($J$1:J380,$J380,$K$1:K380,$K380,$L$1:L380,$L380,$M$1:M380,M380,$N$1:N380,N380))=1,"00"&amp;COUNTIFS($J$1:J380,$J380,$K$1:K380,$K380,$L$1:L380,$L380,$M$1:M380,M380,$N$1:N380,N380),IF(LEN(COUNTIFS($J$1:J380,$J380,$K$1:K380,$K380,$L$1:L380,$L380,$M$1:M380,M380,$N$1:N380,N380))=2,"0"&amp;COUNTIFS($J$1:J380,$J380,$K$1:K380,$K380,$L$1:L380,$L380,$M$1:M380,M380,$N$1:N380,N380),COUNTIFS($J$1:J380,$J380,$K$1:K380,$K380,$L$1:L380,$L380,$M$1:M380,M380,$N$1:N380,N380)))</f>
        <v>015</v>
      </c>
      <c r="P38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MS-NS-011-29-12015-INV</v>
      </c>
      <c r="Q380" s="59"/>
      <c r="R380" s="34" t="s">
        <v>6177</v>
      </c>
      <c r="S380" s="34" t="s">
        <v>1229</v>
      </c>
      <c r="T380" s="34">
        <f>+IFERROR(_xlfn.XLOOKUP(Table43[[#This Row],[Column1]],#REF!,#REF!),0)</f>
        <v>0</v>
      </c>
      <c r="U380" s="50">
        <f>IFERROR(_xlfn.XLOOKUP(Table43[[#This Row],[Column1]],#REF!,#REF!),0)</f>
        <v>0</v>
      </c>
      <c r="V380" s="39"/>
    </row>
    <row r="381" spans="1:22" x14ac:dyDescent="0.35">
      <c r="A381" s="2" t="s">
        <v>1230</v>
      </c>
      <c r="B381" s="3" t="s">
        <v>1231</v>
      </c>
      <c r="C381" s="3" t="s">
        <v>15</v>
      </c>
      <c r="D381" s="3">
        <v>90</v>
      </c>
      <c r="E381" s="3" t="s">
        <v>10</v>
      </c>
      <c r="F381" s="3">
        <v>0</v>
      </c>
      <c r="G381" s="3">
        <v>2</v>
      </c>
      <c r="H381" s="3">
        <v>5</v>
      </c>
      <c r="I381" s="21">
        <f>Table43[[#This Row],[Item Cost]]*Table43[[#This Row],[In Stock]]</f>
        <v>450</v>
      </c>
      <c r="J381" s="12" t="s">
        <v>4941</v>
      </c>
      <c r="K381" s="13" t="s">
        <v>4666</v>
      </c>
      <c r="L381" s="13" t="s">
        <v>4755</v>
      </c>
      <c r="M381" s="13" t="s">
        <v>4844</v>
      </c>
      <c r="N381" s="12" t="s">
        <v>4855</v>
      </c>
      <c r="O381" s="17" t="str">
        <f>IF(LEN(COUNTIFS($J$1:J381,$J381,$K$1:K381,$K381,$L$1:L381,$L381,$M$1:M381,M381,$N$1:N381,N381))=1,"00"&amp;COUNTIFS($J$1:J381,$J381,$K$1:K381,$K381,$L$1:L381,$L381,$M$1:M381,M381,$N$1:N381,N381),IF(LEN(COUNTIFS($J$1:J381,$J381,$K$1:K381,$K381,$L$1:L381,$L381,$M$1:M381,M381,$N$1:N381,N381))=2,"0"&amp;COUNTIFS($J$1:J381,$J381,$K$1:K381,$K381,$L$1:L381,$L381,$M$1:M381,M381,$N$1:N381,N381),COUNTIFS($J$1:J381,$J381,$K$1:K381,$K381,$L$1:L381,$L381,$M$1:M381,M381,$N$1:N381,N381)))</f>
        <v>016</v>
      </c>
      <c r="P38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MS-NS-011-29-12016-INV</v>
      </c>
      <c r="Q381" s="59"/>
      <c r="R381" s="34" t="s">
        <v>6178</v>
      </c>
      <c r="S381" s="34" t="s">
        <v>1231</v>
      </c>
      <c r="T381" s="34">
        <f>+IFERROR(_xlfn.XLOOKUP(Table43[[#This Row],[Column1]],#REF!,#REF!),0)</f>
        <v>0</v>
      </c>
      <c r="U381" s="50">
        <f>IFERROR(_xlfn.XLOOKUP(Table43[[#This Row],[Column1]],#REF!,#REF!),0)</f>
        <v>0</v>
      </c>
      <c r="V381" s="39"/>
    </row>
    <row r="382" spans="1:22" x14ac:dyDescent="0.35">
      <c r="A382" s="3" t="s">
        <v>1232</v>
      </c>
      <c r="B382" s="2" t="s">
        <v>1233</v>
      </c>
      <c r="C382" s="2" t="s">
        <v>15</v>
      </c>
      <c r="D382" s="2">
        <v>390</v>
      </c>
      <c r="E382" s="2" t="s">
        <v>10</v>
      </c>
      <c r="F382" s="3">
        <v>0</v>
      </c>
      <c r="G382" s="3">
        <v>2</v>
      </c>
      <c r="H382" s="2">
        <v>1</v>
      </c>
      <c r="I382" s="22">
        <f>Table43[[#This Row],[Item Cost]]*Table43[[#This Row],[In Stock]]</f>
        <v>390</v>
      </c>
      <c r="J382" s="12" t="s">
        <v>4941</v>
      </c>
      <c r="K382" s="13" t="s">
        <v>4666</v>
      </c>
      <c r="L382" s="13" t="s">
        <v>4755</v>
      </c>
      <c r="M382" s="13" t="s">
        <v>4844</v>
      </c>
      <c r="N382" s="12" t="s">
        <v>4855</v>
      </c>
      <c r="O382" s="17" t="str">
        <f>IF(LEN(COUNTIFS($J$1:J382,$J382,$K$1:K382,$K382,$L$1:L382,$L382,$M$1:M382,M382,$N$1:N382,N382))=1,"00"&amp;COUNTIFS($J$1:J382,$J382,$K$1:K382,$K382,$L$1:L382,$L382,$M$1:M382,M382,$N$1:N382,N382),IF(LEN(COUNTIFS($J$1:J382,$J382,$K$1:K382,$K382,$L$1:L382,$L382,$M$1:M382,M382,$N$1:N382,N382))=2,"0"&amp;COUNTIFS($J$1:J382,$J382,$K$1:K382,$K382,$L$1:L382,$L382,$M$1:M382,M382,$N$1:N382,N382),COUNTIFS($J$1:J382,$J382,$K$1:K382,$K382,$L$1:L382,$L382,$M$1:M382,M382,$N$1:N382,N382)))</f>
        <v>017</v>
      </c>
      <c r="P38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MS-NS-011-29-12017-INV</v>
      </c>
      <c r="Q382" s="59"/>
      <c r="R382" s="34" t="s">
        <v>6179</v>
      </c>
      <c r="S382" s="34" t="s">
        <v>1233</v>
      </c>
      <c r="T382" s="34">
        <f>+IFERROR(_xlfn.XLOOKUP(Table43[[#This Row],[Column1]],#REF!,#REF!),0)</f>
        <v>0</v>
      </c>
      <c r="U382" s="50">
        <f>IFERROR(_xlfn.XLOOKUP(Table43[[#This Row],[Column1]],#REF!,#REF!),0)</f>
        <v>0</v>
      </c>
      <c r="V382" s="39"/>
    </row>
    <row r="383" spans="1:22" x14ac:dyDescent="0.35">
      <c r="A383" s="3" t="s">
        <v>1234</v>
      </c>
      <c r="B383" s="3" t="s">
        <v>1235</v>
      </c>
      <c r="C383" s="3" t="s">
        <v>15</v>
      </c>
      <c r="D383" s="5">
        <v>1180</v>
      </c>
      <c r="E383" s="3" t="s">
        <v>10</v>
      </c>
      <c r="F383" s="3">
        <v>0</v>
      </c>
      <c r="G383" s="3">
        <v>2</v>
      </c>
      <c r="H383" s="3">
        <v>1</v>
      </c>
      <c r="I383" s="21">
        <f>Table43[[#This Row],[Item Cost]]*Table43[[#This Row],[In Stock]]</f>
        <v>1180</v>
      </c>
      <c r="J383" s="12" t="s">
        <v>4941</v>
      </c>
      <c r="K383" s="13" t="s">
        <v>4666</v>
      </c>
      <c r="L383" s="13" t="s">
        <v>4755</v>
      </c>
      <c r="M383" s="13" t="s">
        <v>4844</v>
      </c>
      <c r="N383" s="12" t="s">
        <v>4855</v>
      </c>
      <c r="O383" s="17" t="str">
        <f>IF(LEN(COUNTIFS($J$1:J383,$J383,$K$1:K383,$K383,$L$1:L383,$L383,$M$1:M383,M383,$N$1:N383,N383))=1,"00"&amp;COUNTIFS($J$1:J383,$J383,$K$1:K383,$K383,$L$1:L383,$L383,$M$1:M383,M383,$N$1:N383,N383),IF(LEN(COUNTIFS($J$1:J383,$J383,$K$1:K383,$K383,$L$1:L383,$L383,$M$1:M383,M383,$N$1:N383,N383))=2,"0"&amp;COUNTIFS($J$1:J383,$J383,$K$1:K383,$K383,$L$1:L383,$L383,$M$1:M383,M383,$N$1:N383,N383),COUNTIFS($J$1:J383,$J383,$K$1:K383,$K383,$L$1:L383,$L383,$M$1:M383,M383,$N$1:N383,N383)))</f>
        <v>018</v>
      </c>
      <c r="P38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MS-NS-011-29-12018-INV</v>
      </c>
      <c r="Q383" s="59"/>
      <c r="R383" s="34" t="s">
        <v>6180</v>
      </c>
      <c r="S383" s="34" t="s">
        <v>1235</v>
      </c>
      <c r="T383" s="34">
        <f>+IFERROR(_xlfn.XLOOKUP(Table43[[#This Row],[Column1]],#REF!,#REF!),0)</f>
        <v>0</v>
      </c>
      <c r="U383" s="50">
        <f>IFERROR(_xlfn.XLOOKUP(Table43[[#This Row],[Column1]],#REF!,#REF!),0)</f>
        <v>0</v>
      </c>
      <c r="V383" s="39"/>
    </row>
    <row r="384" spans="1:22" x14ac:dyDescent="0.35">
      <c r="A384" s="2" t="s">
        <v>1236</v>
      </c>
      <c r="B384" s="2" t="s">
        <v>1237</v>
      </c>
      <c r="C384" s="2" t="s">
        <v>15</v>
      </c>
      <c r="D384" s="2">
        <v>180</v>
      </c>
      <c r="E384" s="2" t="s">
        <v>10</v>
      </c>
      <c r="F384" s="3">
        <v>0</v>
      </c>
      <c r="G384" s="3">
        <v>2</v>
      </c>
      <c r="H384" s="2">
        <v>2</v>
      </c>
      <c r="I384" s="22">
        <f>Table43[[#This Row],[Item Cost]]*Table43[[#This Row],[In Stock]]</f>
        <v>360</v>
      </c>
      <c r="J384" s="12" t="s">
        <v>4941</v>
      </c>
      <c r="K384" s="13" t="s">
        <v>4666</v>
      </c>
      <c r="L384" s="13" t="s">
        <v>4755</v>
      </c>
      <c r="M384" s="13" t="s">
        <v>4844</v>
      </c>
      <c r="N384" s="12" t="s">
        <v>4855</v>
      </c>
      <c r="O384" s="17" t="str">
        <f>IF(LEN(COUNTIFS($J$1:J384,$J384,$K$1:K384,$K384,$L$1:L384,$L384,$M$1:M384,M384,$N$1:N384,N384))=1,"00"&amp;COUNTIFS($J$1:J384,$J384,$K$1:K384,$K384,$L$1:L384,$L384,$M$1:M384,M384,$N$1:N384,N384),IF(LEN(COUNTIFS($J$1:J384,$J384,$K$1:K384,$K384,$L$1:L384,$L384,$M$1:M384,M384,$N$1:N384,N384))=2,"0"&amp;COUNTIFS($J$1:J384,$J384,$K$1:K384,$K384,$L$1:L384,$L384,$M$1:M384,M384,$N$1:N384,N384),COUNTIFS($J$1:J384,$J384,$K$1:K384,$K384,$L$1:L384,$L384,$M$1:M384,M384,$N$1:N384,N384)))</f>
        <v>019</v>
      </c>
      <c r="P38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MS-NS-011-29-12019-INV</v>
      </c>
      <c r="Q384" s="59"/>
      <c r="R384" s="34" t="s">
        <v>6181</v>
      </c>
      <c r="S384" s="34" t="s">
        <v>1237</v>
      </c>
      <c r="T384" s="34">
        <f>+IFERROR(_xlfn.XLOOKUP(Table43[[#This Row],[Column1]],#REF!,#REF!),0)</f>
        <v>0</v>
      </c>
      <c r="U384" s="50">
        <f>IFERROR(_xlfn.XLOOKUP(Table43[[#This Row],[Column1]],#REF!,#REF!),0)</f>
        <v>0</v>
      </c>
      <c r="V384" s="39"/>
    </row>
    <row r="385" spans="1:22" x14ac:dyDescent="0.35">
      <c r="A385" s="3" t="s">
        <v>1238</v>
      </c>
      <c r="B385" s="3" t="s">
        <v>1239</v>
      </c>
      <c r="C385" s="3" t="s">
        <v>15</v>
      </c>
      <c r="D385" s="3">
        <v>56</v>
      </c>
      <c r="E385" s="3" t="s">
        <v>10</v>
      </c>
      <c r="F385" s="3">
        <v>0</v>
      </c>
      <c r="G385" s="3">
        <v>2</v>
      </c>
      <c r="H385" s="3">
        <v>6</v>
      </c>
      <c r="I385" s="21">
        <f>Table43[[#This Row],[Item Cost]]*Table43[[#This Row],[In Stock]]</f>
        <v>336</v>
      </c>
      <c r="J385" s="12" t="s">
        <v>4941</v>
      </c>
      <c r="K385" s="13" t="s">
        <v>4666</v>
      </c>
      <c r="L385" s="13" t="s">
        <v>4755</v>
      </c>
      <c r="M385" s="13" t="s">
        <v>4844</v>
      </c>
      <c r="N385" s="12" t="s">
        <v>4855</v>
      </c>
      <c r="O385" s="17" t="str">
        <f>IF(LEN(COUNTIFS($J$1:J385,$J385,$K$1:K385,$K385,$L$1:L385,$L385,$M$1:M385,M385,$N$1:N385,N385))=1,"00"&amp;COUNTIFS($J$1:J385,$J385,$K$1:K385,$K385,$L$1:L385,$L385,$M$1:M385,M385,$N$1:N385,N385),IF(LEN(COUNTIFS($J$1:J385,$J385,$K$1:K385,$K385,$L$1:L385,$L385,$M$1:M385,M385,$N$1:N385,N385))=2,"0"&amp;COUNTIFS($J$1:J385,$J385,$K$1:K385,$K385,$L$1:L385,$L385,$M$1:M385,M385,$N$1:N385,N385),COUNTIFS($J$1:J385,$J385,$K$1:K385,$K385,$L$1:L385,$L385,$M$1:M385,M385,$N$1:N385,N385)))</f>
        <v>020</v>
      </c>
      <c r="P38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MS-NS-011-29-12020-INV</v>
      </c>
      <c r="Q385" s="59"/>
      <c r="R385" s="34" t="s">
        <v>6182</v>
      </c>
      <c r="S385" s="34" t="s">
        <v>1239</v>
      </c>
      <c r="T385" s="34">
        <f>+IFERROR(_xlfn.XLOOKUP(Table43[[#This Row],[Column1]],#REF!,#REF!),0)</f>
        <v>0</v>
      </c>
      <c r="U385" s="50">
        <f>IFERROR(_xlfn.XLOOKUP(Table43[[#This Row],[Column1]],#REF!,#REF!),0)</f>
        <v>0</v>
      </c>
      <c r="V385" s="39"/>
    </row>
    <row r="386" spans="1:22" x14ac:dyDescent="0.35">
      <c r="A386" s="3" t="s">
        <v>1240</v>
      </c>
      <c r="B386" s="2" t="s">
        <v>1241</v>
      </c>
      <c r="C386" s="2" t="s">
        <v>15</v>
      </c>
      <c r="D386" s="2">
        <v>90</v>
      </c>
      <c r="E386" s="2" t="s">
        <v>10</v>
      </c>
      <c r="F386" s="3">
        <v>0</v>
      </c>
      <c r="G386" s="3">
        <v>2</v>
      </c>
      <c r="H386" s="2">
        <v>5</v>
      </c>
      <c r="I386" s="22">
        <f>Table43[[#This Row],[Item Cost]]*Table43[[#This Row],[In Stock]]</f>
        <v>450</v>
      </c>
      <c r="J386" s="12" t="s">
        <v>4941</v>
      </c>
      <c r="K386" s="13" t="s">
        <v>4666</v>
      </c>
      <c r="L386" s="13" t="s">
        <v>4755</v>
      </c>
      <c r="M386" s="13" t="s">
        <v>4844</v>
      </c>
      <c r="N386" s="12" t="s">
        <v>4855</v>
      </c>
      <c r="O386" s="17" t="str">
        <f>IF(LEN(COUNTIFS($J$1:J386,$J386,$K$1:K386,$K386,$L$1:L386,$L386,$M$1:M386,M386,$N$1:N386,N386))=1,"00"&amp;COUNTIFS($J$1:J386,$J386,$K$1:K386,$K386,$L$1:L386,$L386,$M$1:M386,M386,$N$1:N386,N386),IF(LEN(COUNTIFS($J$1:J386,$J386,$K$1:K386,$K386,$L$1:L386,$L386,$M$1:M386,M386,$N$1:N386,N386))=2,"0"&amp;COUNTIFS($J$1:J386,$J386,$K$1:K386,$K386,$L$1:L386,$L386,$M$1:M386,M386,$N$1:N386,N386),COUNTIFS($J$1:J386,$J386,$K$1:K386,$K386,$L$1:L386,$L386,$M$1:M386,M386,$N$1:N386,N386)))</f>
        <v>021</v>
      </c>
      <c r="P38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MS-NS-011-29-12021-INV</v>
      </c>
      <c r="Q386" s="59"/>
      <c r="R386" s="34" t="s">
        <v>6183</v>
      </c>
      <c r="S386" s="34" t="s">
        <v>1241</v>
      </c>
      <c r="T386" s="34">
        <f>+IFERROR(_xlfn.XLOOKUP(Table43[[#This Row],[Column1]],#REF!,#REF!),0)</f>
        <v>0</v>
      </c>
      <c r="U386" s="50">
        <f>IFERROR(_xlfn.XLOOKUP(Table43[[#This Row],[Column1]],#REF!,#REF!),0)</f>
        <v>0</v>
      </c>
      <c r="V386" s="39"/>
    </row>
    <row r="387" spans="1:22" x14ac:dyDescent="0.35">
      <c r="A387" s="2" t="s">
        <v>1242</v>
      </c>
      <c r="B387" s="3" t="s">
        <v>1243</v>
      </c>
      <c r="C387" s="3" t="s">
        <v>15</v>
      </c>
      <c r="D387" s="3">
        <v>50</v>
      </c>
      <c r="E387" s="3" t="s">
        <v>10</v>
      </c>
      <c r="F387" s="3">
        <v>0</v>
      </c>
      <c r="G387" s="3">
        <v>2</v>
      </c>
      <c r="H387" s="3">
        <v>10</v>
      </c>
      <c r="I387" s="21">
        <f>Table43[[#This Row],[Item Cost]]*Table43[[#This Row],[In Stock]]</f>
        <v>500</v>
      </c>
      <c r="J387" s="12" t="s">
        <v>4941</v>
      </c>
      <c r="K387" s="13" t="s">
        <v>4666</v>
      </c>
      <c r="L387" s="13" t="s">
        <v>4755</v>
      </c>
      <c r="M387" s="13" t="s">
        <v>4844</v>
      </c>
      <c r="N387" s="12" t="s">
        <v>4855</v>
      </c>
      <c r="O387" s="17" t="str">
        <f>IF(LEN(COUNTIFS($J$1:J387,$J387,$K$1:K387,$K387,$L$1:L387,$L387,$M$1:M387,M387,$N$1:N387,N387))=1,"00"&amp;COUNTIFS($J$1:J387,$J387,$K$1:K387,$K387,$L$1:L387,$L387,$M$1:M387,M387,$N$1:N387,N387),IF(LEN(COUNTIFS($J$1:J387,$J387,$K$1:K387,$K387,$L$1:L387,$L387,$M$1:M387,M387,$N$1:N387,N387))=2,"0"&amp;COUNTIFS($J$1:J387,$J387,$K$1:K387,$K387,$L$1:L387,$L387,$M$1:M387,M387,$N$1:N387,N387),COUNTIFS($J$1:J387,$J387,$K$1:K387,$K387,$L$1:L387,$L387,$M$1:M387,M387,$N$1:N387,N387)))</f>
        <v>022</v>
      </c>
      <c r="P38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MS-NS-011-29-12022-INV</v>
      </c>
      <c r="Q387" s="59"/>
      <c r="R387" s="34" t="s">
        <v>6184</v>
      </c>
      <c r="S387" s="34" t="s">
        <v>1243</v>
      </c>
      <c r="T387" s="34">
        <f>+IFERROR(_xlfn.XLOOKUP(Table43[[#This Row],[Column1]],#REF!,#REF!),0)</f>
        <v>0</v>
      </c>
      <c r="U387" s="50">
        <f>IFERROR(_xlfn.XLOOKUP(Table43[[#This Row],[Column1]],#REF!,#REF!),0)</f>
        <v>0</v>
      </c>
      <c r="V387" s="39"/>
    </row>
    <row r="388" spans="1:22" x14ac:dyDescent="0.35">
      <c r="A388" s="3" t="s">
        <v>1244</v>
      </c>
      <c r="B388" s="2" t="s">
        <v>1245</v>
      </c>
      <c r="C388" s="2" t="s">
        <v>15</v>
      </c>
      <c r="D388" s="2">
        <v>195</v>
      </c>
      <c r="E388" s="2" t="s">
        <v>10</v>
      </c>
      <c r="F388" s="3">
        <v>0</v>
      </c>
      <c r="G388" s="3">
        <v>2</v>
      </c>
      <c r="H388" s="2">
        <v>1</v>
      </c>
      <c r="I388" s="22">
        <f>Table43[[#This Row],[Item Cost]]*Table43[[#This Row],[In Stock]]</f>
        <v>195</v>
      </c>
      <c r="J388" s="12" t="s">
        <v>4941</v>
      </c>
      <c r="K388" s="13" t="s">
        <v>4666</v>
      </c>
      <c r="L388" s="13" t="s">
        <v>4755</v>
      </c>
      <c r="M388" s="13" t="s">
        <v>4844</v>
      </c>
      <c r="N388" s="12" t="s">
        <v>4855</v>
      </c>
      <c r="O388" s="17" t="str">
        <f>IF(LEN(COUNTIFS($J$1:J388,$J388,$K$1:K388,$K388,$L$1:L388,$L388,$M$1:M388,M388,$N$1:N388,N388))=1,"00"&amp;COUNTIFS($J$1:J388,$J388,$K$1:K388,$K388,$L$1:L388,$L388,$M$1:M388,M388,$N$1:N388,N388),IF(LEN(COUNTIFS($J$1:J388,$J388,$K$1:K388,$K388,$L$1:L388,$L388,$M$1:M388,M388,$N$1:N388,N388))=2,"0"&amp;COUNTIFS($J$1:J388,$J388,$K$1:K388,$K388,$L$1:L388,$L388,$M$1:M388,M388,$N$1:N388,N388),COUNTIFS($J$1:J388,$J388,$K$1:K388,$K388,$L$1:L388,$L388,$M$1:M388,M388,$N$1:N388,N388)))</f>
        <v>023</v>
      </c>
      <c r="P38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MS-NS-011-29-12023-INV</v>
      </c>
      <c r="Q388" s="59"/>
      <c r="R388" s="34" t="s">
        <v>6185</v>
      </c>
      <c r="S388" s="34" t="s">
        <v>1245</v>
      </c>
      <c r="T388" s="34">
        <f>+IFERROR(_xlfn.XLOOKUP(Table43[[#This Row],[Column1]],#REF!,#REF!),0)</f>
        <v>0</v>
      </c>
      <c r="U388" s="50">
        <f>IFERROR(_xlfn.XLOOKUP(Table43[[#This Row],[Column1]],#REF!,#REF!),0)</f>
        <v>0</v>
      </c>
      <c r="V388" s="39"/>
    </row>
    <row r="389" spans="1:22" x14ac:dyDescent="0.35">
      <c r="A389" s="3" t="s">
        <v>1246</v>
      </c>
      <c r="B389" s="3" t="s">
        <v>1247</v>
      </c>
      <c r="C389" s="3" t="s">
        <v>15</v>
      </c>
      <c r="D389" s="3">
        <v>90</v>
      </c>
      <c r="E389" s="3" t="s">
        <v>10</v>
      </c>
      <c r="F389" s="3">
        <v>0</v>
      </c>
      <c r="G389" s="3">
        <v>2</v>
      </c>
      <c r="H389" s="3">
        <v>4</v>
      </c>
      <c r="I389" s="21">
        <f>Table43[[#This Row],[Item Cost]]*Table43[[#This Row],[In Stock]]</f>
        <v>360</v>
      </c>
      <c r="J389" s="12" t="s">
        <v>4941</v>
      </c>
      <c r="K389" s="13" t="s">
        <v>4666</v>
      </c>
      <c r="L389" s="13" t="s">
        <v>4755</v>
      </c>
      <c r="M389" s="13" t="s">
        <v>4844</v>
      </c>
      <c r="N389" s="12" t="s">
        <v>4855</v>
      </c>
      <c r="O389" s="17" t="str">
        <f>IF(LEN(COUNTIFS($J$1:J389,$J389,$K$1:K389,$K389,$L$1:L389,$L389,$M$1:M389,M389,$N$1:N389,N389))=1,"00"&amp;COUNTIFS($J$1:J389,$J389,$K$1:K389,$K389,$L$1:L389,$L389,$M$1:M389,M389,$N$1:N389,N389),IF(LEN(COUNTIFS($J$1:J389,$J389,$K$1:K389,$K389,$L$1:L389,$L389,$M$1:M389,M389,$N$1:N389,N389))=2,"0"&amp;COUNTIFS($J$1:J389,$J389,$K$1:K389,$K389,$L$1:L389,$L389,$M$1:M389,M389,$N$1:N389,N389),COUNTIFS($J$1:J389,$J389,$K$1:K389,$K389,$L$1:L389,$L389,$M$1:M389,M389,$N$1:N389,N389)))</f>
        <v>024</v>
      </c>
      <c r="P38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MS-NS-011-29-12024-INV</v>
      </c>
      <c r="Q389" s="59"/>
      <c r="R389" s="34" t="s">
        <v>6186</v>
      </c>
      <c r="S389" s="34" t="s">
        <v>1247</v>
      </c>
      <c r="T389" s="34">
        <f>+IFERROR(_xlfn.XLOOKUP(Table43[[#This Row],[Column1]],#REF!,#REF!),0)</f>
        <v>0</v>
      </c>
      <c r="U389" s="50">
        <f>IFERROR(_xlfn.XLOOKUP(Table43[[#This Row],[Column1]],#REF!,#REF!),0)</f>
        <v>0</v>
      </c>
      <c r="V389" s="39"/>
    </row>
    <row r="390" spans="1:22" x14ac:dyDescent="0.35">
      <c r="A390" s="2" t="s">
        <v>1248</v>
      </c>
      <c r="B390" s="2" t="s">
        <v>1249</v>
      </c>
      <c r="C390" s="2" t="s">
        <v>15</v>
      </c>
      <c r="D390" s="2">
        <v>450</v>
      </c>
      <c r="E390" s="2" t="s">
        <v>10</v>
      </c>
      <c r="F390" s="3">
        <v>0</v>
      </c>
      <c r="G390" s="3">
        <v>2</v>
      </c>
      <c r="H390" s="2">
        <v>2</v>
      </c>
      <c r="I390" s="22">
        <f>Table43[[#This Row],[Item Cost]]*Table43[[#This Row],[In Stock]]</f>
        <v>900</v>
      </c>
      <c r="J390" s="12" t="s">
        <v>4941</v>
      </c>
      <c r="K390" s="13" t="s">
        <v>4666</v>
      </c>
      <c r="L390" s="13" t="s">
        <v>4755</v>
      </c>
      <c r="M390" s="13" t="s">
        <v>4844</v>
      </c>
      <c r="N390" s="12" t="s">
        <v>4855</v>
      </c>
      <c r="O390" s="17" t="str">
        <f>IF(LEN(COUNTIFS($J$1:J390,$J390,$K$1:K390,$K390,$L$1:L390,$L390,$M$1:M390,M390,$N$1:N390,N390))=1,"00"&amp;COUNTIFS($J$1:J390,$J390,$K$1:K390,$K390,$L$1:L390,$L390,$M$1:M390,M390,$N$1:N390,N390),IF(LEN(COUNTIFS($J$1:J390,$J390,$K$1:K390,$K390,$L$1:L390,$L390,$M$1:M390,M390,$N$1:N390,N390))=2,"0"&amp;COUNTIFS($J$1:J390,$J390,$K$1:K390,$K390,$L$1:L390,$L390,$M$1:M390,M390,$N$1:N390,N390),COUNTIFS($J$1:J390,$J390,$K$1:K390,$K390,$L$1:L390,$L390,$M$1:M390,M390,$N$1:N390,N390)))</f>
        <v>025</v>
      </c>
      <c r="P39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MS-NS-011-29-12025-INV</v>
      </c>
      <c r="Q390" s="59"/>
      <c r="R390" s="34" t="s">
        <v>6187</v>
      </c>
      <c r="S390" s="34" t="s">
        <v>1249</v>
      </c>
      <c r="T390" s="34">
        <f>+IFERROR(_xlfn.XLOOKUP(Table43[[#This Row],[Column1]],#REF!,#REF!),0)</f>
        <v>0</v>
      </c>
      <c r="U390" s="50">
        <f>IFERROR(_xlfn.XLOOKUP(Table43[[#This Row],[Column1]],#REF!,#REF!),0)</f>
        <v>0</v>
      </c>
      <c r="V390" s="39"/>
    </row>
    <row r="391" spans="1:22" x14ac:dyDescent="0.35">
      <c r="A391" s="3" t="s">
        <v>1250</v>
      </c>
      <c r="B391" s="3" t="s">
        <v>1251</v>
      </c>
      <c r="C391" s="3" t="s">
        <v>15</v>
      </c>
      <c r="D391" s="3">
        <v>2.3639999999999999</v>
      </c>
      <c r="E391" s="3" t="s">
        <v>10</v>
      </c>
      <c r="F391" s="3">
        <v>0</v>
      </c>
      <c r="G391" s="3">
        <v>2</v>
      </c>
      <c r="H391" s="3">
        <v>110</v>
      </c>
      <c r="I391" s="21">
        <f>Table43[[#This Row],[Item Cost]]*Table43[[#This Row],[In Stock]]</f>
        <v>260.03999999999996</v>
      </c>
      <c r="J391" s="12" t="s">
        <v>4941</v>
      </c>
      <c r="K391" s="13" t="s">
        <v>4666</v>
      </c>
      <c r="L391" s="13" t="s">
        <v>4755</v>
      </c>
      <c r="M391" s="13" t="s">
        <v>4844</v>
      </c>
      <c r="N391" s="12" t="s">
        <v>4855</v>
      </c>
      <c r="O391" s="17" t="str">
        <f>IF(LEN(COUNTIFS($J$1:J391,$J391,$K$1:K391,$K391,$L$1:L391,$L391,$M$1:M391,M391,$N$1:N391,N391))=1,"00"&amp;COUNTIFS($J$1:J391,$J391,$K$1:K391,$K391,$L$1:L391,$L391,$M$1:M391,M391,$N$1:N391,N391),IF(LEN(COUNTIFS($J$1:J391,$J391,$K$1:K391,$K391,$L$1:L391,$L391,$M$1:M391,M391,$N$1:N391,N391))=2,"0"&amp;COUNTIFS($J$1:J391,$J391,$K$1:K391,$K391,$L$1:L391,$L391,$M$1:M391,M391,$N$1:N391,N391),COUNTIFS($J$1:J391,$J391,$K$1:K391,$K391,$L$1:L391,$L391,$M$1:M391,M391,$N$1:N391,N391)))</f>
        <v>026</v>
      </c>
      <c r="P39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MS-NS-011-29-12026-INV</v>
      </c>
      <c r="Q391" s="59"/>
      <c r="R391" s="34" t="s">
        <v>6188</v>
      </c>
      <c r="S391" s="34" t="s">
        <v>1251</v>
      </c>
      <c r="T391" s="34">
        <f>+IFERROR(_xlfn.XLOOKUP(Table43[[#This Row],[Column1]],#REF!,#REF!),0)</f>
        <v>0</v>
      </c>
      <c r="U391" s="50">
        <f>IFERROR(_xlfn.XLOOKUP(Table43[[#This Row],[Column1]],#REF!,#REF!),0)</f>
        <v>0</v>
      </c>
      <c r="V391" s="39"/>
    </row>
    <row r="392" spans="1:22" x14ac:dyDescent="0.35">
      <c r="A392" s="3" t="s">
        <v>1252</v>
      </c>
      <c r="B392" s="2" t="s">
        <v>1253</v>
      </c>
      <c r="C392" s="2" t="s">
        <v>15</v>
      </c>
      <c r="D392" s="2">
        <v>22</v>
      </c>
      <c r="E392" s="2" t="s">
        <v>10</v>
      </c>
      <c r="F392" s="3">
        <v>0</v>
      </c>
      <c r="G392" s="3">
        <v>2</v>
      </c>
      <c r="H392" s="2">
        <v>10</v>
      </c>
      <c r="I392" s="22">
        <f>Table43[[#This Row],[Item Cost]]*Table43[[#This Row],[In Stock]]</f>
        <v>220</v>
      </c>
      <c r="J392" s="12" t="s">
        <v>4941</v>
      </c>
      <c r="K392" s="13" t="s">
        <v>4666</v>
      </c>
      <c r="L392" s="13" t="s">
        <v>4755</v>
      </c>
      <c r="M392" s="13" t="s">
        <v>4844</v>
      </c>
      <c r="N392" s="12" t="s">
        <v>4855</v>
      </c>
      <c r="O392" s="17" t="str">
        <f>IF(LEN(COUNTIFS($J$1:J392,$J392,$K$1:K392,$K392,$L$1:L392,$L392,$M$1:M392,M392,$N$1:N392,N392))=1,"00"&amp;COUNTIFS($J$1:J392,$J392,$K$1:K392,$K392,$L$1:L392,$L392,$M$1:M392,M392,$N$1:N392,N392),IF(LEN(COUNTIFS($J$1:J392,$J392,$K$1:K392,$K392,$L$1:L392,$L392,$M$1:M392,M392,$N$1:N392,N392))=2,"0"&amp;COUNTIFS($J$1:J392,$J392,$K$1:K392,$K392,$L$1:L392,$L392,$M$1:M392,M392,$N$1:N392,N392),COUNTIFS($J$1:J392,$J392,$K$1:K392,$K392,$L$1:L392,$L392,$M$1:M392,M392,$N$1:N392,N392)))</f>
        <v>027</v>
      </c>
      <c r="P39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MS-NS-011-29-12027-INV</v>
      </c>
      <c r="Q392" s="59"/>
      <c r="R392" s="34" t="s">
        <v>6189</v>
      </c>
      <c r="S392" s="34" t="s">
        <v>1253</v>
      </c>
      <c r="T392" s="34">
        <f>+IFERROR(_xlfn.XLOOKUP(Table43[[#This Row],[Column1]],#REF!,#REF!),0)</f>
        <v>0</v>
      </c>
      <c r="U392" s="50">
        <f>IFERROR(_xlfn.XLOOKUP(Table43[[#This Row],[Column1]],#REF!,#REF!),0)</f>
        <v>0</v>
      </c>
      <c r="V392" s="39"/>
    </row>
    <row r="393" spans="1:22" x14ac:dyDescent="0.35">
      <c r="A393" s="2" t="s">
        <v>1254</v>
      </c>
      <c r="B393" s="3" t="s">
        <v>1255</v>
      </c>
      <c r="C393" s="3" t="s">
        <v>15</v>
      </c>
      <c r="D393" s="3">
        <v>175</v>
      </c>
      <c r="E393" s="3" t="s">
        <v>10</v>
      </c>
      <c r="F393" s="3">
        <v>0</v>
      </c>
      <c r="G393" s="3">
        <v>2</v>
      </c>
      <c r="H393" s="3">
        <v>2</v>
      </c>
      <c r="I393" s="21">
        <f>Table43[[#This Row],[Item Cost]]*Table43[[#This Row],[In Stock]]</f>
        <v>350</v>
      </c>
      <c r="J393" s="12" t="s">
        <v>4941</v>
      </c>
      <c r="K393" s="13" t="s">
        <v>4666</v>
      </c>
      <c r="L393" s="13" t="s">
        <v>4755</v>
      </c>
      <c r="M393" s="13" t="s">
        <v>4844</v>
      </c>
      <c r="N393" s="12" t="s">
        <v>4855</v>
      </c>
      <c r="O393" s="17" t="str">
        <f>IF(LEN(COUNTIFS($J$1:J393,$J393,$K$1:K393,$K393,$L$1:L393,$L393,$M$1:M393,M393,$N$1:N393,N393))=1,"00"&amp;COUNTIFS($J$1:J393,$J393,$K$1:K393,$K393,$L$1:L393,$L393,$M$1:M393,M393,$N$1:N393,N393),IF(LEN(COUNTIFS($J$1:J393,$J393,$K$1:K393,$K393,$L$1:L393,$L393,$M$1:M393,M393,$N$1:N393,N393))=2,"0"&amp;COUNTIFS($J$1:J393,$J393,$K$1:K393,$K393,$L$1:L393,$L393,$M$1:M393,M393,$N$1:N393,N393),COUNTIFS($J$1:J393,$J393,$K$1:K393,$K393,$L$1:L393,$L393,$M$1:M393,M393,$N$1:N393,N393)))</f>
        <v>028</v>
      </c>
      <c r="P39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MS-NS-011-29-12028-INV</v>
      </c>
      <c r="Q393" s="59"/>
      <c r="R393" s="34" t="s">
        <v>6190</v>
      </c>
      <c r="S393" s="34" t="s">
        <v>1255</v>
      </c>
      <c r="T393" s="34">
        <f>+IFERROR(_xlfn.XLOOKUP(Table43[[#This Row],[Column1]],#REF!,#REF!),0)</f>
        <v>0</v>
      </c>
      <c r="U393" s="50">
        <f>IFERROR(_xlfn.XLOOKUP(Table43[[#This Row],[Column1]],#REF!,#REF!),0)</f>
        <v>0</v>
      </c>
      <c r="V393" s="39"/>
    </row>
    <row r="394" spans="1:22" x14ac:dyDescent="0.35">
      <c r="A394" s="3" t="s">
        <v>1256</v>
      </c>
      <c r="B394" s="2" t="s">
        <v>1257</v>
      </c>
      <c r="C394" s="2" t="s">
        <v>15</v>
      </c>
      <c r="D394" s="2">
        <v>130</v>
      </c>
      <c r="E394" s="2" t="s">
        <v>10</v>
      </c>
      <c r="F394" s="3">
        <v>0</v>
      </c>
      <c r="G394" s="3">
        <v>2</v>
      </c>
      <c r="H394" s="2">
        <v>6</v>
      </c>
      <c r="I394" s="22">
        <f>Table43[[#This Row],[Item Cost]]*Table43[[#This Row],[In Stock]]</f>
        <v>780</v>
      </c>
      <c r="J394" s="12" t="s">
        <v>4941</v>
      </c>
      <c r="K394" s="13" t="s">
        <v>4666</v>
      </c>
      <c r="L394" s="13" t="s">
        <v>4755</v>
      </c>
      <c r="M394" s="13" t="s">
        <v>4844</v>
      </c>
      <c r="N394" s="12" t="s">
        <v>4855</v>
      </c>
      <c r="O394" s="17" t="str">
        <f>IF(LEN(COUNTIFS($J$1:J394,$J394,$K$1:K394,$K394,$L$1:L394,$L394,$M$1:M394,M394,$N$1:N394,N394))=1,"00"&amp;COUNTIFS($J$1:J394,$J394,$K$1:K394,$K394,$L$1:L394,$L394,$M$1:M394,M394,$N$1:N394,N394),IF(LEN(COUNTIFS($J$1:J394,$J394,$K$1:K394,$K394,$L$1:L394,$L394,$M$1:M394,M394,$N$1:N394,N394))=2,"0"&amp;COUNTIFS($J$1:J394,$J394,$K$1:K394,$K394,$L$1:L394,$L394,$M$1:M394,M394,$N$1:N394,N394),COUNTIFS($J$1:J394,$J394,$K$1:K394,$K394,$L$1:L394,$L394,$M$1:M394,M394,$N$1:N394,N394)))</f>
        <v>029</v>
      </c>
      <c r="P39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MS-NS-011-29-12029-INV</v>
      </c>
      <c r="Q394" s="59"/>
      <c r="R394" s="34" t="s">
        <v>6191</v>
      </c>
      <c r="S394" s="34" t="s">
        <v>1257</v>
      </c>
      <c r="T394" s="34">
        <f>+IFERROR(_xlfn.XLOOKUP(Table43[[#This Row],[Column1]],#REF!,#REF!),0)</f>
        <v>0</v>
      </c>
      <c r="U394" s="50">
        <f>IFERROR(_xlfn.XLOOKUP(Table43[[#This Row],[Column1]],#REF!,#REF!),0)</f>
        <v>0</v>
      </c>
      <c r="V394" s="39"/>
    </row>
    <row r="395" spans="1:22" x14ac:dyDescent="0.35">
      <c r="A395" s="3" t="s">
        <v>1258</v>
      </c>
      <c r="B395" s="3" t="s">
        <v>1259</v>
      </c>
      <c r="C395" s="3" t="s">
        <v>15</v>
      </c>
      <c r="D395" s="3">
        <v>50</v>
      </c>
      <c r="E395" s="3" t="s">
        <v>10</v>
      </c>
      <c r="F395" s="3">
        <v>0</v>
      </c>
      <c r="G395" s="3">
        <v>2</v>
      </c>
      <c r="H395" s="3">
        <v>4</v>
      </c>
      <c r="I395" s="21">
        <f>Table43[[#This Row],[Item Cost]]*Table43[[#This Row],[In Stock]]</f>
        <v>200</v>
      </c>
      <c r="J395" s="12" t="s">
        <v>4941</v>
      </c>
      <c r="K395" s="13" t="s">
        <v>4666</v>
      </c>
      <c r="L395" s="13" t="s">
        <v>4755</v>
      </c>
      <c r="M395" s="13" t="s">
        <v>4844</v>
      </c>
      <c r="N395" s="12" t="s">
        <v>4855</v>
      </c>
      <c r="O395" s="17" t="str">
        <f>IF(LEN(COUNTIFS($J$1:J395,$J395,$K$1:K395,$K395,$L$1:L395,$L395,$M$1:M395,M395,$N$1:N395,N395))=1,"00"&amp;COUNTIFS($J$1:J395,$J395,$K$1:K395,$K395,$L$1:L395,$L395,$M$1:M395,M395,$N$1:N395,N395),IF(LEN(COUNTIFS($J$1:J395,$J395,$K$1:K395,$K395,$L$1:L395,$L395,$M$1:M395,M395,$N$1:N395,N395))=2,"0"&amp;COUNTIFS($J$1:J395,$J395,$K$1:K395,$K395,$L$1:L395,$L395,$M$1:M395,M395,$N$1:N395,N395),COUNTIFS($J$1:J395,$J395,$K$1:K395,$K395,$L$1:L395,$L395,$M$1:M395,M395,$N$1:N395,N395)))</f>
        <v>030</v>
      </c>
      <c r="P39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MS-NS-011-29-12030-INV</v>
      </c>
      <c r="Q395" s="59"/>
      <c r="R395" s="34" t="s">
        <v>6192</v>
      </c>
      <c r="S395" s="34" t="s">
        <v>1259</v>
      </c>
      <c r="T395" s="34">
        <f>+IFERROR(_xlfn.XLOOKUP(Table43[[#This Row],[Column1]],#REF!,#REF!),0)</f>
        <v>0</v>
      </c>
      <c r="U395" s="50">
        <f>IFERROR(_xlfn.XLOOKUP(Table43[[#This Row],[Column1]],#REF!,#REF!),0)</f>
        <v>0</v>
      </c>
      <c r="V395" s="39"/>
    </row>
    <row r="396" spans="1:22" x14ac:dyDescent="0.35">
      <c r="A396" s="2" t="s">
        <v>1260</v>
      </c>
      <c r="B396" s="2" t="s">
        <v>1261</v>
      </c>
      <c r="C396" s="2" t="s">
        <v>15</v>
      </c>
      <c r="D396" s="2">
        <v>50</v>
      </c>
      <c r="E396" s="2" t="s">
        <v>10</v>
      </c>
      <c r="F396" s="3">
        <v>0</v>
      </c>
      <c r="G396" s="3">
        <v>2</v>
      </c>
      <c r="H396" s="2">
        <v>4</v>
      </c>
      <c r="I396" s="22">
        <f>Table43[[#This Row],[Item Cost]]*Table43[[#This Row],[In Stock]]</f>
        <v>200</v>
      </c>
      <c r="J396" s="12" t="s">
        <v>4941</v>
      </c>
      <c r="K396" s="13" t="s">
        <v>4666</v>
      </c>
      <c r="L396" s="13" t="s">
        <v>4755</v>
      </c>
      <c r="M396" s="13" t="s">
        <v>4844</v>
      </c>
      <c r="N396" s="12" t="s">
        <v>4855</v>
      </c>
      <c r="O396" s="17" t="str">
        <f>IF(LEN(COUNTIFS($J$1:J396,$J396,$K$1:K396,$K396,$L$1:L396,$L396,$M$1:M396,M396,$N$1:N396,N396))=1,"00"&amp;COUNTIFS($J$1:J396,$J396,$K$1:K396,$K396,$L$1:L396,$L396,$M$1:M396,M396,$N$1:N396,N396),IF(LEN(COUNTIFS($J$1:J396,$J396,$K$1:K396,$K396,$L$1:L396,$L396,$M$1:M396,M396,$N$1:N396,N396))=2,"0"&amp;COUNTIFS($J$1:J396,$J396,$K$1:K396,$K396,$L$1:L396,$L396,$M$1:M396,M396,$N$1:N396,N396),COUNTIFS($J$1:J396,$J396,$K$1:K396,$K396,$L$1:L396,$L396,$M$1:M396,M396,$N$1:N396,N396)))</f>
        <v>031</v>
      </c>
      <c r="P39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MS-NS-011-29-12031-INV</v>
      </c>
      <c r="Q396" s="59"/>
      <c r="R396" s="34" t="s">
        <v>6193</v>
      </c>
      <c r="S396" s="34" t="s">
        <v>1261</v>
      </c>
      <c r="T396" s="34">
        <f>+IFERROR(_xlfn.XLOOKUP(Table43[[#This Row],[Column1]],#REF!,#REF!),0)</f>
        <v>0</v>
      </c>
      <c r="U396" s="50">
        <f>IFERROR(_xlfn.XLOOKUP(Table43[[#This Row],[Column1]],#REF!,#REF!),0)</f>
        <v>0</v>
      </c>
      <c r="V396" s="39"/>
    </row>
    <row r="397" spans="1:22" x14ac:dyDescent="0.35">
      <c r="A397" s="3" t="s">
        <v>1262</v>
      </c>
      <c r="B397" s="3" t="s">
        <v>1263</v>
      </c>
      <c r="C397" s="3" t="s">
        <v>15</v>
      </c>
      <c r="D397" s="3">
        <v>58</v>
      </c>
      <c r="E397" s="3" t="s">
        <v>10</v>
      </c>
      <c r="F397" s="3">
        <v>0</v>
      </c>
      <c r="G397" s="3">
        <v>2</v>
      </c>
      <c r="H397" s="3">
        <v>4</v>
      </c>
      <c r="I397" s="21">
        <f>Table43[[#This Row],[Item Cost]]*Table43[[#This Row],[In Stock]]</f>
        <v>232</v>
      </c>
      <c r="J397" s="12" t="s">
        <v>4941</v>
      </c>
      <c r="K397" s="13" t="s">
        <v>4666</v>
      </c>
      <c r="L397" s="13" t="s">
        <v>4755</v>
      </c>
      <c r="M397" s="13" t="s">
        <v>4844</v>
      </c>
      <c r="N397" s="12" t="s">
        <v>4855</v>
      </c>
      <c r="O397" s="17" t="str">
        <f>IF(LEN(COUNTIFS($J$1:J397,$J397,$K$1:K397,$K397,$L$1:L397,$L397,$M$1:M397,M397,$N$1:N397,N397))=1,"00"&amp;COUNTIFS($J$1:J397,$J397,$K$1:K397,$K397,$L$1:L397,$L397,$M$1:M397,M397,$N$1:N397,N397),IF(LEN(COUNTIFS($J$1:J397,$J397,$K$1:K397,$K397,$L$1:L397,$L397,$M$1:M397,M397,$N$1:N397,N397))=2,"0"&amp;COUNTIFS($J$1:J397,$J397,$K$1:K397,$K397,$L$1:L397,$L397,$M$1:M397,M397,$N$1:N397,N397),COUNTIFS($J$1:J397,$J397,$K$1:K397,$K397,$L$1:L397,$L397,$M$1:M397,M397,$N$1:N397,N397)))</f>
        <v>032</v>
      </c>
      <c r="P39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MS-NS-011-29-12032-INV</v>
      </c>
      <c r="Q397" s="59"/>
      <c r="R397" s="34" t="s">
        <v>6194</v>
      </c>
      <c r="S397" s="34" t="s">
        <v>1263</v>
      </c>
      <c r="T397" s="34">
        <f>+IFERROR(_xlfn.XLOOKUP(Table43[[#This Row],[Column1]],#REF!,#REF!),0)</f>
        <v>0</v>
      </c>
      <c r="U397" s="50">
        <f>IFERROR(_xlfn.XLOOKUP(Table43[[#This Row],[Column1]],#REF!,#REF!),0)</f>
        <v>0</v>
      </c>
      <c r="V397" s="39"/>
    </row>
    <row r="398" spans="1:22" x14ac:dyDescent="0.35">
      <c r="A398" s="3" t="s">
        <v>5270</v>
      </c>
      <c r="B398" s="3" t="s">
        <v>1343</v>
      </c>
      <c r="C398" s="3" t="s">
        <v>15</v>
      </c>
      <c r="D398" s="3">
        <v>30</v>
      </c>
      <c r="E398" s="3" t="s">
        <v>10</v>
      </c>
      <c r="F398" s="3">
        <v>1</v>
      </c>
      <c r="G398" s="3">
        <v>2</v>
      </c>
      <c r="H398" s="3">
        <v>6</v>
      </c>
      <c r="I398" s="21">
        <f>Table43[[#This Row],[Item Cost]]*Table43[[#This Row],[In Stock]]</f>
        <v>180</v>
      </c>
      <c r="J398" s="12" t="s">
        <v>4941</v>
      </c>
      <c r="K398" s="13" t="s">
        <v>4666</v>
      </c>
      <c r="L398" s="13" t="s">
        <v>4693</v>
      </c>
      <c r="M398" s="13" t="s">
        <v>4828</v>
      </c>
      <c r="N398" s="12" t="s">
        <v>4672</v>
      </c>
      <c r="O398" s="17" t="str">
        <f>IF(LEN(COUNTIFS($J$1:J398,$J398,$K$1:K398,$K398,$L$1:L398,$L398,$M$1:M398,M398,$N$1:N398,N398))=1,"00"&amp;COUNTIFS($J$1:J398,$J398,$K$1:K398,$K398,$L$1:L398,$L398,$M$1:M398,M398,$N$1:N398,N398),IF(LEN(COUNTIFS($J$1:J398,$J398,$K$1:K398,$K398,$L$1:L398,$L398,$M$1:M398,M398,$N$1:N398,N398))=2,"0"&amp;COUNTIFS($J$1:J398,$J398,$K$1:K398,$K398,$L$1:L398,$L398,$M$1:M398,M398,$N$1:N398,N398),COUNTIFS($J$1:J398,$J398,$K$1:K398,$K398,$L$1:L398,$L398,$M$1:M398,M398,$N$1:N398,N398)))</f>
        <v>001</v>
      </c>
      <c r="P39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MS-NS-012-13-00001-INV</v>
      </c>
      <c r="Q398" s="59"/>
      <c r="R398" s="34" t="s">
        <v>6195</v>
      </c>
      <c r="S398" s="34" t="s">
        <v>1343</v>
      </c>
      <c r="T398" s="34">
        <f>+IFERROR(_xlfn.XLOOKUP(Table43[[#This Row],[Column1]],#REF!,#REF!),0)</f>
        <v>0</v>
      </c>
      <c r="U398" s="50">
        <f>IFERROR(_xlfn.XLOOKUP(Table43[[#This Row],[Column1]],#REF!,#REF!),0)</f>
        <v>0</v>
      </c>
      <c r="V398" s="39"/>
    </row>
    <row r="399" spans="1:22" x14ac:dyDescent="0.35">
      <c r="A399" s="3" t="s">
        <v>5271</v>
      </c>
      <c r="B399" s="2" t="s">
        <v>1345</v>
      </c>
      <c r="C399" s="2" t="s">
        <v>15</v>
      </c>
      <c r="D399" s="2">
        <v>382.77</v>
      </c>
      <c r="E399" s="2" t="s">
        <v>10</v>
      </c>
      <c r="F399" s="2">
        <v>2</v>
      </c>
      <c r="G399" s="2">
        <v>3</v>
      </c>
      <c r="H399" s="2">
        <v>0</v>
      </c>
      <c r="I399" s="22">
        <f>Table43[[#This Row],[Item Cost]]*Table43[[#This Row],[In Stock]]</f>
        <v>0</v>
      </c>
      <c r="J399" s="12" t="s">
        <v>4941</v>
      </c>
      <c r="K399" s="13" t="s">
        <v>4666</v>
      </c>
      <c r="L399" s="13" t="s">
        <v>4693</v>
      </c>
      <c r="M399" s="13" t="s">
        <v>4693</v>
      </c>
      <c r="N399" s="12" t="s">
        <v>4672</v>
      </c>
      <c r="O399" s="17" t="str">
        <f>IF(LEN(COUNTIFS($J$1:J399,$J399,$K$1:K399,$K399,$L$1:L399,$L399,$M$1:M399,M399,$N$1:N399,N399))=1,"00"&amp;COUNTIFS($J$1:J399,$J399,$K$1:K399,$K399,$L$1:L399,$L399,$M$1:M399,M399,$N$1:N399,N399),IF(LEN(COUNTIFS($J$1:J399,$J399,$K$1:K399,$K399,$L$1:L399,$L399,$M$1:M399,M399,$N$1:N399,N399))=2,"0"&amp;COUNTIFS($J$1:J399,$J399,$K$1:K399,$K399,$L$1:L399,$L399,$M$1:M399,M399,$N$1:N399,N399),COUNTIFS($J$1:J399,$J399,$K$1:K399,$K399,$L$1:L399,$L399,$M$1:M399,M399,$N$1:N399,N399)))</f>
        <v>001</v>
      </c>
      <c r="P39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MS-NS-012-23-00001-INV</v>
      </c>
      <c r="Q399" s="59" t="s">
        <v>7350</v>
      </c>
      <c r="R399" s="34" t="s">
        <v>6196</v>
      </c>
      <c r="S399" s="34" t="s">
        <v>1345</v>
      </c>
      <c r="T399" s="34">
        <f>+IFERROR(_xlfn.XLOOKUP(Table43[[#This Row],[Column1]],#REF!,#REF!),0)</f>
        <v>0</v>
      </c>
      <c r="U399" s="50">
        <f>IFERROR(_xlfn.XLOOKUP(Table43[[#This Row],[Column1]],#REF!,#REF!),0)</f>
        <v>0</v>
      </c>
      <c r="V399" s="39"/>
    </row>
    <row r="400" spans="1:22" x14ac:dyDescent="0.35">
      <c r="A400" s="3" t="s">
        <v>5272</v>
      </c>
      <c r="B400" s="3" t="s">
        <v>1347</v>
      </c>
      <c r="C400" s="3" t="s">
        <v>15</v>
      </c>
      <c r="D400" s="3">
        <v>0</v>
      </c>
      <c r="E400" s="3" t="s">
        <v>10</v>
      </c>
      <c r="F400" s="3">
        <v>2</v>
      </c>
      <c r="G400" s="3">
        <v>10</v>
      </c>
      <c r="H400" s="3">
        <v>0</v>
      </c>
      <c r="I400" s="21">
        <f>Table43[[#This Row],[Item Cost]]*Table43[[#This Row],[In Stock]]</f>
        <v>0</v>
      </c>
      <c r="J400" s="12" t="s">
        <v>4941</v>
      </c>
      <c r="K400" s="13" t="s">
        <v>4666</v>
      </c>
      <c r="L400" s="13" t="s">
        <v>4693</v>
      </c>
      <c r="M400" s="13" t="s">
        <v>4693</v>
      </c>
      <c r="N400" s="12" t="s">
        <v>4672</v>
      </c>
      <c r="O400" s="17" t="str">
        <f>IF(LEN(COUNTIFS($J$1:J400,$J400,$K$1:K400,$K400,$L$1:L400,$L400,$M$1:M400,M400,$N$1:N400,N400))=1,"00"&amp;COUNTIFS($J$1:J400,$J400,$K$1:K400,$K400,$L$1:L400,$L400,$M$1:M400,M400,$N$1:N400,N400),IF(LEN(COUNTIFS($J$1:J400,$J400,$K$1:K400,$K400,$L$1:L400,$L400,$M$1:M400,M400,$N$1:N400,N400))=2,"0"&amp;COUNTIFS($J$1:J400,$J400,$K$1:K400,$K400,$L$1:L400,$L400,$M$1:M400,M400,$N$1:N400,N400),COUNTIFS($J$1:J400,$J400,$K$1:K400,$K400,$L$1:L400,$L400,$M$1:M400,M400,$N$1:N400,N400)))</f>
        <v>002</v>
      </c>
      <c r="P40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MS-NS-012-23-00002-INV</v>
      </c>
      <c r="Q400" s="59" t="s">
        <v>7337</v>
      </c>
      <c r="R400" s="34" t="s">
        <v>6197</v>
      </c>
      <c r="S400" s="34" t="s">
        <v>1347</v>
      </c>
      <c r="T400" s="34">
        <f>+IFERROR(_xlfn.XLOOKUP(Table43[[#This Row],[Column1]],#REF!,#REF!),0)</f>
        <v>0</v>
      </c>
      <c r="U400" s="50">
        <f>IFERROR(_xlfn.XLOOKUP(Table43[[#This Row],[Column1]],#REF!,#REF!),0)</f>
        <v>0</v>
      </c>
      <c r="V400" s="39"/>
    </row>
    <row r="401" spans="1:22" x14ac:dyDescent="0.35">
      <c r="A401" s="3" t="s">
        <v>5273</v>
      </c>
      <c r="B401" s="2" t="s">
        <v>1349</v>
      </c>
      <c r="C401" s="2" t="s">
        <v>15</v>
      </c>
      <c r="D401" s="2">
        <v>0</v>
      </c>
      <c r="E401" s="2" t="s">
        <v>10</v>
      </c>
      <c r="F401" s="2">
        <v>2</v>
      </c>
      <c r="G401" s="2">
        <v>10</v>
      </c>
      <c r="H401" s="2">
        <v>0</v>
      </c>
      <c r="I401" s="22">
        <f>Table43[[#This Row],[Item Cost]]*Table43[[#This Row],[In Stock]]</f>
        <v>0</v>
      </c>
      <c r="J401" s="12" t="s">
        <v>4941</v>
      </c>
      <c r="K401" s="13" t="s">
        <v>4666</v>
      </c>
      <c r="L401" s="13" t="s">
        <v>4693</v>
      </c>
      <c r="M401" s="13" t="s">
        <v>4693</v>
      </c>
      <c r="N401" s="12" t="s">
        <v>4672</v>
      </c>
      <c r="O401" s="17" t="str">
        <f>IF(LEN(COUNTIFS($J$1:J401,$J401,$K$1:K401,$K401,$L$1:L401,$L401,$M$1:M401,M401,$N$1:N401,N401))=1,"00"&amp;COUNTIFS($J$1:J401,$J401,$K$1:K401,$K401,$L$1:L401,$L401,$M$1:M401,M401,$N$1:N401,N401),IF(LEN(COUNTIFS($J$1:J401,$J401,$K$1:K401,$K401,$L$1:L401,$L401,$M$1:M401,M401,$N$1:N401,N401))=2,"0"&amp;COUNTIFS($J$1:J401,$J401,$K$1:K401,$K401,$L$1:L401,$L401,$M$1:M401,M401,$N$1:N401,N401),COUNTIFS($J$1:J401,$J401,$K$1:K401,$K401,$L$1:L401,$L401,$M$1:M401,M401,$N$1:N401,N401)))</f>
        <v>003</v>
      </c>
      <c r="P40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MS-NS-012-23-00003-INV</v>
      </c>
      <c r="Q401" s="59" t="s">
        <v>7337</v>
      </c>
      <c r="R401" s="34" t="s">
        <v>6198</v>
      </c>
      <c r="S401" s="34" t="s">
        <v>1349</v>
      </c>
      <c r="T401" s="34">
        <f>+IFERROR(_xlfn.XLOOKUP(Table43[[#This Row],[Column1]],#REF!,#REF!),0)</f>
        <v>0</v>
      </c>
      <c r="U401" s="50">
        <f>IFERROR(_xlfn.XLOOKUP(Table43[[#This Row],[Column1]],#REF!,#REF!),0)</f>
        <v>0</v>
      </c>
      <c r="V401" s="39"/>
    </row>
    <row r="402" spans="1:22" x14ac:dyDescent="0.35">
      <c r="A402" s="3" t="s">
        <v>5274</v>
      </c>
      <c r="B402" s="3" t="s">
        <v>1351</v>
      </c>
      <c r="C402" s="3" t="s">
        <v>15</v>
      </c>
      <c r="D402" s="3">
        <v>149</v>
      </c>
      <c r="E402" s="3" t="s">
        <v>10</v>
      </c>
      <c r="F402" s="3">
        <v>2</v>
      </c>
      <c r="G402" s="3">
        <v>10</v>
      </c>
      <c r="H402" s="3">
        <v>20</v>
      </c>
      <c r="I402" s="21">
        <f>Table43[[#This Row],[Item Cost]]*Table43[[#This Row],[In Stock]]</f>
        <v>2980</v>
      </c>
      <c r="J402" s="12" t="s">
        <v>4941</v>
      </c>
      <c r="K402" s="13" t="s">
        <v>4666</v>
      </c>
      <c r="L402" s="13" t="s">
        <v>4693</v>
      </c>
      <c r="M402" s="13" t="s">
        <v>4693</v>
      </c>
      <c r="N402" s="12" t="s">
        <v>4672</v>
      </c>
      <c r="O402" s="17" t="str">
        <f>IF(LEN(COUNTIFS($J$1:J402,$J402,$K$1:K402,$K402,$L$1:L402,$L402,$M$1:M402,M402,$N$1:N402,N402))=1,"00"&amp;COUNTIFS($J$1:J402,$J402,$K$1:K402,$K402,$L$1:L402,$L402,$M$1:M402,M402,$N$1:N402,N402),IF(LEN(COUNTIFS($J$1:J402,$J402,$K$1:K402,$K402,$L$1:L402,$L402,$M$1:M402,M402,$N$1:N402,N402))=2,"0"&amp;COUNTIFS($J$1:J402,$J402,$K$1:K402,$K402,$L$1:L402,$L402,$M$1:M402,M402,$N$1:N402,N402),COUNTIFS($J$1:J402,$J402,$K$1:K402,$K402,$L$1:L402,$L402,$M$1:M402,M402,$N$1:N402,N402)))</f>
        <v>004</v>
      </c>
      <c r="P40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MS-NS-012-23-00004-INV</v>
      </c>
      <c r="Q402" s="59" t="s">
        <v>7330</v>
      </c>
      <c r="R402" s="34" t="s">
        <v>6199</v>
      </c>
      <c r="S402" s="34" t="s">
        <v>1351</v>
      </c>
      <c r="T402" s="34">
        <f>+IFERROR(_xlfn.XLOOKUP(Table43[[#This Row],[Column1]],#REF!,#REF!),0)</f>
        <v>0</v>
      </c>
      <c r="U402" s="50">
        <f>IFERROR(_xlfn.XLOOKUP(Table43[[#This Row],[Column1]],#REF!,#REF!),0)</f>
        <v>0</v>
      </c>
      <c r="V402" s="39"/>
    </row>
    <row r="403" spans="1:22" x14ac:dyDescent="0.35">
      <c r="A403" s="3" t="s">
        <v>5275</v>
      </c>
      <c r="B403" s="2" t="s">
        <v>1353</v>
      </c>
      <c r="C403" s="2" t="s">
        <v>15</v>
      </c>
      <c r="D403" s="2">
        <v>52</v>
      </c>
      <c r="E403" s="2" t="s">
        <v>10</v>
      </c>
      <c r="F403" s="2">
        <v>2</v>
      </c>
      <c r="G403" s="2">
        <v>4</v>
      </c>
      <c r="H403" s="2">
        <v>2</v>
      </c>
      <c r="I403" s="22">
        <f>Table43[[#This Row],[Item Cost]]*Table43[[#This Row],[In Stock]]</f>
        <v>104</v>
      </c>
      <c r="J403" s="12" t="s">
        <v>4941</v>
      </c>
      <c r="K403" s="13" t="s">
        <v>4666</v>
      </c>
      <c r="L403" s="13" t="s">
        <v>4693</v>
      </c>
      <c r="M403" s="13" t="s">
        <v>4693</v>
      </c>
      <c r="N403" s="12" t="s">
        <v>4672</v>
      </c>
      <c r="O403" s="17" t="str">
        <f>IF(LEN(COUNTIFS($J$1:J403,$J403,$K$1:K403,$K403,$L$1:L403,$L403,$M$1:M403,M403,$N$1:N403,N403))=1,"00"&amp;COUNTIFS($J$1:J403,$J403,$K$1:K403,$K403,$L$1:L403,$L403,$M$1:M403,M403,$N$1:N403,N403),IF(LEN(COUNTIFS($J$1:J403,$J403,$K$1:K403,$K403,$L$1:L403,$L403,$M$1:M403,M403,$N$1:N403,N403))=2,"0"&amp;COUNTIFS($J$1:J403,$J403,$K$1:K403,$K403,$L$1:L403,$L403,$M$1:M403,M403,$N$1:N403,N403),COUNTIFS($J$1:J403,$J403,$K$1:K403,$K403,$L$1:L403,$L403,$M$1:M403,M403,$N$1:N403,N403)))</f>
        <v>005</v>
      </c>
      <c r="P40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MS-NS-012-23-00005-INV</v>
      </c>
      <c r="Q403" s="59" t="s">
        <v>7336</v>
      </c>
      <c r="R403" s="34" t="s">
        <v>6200</v>
      </c>
      <c r="S403" s="34" t="s">
        <v>1353</v>
      </c>
      <c r="T403" s="34">
        <f>+IFERROR(_xlfn.XLOOKUP(Table43[[#This Row],[Column1]],#REF!,#REF!),0)</f>
        <v>0</v>
      </c>
      <c r="U403" s="50">
        <f>IFERROR(_xlfn.XLOOKUP(Table43[[#This Row],[Column1]],#REF!,#REF!),0)</f>
        <v>0</v>
      </c>
      <c r="V403" s="39"/>
    </row>
    <row r="404" spans="1:22" x14ac:dyDescent="0.35">
      <c r="A404" s="3" t="s">
        <v>5276</v>
      </c>
      <c r="B404" s="3" t="s">
        <v>1355</v>
      </c>
      <c r="C404" s="3" t="s">
        <v>15</v>
      </c>
      <c r="D404" s="3">
        <v>92.332999999999998</v>
      </c>
      <c r="E404" s="3" t="s">
        <v>10</v>
      </c>
      <c r="F404" s="3">
        <v>2</v>
      </c>
      <c r="G404" s="3">
        <v>4</v>
      </c>
      <c r="H404" s="3">
        <v>3</v>
      </c>
      <c r="I404" s="21">
        <f>Table43[[#This Row],[Item Cost]]*Table43[[#This Row],[In Stock]]</f>
        <v>276.99900000000002</v>
      </c>
      <c r="J404" s="12" t="s">
        <v>4941</v>
      </c>
      <c r="K404" s="13" t="s">
        <v>4666</v>
      </c>
      <c r="L404" s="13" t="s">
        <v>4693</v>
      </c>
      <c r="M404" s="13" t="s">
        <v>4693</v>
      </c>
      <c r="N404" s="12" t="s">
        <v>4672</v>
      </c>
      <c r="O404" s="17" t="str">
        <f>IF(LEN(COUNTIFS($J$1:J404,$J404,$K$1:K404,$K404,$L$1:L404,$L404,$M$1:M404,M404,$N$1:N404,N404))=1,"00"&amp;COUNTIFS($J$1:J404,$J404,$K$1:K404,$K404,$L$1:L404,$L404,$M$1:M404,M404,$N$1:N404,N404),IF(LEN(COUNTIFS($J$1:J404,$J404,$K$1:K404,$K404,$L$1:L404,$L404,$M$1:M404,M404,$N$1:N404,N404))=2,"0"&amp;COUNTIFS($J$1:J404,$J404,$K$1:K404,$K404,$L$1:L404,$L404,$M$1:M404,M404,$N$1:N404,N404),COUNTIFS($J$1:J404,$J404,$K$1:K404,$K404,$L$1:L404,$L404,$M$1:M404,M404,$N$1:N404,N404)))</f>
        <v>006</v>
      </c>
      <c r="P40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MS-NS-012-23-00006-INV</v>
      </c>
      <c r="Q404" s="59" t="s">
        <v>7336</v>
      </c>
      <c r="R404" s="34" t="s">
        <v>6201</v>
      </c>
      <c r="S404" s="34" t="s">
        <v>1355</v>
      </c>
      <c r="T404" s="34">
        <f>+IFERROR(_xlfn.XLOOKUP(Table43[[#This Row],[Column1]],#REF!,#REF!),0)</f>
        <v>0</v>
      </c>
      <c r="U404" s="50">
        <f>IFERROR(_xlfn.XLOOKUP(Table43[[#This Row],[Column1]],#REF!,#REF!),0)</f>
        <v>0</v>
      </c>
      <c r="V404" s="39"/>
    </row>
    <row r="405" spans="1:22" x14ac:dyDescent="0.35">
      <c r="A405" s="3" t="s">
        <v>5277</v>
      </c>
      <c r="B405" s="2" t="s">
        <v>1357</v>
      </c>
      <c r="C405" s="2" t="s">
        <v>15</v>
      </c>
      <c r="D405" s="2">
        <v>198.47</v>
      </c>
      <c r="E405" s="2" t="s">
        <v>10</v>
      </c>
      <c r="F405" s="3">
        <v>0</v>
      </c>
      <c r="G405" s="3">
        <v>2</v>
      </c>
      <c r="H405" s="2">
        <v>0</v>
      </c>
      <c r="I405" s="22">
        <f>Table43[[#This Row],[Item Cost]]*Table43[[#This Row],[In Stock]]</f>
        <v>0</v>
      </c>
      <c r="J405" s="12" t="s">
        <v>4941</v>
      </c>
      <c r="K405" s="13" t="s">
        <v>4666</v>
      </c>
      <c r="L405" s="13" t="s">
        <v>4693</v>
      </c>
      <c r="M405" s="13" t="s">
        <v>4693</v>
      </c>
      <c r="N405" s="12" t="s">
        <v>4672</v>
      </c>
      <c r="O405" s="17" t="str">
        <f>IF(LEN(COUNTIFS($J$1:J405,$J405,$K$1:K405,$K405,$L$1:L405,$L405,$M$1:M405,M405,$N$1:N405,N405))=1,"00"&amp;COUNTIFS($J$1:J405,$J405,$K$1:K405,$K405,$L$1:L405,$L405,$M$1:M405,M405,$N$1:N405,N405),IF(LEN(COUNTIFS($J$1:J405,$J405,$K$1:K405,$K405,$L$1:L405,$L405,$M$1:M405,M405,$N$1:N405,N405))=2,"0"&amp;COUNTIFS($J$1:J405,$J405,$K$1:K405,$K405,$L$1:L405,$L405,$M$1:M405,M405,$N$1:N405,N405),COUNTIFS($J$1:J405,$J405,$K$1:K405,$K405,$L$1:L405,$L405,$M$1:M405,M405,$N$1:N405,N405)))</f>
        <v>007</v>
      </c>
      <c r="P40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MS-NS-012-23-00007-INV</v>
      </c>
      <c r="Q405" s="59" t="s">
        <v>7351</v>
      </c>
      <c r="R405" s="34" t="s">
        <v>6202</v>
      </c>
      <c r="S405" s="34" t="s">
        <v>1357</v>
      </c>
      <c r="T405" s="34">
        <f>+IFERROR(_xlfn.XLOOKUP(Table43[[#This Row],[Column1]],#REF!,#REF!),0)</f>
        <v>0</v>
      </c>
      <c r="U405" s="50">
        <f>IFERROR(_xlfn.XLOOKUP(Table43[[#This Row],[Column1]],#REF!,#REF!),0)</f>
        <v>0</v>
      </c>
      <c r="V405" s="39"/>
    </row>
    <row r="406" spans="1:22" x14ac:dyDescent="0.35">
      <c r="A406" s="3" t="s">
        <v>5278</v>
      </c>
      <c r="B406" s="3" t="s">
        <v>1359</v>
      </c>
      <c r="C406" s="3" t="s">
        <v>15</v>
      </c>
      <c r="D406" s="3">
        <v>0</v>
      </c>
      <c r="E406" s="3" t="s">
        <v>10</v>
      </c>
      <c r="F406" s="3">
        <v>0</v>
      </c>
      <c r="G406" s="3">
        <v>2</v>
      </c>
      <c r="H406" s="3">
        <v>0</v>
      </c>
      <c r="I406" s="21">
        <f>Table43[[#This Row],[Item Cost]]*Table43[[#This Row],[In Stock]]</f>
        <v>0</v>
      </c>
      <c r="J406" s="12" t="s">
        <v>4941</v>
      </c>
      <c r="K406" s="13" t="s">
        <v>4666</v>
      </c>
      <c r="L406" s="13" t="s">
        <v>4693</v>
      </c>
      <c r="M406" s="13" t="s">
        <v>4693</v>
      </c>
      <c r="N406" s="12" t="s">
        <v>4672</v>
      </c>
      <c r="O406" s="17" t="str">
        <f>IF(LEN(COUNTIFS($J$1:J406,$J406,$K$1:K406,$K406,$L$1:L406,$L406,$M$1:M406,M406,$N$1:N406,N406))=1,"00"&amp;COUNTIFS($J$1:J406,$J406,$K$1:K406,$K406,$L$1:L406,$L406,$M$1:M406,M406,$N$1:N406,N406),IF(LEN(COUNTIFS($J$1:J406,$J406,$K$1:K406,$K406,$L$1:L406,$L406,$M$1:M406,M406,$N$1:N406,N406))=2,"0"&amp;COUNTIFS($J$1:J406,$J406,$K$1:K406,$K406,$L$1:L406,$L406,$M$1:M406,M406,$N$1:N406,N406),COUNTIFS($J$1:J406,$J406,$K$1:K406,$K406,$L$1:L406,$L406,$M$1:M406,M406,$N$1:N406,N406)))</f>
        <v>008</v>
      </c>
      <c r="P40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MS-NS-012-23-00008-INV</v>
      </c>
      <c r="Q406" s="59"/>
      <c r="R406" s="34" t="s">
        <v>6203</v>
      </c>
      <c r="S406" s="34" t="s">
        <v>1359</v>
      </c>
      <c r="T406" s="34">
        <f>+IFERROR(_xlfn.XLOOKUP(Table43[[#This Row],[Column1]],#REF!,#REF!),0)</f>
        <v>0</v>
      </c>
      <c r="U406" s="50">
        <f>IFERROR(_xlfn.XLOOKUP(Table43[[#This Row],[Column1]],#REF!,#REF!),0)</f>
        <v>0</v>
      </c>
      <c r="V406" s="39"/>
    </row>
    <row r="407" spans="1:22" x14ac:dyDescent="0.35">
      <c r="A407" s="3" t="s">
        <v>5279</v>
      </c>
      <c r="B407" s="2" t="s">
        <v>1361</v>
      </c>
      <c r="C407" s="2" t="s">
        <v>15</v>
      </c>
      <c r="D407" s="2">
        <v>125</v>
      </c>
      <c r="E407" s="2" t="s">
        <v>10</v>
      </c>
      <c r="F407" s="3">
        <v>0</v>
      </c>
      <c r="G407" s="3">
        <v>2</v>
      </c>
      <c r="H407" s="2">
        <v>0</v>
      </c>
      <c r="I407" s="22">
        <f>Table43[[#This Row],[Item Cost]]*Table43[[#This Row],[In Stock]]</f>
        <v>0</v>
      </c>
      <c r="J407" s="12" t="s">
        <v>4941</v>
      </c>
      <c r="K407" s="13" t="s">
        <v>4666</v>
      </c>
      <c r="L407" s="13" t="s">
        <v>4693</v>
      </c>
      <c r="M407" s="13" t="s">
        <v>4828</v>
      </c>
      <c r="N407" s="12" t="s">
        <v>4672</v>
      </c>
      <c r="O407" s="17" t="str">
        <f>IF(LEN(COUNTIFS($J$1:J407,$J407,$K$1:K407,$K407,$L$1:L407,$L407,$M$1:M407,M407,$N$1:N407,N407))=1,"00"&amp;COUNTIFS($J$1:J407,$J407,$K$1:K407,$K407,$L$1:L407,$L407,$M$1:M407,M407,$N$1:N407,N407),IF(LEN(COUNTIFS($J$1:J407,$J407,$K$1:K407,$K407,$L$1:L407,$L407,$M$1:M407,M407,$N$1:N407,N407))=2,"0"&amp;COUNTIFS($J$1:J407,$J407,$K$1:K407,$K407,$L$1:L407,$L407,$M$1:M407,M407,$N$1:N407,N407),COUNTIFS($J$1:J407,$J407,$K$1:K407,$K407,$L$1:L407,$L407,$M$1:M407,M407,$N$1:N407,N407)))</f>
        <v>002</v>
      </c>
      <c r="P40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MS-NS-012-13-00002-INV</v>
      </c>
      <c r="Q407" s="59"/>
      <c r="R407" s="34"/>
      <c r="S407" s="34">
        <v>0</v>
      </c>
      <c r="T407" s="34">
        <f>+IFERROR(_xlfn.XLOOKUP(Table43[[#This Row],[Column1]],#REF!,#REF!),0)</f>
        <v>0</v>
      </c>
      <c r="U407" s="50">
        <f>IFERROR(_xlfn.XLOOKUP(Table43[[#This Row],[Column1]],#REF!,#REF!),0)</f>
        <v>0</v>
      </c>
      <c r="V407" s="39"/>
    </row>
    <row r="408" spans="1:22" x14ac:dyDescent="0.35">
      <c r="A408" s="3" t="s">
        <v>5280</v>
      </c>
      <c r="B408" s="3" t="s">
        <v>1363</v>
      </c>
      <c r="C408" s="3" t="s">
        <v>15</v>
      </c>
      <c r="D408" s="3">
        <v>33</v>
      </c>
      <c r="E408" s="3" t="s">
        <v>10</v>
      </c>
      <c r="F408" s="3">
        <v>0</v>
      </c>
      <c r="G408" s="3">
        <v>2</v>
      </c>
      <c r="H408" s="3">
        <v>1</v>
      </c>
      <c r="I408" s="21">
        <f>Table43[[#This Row],[Item Cost]]*Table43[[#This Row],[In Stock]]</f>
        <v>33</v>
      </c>
      <c r="J408" s="12" t="s">
        <v>4941</v>
      </c>
      <c r="K408" s="13" t="s">
        <v>4666</v>
      </c>
      <c r="L408" s="13" t="s">
        <v>4693</v>
      </c>
      <c r="M408" s="13" t="s">
        <v>4828</v>
      </c>
      <c r="N408" s="12" t="s">
        <v>4672</v>
      </c>
      <c r="O408" s="17" t="str">
        <f>IF(LEN(COUNTIFS($J$1:J408,$J408,$K$1:K408,$K408,$L$1:L408,$L408,$M$1:M408,M408,$N$1:N408,N408))=1,"00"&amp;COUNTIFS($J$1:J408,$J408,$K$1:K408,$K408,$L$1:L408,$L408,$M$1:M408,M408,$N$1:N408,N408),IF(LEN(COUNTIFS($J$1:J408,$J408,$K$1:K408,$K408,$L$1:L408,$L408,$M$1:M408,M408,$N$1:N408,N408))=2,"0"&amp;COUNTIFS($J$1:J408,$J408,$K$1:K408,$K408,$L$1:L408,$L408,$M$1:M408,M408,$N$1:N408,N408),COUNTIFS($J$1:J408,$J408,$K$1:K408,$K408,$L$1:L408,$L408,$M$1:M408,M408,$N$1:N408,N408)))</f>
        <v>003</v>
      </c>
      <c r="P40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MS-NS-012-13-00003-INV</v>
      </c>
      <c r="Q408" s="59"/>
      <c r="R408" s="34" t="s">
        <v>6204</v>
      </c>
      <c r="S408" s="34" t="s">
        <v>1363</v>
      </c>
      <c r="T408" s="34">
        <f>+IFERROR(_xlfn.XLOOKUP(Table43[[#This Row],[Column1]],#REF!,#REF!),0)</f>
        <v>0</v>
      </c>
      <c r="U408" s="50">
        <f>IFERROR(_xlfn.XLOOKUP(Table43[[#This Row],[Column1]],#REF!,#REF!),0)</f>
        <v>0</v>
      </c>
      <c r="V408" s="39"/>
    </row>
    <row r="409" spans="1:22" x14ac:dyDescent="0.35">
      <c r="A409" s="3" t="s">
        <v>5281</v>
      </c>
      <c r="B409" s="2" t="s">
        <v>1365</v>
      </c>
      <c r="C409" s="2" t="s">
        <v>15</v>
      </c>
      <c r="D409" s="2">
        <v>135</v>
      </c>
      <c r="E409" s="2" t="s">
        <v>10</v>
      </c>
      <c r="F409" s="3">
        <v>0</v>
      </c>
      <c r="G409" s="3">
        <v>2</v>
      </c>
      <c r="H409" s="2">
        <v>8</v>
      </c>
      <c r="I409" s="22">
        <f>Table43[[#This Row],[Item Cost]]*Table43[[#This Row],[In Stock]]</f>
        <v>1080</v>
      </c>
      <c r="J409" s="12" t="s">
        <v>4941</v>
      </c>
      <c r="K409" s="13" t="s">
        <v>4666</v>
      </c>
      <c r="L409" s="13" t="s">
        <v>4693</v>
      </c>
      <c r="M409" s="13" t="s">
        <v>4828</v>
      </c>
      <c r="N409" s="12" t="s">
        <v>4672</v>
      </c>
      <c r="O409" s="17" t="str">
        <f>IF(LEN(COUNTIFS($J$1:J409,$J409,$K$1:K409,$K409,$L$1:L409,$L409,$M$1:M409,M409,$N$1:N409,N409))=1,"00"&amp;COUNTIFS($J$1:J409,$J409,$K$1:K409,$K409,$L$1:L409,$L409,$M$1:M409,M409,$N$1:N409,N409),IF(LEN(COUNTIFS($J$1:J409,$J409,$K$1:K409,$K409,$L$1:L409,$L409,$M$1:M409,M409,$N$1:N409,N409))=2,"0"&amp;COUNTIFS($J$1:J409,$J409,$K$1:K409,$K409,$L$1:L409,$L409,$M$1:M409,M409,$N$1:N409,N409),COUNTIFS($J$1:J409,$J409,$K$1:K409,$K409,$L$1:L409,$L409,$M$1:M409,M409,$N$1:N409,N409)))</f>
        <v>004</v>
      </c>
      <c r="P40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MS-NS-012-13-00004-INV</v>
      </c>
      <c r="Q409" s="59"/>
      <c r="R409" s="34" t="s">
        <v>6205</v>
      </c>
      <c r="S409" s="34" t="s">
        <v>1365</v>
      </c>
      <c r="T409" s="34">
        <f>+IFERROR(_xlfn.XLOOKUP(Table43[[#This Row],[Column1]],#REF!,#REF!),0)</f>
        <v>0</v>
      </c>
      <c r="U409" s="50">
        <f>IFERROR(_xlfn.XLOOKUP(Table43[[#This Row],[Column1]],#REF!,#REF!),0)</f>
        <v>0</v>
      </c>
      <c r="V409" s="39"/>
    </row>
    <row r="410" spans="1:22" x14ac:dyDescent="0.35">
      <c r="A410" s="3" t="s">
        <v>5282</v>
      </c>
      <c r="B410" s="3" t="s">
        <v>1367</v>
      </c>
      <c r="C410" s="3" t="s">
        <v>15</v>
      </c>
      <c r="D410" s="5">
        <v>1200</v>
      </c>
      <c r="E410" s="3" t="s">
        <v>10</v>
      </c>
      <c r="F410" s="3">
        <v>0</v>
      </c>
      <c r="G410" s="3">
        <v>2</v>
      </c>
      <c r="H410" s="3">
        <v>20</v>
      </c>
      <c r="I410" s="21">
        <f>Table43[[#This Row],[Item Cost]]*Table43[[#This Row],[In Stock]]</f>
        <v>24000</v>
      </c>
      <c r="J410" s="12" t="s">
        <v>4941</v>
      </c>
      <c r="K410" s="13" t="s">
        <v>4666</v>
      </c>
      <c r="L410" s="13" t="s">
        <v>4693</v>
      </c>
      <c r="M410" s="13" t="s">
        <v>4693</v>
      </c>
      <c r="N410" s="12" t="s">
        <v>4672</v>
      </c>
      <c r="O410" s="17" t="str">
        <f>IF(LEN(COUNTIFS($J$1:J410,$J410,$K$1:K410,$K410,$L$1:L410,$L410,$M$1:M410,M410,$N$1:N410,N410))=1,"00"&amp;COUNTIFS($J$1:J410,$J410,$K$1:K410,$K410,$L$1:L410,$L410,$M$1:M410,M410,$N$1:N410,N410),IF(LEN(COUNTIFS($J$1:J410,$J410,$K$1:K410,$K410,$L$1:L410,$L410,$M$1:M410,M410,$N$1:N410,N410))=2,"0"&amp;COUNTIFS($J$1:J410,$J410,$K$1:K410,$K410,$L$1:L410,$L410,$M$1:M410,M410,$N$1:N410,N410),COUNTIFS($J$1:J410,$J410,$K$1:K410,$K410,$L$1:L410,$L410,$M$1:M410,M410,$N$1:N410,N410)))</f>
        <v>009</v>
      </c>
      <c r="P41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MS-NS-012-23-00009-INV</v>
      </c>
      <c r="Q410" s="59"/>
      <c r="R410" s="34" t="s">
        <v>6206</v>
      </c>
      <c r="S410" s="34" t="s">
        <v>1367</v>
      </c>
      <c r="T410" s="34">
        <f>+IFERROR(_xlfn.XLOOKUP(Table43[[#This Row],[Column1]],#REF!,#REF!),0)</f>
        <v>0</v>
      </c>
      <c r="U410" s="50">
        <f>IFERROR(_xlfn.XLOOKUP(Table43[[#This Row],[Column1]],#REF!,#REF!),0)</f>
        <v>0</v>
      </c>
      <c r="V410" s="39"/>
    </row>
    <row r="411" spans="1:22" x14ac:dyDescent="0.35">
      <c r="A411" s="3" t="s">
        <v>5283</v>
      </c>
      <c r="B411" s="2" t="s">
        <v>1369</v>
      </c>
      <c r="C411" s="2" t="s">
        <v>15</v>
      </c>
      <c r="D411" s="2">
        <v>0</v>
      </c>
      <c r="E411" s="2" t="s">
        <v>10</v>
      </c>
      <c r="F411" s="3">
        <v>0</v>
      </c>
      <c r="G411" s="3">
        <v>2</v>
      </c>
      <c r="H411" s="2">
        <v>0</v>
      </c>
      <c r="I411" s="22">
        <f>Table43[[#This Row],[Item Cost]]*Table43[[#This Row],[In Stock]]</f>
        <v>0</v>
      </c>
      <c r="J411" s="12" t="s">
        <v>4941</v>
      </c>
      <c r="K411" s="13" t="s">
        <v>4666</v>
      </c>
      <c r="L411" s="13" t="s">
        <v>4693</v>
      </c>
      <c r="M411" s="13" t="s">
        <v>4693</v>
      </c>
      <c r="N411" s="12" t="s">
        <v>4672</v>
      </c>
      <c r="O411" s="17" t="str">
        <f>IF(LEN(COUNTIFS($J$1:J411,$J411,$K$1:K411,$K411,$L$1:L411,$L411,$M$1:M411,M411,$N$1:N411,N411))=1,"00"&amp;COUNTIFS($J$1:J411,$J411,$K$1:K411,$K411,$L$1:L411,$L411,$M$1:M411,M411,$N$1:N411,N411),IF(LEN(COUNTIFS($J$1:J411,$J411,$K$1:K411,$K411,$L$1:L411,$L411,$M$1:M411,M411,$N$1:N411,N411))=2,"0"&amp;COUNTIFS($J$1:J411,$J411,$K$1:K411,$K411,$L$1:L411,$L411,$M$1:M411,M411,$N$1:N411,N411),COUNTIFS($J$1:J411,$J411,$K$1:K411,$K411,$L$1:L411,$L411,$M$1:M411,M411,$N$1:N411,N411)))</f>
        <v>010</v>
      </c>
      <c r="P41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MS-NS-012-23-00010-INV</v>
      </c>
      <c r="Q411" s="59"/>
      <c r="R411" s="34" t="s">
        <v>6207</v>
      </c>
      <c r="S411" s="34" t="s">
        <v>1369</v>
      </c>
      <c r="T411" s="34">
        <f>+IFERROR(_xlfn.XLOOKUP(Table43[[#This Row],[Column1]],#REF!,#REF!),0)</f>
        <v>0</v>
      </c>
      <c r="U411" s="50">
        <f>IFERROR(_xlfn.XLOOKUP(Table43[[#This Row],[Column1]],#REF!,#REF!),0)</f>
        <v>0</v>
      </c>
      <c r="V411" s="39"/>
    </row>
    <row r="412" spans="1:22" x14ac:dyDescent="0.35">
      <c r="A412" s="3" t="s">
        <v>5284</v>
      </c>
      <c r="B412" s="3" t="s">
        <v>1371</v>
      </c>
      <c r="C412" s="3" t="s">
        <v>15</v>
      </c>
      <c r="D412" s="3">
        <v>0</v>
      </c>
      <c r="E412" s="3" t="s">
        <v>10</v>
      </c>
      <c r="F412" s="3">
        <v>0</v>
      </c>
      <c r="G412" s="3">
        <v>2</v>
      </c>
      <c r="H412" s="3">
        <v>0</v>
      </c>
      <c r="I412" s="21">
        <f>Table43[[#This Row],[Item Cost]]*Table43[[#This Row],[In Stock]]</f>
        <v>0</v>
      </c>
      <c r="J412" s="12" t="s">
        <v>4941</v>
      </c>
      <c r="K412" s="13" t="s">
        <v>4666</v>
      </c>
      <c r="L412" s="13" t="s">
        <v>4693</v>
      </c>
      <c r="M412" s="13" t="s">
        <v>4779</v>
      </c>
      <c r="N412" s="12" t="s">
        <v>4672</v>
      </c>
      <c r="O412" s="17" t="str">
        <f>IF(LEN(COUNTIFS($J$1:J412,$J412,$K$1:K412,$K412,$L$1:L412,$L412,$M$1:M412,M412,$N$1:N412,N412))=1,"00"&amp;COUNTIFS($J$1:J412,$J412,$K$1:K412,$K412,$L$1:L412,$L412,$M$1:M412,M412,$N$1:N412,N412),IF(LEN(COUNTIFS($J$1:J412,$J412,$K$1:K412,$K412,$L$1:L412,$L412,$M$1:M412,M412,$N$1:N412,N412))=2,"0"&amp;COUNTIFS($J$1:J412,$J412,$K$1:K412,$K412,$L$1:L412,$L412,$M$1:M412,M412,$N$1:N412,N412),COUNTIFS($J$1:J412,$J412,$K$1:K412,$K412,$L$1:L412,$L412,$M$1:M412,M412,$N$1:N412,N412)))</f>
        <v>001</v>
      </c>
      <c r="P41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MS-NS-012-14-00001-INV</v>
      </c>
      <c r="Q412" s="59"/>
      <c r="R412" s="34" t="s">
        <v>6208</v>
      </c>
      <c r="S412" s="34" t="s">
        <v>1371</v>
      </c>
      <c r="T412" s="34">
        <f>+IFERROR(_xlfn.XLOOKUP(Table43[[#This Row],[Column1]],#REF!,#REF!),0)</f>
        <v>0</v>
      </c>
      <c r="U412" s="50">
        <f>IFERROR(_xlfn.XLOOKUP(Table43[[#This Row],[Column1]],#REF!,#REF!),0)</f>
        <v>0</v>
      </c>
      <c r="V412" s="39"/>
    </row>
    <row r="413" spans="1:22" x14ac:dyDescent="0.35">
      <c r="A413" s="3" t="s">
        <v>5285</v>
      </c>
      <c r="B413" s="2" t="s">
        <v>1373</v>
      </c>
      <c r="C413" s="2" t="s">
        <v>15</v>
      </c>
      <c r="D413" s="2">
        <v>0</v>
      </c>
      <c r="E413" s="2" t="s">
        <v>10</v>
      </c>
      <c r="F413" s="3">
        <v>0</v>
      </c>
      <c r="G413" s="3">
        <v>2</v>
      </c>
      <c r="H413" s="2">
        <v>0</v>
      </c>
      <c r="I413" s="22">
        <f>Table43[[#This Row],[Item Cost]]*Table43[[#This Row],[In Stock]]</f>
        <v>0</v>
      </c>
      <c r="J413" s="12" t="s">
        <v>4941</v>
      </c>
      <c r="K413" s="13" t="s">
        <v>4666</v>
      </c>
      <c r="L413" s="13" t="s">
        <v>4693</v>
      </c>
      <c r="M413" s="13" t="s">
        <v>4839</v>
      </c>
      <c r="N413" s="12" t="s">
        <v>4672</v>
      </c>
      <c r="O413" s="17" t="str">
        <f>IF(LEN(COUNTIFS($J$1:J413,$J413,$K$1:K413,$K413,$L$1:L413,$L413,$M$1:M413,M413,$N$1:N413,N413))=1,"00"&amp;COUNTIFS($J$1:J413,$J413,$K$1:K413,$K413,$L$1:L413,$L413,$M$1:M413,M413,$N$1:N413,N413),IF(LEN(COUNTIFS($J$1:J413,$J413,$K$1:K413,$K413,$L$1:L413,$L413,$M$1:M413,M413,$N$1:N413,N413))=2,"0"&amp;COUNTIFS($J$1:J413,$J413,$K$1:K413,$K413,$L$1:L413,$L413,$M$1:M413,M413,$N$1:N413,N413),COUNTIFS($J$1:J413,$J413,$K$1:K413,$K413,$L$1:L413,$L413,$M$1:M413,M413,$N$1:N413,N413)))</f>
        <v>001</v>
      </c>
      <c r="P41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MS-NS-012-27-00001-INV</v>
      </c>
      <c r="Q413" s="59"/>
      <c r="R413" s="34" t="s">
        <v>6209</v>
      </c>
      <c r="S413" s="34" t="s">
        <v>1373</v>
      </c>
      <c r="T413" s="34">
        <f>+IFERROR(_xlfn.XLOOKUP(Table43[[#This Row],[Column1]],#REF!,#REF!),0)</f>
        <v>0</v>
      </c>
      <c r="U413" s="50">
        <f>IFERROR(_xlfn.XLOOKUP(Table43[[#This Row],[Column1]],#REF!,#REF!),0)</f>
        <v>0</v>
      </c>
      <c r="V413" s="39"/>
    </row>
    <row r="414" spans="1:22" x14ac:dyDescent="0.35">
      <c r="A414" s="3" t="s">
        <v>5286</v>
      </c>
      <c r="B414" s="3" t="s">
        <v>1375</v>
      </c>
      <c r="C414" s="3" t="s">
        <v>15</v>
      </c>
      <c r="D414" s="3">
        <v>0</v>
      </c>
      <c r="E414" s="3" t="s">
        <v>10</v>
      </c>
      <c r="F414" s="3">
        <v>0</v>
      </c>
      <c r="G414" s="3">
        <v>2</v>
      </c>
      <c r="H414" s="3">
        <v>0</v>
      </c>
      <c r="I414" s="21">
        <f>Table43[[#This Row],[Item Cost]]*Table43[[#This Row],[In Stock]]</f>
        <v>0</v>
      </c>
      <c r="J414" s="12" t="s">
        <v>4941</v>
      </c>
      <c r="K414" s="13" t="s">
        <v>4666</v>
      </c>
      <c r="L414" s="13" t="s">
        <v>4693</v>
      </c>
      <c r="M414" s="13" t="s">
        <v>4839</v>
      </c>
      <c r="N414" s="12" t="s">
        <v>4672</v>
      </c>
      <c r="O414" s="17" t="str">
        <f>IF(LEN(COUNTIFS($J$1:J414,$J414,$K$1:K414,$K414,$L$1:L414,$L414,$M$1:M414,M414,$N$1:N414,N414))=1,"00"&amp;COUNTIFS($J$1:J414,$J414,$K$1:K414,$K414,$L$1:L414,$L414,$M$1:M414,M414,$N$1:N414,N414),IF(LEN(COUNTIFS($J$1:J414,$J414,$K$1:K414,$K414,$L$1:L414,$L414,$M$1:M414,M414,$N$1:N414,N414))=2,"0"&amp;COUNTIFS($J$1:J414,$J414,$K$1:K414,$K414,$L$1:L414,$L414,$M$1:M414,M414,$N$1:N414,N414),COUNTIFS($J$1:J414,$J414,$K$1:K414,$K414,$L$1:L414,$L414,$M$1:M414,M414,$N$1:N414,N414)))</f>
        <v>002</v>
      </c>
      <c r="P41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MS-NS-012-27-00002-INV</v>
      </c>
      <c r="Q414" s="59"/>
      <c r="R414" s="34" t="s">
        <v>6210</v>
      </c>
      <c r="S414" s="34" t="s">
        <v>1375</v>
      </c>
      <c r="T414" s="34">
        <f>+IFERROR(_xlfn.XLOOKUP(Table43[[#This Row],[Column1]],#REF!,#REF!),0)</f>
        <v>0</v>
      </c>
      <c r="U414" s="50">
        <f>IFERROR(_xlfn.XLOOKUP(Table43[[#This Row],[Column1]],#REF!,#REF!),0)</f>
        <v>0</v>
      </c>
      <c r="V414" s="39"/>
    </row>
    <row r="415" spans="1:22" x14ac:dyDescent="0.35">
      <c r="A415" s="3" t="s">
        <v>5287</v>
      </c>
      <c r="B415" s="2" t="s">
        <v>1377</v>
      </c>
      <c r="C415" s="2" t="s">
        <v>15</v>
      </c>
      <c r="D415" s="2">
        <v>33</v>
      </c>
      <c r="E415" s="2" t="s">
        <v>10</v>
      </c>
      <c r="F415" s="3">
        <v>0</v>
      </c>
      <c r="G415" s="3">
        <v>2</v>
      </c>
      <c r="H415" s="2">
        <v>1</v>
      </c>
      <c r="I415" s="22">
        <f>Table43[[#This Row],[Item Cost]]*Table43[[#This Row],[In Stock]]</f>
        <v>33</v>
      </c>
      <c r="J415" s="12" t="s">
        <v>4941</v>
      </c>
      <c r="K415" s="13" t="s">
        <v>4666</v>
      </c>
      <c r="L415" s="13" t="s">
        <v>4693</v>
      </c>
      <c r="M415" s="13" t="s">
        <v>4828</v>
      </c>
      <c r="N415" s="12" t="s">
        <v>4672</v>
      </c>
      <c r="O415" s="17" t="str">
        <f>IF(LEN(COUNTIFS($J$1:J415,$J415,$K$1:K415,$K415,$L$1:L415,$L415,$M$1:M415,M415,$N$1:N415,N415))=1,"00"&amp;COUNTIFS($J$1:J415,$J415,$K$1:K415,$K415,$L$1:L415,$L415,$M$1:M415,M415,$N$1:N415,N415),IF(LEN(COUNTIFS($J$1:J415,$J415,$K$1:K415,$K415,$L$1:L415,$L415,$M$1:M415,M415,$N$1:N415,N415))=2,"0"&amp;COUNTIFS($J$1:J415,$J415,$K$1:K415,$K415,$L$1:L415,$L415,$M$1:M415,M415,$N$1:N415,N415),COUNTIFS($J$1:J415,$J415,$K$1:K415,$K415,$L$1:L415,$L415,$M$1:M415,M415,$N$1:N415,N415)))</f>
        <v>005</v>
      </c>
      <c r="P41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MS-NS-012-13-00005-INV</v>
      </c>
      <c r="Q415" s="59"/>
      <c r="R415" s="34" t="s">
        <v>6211</v>
      </c>
      <c r="S415" s="34" t="s">
        <v>1377</v>
      </c>
      <c r="T415" s="34">
        <f>+IFERROR(_xlfn.XLOOKUP(Table43[[#This Row],[Column1]],#REF!,#REF!),0)</f>
        <v>0</v>
      </c>
      <c r="U415" s="50">
        <f>IFERROR(_xlfn.XLOOKUP(Table43[[#This Row],[Column1]],#REF!,#REF!),0)</f>
        <v>0</v>
      </c>
      <c r="V415" s="39"/>
    </row>
    <row r="416" spans="1:22" x14ac:dyDescent="0.35">
      <c r="A416" s="3" t="s">
        <v>5288</v>
      </c>
      <c r="B416" s="3" t="s">
        <v>1379</v>
      </c>
      <c r="C416" s="3" t="s">
        <v>15</v>
      </c>
      <c r="D416" s="3">
        <v>30</v>
      </c>
      <c r="E416" s="3" t="s">
        <v>10</v>
      </c>
      <c r="F416" s="3">
        <v>0</v>
      </c>
      <c r="G416" s="3">
        <v>2</v>
      </c>
      <c r="H416" s="3">
        <v>5</v>
      </c>
      <c r="I416" s="21">
        <f>Table43[[#This Row],[Item Cost]]*Table43[[#This Row],[In Stock]]</f>
        <v>150</v>
      </c>
      <c r="J416" s="12" t="s">
        <v>4941</v>
      </c>
      <c r="K416" s="13" t="s">
        <v>4666</v>
      </c>
      <c r="L416" s="13" t="s">
        <v>4693</v>
      </c>
      <c r="M416" s="13" t="s">
        <v>4693</v>
      </c>
      <c r="N416" s="12" t="s">
        <v>4672</v>
      </c>
      <c r="O416" s="17" t="str">
        <f>IF(LEN(COUNTIFS($J$1:J416,$J416,$K$1:K416,$K416,$L$1:L416,$L416,$M$1:M416,M416,$N$1:N416,N416))=1,"00"&amp;COUNTIFS($J$1:J416,$J416,$K$1:K416,$K416,$L$1:L416,$L416,$M$1:M416,M416,$N$1:N416,N416),IF(LEN(COUNTIFS($J$1:J416,$J416,$K$1:K416,$K416,$L$1:L416,$L416,$M$1:M416,M416,$N$1:N416,N416))=2,"0"&amp;COUNTIFS($J$1:J416,$J416,$K$1:K416,$K416,$L$1:L416,$L416,$M$1:M416,M416,$N$1:N416,N416),COUNTIFS($J$1:J416,$J416,$K$1:K416,$K416,$L$1:L416,$L416,$M$1:M416,M416,$N$1:N416,N416)))</f>
        <v>011</v>
      </c>
      <c r="P41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MS-NS-012-23-00011-INV</v>
      </c>
      <c r="Q416" s="59"/>
      <c r="R416" s="34" t="s">
        <v>6212</v>
      </c>
      <c r="S416" s="34" t="s">
        <v>1379</v>
      </c>
      <c r="T416" s="34">
        <f>+IFERROR(_xlfn.XLOOKUP(Table43[[#This Row],[Column1]],#REF!,#REF!),0)</f>
        <v>0</v>
      </c>
      <c r="U416" s="50">
        <f>IFERROR(_xlfn.XLOOKUP(Table43[[#This Row],[Column1]],#REF!,#REF!),0)</f>
        <v>0</v>
      </c>
      <c r="V416" s="39"/>
    </row>
    <row r="417" spans="1:22" x14ac:dyDescent="0.35">
      <c r="A417" s="3" t="s">
        <v>5289</v>
      </c>
      <c r="B417" s="2" t="s">
        <v>1381</v>
      </c>
      <c r="C417" s="2" t="s">
        <v>15</v>
      </c>
      <c r="D417" s="2">
        <v>277</v>
      </c>
      <c r="E417" s="2" t="s">
        <v>10</v>
      </c>
      <c r="F417" s="3">
        <v>0</v>
      </c>
      <c r="G417" s="3">
        <v>2</v>
      </c>
      <c r="H417" s="2">
        <v>1</v>
      </c>
      <c r="I417" s="22">
        <f>Table43[[#This Row],[Item Cost]]*Table43[[#This Row],[In Stock]]</f>
        <v>277</v>
      </c>
      <c r="J417" s="12" t="s">
        <v>4941</v>
      </c>
      <c r="K417" s="13" t="s">
        <v>4666</v>
      </c>
      <c r="L417" s="13" t="s">
        <v>4693</v>
      </c>
      <c r="M417" s="13" t="s">
        <v>4693</v>
      </c>
      <c r="N417" s="12" t="s">
        <v>4672</v>
      </c>
      <c r="O417" s="17" t="str">
        <f>IF(LEN(COUNTIFS($J$1:J417,$J417,$K$1:K417,$K417,$L$1:L417,$L417,$M$1:M417,M417,$N$1:N417,N417))=1,"00"&amp;COUNTIFS($J$1:J417,$J417,$K$1:K417,$K417,$L$1:L417,$L417,$M$1:M417,M417,$N$1:N417,N417),IF(LEN(COUNTIFS($J$1:J417,$J417,$K$1:K417,$K417,$L$1:L417,$L417,$M$1:M417,M417,$N$1:N417,N417))=2,"0"&amp;COUNTIFS($J$1:J417,$J417,$K$1:K417,$K417,$L$1:L417,$L417,$M$1:M417,M417,$N$1:N417,N417),COUNTIFS($J$1:J417,$J417,$K$1:K417,$K417,$L$1:L417,$L417,$M$1:M417,M417,$N$1:N417,N417)))</f>
        <v>012</v>
      </c>
      <c r="P41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MS-NS-012-23-00012-INV</v>
      </c>
      <c r="Q417" s="59"/>
      <c r="R417" s="34" t="s">
        <v>6213</v>
      </c>
      <c r="S417" s="34" t="s">
        <v>1381</v>
      </c>
      <c r="T417" s="34">
        <f>+IFERROR(_xlfn.XLOOKUP(Table43[[#This Row],[Column1]],#REF!,#REF!),0)</f>
        <v>0</v>
      </c>
      <c r="U417" s="50">
        <f>IFERROR(_xlfn.XLOOKUP(Table43[[#This Row],[Column1]],#REF!,#REF!),0)</f>
        <v>0</v>
      </c>
      <c r="V417" s="39"/>
    </row>
    <row r="418" spans="1:22" x14ac:dyDescent="0.35">
      <c r="A418" s="3" t="s">
        <v>5290</v>
      </c>
      <c r="B418" s="3" t="s">
        <v>1383</v>
      </c>
      <c r="C418" s="3" t="s">
        <v>15</v>
      </c>
      <c r="D418" s="3">
        <v>20</v>
      </c>
      <c r="E418" s="3" t="s">
        <v>10</v>
      </c>
      <c r="F418" s="3">
        <v>0</v>
      </c>
      <c r="G418" s="3">
        <v>2</v>
      </c>
      <c r="H418" s="3">
        <v>5</v>
      </c>
      <c r="I418" s="21">
        <f>Table43[[#This Row],[Item Cost]]*Table43[[#This Row],[In Stock]]</f>
        <v>100</v>
      </c>
      <c r="J418" s="12" t="s">
        <v>4941</v>
      </c>
      <c r="K418" s="13" t="s">
        <v>4666</v>
      </c>
      <c r="L418" s="13" t="s">
        <v>4693</v>
      </c>
      <c r="M418" s="13" t="s">
        <v>4839</v>
      </c>
      <c r="N418" s="12" t="s">
        <v>4672</v>
      </c>
      <c r="O418" s="17" t="str">
        <f>IF(LEN(COUNTIFS($J$1:J418,$J418,$K$1:K418,$K418,$L$1:L418,$L418,$M$1:M418,M418,$N$1:N418,N418))=1,"00"&amp;COUNTIFS($J$1:J418,$J418,$K$1:K418,$K418,$L$1:L418,$L418,$M$1:M418,M418,$N$1:N418,N418),IF(LEN(COUNTIFS($J$1:J418,$J418,$K$1:K418,$K418,$L$1:L418,$L418,$M$1:M418,M418,$N$1:N418,N418))=2,"0"&amp;COUNTIFS($J$1:J418,$J418,$K$1:K418,$K418,$L$1:L418,$L418,$M$1:M418,M418,$N$1:N418,N418),COUNTIFS($J$1:J418,$J418,$K$1:K418,$K418,$L$1:L418,$L418,$M$1:M418,M418,$N$1:N418,N418)))</f>
        <v>003</v>
      </c>
      <c r="P41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MS-NS-012-27-00003-INV</v>
      </c>
      <c r="Q418" s="59"/>
      <c r="R418" s="34" t="s">
        <v>6214</v>
      </c>
      <c r="S418" s="34" t="s">
        <v>1383</v>
      </c>
      <c r="T418" s="34">
        <f>+IFERROR(_xlfn.XLOOKUP(Table43[[#This Row],[Column1]],#REF!,#REF!),0)</f>
        <v>0</v>
      </c>
      <c r="U418" s="50">
        <f>IFERROR(_xlfn.XLOOKUP(Table43[[#This Row],[Column1]],#REF!,#REF!),0)</f>
        <v>0</v>
      </c>
      <c r="V418" s="39"/>
    </row>
    <row r="419" spans="1:22" x14ac:dyDescent="0.35">
      <c r="A419" s="3" t="s">
        <v>5291</v>
      </c>
      <c r="B419" s="2" t="s">
        <v>1385</v>
      </c>
      <c r="C419" s="2" t="s">
        <v>15</v>
      </c>
      <c r="D419" s="2">
        <v>50</v>
      </c>
      <c r="E419" s="2" t="s">
        <v>10</v>
      </c>
      <c r="F419" s="3">
        <v>0</v>
      </c>
      <c r="G419" s="3">
        <v>2</v>
      </c>
      <c r="H419" s="2">
        <v>6</v>
      </c>
      <c r="I419" s="22">
        <f>Table43[[#This Row],[Item Cost]]*Table43[[#This Row],[In Stock]]</f>
        <v>300</v>
      </c>
      <c r="J419" s="12" t="s">
        <v>4941</v>
      </c>
      <c r="K419" s="13" t="s">
        <v>4666</v>
      </c>
      <c r="L419" s="13" t="s">
        <v>4693</v>
      </c>
      <c r="M419" s="13" t="s">
        <v>4775</v>
      </c>
      <c r="N419" s="12" t="s">
        <v>4672</v>
      </c>
      <c r="O419" s="17" t="str">
        <f>IF(LEN(COUNTIFS($J$1:J419,$J419,$K$1:K419,$K419,$L$1:L419,$L419,$M$1:M419,M419,$N$1:N419,N419))=1,"00"&amp;COUNTIFS($J$1:J419,$J419,$K$1:K419,$K419,$L$1:L419,$L419,$M$1:M419,M419,$N$1:N419,N419),IF(LEN(COUNTIFS($J$1:J419,$J419,$K$1:K419,$K419,$L$1:L419,$L419,$M$1:M419,M419,$N$1:N419,N419))=2,"0"&amp;COUNTIFS($J$1:J419,$J419,$K$1:K419,$K419,$L$1:L419,$L419,$M$1:M419,M419,$N$1:N419,N419),COUNTIFS($J$1:J419,$J419,$K$1:K419,$K419,$L$1:L419,$L419,$M$1:M419,M419,$N$1:N419,N419)))</f>
        <v>001</v>
      </c>
      <c r="P41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MS-NS-012-09-00001-INV</v>
      </c>
      <c r="Q419" s="59" t="s">
        <v>7336</v>
      </c>
      <c r="R419" s="34" t="s">
        <v>6215</v>
      </c>
      <c r="S419" s="34" t="s">
        <v>1385</v>
      </c>
      <c r="T419" s="34">
        <f>+IFERROR(_xlfn.XLOOKUP(Table43[[#This Row],[Column1]],#REF!,#REF!),0)</f>
        <v>0</v>
      </c>
      <c r="U419" s="50">
        <f>IFERROR(_xlfn.XLOOKUP(Table43[[#This Row],[Column1]],#REF!,#REF!),0)</f>
        <v>0</v>
      </c>
      <c r="V419" s="39"/>
    </row>
    <row r="420" spans="1:22" x14ac:dyDescent="0.35">
      <c r="A420" s="3" t="s">
        <v>5292</v>
      </c>
      <c r="B420" s="3" t="s">
        <v>1387</v>
      </c>
      <c r="C420" s="3" t="s">
        <v>15</v>
      </c>
      <c r="D420" s="3">
        <v>360</v>
      </c>
      <c r="E420" s="3" t="s">
        <v>10</v>
      </c>
      <c r="F420" s="3">
        <v>0</v>
      </c>
      <c r="G420" s="3">
        <v>2</v>
      </c>
      <c r="H420" s="3">
        <v>9</v>
      </c>
      <c r="I420" s="21">
        <f>Table43[[#This Row],[Item Cost]]*Table43[[#This Row],[In Stock]]</f>
        <v>3240</v>
      </c>
      <c r="J420" s="12" t="s">
        <v>4941</v>
      </c>
      <c r="K420" s="13" t="s">
        <v>4666</v>
      </c>
      <c r="L420" s="13" t="s">
        <v>4693</v>
      </c>
      <c r="M420" s="13" t="s">
        <v>4775</v>
      </c>
      <c r="N420" s="12" t="s">
        <v>4672</v>
      </c>
      <c r="O420" s="17" t="str">
        <f>IF(LEN(COUNTIFS($J$1:J420,$J420,$K$1:K420,$K420,$L$1:L420,$L420,$M$1:M420,M420,$N$1:N420,N420))=1,"00"&amp;COUNTIFS($J$1:J420,$J420,$K$1:K420,$K420,$L$1:L420,$L420,$M$1:M420,M420,$N$1:N420,N420),IF(LEN(COUNTIFS($J$1:J420,$J420,$K$1:K420,$K420,$L$1:L420,$L420,$M$1:M420,M420,$N$1:N420,N420))=2,"0"&amp;COUNTIFS($J$1:J420,$J420,$K$1:K420,$K420,$L$1:L420,$L420,$M$1:M420,M420,$N$1:N420,N420),COUNTIFS($J$1:J420,$J420,$K$1:K420,$K420,$L$1:L420,$L420,$M$1:M420,M420,$N$1:N420,N420)))</f>
        <v>002</v>
      </c>
      <c r="P42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MS-NS-012-09-00002-INV</v>
      </c>
      <c r="Q420" s="59"/>
      <c r="R420" s="34" t="s">
        <v>6216</v>
      </c>
      <c r="S420" s="34" t="s">
        <v>1387</v>
      </c>
      <c r="T420" s="34">
        <f>+IFERROR(_xlfn.XLOOKUP(Table43[[#This Row],[Column1]],#REF!,#REF!),0)</f>
        <v>0</v>
      </c>
      <c r="U420" s="50">
        <f>IFERROR(_xlfn.XLOOKUP(Table43[[#This Row],[Column1]],#REF!,#REF!),0)</f>
        <v>0</v>
      </c>
      <c r="V420" s="39"/>
    </row>
    <row r="421" spans="1:22" x14ac:dyDescent="0.35">
      <c r="A421" s="3" t="s">
        <v>5293</v>
      </c>
      <c r="B421" s="2" t="s">
        <v>1389</v>
      </c>
      <c r="C421" s="2" t="s">
        <v>15</v>
      </c>
      <c r="D421" s="2">
        <v>0</v>
      </c>
      <c r="E421" s="2" t="s">
        <v>10</v>
      </c>
      <c r="F421" s="3">
        <v>0</v>
      </c>
      <c r="G421" s="3">
        <v>2</v>
      </c>
      <c r="H421" s="2">
        <v>0</v>
      </c>
      <c r="I421" s="22">
        <f>Table43[[#This Row],[Item Cost]]*Table43[[#This Row],[In Stock]]</f>
        <v>0</v>
      </c>
      <c r="J421" s="12" t="s">
        <v>4941</v>
      </c>
      <c r="K421" s="13" t="s">
        <v>4666</v>
      </c>
      <c r="L421" s="13" t="s">
        <v>4693</v>
      </c>
      <c r="M421" s="13" t="s">
        <v>4693</v>
      </c>
      <c r="N421" s="12" t="s">
        <v>4672</v>
      </c>
      <c r="O421" s="17" t="str">
        <f>IF(LEN(COUNTIFS($J$1:J421,$J421,$K$1:K421,$K421,$L$1:L421,$L421,$M$1:M421,M421,$N$1:N421,N421))=1,"00"&amp;COUNTIFS($J$1:J421,$J421,$K$1:K421,$K421,$L$1:L421,$L421,$M$1:M421,M421,$N$1:N421,N421),IF(LEN(COUNTIFS($J$1:J421,$J421,$K$1:K421,$K421,$L$1:L421,$L421,$M$1:M421,M421,$N$1:N421,N421))=2,"0"&amp;COUNTIFS($J$1:J421,$J421,$K$1:K421,$K421,$L$1:L421,$L421,$M$1:M421,M421,$N$1:N421,N421),COUNTIFS($J$1:J421,$J421,$K$1:K421,$K421,$L$1:L421,$L421,$M$1:M421,M421,$N$1:N421,N421)))</f>
        <v>013</v>
      </c>
      <c r="P42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MS-NS-012-23-00013-INV</v>
      </c>
      <c r="Q421" s="59"/>
      <c r="R421" s="34" t="s">
        <v>6217</v>
      </c>
      <c r="S421" s="34" t="s">
        <v>1389</v>
      </c>
      <c r="T421" s="34">
        <f>+IFERROR(_xlfn.XLOOKUP(Table43[[#This Row],[Column1]],#REF!,#REF!),0)</f>
        <v>0</v>
      </c>
      <c r="U421" s="50">
        <f>IFERROR(_xlfn.XLOOKUP(Table43[[#This Row],[Column1]],#REF!,#REF!),0)</f>
        <v>0</v>
      </c>
      <c r="V421" s="39"/>
    </row>
    <row r="422" spans="1:22" x14ac:dyDescent="0.35">
      <c r="A422" s="3" t="s">
        <v>5294</v>
      </c>
      <c r="B422" s="3" t="s">
        <v>1391</v>
      </c>
      <c r="C422" s="3" t="s">
        <v>15</v>
      </c>
      <c r="D422" s="3">
        <v>0</v>
      </c>
      <c r="E422" s="3" t="s">
        <v>10</v>
      </c>
      <c r="F422" s="3">
        <v>0</v>
      </c>
      <c r="G422" s="3">
        <v>2</v>
      </c>
      <c r="H422" s="3">
        <v>0</v>
      </c>
      <c r="I422" s="21">
        <f>Table43[[#This Row],[Item Cost]]*Table43[[#This Row],[In Stock]]</f>
        <v>0</v>
      </c>
      <c r="J422" s="12" t="s">
        <v>4941</v>
      </c>
      <c r="K422" s="13" t="s">
        <v>4666</v>
      </c>
      <c r="L422" s="13" t="s">
        <v>4693</v>
      </c>
      <c r="M422" s="13" t="s">
        <v>4693</v>
      </c>
      <c r="N422" s="12" t="s">
        <v>4672</v>
      </c>
      <c r="O422" s="17" t="str">
        <f>IF(LEN(COUNTIFS($J$1:J422,$J422,$K$1:K422,$K422,$L$1:L422,$L422,$M$1:M422,M422,$N$1:N422,N422))=1,"00"&amp;COUNTIFS($J$1:J422,$J422,$K$1:K422,$K422,$L$1:L422,$L422,$M$1:M422,M422,$N$1:N422,N422),IF(LEN(COUNTIFS($J$1:J422,$J422,$K$1:K422,$K422,$L$1:L422,$L422,$M$1:M422,M422,$N$1:N422,N422))=2,"0"&amp;COUNTIFS($J$1:J422,$J422,$K$1:K422,$K422,$L$1:L422,$L422,$M$1:M422,M422,$N$1:N422,N422),COUNTIFS($J$1:J422,$J422,$K$1:K422,$K422,$L$1:L422,$L422,$M$1:M422,M422,$N$1:N422,N422)))</f>
        <v>014</v>
      </c>
      <c r="P42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MS-NS-012-23-00014-INV</v>
      </c>
      <c r="Q422" s="59"/>
      <c r="R422" s="34" t="s">
        <v>6218</v>
      </c>
      <c r="S422" s="34" t="s">
        <v>1391</v>
      </c>
      <c r="T422" s="34">
        <f>+IFERROR(_xlfn.XLOOKUP(Table43[[#This Row],[Column1]],#REF!,#REF!),0)</f>
        <v>0</v>
      </c>
      <c r="U422" s="50">
        <f>IFERROR(_xlfn.XLOOKUP(Table43[[#This Row],[Column1]],#REF!,#REF!),0)</f>
        <v>0</v>
      </c>
      <c r="V422" s="39"/>
    </row>
    <row r="423" spans="1:22" x14ac:dyDescent="0.35">
      <c r="A423" s="3" t="s">
        <v>5295</v>
      </c>
      <c r="B423" s="2" t="s">
        <v>1393</v>
      </c>
      <c r="C423" s="2" t="s">
        <v>15</v>
      </c>
      <c r="D423" s="2">
        <v>0</v>
      </c>
      <c r="E423" s="2" t="s">
        <v>10</v>
      </c>
      <c r="F423" s="3">
        <v>0</v>
      </c>
      <c r="G423" s="3">
        <v>2</v>
      </c>
      <c r="H423" s="2">
        <v>0</v>
      </c>
      <c r="I423" s="22">
        <f>Table43[[#This Row],[Item Cost]]*Table43[[#This Row],[In Stock]]</f>
        <v>0</v>
      </c>
      <c r="J423" s="12" t="s">
        <v>4941</v>
      </c>
      <c r="K423" s="13" t="s">
        <v>4666</v>
      </c>
      <c r="L423" s="13" t="s">
        <v>4693</v>
      </c>
      <c r="M423" s="13" t="s">
        <v>4775</v>
      </c>
      <c r="N423" s="12" t="s">
        <v>4672</v>
      </c>
      <c r="O423" s="17" t="str">
        <f>IF(LEN(COUNTIFS($J$1:J423,$J423,$K$1:K423,$K423,$L$1:L423,$L423,$M$1:M423,M423,$N$1:N423,N423))=1,"00"&amp;COUNTIFS($J$1:J423,$J423,$K$1:K423,$K423,$L$1:L423,$L423,$M$1:M423,M423,$N$1:N423,N423),IF(LEN(COUNTIFS($J$1:J423,$J423,$K$1:K423,$K423,$L$1:L423,$L423,$M$1:M423,M423,$N$1:N423,N423))=2,"0"&amp;COUNTIFS($J$1:J423,$J423,$K$1:K423,$K423,$L$1:L423,$L423,$M$1:M423,M423,$N$1:N423,N423),COUNTIFS($J$1:J423,$J423,$K$1:K423,$K423,$L$1:L423,$L423,$M$1:M423,M423,$N$1:N423,N423)))</f>
        <v>003</v>
      </c>
      <c r="P42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MS-NS-012-09-00003-INV</v>
      </c>
      <c r="Q423" s="59"/>
      <c r="R423" s="34" t="s">
        <v>6219</v>
      </c>
      <c r="S423" s="34" t="s">
        <v>1393</v>
      </c>
      <c r="T423" s="34">
        <f>+IFERROR(_xlfn.XLOOKUP(Table43[[#This Row],[Column1]],#REF!,#REF!),0)</f>
        <v>0</v>
      </c>
      <c r="U423" s="50">
        <f>IFERROR(_xlfn.XLOOKUP(Table43[[#This Row],[Column1]],#REF!,#REF!),0)</f>
        <v>0</v>
      </c>
      <c r="V423" s="39"/>
    </row>
    <row r="424" spans="1:22" x14ac:dyDescent="0.35">
      <c r="A424" s="3" t="s">
        <v>5296</v>
      </c>
      <c r="B424" s="2" t="s">
        <v>1395</v>
      </c>
      <c r="C424" s="2" t="s">
        <v>15</v>
      </c>
      <c r="D424" s="2">
        <v>250</v>
      </c>
      <c r="E424" s="2" t="s">
        <v>10</v>
      </c>
      <c r="F424" s="3">
        <v>0</v>
      </c>
      <c r="G424" s="3">
        <v>2</v>
      </c>
      <c r="H424" s="2">
        <v>2</v>
      </c>
      <c r="I424" s="22">
        <f>Table43[[#This Row],[Item Cost]]*Table43[[#This Row],[In Stock]]</f>
        <v>500</v>
      </c>
      <c r="J424" s="12" t="s">
        <v>4941</v>
      </c>
      <c r="K424" s="13" t="s">
        <v>4666</v>
      </c>
      <c r="L424" s="13" t="s">
        <v>4693</v>
      </c>
      <c r="M424" s="13" t="s">
        <v>4693</v>
      </c>
      <c r="N424" s="12" t="s">
        <v>4672</v>
      </c>
      <c r="O424" s="17" t="str">
        <f>IF(LEN(COUNTIFS($J$1:J424,$J424,$K$1:K424,$K424,$L$1:L424,$L424,$M$1:M424,M424,$N$1:N424,N424))=1,"00"&amp;COUNTIFS($J$1:J424,$J424,$K$1:K424,$K424,$L$1:L424,$L424,$M$1:M424,M424,$N$1:N424,N424),IF(LEN(COUNTIFS($J$1:J424,$J424,$K$1:K424,$K424,$L$1:L424,$L424,$M$1:M424,M424,$N$1:N424,N424))=2,"0"&amp;COUNTIFS($J$1:J424,$J424,$K$1:K424,$K424,$L$1:L424,$L424,$M$1:M424,M424,$N$1:N424,N424),COUNTIFS($J$1:J424,$J424,$K$1:K424,$K424,$L$1:L424,$L424,$M$1:M424,M424,$N$1:N424,N424)))</f>
        <v>015</v>
      </c>
      <c r="P42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MS-NS-012-23-00015-INV</v>
      </c>
      <c r="Q424" s="59"/>
      <c r="R424" s="34" t="s">
        <v>6220</v>
      </c>
      <c r="S424" s="34" t="s">
        <v>1395</v>
      </c>
      <c r="T424" s="34">
        <f>+IFERROR(_xlfn.XLOOKUP(Table43[[#This Row],[Column1]],#REF!,#REF!),0)</f>
        <v>0</v>
      </c>
      <c r="U424" s="50">
        <f>IFERROR(_xlfn.XLOOKUP(Table43[[#This Row],[Column1]],#REF!,#REF!),0)</f>
        <v>0</v>
      </c>
      <c r="V424" s="39"/>
    </row>
    <row r="425" spans="1:22" x14ac:dyDescent="0.35">
      <c r="A425" s="3" t="s">
        <v>5297</v>
      </c>
      <c r="B425" s="3" t="s">
        <v>1397</v>
      </c>
      <c r="C425" s="3" t="s">
        <v>15</v>
      </c>
      <c r="D425" s="3">
        <v>115</v>
      </c>
      <c r="E425" s="3" t="s">
        <v>10</v>
      </c>
      <c r="F425" s="3">
        <v>0</v>
      </c>
      <c r="G425" s="3">
        <v>2</v>
      </c>
      <c r="H425" s="3">
        <v>1</v>
      </c>
      <c r="I425" s="21">
        <f>Table43[[#This Row],[Item Cost]]*Table43[[#This Row],[In Stock]]</f>
        <v>115</v>
      </c>
      <c r="J425" s="12" t="s">
        <v>4941</v>
      </c>
      <c r="K425" s="13" t="s">
        <v>4666</v>
      </c>
      <c r="L425" s="13" t="s">
        <v>4693</v>
      </c>
      <c r="M425" s="13" t="s">
        <v>4693</v>
      </c>
      <c r="N425" s="12" t="s">
        <v>4672</v>
      </c>
      <c r="O425" s="17" t="str">
        <f>IF(LEN(COUNTIFS($J$1:J425,$J425,$K$1:K425,$K425,$L$1:L425,$L425,$M$1:M425,M425,$N$1:N425,N425))=1,"00"&amp;COUNTIFS($J$1:J425,$J425,$K$1:K425,$K425,$L$1:L425,$L425,$M$1:M425,M425,$N$1:N425,N425),IF(LEN(COUNTIFS($J$1:J425,$J425,$K$1:K425,$K425,$L$1:L425,$L425,$M$1:M425,M425,$N$1:N425,N425))=2,"0"&amp;COUNTIFS($J$1:J425,$J425,$K$1:K425,$K425,$L$1:L425,$L425,$M$1:M425,M425,$N$1:N425,N425),COUNTIFS($J$1:J425,$J425,$K$1:K425,$K425,$L$1:L425,$L425,$M$1:M425,M425,$N$1:N425,N425)))</f>
        <v>016</v>
      </c>
      <c r="P42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MS-NS-012-23-00016-INV</v>
      </c>
      <c r="Q425" s="59"/>
      <c r="R425" s="34" t="s">
        <v>6221</v>
      </c>
      <c r="S425" s="34" t="s">
        <v>1397</v>
      </c>
      <c r="T425" s="34">
        <f>+IFERROR(_xlfn.XLOOKUP(Table43[[#This Row],[Column1]],#REF!,#REF!),0)</f>
        <v>0</v>
      </c>
      <c r="U425" s="50">
        <f>IFERROR(_xlfn.XLOOKUP(Table43[[#This Row],[Column1]],#REF!,#REF!),0)</f>
        <v>0</v>
      </c>
      <c r="V425" s="39"/>
    </row>
    <row r="426" spans="1:22" x14ac:dyDescent="0.35">
      <c r="A426" s="3" t="s">
        <v>5298</v>
      </c>
      <c r="B426" s="2" t="s">
        <v>1399</v>
      </c>
      <c r="C426" s="2" t="s">
        <v>15</v>
      </c>
      <c r="D426" s="2">
        <v>0</v>
      </c>
      <c r="E426" s="2" t="s">
        <v>10</v>
      </c>
      <c r="F426" s="3">
        <v>0</v>
      </c>
      <c r="G426" s="3">
        <v>2</v>
      </c>
      <c r="H426" s="2">
        <v>0</v>
      </c>
      <c r="I426" s="22">
        <f>Table43[[#This Row],[Item Cost]]*Table43[[#This Row],[In Stock]]</f>
        <v>0</v>
      </c>
      <c r="J426" s="12" t="s">
        <v>4941</v>
      </c>
      <c r="K426" s="13" t="s">
        <v>4666</v>
      </c>
      <c r="L426" s="13" t="s">
        <v>4693</v>
      </c>
      <c r="M426" s="13" t="s">
        <v>4840</v>
      </c>
      <c r="N426" s="12" t="s">
        <v>4672</v>
      </c>
      <c r="O426" s="17" t="str">
        <f>IF(LEN(COUNTIFS($J$1:J426,$J426,$K$1:K426,$K426,$L$1:L426,$L426,$M$1:M426,M426,$N$1:N426,N426))=1,"00"&amp;COUNTIFS($J$1:J426,$J426,$K$1:K426,$K426,$L$1:L426,$L426,$M$1:M426,M426,$N$1:N426,N426),IF(LEN(COUNTIFS($J$1:J426,$J426,$K$1:K426,$K426,$L$1:L426,$L426,$M$1:M426,M426,$N$1:N426,N426))=2,"0"&amp;COUNTIFS($J$1:J426,$J426,$K$1:K426,$K426,$L$1:L426,$L426,$M$1:M426,M426,$N$1:N426,N426),COUNTIFS($J$1:J426,$J426,$K$1:K426,$K426,$L$1:L426,$L426,$M$1:M426,M426,$N$1:N426,N426)))</f>
        <v>001</v>
      </c>
      <c r="P42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MS-NS-012-15-00001-INV</v>
      </c>
      <c r="Q426" s="59" t="s">
        <v>7352</v>
      </c>
      <c r="R426" s="34" t="s">
        <v>6222</v>
      </c>
      <c r="S426" s="34" t="s">
        <v>1399</v>
      </c>
      <c r="T426" s="34">
        <f>+IFERROR(_xlfn.XLOOKUP(Table43[[#This Row],[Column1]],#REF!,#REF!),0)</f>
        <v>0</v>
      </c>
      <c r="U426" s="50">
        <f>IFERROR(_xlfn.XLOOKUP(Table43[[#This Row],[Column1]],#REF!,#REF!),0)</f>
        <v>0</v>
      </c>
      <c r="V426" s="39"/>
    </row>
    <row r="427" spans="1:22" x14ac:dyDescent="0.35">
      <c r="A427" s="3" t="s">
        <v>5299</v>
      </c>
      <c r="B427" s="3" t="s">
        <v>1401</v>
      </c>
      <c r="C427" s="3" t="s">
        <v>15</v>
      </c>
      <c r="D427" s="3">
        <v>0</v>
      </c>
      <c r="E427" s="3" t="s">
        <v>10</v>
      </c>
      <c r="F427" s="3">
        <v>0</v>
      </c>
      <c r="G427" s="3">
        <v>2</v>
      </c>
      <c r="H427" s="3">
        <v>0</v>
      </c>
      <c r="I427" s="21">
        <f>Table43[[#This Row],[Item Cost]]*Table43[[#This Row],[In Stock]]</f>
        <v>0</v>
      </c>
      <c r="J427" s="12" t="s">
        <v>4941</v>
      </c>
      <c r="K427" s="13" t="s">
        <v>4666</v>
      </c>
      <c r="L427" s="13" t="s">
        <v>4693</v>
      </c>
      <c r="M427" s="13" t="s">
        <v>4775</v>
      </c>
      <c r="N427" s="12" t="s">
        <v>4672</v>
      </c>
      <c r="O427" s="17" t="str">
        <f>IF(LEN(COUNTIFS($J$1:J427,$J427,$K$1:K427,$K427,$L$1:L427,$L427,$M$1:M427,M427,$N$1:N427,N427))=1,"00"&amp;COUNTIFS($J$1:J427,$J427,$K$1:K427,$K427,$L$1:L427,$L427,$M$1:M427,M427,$N$1:N427,N427),IF(LEN(COUNTIFS($J$1:J427,$J427,$K$1:K427,$K427,$L$1:L427,$L427,$M$1:M427,M427,$N$1:N427,N427))=2,"0"&amp;COUNTIFS($J$1:J427,$J427,$K$1:K427,$K427,$L$1:L427,$L427,$M$1:M427,M427,$N$1:N427,N427),COUNTIFS($J$1:J427,$J427,$K$1:K427,$K427,$L$1:L427,$L427,$M$1:M427,M427,$N$1:N427,N427)))</f>
        <v>004</v>
      </c>
      <c r="P42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MS-NS-012-09-00004-INV</v>
      </c>
      <c r="Q427" s="59"/>
      <c r="R427" s="34" t="s">
        <v>6223</v>
      </c>
      <c r="S427" s="34" t="s">
        <v>1401</v>
      </c>
      <c r="T427" s="34">
        <f>+IFERROR(_xlfn.XLOOKUP(Table43[[#This Row],[Column1]],#REF!,#REF!),0)</f>
        <v>0</v>
      </c>
      <c r="U427" s="50">
        <f>IFERROR(_xlfn.XLOOKUP(Table43[[#This Row],[Column1]],#REF!,#REF!),0)</f>
        <v>0</v>
      </c>
      <c r="V427" s="39"/>
    </row>
    <row r="428" spans="1:22" x14ac:dyDescent="0.35">
      <c r="A428" s="3" t="s">
        <v>5300</v>
      </c>
      <c r="B428" s="2" t="s">
        <v>1403</v>
      </c>
      <c r="C428" s="2" t="s">
        <v>15</v>
      </c>
      <c r="D428" s="2">
        <v>0</v>
      </c>
      <c r="E428" s="2" t="s">
        <v>10</v>
      </c>
      <c r="F428" s="3">
        <v>0</v>
      </c>
      <c r="G428" s="3">
        <v>2</v>
      </c>
      <c r="H428" s="2">
        <v>0</v>
      </c>
      <c r="I428" s="22">
        <f>Table43[[#This Row],[Item Cost]]*Table43[[#This Row],[In Stock]]</f>
        <v>0</v>
      </c>
      <c r="J428" s="12" t="s">
        <v>4941</v>
      </c>
      <c r="K428" s="13" t="s">
        <v>4666</v>
      </c>
      <c r="L428" s="13" t="s">
        <v>4693</v>
      </c>
      <c r="M428" s="13" t="s">
        <v>4777</v>
      </c>
      <c r="N428" s="12" t="s">
        <v>4672</v>
      </c>
      <c r="O428" s="17" t="str">
        <f>IF(LEN(COUNTIFS($J$1:J428,$J428,$K$1:K428,$K428,$L$1:L428,$L428,$M$1:M428,M428,$N$1:N428,N428))=1,"00"&amp;COUNTIFS($J$1:J428,$J428,$K$1:K428,$K428,$L$1:L428,$L428,$M$1:M428,M428,$N$1:N428,N428),IF(LEN(COUNTIFS($J$1:J428,$J428,$K$1:K428,$K428,$L$1:L428,$L428,$M$1:M428,M428,$N$1:N428,N428))=2,"0"&amp;COUNTIFS($J$1:J428,$J428,$K$1:K428,$K428,$L$1:L428,$L428,$M$1:M428,M428,$N$1:N428,N428),COUNTIFS($J$1:J428,$J428,$K$1:K428,$K428,$L$1:L428,$L428,$M$1:M428,M428,$N$1:N428,N428)))</f>
        <v>001</v>
      </c>
      <c r="P42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MS-NS-012-11-00001-INV</v>
      </c>
      <c r="Q428" s="59"/>
      <c r="R428" s="34"/>
      <c r="S428" s="34">
        <v>0</v>
      </c>
      <c r="T428" s="34">
        <f>+IFERROR(_xlfn.XLOOKUP(Table43[[#This Row],[Column1]],#REF!,#REF!),0)</f>
        <v>0</v>
      </c>
      <c r="U428" s="50">
        <f>IFERROR(_xlfn.XLOOKUP(Table43[[#This Row],[Column1]],#REF!,#REF!),0)</f>
        <v>0</v>
      </c>
      <c r="V428" s="39"/>
    </row>
    <row r="429" spans="1:22" x14ac:dyDescent="0.35">
      <c r="A429" s="3" t="s">
        <v>5301</v>
      </c>
      <c r="B429" s="3" t="s">
        <v>1405</v>
      </c>
      <c r="C429" s="3" t="s">
        <v>15</v>
      </c>
      <c r="D429" s="3">
        <v>0</v>
      </c>
      <c r="E429" s="3" t="s">
        <v>10</v>
      </c>
      <c r="F429" s="3">
        <v>0</v>
      </c>
      <c r="G429" s="3">
        <v>2</v>
      </c>
      <c r="H429" s="3">
        <v>0</v>
      </c>
      <c r="I429" s="21">
        <f>Table43[[#This Row],[Item Cost]]*Table43[[#This Row],[In Stock]]</f>
        <v>0</v>
      </c>
      <c r="J429" s="12" t="s">
        <v>4941</v>
      </c>
      <c r="K429" s="13" t="s">
        <v>4666</v>
      </c>
      <c r="L429" s="13" t="s">
        <v>4693</v>
      </c>
      <c r="M429" s="13" t="s">
        <v>4777</v>
      </c>
      <c r="N429" s="12" t="s">
        <v>4672</v>
      </c>
      <c r="O429" s="17" t="str">
        <f>IF(LEN(COUNTIFS($J$1:J429,$J429,$K$1:K429,$K429,$L$1:L429,$L429,$M$1:M429,M429,$N$1:N429,N429))=1,"00"&amp;COUNTIFS($J$1:J429,$J429,$K$1:K429,$K429,$L$1:L429,$L429,$M$1:M429,M429,$N$1:N429,N429),IF(LEN(COUNTIFS($J$1:J429,$J429,$K$1:K429,$K429,$L$1:L429,$L429,$M$1:M429,M429,$N$1:N429,N429))=2,"0"&amp;COUNTIFS($J$1:J429,$J429,$K$1:K429,$K429,$L$1:L429,$L429,$M$1:M429,M429,$N$1:N429,N429),COUNTIFS($J$1:J429,$J429,$K$1:K429,$K429,$L$1:L429,$L429,$M$1:M429,M429,$N$1:N429,N429)))</f>
        <v>002</v>
      </c>
      <c r="P42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MS-NS-012-11-00002-INV</v>
      </c>
      <c r="Q429" s="59"/>
      <c r="R429" s="34" t="s">
        <v>6224</v>
      </c>
      <c r="S429" s="34" t="s">
        <v>1405</v>
      </c>
      <c r="T429" s="34">
        <f>+IFERROR(_xlfn.XLOOKUP(Table43[[#This Row],[Column1]],#REF!,#REF!),0)</f>
        <v>0</v>
      </c>
      <c r="U429" s="50">
        <f>IFERROR(_xlfn.XLOOKUP(Table43[[#This Row],[Column1]],#REF!,#REF!),0)</f>
        <v>0</v>
      </c>
      <c r="V429" s="39"/>
    </row>
    <row r="430" spans="1:22" x14ac:dyDescent="0.35">
      <c r="A430" s="3" t="s">
        <v>5302</v>
      </c>
      <c r="B430" s="2" t="s">
        <v>1407</v>
      </c>
      <c r="C430" s="2" t="s">
        <v>15</v>
      </c>
      <c r="D430" s="2">
        <v>0</v>
      </c>
      <c r="E430" s="2" t="s">
        <v>10</v>
      </c>
      <c r="F430" s="3">
        <v>0</v>
      </c>
      <c r="G430" s="3">
        <v>2</v>
      </c>
      <c r="H430" s="2">
        <v>0</v>
      </c>
      <c r="I430" s="22">
        <f>Table43[[#This Row],[Item Cost]]*Table43[[#This Row],[In Stock]]</f>
        <v>0</v>
      </c>
      <c r="J430" s="12" t="s">
        <v>4941</v>
      </c>
      <c r="K430" s="13" t="s">
        <v>4666</v>
      </c>
      <c r="L430" s="13" t="s">
        <v>4693</v>
      </c>
      <c r="M430" s="13" t="s">
        <v>4777</v>
      </c>
      <c r="N430" s="12" t="s">
        <v>4672</v>
      </c>
      <c r="O430" s="17" t="str">
        <f>IF(LEN(COUNTIFS($J$1:J430,$J430,$K$1:K430,$K430,$L$1:L430,$L430,$M$1:M430,M430,$N$1:N430,N430))=1,"00"&amp;COUNTIFS($J$1:J430,$J430,$K$1:K430,$K430,$L$1:L430,$L430,$M$1:M430,M430,$N$1:N430,N430),IF(LEN(COUNTIFS($J$1:J430,$J430,$K$1:K430,$K430,$L$1:L430,$L430,$M$1:M430,M430,$N$1:N430,N430))=2,"0"&amp;COUNTIFS($J$1:J430,$J430,$K$1:K430,$K430,$L$1:L430,$L430,$M$1:M430,M430,$N$1:N430,N430),COUNTIFS($J$1:J430,$J430,$K$1:K430,$K430,$L$1:L430,$L430,$M$1:M430,M430,$N$1:N430,N430)))</f>
        <v>003</v>
      </c>
      <c r="P43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MS-NS-012-11-00003-INV</v>
      </c>
      <c r="Q430" s="59"/>
      <c r="R430" s="34" t="s">
        <v>6225</v>
      </c>
      <c r="S430" s="34" t="s">
        <v>1407</v>
      </c>
      <c r="T430" s="34">
        <f>+IFERROR(_xlfn.XLOOKUP(Table43[[#This Row],[Column1]],#REF!,#REF!),0)</f>
        <v>0</v>
      </c>
      <c r="U430" s="50">
        <f>IFERROR(_xlfn.XLOOKUP(Table43[[#This Row],[Column1]],#REF!,#REF!),0)</f>
        <v>0</v>
      </c>
      <c r="V430" s="39"/>
    </row>
    <row r="431" spans="1:22" x14ac:dyDescent="0.35">
      <c r="A431" s="3" t="s">
        <v>5303</v>
      </c>
      <c r="B431" s="3" t="s">
        <v>1409</v>
      </c>
      <c r="C431" s="3" t="s">
        <v>15</v>
      </c>
      <c r="D431" s="3">
        <v>0</v>
      </c>
      <c r="E431" s="3" t="s">
        <v>10</v>
      </c>
      <c r="F431" s="3">
        <v>0</v>
      </c>
      <c r="G431" s="3">
        <v>2</v>
      </c>
      <c r="H431" s="3">
        <v>0</v>
      </c>
      <c r="I431" s="21">
        <f>Table43[[#This Row],[Item Cost]]*Table43[[#This Row],[In Stock]]</f>
        <v>0</v>
      </c>
      <c r="J431" s="12" t="s">
        <v>4941</v>
      </c>
      <c r="K431" s="13" t="s">
        <v>4666</v>
      </c>
      <c r="L431" s="13" t="s">
        <v>4693</v>
      </c>
      <c r="M431" s="13" t="s">
        <v>4777</v>
      </c>
      <c r="N431" s="12" t="s">
        <v>4672</v>
      </c>
      <c r="O431" s="17" t="str">
        <f>IF(LEN(COUNTIFS($J$1:J431,$J431,$K$1:K431,$K431,$L$1:L431,$L431,$M$1:M431,M431,$N$1:N431,N431))=1,"00"&amp;COUNTIFS($J$1:J431,$J431,$K$1:K431,$K431,$L$1:L431,$L431,$M$1:M431,M431,$N$1:N431,N431),IF(LEN(COUNTIFS($J$1:J431,$J431,$K$1:K431,$K431,$L$1:L431,$L431,$M$1:M431,M431,$N$1:N431,N431))=2,"0"&amp;COUNTIFS($J$1:J431,$J431,$K$1:K431,$K431,$L$1:L431,$L431,$M$1:M431,M431,$N$1:N431,N431),COUNTIFS($J$1:J431,$J431,$K$1:K431,$K431,$L$1:L431,$L431,$M$1:M431,M431,$N$1:N431,N431)))</f>
        <v>004</v>
      </c>
      <c r="P43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MS-NS-012-11-00004-INV</v>
      </c>
      <c r="Q431" s="59"/>
      <c r="R431" s="34" t="s">
        <v>6226</v>
      </c>
      <c r="S431" s="34" t="s">
        <v>1409</v>
      </c>
      <c r="T431" s="34">
        <f>+IFERROR(_xlfn.XLOOKUP(Table43[[#This Row],[Column1]],#REF!,#REF!),0)</f>
        <v>0</v>
      </c>
      <c r="U431" s="50">
        <f>IFERROR(_xlfn.XLOOKUP(Table43[[#This Row],[Column1]],#REF!,#REF!),0)</f>
        <v>0</v>
      </c>
      <c r="V431" s="39"/>
    </row>
    <row r="432" spans="1:22" x14ac:dyDescent="0.35">
      <c r="A432" s="3" t="s">
        <v>5304</v>
      </c>
      <c r="B432" s="2" t="s">
        <v>1411</v>
      </c>
      <c r="C432" s="2" t="s">
        <v>15</v>
      </c>
      <c r="D432" s="2">
        <v>0</v>
      </c>
      <c r="E432" s="2" t="s">
        <v>10</v>
      </c>
      <c r="F432" s="3">
        <v>0</v>
      </c>
      <c r="G432" s="3">
        <v>2</v>
      </c>
      <c r="H432" s="2">
        <v>0</v>
      </c>
      <c r="I432" s="22">
        <f>Table43[[#This Row],[Item Cost]]*Table43[[#This Row],[In Stock]]</f>
        <v>0</v>
      </c>
      <c r="J432" s="12" t="s">
        <v>4941</v>
      </c>
      <c r="K432" s="13" t="s">
        <v>4666</v>
      </c>
      <c r="L432" s="13" t="s">
        <v>4693</v>
      </c>
      <c r="M432" s="13" t="s">
        <v>4833</v>
      </c>
      <c r="N432" s="12" t="s">
        <v>4672</v>
      </c>
      <c r="O432" s="17" t="str">
        <f>IF(LEN(COUNTIFS($J$1:J432,$J432,$K$1:K432,$K432,$L$1:L432,$L432,$M$1:M432,M432,$N$1:N432,N432))=1,"00"&amp;COUNTIFS($J$1:J432,$J432,$K$1:K432,$K432,$L$1:L432,$L432,$M$1:M432,M432,$N$1:N432,N432),IF(LEN(COUNTIFS($J$1:J432,$J432,$K$1:K432,$K432,$L$1:L432,$L432,$M$1:M432,M432,$N$1:N432,N432))=2,"0"&amp;COUNTIFS($J$1:J432,$J432,$K$1:K432,$K432,$L$1:L432,$L432,$M$1:M432,M432,$N$1:N432,N432),COUNTIFS($J$1:J432,$J432,$K$1:K432,$K432,$L$1:L432,$L432,$M$1:M432,M432,$N$1:N432,N432)))</f>
        <v>001</v>
      </c>
      <c r="P43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MS-NS-012-16-00001-INV</v>
      </c>
      <c r="Q432" s="59"/>
      <c r="R432" s="34" t="s">
        <v>6227</v>
      </c>
      <c r="S432" s="34" t="s">
        <v>1411</v>
      </c>
      <c r="T432" s="34">
        <f>+IFERROR(_xlfn.XLOOKUP(Table43[[#This Row],[Column1]],#REF!,#REF!),0)</f>
        <v>0</v>
      </c>
      <c r="U432" s="50">
        <f>IFERROR(_xlfn.XLOOKUP(Table43[[#This Row],[Column1]],#REF!,#REF!),0)</f>
        <v>0</v>
      </c>
      <c r="V432" s="39"/>
    </row>
    <row r="433" spans="1:22" x14ac:dyDescent="0.35">
      <c r="A433" s="3" t="s">
        <v>5305</v>
      </c>
      <c r="B433" s="3" t="s">
        <v>1413</v>
      </c>
      <c r="C433" s="3" t="s">
        <v>15</v>
      </c>
      <c r="D433" s="3">
        <v>0</v>
      </c>
      <c r="E433" s="3" t="s">
        <v>10</v>
      </c>
      <c r="F433" s="3">
        <v>2</v>
      </c>
      <c r="G433" s="3">
        <v>4</v>
      </c>
      <c r="H433" s="3">
        <v>0</v>
      </c>
      <c r="I433" s="21">
        <f>Table43[[#This Row],[Item Cost]]*Table43[[#This Row],[In Stock]]</f>
        <v>0</v>
      </c>
      <c r="J433" s="12" t="s">
        <v>4941</v>
      </c>
      <c r="K433" s="13" t="s">
        <v>4666</v>
      </c>
      <c r="L433" s="13" t="s">
        <v>4693</v>
      </c>
      <c r="M433" s="13" t="s">
        <v>4693</v>
      </c>
      <c r="N433" s="12" t="s">
        <v>4672</v>
      </c>
      <c r="O433" s="17" t="str">
        <f>IF(LEN(COUNTIFS($J$1:J433,$J433,$K$1:K433,$K433,$L$1:L433,$L433,$M$1:M433,M433,$N$1:N433,N433))=1,"00"&amp;COUNTIFS($J$1:J433,$J433,$K$1:K433,$K433,$L$1:L433,$L433,$M$1:M433,M433,$N$1:N433,N433),IF(LEN(COUNTIFS($J$1:J433,$J433,$K$1:K433,$K433,$L$1:L433,$L433,$M$1:M433,M433,$N$1:N433,N433))=2,"0"&amp;COUNTIFS($J$1:J433,$J433,$K$1:K433,$K433,$L$1:L433,$L433,$M$1:M433,M433,$N$1:N433,N433),COUNTIFS($J$1:J433,$J433,$K$1:K433,$K433,$L$1:L433,$L433,$M$1:M433,M433,$N$1:N433,N433)))</f>
        <v>017</v>
      </c>
      <c r="P43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MS-NS-012-23-00017-INV</v>
      </c>
      <c r="Q433" s="59"/>
      <c r="R433" s="34" t="s">
        <v>6228</v>
      </c>
      <c r="S433" s="34" t="s">
        <v>1413</v>
      </c>
      <c r="T433" s="34">
        <f>+IFERROR(_xlfn.XLOOKUP(Table43[[#This Row],[Column1]],#REF!,#REF!),0)</f>
        <v>0</v>
      </c>
      <c r="U433" s="50">
        <f>IFERROR(_xlfn.XLOOKUP(Table43[[#This Row],[Column1]],#REF!,#REF!),0)</f>
        <v>0</v>
      </c>
      <c r="V433" s="39"/>
    </row>
    <row r="434" spans="1:22" x14ac:dyDescent="0.35">
      <c r="A434" s="3" t="s">
        <v>5306</v>
      </c>
      <c r="B434" s="2" t="s">
        <v>1415</v>
      </c>
      <c r="C434" s="2" t="s">
        <v>15</v>
      </c>
      <c r="D434" s="2">
        <v>0</v>
      </c>
      <c r="E434" s="2" t="s">
        <v>10</v>
      </c>
      <c r="F434" s="3">
        <v>2</v>
      </c>
      <c r="G434" s="3">
        <v>4</v>
      </c>
      <c r="H434" s="2">
        <v>0</v>
      </c>
      <c r="I434" s="22">
        <f>Table43[[#This Row],[Item Cost]]*Table43[[#This Row],[In Stock]]</f>
        <v>0</v>
      </c>
      <c r="J434" s="12" t="s">
        <v>4941</v>
      </c>
      <c r="K434" s="13" t="s">
        <v>4666</v>
      </c>
      <c r="L434" s="13" t="s">
        <v>4693</v>
      </c>
      <c r="M434" s="13" t="s">
        <v>4693</v>
      </c>
      <c r="N434" s="12" t="s">
        <v>4672</v>
      </c>
      <c r="O434" s="17" t="str">
        <f>IF(LEN(COUNTIFS($J$1:J434,$J434,$K$1:K434,$K434,$L$1:L434,$L434,$M$1:M434,M434,$N$1:N434,N434))=1,"00"&amp;COUNTIFS($J$1:J434,$J434,$K$1:K434,$K434,$L$1:L434,$L434,$M$1:M434,M434,$N$1:N434,N434),IF(LEN(COUNTIFS($J$1:J434,$J434,$K$1:K434,$K434,$L$1:L434,$L434,$M$1:M434,M434,$N$1:N434,N434))=2,"0"&amp;COUNTIFS($J$1:J434,$J434,$K$1:K434,$K434,$L$1:L434,$L434,$M$1:M434,M434,$N$1:N434,N434),COUNTIFS($J$1:J434,$J434,$K$1:K434,$K434,$L$1:L434,$L434,$M$1:M434,M434,$N$1:N434,N434)))</f>
        <v>018</v>
      </c>
      <c r="P43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MS-NS-012-23-00018-INV</v>
      </c>
      <c r="Q434" s="59"/>
      <c r="R434" s="34" t="s">
        <v>6229</v>
      </c>
      <c r="S434" s="34" t="s">
        <v>1415</v>
      </c>
      <c r="T434" s="34">
        <f>+IFERROR(_xlfn.XLOOKUP(Table43[[#This Row],[Column1]],#REF!,#REF!),0)</f>
        <v>0</v>
      </c>
      <c r="U434" s="50">
        <f>IFERROR(_xlfn.XLOOKUP(Table43[[#This Row],[Column1]],#REF!,#REF!),0)</f>
        <v>0</v>
      </c>
      <c r="V434" s="39"/>
    </row>
    <row r="435" spans="1:22" x14ac:dyDescent="0.35">
      <c r="A435" s="3" t="s">
        <v>5307</v>
      </c>
      <c r="B435" s="3" t="s">
        <v>1417</v>
      </c>
      <c r="C435" s="3" t="s">
        <v>15</v>
      </c>
      <c r="D435" s="3">
        <v>0</v>
      </c>
      <c r="E435" s="3" t="s">
        <v>10</v>
      </c>
      <c r="F435" s="3">
        <v>0</v>
      </c>
      <c r="G435" s="3">
        <v>2</v>
      </c>
      <c r="H435" s="3">
        <v>0</v>
      </c>
      <c r="I435" s="21">
        <f>Table43[[#This Row],[Item Cost]]*Table43[[#This Row],[In Stock]]</f>
        <v>0</v>
      </c>
      <c r="J435" s="12" t="s">
        <v>4941</v>
      </c>
      <c r="K435" s="13" t="s">
        <v>4666</v>
      </c>
      <c r="L435" s="13" t="s">
        <v>4693</v>
      </c>
      <c r="M435" s="13" t="s">
        <v>4859</v>
      </c>
      <c r="N435" s="12" t="s">
        <v>4672</v>
      </c>
      <c r="O435" s="17" t="str">
        <f>IF(LEN(COUNTIFS($J$1:J435,$J435,$K$1:K435,$K435,$L$1:L435,$L435,$M$1:M435,M435,$N$1:N435,N435))=1,"00"&amp;COUNTIFS($J$1:J435,$J435,$K$1:K435,$K435,$L$1:L435,$L435,$M$1:M435,M435,$N$1:N435,N435),IF(LEN(COUNTIFS($J$1:J435,$J435,$K$1:K435,$K435,$L$1:L435,$L435,$M$1:M435,M435,$N$1:N435,N435))=2,"0"&amp;COUNTIFS($J$1:J435,$J435,$K$1:K435,$K435,$L$1:L435,$L435,$M$1:M435,M435,$N$1:N435,N435),COUNTIFS($J$1:J435,$J435,$K$1:K435,$K435,$L$1:L435,$L435,$M$1:M435,M435,$N$1:N435,N435)))</f>
        <v>001</v>
      </c>
      <c r="P43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MS-NS-012-30-00001-INV</v>
      </c>
      <c r="Q435" s="59"/>
      <c r="R435" s="34" t="s">
        <v>6230</v>
      </c>
      <c r="S435" s="34" t="s">
        <v>1417</v>
      </c>
      <c r="T435" s="34">
        <f>+IFERROR(_xlfn.XLOOKUP(Table43[[#This Row],[Column1]],#REF!,#REF!),0)</f>
        <v>0</v>
      </c>
      <c r="U435" s="50">
        <f>IFERROR(_xlfn.XLOOKUP(Table43[[#This Row],[Column1]],#REF!,#REF!),0)</f>
        <v>0</v>
      </c>
      <c r="V435" s="39"/>
    </row>
    <row r="436" spans="1:22" x14ac:dyDescent="0.35">
      <c r="A436" s="3" t="s">
        <v>5308</v>
      </c>
      <c r="B436" s="2" t="s">
        <v>1419</v>
      </c>
      <c r="C436" s="2" t="s">
        <v>15</v>
      </c>
      <c r="D436" s="2">
        <v>0</v>
      </c>
      <c r="E436" s="2" t="s">
        <v>10</v>
      </c>
      <c r="F436" s="3">
        <v>0</v>
      </c>
      <c r="G436" s="3">
        <v>2</v>
      </c>
      <c r="H436" s="2">
        <v>0</v>
      </c>
      <c r="I436" s="22">
        <f>Table43[[#This Row],[Item Cost]]*Table43[[#This Row],[In Stock]]</f>
        <v>0</v>
      </c>
      <c r="J436" s="12" t="s">
        <v>4941</v>
      </c>
      <c r="K436" s="13" t="s">
        <v>4666</v>
      </c>
      <c r="L436" s="13" t="s">
        <v>4693</v>
      </c>
      <c r="M436" s="13" t="s">
        <v>4859</v>
      </c>
      <c r="N436" s="12" t="s">
        <v>4672</v>
      </c>
      <c r="O436" s="17" t="str">
        <f>IF(LEN(COUNTIFS($J$1:J436,$J436,$K$1:K436,$K436,$L$1:L436,$L436,$M$1:M436,M436,$N$1:N436,N436))=1,"00"&amp;COUNTIFS($J$1:J436,$J436,$K$1:K436,$K436,$L$1:L436,$L436,$M$1:M436,M436,$N$1:N436,N436),IF(LEN(COUNTIFS($J$1:J436,$J436,$K$1:K436,$K436,$L$1:L436,$L436,$M$1:M436,M436,$N$1:N436,N436))=2,"0"&amp;COUNTIFS($J$1:J436,$J436,$K$1:K436,$K436,$L$1:L436,$L436,$M$1:M436,M436,$N$1:N436,N436),COUNTIFS($J$1:J436,$J436,$K$1:K436,$K436,$L$1:L436,$L436,$M$1:M436,M436,$N$1:N436,N436)))</f>
        <v>002</v>
      </c>
      <c r="P43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MS-NS-012-30-00002-INV</v>
      </c>
      <c r="Q436" s="59"/>
      <c r="R436" s="34" t="s">
        <v>6231</v>
      </c>
      <c r="S436" s="34" t="s">
        <v>1419</v>
      </c>
      <c r="T436" s="34">
        <f>+IFERROR(_xlfn.XLOOKUP(Table43[[#This Row],[Column1]],#REF!,#REF!),0)</f>
        <v>0</v>
      </c>
      <c r="U436" s="50">
        <f>IFERROR(_xlfn.XLOOKUP(Table43[[#This Row],[Column1]],#REF!,#REF!),0)</f>
        <v>0</v>
      </c>
      <c r="V436" s="39"/>
    </row>
    <row r="437" spans="1:22" x14ac:dyDescent="0.35">
      <c r="A437" s="3" t="s">
        <v>5309</v>
      </c>
      <c r="B437" s="3" t="s">
        <v>1421</v>
      </c>
      <c r="C437" s="3" t="s">
        <v>15</v>
      </c>
      <c r="D437" s="3">
        <v>0</v>
      </c>
      <c r="E437" s="3" t="s">
        <v>10</v>
      </c>
      <c r="F437" s="3">
        <v>0</v>
      </c>
      <c r="G437" s="3">
        <v>2</v>
      </c>
      <c r="H437" s="3">
        <v>0</v>
      </c>
      <c r="I437" s="21">
        <f>Table43[[#This Row],[Item Cost]]*Table43[[#This Row],[In Stock]]</f>
        <v>0</v>
      </c>
      <c r="J437" s="12" t="s">
        <v>4941</v>
      </c>
      <c r="K437" s="13" t="s">
        <v>4666</v>
      </c>
      <c r="L437" s="13" t="s">
        <v>4693</v>
      </c>
      <c r="M437" s="13" t="s">
        <v>4859</v>
      </c>
      <c r="N437" s="12" t="s">
        <v>4672</v>
      </c>
      <c r="O437" s="17" t="str">
        <f>IF(LEN(COUNTIFS($J$1:J437,$J437,$K$1:K437,$K437,$L$1:L437,$L437,$M$1:M437,M437,$N$1:N437,N437))=1,"00"&amp;COUNTIFS($J$1:J437,$J437,$K$1:K437,$K437,$L$1:L437,$L437,$M$1:M437,M437,$N$1:N437,N437),IF(LEN(COUNTIFS($J$1:J437,$J437,$K$1:K437,$K437,$L$1:L437,$L437,$M$1:M437,M437,$N$1:N437,N437))=2,"0"&amp;COUNTIFS($J$1:J437,$J437,$K$1:K437,$K437,$L$1:L437,$L437,$M$1:M437,M437,$N$1:N437,N437),COUNTIFS($J$1:J437,$J437,$K$1:K437,$K437,$L$1:L437,$L437,$M$1:M437,M437,$N$1:N437,N437)))</f>
        <v>003</v>
      </c>
      <c r="P43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MS-NS-012-30-00003-INV</v>
      </c>
      <c r="Q437" s="59" t="s">
        <v>7336</v>
      </c>
      <c r="R437" s="34" t="s">
        <v>6232</v>
      </c>
      <c r="S437" s="34" t="s">
        <v>1421</v>
      </c>
      <c r="T437" s="34">
        <f>+IFERROR(_xlfn.XLOOKUP(Table43[[#This Row],[Column1]],#REF!,#REF!),0)</f>
        <v>0</v>
      </c>
      <c r="U437" s="50">
        <f>IFERROR(_xlfn.XLOOKUP(Table43[[#This Row],[Column1]],#REF!,#REF!),0)</f>
        <v>0</v>
      </c>
      <c r="V437" s="39"/>
    </row>
    <row r="438" spans="1:22" x14ac:dyDescent="0.35">
      <c r="A438" s="3" t="s">
        <v>5310</v>
      </c>
      <c r="B438" s="2" t="s">
        <v>1423</v>
      </c>
      <c r="C438" s="2" t="s">
        <v>15</v>
      </c>
      <c r="D438" s="2">
        <v>65</v>
      </c>
      <c r="E438" s="2" t="s">
        <v>10</v>
      </c>
      <c r="F438" s="3">
        <v>0</v>
      </c>
      <c r="G438" s="3">
        <v>2</v>
      </c>
      <c r="H438" s="2">
        <v>7</v>
      </c>
      <c r="I438" s="22">
        <f>Table43[[#This Row],[Item Cost]]*Table43[[#This Row],[In Stock]]</f>
        <v>455</v>
      </c>
      <c r="J438" s="12" t="s">
        <v>4941</v>
      </c>
      <c r="K438" s="13" t="s">
        <v>4666</v>
      </c>
      <c r="L438" s="13" t="s">
        <v>4693</v>
      </c>
      <c r="M438" s="13" t="s">
        <v>4693</v>
      </c>
      <c r="N438" s="12" t="s">
        <v>4672</v>
      </c>
      <c r="O438" s="17" t="str">
        <f>IF(LEN(COUNTIFS($J$1:J438,$J438,$K$1:K438,$K438,$L$1:L438,$L438,$M$1:M438,M438,$N$1:N438,N438))=1,"00"&amp;COUNTIFS($J$1:J438,$J438,$K$1:K438,$K438,$L$1:L438,$L438,$M$1:M438,M438,$N$1:N438,N438),IF(LEN(COUNTIFS($J$1:J438,$J438,$K$1:K438,$K438,$L$1:L438,$L438,$M$1:M438,M438,$N$1:N438,N438))=2,"0"&amp;COUNTIFS($J$1:J438,$J438,$K$1:K438,$K438,$L$1:L438,$L438,$M$1:M438,M438,$N$1:N438,N438),COUNTIFS($J$1:J438,$J438,$K$1:K438,$K438,$L$1:L438,$L438,$M$1:M438,M438,$N$1:N438,N438)))</f>
        <v>019</v>
      </c>
      <c r="P43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MS-NS-012-23-00019-INV</v>
      </c>
      <c r="Q438" s="59"/>
      <c r="R438" s="34" t="s">
        <v>6233</v>
      </c>
      <c r="S438" s="34" t="s">
        <v>1423</v>
      </c>
      <c r="T438" s="34">
        <f>+IFERROR(_xlfn.XLOOKUP(Table43[[#This Row],[Column1]],#REF!,#REF!),0)</f>
        <v>0</v>
      </c>
      <c r="U438" s="50">
        <f>IFERROR(_xlfn.XLOOKUP(Table43[[#This Row],[Column1]],#REF!,#REF!),0)</f>
        <v>0</v>
      </c>
      <c r="V438" s="39"/>
    </row>
    <row r="439" spans="1:22" x14ac:dyDescent="0.35">
      <c r="A439" s="3" t="s">
        <v>5311</v>
      </c>
      <c r="B439" s="3" t="s">
        <v>1425</v>
      </c>
      <c r="C439" s="3" t="s">
        <v>15</v>
      </c>
      <c r="D439" s="3">
        <v>65</v>
      </c>
      <c r="E439" s="3" t="s">
        <v>10</v>
      </c>
      <c r="F439" s="3">
        <v>0</v>
      </c>
      <c r="G439" s="3">
        <v>2</v>
      </c>
      <c r="H439" s="3">
        <v>13</v>
      </c>
      <c r="I439" s="21">
        <f>Table43[[#This Row],[Item Cost]]*Table43[[#This Row],[In Stock]]</f>
        <v>845</v>
      </c>
      <c r="J439" s="12" t="s">
        <v>4941</v>
      </c>
      <c r="K439" s="13" t="s">
        <v>4666</v>
      </c>
      <c r="L439" s="13" t="s">
        <v>4693</v>
      </c>
      <c r="M439" s="13" t="s">
        <v>4693</v>
      </c>
      <c r="N439" s="12" t="s">
        <v>4672</v>
      </c>
      <c r="O439" s="17" t="str">
        <f>IF(LEN(COUNTIFS($J$1:J439,$J439,$K$1:K439,$K439,$L$1:L439,$L439,$M$1:M439,M439,$N$1:N439,N439))=1,"00"&amp;COUNTIFS($J$1:J439,$J439,$K$1:K439,$K439,$L$1:L439,$L439,$M$1:M439,M439,$N$1:N439,N439),IF(LEN(COUNTIFS($J$1:J439,$J439,$K$1:K439,$K439,$L$1:L439,$L439,$M$1:M439,M439,$N$1:N439,N439))=2,"0"&amp;COUNTIFS($J$1:J439,$J439,$K$1:K439,$K439,$L$1:L439,$L439,$M$1:M439,M439,$N$1:N439,N439),COUNTIFS($J$1:J439,$J439,$K$1:K439,$K439,$L$1:L439,$L439,$M$1:M439,M439,$N$1:N439,N439)))</f>
        <v>020</v>
      </c>
      <c r="P43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MS-NS-012-23-00020-INV</v>
      </c>
      <c r="Q439" s="59"/>
      <c r="R439" s="34" t="s">
        <v>6234</v>
      </c>
      <c r="S439" s="34" t="s">
        <v>1425</v>
      </c>
      <c r="T439" s="34">
        <f>+IFERROR(_xlfn.XLOOKUP(Table43[[#This Row],[Column1]],#REF!,#REF!),0)</f>
        <v>0</v>
      </c>
      <c r="U439" s="50">
        <f>IFERROR(_xlfn.XLOOKUP(Table43[[#This Row],[Column1]],#REF!,#REF!),0)</f>
        <v>0</v>
      </c>
      <c r="V439" s="39"/>
    </row>
    <row r="440" spans="1:22" x14ac:dyDescent="0.35">
      <c r="A440" s="3" t="s">
        <v>5312</v>
      </c>
      <c r="B440" s="2" t="s">
        <v>1427</v>
      </c>
      <c r="C440" s="2" t="s">
        <v>15</v>
      </c>
      <c r="D440" s="2">
        <v>0</v>
      </c>
      <c r="E440" s="2" t="s">
        <v>10</v>
      </c>
      <c r="F440" s="3">
        <v>0</v>
      </c>
      <c r="G440" s="3">
        <v>2</v>
      </c>
      <c r="H440" s="2">
        <v>0</v>
      </c>
      <c r="I440" s="22">
        <f>Table43[[#This Row],[Item Cost]]*Table43[[#This Row],[In Stock]]</f>
        <v>0</v>
      </c>
      <c r="J440" s="12" t="s">
        <v>4941</v>
      </c>
      <c r="K440" s="13" t="s">
        <v>4666</v>
      </c>
      <c r="L440" s="13" t="s">
        <v>4693</v>
      </c>
      <c r="M440" s="13" t="s">
        <v>4693</v>
      </c>
      <c r="N440" s="12" t="s">
        <v>4672</v>
      </c>
      <c r="O440" s="17" t="str">
        <f>IF(LEN(COUNTIFS($J$1:J440,$J440,$K$1:K440,$K440,$L$1:L440,$L440,$M$1:M440,M440,$N$1:N440,N440))=1,"00"&amp;COUNTIFS($J$1:J440,$J440,$K$1:K440,$K440,$L$1:L440,$L440,$M$1:M440,M440,$N$1:N440,N440),IF(LEN(COUNTIFS($J$1:J440,$J440,$K$1:K440,$K440,$L$1:L440,$L440,$M$1:M440,M440,$N$1:N440,N440))=2,"0"&amp;COUNTIFS($J$1:J440,$J440,$K$1:K440,$K440,$L$1:L440,$L440,$M$1:M440,M440,$N$1:N440,N440),COUNTIFS($J$1:J440,$J440,$K$1:K440,$K440,$L$1:L440,$L440,$M$1:M440,M440,$N$1:N440,N440)))</f>
        <v>021</v>
      </c>
      <c r="P44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MS-NS-012-23-00021-INV</v>
      </c>
      <c r="Q440" s="59"/>
      <c r="R440" s="34" t="s">
        <v>6235</v>
      </c>
      <c r="S440" s="34" t="s">
        <v>1427</v>
      </c>
      <c r="T440" s="34">
        <f>+IFERROR(_xlfn.XLOOKUP(Table43[[#This Row],[Column1]],#REF!,#REF!),0)</f>
        <v>0</v>
      </c>
      <c r="U440" s="50">
        <f>IFERROR(_xlfn.XLOOKUP(Table43[[#This Row],[Column1]],#REF!,#REF!),0)</f>
        <v>0</v>
      </c>
      <c r="V440" s="39"/>
    </row>
    <row r="441" spans="1:22" x14ac:dyDescent="0.35">
      <c r="A441" s="3" t="s">
        <v>5313</v>
      </c>
      <c r="B441" s="3" t="s">
        <v>1429</v>
      </c>
      <c r="C441" s="3" t="s">
        <v>15</v>
      </c>
      <c r="D441" s="3">
        <v>50</v>
      </c>
      <c r="E441" s="3" t="s">
        <v>10</v>
      </c>
      <c r="F441" s="3">
        <v>0</v>
      </c>
      <c r="G441" s="3">
        <v>2</v>
      </c>
      <c r="H441" s="3">
        <v>6</v>
      </c>
      <c r="I441" s="21">
        <f>Table43[[#This Row],[Item Cost]]*Table43[[#This Row],[In Stock]]</f>
        <v>300</v>
      </c>
      <c r="J441" s="12" t="s">
        <v>4941</v>
      </c>
      <c r="K441" s="13" t="s">
        <v>4666</v>
      </c>
      <c r="L441" s="13" t="s">
        <v>4693</v>
      </c>
      <c r="M441" s="13" t="s">
        <v>4693</v>
      </c>
      <c r="N441" s="12" t="s">
        <v>4672</v>
      </c>
      <c r="O441" s="17" t="str">
        <f>IF(LEN(COUNTIFS($J$1:J441,$J441,$K$1:K441,$K441,$L$1:L441,$L441,$M$1:M441,M441,$N$1:N441,N441))=1,"00"&amp;COUNTIFS($J$1:J441,$J441,$K$1:K441,$K441,$L$1:L441,$L441,$M$1:M441,M441,$N$1:N441,N441),IF(LEN(COUNTIFS($J$1:J441,$J441,$K$1:K441,$K441,$L$1:L441,$L441,$M$1:M441,M441,$N$1:N441,N441))=2,"0"&amp;COUNTIFS($J$1:J441,$J441,$K$1:K441,$K441,$L$1:L441,$L441,$M$1:M441,M441,$N$1:N441,N441),COUNTIFS($J$1:J441,$J441,$K$1:K441,$K441,$L$1:L441,$L441,$M$1:M441,M441,$N$1:N441,N441)))</f>
        <v>022</v>
      </c>
      <c r="P44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MS-NS-012-23-00022-INV</v>
      </c>
      <c r="Q441" s="59"/>
      <c r="R441" s="34" t="s">
        <v>6236</v>
      </c>
      <c r="S441" s="34" t="s">
        <v>1429</v>
      </c>
      <c r="T441" s="34">
        <f>+IFERROR(_xlfn.XLOOKUP(Table43[[#This Row],[Column1]],#REF!,#REF!),0)</f>
        <v>0</v>
      </c>
      <c r="U441" s="50">
        <f>IFERROR(_xlfn.XLOOKUP(Table43[[#This Row],[Column1]],#REF!,#REF!),0)</f>
        <v>0</v>
      </c>
      <c r="V441" s="39"/>
    </row>
    <row r="442" spans="1:22" x14ac:dyDescent="0.35">
      <c r="A442" s="3" t="s">
        <v>5314</v>
      </c>
      <c r="B442" s="2" t="s">
        <v>1431</v>
      </c>
      <c r="C442" s="2" t="s">
        <v>15</v>
      </c>
      <c r="D442" s="2">
        <v>95</v>
      </c>
      <c r="E442" s="2" t="s">
        <v>10</v>
      </c>
      <c r="F442" s="3">
        <v>0</v>
      </c>
      <c r="G442" s="3">
        <v>2</v>
      </c>
      <c r="H442" s="2">
        <v>1</v>
      </c>
      <c r="I442" s="22">
        <f>Table43[[#This Row],[Item Cost]]*Table43[[#This Row],[In Stock]]</f>
        <v>95</v>
      </c>
      <c r="J442" s="12" t="s">
        <v>4941</v>
      </c>
      <c r="K442" s="13" t="s">
        <v>4666</v>
      </c>
      <c r="L442" s="13" t="s">
        <v>4693</v>
      </c>
      <c r="M442" s="13" t="s">
        <v>4693</v>
      </c>
      <c r="N442" s="12" t="s">
        <v>4672</v>
      </c>
      <c r="O442" s="17" t="str">
        <f>IF(LEN(COUNTIFS($J$1:J442,$J442,$K$1:K442,$K442,$L$1:L442,$L442,$M$1:M442,M442,$N$1:N442,N442))=1,"00"&amp;COUNTIFS($J$1:J442,$J442,$K$1:K442,$K442,$L$1:L442,$L442,$M$1:M442,M442,$N$1:N442,N442),IF(LEN(COUNTIFS($J$1:J442,$J442,$K$1:K442,$K442,$L$1:L442,$L442,$M$1:M442,M442,$N$1:N442,N442))=2,"0"&amp;COUNTIFS($J$1:J442,$J442,$K$1:K442,$K442,$L$1:L442,$L442,$M$1:M442,M442,$N$1:N442,N442),COUNTIFS($J$1:J442,$J442,$K$1:K442,$K442,$L$1:L442,$L442,$M$1:M442,M442,$N$1:N442,N442)))</f>
        <v>023</v>
      </c>
      <c r="P44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MS-NS-012-23-00023-INV</v>
      </c>
      <c r="Q442" s="59"/>
      <c r="R442" s="34" t="s">
        <v>6237</v>
      </c>
      <c r="S442" s="34" t="s">
        <v>1431</v>
      </c>
      <c r="T442" s="34">
        <f>+IFERROR(_xlfn.XLOOKUP(Table43[[#This Row],[Column1]],#REF!,#REF!),0)</f>
        <v>0</v>
      </c>
      <c r="U442" s="50">
        <f>IFERROR(_xlfn.XLOOKUP(Table43[[#This Row],[Column1]],#REF!,#REF!),0)</f>
        <v>0</v>
      </c>
      <c r="V442" s="39"/>
    </row>
    <row r="443" spans="1:22" x14ac:dyDescent="0.35">
      <c r="A443" s="3" t="s">
        <v>5315</v>
      </c>
      <c r="B443" s="3" t="s">
        <v>1433</v>
      </c>
      <c r="C443" s="3" t="s">
        <v>15</v>
      </c>
      <c r="D443" s="3">
        <v>280</v>
      </c>
      <c r="E443" s="3" t="s">
        <v>10</v>
      </c>
      <c r="F443" s="3">
        <v>0</v>
      </c>
      <c r="G443" s="3">
        <v>2</v>
      </c>
      <c r="H443" s="3">
        <v>2</v>
      </c>
      <c r="I443" s="21">
        <f>Table43[[#This Row],[Item Cost]]*Table43[[#This Row],[In Stock]]</f>
        <v>560</v>
      </c>
      <c r="J443" s="12" t="s">
        <v>4941</v>
      </c>
      <c r="K443" s="13" t="s">
        <v>4666</v>
      </c>
      <c r="L443" s="13" t="s">
        <v>4693</v>
      </c>
      <c r="M443" s="13" t="s">
        <v>4693</v>
      </c>
      <c r="N443" s="12" t="s">
        <v>4672</v>
      </c>
      <c r="O443" s="17" t="str">
        <f>IF(LEN(COUNTIFS($J$1:J443,$J443,$K$1:K443,$K443,$L$1:L443,$L443,$M$1:M443,M443,$N$1:N443,N443))=1,"00"&amp;COUNTIFS($J$1:J443,$J443,$K$1:K443,$K443,$L$1:L443,$L443,$M$1:M443,M443,$N$1:N443,N443),IF(LEN(COUNTIFS($J$1:J443,$J443,$K$1:K443,$K443,$L$1:L443,$L443,$M$1:M443,M443,$N$1:N443,N443))=2,"0"&amp;COUNTIFS($J$1:J443,$J443,$K$1:K443,$K443,$L$1:L443,$L443,$M$1:M443,M443,$N$1:N443,N443),COUNTIFS($J$1:J443,$J443,$K$1:K443,$K443,$L$1:L443,$L443,$M$1:M443,M443,$N$1:N443,N443)))</f>
        <v>024</v>
      </c>
      <c r="P44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MS-NS-012-23-00024-INV</v>
      </c>
      <c r="Q443" s="59"/>
      <c r="R443" s="34" t="s">
        <v>6238</v>
      </c>
      <c r="S443" s="34" t="s">
        <v>1433</v>
      </c>
      <c r="T443" s="34">
        <f>+IFERROR(_xlfn.XLOOKUP(Table43[[#This Row],[Column1]],#REF!,#REF!),0)</f>
        <v>0</v>
      </c>
      <c r="U443" s="50">
        <f>IFERROR(_xlfn.XLOOKUP(Table43[[#This Row],[Column1]],#REF!,#REF!),0)</f>
        <v>0</v>
      </c>
      <c r="V443" s="39"/>
    </row>
    <row r="444" spans="1:22" x14ac:dyDescent="0.35">
      <c r="A444" s="3" t="s">
        <v>5316</v>
      </c>
      <c r="B444" s="2" t="s">
        <v>1435</v>
      </c>
      <c r="C444" s="2" t="s">
        <v>15</v>
      </c>
      <c r="D444" s="2">
        <v>184</v>
      </c>
      <c r="E444" s="2" t="s">
        <v>10</v>
      </c>
      <c r="F444" s="3">
        <v>0</v>
      </c>
      <c r="G444" s="3">
        <v>2</v>
      </c>
      <c r="H444" s="2">
        <v>0</v>
      </c>
      <c r="I444" s="22">
        <f>Table43[[#This Row],[Item Cost]]*Table43[[#This Row],[In Stock]]</f>
        <v>0</v>
      </c>
      <c r="J444" s="12" t="s">
        <v>4941</v>
      </c>
      <c r="K444" s="13" t="s">
        <v>4666</v>
      </c>
      <c r="L444" s="13" t="s">
        <v>4693</v>
      </c>
      <c r="M444" s="13" t="s">
        <v>4693</v>
      </c>
      <c r="N444" s="12" t="s">
        <v>4672</v>
      </c>
      <c r="O444" s="17" t="str">
        <f>IF(LEN(COUNTIFS($J$1:J444,$J444,$K$1:K444,$K444,$L$1:L444,$L444,$M$1:M444,M444,$N$1:N444,N444))=1,"00"&amp;COUNTIFS($J$1:J444,$J444,$K$1:K444,$K444,$L$1:L444,$L444,$M$1:M444,M444,$N$1:N444,N444),IF(LEN(COUNTIFS($J$1:J444,$J444,$K$1:K444,$K444,$L$1:L444,$L444,$M$1:M444,M444,$N$1:N444,N444))=2,"0"&amp;COUNTIFS($J$1:J444,$J444,$K$1:K444,$K444,$L$1:L444,$L444,$M$1:M444,M444,$N$1:N444,N444),COUNTIFS($J$1:J444,$J444,$K$1:K444,$K444,$L$1:L444,$L444,$M$1:M444,M444,$N$1:N444,N444)))</f>
        <v>025</v>
      </c>
      <c r="P44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MS-NS-012-23-00025-INV</v>
      </c>
      <c r="Q444" s="59"/>
      <c r="R444" s="34" t="s">
        <v>6239</v>
      </c>
      <c r="S444" s="34" t="s">
        <v>1435</v>
      </c>
      <c r="T444" s="34">
        <f>+IFERROR(_xlfn.XLOOKUP(Table43[[#This Row],[Column1]],#REF!,#REF!),0)</f>
        <v>0</v>
      </c>
      <c r="U444" s="50">
        <f>IFERROR(_xlfn.XLOOKUP(Table43[[#This Row],[Column1]],#REF!,#REF!),0)</f>
        <v>0</v>
      </c>
      <c r="V444" s="39"/>
    </row>
    <row r="445" spans="1:22" x14ac:dyDescent="0.35">
      <c r="A445" s="3" t="s">
        <v>5317</v>
      </c>
      <c r="B445" s="3" t="s">
        <v>1437</v>
      </c>
      <c r="C445" s="3" t="s">
        <v>15</v>
      </c>
      <c r="D445" s="3">
        <v>0</v>
      </c>
      <c r="E445" s="3" t="s">
        <v>10</v>
      </c>
      <c r="F445" s="3">
        <v>0</v>
      </c>
      <c r="G445" s="3">
        <v>2</v>
      </c>
      <c r="H445" s="3">
        <v>0</v>
      </c>
      <c r="I445" s="21">
        <f>Table43[[#This Row],[Item Cost]]*Table43[[#This Row],[In Stock]]</f>
        <v>0</v>
      </c>
      <c r="J445" s="12" t="s">
        <v>4941</v>
      </c>
      <c r="K445" s="13" t="s">
        <v>4666</v>
      </c>
      <c r="L445" s="13" t="s">
        <v>4693</v>
      </c>
      <c r="M445" s="13" t="s">
        <v>4693</v>
      </c>
      <c r="N445" s="12" t="s">
        <v>4672</v>
      </c>
      <c r="O445" s="17" t="str">
        <f>IF(LEN(COUNTIFS($J$1:J445,$J445,$K$1:K445,$K445,$L$1:L445,$L445,$M$1:M445,M445,$N$1:N445,N445))=1,"00"&amp;COUNTIFS($J$1:J445,$J445,$K$1:K445,$K445,$L$1:L445,$L445,$M$1:M445,M445,$N$1:N445,N445),IF(LEN(COUNTIFS($J$1:J445,$J445,$K$1:K445,$K445,$L$1:L445,$L445,$M$1:M445,M445,$N$1:N445,N445))=2,"0"&amp;COUNTIFS($J$1:J445,$J445,$K$1:K445,$K445,$L$1:L445,$L445,$M$1:M445,M445,$N$1:N445,N445),COUNTIFS($J$1:J445,$J445,$K$1:K445,$K445,$L$1:L445,$L445,$M$1:M445,M445,$N$1:N445,N445)))</f>
        <v>026</v>
      </c>
      <c r="P44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MS-NS-012-23-00026-INV</v>
      </c>
      <c r="Q445" s="59"/>
      <c r="R445" s="34" t="s">
        <v>6240</v>
      </c>
      <c r="S445" s="34" t="s">
        <v>1437</v>
      </c>
      <c r="T445" s="34">
        <f>+IFERROR(_xlfn.XLOOKUP(Table43[[#This Row],[Column1]],#REF!,#REF!),0)</f>
        <v>0</v>
      </c>
      <c r="U445" s="50">
        <f>IFERROR(_xlfn.XLOOKUP(Table43[[#This Row],[Column1]],#REF!,#REF!),0)</f>
        <v>0</v>
      </c>
      <c r="V445" s="39"/>
    </row>
    <row r="446" spans="1:22" x14ac:dyDescent="0.35">
      <c r="A446" s="3" t="s">
        <v>5318</v>
      </c>
      <c r="B446" s="2" t="s">
        <v>1439</v>
      </c>
      <c r="C446" s="2" t="s">
        <v>15</v>
      </c>
      <c r="D446" s="2">
        <v>130</v>
      </c>
      <c r="E446" s="2" t="s">
        <v>10</v>
      </c>
      <c r="F446" s="3">
        <v>0</v>
      </c>
      <c r="G446" s="3">
        <v>2</v>
      </c>
      <c r="H446" s="2">
        <v>3</v>
      </c>
      <c r="I446" s="22">
        <f>Table43[[#This Row],[Item Cost]]*Table43[[#This Row],[In Stock]]</f>
        <v>390</v>
      </c>
      <c r="J446" s="12" t="s">
        <v>4941</v>
      </c>
      <c r="K446" s="13" t="s">
        <v>4666</v>
      </c>
      <c r="L446" s="13" t="s">
        <v>4693</v>
      </c>
      <c r="M446" s="13" t="s">
        <v>4693</v>
      </c>
      <c r="N446" s="12" t="s">
        <v>4672</v>
      </c>
      <c r="O446" s="17" t="str">
        <f>IF(LEN(COUNTIFS($J$1:J446,$J446,$K$1:K446,$K446,$L$1:L446,$L446,$M$1:M446,M446,$N$1:N446,N446))=1,"00"&amp;COUNTIFS($J$1:J446,$J446,$K$1:K446,$K446,$L$1:L446,$L446,$M$1:M446,M446,$N$1:N446,N446),IF(LEN(COUNTIFS($J$1:J446,$J446,$K$1:K446,$K446,$L$1:L446,$L446,$M$1:M446,M446,$N$1:N446,N446))=2,"0"&amp;COUNTIFS($J$1:J446,$J446,$K$1:K446,$K446,$L$1:L446,$L446,$M$1:M446,M446,$N$1:N446,N446),COUNTIFS($J$1:J446,$J446,$K$1:K446,$K446,$L$1:L446,$L446,$M$1:M446,M446,$N$1:N446,N446)))</f>
        <v>027</v>
      </c>
      <c r="P44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MS-NS-012-23-00027-INV</v>
      </c>
      <c r="Q446" s="59"/>
      <c r="R446" s="34" t="s">
        <v>6241</v>
      </c>
      <c r="S446" s="34" t="s">
        <v>1439</v>
      </c>
      <c r="T446" s="34">
        <f>+IFERROR(_xlfn.XLOOKUP(Table43[[#This Row],[Column1]],#REF!,#REF!),0)</f>
        <v>0</v>
      </c>
      <c r="U446" s="50">
        <f>IFERROR(_xlfn.XLOOKUP(Table43[[#This Row],[Column1]],#REF!,#REF!),0)</f>
        <v>0</v>
      </c>
      <c r="V446" s="39"/>
    </row>
    <row r="447" spans="1:22" x14ac:dyDescent="0.35">
      <c r="A447" s="3" t="s">
        <v>5319</v>
      </c>
      <c r="B447" s="3" t="s">
        <v>1441</v>
      </c>
      <c r="C447" s="3" t="s">
        <v>15</v>
      </c>
      <c r="D447" s="3">
        <v>130</v>
      </c>
      <c r="E447" s="3" t="s">
        <v>10</v>
      </c>
      <c r="F447" s="3">
        <v>0</v>
      </c>
      <c r="G447" s="3">
        <v>2</v>
      </c>
      <c r="H447" s="3">
        <v>8</v>
      </c>
      <c r="I447" s="21">
        <f>Table43[[#This Row],[Item Cost]]*Table43[[#This Row],[In Stock]]</f>
        <v>1040</v>
      </c>
      <c r="J447" s="12" t="s">
        <v>4941</v>
      </c>
      <c r="K447" s="13" t="s">
        <v>4666</v>
      </c>
      <c r="L447" s="13" t="s">
        <v>4693</v>
      </c>
      <c r="M447" s="13" t="s">
        <v>4693</v>
      </c>
      <c r="N447" s="12" t="s">
        <v>4672</v>
      </c>
      <c r="O447" s="17" t="str">
        <f>IF(LEN(COUNTIFS($J$1:J447,$J447,$K$1:K447,$K447,$L$1:L447,$L447,$M$1:M447,M447,$N$1:N447,N447))=1,"00"&amp;COUNTIFS($J$1:J447,$J447,$K$1:K447,$K447,$L$1:L447,$L447,$M$1:M447,M447,$N$1:N447,N447),IF(LEN(COUNTIFS($J$1:J447,$J447,$K$1:K447,$K447,$L$1:L447,$L447,$M$1:M447,M447,$N$1:N447,N447))=2,"0"&amp;COUNTIFS($J$1:J447,$J447,$K$1:K447,$K447,$L$1:L447,$L447,$M$1:M447,M447,$N$1:N447,N447),COUNTIFS($J$1:J447,$J447,$K$1:K447,$K447,$L$1:L447,$L447,$M$1:M447,M447,$N$1:N447,N447)))</f>
        <v>028</v>
      </c>
      <c r="P44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MS-NS-012-23-00028-INV</v>
      </c>
      <c r="Q447" s="59"/>
      <c r="R447" s="34" t="s">
        <v>6242</v>
      </c>
      <c r="S447" s="34" t="s">
        <v>1441</v>
      </c>
      <c r="T447" s="34">
        <f>+IFERROR(_xlfn.XLOOKUP(Table43[[#This Row],[Column1]],#REF!,#REF!),0)</f>
        <v>0</v>
      </c>
      <c r="U447" s="50">
        <f>IFERROR(_xlfn.XLOOKUP(Table43[[#This Row],[Column1]],#REF!,#REF!),0)</f>
        <v>0</v>
      </c>
      <c r="V447" s="39"/>
    </row>
    <row r="448" spans="1:22" x14ac:dyDescent="0.35">
      <c r="A448" s="3" t="s">
        <v>5320</v>
      </c>
      <c r="B448" s="2" t="s">
        <v>1443</v>
      </c>
      <c r="C448" s="2" t="s">
        <v>15</v>
      </c>
      <c r="D448" s="2">
        <v>150</v>
      </c>
      <c r="E448" s="2" t="s">
        <v>10</v>
      </c>
      <c r="F448" s="3">
        <v>0</v>
      </c>
      <c r="G448" s="3">
        <v>2</v>
      </c>
      <c r="H448" s="2">
        <v>27</v>
      </c>
      <c r="I448" s="22">
        <f>Table43[[#This Row],[Item Cost]]*Table43[[#This Row],[In Stock]]</f>
        <v>4050</v>
      </c>
      <c r="J448" s="12" t="s">
        <v>4941</v>
      </c>
      <c r="K448" s="13" t="s">
        <v>4666</v>
      </c>
      <c r="L448" s="13" t="s">
        <v>4693</v>
      </c>
      <c r="M448" s="13" t="s">
        <v>4693</v>
      </c>
      <c r="N448" s="12" t="s">
        <v>4672</v>
      </c>
      <c r="O448" s="17" t="str">
        <f>IF(LEN(COUNTIFS($J$1:J448,$J448,$K$1:K448,$K448,$L$1:L448,$L448,$M$1:M448,M448,$N$1:N448,N448))=1,"00"&amp;COUNTIFS($J$1:J448,$J448,$K$1:K448,$K448,$L$1:L448,$L448,$M$1:M448,M448,$N$1:N448,N448),IF(LEN(COUNTIFS($J$1:J448,$J448,$K$1:K448,$K448,$L$1:L448,$L448,$M$1:M448,M448,$N$1:N448,N448))=2,"0"&amp;COUNTIFS($J$1:J448,$J448,$K$1:K448,$K448,$L$1:L448,$L448,$M$1:M448,M448,$N$1:N448,N448),COUNTIFS($J$1:J448,$J448,$K$1:K448,$K448,$L$1:L448,$L448,$M$1:M448,M448,$N$1:N448,N448)))</f>
        <v>029</v>
      </c>
      <c r="P44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MS-NS-012-23-00029-INV</v>
      </c>
      <c r="Q448" s="59" t="s">
        <v>7353</v>
      </c>
      <c r="R448" s="34" t="s">
        <v>6243</v>
      </c>
      <c r="S448" s="34" t="s">
        <v>1443</v>
      </c>
      <c r="T448" s="34">
        <f>+IFERROR(_xlfn.XLOOKUP(Table43[[#This Row],[Column1]],#REF!,#REF!),0)</f>
        <v>0</v>
      </c>
      <c r="U448" s="50">
        <f>IFERROR(_xlfn.XLOOKUP(Table43[[#This Row],[Column1]],#REF!,#REF!),0)</f>
        <v>0</v>
      </c>
      <c r="V448" s="39"/>
    </row>
    <row r="449" spans="1:22" x14ac:dyDescent="0.35">
      <c r="A449" s="3" t="s">
        <v>5321</v>
      </c>
      <c r="B449" s="3" t="s">
        <v>1445</v>
      </c>
      <c r="C449" s="3" t="s">
        <v>15</v>
      </c>
      <c r="D449" s="3">
        <v>200</v>
      </c>
      <c r="E449" s="3" t="s">
        <v>10</v>
      </c>
      <c r="F449" s="3">
        <v>0</v>
      </c>
      <c r="G449" s="3">
        <v>2</v>
      </c>
      <c r="H449" s="3">
        <v>3</v>
      </c>
      <c r="I449" s="21">
        <f>Table43[[#This Row],[Item Cost]]*Table43[[#This Row],[In Stock]]</f>
        <v>600</v>
      </c>
      <c r="J449" s="12" t="s">
        <v>4941</v>
      </c>
      <c r="K449" s="13" t="s">
        <v>4666</v>
      </c>
      <c r="L449" s="13" t="s">
        <v>4693</v>
      </c>
      <c r="M449" s="13" t="s">
        <v>4693</v>
      </c>
      <c r="N449" s="12" t="s">
        <v>4672</v>
      </c>
      <c r="O449" s="17" t="str">
        <f>IF(LEN(COUNTIFS($J$1:J449,$J449,$K$1:K449,$K449,$L$1:L449,$L449,$M$1:M449,M449,$N$1:N449,N449))=1,"00"&amp;COUNTIFS($J$1:J449,$J449,$K$1:K449,$K449,$L$1:L449,$L449,$M$1:M449,M449,$N$1:N449,N449),IF(LEN(COUNTIFS($J$1:J449,$J449,$K$1:K449,$K449,$L$1:L449,$L449,$M$1:M449,M449,$N$1:N449,N449))=2,"0"&amp;COUNTIFS($J$1:J449,$J449,$K$1:K449,$K449,$L$1:L449,$L449,$M$1:M449,M449,$N$1:N449,N449),COUNTIFS($J$1:J449,$J449,$K$1:K449,$K449,$L$1:L449,$L449,$M$1:M449,M449,$N$1:N449,N449)))</f>
        <v>030</v>
      </c>
      <c r="P44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MS-NS-012-23-00030-INV</v>
      </c>
      <c r="Q449" s="59" t="s">
        <v>7353</v>
      </c>
      <c r="R449" s="34" t="s">
        <v>6244</v>
      </c>
      <c r="S449" s="34" t="s">
        <v>1445</v>
      </c>
      <c r="T449" s="34">
        <f>+IFERROR(_xlfn.XLOOKUP(Table43[[#This Row],[Column1]],#REF!,#REF!),0)</f>
        <v>0</v>
      </c>
      <c r="U449" s="50">
        <f>IFERROR(_xlfn.XLOOKUP(Table43[[#This Row],[Column1]],#REF!,#REF!),0)</f>
        <v>0</v>
      </c>
      <c r="V449" s="39"/>
    </row>
    <row r="450" spans="1:22" x14ac:dyDescent="0.35">
      <c r="A450" s="3" t="s">
        <v>5322</v>
      </c>
      <c r="B450" s="2" t="s">
        <v>1447</v>
      </c>
      <c r="C450" s="2" t="s">
        <v>15</v>
      </c>
      <c r="D450" s="2">
        <v>250</v>
      </c>
      <c r="E450" s="2" t="s">
        <v>10</v>
      </c>
      <c r="F450" s="3">
        <v>0</v>
      </c>
      <c r="G450" s="3">
        <v>2</v>
      </c>
      <c r="H450" s="2">
        <v>4</v>
      </c>
      <c r="I450" s="22">
        <f>Table43[[#This Row],[Item Cost]]*Table43[[#This Row],[In Stock]]</f>
        <v>1000</v>
      </c>
      <c r="J450" s="12" t="s">
        <v>4941</v>
      </c>
      <c r="K450" s="13" t="s">
        <v>4666</v>
      </c>
      <c r="L450" s="13" t="s">
        <v>4693</v>
      </c>
      <c r="M450" s="13" t="s">
        <v>4693</v>
      </c>
      <c r="N450" s="12" t="s">
        <v>4672</v>
      </c>
      <c r="O450" s="17" t="str">
        <f>IF(LEN(COUNTIFS($J$1:J450,$J450,$K$1:K450,$K450,$L$1:L450,$L450,$M$1:M450,M450,$N$1:N450,N450))=1,"00"&amp;COUNTIFS($J$1:J450,$J450,$K$1:K450,$K450,$L$1:L450,$L450,$M$1:M450,M450,$N$1:N450,N450),IF(LEN(COUNTIFS($J$1:J450,$J450,$K$1:K450,$K450,$L$1:L450,$L450,$M$1:M450,M450,$N$1:N450,N450))=2,"0"&amp;COUNTIFS($J$1:J450,$J450,$K$1:K450,$K450,$L$1:L450,$L450,$M$1:M450,M450,$N$1:N450,N450),COUNTIFS($J$1:J450,$J450,$K$1:K450,$K450,$L$1:L450,$L450,$M$1:M450,M450,$N$1:N450,N450)))</f>
        <v>031</v>
      </c>
      <c r="P45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MS-NS-012-23-00031-INV</v>
      </c>
      <c r="Q450" s="59" t="s">
        <v>7354</v>
      </c>
      <c r="R450" s="34" t="s">
        <v>6245</v>
      </c>
      <c r="S450" s="34" t="s">
        <v>1447</v>
      </c>
      <c r="T450" s="34">
        <f>+IFERROR(_xlfn.XLOOKUP(Table43[[#This Row],[Column1]],#REF!,#REF!),0)</f>
        <v>0</v>
      </c>
      <c r="U450" s="50">
        <f>IFERROR(_xlfn.XLOOKUP(Table43[[#This Row],[Column1]],#REF!,#REF!),0)</f>
        <v>0</v>
      </c>
      <c r="V450" s="39"/>
    </row>
    <row r="451" spans="1:22" x14ac:dyDescent="0.35">
      <c r="A451" s="3" t="s">
        <v>5323</v>
      </c>
      <c r="B451" s="3" t="s">
        <v>1449</v>
      </c>
      <c r="C451" s="3" t="s">
        <v>15</v>
      </c>
      <c r="D451" s="3">
        <v>24</v>
      </c>
      <c r="E451" s="3" t="s">
        <v>10</v>
      </c>
      <c r="F451" s="3">
        <v>0</v>
      </c>
      <c r="G451" s="3">
        <v>2</v>
      </c>
      <c r="H451" s="3">
        <v>4</v>
      </c>
      <c r="I451" s="21">
        <f>Table43[[#This Row],[Item Cost]]*Table43[[#This Row],[In Stock]]</f>
        <v>96</v>
      </c>
      <c r="J451" s="12" t="s">
        <v>4941</v>
      </c>
      <c r="K451" s="13" t="s">
        <v>4666</v>
      </c>
      <c r="L451" s="13" t="s">
        <v>4693</v>
      </c>
      <c r="M451" s="13" t="s">
        <v>4672</v>
      </c>
      <c r="N451" s="12" t="s">
        <v>4672</v>
      </c>
      <c r="O451" s="17" t="str">
        <f>IF(LEN(COUNTIFS($J$1:J451,$J451,$K$1:K451,$K451,$L$1:L451,$L451,$M$1:M451,M451,$N$1:N451,N451))=1,"00"&amp;COUNTIFS($J$1:J451,$J451,$K$1:K451,$K451,$L$1:L451,$L451,$M$1:M451,M451,$N$1:N451,N451),IF(LEN(COUNTIFS($J$1:J451,$J451,$K$1:K451,$K451,$L$1:L451,$L451,$M$1:M451,M451,$N$1:N451,N451))=2,"0"&amp;COUNTIFS($J$1:J451,$J451,$K$1:K451,$K451,$L$1:L451,$L451,$M$1:M451,M451,$N$1:N451,N451),COUNTIFS($J$1:J451,$J451,$K$1:K451,$K451,$L$1:L451,$L451,$M$1:M451,M451,$N$1:N451,N451)))</f>
        <v>001</v>
      </c>
      <c r="P45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MS-NS-012-00-00001-INV</v>
      </c>
      <c r="Q451" s="59"/>
      <c r="R451" s="34" t="s">
        <v>6246</v>
      </c>
      <c r="S451" s="34" t="s">
        <v>1449</v>
      </c>
      <c r="T451" s="34">
        <f>+IFERROR(_xlfn.XLOOKUP(Table43[[#This Row],[Column1]],#REF!,#REF!),0)</f>
        <v>0</v>
      </c>
      <c r="U451" s="50">
        <f>IFERROR(_xlfn.XLOOKUP(Table43[[#This Row],[Column1]],#REF!,#REF!),0)</f>
        <v>0</v>
      </c>
      <c r="V451" s="39"/>
    </row>
    <row r="452" spans="1:22" x14ac:dyDescent="0.35">
      <c r="A452" s="3" t="s">
        <v>5324</v>
      </c>
      <c r="B452" s="2" t="s">
        <v>1451</v>
      </c>
      <c r="C452" s="2" t="s">
        <v>15</v>
      </c>
      <c r="D452" s="2">
        <v>300</v>
      </c>
      <c r="E452" s="2" t="s">
        <v>10</v>
      </c>
      <c r="F452" s="3">
        <v>0</v>
      </c>
      <c r="G452" s="3">
        <v>2</v>
      </c>
      <c r="H452" s="2">
        <v>21</v>
      </c>
      <c r="I452" s="22">
        <f>Table43[[#This Row],[Item Cost]]*Table43[[#This Row],[In Stock]]</f>
        <v>6300</v>
      </c>
      <c r="J452" s="12" t="s">
        <v>4941</v>
      </c>
      <c r="K452" s="13" t="s">
        <v>4666</v>
      </c>
      <c r="L452" s="13" t="s">
        <v>4693</v>
      </c>
      <c r="M452" s="13" t="s">
        <v>4693</v>
      </c>
      <c r="N452" s="12" t="s">
        <v>4672</v>
      </c>
      <c r="O452" s="17" t="str">
        <f>IF(LEN(COUNTIFS($J$1:J452,$J452,$K$1:K452,$K452,$L$1:L452,$L452,$M$1:M452,M452,$N$1:N452,N452))=1,"00"&amp;COUNTIFS($J$1:J452,$J452,$K$1:K452,$K452,$L$1:L452,$L452,$M$1:M452,M452,$N$1:N452,N452),IF(LEN(COUNTIFS($J$1:J452,$J452,$K$1:K452,$K452,$L$1:L452,$L452,$M$1:M452,M452,$N$1:N452,N452))=2,"0"&amp;COUNTIFS($J$1:J452,$J452,$K$1:K452,$K452,$L$1:L452,$L452,$M$1:M452,M452,$N$1:N452,N452),COUNTIFS($J$1:J452,$J452,$K$1:K452,$K452,$L$1:L452,$L452,$M$1:M452,M452,$N$1:N452,N452)))</f>
        <v>032</v>
      </c>
      <c r="P45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MS-NS-012-23-00032-INV</v>
      </c>
      <c r="Q452" s="59" t="s">
        <v>7353</v>
      </c>
      <c r="R452" s="34" t="s">
        <v>6247</v>
      </c>
      <c r="S452" s="34" t="s">
        <v>1451</v>
      </c>
      <c r="T452" s="34">
        <f>+IFERROR(_xlfn.XLOOKUP(Table43[[#This Row],[Column1]],#REF!,#REF!),0)</f>
        <v>0</v>
      </c>
      <c r="U452" s="50">
        <f>IFERROR(_xlfn.XLOOKUP(Table43[[#This Row],[Column1]],#REF!,#REF!),0)</f>
        <v>0</v>
      </c>
      <c r="V452" s="39"/>
    </row>
    <row r="453" spans="1:22" x14ac:dyDescent="0.35">
      <c r="A453" s="3" t="s">
        <v>5325</v>
      </c>
      <c r="B453" s="3" t="s">
        <v>1453</v>
      </c>
      <c r="C453" s="3" t="s">
        <v>15</v>
      </c>
      <c r="D453" s="3">
        <v>230</v>
      </c>
      <c r="E453" s="3" t="s">
        <v>10</v>
      </c>
      <c r="F453" s="3">
        <v>0</v>
      </c>
      <c r="G453" s="3">
        <v>2</v>
      </c>
      <c r="H453" s="3">
        <v>3</v>
      </c>
      <c r="I453" s="21">
        <f>Table43[[#This Row],[Item Cost]]*Table43[[#This Row],[In Stock]]</f>
        <v>690</v>
      </c>
      <c r="J453" s="12" t="s">
        <v>4941</v>
      </c>
      <c r="K453" s="13" t="s">
        <v>4666</v>
      </c>
      <c r="L453" s="13" t="s">
        <v>4693</v>
      </c>
      <c r="M453" s="13" t="s">
        <v>4693</v>
      </c>
      <c r="N453" s="12" t="s">
        <v>4672</v>
      </c>
      <c r="O453" s="17" t="str">
        <f>IF(LEN(COUNTIFS($J$1:J453,$J453,$K$1:K453,$K453,$L$1:L453,$L453,$M$1:M453,M453,$N$1:N453,N453))=1,"00"&amp;COUNTIFS($J$1:J453,$J453,$K$1:K453,$K453,$L$1:L453,$L453,$M$1:M453,M453,$N$1:N453,N453),IF(LEN(COUNTIFS($J$1:J453,$J453,$K$1:K453,$K453,$L$1:L453,$L453,$M$1:M453,M453,$N$1:N453,N453))=2,"0"&amp;COUNTIFS($J$1:J453,$J453,$K$1:K453,$K453,$L$1:L453,$L453,$M$1:M453,M453,$N$1:N453,N453),COUNTIFS($J$1:J453,$J453,$K$1:K453,$K453,$L$1:L453,$L453,$M$1:M453,M453,$N$1:N453,N453)))</f>
        <v>033</v>
      </c>
      <c r="P45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MS-NS-012-23-00033-INV</v>
      </c>
      <c r="Q453" s="59"/>
      <c r="R453" s="34" t="s">
        <v>6248</v>
      </c>
      <c r="S453" s="34" t="s">
        <v>1453</v>
      </c>
      <c r="T453" s="34">
        <f>+IFERROR(_xlfn.XLOOKUP(Table43[[#This Row],[Column1]],#REF!,#REF!),0)</f>
        <v>0</v>
      </c>
      <c r="U453" s="50">
        <f>IFERROR(_xlfn.XLOOKUP(Table43[[#This Row],[Column1]],#REF!,#REF!),0)</f>
        <v>0</v>
      </c>
      <c r="V453" s="39"/>
    </row>
    <row r="454" spans="1:22" x14ac:dyDescent="0.35">
      <c r="A454" s="3" t="s">
        <v>5326</v>
      </c>
      <c r="B454" s="2" t="s">
        <v>1455</v>
      </c>
      <c r="C454" s="2" t="s">
        <v>15</v>
      </c>
      <c r="D454" s="2">
        <v>82</v>
      </c>
      <c r="E454" s="2" t="s">
        <v>10</v>
      </c>
      <c r="F454" s="3">
        <v>0</v>
      </c>
      <c r="G454" s="3">
        <v>2</v>
      </c>
      <c r="H454" s="2">
        <v>5</v>
      </c>
      <c r="I454" s="22">
        <f>Table43[[#This Row],[Item Cost]]*Table43[[#This Row],[In Stock]]</f>
        <v>410</v>
      </c>
      <c r="J454" s="12" t="s">
        <v>4941</v>
      </c>
      <c r="K454" s="13" t="s">
        <v>4666</v>
      </c>
      <c r="L454" s="13" t="s">
        <v>4693</v>
      </c>
      <c r="M454" s="13" t="s">
        <v>4693</v>
      </c>
      <c r="N454" s="12" t="s">
        <v>4672</v>
      </c>
      <c r="O454" s="17" t="str">
        <f>IF(LEN(COUNTIFS($J$1:J454,$J454,$K$1:K454,$K454,$L$1:L454,$L454,$M$1:M454,M454,$N$1:N454,N454))=1,"00"&amp;COUNTIFS($J$1:J454,$J454,$K$1:K454,$K454,$L$1:L454,$L454,$M$1:M454,M454,$N$1:N454,N454),IF(LEN(COUNTIFS($J$1:J454,$J454,$K$1:K454,$K454,$L$1:L454,$L454,$M$1:M454,M454,$N$1:N454,N454))=2,"0"&amp;COUNTIFS($J$1:J454,$J454,$K$1:K454,$K454,$L$1:L454,$L454,$M$1:M454,M454,$N$1:N454,N454),COUNTIFS($J$1:J454,$J454,$K$1:K454,$K454,$L$1:L454,$L454,$M$1:M454,M454,$N$1:N454,N454)))</f>
        <v>034</v>
      </c>
      <c r="P45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MS-NS-012-23-00034-INV</v>
      </c>
      <c r="Q454" s="59"/>
      <c r="R454" s="34" t="s">
        <v>6249</v>
      </c>
      <c r="S454" s="34" t="s">
        <v>1455</v>
      </c>
      <c r="T454" s="34">
        <f>+IFERROR(_xlfn.XLOOKUP(Table43[[#This Row],[Column1]],#REF!,#REF!),0)</f>
        <v>0</v>
      </c>
      <c r="U454" s="50">
        <f>IFERROR(_xlfn.XLOOKUP(Table43[[#This Row],[Column1]],#REF!,#REF!),0)</f>
        <v>0</v>
      </c>
      <c r="V454" s="39"/>
    </row>
    <row r="455" spans="1:22" x14ac:dyDescent="0.35">
      <c r="A455" s="3" t="s">
        <v>5327</v>
      </c>
      <c r="B455" s="3" t="s">
        <v>1457</v>
      </c>
      <c r="C455" s="3" t="s">
        <v>15</v>
      </c>
      <c r="D455" s="3">
        <v>270.714</v>
      </c>
      <c r="E455" s="3" t="s">
        <v>10</v>
      </c>
      <c r="F455" s="3">
        <v>0</v>
      </c>
      <c r="G455" s="3">
        <v>2</v>
      </c>
      <c r="H455" s="3">
        <v>21</v>
      </c>
      <c r="I455" s="21">
        <f>Table43[[#This Row],[Item Cost]]*Table43[[#This Row],[In Stock]]</f>
        <v>5684.9939999999997</v>
      </c>
      <c r="J455" s="12" t="s">
        <v>4941</v>
      </c>
      <c r="K455" s="13" t="s">
        <v>4666</v>
      </c>
      <c r="L455" s="13" t="s">
        <v>4693</v>
      </c>
      <c r="M455" s="13" t="s">
        <v>4693</v>
      </c>
      <c r="N455" s="12" t="s">
        <v>4672</v>
      </c>
      <c r="O455" s="17" t="str">
        <f>IF(LEN(COUNTIFS($J$1:J455,$J455,$K$1:K455,$K455,$L$1:L455,$L455,$M$1:M455,M455,$N$1:N455,N455))=1,"00"&amp;COUNTIFS($J$1:J455,$J455,$K$1:K455,$K455,$L$1:L455,$L455,$M$1:M455,M455,$N$1:N455,N455),IF(LEN(COUNTIFS($J$1:J455,$J455,$K$1:K455,$K455,$L$1:L455,$L455,$M$1:M455,M455,$N$1:N455,N455))=2,"0"&amp;COUNTIFS($J$1:J455,$J455,$K$1:K455,$K455,$L$1:L455,$L455,$M$1:M455,M455,$N$1:N455,N455),COUNTIFS($J$1:J455,$J455,$K$1:K455,$K455,$L$1:L455,$L455,$M$1:M455,M455,$N$1:N455,N455)))</f>
        <v>035</v>
      </c>
      <c r="P45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MS-NS-012-23-00035-INV</v>
      </c>
      <c r="Q455" s="59" t="s">
        <v>7353</v>
      </c>
      <c r="R455" s="34" t="s">
        <v>6250</v>
      </c>
      <c r="S455" s="34" t="s">
        <v>1457</v>
      </c>
      <c r="T455" s="34">
        <f>+IFERROR(_xlfn.XLOOKUP(Table43[[#This Row],[Column1]],#REF!,#REF!),0)</f>
        <v>0</v>
      </c>
      <c r="U455" s="50">
        <f>IFERROR(_xlfn.XLOOKUP(Table43[[#This Row],[Column1]],#REF!,#REF!),0)</f>
        <v>0</v>
      </c>
      <c r="V455" s="39"/>
    </row>
    <row r="456" spans="1:22" x14ac:dyDescent="0.35">
      <c r="A456" s="3" t="s">
        <v>5328</v>
      </c>
      <c r="B456" s="2" t="s">
        <v>1462</v>
      </c>
      <c r="C456" s="2" t="s">
        <v>15</v>
      </c>
      <c r="D456" s="2">
        <v>96</v>
      </c>
      <c r="E456" s="2" t="s">
        <v>10</v>
      </c>
      <c r="F456" s="3">
        <v>0</v>
      </c>
      <c r="G456" s="3">
        <v>2</v>
      </c>
      <c r="H456" s="2">
        <v>5</v>
      </c>
      <c r="I456" s="22">
        <f>Table43[[#This Row],[Item Cost]]*Table43[[#This Row],[In Stock]]</f>
        <v>480</v>
      </c>
      <c r="J456" s="12" t="s">
        <v>4941</v>
      </c>
      <c r="K456" s="13" t="s">
        <v>4666</v>
      </c>
      <c r="L456" s="13" t="s">
        <v>4693</v>
      </c>
      <c r="M456" s="13" t="s">
        <v>4779</v>
      </c>
      <c r="N456" s="12" t="s">
        <v>4672</v>
      </c>
      <c r="O456" s="17" t="str">
        <f>IF(LEN(COUNTIFS($J$1:J456,$J456,$K$1:K456,$K456,$L$1:L456,$L456,$M$1:M456,M456,$N$1:N456,N456))=1,"00"&amp;COUNTIFS($J$1:J456,$J456,$K$1:K456,$K456,$L$1:L456,$L456,$M$1:M456,M456,$N$1:N456,N456),IF(LEN(COUNTIFS($J$1:J456,$J456,$K$1:K456,$K456,$L$1:L456,$L456,$M$1:M456,M456,$N$1:N456,N456))=2,"0"&amp;COUNTIFS($J$1:J456,$J456,$K$1:K456,$K456,$L$1:L456,$L456,$M$1:M456,M456,$N$1:N456,N456),COUNTIFS($J$1:J456,$J456,$K$1:K456,$K456,$L$1:L456,$L456,$M$1:M456,M456,$N$1:N456,N456)))</f>
        <v>002</v>
      </c>
      <c r="P45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MS-NS-012-14-00002-INV</v>
      </c>
      <c r="Q456" s="59"/>
      <c r="R456" s="34" t="s">
        <v>6251</v>
      </c>
      <c r="S456" s="34" t="s">
        <v>1462</v>
      </c>
      <c r="T456" s="34">
        <f>+IFERROR(_xlfn.XLOOKUP(Table43[[#This Row],[Column1]],#REF!,#REF!),0)</f>
        <v>0</v>
      </c>
      <c r="U456" s="50">
        <f>IFERROR(_xlfn.XLOOKUP(Table43[[#This Row],[Column1]],#REF!,#REF!),0)</f>
        <v>0</v>
      </c>
      <c r="V456" s="39"/>
    </row>
    <row r="457" spans="1:22" x14ac:dyDescent="0.35">
      <c r="A457" s="3" t="s">
        <v>5329</v>
      </c>
      <c r="B457" s="3" t="s">
        <v>1464</v>
      </c>
      <c r="C457" s="3" t="s">
        <v>15</v>
      </c>
      <c r="D457" s="3">
        <v>159</v>
      </c>
      <c r="E457" s="3" t="s">
        <v>10</v>
      </c>
      <c r="F457" s="3">
        <v>0</v>
      </c>
      <c r="G457" s="3">
        <v>2</v>
      </c>
      <c r="H457" s="3">
        <v>5</v>
      </c>
      <c r="I457" s="21">
        <f>Table43[[#This Row],[Item Cost]]*Table43[[#This Row],[In Stock]]</f>
        <v>795</v>
      </c>
      <c r="J457" s="12" t="s">
        <v>4941</v>
      </c>
      <c r="K457" s="13" t="s">
        <v>4666</v>
      </c>
      <c r="L457" s="13" t="s">
        <v>4693</v>
      </c>
      <c r="M457" s="13" t="s">
        <v>4779</v>
      </c>
      <c r="N457" s="12" t="s">
        <v>4672</v>
      </c>
      <c r="O457" s="17" t="str">
        <f>IF(LEN(COUNTIFS($J$1:J457,$J457,$K$1:K457,$K457,$L$1:L457,$L457,$M$1:M457,M457,$N$1:N457,N457))=1,"00"&amp;COUNTIFS($J$1:J457,$J457,$K$1:K457,$K457,$L$1:L457,$L457,$M$1:M457,M457,$N$1:N457,N457),IF(LEN(COUNTIFS($J$1:J457,$J457,$K$1:K457,$K457,$L$1:L457,$L457,$M$1:M457,M457,$N$1:N457,N457))=2,"0"&amp;COUNTIFS($J$1:J457,$J457,$K$1:K457,$K457,$L$1:L457,$L457,$M$1:M457,M457,$N$1:N457,N457),COUNTIFS($J$1:J457,$J457,$K$1:K457,$K457,$L$1:L457,$L457,$M$1:M457,M457,$N$1:N457,N457)))</f>
        <v>003</v>
      </c>
      <c r="P45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MS-NS-012-14-00003-INV</v>
      </c>
      <c r="Q457" s="59"/>
      <c r="R457" s="34" t="s">
        <v>6252</v>
      </c>
      <c r="S457" s="34" t="s">
        <v>1464</v>
      </c>
      <c r="T457" s="34">
        <f>+IFERROR(_xlfn.XLOOKUP(Table43[[#This Row],[Column1]],#REF!,#REF!),0)</f>
        <v>0</v>
      </c>
      <c r="U457" s="50">
        <f>IFERROR(_xlfn.XLOOKUP(Table43[[#This Row],[Column1]],#REF!,#REF!),0)</f>
        <v>0</v>
      </c>
      <c r="V457" s="39"/>
    </row>
    <row r="458" spans="1:22" x14ac:dyDescent="0.35">
      <c r="A458" s="3" t="s">
        <v>5330</v>
      </c>
      <c r="B458" s="2" t="s">
        <v>1466</v>
      </c>
      <c r="C458" s="2" t="s">
        <v>15</v>
      </c>
      <c r="D458" s="2">
        <v>0</v>
      </c>
      <c r="E458" s="2" t="s">
        <v>10</v>
      </c>
      <c r="F458" s="3">
        <v>0</v>
      </c>
      <c r="G458" s="3">
        <v>2</v>
      </c>
      <c r="H458" s="2">
        <v>0</v>
      </c>
      <c r="I458" s="22">
        <f>Table43[[#This Row],[Item Cost]]*Table43[[#This Row],[In Stock]]</f>
        <v>0</v>
      </c>
      <c r="J458" s="12" t="s">
        <v>4941</v>
      </c>
      <c r="K458" s="13" t="s">
        <v>4666</v>
      </c>
      <c r="L458" s="13" t="s">
        <v>4693</v>
      </c>
      <c r="M458" s="13" t="s">
        <v>4775</v>
      </c>
      <c r="N458" s="12" t="s">
        <v>4672</v>
      </c>
      <c r="O458" s="17" t="str">
        <f>IF(LEN(COUNTIFS($J$1:J458,$J458,$K$1:K458,$K458,$L$1:L458,$L458,$M$1:M458,M458,$N$1:N458,N458))=1,"00"&amp;COUNTIFS($J$1:J458,$J458,$K$1:K458,$K458,$L$1:L458,$L458,$M$1:M458,M458,$N$1:N458,N458),IF(LEN(COUNTIFS($J$1:J458,$J458,$K$1:K458,$K458,$L$1:L458,$L458,$M$1:M458,M458,$N$1:N458,N458))=2,"0"&amp;COUNTIFS($J$1:J458,$J458,$K$1:K458,$K458,$L$1:L458,$L458,$M$1:M458,M458,$N$1:N458,N458),COUNTIFS($J$1:J458,$J458,$K$1:K458,$K458,$L$1:L458,$L458,$M$1:M458,M458,$N$1:N458,N458)))</f>
        <v>005</v>
      </c>
      <c r="P45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MS-NS-012-09-00005-INV</v>
      </c>
      <c r="Q458" s="59"/>
      <c r="R458" s="34" t="s">
        <v>6253</v>
      </c>
      <c r="S458" s="34" t="s">
        <v>1466</v>
      </c>
      <c r="T458" s="34">
        <f>+IFERROR(_xlfn.XLOOKUP(Table43[[#This Row],[Column1]],#REF!,#REF!),0)</f>
        <v>0</v>
      </c>
      <c r="U458" s="50">
        <f>IFERROR(_xlfn.XLOOKUP(Table43[[#This Row],[Column1]],#REF!,#REF!),0)</f>
        <v>0</v>
      </c>
      <c r="V458" s="39"/>
    </row>
    <row r="459" spans="1:22" x14ac:dyDescent="0.35">
      <c r="A459" s="3" t="s">
        <v>5331</v>
      </c>
      <c r="B459" s="3" t="s">
        <v>1468</v>
      </c>
      <c r="C459" s="3" t="s">
        <v>15</v>
      </c>
      <c r="D459" s="3">
        <v>52.5</v>
      </c>
      <c r="E459" s="3" t="s">
        <v>10</v>
      </c>
      <c r="F459" s="3">
        <v>0</v>
      </c>
      <c r="G459" s="3">
        <v>2</v>
      </c>
      <c r="H459" s="3">
        <v>24</v>
      </c>
      <c r="I459" s="21">
        <f>Table43[[#This Row],[Item Cost]]*Table43[[#This Row],[In Stock]]</f>
        <v>1260</v>
      </c>
      <c r="J459" s="12" t="s">
        <v>4941</v>
      </c>
      <c r="K459" s="13" t="s">
        <v>4666</v>
      </c>
      <c r="L459" s="13" t="s">
        <v>4693</v>
      </c>
      <c r="M459" s="13" t="s">
        <v>4779</v>
      </c>
      <c r="N459" s="12" t="s">
        <v>4672</v>
      </c>
      <c r="O459" s="17" t="str">
        <f>IF(LEN(COUNTIFS($J$1:J459,$J459,$K$1:K459,$K459,$L$1:L459,$L459,$M$1:M459,M459,$N$1:N459,N459))=1,"00"&amp;COUNTIFS($J$1:J459,$J459,$K$1:K459,$K459,$L$1:L459,$L459,$M$1:M459,M459,$N$1:N459,N459),IF(LEN(COUNTIFS($J$1:J459,$J459,$K$1:K459,$K459,$L$1:L459,$L459,$M$1:M459,M459,$N$1:N459,N459))=2,"0"&amp;COUNTIFS($J$1:J459,$J459,$K$1:K459,$K459,$L$1:L459,$L459,$M$1:M459,M459,$N$1:N459,N459),COUNTIFS($J$1:J459,$J459,$K$1:K459,$K459,$L$1:L459,$L459,$M$1:M459,M459,$N$1:N459,N459)))</f>
        <v>004</v>
      </c>
      <c r="P45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MS-NS-012-14-00004-INV</v>
      </c>
      <c r="Q459" s="59"/>
      <c r="R459" s="34" t="s">
        <v>6254</v>
      </c>
      <c r="S459" s="34" t="s">
        <v>1468</v>
      </c>
      <c r="T459" s="34">
        <f>+IFERROR(_xlfn.XLOOKUP(Table43[[#This Row],[Column1]],#REF!,#REF!),0)</f>
        <v>0</v>
      </c>
      <c r="U459" s="50">
        <f>IFERROR(_xlfn.XLOOKUP(Table43[[#This Row],[Column1]],#REF!,#REF!),0)</f>
        <v>0</v>
      </c>
      <c r="V459" s="39"/>
    </row>
    <row r="460" spans="1:22" x14ac:dyDescent="0.35">
      <c r="A460" s="3" t="s">
        <v>5332</v>
      </c>
      <c r="B460" s="2" t="s">
        <v>1470</v>
      </c>
      <c r="C460" s="2" t="s">
        <v>15</v>
      </c>
      <c r="D460" s="2">
        <v>0</v>
      </c>
      <c r="E460" s="2" t="s">
        <v>10</v>
      </c>
      <c r="F460" s="3">
        <v>0</v>
      </c>
      <c r="G460" s="3">
        <v>2</v>
      </c>
      <c r="H460" s="2">
        <v>0</v>
      </c>
      <c r="I460" s="22">
        <f>Table43[[#This Row],[Item Cost]]*Table43[[#This Row],[In Stock]]</f>
        <v>0</v>
      </c>
      <c r="J460" s="12" t="s">
        <v>4941</v>
      </c>
      <c r="K460" s="13" t="s">
        <v>4666</v>
      </c>
      <c r="L460" s="13" t="s">
        <v>4693</v>
      </c>
      <c r="M460" s="13" t="s">
        <v>4828</v>
      </c>
      <c r="N460" s="12" t="s">
        <v>4672</v>
      </c>
      <c r="O460" s="17" t="str">
        <f>IF(LEN(COUNTIFS($J$1:J460,$J460,$K$1:K460,$K460,$L$1:L460,$L460,$M$1:M460,M460,$N$1:N460,N460))=1,"00"&amp;COUNTIFS($J$1:J460,$J460,$K$1:K460,$K460,$L$1:L460,$L460,$M$1:M460,M460,$N$1:N460,N460),IF(LEN(COUNTIFS($J$1:J460,$J460,$K$1:K460,$K460,$L$1:L460,$L460,$M$1:M460,M460,$N$1:N460,N460))=2,"0"&amp;COUNTIFS($J$1:J460,$J460,$K$1:K460,$K460,$L$1:L460,$L460,$M$1:M460,M460,$N$1:N460,N460),COUNTIFS($J$1:J460,$J460,$K$1:K460,$K460,$L$1:L460,$L460,$M$1:M460,M460,$N$1:N460,N460)))</f>
        <v>006</v>
      </c>
      <c r="P46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MS-NS-012-13-00006-INV</v>
      </c>
      <c r="Q460" s="59"/>
      <c r="R460" s="34" t="s">
        <v>6255</v>
      </c>
      <c r="S460" s="34" t="s">
        <v>1470</v>
      </c>
      <c r="T460" s="34">
        <f>+IFERROR(_xlfn.XLOOKUP(Table43[[#This Row],[Column1]],#REF!,#REF!),0)</f>
        <v>0</v>
      </c>
      <c r="U460" s="50">
        <f>IFERROR(_xlfn.XLOOKUP(Table43[[#This Row],[Column1]],#REF!,#REF!),0)</f>
        <v>0</v>
      </c>
      <c r="V460" s="39"/>
    </row>
    <row r="461" spans="1:22" x14ac:dyDescent="0.35">
      <c r="A461" s="3" t="s">
        <v>5333</v>
      </c>
      <c r="B461" s="3" t="s">
        <v>1480</v>
      </c>
      <c r="C461" s="3" t="s">
        <v>15</v>
      </c>
      <c r="D461" s="3">
        <v>18.908999999999999</v>
      </c>
      <c r="E461" s="2" t="s">
        <v>10</v>
      </c>
      <c r="F461" s="3">
        <v>0</v>
      </c>
      <c r="G461" s="3">
        <v>10</v>
      </c>
      <c r="H461" s="3">
        <v>15</v>
      </c>
      <c r="I461" s="21">
        <f>Table43[[#This Row],[Item Cost]]*Table43[[#This Row],[In Stock]]</f>
        <v>283.63499999999999</v>
      </c>
      <c r="J461" s="12" t="s">
        <v>4941</v>
      </c>
      <c r="K461" s="13" t="s">
        <v>4666</v>
      </c>
      <c r="L461" s="13" t="s">
        <v>4693</v>
      </c>
      <c r="M461" s="13" t="s">
        <v>4775</v>
      </c>
      <c r="N461" s="12" t="s">
        <v>4672</v>
      </c>
      <c r="O461" s="17" t="str">
        <f>IF(LEN(COUNTIFS($J$1:J461,$J461,$K$1:K461,$K461,$L$1:L461,$L461,$M$1:M461,M461,$N$1:N461,N461))=1,"00"&amp;COUNTIFS($J$1:J461,$J461,$K$1:K461,$K461,$L$1:L461,$L461,$M$1:M461,M461,$N$1:N461,N461),IF(LEN(COUNTIFS($J$1:J461,$J461,$K$1:K461,$K461,$L$1:L461,$L461,$M$1:M461,M461,$N$1:N461,N461))=2,"0"&amp;COUNTIFS($J$1:J461,$J461,$K$1:K461,$K461,$L$1:L461,$L461,$M$1:M461,M461,$N$1:N461,N461),COUNTIFS($J$1:J461,$J461,$K$1:K461,$K461,$L$1:L461,$L461,$M$1:M461,M461,$N$1:N461,N461)))</f>
        <v>006</v>
      </c>
      <c r="P46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MS-NS-012-09-00006-INV</v>
      </c>
      <c r="Q461" s="59"/>
      <c r="R461" s="34" t="s">
        <v>6256</v>
      </c>
      <c r="S461" s="34" t="s">
        <v>1480</v>
      </c>
      <c r="T461" s="34">
        <f>+IFERROR(_xlfn.XLOOKUP(Table43[[#This Row],[Column1]],#REF!,#REF!),0)</f>
        <v>0</v>
      </c>
      <c r="U461" s="50">
        <f>IFERROR(_xlfn.XLOOKUP(Table43[[#This Row],[Column1]],#REF!,#REF!),0)</f>
        <v>0</v>
      </c>
      <c r="V461" s="39"/>
    </row>
    <row r="462" spans="1:22" x14ac:dyDescent="0.35">
      <c r="A462" s="3" t="s">
        <v>5334</v>
      </c>
      <c r="B462" s="2" t="s">
        <v>1482</v>
      </c>
      <c r="C462" s="3" t="s">
        <v>15</v>
      </c>
      <c r="D462" s="2">
        <v>18.908999999999999</v>
      </c>
      <c r="E462" s="2" t="s">
        <v>10</v>
      </c>
      <c r="F462" s="3">
        <v>0</v>
      </c>
      <c r="G462" s="3">
        <v>10</v>
      </c>
      <c r="H462" s="2">
        <v>15</v>
      </c>
      <c r="I462" s="22">
        <f>Table43[[#This Row],[Item Cost]]*Table43[[#This Row],[In Stock]]</f>
        <v>283.63499999999999</v>
      </c>
      <c r="J462" s="12" t="s">
        <v>4941</v>
      </c>
      <c r="K462" s="13" t="s">
        <v>4666</v>
      </c>
      <c r="L462" s="13" t="s">
        <v>4693</v>
      </c>
      <c r="M462" s="13" t="s">
        <v>4775</v>
      </c>
      <c r="N462" s="12" t="s">
        <v>4672</v>
      </c>
      <c r="O462" s="17" t="str">
        <f>IF(LEN(COUNTIFS($J$1:J462,$J462,$K$1:K462,$K462,$L$1:L462,$L462,$M$1:M462,M462,$N$1:N462,N462))=1,"00"&amp;COUNTIFS($J$1:J462,$J462,$K$1:K462,$K462,$L$1:L462,$L462,$M$1:M462,M462,$N$1:N462,N462),IF(LEN(COUNTIFS($J$1:J462,$J462,$K$1:K462,$K462,$L$1:L462,$L462,$M$1:M462,M462,$N$1:N462,N462))=2,"0"&amp;COUNTIFS($J$1:J462,$J462,$K$1:K462,$K462,$L$1:L462,$L462,$M$1:M462,M462,$N$1:N462,N462),COUNTIFS($J$1:J462,$J462,$K$1:K462,$K462,$L$1:L462,$L462,$M$1:M462,M462,$N$1:N462,N462)))</f>
        <v>007</v>
      </c>
      <c r="P46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MS-NS-012-09-00007-INV</v>
      </c>
      <c r="Q462" s="59"/>
      <c r="R462" s="34" t="s">
        <v>6257</v>
      </c>
      <c r="S462" s="34" t="s">
        <v>1482</v>
      </c>
      <c r="T462" s="34">
        <f>+IFERROR(_xlfn.XLOOKUP(Table43[[#This Row],[Column1]],#REF!,#REF!),0)</f>
        <v>0</v>
      </c>
      <c r="U462" s="50">
        <f>IFERROR(_xlfn.XLOOKUP(Table43[[#This Row],[Column1]],#REF!,#REF!),0)</f>
        <v>0</v>
      </c>
      <c r="V462" s="39"/>
    </row>
    <row r="463" spans="1:22" x14ac:dyDescent="0.35">
      <c r="A463" s="3" t="s">
        <v>5335</v>
      </c>
      <c r="B463" s="2" t="s">
        <v>1508</v>
      </c>
      <c r="C463" s="2" t="s">
        <v>15</v>
      </c>
      <c r="D463" s="4">
        <v>1500</v>
      </c>
      <c r="E463" s="2" t="s">
        <v>10</v>
      </c>
      <c r="F463" s="3">
        <v>0</v>
      </c>
      <c r="G463" s="3">
        <v>2</v>
      </c>
      <c r="H463" s="2">
        <v>84</v>
      </c>
      <c r="I463" s="22">
        <f>Table43[[#This Row],[Item Cost]]*Table43[[#This Row],[In Stock]]</f>
        <v>126000</v>
      </c>
      <c r="J463" s="12" t="s">
        <v>4941</v>
      </c>
      <c r="K463" s="13" t="s">
        <v>4666</v>
      </c>
      <c r="L463" s="13" t="s">
        <v>4693</v>
      </c>
      <c r="M463" s="13" t="s">
        <v>4693</v>
      </c>
      <c r="N463" s="12" t="s">
        <v>4672</v>
      </c>
      <c r="O463" s="17" t="str">
        <f>IF(LEN(COUNTIFS($J$1:J463,$J463,$K$1:K463,$K463,$L$1:L463,$L463,$M$1:M463,M463,$N$1:N463,N463))=1,"00"&amp;COUNTIFS($J$1:J463,$J463,$K$1:K463,$K463,$L$1:L463,$L463,$M$1:M463,M463,$N$1:N463,N463),IF(LEN(COUNTIFS($J$1:J463,$J463,$K$1:K463,$K463,$L$1:L463,$L463,$M$1:M463,M463,$N$1:N463,N463))=2,"0"&amp;COUNTIFS($J$1:J463,$J463,$K$1:K463,$K463,$L$1:L463,$L463,$M$1:M463,M463,$N$1:N463,N463),COUNTIFS($J$1:J463,$J463,$K$1:K463,$K463,$L$1:L463,$L463,$M$1:M463,M463,$N$1:N463,N463)))</f>
        <v>036</v>
      </c>
      <c r="P46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MS-NS-012-23-00036-INV</v>
      </c>
      <c r="Q463" s="59"/>
      <c r="R463" s="34" t="s">
        <v>6258</v>
      </c>
      <c r="S463" s="34" t="s">
        <v>1508</v>
      </c>
      <c r="T463" s="34">
        <f>+IFERROR(_xlfn.XLOOKUP(Table43[[#This Row],[Column1]],#REF!,#REF!),0)</f>
        <v>0</v>
      </c>
      <c r="U463" s="50">
        <f>IFERROR(_xlfn.XLOOKUP(Table43[[#This Row],[Column1]],#REF!,#REF!),0)</f>
        <v>0</v>
      </c>
      <c r="V463" s="39"/>
    </row>
    <row r="464" spans="1:22" x14ac:dyDescent="0.35">
      <c r="A464" s="3" t="s">
        <v>5336</v>
      </c>
      <c r="B464" s="3" t="s">
        <v>1510</v>
      </c>
      <c r="C464" s="3" t="s">
        <v>15</v>
      </c>
      <c r="D464" s="5">
        <v>1350</v>
      </c>
      <c r="E464" s="3" t="s">
        <v>10</v>
      </c>
      <c r="F464" s="3">
        <v>0</v>
      </c>
      <c r="G464" s="3">
        <v>2</v>
      </c>
      <c r="H464" s="3">
        <v>20</v>
      </c>
      <c r="I464" s="21">
        <f>Table43[[#This Row],[Item Cost]]*Table43[[#This Row],[In Stock]]</f>
        <v>27000</v>
      </c>
      <c r="J464" s="12" t="s">
        <v>4941</v>
      </c>
      <c r="K464" s="13" t="s">
        <v>4666</v>
      </c>
      <c r="L464" s="13" t="s">
        <v>4693</v>
      </c>
      <c r="M464" s="13" t="s">
        <v>4693</v>
      </c>
      <c r="N464" s="12" t="s">
        <v>4672</v>
      </c>
      <c r="O464" s="17" t="str">
        <f>IF(LEN(COUNTIFS($J$1:J464,$J464,$K$1:K464,$K464,$L$1:L464,$L464,$M$1:M464,M464,$N$1:N464,N464))=1,"00"&amp;COUNTIFS($J$1:J464,$J464,$K$1:K464,$K464,$L$1:L464,$L464,$M$1:M464,M464,$N$1:N464,N464),IF(LEN(COUNTIFS($J$1:J464,$J464,$K$1:K464,$K464,$L$1:L464,$L464,$M$1:M464,M464,$N$1:N464,N464))=2,"0"&amp;COUNTIFS($J$1:J464,$J464,$K$1:K464,$K464,$L$1:L464,$L464,$M$1:M464,M464,$N$1:N464,N464),COUNTIFS($J$1:J464,$J464,$K$1:K464,$K464,$L$1:L464,$L464,$M$1:M464,M464,$N$1:N464,N464)))</f>
        <v>037</v>
      </c>
      <c r="P46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MS-NS-012-23-00037-INV</v>
      </c>
      <c r="Q464" s="59"/>
      <c r="R464" s="34" t="s">
        <v>6259</v>
      </c>
      <c r="S464" s="34" t="s">
        <v>1510</v>
      </c>
      <c r="T464" s="34">
        <f>+IFERROR(_xlfn.XLOOKUP(Table43[[#This Row],[Column1]],#REF!,#REF!),0)</f>
        <v>0</v>
      </c>
      <c r="U464" s="50">
        <f>IFERROR(_xlfn.XLOOKUP(Table43[[#This Row],[Column1]],#REF!,#REF!),0)</f>
        <v>0</v>
      </c>
      <c r="V464" s="39"/>
    </row>
    <row r="465" spans="1:22" x14ac:dyDescent="0.35">
      <c r="A465" s="3" t="s">
        <v>5337</v>
      </c>
      <c r="B465" s="2" t="s">
        <v>1512</v>
      </c>
      <c r="C465" s="2" t="s">
        <v>15</v>
      </c>
      <c r="D465" s="4">
        <v>1250</v>
      </c>
      <c r="E465" s="2" t="s">
        <v>10</v>
      </c>
      <c r="F465" s="3">
        <v>0</v>
      </c>
      <c r="G465" s="3">
        <v>2</v>
      </c>
      <c r="H465" s="2">
        <v>8</v>
      </c>
      <c r="I465" s="22">
        <f>Table43[[#This Row],[Item Cost]]*Table43[[#This Row],[In Stock]]</f>
        <v>10000</v>
      </c>
      <c r="J465" s="12" t="s">
        <v>4941</v>
      </c>
      <c r="K465" s="13" t="s">
        <v>4666</v>
      </c>
      <c r="L465" s="13" t="s">
        <v>4693</v>
      </c>
      <c r="M465" s="13" t="s">
        <v>4693</v>
      </c>
      <c r="N465" s="12" t="s">
        <v>4672</v>
      </c>
      <c r="O465" s="17" t="str">
        <f>IF(LEN(COUNTIFS($J$1:J465,$J465,$K$1:K465,$K465,$L$1:L465,$L465,$M$1:M465,M465,$N$1:N465,N465))=1,"00"&amp;COUNTIFS($J$1:J465,$J465,$K$1:K465,$K465,$L$1:L465,$L465,$M$1:M465,M465,$N$1:N465,N465),IF(LEN(COUNTIFS($J$1:J465,$J465,$K$1:K465,$K465,$L$1:L465,$L465,$M$1:M465,M465,$N$1:N465,N465))=2,"0"&amp;COUNTIFS($J$1:J465,$J465,$K$1:K465,$K465,$L$1:L465,$L465,$M$1:M465,M465,$N$1:N465,N465),COUNTIFS($J$1:J465,$J465,$K$1:K465,$K465,$L$1:L465,$L465,$M$1:M465,M465,$N$1:N465,N465)))</f>
        <v>038</v>
      </c>
      <c r="P46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MS-NS-012-23-00038-INV</v>
      </c>
      <c r="Q465" s="59"/>
      <c r="R465" s="34" t="s">
        <v>6260</v>
      </c>
      <c r="S465" s="34" t="s">
        <v>1512</v>
      </c>
      <c r="T465" s="34">
        <f>+IFERROR(_xlfn.XLOOKUP(Table43[[#This Row],[Column1]],#REF!,#REF!),0)</f>
        <v>0</v>
      </c>
      <c r="U465" s="50">
        <f>IFERROR(_xlfn.XLOOKUP(Table43[[#This Row],[Column1]],#REF!,#REF!),0)</f>
        <v>0</v>
      </c>
      <c r="V465" s="39"/>
    </row>
    <row r="466" spans="1:22" x14ac:dyDescent="0.35">
      <c r="A466" s="3" t="s">
        <v>5338</v>
      </c>
      <c r="B466" s="3" t="s">
        <v>1514</v>
      </c>
      <c r="C466" s="3" t="s">
        <v>15</v>
      </c>
      <c r="D466" s="3">
        <v>400</v>
      </c>
      <c r="E466" s="3" t="s">
        <v>10</v>
      </c>
      <c r="F466" s="3">
        <v>0</v>
      </c>
      <c r="G466" s="3">
        <v>2</v>
      </c>
      <c r="H466" s="3">
        <v>1</v>
      </c>
      <c r="I466" s="21">
        <f>Table43[[#This Row],[Item Cost]]*Table43[[#This Row],[In Stock]]</f>
        <v>400</v>
      </c>
      <c r="J466" s="12" t="s">
        <v>4941</v>
      </c>
      <c r="K466" s="13" t="s">
        <v>4666</v>
      </c>
      <c r="L466" s="13" t="s">
        <v>4693</v>
      </c>
      <c r="M466" s="13" t="s">
        <v>4777</v>
      </c>
      <c r="N466" s="12" t="s">
        <v>4672</v>
      </c>
      <c r="O466" s="17" t="str">
        <f>IF(LEN(COUNTIFS($J$1:J466,$J466,$K$1:K466,$K466,$L$1:L466,$L466,$M$1:M466,M466,$N$1:N466,N466))=1,"00"&amp;COUNTIFS($J$1:J466,$J466,$K$1:K466,$K466,$L$1:L466,$L466,$M$1:M466,M466,$N$1:N466,N466),IF(LEN(COUNTIFS($J$1:J466,$J466,$K$1:K466,$K466,$L$1:L466,$L466,$M$1:M466,M466,$N$1:N466,N466))=2,"0"&amp;COUNTIFS($J$1:J466,$J466,$K$1:K466,$K466,$L$1:L466,$L466,$M$1:M466,M466,$N$1:N466,N466),COUNTIFS($J$1:J466,$J466,$K$1:K466,$K466,$L$1:L466,$L466,$M$1:M466,M466,$N$1:N466,N466)))</f>
        <v>005</v>
      </c>
      <c r="P46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MS-NS-012-11-00005-INV</v>
      </c>
      <c r="Q466" s="59"/>
      <c r="R466" s="34" t="s">
        <v>6261</v>
      </c>
      <c r="S466" s="34" t="s">
        <v>1514</v>
      </c>
      <c r="T466" s="34">
        <f>+IFERROR(_xlfn.XLOOKUP(Table43[[#This Row],[Column1]],#REF!,#REF!),0)</f>
        <v>0</v>
      </c>
      <c r="U466" s="50">
        <f>IFERROR(_xlfn.XLOOKUP(Table43[[#This Row],[Column1]],#REF!,#REF!),0)</f>
        <v>0</v>
      </c>
      <c r="V466" s="39"/>
    </row>
    <row r="467" spans="1:22" x14ac:dyDescent="0.35">
      <c r="A467" s="3" t="s">
        <v>5339</v>
      </c>
      <c r="B467" s="2" t="s">
        <v>1516</v>
      </c>
      <c r="C467" s="2" t="s">
        <v>15</v>
      </c>
      <c r="D467" s="2">
        <v>350</v>
      </c>
      <c r="E467" s="2" t="s">
        <v>10</v>
      </c>
      <c r="F467" s="3">
        <v>0</v>
      </c>
      <c r="G467" s="3">
        <v>2</v>
      </c>
      <c r="H467" s="2">
        <v>15</v>
      </c>
      <c r="I467" s="22">
        <f>Table43[[#This Row],[Item Cost]]*Table43[[#This Row],[In Stock]]</f>
        <v>5250</v>
      </c>
      <c r="J467" s="12" t="s">
        <v>4941</v>
      </c>
      <c r="K467" s="13" t="s">
        <v>4666</v>
      </c>
      <c r="L467" s="13" t="s">
        <v>4693</v>
      </c>
      <c r="M467" s="13" t="s">
        <v>4777</v>
      </c>
      <c r="N467" s="12" t="s">
        <v>4672</v>
      </c>
      <c r="O467" s="17" t="str">
        <f>IF(LEN(COUNTIFS($J$1:J467,$J467,$K$1:K467,$K467,$L$1:L467,$L467,$M$1:M467,M467,$N$1:N467,N467))=1,"00"&amp;COUNTIFS($J$1:J467,$J467,$K$1:K467,$K467,$L$1:L467,$L467,$M$1:M467,M467,$N$1:N467,N467),IF(LEN(COUNTIFS($J$1:J467,$J467,$K$1:K467,$K467,$L$1:L467,$L467,$M$1:M467,M467,$N$1:N467,N467))=2,"0"&amp;COUNTIFS($J$1:J467,$J467,$K$1:K467,$K467,$L$1:L467,$L467,$M$1:M467,M467,$N$1:N467,N467),COUNTIFS($J$1:J467,$J467,$K$1:K467,$K467,$L$1:L467,$L467,$M$1:M467,M467,$N$1:N467,N467)))</f>
        <v>006</v>
      </c>
      <c r="P46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MS-NS-012-11-00006-INV</v>
      </c>
      <c r="Q467" s="59"/>
      <c r="R467" s="34" t="s">
        <v>6262</v>
      </c>
      <c r="S467" s="34" t="s">
        <v>1516</v>
      </c>
      <c r="T467" s="34">
        <f>+IFERROR(_xlfn.XLOOKUP(Table43[[#This Row],[Column1]],#REF!,#REF!),0)</f>
        <v>0</v>
      </c>
      <c r="U467" s="50">
        <f>IFERROR(_xlfn.XLOOKUP(Table43[[#This Row],[Column1]],#REF!,#REF!),0)</f>
        <v>0</v>
      </c>
      <c r="V467" s="39"/>
    </row>
    <row r="468" spans="1:22" x14ac:dyDescent="0.35">
      <c r="A468" s="3" t="s">
        <v>5340</v>
      </c>
      <c r="B468" s="3" t="s">
        <v>1518</v>
      </c>
      <c r="C468" s="3" t="s">
        <v>15</v>
      </c>
      <c r="D468" s="3">
        <v>250</v>
      </c>
      <c r="E468" s="3" t="s">
        <v>10</v>
      </c>
      <c r="F468" s="3">
        <v>0</v>
      </c>
      <c r="G468" s="3">
        <v>2</v>
      </c>
      <c r="H468" s="3">
        <v>3</v>
      </c>
      <c r="I468" s="21">
        <f>Table43[[#This Row],[Item Cost]]*Table43[[#This Row],[In Stock]]</f>
        <v>750</v>
      </c>
      <c r="J468" s="12" t="s">
        <v>4941</v>
      </c>
      <c r="K468" s="13" t="s">
        <v>4666</v>
      </c>
      <c r="L468" s="13" t="s">
        <v>4693</v>
      </c>
      <c r="M468" s="13" t="s">
        <v>4777</v>
      </c>
      <c r="N468" s="12" t="s">
        <v>4672</v>
      </c>
      <c r="O468" s="17" t="str">
        <f>IF(LEN(COUNTIFS($J$1:J468,$J468,$K$1:K468,$K468,$L$1:L468,$L468,$M$1:M468,M468,$N$1:N468,N468))=1,"00"&amp;COUNTIFS($J$1:J468,$J468,$K$1:K468,$K468,$L$1:L468,$L468,$M$1:M468,M468,$N$1:N468,N468),IF(LEN(COUNTIFS($J$1:J468,$J468,$K$1:K468,$K468,$L$1:L468,$L468,$M$1:M468,M468,$N$1:N468,N468))=2,"0"&amp;COUNTIFS($J$1:J468,$J468,$K$1:K468,$K468,$L$1:L468,$L468,$M$1:M468,M468,$N$1:N468,N468),COUNTIFS($J$1:J468,$J468,$K$1:K468,$K468,$L$1:L468,$L468,$M$1:M468,M468,$N$1:N468,N468)))</f>
        <v>007</v>
      </c>
      <c r="P46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MS-NS-012-11-00007-INV</v>
      </c>
      <c r="Q468" s="59"/>
      <c r="R468" s="34" t="s">
        <v>6263</v>
      </c>
      <c r="S468" s="34" t="s">
        <v>1518</v>
      </c>
      <c r="T468" s="34">
        <f>+IFERROR(_xlfn.XLOOKUP(Table43[[#This Row],[Column1]],#REF!,#REF!),0)</f>
        <v>0</v>
      </c>
      <c r="U468" s="50">
        <f>IFERROR(_xlfn.XLOOKUP(Table43[[#This Row],[Column1]],#REF!,#REF!),0)</f>
        <v>0</v>
      </c>
      <c r="V468" s="39"/>
    </row>
    <row r="469" spans="1:22" x14ac:dyDescent="0.35">
      <c r="A469" s="3" t="s">
        <v>5341</v>
      </c>
      <c r="B469" s="2" t="s">
        <v>1520</v>
      </c>
      <c r="C469" s="2" t="s">
        <v>15</v>
      </c>
      <c r="D469" s="2">
        <v>250</v>
      </c>
      <c r="E469" s="2" t="s">
        <v>10</v>
      </c>
      <c r="F469" s="3">
        <v>0</v>
      </c>
      <c r="G469" s="3">
        <v>2</v>
      </c>
      <c r="H469" s="2">
        <v>2</v>
      </c>
      <c r="I469" s="22">
        <f>Table43[[#This Row],[Item Cost]]*Table43[[#This Row],[In Stock]]</f>
        <v>500</v>
      </c>
      <c r="J469" s="12" t="s">
        <v>4941</v>
      </c>
      <c r="K469" s="13" t="s">
        <v>4666</v>
      </c>
      <c r="L469" s="13" t="s">
        <v>4693</v>
      </c>
      <c r="M469" s="13" t="s">
        <v>4777</v>
      </c>
      <c r="N469" s="12" t="s">
        <v>4672</v>
      </c>
      <c r="O469" s="17" t="str">
        <f>IF(LEN(COUNTIFS($J$1:J469,$J469,$K$1:K469,$K469,$L$1:L469,$L469,$M$1:M469,M469,$N$1:N469,N469))=1,"00"&amp;COUNTIFS($J$1:J469,$J469,$K$1:K469,$K469,$L$1:L469,$L469,$M$1:M469,M469,$N$1:N469,N469),IF(LEN(COUNTIFS($J$1:J469,$J469,$K$1:K469,$K469,$L$1:L469,$L469,$M$1:M469,M469,$N$1:N469,N469))=2,"0"&amp;COUNTIFS($J$1:J469,$J469,$K$1:K469,$K469,$L$1:L469,$L469,$M$1:M469,M469,$N$1:N469,N469),COUNTIFS($J$1:J469,$J469,$K$1:K469,$K469,$L$1:L469,$L469,$M$1:M469,M469,$N$1:N469,N469)))</f>
        <v>008</v>
      </c>
      <c r="P46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MS-NS-012-11-00008-INV</v>
      </c>
      <c r="Q469" s="59"/>
      <c r="R469" s="34" t="s">
        <v>6264</v>
      </c>
      <c r="S469" s="34" t="s">
        <v>1520</v>
      </c>
      <c r="T469" s="34">
        <f>+IFERROR(_xlfn.XLOOKUP(Table43[[#This Row],[Column1]],#REF!,#REF!),0)</f>
        <v>0</v>
      </c>
      <c r="U469" s="50">
        <f>IFERROR(_xlfn.XLOOKUP(Table43[[#This Row],[Column1]],#REF!,#REF!),0)</f>
        <v>0</v>
      </c>
      <c r="V469" s="39"/>
    </row>
    <row r="470" spans="1:22" x14ac:dyDescent="0.35">
      <c r="A470" s="3" t="s">
        <v>5342</v>
      </c>
      <c r="B470" s="3" t="s">
        <v>1522</v>
      </c>
      <c r="C470" s="3" t="s">
        <v>15</v>
      </c>
      <c r="D470" s="3">
        <v>250</v>
      </c>
      <c r="E470" s="3" t="s">
        <v>10</v>
      </c>
      <c r="F470" s="3">
        <v>0</v>
      </c>
      <c r="G470" s="3">
        <v>2</v>
      </c>
      <c r="H470" s="3">
        <v>5</v>
      </c>
      <c r="I470" s="21">
        <f>Table43[[#This Row],[Item Cost]]*Table43[[#This Row],[In Stock]]</f>
        <v>1250</v>
      </c>
      <c r="J470" s="12" t="s">
        <v>4941</v>
      </c>
      <c r="K470" s="13" t="s">
        <v>4666</v>
      </c>
      <c r="L470" s="13" t="s">
        <v>4693</v>
      </c>
      <c r="M470" s="13" t="s">
        <v>4777</v>
      </c>
      <c r="N470" s="12" t="s">
        <v>4672</v>
      </c>
      <c r="O470" s="17" t="str">
        <f>IF(LEN(COUNTIFS($J$1:J470,$J470,$K$1:K470,$K470,$L$1:L470,$L470,$M$1:M470,M470,$N$1:N470,N470))=1,"00"&amp;COUNTIFS($J$1:J470,$J470,$K$1:K470,$K470,$L$1:L470,$L470,$M$1:M470,M470,$N$1:N470,N470),IF(LEN(COUNTIFS($J$1:J470,$J470,$K$1:K470,$K470,$L$1:L470,$L470,$M$1:M470,M470,$N$1:N470,N470))=2,"0"&amp;COUNTIFS($J$1:J470,$J470,$K$1:K470,$K470,$L$1:L470,$L470,$M$1:M470,M470,$N$1:N470,N470),COUNTIFS($J$1:J470,$J470,$K$1:K470,$K470,$L$1:L470,$L470,$M$1:M470,M470,$N$1:N470,N470)))</f>
        <v>009</v>
      </c>
      <c r="P47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MS-NS-012-11-00009-INV</v>
      </c>
      <c r="Q470" s="59"/>
      <c r="R470" s="34" t="s">
        <v>6265</v>
      </c>
      <c r="S470" s="34" t="s">
        <v>1522</v>
      </c>
      <c r="T470" s="34">
        <f>+IFERROR(_xlfn.XLOOKUP(Table43[[#This Row],[Column1]],#REF!,#REF!),0)</f>
        <v>0</v>
      </c>
      <c r="U470" s="50">
        <f>IFERROR(_xlfn.XLOOKUP(Table43[[#This Row],[Column1]],#REF!,#REF!),0)</f>
        <v>0</v>
      </c>
      <c r="V470" s="39"/>
    </row>
    <row r="471" spans="1:22" x14ac:dyDescent="0.35">
      <c r="A471" s="3" t="s">
        <v>5343</v>
      </c>
      <c r="B471" s="2" t="s">
        <v>1524</v>
      </c>
      <c r="C471" s="2" t="s">
        <v>15</v>
      </c>
      <c r="D471" s="2">
        <v>250</v>
      </c>
      <c r="E471" s="2" t="s">
        <v>10</v>
      </c>
      <c r="F471" s="3">
        <v>0</v>
      </c>
      <c r="G471" s="3">
        <v>2</v>
      </c>
      <c r="H471" s="2">
        <v>1</v>
      </c>
      <c r="I471" s="22">
        <f>Table43[[#This Row],[Item Cost]]*Table43[[#This Row],[In Stock]]</f>
        <v>250</v>
      </c>
      <c r="J471" s="12" t="s">
        <v>4941</v>
      </c>
      <c r="K471" s="13" t="s">
        <v>4666</v>
      </c>
      <c r="L471" s="13" t="s">
        <v>4693</v>
      </c>
      <c r="M471" s="13" t="s">
        <v>4777</v>
      </c>
      <c r="N471" s="12" t="s">
        <v>4672</v>
      </c>
      <c r="O471" s="17" t="str">
        <f>IF(LEN(COUNTIFS($J$1:J471,$J471,$K$1:K471,$K471,$L$1:L471,$L471,$M$1:M471,M471,$N$1:N471,N471))=1,"00"&amp;COUNTIFS($J$1:J471,$J471,$K$1:K471,$K471,$L$1:L471,$L471,$M$1:M471,M471,$N$1:N471,N471),IF(LEN(COUNTIFS($J$1:J471,$J471,$K$1:K471,$K471,$L$1:L471,$L471,$M$1:M471,M471,$N$1:N471,N471))=2,"0"&amp;COUNTIFS($J$1:J471,$J471,$K$1:K471,$K471,$L$1:L471,$L471,$M$1:M471,M471,$N$1:N471,N471),COUNTIFS($J$1:J471,$J471,$K$1:K471,$K471,$L$1:L471,$L471,$M$1:M471,M471,$N$1:N471,N471)))</f>
        <v>010</v>
      </c>
      <c r="P47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MS-NS-012-11-00010-INV</v>
      </c>
      <c r="Q471" s="59"/>
      <c r="R471" s="34" t="s">
        <v>6266</v>
      </c>
      <c r="S471" s="34" t="s">
        <v>1524</v>
      </c>
      <c r="T471" s="34">
        <f>+IFERROR(_xlfn.XLOOKUP(Table43[[#This Row],[Column1]],#REF!,#REF!),0)</f>
        <v>0</v>
      </c>
      <c r="U471" s="50">
        <f>IFERROR(_xlfn.XLOOKUP(Table43[[#This Row],[Column1]],#REF!,#REF!),0)</f>
        <v>0</v>
      </c>
      <c r="V471" s="39"/>
    </row>
    <row r="472" spans="1:22" x14ac:dyDescent="0.35">
      <c r="A472" s="3" t="s">
        <v>5344</v>
      </c>
      <c r="B472" s="3" t="s">
        <v>1526</v>
      </c>
      <c r="C472" s="3" t="s">
        <v>15</v>
      </c>
      <c r="D472" s="3">
        <v>250</v>
      </c>
      <c r="E472" s="3" t="s">
        <v>10</v>
      </c>
      <c r="F472" s="3">
        <v>0</v>
      </c>
      <c r="G472" s="3">
        <v>2</v>
      </c>
      <c r="H472" s="3">
        <v>3</v>
      </c>
      <c r="I472" s="21">
        <f>Table43[[#This Row],[Item Cost]]*Table43[[#This Row],[In Stock]]</f>
        <v>750</v>
      </c>
      <c r="J472" s="12" t="s">
        <v>4941</v>
      </c>
      <c r="K472" s="13" t="s">
        <v>4666</v>
      </c>
      <c r="L472" s="13" t="s">
        <v>4693</v>
      </c>
      <c r="M472" s="13" t="s">
        <v>4777</v>
      </c>
      <c r="N472" s="12" t="s">
        <v>4672</v>
      </c>
      <c r="O472" s="17" t="str">
        <f>IF(LEN(COUNTIFS($J$1:J472,$J472,$K$1:K472,$K472,$L$1:L472,$L472,$M$1:M472,M472,$N$1:N472,N472))=1,"00"&amp;COUNTIFS($J$1:J472,$J472,$K$1:K472,$K472,$L$1:L472,$L472,$M$1:M472,M472,$N$1:N472,N472),IF(LEN(COUNTIFS($J$1:J472,$J472,$K$1:K472,$K472,$L$1:L472,$L472,$M$1:M472,M472,$N$1:N472,N472))=2,"0"&amp;COUNTIFS($J$1:J472,$J472,$K$1:K472,$K472,$L$1:L472,$L472,$M$1:M472,M472,$N$1:N472,N472),COUNTIFS($J$1:J472,$J472,$K$1:K472,$K472,$L$1:L472,$L472,$M$1:M472,M472,$N$1:N472,N472)))</f>
        <v>011</v>
      </c>
      <c r="P47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MS-NS-012-11-00011-INV</v>
      </c>
      <c r="Q472" s="59"/>
      <c r="R472" s="34" t="s">
        <v>6267</v>
      </c>
      <c r="S472" s="34" t="s">
        <v>1526</v>
      </c>
      <c r="T472" s="34">
        <f>+IFERROR(_xlfn.XLOOKUP(Table43[[#This Row],[Column1]],#REF!,#REF!),0)</f>
        <v>0</v>
      </c>
      <c r="U472" s="50">
        <f>IFERROR(_xlfn.XLOOKUP(Table43[[#This Row],[Column1]],#REF!,#REF!),0)</f>
        <v>0</v>
      </c>
      <c r="V472" s="39"/>
    </row>
    <row r="473" spans="1:22" x14ac:dyDescent="0.35">
      <c r="A473" s="3" t="s">
        <v>5345</v>
      </c>
      <c r="B473" s="2" t="s">
        <v>1528</v>
      </c>
      <c r="C473" s="2" t="s">
        <v>15</v>
      </c>
      <c r="D473" s="2">
        <v>250</v>
      </c>
      <c r="E473" s="2" t="s">
        <v>10</v>
      </c>
      <c r="F473" s="3">
        <v>0</v>
      </c>
      <c r="G473" s="3">
        <v>2</v>
      </c>
      <c r="H473" s="2">
        <v>1</v>
      </c>
      <c r="I473" s="22">
        <f>Table43[[#This Row],[Item Cost]]*Table43[[#This Row],[In Stock]]</f>
        <v>250</v>
      </c>
      <c r="J473" s="12" t="s">
        <v>4941</v>
      </c>
      <c r="K473" s="13" t="s">
        <v>4666</v>
      </c>
      <c r="L473" s="13" t="s">
        <v>4693</v>
      </c>
      <c r="M473" s="13" t="s">
        <v>4777</v>
      </c>
      <c r="N473" s="12" t="s">
        <v>4672</v>
      </c>
      <c r="O473" s="17" t="str">
        <f>IF(LEN(COUNTIFS($J$1:J473,$J473,$K$1:K473,$K473,$L$1:L473,$L473,$M$1:M473,M473,$N$1:N473,N473))=1,"00"&amp;COUNTIFS($J$1:J473,$J473,$K$1:K473,$K473,$L$1:L473,$L473,$M$1:M473,M473,$N$1:N473,N473),IF(LEN(COUNTIFS($J$1:J473,$J473,$K$1:K473,$K473,$L$1:L473,$L473,$M$1:M473,M473,$N$1:N473,N473))=2,"0"&amp;COUNTIFS($J$1:J473,$J473,$K$1:K473,$K473,$L$1:L473,$L473,$M$1:M473,M473,$N$1:N473,N473),COUNTIFS($J$1:J473,$J473,$K$1:K473,$K473,$L$1:L473,$L473,$M$1:M473,M473,$N$1:N473,N473)))</f>
        <v>012</v>
      </c>
      <c r="P47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MS-NS-012-11-00012-INV</v>
      </c>
      <c r="Q473" s="59"/>
      <c r="R473" s="34" t="s">
        <v>6268</v>
      </c>
      <c r="S473" s="34" t="s">
        <v>1528</v>
      </c>
      <c r="T473" s="34">
        <f>+IFERROR(_xlfn.XLOOKUP(Table43[[#This Row],[Column1]],#REF!,#REF!),0)</f>
        <v>0</v>
      </c>
      <c r="U473" s="50">
        <f>IFERROR(_xlfn.XLOOKUP(Table43[[#This Row],[Column1]],#REF!,#REF!),0)</f>
        <v>0</v>
      </c>
      <c r="V473" s="39"/>
    </row>
    <row r="474" spans="1:22" x14ac:dyDescent="0.35">
      <c r="A474" s="3" t="s">
        <v>5346</v>
      </c>
      <c r="B474" s="3" t="s">
        <v>1530</v>
      </c>
      <c r="C474" s="3" t="s">
        <v>15</v>
      </c>
      <c r="D474" s="3">
        <v>150</v>
      </c>
      <c r="E474" s="3" t="s">
        <v>10</v>
      </c>
      <c r="F474" s="3">
        <v>0</v>
      </c>
      <c r="G474" s="3">
        <v>2</v>
      </c>
      <c r="H474" s="3">
        <v>1</v>
      </c>
      <c r="I474" s="21">
        <f>Table43[[#This Row],[Item Cost]]*Table43[[#This Row],[In Stock]]</f>
        <v>150</v>
      </c>
      <c r="J474" s="12" t="s">
        <v>4941</v>
      </c>
      <c r="K474" s="13" t="s">
        <v>4666</v>
      </c>
      <c r="L474" s="13" t="s">
        <v>4693</v>
      </c>
      <c r="M474" s="13" t="s">
        <v>4777</v>
      </c>
      <c r="N474" s="12" t="s">
        <v>4672</v>
      </c>
      <c r="O474" s="17" t="str">
        <f>IF(LEN(COUNTIFS($J$1:J474,$J474,$K$1:K474,$K474,$L$1:L474,$L474,$M$1:M474,M474,$N$1:N474,N474))=1,"00"&amp;COUNTIFS($J$1:J474,$J474,$K$1:K474,$K474,$L$1:L474,$L474,$M$1:M474,M474,$N$1:N474,N474),IF(LEN(COUNTIFS($J$1:J474,$J474,$K$1:K474,$K474,$L$1:L474,$L474,$M$1:M474,M474,$N$1:N474,N474))=2,"0"&amp;COUNTIFS($J$1:J474,$J474,$K$1:K474,$K474,$L$1:L474,$L474,$M$1:M474,M474,$N$1:N474,N474),COUNTIFS($J$1:J474,$J474,$K$1:K474,$K474,$L$1:L474,$L474,$M$1:M474,M474,$N$1:N474,N474)))</f>
        <v>013</v>
      </c>
      <c r="P47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MS-NS-012-11-00013-INV</v>
      </c>
      <c r="Q474" s="59"/>
      <c r="R474" s="34" t="s">
        <v>6269</v>
      </c>
      <c r="S474" s="34" t="s">
        <v>1530</v>
      </c>
      <c r="T474" s="34">
        <f>+IFERROR(_xlfn.XLOOKUP(Table43[[#This Row],[Column1]],#REF!,#REF!),0)</f>
        <v>0</v>
      </c>
      <c r="U474" s="50">
        <f>IFERROR(_xlfn.XLOOKUP(Table43[[#This Row],[Column1]],#REF!,#REF!),0)</f>
        <v>0</v>
      </c>
      <c r="V474" s="39"/>
    </row>
    <row r="475" spans="1:22" x14ac:dyDescent="0.35">
      <c r="A475" s="3" t="s">
        <v>5347</v>
      </c>
      <c r="B475" s="2" t="s">
        <v>1532</v>
      </c>
      <c r="C475" s="2" t="s">
        <v>15</v>
      </c>
      <c r="D475" s="2">
        <v>125</v>
      </c>
      <c r="E475" s="2" t="s">
        <v>10</v>
      </c>
      <c r="F475" s="3">
        <v>0</v>
      </c>
      <c r="G475" s="3">
        <v>2</v>
      </c>
      <c r="H475" s="2">
        <v>2</v>
      </c>
      <c r="I475" s="22">
        <f>Table43[[#This Row],[Item Cost]]*Table43[[#This Row],[In Stock]]</f>
        <v>250</v>
      </c>
      <c r="J475" s="12" t="s">
        <v>4941</v>
      </c>
      <c r="K475" s="13" t="s">
        <v>4666</v>
      </c>
      <c r="L475" s="13" t="s">
        <v>4693</v>
      </c>
      <c r="M475" s="13" t="s">
        <v>4777</v>
      </c>
      <c r="N475" s="12" t="s">
        <v>4672</v>
      </c>
      <c r="O475" s="17" t="str">
        <f>IF(LEN(COUNTIFS($J$1:J475,$J475,$K$1:K475,$K475,$L$1:L475,$L475,$M$1:M475,M475,$N$1:N475,N475))=1,"00"&amp;COUNTIFS($J$1:J475,$J475,$K$1:K475,$K475,$L$1:L475,$L475,$M$1:M475,M475,$N$1:N475,N475),IF(LEN(COUNTIFS($J$1:J475,$J475,$K$1:K475,$K475,$L$1:L475,$L475,$M$1:M475,M475,$N$1:N475,N475))=2,"0"&amp;COUNTIFS($J$1:J475,$J475,$K$1:K475,$K475,$L$1:L475,$L475,$M$1:M475,M475,$N$1:N475,N475),COUNTIFS($J$1:J475,$J475,$K$1:K475,$K475,$L$1:L475,$L475,$M$1:M475,M475,$N$1:N475,N475)))</f>
        <v>014</v>
      </c>
      <c r="P47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MS-NS-012-11-00014-INV</v>
      </c>
      <c r="Q475" s="59"/>
      <c r="R475" s="34" t="s">
        <v>6270</v>
      </c>
      <c r="S475" s="34" t="s">
        <v>1532</v>
      </c>
      <c r="T475" s="34">
        <f>+IFERROR(_xlfn.XLOOKUP(Table43[[#This Row],[Column1]],#REF!,#REF!),0)</f>
        <v>0</v>
      </c>
      <c r="U475" s="50">
        <f>IFERROR(_xlfn.XLOOKUP(Table43[[#This Row],[Column1]],#REF!,#REF!),0)</f>
        <v>0</v>
      </c>
      <c r="V475" s="39"/>
    </row>
    <row r="476" spans="1:22" x14ac:dyDescent="0.35">
      <c r="A476" s="3" t="s">
        <v>5348</v>
      </c>
      <c r="B476" s="3" t="s">
        <v>1534</v>
      </c>
      <c r="C476" s="3" t="s">
        <v>15</v>
      </c>
      <c r="D476" s="3">
        <v>70</v>
      </c>
      <c r="E476" s="3" t="s">
        <v>10</v>
      </c>
      <c r="F476" s="3">
        <v>0</v>
      </c>
      <c r="G476" s="3">
        <v>2</v>
      </c>
      <c r="H476" s="3">
        <v>30</v>
      </c>
      <c r="I476" s="21">
        <f>Table43[[#This Row],[Item Cost]]*Table43[[#This Row],[In Stock]]</f>
        <v>2100</v>
      </c>
      <c r="J476" s="12" t="s">
        <v>4941</v>
      </c>
      <c r="K476" s="13" t="s">
        <v>4666</v>
      </c>
      <c r="L476" s="13" t="s">
        <v>4693</v>
      </c>
      <c r="M476" s="13" t="s">
        <v>4779</v>
      </c>
      <c r="N476" s="12" t="s">
        <v>4672</v>
      </c>
      <c r="O476" s="17" t="str">
        <f>IF(LEN(COUNTIFS($J$1:J476,$J476,$K$1:K476,$K476,$L$1:L476,$L476,$M$1:M476,M476,$N$1:N476,N476))=1,"00"&amp;COUNTIFS($J$1:J476,$J476,$K$1:K476,$K476,$L$1:L476,$L476,$M$1:M476,M476,$N$1:N476,N476),IF(LEN(COUNTIFS($J$1:J476,$J476,$K$1:K476,$K476,$L$1:L476,$L476,$M$1:M476,M476,$N$1:N476,N476))=2,"0"&amp;COUNTIFS($J$1:J476,$J476,$K$1:K476,$K476,$L$1:L476,$L476,$M$1:M476,M476,$N$1:N476,N476),COUNTIFS($J$1:J476,$J476,$K$1:K476,$K476,$L$1:L476,$L476,$M$1:M476,M476,$N$1:N476,N476)))</f>
        <v>005</v>
      </c>
      <c r="P47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MS-NS-012-14-00005-INV</v>
      </c>
      <c r="Q476" s="59"/>
      <c r="R476" s="34" t="s">
        <v>6271</v>
      </c>
      <c r="S476" s="34" t="s">
        <v>1534</v>
      </c>
      <c r="T476" s="34">
        <f>+IFERROR(_xlfn.XLOOKUP(Table43[[#This Row],[Column1]],#REF!,#REF!),0)</f>
        <v>0</v>
      </c>
      <c r="U476" s="50">
        <f>IFERROR(_xlfn.XLOOKUP(Table43[[#This Row],[Column1]],#REF!,#REF!),0)</f>
        <v>0</v>
      </c>
      <c r="V476" s="39"/>
    </row>
    <row r="477" spans="1:22" x14ac:dyDescent="0.35">
      <c r="A477" s="3" t="s">
        <v>5349</v>
      </c>
      <c r="B477" s="2" t="s">
        <v>1536</v>
      </c>
      <c r="C477" s="2" t="s">
        <v>15</v>
      </c>
      <c r="D477" s="2">
        <v>50</v>
      </c>
      <c r="E477" s="2" t="s">
        <v>10</v>
      </c>
      <c r="F477" s="3">
        <v>0</v>
      </c>
      <c r="G477" s="3">
        <v>2</v>
      </c>
      <c r="H477" s="2">
        <v>3</v>
      </c>
      <c r="I477" s="22">
        <f>Table43[[#This Row],[Item Cost]]*Table43[[#This Row],[In Stock]]</f>
        <v>150</v>
      </c>
      <c r="J477" s="12" t="s">
        <v>4941</v>
      </c>
      <c r="K477" s="13" t="s">
        <v>4666</v>
      </c>
      <c r="L477" s="13" t="s">
        <v>4693</v>
      </c>
      <c r="M477" s="13" t="s">
        <v>4693</v>
      </c>
      <c r="N477" s="12" t="s">
        <v>4672</v>
      </c>
      <c r="O477" s="17" t="str">
        <f>IF(LEN(COUNTIFS($J$1:J477,$J477,$K$1:K477,$K477,$L$1:L477,$L477,$M$1:M477,M477,$N$1:N477,N477))=1,"00"&amp;COUNTIFS($J$1:J477,$J477,$K$1:K477,$K477,$L$1:L477,$L477,$M$1:M477,M477,$N$1:N477,N477),IF(LEN(COUNTIFS($J$1:J477,$J477,$K$1:K477,$K477,$L$1:L477,$L477,$M$1:M477,M477,$N$1:N477,N477))=2,"0"&amp;COUNTIFS($J$1:J477,$J477,$K$1:K477,$K477,$L$1:L477,$L477,$M$1:M477,M477,$N$1:N477,N477),COUNTIFS($J$1:J477,$J477,$K$1:K477,$K477,$L$1:L477,$L477,$M$1:M477,M477,$N$1:N477,N477)))</f>
        <v>039</v>
      </c>
      <c r="P47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MS-NS-012-23-00039-INV</v>
      </c>
      <c r="Q477" s="59"/>
      <c r="R477" s="34" t="s">
        <v>6272</v>
      </c>
      <c r="S477" s="34" t="s">
        <v>1536</v>
      </c>
      <c r="T477" s="34">
        <f>+IFERROR(_xlfn.XLOOKUP(Table43[[#This Row],[Column1]],#REF!,#REF!),0)</f>
        <v>0</v>
      </c>
      <c r="U477" s="50">
        <f>IFERROR(_xlfn.XLOOKUP(Table43[[#This Row],[Column1]],#REF!,#REF!),0)</f>
        <v>0</v>
      </c>
      <c r="V477" s="39"/>
    </row>
    <row r="478" spans="1:22" x14ac:dyDescent="0.35">
      <c r="A478" s="3" t="s">
        <v>5350</v>
      </c>
      <c r="B478" s="3" t="s">
        <v>1538</v>
      </c>
      <c r="C478" s="3" t="s">
        <v>15</v>
      </c>
      <c r="D478" s="3">
        <v>150</v>
      </c>
      <c r="E478" s="3" t="s">
        <v>10</v>
      </c>
      <c r="F478" s="3">
        <v>0</v>
      </c>
      <c r="G478" s="3">
        <v>2</v>
      </c>
      <c r="H478" s="3">
        <v>1</v>
      </c>
      <c r="I478" s="21">
        <f>Table43[[#This Row],[Item Cost]]*Table43[[#This Row],[In Stock]]</f>
        <v>150</v>
      </c>
      <c r="J478" s="12" t="s">
        <v>4941</v>
      </c>
      <c r="K478" s="13" t="s">
        <v>4666</v>
      </c>
      <c r="L478" s="13" t="s">
        <v>4693</v>
      </c>
      <c r="M478" s="13" t="s">
        <v>4777</v>
      </c>
      <c r="N478" s="12" t="s">
        <v>4672</v>
      </c>
      <c r="O478" s="17" t="str">
        <f>IF(LEN(COUNTIFS($J$1:J478,$J478,$K$1:K478,$K478,$L$1:L478,$L478,$M$1:M478,M478,$N$1:N478,N478))=1,"00"&amp;COUNTIFS($J$1:J478,$J478,$K$1:K478,$K478,$L$1:L478,$L478,$M$1:M478,M478,$N$1:N478,N478),IF(LEN(COUNTIFS($J$1:J478,$J478,$K$1:K478,$K478,$L$1:L478,$L478,$M$1:M478,M478,$N$1:N478,N478))=2,"0"&amp;COUNTIFS($J$1:J478,$J478,$K$1:K478,$K478,$L$1:L478,$L478,$M$1:M478,M478,$N$1:N478,N478),COUNTIFS($J$1:J478,$J478,$K$1:K478,$K478,$L$1:L478,$L478,$M$1:M478,M478,$N$1:N478,N478)))</f>
        <v>015</v>
      </c>
      <c r="P47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MS-NS-012-11-00015-INV</v>
      </c>
      <c r="Q478" s="59"/>
      <c r="R478" s="34" t="s">
        <v>6273</v>
      </c>
      <c r="S478" s="34" t="s">
        <v>1538</v>
      </c>
      <c r="T478" s="34">
        <f>+IFERROR(_xlfn.XLOOKUP(Table43[[#This Row],[Column1]],#REF!,#REF!),0)</f>
        <v>0</v>
      </c>
      <c r="U478" s="50">
        <f>IFERROR(_xlfn.XLOOKUP(Table43[[#This Row],[Column1]],#REF!,#REF!),0)</f>
        <v>0</v>
      </c>
      <c r="V478" s="39"/>
    </row>
    <row r="479" spans="1:22" x14ac:dyDescent="0.35">
      <c r="A479" s="3" t="s">
        <v>5351</v>
      </c>
      <c r="B479" s="2" t="s">
        <v>1540</v>
      </c>
      <c r="C479" s="2" t="s">
        <v>15</v>
      </c>
      <c r="D479" s="2">
        <v>200</v>
      </c>
      <c r="E479" s="2" t="s">
        <v>10</v>
      </c>
      <c r="F479" s="3">
        <v>0</v>
      </c>
      <c r="G479" s="3">
        <v>2</v>
      </c>
      <c r="H479" s="2">
        <v>2</v>
      </c>
      <c r="I479" s="22">
        <f>Table43[[#This Row],[Item Cost]]*Table43[[#This Row],[In Stock]]</f>
        <v>400</v>
      </c>
      <c r="J479" s="12" t="s">
        <v>4941</v>
      </c>
      <c r="K479" s="13" t="s">
        <v>4666</v>
      </c>
      <c r="L479" s="13" t="s">
        <v>4693</v>
      </c>
      <c r="M479" s="13" t="s">
        <v>4777</v>
      </c>
      <c r="N479" s="12" t="s">
        <v>4672</v>
      </c>
      <c r="O479" s="17" t="str">
        <f>IF(LEN(COUNTIFS($J$1:J479,$J479,$K$1:K479,$K479,$L$1:L479,$L479,$M$1:M479,M479,$N$1:N479,N479))=1,"00"&amp;COUNTIFS($J$1:J479,$J479,$K$1:K479,$K479,$L$1:L479,$L479,$M$1:M479,M479,$N$1:N479,N479),IF(LEN(COUNTIFS($J$1:J479,$J479,$K$1:K479,$K479,$L$1:L479,$L479,$M$1:M479,M479,$N$1:N479,N479))=2,"0"&amp;COUNTIFS($J$1:J479,$J479,$K$1:K479,$K479,$L$1:L479,$L479,$M$1:M479,M479,$N$1:N479,N479),COUNTIFS($J$1:J479,$J479,$K$1:K479,$K479,$L$1:L479,$L479,$M$1:M479,M479,$N$1:N479,N479)))</f>
        <v>016</v>
      </c>
      <c r="P47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MS-NS-012-11-00016-INV</v>
      </c>
      <c r="Q479" s="59"/>
      <c r="R479" s="34" t="s">
        <v>6274</v>
      </c>
      <c r="S479" s="34" t="s">
        <v>1540</v>
      </c>
      <c r="T479" s="34">
        <f>+IFERROR(_xlfn.XLOOKUP(Table43[[#This Row],[Column1]],#REF!,#REF!),0)</f>
        <v>0</v>
      </c>
      <c r="U479" s="50">
        <f>IFERROR(_xlfn.XLOOKUP(Table43[[#This Row],[Column1]],#REF!,#REF!),0)</f>
        <v>0</v>
      </c>
      <c r="V479" s="39"/>
    </row>
    <row r="480" spans="1:22" x14ac:dyDescent="0.35">
      <c r="A480" s="3" t="s">
        <v>5352</v>
      </c>
      <c r="B480" s="3" t="s">
        <v>1542</v>
      </c>
      <c r="C480" s="3" t="s">
        <v>15</v>
      </c>
      <c r="D480" s="3">
        <v>200</v>
      </c>
      <c r="E480" s="3" t="s">
        <v>10</v>
      </c>
      <c r="F480" s="3">
        <v>0</v>
      </c>
      <c r="G480" s="3">
        <v>2</v>
      </c>
      <c r="H480" s="3">
        <v>2</v>
      </c>
      <c r="I480" s="21">
        <f>Table43[[#This Row],[Item Cost]]*Table43[[#This Row],[In Stock]]</f>
        <v>400</v>
      </c>
      <c r="J480" s="12" t="s">
        <v>4941</v>
      </c>
      <c r="K480" s="13" t="s">
        <v>4666</v>
      </c>
      <c r="L480" s="13" t="s">
        <v>4693</v>
      </c>
      <c r="M480" s="13" t="s">
        <v>4777</v>
      </c>
      <c r="N480" s="12" t="s">
        <v>4672</v>
      </c>
      <c r="O480" s="17" t="str">
        <f>IF(LEN(COUNTIFS($J$1:J480,$J480,$K$1:K480,$K480,$L$1:L480,$L480,$M$1:M480,M480,$N$1:N480,N480))=1,"00"&amp;COUNTIFS($J$1:J480,$J480,$K$1:K480,$K480,$L$1:L480,$L480,$M$1:M480,M480,$N$1:N480,N480),IF(LEN(COUNTIFS($J$1:J480,$J480,$K$1:K480,$K480,$L$1:L480,$L480,$M$1:M480,M480,$N$1:N480,N480))=2,"0"&amp;COUNTIFS($J$1:J480,$J480,$K$1:K480,$K480,$L$1:L480,$L480,$M$1:M480,M480,$N$1:N480,N480),COUNTIFS($J$1:J480,$J480,$K$1:K480,$K480,$L$1:L480,$L480,$M$1:M480,M480,$N$1:N480,N480)))</f>
        <v>017</v>
      </c>
      <c r="P48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MS-NS-012-11-00017-INV</v>
      </c>
      <c r="Q480" s="59"/>
      <c r="R480" s="34" t="s">
        <v>6275</v>
      </c>
      <c r="S480" s="34" t="s">
        <v>1542</v>
      </c>
      <c r="T480" s="34">
        <f>+IFERROR(_xlfn.XLOOKUP(Table43[[#This Row],[Column1]],#REF!,#REF!),0)</f>
        <v>0</v>
      </c>
      <c r="U480" s="50">
        <f>IFERROR(_xlfn.XLOOKUP(Table43[[#This Row],[Column1]],#REF!,#REF!),0)</f>
        <v>0</v>
      </c>
      <c r="V480" s="39"/>
    </row>
    <row r="481" spans="1:22" x14ac:dyDescent="0.35">
      <c r="A481" s="3" t="s">
        <v>5353</v>
      </c>
      <c r="B481" s="2" t="s">
        <v>1544</v>
      </c>
      <c r="C481" s="2" t="s">
        <v>15</v>
      </c>
      <c r="D481" s="2">
        <v>200</v>
      </c>
      <c r="E481" s="2" t="s">
        <v>10</v>
      </c>
      <c r="F481" s="3">
        <v>0</v>
      </c>
      <c r="G481" s="3">
        <v>2</v>
      </c>
      <c r="H481" s="2">
        <v>1</v>
      </c>
      <c r="I481" s="22">
        <f>Table43[[#This Row],[Item Cost]]*Table43[[#This Row],[In Stock]]</f>
        <v>200</v>
      </c>
      <c r="J481" s="12" t="s">
        <v>4941</v>
      </c>
      <c r="K481" s="13" t="s">
        <v>4666</v>
      </c>
      <c r="L481" s="13" t="s">
        <v>4693</v>
      </c>
      <c r="M481" s="13" t="s">
        <v>4777</v>
      </c>
      <c r="N481" s="12" t="s">
        <v>4672</v>
      </c>
      <c r="O481" s="17" t="str">
        <f>IF(LEN(COUNTIFS($J$1:J481,$J481,$K$1:K481,$K481,$L$1:L481,$L481,$M$1:M481,M481,$N$1:N481,N481))=1,"00"&amp;COUNTIFS($J$1:J481,$J481,$K$1:K481,$K481,$L$1:L481,$L481,$M$1:M481,M481,$N$1:N481,N481),IF(LEN(COUNTIFS($J$1:J481,$J481,$K$1:K481,$K481,$L$1:L481,$L481,$M$1:M481,M481,$N$1:N481,N481))=2,"0"&amp;COUNTIFS($J$1:J481,$J481,$K$1:K481,$K481,$L$1:L481,$L481,$M$1:M481,M481,$N$1:N481,N481),COUNTIFS($J$1:J481,$J481,$K$1:K481,$K481,$L$1:L481,$L481,$M$1:M481,M481,$N$1:N481,N481)))</f>
        <v>018</v>
      </c>
      <c r="P48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MS-NS-012-11-00018-INV</v>
      </c>
      <c r="Q481" s="59"/>
      <c r="R481" s="34" t="s">
        <v>6276</v>
      </c>
      <c r="S481" s="34" t="s">
        <v>1544</v>
      </c>
      <c r="T481" s="34">
        <f>+IFERROR(_xlfn.XLOOKUP(Table43[[#This Row],[Column1]],#REF!,#REF!),0)</f>
        <v>0</v>
      </c>
      <c r="U481" s="50">
        <f>IFERROR(_xlfn.XLOOKUP(Table43[[#This Row],[Column1]],#REF!,#REF!),0)</f>
        <v>0</v>
      </c>
      <c r="V481" s="39"/>
    </row>
    <row r="482" spans="1:22" x14ac:dyDescent="0.35">
      <c r="A482" s="3" t="s">
        <v>5354</v>
      </c>
      <c r="B482" s="3" t="s">
        <v>1546</v>
      </c>
      <c r="C482" s="3" t="s">
        <v>15</v>
      </c>
      <c r="D482" s="3">
        <v>40.799999999999997</v>
      </c>
      <c r="E482" s="3" t="s">
        <v>10</v>
      </c>
      <c r="F482" s="3">
        <v>0</v>
      </c>
      <c r="G482" s="3">
        <v>2</v>
      </c>
      <c r="H482" s="3">
        <v>25</v>
      </c>
      <c r="I482" s="21">
        <f>Table43[[#This Row],[Item Cost]]*Table43[[#This Row],[In Stock]]</f>
        <v>1019.9999999999999</v>
      </c>
      <c r="J482" s="12" t="s">
        <v>4941</v>
      </c>
      <c r="K482" s="13" t="s">
        <v>4666</v>
      </c>
      <c r="L482" s="13" t="s">
        <v>4693</v>
      </c>
      <c r="M482" s="13" t="s">
        <v>4779</v>
      </c>
      <c r="N482" s="12" t="s">
        <v>4672</v>
      </c>
      <c r="O482" s="17" t="str">
        <f>IF(LEN(COUNTIFS($J$1:J482,$J482,$K$1:K482,$K482,$L$1:L482,$L482,$M$1:M482,M482,$N$1:N482,N482))=1,"00"&amp;COUNTIFS($J$1:J482,$J482,$K$1:K482,$K482,$L$1:L482,$L482,$M$1:M482,M482,$N$1:N482,N482),IF(LEN(COUNTIFS($J$1:J482,$J482,$K$1:K482,$K482,$L$1:L482,$L482,$M$1:M482,M482,$N$1:N482,N482))=2,"0"&amp;COUNTIFS($J$1:J482,$J482,$K$1:K482,$K482,$L$1:L482,$L482,$M$1:M482,M482,$N$1:N482,N482),COUNTIFS($J$1:J482,$J482,$K$1:K482,$K482,$L$1:L482,$L482,$M$1:M482,M482,$N$1:N482,N482)))</f>
        <v>006</v>
      </c>
      <c r="P48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MS-NS-012-14-00006-INV</v>
      </c>
      <c r="Q482" s="59"/>
      <c r="R482" s="34" t="s">
        <v>6277</v>
      </c>
      <c r="S482" s="34" t="s">
        <v>1546</v>
      </c>
      <c r="T482" s="34">
        <f>+IFERROR(_xlfn.XLOOKUP(Table43[[#This Row],[Column1]],#REF!,#REF!),0)</f>
        <v>0</v>
      </c>
      <c r="U482" s="50">
        <f>IFERROR(_xlfn.XLOOKUP(Table43[[#This Row],[Column1]],#REF!,#REF!),0)</f>
        <v>0</v>
      </c>
      <c r="V482" s="39"/>
    </row>
    <row r="483" spans="1:22" x14ac:dyDescent="0.35">
      <c r="A483" s="3" t="s">
        <v>5355</v>
      </c>
      <c r="B483" s="2" t="s">
        <v>1548</v>
      </c>
      <c r="C483" s="2" t="s">
        <v>15</v>
      </c>
      <c r="D483" s="2">
        <v>65.682000000000002</v>
      </c>
      <c r="E483" s="2" t="s">
        <v>10</v>
      </c>
      <c r="F483" s="3">
        <v>0</v>
      </c>
      <c r="G483" s="3">
        <v>2</v>
      </c>
      <c r="H483" s="2">
        <v>9</v>
      </c>
      <c r="I483" s="22">
        <f>Table43[[#This Row],[Item Cost]]*Table43[[#This Row],[In Stock]]</f>
        <v>591.13800000000003</v>
      </c>
      <c r="J483" s="12" t="s">
        <v>4941</v>
      </c>
      <c r="K483" s="13" t="s">
        <v>4666</v>
      </c>
      <c r="L483" s="13" t="s">
        <v>4693</v>
      </c>
      <c r="M483" s="13" t="s">
        <v>4775</v>
      </c>
      <c r="N483" s="12" t="s">
        <v>4672</v>
      </c>
      <c r="O483" s="17" t="str">
        <f>IF(LEN(COUNTIFS($J$1:J483,$J483,$K$1:K483,$K483,$L$1:L483,$L483,$M$1:M483,M483,$N$1:N483,N483))=1,"00"&amp;COUNTIFS($J$1:J483,$J483,$K$1:K483,$K483,$L$1:L483,$L483,$M$1:M483,M483,$N$1:N483,N483),IF(LEN(COUNTIFS($J$1:J483,$J483,$K$1:K483,$K483,$L$1:L483,$L483,$M$1:M483,M483,$N$1:N483,N483))=2,"0"&amp;COUNTIFS($J$1:J483,$J483,$K$1:K483,$K483,$L$1:L483,$L483,$M$1:M483,M483,$N$1:N483,N483),COUNTIFS($J$1:J483,$J483,$K$1:K483,$K483,$L$1:L483,$L483,$M$1:M483,M483,$N$1:N483,N483)))</f>
        <v>008</v>
      </c>
      <c r="P48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MS-NS-012-09-00008-INV</v>
      </c>
      <c r="Q483" s="59"/>
      <c r="R483" s="34" t="s">
        <v>6278</v>
      </c>
      <c r="S483" s="34" t="s">
        <v>1548</v>
      </c>
      <c r="T483" s="34">
        <f>+IFERROR(_xlfn.XLOOKUP(Table43[[#This Row],[Column1]],#REF!,#REF!),0)</f>
        <v>0</v>
      </c>
      <c r="U483" s="50">
        <f>IFERROR(_xlfn.XLOOKUP(Table43[[#This Row],[Column1]],#REF!,#REF!),0)</f>
        <v>0</v>
      </c>
      <c r="V483" s="39"/>
    </row>
    <row r="484" spans="1:22" x14ac:dyDescent="0.35">
      <c r="A484" s="3" t="s">
        <v>5356</v>
      </c>
      <c r="B484" s="3" t="s">
        <v>1550</v>
      </c>
      <c r="C484" s="3" t="s">
        <v>15</v>
      </c>
      <c r="D484" s="3">
        <v>153.57</v>
      </c>
      <c r="E484" s="3" t="s">
        <v>10</v>
      </c>
      <c r="F484" s="3">
        <v>0</v>
      </c>
      <c r="G484" s="3">
        <v>2</v>
      </c>
      <c r="H484" s="3">
        <v>2</v>
      </c>
      <c r="I484" s="21">
        <f>Table43[[#This Row],[Item Cost]]*Table43[[#This Row],[In Stock]]</f>
        <v>307.14</v>
      </c>
      <c r="J484" s="12" t="s">
        <v>4941</v>
      </c>
      <c r="K484" s="13" t="s">
        <v>4666</v>
      </c>
      <c r="L484" s="13" t="s">
        <v>4693</v>
      </c>
      <c r="M484" s="13" t="s">
        <v>4693</v>
      </c>
      <c r="N484" s="12" t="s">
        <v>4672</v>
      </c>
      <c r="O484" s="17" t="str">
        <f>IF(LEN(COUNTIFS($J$1:J484,$J484,$K$1:K484,$K484,$L$1:L484,$L484,$M$1:M484,M484,$N$1:N484,N484))=1,"00"&amp;COUNTIFS($J$1:J484,$J484,$K$1:K484,$K484,$L$1:L484,$L484,$M$1:M484,M484,$N$1:N484,N484),IF(LEN(COUNTIFS($J$1:J484,$J484,$K$1:K484,$K484,$L$1:L484,$L484,$M$1:M484,M484,$N$1:N484,N484))=2,"0"&amp;COUNTIFS($J$1:J484,$J484,$K$1:K484,$K484,$L$1:L484,$L484,$M$1:M484,M484,$N$1:N484,N484),COUNTIFS($J$1:J484,$J484,$K$1:K484,$K484,$L$1:L484,$L484,$M$1:M484,M484,$N$1:N484,N484)))</f>
        <v>040</v>
      </c>
      <c r="P48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MS-NS-012-23-00040-INV</v>
      </c>
      <c r="Q484" s="59"/>
      <c r="R484" s="34" t="s">
        <v>6279</v>
      </c>
      <c r="S484" s="34" t="s">
        <v>1550</v>
      </c>
      <c r="T484" s="34">
        <f>+IFERROR(_xlfn.XLOOKUP(Table43[[#This Row],[Column1]],#REF!,#REF!),0)</f>
        <v>0</v>
      </c>
      <c r="U484" s="50">
        <f>IFERROR(_xlfn.XLOOKUP(Table43[[#This Row],[Column1]],#REF!,#REF!),0)</f>
        <v>0</v>
      </c>
      <c r="V484" s="39"/>
    </row>
    <row r="485" spans="1:22" x14ac:dyDescent="0.35">
      <c r="A485" s="3" t="s">
        <v>5357</v>
      </c>
      <c r="B485" s="2" t="s">
        <v>1552</v>
      </c>
      <c r="C485" s="2" t="s">
        <v>15</v>
      </c>
      <c r="D485" s="4">
        <v>1000</v>
      </c>
      <c r="E485" s="2" t="s">
        <v>10</v>
      </c>
      <c r="F485" s="3">
        <v>0</v>
      </c>
      <c r="G485" s="3">
        <v>2</v>
      </c>
      <c r="H485" s="2">
        <v>1</v>
      </c>
      <c r="I485" s="22">
        <f>Table43[[#This Row],[Item Cost]]*Table43[[#This Row],[In Stock]]</f>
        <v>1000</v>
      </c>
      <c r="J485" s="12" t="s">
        <v>4941</v>
      </c>
      <c r="K485" s="13" t="s">
        <v>4666</v>
      </c>
      <c r="L485" s="13" t="s">
        <v>4693</v>
      </c>
      <c r="M485" s="13" t="s">
        <v>4693</v>
      </c>
      <c r="N485" s="12" t="s">
        <v>4672</v>
      </c>
      <c r="O485" s="17" t="str">
        <f>IF(LEN(COUNTIFS($J$1:J485,$J485,$K$1:K485,$K485,$L$1:L485,$L485,$M$1:M485,M485,$N$1:N485,N485))=1,"00"&amp;COUNTIFS($J$1:J485,$J485,$K$1:K485,$K485,$L$1:L485,$L485,$M$1:M485,M485,$N$1:N485,N485),IF(LEN(COUNTIFS($J$1:J485,$J485,$K$1:K485,$K485,$L$1:L485,$L485,$M$1:M485,M485,$N$1:N485,N485))=2,"0"&amp;COUNTIFS($J$1:J485,$J485,$K$1:K485,$K485,$L$1:L485,$L485,$M$1:M485,M485,$N$1:N485,N485),COUNTIFS($J$1:J485,$J485,$K$1:K485,$K485,$L$1:L485,$L485,$M$1:M485,M485,$N$1:N485,N485)))</f>
        <v>041</v>
      </c>
      <c r="P48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MS-NS-012-23-00041-INV</v>
      </c>
      <c r="Q485" s="59"/>
      <c r="R485" s="34" t="s">
        <v>6280</v>
      </c>
      <c r="S485" s="34" t="s">
        <v>1552</v>
      </c>
      <c r="T485" s="34">
        <f>+IFERROR(_xlfn.XLOOKUP(Table43[[#This Row],[Column1]],#REF!,#REF!),0)</f>
        <v>0</v>
      </c>
      <c r="U485" s="50">
        <f>IFERROR(_xlfn.XLOOKUP(Table43[[#This Row],[Column1]],#REF!,#REF!),0)</f>
        <v>0</v>
      </c>
      <c r="V485" s="39"/>
    </row>
    <row r="486" spans="1:22" x14ac:dyDescent="0.35">
      <c r="A486" s="3" t="s">
        <v>5358</v>
      </c>
      <c r="B486" s="3" t="s">
        <v>1554</v>
      </c>
      <c r="C486" s="3" t="s">
        <v>15</v>
      </c>
      <c r="D486" s="3">
        <v>20</v>
      </c>
      <c r="E486" s="3" t="s">
        <v>10</v>
      </c>
      <c r="F486" s="3">
        <v>0</v>
      </c>
      <c r="G486" s="3">
        <v>2</v>
      </c>
      <c r="H486" s="3">
        <v>48</v>
      </c>
      <c r="I486" s="21">
        <f>Table43[[#This Row],[Item Cost]]*Table43[[#This Row],[In Stock]]</f>
        <v>960</v>
      </c>
      <c r="J486" s="12" t="s">
        <v>4941</v>
      </c>
      <c r="K486" s="13" t="s">
        <v>4666</v>
      </c>
      <c r="L486" s="13" t="s">
        <v>4693</v>
      </c>
      <c r="M486" s="13" t="s">
        <v>4693</v>
      </c>
      <c r="N486" s="12" t="s">
        <v>4672</v>
      </c>
      <c r="O486" s="17" t="str">
        <f>IF(LEN(COUNTIFS($J$1:J486,$J486,$K$1:K486,$K486,$L$1:L486,$L486,$M$1:M486,M486,$N$1:N486,N486))=1,"00"&amp;COUNTIFS($J$1:J486,$J486,$K$1:K486,$K486,$L$1:L486,$L486,$M$1:M486,M486,$N$1:N486,N486),IF(LEN(COUNTIFS($J$1:J486,$J486,$K$1:K486,$K486,$L$1:L486,$L486,$M$1:M486,M486,$N$1:N486,N486))=2,"0"&amp;COUNTIFS($J$1:J486,$J486,$K$1:K486,$K486,$L$1:L486,$L486,$M$1:M486,M486,$N$1:N486,N486),COUNTIFS($J$1:J486,$J486,$K$1:K486,$K486,$L$1:L486,$L486,$M$1:M486,M486,$N$1:N486,N486)))</f>
        <v>042</v>
      </c>
      <c r="P48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MS-NS-012-23-00042-INV</v>
      </c>
      <c r="Q486" s="59"/>
      <c r="R486" s="34" t="s">
        <v>6281</v>
      </c>
      <c r="S486" s="34" t="s">
        <v>1554</v>
      </c>
      <c r="T486" s="34">
        <f>+IFERROR(_xlfn.XLOOKUP(Table43[[#This Row],[Column1]],#REF!,#REF!),0)</f>
        <v>0</v>
      </c>
      <c r="U486" s="50">
        <f>IFERROR(_xlfn.XLOOKUP(Table43[[#This Row],[Column1]],#REF!,#REF!),0)</f>
        <v>0</v>
      </c>
      <c r="V486" s="39"/>
    </row>
    <row r="487" spans="1:22" x14ac:dyDescent="0.35">
      <c r="A487" s="3" t="s">
        <v>5359</v>
      </c>
      <c r="B487" s="2" t="s">
        <v>1556</v>
      </c>
      <c r="C487" s="2" t="s">
        <v>15</v>
      </c>
      <c r="D487" s="2">
        <v>35</v>
      </c>
      <c r="E487" s="2" t="s">
        <v>10</v>
      </c>
      <c r="F487" s="3">
        <v>0</v>
      </c>
      <c r="G487" s="3">
        <v>2</v>
      </c>
      <c r="H487" s="2">
        <v>40</v>
      </c>
      <c r="I487" s="22">
        <f>Table43[[#This Row],[Item Cost]]*Table43[[#This Row],[In Stock]]</f>
        <v>1400</v>
      </c>
      <c r="J487" s="12" t="s">
        <v>4941</v>
      </c>
      <c r="K487" s="13" t="s">
        <v>4666</v>
      </c>
      <c r="L487" s="13" t="s">
        <v>4693</v>
      </c>
      <c r="M487" s="13" t="s">
        <v>4693</v>
      </c>
      <c r="N487" s="12" t="s">
        <v>4672</v>
      </c>
      <c r="O487" s="17" t="str">
        <f>IF(LEN(COUNTIFS($J$1:J487,$J487,$K$1:K487,$K487,$L$1:L487,$L487,$M$1:M487,M487,$N$1:N487,N487))=1,"00"&amp;COUNTIFS($J$1:J487,$J487,$K$1:K487,$K487,$L$1:L487,$L487,$M$1:M487,M487,$N$1:N487,N487),IF(LEN(COUNTIFS($J$1:J487,$J487,$K$1:K487,$K487,$L$1:L487,$L487,$M$1:M487,M487,$N$1:N487,N487))=2,"0"&amp;COUNTIFS($J$1:J487,$J487,$K$1:K487,$K487,$L$1:L487,$L487,$M$1:M487,M487,$N$1:N487,N487),COUNTIFS($J$1:J487,$J487,$K$1:K487,$K487,$L$1:L487,$L487,$M$1:M487,M487,$N$1:N487,N487)))</f>
        <v>043</v>
      </c>
      <c r="P48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MS-NS-012-23-00043-INV</v>
      </c>
      <c r="Q487" s="59"/>
      <c r="R487" s="34" t="s">
        <v>6282</v>
      </c>
      <c r="S487" s="34" t="s">
        <v>1556</v>
      </c>
      <c r="T487" s="34">
        <f>+IFERROR(_xlfn.XLOOKUP(Table43[[#This Row],[Column1]],#REF!,#REF!),0)</f>
        <v>0</v>
      </c>
      <c r="U487" s="50">
        <f>IFERROR(_xlfn.XLOOKUP(Table43[[#This Row],[Column1]],#REF!,#REF!),0)</f>
        <v>0</v>
      </c>
      <c r="V487" s="39"/>
    </row>
    <row r="488" spans="1:22" x14ac:dyDescent="0.35">
      <c r="A488" s="3" t="s">
        <v>5360</v>
      </c>
      <c r="B488" s="3" t="s">
        <v>1558</v>
      </c>
      <c r="C488" s="3" t="s">
        <v>15</v>
      </c>
      <c r="D488" s="3">
        <v>50</v>
      </c>
      <c r="E488" s="3" t="s">
        <v>10</v>
      </c>
      <c r="F488" s="3">
        <v>0</v>
      </c>
      <c r="G488" s="3">
        <v>2</v>
      </c>
      <c r="H488" s="3">
        <v>10</v>
      </c>
      <c r="I488" s="21">
        <f>Table43[[#This Row],[Item Cost]]*Table43[[#This Row],[In Stock]]</f>
        <v>500</v>
      </c>
      <c r="J488" s="12" t="s">
        <v>4941</v>
      </c>
      <c r="K488" s="13" t="s">
        <v>4666</v>
      </c>
      <c r="L488" s="13" t="s">
        <v>4693</v>
      </c>
      <c r="M488" s="13" t="s">
        <v>4693</v>
      </c>
      <c r="N488" s="12" t="s">
        <v>4672</v>
      </c>
      <c r="O488" s="17" t="str">
        <f>IF(LEN(COUNTIFS($J$1:J488,$J488,$K$1:K488,$K488,$L$1:L488,$L488,$M$1:M488,M488,$N$1:N488,N488))=1,"00"&amp;COUNTIFS($J$1:J488,$J488,$K$1:K488,$K488,$L$1:L488,$L488,$M$1:M488,M488,$N$1:N488,N488),IF(LEN(COUNTIFS($J$1:J488,$J488,$K$1:K488,$K488,$L$1:L488,$L488,$M$1:M488,M488,$N$1:N488,N488))=2,"0"&amp;COUNTIFS($J$1:J488,$J488,$K$1:K488,$K488,$L$1:L488,$L488,$M$1:M488,M488,$N$1:N488,N488),COUNTIFS($J$1:J488,$J488,$K$1:K488,$K488,$L$1:L488,$L488,$M$1:M488,M488,$N$1:N488,N488)))</f>
        <v>044</v>
      </c>
      <c r="P48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MS-NS-012-23-00044-INV</v>
      </c>
      <c r="Q488" s="59"/>
      <c r="R488" s="34" t="s">
        <v>6283</v>
      </c>
      <c r="S488" s="34" t="s">
        <v>1558</v>
      </c>
      <c r="T488" s="34">
        <f>+IFERROR(_xlfn.XLOOKUP(Table43[[#This Row],[Column1]],#REF!,#REF!),0)</f>
        <v>0</v>
      </c>
      <c r="U488" s="50">
        <f>IFERROR(_xlfn.XLOOKUP(Table43[[#This Row],[Column1]],#REF!,#REF!),0)</f>
        <v>0</v>
      </c>
      <c r="V488" s="39"/>
    </row>
    <row r="489" spans="1:22" x14ac:dyDescent="0.35">
      <c r="A489" s="3" t="s">
        <v>5361</v>
      </c>
      <c r="B489" s="3" t="s">
        <v>1562</v>
      </c>
      <c r="C489" s="3" t="s">
        <v>15</v>
      </c>
      <c r="D489" s="3">
        <v>15</v>
      </c>
      <c r="E489" s="3" t="s">
        <v>10</v>
      </c>
      <c r="F489" s="3">
        <v>0</v>
      </c>
      <c r="G489" s="3">
        <v>2</v>
      </c>
      <c r="H489" s="3">
        <v>6</v>
      </c>
      <c r="I489" s="21">
        <f>Table43[[#This Row],[Item Cost]]*Table43[[#This Row],[In Stock]]</f>
        <v>90</v>
      </c>
      <c r="J489" s="12" t="s">
        <v>4941</v>
      </c>
      <c r="K489" s="13" t="s">
        <v>4666</v>
      </c>
      <c r="L489" s="13" t="s">
        <v>4693</v>
      </c>
      <c r="M489" s="13" t="s">
        <v>4775</v>
      </c>
      <c r="N489" s="12" t="s">
        <v>4672</v>
      </c>
      <c r="O489" s="17" t="str">
        <f>IF(LEN(COUNTIFS($J$1:J489,$J489,$K$1:K489,$K489,$L$1:L489,$L489,$M$1:M489,M489,$N$1:N489,N489))=1,"00"&amp;COUNTIFS($J$1:J489,$J489,$K$1:K489,$K489,$L$1:L489,$L489,$M$1:M489,M489,$N$1:N489,N489),IF(LEN(COUNTIFS($J$1:J489,$J489,$K$1:K489,$K489,$L$1:L489,$L489,$M$1:M489,M489,$N$1:N489,N489))=2,"0"&amp;COUNTIFS($J$1:J489,$J489,$K$1:K489,$K489,$L$1:L489,$L489,$M$1:M489,M489,$N$1:N489,N489),COUNTIFS($J$1:J489,$J489,$K$1:K489,$K489,$L$1:L489,$L489,$M$1:M489,M489,$N$1:N489,N489)))</f>
        <v>009</v>
      </c>
      <c r="P48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MS-NS-012-09-00009-INV</v>
      </c>
      <c r="Q489" s="59"/>
      <c r="R489" s="34" t="s">
        <v>6284</v>
      </c>
      <c r="S489" s="34" t="s">
        <v>1562</v>
      </c>
      <c r="T489" s="34">
        <f>+IFERROR(_xlfn.XLOOKUP(Table43[[#This Row],[Column1]],#REF!,#REF!),0)</f>
        <v>0</v>
      </c>
      <c r="U489" s="50">
        <f>IFERROR(_xlfn.XLOOKUP(Table43[[#This Row],[Column1]],#REF!,#REF!),0)</f>
        <v>0</v>
      </c>
      <c r="V489" s="39"/>
    </row>
    <row r="490" spans="1:22" x14ac:dyDescent="0.35">
      <c r="A490" s="3" t="s">
        <v>5362</v>
      </c>
      <c r="B490" s="2" t="s">
        <v>1564</v>
      </c>
      <c r="C490" s="2" t="s">
        <v>15</v>
      </c>
      <c r="D490" s="2">
        <v>50</v>
      </c>
      <c r="E490" s="2" t="s">
        <v>10</v>
      </c>
      <c r="F490" s="3">
        <v>0</v>
      </c>
      <c r="G490" s="3">
        <v>2</v>
      </c>
      <c r="H490" s="2">
        <v>6</v>
      </c>
      <c r="I490" s="22">
        <f>Table43[[#This Row],[Item Cost]]*Table43[[#This Row],[In Stock]]</f>
        <v>300</v>
      </c>
      <c r="J490" s="12" t="s">
        <v>4941</v>
      </c>
      <c r="K490" s="13" t="s">
        <v>4666</v>
      </c>
      <c r="L490" s="13" t="s">
        <v>4693</v>
      </c>
      <c r="M490" s="13" t="s">
        <v>4693</v>
      </c>
      <c r="N490" s="12" t="s">
        <v>4672</v>
      </c>
      <c r="O490" s="17" t="str">
        <f>IF(LEN(COUNTIFS($J$1:J490,$J490,$K$1:K490,$K490,$L$1:L490,$L490,$M$1:M490,M490,$N$1:N490,N490))=1,"00"&amp;COUNTIFS($J$1:J490,$J490,$K$1:K490,$K490,$L$1:L490,$L490,$M$1:M490,M490,$N$1:N490,N490),IF(LEN(COUNTIFS($J$1:J490,$J490,$K$1:K490,$K490,$L$1:L490,$L490,$M$1:M490,M490,$N$1:N490,N490))=2,"0"&amp;COUNTIFS($J$1:J490,$J490,$K$1:K490,$K490,$L$1:L490,$L490,$M$1:M490,M490,$N$1:N490,N490),COUNTIFS($J$1:J490,$J490,$K$1:K490,$K490,$L$1:L490,$L490,$M$1:M490,M490,$N$1:N490,N490)))</f>
        <v>045</v>
      </c>
      <c r="P49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MS-NS-012-23-00045-INV</v>
      </c>
      <c r="Q490" s="59"/>
      <c r="R490" s="34" t="s">
        <v>6285</v>
      </c>
      <c r="S490" s="34" t="s">
        <v>1564</v>
      </c>
      <c r="T490" s="34">
        <f>+IFERROR(_xlfn.XLOOKUP(Table43[[#This Row],[Column1]],#REF!,#REF!),0)</f>
        <v>0</v>
      </c>
      <c r="U490" s="50">
        <f>IFERROR(_xlfn.XLOOKUP(Table43[[#This Row],[Column1]],#REF!,#REF!),0)</f>
        <v>0</v>
      </c>
      <c r="V490" s="39"/>
    </row>
    <row r="491" spans="1:22" x14ac:dyDescent="0.35">
      <c r="A491" s="3" t="s">
        <v>5363</v>
      </c>
      <c r="B491" s="2" t="s">
        <v>1580</v>
      </c>
      <c r="C491" s="2" t="s">
        <v>15</v>
      </c>
      <c r="D491" s="4">
        <v>1150</v>
      </c>
      <c r="E491" s="2" t="s">
        <v>10</v>
      </c>
      <c r="F491" s="3">
        <v>0</v>
      </c>
      <c r="G491" s="3">
        <v>2</v>
      </c>
      <c r="H491" s="2">
        <v>0</v>
      </c>
      <c r="I491" s="22">
        <f>Table43[[#This Row],[Item Cost]]*Table43[[#This Row],[In Stock]]</f>
        <v>0</v>
      </c>
      <c r="J491" s="12" t="s">
        <v>4941</v>
      </c>
      <c r="K491" s="13" t="s">
        <v>4666</v>
      </c>
      <c r="L491" s="13" t="s">
        <v>4693</v>
      </c>
      <c r="M491" s="13" t="s">
        <v>4833</v>
      </c>
      <c r="N491" s="12" t="s">
        <v>4672</v>
      </c>
      <c r="O491" s="17" t="str">
        <f>IF(LEN(COUNTIFS($J$1:J491,$J491,$K$1:K491,$K491,$L$1:L491,$L491,$M$1:M491,M491,$N$1:N491,N491))=1,"00"&amp;COUNTIFS($J$1:J491,$J491,$K$1:K491,$K491,$L$1:L491,$L491,$M$1:M491,M491,$N$1:N491,N491),IF(LEN(COUNTIFS($J$1:J491,$J491,$K$1:K491,$K491,$L$1:L491,$L491,$M$1:M491,M491,$N$1:N491,N491))=2,"0"&amp;COUNTIFS($J$1:J491,$J491,$K$1:K491,$K491,$L$1:L491,$L491,$M$1:M491,M491,$N$1:N491,N491),COUNTIFS($J$1:J491,$J491,$K$1:K491,$K491,$L$1:L491,$L491,$M$1:M491,M491,$N$1:N491,N491)))</f>
        <v>002</v>
      </c>
      <c r="P49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MS-NS-012-16-00002-INV</v>
      </c>
      <c r="Q491" s="59"/>
      <c r="R491" s="34" t="s">
        <v>6286</v>
      </c>
      <c r="S491" s="34" t="s">
        <v>1580</v>
      </c>
      <c r="T491" s="34">
        <f>+IFERROR(_xlfn.XLOOKUP(Table43[[#This Row],[Column1]],#REF!,#REF!),0)</f>
        <v>0</v>
      </c>
      <c r="U491" s="50">
        <f>IFERROR(_xlfn.XLOOKUP(Table43[[#This Row],[Column1]],#REF!,#REF!),0)</f>
        <v>0</v>
      </c>
      <c r="V491" s="39"/>
    </row>
    <row r="492" spans="1:22" x14ac:dyDescent="0.35">
      <c r="A492" s="3" t="s">
        <v>5364</v>
      </c>
      <c r="B492" s="3" t="s">
        <v>1582</v>
      </c>
      <c r="C492" s="3" t="s">
        <v>15</v>
      </c>
      <c r="D492" s="5">
        <v>1150</v>
      </c>
      <c r="E492" s="3" t="s">
        <v>10</v>
      </c>
      <c r="F492" s="3">
        <v>0</v>
      </c>
      <c r="G492" s="3">
        <v>2</v>
      </c>
      <c r="H492" s="3">
        <v>1</v>
      </c>
      <c r="I492" s="21">
        <f>Table43[[#This Row],[Item Cost]]*Table43[[#This Row],[In Stock]]</f>
        <v>1150</v>
      </c>
      <c r="J492" s="12" t="s">
        <v>4941</v>
      </c>
      <c r="K492" s="13" t="s">
        <v>4666</v>
      </c>
      <c r="L492" s="13" t="s">
        <v>4693</v>
      </c>
      <c r="M492" s="13" t="s">
        <v>4833</v>
      </c>
      <c r="N492" s="12" t="s">
        <v>4672</v>
      </c>
      <c r="O492" s="17" t="str">
        <f>IF(LEN(COUNTIFS($J$1:J492,$J492,$K$1:K492,$K492,$L$1:L492,$L492,$M$1:M492,M492,$N$1:N492,N492))=1,"00"&amp;COUNTIFS($J$1:J492,$J492,$K$1:K492,$K492,$L$1:L492,$L492,$M$1:M492,M492,$N$1:N492,N492),IF(LEN(COUNTIFS($J$1:J492,$J492,$K$1:K492,$K492,$L$1:L492,$L492,$M$1:M492,M492,$N$1:N492,N492))=2,"0"&amp;COUNTIFS($J$1:J492,$J492,$K$1:K492,$K492,$L$1:L492,$L492,$M$1:M492,M492,$N$1:N492,N492),COUNTIFS($J$1:J492,$J492,$K$1:K492,$K492,$L$1:L492,$L492,$M$1:M492,M492,$N$1:N492,N492)))</f>
        <v>003</v>
      </c>
      <c r="P49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MS-NS-012-16-00003-INV</v>
      </c>
      <c r="Q492" s="59"/>
      <c r="R492" s="34" t="s">
        <v>6287</v>
      </c>
      <c r="S492" s="34" t="s">
        <v>1582</v>
      </c>
      <c r="T492" s="34">
        <f>+IFERROR(_xlfn.XLOOKUP(Table43[[#This Row],[Column1]],#REF!,#REF!),0)</f>
        <v>0</v>
      </c>
      <c r="U492" s="50">
        <f>IFERROR(_xlfn.XLOOKUP(Table43[[#This Row],[Column1]],#REF!,#REF!),0)</f>
        <v>0</v>
      </c>
      <c r="V492" s="39"/>
    </row>
    <row r="493" spans="1:22" x14ac:dyDescent="0.35">
      <c r="A493" s="3" t="s">
        <v>5365</v>
      </c>
      <c r="B493" s="2" t="s">
        <v>1584</v>
      </c>
      <c r="C493" s="2" t="s">
        <v>15</v>
      </c>
      <c r="D493" s="4">
        <v>2500</v>
      </c>
      <c r="E493" s="2" t="s">
        <v>10</v>
      </c>
      <c r="F493" s="3">
        <v>0</v>
      </c>
      <c r="G493" s="3">
        <v>2</v>
      </c>
      <c r="H493" s="2">
        <v>1</v>
      </c>
      <c r="I493" s="22">
        <f>Table43[[#This Row],[Item Cost]]*Table43[[#This Row],[In Stock]]</f>
        <v>2500</v>
      </c>
      <c r="J493" s="12" t="s">
        <v>4941</v>
      </c>
      <c r="K493" s="13" t="s">
        <v>4666</v>
      </c>
      <c r="L493" s="13" t="s">
        <v>4693</v>
      </c>
      <c r="M493" s="13" t="s">
        <v>4775</v>
      </c>
      <c r="N493" s="12" t="s">
        <v>4672</v>
      </c>
      <c r="O493" s="17" t="str">
        <f>IF(LEN(COUNTIFS($J$1:J493,$J493,$K$1:K493,$K493,$L$1:L493,$L493,$M$1:M493,M493,$N$1:N493,N493))=1,"00"&amp;COUNTIFS($J$1:J493,$J493,$K$1:K493,$K493,$L$1:L493,$L493,$M$1:M493,M493,$N$1:N493,N493),IF(LEN(COUNTIFS($J$1:J493,$J493,$K$1:K493,$K493,$L$1:L493,$L493,$M$1:M493,M493,$N$1:N493,N493))=2,"0"&amp;COUNTIFS($J$1:J493,$J493,$K$1:K493,$K493,$L$1:L493,$L493,$M$1:M493,M493,$N$1:N493,N493),COUNTIFS($J$1:J493,$J493,$K$1:K493,$K493,$L$1:L493,$L493,$M$1:M493,M493,$N$1:N493,N493)))</f>
        <v>010</v>
      </c>
      <c r="P49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MS-NS-012-09-00010-INV</v>
      </c>
      <c r="Q493" s="59"/>
      <c r="R493" s="34" t="s">
        <v>6288</v>
      </c>
      <c r="S493" s="34" t="s">
        <v>1584</v>
      </c>
      <c r="T493" s="34">
        <f>+IFERROR(_xlfn.XLOOKUP(Table43[[#This Row],[Column1]],#REF!,#REF!),0)</f>
        <v>0</v>
      </c>
      <c r="U493" s="50">
        <f>IFERROR(_xlfn.XLOOKUP(Table43[[#This Row],[Column1]],#REF!,#REF!),0)</f>
        <v>0</v>
      </c>
      <c r="V493" s="39"/>
    </row>
    <row r="494" spans="1:22" x14ac:dyDescent="0.35">
      <c r="A494" s="3" t="s">
        <v>5366</v>
      </c>
      <c r="B494" s="3" t="s">
        <v>1586</v>
      </c>
      <c r="C494" s="3" t="s">
        <v>15</v>
      </c>
      <c r="D494" s="3">
        <v>150</v>
      </c>
      <c r="E494" s="3" t="s">
        <v>10</v>
      </c>
      <c r="F494" s="3">
        <v>0</v>
      </c>
      <c r="G494" s="3">
        <v>2</v>
      </c>
      <c r="H494" s="3">
        <v>7</v>
      </c>
      <c r="I494" s="21">
        <f>Table43[[#This Row],[Item Cost]]*Table43[[#This Row],[In Stock]]</f>
        <v>1050</v>
      </c>
      <c r="J494" s="12" t="s">
        <v>4941</v>
      </c>
      <c r="K494" s="13" t="s">
        <v>4666</v>
      </c>
      <c r="L494" s="13" t="s">
        <v>4693</v>
      </c>
      <c r="M494" s="13" t="s">
        <v>4775</v>
      </c>
      <c r="N494" s="12" t="s">
        <v>4672</v>
      </c>
      <c r="O494" s="17" t="str">
        <f>IF(LEN(COUNTIFS($J$1:J494,$J494,$K$1:K494,$K494,$L$1:L494,$L494,$M$1:M494,M494,$N$1:N494,N494))=1,"00"&amp;COUNTIFS($J$1:J494,$J494,$K$1:K494,$K494,$L$1:L494,$L494,$M$1:M494,M494,$N$1:N494,N494),IF(LEN(COUNTIFS($J$1:J494,$J494,$K$1:K494,$K494,$L$1:L494,$L494,$M$1:M494,M494,$N$1:N494,N494))=2,"0"&amp;COUNTIFS($J$1:J494,$J494,$K$1:K494,$K494,$L$1:L494,$L494,$M$1:M494,M494,$N$1:N494,N494),COUNTIFS($J$1:J494,$J494,$K$1:K494,$K494,$L$1:L494,$L494,$M$1:M494,M494,$N$1:N494,N494)))</f>
        <v>011</v>
      </c>
      <c r="P49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MS-NS-012-09-00011-INV</v>
      </c>
      <c r="Q494" s="59"/>
      <c r="R494" s="34" t="s">
        <v>6289</v>
      </c>
      <c r="S494" s="34" t="s">
        <v>1586</v>
      </c>
      <c r="T494" s="34">
        <f>+IFERROR(_xlfn.XLOOKUP(Table43[[#This Row],[Column1]],#REF!,#REF!),0)</f>
        <v>0</v>
      </c>
      <c r="U494" s="50">
        <f>IFERROR(_xlfn.XLOOKUP(Table43[[#This Row],[Column1]],#REF!,#REF!),0)</f>
        <v>0</v>
      </c>
      <c r="V494" s="39"/>
    </row>
    <row r="495" spans="1:22" x14ac:dyDescent="0.35">
      <c r="A495" s="3" t="s">
        <v>5367</v>
      </c>
      <c r="B495" s="2" t="s">
        <v>1588</v>
      </c>
      <c r="C495" s="2" t="s">
        <v>15</v>
      </c>
      <c r="D495" s="2">
        <v>200</v>
      </c>
      <c r="E495" s="2" t="s">
        <v>10</v>
      </c>
      <c r="F495" s="3">
        <v>0</v>
      </c>
      <c r="G495" s="3">
        <v>2</v>
      </c>
      <c r="H495" s="2">
        <v>5</v>
      </c>
      <c r="I495" s="22">
        <f>Table43[[#This Row],[Item Cost]]*Table43[[#This Row],[In Stock]]</f>
        <v>1000</v>
      </c>
      <c r="J495" s="12" t="s">
        <v>4941</v>
      </c>
      <c r="K495" s="13" t="s">
        <v>4666</v>
      </c>
      <c r="L495" s="13" t="s">
        <v>4693</v>
      </c>
      <c r="M495" s="13" t="s">
        <v>4779</v>
      </c>
      <c r="N495" s="12" t="s">
        <v>4672</v>
      </c>
      <c r="O495" s="17" t="str">
        <f>IF(LEN(COUNTIFS($J$1:J495,$J495,$K$1:K495,$K495,$L$1:L495,$L495,$M$1:M495,M495,$N$1:N495,N495))=1,"00"&amp;COUNTIFS($J$1:J495,$J495,$K$1:K495,$K495,$L$1:L495,$L495,$M$1:M495,M495,$N$1:N495,N495),IF(LEN(COUNTIFS($J$1:J495,$J495,$K$1:K495,$K495,$L$1:L495,$L495,$M$1:M495,M495,$N$1:N495,N495))=2,"0"&amp;COUNTIFS($J$1:J495,$J495,$K$1:K495,$K495,$L$1:L495,$L495,$M$1:M495,M495,$N$1:N495,N495),COUNTIFS($J$1:J495,$J495,$K$1:K495,$K495,$L$1:L495,$L495,$M$1:M495,M495,$N$1:N495,N495)))</f>
        <v>007</v>
      </c>
      <c r="P49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MS-NS-012-14-00007-INV</v>
      </c>
      <c r="Q495" s="59"/>
      <c r="R495" s="34" t="s">
        <v>6290</v>
      </c>
      <c r="S495" s="34" t="s">
        <v>1588</v>
      </c>
      <c r="T495" s="34">
        <f>+IFERROR(_xlfn.XLOOKUP(Table43[[#This Row],[Column1]],#REF!,#REF!),0)</f>
        <v>0</v>
      </c>
      <c r="U495" s="50">
        <f>IFERROR(_xlfn.XLOOKUP(Table43[[#This Row],[Column1]],#REF!,#REF!),0)</f>
        <v>0</v>
      </c>
      <c r="V495" s="39"/>
    </row>
    <row r="496" spans="1:22" x14ac:dyDescent="0.35">
      <c r="A496" s="3" t="s">
        <v>5368</v>
      </c>
      <c r="B496" s="3" t="s">
        <v>1590</v>
      </c>
      <c r="C496" s="3" t="s">
        <v>15</v>
      </c>
      <c r="D496" s="3">
        <v>500</v>
      </c>
      <c r="E496" s="3" t="s">
        <v>10</v>
      </c>
      <c r="F496" s="3">
        <v>0</v>
      </c>
      <c r="G496" s="3">
        <v>2</v>
      </c>
      <c r="H496" s="3">
        <v>3</v>
      </c>
      <c r="I496" s="21">
        <f>Table43[[#This Row],[Item Cost]]*Table43[[#This Row],[In Stock]]</f>
        <v>1500</v>
      </c>
      <c r="J496" s="12" t="s">
        <v>4941</v>
      </c>
      <c r="K496" s="13" t="s">
        <v>4666</v>
      </c>
      <c r="L496" s="13" t="s">
        <v>4693</v>
      </c>
      <c r="M496" s="13" t="s">
        <v>4779</v>
      </c>
      <c r="N496" s="12" t="s">
        <v>4672</v>
      </c>
      <c r="O496" s="17" t="str">
        <f>IF(LEN(COUNTIFS($J$1:J496,$J496,$K$1:K496,$K496,$L$1:L496,$L496,$M$1:M496,M496,$N$1:N496,N496))=1,"00"&amp;COUNTIFS($J$1:J496,$J496,$K$1:K496,$K496,$L$1:L496,$L496,$M$1:M496,M496,$N$1:N496,N496),IF(LEN(COUNTIFS($J$1:J496,$J496,$K$1:K496,$K496,$L$1:L496,$L496,$M$1:M496,M496,$N$1:N496,N496))=2,"0"&amp;COUNTIFS($J$1:J496,$J496,$K$1:K496,$K496,$L$1:L496,$L496,$M$1:M496,M496,$N$1:N496,N496),COUNTIFS($J$1:J496,$J496,$K$1:K496,$K496,$L$1:L496,$L496,$M$1:M496,M496,$N$1:N496,N496)))</f>
        <v>008</v>
      </c>
      <c r="P49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MS-NS-012-14-00008-INV</v>
      </c>
      <c r="Q496" s="59"/>
      <c r="R496" s="34" t="s">
        <v>6291</v>
      </c>
      <c r="S496" s="34" t="s">
        <v>1590</v>
      </c>
      <c r="T496" s="34">
        <f>+IFERROR(_xlfn.XLOOKUP(Table43[[#This Row],[Column1]],#REF!,#REF!),0)</f>
        <v>0</v>
      </c>
      <c r="U496" s="50">
        <f>IFERROR(_xlfn.XLOOKUP(Table43[[#This Row],[Column1]],#REF!,#REF!),0)</f>
        <v>0</v>
      </c>
      <c r="V496" s="39"/>
    </row>
    <row r="497" spans="1:22" x14ac:dyDescent="0.35">
      <c r="A497" s="3" t="s">
        <v>5369</v>
      </c>
      <c r="B497" s="2" t="s">
        <v>1592</v>
      </c>
      <c r="C497" s="2" t="s">
        <v>15</v>
      </c>
      <c r="D497" s="2">
        <v>150</v>
      </c>
      <c r="E497" s="2" t="s">
        <v>10</v>
      </c>
      <c r="F497" s="3">
        <v>0</v>
      </c>
      <c r="G497" s="3">
        <v>2</v>
      </c>
      <c r="H497" s="2">
        <v>10</v>
      </c>
      <c r="I497" s="22">
        <f>Table43[[#This Row],[Item Cost]]*Table43[[#This Row],[In Stock]]</f>
        <v>1500</v>
      </c>
      <c r="J497" s="12" t="s">
        <v>4941</v>
      </c>
      <c r="K497" s="13" t="s">
        <v>4666</v>
      </c>
      <c r="L497" s="13" t="s">
        <v>4693</v>
      </c>
      <c r="M497" s="13" t="s">
        <v>4693</v>
      </c>
      <c r="N497" s="12" t="s">
        <v>4672</v>
      </c>
      <c r="O497" s="17" t="str">
        <f>IF(LEN(COUNTIFS($J$1:J497,$J497,$K$1:K497,$K497,$L$1:L497,$L497,$M$1:M497,M497,$N$1:N497,N497))=1,"00"&amp;COUNTIFS($J$1:J497,$J497,$K$1:K497,$K497,$L$1:L497,$L497,$M$1:M497,M497,$N$1:N497,N497),IF(LEN(COUNTIFS($J$1:J497,$J497,$K$1:K497,$K497,$L$1:L497,$L497,$M$1:M497,M497,$N$1:N497,N497))=2,"0"&amp;COUNTIFS($J$1:J497,$J497,$K$1:K497,$K497,$L$1:L497,$L497,$M$1:M497,M497,$N$1:N497,N497),COUNTIFS($J$1:J497,$J497,$K$1:K497,$K497,$L$1:L497,$L497,$M$1:M497,M497,$N$1:N497,N497)))</f>
        <v>046</v>
      </c>
      <c r="P49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MS-NS-012-23-00046-INV</v>
      </c>
      <c r="Q497" s="59" t="s">
        <v>7336</v>
      </c>
      <c r="R497" s="34" t="s">
        <v>6292</v>
      </c>
      <c r="S497" s="34" t="s">
        <v>1592</v>
      </c>
      <c r="T497" s="34">
        <f>+IFERROR(_xlfn.XLOOKUP(Table43[[#This Row],[Column1]],#REF!,#REF!),0)</f>
        <v>0</v>
      </c>
      <c r="U497" s="50">
        <f>IFERROR(_xlfn.XLOOKUP(Table43[[#This Row],[Column1]],#REF!,#REF!),0)</f>
        <v>0</v>
      </c>
      <c r="V497" s="39"/>
    </row>
    <row r="498" spans="1:22" x14ac:dyDescent="0.35">
      <c r="A498" s="3" t="s">
        <v>5370</v>
      </c>
      <c r="B498" s="3" t="s">
        <v>1594</v>
      </c>
      <c r="C498" s="3" t="s">
        <v>15</v>
      </c>
      <c r="D498" s="3">
        <v>18.794</v>
      </c>
      <c r="E498" s="3" t="s">
        <v>10</v>
      </c>
      <c r="F498" s="3">
        <v>0</v>
      </c>
      <c r="G498" s="3">
        <v>2</v>
      </c>
      <c r="H498" s="3">
        <v>11</v>
      </c>
      <c r="I498" s="21">
        <f>Table43[[#This Row],[Item Cost]]*Table43[[#This Row],[In Stock]]</f>
        <v>206.73400000000001</v>
      </c>
      <c r="J498" s="12" t="s">
        <v>4941</v>
      </c>
      <c r="K498" s="13" t="s">
        <v>4666</v>
      </c>
      <c r="L498" s="13" t="s">
        <v>4693</v>
      </c>
      <c r="M498" s="13" t="s">
        <v>4777</v>
      </c>
      <c r="N498" s="12" t="s">
        <v>4672</v>
      </c>
      <c r="O498" s="17" t="str">
        <f>IF(LEN(COUNTIFS($J$1:J498,$J498,$K$1:K498,$K498,$L$1:L498,$L498,$M$1:M498,M498,$N$1:N498,N498))=1,"00"&amp;COUNTIFS($J$1:J498,$J498,$K$1:K498,$K498,$L$1:L498,$L498,$M$1:M498,M498,$N$1:N498,N498),IF(LEN(COUNTIFS($J$1:J498,$J498,$K$1:K498,$K498,$L$1:L498,$L498,$M$1:M498,M498,$N$1:N498,N498))=2,"0"&amp;COUNTIFS($J$1:J498,$J498,$K$1:K498,$K498,$L$1:L498,$L498,$M$1:M498,M498,$N$1:N498,N498),COUNTIFS($J$1:J498,$J498,$K$1:K498,$K498,$L$1:L498,$L498,$M$1:M498,M498,$N$1:N498,N498)))</f>
        <v>019</v>
      </c>
      <c r="P49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MS-NS-012-11-00019-INV</v>
      </c>
      <c r="Q498" s="59"/>
      <c r="R498" s="34" t="s">
        <v>6293</v>
      </c>
      <c r="S498" s="34" t="s">
        <v>1594</v>
      </c>
      <c r="T498" s="34">
        <f>+IFERROR(_xlfn.XLOOKUP(Table43[[#This Row],[Column1]],#REF!,#REF!),0)</f>
        <v>0</v>
      </c>
      <c r="U498" s="50">
        <f>IFERROR(_xlfn.XLOOKUP(Table43[[#This Row],[Column1]],#REF!,#REF!),0)</f>
        <v>0</v>
      </c>
      <c r="V498" s="39"/>
    </row>
    <row r="499" spans="1:22" x14ac:dyDescent="0.35">
      <c r="A499" s="3" t="s">
        <v>5371</v>
      </c>
      <c r="B499" s="2" t="s">
        <v>1596</v>
      </c>
      <c r="C499" s="2" t="s">
        <v>15</v>
      </c>
      <c r="D499" s="2">
        <v>200</v>
      </c>
      <c r="E499" s="2" t="s">
        <v>10</v>
      </c>
      <c r="F499" s="3">
        <v>0</v>
      </c>
      <c r="G499" s="3">
        <v>2</v>
      </c>
      <c r="H499" s="2">
        <v>3</v>
      </c>
      <c r="I499" s="22">
        <f>Table43[[#This Row],[Item Cost]]*Table43[[#This Row],[In Stock]]</f>
        <v>600</v>
      </c>
      <c r="J499" s="12" t="s">
        <v>4941</v>
      </c>
      <c r="K499" s="13" t="s">
        <v>4666</v>
      </c>
      <c r="L499" s="13" t="s">
        <v>4693</v>
      </c>
      <c r="M499" s="13" t="s">
        <v>4693</v>
      </c>
      <c r="N499" s="12" t="s">
        <v>4672</v>
      </c>
      <c r="O499" s="17" t="str">
        <f>IF(LEN(COUNTIFS($J$1:J499,$J499,$K$1:K499,$K499,$L$1:L499,$L499,$M$1:M499,M499,$N$1:N499,N499))=1,"00"&amp;COUNTIFS($J$1:J499,$J499,$K$1:K499,$K499,$L$1:L499,$L499,$M$1:M499,M499,$N$1:N499,N499),IF(LEN(COUNTIFS($J$1:J499,$J499,$K$1:K499,$K499,$L$1:L499,$L499,$M$1:M499,M499,$N$1:N499,N499))=2,"0"&amp;COUNTIFS($J$1:J499,$J499,$K$1:K499,$K499,$L$1:L499,$L499,$M$1:M499,M499,$N$1:N499,N499),COUNTIFS($J$1:J499,$J499,$K$1:K499,$K499,$L$1:L499,$L499,$M$1:M499,M499,$N$1:N499,N499)))</f>
        <v>047</v>
      </c>
      <c r="P49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MS-NS-012-23-00047-INV</v>
      </c>
      <c r="Q499" s="59"/>
      <c r="R499" s="34" t="s">
        <v>6294</v>
      </c>
      <c r="S499" s="34" t="s">
        <v>1596</v>
      </c>
      <c r="T499" s="34">
        <f>+IFERROR(_xlfn.XLOOKUP(Table43[[#This Row],[Column1]],#REF!,#REF!),0)</f>
        <v>0</v>
      </c>
      <c r="U499" s="50">
        <f>IFERROR(_xlfn.XLOOKUP(Table43[[#This Row],[Column1]],#REF!,#REF!),0)</f>
        <v>0</v>
      </c>
      <c r="V499" s="39"/>
    </row>
    <row r="500" spans="1:22" x14ac:dyDescent="0.35">
      <c r="A500" s="3" t="s">
        <v>5372</v>
      </c>
      <c r="B500" s="3" t="s">
        <v>1598</v>
      </c>
      <c r="C500" s="3" t="s">
        <v>15</v>
      </c>
      <c r="D500" s="3">
        <v>100</v>
      </c>
      <c r="E500" s="3" t="s">
        <v>10</v>
      </c>
      <c r="F500" s="3">
        <v>0</v>
      </c>
      <c r="G500" s="3">
        <v>2</v>
      </c>
      <c r="H500" s="3">
        <v>4</v>
      </c>
      <c r="I500" s="21">
        <f>Table43[[#This Row],[Item Cost]]*Table43[[#This Row],[In Stock]]</f>
        <v>400</v>
      </c>
      <c r="J500" s="12" t="s">
        <v>4941</v>
      </c>
      <c r="K500" s="13" t="s">
        <v>4666</v>
      </c>
      <c r="L500" s="13" t="s">
        <v>4693</v>
      </c>
      <c r="M500" s="13" t="s">
        <v>4693</v>
      </c>
      <c r="N500" s="12" t="s">
        <v>4672</v>
      </c>
      <c r="O500" s="17" t="str">
        <f>IF(LEN(COUNTIFS($J$1:J500,$J500,$K$1:K500,$K500,$L$1:L500,$L500,$M$1:M500,M500,$N$1:N500,N500))=1,"00"&amp;COUNTIFS($J$1:J500,$J500,$K$1:K500,$K500,$L$1:L500,$L500,$M$1:M500,M500,$N$1:N500,N500),IF(LEN(COUNTIFS($J$1:J500,$J500,$K$1:K500,$K500,$L$1:L500,$L500,$M$1:M500,M500,$N$1:N500,N500))=2,"0"&amp;COUNTIFS($J$1:J500,$J500,$K$1:K500,$K500,$L$1:L500,$L500,$M$1:M500,M500,$N$1:N500,N500),COUNTIFS($J$1:J500,$J500,$K$1:K500,$K500,$L$1:L500,$L500,$M$1:M500,M500,$N$1:N500,N500)))</f>
        <v>048</v>
      </c>
      <c r="P50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MS-NS-012-23-00048-INV</v>
      </c>
      <c r="Q500" s="59"/>
      <c r="R500" s="34" t="s">
        <v>6295</v>
      </c>
      <c r="S500" s="34" t="s">
        <v>1598</v>
      </c>
      <c r="T500" s="34">
        <f>+IFERROR(_xlfn.XLOOKUP(Table43[[#This Row],[Column1]],#REF!,#REF!),0)</f>
        <v>0</v>
      </c>
      <c r="U500" s="50">
        <f>IFERROR(_xlfn.XLOOKUP(Table43[[#This Row],[Column1]],#REF!,#REF!),0)</f>
        <v>0</v>
      </c>
      <c r="V500" s="39"/>
    </row>
    <row r="501" spans="1:22" x14ac:dyDescent="0.35">
      <c r="A501" s="3" t="s">
        <v>5373</v>
      </c>
      <c r="B501" s="2" t="s">
        <v>1600</v>
      </c>
      <c r="C501" s="2" t="s">
        <v>15</v>
      </c>
      <c r="D501" s="2">
        <v>35</v>
      </c>
      <c r="E501" s="2" t="s">
        <v>10</v>
      </c>
      <c r="F501" s="3">
        <v>0</v>
      </c>
      <c r="G501" s="3">
        <v>2</v>
      </c>
      <c r="H501" s="2">
        <v>7</v>
      </c>
      <c r="I501" s="22">
        <f>Table43[[#This Row],[Item Cost]]*Table43[[#This Row],[In Stock]]</f>
        <v>245</v>
      </c>
      <c r="J501" s="12" t="s">
        <v>4941</v>
      </c>
      <c r="K501" s="13" t="s">
        <v>4666</v>
      </c>
      <c r="L501" s="13" t="s">
        <v>4693</v>
      </c>
      <c r="M501" s="13" t="s">
        <v>4693</v>
      </c>
      <c r="N501" s="12" t="s">
        <v>4672</v>
      </c>
      <c r="O501" s="17" t="str">
        <f>IF(LEN(COUNTIFS($J$1:J501,$J501,$K$1:K501,$K501,$L$1:L501,$L501,$M$1:M501,M501,$N$1:N501,N501))=1,"00"&amp;COUNTIFS($J$1:J501,$J501,$K$1:K501,$K501,$L$1:L501,$L501,$M$1:M501,M501,$N$1:N501,N501),IF(LEN(COUNTIFS($J$1:J501,$J501,$K$1:K501,$K501,$L$1:L501,$L501,$M$1:M501,M501,$N$1:N501,N501))=2,"0"&amp;COUNTIFS($J$1:J501,$J501,$K$1:K501,$K501,$L$1:L501,$L501,$M$1:M501,M501,$N$1:N501,N501),COUNTIFS($J$1:J501,$J501,$K$1:K501,$K501,$L$1:L501,$L501,$M$1:M501,M501,$N$1:N501,N501)))</f>
        <v>049</v>
      </c>
      <c r="P50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MS-NS-012-23-00049-INV</v>
      </c>
      <c r="Q501" s="59"/>
      <c r="R501" s="34" t="s">
        <v>6296</v>
      </c>
      <c r="S501" s="34" t="s">
        <v>1600</v>
      </c>
      <c r="T501" s="34">
        <f>+IFERROR(_xlfn.XLOOKUP(Table43[[#This Row],[Column1]],#REF!,#REF!),0)</f>
        <v>0</v>
      </c>
      <c r="U501" s="50">
        <f>IFERROR(_xlfn.XLOOKUP(Table43[[#This Row],[Column1]],#REF!,#REF!),0)</f>
        <v>0</v>
      </c>
      <c r="V501" s="39"/>
    </row>
    <row r="502" spans="1:22" x14ac:dyDescent="0.35">
      <c r="A502" s="3" t="s">
        <v>5374</v>
      </c>
      <c r="B502" s="3" t="s">
        <v>1602</v>
      </c>
      <c r="C502" s="3" t="s">
        <v>15</v>
      </c>
      <c r="D502" s="3">
        <v>35</v>
      </c>
      <c r="E502" s="3" t="s">
        <v>10</v>
      </c>
      <c r="F502" s="3">
        <v>0</v>
      </c>
      <c r="G502" s="3">
        <v>2</v>
      </c>
      <c r="H502" s="3">
        <v>3</v>
      </c>
      <c r="I502" s="21">
        <f>Table43[[#This Row],[Item Cost]]*Table43[[#This Row],[In Stock]]</f>
        <v>105</v>
      </c>
      <c r="J502" s="12" t="s">
        <v>4941</v>
      </c>
      <c r="K502" s="13" t="s">
        <v>4666</v>
      </c>
      <c r="L502" s="13" t="s">
        <v>4693</v>
      </c>
      <c r="M502" s="13" t="s">
        <v>4693</v>
      </c>
      <c r="N502" s="12" t="s">
        <v>4672</v>
      </c>
      <c r="O502" s="17" t="str">
        <f>IF(LEN(COUNTIFS($J$1:J502,$J502,$K$1:K502,$K502,$L$1:L502,$L502,$M$1:M502,M502,$N$1:N502,N502))=1,"00"&amp;COUNTIFS($J$1:J502,$J502,$K$1:K502,$K502,$L$1:L502,$L502,$M$1:M502,M502,$N$1:N502,N502),IF(LEN(COUNTIFS($J$1:J502,$J502,$K$1:K502,$K502,$L$1:L502,$L502,$M$1:M502,M502,$N$1:N502,N502))=2,"0"&amp;COUNTIFS($J$1:J502,$J502,$K$1:K502,$K502,$L$1:L502,$L502,$M$1:M502,M502,$N$1:N502,N502),COUNTIFS($J$1:J502,$J502,$K$1:K502,$K502,$L$1:L502,$L502,$M$1:M502,M502,$N$1:N502,N502)))</f>
        <v>050</v>
      </c>
      <c r="P50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MS-NS-012-23-00050-INV</v>
      </c>
      <c r="Q502" s="59"/>
      <c r="R502" s="34" t="s">
        <v>6297</v>
      </c>
      <c r="S502" s="34" t="s">
        <v>1602</v>
      </c>
      <c r="T502" s="34">
        <f>+IFERROR(_xlfn.XLOOKUP(Table43[[#This Row],[Column1]],#REF!,#REF!),0)</f>
        <v>0</v>
      </c>
      <c r="U502" s="50">
        <f>IFERROR(_xlfn.XLOOKUP(Table43[[#This Row],[Column1]],#REF!,#REF!),0)</f>
        <v>0</v>
      </c>
      <c r="V502" s="39"/>
    </row>
    <row r="503" spans="1:22" x14ac:dyDescent="0.35">
      <c r="A503" s="3" t="s">
        <v>5375</v>
      </c>
      <c r="B503" s="2" t="s">
        <v>1604</v>
      </c>
      <c r="C503" s="2" t="s">
        <v>15</v>
      </c>
      <c r="D503" s="4">
        <v>2500</v>
      </c>
      <c r="E503" s="2" t="s">
        <v>10</v>
      </c>
      <c r="F503" s="3">
        <v>0</v>
      </c>
      <c r="G503" s="3">
        <v>2</v>
      </c>
      <c r="H503" s="2">
        <v>1</v>
      </c>
      <c r="I503" s="22">
        <f>Table43[[#This Row],[Item Cost]]*Table43[[#This Row],[In Stock]]</f>
        <v>2500</v>
      </c>
      <c r="J503" s="12" t="s">
        <v>4941</v>
      </c>
      <c r="K503" s="13" t="s">
        <v>4666</v>
      </c>
      <c r="L503" s="13" t="s">
        <v>4693</v>
      </c>
      <c r="M503" s="13" t="s">
        <v>4775</v>
      </c>
      <c r="N503" s="12" t="s">
        <v>4672</v>
      </c>
      <c r="O503" s="17" t="str">
        <f>IF(LEN(COUNTIFS($J$1:J503,$J503,$K$1:K503,$K503,$L$1:L503,$L503,$M$1:M503,M503,$N$1:N503,N503))=1,"00"&amp;COUNTIFS($J$1:J503,$J503,$K$1:K503,$K503,$L$1:L503,$L503,$M$1:M503,M503,$N$1:N503,N503),IF(LEN(COUNTIFS($J$1:J503,$J503,$K$1:K503,$K503,$L$1:L503,$L503,$M$1:M503,M503,$N$1:N503,N503))=2,"0"&amp;COUNTIFS($J$1:J503,$J503,$K$1:K503,$K503,$L$1:L503,$L503,$M$1:M503,M503,$N$1:N503,N503),COUNTIFS($J$1:J503,$J503,$K$1:K503,$K503,$L$1:L503,$L503,$M$1:M503,M503,$N$1:N503,N503)))</f>
        <v>012</v>
      </c>
      <c r="P50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MS-NS-012-09-00012-INV</v>
      </c>
      <c r="Q503" s="59" t="s">
        <v>7355</v>
      </c>
      <c r="R503" s="34" t="s">
        <v>6298</v>
      </c>
      <c r="S503" s="34" t="s">
        <v>1604</v>
      </c>
      <c r="T503" s="34">
        <f>+IFERROR(_xlfn.XLOOKUP(Table43[[#This Row],[Column1]],#REF!,#REF!),0)</f>
        <v>0</v>
      </c>
      <c r="U503" s="50">
        <f>IFERROR(_xlfn.XLOOKUP(Table43[[#This Row],[Column1]],#REF!,#REF!),0)</f>
        <v>0</v>
      </c>
      <c r="V503" s="39"/>
    </row>
    <row r="504" spans="1:22" x14ac:dyDescent="0.35">
      <c r="A504" s="3" t="s">
        <v>5376</v>
      </c>
      <c r="B504" s="3" t="s">
        <v>1606</v>
      </c>
      <c r="C504" s="3" t="s">
        <v>15</v>
      </c>
      <c r="D504" s="3">
        <v>150</v>
      </c>
      <c r="E504" s="3" t="s">
        <v>10</v>
      </c>
      <c r="F504" s="3">
        <v>0</v>
      </c>
      <c r="G504" s="3">
        <v>2</v>
      </c>
      <c r="H504" s="3">
        <v>5</v>
      </c>
      <c r="I504" s="21">
        <f>Table43[[#This Row],[Item Cost]]*Table43[[#This Row],[In Stock]]</f>
        <v>750</v>
      </c>
      <c r="J504" s="12" t="s">
        <v>4941</v>
      </c>
      <c r="K504" s="13" t="s">
        <v>4666</v>
      </c>
      <c r="L504" s="13" t="s">
        <v>4693</v>
      </c>
      <c r="M504" s="13" t="s">
        <v>4775</v>
      </c>
      <c r="N504" s="12" t="s">
        <v>4672</v>
      </c>
      <c r="O504" s="17" t="str">
        <f>IF(LEN(COUNTIFS($J$1:J504,$J504,$K$1:K504,$K504,$L$1:L504,$L504,$M$1:M504,M504,$N$1:N504,N504))=1,"00"&amp;COUNTIFS($J$1:J504,$J504,$K$1:K504,$K504,$L$1:L504,$L504,$M$1:M504,M504,$N$1:N504,N504),IF(LEN(COUNTIFS($J$1:J504,$J504,$K$1:K504,$K504,$L$1:L504,$L504,$M$1:M504,M504,$N$1:N504,N504))=2,"0"&amp;COUNTIFS($J$1:J504,$J504,$K$1:K504,$K504,$L$1:L504,$L504,$M$1:M504,M504,$N$1:N504,N504),COUNTIFS($J$1:J504,$J504,$K$1:K504,$K504,$L$1:L504,$L504,$M$1:M504,M504,$N$1:N504,N504)))</f>
        <v>013</v>
      </c>
      <c r="P50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MS-NS-012-09-00013-INV</v>
      </c>
      <c r="Q504" s="59"/>
      <c r="R504" s="34" t="s">
        <v>6299</v>
      </c>
      <c r="S504" s="34" t="s">
        <v>1606</v>
      </c>
      <c r="T504" s="34">
        <f>+IFERROR(_xlfn.XLOOKUP(Table43[[#This Row],[Column1]],#REF!,#REF!),0)</f>
        <v>0</v>
      </c>
      <c r="U504" s="50">
        <f>IFERROR(_xlfn.XLOOKUP(Table43[[#This Row],[Column1]],#REF!,#REF!),0)</f>
        <v>0</v>
      </c>
      <c r="V504" s="39"/>
    </row>
    <row r="505" spans="1:22" x14ac:dyDescent="0.35">
      <c r="A505" s="3" t="s">
        <v>5377</v>
      </c>
      <c r="B505" s="2" t="s">
        <v>1608</v>
      </c>
      <c r="C505" s="2" t="s">
        <v>15</v>
      </c>
      <c r="D505" s="2">
        <v>200</v>
      </c>
      <c r="E505" s="2" t="s">
        <v>10</v>
      </c>
      <c r="F505" s="3">
        <v>0</v>
      </c>
      <c r="G505" s="3">
        <v>2</v>
      </c>
      <c r="H505" s="2">
        <v>7</v>
      </c>
      <c r="I505" s="22">
        <f>Table43[[#This Row],[Item Cost]]*Table43[[#This Row],[In Stock]]</f>
        <v>1400</v>
      </c>
      <c r="J505" s="12" t="s">
        <v>4941</v>
      </c>
      <c r="K505" s="13" t="s">
        <v>4666</v>
      </c>
      <c r="L505" s="13" t="s">
        <v>4693</v>
      </c>
      <c r="M505" s="13" t="s">
        <v>4828</v>
      </c>
      <c r="N505" s="12" t="s">
        <v>4672</v>
      </c>
      <c r="O505" s="17" t="str">
        <f>IF(LEN(COUNTIFS($J$1:J505,$J505,$K$1:K505,$K505,$L$1:L505,$L505,$M$1:M505,M505,$N$1:N505,N505))=1,"00"&amp;COUNTIFS($J$1:J505,$J505,$K$1:K505,$K505,$L$1:L505,$L505,$M$1:M505,M505,$N$1:N505,N505),IF(LEN(COUNTIFS($J$1:J505,$J505,$K$1:K505,$K505,$L$1:L505,$L505,$M$1:M505,M505,$N$1:N505,N505))=2,"0"&amp;COUNTIFS($J$1:J505,$J505,$K$1:K505,$K505,$L$1:L505,$L505,$M$1:M505,M505,$N$1:N505,N505),COUNTIFS($J$1:J505,$J505,$K$1:K505,$K505,$L$1:L505,$L505,$M$1:M505,M505,$N$1:N505,N505)))</f>
        <v>007</v>
      </c>
      <c r="P50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MS-NS-012-13-00007-INV</v>
      </c>
      <c r="Q505" s="59" t="s">
        <v>7334</v>
      </c>
      <c r="R505" s="34" t="s">
        <v>6300</v>
      </c>
      <c r="S505" s="34" t="s">
        <v>1608</v>
      </c>
      <c r="T505" s="34">
        <f>+IFERROR(_xlfn.XLOOKUP(Table43[[#This Row],[Column1]],#REF!,#REF!),0)</f>
        <v>0</v>
      </c>
      <c r="U505" s="50">
        <f>IFERROR(_xlfn.XLOOKUP(Table43[[#This Row],[Column1]],#REF!,#REF!),0)</f>
        <v>0</v>
      </c>
      <c r="V505" s="39"/>
    </row>
    <row r="506" spans="1:22" x14ac:dyDescent="0.35">
      <c r="A506" s="3" t="s">
        <v>5378</v>
      </c>
      <c r="B506" s="3" t="s">
        <v>1610</v>
      </c>
      <c r="C506" s="3" t="s">
        <v>15</v>
      </c>
      <c r="D506" s="3">
        <v>150</v>
      </c>
      <c r="E506" s="3" t="s">
        <v>10</v>
      </c>
      <c r="F506" s="3">
        <v>0</v>
      </c>
      <c r="G506" s="3">
        <v>2</v>
      </c>
      <c r="H506" s="3">
        <v>1</v>
      </c>
      <c r="I506" s="21">
        <f>Table43[[#This Row],[Item Cost]]*Table43[[#This Row],[In Stock]]</f>
        <v>150</v>
      </c>
      <c r="J506" s="12" t="s">
        <v>4941</v>
      </c>
      <c r="K506" s="13" t="s">
        <v>4666</v>
      </c>
      <c r="L506" s="13" t="s">
        <v>4693</v>
      </c>
      <c r="M506" s="13" t="s">
        <v>4839</v>
      </c>
      <c r="N506" s="12" t="s">
        <v>4672</v>
      </c>
      <c r="O506" s="17" t="str">
        <f>IF(LEN(COUNTIFS($J$1:J506,$J506,$K$1:K506,$K506,$L$1:L506,$L506,$M$1:M506,M506,$N$1:N506,N506))=1,"00"&amp;COUNTIFS($J$1:J506,$J506,$K$1:K506,$K506,$L$1:L506,$L506,$M$1:M506,M506,$N$1:N506,N506),IF(LEN(COUNTIFS($J$1:J506,$J506,$K$1:K506,$K506,$L$1:L506,$L506,$M$1:M506,M506,$N$1:N506,N506))=2,"0"&amp;COUNTIFS($J$1:J506,$J506,$K$1:K506,$K506,$L$1:L506,$L506,$M$1:M506,M506,$N$1:N506,N506),COUNTIFS($J$1:J506,$J506,$K$1:K506,$K506,$L$1:L506,$L506,$M$1:M506,M506,$N$1:N506,N506)))</f>
        <v>004</v>
      </c>
      <c r="P50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MS-NS-012-27-00004-INV</v>
      </c>
      <c r="Q506" s="59"/>
      <c r="R506" s="34" t="s">
        <v>6301</v>
      </c>
      <c r="S506" s="34" t="s">
        <v>1610</v>
      </c>
      <c r="T506" s="34">
        <f>+IFERROR(_xlfn.XLOOKUP(Table43[[#This Row],[Column1]],#REF!,#REF!),0)</f>
        <v>0</v>
      </c>
      <c r="U506" s="50">
        <f>IFERROR(_xlfn.XLOOKUP(Table43[[#This Row],[Column1]],#REF!,#REF!),0)</f>
        <v>0</v>
      </c>
      <c r="V506" s="39"/>
    </row>
    <row r="507" spans="1:22" x14ac:dyDescent="0.35">
      <c r="A507" s="3" t="s">
        <v>5379</v>
      </c>
      <c r="B507" s="2" t="s">
        <v>1612</v>
      </c>
      <c r="C507" s="2" t="s">
        <v>15</v>
      </c>
      <c r="D507" s="2">
        <v>150</v>
      </c>
      <c r="E507" s="2" t="s">
        <v>10</v>
      </c>
      <c r="F507" s="3">
        <v>0</v>
      </c>
      <c r="G507" s="3">
        <v>2</v>
      </c>
      <c r="H507" s="2">
        <v>1</v>
      </c>
      <c r="I507" s="22">
        <f>Table43[[#This Row],[Item Cost]]*Table43[[#This Row],[In Stock]]</f>
        <v>150</v>
      </c>
      <c r="J507" s="12" t="s">
        <v>4941</v>
      </c>
      <c r="K507" s="13" t="s">
        <v>4666</v>
      </c>
      <c r="L507" s="13" t="s">
        <v>4693</v>
      </c>
      <c r="M507" s="13" t="s">
        <v>4693</v>
      </c>
      <c r="N507" s="12" t="s">
        <v>4672</v>
      </c>
      <c r="O507" s="17" t="str">
        <f>IF(LEN(COUNTIFS($J$1:J507,$J507,$K$1:K507,$K507,$L$1:L507,$L507,$M$1:M507,M507,$N$1:N507,N507))=1,"00"&amp;COUNTIFS($J$1:J507,$J507,$K$1:K507,$K507,$L$1:L507,$L507,$M$1:M507,M507,$N$1:N507,N507),IF(LEN(COUNTIFS($J$1:J507,$J507,$K$1:K507,$K507,$L$1:L507,$L507,$M$1:M507,M507,$N$1:N507,N507))=2,"0"&amp;COUNTIFS($J$1:J507,$J507,$K$1:K507,$K507,$L$1:L507,$L507,$M$1:M507,M507,$N$1:N507,N507),COUNTIFS($J$1:J507,$J507,$K$1:K507,$K507,$L$1:L507,$L507,$M$1:M507,M507,$N$1:N507,N507)))</f>
        <v>051</v>
      </c>
      <c r="P50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MS-NS-012-23-00051-INV</v>
      </c>
      <c r="Q507" s="59" t="s">
        <v>7336</v>
      </c>
      <c r="R507" s="34" t="s">
        <v>6302</v>
      </c>
      <c r="S507" s="34" t="s">
        <v>1612</v>
      </c>
      <c r="T507" s="34">
        <f>+IFERROR(_xlfn.XLOOKUP(Table43[[#This Row],[Column1]],#REF!,#REF!),0)</f>
        <v>0</v>
      </c>
      <c r="U507" s="50">
        <f>IFERROR(_xlfn.XLOOKUP(Table43[[#This Row],[Column1]],#REF!,#REF!),0)</f>
        <v>0</v>
      </c>
      <c r="V507" s="39"/>
    </row>
    <row r="508" spans="1:22" x14ac:dyDescent="0.35">
      <c r="A508" s="3" t="s">
        <v>5380</v>
      </c>
      <c r="B508" s="2" t="s">
        <v>1624</v>
      </c>
      <c r="C508" s="2" t="s">
        <v>15</v>
      </c>
      <c r="D508" s="2">
        <v>225</v>
      </c>
      <c r="E508" s="2" t="s">
        <v>10</v>
      </c>
      <c r="F508" s="3">
        <v>0</v>
      </c>
      <c r="G508" s="3">
        <v>2</v>
      </c>
      <c r="H508" s="2">
        <v>0</v>
      </c>
      <c r="I508" s="22">
        <f>Table43[[#This Row],[Item Cost]]*Table43[[#This Row],[In Stock]]</f>
        <v>0</v>
      </c>
      <c r="J508" s="12" t="s">
        <v>4941</v>
      </c>
      <c r="K508" s="13" t="s">
        <v>4666</v>
      </c>
      <c r="L508" s="13" t="s">
        <v>4693</v>
      </c>
      <c r="M508" s="13" t="s">
        <v>4693</v>
      </c>
      <c r="N508" s="12" t="s">
        <v>4672</v>
      </c>
      <c r="O508" s="17" t="str">
        <f>IF(LEN(COUNTIFS($J$1:J508,$J508,$K$1:K508,$K508,$L$1:L508,$L508,$M$1:M508,M508,$N$1:N508,N508))=1,"00"&amp;COUNTIFS($J$1:J508,$J508,$K$1:K508,$K508,$L$1:L508,$L508,$M$1:M508,M508,$N$1:N508,N508),IF(LEN(COUNTIFS($J$1:J508,$J508,$K$1:K508,$K508,$L$1:L508,$L508,$M$1:M508,M508,$N$1:N508,N508))=2,"0"&amp;COUNTIFS($J$1:J508,$J508,$K$1:K508,$K508,$L$1:L508,$L508,$M$1:M508,M508,$N$1:N508,N508),COUNTIFS($J$1:J508,$J508,$K$1:K508,$K508,$L$1:L508,$L508,$M$1:M508,M508,$N$1:N508,N508)))</f>
        <v>052</v>
      </c>
      <c r="P50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MS-NS-012-23-00052-INV</v>
      </c>
      <c r="Q508" s="59"/>
      <c r="R508" s="34" t="s">
        <v>6303</v>
      </c>
      <c r="S508" s="34" t="s">
        <v>1624</v>
      </c>
      <c r="T508" s="34">
        <f>+IFERROR(_xlfn.XLOOKUP(Table43[[#This Row],[Column1]],#REF!,#REF!),0)</f>
        <v>0</v>
      </c>
      <c r="U508" s="50">
        <f>IFERROR(_xlfn.XLOOKUP(Table43[[#This Row],[Column1]],#REF!,#REF!),0)</f>
        <v>0</v>
      </c>
      <c r="V508" s="39"/>
    </row>
    <row r="509" spans="1:22" x14ac:dyDescent="0.35">
      <c r="A509" s="3" t="s">
        <v>5381</v>
      </c>
      <c r="B509" s="3" t="s">
        <v>1630</v>
      </c>
      <c r="C509" s="3" t="s">
        <v>15</v>
      </c>
      <c r="D509" s="3">
        <v>0</v>
      </c>
      <c r="E509" s="3" t="s">
        <v>10</v>
      </c>
      <c r="F509" s="3">
        <v>0</v>
      </c>
      <c r="G509" s="3">
        <v>2</v>
      </c>
      <c r="H509" s="3">
        <v>0</v>
      </c>
      <c r="I509" s="21">
        <f>Table43[[#This Row],[Item Cost]]*Table43[[#This Row],[In Stock]]</f>
        <v>0</v>
      </c>
      <c r="J509" s="12" t="s">
        <v>4941</v>
      </c>
      <c r="K509" s="13" t="s">
        <v>4666</v>
      </c>
      <c r="L509" s="13" t="s">
        <v>4693</v>
      </c>
      <c r="M509" s="13" t="s">
        <v>4775</v>
      </c>
      <c r="N509" s="12" t="s">
        <v>4672</v>
      </c>
      <c r="O509" s="17" t="str">
        <f>IF(LEN(COUNTIFS($J$1:J509,$J509,$K$1:K509,$K509,$L$1:L509,$L509,$M$1:M509,M509,$N$1:N509,N509))=1,"00"&amp;COUNTIFS($J$1:J509,$J509,$K$1:K509,$K509,$L$1:L509,$L509,$M$1:M509,M509,$N$1:N509,N509),IF(LEN(COUNTIFS($J$1:J509,$J509,$K$1:K509,$K509,$L$1:L509,$L509,$M$1:M509,M509,$N$1:N509,N509))=2,"0"&amp;COUNTIFS($J$1:J509,$J509,$K$1:K509,$K509,$L$1:L509,$L509,$M$1:M509,M509,$N$1:N509,N509),COUNTIFS($J$1:J509,$J509,$K$1:K509,$K509,$L$1:L509,$L509,$M$1:M509,M509,$N$1:N509,N509)))</f>
        <v>014</v>
      </c>
      <c r="P50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MS-NS-012-09-00014-INV</v>
      </c>
      <c r="Q509" s="59"/>
      <c r="R509" s="34" t="s">
        <v>6304</v>
      </c>
      <c r="S509" s="34" t="s">
        <v>1630</v>
      </c>
      <c r="T509" s="34">
        <f>+IFERROR(_xlfn.XLOOKUP(Table43[[#This Row],[Column1]],#REF!,#REF!),0)</f>
        <v>0</v>
      </c>
      <c r="U509" s="50">
        <f>IFERROR(_xlfn.XLOOKUP(Table43[[#This Row],[Column1]],#REF!,#REF!),0)</f>
        <v>0</v>
      </c>
      <c r="V509" s="39"/>
    </row>
    <row r="510" spans="1:22" x14ac:dyDescent="0.35">
      <c r="A510" s="3" t="s">
        <v>5382</v>
      </c>
      <c r="B510" s="2" t="s">
        <v>1632</v>
      </c>
      <c r="C510" s="2" t="s">
        <v>15</v>
      </c>
      <c r="D510" s="2">
        <v>0</v>
      </c>
      <c r="E510" s="2" t="s">
        <v>10</v>
      </c>
      <c r="F510" s="3">
        <v>0</v>
      </c>
      <c r="G510" s="3">
        <v>2</v>
      </c>
      <c r="H510" s="2">
        <v>0</v>
      </c>
      <c r="I510" s="22">
        <f>Table43[[#This Row],[Item Cost]]*Table43[[#This Row],[In Stock]]</f>
        <v>0</v>
      </c>
      <c r="J510" s="12" t="s">
        <v>4941</v>
      </c>
      <c r="K510" s="13" t="s">
        <v>4666</v>
      </c>
      <c r="L510" s="13" t="s">
        <v>4693</v>
      </c>
      <c r="M510" s="13" t="s">
        <v>4839</v>
      </c>
      <c r="N510" s="12" t="s">
        <v>4672</v>
      </c>
      <c r="O510" s="17" t="str">
        <f>IF(LEN(COUNTIFS($J$1:J510,$J510,$K$1:K510,$K510,$L$1:L510,$L510,$M$1:M510,M510,$N$1:N510,N510))=1,"00"&amp;COUNTIFS($J$1:J510,$J510,$K$1:K510,$K510,$L$1:L510,$L510,$M$1:M510,M510,$N$1:N510,N510),IF(LEN(COUNTIFS($J$1:J510,$J510,$K$1:K510,$K510,$L$1:L510,$L510,$M$1:M510,M510,$N$1:N510,N510))=2,"0"&amp;COUNTIFS($J$1:J510,$J510,$K$1:K510,$K510,$L$1:L510,$L510,$M$1:M510,M510,$N$1:N510,N510),COUNTIFS($J$1:J510,$J510,$K$1:K510,$K510,$L$1:L510,$L510,$M$1:M510,M510,$N$1:N510,N510)))</f>
        <v>005</v>
      </c>
      <c r="P51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MS-NS-012-27-00005-INV</v>
      </c>
      <c r="Q510" s="59" t="s">
        <v>7356</v>
      </c>
      <c r="R510" s="34" t="s">
        <v>6305</v>
      </c>
      <c r="S510" s="34" t="s">
        <v>1632</v>
      </c>
      <c r="T510" s="34">
        <f>+IFERROR(_xlfn.XLOOKUP(Table43[[#This Row],[Column1]],#REF!,#REF!),0)</f>
        <v>0</v>
      </c>
      <c r="U510" s="50">
        <f>IFERROR(_xlfn.XLOOKUP(Table43[[#This Row],[Column1]],#REF!,#REF!),0)</f>
        <v>0</v>
      </c>
      <c r="V510" s="39"/>
    </row>
    <row r="511" spans="1:22" x14ac:dyDescent="0.35">
      <c r="A511" s="3" t="s">
        <v>5383</v>
      </c>
      <c r="B511" s="2" t="s">
        <v>1644</v>
      </c>
      <c r="C511" s="2" t="s">
        <v>15</v>
      </c>
      <c r="D511" s="2">
        <v>310</v>
      </c>
      <c r="E511" s="2" t="s">
        <v>10</v>
      </c>
      <c r="F511" s="3">
        <v>0</v>
      </c>
      <c r="G511" s="3">
        <v>2</v>
      </c>
      <c r="H511" s="2">
        <v>3</v>
      </c>
      <c r="I511" s="22">
        <f>Table43[[#This Row],[Item Cost]]*Table43[[#This Row],[In Stock]]</f>
        <v>930</v>
      </c>
      <c r="J511" s="12" t="s">
        <v>4941</v>
      </c>
      <c r="K511" s="13" t="s">
        <v>4666</v>
      </c>
      <c r="L511" s="13" t="s">
        <v>4693</v>
      </c>
      <c r="M511" s="13" t="s">
        <v>4693</v>
      </c>
      <c r="N511" s="12" t="s">
        <v>4672</v>
      </c>
      <c r="O511" s="17" t="str">
        <f>IF(LEN(COUNTIFS($J$1:J511,$J511,$K$1:K511,$K511,$L$1:L511,$L511,$M$1:M511,M511,$N$1:N511,N511))=1,"00"&amp;COUNTIFS($J$1:J511,$J511,$K$1:K511,$K511,$L$1:L511,$L511,$M$1:M511,M511,$N$1:N511,N511),IF(LEN(COUNTIFS($J$1:J511,$J511,$K$1:K511,$K511,$L$1:L511,$L511,$M$1:M511,M511,$N$1:N511,N511))=2,"0"&amp;COUNTIFS($J$1:J511,$J511,$K$1:K511,$K511,$L$1:L511,$L511,$M$1:M511,M511,$N$1:N511,N511),COUNTIFS($J$1:J511,$J511,$K$1:K511,$K511,$L$1:L511,$L511,$M$1:M511,M511,$N$1:N511,N511)))</f>
        <v>053</v>
      </c>
      <c r="P51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MS-NS-012-23-00053-INV</v>
      </c>
      <c r="Q511" s="59"/>
      <c r="R511" s="34" t="s">
        <v>6306</v>
      </c>
      <c r="S511" s="34" t="s">
        <v>1644</v>
      </c>
      <c r="T511" s="34">
        <f>+IFERROR(_xlfn.XLOOKUP(Table43[[#This Row],[Column1]],#REF!,#REF!),0)</f>
        <v>0</v>
      </c>
      <c r="U511" s="50">
        <f>IFERROR(_xlfn.XLOOKUP(Table43[[#This Row],[Column1]],#REF!,#REF!),0)</f>
        <v>0</v>
      </c>
      <c r="V511" s="39"/>
    </row>
    <row r="512" spans="1:22" x14ac:dyDescent="0.35">
      <c r="A512" s="3" t="s">
        <v>5384</v>
      </c>
      <c r="B512" s="2" t="s">
        <v>1652</v>
      </c>
      <c r="C512" s="2" t="s">
        <v>15</v>
      </c>
      <c r="D512" s="2">
        <v>58</v>
      </c>
      <c r="E512" s="2" t="s">
        <v>10</v>
      </c>
      <c r="F512" s="3">
        <v>0</v>
      </c>
      <c r="G512" s="3">
        <v>2</v>
      </c>
      <c r="H512" s="2">
        <v>10</v>
      </c>
      <c r="I512" s="22">
        <f>Table43[[#This Row],[Item Cost]]*Table43[[#This Row],[In Stock]]</f>
        <v>580</v>
      </c>
      <c r="J512" s="12" t="s">
        <v>4941</v>
      </c>
      <c r="K512" s="13" t="s">
        <v>4666</v>
      </c>
      <c r="L512" s="13" t="s">
        <v>4693</v>
      </c>
      <c r="M512" s="13" t="s">
        <v>4777</v>
      </c>
      <c r="N512" s="12" t="s">
        <v>4672</v>
      </c>
      <c r="O512" s="17" t="str">
        <f>IF(LEN(COUNTIFS($J$1:J512,$J512,$K$1:K512,$K512,$L$1:L512,$L512,$M$1:M512,M512,$N$1:N512,N512))=1,"00"&amp;COUNTIFS($J$1:J512,$J512,$K$1:K512,$K512,$L$1:L512,$L512,$M$1:M512,M512,$N$1:N512,N512),IF(LEN(COUNTIFS($J$1:J512,$J512,$K$1:K512,$K512,$L$1:L512,$L512,$M$1:M512,M512,$N$1:N512,N512))=2,"0"&amp;COUNTIFS($J$1:J512,$J512,$K$1:K512,$K512,$L$1:L512,$L512,$M$1:M512,M512,$N$1:N512,N512),COUNTIFS($J$1:J512,$J512,$K$1:K512,$K512,$L$1:L512,$L512,$M$1:M512,M512,$N$1:N512,N512)))</f>
        <v>020</v>
      </c>
      <c r="P51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MS-NS-012-11-00020-INV</v>
      </c>
      <c r="Q512" s="59"/>
      <c r="R512" s="34" t="s">
        <v>6307</v>
      </c>
      <c r="S512" s="34" t="s">
        <v>1652</v>
      </c>
      <c r="T512" s="34">
        <f>+IFERROR(_xlfn.XLOOKUP(Table43[[#This Row],[Column1]],#REF!,#REF!),0)</f>
        <v>0</v>
      </c>
      <c r="U512" s="50">
        <f>IFERROR(_xlfn.XLOOKUP(Table43[[#This Row],[Column1]],#REF!,#REF!),0)</f>
        <v>0</v>
      </c>
      <c r="V512" s="39"/>
    </row>
    <row r="513" spans="1:22" x14ac:dyDescent="0.35">
      <c r="A513" s="3" t="s">
        <v>5385</v>
      </c>
      <c r="B513" s="3" t="s">
        <v>1654</v>
      </c>
      <c r="C513" s="3" t="s">
        <v>15</v>
      </c>
      <c r="D513" s="3">
        <v>58</v>
      </c>
      <c r="E513" s="3" t="s">
        <v>10</v>
      </c>
      <c r="F513" s="3">
        <v>0</v>
      </c>
      <c r="G513" s="3">
        <v>2</v>
      </c>
      <c r="H513" s="3">
        <v>10</v>
      </c>
      <c r="I513" s="21">
        <f>Table43[[#This Row],[Item Cost]]*Table43[[#This Row],[In Stock]]</f>
        <v>580</v>
      </c>
      <c r="J513" s="12" t="s">
        <v>4941</v>
      </c>
      <c r="K513" s="13" t="s">
        <v>4666</v>
      </c>
      <c r="L513" s="13" t="s">
        <v>4693</v>
      </c>
      <c r="M513" s="13" t="s">
        <v>4777</v>
      </c>
      <c r="N513" s="12" t="s">
        <v>4672</v>
      </c>
      <c r="O513" s="17" t="str">
        <f>IF(LEN(COUNTIFS($J$1:J513,$J513,$K$1:K513,$K513,$L$1:L513,$L513,$M$1:M513,M513,$N$1:N513,N513))=1,"00"&amp;COUNTIFS($J$1:J513,$J513,$K$1:K513,$K513,$L$1:L513,$L513,$M$1:M513,M513,$N$1:N513,N513),IF(LEN(COUNTIFS($J$1:J513,$J513,$K$1:K513,$K513,$L$1:L513,$L513,$M$1:M513,M513,$N$1:N513,N513))=2,"0"&amp;COUNTIFS($J$1:J513,$J513,$K$1:K513,$K513,$L$1:L513,$L513,$M$1:M513,M513,$N$1:N513,N513),COUNTIFS($J$1:J513,$J513,$K$1:K513,$K513,$L$1:L513,$L513,$M$1:M513,M513,$N$1:N513,N513)))</f>
        <v>021</v>
      </c>
      <c r="P51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MS-NS-012-11-00021-INV</v>
      </c>
      <c r="Q513" s="59"/>
      <c r="R513" s="34" t="s">
        <v>6308</v>
      </c>
      <c r="S513" s="34" t="s">
        <v>1654</v>
      </c>
      <c r="T513" s="34">
        <f>+IFERROR(_xlfn.XLOOKUP(Table43[[#This Row],[Column1]],#REF!,#REF!),0)</f>
        <v>0</v>
      </c>
      <c r="U513" s="50">
        <f>IFERROR(_xlfn.XLOOKUP(Table43[[#This Row],[Column1]],#REF!,#REF!),0)</f>
        <v>0</v>
      </c>
      <c r="V513" s="39"/>
    </row>
    <row r="514" spans="1:22" x14ac:dyDescent="0.35">
      <c r="A514" s="3" t="s">
        <v>5386</v>
      </c>
      <c r="B514" s="3" t="s">
        <v>1658</v>
      </c>
      <c r="C514" s="3" t="s">
        <v>15</v>
      </c>
      <c r="D514" s="3">
        <v>0</v>
      </c>
      <c r="E514" s="3" t="s">
        <v>10</v>
      </c>
      <c r="F514" s="3">
        <v>0</v>
      </c>
      <c r="G514" s="3">
        <v>2</v>
      </c>
      <c r="H514" s="3">
        <v>0</v>
      </c>
      <c r="I514" s="21">
        <f>Table43[[#This Row],[Item Cost]]*Table43[[#This Row],[In Stock]]</f>
        <v>0</v>
      </c>
      <c r="J514" s="12" t="s">
        <v>4941</v>
      </c>
      <c r="K514" s="13" t="s">
        <v>4666</v>
      </c>
      <c r="L514" s="13" t="s">
        <v>4693</v>
      </c>
      <c r="M514" s="13" t="s">
        <v>4693</v>
      </c>
      <c r="N514" s="12" t="s">
        <v>4672</v>
      </c>
      <c r="O514" s="17" t="str">
        <f>IF(LEN(COUNTIFS($J$1:J514,$J514,$K$1:K514,$K514,$L$1:L514,$L514,$M$1:M514,M514,$N$1:N514,N514))=1,"00"&amp;COUNTIFS($J$1:J514,$J514,$K$1:K514,$K514,$L$1:L514,$L514,$M$1:M514,M514,$N$1:N514,N514),IF(LEN(COUNTIFS($J$1:J514,$J514,$K$1:K514,$K514,$L$1:L514,$L514,$M$1:M514,M514,$N$1:N514,N514))=2,"0"&amp;COUNTIFS($J$1:J514,$J514,$K$1:K514,$K514,$L$1:L514,$L514,$M$1:M514,M514,$N$1:N514,N514),COUNTIFS($J$1:J514,$J514,$K$1:K514,$K514,$L$1:L514,$L514,$M$1:M514,M514,$N$1:N514,N514)))</f>
        <v>054</v>
      </c>
      <c r="P51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MS-NS-012-23-00054-INV</v>
      </c>
      <c r="Q514" s="59"/>
      <c r="R514" s="34" t="s">
        <v>6309</v>
      </c>
      <c r="S514" s="34" t="s">
        <v>1658</v>
      </c>
      <c r="T514" s="34">
        <f>+IFERROR(_xlfn.XLOOKUP(Table43[[#This Row],[Column1]],#REF!,#REF!),0)</f>
        <v>0</v>
      </c>
      <c r="U514" s="50">
        <f>IFERROR(_xlfn.XLOOKUP(Table43[[#This Row],[Column1]],#REF!,#REF!),0)</f>
        <v>0</v>
      </c>
      <c r="V514" s="39"/>
    </row>
    <row r="515" spans="1:22" x14ac:dyDescent="0.35">
      <c r="A515" s="3" t="s">
        <v>5387</v>
      </c>
      <c r="B515" s="2" t="s">
        <v>1676</v>
      </c>
      <c r="C515" s="2" t="s">
        <v>15</v>
      </c>
      <c r="D515" s="2">
        <v>0</v>
      </c>
      <c r="E515" s="2" t="s">
        <v>10</v>
      </c>
      <c r="F515" s="3">
        <v>0</v>
      </c>
      <c r="G515" s="3">
        <v>2</v>
      </c>
      <c r="H515" s="2">
        <v>0</v>
      </c>
      <c r="I515" s="22">
        <f>Table43[[#This Row],[Item Cost]]*Table43[[#This Row],[In Stock]]</f>
        <v>0</v>
      </c>
      <c r="J515" s="12" t="s">
        <v>4941</v>
      </c>
      <c r="K515" s="13" t="s">
        <v>4666</v>
      </c>
      <c r="L515" s="13" t="s">
        <v>4693</v>
      </c>
      <c r="M515" s="13" t="s">
        <v>4693</v>
      </c>
      <c r="N515" s="12" t="s">
        <v>4672</v>
      </c>
      <c r="O515" s="17" t="str">
        <f>IF(LEN(COUNTIFS($J$1:J515,$J515,$K$1:K515,$K515,$L$1:L515,$L515,$M$1:M515,M515,$N$1:N515,N515))=1,"00"&amp;COUNTIFS($J$1:J515,$J515,$K$1:K515,$K515,$L$1:L515,$L515,$M$1:M515,M515,$N$1:N515,N515),IF(LEN(COUNTIFS($J$1:J515,$J515,$K$1:K515,$K515,$L$1:L515,$L515,$M$1:M515,M515,$N$1:N515,N515))=2,"0"&amp;COUNTIFS($J$1:J515,$J515,$K$1:K515,$K515,$L$1:L515,$L515,$M$1:M515,M515,$N$1:N515,N515),COUNTIFS($J$1:J515,$J515,$K$1:K515,$K515,$L$1:L515,$L515,$M$1:M515,M515,$N$1:N515,N515)))</f>
        <v>055</v>
      </c>
      <c r="P51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MS-NS-012-23-00055-INV</v>
      </c>
      <c r="Q515" s="59"/>
      <c r="R515" s="34" t="s">
        <v>6310</v>
      </c>
      <c r="S515" s="34" t="s">
        <v>1676</v>
      </c>
      <c r="T515" s="34">
        <f>+IFERROR(_xlfn.XLOOKUP(Table43[[#This Row],[Column1]],#REF!,#REF!),0)</f>
        <v>0</v>
      </c>
      <c r="U515" s="50">
        <f>IFERROR(_xlfn.XLOOKUP(Table43[[#This Row],[Column1]],#REF!,#REF!),0)</f>
        <v>0</v>
      </c>
      <c r="V515" s="39"/>
    </row>
    <row r="516" spans="1:22" x14ac:dyDescent="0.35">
      <c r="A516" s="3" t="s">
        <v>5388</v>
      </c>
      <c r="B516" s="3" t="s">
        <v>1678</v>
      </c>
      <c r="C516" s="3" t="s">
        <v>9</v>
      </c>
      <c r="D516" s="3">
        <v>365</v>
      </c>
      <c r="E516" s="3" t="s">
        <v>10</v>
      </c>
      <c r="F516" s="2">
        <v>1</v>
      </c>
      <c r="G516" s="2">
        <v>2</v>
      </c>
      <c r="H516" s="3">
        <v>5</v>
      </c>
      <c r="I516" s="21">
        <f>Table43[[#This Row],[Item Cost]]*Table43[[#This Row],[In Stock]]</f>
        <v>1825</v>
      </c>
      <c r="J516" s="12" t="s">
        <v>4941</v>
      </c>
      <c r="K516" s="13" t="s">
        <v>4664</v>
      </c>
      <c r="L516" s="13" t="s">
        <v>4693</v>
      </c>
      <c r="M516" s="13" t="s">
        <v>4693</v>
      </c>
      <c r="N516" s="12" t="s">
        <v>4672</v>
      </c>
      <c r="O516" s="17" t="str">
        <f>IF(LEN(COUNTIFS($J$1:J516,$J516,$K$1:K516,$K516,$L$1:L516,$L516,$M$1:M516,M516,$N$1:N516,N516))=1,"00"&amp;COUNTIFS($J$1:J516,$J516,$K$1:K516,$K516,$L$1:L516,$L516,$M$1:M516,M516,$N$1:N516,N516),IF(LEN(COUNTIFS($J$1:J516,$J516,$K$1:K516,$K516,$L$1:L516,$L516,$M$1:M516,M516,$N$1:N516,N516))=2,"0"&amp;COUNTIFS($J$1:J516,$J516,$K$1:K516,$K516,$L$1:L516,$L516,$M$1:M516,M516,$N$1:N516,N516),COUNTIFS($J$1:J516,$J516,$K$1:K516,$K516,$L$1:L516,$L516,$M$1:M516,M516,$N$1:N516,N516)))</f>
        <v>001</v>
      </c>
      <c r="P51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MS-CS-012-23-00001-INV</v>
      </c>
      <c r="Q516" s="59" t="s">
        <v>7356</v>
      </c>
      <c r="R516" s="34" t="s">
        <v>6311</v>
      </c>
      <c r="S516" s="34" t="s">
        <v>1678</v>
      </c>
      <c r="T516" s="34">
        <f>+IFERROR(_xlfn.XLOOKUP(Table43[[#This Row],[Column1]],#REF!,#REF!),0)</f>
        <v>0</v>
      </c>
      <c r="U516" s="50">
        <f>IFERROR(_xlfn.XLOOKUP(Table43[[#This Row],[Column1]],#REF!,#REF!),0)</f>
        <v>0</v>
      </c>
      <c r="V516" s="39"/>
    </row>
    <row r="517" spans="1:22" x14ac:dyDescent="0.35">
      <c r="A517" s="3" t="s">
        <v>5389</v>
      </c>
      <c r="B517" s="2" t="s">
        <v>1680</v>
      </c>
      <c r="C517" s="2" t="s">
        <v>15</v>
      </c>
      <c r="D517" s="2">
        <v>425</v>
      </c>
      <c r="E517" s="2" t="s">
        <v>10</v>
      </c>
      <c r="F517" s="3">
        <v>0</v>
      </c>
      <c r="G517" s="3">
        <v>2</v>
      </c>
      <c r="H517" s="2">
        <v>5</v>
      </c>
      <c r="I517" s="22">
        <f>Table43[[#This Row],[Item Cost]]*Table43[[#This Row],[In Stock]]</f>
        <v>2125</v>
      </c>
      <c r="J517" s="12" t="s">
        <v>4941</v>
      </c>
      <c r="K517" s="13" t="s">
        <v>4666</v>
      </c>
      <c r="L517" s="13" t="s">
        <v>4693</v>
      </c>
      <c r="M517" s="13" t="s">
        <v>4772</v>
      </c>
      <c r="N517" s="12" t="s">
        <v>4672</v>
      </c>
      <c r="O517" s="17" t="str">
        <f>IF(LEN(COUNTIFS($J$1:J517,$J517,$K$1:K517,$K517,$L$1:L517,$L517,$M$1:M517,M517,$N$1:N517,N517))=1,"00"&amp;COUNTIFS($J$1:J517,$J517,$K$1:K517,$K517,$L$1:L517,$L517,$M$1:M517,M517,$N$1:N517,N517),IF(LEN(COUNTIFS($J$1:J517,$J517,$K$1:K517,$K517,$L$1:L517,$L517,$M$1:M517,M517,$N$1:N517,N517))=2,"0"&amp;COUNTIFS($J$1:J517,$J517,$K$1:K517,$K517,$L$1:L517,$L517,$M$1:M517,M517,$N$1:N517,N517),COUNTIFS($J$1:J517,$J517,$K$1:K517,$K517,$L$1:L517,$L517,$M$1:M517,M517,$N$1:N517,N517)))</f>
        <v>001</v>
      </c>
      <c r="P51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MS-NS-012-06-00001-INV</v>
      </c>
      <c r="Q517" s="59"/>
      <c r="R517" s="34" t="s">
        <v>6312</v>
      </c>
      <c r="S517" s="34" t="s">
        <v>1680</v>
      </c>
      <c r="T517" s="34">
        <f>+IFERROR(_xlfn.XLOOKUP(Table43[[#This Row],[Column1]],#REF!,#REF!),0)</f>
        <v>0</v>
      </c>
      <c r="U517" s="50">
        <f>IFERROR(_xlfn.XLOOKUP(Table43[[#This Row],[Column1]],#REF!,#REF!),0)</f>
        <v>0</v>
      </c>
      <c r="V517" s="39"/>
    </row>
    <row r="518" spans="1:22" x14ac:dyDescent="0.35">
      <c r="A518" s="3" t="s">
        <v>5390</v>
      </c>
      <c r="B518" s="3" t="s">
        <v>4884</v>
      </c>
      <c r="C518" s="3" t="s">
        <v>15</v>
      </c>
      <c r="D518" s="3"/>
      <c r="E518" s="3" t="s">
        <v>10</v>
      </c>
      <c r="F518" s="3">
        <v>0</v>
      </c>
      <c r="G518" s="3">
        <v>4</v>
      </c>
      <c r="H518" s="3">
        <v>0</v>
      </c>
      <c r="I518" s="21">
        <f>Table43[[#This Row],[Item Cost]]*Table43[[#This Row],[In Stock]]</f>
        <v>0</v>
      </c>
      <c r="J518" s="12" t="s">
        <v>4941</v>
      </c>
      <c r="K518" s="13" t="s">
        <v>4666</v>
      </c>
      <c r="L518" s="13" t="s">
        <v>4693</v>
      </c>
      <c r="M518" s="13" t="s">
        <v>4693</v>
      </c>
      <c r="N518" s="12" t="s">
        <v>4672</v>
      </c>
      <c r="O518" s="17" t="str">
        <f>IF(LEN(COUNTIFS($J$1:J518,$J518,$K$1:K518,$K518,$L$1:L518,$L518,$M$1:M518,M518,$N$1:N518,N518))=1,"00"&amp;COUNTIFS($J$1:J518,$J518,$K$1:K518,$K518,$L$1:L518,$L518,$M$1:M518,M518,$N$1:N518,N518),IF(LEN(COUNTIFS($J$1:J518,$J518,$K$1:K518,$K518,$L$1:L518,$L518,$M$1:M518,M518,$N$1:N518,N518))=2,"0"&amp;COUNTIFS($J$1:J518,$J518,$K$1:K518,$K518,$L$1:L518,$L518,$M$1:M518,M518,$N$1:N518,N518),COUNTIFS($J$1:J518,$J518,$K$1:K518,$K518,$L$1:L518,$L518,$M$1:M518,M518,$N$1:N518,N518)))</f>
        <v>056</v>
      </c>
      <c r="P51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MS-NS-012-23-00056-INV</v>
      </c>
      <c r="Q518" s="59"/>
      <c r="R518" s="34" t="s">
        <v>6313</v>
      </c>
      <c r="S518" s="34" t="s">
        <v>4884</v>
      </c>
      <c r="T518" s="34">
        <f>+IFERROR(_xlfn.XLOOKUP(Table43[[#This Row],[Column1]],#REF!,#REF!),0)</f>
        <v>0</v>
      </c>
      <c r="U518" s="50">
        <f>IFERROR(_xlfn.XLOOKUP(Table43[[#This Row],[Column1]],#REF!,#REF!),0)</f>
        <v>0</v>
      </c>
      <c r="V518" s="39"/>
    </row>
    <row r="519" spans="1:22" x14ac:dyDescent="0.35">
      <c r="A519" s="3" t="s">
        <v>5391</v>
      </c>
      <c r="B519" s="3" t="s">
        <v>4887</v>
      </c>
      <c r="C519" s="3" t="s">
        <v>15</v>
      </c>
      <c r="D519" s="3"/>
      <c r="E519" s="3" t="s">
        <v>10</v>
      </c>
      <c r="F519" s="3">
        <v>0</v>
      </c>
      <c r="G519" s="3">
        <v>4</v>
      </c>
      <c r="H519" s="3">
        <v>0</v>
      </c>
      <c r="I519" s="21">
        <f>Table43[[#This Row],[Item Cost]]*Table43[[#This Row],[In Stock]]</f>
        <v>0</v>
      </c>
      <c r="J519" s="12" t="s">
        <v>4941</v>
      </c>
      <c r="K519" s="13" t="s">
        <v>4666</v>
      </c>
      <c r="L519" s="13" t="s">
        <v>4693</v>
      </c>
      <c r="M519" s="13" t="s">
        <v>4693</v>
      </c>
      <c r="N519" s="12" t="s">
        <v>4672</v>
      </c>
      <c r="O519" s="17" t="str">
        <f>IF(LEN(COUNTIFS($J$1:J519,$J519,$K$1:K519,$K519,$L$1:L519,$L519,$M$1:M519,M519,$N$1:N519,N519))=1,"00"&amp;COUNTIFS($J$1:J519,$J519,$K$1:K519,$K519,$L$1:L519,$L519,$M$1:M519,M519,$N$1:N519,N519),IF(LEN(COUNTIFS($J$1:J519,$J519,$K$1:K519,$K519,$L$1:L519,$L519,$M$1:M519,M519,$N$1:N519,N519))=2,"0"&amp;COUNTIFS($J$1:J519,$J519,$K$1:K519,$K519,$L$1:L519,$L519,$M$1:M519,M519,$N$1:N519,N519),COUNTIFS($J$1:J519,$J519,$K$1:K519,$K519,$L$1:L519,$L519,$M$1:M519,M519,$N$1:N519,N519)))</f>
        <v>057</v>
      </c>
      <c r="P51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MS-NS-012-23-00057-INV</v>
      </c>
      <c r="Q519" s="59"/>
      <c r="R519" s="34" t="s">
        <v>6314</v>
      </c>
      <c r="S519" s="34" t="s">
        <v>4887</v>
      </c>
      <c r="T519" s="34">
        <f>+IFERROR(_xlfn.XLOOKUP(Table43[[#This Row],[Column1]],#REF!,#REF!),0)</f>
        <v>0</v>
      </c>
      <c r="U519" s="50">
        <f>IFERROR(_xlfn.XLOOKUP(Table43[[#This Row],[Column1]],#REF!,#REF!),0)</f>
        <v>0</v>
      </c>
      <c r="V519" s="39"/>
    </row>
    <row r="520" spans="1:22" x14ac:dyDescent="0.35">
      <c r="A520" s="3" t="s">
        <v>5392</v>
      </c>
      <c r="B520" s="3" t="s">
        <v>4888</v>
      </c>
      <c r="C520" s="3" t="s">
        <v>15</v>
      </c>
      <c r="D520" s="3"/>
      <c r="E520" s="3" t="s">
        <v>10</v>
      </c>
      <c r="F520" s="3">
        <v>0</v>
      </c>
      <c r="G520" s="3">
        <v>4</v>
      </c>
      <c r="H520" s="3">
        <v>0</v>
      </c>
      <c r="I520" s="21">
        <f>Table43[[#This Row],[Item Cost]]*Table43[[#This Row],[In Stock]]</f>
        <v>0</v>
      </c>
      <c r="J520" s="12" t="s">
        <v>4941</v>
      </c>
      <c r="K520" s="13" t="s">
        <v>4666</v>
      </c>
      <c r="L520" s="13" t="s">
        <v>4693</v>
      </c>
      <c r="M520" s="13" t="s">
        <v>4693</v>
      </c>
      <c r="N520" s="12" t="s">
        <v>4672</v>
      </c>
      <c r="O520" s="17" t="str">
        <f>IF(LEN(COUNTIFS($J$1:J520,$J520,$K$1:K520,$K520,$L$1:L520,$L520,$M$1:M520,M520,$N$1:N520,N520))=1,"00"&amp;COUNTIFS($J$1:J520,$J520,$K$1:K520,$K520,$L$1:L520,$L520,$M$1:M520,M520,$N$1:N520,N520),IF(LEN(COUNTIFS($J$1:J520,$J520,$K$1:K520,$K520,$L$1:L520,$L520,$M$1:M520,M520,$N$1:N520,N520))=2,"0"&amp;COUNTIFS($J$1:J520,$J520,$K$1:K520,$K520,$L$1:L520,$L520,$M$1:M520,M520,$N$1:N520,N520),COUNTIFS($J$1:J520,$J520,$K$1:K520,$K520,$L$1:L520,$L520,$M$1:M520,M520,$N$1:N520,N520)))</f>
        <v>058</v>
      </c>
      <c r="P52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MS-NS-012-23-00058-INV</v>
      </c>
      <c r="Q520" s="59"/>
      <c r="R520" s="34" t="s">
        <v>6315</v>
      </c>
      <c r="S520" s="34" t="s">
        <v>4888</v>
      </c>
      <c r="T520" s="34">
        <f>+IFERROR(_xlfn.XLOOKUP(Table43[[#This Row],[Column1]],#REF!,#REF!),0)</f>
        <v>0</v>
      </c>
      <c r="U520" s="50">
        <f>IFERROR(_xlfn.XLOOKUP(Table43[[#This Row],[Column1]],#REF!,#REF!),0)</f>
        <v>0</v>
      </c>
      <c r="V520" s="39"/>
    </row>
    <row r="521" spans="1:22" x14ac:dyDescent="0.35">
      <c r="A521" s="3" t="s">
        <v>5393</v>
      </c>
      <c r="B521" s="3" t="s">
        <v>4890</v>
      </c>
      <c r="C521" s="3" t="s">
        <v>15</v>
      </c>
      <c r="D521" s="3"/>
      <c r="E521" s="3" t="s">
        <v>10</v>
      </c>
      <c r="F521" s="3">
        <v>0</v>
      </c>
      <c r="G521" s="3">
        <v>4</v>
      </c>
      <c r="H521" s="3">
        <v>0</v>
      </c>
      <c r="I521" s="21">
        <f>Table43[[#This Row],[Item Cost]]*Table43[[#This Row],[In Stock]]</f>
        <v>0</v>
      </c>
      <c r="J521" s="12" t="s">
        <v>4941</v>
      </c>
      <c r="K521" s="13" t="s">
        <v>4666</v>
      </c>
      <c r="L521" s="13" t="s">
        <v>4693</v>
      </c>
      <c r="M521" s="13" t="s">
        <v>4693</v>
      </c>
      <c r="N521" s="12" t="s">
        <v>4672</v>
      </c>
      <c r="O521" s="17" t="str">
        <f>IF(LEN(COUNTIFS($J$1:J521,$J521,$K$1:K521,$K521,$L$1:L521,$L521,$M$1:M521,M521,$N$1:N521,N521))=1,"00"&amp;COUNTIFS($J$1:J521,$J521,$K$1:K521,$K521,$L$1:L521,$L521,$M$1:M521,M521,$N$1:N521,N521),IF(LEN(COUNTIFS($J$1:J521,$J521,$K$1:K521,$K521,$L$1:L521,$L521,$M$1:M521,M521,$N$1:N521,N521))=2,"0"&amp;COUNTIFS($J$1:J521,$J521,$K$1:K521,$K521,$L$1:L521,$L521,$M$1:M521,M521,$N$1:N521,N521),COUNTIFS($J$1:J521,$J521,$K$1:K521,$K521,$L$1:L521,$L521,$M$1:M521,M521,$N$1:N521,N521)))</f>
        <v>059</v>
      </c>
      <c r="P52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MS-NS-012-23-00059-INV</v>
      </c>
      <c r="Q521" s="59"/>
      <c r="R521" s="34" t="s">
        <v>6316</v>
      </c>
      <c r="S521" s="34" t="s">
        <v>4890</v>
      </c>
      <c r="T521" s="34">
        <f>+IFERROR(_xlfn.XLOOKUP(Table43[[#This Row],[Column1]],#REF!,#REF!),0)</f>
        <v>0</v>
      </c>
      <c r="U521" s="50">
        <f>IFERROR(_xlfn.XLOOKUP(Table43[[#This Row],[Column1]],#REF!,#REF!),0)</f>
        <v>0</v>
      </c>
      <c r="V521" s="39"/>
    </row>
    <row r="522" spans="1:22" x14ac:dyDescent="0.35">
      <c r="A522" s="3" t="s">
        <v>5394</v>
      </c>
      <c r="B522" s="3" t="s">
        <v>4902</v>
      </c>
      <c r="C522" s="3" t="s">
        <v>15</v>
      </c>
      <c r="D522" s="3"/>
      <c r="E522" s="3" t="s">
        <v>10</v>
      </c>
      <c r="F522" s="2">
        <v>0</v>
      </c>
      <c r="G522" s="2">
        <v>4</v>
      </c>
      <c r="H522" s="3">
        <v>0</v>
      </c>
      <c r="I522" s="21">
        <f>Table43[[#This Row],[Item Cost]]*Table43[[#This Row],[In Stock]]</f>
        <v>0</v>
      </c>
      <c r="J522" s="12" t="s">
        <v>4941</v>
      </c>
      <c r="K522" s="13" t="s">
        <v>4666</v>
      </c>
      <c r="L522" s="13" t="s">
        <v>4672</v>
      </c>
      <c r="M522" s="13" t="s">
        <v>4672</v>
      </c>
      <c r="N522" s="12" t="s">
        <v>4672</v>
      </c>
      <c r="O522" s="17" t="str">
        <f>IF(LEN(COUNTIFS($J$1:J522,$J522,$K$1:K522,$K522,$L$1:L522,$L522,$M$1:M522,M522,$N$1:N522,N522))=1,"00"&amp;COUNTIFS($J$1:J522,$J522,$K$1:K522,$K522,$L$1:L522,$L522,$M$1:M522,M522,$N$1:N522,N522),IF(LEN(COUNTIFS($J$1:J522,$J522,$K$1:K522,$K522,$L$1:L522,$L522,$M$1:M522,M522,$N$1:N522,N522))=2,"0"&amp;COUNTIFS($J$1:J522,$J522,$K$1:K522,$K522,$L$1:L522,$L522,$M$1:M522,M522,$N$1:N522,N522),COUNTIFS($J$1:J522,$J522,$K$1:K522,$K522,$L$1:L522,$L522,$M$1:M522,M522,$N$1:N522,N522)))</f>
        <v>001</v>
      </c>
      <c r="P52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MS-NS-000-00-00001-INV</v>
      </c>
      <c r="Q522" s="59"/>
      <c r="R522" s="34" t="s">
        <v>6317</v>
      </c>
      <c r="S522" s="34" t="s">
        <v>4902</v>
      </c>
      <c r="T522" s="34">
        <f>+IFERROR(_xlfn.XLOOKUP(Table43[[#This Row],[Column1]],#REF!,#REF!),0)</f>
        <v>0</v>
      </c>
      <c r="U522" s="50">
        <f>IFERROR(_xlfn.XLOOKUP(Table43[[#This Row],[Column1]],#REF!,#REF!),0)</f>
        <v>0</v>
      </c>
      <c r="V522" s="39"/>
    </row>
    <row r="523" spans="1:22" x14ac:dyDescent="0.35">
      <c r="A523" s="3" t="s">
        <v>5395</v>
      </c>
      <c r="B523" s="3" t="s">
        <v>4915</v>
      </c>
      <c r="C523" s="3" t="s">
        <v>15</v>
      </c>
      <c r="D523" s="3"/>
      <c r="E523" s="3" t="s">
        <v>10</v>
      </c>
      <c r="F523" s="2">
        <v>0</v>
      </c>
      <c r="G523" s="2">
        <v>10</v>
      </c>
      <c r="H523" s="3">
        <v>0</v>
      </c>
      <c r="I523" s="21">
        <f>Table43[[#This Row],[Item Cost]]*Table43[[#This Row],[In Stock]]</f>
        <v>0</v>
      </c>
      <c r="J523" s="12" t="s">
        <v>4941</v>
      </c>
      <c r="K523" s="13" t="s">
        <v>4666</v>
      </c>
      <c r="L523" s="13" t="s">
        <v>4693</v>
      </c>
      <c r="M523" s="13" t="s">
        <v>4693</v>
      </c>
      <c r="N523" s="12" t="s">
        <v>4672</v>
      </c>
      <c r="O523" s="17" t="str">
        <f>IF(LEN(COUNTIFS($J$1:J523,$J523,$K$1:K523,$K523,$L$1:L523,$L523,$M$1:M523,M523,$N$1:N523,N523))=1,"00"&amp;COUNTIFS($J$1:J523,$J523,$K$1:K523,$K523,$L$1:L523,$L523,$M$1:M523,M523,$N$1:N523,N523),IF(LEN(COUNTIFS($J$1:J523,$J523,$K$1:K523,$K523,$L$1:L523,$L523,$M$1:M523,M523,$N$1:N523,N523))=2,"0"&amp;COUNTIFS($J$1:J523,$J523,$K$1:K523,$K523,$L$1:L523,$L523,$M$1:M523,M523,$N$1:N523,N523),COUNTIFS($J$1:J523,$J523,$K$1:K523,$K523,$L$1:L523,$L523,$M$1:M523,M523,$N$1:N523,N523)))</f>
        <v>060</v>
      </c>
      <c r="P52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MS-NS-012-23-00060-INV</v>
      </c>
      <c r="Q523" s="59"/>
      <c r="R523" s="34" t="s">
        <v>6318</v>
      </c>
      <c r="S523" s="34" t="s">
        <v>4915</v>
      </c>
      <c r="T523" s="34">
        <f>+IFERROR(_xlfn.XLOOKUP(Table43[[#This Row],[Column1]],#REF!,#REF!),0)</f>
        <v>0</v>
      </c>
      <c r="U523" s="50">
        <f>IFERROR(_xlfn.XLOOKUP(Table43[[#This Row],[Column1]],#REF!,#REF!),0)</f>
        <v>0</v>
      </c>
      <c r="V523" s="39"/>
    </row>
    <row r="524" spans="1:22" x14ac:dyDescent="0.35">
      <c r="A524" s="3" t="s">
        <v>5396</v>
      </c>
      <c r="B524" s="3" t="s">
        <v>4916</v>
      </c>
      <c r="C524" s="3" t="s">
        <v>15</v>
      </c>
      <c r="D524" s="3"/>
      <c r="E524" s="3" t="s">
        <v>10</v>
      </c>
      <c r="F524" s="2">
        <v>0</v>
      </c>
      <c r="G524" s="2">
        <v>10</v>
      </c>
      <c r="H524" s="3">
        <v>0</v>
      </c>
      <c r="I524" s="21">
        <f>Table43[[#This Row],[Item Cost]]*Table43[[#This Row],[In Stock]]</f>
        <v>0</v>
      </c>
      <c r="J524" s="12" t="s">
        <v>4941</v>
      </c>
      <c r="K524" s="13" t="s">
        <v>4666</v>
      </c>
      <c r="L524" s="13" t="s">
        <v>4693</v>
      </c>
      <c r="M524" s="13" t="s">
        <v>4693</v>
      </c>
      <c r="N524" s="12" t="s">
        <v>4672</v>
      </c>
      <c r="O524" s="17" t="str">
        <f>IF(LEN(COUNTIFS($J$1:J524,$J524,$K$1:K524,$K524,$L$1:L524,$L524,$M$1:M524,M524,$N$1:N524,N524))=1,"00"&amp;COUNTIFS($J$1:J524,$J524,$K$1:K524,$K524,$L$1:L524,$L524,$M$1:M524,M524,$N$1:N524,N524),IF(LEN(COUNTIFS($J$1:J524,$J524,$K$1:K524,$K524,$L$1:L524,$L524,$M$1:M524,M524,$N$1:N524,N524))=2,"0"&amp;COUNTIFS($J$1:J524,$J524,$K$1:K524,$K524,$L$1:L524,$L524,$M$1:M524,M524,$N$1:N524,N524),COUNTIFS($J$1:J524,$J524,$K$1:K524,$K524,$L$1:L524,$L524,$M$1:M524,M524,$N$1:N524,N524)))</f>
        <v>061</v>
      </c>
      <c r="P52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MS-NS-012-23-00061-INV</v>
      </c>
      <c r="Q524" s="59"/>
      <c r="R524" s="34" t="s">
        <v>6319</v>
      </c>
      <c r="S524" s="34" t="s">
        <v>4916</v>
      </c>
      <c r="T524" s="34">
        <f>+IFERROR(_xlfn.XLOOKUP(Table43[[#This Row],[Column1]],#REF!,#REF!),0)</f>
        <v>0</v>
      </c>
      <c r="U524" s="50">
        <f>IFERROR(_xlfn.XLOOKUP(Table43[[#This Row],[Column1]],#REF!,#REF!),0)</f>
        <v>0</v>
      </c>
      <c r="V524" s="39"/>
    </row>
    <row r="525" spans="1:22" x14ac:dyDescent="0.35">
      <c r="A525" s="3" t="s">
        <v>5397</v>
      </c>
      <c r="B525" s="3" t="s">
        <v>4911</v>
      </c>
      <c r="C525" s="3" t="s">
        <v>15</v>
      </c>
      <c r="D525" s="3"/>
      <c r="E525" s="3" t="s">
        <v>10</v>
      </c>
      <c r="F525" s="2">
        <v>0</v>
      </c>
      <c r="G525" s="2">
        <v>4</v>
      </c>
      <c r="H525" s="3">
        <v>0</v>
      </c>
      <c r="I525" s="21">
        <f>Table43[[#This Row],[Item Cost]]*Table43[[#This Row],[In Stock]]</f>
        <v>0</v>
      </c>
      <c r="J525" s="12" t="s">
        <v>4941</v>
      </c>
      <c r="K525" s="13" t="s">
        <v>4666</v>
      </c>
      <c r="L525" s="13" t="s">
        <v>4693</v>
      </c>
      <c r="M525" s="13" t="s">
        <v>4693</v>
      </c>
      <c r="N525" s="12" t="s">
        <v>4672</v>
      </c>
      <c r="O525" s="17" t="str">
        <f>IF(LEN(COUNTIFS($J$1:J525,$J525,$K$1:K525,$K525,$L$1:L525,$L525,$M$1:M525,M525,$N$1:N525,N525))=1,"00"&amp;COUNTIFS($J$1:J525,$J525,$K$1:K525,$K525,$L$1:L525,$L525,$M$1:M525,M525,$N$1:N525,N525),IF(LEN(COUNTIFS($J$1:J525,$J525,$K$1:K525,$K525,$L$1:L525,$L525,$M$1:M525,M525,$N$1:N525,N525))=2,"0"&amp;COUNTIFS($J$1:J525,$J525,$K$1:K525,$K525,$L$1:L525,$L525,$M$1:M525,M525,$N$1:N525,N525),COUNTIFS($J$1:J525,$J525,$K$1:K525,$K525,$L$1:L525,$L525,$M$1:M525,M525,$N$1:N525,N525)))</f>
        <v>062</v>
      </c>
      <c r="P52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MS-NS-012-23-00062-INV</v>
      </c>
      <c r="Q525" s="59"/>
      <c r="R525" s="34" t="s">
        <v>6320</v>
      </c>
      <c r="S525" s="34" t="s">
        <v>4911</v>
      </c>
      <c r="T525" s="34">
        <f>+IFERROR(_xlfn.XLOOKUP(Table43[[#This Row],[Column1]],#REF!,#REF!),0)</f>
        <v>0</v>
      </c>
      <c r="U525" s="50">
        <f>IFERROR(_xlfn.XLOOKUP(Table43[[#This Row],[Column1]],#REF!,#REF!),0)</f>
        <v>0</v>
      </c>
      <c r="V525" s="39"/>
    </row>
    <row r="526" spans="1:22" x14ac:dyDescent="0.35">
      <c r="A526" s="3" t="s">
        <v>5398</v>
      </c>
      <c r="B526" s="3" t="s">
        <v>4912</v>
      </c>
      <c r="C526" s="3" t="s">
        <v>15</v>
      </c>
      <c r="D526" s="3"/>
      <c r="E526" s="3" t="s">
        <v>10</v>
      </c>
      <c r="F526" s="2">
        <v>0</v>
      </c>
      <c r="G526" s="2">
        <v>4</v>
      </c>
      <c r="H526" s="3">
        <v>0</v>
      </c>
      <c r="I526" s="21">
        <f>Table43[[#This Row],[Item Cost]]*Table43[[#This Row],[In Stock]]</f>
        <v>0</v>
      </c>
      <c r="J526" s="12" t="s">
        <v>4941</v>
      </c>
      <c r="K526" s="13" t="s">
        <v>4666</v>
      </c>
      <c r="L526" s="13" t="s">
        <v>4693</v>
      </c>
      <c r="M526" s="13" t="s">
        <v>4693</v>
      </c>
      <c r="N526" s="12" t="s">
        <v>4672</v>
      </c>
      <c r="O526" s="17" t="str">
        <f>IF(LEN(COUNTIFS($J$1:J526,$J526,$K$1:K526,$K526,$L$1:L526,$L526,$M$1:M526,M526,$N$1:N526,N526))=1,"00"&amp;COUNTIFS($J$1:J526,$J526,$K$1:K526,$K526,$L$1:L526,$L526,$M$1:M526,M526,$N$1:N526,N526),IF(LEN(COUNTIFS($J$1:J526,$J526,$K$1:K526,$K526,$L$1:L526,$L526,$M$1:M526,M526,$N$1:N526,N526))=2,"0"&amp;COUNTIFS($J$1:J526,$J526,$K$1:K526,$K526,$L$1:L526,$L526,$M$1:M526,M526,$N$1:N526,N526),COUNTIFS($J$1:J526,$J526,$K$1:K526,$K526,$L$1:L526,$L526,$M$1:M526,M526,$N$1:N526,N526)))</f>
        <v>063</v>
      </c>
      <c r="P52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MS-NS-012-23-00063-INV</v>
      </c>
      <c r="Q526" s="59"/>
      <c r="R526" s="34" t="s">
        <v>6321</v>
      </c>
      <c r="S526" s="34" t="s">
        <v>4912</v>
      </c>
      <c r="T526" s="34">
        <f>+IFERROR(_xlfn.XLOOKUP(Table43[[#This Row],[Column1]],#REF!,#REF!),0)</f>
        <v>0</v>
      </c>
      <c r="U526" s="50">
        <f>IFERROR(_xlfn.XLOOKUP(Table43[[#This Row],[Column1]],#REF!,#REF!),0)</f>
        <v>0</v>
      </c>
      <c r="V526" s="39"/>
    </row>
    <row r="527" spans="1:22" x14ac:dyDescent="0.35">
      <c r="A527" s="3" t="s">
        <v>7299</v>
      </c>
      <c r="B527" s="3" t="s">
        <v>7300</v>
      </c>
      <c r="C527" s="3" t="s">
        <v>15</v>
      </c>
      <c r="D527" s="3"/>
      <c r="E527" s="3" t="s">
        <v>10</v>
      </c>
      <c r="F527" s="2">
        <v>0</v>
      </c>
      <c r="G527" s="2">
        <v>4</v>
      </c>
      <c r="H527" s="3">
        <v>0</v>
      </c>
      <c r="I527" s="21">
        <f>Table43[[#This Row],[Item Cost]]*Table43[[#This Row],[In Stock]]</f>
        <v>0</v>
      </c>
      <c r="J527" s="12" t="s">
        <v>4941</v>
      </c>
      <c r="K527" s="13" t="s">
        <v>4666</v>
      </c>
      <c r="L527" s="13" t="s">
        <v>4693</v>
      </c>
      <c r="M527" s="13" t="s">
        <v>4693</v>
      </c>
      <c r="N527" s="12" t="s">
        <v>4672</v>
      </c>
      <c r="O527" s="17" t="str">
        <f>IF(LEN(COUNTIFS($J$1:J527,$J527,$K$1:K527,$K527,$L$1:L527,$L527,$M$1:M527,M527,$N$1:N527,N527))=1,"00"&amp;COUNTIFS($J$1:J527,$J527,$K$1:K527,$K527,$L$1:L527,$L527,$M$1:M527,M527,$N$1:N527,N527),IF(LEN(COUNTIFS($J$1:J527,$J527,$K$1:K527,$K527,$L$1:L527,$L527,$M$1:M527,M527,$N$1:N527,N527))=2,"0"&amp;COUNTIFS($J$1:J527,$J527,$K$1:K527,$K527,$L$1:L527,$L527,$M$1:M527,M527,$N$1:N527,N527),COUNTIFS($J$1:J527,$J527,$K$1:K527,$K527,$L$1:L527,$L527,$M$1:M527,M527,$N$1:N527,N527)))</f>
        <v>064</v>
      </c>
      <c r="P52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MS-NS-012-23-00064-INV</v>
      </c>
      <c r="Q527" s="34"/>
      <c r="R527" s="34"/>
      <c r="S527" s="34"/>
      <c r="T527" s="34">
        <f>+IFERROR(_xlfn.XLOOKUP(Table43[[#This Row],[Column1]],#REF!,#REF!),0)</f>
        <v>0</v>
      </c>
      <c r="U527" s="51">
        <f>IFERROR(_xlfn.XLOOKUP(Table43[[#This Row],[Column1]],#REF!,#REF!),0)</f>
        <v>0</v>
      </c>
      <c r="V527" s="39"/>
    </row>
    <row r="528" spans="1:22" x14ac:dyDescent="0.35">
      <c r="A528" s="2" t="s">
        <v>1685</v>
      </c>
      <c r="B528" s="2" t="s">
        <v>1686</v>
      </c>
      <c r="C528" s="2" t="s">
        <v>15</v>
      </c>
      <c r="D528" s="4">
        <v>96915</v>
      </c>
      <c r="E528" s="2" t="s">
        <v>10</v>
      </c>
      <c r="F528" s="2">
        <v>1</v>
      </c>
      <c r="G528" s="2">
        <v>2</v>
      </c>
      <c r="H528" s="2">
        <v>1</v>
      </c>
      <c r="I528" s="22">
        <f>Table43[[#This Row],[Item Cost]]*Table43[[#This Row],[In Stock]]</f>
        <v>96915</v>
      </c>
      <c r="J528" s="12" t="s">
        <v>4941</v>
      </c>
      <c r="K528" s="13" t="s">
        <v>4666</v>
      </c>
      <c r="L528" s="13" t="s">
        <v>4674</v>
      </c>
      <c r="M528" s="13" t="s">
        <v>4734</v>
      </c>
      <c r="N528" s="12" t="s">
        <v>4672</v>
      </c>
      <c r="O528" s="17" t="str">
        <f>IF(LEN(COUNTIFS($J$1:J528,$J528,$K$1:K528,$K528,$L$1:L528,$L528,$M$1:M528,M528,$N$1:N528,N528))=1,"00"&amp;COUNTIFS($J$1:J528,$J528,$K$1:K528,$K528,$L$1:L528,$L528,$M$1:M528,M528,$N$1:N528,N528),IF(LEN(COUNTIFS($J$1:J528,$J528,$K$1:K528,$K528,$L$1:L528,$L528,$M$1:M528,M528,$N$1:N528,N528))=2,"0"&amp;COUNTIFS($J$1:J528,$J528,$K$1:K528,$K528,$L$1:L528,$L528,$M$1:M528,M528,$N$1:N528,N528),COUNTIFS($J$1:J528,$J528,$K$1:K528,$K528,$L$1:L528,$L528,$M$1:M528,M528,$N$1:N528,N528)))</f>
        <v>001</v>
      </c>
      <c r="P52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MS-NS-002-02-00001-INV</v>
      </c>
      <c r="Q528" s="59" t="s">
        <v>7352</v>
      </c>
      <c r="R528" s="34" t="s">
        <v>6322</v>
      </c>
      <c r="S528" s="34" t="s">
        <v>1686</v>
      </c>
      <c r="T528" s="34">
        <f>+IFERROR(_xlfn.XLOOKUP(Table43[[#This Row],[Column1]],#REF!,#REF!),0)</f>
        <v>0</v>
      </c>
      <c r="U528" s="50">
        <f>IFERROR(_xlfn.XLOOKUP(Table43[[#This Row],[Column1]],#REF!,#REF!),0)</f>
        <v>0</v>
      </c>
      <c r="V528" s="39"/>
    </row>
    <row r="529" spans="1:22" x14ac:dyDescent="0.35">
      <c r="A529" s="3" t="s">
        <v>1687</v>
      </c>
      <c r="B529" s="3" t="s">
        <v>1688</v>
      </c>
      <c r="C529" s="3" t="s">
        <v>15</v>
      </c>
      <c r="D529" s="5">
        <v>57000</v>
      </c>
      <c r="E529" s="3" t="s">
        <v>10</v>
      </c>
      <c r="F529" s="3">
        <v>2</v>
      </c>
      <c r="G529" s="3">
        <v>3</v>
      </c>
      <c r="H529" s="3">
        <v>0</v>
      </c>
      <c r="I529" s="21">
        <f>Table43[[#This Row],[Item Cost]]*Table43[[#This Row],[In Stock]]</f>
        <v>0</v>
      </c>
      <c r="J529" s="12" t="s">
        <v>4941</v>
      </c>
      <c r="K529" s="13" t="s">
        <v>4666</v>
      </c>
      <c r="L529" s="13" t="s">
        <v>4674</v>
      </c>
      <c r="M529" s="13" t="s">
        <v>4734</v>
      </c>
      <c r="N529" s="12" t="s">
        <v>4672</v>
      </c>
      <c r="O529" s="17" t="str">
        <f>IF(LEN(COUNTIFS($J$1:J529,$J529,$K$1:K529,$K529,$L$1:L529,$L529,$M$1:M529,M529,$N$1:N529,N529))=1,"00"&amp;COUNTIFS($J$1:J529,$J529,$K$1:K529,$K529,$L$1:L529,$L529,$M$1:M529,M529,$N$1:N529,N529),IF(LEN(COUNTIFS($J$1:J529,$J529,$K$1:K529,$K529,$L$1:L529,$L529,$M$1:M529,M529,$N$1:N529,N529))=2,"0"&amp;COUNTIFS($J$1:J529,$J529,$K$1:K529,$K529,$L$1:L529,$L529,$M$1:M529,M529,$N$1:N529,N529),COUNTIFS($J$1:J529,$J529,$K$1:K529,$K529,$L$1:L529,$L529,$M$1:M529,M529,$N$1:N529,N529)))</f>
        <v>002</v>
      </c>
      <c r="P52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MS-NS-002-02-00002-INV</v>
      </c>
      <c r="Q529" s="59"/>
      <c r="R529" s="34" t="s">
        <v>6323</v>
      </c>
      <c r="S529" s="34" t="s">
        <v>1688</v>
      </c>
      <c r="T529" s="34">
        <f>+IFERROR(_xlfn.XLOOKUP(Table43[[#This Row],[Column1]],#REF!,#REF!),0)</f>
        <v>0</v>
      </c>
      <c r="U529" s="50">
        <f>IFERROR(_xlfn.XLOOKUP(Table43[[#This Row],[Column1]],#REF!,#REF!),0)</f>
        <v>0</v>
      </c>
      <c r="V529" s="39"/>
    </row>
    <row r="530" spans="1:22" x14ac:dyDescent="0.35">
      <c r="A530" s="2" t="s">
        <v>1689</v>
      </c>
      <c r="B530" s="2" t="s">
        <v>1690</v>
      </c>
      <c r="C530" s="2" t="s">
        <v>15</v>
      </c>
      <c r="D530" s="4">
        <v>31625</v>
      </c>
      <c r="E530" s="2" t="s">
        <v>10</v>
      </c>
      <c r="F530" s="2">
        <v>1</v>
      </c>
      <c r="G530" s="2">
        <v>2</v>
      </c>
      <c r="H530" s="2">
        <v>0</v>
      </c>
      <c r="I530" s="22">
        <f>Table43[[#This Row],[Item Cost]]*Table43[[#This Row],[In Stock]]</f>
        <v>0</v>
      </c>
      <c r="J530" s="12" t="s">
        <v>4941</v>
      </c>
      <c r="K530" s="13" t="s">
        <v>4666</v>
      </c>
      <c r="L530" s="13" t="s">
        <v>4674</v>
      </c>
      <c r="M530" s="13" t="s">
        <v>4734</v>
      </c>
      <c r="N530" s="12" t="s">
        <v>4672</v>
      </c>
      <c r="O530" s="17" t="str">
        <f>IF(LEN(COUNTIFS($J$1:J530,$J530,$K$1:K530,$K530,$L$1:L530,$L530,$M$1:M530,M530,$N$1:N530,N530))=1,"00"&amp;COUNTIFS($J$1:J530,$J530,$K$1:K530,$K530,$L$1:L530,$L530,$M$1:M530,M530,$N$1:N530,N530),IF(LEN(COUNTIFS($J$1:J530,$J530,$K$1:K530,$K530,$L$1:L530,$L530,$M$1:M530,M530,$N$1:N530,N530))=2,"0"&amp;COUNTIFS($J$1:J530,$J530,$K$1:K530,$K530,$L$1:L530,$L530,$M$1:M530,M530,$N$1:N530,N530),COUNTIFS($J$1:J530,$J530,$K$1:K530,$K530,$L$1:L530,$L530,$M$1:M530,M530,$N$1:N530,N530)))</f>
        <v>003</v>
      </c>
      <c r="P53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MS-NS-002-02-00003-INV</v>
      </c>
      <c r="Q530" s="59" t="s">
        <v>7357</v>
      </c>
      <c r="R530" s="34" t="s">
        <v>6324</v>
      </c>
      <c r="S530" s="34" t="s">
        <v>1690</v>
      </c>
      <c r="T530" s="34">
        <f>+IFERROR(_xlfn.XLOOKUP(Table43[[#This Row],[Column1]],#REF!,#REF!),0)</f>
        <v>0</v>
      </c>
      <c r="U530" s="50">
        <f>IFERROR(_xlfn.XLOOKUP(Table43[[#This Row],[Column1]],#REF!,#REF!),0)</f>
        <v>0</v>
      </c>
      <c r="V530" s="39"/>
    </row>
    <row r="531" spans="1:22" x14ac:dyDescent="0.35">
      <c r="A531" s="2" t="s">
        <v>1691</v>
      </c>
      <c r="B531" s="3" t="s">
        <v>4864</v>
      </c>
      <c r="C531" s="3" t="s">
        <v>9</v>
      </c>
      <c r="D531" s="5">
        <v>1250.172</v>
      </c>
      <c r="E531" s="3" t="s">
        <v>10</v>
      </c>
      <c r="F531" s="2">
        <v>1</v>
      </c>
      <c r="G531" s="2">
        <v>2</v>
      </c>
      <c r="H531" s="3">
        <v>17</v>
      </c>
      <c r="I531" s="21">
        <f>Table43[[#This Row],[Item Cost]]*Table43[[#This Row],[In Stock]]</f>
        <v>21252.923999999999</v>
      </c>
      <c r="J531" s="12" t="s">
        <v>4941</v>
      </c>
      <c r="K531" s="13" t="s">
        <v>4664</v>
      </c>
      <c r="L531" s="13" t="s">
        <v>4674</v>
      </c>
      <c r="M531" s="13" t="s">
        <v>4693</v>
      </c>
      <c r="N531" s="12" t="s">
        <v>4672</v>
      </c>
      <c r="O531" s="17" t="str">
        <f>IF(LEN(COUNTIFS($J$1:J531,$J531,$K$1:K531,$K531,$L$1:L531,$L531,$M$1:M531,M531,$N$1:N531,N531))=1,"00"&amp;COUNTIFS($J$1:J531,$J531,$K$1:K531,$K531,$L$1:L531,$L531,$M$1:M531,M531,$N$1:N531,N531),IF(LEN(COUNTIFS($J$1:J531,$J531,$K$1:K531,$K531,$L$1:L531,$L531,$M$1:M531,M531,$N$1:N531,N531))=2,"0"&amp;COUNTIFS($J$1:J531,$J531,$K$1:K531,$K531,$L$1:L531,$L531,$M$1:M531,M531,$N$1:N531,N531),COUNTIFS($J$1:J531,$J531,$K$1:K531,$K531,$L$1:L531,$L531,$M$1:M531,M531,$N$1:N531,N531)))</f>
        <v>001</v>
      </c>
      <c r="P53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MS-CS-002-23-00001-INV</v>
      </c>
      <c r="Q531" s="59" t="s">
        <v>7358</v>
      </c>
      <c r="R531" s="34" t="s">
        <v>7231</v>
      </c>
      <c r="S531" s="34" t="s">
        <v>1692</v>
      </c>
      <c r="T531" s="34">
        <f>+IFERROR(_xlfn.XLOOKUP(Table43[[#This Row],[Column1]],#REF!,#REF!),0)</f>
        <v>0</v>
      </c>
      <c r="U531" s="50">
        <f>IFERROR(_xlfn.XLOOKUP(Table43[[#This Row],[Column1]],#REF!,#REF!),0)</f>
        <v>0</v>
      </c>
      <c r="V531" s="39"/>
    </row>
    <row r="532" spans="1:22" x14ac:dyDescent="0.35">
      <c r="A532" s="3" t="s">
        <v>1693</v>
      </c>
      <c r="B532" s="2" t="s">
        <v>1694</v>
      </c>
      <c r="C532" s="2" t="s">
        <v>9</v>
      </c>
      <c r="D532" s="2">
        <v>502.89</v>
      </c>
      <c r="E532" s="2" t="s">
        <v>10</v>
      </c>
      <c r="F532" s="2">
        <v>1</v>
      </c>
      <c r="G532" s="2">
        <v>2</v>
      </c>
      <c r="H532" s="2">
        <v>1</v>
      </c>
      <c r="I532" s="22">
        <f>Table43[[#This Row],[Item Cost]]*Table43[[#This Row],[In Stock]]</f>
        <v>502.89</v>
      </c>
      <c r="J532" s="12" t="s">
        <v>4941</v>
      </c>
      <c r="K532" s="13" t="s">
        <v>4664</v>
      </c>
      <c r="L532" s="13" t="s">
        <v>4674</v>
      </c>
      <c r="M532" s="13" t="s">
        <v>4828</v>
      </c>
      <c r="N532" s="12" t="s">
        <v>4672</v>
      </c>
      <c r="O532" s="17" t="str">
        <f>IF(LEN(COUNTIFS($J$1:J532,$J532,$K$1:K532,$K532,$L$1:L532,$L532,$M$1:M532,M532,$N$1:N532,N532))=1,"00"&amp;COUNTIFS($J$1:J532,$J532,$K$1:K532,$K532,$L$1:L532,$L532,$M$1:M532,M532,$N$1:N532,N532),IF(LEN(COUNTIFS($J$1:J532,$J532,$K$1:K532,$K532,$L$1:L532,$L532,$M$1:M532,M532,$N$1:N532,N532))=2,"0"&amp;COUNTIFS($J$1:J532,$J532,$K$1:K532,$K532,$L$1:L532,$L532,$M$1:M532,M532,$N$1:N532,N532),COUNTIFS($J$1:J532,$J532,$K$1:K532,$K532,$L$1:L532,$L532,$M$1:M532,M532,$N$1:N532,N532)))</f>
        <v>001</v>
      </c>
      <c r="P53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MS-CS-002-13-00001-INV</v>
      </c>
      <c r="Q532" s="59" t="s">
        <v>7359</v>
      </c>
      <c r="R532" s="34" t="s">
        <v>6325</v>
      </c>
      <c r="S532" s="34" t="s">
        <v>1694</v>
      </c>
      <c r="T532" s="34">
        <f>+IFERROR(_xlfn.XLOOKUP(Table43[[#This Row],[Column1]],#REF!,#REF!),0)</f>
        <v>0</v>
      </c>
      <c r="U532" s="50">
        <f>IFERROR(_xlfn.XLOOKUP(Table43[[#This Row],[Column1]],#REF!,#REF!),0)</f>
        <v>0</v>
      </c>
      <c r="V532" s="39"/>
    </row>
    <row r="533" spans="1:22" x14ac:dyDescent="0.35">
      <c r="A533" s="2" t="s">
        <v>1695</v>
      </c>
      <c r="B533" s="3" t="s">
        <v>4865</v>
      </c>
      <c r="C533" s="3" t="s">
        <v>9</v>
      </c>
      <c r="D533" s="5">
        <v>1223.3330000000001</v>
      </c>
      <c r="E533" s="3" t="s">
        <v>10</v>
      </c>
      <c r="F533" s="2">
        <v>1</v>
      </c>
      <c r="G533" s="2">
        <v>2</v>
      </c>
      <c r="H533" s="3">
        <v>3</v>
      </c>
      <c r="I533" s="21">
        <f>Table43[[#This Row],[Item Cost]]*Table43[[#This Row],[In Stock]]</f>
        <v>3669.9990000000003</v>
      </c>
      <c r="J533" s="12" t="s">
        <v>4941</v>
      </c>
      <c r="K533" s="13" t="s">
        <v>4664</v>
      </c>
      <c r="L533" s="13" t="s">
        <v>4674</v>
      </c>
      <c r="M533" s="13" t="s">
        <v>4832</v>
      </c>
      <c r="N533" s="12" t="s">
        <v>4672</v>
      </c>
      <c r="O533" s="17" t="str">
        <f>IF(LEN(COUNTIFS($J$1:J533,$J533,$K$1:K533,$K533,$L$1:L533,$L533,$M$1:M533,M533,$N$1:N533,N533))=1,"00"&amp;COUNTIFS($J$1:J533,$J533,$K$1:K533,$K533,$L$1:L533,$L533,$M$1:M533,M533,$N$1:N533,N533),IF(LEN(COUNTIFS($J$1:J533,$J533,$K$1:K533,$K533,$L$1:L533,$L533,$M$1:M533,M533,$N$1:N533,N533))=2,"0"&amp;COUNTIFS($J$1:J533,$J533,$K$1:K533,$K533,$L$1:L533,$L533,$M$1:M533,M533,$N$1:N533,N533),COUNTIFS($J$1:J533,$J533,$K$1:K533,$K533,$L$1:L533,$L533,$M$1:M533,M533,$N$1:N533,N533)))</f>
        <v>001</v>
      </c>
      <c r="P53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MS-CS-002-07-00001-INV</v>
      </c>
      <c r="Q533" s="59" t="s">
        <v>7352</v>
      </c>
      <c r="R533" s="34" t="s">
        <v>7232</v>
      </c>
      <c r="S533" s="34" t="s">
        <v>1696</v>
      </c>
      <c r="T533" s="34">
        <f>+IFERROR(_xlfn.XLOOKUP(Table43[[#This Row],[Column1]],#REF!,#REF!),0)</f>
        <v>0</v>
      </c>
      <c r="U533" s="50">
        <f>IFERROR(_xlfn.XLOOKUP(Table43[[#This Row],[Column1]],#REF!,#REF!),0)</f>
        <v>0</v>
      </c>
      <c r="V533" s="39"/>
    </row>
    <row r="534" spans="1:22" x14ac:dyDescent="0.35">
      <c r="A534" s="2" t="s">
        <v>1697</v>
      </c>
      <c r="B534" s="2" t="s">
        <v>4866</v>
      </c>
      <c r="C534" s="2" t="s">
        <v>15</v>
      </c>
      <c r="D534" s="2">
        <v>350</v>
      </c>
      <c r="E534" s="2" t="s">
        <v>10</v>
      </c>
      <c r="F534" s="2">
        <v>1</v>
      </c>
      <c r="G534" s="2">
        <v>2</v>
      </c>
      <c r="H534" s="2">
        <v>0</v>
      </c>
      <c r="I534" s="22">
        <f>Table43[[#This Row],[Item Cost]]*Table43[[#This Row],[In Stock]]</f>
        <v>0</v>
      </c>
      <c r="J534" s="12" t="s">
        <v>4941</v>
      </c>
      <c r="K534" s="13" t="s">
        <v>4666</v>
      </c>
      <c r="L534" s="13" t="s">
        <v>4674</v>
      </c>
      <c r="M534" s="13" t="s">
        <v>4693</v>
      </c>
      <c r="N534" s="12" t="s">
        <v>4672</v>
      </c>
      <c r="O534" s="17" t="str">
        <f>IF(LEN(COUNTIFS($J$1:J534,$J534,$K$1:K534,$K534,$L$1:L534,$L534,$M$1:M534,M534,$N$1:N534,N534))=1,"00"&amp;COUNTIFS($J$1:J534,$J534,$K$1:K534,$K534,$L$1:L534,$L534,$M$1:M534,M534,$N$1:N534,N534),IF(LEN(COUNTIFS($J$1:J534,$J534,$K$1:K534,$K534,$L$1:L534,$L534,$M$1:M534,M534,$N$1:N534,N534))=2,"0"&amp;COUNTIFS($J$1:J534,$J534,$K$1:K534,$K534,$L$1:L534,$L534,$M$1:M534,M534,$N$1:N534,N534),COUNTIFS($J$1:J534,$J534,$K$1:K534,$K534,$L$1:L534,$L534,$M$1:M534,M534,$N$1:N534,N534)))</f>
        <v>001</v>
      </c>
      <c r="P53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MS-NS-002-23-00001-INV</v>
      </c>
      <c r="Q534" s="59"/>
      <c r="R534" s="34" t="s">
        <v>7233</v>
      </c>
      <c r="S534" s="34" t="s">
        <v>1698</v>
      </c>
      <c r="T534" s="34">
        <f>+IFERROR(_xlfn.XLOOKUP(Table43[[#This Row],[Column1]],#REF!,#REF!),0)</f>
        <v>0</v>
      </c>
      <c r="U534" s="50">
        <f>IFERROR(_xlfn.XLOOKUP(Table43[[#This Row],[Column1]],#REF!,#REF!),0)</f>
        <v>0</v>
      </c>
      <c r="V534" s="39"/>
    </row>
    <row r="535" spans="1:22" x14ac:dyDescent="0.35">
      <c r="A535" s="3" t="s">
        <v>1699</v>
      </c>
      <c r="B535" s="3" t="s">
        <v>4867</v>
      </c>
      <c r="C535" s="3" t="s">
        <v>9</v>
      </c>
      <c r="D535" s="3">
        <v>650</v>
      </c>
      <c r="E535" s="3" t="s">
        <v>10</v>
      </c>
      <c r="F535" s="2">
        <v>1</v>
      </c>
      <c r="G535" s="2">
        <v>2</v>
      </c>
      <c r="H535" s="3">
        <v>2</v>
      </c>
      <c r="I535" s="21">
        <f>Table43[[#This Row],[Item Cost]]*Table43[[#This Row],[In Stock]]</f>
        <v>1300</v>
      </c>
      <c r="J535" s="12" t="s">
        <v>4941</v>
      </c>
      <c r="K535" s="13" t="s">
        <v>4664</v>
      </c>
      <c r="L535" s="13" t="s">
        <v>4674</v>
      </c>
      <c r="M535" s="13" t="s">
        <v>4693</v>
      </c>
      <c r="N535" s="12" t="s">
        <v>4672</v>
      </c>
      <c r="O535" s="17" t="str">
        <f>IF(LEN(COUNTIFS($J$1:J535,$J535,$K$1:K535,$K535,$L$1:L535,$L535,$M$1:M535,M535,$N$1:N535,N535))=1,"00"&amp;COUNTIFS($J$1:J535,$J535,$K$1:K535,$K535,$L$1:L535,$L535,$M$1:M535,M535,$N$1:N535,N535),IF(LEN(COUNTIFS($J$1:J535,$J535,$K$1:K535,$K535,$L$1:L535,$L535,$M$1:M535,M535,$N$1:N535,N535))=2,"0"&amp;COUNTIFS($J$1:J535,$J535,$K$1:K535,$K535,$L$1:L535,$L535,$M$1:M535,M535,$N$1:N535,N535),COUNTIFS($J$1:J535,$J535,$K$1:K535,$K535,$L$1:L535,$L535,$M$1:M535,M535,$N$1:N535,N535)))</f>
        <v>002</v>
      </c>
      <c r="P53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MS-CS-002-23-00002-INV</v>
      </c>
      <c r="Q535" s="59"/>
      <c r="R535" s="34" t="s">
        <v>7234</v>
      </c>
      <c r="S535" s="34" t="s">
        <v>1700</v>
      </c>
      <c r="T535" s="34">
        <f>+IFERROR(_xlfn.XLOOKUP(Table43[[#This Row],[Column1]],#REF!,#REF!),0)</f>
        <v>0</v>
      </c>
      <c r="U535" s="50">
        <f>IFERROR(_xlfn.XLOOKUP(Table43[[#This Row],[Column1]],#REF!,#REF!),0)</f>
        <v>0</v>
      </c>
      <c r="V535" s="39"/>
    </row>
    <row r="536" spans="1:22" x14ac:dyDescent="0.35">
      <c r="A536" s="2" t="s">
        <v>1701</v>
      </c>
      <c r="B536" s="2" t="s">
        <v>1702</v>
      </c>
      <c r="C536" s="2" t="s">
        <v>15</v>
      </c>
      <c r="D536" s="2">
        <v>0</v>
      </c>
      <c r="E536" s="2" t="s">
        <v>10</v>
      </c>
      <c r="F536" s="2">
        <v>1</v>
      </c>
      <c r="G536" s="2">
        <v>2</v>
      </c>
      <c r="H536" s="2">
        <v>0</v>
      </c>
      <c r="I536" s="22">
        <f>Table43[[#This Row],[Item Cost]]*Table43[[#This Row],[In Stock]]</f>
        <v>0</v>
      </c>
      <c r="J536" s="12" t="s">
        <v>4941</v>
      </c>
      <c r="K536" s="13" t="s">
        <v>4666</v>
      </c>
      <c r="L536" s="13" t="s">
        <v>4674</v>
      </c>
      <c r="M536" s="13" t="s">
        <v>4693</v>
      </c>
      <c r="N536" s="12" t="s">
        <v>4672</v>
      </c>
      <c r="O536" s="17" t="str">
        <f>IF(LEN(COUNTIFS($J$1:J536,$J536,$K$1:K536,$K536,$L$1:L536,$L536,$M$1:M536,M536,$N$1:N536,N536))=1,"00"&amp;COUNTIFS($J$1:J536,$J536,$K$1:K536,$K536,$L$1:L536,$L536,$M$1:M536,M536,$N$1:N536,N536),IF(LEN(COUNTIFS($J$1:J536,$J536,$K$1:K536,$K536,$L$1:L536,$L536,$M$1:M536,M536,$N$1:N536,N536))=2,"0"&amp;COUNTIFS($J$1:J536,$J536,$K$1:K536,$K536,$L$1:L536,$L536,$M$1:M536,M536,$N$1:N536,N536),COUNTIFS($J$1:J536,$J536,$K$1:K536,$K536,$L$1:L536,$L536,$M$1:M536,M536,$N$1:N536,N536)))</f>
        <v>002</v>
      </c>
      <c r="P53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MS-NS-002-23-00002-INV</v>
      </c>
      <c r="Q536" s="59"/>
      <c r="R536" s="34" t="s">
        <v>6326</v>
      </c>
      <c r="S536" s="34" t="s">
        <v>1702</v>
      </c>
      <c r="T536" s="34">
        <f>+IFERROR(_xlfn.XLOOKUP(Table43[[#This Row],[Column1]],#REF!,#REF!),0)</f>
        <v>0</v>
      </c>
      <c r="U536" s="50">
        <f>IFERROR(_xlfn.XLOOKUP(Table43[[#This Row],[Column1]],#REF!,#REF!),0)</f>
        <v>0</v>
      </c>
      <c r="V536" s="39"/>
    </row>
    <row r="537" spans="1:22" x14ac:dyDescent="0.35">
      <c r="A537" s="2" t="s">
        <v>1703</v>
      </c>
      <c r="B537" s="3" t="s">
        <v>1704</v>
      </c>
      <c r="C537" s="3" t="s">
        <v>15</v>
      </c>
      <c r="D537" s="3">
        <v>0</v>
      </c>
      <c r="E537" s="3" t="s">
        <v>10</v>
      </c>
      <c r="F537" s="2">
        <v>1</v>
      </c>
      <c r="G537" s="2">
        <v>2</v>
      </c>
      <c r="H537" s="3">
        <v>0</v>
      </c>
      <c r="I537" s="21">
        <f>Table43[[#This Row],[Item Cost]]*Table43[[#This Row],[In Stock]]</f>
        <v>0</v>
      </c>
      <c r="J537" s="12" t="s">
        <v>4941</v>
      </c>
      <c r="K537" s="13" t="s">
        <v>4666</v>
      </c>
      <c r="L537" s="13" t="s">
        <v>4674</v>
      </c>
      <c r="M537" s="13" t="s">
        <v>4693</v>
      </c>
      <c r="N537" s="12" t="s">
        <v>4672</v>
      </c>
      <c r="O537" s="17" t="str">
        <f>IF(LEN(COUNTIFS($J$1:J537,$J537,$K$1:K537,$K537,$L$1:L537,$L537,$M$1:M537,M537,$N$1:N537,N537))=1,"00"&amp;COUNTIFS($J$1:J537,$J537,$K$1:K537,$K537,$L$1:L537,$L537,$M$1:M537,M537,$N$1:N537,N537),IF(LEN(COUNTIFS($J$1:J537,$J537,$K$1:K537,$K537,$L$1:L537,$L537,$M$1:M537,M537,$N$1:N537,N537))=2,"0"&amp;COUNTIFS($J$1:J537,$J537,$K$1:K537,$K537,$L$1:L537,$L537,$M$1:M537,M537,$N$1:N537,N537),COUNTIFS($J$1:J537,$J537,$K$1:K537,$K537,$L$1:L537,$L537,$M$1:M537,M537,$N$1:N537,N537)))</f>
        <v>003</v>
      </c>
      <c r="P53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MS-NS-002-23-00003-INV</v>
      </c>
      <c r="Q537" s="59"/>
      <c r="R537" s="34" t="s">
        <v>6327</v>
      </c>
      <c r="S537" s="34" t="s">
        <v>1704</v>
      </c>
      <c r="T537" s="34">
        <f>+IFERROR(_xlfn.XLOOKUP(Table43[[#This Row],[Column1]],#REF!,#REF!),0)</f>
        <v>0</v>
      </c>
      <c r="U537" s="50">
        <f>IFERROR(_xlfn.XLOOKUP(Table43[[#This Row],[Column1]],#REF!,#REF!),0)</f>
        <v>0</v>
      </c>
      <c r="V537" s="39"/>
    </row>
    <row r="538" spans="1:22" x14ac:dyDescent="0.35">
      <c r="A538" s="3" t="s">
        <v>1705</v>
      </c>
      <c r="B538" s="2" t="s">
        <v>1706</v>
      </c>
      <c r="C538" s="2" t="s">
        <v>15</v>
      </c>
      <c r="D538" s="4">
        <v>2500</v>
      </c>
      <c r="E538" s="2" t="s">
        <v>10</v>
      </c>
      <c r="F538" s="2">
        <v>1</v>
      </c>
      <c r="G538" s="2">
        <v>2</v>
      </c>
      <c r="H538" s="2">
        <v>0</v>
      </c>
      <c r="I538" s="22">
        <f>Table43[[#This Row],[Item Cost]]*Table43[[#This Row],[In Stock]]</f>
        <v>0</v>
      </c>
      <c r="J538" s="12" t="s">
        <v>4941</v>
      </c>
      <c r="K538" s="13" t="s">
        <v>4666</v>
      </c>
      <c r="L538" s="13" t="s">
        <v>4674</v>
      </c>
      <c r="M538" s="13" t="s">
        <v>4828</v>
      </c>
      <c r="N538" s="12" t="s">
        <v>4672</v>
      </c>
      <c r="O538" s="17" t="str">
        <f>IF(LEN(COUNTIFS($J$1:J538,$J538,$K$1:K538,$K538,$L$1:L538,$L538,$M$1:M538,M538,$N$1:N538,N538))=1,"00"&amp;COUNTIFS($J$1:J538,$J538,$K$1:K538,$K538,$L$1:L538,$L538,$M$1:M538,M538,$N$1:N538,N538),IF(LEN(COUNTIFS($J$1:J538,$J538,$K$1:K538,$K538,$L$1:L538,$L538,$M$1:M538,M538,$N$1:N538,N538))=2,"0"&amp;COUNTIFS($J$1:J538,$J538,$K$1:K538,$K538,$L$1:L538,$L538,$M$1:M538,M538,$N$1:N538,N538),COUNTIFS($J$1:J538,$J538,$K$1:K538,$K538,$L$1:L538,$L538,$M$1:M538,M538,$N$1:N538,N538)))</f>
        <v>001</v>
      </c>
      <c r="P53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MS-NS-002-13-00001-INV</v>
      </c>
      <c r="Q538" s="59"/>
      <c r="R538" s="34" t="s">
        <v>6328</v>
      </c>
      <c r="S538" s="34" t="s">
        <v>1706</v>
      </c>
      <c r="T538" s="34">
        <f>+IFERROR(_xlfn.XLOOKUP(Table43[[#This Row],[Column1]],#REF!,#REF!),0)</f>
        <v>0</v>
      </c>
      <c r="U538" s="50">
        <f>IFERROR(_xlfn.XLOOKUP(Table43[[#This Row],[Column1]],#REF!,#REF!),0)</f>
        <v>0</v>
      </c>
      <c r="V538" s="39"/>
    </row>
    <row r="539" spans="1:22" x14ac:dyDescent="0.35">
      <c r="A539" s="2" t="s">
        <v>4811</v>
      </c>
      <c r="B539" s="3" t="s">
        <v>4812</v>
      </c>
      <c r="C539" s="2" t="s">
        <v>15</v>
      </c>
      <c r="D539" s="3"/>
      <c r="E539" s="2" t="s">
        <v>10</v>
      </c>
      <c r="F539" s="2">
        <v>1</v>
      </c>
      <c r="G539" s="2">
        <v>2</v>
      </c>
      <c r="H539" s="2">
        <v>0</v>
      </c>
      <c r="I539" s="21">
        <f>Table43[[#This Row],[Item Cost]]*Table43[[#This Row],[In Stock]]</f>
        <v>0</v>
      </c>
      <c r="J539" s="12" t="s">
        <v>4941</v>
      </c>
      <c r="K539" s="13" t="s">
        <v>4666</v>
      </c>
      <c r="L539" s="13" t="s">
        <v>4674</v>
      </c>
      <c r="M539" s="13" t="s">
        <v>4828</v>
      </c>
      <c r="N539" s="12" t="s">
        <v>4672</v>
      </c>
      <c r="O539" s="17" t="str">
        <f>IF(LEN(COUNTIFS($J$1:J539,$J539,$K$1:K539,$K539,$L$1:L539,$L539,$M$1:M539,M539,$N$1:N539,N539))=1,"00"&amp;COUNTIFS($J$1:J539,$J539,$K$1:K539,$K539,$L$1:L539,$L539,$M$1:M539,M539,$N$1:N539,N539),IF(LEN(COUNTIFS($J$1:J539,$J539,$K$1:K539,$K539,$L$1:L539,$L539,$M$1:M539,M539,$N$1:N539,N539))=2,"0"&amp;COUNTIFS($J$1:J539,$J539,$K$1:K539,$K539,$L$1:L539,$L539,$M$1:M539,M539,$N$1:N539,N539),COUNTIFS($J$1:J539,$J539,$K$1:K539,$K539,$L$1:L539,$L539,$M$1:M539,M539,$N$1:N539,N539)))</f>
        <v>002</v>
      </c>
      <c r="P53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MS-NS-002-13-00002-INV</v>
      </c>
      <c r="Q539" s="59" t="s">
        <v>7360</v>
      </c>
      <c r="R539" s="34" t="s">
        <v>6329</v>
      </c>
      <c r="S539" s="34" t="s">
        <v>4812</v>
      </c>
      <c r="T539" s="34">
        <f>+IFERROR(_xlfn.XLOOKUP(Table43[[#This Row],[Column1]],#REF!,#REF!),0)</f>
        <v>0</v>
      </c>
      <c r="U539" s="50">
        <f>IFERROR(_xlfn.XLOOKUP(Table43[[#This Row],[Column1]],#REF!,#REF!),0)</f>
        <v>0</v>
      </c>
      <c r="V539" s="39"/>
    </row>
    <row r="540" spans="1:22" x14ac:dyDescent="0.35">
      <c r="A540" s="2" t="s">
        <v>4813</v>
      </c>
      <c r="B540" s="3" t="s">
        <v>4814</v>
      </c>
      <c r="C540" s="2" t="s">
        <v>15</v>
      </c>
      <c r="D540" s="3"/>
      <c r="E540" s="2" t="s">
        <v>10</v>
      </c>
      <c r="F540" s="2">
        <v>1</v>
      </c>
      <c r="G540" s="2">
        <v>2</v>
      </c>
      <c r="H540" s="2">
        <v>0</v>
      </c>
      <c r="I540" s="21">
        <f>Table43[[#This Row],[Item Cost]]*Table43[[#This Row],[In Stock]]</f>
        <v>0</v>
      </c>
      <c r="J540" s="12" t="s">
        <v>4941</v>
      </c>
      <c r="K540" s="13" t="s">
        <v>4666</v>
      </c>
      <c r="L540" s="13" t="s">
        <v>4674</v>
      </c>
      <c r="M540" s="13" t="s">
        <v>4733</v>
      </c>
      <c r="N540" s="12" t="s">
        <v>4672</v>
      </c>
      <c r="O540" s="17" t="str">
        <f>IF(LEN(COUNTIFS($J$1:J540,$J540,$K$1:K540,$K540,$L$1:L540,$L540,$M$1:M540,M540,$N$1:N540,N540))=1,"00"&amp;COUNTIFS($J$1:J540,$J540,$K$1:K540,$K540,$L$1:L540,$L540,$M$1:M540,M540,$N$1:N540,N540),IF(LEN(COUNTIFS($J$1:J540,$J540,$K$1:K540,$K540,$L$1:L540,$L540,$M$1:M540,M540,$N$1:N540,N540))=2,"0"&amp;COUNTIFS($J$1:J540,$J540,$K$1:K540,$K540,$L$1:L540,$L540,$M$1:M540,M540,$N$1:N540,N540),COUNTIFS($J$1:J540,$J540,$K$1:K540,$K540,$L$1:L540,$L540,$M$1:M540,M540,$N$1:N540,N540)))</f>
        <v>001</v>
      </c>
      <c r="P54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MS-NS-002-01-00001-INV</v>
      </c>
      <c r="Q540" s="59" t="s">
        <v>7360</v>
      </c>
      <c r="R540" s="34" t="s">
        <v>6330</v>
      </c>
      <c r="S540" s="34" t="s">
        <v>4814</v>
      </c>
      <c r="T540" s="34">
        <f>+IFERROR(_xlfn.XLOOKUP(Table43[[#This Row],[Column1]],#REF!,#REF!),0)</f>
        <v>0</v>
      </c>
      <c r="U540" s="50">
        <f>IFERROR(_xlfn.XLOOKUP(Table43[[#This Row],[Column1]],#REF!,#REF!),0)</f>
        <v>0</v>
      </c>
      <c r="V540" s="39"/>
    </row>
    <row r="541" spans="1:22" x14ac:dyDescent="0.35">
      <c r="A541" s="3" t="s">
        <v>5399</v>
      </c>
      <c r="B541" s="2" t="s">
        <v>1708</v>
      </c>
      <c r="C541" s="2" t="s">
        <v>15</v>
      </c>
      <c r="D541" s="4">
        <v>1534</v>
      </c>
      <c r="E541" s="2" t="s">
        <v>10</v>
      </c>
      <c r="F541" s="2">
        <v>1</v>
      </c>
      <c r="G541" s="2">
        <v>2</v>
      </c>
      <c r="H541" s="2">
        <v>4</v>
      </c>
      <c r="I541" s="22">
        <f>Table43[[#This Row],[Item Cost]]*Table43[[#This Row],[In Stock]]</f>
        <v>6136</v>
      </c>
      <c r="J541" s="12" t="s">
        <v>4941</v>
      </c>
      <c r="K541" s="13" t="s">
        <v>4666</v>
      </c>
      <c r="L541" s="13" t="s">
        <v>4674</v>
      </c>
      <c r="M541" s="13" t="s">
        <v>3950</v>
      </c>
      <c r="N541" s="12" t="s">
        <v>4672</v>
      </c>
      <c r="O541" s="17" t="str">
        <f>IF(LEN(COUNTIFS($J$1:J541,$J541,$K$1:K541,$K541,$L$1:L541,$L541,$M$1:M541,M541,$N$1:N541,N541))=1,"00"&amp;COUNTIFS($J$1:J541,$J541,$K$1:K541,$K541,$L$1:L541,$L541,$M$1:M541,M541,$N$1:N541,N541),IF(LEN(COUNTIFS($J$1:J541,$J541,$K$1:K541,$K541,$L$1:L541,$L541,$M$1:M541,M541,$N$1:N541,N541))=2,"0"&amp;COUNTIFS($J$1:J541,$J541,$K$1:K541,$K541,$L$1:L541,$L541,$M$1:M541,M541,$N$1:N541,N541),COUNTIFS($J$1:J541,$J541,$K$1:K541,$K541,$L$1:L541,$L541,$M$1:M541,M541,$N$1:N541,N541)))</f>
        <v>001</v>
      </c>
      <c r="P54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MS-NS-002-22-00001-INV</v>
      </c>
      <c r="Q541" s="59" t="s">
        <v>7361</v>
      </c>
      <c r="R541" s="34" t="s">
        <v>6331</v>
      </c>
      <c r="S541" s="34" t="s">
        <v>1708</v>
      </c>
      <c r="T541" s="34">
        <f>+IFERROR(_xlfn.XLOOKUP(Table43[[#This Row],[Column1]],#REF!,#REF!),0)</f>
        <v>0</v>
      </c>
      <c r="U541" s="50">
        <f>IFERROR(_xlfn.XLOOKUP(Table43[[#This Row],[Column1]],#REF!,#REF!),0)</f>
        <v>0</v>
      </c>
      <c r="V541" s="39"/>
    </row>
    <row r="542" spans="1:22" x14ac:dyDescent="0.35">
      <c r="A542" s="2" t="s">
        <v>5400</v>
      </c>
      <c r="B542" s="3" t="s">
        <v>1710</v>
      </c>
      <c r="C542" s="3" t="s">
        <v>15</v>
      </c>
      <c r="D542" s="5">
        <v>1534</v>
      </c>
      <c r="E542" s="3" t="s">
        <v>10</v>
      </c>
      <c r="F542" s="2">
        <v>1</v>
      </c>
      <c r="G542" s="2">
        <v>2</v>
      </c>
      <c r="H542" s="3">
        <v>4</v>
      </c>
      <c r="I542" s="21">
        <f>Table43[[#This Row],[Item Cost]]*Table43[[#This Row],[In Stock]]</f>
        <v>6136</v>
      </c>
      <c r="J542" s="12" t="s">
        <v>4941</v>
      </c>
      <c r="K542" s="13" t="s">
        <v>4666</v>
      </c>
      <c r="L542" s="13" t="s">
        <v>4674</v>
      </c>
      <c r="M542" s="13" t="s">
        <v>3950</v>
      </c>
      <c r="N542" s="12" t="s">
        <v>4672</v>
      </c>
      <c r="O542" s="17" t="str">
        <f>IF(LEN(COUNTIFS($J$1:J542,$J542,$K$1:K542,$K542,$L$1:L542,$L542,$M$1:M542,M542,$N$1:N542,N542))=1,"00"&amp;COUNTIFS($J$1:J542,$J542,$K$1:K542,$K542,$L$1:L542,$L542,$M$1:M542,M542,$N$1:N542,N542),IF(LEN(COUNTIFS($J$1:J542,$J542,$K$1:K542,$K542,$L$1:L542,$L542,$M$1:M542,M542,$N$1:N542,N542))=2,"0"&amp;COUNTIFS($J$1:J542,$J542,$K$1:K542,$K542,$L$1:L542,$L542,$M$1:M542,M542,$N$1:N542,N542),COUNTIFS($J$1:J542,$J542,$K$1:K542,$K542,$L$1:L542,$L542,$M$1:M542,M542,$N$1:N542,N542)))</f>
        <v>002</v>
      </c>
      <c r="P54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MS-NS-002-22-00002-INV</v>
      </c>
      <c r="Q542" s="59"/>
      <c r="R542" s="34" t="s">
        <v>6332</v>
      </c>
      <c r="S542" s="34" t="s">
        <v>1710</v>
      </c>
      <c r="T542" s="34">
        <f>+IFERROR(_xlfn.XLOOKUP(Table43[[#This Row],[Column1]],#REF!,#REF!),0)</f>
        <v>0</v>
      </c>
      <c r="U542" s="50">
        <f>IFERROR(_xlfn.XLOOKUP(Table43[[#This Row],[Column1]],#REF!,#REF!),0)</f>
        <v>0</v>
      </c>
      <c r="V542" s="39"/>
    </row>
    <row r="543" spans="1:22" x14ac:dyDescent="0.35">
      <c r="A543" s="2" t="s">
        <v>5401</v>
      </c>
      <c r="B543" s="2" t="s">
        <v>1712</v>
      </c>
      <c r="C543" s="2" t="s">
        <v>15</v>
      </c>
      <c r="D543" s="2">
        <v>0</v>
      </c>
      <c r="E543" s="2" t="s">
        <v>10</v>
      </c>
      <c r="F543" s="2">
        <v>1</v>
      </c>
      <c r="G543" s="2">
        <v>2</v>
      </c>
      <c r="H543" s="2">
        <v>0</v>
      </c>
      <c r="I543" s="22">
        <f>Table43[[#This Row],[Item Cost]]*Table43[[#This Row],[In Stock]]</f>
        <v>0</v>
      </c>
      <c r="J543" s="12" t="s">
        <v>4941</v>
      </c>
      <c r="K543" s="13" t="s">
        <v>4666</v>
      </c>
      <c r="L543" s="13" t="s">
        <v>4674</v>
      </c>
      <c r="M543" s="13" t="s">
        <v>3950</v>
      </c>
      <c r="N543" s="12" t="s">
        <v>4672</v>
      </c>
      <c r="O543" s="17" t="str">
        <f>IF(LEN(COUNTIFS($J$1:J543,$J543,$K$1:K543,$K543,$L$1:L543,$L543,$M$1:M543,M543,$N$1:N543,N543))=1,"00"&amp;COUNTIFS($J$1:J543,$J543,$K$1:K543,$K543,$L$1:L543,$L543,$M$1:M543,M543,$N$1:N543,N543),IF(LEN(COUNTIFS($J$1:J543,$J543,$K$1:K543,$K543,$L$1:L543,$L543,$M$1:M543,M543,$N$1:N543,N543))=2,"0"&amp;COUNTIFS($J$1:J543,$J543,$K$1:K543,$K543,$L$1:L543,$L543,$M$1:M543,M543,$N$1:N543,N543),COUNTIFS($J$1:J543,$J543,$K$1:K543,$K543,$L$1:L543,$L543,$M$1:M543,M543,$N$1:N543,N543)))</f>
        <v>003</v>
      </c>
      <c r="P54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MS-NS-002-22-00003-INV</v>
      </c>
      <c r="Q543" s="59"/>
      <c r="R543" s="34" t="s">
        <v>6333</v>
      </c>
      <c r="S543" s="34" t="s">
        <v>1712</v>
      </c>
      <c r="T543" s="34">
        <f>+IFERROR(_xlfn.XLOOKUP(Table43[[#This Row],[Column1]],#REF!,#REF!),0)</f>
        <v>0</v>
      </c>
      <c r="U543" s="50">
        <f>IFERROR(_xlfn.XLOOKUP(Table43[[#This Row],[Column1]],#REF!,#REF!),0)</f>
        <v>0</v>
      </c>
      <c r="V543" s="39"/>
    </row>
    <row r="544" spans="1:22" x14ac:dyDescent="0.35">
      <c r="A544" s="3" t="s">
        <v>5402</v>
      </c>
      <c r="B544" s="3" t="s">
        <v>1714</v>
      </c>
      <c r="C544" s="3" t="s">
        <v>9</v>
      </c>
      <c r="D544" s="5">
        <v>3025</v>
      </c>
      <c r="E544" s="3" t="s">
        <v>10</v>
      </c>
      <c r="F544" s="2">
        <v>1</v>
      </c>
      <c r="G544" s="2">
        <v>2</v>
      </c>
      <c r="H544" s="3">
        <v>2</v>
      </c>
      <c r="I544" s="21">
        <f>Table43[[#This Row],[Item Cost]]*Table43[[#This Row],[In Stock]]</f>
        <v>6050</v>
      </c>
      <c r="J544" s="12" t="s">
        <v>4941</v>
      </c>
      <c r="K544" s="13" t="s">
        <v>4664</v>
      </c>
      <c r="L544" s="13" t="s">
        <v>4674</v>
      </c>
      <c r="M544" s="13" t="s">
        <v>3950</v>
      </c>
      <c r="N544" s="12" t="s">
        <v>4672</v>
      </c>
      <c r="O544" s="17" t="str">
        <f>IF(LEN(COUNTIFS($J$1:J544,$J544,$K$1:K544,$K544,$L$1:L544,$L544,$M$1:M544,M544,$N$1:N544,N544))=1,"00"&amp;COUNTIFS($J$1:J544,$J544,$K$1:K544,$K544,$L$1:L544,$L544,$M$1:M544,M544,$N$1:N544,N544),IF(LEN(COUNTIFS($J$1:J544,$J544,$K$1:K544,$K544,$L$1:L544,$L544,$M$1:M544,M544,$N$1:N544,N544))=2,"0"&amp;COUNTIFS($J$1:J544,$J544,$K$1:K544,$K544,$L$1:L544,$L544,$M$1:M544,M544,$N$1:N544,N544),COUNTIFS($J$1:J544,$J544,$K$1:K544,$K544,$L$1:L544,$L544,$M$1:M544,M544,$N$1:N544,N544)))</f>
        <v>001</v>
      </c>
      <c r="P54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MS-CS-002-22-00001-INV</v>
      </c>
      <c r="Q544" s="59"/>
      <c r="R544" s="34" t="s">
        <v>6334</v>
      </c>
      <c r="S544" s="34" t="s">
        <v>1714</v>
      </c>
      <c r="T544" s="34">
        <f>+IFERROR(_xlfn.XLOOKUP(Table43[[#This Row],[Column1]],#REF!,#REF!),0)</f>
        <v>0</v>
      </c>
      <c r="U544" s="50">
        <f>IFERROR(_xlfn.XLOOKUP(Table43[[#This Row],[Column1]],#REF!,#REF!),0)</f>
        <v>0</v>
      </c>
      <c r="V544" s="39"/>
    </row>
    <row r="545" spans="1:22" x14ac:dyDescent="0.35">
      <c r="A545" s="2" t="s">
        <v>5403</v>
      </c>
      <c r="B545" s="2" t="s">
        <v>1716</v>
      </c>
      <c r="C545" s="2" t="s">
        <v>9</v>
      </c>
      <c r="D545" s="4">
        <v>5581.02</v>
      </c>
      <c r="E545" s="2" t="s">
        <v>10</v>
      </c>
      <c r="F545" s="2">
        <v>1</v>
      </c>
      <c r="G545" s="2">
        <v>2</v>
      </c>
      <c r="H545" s="2">
        <v>1</v>
      </c>
      <c r="I545" s="22">
        <f>Table43[[#This Row],[Item Cost]]*Table43[[#This Row],[In Stock]]</f>
        <v>5581.02</v>
      </c>
      <c r="J545" s="12" t="s">
        <v>4941</v>
      </c>
      <c r="K545" s="13" t="s">
        <v>4664</v>
      </c>
      <c r="L545" s="13" t="s">
        <v>4674</v>
      </c>
      <c r="M545" s="13" t="s">
        <v>3950</v>
      </c>
      <c r="N545" s="12" t="s">
        <v>4672</v>
      </c>
      <c r="O545" s="17" t="str">
        <f>IF(LEN(COUNTIFS($J$1:J545,$J545,$K$1:K545,$K545,$L$1:L545,$L545,$M$1:M545,M545,$N$1:N545,N545))=1,"00"&amp;COUNTIFS($J$1:J545,$J545,$K$1:K545,$K545,$L$1:L545,$L545,$M$1:M545,M545,$N$1:N545,N545),IF(LEN(COUNTIFS($J$1:J545,$J545,$K$1:K545,$K545,$L$1:L545,$L545,$M$1:M545,M545,$N$1:N545,N545))=2,"0"&amp;COUNTIFS($J$1:J545,$J545,$K$1:K545,$K545,$L$1:L545,$L545,$M$1:M545,M545,$N$1:N545,N545),COUNTIFS($J$1:J545,$J545,$K$1:K545,$K545,$L$1:L545,$L545,$M$1:M545,M545,$N$1:N545,N545)))</f>
        <v>002</v>
      </c>
      <c r="P54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MS-CS-002-22-00002-INV</v>
      </c>
      <c r="Q545" s="59"/>
      <c r="R545" s="34" t="s">
        <v>6335</v>
      </c>
      <c r="S545" s="34" t="s">
        <v>1716</v>
      </c>
      <c r="T545" s="34">
        <f>+IFERROR(_xlfn.XLOOKUP(Table43[[#This Row],[Column1]],#REF!,#REF!),0)</f>
        <v>0</v>
      </c>
      <c r="U545" s="50">
        <f>IFERROR(_xlfn.XLOOKUP(Table43[[#This Row],[Column1]],#REF!,#REF!),0)</f>
        <v>0</v>
      </c>
      <c r="V545" s="39"/>
    </row>
    <row r="546" spans="1:22" x14ac:dyDescent="0.35">
      <c r="A546" s="2" t="s">
        <v>1707</v>
      </c>
      <c r="B546" s="3" t="s">
        <v>1718</v>
      </c>
      <c r="C546" s="3" t="s">
        <v>15</v>
      </c>
      <c r="D546" s="3">
        <v>0</v>
      </c>
      <c r="E546" s="3" t="s">
        <v>10</v>
      </c>
      <c r="F546" s="2">
        <v>1</v>
      </c>
      <c r="G546" s="2">
        <v>2</v>
      </c>
      <c r="H546" s="3">
        <v>0</v>
      </c>
      <c r="I546" s="21">
        <f>Table43[[#This Row],[Item Cost]]*Table43[[#This Row],[In Stock]]</f>
        <v>0</v>
      </c>
      <c r="J546" s="12" t="s">
        <v>4941</v>
      </c>
      <c r="K546" s="13" t="s">
        <v>4666</v>
      </c>
      <c r="L546" s="13" t="s">
        <v>4674</v>
      </c>
      <c r="M546" s="13" t="s">
        <v>4827</v>
      </c>
      <c r="N546" s="12" t="s">
        <v>4672</v>
      </c>
      <c r="O546" s="17" t="str">
        <f>IF(LEN(COUNTIFS($J$1:J546,$J546,$K$1:K546,$K546,$L$1:L546,$L546,$M$1:M546,M546,$N$1:N546,N546))=1,"00"&amp;COUNTIFS($J$1:J546,$J546,$K$1:K546,$K546,$L$1:L546,$L546,$M$1:M546,M546,$N$1:N546,N546),IF(LEN(COUNTIFS($J$1:J546,$J546,$K$1:K546,$K546,$L$1:L546,$L546,$M$1:M546,M546,$N$1:N546,N546))=2,"0"&amp;COUNTIFS($J$1:J546,$J546,$K$1:K546,$K546,$L$1:L546,$L546,$M$1:M546,M546,$N$1:N546,N546),COUNTIFS($J$1:J546,$J546,$K$1:K546,$K546,$L$1:L546,$L546,$M$1:M546,M546,$N$1:N546,N546)))</f>
        <v>001</v>
      </c>
      <c r="P54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MS-NS-002-10-00001-INV</v>
      </c>
      <c r="Q546" s="59"/>
      <c r="R546" s="34" t="s">
        <v>6336</v>
      </c>
      <c r="S546" s="34" t="s">
        <v>1718</v>
      </c>
      <c r="T546" s="34">
        <f>+IFERROR(_xlfn.XLOOKUP(Table43[[#This Row],[Column1]],#REF!,#REF!),0)</f>
        <v>0</v>
      </c>
      <c r="U546" s="50">
        <f>IFERROR(_xlfn.XLOOKUP(Table43[[#This Row],[Column1]],#REF!,#REF!),0)</f>
        <v>0</v>
      </c>
      <c r="V546" s="39"/>
    </row>
    <row r="547" spans="1:22" x14ac:dyDescent="0.35">
      <c r="A547" s="3" t="s">
        <v>1709</v>
      </c>
      <c r="B547" s="2" t="s">
        <v>1720</v>
      </c>
      <c r="C547" s="2" t="s">
        <v>9</v>
      </c>
      <c r="D547" s="2">
        <v>475</v>
      </c>
      <c r="E547" s="2" t="s">
        <v>10</v>
      </c>
      <c r="F547" s="2">
        <v>1</v>
      </c>
      <c r="G547" s="2">
        <v>2</v>
      </c>
      <c r="H547" s="2">
        <v>2</v>
      </c>
      <c r="I547" s="22">
        <f>Table43[[#This Row],[Item Cost]]*Table43[[#This Row],[In Stock]]</f>
        <v>950</v>
      </c>
      <c r="J547" s="12" t="s">
        <v>4941</v>
      </c>
      <c r="K547" s="13" t="s">
        <v>4664</v>
      </c>
      <c r="L547" s="13" t="s">
        <v>4674</v>
      </c>
      <c r="M547" s="13" t="s">
        <v>4827</v>
      </c>
      <c r="N547" s="12" t="s">
        <v>4672</v>
      </c>
      <c r="O547" s="17" t="str">
        <f>IF(LEN(COUNTIFS($J$1:J547,$J547,$K$1:K547,$K547,$L$1:L547,$L547,$M$1:M547,M547,$N$1:N547,N547))=1,"00"&amp;COUNTIFS($J$1:J547,$J547,$K$1:K547,$K547,$L$1:L547,$L547,$M$1:M547,M547,$N$1:N547,N547),IF(LEN(COUNTIFS($J$1:J547,$J547,$K$1:K547,$K547,$L$1:L547,$L547,$M$1:M547,M547,$N$1:N547,N547))=2,"0"&amp;COUNTIFS($J$1:J547,$J547,$K$1:K547,$K547,$L$1:L547,$L547,$M$1:M547,M547,$N$1:N547,N547),COUNTIFS($J$1:J547,$J547,$K$1:K547,$K547,$L$1:L547,$L547,$M$1:M547,M547,$N$1:N547,N547)))</f>
        <v>001</v>
      </c>
      <c r="P54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MS-CS-002-10-00001-INV</v>
      </c>
      <c r="Q547" s="59"/>
      <c r="R547" s="34" t="s">
        <v>6337</v>
      </c>
      <c r="S547" s="34" t="s">
        <v>1720</v>
      </c>
      <c r="T547" s="34">
        <f>+IFERROR(_xlfn.XLOOKUP(Table43[[#This Row],[Column1]],#REF!,#REF!),0)</f>
        <v>0</v>
      </c>
      <c r="U547" s="50">
        <f>IFERROR(_xlfn.XLOOKUP(Table43[[#This Row],[Column1]],#REF!,#REF!),0)</f>
        <v>0</v>
      </c>
      <c r="V547" s="39"/>
    </row>
    <row r="548" spans="1:22" x14ac:dyDescent="0.35">
      <c r="A548" s="2" t="s">
        <v>1711</v>
      </c>
      <c r="B548" s="3" t="s">
        <v>1722</v>
      </c>
      <c r="C548" s="3" t="s">
        <v>9</v>
      </c>
      <c r="D548" s="3">
        <v>110</v>
      </c>
      <c r="E548" s="3" t="s">
        <v>10</v>
      </c>
      <c r="F548" s="2">
        <v>1</v>
      </c>
      <c r="G548" s="2">
        <v>2</v>
      </c>
      <c r="H548" s="3">
        <v>8</v>
      </c>
      <c r="I548" s="21">
        <f>Table43[[#This Row],[Item Cost]]*Table43[[#This Row],[In Stock]]</f>
        <v>880</v>
      </c>
      <c r="J548" s="12" t="s">
        <v>4941</v>
      </c>
      <c r="K548" s="13" t="s">
        <v>4664</v>
      </c>
      <c r="L548" s="13" t="s">
        <v>4674</v>
      </c>
      <c r="M548" s="13" t="s">
        <v>4693</v>
      </c>
      <c r="N548" s="12" t="s">
        <v>4672</v>
      </c>
      <c r="O548" s="17" t="str">
        <f>IF(LEN(COUNTIFS($J$1:J548,$J548,$K$1:K548,$K548,$L$1:L548,$L548,$M$1:M548,M548,$N$1:N548,N548))=1,"00"&amp;COUNTIFS($J$1:J548,$J548,$K$1:K548,$K548,$L$1:L548,$L548,$M$1:M548,M548,$N$1:N548,N548),IF(LEN(COUNTIFS($J$1:J548,$J548,$K$1:K548,$K548,$L$1:L548,$L548,$M$1:M548,M548,$N$1:N548,N548))=2,"0"&amp;COUNTIFS($J$1:J548,$J548,$K$1:K548,$K548,$L$1:L548,$L548,$M$1:M548,M548,$N$1:N548,N548),COUNTIFS($J$1:J548,$J548,$K$1:K548,$K548,$L$1:L548,$L548,$M$1:M548,M548,$N$1:N548,N548)))</f>
        <v>003</v>
      </c>
      <c r="P54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MS-CS-002-23-00003-INV</v>
      </c>
      <c r="Q548" s="59" t="s">
        <v>7349</v>
      </c>
      <c r="R548" s="34" t="s">
        <v>6338</v>
      </c>
      <c r="S548" s="34" t="s">
        <v>1722</v>
      </c>
      <c r="T548" s="34">
        <f>+IFERROR(_xlfn.XLOOKUP(Table43[[#This Row],[Column1]],#REF!,#REF!),0)</f>
        <v>0</v>
      </c>
      <c r="U548" s="50">
        <f>IFERROR(_xlfn.XLOOKUP(Table43[[#This Row],[Column1]],#REF!,#REF!),0)</f>
        <v>0</v>
      </c>
      <c r="V548" s="39"/>
    </row>
    <row r="549" spans="1:22" x14ac:dyDescent="0.35">
      <c r="A549" s="2" t="s">
        <v>1713</v>
      </c>
      <c r="B549" s="2" t="s">
        <v>1724</v>
      </c>
      <c r="C549" s="2" t="s">
        <v>15</v>
      </c>
      <c r="D549" s="2">
        <v>180</v>
      </c>
      <c r="E549" s="2" t="s">
        <v>10</v>
      </c>
      <c r="F549" s="2">
        <v>1</v>
      </c>
      <c r="G549" s="2">
        <v>2</v>
      </c>
      <c r="H549" s="2">
        <v>0</v>
      </c>
      <c r="I549" s="22">
        <f>Table43[[#This Row],[Item Cost]]*Table43[[#This Row],[In Stock]]</f>
        <v>0</v>
      </c>
      <c r="J549" s="12" t="s">
        <v>4941</v>
      </c>
      <c r="K549" s="13" t="s">
        <v>4666</v>
      </c>
      <c r="L549" s="13" t="s">
        <v>4674</v>
      </c>
      <c r="M549" s="13" t="s">
        <v>4693</v>
      </c>
      <c r="N549" s="12" t="s">
        <v>4672</v>
      </c>
      <c r="O549" s="17" t="str">
        <f>IF(LEN(COUNTIFS($J$1:J549,$J549,$K$1:K549,$K549,$L$1:L549,$L549,$M$1:M549,M549,$N$1:N549,N549))=1,"00"&amp;COUNTIFS($J$1:J549,$J549,$K$1:K549,$K549,$L$1:L549,$L549,$M$1:M549,M549,$N$1:N549,N549),IF(LEN(COUNTIFS($J$1:J549,$J549,$K$1:K549,$K549,$L$1:L549,$L549,$M$1:M549,M549,$N$1:N549,N549))=2,"0"&amp;COUNTIFS($J$1:J549,$J549,$K$1:K549,$K549,$L$1:L549,$L549,$M$1:M549,M549,$N$1:N549,N549),COUNTIFS($J$1:J549,$J549,$K$1:K549,$K549,$L$1:L549,$L549,$M$1:M549,M549,$N$1:N549,N549)))</f>
        <v>004</v>
      </c>
      <c r="P54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MS-NS-002-23-00004-INV</v>
      </c>
      <c r="Q549" s="59"/>
      <c r="R549" s="34" t="s">
        <v>6339</v>
      </c>
      <c r="S549" s="34" t="s">
        <v>1724</v>
      </c>
      <c r="T549" s="34">
        <f>+IFERROR(_xlfn.XLOOKUP(Table43[[#This Row],[Column1]],#REF!,#REF!),0)</f>
        <v>0</v>
      </c>
      <c r="U549" s="50">
        <f>IFERROR(_xlfn.XLOOKUP(Table43[[#This Row],[Column1]],#REF!,#REF!),0)</f>
        <v>0</v>
      </c>
      <c r="V549" s="39"/>
    </row>
    <row r="550" spans="1:22" x14ac:dyDescent="0.35">
      <c r="A550" s="3" t="s">
        <v>1715</v>
      </c>
      <c r="B550" s="3" t="s">
        <v>1726</v>
      </c>
      <c r="C550" s="3" t="s">
        <v>15</v>
      </c>
      <c r="D550" s="3">
        <v>0</v>
      </c>
      <c r="E550" s="3" t="s">
        <v>10</v>
      </c>
      <c r="F550" s="2">
        <v>1</v>
      </c>
      <c r="G550" s="2">
        <v>2</v>
      </c>
      <c r="H550" s="3">
        <v>0</v>
      </c>
      <c r="I550" s="21">
        <f>Table43[[#This Row],[Item Cost]]*Table43[[#This Row],[In Stock]]</f>
        <v>0</v>
      </c>
      <c r="J550" s="12" t="s">
        <v>4941</v>
      </c>
      <c r="K550" s="13" t="s">
        <v>4666</v>
      </c>
      <c r="L550" s="13" t="s">
        <v>4674</v>
      </c>
      <c r="M550" s="13" t="s">
        <v>4770</v>
      </c>
      <c r="N550" s="12" t="s">
        <v>4672</v>
      </c>
      <c r="O550" s="17" t="str">
        <f>IF(LEN(COUNTIFS($J$1:J550,$J550,$K$1:K550,$K550,$L$1:L550,$L550,$M$1:M550,M550,$N$1:N550,N550))=1,"00"&amp;COUNTIFS($J$1:J550,$J550,$K$1:K550,$K550,$L$1:L550,$L550,$M$1:M550,M550,$N$1:N550,N550),IF(LEN(COUNTIFS($J$1:J550,$J550,$K$1:K550,$K550,$L$1:L550,$L550,$M$1:M550,M550,$N$1:N550,N550))=2,"0"&amp;COUNTIFS($J$1:J550,$J550,$K$1:K550,$K550,$L$1:L550,$L550,$M$1:M550,M550,$N$1:N550,N550),COUNTIFS($J$1:J550,$J550,$K$1:K550,$K550,$L$1:L550,$L550,$M$1:M550,M550,$N$1:N550,N550)))</f>
        <v>001</v>
      </c>
      <c r="P55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MS-NS-002-04-00001-INV</v>
      </c>
      <c r="Q550" s="59"/>
      <c r="R550" s="34" t="s">
        <v>6340</v>
      </c>
      <c r="S550" s="34" t="s">
        <v>1726</v>
      </c>
      <c r="T550" s="34">
        <f>+IFERROR(_xlfn.XLOOKUP(Table43[[#This Row],[Column1]],#REF!,#REF!),0)</f>
        <v>0</v>
      </c>
      <c r="U550" s="50">
        <f>IFERROR(_xlfn.XLOOKUP(Table43[[#This Row],[Column1]],#REF!,#REF!),0)</f>
        <v>0</v>
      </c>
      <c r="V550" s="39"/>
    </row>
    <row r="551" spans="1:22" x14ac:dyDescent="0.35">
      <c r="A551" s="2" t="s">
        <v>1717</v>
      </c>
      <c r="B551" s="2" t="s">
        <v>4871</v>
      </c>
      <c r="C551" s="2" t="s">
        <v>9</v>
      </c>
      <c r="D551" s="4">
        <v>5500</v>
      </c>
      <c r="E551" s="2" t="s">
        <v>10</v>
      </c>
      <c r="F551" s="2">
        <v>1</v>
      </c>
      <c r="G551" s="2">
        <v>2</v>
      </c>
      <c r="H551" s="2">
        <v>1</v>
      </c>
      <c r="I551" s="22">
        <f>Table43[[#This Row],[Item Cost]]*Table43[[#This Row],[In Stock]]</f>
        <v>5500</v>
      </c>
      <c r="J551" s="12" t="s">
        <v>4941</v>
      </c>
      <c r="K551" s="13" t="s">
        <v>4664</v>
      </c>
      <c r="L551" s="13" t="s">
        <v>4674</v>
      </c>
      <c r="M551" s="13" t="s">
        <v>4832</v>
      </c>
      <c r="N551" s="12" t="s">
        <v>4672</v>
      </c>
      <c r="O551" s="17" t="str">
        <f>IF(LEN(COUNTIFS($J$1:J551,$J551,$K$1:K551,$K551,$L$1:L551,$L551,$M$1:M551,M551,$N$1:N551,N551))=1,"00"&amp;COUNTIFS($J$1:J551,$J551,$K$1:K551,$K551,$L$1:L551,$L551,$M$1:M551,M551,$N$1:N551,N551),IF(LEN(COUNTIFS($J$1:J551,$J551,$K$1:K551,$K551,$L$1:L551,$L551,$M$1:M551,M551,$N$1:N551,N551))=2,"0"&amp;COUNTIFS($J$1:J551,$J551,$K$1:K551,$K551,$L$1:L551,$L551,$M$1:M551,M551,$N$1:N551,N551),COUNTIFS($J$1:J551,$J551,$K$1:K551,$K551,$L$1:L551,$L551,$M$1:M551,M551,$N$1:N551,N551)))</f>
        <v>002</v>
      </c>
      <c r="P55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MS-CS-002-07-00002-INV</v>
      </c>
      <c r="Q551" s="59" t="s">
        <v>7352</v>
      </c>
      <c r="R551" s="34"/>
      <c r="S551" s="34">
        <v>0</v>
      </c>
      <c r="T551" s="34">
        <f>+IFERROR(_xlfn.XLOOKUP(Table43[[#This Row],[Column1]],#REF!,#REF!),0)</f>
        <v>0</v>
      </c>
      <c r="U551" s="50">
        <f>IFERROR(_xlfn.XLOOKUP(Table43[[#This Row],[Column1]],#REF!,#REF!),0)</f>
        <v>0</v>
      </c>
      <c r="V551" s="39"/>
    </row>
    <row r="552" spans="1:22" x14ac:dyDescent="0.35">
      <c r="A552" s="2" t="s">
        <v>1719</v>
      </c>
      <c r="B552" s="3" t="s">
        <v>1730</v>
      </c>
      <c r="C552" s="3" t="s">
        <v>9</v>
      </c>
      <c r="D552" s="5">
        <v>4850</v>
      </c>
      <c r="E552" s="3" t="s">
        <v>10</v>
      </c>
      <c r="F552" s="2">
        <v>1</v>
      </c>
      <c r="G552" s="2">
        <v>2</v>
      </c>
      <c r="H552" s="3">
        <v>1</v>
      </c>
      <c r="I552" s="21">
        <f>Table43[[#This Row],[Item Cost]]*Table43[[#This Row],[In Stock]]</f>
        <v>4850</v>
      </c>
      <c r="J552" s="12" t="s">
        <v>4941</v>
      </c>
      <c r="K552" s="13" t="s">
        <v>4664</v>
      </c>
      <c r="L552" s="13" t="s">
        <v>4674</v>
      </c>
      <c r="M552" s="13" t="s">
        <v>4693</v>
      </c>
      <c r="N552" s="12" t="s">
        <v>4672</v>
      </c>
      <c r="O552" s="17" t="str">
        <f>IF(LEN(COUNTIFS($J$1:J552,$J552,$K$1:K552,$K552,$L$1:L552,$L552,$M$1:M552,M552,$N$1:N552,N552))=1,"00"&amp;COUNTIFS($J$1:J552,$J552,$K$1:K552,$K552,$L$1:L552,$L552,$M$1:M552,M552,$N$1:N552,N552),IF(LEN(COUNTIFS($J$1:J552,$J552,$K$1:K552,$K552,$L$1:L552,$L552,$M$1:M552,M552,$N$1:N552,N552))=2,"0"&amp;COUNTIFS($J$1:J552,$J552,$K$1:K552,$K552,$L$1:L552,$L552,$M$1:M552,M552,$N$1:N552,N552),COUNTIFS($J$1:J552,$J552,$K$1:K552,$K552,$L$1:L552,$L552,$M$1:M552,M552,$N$1:N552,N552)))</f>
        <v>004</v>
      </c>
      <c r="P55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MS-CS-002-23-00004-INV</v>
      </c>
      <c r="Q552" s="59" t="s">
        <v>7362</v>
      </c>
      <c r="R552" s="34" t="s">
        <v>6341</v>
      </c>
      <c r="S552" s="34" t="s">
        <v>1730</v>
      </c>
      <c r="T552" s="34">
        <f>+IFERROR(_xlfn.XLOOKUP(Table43[[#This Row],[Column1]],#REF!,#REF!),0)</f>
        <v>0</v>
      </c>
      <c r="U552" s="50">
        <f>IFERROR(_xlfn.XLOOKUP(Table43[[#This Row],[Column1]],#REF!,#REF!),0)</f>
        <v>0</v>
      </c>
      <c r="V552" s="39"/>
    </row>
    <row r="553" spans="1:22" x14ac:dyDescent="0.35">
      <c r="A553" s="3" t="s">
        <v>1721</v>
      </c>
      <c r="B553" s="2" t="s">
        <v>4872</v>
      </c>
      <c r="C553" s="2" t="s">
        <v>15</v>
      </c>
      <c r="D553" s="2">
        <v>0</v>
      </c>
      <c r="E553" s="2" t="s">
        <v>10</v>
      </c>
      <c r="F553" s="2">
        <v>1</v>
      </c>
      <c r="G553" s="2">
        <v>2</v>
      </c>
      <c r="H553" s="2">
        <v>0</v>
      </c>
      <c r="I553" s="22">
        <f>Table43[[#This Row],[Item Cost]]*Table43[[#This Row],[In Stock]]</f>
        <v>0</v>
      </c>
      <c r="J553" s="12" t="s">
        <v>4941</v>
      </c>
      <c r="K553" s="13" t="s">
        <v>4666</v>
      </c>
      <c r="L553" s="13" t="s">
        <v>4674</v>
      </c>
      <c r="M553" s="13" t="s">
        <v>3950</v>
      </c>
      <c r="N553" s="12" t="s">
        <v>4672</v>
      </c>
      <c r="O553" s="17" t="str">
        <f>IF(LEN(COUNTIFS($J$1:J553,$J553,$K$1:K553,$K553,$L$1:L553,$L553,$M$1:M553,M553,$N$1:N553,N553))=1,"00"&amp;COUNTIFS($J$1:J553,$J553,$K$1:K553,$K553,$L$1:L553,$L553,$M$1:M553,M553,$N$1:N553,N553),IF(LEN(COUNTIFS($J$1:J553,$J553,$K$1:K553,$K553,$L$1:L553,$L553,$M$1:M553,M553,$N$1:N553,N553))=2,"0"&amp;COUNTIFS($J$1:J553,$J553,$K$1:K553,$K553,$L$1:L553,$L553,$M$1:M553,M553,$N$1:N553,N553),COUNTIFS($J$1:J553,$J553,$K$1:K553,$K553,$L$1:L553,$L553,$M$1:M553,M553,$N$1:N553,N553)))</f>
        <v>004</v>
      </c>
      <c r="P55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MS-NS-002-22-00004-INV</v>
      </c>
      <c r="Q553" s="59"/>
      <c r="R553" s="34"/>
      <c r="S553" s="34">
        <v>0</v>
      </c>
      <c r="T553" s="34">
        <f>+IFERROR(_xlfn.XLOOKUP(Table43[[#This Row],[Column1]],#REF!,#REF!),0)</f>
        <v>0</v>
      </c>
      <c r="U553" s="50">
        <f>IFERROR(_xlfn.XLOOKUP(Table43[[#This Row],[Column1]],#REF!,#REF!),0)</f>
        <v>0</v>
      </c>
      <c r="V553" s="39"/>
    </row>
    <row r="554" spans="1:22" x14ac:dyDescent="0.35">
      <c r="A554" s="2" t="s">
        <v>1723</v>
      </c>
      <c r="B554" s="3" t="s">
        <v>1734</v>
      </c>
      <c r="C554" s="3" t="s">
        <v>15</v>
      </c>
      <c r="D554" s="3">
        <v>0</v>
      </c>
      <c r="E554" s="3" t="s">
        <v>10</v>
      </c>
      <c r="F554" s="2">
        <v>1</v>
      </c>
      <c r="G554" s="2">
        <v>2</v>
      </c>
      <c r="H554" s="3">
        <v>0</v>
      </c>
      <c r="I554" s="21">
        <f>Table43[[#This Row],[Item Cost]]*Table43[[#This Row],[In Stock]]</f>
        <v>0</v>
      </c>
      <c r="J554" s="12" t="s">
        <v>4941</v>
      </c>
      <c r="K554" s="13" t="s">
        <v>4666</v>
      </c>
      <c r="L554" s="13" t="s">
        <v>4674</v>
      </c>
      <c r="M554" s="13" t="s">
        <v>4837</v>
      </c>
      <c r="N554" s="12" t="s">
        <v>4672</v>
      </c>
      <c r="O554" s="17" t="str">
        <f>IF(LEN(COUNTIFS($J$1:J554,$J554,$K$1:K554,$K554,$L$1:L554,$L554,$M$1:M554,M554,$N$1:N554,N554))=1,"00"&amp;COUNTIFS($J$1:J554,$J554,$K$1:K554,$K554,$L$1:L554,$L554,$M$1:M554,M554,$N$1:N554,N554),IF(LEN(COUNTIFS($J$1:J554,$J554,$K$1:K554,$K554,$L$1:L554,$L554,$M$1:M554,M554,$N$1:N554,N554))=2,"0"&amp;COUNTIFS($J$1:J554,$J554,$K$1:K554,$K554,$L$1:L554,$L554,$M$1:M554,M554,$N$1:N554,N554),COUNTIFS($J$1:J554,$J554,$K$1:K554,$K554,$L$1:L554,$L554,$M$1:M554,M554,$N$1:N554,N554)))</f>
        <v>001</v>
      </c>
      <c r="P55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MS-NS-002-26-00001-INV</v>
      </c>
      <c r="Q554" s="59"/>
      <c r="R554" s="34" t="s">
        <v>6342</v>
      </c>
      <c r="S554" s="34" t="s">
        <v>1734</v>
      </c>
      <c r="T554" s="34">
        <f>+IFERROR(_xlfn.XLOOKUP(Table43[[#This Row],[Column1]],#REF!,#REF!),0)</f>
        <v>0</v>
      </c>
      <c r="U554" s="50">
        <f>IFERROR(_xlfn.XLOOKUP(Table43[[#This Row],[Column1]],#REF!,#REF!),0)</f>
        <v>0</v>
      </c>
      <c r="V554" s="39"/>
    </row>
    <row r="555" spans="1:22" x14ac:dyDescent="0.35">
      <c r="A555" s="2" t="s">
        <v>1725</v>
      </c>
      <c r="B555" s="2" t="s">
        <v>1736</v>
      </c>
      <c r="C555" s="2" t="s">
        <v>15</v>
      </c>
      <c r="D555" s="2">
        <v>0</v>
      </c>
      <c r="E555" s="2" t="s">
        <v>10</v>
      </c>
      <c r="F555" s="2">
        <v>1</v>
      </c>
      <c r="G555" s="2">
        <v>2</v>
      </c>
      <c r="H555" s="2">
        <v>0</v>
      </c>
      <c r="I555" s="22">
        <f>Table43[[#This Row],[Item Cost]]*Table43[[#This Row],[In Stock]]</f>
        <v>0</v>
      </c>
      <c r="J555" s="12" t="s">
        <v>4941</v>
      </c>
      <c r="K555" s="13" t="s">
        <v>4666</v>
      </c>
      <c r="L555" s="13" t="s">
        <v>4674</v>
      </c>
      <c r="M555" s="13" t="s">
        <v>4837</v>
      </c>
      <c r="N555" s="12" t="s">
        <v>4672</v>
      </c>
      <c r="O555" s="17" t="str">
        <f>IF(LEN(COUNTIFS($J$1:J555,$J555,$K$1:K555,$K555,$L$1:L555,$L555,$M$1:M555,M555,$N$1:N555,N555))=1,"00"&amp;COUNTIFS($J$1:J555,$J555,$K$1:K555,$K555,$L$1:L555,$L555,$M$1:M555,M555,$N$1:N555,N555),IF(LEN(COUNTIFS($J$1:J555,$J555,$K$1:K555,$K555,$L$1:L555,$L555,$M$1:M555,M555,$N$1:N555,N555))=2,"0"&amp;COUNTIFS($J$1:J555,$J555,$K$1:K555,$K555,$L$1:L555,$L555,$M$1:M555,M555,$N$1:N555,N555),COUNTIFS($J$1:J555,$J555,$K$1:K555,$K555,$L$1:L555,$L555,$M$1:M555,M555,$N$1:N555,N555)))</f>
        <v>002</v>
      </c>
      <c r="P55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MS-NS-002-26-00002-INV</v>
      </c>
      <c r="Q555" s="59"/>
      <c r="R555" s="34" t="s">
        <v>6343</v>
      </c>
      <c r="S555" s="34" t="s">
        <v>1736</v>
      </c>
      <c r="T555" s="34">
        <f>+IFERROR(_xlfn.XLOOKUP(Table43[[#This Row],[Column1]],#REF!,#REF!),0)</f>
        <v>0</v>
      </c>
      <c r="U555" s="50">
        <f>IFERROR(_xlfn.XLOOKUP(Table43[[#This Row],[Column1]],#REF!,#REF!),0)</f>
        <v>0</v>
      </c>
      <c r="V555" s="39"/>
    </row>
    <row r="556" spans="1:22" x14ac:dyDescent="0.35">
      <c r="A556" s="3" t="s">
        <v>1727</v>
      </c>
      <c r="B556" s="3" t="s">
        <v>1738</v>
      </c>
      <c r="C556" s="3" t="s">
        <v>9</v>
      </c>
      <c r="D556" s="5">
        <v>2374.44</v>
      </c>
      <c r="E556" s="3" t="s">
        <v>10</v>
      </c>
      <c r="F556" s="2">
        <v>1</v>
      </c>
      <c r="G556" s="2">
        <v>2</v>
      </c>
      <c r="H556" s="3">
        <v>1</v>
      </c>
      <c r="I556" s="21">
        <f>Table43[[#This Row],[Item Cost]]*Table43[[#This Row],[In Stock]]</f>
        <v>2374.44</v>
      </c>
      <c r="J556" s="12" t="s">
        <v>4941</v>
      </c>
      <c r="K556" s="13" t="s">
        <v>4664</v>
      </c>
      <c r="L556" s="13" t="s">
        <v>4674</v>
      </c>
      <c r="M556" s="13" t="s">
        <v>4828</v>
      </c>
      <c r="N556" s="12" t="s">
        <v>4672</v>
      </c>
      <c r="O556" s="17" t="str">
        <f>IF(LEN(COUNTIFS($J$1:J556,$J556,$K$1:K556,$K556,$L$1:L556,$L556,$M$1:M556,M556,$N$1:N556,N556))=1,"00"&amp;COUNTIFS($J$1:J556,$J556,$K$1:K556,$K556,$L$1:L556,$L556,$M$1:M556,M556,$N$1:N556,N556),IF(LEN(COUNTIFS($J$1:J556,$J556,$K$1:K556,$K556,$L$1:L556,$L556,$M$1:M556,M556,$N$1:N556,N556))=2,"0"&amp;COUNTIFS($J$1:J556,$J556,$K$1:K556,$K556,$L$1:L556,$L556,$M$1:M556,M556,$N$1:N556,N556),COUNTIFS($J$1:J556,$J556,$K$1:K556,$K556,$L$1:L556,$L556,$M$1:M556,M556,$N$1:N556,N556)))</f>
        <v>002</v>
      </c>
      <c r="P55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MS-CS-002-13-00002-INV</v>
      </c>
      <c r="Q556" s="59" t="s">
        <v>7363</v>
      </c>
      <c r="R556" s="34" t="s">
        <v>6344</v>
      </c>
      <c r="S556" s="34" t="s">
        <v>1738</v>
      </c>
      <c r="T556" s="34">
        <f>+IFERROR(_xlfn.XLOOKUP(Table43[[#This Row],[Column1]],#REF!,#REF!),0)</f>
        <v>0</v>
      </c>
      <c r="U556" s="50">
        <f>IFERROR(_xlfn.XLOOKUP(Table43[[#This Row],[Column1]],#REF!,#REF!),0)</f>
        <v>0</v>
      </c>
      <c r="V556" s="39"/>
    </row>
    <row r="557" spans="1:22" x14ac:dyDescent="0.35">
      <c r="A557" s="2" t="s">
        <v>1729</v>
      </c>
      <c r="B557" s="2" t="s">
        <v>1740</v>
      </c>
      <c r="C557" s="2" t="s">
        <v>9</v>
      </c>
      <c r="D557" s="4">
        <v>2958.64</v>
      </c>
      <c r="E557" s="2" t="s">
        <v>10</v>
      </c>
      <c r="F557" s="2">
        <v>1</v>
      </c>
      <c r="G557" s="2">
        <v>2</v>
      </c>
      <c r="H557" s="2">
        <v>2</v>
      </c>
      <c r="I557" s="22">
        <f>Table43[[#This Row],[Item Cost]]*Table43[[#This Row],[In Stock]]</f>
        <v>5917.28</v>
      </c>
      <c r="J557" s="12" t="s">
        <v>4941</v>
      </c>
      <c r="K557" s="13" t="s">
        <v>4664</v>
      </c>
      <c r="L557" s="13" t="s">
        <v>4674</v>
      </c>
      <c r="M557" s="13" t="s">
        <v>4828</v>
      </c>
      <c r="N557" s="12" t="s">
        <v>4672</v>
      </c>
      <c r="O557" s="17" t="str">
        <f>IF(LEN(COUNTIFS($J$1:J557,$J557,$K$1:K557,$K557,$L$1:L557,$L557,$M$1:M557,M557,$N$1:N557,N557))=1,"00"&amp;COUNTIFS($J$1:J557,$J557,$K$1:K557,$K557,$L$1:L557,$L557,$M$1:M557,M557,$N$1:N557,N557),IF(LEN(COUNTIFS($J$1:J557,$J557,$K$1:K557,$K557,$L$1:L557,$L557,$M$1:M557,M557,$N$1:N557,N557))=2,"0"&amp;COUNTIFS($J$1:J557,$J557,$K$1:K557,$K557,$L$1:L557,$L557,$M$1:M557,M557,$N$1:N557,N557),COUNTIFS($J$1:J557,$J557,$K$1:K557,$K557,$L$1:L557,$L557,$M$1:M557,M557,$N$1:N557,N557)))</f>
        <v>003</v>
      </c>
      <c r="P55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MS-CS-002-13-00003-INV</v>
      </c>
      <c r="Q557" s="59" t="s">
        <v>7364</v>
      </c>
      <c r="R557" s="34" t="s">
        <v>6345</v>
      </c>
      <c r="S557" s="34" t="s">
        <v>1740</v>
      </c>
      <c r="T557" s="34">
        <f>+IFERROR(_xlfn.XLOOKUP(Table43[[#This Row],[Column1]],#REF!,#REF!),0)</f>
        <v>0</v>
      </c>
      <c r="U557" s="50">
        <f>IFERROR(_xlfn.XLOOKUP(Table43[[#This Row],[Column1]],#REF!,#REF!),0)</f>
        <v>0</v>
      </c>
      <c r="V557" s="39"/>
    </row>
    <row r="558" spans="1:22" x14ac:dyDescent="0.35">
      <c r="A558" s="2" t="s">
        <v>1731</v>
      </c>
      <c r="B558" s="3" t="s">
        <v>1742</v>
      </c>
      <c r="C558" s="3" t="s">
        <v>9</v>
      </c>
      <c r="D558" s="5">
        <v>2065.6149999999998</v>
      </c>
      <c r="E558" s="3" t="s">
        <v>10</v>
      </c>
      <c r="F558" s="2">
        <v>1</v>
      </c>
      <c r="G558" s="2">
        <v>2</v>
      </c>
      <c r="H558" s="3">
        <v>2</v>
      </c>
      <c r="I558" s="21">
        <f>Table43[[#This Row],[Item Cost]]*Table43[[#This Row],[In Stock]]</f>
        <v>4131.2299999999996</v>
      </c>
      <c r="J558" s="12" t="s">
        <v>4941</v>
      </c>
      <c r="K558" s="13" t="s">
        <v>4664</v>
      </c>
      <c r="L558" s="13" t="s">
        <v>4674</v>
      </c>
      <c r="M558" s="13" t="s">
        <v>4828</v>
      </c>
      <c r="N558" s="12" t="s">
        <v>4672</v>
      </c>
      <c r="O558" s="17" t="str">
        <f>IF(LEN(COUNTIFS($J$1:J558,$J558,$K$1:K558,$K558,$L$1:L558,$L558,$M$1:M558,M558,$N$1:N558,N558))=1,"00"&amp;COUNTIFS($J$1:J558,$J558,$K$1:K558,$K558,$L$1:L558,$L558,$M$1:M558,M558,$N$1:N558,N558),IF(LEN(COUNTIFS($J$1:J558,$J558,$K$1:K558,$K558,$L$1:L558,$L558,$M$1:M558,M558,$N$1:N558,N558))=2,"0"&amp;COUNTIFS($J$1:J558,$J558,$K$1:K558,$K558,$L$1:L558,$L558,$M$1:M558,M558,$N$1:N558,N558),COUNTIFS($J$1:J558,$J558,$K$1:K558,$K558,$L$1:L558,$L558,$M$1:M558,M558,$N$1:N558,N558)))</f>
        <v>004</v>
      </c>
      <c r="P55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MS-CS-002-13-00004-INV</v>
      </c>
      <c r="Q558" s="59" t="s">
        <v>7365</v>
      </c>
      <c r="R558" s="34" t="s">
        <v>6346</v>
      </c>
      <c r="S558" s="34" t="s">
        <v>1742</v>
      </c>
      <c r="T558" s="34">
        <f>+IFERROR(_xlfn.XLOOKUP(Table43[[#This Row],[Column1]],#REF!,#REF!),0)</f>
        <v>0</v>
      </c>
      <c r="U558" s="50">
        <f>IFERROR(_xlfn.XLOOKUP(Table43[[#This Row],[Column1]],#REF!,#REF!),0)</f>
        <v>0</v>
      </c>
      <c r="V558" s="39"/>
    </row>
    <row r="559" spans="1:22" x14ac:dyDescent="0.35">
      <c r="A559" s="3" t="s">
        <v>1733</v>
      </c>
      <c r="B559" s="2" t="s">
        <v>1744</v>
      </c>
      <c r="C559" s="2" t="s">
        <v>15</v>
      </c>
      <c r="D559" s="2">
        <v>0</v>
      </c>
      <c r="E559" s="2" t="s">
        <v>10</v>
      </c>
      <c r="F559" s="2">
        <v>1</v>
      </c>
      <c r="G559" s="2">
        <v>2</v>
      </c>
      <c r="H559" s="2">
        <v>0</v>
      </c>
      <c r="I559" s="22">
        <f>Table43[[#This Row],[Item Cost]]*Table43[[#This Row],[In Stock]]</f>
        <v>0</v>
      </c>
      <c r="J559" s="12" t="s">
        <v>4941</v>
      </c>
      <c r="K559" s="13" t="s">
        <v>4666</v>
      </c>
      <c r="L559" s="13" t="s">
        <v>4674</v>
      </c>
      <c r="M559" s="13" t="s">
        <v>4693</v>
      </c>
      <c r="N559" s="12" t="s">
        <v>4672</v>
      </c>
      <c r="O559" s="17" t="str">
        <f>IF(LEN(COUNTIFS($J$1:J559,$J559,$K$1:K559,$K559,$L$1:L559,$L559,$M$1:M559,M559,$N$1:N559,N559))=1,"00"&amp;COUNTIFS($J$1:J559,$J559,$K$1:K559,$K559,$L$1:L559,$L559,$M$1:M559,M559,$N$1:N559,N559),IF(LEN(COUNTIFS($J$1:J559,$J559,$K$1:K559,$K559,$L$1:L559,$L559,$M$1:M559,M559,$N$1:N559,N559))=2,"0"&amp;COUNTIFS($J$1:J559,$J559,$K$1:K559,$K559,$L$1:L559,$L559,$M$1:M559,M559,$N$1:N559,N559),COUNTIFS($J$1:J559,$J559,$K$1:K559,$K559,$L$1:L559,$L559,$M$1:M559,M559,$N$1:N559,N559)))</f>
        <v>005</v>
      </c>
      <c r="P55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MS-NS-002-23-00005-INV</v>
      </c>
      <c r="Q559" s="59"/>
      <c r="R559" s="34" t="s">
        <v>6347</v>
      </c>
      <c r="S559" s="34" t="s">
        <v>1744</v>
      </c>
      <c r="T559" s="34">
        <f>+IFERROR(_xlfn.XLOOKUP(Table43[[#This Row],[Column1]],#REF!,#REF!),0)</f>
        <v>0</v>
      </c>
      <c r="U559" s="50">
        <f>IFERROR(_xlfn.XLOOKUP(Table43[[#This Row],[Column1]],#REF!,#REF!),0)</f>
        <v>0</v>
      </c>
      <c r="V559" s="39"/>
    </row>
    <row r="560" spans="1:22" x14ac:dyDescent="0.35">
      <c r="A560" s="2" t="s">
        <v>1735</v>
      </c>
      <c r="B560" s="3" t="s">
        <v>1746</v>
      </c>
      <c r="C560" s="3" t="s">
        <v>9</v>
      </c>
      <c r="D560" s="3">
        <v>170</v>
      </c>
      <c r="E560" s="3" t="s">
        <v>10</v>
      </c>
      <c r="F560" s="2">
        <v>1</v>
      </c>
      <c r="G560" s="3">
        <v>3</v>
      </c>
      <c r="H560" s="3">
        <v>3</v>
      </c>
      <c r="I560" s="21">
        <f>Table43[[#This Row],[Item Cost]]*Table43[[#This Row],[In Stock]]</f>
        <v>510</v>
      </c>
      <c r="J560" s="12" t="s">
        <v>4941</v>
      </c>
      <c r="K560" s="13" t="s">
        <v>4664</v>
      </c>
      <c r="L560" s="13" t="s">
        <v>4674</v>
      </c>
      <c r="M560" s="13" t="s">
        <v>4693</v>
      </c>
      <c r="N560" s="12" t="s">
        <v>4672</v>
      </c>
      <c r="O560" s="17" t="str">
        <f>IF(LEN(COUNTIFS($J$1:J560,$J560,$K$1:K560,$K560,$L$1:L560,$L560,$M$1:M560,M560,$N$1:N560,N560))=1,"00"&amp;COUNTIFS($J$1:J560,$J560,$K$1:K560,$K560,$L$1:L560,$L560,$M$1:M560,M560,$N$1:N560,N560),IF(LEN(COUNTIFS($J$1:J560,$J560,$K$1:K560,$K560,$L$1:L560,$L560,$M$1:M560,M560,$N$1:N560,N560))=2,"0"&amp;COUNTIFS($J$1:J560,$J560,$K$1:K560,$K560,$L$1:L560,$L560,$M$1:M560,M560,$N$1:N560,N560),COUNTIFS($J$1:J560,$J560,$K$1:K560,$K560,$L$1:L560,$L560,$M$1:M560,M560,$N$1:N560,N560)))</f>
        <v>005</v>
      </c>
      <c r="P56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MS-CS-002-23-00005-INV</v>
      </c>
      <c r="Q560" s="59" t="s">
        <v>7358</v>
      </c>
      <c r="R560" s="34" t="s">
        <v>6348</v>
      </c>
      <c r="S560" s="34" t="s">
        <v>1746</v>
      </c>
      <c r="T560" s="34">
        <f>+IFERROR(_xlfn.XLOOKUP(Table43[[#This Row],[Column1]],#REF!,#REF!),0)</f>
        <v>0</v>
      </c>
      <c r="U560" s="50">
        <f>IFERROR(_xlfn.XLOOKUP(Table43[[#This Row],[Column1]],#REF!,#REF!),0)</f>
        <v>0</v>
      </c>
      <c r="V560" s="39"/>
    </row>
    <row r="561" spans="1:22" x14ac:dyDescent="0.35">
      <c r="A561" s="2" t="s">
        <v>1737</v>
      </c>
      <c r="B561" s="2" t="s">
        <v>1748</v>
      </c>
      <c r="C561" s="2" t="s">
        <v>9</v>
      </c>
      <c r="D561" s="4">
        <v>2637.5</v>
      </c>
      <c r="E561" s="2" t="s">
        <v>10</v>
      </c>
      <c r="F561" s="2">
        <v>1</v>
      </c>
      <c r="G561" s="2">
        <v>2</v>
      </c>
      <c r="H561" s="2">
        <v>1</v>
      </c>
      <c r="I561" s="22">
        <f>Table43[[#This Row],[Item Cost]]*Table43[[#This Row],[In Stock]]</f>
        <v>2637.5</v>
      </c>
      <c r="J561" s="12" t="s">
        <v>4941</v>
      </c>
      <c r="K561" s="13" t="s">
        <v>4664</v>
      </c>
      <c r="L561" s="13" t="s">
        <v>4674</v>
      </c>
      <c r="M561" s="13" t="s">
        <v>4693</v>
      </c>
      <c r="N561" s="12" t="s">
        <v>4672</v>
      </c>
      <c r="O561" s="17" t="str">
        <f>IF(LEN(COUNTIFS($J$1:J561,$J561,$K$1:K561,$K561,$L$1:L561,$L561,$M$1:M561,M561,$N$1:N561,N561))=1,"00"&amp;COUNTIFS($J$1:J561,$J561,$K$1:K561,$K561,$L$1:L561,$L561,$M$1:M561,M561,$N$1:N561,N561),IF(LEN(COUNTIFS($J$1:J561,$J561,$K$1:K561,$K561,$L$1:L561,$L561,$M$1:M561,M561,$N$1:N561,N561))=2,"0"&amp;COUNTIFS($J$1:J561,$J561,$K$1:K561,$K561,$L$1:L561,$L561,$M$1:M561,M561,$N$1:N561,N561),COUNTIFS($J$1:J561,$J561,$K$1:K561,$K561,$L$1:L561,$L561,$M$1:M561,M561,$N$1:N561,N561)))</f>
        <v>006</v>
      </c>
      <c r="P56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MS-CS-002-23-00006-INV</v>
      </c>
      <c r="Q561" s="59" t="s">
        <v>7360</v>
      </c>
      <c r="R561" s="34" t="s">
        <v>6349</v>
      </c>
      <c r="S561" s="34" t="s">
        <v>1748</v>
      </c>
      <c r="T561" s="34">
        <f>+IFERROR(_xlfn.XLOOKUP(Table43[[#This Row],[Column1]],#REF!,#REF!),0)</f>
        <v>0</v>
      </c>
      <c r="U561" s="50">
        <f>IFERROR(_xlfn.XLOOKUP(Table43[[#This Row],[Column1]],#REF!,#REF!),0)</f>
        <v>0</v>
      </c>
      <c r="V561" s="39"/>
    </row>
    <row r="562" spans="1:22" x14ac:dyDescent="0.35">
      <c r="A562" s="3" t="s">
        <v>1739</v>
      </c>
      <c r="B562" s="3" t="s">
        <v>1750</v>
      </c>
      <c r="C562" s="3" t="s">
        <v>15</v>
      </c>
      <c r="D562" s="5">
        <v>3750</v>
      </c>
      <c r="E562" s="3" t="s">
        <v>10</v>
      </c>
      <c r="F562" s="2">
        <v>1</v>
      </c>
      <c r="G562" s="2">
        <v>2</v>
      </c>
      <c r="H562" s="3">
        <v>2</v>
      </c>
      <c r="I562" s="21">
        <f>Table43[[#This Row],[Item Cost]]*Table43[[#This Row],[In Stock]]</f>
        <v>7500</v>
      </c>
      <c r="J562" s="12" t="s">
        <v>4941</v>
      </c>
      <c r="K562" s="13" t="s">
        <v>4666</v>
      </c>
      <c r="L562" s="13" t="s">
        <v>4674</v>
      </c>
      <c r="M562" s="13" t="s">
        <v>4693</v>
      </c>
      <c r="N562" s="12" t="s">
        <v>4672</v>
      </c>
      <c r="O562" s="17" t="str">
        <f>IF(LEN(COUNTIFS($J$1:J562,$J562,$K$1:K562,$K562,$L$1:L562,$L562,$M$1:M562,M562,$N$1:N562,N562))=1,"00"&amp;COUNTIFS($J$1:J562,$J562,$K$1:K562,$K562,$L$1:L562,$L562,$M$1:M562,M562,$N$1:N562,N562),IF(LEN(COUNTIFS($J$1:J562,$J562,$K$1:K562,$K562,$L$1:L562,$L562,$M$1:M562,M562,$N$1:N562,N562))=2,"0"&amp;COUNTIFS($J$1:J562,$J562,$K$1:K562,$K562,$L$1:L562,$L562,$M$1:M562,M562,$N$1:N562,N562),COUNTIFS($J$1:J562,$J562,$K$1:K562,$K562,$L$1:L562,$L562,$M$1:M562,M562,$N$1:N562,N562)))</f>
        <v>006</v>
      </c>
      <c r="P56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MS-NS-002-23-00006-INV</v>
      </c>
      <c r="Q562" s="59"/>
      <c r="R562" s="34" t="s">
        <v>6350</v>
      </c>
      <c r="S562" s="34" t="s">
        <v>1750</v>
      </c>
      <c r="T562" s="34">
        <f>+IFERROR(_xlfn.XLOOKUP(Table43[[#This Row],[Column1]],#REF!,#REF!),0)</f>
        <v>0</v>
      </c>
      <c r="U562" s="50">
        <f>IFERROR(_xlfn.XLOOKUP(Table43[[#This Row],[Column1]],#REF!,#REF!),0)</f>
        <v>0</v>
      </c>
      <c r="V562" s="39"/>
    </row>
    <row r="563" spans="1:22" x14ac:dyDescent="0.35">
      <c r="A563" s="2" t="s">
        <v>1741</v>
      </c>
      <c r="B563" s="2" t="s">
        <v>1752</v>
      </c>
      <c r="C563" s="2" t="s">
        <v>9</v>
      </c>
      <c r="D563" s="4">
        <v>3418.5</v>
      </c>
      <c r="E563" s="2" t="s">
        <v>10</v>
      </c>
      <c r="F563" s="2">
        <v>1</v>
      </c>
      <c r="G563" s="2">
        <v>2</v>
      </c>
      <c r="H563" s="2">
        <v>1</v>
      </c>
      <c r="I563" s="22">
        <f>Table43[[#This Row],[Item Cost]]*Table43[[#This Row],[In Stock]]</f>
        <v>3418.5</v>
      </c>
      <c r="J563" s="12" t="s">
        <v>4941</v>
      </c>
      <c r="K563" s="13" t="s">
        <v>4664</v>
      </c>
      <c r="L563" s="13" t="s">
        <v>4674</v>
      </c>
      <c r="M563" s="13" t="s">
        <v>4693</v>
      </c>
      <c r="N563" s="12" t="s">
        <v>4672</v>
      </c>
      <c r="O563" s="17" t="str">
        <f>IF(LEN(COUNTIFS($J$1:J563,$J563,$K$1:K563,$K563,$L$1:L563,$L563,$M$1:M563,M563,$N$1:N563,N563))=1,"00"&amp;COUNTIFS($J$1:J563,$J563,$K$1:K563,$K563,$L$1:L563,$L563,$M$1:M563,M563,$N$1:N563,N563),IF(LEN(COUNTIFS($J$1:J563,$J563,$K$1:K563,$K563,$L$1:L563,$L563,$M$1:M563,M563,$N$1:N563,N563))=2,"0"&amp;COUNTIFS($J$1:J563,$J563,$K$1:K563,$K563,$L$1:L563,$L563,$M$1:M563,M563,$N$1:N563,N563),COUNTIFS($J$1:J563,$J563,$K$1:K563,$K563,$L$1:L563,$L563,$M$1:M563,M563,$N$1:N563,N563)))</f>
        <v>007</v>
      </c>
      <c r="P56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MS-CS-002-23-00007-INV</v>
      </c>
      <c r="Q563" s="59" t="s">
        <v>7360</v>
      </c>
      <c r="R563" s="34" t="s">
        <v>6351</v>
      </c>
      <c r="S563" s="34" t="s">
        <v>1752</v>
      </c>
      <c r="T563" s="34">
        <f>+IFERROR(_xlfn.XLOOKUP(Table43[[#This Row],[Column1]],#REF!,#REF!),0)</f>
        <v>0</v>
      </c>
      <c r="U563" s="50">
        <f>IFERROR(_xlfn.XLOOKUP(Table43[[#This Row],[Column1]],#REF!,#REF!),0)</f>
        <v>0</v>
      </c>
      <c r="V563" s="39"/>
    </row>
    <row r="564" spans="1:22" x14ac:dyDescent="0.35">
      <c r="A564" s="2" t="s">
        <v>1743</v>
      </c>
      <c r="B564" s="3" t="s">
        <v>1754</v>
      </c>
      <c r="C564" s="3" t="s">
        <v>15</v>
      </c>
      <c r="D564" s="5">
        <v>2256</v>
      </c>
      <c r="E564" s="3" t="s">
        <v>10</v>
      </c>
      <c r="F564" s="3">
        <v>2</v>
      </c>
      <c r="G564" s="3">
        <v>4</v>
      </c>
      <c r="H564" s="3">
        <v>1</v>
      </c>
      <c r="I564" s="21">
        <f>Table43[[#This Row],[Item Cost]]*Table43[[#This Row],[In Stock]]</f>
        <v>2256</v>
      </c>
      <c r="J564" s="12" t="s">
        <v>4941</v>
      </c>
      <c r="K564" s="13" t="s">
        <v>4666</v>
      </c>
      <c r="L564" s="13" t="s">
        <v>4674</v>
      </c>
      <c r="M564" s="13" t="s">
        <v>4693</v>
      </c>
      <c r="N564" s="12" t="s">
        <v>4672</v>
      </c>
      <c r="O564" s="17" t="str">
        <f>IF(LEN(COUNTIFS($J$1:J564,$J564,$K$1:K564,$K564,$L$1:L564,$L564,$M$1:M564,M564,$N$1:N564,N564))=1,"00"&amp;COUNTIFS($J$1:J564,$J564,$K$1:K564,$K564,$L$1:L564,$L564,$M$1:M564,M564,$N$1:N564,N564),IF(LEN(COUNTIFS($J$1:J564,$J564,$K$1:K564,$K564,$L$1:L564,$L564,$M$1:M564,M564,$N$1:N564,N564))=2,"0"&amp;COUNTIFS($J$1:J564,$J564,$K$1:K564,$K564,$L$1:L564,$L564,$M$1:M564,M564,$N$1:N564,N564),COUNTIFS($J$1:J564,$J564,$K$1:K564,$K564,$L$1:L564,$L564,$M$1:M564,M564,$N$1:N564,N564)))</f>
        <v>007</v>
      </c>
      <c r="P56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MS-NS-002-23-00007-INV</v>
      </c>
      <c r="Q564" s="59"/>
      <c r="R564" s="34" t="s">
        <v>6352</v>
      </c>
      <c r="S564" s="34" t="s">
        <v>1754</v>
      </c>
      <c r="T564" s="34">
        <f>+IFERROR(_xlfn.XLOOKUP(Table43[[#This Row],[Column1]],#REF!,#REF!),0)</f>
        <v>0</v>
      </c>
      <c r="U564" s="50">
        <f>IFERROR(_xlfn.XLOOKUP(Table43[[#This Row],[Column1]],#REF!,#REF!),0)</f>
        <v>0</v>
      </c>
      <c r="V564" s="39"/>
    </row>
    <row r="565" spans="1:22" x14ac:dyDescent="0.35">
      <c r="A565" s="3" t="s">
        <v>1745</v>
      </c>
      <c r="B565" s="2" t="s">
        <v>1756</v>
      </c>
      <c r="C565" s="2" t="s">
        <v>15</v>
      </c>
      <c r="D565" s="4">
        <v>2600</v>
      </c>
      <c r="E565" s="2" t="s">
        <v>10</v>
      </c>
      <c r="F565" s="3">
        <v>2</v>
      </c>
      <c r="G565" s="3">
        <v>4</v>
      </c>
      <c r="H565" s="2">
        <v>0</v>
      </c>
      <c r="I565" s="22">
        <f>Table43[[#This Row],[Item Cost]]*Table43[[#This Row],[In Stock]]</f>
        <v>0</v>
      </c>
      <c r="J565" s="12" t="s">
        <v>4941</v>
      </c>
      <c r="K565" s="13" t="s">
        <v>4666</v>
      </c>
      <c r="L565" s="13" t="s">
        <v>4674</v>
      </c>
      <c r="M565" s="13" t="s">
        <v>4693</v>
      </c>
      <c r="N565" s="12" t="s">
        <v>4672</v>
      </c>
      <c r="O565" s="17" t="str">
        <f>IF(LEN(COUNTIFS($J$1:J565,$J565,$K$1:K565,$K565,$L$1:L565,$L565,$M$1:M565,M565,$N$1:N565,N565))=1,"00"&amp;COUNTIFS($J$1:J565,$J565,$K$1:K565,$K565,$L$1:L565,$L565,$M$1:M565,M565,$N$1:N565,N565),IF(LEN(COUNTIFS($J$1:J565,$J565,$K$1:K565,$K565,$L$1:L565,$L565,$M$1:M565,M565,$N$1:N565,N565))=2,"0"&amp;COUNTIFS($J$1:J565,$J565,$K$1:K565,$K565,$L$1:L565,$L565,$M$1:M565,M565,$N$1:N565,N565),COUNTIFS($J$1:J565,$J565,$K$1:K565,$K565,$L$1:L565,$L565,$M$1:M565,M565,$N$1:N565,N565)))</f>
        <v>008</v>
      </c>
      <c r="P56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MS-NS-002-23-00008-INV</v>
      </c>
      <c r="Q565" s="59"/>
      <c r="R565" s="34" t="s">
        <v>6353</v>
      </c>
      <c r="S565" s="34" t="s">
        <v>1756</v>
      </c>
      <c r="T565" s="34">
        <f>+IFERROR(_xlfn.XLOOKUP(Table43[[#This Row],[Column1]],#REF!,#REF!),0)</f>
        <v>0</v>
      </c>
      <c r="U565" s="50">
        <f>IFERROR(_xlfn.XLOOKUP(Table43[[#This Row],[Column1]],#REF!,#REF!),0)</f>
        <v>0</v>
      </c>
      <c r="V565" s="39"/>
    </row>
    <row r="566" spans="1:22" x14ac:dyDescent="0.35">
      <c r="A566" s="2" t="s">
        <v>1747</v>
      </c>
      <c r="B566" s="2" t="s">
        <v>1760</v>
      </c>
      <c r="C566" s="2" t="s">
        <v>15</v>
      </c>
      <c r="D566" s="4">
        <v>2719.08</v>
      </c>
      <c r="E566" s="2" t="s">
        <v>10</v>
      </c>
      <c r="F566" s="2">
        <v>6</v>
      </c>
      <c r="G566" s="2">
        <v>12</v>
      </c>
      <c r="H566" s="2">
        <v>7</v>
      </c>
      <c r="I566" s="22">
        <f>Table43[[#This Row],[Item Cost]]*Table43[[#This Row],[In Stock]]</f>
        <v>19033.559999999998</v>
      </c>
      <c r="J566" s="12" t="s">
        <v>4941</v>
      </c>
      <c r="K566" s="13" t="s">
        <v>4666</v>
      </c>
      <c r="L566" s="13" t="s">
        <v>4674</v>
      </c>
      <c r="M566" s="13" t="s">
        <v>3950</v>
      </c>
      <c r="N566" s="12" t="s">
        <v>4672</v>
      </c>
      <c r="O566" s="17" t="str">
        <f>IF(LEN(COUNTIFS($J$1:J566,$J566,$K$1:K566,$K566,$L$1:L566,$L566,$M$1:M566,M566,$N$1:N566,N566))=1,"00"&amp;COUNTIFS($J$1:J566,$J566,$K$1:K566,$K566,$L$1:L566,$L566,$M$1:M566,M566,$N$1:N566,N566),IF(LEN(COUNTIFS($J$1:J566,$J566,$K$1:K566,$K566,$L$1:L566,$L566,$M$1:M566,M566,$N$1:N566,N566))=2,"0"&amp;COUNTIFS($J$1:J566,$J566,$K$1:K566,$K566,$L$1:L566,$L566,$M$1:M566,M566,$N$1:N566,N566),COUNTIFS($J$1:J566,$J566,$K$1:K566,$K566,$L$1:L566,$L566,$M$1:M566,M566,$N$1:N566,N566)))</f>
        <v>005</v>
      </c>
      <c r="P56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MS-NS-002-22-00005-INV</v>
      </c>
      <c r="Q566" s="59" t="s">
        <v>7352</v>
      </c>
      <c r="R566" s="34" t="s">
        <v>6354</v>
      </c>
      <c r="S566" s="34" t="s">
        <v>1760</v>
      </c>
      <c r="T566" s="34">
        <f>+IFERROR(_xlfn.XLOOKUP(Table43[[#This Row],[Column1]],#REF!,#REF!),0)</f>
        <v>0</v>
      </c>
      <c r="U566" s="50">
        <f>IFERROR(_xlfn.XLOOKUP(Table43[[#This Row],[Column1]],#REF!,#REF!),0)</f>
        <v>0</v>
      </c>
      <c r="V566" s="39"/>
    </row>
    <row r="567" spans="1:22" x14ac:dyDescent="0.35">
      <c r="A567" s="2" t="s">
        <v>1749</v>
      </c>
      <c r="B567" s="3" t="s">
        <v>1762</v>
      </c>
      <c r="C567" s="3" t="s">
        <v>15</v>
      </c>
      <c r="D567" s="3">
        <v>0</v>
      </c>
      <c r="E567" s="3" t="s">
        <v>10</v>
      </c>
      <c r="F567" s="3">
        <v>2</v>
      </c>
      <c r="G567" s="3">
        <v>4</v>
      </c>
      <c r="H567" s="3">
        <v>0</v>
      </c>
      <c r="I567" s="21">
        <f>Table43[[#This Row],[Item Cost]]*Table43[[#This Row],[In Stock]]</f>
        <v>0</v>
      </c>
      <c r="J567" s="12" t="s">
        <v>4941</v>
      </c>
      <c r="K567" s="13" t="s">
        <v>4666</v>
      </c>
      <c r="L567" s="13" t="s">
        <v>4674</v>
      </c>
      <c r="M567" s="13" t="s">
        <v>3950</v>
      </c>
      <c r="N567" s="12" t="s">
        <v>4672</v>
      </c>
      <c r="O567" s="17" t="str">
        <f>IF(LEN(COUNTIFS($J$1:J567,$J567,$K$1:K567,$K567,$L$1:L567,$L567,$M$1:M567,M567,$N$1:N567,N567))=1,"00"&amp;COUNTIFS($J$1:J567,$J567,$K$1:K567,$K567,$L$1:L567,$L567,$M$1:M567,M567,$N$1:N567,N567),IF(LEN(COUNTIFS($J$1:J567,$J567,$K$1:K567,$K567,$L$1:L567,$L567,$M$1:M567,M567,$N$1:N567,N567))=2,"0"&amp;COUNTIFS($J$1:J567,$J567,$K$1:K567,$K567,$L$1:L567,$L567,$M$1:M567,M567,$N$1:N567,N567),COUNTIFS($J$1:J567,$J567,$K$1:K567,$K567,$L$1:L567,$L567,$M$1:M567,M567,$N$1:N567,N567)))</f>
        <v>006</v>
      </c>
      <c r="P56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MS-NS-002-22-00006-INV</v>
      </c>
      <c r="Q567" s="59"/>
      <c r="R567" s="34" t="s">
        <v>6355</v>
      </c>
      <c r="S567" s="34" t="s">
        <v>1762</v>
      </c>
      <c r="T567" s="34">
        <f>+IFERROR(_xlfn.XLOOKUP(Table43[[#This Row],[Column1]],#REF!,#REF!),0)</f>
        <v>0</v>
      </c>
      <c r="U567" s="50">
        <f>IFERROR(_xlfn.XLOOKUP(Table43[[#This Row],[Column1]],#REF!,#REF!),0)</f>
        <v>0</v>
      </c>
      <c r="V567" s="39"/>
    </row>
    <row r="568" spans="1:22" x14ac:dyDescent="0.35">
      <c r="A568" s="3" t="s">
        <v>1751</v>
      </c>
      <c r="B568" s="2" t="s">
        <v>1764</v>
      </c>
      <c r="C568" s="2" t="s">
        <v>9</v>
      </c>
      <c r="D568" s="4">
        <v>2750</v>
      </c>
      <c r="E568" s="2" t="s">
        <v>10</v>
      </c>
      <c r="F568" s="2">
        <v>1</v>
      </c>
      <c r="G568" s="2">
        <v>2</v>
      </c>
      <c r="H568" s="2">
        <v>1</v>
      </c>
      <c r="I568" s="22">
        <f>Table43[[#This Row],[Item Cost]]*Table43[[#This Row],[In Stock]]</f>
        <v>2750</v>
      </c>
      <c r="J568" s="12" t="s">
        <v>4941</v>
      </c>
      <c r="K568" s="13" t="s">
        <v>4664</v>
      </c>
      <c r="L568" s="13" t="s">
        <v>4674</v>
      </c>
      <c r="M568" s="13" t="s">
        <v>4837</v>
      </c>
      <c r="N568" s="12" t="s">
        <v>4672</v>
      </c>
      <c r="O568" s="17" t="str">
        <f>IF(LEN(COUNTIFS($J$1:J568,$J568,$K$1:K568,$K568,$L$1:L568,$L568,$M$1:M568,M568,$N$1:N568,N568))=1,"00"&amp;COUNTIFS($J$1:J568,$J568,$K$1:K568,$K568,$L$1:L568,$L568,$M$1:M568,M568,$N$1:N568,N568),IF(LEN(COUNTIFS($J$1:J568,$J568,$K$1:K568,$K568,$L$1:L568,$L568,$M$1:M568,M568,$N$1:N568,N568))=2,"0"&amp;COUNTIFS($J$1:J568,$J568,$K$1:K568,$K568,$L$1:L568,$L568,$M$1:M568,M568,$N$1:N568,N568),COUNTIFS($J$1:J568,$J568,$K$1:K568,$K568,$L$1:L568,$L568,$M$1:M568,M568,$N$1:N568,N568)))</f>
        <v>001</v>
      </c>
      <c r="P56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MS-CS-002-26-00001-INV</v>
      </c>
      <c r="Q568" s="59"/>
      <c r="R568" s="34" t="s">
        <v>6356</v>
      </c>
      <c r="S568" s="34" t="s">
        <v>1764</v>
      </c>
      <c r="T568" s="34">
        <f>+IFERROR(_xlfn.XLOOKUP(Table43[[#This Row],[Column1]],#REF!,#REF!),0)</f>
        <v>0</v>
      </c>
      <c r="U568" s="50">
        <f>IFERROR(_xlfn.XLOOKUP(Table43[[#This Row],[Column1]],#REF!,#REF!),0)</f>
        <v>0</v>
      </c>
      <c r="V568" s="39"/>
    </row>
    <row r="569" spans="1:22" x14ac:dyDescent="0.35">
      <c r="A569" s="2" t="s">
        <v>1753</v>
      </c>
      <c r="B569" s="3" t="s">
        <v>1766</v>
      </c>
      <c r="C569" s="3" t="s">
        <v>9</v>
      </c>
      <c r="D569" s="5">
        <v>12500</v>
      </c>
      <c r="E569" s="3" t="s">
        <v>10</v>
      </c>
      <c r="F569" s="2">
        <v>1</v>
      </c>
      <c r="G569" s="3">
        <v>2</v>
      </c>
      <c r="H569" s="3">
        <v>1</v>
      </c>
      <c r="I569" s="21">
        <f>Table43[[#This Row],[Item Cost]]*Table43[[#This Row],[In Stock]]</f>
        <v>12500</v>
      </c>
      <c r="J569" s="12" t="s">
        <v>4941</v>
      </c>
      <c r="K569" s="13" t="s">
        <v>4664</v>
      </c>
      <c r="L569" s="13" t="s">
        <v>4674</v>
      </c>
      <c r="M569" s="13" t="s">
        <v>4772</v>
      </c>
      <c r="N569" s="12" t="s">
        <v>4672</v>
      </c>
      <c r="O569" s="17" t="str">
        <f>IF(LEN(COUNTIFS($J$1:J569,$J569,$K$1:K569,$K569,$L$1:L569,$L569,$M$1:M569,M569,$N$1:N569,N569))=1,"00"&amp;COUNTIFS($J$1:J569,$J569,$K$1:K569,$K569,$L$1:L569,$L569,$M$1:M569,M569,$N$1:N569,N569),IF(LEN(COUNTIFS($J$1:J569,$J569,$K$1:K569,$K569,$L$1:L569,$L569,$M$1:M569,M569,$N$1:N569,N569))=2,"0"&amp;COUNTIFS($J$1:J569,$J569,$K$1:K569,$K569,$L$1:L569,$L569,$M$1:M569,M569,$N$1:N569,N569),COUNTIFS($J$1:J569,$J569,$K$1:K569,$K569,$L$1:L569,$L569,$M$1:M569,M569,$N$1:N569,N569)))</f>
        <v>001</v>
      </c>
      <c r="P56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MS-CS-002-06-00001-INV</v>
      </c>
      <c r="Q569" s="59" t="s">
        <v>7362</v>
      </c>
      <c r="R569" s="34" t="s">
        <v>6357</v>
      </c>
      <c r="S569" s="34" t="s">
        <v>1766</v>
      </c>
      <c r="T569" s="34">
        <f>+IFERROR(_xlfn.XLOOKUP(Table43[[#This Row],[Column1]],#REF!,#REF!),0)</f>
        <v>0</v>
      </c>
      <c r="U569" s="50">
        <f>IFERROR(_xlfn.XLOOKUP(Table43[[#This Row],[Column1]],#REF!,#REF!),0)</f>
        <v>0</v>
      </c>
      <c r="V569" s="39"/>
    </row>
    <row r="570" spans="1:22" x14ac:dyDescent="0.35">
      <c r="A570" s="2" t="s">
        <v>1755</v>
      </c>
      <c r="B570" s="2" t="s">
        <v>1768</v>
      </c>
      <c r="C570" s="2" t="s">
        <v>15</v>
      </c>
      <c r="D570" s="2">
        <v>0</v>
      </c>
      <c r="E570" s="2" t="s">
        <v>10</v>
      </c>
      <c r="F570" s="2">
        <v>1</v>
      </c>
      <c r="G570" s="2">
        <v>2</v>
      </c>
      <c r="H570" s="2">
        <v>0</v>
      </c>
      <c r="I570" s="22">
        <f>Table43[[#This Row],[Item Cost]]*Table43[[#This Row],[In Stock]]</f>
        <v>0</v>
      </c>
      <c r="J570" s="12" t="s">
        <v>4941</v>
      </c>
      <c r="K570" s="13" t="s">
        <v>4666</v>
      </c>
      <c r="L570" s="13" t="s">
        <v>4674</v>
      </c>
      <c r="M570" s="13" t="s">
        <v>4772</v>
      </c>
      <c r="N570" s="12" t="s">
        <v>4672</v>
      </c>
      <c r="O570" s="17" t="str">
        <f>IF(LEN(COUNTIFS($J$1:J570,$J570,$K$1:K570,$K570,$L$1:L570,$L570,$M$1:M570,M570,$N$1:N570,N570))=1,"00"&amp;COUNTIFS($J$1:J570,$J570,$K$1:K570,$K570,$L$1:L570,$L570,$M$1:M570,M570,$N$1:N570,N570),IF(LEN(COUNTIFS($J$1:J570,$J570,$K$1:K570,$K570,$L$1:L570,$L570,$M$1:M570,M570,$N$1:N570,N570))=2,"0"&amp;COUNTIFS($J$1:J570,$J570,$K$1:K570,$K570,$L$1:L570,$L570,$M$1:M570,M570,$N$1:N570,N570),COUNTIFS($J$1:J570,$J570,$K$1:K570,$K570,$L$1:L570,$L570,$M$1:M570,M570,$N$1:N570,N570)))</f>
        <v>001</v>
      </c>
      <c r="P57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MS-NS-002-06-00001-INV</v>
      </c>
      <c r="Q570" s="59"/>
      <c r="R570" s="34" t="s">
        <v>6358</v>
      </c>
      <c r="S570" s="34" t="s">
        <v>1768</v>
      </c>
      <c r="T570" s="34">
        <f>+IFERROR(_xlfn.XLOOKUP(Table43[[#This Row],[Column1]],#REF!,#REF!),0)</f>
        <v>0</v>
      </c>
      <c r="U570" s="50">
        <f>IFERROR(_xlfn.XLOOKUP(Table43[[#This Row],[Column1]],#REF!,#REF!),0)</f>
        <v>0</v>
      </c>
      <c r="V570" s="39"/>
    </row>
    <row r="571" spans="1:22" x14ac:dyDescent="0.35">
      <c r="A571" s="3" t="s">
        <v>1757</v>
      </c>
      <c r="B571" s="3" t="s">
        <v>1770</v>
      </c>
      <c r="C571" s="3" t="s">
        <v>15</v>
      </c>
      <c r="D571" s="3">
        <v>735.2</v>
      </c>
      <c r="E571" s="3" t="s">
        <v>10</v>
      </c>
      <c r="F571" s="2">
        <v>1</v>
      </c>
      <c r="G571" s="2">
        <v>2</v>
      </c>
      <c r="H571" s="3">
        <v>3</v>
      </c>
      <c r="I571" s="21">
        <f>Table43[[#This Row],[Item Cost]]*Table43[[#This Row],[In Stock]]</f>
        <v>2205.6000000000004</v>
      </c>
      <c r="J571" s="12" t="s">
        <v>4941</v>
      </c>
      <c r="K571" s="13" t="s">
        <v>4666</v>
      </c>
      <c r="L571" s="13" t="s">
        <v>4674</v>
      </c>
      <c r="M571" s="13" t="s">
        <v>4832</v>
      </c>
      <c r="N571" s="12" t="s">
        <v>4672</v>
      </c>
      <c r="O571" s="17" t="str">
        <f>IF(LEN(COUNTIFS($J$1:J571,$J571,$K$1:K571,$K571,$L$1:L571,$L571,$M$1:M571,M571,$N$1:N571,N571))=1,"00"&amp;COUNTIFS($J$1:J571,$J571,$K$1:K571,$K571,$L$1:L571,$L571,$M$1:M571,M571,$N$1:N571,N571),IF(LEN(COUNTIFS($J$1:J571,$J571,$K$1:K571,$K571,$L$1:L571,$L571,$M$1:M571,M571,$N$1:N571,N571))=2,"0"&amp;COUNTIFS($J$1:J571,$J571,$K$1:K571,$K571,$L$1:L571,$L571,$M$1:M571,M571,$N$1:N571,N571),COUNTIFS($J$1:J571,$J571,$K$1:K571,$K571,$L$1:L571,$L571,$M$1:M571,M571,$N$1:N571,N571)))</f>
        <v>001</v>
      </c>
      <c r="P57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MS-NS-002-07-00001-INV</v>
      </c>
      <c r="Q571" s="59"/>
      <c r="R571" s="34" t="s">
        <v>6359</v>
      </c>
      <c r="S571" s="34" t="s">
        <v>1770</v>
      </c>
      <c r="T571" s="34">
        <f>+IFERROR(_xlfn.XLOOKUP(Table43[[#This Row],[Column1]],#REF!,#REF!),0)</f>
        <v>0</v>
      </c>
      <c r="U571" s="50">
        <f>IFERROR(_xlfn.XLOOKUP(Table43[[#This Row],[Column1]],#REF!,#REF!),0)</f>
        <v>0</v>
      </c>
      <c r="V571" s="39"/>
    </row>
    <row r="572" spans="1:22" x14ac:dyDescent="0.35">
      <c r="A572" s="2" t="s">
        <v>1759</v>
      </c>
      <c r="B572" s="2" t="s">
        <v>1772</v>
      </c>
      <c r="C572" s="2" t="s">
        <v>9</v>
      </c>
      <c r="D572" s="4">
        <v>1000</v>
      </c>
      <c r="E572" s="2" t="s">
        <v>10</v>
      </c>
      <c r="F572" s="2">
        <v>1</v>
      </c>
      <c r="G572" s="2">
        <v>2</v>
      </c>
      <c r="H572" s="2">
        <v>1</v>
      </c>
      <c r="I572" s="22">
        <f>Table43[[#This Row],[Item Cost]]*Table43[[#This Row],[In Stock]]</f>
        <v>1000</v>
      </c>
      <c r="J572" s="12" t="s">
        <v>4941</v>
      </c>
      <c r="K572" s="13" t="s">
        <v>4664</v>
      </c>
      <c r="L572" s="13" t="s">
        <v>4674</v>
      </c>
      <c r="M572" s="13" t="s">
        <v>4772</v>
      </c>
      <c r="N572" s="12" t="s">
        <v>4672</v>
      </c>
      <c r="O572" s="17" t="str">
        <f>IF(LEN(COUNTIFS($J$1:J572,$J572,$K$1:K572,$K572,$L$1:L572,$L572,$M$1:M572,M572,$N$1:N572,N572))=1,"00"&amp;COUNTIFS($J$1:J572,$J572,$K$1:K572,$K572,$L$1:L572,$L572,$M$1:M572,M572,$N$1:N572,N572),IF(LEN(COUNTIFS($J$1:J572,$J572,$K$1:K572,$K572,$L$1:L572,$L572,$M$1:M572,M572,$N$1:N572,N572))=2,"0"&amp;COUNTIFS($J$1:J572,$J572,$K$1:K572,$K572,$L$1:L572,$L572,$M$1:M572,M572,$N$1:N572,N572),COUNTIFS($J$1:J572,$J572,$K$1:K572,$K572,$L$1:L572,$L572,$M$1:M572,M572,$N$1:N572,N572)))</f>
        <v>002</v>
      </c>
      <c r="P57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MS-CS-002-06-00002-INV</v>
      </c>
      <c r="Q572" s="59" t="s">
        <v>7362</v>
      </c>
      <c r="R572" s="34" t="s">
        <v>6360</v>
      </c>
      <c r="S572" s="34" t="s">
        <v>1772</v>
      </c>
      <c r="T572" s="34">
        <f>+IFERROR(_xlfn.XLOOKUP(Table43[[#This Row],[Column1]],#REF!,#REF!),0)</f>
        <v>0</v>
      </c>
      <c r="U572" s="50">
        <f>IFERROR(_xlfn.XLOOKUP(Table43[[#This Row],[Column1]],#REF!,#REF!),0)</f>
        <v>0</v>
      </c>
      <c r="V572" s="39"/>
    </row>
    <row r="573" spans="1:22" x14ac:dyDescent="0.35">
      <c r="A573" s="2" t="s">
        <v>1761</v>
      </c>
      <c r="B573" s="3" t="s">
        <v>1774</v>
      </c>
      <c r="C573" s="3" t="s">
        <v>15</v>
      </c>
      <c r="D573" s="3">
        <v>0</v>
      </c>
      <c r="E573" s="3" t="s">
        <v>10</v>
      </c>
      <c r="F573" s="2">
        <v>1</v>
      </c>
      <c r="G573" s="2">
        <v>2</v>
      </c>
      <c r="H573" s="3">
        <v>0</v>
      </c>
      <c r="I573" s="21">
        <f>Table43[[#This Row],[Item Cost]]*Table43[[#This Row],[In Stock]]</f>
        <v>0</v>
      </c>
      <c r="J573" s="12" t="s">
        <v>4941</v>
      </c>
      <c r="K573" s="13" t="s">
        <v>4666</v>
      </c>
      <c r="L573" s="13" t="s">
        <v>4674</v>
      </c>
      <c r="M573" s="13" t="s">
        <v>4772</v>
      </c>
      <c r="N573" s="12" t="s">
        <v>4672</v>
      </c>
      <c r="O573" s="17" t="str">
        <f>IF(LEN(COUNTIFS($J$1:J573,$J573,$K$1:K573,$K573,$L$1:L573,$L573,$M$1:M573,M573,$N$1:N573,N573))=1,"00"&amp;COUNTIFS($J$1:J573,$J573,$K$1:K573,$K573,$L$1:L573,$L573,$M$1:M573,M573,$N$1:N573,N573),IF(LEN(COUNTIFS($J$1:J573,$J573,$K$1:K573,$K573,$L$1:L573,$L573,$M$1:M573,M573,$N$1:N573,N573))=2,"0"&amp;COUNTIFS($J$1:J573,$J573,$K$1:K573,$K573,$L$1:L573,$L573,$M$1:M573,M573,$N$1:N573,N573),COUNTIFS($J$1:J573,$J573,$K$1:K573,$K573,$L$1:L573,$L573,$M$1:M573,M573,$N$1:N573,N573)))</f>
        <v>002</v>
      </c>
      <c r="P57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MS-NS-002-06-00002-INV</v>
      </c>
      <c r="Q573" s="59"/>
      <c r="R573" s="34" t="s">
        <v>6361</v>
      </c>
      <c r="S573" s="34" t="s">
        <v>1774</v>
      </c>
      <c r="T573" s="34">
        <f>+IFERROR(_xlfn.XLOOKUP(Table43[[#This Row],[Column1]],#REF!,#REF!),0)</f>
        <v>0</v>
      </c>
      <c r="U573" s="50">
        <f>IFERROR(_xlfn.XLOOKUP(Table43[[#This Row],[Column1]],#REF!,#REF!),0)</f>
        <v>0</v>
      </c>
      <c r="V573" s="39"/>
    </row>
    <row r="574" spans="1:22" x14ac:dyDescent="0.35">
      <c r="A574" s="3" t="s">
        <v>1763</v>
      </c>
      <c r="B574" s="2" t="s">
        <v>1776</v>
      </c>
      <c r="C574" s="2" t="s">
        <v>15</v>
      </c>
      <c r="D574" s="2">
        <v>500</v>
      </c>
      <c r="E574" s="2" t="s">
        <v>10</v>
      </c>
      <c r="F574" s="2">
        <v>1</v>
      </c>
      <c r="G574" s="2">
        <v>2</v>
      </c>
      <c r="H574" s="2">
        <v>0</v>
      </c>
      <c r="I574" s="22">
        <f>Table43[[#This Row],[Item Cost]]*Table43[[#This Row],[In Stock]]</f>
        <v>0</v>
      </c>
      <c r="J574" s="12" t="s">
        <v>4941</v>
      </c>
      <c r="K574" s="13" t="s">
        <v>4666</v>
      </c>
      <c r="L574" s="13" t="s">
        <v>4674</v>
      </c>
      <c r="M574" s="13" t="s">
        <v>4772</v>
      </c>
      <c r="N574" s="12" t="s">
        <v>4672</v>
      </c>
      <c r="O574" s="17" t="str">
        <f>IF(LEN(COUNTIFS($J$1:J574,$J574,$K$1:K574,$K574,$L$1:L574,$L574,$M$1:M574,M574,$N$1:N574,N574))=1,"00"&amp;COUNTIFS($J$1:J574,$J574,$K$1:K574,$K574,$L$1:L574,$L574,$M$1:M574,M574,$N$1:N574,N574),IF(LEN(COUNTIFS($J$1:J574,$J574,$K$1:K574,$K574,$L$1:L574,$L574,$M$1:M574,M574,$N$1:N574,N574))=2,"0"&amp;COUNTIFS($J$1:J574,$J574,$K$1:K574,$K574,$L$1:L574,$L574,$M$1:M574,M574,$N$1:N574,N574),COUNTIFS($J$1:J574,$J574,$K$1:K574,$K574,$L$1:L574,$L574,$M$1:M574,M574,$N$1:N574,N574)))</f>
        <v>003</v>
      </c>
      <c r="P57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MS-NS-002-06-00003-INV</v>
      </c>
      <c r="Q574" s="59"/>
      <c r="R574" s="34" t="s">
        <v>6362</v>
      </c>
      <c r="S574" s="34" t="s">
        <v>1776</v>
      </c>
      <c r="T574" s="34">
        <f>+IFERROR(_xlfn.XLOOKUP(Table43[[#This Row],[Column1]],#REF!,#REF!),0)</f>
        <v>0</v>
      </c>
      <c r="U574" s="50">
        <f>IFERROR(_xlfn.XLOOKUP(Table43[[#This Row],[Column1]],#REF!,#REF!),0)</f>
        <v>0</v>
      </c>
      <c r="V574" s="39"/>
    </row>
    <row r="575" spans="1:22" x14ac:dyDescent="0.35">
      <c r="A575" s="2" t="s">
        <v>1765</v>
      </c>
      <c r="B575" s="3" t="s">
        <v>1778</v>
      </c>
      <c r="C575" s="3" t="s">
        <v>9</v>
      </c>
      <c r="D575" s="5">
        <v>19608</v>
      </c>
      <c r="E575" s="3" t="s">
        <v>10</v>
      </c>
      <c r="F575" s="2">
        <v>1</v>
      </c>
      <c r="G575" s="3">
        <v>2</v>
      </c>
      <c r="H575" s="3">
        <v>2</v>
      </c>
      <c r="I575" s="21">
        <f>Table43[[#This Row],[Item Cost]]*Table43[[#This Row],[In Stock]]</f>
        <v>39216</v>
      </c>
      <c r="J575" s="12" t="s">
        <v>4941</v>
      </c>
      <c r="K575" s="13" t="s">
        <v>4664</v>
      </c>
      <c r="L575" s="13" t="s">
        <v>4674</v>
      </c>
      <c r="M575" s="13" t="s">
        <v>4733</v>
      </c>
      <c r="N575" s="12" t="s">
        <v>4672</v>
      </c>
      <c r="O575" s="17" t="str">
        <f>IF(LEN(COUNTIFS($J$1:J575,$J575,$K$1:K575,$K575,$L$1:L575,$L575,$M$1:M575,M575,$N$1:N575,N575))=1,"00"&amp;COUNTIFS($J$1:J575,$J575,$K$1:K575,$K575,$L$1:L575,$L575,$M$1:M575,M575,$N$1:N575,N575),IF(LEN(COUNTIFS($J$1:J575,$J575,$K$1:K575,$K575,$L$1:L575,$L575,$M$1:M575,M575,$N$1:N575,N575))=2,"0"&amp;COUNTIFS($J$1:J575,$J575,$K$1:K575,$K575,$L$1:L575,$L575,$M$1:M575,M575,$N$1:N575,N575),COUNTIFS($J$1:J575,$J575,$K$1:K575,$K575,$L$1:L575,$L575,$M$1:M575,M575,$N$1:N575,N575)))</f>
        <v>001</v>
      </c>
      <c r="P57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MS-CS-002-01-00001-INV</v>
      </c>
      <c r="Q575" s="59"/>
      <c r="R575" s="34" t="s">
        <v>6363</v>
      </c>
      <c r="S575" s="34" t="s">
        <v>1778</v>
      </c>
      <c r="T575" s="34">
        <f>+IFERROR(_xlfn.XLOOKUP(Table43[[#This Row],[Column1]],#REF!,#REF!),0)</f>
        <v>0</v>
      </c>
      <c r="U575" s="50">
        <f>IFERROR(_xlfn.XLOOKUP(Table43[[#This Row],[Column1]],#REF!,#REF!),0)</f>
        <v>0</v>
      </c>
      <c r="V575" s="39"/>
    </row>
    <row r="576" spans="1:22" x14ac:dyDescent="0.35">
      <c r="A576" s="2" t="s">
        <v>1767</v>
      </c>
      <c r="B576" s="2" t="s">
        <v>1780</v>
      </c>
      <c r="C576" s="2" t="s">
        <v>9</v>
      </c>
      <c r="D576" s="4">
        <v>2500</v>
      </c>
      <c r="E576" s="2" t="s">
        <v>10</v>
      </c>
      <c r="F576" s="2">
        <v>1</v>
      </c>
      <c r="G576" s="2">
        <v>2</v>
      </c>
      <c r="H576" s="2">
        <v>1</v>
      </c>
      <c r="I576" s="22">
        <f>Table43[[#This Row],[Item Cost]]*Table43[[#This Row],[In Stock]]</f>
        <v>2500</v>
      </c>
      <c r="J576" s="12" t="s">
        <v>4941</v>
      </c>
      <c r="K576" s="13" t="s">
        <v>4664</v>
      </c>
      <c r="L576" s="13" t="s">
        <v>4674</v>
      </c>
      <c r="M576" s="13" t="s">
        <v>4828</v>
      </c>
      <c r="N576" s="12" t="s">
        <v>4672</v>
      </c>
      <c r="O576" s="17" t="str">
        <f>IF(LEN(COUNTIFS($J$1:J576,$J576,$K$1:K576,$K576,$L$1:L576,$L576,$M$1:M576,M576,$N$1:N576,N576))=1,"00"&amp;COUNTIFS($J$1:J576,$J576,$K$1:K576,$K576,$L$1:L576,$L576,$M$1:M576,M576,$N$1:N576,N576),IF(LEN(COUNTIFS($J$1:J576,$J576,$K$1:K576,$K576,$L$1:L576,$L576,$M$1:M576,M576,$N$1:N576,N576))=2,"0"&amp;COUNTIFS($J$1:J576,$J576,$K$1:K576,$K576,$L$1:L576,$L576,$M$1:M576,M576,$N$1:N576,N576),COUNTIFS($J$1:J576,$J576,$K$1:K576,$K576,$L$1:L576,$L576,$M$1:M576,M576,$N$1:N576,N576)))</f>
        <v>005</v>
      </c>
      <c r="P57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MS-CS-002-13-00005-INV</v>
      </c>
      <c r="Q576" s="59"/>
      <c r="R576" s="34" t="s">
        <v>6364</v>
      </c>
      <c r="S576" s="34" t="s">
        <v>1780</v>
      </c>
      <c r="T576" s="34">
        <f>+IFERROR(_xlfn.XLOOKUP(Table43[[#This Row],[Column1]],#REF!,#REF!),0)</f>
        <v>0</v>
      </c>
      <c r="U576" s="50">
        <f>IFERROR(_xlfn.XLOOKUP(Table43[[#This Row],[Column1]],#REF!,#REF!),0)</f>
        <v>0</v>
      </c>
      <c r="V576" s="39"/>
    </row>
    <row r="577" spans="1:22" x14ac:dyDescent="0.35">
      <c r="A577" s="3" t="s">
        <v>1769</v>
      </c>
      <c r="B577" s="3" t="s">
        <v>1782</v>
      </c>
      <c r="C577" s="3" t="s">
        <v>9</v>
      </c>
      <c r="D577" s="5">
        <v>6475</v>
      </c>
      <c r="E577" s="3" t="s">
        <v>10</v>
      </c>
      <c r="F577" s="2">
        <v>1</v>
      </c>
      <c r="G577" s="3">
        <v>2</v>
      </c>
      <c r="H577" s="3">
        <v>4</v>
      </c>
      <c r="I577" s="21">
        <f>Table43[[#This Row],[Item Cost]]*Table43[[#This Row],[In Stock]]</f>
        <v>25900</v>
      </c>
      <c r="J577" s="12" t="s">
        <v>4941</v>
      </c>
      <c r="K577" s="13" t="s">
        <v>4664</v>
      </c>
      <c r="L577" s="13" t="s">
        <v>4674</v>
      </c>
      <c r="M577" s="13" t="s">
        <v>4693</v>
      </c>
      <c r="N577" s="12" t="s">
        <v>4672</v>
      </c>
      <c r="O577" s="17" t="str">
        <f>IF(LEN(COUNTIFS($J$1:J577,$J577,$K$1:K577,$K577,$L$1:L577,$L577,$M$1:M577,M577,$N$1:N577,N577))=1,"00"&amp;COUNTIFS($J$1:J577,$J577,$K$1:K577,$K577,$L$1:L577,$L577,$M$1:M577,M577,$N$1:N577,N577),IF(LEN(COUNTIFS($J$1:J577,$J577,$K$1:K577,$K577,$L$1:L577,$L577,$M$1:M577,M577,$N$1:N577,N577))=2,"0"&amp;COUNTIFS($J$1:J577,$J577,$K$1:K577,$K577,$L$1:L577,$L577,$M$1:M577,M577,$N$1:N577,N577),COUNTIFS($J$1:J577,$J577,$K$1:K577,$K577,$L$1:L577,$L577,$M$1:M577,M577,$N$1:N577,N577)))</f>
        <v>008</v>
      </c>
      <c r="P57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MS-CS-002-23-00008-INV</v>
      </c>
      <c r="Q577" s="59" t="s">
        <v>7360</v>
      </c>
      <c r="R577" s="34" t="s">
        <v>6365</v>
      </c>
      <c r="S577" s="34" t="s">
        <v>1782</v>
      </c>
      <c r="T577" s="34">
        <f>+IFERROR(_xlfn.XLOOKUP(Table43[[#This Row],[Column1]],#REF!,#REF!),0)</f>
        <v>0</v>
      </c>
      <c r="U577" s="50">
        <f>IFERROR(_xlfn.XLOOKUP(Table43[[#This Row],[Column1]],#REF!,#REF!),0)</f>
        <v>0</v>
      </c>
      <c r="V577" s="39"/>
    </row>
    <row r="578" spans="1:22" x14ac:dyDescent="0.35">
      <c r="A578" s="2" t="s">
        <v>1771</v>
      </c>
      <c r="B578" s="2" t="s">
        <v>1784</v>
      </c>
      <c r="C578" s="2" t="s">
        <v>9</v>
      </c>
      <c r="D578" s="2">
        <v>800</v>
      </c>
      <c r="E578" s="2" t="s">
        <v>10</v>
      </c>
      <c r="F578" s="2">
        <v>1</v>
      </c>
      <c r="G578" s="2">
        <v>2</v>
      </c>
      <c r="H578" s="2">
        <v>1</v>
      </c>
      <c r="I578" s="22">
        <f>Table43[[#This Row],[Item Cost]]*Table43[[#This Row],[In Stock]]</f>
        <v>800</v>
      </c>
      <c r="J578" s="12" t="s">
        <v>4941</v>
      </c>
      <c r="K578" s="13" t="s">
        <v>4664</v>
      </c>
      <c r="L578" s="13" t="s">
        <v>4674</v>
      </c>
      <c r="M578" s="13" t="s">
        <v>4775</v>
      </c>
      <c r="N578" s="12" t="s">
        <v>4672</v>
      </c>
      <c r="O578" s="17" t="str">
        <f>IF(LEN(COUNTIFS($J$1:J578,$J578,$K$1:K578,$K578,$L$1:L578,$L578,$M$1:M578,M578,$N$1:N578,N578))=1,"00"&amp;COUNTIFS($J$1:J578,$J578,$K$1:K578,$K578,$L$1:L578,$L578,$M$1:M578,M578,$N$1:N578,N578),IF(LEN(COUNTIFS($J$1:J578,$J578,$K$1:K578,$K578,$L$1:L578,$L578,$M$1:M578,M578,$N$1:N578,N578))=2,"0"&amp;COUNTIFS($J$1:J578,$J578,$K$1:K578,$K578,$L$1:L578,$L578,$M$1:M578,M578,$N$1:N578,N578),COUNTIFS($J$1:J578,$J578,$K$1:K578,$K578,$L$1:L578,$L578,$M$1:M578,M578,$N$1:N578,N578)))</f>
        <v>001</v>
      </c>
      <c r="P57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MS-CS-002-09-00001-INV</v>
      </c>
      <c r="Q578" s="59"/>
      <c r="R578" s="34" t="s">
        <v>6366</v>
      </c>
      <c r="S578" s="34" t="s">
        <v>1784</v>
      </c>
      <c r="T578" s="34">
        <f>+IFERROR(_xlfn.XLOOKUP(Table43[[#This Row],[Column1]],#REF!,#REF!),0)</f>
        <v>0</v>
      </c>
      <c r="U578" s="50">
        <f>IFERROR(_xlfn.XLOOKUP(Table43[[#This Row],[Column1]],#REF!,#REF!),0)</f>
        <v>0</v>
      </c>
      <c r="V578" s="39"/>
    </row>
    <row r="579" spans="1:22" x14ac:dyDescent="0.35">
      <c r="A579" s="2" t="s">
        <v>1773</v>
      </c>
      <c r="B579" s="3" t="s">
        <v>1786</v>
      </c>
      <c r="C579" s="3" t="s">
        <v>15</v>
      </c>
      <c r="D579" s="5">
        <v>15000</v>
      </c>
      <c r="E579" s="3" t="s">
        <v>10</v>
      </c>
      <c r="F579" s="2">
        <v>1</v>
      </c>
      <c r="G579" s="2">
        <v>2</v>
      </c>
      <c r="H579" s="3">
        <v>0</v>
      </c>
      <c r="I579" s="21">
        <f>Table43[[#This Row],[Item Cost]]*Table43[[#This Row],[In Stock]]</f>
        <v>0</v>
      </c>
      <c r="J579" s="12" t="s">
        <v>4941</v>
      </c>
      <c r="K579" s="13" t="s">
        <v>4666</v>
      </c>
      <c r="L579" s="13" t="s">
        <v>4674</v>
      </c>
      <c r="M579" s="13" t="s">
        <v>4733</v>
      </c>
      <c r="N579" s="12" t="s">
        <v>4672</v>
      </c>
      <c r="O579" s="17" t="str">
        <f>IF(LEN(COUNTIFS($J$1:J579,$J579,$K$1:K579,$K579,$L$1:L579,$L579,$M$1:M579,M579,$N$1:N579,N579))=1,"00"&amp;COUNTIFS($J$1:J579,$J579,$K$1:K579,$K579,$L$1:L579,$L579,$M$1:M579,M579,$N$1:N579,N579),IF(LEN(COUNTIFS($J$1:J579,$J579,$K$1:K579,$K579,$L$1:L579,$L579,$M$1:M579,M579,$N$1:N579,N579))=2,"0"&amp;COUNTIFS($J$1:J579,$J579,$K$1:K579,$K579,$L$1:L579,$L579,$M$1:M579,M579,$N$1:N579,N579),COUNTIFS($J$1:J579,$J579,$K$1:K579,$K579,$L$1:L579,$L579,$M$1:M579,M579,$N$1:N579,N579)))</f>
        <v>002</v>
      </c>
      <c r="P57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MS-NS-002-01-00002-INV</v>
      </c>
      <c r="Q579" s="59"/>
      <c r="R579" s="34" t="s">
        <v>6367</v>
      </c>
      <c r="S579" s="34" t="s">
        <v>1786</v>
      </c>
      <c r="T579" s="34">
        <f>+IFERROR(_xlfn.XLOOKUP(Table43[[#This Row],[Column1]],#REF!,#REF!),0)</f>
        <v>0</v>
      </c>
      <c r="U579" s="50">
        <f>IFERROR(_xlfn.XLOOKUP(Table43[[#This Row],[Column1]],#REF!,#REF!),0)</f>
        <v>0</v>
      </c>
      <c r="V579" s="39"/>
    </row>
    <row r="580" spans="1:22" x14ac:dyDescent="0.35">
      <c r="A580" s="3" t="s">
        <v>1775</v>
      </c>
      <c r="B580" s="2" t="s">
        <v>1788</v>
      </c>
      <c r="C580" s="2" t="s">
        <v>9</v>
      </c>
      <c r="D580" s="4">
        <v>12000</v>
      </c>
      <c r="E580" s="2" t="s">
        <v>10</v>
      </c>
      <c r="F580" s="2">
        <v>1</v>
      </c>
      <c r="G580" s="2">
        <v>2</v>
      </c>
      <c r="H580" s="2">
        <v>2</v>
      </c>
      <c r="I580" s="22">
        <f>Table43[[#This Row],[Item Cost]]*Table43[[#This Row],[In Stock]]</f>
        <v>24000</v>
      </c>
      <c r="J580" s="12" t="s">
        <v>4941</v>
      </c>
      <c r="K580" s="13" t="s">
        <v>4664</v>
      </c>
      <c r="L580" s="13" t="s">
        <v>4674</v>
      </c>
      <c r="M580" s="13" t="s">
        <v>4733</v>
      </c>
      <c r="N580" s="12" t="s">
        <v>4672</v>
      </c>
      <c r="O580" s="17" t="str">
        <f>IF(LEN(COUNTIFS($J$1:J580,$J580,$K$1:K580,$K580,$L$1:L580,$L580,$M$1:M580,M580,$N$1:N580,N580))=1,"00"&amp;COUNTIFS($J$1:J580,$J580,$K$1:K580,$K580,$L$1:L580,$L580,$M$1:M580,M580,$N$1:N580,N580),IF(LEN(COUNTIFS($J$1:J580,$J580,$K$1:K580,$K580,$L$1:L580,$L580,$M$1:M580,M580,$N$1:N580,N580))=2,"0"&amp;COUNTIFS($J$1:J580,$J580,$K$1:K580,$K580,$L$1:L580,$L580,$M$1:M580,M580,$N$1:N580,N580),COUNTIFS($J$1:J580,$J580,$K$1:K580,$K580,$L$1:L580,$L580,$M$1:M580,M580,$N$1:N580,N580)))</f>
        <v>002</v>
      </c>
      <c r="P58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MS-CS-002-01-00002-INV</v>
      </c>
      <c r="Q580" s="59" t="s">
        <v>7352</v>
      </c>
      <c r="R580" s="34" t="s">
        <v>6368</v>
      </c>
      <c r="S580" s="34" t="s">
        <v>1788</v>
      </c>
      <c r="T580" s="34">
        <f>+IFERROR(_xlfn.XLOOKUP(Table43[[#This Row],[Column1]],#REF!,#REF!),0)</f>
        <v>0</v>
      </c>
      <c r="U580" s="50">
        <f>IFERROR(_xlfn.XLOOKUP(Table43[[#This Row],[Column1]],#REF!,#REF!),0)</f>
        <v>0</v>
      </c>
      <c r="V580" s="39"/>
    </row>
    <row r="581" spans="1:22" x14ac:dyDescent="0.35">
      <c r="A581" s="2" t="s">
        <v>1777</v>
      </c>
      <c r="B581" s="3" t="s">
        <v>1790</v>
      </c>
      <c r="C581" s="3" t="s">
        <v>9</v>
      </c>
      <c r="D581" s="5">
        <v>1000</v>
      </c>
      <c r="E581" s="3" t="s">
        <v>10</v>
      </c>
      <c r="F581" s="2">
        <v>1</v>
      </c>
      <c r="G581" s="3">
        <v>2</v>
      </c>
      <c r="H581" s="3">
        <v>3</v>
      </c>
      <c r="I581" s="21">
        <f>Table43[[#This Row],[Item Cost]]*Table43[[#This Row],[In Stock]]</f>
        <v>3000</v>
      </c>
      <c r="J581" s="12" t="s">
        <v>4941</v>
      </c>
      <c r="K581" s="13" t="s">
        <v>4664</v>
      </c>
      <c r="L581" s="13" t="s">
        <v>4674</v>
      </c>
      <c r="M581" s="13" t="s">
        <v>4693</v>
      </c>
      <c r="N581" s="12" t="s">
        <v>4672</v>
      </c>
      <c r="O581" s="17" t="str">
        <f>IF(LEN(COUNTIFS($J$1:J581,$J581,$K$1:K581,$K581,$L$1:L581,$L581,$M$1:M581,M581,$N$1:N581,N581))=1,"00"&amp;COUNTIFS($J$1:J581,$J581,$K$1:K581,$K581,$L$1:L581,$L581,$M$1:M581,M581,$N$1:N581,N581),IF(LEN(COUNTIFS($J$1:J581,$J581,$K$1:K581,$K581,$L$1:L581,$L581,$M$1:M581,M581,$N$1:N581,N581))=2,"0"&amp;COUNTIFS($J$1:J581,$J581,$K$1:K581,$K581,$L$1:L581,$L581,$M$1:M581,M581,$N$1:N581,N581),COUNTIFS($J$1:J581,$J581,$K$1:K581,$K581,$L$1:L581,$L581,$M$1:M581,M581,$N$1:N581,N581)))</f>
        <v>009</v>
      </c>
      <c r="P58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MS-CS-002-23-00009-INV</v>
      </c>
      <c r="Q581" s="59"/>
      <c r="R581" s="34" t="s">
        <v>6369</v>
      </c>
      <c r="S581" s="34" t="s">
        <v>1790</v>
      </c>
      <c r="T581" s="34">
        <f>+IFERROR(_xlfn.XLOOKUP(Table43[[#This Row],[Column1]],#REF!,#REF!),0)</f>
        <v>0</v>
      </c>
      <c r="U581" s="50">
        <f>IFERROR(_xlfn.XLOOKUP(Table43[[#This Row],[Column1]],#REF!,#REF!),0)</f>
        <v>0</v>
      </c>
      <c r="V581" s="39"/>
    </row>
    <row r="582" spans="1:22" x14ac:dyDescent="0.35">
      <c r="A582" s="2" t="s">
        <v>1779</v>
      </c>
      <c r="B582" s="2" t="s">
        <v>1792</v>
      </c>
      <c r="C582" s="2" t="s">
        <v>9</v>
      </c>
      <c r="D582" s="4">
        <v>2500</v>
      </c>
      <c r="E582" s="2" t="s">
        <v>10</v>
      </c>
      <c r="F582" s="2">
        <v>1</v>
      </c>
      <c r="G582" s="2">
        <v>2</v>
      </c>
      <c r="H582" s="2">
        <v>1</v>
      </c>
      <c r="I582" s="22">
        <f>Table43[[#This Row],[Item Cost]]*Table43[[#This Row],[In Stock]]</f>
        <v>2500</v>
      </c>
      <c r="J582" s="12" t="s">
        <v>4941</v>
      </c>
      <c r="K582" s="13" t="s">
        <v>4664</v>
      </c>
      <c r="L582" s="13" t="s">
        <v>4674</v>
      </c>
      <c r="M582" s="13" t="s">
        <v>4693</v>
      </c>
      <c r="N582" s="12" t="s">
        <v>4672</v>
      </c>
      <c r="O582" s="17" t="str">
        <f>IF(LEN(COUNTIFS($J$1:J582,$J582,$K$1:K582,$K582,$L$1:L582,$L582,$M$1:M582,M582,$N$1:N582,N582))=1,"00"&amp;COUNTIFS($J$1:J582,$J582,$K$1:K582,$K582,$L$1:L582,$L582,$M$1:M582,M582,$N$1:N582,N582),IF(LEN(COUNTIFS($J$1:J582,$J582,$K$1:K582,$K582,$L$1:L582,$L582,$M$1:M582,M582,$N$1:N582,N582))=2,"0"&amp;COUNTIFS($J$1:J582,$J582,$K$1:K582,$K582,$L$1:L582,$L582,$M$1:M582,M582,$N$1:N582,N582),COUNTIFS($J$1:J582,$J582,$K$1:K582,$K582,$L$1:L582,$L582,$M$1:M582,M582,$N$1:N582,N582)))</f>
        <v>010</v>
      </c>
      <c r="P58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MS-CS-002-23-00010-INV</v>
      </c>
      <c r="Q582" s="59" t="s">
        <v>7366</v>
      </c>
      <c r="R582" s="34" t="s">
        <v>6370</v>
      </c>
      <c r="S582" s="34" t="s">
        <v>1792</v>
      </c>
      <c r="T582" s="34">
        <f>+IFERROR(_xlfn.XLOOKUP(Table43[[#This Row],[Column1]],#REF!,#REF!),0)</f>
        <v>0</v>
      </c>
      <c r="U582" s="50">
        <f>IFERROR(_xlfn.XLOOKUP(Table43[[#This Row],[Column1]],#REF!,#REF!),0)</f>
        <v>0</v>
      </c>
      <c r="V582" s="39"/>
    </row>
    <row r="583" spans="1:22" x14ac:dyDescent="0.35">
      <c r="A583" s="3" t="s">
        <v>1781</v>
      </c>
      <c r="B583" s="3" t="s">
        <v>1794</v>
      </c>
      <c r="C583" s="3" t="s">
        <v>9</v>
      </c>
      <c r="D583" s="5">
        <v>21580</v>
      </c>
      <c r="E583" s="3" t="s">
        <v>10</v>
      </c>
      <c r="F583" s="2">
        <v>1</v>
      </c>
      <c r="G583" s="3">
        <v>2</v>
      </c>
      <c r="H583" s="3">
        <v>1</v>
      </c>
      <c r="I583" s="21">
        <f>Table43[[#This Row],[Item Cost]]*Table43[[#This Row],[In Stock]]</f>
        <v>21580</v>
      </c>
      <c r="J583" s="12" t="s">
        <v>4941</v>
      </c>
      <c r="K583" s="13" t="s">
        <v>4664</v>
      </c>
      <c r="L583" s="13" t="s">
        <v>4674</v>
      </c>
      <c r="M583" s="13" t="s">
        <v>4837</v>
      </c>
      <c r="N583" s="12" t="s">
        <v>4672</v>
      </c>
      <c r="O583" s="17" t="str">
        <f>IF(LEN(COUNTIFS($J$1:J583,$J583,$K$1:K583,$K583,$L$1:L583,$L583,$M$1:M583,M583,$N$1:N583,N583))=1,"00"&amp;COUNTIFS($J$1:J583,$J583,$K$1:K583,$K583,$L$1:L583,$L583,$M$1:M583,M583,$N$1:N583,N583),IF(LEN(COUNTIFS($J$1:J583,$J583,$K$1:K583,$K583,$L$1:L583,$L583,$M$1:M583,M583,$N$1:N583,N583))=2,"0"&amp;COUNTIFS($J$1:J583,$J583,$K$1:K583,$K583,$L$1:L583,$L583,$M$1:M583,M583,$N$1:N583,N583),COUNTIFS($J$1:J583,$J583,$K$1:K583,$K583,$L$1:L583,$L583,$M$1:M583,M583,$N$1:N583,N583)))</f>
        <v>002</v>
      </c>
      <c r="P58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MS-CS-002-26-00002-INV</v>
      </c>
      <c r="Q583" s="59" t="s">
        <v>7362</v>
      </c>
      <c r="R583" s="34" t="s">
        <v>6371</v>
      </c>
      <c r="S583" s="34" t="s">
        <v>1794</v>
      </c>
      <c r="T583" s="34">
        <f>+IFERROR(_xlfn.XLOOKUP(Table43[[#This Row],[Column1]],#REF!,#REF!),0)</f>
        <v>0</v>
      </c>
      <c r="U583" s="50">
        <f>IFERROR(_xlfn.XLOOKUP(Table43[[#This Row],[Column1]],#REF!,#REF!),0)</f>
        <v>0</v>
      </c>
      <c r="V583" s="39"/>
    </row>
    <row r="584" spans="1:22" x14ac:dyDescent="0.35">
      <c r="A584" s="2" t="s">
        <v>1783</v>
      </c>
      <c r="B584" s="2" t="s">
        <v>1796</v>
      </c>
      <c r="C584" s="2" t="s">
        <v>9</v>
      </c>
      <c r="D584" s="4">
        <v>2500</v>
      </c>
      <c r="E584" s="2" t="s">
        <v>10</v>
      </c>
      <c r="F584" s="2">
        <v>1</v>
      </c>
      <c r="G584" s="2">
        <v>2</v>
      </c>
      <c r="H584" s="2">
        <v>2</v>
      </c>
      <c r="I584" s="22">
        <f>Table43[[#This Row],[Item Cost]]*Table43[[#This Row],[In Stock]]</f>
        <v>5000</v>
      </c>
      <c r="J584" s="12" t="s">
        <v>4941</v>
      </c>
      <c r="K584" s="13" t="s">
        <v>4664</v>
      </c>
      <c r="L584" s="13" t="s">
        <v>4674</v>
      </c>
      <c r="M584" s="13" t="s">
        <v>4828</v>
      </c>
      <c r="N584" s="12" t="s">
        <v>4672</v>
      </c>
      <c r="O584" s="17" t="str">
        <f>IF(LEN(COUNTIFS($J$1:J584,$J584,$K$1:K584,$K584,$L$1:L584,$L584,$M$1:M584,M584,$N$1:N584,N584))=1,"00"&amp;COUNTIFS($J$1:J584,$J584,$K$1:K584,$K584,$L$1:L584,$L584,$M$1:M584,M584,$N$1:N584,N584),IF(LEN(COUNTIFS($J$1:J584,$J584,$K$1:K584,$K584,$L$1:L584,$L584,$M$1:M584,M584,$N$1:N584,N584))=2,"0"&amp;COUNTIFS($J$1:J584,$J584,$K$1:K584,$K584,$L$1:L584,$L584,$M$1:M584,M584,$N$1:N584,N584),COUNTIFS($J$1:J584,$J584,$K$1:K584,$K584,$L$1:L584,$L584,$M$1:M584,M584,$N$1:N584,N584)))</f>
        <v>006</v>
      </c>
      <c r="P58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MS-CS-002-13-00006-INV</v>
      </c>
      <c r="Q584" s="59"/>
      <c r="R584" s="34" t="s">
        <v>6372</v>
      </c>
      <c r="S584" s="34" t="s">
        <v>1796</v>
      </c>
      <c r="T584" s="34">
        <f>+IFERROR(_xlfn.XLOOKUP(Table43[[#This Row],[Column1]],#REF!,#REF!),0)</f>
        <v>0</v>
      </c>
      <c r="U584" s="50">
        <f>IFERROR(_xlfn.XLOOKUP(Table43[[#This Row],[Column1]],#REF!,#REF!),0)</f>
        <v>0</v>
      </c>
      <c r="V584" s="39"/>
    </row>
    <row r="585" spans="1:22" x14ac:dyDescent="0.35">
      <c r="A585" s="2" t="s">
        <v>1785</v>
      </c>
      <c r="B585" s="3" t="s">
        <v>1798</v>
      </c>
      <c r="C585" s="3" t="s">
        <v>9</v>
      </c>
      <c r="D585" s="5">
        <v>2500</v>
      </c>
      <c r="E585" s="3" t="s">
        <v>10</v>
      </c>
      <c r="F585" s="2">
        <v>1</v>
      </c>
      <c r="G585" s="3">
        <v>2</v>
      </c>
      <c r="H585" s="3">
        <v>1</v>
      </c>
      <c r="I585" s="21">
        <f>Table43[[#This Row],[Item Cost]]*Table43[[#This Row],[In Stock]]</f>
        <v>2500</v>
      </c>
      <c r="J585" s="12" t="s">
        <v>4941</v>
      </c>
      <c r="K585" s="13" t="s">
        <v>4664</v>
      </c>
      <c r="L585" s="13" t="s">
        <v>4674</v>
      </c>
      <c r="M585" s="13" t="s">
        <v>4693</v>
      </c>
      <c r="N585" s="12" t="s">
        <v>4672</v>
      </c>
      <c r="O585" s="17" t="str">
        <f>IF(LEN(COUNTIFS($J$1:J585,$J585,$K$1:K585,$K585,$L$1:L585,$L585,$M$1:M585,M585,$N$1:N585,N585))=1,"00"&amp;COUNTIFS($J$1:J585,$J585,$K$1:K585,$K585,$L$1:L585,$L585,$M$1:M585,M585,$N$1:N585,N585),IF(LEN(COUNTIFS($J$1:J585,$J585,$K$1:K585,$K585,$L$1:L585,$L585,$M$1:M585,M585,$N$1:N585,N585))=2,"0"&amp;COUNTIFS($J$1:J585,$J585,$K$1:K585,$K585,$L$1:L585,$L585,$M$1:M585,M585,$N$1:N585,N585),COUNTIFS($J$1:J585,$J585,$K$1:K585,$K585,$L$1:L585,$L585,$M$1:M585,M585,$N$1:N585,N585)))</f>
        <v>011</v>
      </c>
      <c r="P58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MS-CS-002-23-00011-INV</v>
      </c>
      <c r="Q585" s="59"/>
      <c r="R585" s="34" t="s">
        <v>6373</v>
      </c>
      <c r="S585" s="34" t="s">
        <v>1798</v>
      </c>
      <c r="T585" s="34">
        <f>+IFERROR(_xlfn.XLOOKUP(Table43[[#This Row],[Column1]],#REF!,#REF!),0)</f>
        <v>0</v>
      </c>
      <c r="U585" s="50">
        <f>IFERROR(_xlfn.XLOOKUP(Table43[[#This Row],[Column1]],#REF!,#REF!),0)</f>
        <v>0</v>
      </c>
      <c r="V585" s="39"/>
    </row>
    <row r="586" spans="1:22" x14ac:dyDescent="0.35">
      <c r="A586" s="3" t="s">
        <v>1787</v>
      </c>
      <c r="B586" s="2" t="s">
        <v>1800</v>
      </c>
      <c r="C586" s="2" t="s">
        <v>9</v>
      </c>
      <c r="D586" s="2">
        <v>950</v>
      </c>
      <c r="E586" s="2" t="s">
        <v>10</v>
      </c>
      <c r="F586" s="2">
        <v>1</v>
      </c>
      <c r="G586" s="2">
        <v>2</v>
      </c>
      <c r="H586" s="2">
        <v>1</v>
      </c>
      <c r="I586" s="22">
        <f>Table43[[#This Row],[Item Cost]]*Table43[[#This Row],[In Stock]]</f>
        <v>950</v>
      </c>
      <c r="J586" s="12" t="s">
        <v>4941</v>
      </c>
      <c r="K586" s="13" t="s">
        <v>4664</v>
      </c>
      <c r="L586" s="13" t="s">
        <v>4674</v>
      </c>
      <c r="M586" s="13" t="s">
        <v>4693</v>
      </c>
      <c r="N586" s="12" t="s">
        <v>4672</v>
      </c>
      <c r="O586" s="17" t="str">
        <f>IF(LEN(COUNTIFS($J$1:J586,$J586,$K$1:K586,$K586,$L$1:L586,$L586,$M$1:M586,M586,$N$1:N586,N586))=1,"00"&amp;COUNTIFS($J$1:J586,$J586,$K$1:K586,$K586,$L$1:L586,$L586,$M$1:M586,M586,$N$1:N586,N586),IF(LEN(COUNTIFS($J$1:J586,$J586,$K$1:K586,$K586,$L$1:L586,$L586,$M$1:M586,M586,$N$1:N586,N586))=2,"0"&amp;COUNTIFS($J$1:J586,$J586,$K$1:K586,$K586,$L$1:L586,$L586,$M$1:M586,M586,$N$1:N586,N586),COUNTIFS($J$1:J586,$J586,$K$1:K586,$K586,$L$1:L586,$L586,$M$1:M586,M586,$N$1:N586,N586)))</f>
        <v>012</v>
      </c>
      <c r="P58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MS-CS-002-23-00012-INV</v>
      </c>
      <c r="Q586" s="59"/>
      <c r="R586" s="34" t="s">
        <v>6374</v>
      </c>
      <c r="S586" s="34" t="s">
        <v>1800</v>
      </c>
      <c r="T586" s="34">
        <f>+IFERROR(_xlfn.XLOOKUP(Table43[[#This Row],[Column1]],#REF!,#REF!),0)</f>
        <v>0</v>
      </c>
      <c r="U586" s="50">
        <f>IFERROR(_xlfn.XLOOKUP(Table43[[#This Row],[Column1]],#REF!,#REF!),0)</f>
        <v>0</v>
      </c>
      <c r="V586" s="39"/>
    </row>
    <row r="587" spans="1:22" x14ac:dyDescent="0.35">
      <c r="A587" s="2" t="s">
        <v>1789</v>
      </c>
      <c r="B587" s="3" t="s">
        <v>1758</v>
      </c>
      <c r="C587" s="3" t="s">
        <v>9</v>
      </c>
      <c r="D587" s="5">
        <v>2500</v>
      </c>
      <c r="E587" s="3" t="s">
        <v>10</v>
      </c>
      <c r="F587" s="2">
        <v>1</v>
      </c>
      <c r="G587" s="3">
        <v>2</v>
      </c>
      <c r="H587" s="3">
        <v>1</v>
      </c>
      <c r="I587" s="21">
        <f>Table43[[#This Row],[Item Cost]]*Table43[[#This Row],[In Stock]]</f>
        <v>2500</v>
      </c>
      <c r="J587" s="12" t="s">
        <v>4941</v>
      </c>
      <c r="K587" s="13" t="s">
        <v>4664</v>
      </c>
      <c r="L587" s="13" t="s">
        <v>4674</v>
      </c>
      <c r="M587" s="13" t="s">
        <v>4693</v>
      </c>
      <c r="N587" s="12" t="s">
        <v>4672</v>
      </c>
      <c r="O587" s="17" t="str">
        <f>IF(LEN(COUNTIFS($J$1:J587,$J587,$K$1:K587,$K587,$L$1:L587,$L587,$M$1:M587,M587,$N$1:N587,N587))=1,"00"&amp;COUNTIFS($J$1:J587,$J587,$K$1:K587,$K587,$L$1:L587,$L587,$M$1:M587,M587,$N$1:N587,N587),IF(LEN(COUNTIFS($J$1:J587,$J587,$K$1:K587,$K587,$L$1:L587,$L587,$M$1:M587,M587,$N$1:N587,N587))=2,"0"&amp;COUNTIFS($J$1:J587,$J587,$K$1:K587,$K587,$L$1:L587,$L587,$M$1:M587,M587,$N$1:N587,N587),COUNTIFS($J$1:J587,$J587,$K$1:K587,$K587,$L$1:L587,$L587,$M$1:M587,M587,$N$1:N587,N587)))</f>
        <v>013</v>
      </c>
      <c r="P58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MS-CS-002-23-00013-INV</v>
      </c>
      <c r="Q587" s="59" t="s">
        <v>7363</v>
      </c>
      <c r="R587" s="34" t="s">
        <v>6375</v>
      </c>
      <c r="S587" s="34" t="s">
        <v>1758</v>
      </c>
      <c r="T587" s="34">
        <f>+IFERROR(_xlfn.XLOOKUP(Table43[[#This Row],[Column1]],#REF!,#REF!),0)</f>
        <v>0</v>
      </c>
      <c r="U587" s="50">
        <f>IFERROR(_xlfn.XLOOKUP(Table43[[#This Row],[Column1]],#REF!,#REF!),0)</f>
        <v>0</v>
      </c>
      <c r="V587" s="39"/>
    </row>
    <row r="588" spans="1:22" x14ac:dyDescent="0.35">
      <c r="A588" s="2" t="s">
        <v>1791</v>
      </c>
      <c r="B588" s="2" t="s">
        <v>1803</v>
      </c>
      <c r="C588" s="2" t="s">
        <v>15</v>
      </c>
      <c r="D588" s="4">
        <v>2314</v>
      </c>
      <c r="E588" s="2" t="s">
        <v>10</v>
      </c>
      <c r="F588" s="3">
        <v>2</v>
      </c>
      <c r="G588" s="3">
        <v>4</v>
      </c>
      <c r="H588" s="2">
        <v>0</v>
      </c>
      <c r="I588" s="22">
        <f>Table43[[#This Row],[Item Cost]]*Table43[[#This Row],[In Stock]]</f>
        <v>0</v>
      </c>
      <c r="J588" s="12" t="s">
        <v>4941</v>
      </c>
      <c r="K588" s="13" t="s">
        <v>4666</v>
      </c>
      <c r="L588" s="13" t="s">
        <v>4674</v>
      </c>
      <c r="M588" s="13" t="s">
        <v>4693</v>
      </c>
      <c r="N588" s="12" t="s">
        <v>4672</v>
      </c>
      <c r="O588" s="17" t="str">
        <f>IF(LEN(COUNTIFS($J$1:J588,$J588,$K$1:K588,$K588,$L$1:L588,$L588,$M$1:M588,M588,$N$1:N588,N588))=1,"00"&amp;COUNTIFS($J$1:J588,$J588,$K$1:K588,$K588,$L$1:L588,$L588,$M$1:M588,M588,$N$1:N588,N588),IF(LEN(COUNTIFS($J$1:J588,$J588,$K$1:K588,$K588,$L$1:L588,$L588,$M$1:M588,M588,$N$1:N588,N588))=2,"0"&amp;COUNTIFS($J$1:J588,$J588,$K$1:K588,$K588,$L$1:L588,$L588,$M$1:M588,M588,$N$1:N588,N588),COUNTIFS($J$1:J588,$J588,$K$1:K588,$K588,$L$1:L588,$L588,$M$1:M588,M588,$N$1:N588,N588)))</f>
        <v>009</v>
      </c>
      <c r="P58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MS-NS-002-23-00009-INV</v>
      </c>
      <c r="Q588" s="59" t="s">
        <v>7360</v>
      </c>
      <c r="R588" s="34" t="s">
        <v>6376</v>
      </c>
      <c r="S588" s="34" t="s">
        <v>1803</v>
      </c>
      <c r="T588" s="34">
        <f>+IFERROR(_xlfn.XLOOKUP(Table43[[#This Row],[Column1]],#REF!,#REF!),0)</f>
        <v>0</v>
      </c>
      <c r="U588" s="50">
        <f>IFERROR(_xlfn.XLOOKUP(Table43[[#This Row],[Column1]],#REF!,#REF!),0)</f>
        <v>0</v>
      </c>
      <c r="V588" s="39"/>
    </row>
    <row r="589" spans="1:22" x14ac:dyDescent="0.35">
      <c r="A589" s="3" t="s">
        <v>1793</v>
      </c>
      <c r="B589" s="3" t="s">
        <v>1805</v>
      </c>
      <c r="C589" s="3" t="s">
        <v>9</v>
      </c>
      <c r="D589" s="5">
        <v>1964</v>
      </c>
      <c r="E589" s="3" t="s">
        <v>10</v>
      </c>
      <c r="F589" s="2">
        <v>1</v>
      </c>
      <c r="G589" s="3">
        <v>2</v>
      </c>
      <c r="H589" s="3">
        <v>1</v>
      </c>
      <c r="I589" s="21">
        <f>Table43[[#This Row],[Item Cost]]*Table43[[#This Row],[In Stock]]</f>
        <v>1964</v>
      </c>
      <c r="J589" s="12" t="s">
        <v>4941</v>
      </c>
      <c r="K589" s="13" t="s">
        <v>4664</v>
      </c>
      <c r="L589" s="13" t="s">
        <v>4674</v>
      </c>
      <c r="M589" s="13" t="s">
        <v>4693</v>
      </c>
      <c r="N589" s="12" t="s">
        <v>4672</v>
      </c>
      <c r="O589" s="17" t="str">
        <f>IF(LEN(COUNTIFS($J$1:J589,$J589,$K$1:K589,$K589,$L$1:L589,$L589,$M$1:M589,M589,$N$1:N589,N589))=1,"00"&amp;COUNTIFS($J$1:J589,$J589,$K$1:K589,$K589,$L$1:L589,$L589,$M$1:M589,M589,$N$1:N589,N589),IF(LEN(COUNTIFS($J$1:J589,$J589,$K$1:K589,$K589,$L$1:L589,$L589,$M$1:M589,M589,$N$1:N589,N589))=2,"0"&amp;COUNTIFS($J$1:J589,$J589,$K$1:K589,$K589,$L$1:L589,$L589,$M$1:M589,M589,$N$1:N589,N589),COUNTIFS($J$1:J589,$J589,$K$1:K589,$K589,$L$1:L589,$L589,$M$1:M589,M589,$N$1:N589,N589)))</f>
        <v>014</v>
      </c>
      <c r="P58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MS-CS-002-23-00014-INV</v>
      </c>
      <c r="Q589" s="59" t="s">
        <v>7360</v>
      </c>
      <c r="R589" s="34" t="s">
        <v>6377</v>
      </c>
      <c r="S589" s="34" t="s">
        <v>1805</v>
      </c>
      <c r="T589" s="34">
        <f>+IFERROR(_xlfn.XLOOKUP(Table43[[#This Row],[Column1]],#REF!,#REF!),0)</f>
        <v>0</v>
      </c>
      <c r="U589" s="50">
        <f>IFERROR(_xlfn.XLOOKUP(Table43[[#This Row],[Column1]],#REF!,#REF!),0)</f>
        <v>0</v>
      </c>
      <c r="V589" s="39"/>
    </row>
    <row r="590" spans="1:22" x14ac:dyDescent="0.35">
      <c r="A590" s="2" t="s">
        <v>1795</v>
      </c>
      <c r="B590" s="2" t="s">
        <v>1807</v>
      </c>
      <c r="C590" s="2" t="s">
        <v>15</v>
      </c>
      <c r="D590" s="4">
        <v>1560</v>
      </c>
      <c r="E590" s="2" t="s">
        <v>10</v>
      </c>
      <c r="F590" s="3">
        <v>2</v>
      </c>
      <c r="G590" s="3">
        <v>4</v>
      </c>
      <c r="H590" s="2">
        <v>0</v>
      </c>
      <c r="I590" s="22">
        <f>Table43[[#This Row],[Item Cost]]*Table43[[#This Row],[In Stock]]</f>
        <v>0</v>
      </c>
      <c r="J590" s="12" t="s">
        <v>4941</v>
      </c>
      <c r="K590" s="13" t="s">
        <v>4666</v>
      </c>
      <c r="L590" s="13" t="s">
        <v>4674</v>
      </c>
      <c r="M590" s="13" t="s">
        <v>4693</v>
      </c>
      <c r="N590" s="12" t="s">
        <v>4672</v>
      </c>
      <c r="O590" s="17" t="str">
        <f>IF(LEN(COUNTIFS($J$1:J590,$J590,$K$1:K590,$K590,$L$1:L590,$L590,$M$1:M590,M590,$N$1:N590,N590))=1,"00"&amp;COUNTIFS($J$1:J590,$J590,$K$1:K590,$K590,$L$1:L590,$L590,$M$1:M590,M590,$N$1:N590,N590),IF(LEN(COUNTIFS($J$1:J590,$J590,$K$1:K590,$K590,$L$1:L590,$L590,$M$1:M590,M590,$N$1:N590,N590))=2,"0"&amp;COUNTIFS($J$1:J590,$J590,$K$1:K590,$K590,$L$1:L590,$L590,$M$1:M590,M590,$N$1:N590,N590),COUNTIFS($J$1:J590,$J590,$K$1:K590,$K590,$L$1:L590,$L590,$M$1:M590,M590,$N$1:N590,N590)))</f>
        <v>010</v>
      </c>
      <c r="P59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MS-NS-002-23-00010-INV</v>
      </c>
      <c r="Q590" s="59" t="s">
        <v>7363</v>
      </c>
      <c r="R590" s="34" t="s">
        <v>6378</v>
      </c>
      <c r="S590" s="34" t="s">
        <v>1807</v>
      </c>
      <c r="T590" s="34">
        <f>+IFERROR(_xlfn.XLOOKUP(Table43[[#This Row],[Column1]],#REF!,#REF!),0)</f>
        <v>0</v>
      </c>
      <c r="U590" s="50">
        <f>IFERROR(_xlfn.XLOOKUP(Table43[[#This Row],[Column1]],#REF!,#REF!),0)</f>
        <v>0</v>
      </c>
      <c r="V590" s="39"/>
    </row>
    <row r="591" spans="1:22" x14ac:dyDescent="0.35">
      <c r="A591" s="2" t="s">
        <v>1797</v>
      </c>
      <c r="B591" s="3" t="s">
        <v>1813</v>
      </c>
      <c r="C591" s="3" t="s">
        <v>15</v>
      </c>
      <c r="D591" s="3">
        <v>485</v>
      </c>
      <c r="E591" s="3" t="s">
        <v>10</v>
      </c>
      <c r="F591" s="3">
        <v>2</v>
      </c>
      <c r="G591" s="3">
        <v>4</v>
      </c>
      <c r="H591" s="3">
        <v>1</v>
      </c>
      <c r="I591" s="21">
        <f>Table43[[#This Row],[Item Cost]]*Table43[[#This Row],[In Stock]]</f>
        <v>485</v>
      </c>
      <c r="J591" s="12" t="s">
        <v>4941</v>
      </c>
      <c r="K591" s="13" t="s">
        <v>4666</v>
      </c>
      <c r="L591" s="13" t="s">
        <v>4674</v>
      </c>
      <c r="M591" s="13" t="s">
        <v>4770</v>
      </c>
      <c r="N591" s="12" t="s">
        <v>4672</v>
      </c>
      <c r="O591" s="17" t="str">
        <f>IF(LEN(COUNTIFS($J$1:J591,$J591,$K$1:K591,$K591,$L$1:L591,$L591,$M$1:M591,M591,$N$1:N591,N591))=1,"00"&amp;COUNTIFS($J$1:J591,$J591,$K$1:K591,$K591,$L$1:L591,$L591,$M$1:M591,M591,$N$1:N591,N591),IF(LEN(COUNTIFS($J$1:J591,$J591,$K$1:K591,$K591,$L$1:L591,$L591,$M$1:M591,M591,$N$1:N591,N591))=2,"0"&amp;COUNTIFS($J$1:J591,$J591,$K$1:K591,$K591,$L$1:L591,$L591,$M$1:M591,M591,$N$1:N591,N591),COUNTIFS($J$1:J591,$J591,$K$1:K591,$K591,$L$1:L591,$L591,$M$1:M591,M591,$N$1:N591,N591)))</f>
        <v>002</v>
      </c>
      <c r="P59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MS-NS-002-04-00002-INV</v>
      </c>
      <c r="Q591" s="59"/>
      <c r="R591" s="34" t="s">
        <v>6379</v>
      </c>
      <c r="S591" s="34" t="s">
        <v>1813</v>
      </c>
      <c r="T591" s="34">
        <f>+IFERROR(_xlfn.XLOOKUP(Table43[[#This Row],[Column1]],#REF!,#REF!),0)</f>
        <v>0</v>
      </c>
      <c r="U591" s="50">
        <f>IFERROR(_xlfn.XLOOKUP(Table43[[#This Row],[Column1]],#REF!,#REF!),0)</f>
        <v>0</v>
      </c>
      <c r="V591" s="39"/>
    </row>
    <row r="592" spans="1:22" x14ac:dyDescent="0.35">
      <c r="A592" s="3" t="s">
        <v>1799</v>
      </c>
      <c r="B592" s="2" t="s">
        <v>1815</v>
      </c>
      <c r="C592" s="2" t="s">
        <v>9</v>
      </c>
      <c r="D592" s="2">
        <v>245.55</v>
      </c>
      <c r="E592" s="2" t="s">
        <v>10</v>
      </c>
      <c r="F592" s="2">
        <v>1</v>
      </c>
      <c r="G592" s="2">
        <v>2</v>
      </c>
      <c r="H592" s="2">
        <v>3</v>
      </c>
      <c r="I592" s="22">
        <f>Table43[[#This Row],[Item Cost]]*Table43[[#This Row],[In Stock]]</f>
        <v>736.65000000000009</v>
      </c>
      <c r="J592" s="12" t="s">
        <v>4941</v>
      </c>
      <c r="K592" s="13" t="s">
        <v>4664</v>
      </c>
      <c r="L592" s="13" t="s">
        <v>4674</v>
      </c>
      <c r="M592" s="13" t="s">
        <v>4770</v>
      </c>
      <c r="N592" s="12" t="s">
        <v>4672</v>
      </c>
      <c r="O592" s="17" t="str">
        <f>IF(LEN(COUNTIFS($J$1:J592,$J592,$K$1:K592,$K592,$L$1:L592,$L592,$M$1:M592,M592,$N$1:N592,N592))=1,"00"&amp;COUNTIFS($J$1:J592,$J592,$K$1:K592,$K592,$L$1:L592,$L592,$M$1:M592,M592,$N$1:N592,N592),IF(LEN(COUNTIFS($J$1:J592,$J592,$K$1:K592,$K592,$L$1:L592,$L592,$M$1:M592,M592,$N$1:N592,N592))=2,"0"&amp;COUNTIFS($J$1:J592,$J592,$K$1:K592,$K592,$L$1:L592,$L592,$M$1:M592,M592,$N$1:N592,N592),COUNTIFS($J$1:J592,$J592,$K$1:K592,$K592,$L$1:L592,$L592,$M$1:M592,M592,$N$1:N592,N592)))</f>
        <v>001</v>
      </c>
      <c r="P59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MS-CS-002-04-00001-INV</v>
      </c>
      <c r="Q592" s="59" t="s">
        <v>7349</v>
      </c>
      <c r="R592" s="34" t="s">
        <v>6380</v>
      </c>
      <c r="S592" s="34" t="s">
        <v>1815</v>
      </c>
      <c r="T592" s="34">
        <f>+IFERROR(_xlfn.XLOOKUP(Table43[[#This Row],[Column1]],#REF!,#REF!),0)</f>
        <v>0</v>
      </c>
      <c r="U592" s="50">
        <f>IFERROR(_xlfn.XLOOKUP(Table43[[#This Row],[Column1]],#REF!,#REF!),0)</f>
        <v>0</v>
      </c>
      <c r="V592" s="39"/>
    </row>
    <row r="593" spans="1:22" x14ac:dyDescent="0.35">
      <c r="A593" s="2" t="s">
        <v>1801</v>
      </c>
      <c r="B593" s="3" t="s">
        <v>1817</v>
      </c>
      <c r="C593" s="3" t="s">
        <v>9</v>
      </c>
      <c r="D593" s="5">
        <v>5500</v>
      </c>
      <c r="E593" s="3" t="s">
        <v>10</v>
      </c>
      <c r="F593" s="2">
        <v>1</v>
      </c>
      <c r="G593" s="3">
        <v>2</v>
      </c>
      <c r="H593" s="3">
        <v>2</v>
      </c>
      <c r="I593" s="21">
        <f>Table43[[#This Row],[Item Cost]]*Table43[[#This Row],[In Stock]]</f>
        <v>11000</v>
      </c>
      <c r="J593" s="12" t="s">
        <v>4941</v>
      </c>
      <c r="K593" s="13" t="s">
        <v>4664</v>
      </c>
      <c r="L593" s="13" t="s">
        <v>4674</v>
      </c>
      <c r="M593" s="13" t="s">
        <v>4837</v>
      </c>
      <c r="N593" s="12" t="s">
        <v>4672</v>
      </c>
      <c r="O593" s="17" t="str">
        <f>IF(LEN(COUNTIFS($J$1:J593,$J593,$K$1:K593,$K593,$L$1:L593,$L593,$M$1:M593,M593,$N$1:N593,N593))=1,"00"&amp;COUNTIFS($J$1:J593,$J593,$K$1:K593,$K593,$L$1:L593,$L593,$M$1:M593,M593,$N$1:N593,N593),IF(LEN(COUNTIFS($J$1:J593,$J593,$K$1:K593,$K593,$L$1:L593,$L593,$M$1:M593,M593,$N$1:N593,N593))=2,"0"&amp;COUNTIFS($J$1:J593,$J593,$K$1:K593,$K593,$L$1:L593,$L593,$M$1:M593,M593,$N$1:N593,N593),COUNTIFS($J$1:J593,$J593,$K$1:K593,$K593,$L$1:L593,$L593,$M$1:M593,M593,$N$1:N593,N593)))</f>
        <v>003</v>
      </c>
      <c r="P59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MS-CS-002-26-00003-INV</v>
      </c>
      <c r="Q593" s="59" t="s">
        <v>7364</v>
      </c>
      <c r="R593" s="34" t="s">
        <v>6381</v>
      </c>
      <c r="S593" s="34" t="s">
        <v>1817</v>
      </c>
      <c r="T593" s="34">
        <f>+IFERROR(_xlfn.XLOOKUP(Table43[[#This Row],[Column1]],#REF!,#REF!),0)</f>
        <v>0</v>
      </c>
      <c r="U593" s="50">
        <f>IFERROR(_xlfn.XLOOKUP(Table43[[#This Row],[Column1]],#REF!,#REF!),0)</f>
        <v>0</v>
      </c>
      <c r="V593" s="39"/>
    </row>
    <row r="594" spans="1:22" x14ac:dyDescent="0.35">
      <c r="A594" s="2" t="s">
        <v>1802</v>
      </c>
      <c r="B594" s="2" t="s">
        <v>1819</v>
      </c>
      <c r="C594" s="2" t="s">
        <v>9</v>
      </c>
      <c r="D594" s="4">
        <v>1196</v>
      </c>
      <c r="E594" s="2" t="s">
        <v>10</v>
      </c>
      <c r="F594" s="2">
        <v>1</v>
      </c>
      <c r="G594" s="2">
        <v>2</v>
      </c>
      <c r="H594" s="2">
        <v>2</v>
      </c>
      <c r="I594" s="22">
        <f>Table43[[#This Row],[Item Cost]]*Table43[[#This Row],[In Stock]]</f>
        <v>2392</v>
      </c>
      <c r="J594" s="12" t="s">
        <v>4941</v>
      </c>
      <c r="K594" s="13" t="s">
        <v>4664</v>
      </c>
      <c r="L594" s="13" t="s">
        <v>4674</v>
      </c>
      <c r="M594" s="13" t="s">
        <v>4837</v>
      </c>
      <c r="N594" s="12" t="s">
        <v>4672</v>
      </c>
      <c r="O594" s="17" t="str">
        <f>IF(LEN(COUNTIFS($J$1:J594,$J594,$K$1:K594,$K594,$L$1:L594,$L594,$M$1:M594,M594,$N$1:N594,N594))=1,"00"&amp;COUNTIFS($J$1:J594,$J594,$K$1:K594,$K594,$L$1:L594,$L594,$M$1:M594,M594,$N$1:N594,N594),IF(LEN(COUNTIFS($J$1:J594,$J594,$K$1:K594,$K594,$L$1:L594,$L594,$M$1:M594,M594,$N$1:N594,N594))=2,"0"&amp;COUNTIFS($J$1:J594,$J594,$K$1:K594,$K594,$L$1:L594,$L594,$M$1:M594,M594,$N$1:N594,N594),COUNTIFS($J$1:J594,$J594,$K$1:K594,$K594,$L$1:L594,$L594,$M$1:M594,M594,$N$1:N594,N594)))</f>
        <v>004</v>
      </c>
      <c r="P59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MS-CS-002-26-00004-INV</v>
      </c>
      <c r="Q594" s="59" t="s">
        <v>7366</v>
      </c>
      <c r="R594" s="34" t="s">
        <v>6382</v>
      </c>
      <c r="S594" s="34" t="s">
        <v>1819</v>
      </c>
      <c r="T594" s="34">
        <f>+IFERROR(_xlfn.XLOOKUP(Table43[[#This Row],[Column1]],#REF!,#REF!),0)</f>
        <v>0</v>
      </c>
      <c r="U594" s="50">
        <f>IFERROR(_xlfn.XLOOKUP(Table43[[#This Row],[Column1]],#REF!,#REF!),0)</f>
        <v>0</v>
      </c>
      <c r="V594" s="39"/>
    </row>
    <row r="595" spans="1:22" x14ac:dyDescent="0.35">
      <c r="A595" s="3" t="s">
        <v>1804</v>
      </c>
      <c r="B595" s="3" t="s">
        <v>1821</v>
      </c>
      <c r="C595" s="3" t="s">
        <v>9</v>
      </c>
      <c r="D595" s="5">
        <v>9250</v>
      </c>
      <c r="E595" s="3" t="s">
        <v>10</v>
      </c>
      <c r="F595" s="2">
        <v>1</v>
      </c>
      <c r="G595" s="3">
        <v>2</v>
      </c>
      <c r="H595" s="3">
        <v>1</v>
      </c>
      <c r="I595" s="21">
        <f>Table43[[#This Row],[Item Cost]]*Table43[[#This Row],[In Stock]]</f>
        <v>9250</v>
      </c>
      <c r="J595" s="12" t="s">
        <v>4941</v>
      </c>
      <c r="K595" s="13" t="s">
        <v>4664</v>
      </c>
      <c r="L595" s="13" t="s">
        <v>4674</v>
      </c>
      <c r="M595" s="13" t="s">
        <v>4772</v>
      </c>
      <c r="N595" s="12" t="s">
        <v>4672</v>
      </c>
      <c r="O595" s="17" t="str">
        <f>IF(LEN(COUNTIFS($J$1:J595,$J595,$K$1:K595,$K595,$L$1:L595,$L595,$M$1:M595,M595,$N$1:N595,N595))=1,"00"&amp;COUNTIFS($J$1:J595,$J595,$K$1:K595,$K595,$L$1:L595,$L595,$M$1:M595,M595,$N$1:N595,N595),IF(LEN(COUNTIFS($J$1:J595,$J595,$K$1:K595,$K595,$L$1:L595,$L595,$M$1:M595,M595,$N$1:N595,N595))=2,"0"&amp;COUNTIFS($J$1:J595,$J595,$K$1:K595,$K595,$L$1:L595,$L595,$M$1:M595,M595,$N$1:N595,N595),COUNTIFS($J$1:J595,$J595,$K$1:K595,$K595,$L$1:L595,$L595,$M$1:M595,M595,$N$1:N595,N595)))</f>
        <v>003</v>
      </c>
      <c r="P59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MS-CS-002-06-00003-INV</v>
      </c>
      <c r="Q595" s="59" t="s">
        <v>7362</v>
      </c>
      <c r="R595" s="34" t="s">
        <v>6383</v>
      </c>
      <c r="S595" s="34" t="s">
        <v>1821</v>
      </c>
      <c r="T595" s="34">
        <f>+IFERROR(_xlfn.XLOOKUP(Table43[[#This Row],[Column1]],#REF!,#REF!),0)</f>
        <v>0</v>
      </c>
      <c r="U595" s="50">
        <f>IFERROR(_xlfn.XLOOKUP(Table43[[#This Row],[Column1]],#REF!,#REF!),0)</f>
        <v>0</v>
      </c>
      <c r="V595" s="39"/>
    </row>
    <row r="596" spans="1:22" x14ac:dyDescent="0.35">
      <c r="A596" s="2" t="s">
        <v>1806</v>
      </c>
      <c r="B596" s="2" t="s">
        <v>1823</v>
      </c>
      <c r="C596" s="2" t="s">
        <v>15</v>
      </c>
      <c r="D596" s="4">
        <v>6700</v>
      </c>
      <c r="E596" s="2" t="s">
        <v>10</v>
      </c>
      <c r="F596" s="2">
        <v>1</v>
      </c>
      <c r="G596" s="2">
        <v>2</v>
      </c>
      <c r="H596" s="2">
        <v>0</v>
      </c>
      <c r="I596" s="22">
        <f>Table43[[#This Row],[Item Cost]]*Table43[[#This Row],[In Stock]]</f>
        <v>0</v>
      </c>
      <c r="J596" s="12" t="s">
        <v>4941</v>
      </c>
      <c r="K596" s="13" t="s">
        <v>4666</v>
      </c>
      <c r="L596" s="13" t="s">
        <v>4674</v>
      </c>
      <c r="M596" s="13" t="s">
        <v>3950</v>
      </c>
      <c r="N596" s="12" t="s">
        <v>4672</v>
      </c>
      <c r="O596" s="17" t="str">
        <f>IF(LEN(COUNTIFS($J$1:J596,$J596,$K$1:K596,$K596,$L$1:L596,$L596,$M$1:M596,M596,$N$1:N596,N596))=1,"00"&amp;COUNTIFS($J$1:J596,$J596,$K$1:K596,$K596,$L$1:L596,$L596,$M$1:M596,M596,$N$1:N596,N596),IF(LEN(COUNTIFS($J$1:J596,$J596,$K$1:K596,$K596,$L$1:L596,$L596,$M$1:M596,M596,$N$1:N596,N596))=2,"0"&amp;COUNTIFS($J$1:J596,$J596,$K$1:K596,$K596,$L$1:L596,$L596,$M$1:M596,M596,$N$1:N596,N596),COUNTIFS($J$1:J596,$J596,$K$1:K596,$K596,$L$1:L596,$L596,$M$1:M596,M596,$N$1:N596,N596)))</f>
        <v>007</v>
      </c>
      <c r="P59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MS-NS-002-22-00007-INV</v>
      </c>
      <c r="Q596" s="59"/>
      <c r="R596" s="34" t="s">
        <v>6384</v>
      </c>
      <c r="S596" s="34" t="s">
        <v>1823</v>
      </c>
      <c r="T596" s="34">
        <f>+IFERROR(_xlfn.XLOOKUP(Table43[[#This Row],[Column1]],#REF!,#REF!),0)</f>
        <v>0</v>
      </c>
      <c r="U596" s="50">
        <f>IFERROR(_xlfn.XLOOKUP(Table43[[#This Row],[Column1]],#REF!,#REF!),0)</f>
        <v>0</v>
      </c>
      <c r="V596" s="39"/>
    </row>
    <row r="597" spans="1:22" x14ac:dyDescent="0.35">
      <c r="A597" s="2" t="s">
        <v>1808</v>
      </c>
      <c r="B597" s="3" t="s">
        <v>1825</v>
      </c>
      <c r="C597" s="3" t="s">
        <v>9</v>
      </c>
      <c r="D597" s="3">
        <v>250</v>
      </c>
      <c r="E597" s="3" t="s">
        <v>10</v>
      </c>
      <c r="F597" s="2">
        <v>1</v>
      </c>
      <c r="G597" s="3">
        <v>2</v>
      </c>
      <c r="H597" s="3">
        <v>2</v>
      </c>
      <c r="I597" s="21">
        <f>Table43[[#This Row],[Item Cost]]*Table43[[#This Row],[In Stock]]</f>
        <v>500</v>
      </c>
      <c r="J597" s="12" t="s">
        <v>4941</v>
      </c>
      <c r="K597" s="13" t="s">
        <v>4664</v>
      </c>
      <c r="L597" s="13" t="s">
        <v>4674</v>
      </c>
      <c r="M597" s="13" t="s">
        <v>4771</v>
      </c>
      <c r="N597" s="12" t="s">
        <v>4672</v>
      </c>
      <c r="O597" s="17" t="str">
        <f>IF(LEN(COUNTIFS($J$1:J597,$J597,$K$1:K597,$K597,$L$1:L597,$L597,$M$1:M597,M597,$N$1:N597,N597))=1,"00"&amp;COUNTIFS($J$1:J597,$J597,$K$1:K597,$K597,$L$1:L597,$L597,$M$1:M597,M597,$N$1:N597,N597),IF(LEN(COUNTIFS($J$1:J597,$J597,$K$1:K597,$K597,$L$1:L597,$L597,$M$1:M597,M597,$N$1:N597,N597))=2,"0"&amp;COUNTIFS($J$1:J597,$J597,$K$1:K597,$K597,$L$1:L597,$L597,$M$1:M597,M597,$N$1:N597,N597),COUNTIFS($J$1:J597,$J597,$K$1:K597,$K597,$L$1:L597,$L597,$M$1:M597,M597,$N$1:N597,N597)))</f>
        <v>001</v>
      </c>
      <c r="P59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MS-CS-002-05-00001-INV</v>
      </c>
      <c r="Q597" s="59" t="s">
        <v>7358</v>
      </c>
      <c r="R597" s="34" t="s">
        <v>6385</v>
      </c>
      <c r="S597" s="34" t="s">
        <v>1825</v>
      </c>
      <c r="T597" s="34">
        <f>+IFERROR(_xlfn.XLOOKUP(Table43[[#This Row],[Column1]],#REF!,#REF!),0)</f>
        <v>0</v>
      </c>
      <c r="U597" s="50">
        <f>IFERROR(_xlfn.XLOOKUP(Table43[[#This Row],[Column1]],#REF!,#REF!),0)</f>
        <v>0</v>
      </c>
      <c r="V597" s="39"/>
    </row>
    <row r="598" spans="1:22" x14ac:dyDescent="0.35">
      <c r="A598" s="3" t="s">
        <v>1810</v>
      </c>
      <c r="B598" s="2" t="s">
        <v>1827</v>
      </c>
      <c r="C598" s="2" t="s">
        <v>9</v>
      </c>
      <c r="D598" s="2">
        <v>100</v>
      </c>
      <c r="E598" s="2" t="s">
        <v>10</v>
      </c>
      <c r="F598" s="2">
        <v>1</v>
      </c>
      <c r="G598" s="2">
        <v>2</v>
      </c>
      <c r="H598" s="2">
        <v>2</v>
      </c>
      <c r="I598" s="22">
        <f>Table43[[#This Row],[Item Cost]]*Table43[[#This Row],[In Stock]]</f>
        <v>200</v>
      </c>
      <c r="J598" s="12" t="s">
        <v>4941</v>
      </c>
      <c r="K598" s="13" t="s">
        <v>4664</v>
      </c>
      <c r="L598" s="13" t="s">
        <v>4674</v>
      </c>
      <c r="M598" s="13" t="s">
        <v>4771</v>
      </c>
      <c r="N598" s="12" t="s">
        <v>4672</v>
      </c>
      <c r="O598" s="17" t="str">
        <f>IF(LEN(COUNTIFS($J$1:J598,$J598,$K$1:K598,$K598,$L$1:L598,$L598,$M$1:M598,M598,$N$1:N598,N598))=1,"00"&amp;COUNTIFS($J$1:J598,$J598,$K$1:K598,$K598,$L$1:L598,$L598,$M$1:M598,M598,$N$1:N598,N598),IF(LEN(COUNTIFS($J$1:J598,$J598,$K$1:K598,$K598,$L$1:L598,$L598,$M$1:M598,M598,$N$1:N598,N598))=2,"0"&amp;COUNTIFS($J$1:J598,$J598,$K$1:K598,$K598,$L$1:L598,$L598,$M$1:M598,M598,$N$1:N598,N598),COUNTIFS($J$1:J598,$J598,$K$1:K598,$K598,$L$1:L598,$L598,$M$1:M598,M598,$N$1:N598,N598)))</f>
        <v>002</v>
      </c>
      <c r="P59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MS-CS-002-05-00002-INV</v>
      </c>
      <c r="Q598" s="59"/>
      <c r="R598" s="34" t="s">
        <v>6386</v>
      </c>
      <c r="S598" s="34" t="s">
        <v>1827</v>
      </c>
      <c r="T598" s="34">
        <f>+IFERROR(_xlfn.XLOOKUP(Table43[[#This Row],[Column1]],#REF!,#REF!),0)</f>
        <v>0</v>
      </c>
      <c r="U598" s="50">
        <f>IFERROR(_xlfn.XLOOKUP(Table43[[#This Row],[Column1]],#REF!,#REF!),0)</f>
        <v>0</v>
      </c>
      <c r="V598" s="39"/>
    </row>
    <row r="599" spans="1:22" x14ac:dyDescent="0.35">
      <c r="A599" s="2" t="s">
        <v>1812</v>
      </c>
      <c r="B599" s="3" t="s">
        <v>1829</v>
      </c>
      <c r="C599" s="3" t="s">
        <v>9</v>
      </c>
      <c r="D599" s="3">
        <v>100</v>
      </c>
      <c r="E599" s="3" t="s">
        <v>10</v>
      </c>
      <c r="F599" s="2">
        <v>1</v>
      </c>
      <c r="G599" s="3">
        <v>10</v>
      </c>
      <c r="H599" s="3">
        <v>20</v>
      </c>
      <c r="I599" s="21">
        <f>Table43[[#This Row],[Item Cost]]*Table43[[#This Row],[In Stock]]</f>
        <v>2000</v>
      </c>
      <c r="J599" s="12" t="s">
        <v>4941</v>
      </c>
      <c r="K599" s="13" t="s">
        <v>4664</v>
      </c>
      <c r="L599" s="13" t="s">
        <v>4674</v>
      </c>
      <c r="M599" s="13" t="s">
        <v>4837</v>
      </c>
      <c r="N599" s="12" t="s">
        <v>4672</v>
      </c>
      <c r="O599" s="17" t="str">
        <f>IF(LEN(COUNTIFS($J$1:J599,$J599,$K$1:K599,$K599,$L$1:L599,$L599,$M$1:M599,M599,$N$1:N599,N599))=1,"00"&amp;COUNTIFS($J$1:J599,$J599,$K$1:K599,$K599,$L$1:L599,$L599,$M$1:M599,M599,$N$1:N599,N599),IF(LEN(COUNTIFS($J$1:J599,$J599,$K$1:K599,$K599,$L$1:L599,$L599,$M$1:M599,M599,$N$1:N599,N599))=2,"0"&amp;COUNTIFS($J$1:J599,$J599,$K$1:K599,$K599,$L$1:L599,$L599,$M$1:M599,M599,$N$1:N599,N599),COUNTIFS($J$1:J599,$J599,$K$1:K599,$K599,$L$1:L599,$L599,$M$1:M599,M599,$N$1:N599,N599)))</f>
        <v>005</v>
      </c>
      <c r="P59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MS-CS-002-26-00005-INV</v>
      </c>
      <c r="Q599" s="59" t="s">
        <v>7348</v>
      </c>
      <c r="R599" s="34" t="s">
        <v>6387</v>
      </c>
      <c r="S599" s="34" t="s">
        <v>1829</v>
      </c>
      <c r="T599" s="34">
        <f>+IFERROR(_xlfn.XLOOKUP(Table43[[#This Row],[Column1]],#REF!,#REF!),0)</f>
        <v>0</v>
      </c>
      <c r="U599" s="50">
        <f>IFERROR(_xlfn.XLOOKUP(Table43[[#This Row],[Column1]],#REF!,#REF!),0)</f>
        <v>0</v>
      </c>
      <c r="V599" s="39"/>
    </row>
    <row r="600" spans="1:22" x14ac:dyDescent="0.35">
      <c r="A600" s="2" t="s">
        <v>1814</v>
      </c>
      <c r="B600" s="2" t="s">
        <v>1831</v>
      </c>
      <c r="C600" s="2" t="s">
        <v>9</v>
      </c>
      <c r="D600" s="2">
        <v>210</v>
      </c>
      <c r="E600" s="2" t="s">
        <v>10</v>
      </c>
      <c r="F600" s="2">
        <v>1</v>
      </c>
      <c r="G600" s="2">
        <v>2</v>
      </c>
      <c r="H600" s="2">
        <v>1</v>
      </c>
      <c r="I600" s="22">
        <f>Table43[[#This Row],[Item Cost]]*Table43[[#This Row],[In Stock]]</f>
        <v>210</v>
      </c>
      <c r="J600" s="12" t="s">
        <v>4941</v>
      </c>
      <c r="K600" s="13" t="s">
        <v>4664</v>
      </c>
      <c r="L600" s="13" t="s">
        <v>4674</v>
      </c>
      <c r="M600" s="13" t="s">
        <v>4795</v>
      </c>
      <c r="N600" s="12" t="s">
        <v>4672</v>
      </c>
      <c r="O600" s="17" t="str">
        <f>IF(LEN(COUNTIFS($J$1:J600,$J600,$K$1:K600,$K600,$L$1:L600,$L600,$M$1:M600,M600,$N$1:N600,N600))=1,"00"&amp;COUNTIFS($J$1:J600,$J600,$K$1:K600,$K600,$L$1:L600,$L600,$M$1:M600,M600,$N$1:N600,N600),IF(LEN(COUNTIFS($J$1:J600,$J600,$K$1:K600,$K600,$L$1:L600,$L600,$M$1:M600,M600,$N$1:N600,N600))=2,"0"&amp;COUNTIFS($J$1:J600,$J600,$K$1:K600,$K600,$L$1:L600,$L600,$M$1:M600,M600,$N$1:N600,N600),COUNTIFS($J$1:J600,$J600,$K$1:K600,$K600,$L$1:L600,$L600,$M$1:M600,M600,$N$1:N600,N600)))</f>
        <v>001</v>
      </c>
      <c r="P60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MS-CS-002-19-00001-INV</v>
      </c>
      <c r="Q600" s="59"/>
      <c r="R600" s="49" t="s">
        <v>5694</v>
      </c>
      <c r="S600" s="34" t="s">
        <v>5715</v>
      </c>
      <c r="T600" s="34">
        <f>+IFERROR(_xlfn.XLOOKUP(Table43[[#This Row],[Column1]],#REF!,#REF!),0)</f>
        <v>0</v>
      </c>
      <c r="U600" s="50">
        <f>IFERROR(_xlfn.XLOOKUP(Table43[[#This Row],[Column1]],#REF!,#REF!),0)</f>
        <v>0</v>
      </c>
      <c r="V600" s="39"/>
    </row>
    <row r="601" spans="1:22" x14ac:dyDescent="0.35">
      <c r="A601" s="3" t="s">
        <v>1816</v>
      </c>
      <c r="B601" s="3" t="s">
        <v>1833</v>
      </c>
      <c r="C601" s="3" t="s">
        <v>9</v>
      </c>
      <c r="D601" s="3">
        <v>210</v>
      </c>
      <c r="E601" s="3" t="s">
        <v>10</v>
      </c>
      <c r="F601" s="2">
        <v>1</v>
      </c>
      <c r="G601" s="3">
        <v>2</v>
      </c>
      <c r="H601" s="3">
        <v>1</v>
      </c>
      <c r="I601" s="21">
        <f>Table43[[#This Row],[Item Cost]]*Table43[[#This Row],[In Stock]]</f>
        <v>210</v>
      </c>
      <c r="J601" s="12" t="s">
        <v>4941</v>
      </c>
      <c r="K601" s="13" t="s">
        <v>4664</v>
      </c>
      <c r="L601" s="13" t="s">
        <v>4674</v>
      </c>
      <c r="M601" s="13" t="s">
        <v>4795</v>
      </c>
      <c r="N601" s="12" t="s">
        <v>4672</v>
      </c>
      <c r="O601" s="17" t="str">
        <f>IF(LEN(COUNTIFS($J$1:J601,$J601,$K$1:K601,$K601,$L$1:L601,$L601,$M$1:M601,M601,$N$1:N601,N601))=1,"00"&amp;COUNTIFS($J$1:J601,$J601,$K$1:K601,$K601,$L$1:L601,$L601,$M$1:M601,M601,$N$1:N601,N601),IF(LEN(COUNTIFS($J$1:J601,$J601,$K$1:K601,$K601,$L$1:L601,$L601,$M$1:M601,M601,$N$1:N601,N601))=2,"0"&amp;COUNTIFS($J$1:J601,$J601,$K$1:K601,$K601,$L$1:L601,$L601,$M$1:M601,M601,$N$1:N601,N601),COUNTIFS($J$1:J601,$J601,$K$1:K601,$K601,$L$1:L601,$L601,$M$1:M601,M601,$N$1:N601,N601)))</f>
        <v>002</v>
      </c>
      <c r="P60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MS-CS-002-19-00002-INV</v>
      </c>
      <c r="Q601" s="59"/>
      <c r="R601" s="34" t="s">
        <v>6388</v>
      </c>
      <c r="S601" s="34" t="s">
        <v>1833</v>
      </c>
      <c r="T601" s="34">
        <f>+IFERROR(_xlfn.XLOOKUP(Table43[[#This Row],[Column1]],#REF!,#REF!),0)</f>
        <v>0</v>
      </c>
      <c r="U601" s="50">
        <f>IFERROR(_xlfn.XLOOKUP(Table43[[#This Row],[Column1]],#REF!,#REF!),0)</f>
        <v>0</v>
      </c>
      <c r="V601" s="39"/>
    </row>
    <row r="602" spans="1:22" x14ac:dyDescent="0.35">
      <c r="A602" s="2" t="s">
        <v>1818</v>
      </c>
      <c r="B602" s="2" t="s">
        <v>1835</v>
      </c>
      <c r="C602" s="2" t="s">
        <v>9</v>
      </c>
      <c r="D602" s="2">
        <v>315</v>
      </c>
      <c r="E602" s="2" t="s">
        <v>10</v>
      </c>
      <c r="F602" s="2">
        <v>1</v>
      </c>
      <c r="G602" s="2">
        <v>2</v>
      </c>
      <c r="H602" s="2">
        <v>3</v>
      </c>
      <c r="I602" s="22">
        <f>Table43[[#This Row],[Item Cost]]*Table43[[#This Row],[In Stock]]</f>
        <v>945</v>
      </c>
      <c r="J602" s="12" t="s">
        <v>4941</v>
      </c>
      <c r="K602" s="13" t="s">
        <v>4664</v>
      </c>
      <c r="L602" s="13" t="s">
        <v>4674</v>
      </c>
      <c r="M602" s="13" t="s">
        <v>4795</v>
      </c>
      <c r="N602" s="12" t="s">
        <v>4672</v>
      </c>
      <c r="O602" s="17" t="str">
        <f>IF(LEN(COUNTIFS($J$1:J602,$J602,$K$1:K602,$K602,$L$1:L602,$L602,$M$1:M602,M602,$N$1:N602,N602))=1,"00"&amp;COUNTIFS($J$1:J602,$J602,$K$1:K602,$K602,$L$1:L602,$L602,$M$1:M602,M602,$N$1:N602,N602),IF(LEN(COUNTIFS($J$1:J602,$J602,$K$1:K602,$K602,$L$1:L602,$L602,$M$1:M602,M602,$N$1:N602,N602))=2,"0"&amp;COUNTIFS($J$1:J602,$J602,$K$1:K602,$K602,$L$1:L602,$L602,$M$1:M602,M602,$N$1:N602,N602),COUNTIFS($J$1:J602,$J602,$K$1:K602,$K602,$L$1:L602,$L602,$M$1:M602,M602,$N$1:N602,N602)))</f>
        <v>003</v>
      </c>
      <c r="P60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MS-CS-002-19-00003-INV</v>
      </c>
      <c r="Q602" s="59" t="s">
        <v>7366</v>
      </c>
      <c r="R602" s="34" t="s">
        <v>6389</v>
      </c>
      <c r="S602" s="34" t="s">
        <v>1835</v>
      </c>
      <c r="T602" s="34">
        <f>+IFERROR(_xlfn.XLOOKUP(Table43[[#This Row],[Column1]],#REF!,#REF!),0)</f>
        <v>0</v>
      </c>
      <c r="U602" s="50">
        <f>IFERROR(_xlfn.XLOOKUP(Table43[[#This Row],[Column1]],#REF!,#REF!),0)</f>
        <v>0</v>
      </c>
      <c r="V602" s="39"/>
    </row>
    <row r="603" spans="1:22" x14ac:dyDescent="0.35">
      <c r="A603" s="2" t="s">
        <v>1820</v>
      </c>
      <c r="B603" s="3" t="s">
        <v>1837</v>
      </c>
      <c r="C603" s="3" t="s">
        <v>9</v>
      </c>
      <c r="D603" s="5">
        <v>14000</v>
      </c>
      <c r="E603" s="3" t="s">
        <v>10</v>
      </c>
      <c r="F603" s="2">
        <v>1</v>
      </c>
      <c r="G603" s="3">
        <v>2</v>
      </c>
      <c r="H603" s="3">
        <v>1</v>
      </c>
      <c r="I603" s="21">
        <f>Table43[[#This Row],[Item Cost]]*Table43[[#This Row],[In Stock]]</f>
        <v>14000</v>
      </c>
      <c r="J603" s="12" t="s">
        <v>4941</v>
      </c>
      <c r="K603" s="13" t="s">
        <v>4664</v>
      </c>
      <c r="L603" s="13" t="s">
        <v>4674</v>
      </c>
      <c r="M603" s="13" t="s">
        <v>4775</v>
      </c>
      <c r="N603" s="12" t="s">
        <v>4672</v>
      </c>
      <c r="O603" s="17" t="str">
        <f>IF(LEN(COUNTIFS($J$1:J603,$J603,$K$1:K603,$K603,$L$1:L603,$L603,$M$1:M603,M603,$N$1:N603,N603))=1,"00"&amp;COUNTIFS($J$1:J603,$J603,$K$1:K603,$K603,$L$1:L603,$L603,$M$1:M603,M603,$N$1:N603,N603),IF(LEN(COUNTIFS($J$1:J603,$J603,$K$1:K603,$K603,$L$1:L603,$L603,$M$1:M603,M603,$N$1:N603,N603))=2,"0"&amp;COUNTIFS($J$1:J603,$J603,$K$1:K603,$K603,$L$1:L603,$L603,$M$1:M603,M603,$N$1:N603,N603),COUNTIFS($J$1:J603,$J603,$K$1:K603,$K603,$L$1:L603,$L603,$M$1:M603,M603,$N$1:N603,N603)))</f>
        <v>002</v>
      </c>
      <c r="P60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MS-CS-002-09-00002-INV</v>
      </c>
      <c r="Q603" s="59"/>
      <c r="R603" s="34" t="s">
        <v>6390</v>
      </c>
      <c r="S603" s="34" t="s">
        <v>1837</v>
      </c>
      <c r="T603" s="34">
        <f>+IFERROR(_xlfn.XLOOKUP(Table43[[#This Row],[Column1]],#REF!,#REF!),0)</f>
        <v>0</v>
      </c>
      <c r="U603" s="50">
        <f>IFERROR(_xlfn.XLOOKUP(Table43[[#This Row],[Column1]],#REF!,#REF!),0)</f>
        <v>0</v>
      </c>
      <c r="V603" s="39"/>
    </row>
    <row r="604" spans="1:22" x14ac:dyDescent="0.35">
      <c r="A604" s="3" t="s">
        <v>1822</v>
      </c>
      <c r="B604" s="2" t="s">
        <v>1839</v>
      </c>
      <c r="C604" s="2" t="s">
        <v>9</v>
      </c>
      <c r="D604" s="2">
        <v>250</v>
      </c>
      <c r="E604" s="2" t="s">
        <v>10</v>
      </c>
      <c r="F604" s="2">
        <v>1</v>
      </c>
      <c r="G604" s="2">
        <v>2</v>
      </c>
      <c r="H604" s="2">
        <v>2</v>
      </c>
      <c r="I604" s="22">
        <f>Table43[[#This Row],[Item Cost]]*Table43[[#This Row],[In Stock]]</f>
        <v>500</v>
      </c>
      <c r="J604" s="12" t="s">
        <v>4941</v>
      </c>
      <c r="K604" s="13" t="s">
        <v>4664</v>
      </c>
      <c r="L604" s="13" t="s">
        <v>4674</v>
      </c>
      <c r="M604" s="13" t="s">
        <v>4771</v>
      </c>
      <c r="N604" s="12" t="s">
        <v>4672</v>
      </c>
      <c r="O604" s="17" t="str">
        <f>IF(LEN(COUNTIFS($J$1:J604,$J604,$K$1:K604,$K604,$L$1:L604,$L604,$M$1:M604,M604,$N$1:N604,N604))=1,"00"&amp;COUNTIFS($J$1:J604,$J604,$K$1:K604,$K604,$L$1:L604,$L604,$M$1:M604,M604,$N$1:N604,N604),IF(LEN(COUNTIFS($J$1:J604,$J604,$K$1:K604,$K604,$L$1:L604,$L604,$M$1:M604,M604,$N$1:N604,N604))=2,"0"&amp;COUNTIFS($J$1:J604,$J604,$K$1:K604,$K604,$L$1:L604,$L604,$M$1:M604,M604,$N$1:N604,N604),COUNTIFS($J$1:J604,$J604,$K$1:K604,$K604,$L$1:L604,$L604,$M$1:M604,M604,$N$1:N604,N604)))</f>
        <v>003</v>
      </c>
      <c r="P60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MS-CS-002-05-00003-INV</v>
      </c>
      <c r="Q604" s="59" t="s">
        <v>7358</v>
      </c>
      <c r="R604" s="34" t="s">
        <v>6391</v>
      </c>
      <c r="S604" s="34" t="s">
        <v>1839</v>
      </c>
      <c r="T604" s="34">
        <f>+IFERROR(_xlfn.XLOOKUP(Table43[[#This Row],[Column1]],#REF!,#REF!),0)</f>
        <v>0</v>
      </c>
      <c r="U604" s="50">
        <f>IFERROR(_xlfn.XLOOKUP(Table43[[#This Row],[Column1]],#REF!,#REF!),0)</f>
        <v>0</v>
      </c>
      <c r="V604" s="39"/>
    </row>
    <row r="605" spans="1:22" x14ac:dyDescent="0.35">
      <c r="A605" s="2" t="s">
        <v>1824</v>
      </c>
      <c r="B605" s="3" t="s">
        <v>1841</v>
      </c>
      <c r="C605" s="3" t="s">
        <v>15</v>
      </c>
      <c r="D605" s="5">
        <v>4890</v>
      </c>
      <c r="E605" s="3" t="s">
        <v>10</v>
      </c>
      <c r="F605" s="2">
        <v>1</v>
      </c>
      <c r="G605" s="2">
        <v>2</v>
      </c>
      <c r="H605" s="3">
        <v>0</v>
      </c>
      <c r="I605" s="21">
        <f>Table43[[#This Row],[Item Cost]]*Table43[[#This Row],[In Stock]]</f>
        <v>0</v>
      </c>
      <c r="J605" s="12" t="s">
        <v>4941</v>
      </c>
      <c r="K605" s="13" t="s">
        <v>4666</v>
      </c>
      <c r="L605" s="13" t="s">
        <v>4674</v>
      </c>
      <c r="M605" s="13" t="s">
        <v>4840</v>
      </c>
      <c r="N605" s="12" t="s">
        <v>4672</v>
      </c>
      <c r="O605" s="17" t="str">
        <f>IF(LEN(COUNTIFS($J$1:J605,$J605,$K$1:K605,$K605,$L$1:L605,$L605,$M$1:M605,M605,$N$1:N605,N605))=1,"00"&amp;COUNTIFS($J$1:J605,$J605,$K$1:K605,$K605,$L$1:L605,$L605,$M$1:M605,M605,$N$1:N605,N605),IF(LEN(COUNTIFS($J$1:J605,$J605,$K$1:K605,$K605,$L$1:L605,$L605,$M$1:M605,M605,$N$1:N605,N605))=2,"0"&amp;COUNTIFS($J$1:J605,$J605,$K$1:K605,$K605,$L$1:L605,$L605,$M$1:M605,M605,$N$1:N605,N605),COUNTIFS($J$1:J605,$J605,$K$1:K605,$K605,$L$1:L605,$L605,$M$1:M605,M605,$N$1:N605,N605)))</f>
        <v>001</v>
      </c>
      <c r="P60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MS-NS-002-15-00001-INV</v>
      </c>
      <c r="Q605" s="59" t="s">
        <v>7362</v>
      </c>
      <c r="R605" s="34" t="s">
        <v>6392</v>
      </c>
      <c r="S605" s="34" t="s">
        <v>1841</v>
      </c>
      <c r="T605" s="34">
        <f>+IFERROR(_xlfn.XLOOKUP(Table43[[#This Row],[Column1]],#REF!,#REF!),0)</f>
        <v>0</v>
      </c>
      <c r="U605" s="50">
        <f>IFERROR(_xlfn.XLOOKUP(Table43[[#This Row],[Column1]],#REF!,#REF!),0)</f>
        <v>0</v>
      </c>
      <c r="V605" s="39"/>
    </row>
    <row r="606" spans="1:22" x14ac:dyDescent="0.35">
      <c r="A606" s="2" t="s">
        <v>1826</v>
      </c>
      <c r="B606" s="2" t="s">
        <v>1843</v>
      </c>
      <c r="C606" s="2" t="s">
        <v>15</v>
      </c>
      <c r="D606" s="2">
        <v>155</v>
      </c>
      <c r="E606" s="2" t="s">
        <v>10</v>
      </c>
      <c r="F606" s="2">
        <v>1</v>
      </c>
      <c r="G606" s="2">
        <v>2</v>
      </c>
      <c r="H606" s="2">
        <v>0</v>
      </c>
      <c r="I606" s="22">
        <f>Table43[[#This Row],[Item Cost]]*Table43[[#This Row],[In Stock]]</f>
        <v>0</v>
      </c>
      <c r="J606" s="12" t="s">
        <v>4941</v>
      </c>
      <c r="K606" s="13" t="s">
        <v>4666</v>
      </c>
      <c r="L606" s="13" t="s">
        <v>4674</v>
      </c>
      <c r="M606" s="13" t="s">
        <v>4828</v>
      </c>
      <c r="N606" s="12" t="s">
        <v>4672</v>
      </c>
      <c r="O606" s="17" t="str">
        <f>IF(LEN(COUNTIFS($J$1:J606,$J606,$K$1:K606,$K606,$L$1:L606,$L606,$M$1:M606,M606,$N$1:N606,N606))=1,"00"&amp;COUNTIFS($J$1:J606,$J606,$K$1:K606,$K606,$L$1:L606,$L606,$M$1:M606,M606,$N$1:N606,N606),IF(LEN(COUNTIFS($J$1:J606,$J606,$K$1:K606,$K606,$L$1:L606,$L606,$M$1:M606,M606,$N$1:N606,N606))=2,"0"&amp;COUNTIFS($J$1:J606,$J606,$K$1:K606,$K606,$L$1:L606,$L606,$M$1:M606,M606,$N$1:N606,N606),COUNTIFS($J$1:J606,$J606,$K$1:K606,$K606,$L$1:L606,$L606,$M$1:M606,M606,$N$1:N606,N606)))</f>
        <v>003</v>
      </c>
      <c r="P60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MS-NS-002-13-00003-INV</v>
      </c>
      <c r="Q606" s="59"/>
      <c r="R606" s="34" t="s">
        <v>6393</v>
      </c>
      <c r="S606" s="34" t="s">
        <v>1843</v>
      </c>
      <c r="T606" s="34">
        <f>+IFERROR(_xlfn.XLOOKUP(Table43[[#This Row],[Column1]],#REF!,#REF!),0)</f>
        <v>0</v>
      </c>
      <c r="U606" s="50">
        <f>IFERROR(_xlfn.XLOOKUP(Table43[[#This Row],[Column1]],#REF!,#REF!),0)</f>
        <v>0</v>
      </c>
      <c r="V606" s="39"/>
    </row>
    <row r="607" spans="1:22" x14ac:dyDescent="0.35">
      <c r="A607" s="3" t="s">
        <v>1828</v>
      </c>
      <c r="B607" s="3" t="s">
        <v>1845</v>
      </c>
      <c r="C607" s="3" t="s">
        <v>15</v>
      </c>
      <c r="D607" s="3">
        <v>115</v>
      </c>
      <c r="E607" s="3" t="s">
        <v>10</v>
      </c>
      <c r="F607" s="2">
        <v>1</v>
      </c>
      <c r="G607" s="2">
        <v>2</v>
      </c>
      <c r="H607" s="3">
        <v>0</v>
      </c>
      <c r="I607" s="21">
        <f>Table43[[#This Row],[Item Cost]]*Table43[[#This Row],[In Stock]]</f>
        <v>0</v>
      </c>
      <c r="J607" s="12" t="s">
        <v>4941</v>
      </c>
      <c r="K607" s="13" t="s">
        <v>4666</v>
      </c>
      <c r="L607" s="13" t="s">
        <v>4674</v>
      </c>
      <c r="M607" s="13" t="s">
        <v>4828</v>
      </c>
      <c r="N607" s="12" t="s">
        <v>4672</v>
      </c>
      <c r="O607" s="17" t="str">
        <f>IF(LEN(COUNTIFS($J$1:J607,$J607,$K$1:K607,$K607,$L$1:L607,$L607,$M$1:M607,M607,$N$1:N607,N607))=1,"00"&amp;COUNTIFS($J$1:J607,$J607,$K$1:K607,$K607,$L$1:L607,$L607,$M$1:M607,M607,$N$1:N607,N607),IF(LEN(COUNTIFS($J$1:J607,$J607,$K$1:K607,$K607,$L$1:L607,$L607,$M$1:M607,M607,$N$1:N607,N607))=2,"0"&amp;COUNTIFS($J$1:J607,$J607,$K$1:K607,$K607,$L$1:L607,$L607,$M$1:M607,M607,$N$1:N607,N607),COUNTIFS($J$1:J607,$J607,$K$1:K607,$K607,$L$1:L607,$L607,$M$1:M607,M607,$N$1:N607,N607)))</f>
        <v>004</v>
      </c>
      <c r="P60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MS-NS-002-13-00004-INV</v>
      </c>
      <c r="Q607" s="59" t="s">
        <v>7367</v>
      </c>
      <c r="R607" s="34" t="s">
        <v>6394</v>
      </c>
      <c r="S607" s="34" t="s">
        <v>1845</v>
      </c>
      <c r="T607" s="34">
        <f>+IFERROR(_xlfn.XLOOKUP(Table43[[#This Row],[Column1]],#REF!,#REF!),0)</f>
        <v>0</v>
      </c>
      <c r="U607" s="50">
        <f>IFERROR(_xlfn.XLOOKUP(Table43[[#This Row],[Column1]],#REF!,#REF!),0)</f>
        <v>0</v>
      </c>
      <c r="V607" s="39"/>
    </row>
    <row r="608" spans="1:22" x14ac:dyDescent="0.35">
      <c r="A608" s="2" t="s">
        <v>1830</v>
      </c>
      <c r="B608" s="2" t="s">
        <v>1847</v>
      </c>
      <c r="C608" s="2" t="s">
        <v>15</v>
      </c>
      <c r="D608" s="2">
        <v>250</v>
      </c>
      <c r="E608" s="2" t="s">
        <v>10</v>
      </c>
      <c r="F608" s="2">
        <v>1</v>
      </c>
      <c r="G608" s="2">
        <v>2</v>
      </c>
      <c r="H608" s="2">
        <v>25</v>
      </c>
      <c r="I608" s="22">
        <f>Table43[[#This Row],[Item Cost]]*Table43[[#This Row],[In Stock]]</f>
        <v>6250</v>
      </c>
      <c r="J608" s="12" t="s">
        <v>4941</v>
      </c>
      <c r="K608" s="13" t="s">
        <v>4666</v>
      </c>
      <c r="L608" s="13" t="s">
        <v>4674</v>
      </c>
      <c r="M608" s="13" t="s">
        <v>4835</v>
      </c>
      <c r="N608" s="12" t="s">
        <v>4672</v>
      </c>
      <c r="O608" s="17" t="str">
        <f>IF(LEN(COUNTIFS($J$1:J608,$J608,$K$1:K608,$K608,$L$1:L608,$L608,$M$1:M608,M608,$N$1:N608,N608))=1,"00"&amp;COUNTIFS($J$1:J608,$J608,$K$1:K608,$K608,$L$1:L608,$L608,$M$1:M608,M608,$N$1:N608,N608),IF(LEN(COUNTIFS($J$1:J608,$J608,$K$1:K608,$K608,$L$1:L608,$L608,$M$1:M608,M608,$N$1:N608,N608))=2,"0"&amp;COUNTIFS($J$1:J608,$J608,$K$1:K608,$K608,$L$1:L608,$L608,$M$1:M608,M608,$N$1:N608,N608),COUNTIFS($J$1:J608,$J608,$K$1:K608,$K608,$L$1:L608,$L608,$M$1:M608,M608,$N$1:N608,N608)))</f>
        <v>001</v>
      </c>
      <c r="P60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MS-NS-002-24-00001-INV</v>
      </c>
      <c r="Q608" s="59" t="s">
        <v>7362</v>
      </c>
      <c r="R608" s="34" t="s">
        <v>6395</v>
      </c>
      <c r="S608" s="34" t="s">
        <v>1847</v>
      </c>
      <c r="T608" s="34">
        <f>+IFERROR(_xlfn.XLOOKUP(Table43[[#This Row],[Column1]],#REF!,#REF!),0)</f>
        <v>0</v>
      </c>
      <c r="U608" s="50">
        <f>IFERROR(_xlfn.XLOOKUP(Table43[[#This Row],[Column1]],#REF!,#REF!),0)</f>
        <v>0</v>
      </c>
      <c r="V608" s="39"/>
    </row>
    <row r="609" spans="1:22" x14ac:dyDescent="0.35">
      <c r="A609" s="2" t="s">
        <v>1832</v>
      </c>
      <c r="B609" s="3" t="s">
        <v>1849</v>
      </c>
      <c r="C609" s="3" t="s">
        <v>15</v>
      </c>
      <c r="D609" s="3">
        <v>95</v>
      </c>
      <c r="E609" s="3" t="s">
        <v>10</v>
      </c>
      <c r="F609" s="2">
        <v>1</v>
      </c>
      <c r="G609" s="2">
        <v>2</v>
      </c>
      <c r="H609" s="3">
        <v>7</v>
      </c>
      <c r="I609" s="21">
        <f>Table43[[#This Row],[Item Cost]]*Table43[[#This Row],[In Stock]]</f>
        <v>665</v>
      </c>
      <c r="J609" s="12" t="s">
        <v>4941</v>
      </c>
      <c r="K609" s="13" t="s">
        <v>4666</v>
      </c>
      <c r="L609" s="13" t="s">
        <v>4674</v>
      </c>
      <c r="M609" s="13" t="s">
        <v>4693</v>
      </c>
      <c r="N609" s="12" t="s">
        <v>4672</v>
      </c>
      <c r="O609" s="17" t="str">
        <f>IF(LEN(COUNTIFS($J$1:J609,$J609,$K$1:K609,$K609,$L$1:L609,$L609,$M$1:M609,M609,$N$1:N609,N609))=1,"00"&amp;COUNTIFS($J$1:J609,$J609,$K$1:K609,$K609,$L$1:L609,$L609,$M$1:M609,M609,$N$1:N609,N609),IF(LEN(COUNTIFS($J$1:J609,$J609,$K$1:K609,$K609,$L$1:L609,$L609,$M$1:M609,M609,$N$1:N609,N609))=2,"0"&amp;COUNTIFS($J$1:J609,$J609,$K$1:K609,$K609,$L$1:L609,$L609,$M$1:M609,M609,$N$1:N609,N609),COUNTIFS($J$1:J609,$J609,$K$1:K609,$K609,$L$1:L609,$L609,$M$1:M609,M609,$N$1:N609,N609)))</f>
        <v>011</v>
      </c>
      <c r="P60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MS-NS-002-23-00011-INV</v>
      </c>
      <c r="Q609" s="59"/>
      <c r="R609" s="34" t="s">
        <v>6396</v>
      </c>
      <c r="S609" s="34" t="s">
        <v>1849</v>
      </c>
      <c r="T609" s="34">
        <f>+IFERROR(_xlfn.XLOOKUP(Table43[[#This Row],[Column1]],#REF!,#REF!),0)</f>
        <v>0</v>
      </c>
      <c r="U609" s="50">
        <f>IFERROR(_xlfn.XLOOKUP(Table43[[#This Row],[Column1]],#REF!,#REF!),0)</f>
        <v>0</v>
      </c>
      <c r="V609" s="39"/>
    </row>
    <row r="610" spans="1:22" x14ac:dyDescent="0.35">
      <c r="A610" s="3" t="s">
        <v>1834</v>
      </c>
      <c r="B610" s="2" t="s">
        <v>1851</v>
      </c>
      <c r="C610" s="2" t="s">
        <v>15</v>
      </c>
      <c r="D610" s="2">
        <v>0</v>
      </c>
      <c r="E610" s="2" t="s">
        <v>10</v>
      </c>
      <c r="F610" s="2">
        <v>1</v>
      </c>
      <c r="G610" s="2">
        <v>2</v>
      </c>
      <c r="H610" s="2">
        <v>0</v>
      </c>
      <c r="I610" s="22">
        <f>Table43[[#This Row],[Item Cost]]*Table43[[#This Row],[In Stock]]</f>
        <v>0</v>
      </c>
      <c r="J610" s="12" t="s">
        <v>4941</v>
      </c>
      <c r="K610" s="13" t="s">
        <v>4666</v>
      </c>
      <c r="L610" s="13" t="s">
        <v>4674</v>
      </c>
      <c r="M610" s="13" t="s">
        <v>4835</v>
      </c>
      <c r="N610" s="12" t="s">
        <v>4672</v>
      </c>
      <c r="O610" s="17" t="str">
        <f>IF(LEN(COUNTIFS($J$1:J610,$J610,$K$1:K610,$K610,$L$1:L610,$L610,$M$1:M610,M610,$N$1:N610,N610))=1,"00"&amp;COUNTIFS($J$1:J610,$J610,$K$1:K610,$K610,$L$1:L610,$L610,$M$1:M610,M610,$N$1:N610,N610),IF(LEN(COUNTIFS($J$1:J610,$J610,$K$1:K610,$K610,$L$1:L610,$L610,$M$1:M610,M610,$N$1:N610,N610))=2,"0"&amp;COUNTIFS($J$1:J610,$J610,$K$1:K610,$K610,$L$1:L610,$L610,$M$1:M610,M610,$N$1:N610,N610),COUNTIFS($J$1:J610,$J610,$K$1:K610,$K610,$L$1:L610,$L610,$M$1:M610,M610,$N$1:N610,N610)))</f>
        <v>002</v>
      </c>
      <c r="P61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MS-NS-002-24-00002-INV</v>
      </c>
      <c r="Q610" s="59"/>
      <c r="R610" s="34" t="s">
        <v>6397</v>
      </c>
      <c r="S610" s="34" t="s">
        <v>1851</v>
      </c>
      <c r="T610" s="34">
        <f>+IFERROR(_xlfn.XLOOKUP(Table43[[#This Row],[Column1]],#REF!,#REF!),0)</f>
        <v>0</v>
      </c>
      <c r="U610" s="50">
        <f>IFERROR(_xlfn.XLOOKUP(Table43[[#This Row],[Column1]],#REF!,#REF!),0)</f>
        <v>0</v>
      </c>
      <c r="V610" s="39"/>
    </row>
    <row r="611" spans="1:22" x14ac:dyDescent="0.35">
      <c r="A611" s="2" t="s">
        <v>1836</v>
      </c>
      <c r="B611" s="3" t="s">
        <v>1853</v>
      </c>
      <c r="C611" s="3" t="s">
        <v>15</v>
      </c>
      <c r="D611" s="3">
        <v>0</v>
      </c>
      <c r="E611" s="3" t="s">
        <v>10</v>
      </c>
      <c r="F611" s="2">
        <v>1</v>
      </c>
      <c r="G611" s="2">
        <v>2</v>
      </c>
      <c r="H611" s="3">
        <v>0</v>
      </c>
      <c r="I611" s="21">
        <f>Table43[[#This Row],[Item Cost]]*Table43[[#This Row],[In Stock]]</f>
        <v>0</v>
      </c>
      <c r="J611" s="12" t="s">
        <v>4941</v>
      </c>
      <c r="K611" s="13" t="s">
        <v>4666</v>
      </c>
      <c r="L611" s="13" t="s">
        <v>4674</v>
      </c>
      <c r="M611" s="13" t="s">
        <v>4835</v>
      </c>
      <c r="N611" s="12" t="s">
        <v>4672</v>
      </c>
      <c r="O611" s="17" t="str">
        <f>IF(LEN(COUNTIFS($J$1:J611,$J611,$K$1:K611,$K611,$L$1:L611,$L611,$M$1:M611,M611,$N$1:N611,N611))=1,"00"&amp;COUNTIFS($J$1:J611,$J611,$K$1:K611,$K611,$L$1:L611,$L611,$M$1:M611,M611,$N$1:N611,N611),IF(LEN(COUNTIFS($J$1:J611,$J611,$K$1:K611,$K611,$L$1:L611,$L611,$M$1:M611,M611,$N$1:N611,N611))=2,"0"&amp;COUNTIFS($J$1:J611,$J611,$K$1:K611,$K611,$L$1:L611,$L611,$M$1:M611,M611,$N$1:N611,N611),COUNTIFS($J$1:J611,$J611,$K$1:K611,$K611,$L$1:L611,$L611,$M$1:M611,M611,$N$1:N611,N611)))</f>
        <v>003</v>
      </c>
      <c r="P61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MS-NS-002-24-00003-INV</v>
      </c>
      <c r="Q611" s="59"/>
      <c r="R611" s="34" t="s">
        <v>6398</v>
      </c>
      <c r="S611" s="34" t="s">
        <v>1853</v>
      </c>
      <c r="T611" s="34">
        <f>+IFERROR(_xlfn.XLOOKUP(Table43[[#This Row],[Column1]],#REF!,#REF!),0)</f>
        <v>0</v>
      </c>
      <c r="U611" s="50">
        <f>IFERROR(_xlfn.XLOOKUP(Table43[[#This Row],[Column1]],#REF!,#REF!),0)</f>
        <v>0</v>
      </c>
      <c r="V611" s="39"/>
    </row>
    <row r="612" spans="1:22" x14ac:dyDescent="0.35">
      <c r="A612" s="2" t="s">
        <v>1838</v>
      </c>
      <c r="B612" s="3" t="s">
        <v>1855</v>
      </c>
      <c r="C612" s="3" t="s">
        <v>15</v>
      </c>
      <c r="D612" s="3">
        <v>0</v>
      </c>
      <c r="E612" s="3" t="s">
        <v>10</v>
      </c>
      <c r="F612" s="2">
        <v>1</v>
      </c>
      <c r="G612" s="2">
        <v>2</v>
      </c>
      <c r="H612" s="3">
        <v>0</v>
      </c>
      <c r="I612" s="21">
        <f>Table43[[#This Row],[Item Cost]]*Table43[[#This Row],[In Stock]]</f>
        <v>0</v>
      </c>
      <c r="J612" s="12" t="s">
        <v>4941</v>
      </c>
      <c r="K612" s="13" t="s">
        <v>4666</v>
      </c>
      <c r="L612" s="13" t="s">
        <v>4674</v>
      </c>
      <c r="M612" s="13" t="s">
        <v>4770</v>
      </c>
      <c r="N612" s="12" t="s">
        <v>4672</v>
      </c>
      <c r="O612" s="17" t="str">
        <f>IF(LEN(COUNTIFS($J$1:J612,$J612,$K$1:K612,$K612,$L$1:L612,$L612,$M$1:M612,M612,$N$1:N612,N612))=1,"00"&amp;COUNTIFS($J$1:J612,$J612,$K$1:K612,$K612,$L$1:L612,$L612,$M$1:M612,M612,$N$1:N612,N612),IF(LEN(COUNTIFS($J$1:J612,$J612,$K$1:K612,$K612,$L$1:L612,$L612,$M$1:M612,M612,$N$1:N612,N612))=2,"0"&amp;COUNTIFS($J$1:J612,$J612,$K$1:K612,$K612,$L$1:L612,$L612,$M$1:M612,M612,$N$1:N612,N612),COUNTIFS($J$1:J612,$J612,$K$1:K612,$K612,$L$1:L612,$L612,$M$1:M612,M612,$N$1:N612,N612)))</f>
        <v>003</v>
      </c>
      <c r="P61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MS-NS-002-04-00003-INV</v>
      </c>
      <c r="Q612" s="59"/>
      <c r="R612" s="49" t="s">
        <v>5695</v>
      </c>
      <c r="S612" s="34" t="s">
        <v>5716</v>
      </c>
      <c r="T612" s="34">
        <f>+IFERROR(_xlfn.XLOOKUP(Table43[[#This Row],[Column1]],#REF!,#REF!),0)</f>
        <v>0</v>
      </c>
      <c r="U612" s="50">
        <f>IFERROR(_xlfn.XLOOKUP(Table43[[#This Row],[Column1]],#REF!,#REF!),0)</f>
        <v>0</v>
      </c>
      <c r="V612" s="39"/>
    </row>
    <row r="613" spans="1:22" x14ac:dyDescent="0.35">
      <c r="A613" s="3" t="s">
        <v>1840</v>
      </c>
      <c r="B613" s="2" t="s">
        <v>4873</v>
      </c>
      <c r="C613" s="2" t="s">
        <v>15</v>
      </c>
      <c r="D613" s="2">
        <v>0</v>
      </c>
      <c r="E613" s="2" t="s">
        <v>10</v>
      </c>
      <c r="F613" s="2">
        <v>1</v>
      </c>
      <c r="G613" s="2">
        <v>2</v>
      </c>
      <c r="H613" s="2">
        <v>0</v>
      </c>
      <c r="I613" s="22">
        <f>Table43[[#This Row],[Item Cost]]*Table43[[#This Row],[In Stock]]</f>
        <v>0</v>
      </c>
      <c r="J613" s="12" t="s">
        <v>4941</v>
      </c>
      <c r="K613" s="13" t="s">
        <v>4666</v>
      </c>
      <c r="L613" s="13" t="s">
        <v>4674</v>
      </c>
      <c r="M613" s="13" t="s">
        <v>4775</v>
      </c>
      <c r="N613" s="12" t="s">
        <v>4672</v>
      </c>
      <c r="O613" s="17" t="str">
        <f>IF(LEN(COUNTIFS($J$1:J613,$J613,$K$1:K613,$K613,$L$1:L613,$L613,$M$1:M613,M613,$N$1:N613,N613))=1,"00"&amp;COUNTIFS($J$1:J613,$J613,$K$1:K613,$K613,$L$1:L613,$L613,$M$1:M613,M613,$N$1:N613,N613),IF(LEN(COUNTIFS($J$1:J613,$J613,$K$1:K613,$K613,$L$1:L613,$L613,$M$1:M613,M613,$N$1:N613,N613))=2,"0"&amp;COUNTIFS($J$1:J613,$J613,$K$1:K613,$K613,$L$1:L613,$L613,$M$1:M613,M613,$N$1:N613,N613),COUNTIFS($J$1:J613,$J613,$K$1:K613,$K613,$L$1:L613,$L613,$M$1:M613,M613,$N$1:N613,N613)))</f>
        <v>001</v>
      </c>
      <c r="P61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MS-NS-002-09-00001-INV</v>
      </c>
      <c r="Q613" s="59"/>
      <c r="R613" s="34"/>
      <c r="S613" s="34">
        <v>0</v>
      </c>
      <c r="T613" s="34">
        <f>+IFERROR(_xlfn.XLOOKUP(Table43[[#This Row],[Column1]],#REF!,#REF!),0)</f>
        <v>0</v>
      </c>
      <c r="U613" s="50">
        <f>IFERROR(_xlfn.XLOOKUP(Table43[[#This Row],[Column1]],#REF!,#REF!),0)</f>
        <v>0</v>
      </c>
      <c r="V613" s="39"/>
    </row>
    <row r="614" spans="1:22" x14ac:dyDescent="0.35">
      <c r="A614" s="2" t="s">
        <v>1842</v>
      </c>
      <c r="B614" s="3" t="s">
        <v>1859</v>
      </c>
      <c r="C614" s="3" t="s">
        <v>15</v>
      </c>
      <c r="D614" s="5">
        <v>5147.1400000000003</v>
      </c>
      <c r="E614" s="3" t="s">
        <v>10</v>
      </c>
      <c r="F614" s="2">
        <v>1</v>
      </c>
      <c r="G614" s="2">
        <v>2</v>
      </c>
      <c r="H614" s="3">
        <v>2</v>
      </c>
      <c r="I614" s="21">
        <f>Table43[[#This Row],[Item Cost]]*Table43[[#This Row],[In Stock]]</f>
        <v>10294.280000000001</v>
      </c>
      <c r="J614" s="12" t="s">
        <v>4941</v>
      </c>
      <c r="K614" s="13" t="s">
        <v>4666</v>
      </c>
      <c r="L614" s="13" t="s">
        <v>4674</v>
      </c>
      <c r="M614" s="13" t="s">
        <v>4840</v>
      </c>
      <c r="N614" s="12" t="s">
        <v>4672</v>
      </c>
      <c r="O614" s="17" t="str">
        <f>IF(LEN(COUNTIFS($J$1:J614,$J614,$K$1:K614,$K614,$L$1:L614,$L614,$M$1:M614,M614,$N$1:N614,N614))=1,"00"&amp;COUNTIFS($J$1:J614,$J614,$K$1:K614,$K614,$L$1:L614,$L614,$M$1:M614,M614,$N$1:N614,N614),IF(LEN(COUNTIFS($J$1:J614,$J614,$K$1:K614,$K614,$L$1:L614,$L614,$M$1:M614,M614,$N$1:N614,N614))=2,"0"&amp;COUNTIFS($J$1:J614,$J614,$K$1:K614,$K614,$L$1:L614,$L614,$M$1:M614,M614,$N$1:N614,N614),COUNTIFS($J$1:J614,$J614,$K$1:K614,$K614,$L$1:L614,$L614,$M$1:M614,M614,$N$1:N614,N614)))</f>
        <v>002</v>
      </c>
      <c r="P61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MS-NS-002-15-00002-INV</v>
      </c>
      <c r="Q614" s="59" t="s">
        <v>7362</v>
      </c>
      <c r="R614" s="34" t="s">
        <v>5842</v>
      </c>
      <c r="S614" s="34" t="s">
        <v>1859</v>
      </c>
      <c r="T614" s="34">
        <f>+IFERROR(_xlfn.XLOOKUP(Table43[[#This Row],[Column1]],#REF!,#REF!),0)</f>
        <v>0</v>
      </c>
      <c r="U614" s="50">
        <f>IFERROR(_xlfn.XLOOKUP(Table43[[#This Row],[Column1]],#REF!,#REF!),0)</f>
        <v>0</v>
      </c>
      <c r="V614" s="39"/>
    </row>
    <row r="615" spans="1:22" x14ac:dyDescent="0.35">
      <c r="A615" s="2" t="s">
        <v>1844</v>
      </c>
      <c r="B615" s="2" t="s">
        <v>4874</v>
      </c>
      <c r="C615" s="2" t="s">
        <v>15</v>
      </c>
      <c r="D615" s="2">
        <v>0</v>
      </c>
      <c r="E615" s="2" t="s">
        <v>10</v>
      </c>
      <c r="F615" s="2">
        <v>1</v>
      </c>
      <c r="G615" s="2">
        <v>2</v>
      </c>
      <c r="H615" s="2">
        <v>0</v>
      </c>
      <c r="I615" s="22">
        <f>Table43[[#This Row],[Item Cost]]*Table43[[#This Row],[In Stock]]</f>
        <v>0</v>
      </c>
      <c r="J615" s="12" t="s">
        <v>4941</v>
      </c>
      <c r="K615" s="13" t="s">
        <v>4666</v>
      </c>
      <c r="L615" s="13" t="s">
        <v>4674</v>
      </c>
      <c r="M615" s="13" t="s">
        <v>4839</v>
      </c>
      <c r="N615" s="12" t="s">
        <v>4672</v>
      </c>
      <c r="O615" s="17" t="str">
        <f>IF(LEN(COUNTIFS($J$1:J615,$J615,$K$1:K615,$K615,$L$1:L615,$L615,$M$1:M615,M615,$N$1:N615,N615))=1,"00"&amp;COUNTIFS($J$1:J615,$J615,$K$1:K615,$K615,$L$1:L615,$L615,$M$1:M615,M615,$N$1:N615,N615),IF(LEN(COUNTIFS($J$1:J615,$J615,$K$1:K615,$K615,$L$1:L615,$L615,$M$1:M615,M615,$N$1:N615,N615))=2,"0"&amp;COUNTIFS($J$1:J615,$J615,$K$1:K615,$K615,$L$1:L615,$L615,$M$1:M615,M615,$N$1:N615,N615),COUNTIFS($J$1:J615,$J615,$K$1:K615,$K615,$L$1:L615,$L615,$M$1:M615,M615,$N$1:N615,N615)))</f>
        <v>001</v>
      </c>
      <c r="P61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MS-NS-002-27-00001-INV</v>
      </c>
      <c r="Q615" s="59"/>
      <c r="R615" s="34"/>
      <c r="S615" s="34">
        <v>0</v>
      </c>
      <c r="T615" s="34">
        <f>+IFERROR(_xlfn.XLOOKUP(Table43[[#This Row],[Column1]],#REF!,#REF!),0)</f>
        <v>0</v>
      </c>
      <c r="U615" s="50">
        <f>IFERROR(_xlfn.XLOOKUP(Table43[[#This Row],[Column1]],#REF!,#REF!),0)</f>
        <v>0</v>
      </c>
      <c r="V615" s="39"/>
    </row>
    <row r="616" spans="1:22" x14ac:dyDescent="0.35">
      <c r="A616" s="3" t="s">
        <v>5404</v>
      </c>
      <c r="B616" s="3" t="s">
        <v>4875</v>
      </c>
      <c r="C616" s="3" t="s">
        <v>15</v>
      </c>
      <c r="D616" s="3">
        <v>680</v>
      </c>
      <c r="E616" s="3" t="s">
        <v>10</v>
      </c>
      <c r="F616" s="2">
        <v>1</v>
      </c>
      <c r="G616" s="2">
        <v>2</v>
      </c>
      <c r="H616" s="3">
        <v>2</v>
      </c>
      <c r="I616" s="21">
        <f>Table43[[#This Row],[Item Cost]]*Table43[[#This Row],[In Stock]]</f>
        <v>1360</v>
      </c>
      <c r="J616" s="12" t="s">
        <v>4941</v>
      </c>
      <c r="K616" s="13" t="s">
        <v>4666</v>
      </c>
      <c r="L616" s="13" t="s">
        <v>4674</v>
      </c>
      <c r="M616" s="13" t="s">
        <v>4775</v>
      </c>
      <c r="N616" s="12" t="s">
        <v>4672</v>
      </c>
      <c r="O616" s="17" t="str">
        <f>IF(LEN(COUNTIFS($J$1:J616,$J616,$K$1:K616,$K616,$L$1:L616,$L616,$M$1:M616,M616,$N$1:N616,N616))=1,"00"&amp;COUNTIFS($J$1:J616,$J616,$K$1:K616,$K616,$L$1:L616,$L616,$M$1:M616,M616,$N$1:N616,N616),IF(LEN(COUNTIFS($J$1:J616,$J616,$K$1:K616,$K616,$L$1:L616,$L616,$M$1:M616,M616,$N$1:N616,N616))=2,"0"&amp;COUNTIFS($J$1:J616,$J616,$K$1:K616,$K616,$L$1:L616,$L616,$M$1:M616,M616,$N$1:N616,N616),COUNTIFS($J$1:J616,$J616,$K$1:K616,$K616,$L$1:L616,$L616,$M$1:M616,M616,$N$1:N616,N616)))</f>
        <v>002</v>
      </c>
      <c r="P61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MS-NS-002-09-00002-INV</v>
      </c>
      <c r="Q616" s="59"/>
      <c r="R616" s="34"/>
      <c r="S616" s="34">
        <v>0</v>
      </c>
      <c r="T616" s="34">
        <f>+IFERROR(_xlfn.XLOOKUP(Table43[[#This Row],[Column1]],#REF!,#REF!),0)</f>
        <v>0</v>
      </c>
      <c r="U616" s="50">
        <f>IFERROR(_xlfn.XLOOKUP(Table43[[#This Row],[Column1]],#REF!,#REF!),0)</f>
        <v>0</v>
      </c>
      <c r="V616" s="39"/>
    </row>
    <row r="617" spans="1:22" x14ac:dyDescent="0.35">
      <c r="A617" s="2" t="s">
        <v>5405</v>
      </c>
      <c r="B617" s="2" t="s">
        <v>1865</v>
      </c>
      <c r="C617" s="2" t="s">
        <v>15</v>
      </c>
      <c r="D617" s="4">
        <v>2500</v>
      </c>
      <c r="E617" s="2" t="s">
        <v>10</v>
      </c>
      <c r="F617" s="2">
        <v>1</v>
      </c>
      <c r="G617" s="2">
        <v>2</v>
      </c>
      <c r="H617" s="2">
        <v>0</v>
      </c>
      <c r="I617" s="22">
        <f>Table43[[#This Row],[Item Cost]]*Table43[[#This Row],[In Stock]]</f>
        <v>0</v>
      </c>
      <c r="J617" s="12" t="s">
        <v>4941</v>
      </c>
      <c r="K617" s="13" t="s">
        <v>4666</v>
      </c>
      <c r="L617" s="13" t="s">
        <v>4674</v>
      </c>
      <c r="M617" s="13" t="s">
        <v>4837</v>
      </c>
      <c r="N617" s="12" t="s">
        <v>4672</v>
      </c>
      <c r="O617" s="17" t="str">
        <f>IF(LEN(COUNTIFS($J$1:J617,$J617,$K$1:K617,$K617,$L$1:L617,$L617,$M$1:M617,M617,$N$1:N617,N617))=1,"00"&amp;COUNTIFS($J$1:J617,$J617,$K$1:K617,$K617,$L$1:L617,$L617,$M$1:M617,M617,$N$1:N617,N617),IF(LEN(COUNTIFS($J$1:J617,$J617,$K$1:K617,$K617,$L$1:L617,$L617,$M$1:M617,M617,$N$1:N617,N617))=2,"0"&amp;COUNTIFS($J$1:J617,$J617,$K$1:K617,$K617,$L$1:L617,$L617,$M$1:M617,M617,$N$1:N617,N617),COUNTIFS($J$1:J617,$J617,$K$1:K617,$K617,$L$1:L617,$L617,$M$1:M617,M617,$N$1:N617,N617)))</f>
        <v>003</v>
      </c>
      <c r="P61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MS-NS-002-26-00003-INV</v>
      </c>
      <c r="Q617" s="59"/>
      <c r="R617" s="34" t="s">
        <v>6399</v>
      </c>
      <c r="S617" s="34" t="s">
        <v>1865</v>
      </c>
      <c r="T617" s="34">
        <f>+IFERROR(_xlfn.XLOOKUP(Table43[[#This Row],[Column1]],#REF!,#REF!),0)</f>
        <v>0</v>
      </c>
      <c r="U617" s="50">
        <f>IFERROR(_xlfn.XLOOKUP(Table43[[#This Row],[Column1]],#REF!,#REF!),0)</f>
        <v>0</v>
      </c>
      <c r="V617" s="39"/>
    </row>
    <row r="618" spans="1:22" x14ac:dyDescent="0.35">
      <c r="A618" s="2" t="s">
        <v>5406</v>
      </c>
      <c r="B618" s="3" t="s">
        <v>4876</v>
      </c>
      <c r="C618" s="3" t="s">
        <v>15</v>
      </c>
      <c r="D618" s="3">
        <v>750</v>
      </c>
      <c r="E618" s="3" t="s">
        <v>10</v>
      </c>
      <c r="F618" s="2">
        <v>1</v>
      </c>
      <c r="G618" s="2">
        <v>2</v>
      </c>
      <c r="H618" s="3">
        <v>2</v>
      </c>
      <c r="I618" s="21">
        <f>Table43[[#This Row],[Item Cost]]*Table43[[#This Row],[In Stock]]</f>
        <v>1500</v>
      </c>
      <c r="J618" s="12" t="s">
        <v>4941</v>
      </c>
      <c r="K618" s="13" t="s">
        <v>4666</v>
      </c>
      <c r="L618" s="13" t="s">
        <v>4674</v>
      </c>
      <c r="M618" s="13" t="s">
        <v>4693</v>
      </c>
      <c r="N618" s="12" t="s">
        <v>4672</v>
      </c>
      <c r="O618" s="17" t="str">
        <f>IF(LEN(COUNTIFS($J$1:J618,$J618,$K$1:K618,$K618,$L$1:L618,$L618,$M$1:M618,M618,$N$1:N618,N618))=1,"00"&amp;COUNTIFS($J$1:J618,$J618,$K$1:K618,$K618,$L$1:L618,$L618,$M$1:M618,M618,$N$1:N618,N618),IF(LEN(COUNTIFS($J$1:J618,$J618,$K$1:K618,$K618,$L$1:L618,$L618,$M$1:M618,M618,$N$1:N618,N618))=2,"0"&amp;COUNTIFS($J$1:J618,$J618,$K$1:K618,$K618,$L$1:L618,$L618,$M$1:M618,M618,$N$1:N618,N618),COUNTIFS($J$1:J618,$J618,$K$1:K618,$K618,$L$1:L618,$L618,$M$1:M618,M618,$N$1:N618,N618)))</f>
        <v>012</v>
      </c>
      <c r="P61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MS-NS-002-23-00012-INV</v>
      </c>
      <c r="Q618" s="59"/>
      <c r="R618" s="34"/>
      <c r="S618" s="34">
        <v>0</v>
      </c>
      <c r="T618" s="34">
        <f>+IFERROR(_xlfn.XLOOKUP(Table43[[#This Row],[Column1]],#REF!,#REF!),0)</f>
        <v>0</v>
      </c>
      <c r="U618" s="50">
        <f>IFERROR(_xlfn.XLOOKUP(Table43[[#This Row],[Column1]],#REF!,#REF!),0)</f>
        <v>0</v>
      </c>
      <c r="V618" s="39"/>
    </row>
    <row r="619" spans="1:22" x14ac:dyDescent="0.35">
      <c r="A619" s="3" t="s">
        <v>5407</v>
      </c>
      <c r="B619" s="3" t="s">
        <v>1871</v>
      </c>
      <c r="C619" s="3" t="s">
        <v>15</v>
      </c>
      <c r="D619" s="3">
        <v>0</v>
      </c>
      <c r="E619" s="3" t="s">
        <v>10</v>
      </c>
      <c r="F619" s="2">
        <v>1</v>
      </c>
      <c r="G619" s="2">
        <v>2</v>
      </c>
      <c r="H619" s="3">
        <v>0</v>
      </c>
      <c r="I619" s="21">
        <f>Table43[[#This Row],[Item Cost]]*Table43[[#This Row],[In Stock]]</f>
        <v>0</v>
      </c>
      <c r="J619" s="12" t="s">
        <v>4941</v>
      </c>
      <c r="K619" s="13" t="s">
        <v>4666</v>
      </c>
      <c r="L619" s="13" t="s">
        <v>4674</v>
      </c>
      <c r="M619" s="13" t="s">
        <v>4859</v>
      </c>
      <c r="N619" s="12" t="s">
        <v>4672</v>
      </c>
      <c r="O619" s="17" t="str">
        <f>IF(LEN(COUNTIFS($J$1:J619,$J619,$K$1:K619,$K619,$L$1:L619,$L619,$M$1:M619,M619,$N$1:N619,N619))=1,"00"&amp;COUNTIFS($J$1:J619,$J619,$K$1:K619,$K619,$L$1:L619,$L619,$M$1:M619,M619,$N$1:N619,N619),IF(LEN(COUNTIFS($J$1:J619,$J619,$K$1:K619,$K619,$L$1:L619,$L619,$M$1:M619,M619,$N$1:N619,N619))=2,"0"&amp;COUNTIFS($J$1:J619,$J619,$K$1:K619,$K619,$L$1:L619,$L619,$M$1:M619,M619,$N$1:N619,N619),COUNTIFS($J$1:J619,$J619,$K$1:K619,$K619,$L$1:L619,$L619,$M$1:M619,M619,$N$1:N619,N619)))</f>
        <v>001</v>
      </c>
      <c r="P61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MS-NS-002-30-00001-INV</v>
      </c>
      <c r="Q619" s="59"/>
      <c r="R619" s="34" t="s">
        <v>6400</v>
      </c>
      <c r="S619" s="34" t="s">
        <v>1871</v>
      </c>
      <c r="T619" s="34">
        <f>+IFERROR(_xlfn.XLOOKUP(Table43[[#This Row],[Column1]],#REF!,#REF!),0)</f>
        <v>0</v>
      </c>
      <c r="U619" s="50">
        <f>IFERROR(_xlfn.XLOOKUP(Table43[[#This Row],[Column1]],#REF!,#REF!),0)</f>
        <v>0</v>
      </c>
      <c r="V619" s="39"/>
    </row>
    <row r="620" spans="1:22" x14ac:dyDescent="0.35">
      <c r="A620" s="2" t="s">
        <v>5408</v>
      </c>
      <c r="B620" s="2" t="s">
        <v>1873</v>
      </c>
      <c r="C620" s="2" t="s">
        <v>15</v>
      </c>
      <c r="D620" s="2">
        <v>0</v>
      </c>
      <c r="E620" s="2" t="s">
        <v>10</v>
      </c>
      <c r="F620" s="2">
        <v>1</v>
      </c>
      <c r="G620" s="2">
        <v>2</v>
      </c>
      <c r="H620" s="2">
        <v>0</v>
      </c>
      <c r="I620" s="22">
        <f>Table43[[#This Row],[Item Cost]]*Table43[[#This Row],[In Stock]]</f>
        <v>0</v>
      </c>
      <c r="J620" s="12" t="s">
        <v>4941</v>
      </c>
      <c r="K620" s="13" t="s">
        <v>4666</v>
      </c>
      <c r="L620" s="13" t="s">
        <v>4674</v>
      </c>
      <c r="M620" s="13" t="s">
        <v>4837</v>
      </c>
      <c r="N620" s="12" t="s">
        <v>4672</v>
      </c>
      <c r="O620" s="17" t="str">
        <f>IF(LEN(COUNTIFS($J$1:J620,$J620,$K$1:K620,$K620,$L$1:L620,$L620,$M$1:M620,M620,$N$1:N620,N620))=1,"00"&amp;COUNTIFS($J$1:J620,$J620,$K$1:K620,$K620,$L$1:L620,$L620,$M$1:M620,M620,$N$1:N620,N620),IF(LEN(COUNTIFS($J$1:J620,$J620,$K$1:K620,$K620,$L$1:L620,$L620,$M$1:M620,M620,$N$1:N620,N620))=2,"0"&amp;COUNTIFS($J$1:J620,$J620,$K$1:K620,$K620,$L$1:L620,$L620,$M$1:M620,M620,$N$1:N620,N620),COUNTIFS($J$1:J620,$J620,$K$1:K620,$K620,$L$1:L620,$L620,$M$1:M620,M620,$N$1:N620,N620)))</f>
        <v>004</v>
      </c>
      <c r="P62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MS-NS-002-26-00004-INV</v>
      </c>
      <c r="Q620" s="59"/>
      <c r="R620" s="34" t="s">
        <v>6401</v>
      </c>
      <c r="S620" s="34" t="s">
        <v>1873</v>
      </c>
      <c r="T620" s="34">
        <f>+IFERROR(_xlfn.XLOOKUP(Table43[[#This Row],[Column1]],#REF!,#REF!),0)</f>
        <v>0</v>
      </c>
      <c r="U620" s="50">
        <f>IFERROR(_xlfn.XLOOKUP(Table43[[#This Row],[Column1]],#REF!,#REF!),0)</f>
        <v>0</v>
      </c>
      <c r="V620" s="39"/>
    </row>
    <row r="621" spans="1:22" x14ac:dyDescent="0.35">
      <c r="A621" s="2" t="s">
        <v>5409</v>
      </c>
      <c r="B621" s="3" t="s">
        <v>1875</v>
      </c>
      <c r="C621" s="3" t="s">
        <v>15</v>
      </c>
      <c r="D621" s="3">
        <v>16.28</v>
      </c>
      <c r="E621" s="3" t="s">
        <v>10</v>
      </c>
      <c r="F621" s="3">
        <v>2</v>
      </c>
      <c r="G621" s="3">
        <v>10</v>
      </c>
      <c r="H621" s="3">
        <v>0</v>
      </c>
      <c r="I621" s="21">
        <f>Table43[[#This Row],[Item Cost]]*Table43[[#This Row],[In Stock]]</f>
        <v>0</v>
      </c>
      <c r="J621" s="12" t="s">
        <v>4941</v>
      </c>
      <c r="K621" s="13" t="s">
        <v>4666</v>
      </c>
      <c r="L621" s="13" t="s">
        <v>4674</v>
      </c>
      <c r="M621" s="13" t="s">
        <v>4837</v>
      </c>
      <c r="N621" s="12" t="s">
        <v>4672</v>
      </c>
      <c r="O621" s="17" t="str">
        <f>IF(LEN(COUNTIFS($J$1:J621,$J621,$K$1:K621,$K621,$L$1:L621,$L621,$M$1:M621,M621,$N$1:N621,N621))=1,"00"&amp;COUNTIFS($J$1:J621,$J621,$K$1:K621,$K621,$L$1:L621,$L621,$M$1:M621,M621,$N$1:N621,N621),IF(LEN(COUNTIFS($J$1:J621,$J621,$K$1:K621,$K621,$L$1:L621,$L621,$M$1:M621,M621,$N$1:N621,N621))=2,"0"&amp;COUNTIFS($J$1:J621,$J621,$K$1:K621,$K621,$L$1:L621,$L621,$M$1:M621,M621,$N$1:N621,N621),COUNTIFS($J$1:J621,$J621,$K$1:K621,$K621,$L$1:L621,$L621,$M$1:M621,M621,$N$1:N621,N621)))</f>
        <v>005</v>
      </c>
      <c r="P62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MS-NS-002-26-00005-INV</v>
      </c>
      <c r="Q621" s="59" t="s">
        <v>7360</v>
      </c>
      <c r="R621" s="34"/>
      <c r="S621" s="34">
        <v>0</v>
      </c>
      <c r="T621" s="34">
        <f>+IFERROR(_xlfn.XLOOKUP(Table43[[#This Row],[Column1]],#REF!,#REF!),0)</f>
        <v>0</v>
      </c>
      <c r="U621" s="50">
        <f>IFERROR(_xlfn.XLOOKUP(Table43[[#This Row],[Column1]],#REF!,#REF!),0)</f>
        <v>0</v>
      </c>
      <c r="V621" s="39"/>
    </row>
    <row r="622" spans="1:22" x14ac:dyDescent="0.35">
      <c r="A622" s="3" t="s">
        <v>5410</v>
      </c>
      <c r="B622" s="2" t="s">
        <v>1877</v>
      </c>
      <c r="C622" s="2" t="s">
        <v>15</v>
      </c>
      <c r="D622" s="2">
        <v>15.962</v>
      </c>
      <c r="E622" s="2" t="s">
        <v>10</v>
      </c>
      <c r="F622" s="2">
        <v>2</v>
      </c>
      <c r="G622" s="2">
        <v>10</v>
      </c>
      <c r="H622" s="2">
        <v>5</v>
      </c>
      <c r="I622" s="22">
        <f>Table43[[#This Row],[Item Cost]]*Table43[[#This Row],[In Stock]]</f>
        <v>79.81</v>
      </c>
      <c r="J622" s="12" t="s">
        <v>4941</v>
      </c>
      <c r="K622" s="13" t="s">
        <v>4666</v>
      </c>
      <c r="L622" s="13" t="s">
        <v>4674</v>
      </c>
      <c r="M622" s="13" t="s">
        <v>4837</v>
      </c>
      <c r="N622" s="12" t="s">
        <v>4672</v>
      </c>
      <c r="O622" s="17" t="str">
        <f>IF(LEN(COUNTIFS($J$1:J622,$J622,$K$1:K622,$K622,$L$1:L622,$L622,$M$1:M622,M622,$N$1:N622,N622))=1,"00"&amp;COUNTIFS($J$1:J622,$J622,$K$1:K622,$K622,$L$1:L622,$L622,$M$1:M622,M622,$N$1:N622,N622),IF(LEN(COUNTIFS($J$1:J622,$J622,$K$1:K622,$K622,$L$1:L622,$L622,$M$1:M622,M622,$N$1:N622,N622))=2,"0"&amp;COUNTIFS($J$1:J622,$J622,$K$1:K622,$K622,$L$1:L622,$L622,$M$1:M622,M622,$N$1:N622,N622),COUNTIFS($J$1:J622,$J622,$K$1:K622,$K622,$L$1:L622,$L622,$M$1:M622,M622,$N$1:N622,N622)))</f>
        <v>006</v>
      </c>
      <c r="P62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MS-NS-002-26-00006-INV</v>
      </c>
      <c r="Q622" s="59" t="s">
        <v>7360</v>
      </c>
      <c r="R622" s="34"/>
      <c r="S622" s="34">
        <v>0</v>
      </c>
      <c r="T622" s="34">
        <f>+IFERROR(_xlfn.XLOOKUP(Table43[[#This Row],[Column1]],#REF!,#REF!),0)</f>
        <v>0</v>
      </c>
      <c r="U622" s="50">
        <f>IFERROR(_xlfn.XLOOKUP(Table43[[#This Row],[Column1]],#REF!,#REF!),0)</f>
        <v>0</v>
      </c>
      <c r="V622" s="39"/>
    </row>
    <row r="623" spans="1:22" x14ac:dyDescent="0.35">
      <c r="A623" s="2" t="s">
        <v>5411</v>
      </c>
      <c r="B623" s="3" t="s">
        <v>1879</v>
      </c>
      <c r="C623" s="3" t="s">
        <v>15</v>
      </c>
      <c r="D623" s="3">
        <v>22.347000000000001</v>
      </c>
      <c r="E623" s="3" t="s">
        <v>10</v>
      </c>
      <c r="F623" s="2">
        <v>1</v>
      </c>
      <c r="G623" s="2">
        <v>2</v>
      </c>
      <c r="H623" s="3">
        <v>6</v>
      </c>
      <c r="I623" s="21">
        <f>Table43[[#This Row],[Item Cost]]*Table43[[#This Row],[In Stock]]</f>
        <v>134.08199999999999</v>
      </c>
      <c r="J623" s="12" t="s">
        <v>4941</v>
      </c>
      <c r="K623" s="13" t="s">
        <v>4666</v>
      </c>
      <c r="L623" s="13" t="s">
        <v>4674</v>
      </c>
      <c r="M623" s="13" t="s">
        <v>4837</v>
      </c>
      <c r="N623" s="12" t="s">
        <v>4672</v>
      </c>
      <c r="O623" s="17" t="str">
        <f>IF(LEN(COUNTIFS($J$1:J623,$J623,$K$1:K623,$K623,$L$1:L623,$L623,$M$1:M623,M623,$N$1:N623,N623))=1,"00"&amp;COUNTIFS($J$1:J623,$J623,$K$1:K623,$K623,$L$1:L623,$L623,$M$1:M623,M623,$N$1:N623,N623),IF(LEN(COUNTIFS($J$1:J623,$J623,$K$1:K623,$K623,$L$1:L623,$L623,$M$1:M623,M623,$N$1:N623,N623))=2,"0"&amp;COUNTIFS($J$1:J623,$J623,$K$1:K623,$K623,$L$1:L623,$L623,$M$1:M623,M623,$N$1:N623,N623),COUNTIFS($J$1:J623,$J623,$K$1:K623,$K623,$L$1:L623,$L623,$M$1:M623,M623,$N$1:N623,N623)))</f>
        <v>007</v>
      </c>
      <c r="P62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MS-NS-002-26-00007-INV</v>
      </c>
      <c r="Q623" s="59" t="s">
        <v>7368</v>
      </c>
      <c r="R623" s="34"/>
      <c r="S623" s="34">
        <v>0</v>
      </c>
      <c r="T623" s="34">
        <f>+IFERROR(_xlfn.XLOOKUP(Table43[[#This Row],[Column1]],#REF!,#REF!),0)</f>
        <v>0</v>
      </c>
      <c r="U623" s="50">
        <f>IFERROR(_xlfn.XLOOKUP(Table43[[#This Row],[Column1]],#REF!,#REF!),0)</f>
        <v>0</v>
      </c>
      <c r="V623" s="39"/>
    </row>
    <row r="624" spans="1:22" x14ac:dyDescent="0.35">
      <c r="A624" s="2" t="s">
        <v>5412</v>
      </c>
      <c r="B624" s="2" t="s">
        <v>1881</v>
      </c>
      <c r="C624" s="2" t="s">
        <v>15</v>
      </c>
      <c r="D624" s="2">
        <v>0</v>
      </c>
      <c r="E624" s="2" t="s">
        <v>10</v>
      </c>
      <c r="F624" s="2">
        <v>1</v>
      </c>
      <c r="G624" s="2">
        <v>2</v>
      </c>
      <c r="H624" s="2">
        <v>0</v>
      </c>
      <c r="I624" s="22">
        <f>Table43[[#This Row],[Item Cost]]*Table43[[#This Row],[In Stock]]</f>
        <v>0</v>
      </c>
      <c r="J624" s="12" t="s">
        <v>4941</v>
      </c>
      <c r="K624" s="13" t="s">
        <v>4666</v>
      </c>
      <c r="L624" s="13" t="s">
        <v>4674</v>
      </c>
      <c r="M624" s="13" t="s">
        <v>4828</v>
      </c>
      <c r="N624" s="12" t="s">
        <v>4672</v>
      </c>
      <c r="O624" s="17" t="str">
        <f>IF(LEN(COUNTIFS($J$1:J624,$J624,$K$1:K624,$K624,$L$1:L624,$L624,$M$1:M624,M624,$N$1:N624,N624))=1,"00"&amp;COUNTIFS($J$1:J624,$J624,$K$1:K624,$K624,$L$1:L624,$L624,$M$1:M624,M624,$N$1:N624,N624),IF(LEN(COUNTIFS($J$1:J624,$J624,$K$1:K624,$K624,$L$1:L624,$L624,$M$1:M624,M624,$N$1:N624,N624))=2,"0"&amp;COUNTIFS($J$1:J624,$J624,$K$1:K624,$K624,$L$1:L624,$L624,$M$1:M624,M624,$N$1:N624,N624),COUNTIFS($J$1:J624,$J624,$K$1:K624,$K624,$L$1:L624,$L624,$M$1:M624,M624,$N$1:N624,N624)))</f>
        <v>005</v>
      </c>
      <c r="P62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MS-NS-002-13-00005-INV</v>
      </c>
      <c r="Q624" s="59" t="s">
        <v>7369</v>
      </c>
      <c r="R624" s="34" t="s">
        <v>6402</v>
      </c>
      <c r="S624" s="34" t="s">
        <v>1881</v>
      </c>
      <c r="T624" s="34">
        <f>+IFERROR(_xlfn.XLOOKUP(Table43[[#This Row],[Column1]],#REF!,#REF!),0)</f>
        <v>0</v>
      </c>
      <c r="U624" s="50">
        <f>IFERROR(_xlfn.XLOOKUP(Table43[[#This Row],[Column1]],#REF!,#REF!),0)</f>
        <v>0</v>
      </c>
      <c r="V624" s="39"/>
    </row>
    <row r="625" spans="1:22" x14ac:dyDescent="0.35">
      <c r="A625" s="3" t="s">
        <v>5413</v>
      </c>
      <c r="B625" s="3" t="s">
        <v>1883</v>
      </c>
      <c r="C625" s="3" t="s">
        <v>15</v>
      </c>
      <c r="D625" s="3">
        <v>175</v>
      </c>
      <c r="E625" s="3" t="s">
        <v>10</v>
      </c>
      <c r="F625" s="2">
        <v>1</v>
      </c>
      <c r="G625" s="2">
        <v>2</v>
      </c>
      <c r="H625" s="3">
        <v>23</v>
      </c>
      <c r="I625" s="21">
        <f>Table43[[#This Row],[Item Cost]]*Table43[[#This Row],[In Stock]]</f>
        <v>4025</v>
      </c>
      <c r="J625" s="12" t="s">
        <v>4941</v>
      </c>
      <c r="K625" s="13" t="s">
        <v>4666</v>
      </c>
      <c r="L625" s="13" t="s">
        <v>4674</v>
      </c>
      <c r="M625" s="13" t="s">
        <v>4837</v>
      </c>
      <c r="N625" s="12" t="s">
        <v>4672</v>
      </c>
      <c r="O625" s="17" t="str">
        <f>IF(LEN(COUNTIFS($J$1:J625,$J625,$K$1:K625,$K625,$L$1:L625,$L625,$M$1:M625,M625,$N$1:N625,N625))=1,"00"&amp;COUNTIFS($J$1:J625,$J625,$K$1:K625,$K625,$L$1:L625,$L625,$M$1:M625,M625,$N$1:N625,N625),IF(LEN(COUNTIFS($J$1:J625,$J625,$K$1:K625,$K625,$L$1:L625,$L625,$M$1:M625,M625,$N$1:N625,N625))=2,"0"&amp;COUNTIFS($J$1:J625,$J625,$K$1:K625,$K625,$L$1:L625,$L625,$M$1:M625,M625,$N$1:N625,N625),COUNTIFS($J$1:J625,$J625,$K$1:K625,$K625,$L$1:L625,$L625,$M$1:M625,M625,$N$1:N625,N625)))</f>
        <v>008</v>
      </c>
      <c r="P62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MS-NS-002-26-00008-INV</v>
      </c>
      <c r="Q625" s="59"/>
      <c r="R625" s="34" t="s">
        <v>6403</v>
      </c>
      <c r="S625" s="34" t="s">
        <v>1883</v>
      </c>
      <c r="T625" s="34">
        <f>+IFERROR(_xlfn.XLOOKUP(Table43[[#This Row],[Column1]],#REF!,#REF!),0)</f>
        <v>0</v>
      </c>
      <c r="U625" s="50">
        <f>IFERROR(_xlfn.XLOOKUP(Table43[[#This Row],[Column1]],#REF!,#REF!),0)</f>
        <v>0</v>
      </c>
      <c r="V625" s="39"/>
    </row>
    <row r="626" spans="1:22" x14ac:dyDescent="0.35">
      <c r="A626" s="2" t="s">
        <v>5414</v>
      </c>
      <c r="B626" s="2" t="s">
        <v>1885</v>
      </c>
      <c r="C626" s="2" t="s">
        <v>15</v>
      </c>
      <c r="D626" s="2">
        <v>0</v>
      </c>
      <c r="E626" s="2" t="s">
        <v>10</v>
      </c>
      <c r="F626" s="2">
        <v>1</v>
      </c>
      <c r="G626" s="2">
        <v>2</v>
      </c>
      <c r="H626" s="2">
        <v>0</v>
      </c>
      <c r="I626" s="22">
        <f>Table43[[#This Row],[Item Cost]]*Table43[[#This Row],[In Stock]]</f>
        <v>0</v>
      </c>
      <c r="J626" s="12" t="s">
        <v>4941</v>
      </c>
      <c r="K626" s="13" t="s">
        <v>4666</v>
      </c>
      <c r="L626" s="13" t="s">
        <v>4674</v>
      </c>
      <c r="M626" s="13" t="s">
        <v>4828</v>
      </c>
      <c r="N626" s="12" t="s">
        <v>4672</v>
      </c>
      <c r="O626" s="17" t="str">
        <f>IF(LEN(COUNTIFS($J$1:J626,$J626,$K$1:K626,$K626,$L$1:L626,$L626,$M$1:M626,M626,$N$1:N626,N626))=1,"00"&amp;COUNTIFS($J$1:J626,$J626,$K$1:K626,$K626,$L$1:L626,$L626,$M$1:M626,M626,$N$1:N626,N626),IF(LEN(COUNTIFS($J$1:J626,$J626,$K$1:K626,$K626,$L$1:L626,$L626,$M$1:M626,M626,$N$1:N626,N626))=2,"0"&amp;COUNTIFS($J$1:J626,$J626,$K$1:K626,$K626,$L$1:L626,$L626,$M$1:M626,M626,$N$1:N626,N626),COUNTIFS($J$1:J626,$J626,$K$1:K626,$K626,$L$1:L626,$L626,$M$1:M626,M626,$N$1:N626,N626)))</f>
        <v>006</v>
      </c>
      <c r="P62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MS-NS-002-13-00006-INV</v>
      </c>
      <c r="Q626" s="59"/>
      <c r="R626" s="34" t="s">
        <v>6404</v>
      </c>
      <c r="S626" s="34" t="s">
        <v>1885</v>
      </c>
      <c r="T626" s="34">
        <f>+IFERROR(_xlfn.XLOOKUP(Table43[[#This Row],[Column1]],#REF!,#REF!),0)</f>
        <v>0</v>
      </c>
      <c r="U626" s="50">
        <f>IFERROR(_xlfn.XLOOKUP(Table43[[#This Row],[Column1]],#REF!,#REF!),0)</f>
        <v>0</v>
      </c>
      <c r="V626" s="39"/>
    </row>
    <row r="627" spans="1:22" x14ac:dyDescent="0.35">
      <c r="A627" s="2" t="s">
        <v>5415</v>
      </c>
      <c r="B627" s="3" t="s">
        <v>1887</v>
      </c>
      <c r="C627" s="3" t="s">
        <v>15</v>
      </c>
      <c r="D627" s="3">
        <v>0</v>
      </c>
      <c r="E627" s="3" t="s">
        <v>10</v>
      </c>
      <c r="F627" s="2">
        <v>1</v>
      </c>
      <c r="G627" s="2">
        <v>2</v>
      </c>
      <c r="H627" s="3">
        <v>0</v>
      </c>
      <c r="I627" s="21">
        <f>Table43[[#This Row],[Item Cost]]*Table43[[#This Row],[In Stock]]</f>
        <v>0</v>
      </c>
      <c r="J627" s="12" t="s">
        <v>4941</v>
      </c>
      <c r="K627" s="13" t="s">
        <v>4666</v>
      </c>
      <c r="L627" s="13" t="s">
        <v>4674</v>
      </c>
      <c r="M627" s="13" t="s">
        <v>4828</v>
      </c>
      <c r="N627" s="12" t="s">
        <v>4672</v>
      </c>
      <c r="O627" s="17" t="str">
        <f>IF(LEN(COUNTIFS($J$1:J627,$J627,$K$1:K627,$K627,$L$1:L627,$L627,$M$1:M627,M627,$N$1:N627,N627))=1,"00"&amp;COUNTIFS($J$1:J627,$J627,$K$1:K627,$K627,$L$1:L627,$L627,$M$1:M627,M627,$N$1:N627,N627),IF(LEN(COUNTIFS($J$1:J627,$J627,$K$1:K627,$K627,$L$1:L627,$L627,$M$1:M627,M627,$N$1:N627,N627))=2,"0"&amp;COUNTIFS($J$1:J627,$J627,$K$1:K627,$K627,$L$1:L627,$L627,$M$1:M627,M627,$N$1:N627,N627),COUNTIFS($J$1:J627,$J627,$K$1:K627,$K627,$L$1:L627,$L627,$M$1:M627,M627,$N$1:N627,N627)))</f>
        <v>007</v>
      </c>
      <c r="P62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MS-NS-002-13-00007-INV</v>
      </c>
      <c r="Q627" s="59"/>
      <c r="R627" s="34" t="s">
        <v>6405</v>
      </c>
      <c r="S627" s="34" t="s">
        <v>1887</v>
      </c>
      <c r="T627" s="34">
        <f>+IFERROR(_xlfn.XLOOKUP(Table43[[#This Row],[Column1]],#REF!,#REF!),0)</f>
        <v>0</v>
      </c>
      <c r="U627" s="50">
        <f>IFERROR(_xlfn.XLOOKUP(Table43[[#This Row],[Column1]],#REF!,#REF!),0)</f>
        <v>0</v>
      </c>
      <c r="V627" s="39"/>
    </row>
    <row r="628" spans="1:22" x14ac:dyDescent="0.35">
      <c r="A628" s="3" t="s">
        <v>5416</v>
      </c>
      <c r="B628" s="2" t="s">
        <v>1889</v>
      </c>
      <c r="C628" s="2" t="s">
        <v>15</v>
      </c>
      <c r="D628" s="2">
        <v>113</v>
      </c>
      <c r="E628" s="2" t="s">
        <v>10</v>
      </c>
      <c r="F628" s="2">
        <v>1</v>
      </c>
      <c r="G628" s="2">
        <v>2</v>
      </c>
      <c r="H628" s="2">
        <v>1</v>
      </c>
      <c r="I628" s="22">
        <f>Table43[[#This Row],[Item Cost]]*Table43[[#This Row],[In Stock]]</f>
        <v>113</v>
      </c>
      <c r="J628" s="12" t="s">
        <v>4941</v>
      </c>
      <c r="K628" s="13" t="s">
        <v>4666</v>
      </c>
      <c r="L628" s="13" t="s">
        <v>4674</v>
      </c>
      <c r="M628" s="13" t="s">
        <v>4828</v>
      </c>
      <c r="N628" s="12" t="s">
        <v>4672</v>
      </c>
      <c r="O628" s="17" t="str">
        <f>IF(LEN(COUNTIFS($J$1:J628,$J628,$K$1:K628,$K628,$L$1:L628,$L628,$M$1:M628,M628,$N$1:N628,N628))=1,"00"&amp;COUNTIFS($J$1:J628,$J628,$K$1:K628,$K628,$L$1:L628,$L628,$M$1:M628,M628,$N$1:N628,N628),IF(LEN(COUNTIFS($J$1:J628,$J628,$K$1:K628,$K628,$L$1:L628,$L628,$M$1:M628,M628,$N$1:N628,N628))=2,"0"&amp;COUNTIFS($J$1:J628,$J628,$K$1:K628,$K628,$L$1:L628,$L628,$M$1:M628,M628,$N$1:N628,N628),COUNTIFS($J$1:J628,$J628,$K$1:K628,$K628,$L$1:L628,$L628,$M$1:M628,M628,$N$1:N628,N628)))</f>
        <v>008</v>
      </c>
      <c r="P62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MS-NS-002-13-00008-INV</v>
      </c>
      <c r="Q628" s="59" t="s">
        <v>7352</v>
      </c>
      <c r="R628" s="34" t="s">
        <v>6406</v>
      </c>
      <c r="S628" s="34" t="s">
        <v>1889</v>
      </c>
      <c r="T628" s="34">
        <f>+IFERROR(_xlfn.XLOOKUP(Table43[[#This Row],[Column1]],#REF!,#REF!),0)</f>
        <v>0</v>
      </c>
      <c r="U628" s="50">
        <f>IFERROR(_xlfn.XLOOKUP(Table43[[#This Row],[Column1]],#REF!,#REF!),0)</f>
        <v>0</v>
      </c>
      <c r="V628" s="39"/>
    </row>
    <row r="629" spans="1:22" x14ac:dyDescent="0.35">
      <c r="A629" s="2" t="s">
        <v>5417</v>
      </c>
      <c r="B629" s="3" t="s">
        <v>1891</v>
      </c>
      <c r="C629" s="3" t="s">
        <v>15</v>
      </c>
      <c r="D629" s="3">
        <v>0</v>
      </c>
      <c r="E629" s="3" t="s">
        <v>10</v>
      </c>
      <c r="F629" s="2">
        <v>1</v>
      </c>
      <c r="G629" s="2">
        <v>2</v>
      </c>
      <c r="H629" s="3">
        <v>0</v>
      </c>
      <c r="I629" s="21">
        <f>Table43[[#This Row],[Item Cost]]*Table43[[#This Row],[In Stock]]</f>
        <v>0</v>
      </c>
      <c r="J629" s="12" t="s">
        <v>4941</v>
      </c>
      <c r="K629" s="13" t="s">
        <v>4666</v>
      </c>
      <c r="L629" s="13" t="s">
        <v>4674</v>
      </c>
      <c r="M629" s="13" t="s">
        <v>4828</v>
      </c>
      <c r="N629" s="12" t="s">
        <v>4672</v>
      </c>
      <c r="O629" s="17" t="str">
        <f>IF(LEN(COUNTIFS($J$1:J629,$J629,$K$1:K629,$K629,$L$1:L629,$L629,$M$1:M629,M629,$N$1:N629,N629))=1,"00"&amp;COUNTIFS($J$1:J629,$J629,$K$1:K629,$K629,$L$1:L629,$L629,$M$1:M629,M629,$N$1:N629,N629),IF(LEN(COUNTIFS($J$1:J629,$J629,$K$1:K629,$K629,$L$1:L629,$L629,$M$1:M629,M629,$N$1:N629,N629))=2,"0"&amp;COUNTIFS($J$1:J629,$J629,$K$1:K629,$K629,$L$1:L629,$L629,$M$1:M629,M629,$N$1:N629,N629),COUNTIFS($J$1:J629,$J629,$K$1:K629,$K629,$L$1:L629,$L629,$M$1:M629,M629,$N$1:N629,N629)))</f>
        <v>009</v>
      </c>
      <c r="P62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MS-NS-002-13-00009-INV</v>
      </c>
      <c r="Q629" s="59" t="s">
        <v>7352</v>
      </c>
      <c r="R629" s="34" t="s">
        <v>6407</v>
      </c>
      <c r="S629" s="34" t="s">
        <v>1891</v>
      </c>
      <c r="T629" s="34">
        <f>+IFERROR(_xlfn.XLOOKUP(Table43[[#This Row],[Column1]],#REF!,#REF!),0)</f>
        <v>0</v>
      </c>
      <c r="U629" s="50">
        <f>IFERROR(_xlfn.XLOOKUP(Table43[[#This Row],[Column1]],#REF!,#REF!),0)</f>
        <v>0</v>
      </c>
      <c r="V629" s="39"/>
    </row>
    <row r="630" spans="1:22" x14ac:dyDescent="0.35">
      <c r="A630" s="2" t="s">
        <v>5418</v>
      </c>
      <c r="B630" s="2" t="s">
        <v>1893</v>
      </c>
      <c r="C630" s="2" t="s">
        <v>15</v>
      </c>
      <c r="D630" s="4">
        <v>3500</v>
      </c>
      <c r="E630" s="2" t="s">
        <v>10</v>
      </c>
      <c r="F630" s="2">
        <v>1</v>
      </c>
      <c r="G630" s="2">
        <v>2</v>
      </c>
      <c r="H630" s="2">
        <v>1</v>
      </c>
      <c r="I630" s="22">
        <f>Table43[[#This Row],[Item Cost]]*Table43[[#This Row],[In Stock]]</f>
        <v>3500</v>
      </c>
      <c r="J630" s="12" t="s">
        <v>4941</v>
      </c>
      <c r="K630" s="13" t="s">
        <v>4666</v>
      </c>
      <c r="L630" s="13" t="s">
        <v>4674</v>
      </c>
      <c r="M630" s="13" t="s">
        <v>4837</v>
      </c>
      <c r="N630" s="12" t="s">
        <v>4672</v>
      </c>
      <c r="O630" s="17" t="str">
        <f>IF(LEN(COUNTIFS($J$1:J630,$J630,$K$1:K630,$K630,$L$1:L630,$L630,$M$1:M630,M630,$N$1:N630,N630))=1,"00"&amp;COUNTIFS($J$1:J630,$J630,$K$1:K630,$K630,$L$1:L630,$L630,$M$1:M630,M630,$N$1:N630,N630),IF(LEN(COUNTIFS($J$1:J630,$J630,$K$1:K630,$K630,$L$1:L630,$L630,$M$1:M630,M630,$N$1:N630,N630))=2,"0"&amp;COUNTIFS($J$1:J630,$J630,$K$1:K630,$K630,$L$1:L630,$L630,$M$1:M630,M630,$N$1:N630,N630),COUNTIFS($J$1:J630,$J630,$K$1:K630,$K630,$L$1:L630,$L630,$M$1:M630,M630,$N$1:N630,N630)))</f>
        <v>009</v>
      </c>
      <c r="P63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MS-NS-002-26-00009-INV</v>
      </c>
      <c r="Q630" s="59"/>
      <c r="R630" s="34" t="s">
        <v>6408</v>
      </c>
      <c r="S630" s="34" t="s">
        <v>1893</v>
      </c>
      <c r="T630" s="34">
        <f>+IFERROR(_xlfn.XLOOKUP(Table43[[#This Row],[Column1]],#REF!,#REF!),0)</f>
        <v>0</v>
      </c>
      <c r="U630" s="50">
        <f>IFERROR(_xlfn.XLOOKUP(Table43[[#This Row],[Column1]],#REF!,#REF!),0)</f>
        <v>0</v>
      </c>
      <c r="V630" s="39"/>
    </row>
    <row r="631" spans="1:22" x14ac:dyDescent="0.35">
      <c r="A631" s="3" t="s">
        <v>5419</v>
      </c>
      <c r="B631" s="3" t="s">
        <v>1895</v>
      </c>
      <c r="C631" s="3" t="s">
        <v>15</v>
      </c>
      <c r="D631" s="5">
        <v>1400</v>
      </c>
      <c r="E631" s="3" t="s">
        <v>10</v>
      </c>
      <c r="F631" s="2">
        <v>1</v>
      </c>
      <c r="G631" s="2">
        <v>2</v>
      </c>
      <c r="H631" s="3">
        <v>0</v>
      </c>
      <c r="I631" s="21">
        <f>Table43[[#This Row],[Item Cost]]*Table43[[#This Row],[In Stock]]</f>
        <v>0</v>
      </c>
      <c r="J631" s="12" t="s">
        <v>4941</v>
      </c>
      <c r="K631" s="13" t="s">
        <v>4666</v>
      </c>
      <c r="L631" s="13" t="s">
        <v>4674</v>
      </c>
      <c r="M631" s="13" t="s">
        <v>3950</v>
      </c>
      <c r="N631" s="12" t="s">
        <v>4672</v>
      </c>
      <c r="O631" s="17" t="str">
        <f>IF(LEN(COUNTIFS($J$1:J631,$J631,$K$1:K631,$K631,$L$1:L631,$L631,$M$1:M631,M631,$N$1:N631,N631))=1,"00"&amp;COUNTIFS($J$1:J631,$J631,$K$1:K631,$K631,$L$1:L631,$L631,$M$1:M631,M631,$N$1:N631,N631),IF(LEN(COUNTIFS($J$1:J631,$J631,$K$1:K631,$K631,$L$1:L631,$L631,$M$1:M631,M631,$N$1:N631,N631))=2,"0"&amp;COUNTIFS($J$1:J631,$J631,$K$1:K631,$K631,$L$1:L631,$L631,$M$1:M631,M631,$N$1:N631,N631),COUNTIFS($J$1:J631,$J631,$K$1:K631,$K631,$L$1:L631,$L631,$M$1:M631,M631,$N$1:N631,N631)))</f>
        <v>008</v>
      </c>
      <c r="P63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MS-NS-002-22-00008-INV</v>
      </c>
      <c r="Q631" s="59"/>
      <c r="R631" s="34" t="s">
        <v>6409</v>
      </c>
      <c r="S631" s="34" t="s">
        <v>1895</v>
      </c>
      <c r="T631" s="34">
        <f>+IFERROR(_xlfn.XLOOKUP(Table43[[#This Row],[Column1]],#REF!,#REF!),0)</f>
        <v>0</v>
      </c>
      <c r="U631" s="50">
        <f>IFERROR(_xlfn.XLOOKUP(Table43[[#This Row],[Column1]],#REF!,#REF!),0)</f>
        <v>0</v>
      </c>
      <c r="V631" s="39"/>
    </row>
    <row r="632" spans="1:22" x14ac:dyDescent="0.35">
      <c r="A632" s="2" t="s">
        <v>5420</v>
      </c>
      <c r="B632" s="3" t="s">
        <v>1897</v>
      </c>
      <c r="C632" s="3" t="s">
        <v>9</v>
      </c>
      <c r="D632" s="5">
        <v>3875</v>
      </c>
      <c r="E632" s="3" t="s">
        <v>10</v>
      </c>
      <c r="F632" s="2">
        <v>1</v>
      </c>
      <c r="G632" s="3">
        <v>2</v>
      </c>
      <c r="H632" s="3">
        <v>1</v>
      </c>
      <c r="I632" s="21">
        <f>Table43[[#This Row],[Item Cost]]*Table43[[#This Row],[In Stock]]</f>
        <v>3875</v>
      </c>
      <c r="J632" s="12" t="s">
        <v>4941</v>
      </c>
      <c r="K632" s="13" t="s">
        <v>4664</v>
      </c>
      <c r="L632" s="13" t="s">
        <v>4674</v>
      </c>
      <c r="M632" s="13" t="s">
        <v>4693</v>
      </c>
      <c r="N632" s="12" t="s">
        <v>4672</v>
      </c>
      <c r="O632" s="17" t="str">
        <f>IF(LEN(COUNTIFS($J$1:J632,$J632,$K$1:K632,$K632,$L$1:L632,$L632,$M$1:M632,M632,$N$1:N632,N632))=1,"00"&amp;COUNTIFS($J$1:J632,$J632,$K$1:K632,$K632,$L$1:L632,$L632,$M$1:M632,M632,$N$1:N632,N632),IF(LEN(COUNTIFS($J$1:J632,$J632,$K$1:K632,$K632,$L$1:L632,$L632,$M$1:M632,M632,$N$1:N632,N632))=2,"0"&amp;COUNTIFS($J$1:J632,$J632,$K$1:K632,$K632,$L$1:L632,$L632,$M$1:M632,M632,$N$1:N632,N632),COUNTIFS($J$1:J632,$J632,$K$1:K632,$K632,$L$1:L632,$L632,$M$1:M632,M632,$N$1:N632,N632)))</f>
        <v>015</v>
      </c>
      <c r="P63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MS-CS-002-23-00015-INV</v>
      </c>
      <c r="Q632" s="59"/>
      <c r="R632" s="34" t="s">
        <v>6410</v>
      </c>
      <c r="S632" s="34" t="s">
        <v>1897</v>
      </c>
      <c r="T632" s="34">
        <f>+IFERROR(_xlfn.XLOOKUP(Table43[[#This Row],[Column1]],#REF!,#REF!),0)</f>
        <v>0</v>
      </c>
      <c r="U632" s="50">
        <f>IFERROR(_xlfn.XLOOKUP(Table43[[#This Row],[Column1]],#REF!,#REF!),0)</f>
        <v>0</v>
      </c>
      <c r="V632" s="39"/>
    </row>
    <row r="633" spans="1:22" x14ac:dyDescent="0.35">
      <c r="A633" s="2" t="s">
        <v>5421</v>
      </c>
      <c r="B633" s="2" t="s">
        <v>1899</v>
      </c>
      <c r="C633" s="2" t="s">
        <v>15</v>
      </c>
      <c r="D633" s="2">
        <v>0</v>
      </c>
      <c r="E633" s="2" t="s">
        <v>10</v>
      </c>
      <c r="F633" s="2">
        <v>1</v>
      </c>
      <c r="G633" s="2">
        <v>2</v>
      </c>
      <c r="H633" s="2">
        <v>0</v>
      </c>
      <c r="I633" s="22">
        <f>Table43[[#This Row],[Item Cost]]*Table43[[#This Row],[In Stock]]</f>
        <v>0</v>
      </c>
      <c r="J633" s="12" t="s">
        <v>4941</v>
      </c>
      <c r="K633" s="13" t="s">
        <v>4666</v>
      </c>
      <c r="L633" s="13" t="s">
        <v>4674</v>
      </c>
      <c r="M633" s="13" t="s">
        <v>4837</v>
      </c>
      <c r="N633" s="12" t="s">
        <v>4672</v>
      </c>
      <c r="O633" s="17" t="str">
        <f>IF(LEN(COUNTIFS($J$1:J633,$J633,$K$1:K633,$K633,$L$1:L633,$L633,$M$1:M633,M633,$N$1:N633,N633))=1,"00"&amp;COUNTIFS($J$1:J633,$J633,$K$1:K633,$K633,$L$1:L633,$L633,$M$1:M633,M633,$N$1:N633,N633),IF(LEN(COUNTIFS($J$1:J633,$J633,$K$1:K633,$K633,$L$1:L633,$L633,$M$1:M633,M633,$N$1:N633,N633))=2,"0"&amp;COUNTIFS($J$1:J633,$J633,$K$1:K633,$K633,$L$1:L633,$L633,$M$1:M633,M633,$N$1:N633,N633),COUNTIFS($J$1:J633,$J633,$K$1:K633,$K633,$L$1:L633,$L633,$M$1:M633,M633,$N$1:N633,N633)))</f>
        <v>010</v>
      </c>
      <c r="P63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MS-NS-002-26-00010-INV</v>
      </c>
      <c r="Q633" s="59"/>
      <c r="R633" s="34" t="s">
        <v>6411</v>
      </c>
      <c r="S633" s="34" t="s">
        <v>1899</v>
      </c>
      <c r="T633" s="34">
        <f>+IFERROR(_xlfn.XLOOKUP(Table43[[#This Row],[Column1]],#REF!,#REF!),0)</f>
        <v>0</v>
      </c>
      <c r="U633" s="50">
        <f>IFERROR(_xlfn.XLOOKUP(Table43[[#This Row],[Column1]],#REF!,#REF!),0)</f>
        <v>0</v>
      </c>
      <c r="V633" s="39"/>
    </row>
    <row r="634" spans="1:22" x14ac:dyDescent="0.35">
      <c r="A634" s="3" t="s">
        <v>5422</v>
      </c>
      <c r="B634" s="2" t="s">
        <v>1903</v>
      </c>
      <c r="C634" s="2" t="s">
        <v>15</v>
      </c>
      <c r="D634" s="2">
        <v>720</v>
      </c>
      <c r="E634" s="2" t="s">
        <v>10</v>
      </c>
      <c r="F634" s="2">
        <v>1</v>
      </c>
      <c r="G634" s="2">
        <v>2</v>
      </c>
      <c r="H634" s="2">
        <v>2</v>
      </c>
      <c r="I634" s="22">
        <f>Table43[[#This Row],[Item Cost]]*Table43[[#This Row],[In Stock]]</f>
        <v>1440</v>
      </c>
      <c r="J634" s="12" t="s">
        <v>4941</v>
      </c>
      <c r="K634" s="13" t="s">
        <v>4666</v>
      </c>
      <c r="L634" s="13" t="s">
        <v>4674</v>
      </c>
      <c r="M634" s="13" t="s">
        <v>3950</v>
      </c>
      <c r="N634" s="12" t="s">
        <v>4672</v>
      </c>
      <c r="O634" s="17" t="str">
        <f>IF(LEN(COUNTIFS($J$1:J634,$J634,$K$1:K634,$K634,$L$1:L634,$L634,$M$1:M634,M634,$N$1:N634,N634))=1,"00"&amp;COUNTIFS($J$1:J634,$J634,$K$1:K634,$K634,$L$1:L634,$L634,$M$1:M634,M634,$N$1:N634,N634),IF(LEN(COUNTIFS($J$1:J634,$J634,$K$1:K634,$K634,$L$1:L634,$L634,$M$1:M634,M634,$N$1:N634,N634))=2,"0"&amp;COUNTIFS($J$1:J634,$J634,$K$1:K634,$K634,$L$1:L634,$L634,$M$1:M634,M634,$N$1:N634,N634),COUNTIFS($J$1:J634,$J634,$K$1:K634,$K634,$L$1:L634,$L634,$M$1:M634,M634,$N$1:N634,N634)))</f>
        <v>009</v>
      </c>
      <c r="P63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MS-NS-002-22-00009-INV</v>
      </c>
      <c r="Q634" s="59" t="s">
        <v>7366</v>
      </c>
      <c r="R634" s="34" t="s">
        <v>6412</v>
      </c>
      <c r="S634" s="34" t="s">
        <v>1903</v>
      </c>
      <c r="T634" s="34">
        <f>+IFERROR(_xlfn.XLOOKUP(Table43[[#This Row],[Column1]],#REF!,#REF!),0)</f>
        <v>0</v>
      </c>
      <c r="U634" s="50">
        <f>IFERROR(_xlfn.XLOOKUP(Table43[[#This Row],[Column1]],#REF!,#REF!),0)</f>
        <v>0</v>
      </c>
      <c r="V634" s="39"/>
    </row>
    <row r="635" spans="1:22" x14ac:dyDescent="0.35">
      <c r="A635" s="2" t="s">
        <v>5423</v>
      </c>
      <c r="B635" s="3" t="s">
        <v>1905</v>
      </c>
      <c r="C635" s="3" t="s">
        <v>15</v>
      </c>
      <c r="D635" s="5">
        <v>1825</v>
      </c>
      <c r="E635" s="3" t="s">
        <v>10</v>
      </c>
      <c r="F635" s="2">
        <v>1</v>
      </c>
      <c r="G635" s="2">
        <v>2</v>
      </c>
      <c r="H635" s="3">
        <v>0</v>
      </c>
      <c r="I635" s="21">
        <f>Table43[[#This Row],[Item Cost]]*Table43[[#This Row],[In Stock]]</f>
        <v>0</v>
      </c>
      <c r="J635" s="12" t="s">
        <v>4941</v>
      </c>
      <c r="K635" s="13" t="s">
        <v>4666</v>
      </c>
      <c r="L635" s="13" t="s">
        <v>4674</v>
      </c>
      <c r="M635" s="13" t="s">
        <v>4859</v>
      </c>
      <c r="N635" s="12" t="s">
        <v>4672</v>
      </c>
      <c r="O635" s="17" t="str">
        <f>IF(LEN(COUNTIFS($J$1:J635,$J635,$K$1:K635,$K635,$L$1:L635,$L635,$M$1:M635,M635,$N$1:N635,N635))=1,"00"&amp;COUNTIFS($J$1:J635,$J635,$K$1:K635,$K635,$L$1:L635,$L635,$M$1:M635,M635,$N$1:N635,N635),IF(LEN(COUNTIFS($J$1:J635,$J635,$K$1:K635,$K635,$L$1:L635,$L635,$M$1:M635,M635,$N$1:N635,N635))=2,"0"&amp;COUNTIFS($J$1:J635,$J635,$K$1:K635,$K635,$L$1:L635,$L635,$M$1:M635,M635,$N$1:N635,N635),COUNTIFS($J$1:J635,$J635,$K$1:K635,$K635,$L$1:L635,$L635,$M$1:M635,M635,$N$1:N635,N635)))</f>
        <v>002</v>
      </c>
      <c r="P63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MS-NS-002-30-00002-INV</v>
      </c>
      <c r="Q635" s="59"/>
      <c r="R635" s="34" t="s">
        <v>6413</v>
      </c>
      <c r="S635" s="34" t="s">
        <v>1905</v>
      </c>
      <c r="T635" s="34">
        <f>+IFERROR(_xlfn.XLOOKUP(Table43[[#This Row],[Column1]],#REF!,#REF!),0)</f>
        <v>0</v>
      </c>
      <c r="U635" s="50">
        <f>IFERROR(_xlfn.XLOOKUP(Table43[[#This Row],[Column1]],#REF!,#REF!),0)</f>
        <v>0</v>
      </c>
      <c r="V635" s="39"/>
    </row>
    <row r="636" spans="1:22" x14ac:dyDescent="0.35">
      <c r="A636" s="2" t="s">
        <v>5424</v>
      </c>
      <c r="B636" s="2" t="s">
        <v>1907</v>
      </c>
      <c r="C636" s="2" t="s">
        <v>9</v>
      </c>
      <c r="D636" s="2">
        <v>832</v>
      </c>
      <c r="E636" s="2" t="s">
        <v>10</v>
      </c>
      <c r="F636" s="2">
        <v>1</v>
      </c>
      <c r="G636" s="2">
        <v>2</v>
      </c>
      <c r="H636" s="2">
        <v>2</v>
      </c>
      <c r="I636" s="22">
        <f>Table43[[#This Row],[Item Cost]]*Table43[[#This Row],[In Stock]]</f>
        <v>1664</v>
      </c>
      <c r="J636" s="12" t="s">
        <v>4941</v>
      </c>
      <c r="K636" s="13" t="s">
        <v>4664</v>
      </c>
      <c r="L636" s="13" t="s">
        <v>4674</v>
      </c>
      <c r="M636" s="13" t="s">
        <v>4837</v>
      </c>
      <c r="N636" s="12" t="s">
        <v>4672</v>
      </c>
      <c r="O636" s="17" t="str">
        <f>IF(LEN(COUNTIFS($J$1:J636,$J636,$K$1:K636,$K636,$L$1:L636,$L636,$M$1:M636,M636,$N$1:N636,N636))=1,"00"&amp;COUNTIFS($J$1:J636,$J636,$K$1:K636,$K636,$L$1:L636,$L636,$M$1:M636,M636,$N$1:N636,N636),IF(LEN(COUNTIFS($J$1:J636,$J636,$K$1:K636,$K636,$L$1:L636,$L636,$M$1:M636,M636,$N$1:N636,N636))=2,"0"&amp;COUNTIFS($J$1:J636,$J636,$K$1:K636,$K636,$L$1:L636,$L636,$M$1:M636,M636,$N$1:N636,N636),COUNTIFS($J$1:J636,$J636,$K$1:K636,$K636,$L$1:L636,$L636,$M$1:M636,M636,$N$1:N636,N636)))</f>
        <v>006</v>
      </c>
      <c r="P63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MS-CS-002-26-00006-INV</v>
      </c>
      <c r="Q636" s="59" t="s">
        <v>7349</v>
      </c>
      <c r="R636" s="34"/>
      <c r="S636" s="34">
        <v>0</v>
      </c>
      <c r="T636" s="34">
        <f>+IFERROR(_xlfn.XLOOKUP(Table43[[#This Row],[Column1]],#REF!,#REF!),0)</f>
        <v>0</v>
      </c>
      <c r="U636" s="50">
        <f>IFERROR(_xlfn.XLOOKUP(Table43[[#This Row],[Column1]],#REF!,#REF!),0)</f>
        <v>0</v>
      </c>
      <c r="V636" s="39"/>
    </row>
    <row r="637" spans="1:22" x14ac:dyDescent="0.35">
      <c r="A637" s="3" t="s">
        <v>5425</v>
      </c>
      <c r="B637" s="3" t="s">
        <v>1909</v>
      </c>
      <c r="C637" s="3" t="s">
        <v>9</v>
      </c>
      <c r="D637" s="3">
        <v>453.66</v>
      </c>
      <c r="E637" s="3" t="s">
        <v>10</v>
      </c>
      <c r="F637" s="2">
        <v>1</v>
      </c>
      <c r="G637" s="3">
        <v>2</v>
      </c>
      <c r="H637" s="3">
        <v>1</v>
      </c>
      <c r="I637" s="21">
        <f>Table43[[#This Row],[Item Cost]]*Table43[[#This Row],[In Stock]]</f>
        <v>453.66</v>
      </c>
      <c r="J637" s="12" t="s">
        <v>4941</v>
      </c>
      <c r="K637" s="13" t="s">
        <v>4664</v>
      </c>
      <c r="L637" s="13" t="s">
        <v>4674</v>
      </c>
      <c r="M637" s="13" t="s">
        <v>4770</v>
      </c>
      <c r="N637" s="12" t="s">
        <v>4672</v>
      </c>
      <c r="O637" s="17" t="str">
        <f>IF(LEN(COUNTIFS($J$1:J637,$J637,$K$1:K637,$K637,$L$1:L637,$L637,$M$1:M637,M637,$N$1:N637,N637))=1,"00"&amp;COUNTIFS($J$1:J637,$J637,$K$1:K637,$K637,$L$1:L637,$L637,$M$1:M637,M637,$N$1:N637,N637),IF(LEN(COUNTIFS($J$1:J637,$J637,$K$1:K637,$K637,$L$1:L637,$L637,$M$1:M637,M637,$N$1:N637,N637))=2,"0"&amp;COUNTIFS($J$1:J637,$J637,$K$1:K637,$K637,$L$1:L637,$L637,$M$1:M637,M637,$N$1:N637,N637),COUNTIFS($J$1:J637,$J637,$K$1:K637,$K637,$L$1:L637,$L637,$M$1:M637,M637,$N$1:N637,N637)))</f>
        <v>002</v>
      </c>
      <c r="P63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MS-CS-002-04-00002-INV</v>
      </c>
      <c r="Q637" s="59"/>
      <c r="R637" s="34"/>
      <c r="S637" s="34">
        <v>0</v>
      </c>
      <c r="T637" s="34">
        <f>+IFERROR(_xlfn.XLOOKUP(Table43[[#This Row],[Column1]],#REF!,#REF!),0)</f>
        <v>0</v>
      </c>
      <c r="U637" s="50">
        <f>IFERROR(_xlfn.XLOOKUP(Table43[[#This Row],[Column1]],#REF!,#REF!),0)</f>
        <v>0</v>
      </c>
      <c r="V637" s="39"/>
    </row>
    <row r="638" spans="1:22" x14ac:dyDescent="0.35">
      <c r="A638" s="2" t="s">
        <v>5426</v>
      </c>
      <c r="B638" s="2" t="s">
        <v>1911</v>
      </c>
      <c r="C638" s="2" t="s">
        <v>9</v>
      </c>
      <c r="D638" s="2">
        <v>15</v>
      </c>
      <c r="E638" s="2" t="s">
        <v>10</v>
      </c>
      <c r="F638" s="2">
        <v>1</v>
      </c>
      <c r="G638" s="2">
        <v>10</v>
      </c>
      <c r="H638" s="2">
        <v>16</v>
      </c>
      <c r="I638" s="22">
        <f>Table43[[#This Row],[Item Cost]]*Table43[[#This Row],[In Stock]]</f>
        <v>240</v>
      </c>
      <c r="J638" s="12" t="s">
        <v>4941</v>
      </c>
      <c r="K638" s="13" t="s">
        <v>4664</v>
      </c>
      <c r="L638" s="13" t="s">
        <v>4674</v>
      </c>
      <c r="M638" s="13" t="s">
        <v>4775</v>
      </c>
      <c r="N638" s="12" t="s">
        <v>4672</v>
      </c>
      <c r="O638" s="17" t="str">
        <f>IF(LEN(COUNTIFS($J$1:J638,$J638,$K$1:K638,$K638,$L$1:L638,$L638,$M$1:M638,M638,$N$1:N638,N638))=1,"00"&amp;COUNTIFS($J$1:J638,$J638,$K$1:K638,$K638,$L$1:L638,$L638,$M$1:M638,M638,$N$1:N638,N638),IF(LEN(COUNTIFS($J$1:J638,$J638,$K$1:K638,$K638,$L$1:L638,$L638,$M$1:M638,M638,$N$1:N638,N638))=2,"0"&amp;COUNTIFS($J$1:J638,$J638,$K$1:K638,$K638,$L$1:L638,$L638,$M$1:M638,M638,$N$1:N638,N638),COUNTIFS($J$1:J638,$J638,$K$1:K638,$K638,$L$1:L638,$L638,$M$1:M638,M638,$N$1:N638,N638)))</f>
        <v>003</v>
      </c>
      <c r="P63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MS-CS-002-09-00003-INV</v>
      </c>
      <c r="Q638" s="59"/>
      <c r="R638" s="34" t="s">
        <v>6414</v>
      </c>
      <c r="S638" s="34" t="s">
        <v>1911</v>
      </c>
      <c r="T638" s="34">
        <f>+IFERROR(_xlfn.XLOOKUP(Table43[[#This Row],[Column1]],#REF!,#REF!),0)</f>
        <v>0</v>
      </c>
      <c r="U638" s="50">
        <f>IFERROR(_xlfn.XLOOKUP(Table43[[#This Row],[Column1]],#REF!,#REF!),0)</f>
        <v>0</v>
      </c>
      <c r="V638" s="39"/>
    </row>
    <row r="639" spans="1:22" x14ac:dyDescent="0.35">
      <c r="A639" s="2" t="s">
        <v>5427</v>
      </c>
      <c r="B639" s="3" t="s">
        <v>1913</v>
      </c>
      <c r="C639" s="3" t="s">
        <v>9</v>
      </c>
      <c r="D639" s="3">
        <v>83</v>
      </c>
      <c r="E639" s="3" t="s">
        <v>10</v>
      </c>
      <c r="F639" s="2">
        <v>1</v>
      </c>
      <c r="G639" s="3">
        <v>10</v>
      </c>
      <c r="H639" s="3">
        <v>16</v>
      </c>
      <c r="I639" s="21">
        <f>Table43[[#This Row],[Item Cost]]*Table43[[#This Row],[In Stock]]</f>
        <v>1328</v>
      </c>
      <c r="J639" s="12" t="s">
        <v>4941</v>
      </c>
      <c r="K639" s="13" t="s">
        <v>4664</v>
      </c>
      <c r="L639" s="13" t="s">
        <v>4674</v>
      </c>
      <c r="M639" s="13" t="s">
        <v>4775</v>
      </c>
      <c r="N639" s="12" t="s">
        <v>4672</v>
      </c>
      <c r="O639" s="17" t="str">
        <f>IF(LEN(COUNTIFS($J$1:J639,$J639,$K$1:K639,$K639,$L$1:L639,$L639,$M$1:M639,M639,$N$1:N639,N639))=1,"00"&amp;COUNTIFS($J$1:J639,$J639,$K$1:K639,$K639,$L$1:L639,$L639,$M$1:M639,M639,$N$1:N639,N639),IF(LEN(COUNTIFS($J$1:J639,$J639,$K$1:K639,$K639,$L$1:L639,$L639,$M$1:M639,M639,$N$1:N639,N639))=2,"0"&amp;COUNTIFS($J$1:J639,$J639,$K$1:K639,$K639,$L$1:L639,$L639,$M$1:M639,M639,$N$1:N639,N639),COUNTIFS($J$1:J639,$J639,$K$1:K639,$K639,$L$1:L639,$L639,$M$1:M639,M639,$N$1:N639,N639)))</f>
        <v>004</v>
      </c>
      <c r="P63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MS-CS-002-09-00004-INV</v>
      </c>
      <c r="Q639" s="59"/>
      <c r="R639" s="34" t="s">
        <v>6415</v>
      </c>
      <c r="S639" s="34" t="s">
        <v>1913</v>
      </c>
      <c r="T639" s="34">
        <f>+IFERROR(_xlfn.XLOOKUP(Table43[[#This Row],[Column1]],#REF!,#REF!),0)</f>
        <v>0</v>
      </c>
      <c r="U639" s="50">
        <f>IFERROR(_xlfn.XLOOKUP(Table43[[#This Row],[Column1]],#REF!,#REF!),0)</f>
        <v>0</v>
      </c>
      <c r="V639" s="39"/>
    </row>
    <row r="640" spans="1:22" x14ac:dyDescent="0.35">
      <c r="A640" s="3" t="s">
        <v>5428</v>
      </c>
      <c r="B640" s="2" t="s">
        <v>1915</v>
      </c>
      <c r="C640" s="2" t="s">
        <v>9</v>
      </c>
      <c r="D640" s="4">
        <v>3824.39</v>
      </c>
      <c r="E640" s="2" t="s">
        <v>10</v>
      </c>
      <c r="F640" s="2">
        <v>1</v>
      </c>
      <c r="G640" s="2">
        <v>2</v>
      </c>
      <c r="H640" s="2">
        <v>1</v>
      </c>
      <c r="I640" s="22">
        <f>Table43[[#This Row],[Item Cost]]*Table43[[#This Row],[In Stock]]</f>
        <v>3824.39</v>
      </c>
      <c r="J640" s="12" t="s">
        <v>4941</v>
      </c>
      <c r="K640" s="13" t="s">
        <v>4664</v>
      </c>
      <c r="L640" s="13" t="s">
        <v>4674</v>
      </c>
      <c r="M640" s="13" t="s">
        <v>4837</v>
      </c>
      <c r="N640" s="12" t="s">
        <v>4672</v>
      </c>
      <c r="O640" s="17" t="str">
        <f>IF(LEN(COUNTIFS($J$1:J640,$J640,$K$1:K640,$K640,$L$1:L640,$L640,$M$1:M640,M640,$N$1:N640,N640))=1,"00"&amp;COUNTIFS($J$1:J640,$J640,$K$1:K640,$K640,$L$1:L640,$L640,$M$1:M640,M640,$N$1:N640,N640),IF(LEN(COUNTIFS($J$1:J640,$J640,$K$1:K640,$K640,$L$1:L640,$L640,$M$1:M640,M640,$N$1:N640,N640))=2,"0"&amp;COUNTIFS($J$1:J640,$J640,$K$1:K640,$K640,$L$1:L640,$L640,$M$1:M640,M640,$N$1:N640,N640),COUNTIFS($J$1:J640,$J640,$K$1:K640,$K640,$L$1:L640,$L640,$M$1:M640,M640,$N$1:N640,N640)))</f>
        <v>007</v>
      </c>
      <c r="P64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MS-CS-002-26-00007-INV</v>
      </c>
      <c r="Q640" s="59"/>
      <c r="R640" s="34" t="s">
        <v>6416</v>
      </c>
      <c r="S640" s="34" t="s">
        <v>1915</v>
      </c>
      <c r="T640" s="34">
        <f>+IFERROR(_xlfn.XLOOKUP(Table43[[#This Row],[Column1]],#REF!,#REF!),0)</f>
        <v>0</v>
      </c>
      <c r="U640" s="50">
        <f>IFERROR(_xlfn.XLOOKUP(Table43[[#This Row],[Column1]],#REF!,#REF!),0)</f>
        <v>0</v>
      </c>
      <c r="V640" s="39"/>
    </row>
    <row r="641" spans="1:22" x14ac:dyDescent="0.35">
      <c r="A641" s="2" t="s">
        <v>5429</v>
      </c>
      <c r="B641" s="3" t="s">
        <v>1917</v>
      </c>
      <c r="C641" s="3" t="s">
        <v>9</v>
      </c>
      <c r="D641" s="3">
        <v>130</v>
      </c>
      <c r="E641" s="3" t="s">
        <v>10</v>
      </c>
      <c r="F641" s="2">
        <v>1</v>
      </c>
      <c r="G641" s="3">
        <v>2</v>
      </c>
      <c r="H641" s="3">
        <v>1</v>
      </c>
      <c r="I641" s="21">
        <f>Table43[[#This Row],[Item Cost]]*Table43[[#This Row],[In Stock]]</f>
        <v>130</v>
      </c>
      <c r="J641" s="12" t="s">
        <v>4941</v>
      </c>
      <c r="K641" s="13" t="s">
        <v>4664</v>
      </c>
      <c r="L641" s="13" t="s">
        <v>4674</v>
      </c>
      <c r="M641" s="13" t="s">
        <v>4837</v>
      </c>
      <c r="N641" s="12" t="s">
        <v>4672</v>
      </c>
      <c r="O641" s="17" t="str">
        <f>IF(LEN(COUNTIFS($J$1:J641,$J641,$K$1:K641,$K641,$L$1:L641,$L641,$M$1:M641,M641,$N$1:N641,N641))=1,"00"&amp;COUNTIFS($J$1:J641,$J641,$K$1:K641,$K641,$L$1:L641,$L641,$M$1:M641,M641,$N$1:N641,N641),IF(LEN(COUNTIFS($J$1:J641,$J641,$K$1:K641,$K641,$L$1:L641,$L641,$M$1:M641,M641,$N$1:N641,N641))=2,"0"&amp;COUNTIFS($J$1:J641,$J641,$K$1:K641,$K641,$L$1:L641,$L641,$M$1:M641,M641,$N$1:N641,N641),COUNTIFS($J$1:J641,$J641,$K$1:K641,$K641,$L$1:L641,$L641,$M$1:M641,M641,$N$1:N641,N641)))</f>
        <v>008</v>
      </c>
      <c r="P64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MS-CS-002-26-00008-INV</v>
      </c>
      <c r="Q641" s="59" t="s">
        <v>7366</v>
      </c>
      <c r="R641" s="34" t="s">
        <v>6417</v>
      </c>
      <c r="S641" s="34" t="s">
        <v>1917</v>
      </c>
      <c r="T641" s="34">
        <f>+IFERROR(_xlfn.XLOOKUP(Table43[[#This Row],[Column1]],#REF!,#REF!),0)</f>
        <v>0</v>
      </c>
      <c r="U641" s="50">
        <f>IFERROR(_xlfn.XLOOKUP(Table43[[#This Row],[Column1]],#REF!,#REF!),0)</f>
        <v>0</v>
      </c>
      <c r="V641" s="39"/>
    </row>
    <row r="642" spans="1:22" x14ac:dyDescent="0.35">
      <c r="A642" s="2" t="s">
        <v>5430</v>
      </c>
      <c r="B642" s="2" t="s">
        <v>1919</v>
      </c>
      <c r="C642" s="2" t="s">
        <v>9</v>
      </c>
      <c r="D642" s="4">
        <v>21684</v>
      </c>
      <c r="E642" s="2" t="s">
        <v>10</v>
      </c>
      <c r="F642" s="2">
        <v>1</v>
      </c>
      <c r="G642" s="2">
        <v>2</v>
      </c>
      <c r="H642" s="2">
        <v>1</v>
      </c>
      <c r="I642" s="22">
        <f>Table43[[#This Row],[Item Cost]]*Table43[[#This Row],[In Stock]]</f>
        <v>21684</v>
      </c>
      <c r="J642" s="12" t="s">
        <v>4941</v>
      </c>
      <c r="K642" s="13" t="s">
        <v>4664</v>
      </c>
      <c r="L642" s="13" t="s">
        <v>4674</v>
      </c>
      <c r="M642" s="13" t="s">
        <v>4837</v>
      </c>
      <c r="N642" s="12" t="s">
        <v>4672</v>
      </c>
      <c r="O642" s="17" t="str">
        <f>IF(LEN(COUNTIFS($J$1:J642,$J642,$K$1:K642,$K642,$L$1:L642,$L642,$M$1:M642,M642,$N$1:N642,N642))=1,"00"&amp;COUNTIFS($J$1:J642,$J642,$K$1:K642,$K642,$L$1:L642,$L642,$M$1:M642,M642,$N$1:N642,N642),IF(LEN(COUNTIFS($J$1:J642,$J642,$K$1:K642,$K642,$L$1:L642,$L642,$M$1:M642,M642,$N$1:N642,N642))=2,"0"&amp;COUNTIFS($J$1:J642,$J642,$K$1:K642,$K642,$L$1:L642,$L642,$M$1:M642,M642,$N$1:N642,N642),COUNTIFS($J$1:J642,$J642,$K$1:K642,$K642,$L$1:L642,$L642,$M$1:M642,M642,$N$1:N642,N642)))</f>
        <v>009</v>
      </c>
      <c r="P64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MS-CS-002-26-00009-INV</v>
      </c>
      <c r="Q642" s="59"/>
      <c r="R642" s="34" t="s">
        <v>6418</v>
      </c>
      <c r="S642" s="34" t="s">
        <v>1919</v>
      </c>
      <c r="T642" s="34">
        <f>+IFERROR(_xlfn.XLOOKUP(Table43[[#This Row],[Column1]],#REF!,#REF!),0)</f>
        <v>0</v>
      </c>
      <c r="U642" s="50">
        <f>IFERROR(_xlfn.XLOOKUP(Table43[[#This Row],[Column1]],#REF!,#REF!),0)</f>
        <v>0</v>
      </c>
      <c r="V642" s="39"/>
    </row>
    <row r="643" spans="1:22" x14ac:dyDescent="0.35">
      <c r="A643" s="3" t="s">
        <v>5431</v>
      </c>
      <c r="B643" s="3" t="s">
        <v>1921</v>
      </c>
      <c r="C643" s="3" t="s">
        <v>9</v>
      </c>
      <c r="D643" s="3">
        <v>291.2</v>
      </c>
      <c r="E643" s="3" t="s">
        <v>10</v>
      </c>
      <c r="F643" s="2">
        <v>1</v>
      </c>
      <c r="G643" s="3">
        <v>2</v>
      </c>
      <c r="H643" s="3">
        <v>1</v>
      </c>
      <c r="I643" s="21">
        <f>Table43[[#This Row],[Item Cost]]*Table43[[#This Row],[In Stock]]</f>
        <v>291.2</v>
      </c>
      <c r="J643" s="12" t="s">
        <v>4941</v>
      </c>
      <c r="K643" s="13" t="s">
        <v>4664</v>
      </c>
      <c r="L643" s="13" t="s">
        <v>4674</v>
      </c>
      <c r="M643" s="13" t="s">
        <v>4837</v>
      </c>
      <c r="N643" s="12" t="s">
        <v>4672</v>
      </c>
      <c r="O643" s="17" t="str">
        <f>IF(LEN(COUNTIFS($J$1:J643,$J643,$K$1:K643,$K643,$L$1:L643,$L643,$M$1:M643,M643,$N$1:N643,N643))=1,"00"&amp;COUNTIFS($J$1:J643,$J643,$K$1:K643,$K643,$L$1:L643,$L643,$M$1:M643,M643,$N$1:N643,N643),IF(LEN(COUNTIFS($J$1:J643,$J643,$K$1:K643,$K643,$L$1:L643,$L643,$M$1:M643,M643,$N$1:N643,N643))=2,"0"&amp;COUNTIFS($J$1:J643,$J643,$K$1:K643,$K643,$L$1:L643,$L643,$M$1:M643,M643,$N$1:N643,N643),COUNTIFS($J$1:J643,$J643,$K$1:K643,$K643,$L$1:L643,$L643,$M$1:M643,M643,$N$1:N643,N643)))</f>
        <v>010</v>
      </c>
      <c r="P64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MS-CS-002-26-00010-INV</v>
      </c>
      <c r="Q643" s="59" t="s">
        <v>7368</v>
      </c>
      <c r="R643" s="34" t="s">
        <v>6419</v>
      </c>
      <c r="S643" s="34" t="s">
        <v>1921</v>
      </c>
      <c r="T643" s="34">
        <f>+IFERROR(_xlfn.XLOOKUP(Table43[[#This Row],[Column1]],#REF!,#REF!),0)</f>
        <v>0</v>
      </c>
      <c r="U643" s="50">
        <f>IFERROR(_xlfn.XLOOKUP(Table43[[#This Row],[Column1]],#REF!,#REF!),0)</f>
        <v>0</v>
      </c>
      <c r="V643" s="39"/>
    </row>
    <row r="644" spans="1:22" x14ac:dyDescent="0.35">
      <c r="A644" s="2" t="s">
        <v>5432</v>
      </c>
      <c r="B644" s="2" t="s">
        <v>1923</v>
      </c>
      <c r="C644" s="2" t="s">
        <v>9</v>
      </c>
      <c r="D644" s="4">
        <v>1924</v>
      </c>
      <c r="E644" s="2" t="s">
        <v>10</v>
      </c>
      <c r="F644" s="2">
        <v>1</v>
      </c>
      <c r="G644" s="2">
        <v>2</v>
      </c>
      <c r="H644" s="2">
        <v>1</v>
      </c>
      <c r="I644" s="22">
        <f>Table43[[#This Row],[Item Cost]]*Table43[[#This Row],[In Stock]]</f>
        <v>1924</v>
      </c>
      <c r="J644" s="12" t="s">
        <v>4941</v>
      </c>
      <c r="K644" s="13" t="s">
        <v>4664</v>
      </c>
      <c r="L644" s="13" t="s">
        <v>4674</v>
      </c>
      <c r="M644" s="13" t="s">
        <v>4837</v>
      </c>
      <c r="N644" s="12" t="s">
        <v>4672</v>
      </c>
      <c r="O644" s="17" t="str">
        <f>IF(LEN(COUNTIFS($J$1:J644,$J644,$K$1:K644,$K644,$L$1:L644,$L644,$M$1:M644,M644,$N$1:N644,N644))=1,"00"&amp;COUNTIFS($J$1:J644,$J644,$K$1:K644,$K644,$L$1:L644,$L644,$M$1:M644,M644,$N$1:N644,N644),IF(LEN(COUNTIFS($J$1:J644,$J644,$K$1:K644,$K644,$L$1:L644,$L644,$M$1:M644,M644,$N$1:N644,N644))=2,"0"&amp;COUNTIFS($J$1:J644,$J644,$K$1:K644,$K644,$L$1:L644,$L644,$M$1:M644,M644,$N$1:N644,N644),COUNTIFS($J$1:J644,$J644,$K$1:K644,$K644,$L$1:L644,$L644,$M$1:M644,M644,$N$1:N644,N644)))</f>
        <v>011</v>
      </c>
      <c r="P64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MS-CS-002-26-00011-INV</v>
      </c>
      <c r="Q644" s="59" t="s">
        <v>7366</v>
      </c>
      <c r="R644" s="34" t="s">
        <v>6420</v>
      </c>
      <c r="S644" s="34" t="s">
        <v>1923</v>
      </c>
      <c r="T644" s="34">
        <f>+IFERROR(_xlfn.XLOOKUP(Table43[[#This Row],[Column1]],#REF!,#REF!),0)</f>
        <v>0</v>
      </c>
      <c r="U644" s="50">
        <f>IFERROR(_xlfn.XLOOKUP(Table43[[#This Row],[Column1]],#REF!,#REF!),0)</f>
        <v>0</v>
      </c>
      <c r="V644" s="39"/>
    </row>
    <row r="645" spans="1:22" x14ac:dyDescent="0.35">
      <c r="A645" s="2" t="s">
        <v>5433</v>
      </c>
      <c r="B645" s="3" t="s">
        <v>1925</v>
      </c>
      <c r="C645" s="3" t="s">
        <v>9</v>
      </c>
      <c r="D645" s="3">
        <v>57.2</v>
      </c>
      <c r="E645" s="3" t="s">
        <v>10</v>
      </c>
      <c r="F645" s="2">
        <v>1</v>
      </c>
      <c r="G645" s="3">
        <v>2</v>
      </c>
      <c r="H645" s="3">
        <v>1</v>
      </c>
      <c r="I645" s="21">
        <f>Table43[[#This Row],[Item Cost]]*Table43[[#This Row],[In Stock]]</f>
        <v>57.2</v>
      </c>
      <c r="J645" s="12" t="s">
        <v>4941</v>
      </c>
      <c r="K645" s="13" t="s">
        <v>4664</v>
      </c>
      <c r="L645" s="13" t="s">
        <v>4674</v>
      </c>
      <c r="M645" s="13" t="s">
        <v>4837</v>
      </c>
      <c r="N645" s="12" t="s">
        <v>4672</v>
      </c>
      <c r="O645" s="17" t="str">
        <f>IF(LEN(COUNTIFS($J$1:J645,$J645,$K$1:K645,$K645,$L$1:L645,$L645,$M$1:M645,M645,$N$1:N645,N645))=1,"00"&amp;COUNTIFS($J$1:J645,$J645,$K$1:K645,$K645,$L$1:L645,$L645,$M$1:M645,M645,$N$1:N645,N645),IF(LEN(COUNTIFS($J$1:J645,$J645,$K$1:K645,$K645,$L$1:L645,$L645,$M$1:M645,M645,$N$1:N645,N645))=2,"0"&amp;COUNTIFS($J$1:J645,$J645,$K$1:K645,$K645,$L$1:L645,$L645,$M$1:M645,M645,$N$1:N645,N645),COUNTIFS($J$1:J645,$J645,$K$1:K645,$K645,$L$1:L645,$L645,$M$1:M645,M645,$N$1:N645,N645)))</f>
        <v>012</v>
      </c>
      <c r="P64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MS-CS-002-26-00012-INV</v>
      </c>
      <c r="Q645" s="59"/>
      <c r="R645" s="34" t="s">
        <v>6421</v>
      </c>
      <c r="S645" s="34" t="s">
        <v>1925</v>
      </c>
      <c r="T645" s="34">
        <f>+IFERROR(_xlfn.XLOOKUP(Table43[[#This Row],[Column1]],#REF!,#REF!),0)</f>
        <v>0</v>
      </c>
      <c r="U645" s="50">
        <f>IFERROR(_xlfn.XLOOKUP(Table43[[#This Row],[Column1]],#REF!,#REF!),0)</f>
        <v>0</v>
      </c>
      <c r="V645" s="39"/>
    </row>
    <row r="646" spans="1:22" x14ac:dyDescent="0.35">
      <c r="A646" s="3" t="s">
        <v>5434</v>
      </c>
      <c r="B646" s="2" t="s">
        <v>1927</v>
      </c>
      <c r="C646" s="2" t="s">
        <v>9</v>
      </c>
      <c r="D646" s="2">
        <v>62.4</v>
      </c>
      <c r="E646" s="2" t="s">
        <v>10</v>
      </c>
      <c r="F646" s="2">
        <v>1</v>
      </c>
      <c r="G646" s="2">
        <v>2</v>
      </c>
      <c r="H646" s="2">
        <v>1</v>
      </c>
      <c r="I646" s="22">
        <f>Table43[[#This Row],[Item Cost]]*Table43[[#This Row],[In Stock]]</f>
        <v>62.4</v>
      </c>
      <c r="J646" s="12" t="s">
        <v>4941</v>
      </c>
      <c r="K646" s="13" t="s">
        <v>4664</v>
      </c>
      <c r="L646" s="13" t="s">
        <v>4674</v>
      </c>
      <c r="M646" s="13" t="s">
        <v>4837</v>
      </c>
      <c r="N646" s="12" t="s">
        <v>4672</v>
      </c>
      <c r="O646" s="17" t="str">
        <f>IF(LEN(COUNTIFS($J$1:J646,$J646,$K$1:K646,$K646,$L$1:L646,$L646,$M$1:M646,M646,$N$1:N646,N646))=1,"00"&amp;COUNTIFS($J$1:J646,$J646,$K$1:K646,$K646,$L$1:L646,$L646,$M$1:M646,M646,$N$1:N646,N646),IF(LEN(COUNTIFS($J$1:J646,$J646,$K$1:K646,$K646,$L$1:L646,$L646,$M$1:M646,M646,$N$1:N646,N646))=2,"0"&amp;COUNTIFS($J$1:J646,$J646,$K$1:K646,$K646,$L$1:L646,$L646,$M$1:M646,M646,$N$1:N646,N646),COUNTIFS($J$1:J646,$J646,$K$1:K646,$K646,$L$1:L646,$L646,$M$1:M646,M646,$N$1:N646,N646)))</f>
        <v>013</v>
      </c>
      <c r="P64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MS-CS-002-26-00013-INV</v>
      </c>
      <c r="Q646" s="59" t="s">
        <v>7348</v>
      </c>
      <c r="R646" s="34" t="s">
        <v>6422</v>
      </c>
      <c r="S646" s="34" t="s">
        <v>1927</v>
      </c>
      <c r="T646" s="34">
        <f>+IFERROR(_xlfn.XLOOKUP(Table43[[#This Row],[Column1]],#REF!,#REF!),0)</f>
        <v>0</v>
      </c>
      <c r="U646" s="50">
        <f>IFERROR(_xlfn.XLOOKUP(Table43[[#This Row],[Column1]],#REF!,#REF!),0)</f>
        <v>0</v>
      </c>
      <c r="V646" s="39"/>
    </row>
    <row r="647" spans="1:22" x14ac:dyDescent="0.35">
      <c r="A647" s="2" t="s">
        <v>5435</v>
      </c>
      <c r="B647" s="3" t="s">
        <v>1929</v>
      </c>
      <c r="C647" s="3" t="s">
        <v>9</v>
      </c>
      <c r="D647" s="3">
        <v>10.4</v>
      </c>
      <c r="E647" s="3" t="s">
        <v>10</v>
      </c>
      <c r="F647" s="2">
        <v>1</v>
      </c>
      <c r="G647" s="3">
        <v>2</v>
      </c>
      <c r="H647" s="3">
        <v>1</v>
      </c>
      <c r="I647" s="21">
        <f>Table43[[#This Row],[Item Cost]]*Table43[[#This Row],[In Stock]]</f>
        <v>10.4</v>
      </c>
      <c r="J647" s="12" t="s">
        <v>4941</v>
      </c>
      <c r="K647" s="13" t="s">
        <v>4664</v>
      </c>
      <c r="L647" s="13" t="s">
        <v>4674</v>
      </c>
      <c r="M647" s="13" t="s">
        <v>4837</v>
      </c>
      <c r="N647" s="12" t="s">
        <v>4672</v>
      </c>
      <c r="O647" s="17" t="str">
        <f>IF(LEN(COUNTIFS($J$1:J647,$J647,$K$1:K647,$K647,$L$1:L647,$L647,$M$1:M647,M647,$N$1:N647,N647))=1,"00"&amp;COUNTIFS($J$1:J647,$J647,$K$1:K647,$K647,$L$1:L647,$L647,$M$1:M647,M647,$N$1:N647,N647),IF(LEN(COUNTIFS($J$1:J647,$J647,$K$1:K647,$K647,$L$1:L647,$L647,$M$1:M647,M647,$N$1:N647,N647))=2,"0"&amp;COUNTIFS($J$1:J647,$J647,$K$1:K647,$K647,$L$1:L647,$L647,$M$1:M647,M647,$N$1:N647,N647),COUNTIFS($J$1:J647,$J647,$K$1:K647,$K647,$L$1:L647,$L647,$M$1:M647,M647,$N$1:N647,N647)))</f>
        <v>014</v>
      </c>
      <c r="P64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MS-CS-002-26-00014-INV</v>
      </c>
      <c r="Q647" s="59" t="s">
        <v>7366</v>
      </c>
      <c r="R647" s="34" t="s">
        <v>6423</v>
      </c>
      <c r="S647" s="34" t="s">
        <v>1929</v>
      </c>
      <c r="T647" s="34">
        <f>+IFERROR(_xlfn.XLOOKUP(Table43[[#This Row],[Column1]],#REF!,#REF!),0)</f>
        <v>0</v>
      </c>
      <c r="U647" s="50">
        <f>IFERROR(_xlfn.XLOOKUP(Table43[[#This Row],[Column1]],#REF!,#REF!),0)</f>
        <v>0</v>
      </c>
      <c r="V647" s="39"/>
    </row>
    <row r="648" spans="1:22" x14ac:dyDescent="0.35">
      <c r="A648" s="2" t="s">
        <v>5436</v>
      </c>
      <c r="B648" s="2" t="s">
        <v>1931</v>
      </c>
      <c r="C648" s="2" t="s">
        <v>9</v>
      </c>
      <c r="D648" s="2">
        <v>374.4</v>
      </c>
      <c r="E648" s="2" t="s">
        <v>10</v>
      </c>
      <c r="F648" s="2">
        <v>1</v>
      </c>
      <c r="G648" s="2">
        <v>2</v>
      </c>
      <c r="H648" s="2">
        <v>1</v>
      </c>
      <c r="I648" s="22">
        <f>Table43[[#This Row],[Item Cost]]*Table43[[#This Row],[In Stock]]</f>
        <v>374.4</v>
      </c>
      <c r="J648" s="12" t="s">
        <v>4941</v>
      </c>
      <c r="K648" s="13" t="s">
        <v>4664</v>
      </c>
      <c r="L648" s="13" t="s">
        <v>4674</v>
      </c>
      <c r="M648" s="13" t="s">
        <v>4837</v>
      </c>
      <c r="N648" s="12" t="s">
        <v>4672</v>
      </c>
      <c r="O648" s="17" t="str">
        <f>IF(LEN(COUNTIFS($J$1:J648,$J648,$K$1:K648,$K648,$L$1:L648,$L648,$M$1:M648,M648,$N$1:N648,N648))=1,"00"&amp;COUNTIFS($J$1:J648,$J648,$K$1:K648,$K648,$L$1:L648,$L648,$M$1:M648,M648,$N$1:N648,N648),IF(LEN(COUNTIFS($J$1:J648,$J648,$K$1:K648,$K648,$L$1:L648,$L648,$M$1:M648,M648,$N$1:N648,N648))=2,"0"&amp;COUNTIFS($J$1:J648,$J648,$K$1:K648,$K648,$L$1:L648,$L648,$M$1:M648,M648,$N$1:N648,N648),COUNTIFS($J$1:J648,$J648,$K$1:K648,$K648,$L$1:L648,$L648,$M$1:M648,M648,$N$1:N648,N648)))</f>
        <v>015</v>
      </c>
      <c r="P64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MS-CS-002-26-00015-INV</v>
      </c>
      <c r="Q648" s="59" t="s">
        <v>7363</v>
      </c>
      <c r="R648" s="34" t="s">
        <v>6424</v>
      </c>
      <c r="S648" s="34" t="s">
        <v>1931</v>
      </c>
      <c r="T648" s="34">
        <f>+IFERROR(_xlfn.XLOOKUP(Table43[[#This Row],[Column1]],#REF!,#REF!),0)</f>
        <v>0</v>
      </c>
      <c r="U648" s="50">
        <f>IFERROR(_xlfn.XLOOKUP(Table43[[#This Row],[Column1]],#REF!,#REF!),0)</f>
        <v>0</v>
      </c>
      <c r="V648" s="39"/>
    </row>
    <row r="649" spans="1:22" x14ac:dyDescent="0.35">
      <c r="A649" s="3" t="s">
        <v>5437</v>
      </c>
      <c r="B649" s="3" t="s">
        <v>1933</v>
      </c>
      <c r="C649" s="3" t="s">
        <v>9</v>
      </c>
      <c r="D649" s="3">
        <v>260</v>
      </c>
      <c r="E649" s="3" t="s">
        <v>10</v>
      </c>
      <c r="F649" s="2">
        <v>1</v>
      </c>
      <c r="G649" s="3">
        <v>2</v>
      </c>
      <c r="H649" s="3">
        <v>1</v>
      </c>
      <c r="I649" s="21">
        <f>Table43[[#This Row],[Item Cost]]*Table43[[#This Row],[In Stock]]</f>
        <v>260</v>
      </c>
      <c r="J649" s="12" t="s">
        <v>4941</v>
      </c>
      <c r="K649" s="13" t="s">
        <v>4664</v>
      </c>
      <c r="L649" s="13" t="s">
        <v>4674</v>
      </c>
      <c r="M649" s="13" t="s">
        <v>4837</v>
      </c>
      <c r="N649" s="12" t="s">
        <v>4672</v>
      </c>
      <c r="O649" s="17" t="str">
        <f>IF(LEN(COUNTIFS($J$1:J649,$J649,$K$1:K649,$K649,$L$1:L649,$L649,$M$1:M649,M649,$N$1:N649,N649))=1,"00"&amp;COUNTIFS($J$1:J649,$J649,$K$1:K649,$K649,$L$1:L649,$L649,$M$1:M649,M649,$N$1:N649,N649),IF(LEN(COUNTIFS($J$1:J649,$J649,$K$1:K649,$K649,$L$1:L649,$L649,$M$1:M649,M649,$N$1:N649,N649))=2,"0"&amp;COUNTIFS($J$1:J649,$J649,$K$1:K649,$K649,$L$1:L649,$L649,$M$1:M649,M649,$N$1:N649,N649),COUNTIFS($J$1:J649,$J649,$K$1:K649,$K649,$L$1:L649,$L649,$M$1:M649,M649,$N$1:N649,N649)))</f>
        <v>016</v>
      </c>
      <c r="P64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MS-CS-002-26-00016-INV</v>
      </c>
      <c r="Q649" s="59"/>
      <c r="R649" s="34" t="s">
        <v>6425</v>
      </c>
      <c r="S649" s="34" t="s">
        <v>1933</v>
      </c>
      <c r="T649" s="34">
        <f>+IFERROR(_xlfn.XLOOKUP(Table43[[#This Row],[Column1]],#REF!,#REF!),0)</f>
        <v>0</v>
      </c>
      <c r="U649" s="50">
        <f>IFERROR(_xlfn.XLOOKUP(Table43[[#This Row],[Column1]],#REF!,#REF!),0)</f>
        <v>0</v>
      </c>
      <c r="V649" s="39"/>
    </row>
    <row r="650" spans="1:22" x14ac:dyDescent="0.35">
      <c r="A650" s="2" t="s">
        <v>5438</v>
      </c>
      <c r="B650" s="2" t="s">
        <v>1935</v>
      </c>
      <c r="C650" s="2" t="s">
        <v>9</v>
      </c>
      <c r="D650" s="2">
        <v>5.2</v>
      </c>
      <c r="E650" s="2" t="s">
        <v>10</v>
      </c>
      <c r="F650" s="2">
        <v>1</v>
      </c>
      <c r="G650" s="2">
        <v>2</v>
      </c>
      <c r="H650" s="2">
        <v>1</v>
      </c>
      <c r="I650" s="22">
        <f>Table43[[#This Row],[Item Cost]]*Table43[[#This Row],[In Stock]]</f>
        <v>5.2</v>
      </c>
      <c r="J650" s="12" t="s">
        <v>4941</v>
      </c>
      <c r="K650" s="13" t="s">
        <v>4664</v>
      </c>
      <c r="L650" s="13" t="s">
        <v>4674</v>
      </c>
      <c r="M650" s="13" t="s">
        <v>4835</v>
      </c>
      <c r="N650" s="12" t="s">
        <v>4672</v>
      </c>
      <c r="O650" s="17" t="str">
        <f>IF(LEN(COUNTIFS($J$1:J650,$J650,$K$1:K650,$K650,$L$1:L650,$L650,$M$1:M650,M650,$N$1:N650,N650))=1,"00"&amp;COUNTIFS($J$1:J650,$J650,$K$1:K650,$K650,$L$1:L650,$L650,$M$1:M650,M650,$N$1:N650,N650),IF(LEN(COUNTIFS($J$1:J650,$J650,$K$1:K650,$K650,$L$1:L650,$L650,$M$1:M650,M650,$N$1:N650,N650))=2,"0"&amp;COUNTIFS($J$1:J650,$J650,$K$1:K650,$K650,$L$1:L650,$L650,$M$1:M650,M650,$N$1:N650,N650),COUNTIFS($J$1:J650,$J650,$K$1:K650,$K650,$L$1:L650,$L650,$M$1:M650,M650,$N$1:N650,N650)))</f>
        <v>001</v>
      </c>
      <c r="P65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MS-CS-002-24-00001-INV</v>
      </c>
      <c r="Q650" s="59"/>
      <c r="R650" s="34" t="s">
        <v>6426</v>
      </c>
      <c r="S650" s="34" t="s">
        <v>1935</v>
      </c>
      <c r="T650" s="34">
        <f>+IFERROR(_xlfn.XLOOKUP(Table43[[#This Row],[Column1]],#REF!,#REF!),0)</f>
        <v>0</v>
      </c>
      <c r="U650" s="50">
        <f>IFERROR(_xlfn.XLOOKUP(Table43[[#This Row],[Column1]],#REF!,#REF!),0)</f>
        <v>0</v>
      </c>
      <c r="V650" s="39"/>
    </row>
    <row r="651" spans="1:22" x14ac:dyDescent="0.35">
      <c r="A651" s="2" t="s">
        <v>5439</v>
      </c>
      <c r="B651" s="3" t="s">
        <v>1937</v>
      </c>
      <c r="C651" s="3" t="s">
        <v>9</v>
      </c>
      <c r="D651" s="3">
        <v>5.2</v>
      </c>
      <c r="E651" s="3" t="s">
        <v>10</v>
      </c>
      <c r="F651" s="2">
        <v>1</v>
      </c>
      <c r="G651" s="3">
        <v>2</v>
      </c>
      <c r="H651" s="3">
        <v>1</v>
      </c>
      <c r="I651" s="21">
        <f>Table43[[#This Row],[Item Cost]]*Table43[[#This Row],[In Stock]]</f>
        <v>5.2</v>
      </c>
      <c r="J651" s="12" t="s">
        <v>4941</v>
      </c>
      <c r="K651" s="13" t="s">
        <v>4664</v>
      </c>
      <c r="L651" s="13" t="s">
        <v>4674</v>
      </c>
      <c r="M651" s="13" t="s">
        <v>4835</v>
      </c>
      <c r="N651" s="12" t="s">
        <v>4672</v>
      </c>
      <c r="O651" s="17" t="str">
        <f>IF(LEN(COUNTIFS($J$1:J651,$J651,$K$1:K651,$K651,$L$1:L651,$L651,$M$1:M651,M651,$N$1:N651,N651))=1,"00"&amp;COUNTIFS($J$1:J651,$J651,$K$1:K651,$K651,$L$1:L651,$L651,$M$1:M651,M651,$N$1:N651,N651),IF(LEN(COUNTIFS($J$1:J651,$J651,$K$1:K651,$K651,$L$1:L651,$L651,$M$1:M651,M651,$N$1:N651,N651))=2,"0"&amp;COUNTIFS($J$1:J651,$J651,$K$1:K651,$K651,$L$1:L651,$L651,$M$1:M651,M651,$N$1:N651,N651),COUNTIFS($J$1:J651,$J651,$K$1:K651,$K651,$L$1:L651,$L651,$M$1:M651,M651,$N$1:N651,N651)))</f>
        <v>002</v>
      </c>
      <c r="P65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MS-CS-002-24-00002-INV</v>
      </c>
      <c r="Q651" s="59" t="s">
        <v>7366</v>
      </c>
      <c r="R651" s="34" t="s">
        <v>6427</v>
      </c>
      <c r="S651" s="34" t="s">
        <v>1937</v>
      </c>
      <c r="T651" s="34">
        <f>+IFERROR(_xlfn.XLOOKUP(Table43[[#This Row],[Column1]],#REF!,#REF!),0)</f>
        <v>0</v>
      </c>
      <c r="U651" s="50">
        <f>IFERROR(_xlfn.XLOOKUP(Table43[[#This Row],[Column1]],#REF!,#REF!),0)</f>
        <v>0</v>
      </c>
      <c r="V651" s="39"/>
    </row>
    <row r="652" spans="1:22" x14ac:dyDescent="0.35">
      <c r="A652" s="3" t="s">
        <v>5440</v>
      </c>
      <c r="B652" s="2" t="s">
        <v>1939</v>
      </c>
      <c r="C652" s="2" t="s">
        <v>9</v>
      </c>
      <c r="D652" s="2">
        <v>499.2</v>
      </c>
      <c r="E652" s="2" t="s">
        <v>10</v>
      </c>
      <c r="F652" s="2">
        <v>1</v>
      </c>
      <c r="G652" s="2">
        <v>2</v>
      </c>
      <c r="H652" s="2">
        <v>1</v>
      </c>
      <c r="I652" s="22">
        <f>Table43[[#This Row],[Item Cost]]*Table43[[#This Row],[In Stock]]</f>
        <v>499.2</v>
      </c>
      <c r="J652" s="12" t="s">
        <v>4941</v>
      </c>
      <c r="K652" s="13" t="s">
        <v>4664</v>
      </c>
      <c r="L652" s="13" t="s">
        <v>4674</v>
      </c>
      <c r="M652" s="13" t="s">
        <v>4837</v>
      </c>
      <c r="N652" s="12" t="s">
        <v>4672</v>
      </c>
      <c r="O652" s="17" t="str">
        <f>IF(LEN(COUNTIFS($J$1:J652,$J652,$K$1:K652,$K652,$L$1:L652,$L652,$M$1:M652,M652,$N$1:N652,N652))=1,"00"&amp;COUNTIFS($J$1:J652,$J652,$K$1:K652,$K652,$L$1:L652,$L652,$M$1:M652,M652,$N$1:N652,N652),IF(LEN(COUNTIFS($J$1:J652,$J652,$K$1:K652,$K652,$L$1:L652,$L652,$M$1:M652,M652,$N$1:N652,N652))=2,"0"&amp;COUNTIFS($J$1:J652,$J652,$K$1:K652,$K652,$L$1:L652,$L652,$M$1:M652,M652,$N$1:N652,N652),COUNTIFS($J$1:J652,$J652,$K$1:K652,$K652,$L$1:L652,$L652,$M$1:M652,M652,$N$1:N652,N652)))</f>
        <v>017</v>
      </c>
      <c r="P65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MS-CS-002-26-00017-INV</v>
      </c>
      <c r="Q652" s="59"/>
      <c r="R652" s="34" t="s">
        <v>6428</v>
      </c>
      <c r="S652" s="34" t="s">
        <v>1939</v>
      </c>
      <c r="T652" s="34">
        <f>+IFERROR(_xlfn.XLOOKUP(Table43[[#This Row],[Column1]],#REF!,#REF!),0)</f>
        <v>0</v>
      </c>
      <c r="U652" s="50">
        <f>IFERROR(_xlfn.XLOOKUP(Table43[[#This Row],[Column1]],#REF!,#REF!),0)</f>
        <v>0</v>
      </c>
      <c r="V652" s="39"/>
    </row>
    <row r="653" spans="1:22" x14ac:dyDescent="0.35">
      <c r="A653" s="2" t="s">
        <v>5441</v>
      </c>
      <c r="B653" s="3" t="s">
        <v>1941</v>
      </c>
      <c r="C653" s="3" t="s">
        <v>9</v>
      </c>
      <c r="D653" s="3">
        <v>20.8</v>
      </c>
      <c r="E653" s="3" t="s">
        <v>10</v>
      </c>
      <c r="F653" s="2">
        <v>1</v>
      </c>
      <c r="G653" s="3">
        <v>2</v>
      </c>
      <c r="H653" s="3">
        <v>1</v>
      </c>
      <c r="I653" s="21">
        <f>Table43[[#This Row],[Item Cost]]*Table43[[#This Row],[In Stock]]</f>
        <v>20.8</v>
      </c>
      <c r="J653" s="12" t="s">
        <v>4941</v>
      </c>
      <c r="K653" s="13" t="s">
        <v>4664</v>
      </c>
      <c r="L653" s="13" t="s">
        <v>4674</v>
      </c>
      <c r="M653" s="13" t="s">
        <v>4837</v>
      </c>
      <c r="N653" s="12" t="s">
        <v>4672</v>
      </c>
      <c r="O653" s="17" t="str">
        <f>IF(LEN(COUNTIFS($J$1:J653,$J653,$K$1:K653,$K653,$L$1:L653,$L653,$M$1:M653,M653,$N$1:N653,N653))=1,"00"&amp;COUNTIFS($J$1:J653,$J653,$K$1:K653,$K653,$L$1:L653,$L653,$M$1:M653,M653,$N$1:N653,N653),IF(LEN(COUNTIFS($J$1:J653,$J653,$K$1:K653,$K653,$L$1:L653,$L653,$M$1:M653,M653,$N$1:N653,N653))=2,"0"&amp;COUNTIFS($J$1:J653,$J653,$K$1:K653,$K653,$L$1:L653,$L653,$M$1:M653,M653,$N$1:N653,N653),COUNTIFS($J$1:J653,$J653,$K$1:K653,$K653,$L$1:L653,$L653,$M$1:M653,M653,$N$1:N653,N653)))</f>
        <v>018</v>
      </c>
      <c r="P65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MS-CS-002-26-00018-INV</v>
      </c>
      <c r="Q653" s="59" t="s">
        <v>7366</v>
      </c>
      <c r="R653" s="34" t="s">
        <v>6429</v>
      </c>
      <c r="S653" s="34" t="s">
        <v>1941</v>
      </c>
      <c r="T653" s="34">
        <f>+IFERROR(_xlfn.XLOOKUP(Table43[[#This Row],[Column1]],#REF!,#REF!),0)</f>
        <v>0</v>
      </c>
      <c r="U653" s="50">
        <f>IFERROR(_xlfn.XLOOKUP(Table43[[#This Row],[Column1]],#REF!,#REF!),0)</f>
        <v>0</v>
      </c>
      <c r="V653" s="39"/>
    </row>
    <row r="654" spans="1:22" x14ac:dyDescent="0.35">
      <c r="A654" s="2" t="s">
        <v>5442</v>
      </c>
      <c r="B654" s="2" t="s">
        <v>1943</v>
      </c>
      <c r="C654" s="2" t="s">
        <v>9</v>
      </c>
      <c r="D654" s="2">
        <v>197.6</v>
      </c>
      <c r="E654" s="2" t="s">
        <v>10</v>
      </c>
      <c r="F654" s="2">
        <v>1</v>
      </c>
      <c r="G654" s="2">
        <v>2</v>
      </c>
      <c r="H654" s="2">
        <v>1</v>
      </c>
      <c r="I654" s="22">
        <f>Table43[[#This Row],[Item Cost]]*Table43[[#This Row],[In Stock]]</f>
        <v>197.6</v>
      </c>
      <c r="J654" s="12" t="s">
        <v>4941</v>
      </c>
      <c r="K654" s="13" t="s">
        <v>4664</v>
      </c>
      <c r="L654" s="13" t="s">
        <v>4674</v>
      </c>
      <c r="M654" s="13" t="s">
        <v>4837</v>
      </c>
      <c r="N654" s="12" t="s">
        <v>4672</v>
      </c>
      <c r="O654" s="17" t="str">
        <f>IF(LEN(COUNTIFS($J$1:J654,$J654,$K$1:K654,$K654,$L$1:L654,$L654,$M$1:M654,M654,$N$1:N654,N654))=1,"00"&amp;COUNTIFS($J$1:J654,$J654,$K$1:K654,$K654,$L$1:L654,$L654,$M$1:M654,M654,$N$1:N654,N654),IF(LEN(COUNTIFS($J$1:J654,$J654,$K$1:K654,$K654,$L$1:L654,$L654,$M$1:M654,M654,$N$1:N654,N654))=2,"0"&amp;COUNTIFS($J$1:J654,$J654,$K$1:K654,$K654,$L$1:L654,$L654,$M$1:M654,M654,$N$1:N654,N654),COUNTIFS($J$1:J654,$J654,$K$1:K654,$K654,$L$1:L654,$L654,$M$1:M654,M654,$N$1:N654,N654)))</f>
        <v>019</v>
      </c>
      <c r="P65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MS-CS-002-26-00019-INV</v>
      </c>
      <c r="Q654" s="59" t="s">
        <v>7366</v>
      </c>
      <c r="R654" s="34" t="s">
        <v>6430</v>
      </c>
      <c r="S654" s="34" t="s">
        <v>1943</v>
      </c>
      <c r="T654" s="34">
        <f>+IFERROR(_xlfn.XLOOKUP(Table43[[#This Row],[Column1]],#REF!,#REF!),0)</f>
        <v>0</v>
      </c>
      <c r="U654" s="50">
        <f>IFERROR(_xlfn.XLOOKUP(Table43[[#This Row],[Column1]],#REF!,#REF!),0)</f>
        <v>0</v>
      </c>
      <c r="V654" s="39"/>
    </row>
    <row r="655" spans="1:22" x14ac:dyDescent="0.35">
      <c r="A655" s="3" t="s">
        <v>5443</v>
      </c>
      <c r="B655" s="3" t="s">
        <v>1945</v>
      </c>
      <c r="C655" s="3" t="s">
        <v>9</v>
      </c>
      <c r="D655" s="3">
        <v>31.2</v>
      </c>
      <c r="E655" s="3" t="s">
        <v>10</v>
      </c>
      <c r="F655" s="2">
        <v>1</v>
      </c>
      <c r="G655" s="3">
        <v>2</v>
      </c>
      <c r="H655" s="3">
        <v>1</v>
      </c>
      <c r="I655" s="21">
        <f>Table43[[#This Row],[Item Cost]]*Table43[[#This Row],[In Stock]]</f>
        <v>31.2</v>
      </c>
      <c r="J655" s="12" t="s">
        <v>4941</v>
      </c>
      <c r="K655" s="13" t="s">
        <v>4664</v>
      </c>
      <c r="L655" s="13" t="s">
        <v>4674</v>
      </c>
      <c r="M655" s="13" t="s">
        <v>4837</v>
      </c>
      <c r="N655" s="12" t="s">
        <v>4672</v>
      </c>
      <c r="O655" s="17" t="str">
        <f>IF(LEN(COUNTIFS($J$1:J655,$J655,$K$1:K655,$K655,$L$1:L655,$L655,$M$1:M655,M655,$N$1:N655,N655))=1,"00"&amp;COUNTIFS($J$1:J655,$J655,$K$1:K655,$K655,$L$1:L655,$L655,$M$1:M655,M655,$N$1:N655,N655),IF(LEN(COUNTIFS($J$1:J655,$J655,$K$1:K655,$K655,$L$1:L655,$L655,$M$1:M655,M655,$N$1:N655,N655))=2,"0"&amp;COUNTIFS($J$1:J655,$J655,$K$1:K655,$K655,$L$1:L655,$L655,$M$1:M655,M655,$N$1:N655,N655),COUNTIFS($J$1:J655,$J655,$K$1:K655,$K655,$L$1:L655,$L655,$M$1:M655,M655,$N$1:N655,N655)))</f>
        <v>020</v>
      </c>
      <c r="P65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MS-CS-002-26-00020-INV</v>
      </c>
      <c r="Q655" s="59" t="s">
        <v>7366</v>
      </c>
      <c r="R655" s="34" t="s">
        <v>6431</v>
      </c>
      <c r="S655" s="34" t="s">
        <v>1945</v>
      </c>
      <c r="T655" s="34">
        <f>+IFERROR(_xlfn.XLOOKUP(Table43[[#This Row],[Column1]],#REF!,#REF!),0)</f>
        <v>0</v>
      </c>
      <c r="U655" s="50">
        <f>IFERROR(_xlfn.XLOOKUP(Table43[[#This Row],[Column1]],#REF!,#REF!),0)</f>
        <v>0</v>
      </c>
      <c r="V655" s="39"/>
    </row>
    <row r="656" spans="1:22" x14ac:dyDescent="0.35">
      <c r="A656" s="2" t="s">
        <v>5444</v>
      </c>
      <c r="B656" s="2" t="s">
        <v>1947</v>
      </c>
      <c r="C656" s="2" t="s">
        <v>9</v>
      </c>
      <c r="D656" s="2">
        <v>20.8</v>
      </c>
      <c r="E656" s="2" t="s">
        <v>10</v>
      </c>
      <c r="F656" s="2">
        <v>1</v>
      </c>
      <c r="G656" s="2">
        <v>2</v>
      </c>
      <c r="H656" s="2">
        <v>2</v>
      </c>
      <c r="I656" s="22">
        <f>Table43[[#This Row],[Item Cost]]*Table43[[#This Row],[In Stock]]</f>
        <v>41.6</v>
      </c>
      <c r="J656" s="12" t="s">
        <v>4941</v>
      </c>
      <c r="K656" s="13" t="s">
        <v>4664</v>
      </c>
      <c r="L656" s="13" t="s">
        <v>4674</v>
      </c>
      <c r="M656" s="13" t="s">
        <v>4837</v>
      </c>
      <c r="N656" s="12" t="s">
        <v>4672</v>
      </c>
      <c r="O656" s="17" t="str">
        <f>IF(LEN(COUNTIFS($J$1:J656,$J656,$K$1:K656,$K656,$L$1:L656,$L656,$M$1:M656,M656,$N$1:N656,N656))=1,"00"&amp;COUNTIFS($J$1:J656,$J656,$K$1:K656,$K656,$L$1:L656,$L656,$M$1:M656,M656,$N$1:N656,N656),IF(LEN(COUNTIFS($J$1:J656,$J656,$K$1:K656,$K656,$L$1:L656,$L656,$M$1:M656,M656,$N$1:N656,N656))=2,"0"&amp;COUNTIFS($J$1:J656,$J656,$K$1:K656,$K656,$L$1:L656,$L656,$M$1:M656,M656,$N$1:N656,N656),COUNTIFS($J$1:J656,$J656,$K$1:K656,$K656,$L$1:L656,$L656,$M$1:M656,M656,$N$1:N656,N656)))</f>
        <v>021</v>
      </c>
      <c r="P65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MS-CS-002-26-00021-INV</v>
      </c>
      <c r="Q656" s="59" t="s">
        <v>7358</v>
      </c>
      <c r="R656" s="34" t="s">
        <v>6432</v>
      </c>
      <c r="S656" s="34" t="s">
        <v>1947</v>
      </c>
      <c r="T656" s="34">
        <f>+IFERROR(_xlfn.XLOOKUP(Table43[[#This Row],[Column1]],#REF!,#REF!),0)</f>
        <v>0</v>
      </c>
      <c r="U656" s="50">
        <f>IFERROR(_xlfn.XLOOKUP(Table43[[#This Row],[Column1]],#REF!,#REF!),0)</f>
        <v>0</v>
      </c>
      <c r="V656" s="39"/>
    </row>
    <row r="657" spans="1:22" x14ac:dyDescent="0.35">
      <c r="A657" s="2" t="s">
        <v>5445</v>
      </c>
      <c r="B657" s="3" t="s">
        <v>1949</v>
      </c>
      <c r="C657" s="3" t="s">
        <v>9</v>
      </c>
      <c r="D657" s="3">
        <v>50.627000000000002</v>
      </c>
      <c r="E657" s="3" t="s">
        <v>10</v>
      </c>
      <c r="F657" s="2">
        <v>1</v>
      </c>
      <c r="G657" s="3">
        <v>3</v>
      </c>
      <c r="H657" s="3">
        <v>14</v>
      </c>
      <c r="I657" s="21">
        <f>Table43[[#This Row],[Item Cost]]*Table43[[#This Row],[In Stock]]</f>
        <v>708.77800000000002</v>
      </c>
      <c r="J657" s="12" t="s">
        <v>4941</v>
      </c>
      <c r="K657" s="13" t="s">
        <v>4664</v>
      </c>
      <c r="L657" s="13" t="s">
        <v>4674</v>
      </c>
      <c r="M657" s="13" t="s">
        <v>4837</v>
      </c>
      <c r="N657" s="12" t="s">
        <v>4672</v>
      </c>
      <c r="O657" s="17" t="str">
        <f>IF(LEN(COUNTIFS($J$1:J657,$J657,$K$1:K657,$K657,$L$1:L657,$L657,$M$1:M657,M657,$N$1:N657,N657))=1,"00"&amp;COUNTIFS($J$1:J657,$J657,$K$1:K657,$K657,$L$1:L657,$L657,$M$1:M657,M657,$N$1:N657,N657),IF(LEN(COUNTIFS($J$1:J657,$J657,$K$1:K657,$K657,$L$1:L657,$L657,$M$1:M657,M657,$N$1:N657,N657))=2,"0"&amp;COUNTIFS($J$1:J657,$J657,$K$1:K657,$K657,$L$1:L657,$L657,$M$1:M657,M657,$N$1:N657,N657),COUNTIFS($J$1:J657,$J657,$K$1:K657,$K657,$L$1:L657,$L657,$M$1:M657,M657,$N$1:N657,N657)))</f>
        <v>022</v>
      </c>
      <c r="P65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MS-CS-002-26-00022-INV</v>
      </c>
      <c r="Q657" s="59" t="s">
        <v>7366</v>
      </c>
      <c r="R657" s="34" t="s">
        <v>6433</v>
      </c>
      <c r="S657" s="34" t="s">
        <v>1949</v>
      </c>
      <c r="T657" s="34">
        <f>+IFERROR(_xlfn.XLOOKUP(Table43[[#This Row],[Column1]],#REF!,#REF!),0)</f>
        <v>0</v>
      </c>
      <c r="U657" s="50">
        <f>IFERROR(_xlfn.XLOOKUP(Table43[[#This Row],[Column1]],#REF!,#REF!),0)</f>
        <v>0</v>
      </c>
      <c r="V657" s="39"/>
    </row>
    <row r="658" spans="1:22" x14ac:dyDescent="0.35">
      <c r="A658" s="3" t="s">
        <v>5446</v>
      </c>
      <c r="B658" s="2" t="s">
        <v>1951</v>
      </c>
      <c r="C658" s="2" t="s">
        <v>9</v>
      </c>
      <c r="D658" s="4">
        <v>7310.75</v>
      </c>
      <c r="E658" s="2" t="s">
        <v>10</v>
      </c>
      <c r="F658" s="2">
        <v>1</v>
      </c>
      <c r="G658" s="2">
        <v>2</v>
      </c>
      <c r="H658" s="2">
        <v>1</v>
      </c>
      <c r="I658" s="22">
        <f>Table43[[#This Row],[Item Cost]]*Table43[[#This Row],[In Stock]]</f>
        <v>7310.75</v>
      </c>
      <c r="J658" s="12" t="s">
        <v>4941</v>
      </c>
      <c r="K658" s="13" t="s">
        <v>4664</v>
      </c>
      <c r="L658" s="13" t="s">
        <v>4674</v>
      </c>
      <c r="M658" s="13" t="s">
        <v>4833</v>
      </c>
      <c r="N658" s="12" t="s">
        <v>4672</v>
      </c>
      <c r="O658" s="17" t="str">
        <f>IF(LEN(COUNTIFS($J$1:J658,$J658,$K$1:K658,$K658,$L$1:L658,$L658,$M$1:M658,M658,$N$1:N658,N658))=1,"00"&amp;COUNTIFS($J$1:J658,$J658,$K$1:K658,$K658,$L$1:L658,$L658,$M$1:M658,M658,$N$1:N658,N658),IF(LEN(COUNTIFS($J$1:J658,$J658,$K$1:K658,$K658,$L$1:L658,$L658,$M$1:M658,M658,$N$1:N658,N658))=2,"0"&amp;COUNTIFS($J$1:J658,$J658,$K$1:K658,$K658,$L$1:L658,$L658,$M$1:M658,M658,$N$1:N658,N658),COUNTIFS($J$1:J658,$J658,$K$1:K658,$K658,$L$1:L658,$L658,$M$1:M658,M658,$N$1:N658,N658)))</f>
        <v>001</v>
      </c>
      <c r="P65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MS-CS-002-16-00001-INV</v>
      </c>
      <c r="Q658" s="59" t="s">
        <v>7352</v>
      </c>
      <c r="R658" s="34" t="s">
        <v>6434</v>
      </c>
      <c r="S658" s="34" t="s">
        <v>1951</v>
      </c>
      <c r="T658" s="34">
        <f>+IFERROR(_xlfn.XLOOKUP(Table43[[#This Row],[Column1]],#REF!,#REF!),0)</f>
        <v>0</v>
      </c>
      <c r="U658" s="50">
        <f>IFERROR(_xlfn.XLOOKUP(Table43[[#This Row],[Column1]],#REF!,#REF!),0)</f>
        <v>0</v>
      </c>
      <c r="V658" s="39"/>
    </row>
    <row r="659" spans="1:22" x14ac:dyDescent="0.35">
      <c r="A659" s="2" t="s">
        <v>5447</v>
      </c>
      <c r="B659" s="3" t="s">
        <v>1953</v>
      </c>
      <c r="C659" s="3" t="s">
        <v>9</v>
      </c>
      <c r="D659" s="5">
        <v>3266.5050000000001</v>
      </c>
      <c r="E659" s="3" t="s">
        <v>10</v>
      </c>
      <c r="F659" s="2">
        <v>1</v>
      </c>
      <c r="G659" s="3">
        <v>2</v>
      </c>
      <c r="H659" s="3">
        <v>2</v>
      </c>
      <c r="I659" s="21">
        <f>Table43[[#This Row],[Item Cost]]*Table43[[#This Row],[In Stock]]</f>
        <v>6533.01</v>
      </c>
      <c r="J659" s="12" t="s">
        <v>4941</v>
      </c>
      <c r="K659" s="13" t="s">
        <v>4664</v>
      </c>
      <c r="L659" s="13" t="s">
        <v>4674</v>
      </c>
      <c r="M659" s="13" t="s">
        <v>4833</v>
      </c>
      <c r="N659" s="12" t="s">
        <v>4672</v>
      </c>
      <c r="O659" s="17" t="str">
        <f>IF(LEN(COUNTIFS($J$1:J659,$J659,$K$1:K659,$K659,$L$1:L659,$L659,$M$1:M659,M659,$N$1:N659,N659))=1,"00"&amp;COUNTIFS($J$1:J659,$J659,$K$1:K659,$K659,$L$1:L659,$L659,$M$1:M659,M659,$N$1:N659,N659),IF(LEN(COUNTIFS($J$1:J659,$J659,$K$1:K659,$K659,$L$1:L659,$L659,$M$1:M659,M659,$N$1:N659,N659))=2,"0"&amp;COUNTIFS($J$1:J659,$J659,$K$1:K659,$K659,$L$1:L659,$L659,$M$1:M659,M659,$N$1:N659,N659),COUNTIFS($J$1:J659,$J659,$K$1:K659,$K659,$L$1:L659,$L659,$M$1:M659,M659,$N$1:N659,N659)))</f>
        <v>002</v>
      </c>
      <c r="P65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MS-CS-002-16-00002-INV</v>
      </c>
      <c r="Q659" s="59" t="s">
        <v>7352</v>
      </c>
      <c r="R659" s="34" t="s">
        <v>6435</v>
      </c>
      <c r="S659" s="34" t="s">
        <v>1953</v>
      </c>
      <c r="T659" s="34">
        <f>+IFERROR(_xlfn.XLOOKUP(Table43[[#This Row],[Column1]],#REF!,#REF!),0)</f>
        <v>0</v>
      </c>
      <c r="U659" s="50">
        <f>IFERROR(_xlfn.XLOOKUP(Table43[[#This Row],[Column1]],#REF!,#REF!),0)</f>
        <v>0</v>
      </c>
      <c r="V659" s="39"/>
    </row>
    <row r="660" spans="1:22" x14ac:dyDescent="0.35">
      <c r="A660" s="2" t="s">
        <v>5448</v>
      </c>
      <c r="B660" s="2" t="s">
        <v>1955</v>
      </c>
      <c r="C660" s="2" t="s">
        <v>9</v>
      </c>
      <c r="D660" s="2">
        <v>373.31400000000002</v>
      </c>
      <c r="E660" s="2" t="s">
        <v>10</v>
      </c>
      <c r="F660" s="2">
        <v>1</v>
      </c>
      <c r="G660" s="2">
        <v>5</v>
      </c>
      <c r="H660" s="2">
        <v>9</v>
      </c>
      <c r="I660" s="22">
        <f>Table43[[#This Row],[Item Cost]]*Table43[[#This Row],[In Stock]]</f>
        <v>3359.826</v>
      </c>
      <c r="J660" s="12" t="s">
        <v>4941</v>
      </c>
      <c r="K660" s="13" t="s">
        <v>4664</v>
      </c>
      <c r="L660" s="13" t="s">
        <v>4674</v>
      </c>
      <c r="M660" s="13" t="s">
        <v>4837</v>
      </c>
      <c r="N660" s="12" t="s">
        <v>4672</v>
      </c>
      <c r="O660" s="17" t="str">
        <f>IF(LEN(COUNTIFS($J$1:J660,$J660,$K$1:K660,$K660,$L$1:L660,$L660,$M$1:M660,M660,$N$1:N660,N660))=1,"00"&amp;COUNTIFS($J$1:J660,$J660,$K$1:K660,$K660,$L$1:L660,$L660,$M$1:M660,M660,$N$1:N660,N660),IF(LEN(COUNTIFS($J$1:J660,$J660,$K$1:K660,$K660,$L$1:L660,$L660,$M$1:M660,M660,$N$1:N660,N660))=2,"0"&amp;COUNTIFS($J$1:J660,$J660,$K$1:K660,$K660,$L$1:L660,$L660,$M$1:M660,M660,$N$1:N660,N660),COUNTIFS($J$1:J660,$J660,$K$1:K660,$K660,$L$1:L660,$L660,$M$1:M660,M660,$N$1:N660,N660)))</f>
        <v>023</v>
      </c>
      <c r="P66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MS-CS-002-26-00023-INV</v>
      </c>
      <c r="Q660" s="59" t="s">
        <v>7358</v>
      </c>
      <c r="R660" s="34" t="s">
        <v>6436</v>
      </c>
      <c r="S660" s="34" t="s">
        <v>1955</v>
      </c>
      <c r="T660" s="34">
        <f>+IFERROR(_xlfn.XLOOKUP(Table43[[#This Row],[Column1]],#REF!,#REF!),0)</f>
        <v>0</v>
      </c>
      <c r="U660" s="50">
        <f>IFERROR(_xlfn.XLOOKUP(Table43[[#This Row],[Column1]],#REF!,#REF!),0)</f>
        <v>0</v>
      </c>
      <c r="V660" s="39"/>
    </row>
    <row r="661" spans="1:22" x14ac:dyDescent="0.35">
      <c r="A661" s="3" t="s">
        <v>5449</v>
      </c>
      <c r="B661" s="3" t="s">
        <v>1957</v>
      </c>
      <c r="C661" s="3" t="s">
        <v>9</v>
      </c>
      <c r="D661" s="3">
        <v>128.327</v>
      </c>
      <c r="E661" s="3" t="s">
        <v>10</v>
      </c>
      <c r="F661" s="2">
        <v>1</v>
      </c>
      <c r="G661" s="3">
        <v>5</v>
      </c>
      <c r="H661" s="3">
        <v>9</v>
      </c>
      <c r="I661" s="21">
        <f>Table43[[#This Row],[Item Cost]]*Table43[[#This Row],[In Stock]]</f>
        <v>1154.943</v>
      </c>
      <c r="J661" s="12" t="s">
        <v>4941</v>
      </c>
      <c r="K661" s="13" t="s">
        <v>4664</v>
      </c>
      <c r="L661" s="13" t="s">
        <v>4674</v>
      </c>
      <c r="M661" s="13" t="s">
        <v>4837</v>
      </c>
      <c r="N661" s="12" t="s">
        <v>4672</v>
      </c>
      <c r="O661" s="17" t="str">
        <f>IF(LEN(COUNTIFS($J$1:J661,$J661,$K$1:K661,$K661,$L$1:L661,$L661,$M$1:M661,M661,$N$1:N661,N661))=1,"00"&amp;COUNTIFS($J$1:J661,$J661,$K$1:K661,$K661,$L$1:L661,$L661,$M$1:M661,M661,$N$1:N661,N661),IF(LEN(COUNTIFS($J$1:J661,$J661,$K$1:K661,$K661,$L$1:L661,$L661,$M$1:M661,M661,$N$1:N661,N661))=2,"0"&amp;COUNTIFS($J$1:J661,$J661,$K$1:K661,$K661,$L$1:L661,$L661,$M$1:M661,M661,$N$1:N661,N661),COUNTIFS($J$1:J661,$J661,$K$1:K661,$K661,$L$1:L661,$L661,$M$1:M661,M661,$N$1:N661,N661)))</f>
        <v>024</v>
      </c>
      <c r="P66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MS-CS-002-26-00024-INV</v>
      </c>
      <c r="Q661" s="59" t="s">
        <v>7358</v>
      </c>
      <c r="R661" s="34" t="s">
        <v>6437</v>
      </c>
      <c r="S661" s="34" t="s">
        <v>1957</v>
      </c>
      <c r="T661" s="34">
        <f>+IFERROR(_xlfn.XLOOKUP(Table43[[#This Row],[Column1]],#REF!,#REF!),0)</f>
        <v>0</v>
      </c>
      <c r="U661" s="50">
        <f>IFERROR(_xlfn.XLOOKUP(Table43[[#This Row],[Column1]],#REF!,#REF!),0)</f>
        <v>0</v>
      </c>
      <c r="V661" s="39"/>
    </row>
    <row r="662" spans="1:22" x14ac:dyDescent="0.35">
      <c r="A662" s="2" t="s">
        <v>5450</v>
      </c>
      <c r="B662" s="2" t="s">
        <v>1959</v>
      </c>
      <c r="C662" s="2" t="s">
        <v>9</v>
      </c>
      <c r="D662" s="4">
        <v>5500</v>
      </c>
      <c r="E662" s="2" t="s">
        <v>10</v>
      </c>
      <c r="F662" s="2">
        <v>1</v>
      </c>
      <c r="G662" s="2">
        <v>2</v>
      </c>
      <c r="H662" s="2">
        <v>1</v>
      </c>
      <c r="I662" s="22">
        <f>Table43[[#This Row],[Item Cost]]*Table43[[#This Row],[In Stock]]</f>
        <v>5500</v>
      </c>
      <c r="J662" s="12" t="s">
        <v>4941</v>
      </c>
      <c r="K662" s="13" t="s">
        <v>4664</v>
      </c>
      <c r="L662" s="13" t="s">
        <v>4674</v>
      </c>
      <c r="M662" s="13" t="s">
        <v>4837</v>
      </c>
      <c r="N662" s="12" t="s">
        <v>4672</v>
      </c>
      <c r="O662" s="17" t="str">
        <f>IF(LEN(COUNTIFS($J$1:J662,$J662,$K$1:K662,$K662,$L$1:L662,$L662,$M$1:M662,M662,$N$1:N662,N662))=1,"00"&amp;COUNTIFS($J$1:J662,$J662,$K$1:K662,$K662,$L$1:L662,$L662,$M$1:M662,M662,$N$1:N662,N662),IF(LEN(COUNTIFS($J$1:J662,$J662,$K$1:K662,$K662,$L$1:L662,$L662,$M$1:M662,M662,$N$1:N662,N662))=2,"0"&amp;COUNTIFS($J$1:J662,$J662,$K$1:K662,$K662,$L$1:L662,$L662,$M$1:M662,M662,$N$1:N662,N662),COUNTIFS($J$1:J662,$J662,$K$1:K662,$K662,$L$1:L662,$L662,$M$1:M662,M662,$N$1:N662,N662)))</f>
        <v>025</v>
      </c>
      <c r="P66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MS-CS-002-26-00025-INV</v>
      </c>
      <c r="Q662" s="59" t="s">
        <v>7362</v>
      </c>
      <c r="R662" s="34" t="s">
        <v>6438</v>
      </c>
      <c r="S662" s="34" t="s">
        <v>1959</v>
      </c>
      <c r="T662" s="34">
        <f>+IFERROR(_xlfn.XLOOKUP(Table43[[#This Row],[Column1]],#REF!,#REF!),0)</f>
        <v>0</v>
      </c>
      <c r="U662" s="50">
        <f>IFERROR(_xlfn.XLOOKUP(Table43[[#This Row],[Column1]],#REF!,#REF!),0)</f>
        <v>0</v>
      </c>
      <c r="V662" s="39"/>
    </row>
    <row r="663" spans="1:22" x14ac:dyDescent="0.35">
      <c r="A663" s="2" t="s">
        <v>5451</v>
      </c>
      <c r="B663" s="3" t="s">
        <v>1961</v>
      </c>
      <c r="C663" s="3" t="s">
        <v>9</v>
      </c>
      <c r="D663" s="5">
        <v>2500</v>
      </c>
      <c r="E663" s="3" t="s">
        <v>10</v>
      </c>
      <c r="F663" s="2">
        <v>1</v>
      </c>
      <c r="G663" s="3">
        <v>2</v>
      </c>
      <c r="H663" s="3">
        <v>0</v>
      </c>
      <c r="I663" s="21">
        <f>Table43[[#This Row],[Item Cost]]*Table43[[#This Row],[In Stock]]</f>
        <v>0</v>
      </c>
      <c r="J663" s="12" t="s">
        <v>4941</v>
      </c>
      <c r="K663" s="13" t="s">
        <v>4664</v>
      </c>
      <c r="L663" s="13" t="s">
        <v>4674</v>
      </c>
      <c r="M663" s="13" t="s">
        <v>4837</v>
      </c>
      <c r="N663" s="12" t="s">
        <v>4672</v>
      </c>
      <c r="O663" s="17" t="str">
        <f>IF(LEN(COUNTIFS($J$1:J663,$J663,$K$1:K663,$K663,$L$1:L663,$L663,$M$1:M663,M663,$N$1:N663,N663))=1,"00"&amp;COUNTIFS($J$1:J663,$J663,$K$1:K663,$K663,$L$1:L663,$L663,$M$1:M663,M663,$N$1:N663,N663),IF(LEN(COUNTIFS($J$1:J663,$J663,$K$1:K663,$K663,$L$1:L663,$L663,$M$1:M663,M663,$N$1:N663,N663))=2,"0"&amp;COUNTIFS($J$1:J663,$J663,$K$1:K663,$K663,$L$1:L663,$L663,$M$1:M663,M663,$N$1:N663,N663),COUNTIFS($J$1:J663,$J663,$K$1:K663,$K663,$L$1:L663,$L663,$M$1:M663,M663,$N$1:N663,N663)))</f>
        <v>026</v>
      </c>
      <c r="P66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MS-CS-002-26-00026-INV</v>
      </c>
      <c r="Q663" s="59"/>
      <c r="R663" s="34" t="s">
        <v>6439</v>
      </c>
      <c r="S663" s="34" t="s">
        <v>1961</v>
      </c>
      <c r="T663" s="34">
        <f>+IFERROR(_xlfn.XLOOKUP(Table43[[#This Row],[Column1]],#REF!,#REF!),0)</f>
        <v>0</v>
      </c>
      <c r="U663" s="50">
        <f>IFERROR(_xlfn.XLOOKUP(Table43[[#This Row],[Column1]],#REF!,#REF!),0)</f>
        <v>0</v>
      </c>
      <c r="V663" s="39"/>
    </row>
    <row r="664" spans="1:22" x14ac:dyDescent="0.35">
      <c r="A664" s="3" t="s">
        <v>5452</v>
      </c>
      <c r="B664" s="2" t="s">
        <v>1963</v>
      </c>
      <c r="C664" s="2" t="s">
        <v>9</v>
      </c>
      <c r="D664" s="4">
        <v>2095.6</v>
      </c>
      <c r="E664" s="2" t="s">
        <v>10</v>
      </c>
      <c r="F664" s="2">
        <v>1</v>
      </c>
      <c r="G664" s="2">
        <v>2</v>
      </c>
      <c r="H664" s="2">
        <v>1</v>
      </c>
      <c r="I664" s="22">
        <f>Table43[[#This Row],[Item Cost]]*Table43[[#This Row],[In Stock]]</f>
        <v>2095.6</v>
      </c>
      <c r="J664" s="12" t="s">
        <v>4941</v>
      </c>
      <c r="K664" s="13" t="s">
        <v>4664</v>
      </c>
      <c r="L664" s="13" t="s">
        <v>4674</v>
      </c>
      <c r="M664" s="13" t="s">
        <v>4693</v>
      </c>
      <c r="N664" s="12" t="s">
        <v>4672</v>
      </c>
      <c r="O664" s="17" t="str">
        <f>IF(LEN(COUNTIFS($J$1:J664,$J664,$K$1:K664,$K664,$L$1:L664,$L664,$M$1:M664,M664,$N$1:N664,N664))=1,"00"&amp;COUNTIFS($J$1:J664,$J664,$K$1:K664,$K664,$L$1:L664,$L664,$M$1:M664,M664,$N$1:N664,N664),IF(LEN(COUNTIFS($J$1:J664,$J664,$K$1:K664,$K664,$L$1:L664,$L664,$M$1:M664,M664,$N$1:N664,N664))=2,"0"&amp;COUNTIFS($J$1:J664,$J664,$K$1:K664,$K664,$L$1:L664,$L664,$M$1:M664,M664,$N$1:N664,N664),COUNTIFS($J$1:J664,$J664,$K$1:K664,$K664,$L$1:L664,$L664,$M$1:M664,M664,$N$1:N664,N664)))</f>
        <v>016</v>
      </c>
      <c r="P66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MS-CS-002-23-00016-INV</v>
      </c>
      <c r="Q664" s="59" t="s">
        <v>7360</v>
      </c>
      <c r="R664" s="34" t="s">
        <v>6440</v>
      </c>
      <c r="S664" s="34" t="s">
        <v>1963</v>
      </c>
      <c r="T664" s="34">
        <f>+IFERROR(_xlfn.XLOOKUP(Table43[[#This Row],[Column1]],#REF!,#REF!),0)</f>
        <v>0</v>
      </c>
      <c r="U664" s="50">
        <f>IFERROR(_xlfn.XLOOKUP(Table43[[#This Row],[Column1]],#REF!,#REF!),0)</f>
        <v>0</v>
      </c>
      <c r="V664" s="39"/>
    </row>
    <row r="665" spans="1:22" x14ac:dyDescent="0.35">
      <c r="A665" s="2" t="s">
        <v>5453</v>
      </c>
      <c r="B665" s="3" t="s">
        <v>1965</v>
      </c>
      <c r="C665" s="3" t="s">
        <v>15</v>
      </c>
      <c r="D665" s="3">
        <v>0</v>
      </c>
      <c r="E665" s="3" t="s">
        <v>10</v>
      </c>
      <c r="F665" s="2">
        <v>1</v>
      </c>
      <c r="G665" s="2">
        <v>2</v>
      </c>
      <c r="H665" s="3">
        <v>0</v>
      </c>
      <c r="I665" s="21">
        <f>Table43[[#This Row],[Item Cost]]*Table43[[#This Row],[In Stock]]</f>
        <v>0</v>
      </c>
      <c r="J665" s="12" t="s">
        <v>4941</v>
      </c>
      <c r="K665" s="13" t="s">
        <v>4666</v>
      </c>
      <c r="L665" s="13" t="s">
        <v>4674</v>
      </c>
      <c r="M665" s="13" t="s">
        <v>4777</v>
      </c>
      <c r="N665" s="12" t="s">
        <v>4672</v>
      </c>
      <c r="O665" s="17" t="str">
        <f>IF(LEN(COUNTIFS($J$1:J665,$J665,$K$1:K665,$K665,$L$1:L665,$L665,$M$1:M665,M665,$N$1:N665,N665))=1,"00"&amp;COUNTIFS($J$1:J665,$J665,$K$1:K665,$K665,$L$1:L665,$L665,$M$1:M665,M665,$N$1:N665,N665),IF(LEN(COUNTIFS($J$1:J665,$J665,$K$1:K665,$K665,$L$1:L665,$L665,$M$1:M665,M665,$N$1:N665,N665))=2,"0"&amp;COUNTIFS($J$1:J665,$J665,$K$1:K665,$K665,$L$1:L665,$L665,$M$1:M665,M665,$N$1:N665,N665),COUNTIFS($J$1:J665,$J665,$K$1:K665,$K665,$L$1:L665,$L665,$M$1:M665,M665,$N$1:N665,N665)))</f>
        <v>001</v>
      </c>
      <c r="P66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MS-NS-002-11-00001-INV</v>
      </c>
      <c r="Q665" s="59"/>
      <c r="R665" s="34" t="s">
        <v>6441</v>
      </c>
      <c r="S665" s="34" t="s">
        <v>1965</v>
      </c>
      <c r="T665" s="34">
        <f>+IFERROR(_xlfn.XLOOKUP(Table43[[#This Row],[Column1]],#REF!,#REF!),0)</f>
        <v>0</v>
      </c>
      <c r="U665" s="50">
        <f>IFERROR(_xlfn.XLOOKUP(Table43[[#This Row],[Column1]],#REF!,#REF!),0)</f>
        <v>0</v>
      </c>
      <c r="V665" s="39"/>
    </row>
    <row r="666" spans="1:22" x14ac:dyDescent="0.35">
      <c r="A666" s="2" t="s">
        <v>5454</v>
      </c>
      <c r="B666" s="3" t="s">
        <v>1973</v>
      </c>
      <c r="C666" s="3" t="s">
        <v>15</v>
      </c>
      <c r="D666" s="3">
        <v>0</v>
      </c>
      <c r="E666" s="3" t="s">
        <v>10</v>
      </c>
      <c r="F666" s="2">
        <v>1</v>
      </c>
      <c r="G666" s="2">
        <v>2</v>
      </c>
      <c r="H666" s="3">
        <v>0</v>
      </c>
      <c r="I666" s="21">
        <f>Table43[[#This Row],[Item Cost]]*Table43[[#This Row],[In Stock]]</f>
        <v>0</v>
      </c>
      <c r="J666" s="12" t="s">
        <v>4941</v>
      </c>
      <c r="K666" s="13" t="s">
        <v>4666</v>
      </c>
      <c r="L666" s="13" t="s">
        <v>4674</v>
      </c>
      <c r="M666" s="13" t="s">
        <v>4832</v>
      </c>
      <c r="N666" s="12" t="s">
        <v>4672</v>
      </c>
      <c r="O666" s="17" t="str">
        <f>IF(LEN(COUNTIFS($J$1:J666,$J666,$K$1:K666,$K666,$L$1:L666,$L666,$M$1:M666,M666,$N$1:N666,N666))=1,"00"&amp;COUNTIFS($J$1:J666,$J666,$K$1:K666,$K666,$L$1:L666,$L666,$M$1:M666,M666,$N$1:N666,N666),IF(LEN(COUNTIFS($J$1:J666,$J666,$K$1:K666,$K666,$L$1:L666,$L666,$M$1:M666,M666,$N$1:N666,N666))=2,"0"&amp;COUNTIFS($J$1:J666,$J666,$K$1:K666,$K666,$L$1:L666,$L666,$M$1:M666,M666,$N$1:N666,N666),COUNTIFS($J$1:J666,$J666,$K$1:K666,$K666,$L$1:L666,$L666,$M$1:M666,M666,$N$1:N666,N666)))</f>
        <v>002</v>
      </c>
      <c r="P66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MS-NS-002-07-00002-INV</v>
      </c>
      <c r="Q666" s="59"/>
      <c r="R666" s="34"/>
      <c r="S666" s="34">
        <v>0</v>
      </c>
      <c r="T666" s="34">
        <f>+IFERROR(_xlfn.XLOOKUP(Table43[[#This Row],[Column1]],#REF!,#REF!),0)</f>
        <v>0</v>
      </c>
      <c r="U666" s="50">
        <f>IFERROR(_xlfn.XLOOKUP(Table43[[#This Row],[Column1]],#REF!,#REF!),0)</f>
        <v>0</v>
      </c>
      <c r="V666" s="39"/>
    </row>
    <row r="667" spans="1:22" x14ac:dyDescent="0.35">
      <c r="A667" s="3" t="s">
        <v>5455</v>
      </c>
      <c r="B667" s="2" t="s">
        <v>1975</v>
      </c>
      <c r="C667" s="2" t="s">
        <v>15</v>
      </c>
      <c r="D667" s="2">
        <v>0</v>
      </c>
      <c r="E667" s="2" t="s">
        <v>10</v>
      </c>
      <c r="F667" s="2">
        <v>1</v>
      </c>
      <c r="G667" s="2">
        <v>2</v>
      </c>
      <c r="H667" s="2">
        <v>0</v>
      </c>
      <c r="I667" s="22">
        <f>Table43[[#This Row],[Item Cost]]*Table43[[#This Row],[In Stock]]</f>
        <v>0</v>
      </c>
      <c r="J667" s="12" t="s">
        <v>4941</v>
      </c>
      <c r="K667" s="13" t="s">
        <v>4666</v>
      </c>
      <c r="L667" s="13" t="s">
        <v>4674</v>
      </c>
      <c r="M667" s="13" t="s">
        <v>4837</v>
      </c>
      <c r="N667" s="12" t="s">
        <v>4672</v>
      </c>
      <c r="O667" s="17" t="str">
        <f>IF(LEN(COUNTIFS($J$1:J667,$J667,$K$1:K667,$K667,$L$1:L667,$L667,$M$1:M667,M667,$N$1:N667,N667))=1,"00"&amp;COUNTIFS($J$1:J667,$J667,$K$1:K667,$K667,$L$1:L667,$L667,$M$1:M667,M667,$N$1:N667,N667),IF(LEN(COUNTIFS($J$1:J667,$J667,$K$1:K667,$K667,$L$1:L667,$L667,$M$1:M667,M667,$N$1:N667,N667))=2,"0"&amp;COUNTIFS($J$1:J667,$J667,$K$1:K667,$K667,$L$1:L667,$L667,$M$1:M667,M667,$N$1:N667,N667),COUNTIFS($J$1:J667,$J667,$K$1:K667,$K667,$L$1:L667,$L667,$M$1:M667,M667,$N$1:N667,N667)))</f>
        <v>011</v>
      </c>
      <c r="P66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MS-NS-002-26-00011-INV</v>
      </c>
      <c r="Q667" s="59"/>
      <c r="R667" s="34" t="s">
        <v>6442</v>
      </c>
      <c r="S667" s="34" t="s">
        <v>1975</v>
      </c>
      <c r="T667" s="34">
        <f>+IFERROR(_xlfn.XLOOKUP(Table43[[#This Row],[Column1]],#REF!,#REF!),0)</f>
        <v>0</v>
      </c>
      <c r="U667" s="50">
        <f>IFERROR(_xlfn.XLOOKUP(Table43[[#This Row],[Column1]],#REF!,#REF!),0)</f>
        <v>0</v>
      </c>
      <c r="V667" s="39"/>
    </row>
    <row r="668" spans="1:22" x14ac:dyDescent="0.35">
      <c r="A668" s="2" t="s">
        <v>5456</v>
      </c>
      <c r="B668" s="3" t="s">
        <v>1977</v>
      </c>
      <c r="C668" s="3" t="s">
        <v>15</v>
      </c>
      <c r="D668" s="3">
        <v>0</v>
      </c>
      <c r="E668" s="3" t="s">
        <v>10</v>
      </c>
      <c r="F668" s="2">
        <v>1</v>
      </c>
      <c r="G668" s="2">
        <v>2</v>
      </c>
      <c r="H668" s="3">
        <v>0</v>
      </c>
      <c r="I668" s="21">
        <f>Table43[[#This Row],[Item Cost]]*Table43[[#This Row],[In Stock]]</f>
        <v>0</v>
      </c>
      <c r="J668" s="12" t="s">
        <v>4941</v>
      </c>
      <c r="K668" s="13" t="s">
        <v>4666</v>
      </c>
      <c r="L668" s="13" t="s">
        <v>4674</v>
      </c>
      <c r="M668" s="13" t="s">
        <v>4837</v>
      </c>
      <c r="N668" s="12" t="s">
        <v>4672</v>
      </c>
      <c r="O668" s="17" t="str">
        <f>IF(LEN(COUNTIFS($J$1:J668,$J668,$K$1:K668,$K668,$L$1:L668,$L668,$M$1:M668,M668,$N$1:N668,N668))=1,"00"&amp;COUNTIFS($J$1:J668,$J668,$K$1:K668,$K668,$L$1:L668,$L668,$M$1:M668,M668,$N$1:N668,N668),IF(LEN(COUNTIFS($J$1:J668,$J668,$K$1:K668,$K668,$L$1:L668,$L668,$M$1:M668,M668,$N$1:N668,N668))=2,"0"&amp;COUNTIFS($J$1:J668,$J668,$K$1:K668,$K668,$L$1:L668,$L668,$M$1:M668,M668,$N$1:N668,N668),COUNTIFS($J$1:J668,$J668,$K$1:K668,$K668,$L$1:L668,$L668,$M$1:M668,M668,$N$1:N668,N668)))</f>
        <v>012</v>
      </c>
      <c r="P66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MS-NS-002-26-00012-INV</v>
      </c>
      <c r="Q668" s="59"/>
      <c r="R668" s="34"/>
      <c r="S668" s="34">
        <v>0</v>
      </c>
      <c r="T668" s="34">
        <f>+IFERROR(_xlfn.XLOOKUP(Table43[[#This Row],[Column1]],#REF!,#REF!),0)</f>
        <v>0</v>
      </c>
      <c r="U668" s="50">
        <f>IFERROR(_xlfn.XLOOKUP(Table43[[#This Row],[Column1]],#REF!,#REF!),0)</f>
        <v>0</v>
      </c>
      <c r="V668" s="39"/>
    </row>
    <row r="669" spans="1:22" x14ac:dyDescent="0.35">
      <c r="A669" s="2" t="s">
        <v>5457</v>
      </c>
      <c r="B669" s="2" t="s">
        <v>1979</v>
      </c>
      <c r="C669" s="2" t="s">
        <v>9</v>
      </c>
      <c r="D669" s="2">
        <v>500</v>
      </c>
      <c r="E669" s="2" t="s">
        <v>10</v>
      </c>
      <c r="F669" s="2">
        <v>1</v>
      </c>
      <c r="G669" s="2">
        <v>2</v>
      </c>
      <c r="H669" s="2">
        <v>2</v>
      </c>
      <c r="I669" s="22">
        <f>Table43[[#This Row],[Item Cost]]*Table43[[#This Row],[In Stock]]</f>
        <v>1000</v>
      </c>
      <c r="J669" s="12" t="s">
        <v>4941</v>
      </c>
      <c r="K669" s="13" t="s">
        <v>4664</v>
      </c>
      <c r="L669" s="13" t="s">
        <v>4674</v>
      </c>
      <c r="M669" s="13" t="s">
        <v>4837</v>
      </c>
      <c r="N669" s="12" t="s">
        <v>4672</v>
      </c>
      <c r="O669" s="17" t="str">
        <f>IF(LEN(COUNTIFS($J$1:J669,$J669,$K$1:K669,$K669,$L$1:L669,$L669,$M$1:M669,M669,$N$1:N669,N669))=1,"00"&amp;COUNTIFS($J$1:J669,$J669,$K$1:K669,$K669,$L$1:L669,$L669,$M$1:M669,M669,$N$1:N669,N669),IF(LEN(COUNTIFS($J$1:J669,$J669,$K$1:K669,$K669,$L$1:L669,$L669,$M$1:M669,M669,$N$1:N669,N669))=2,"0"&amp;COUNTIFS($J$1:J669,$J669,$K$1:K669,$K669,$L$1:L669,$L669,$M$1:M669,M669,$N$1:N669,N669),COUNTIFS($J$1:J669,$J669,$K$1:K669,$K669,$L$1:L669,$L669,$M$1:M669,M669,$N$1:N669,N669)))</f>
        <v>027</v>
      </c>
      <c r="P66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MS-CS-002-26-00027-INV</v>
      </c>
      <c r="Q669" s="59"/>
      <c r="R669" s="34"/>
      <c r="S669" s="34">
        <v>0</v>
      </c>
      <c r="T669" s="34">
        <f>+IFERROR(_xlfn.XLOOKUP(Table43[[#This Row],[Column1]],#REF!,#REF!),0)</f>
        <v>0</v>
      </c>
      <c r="U669" s="50">
        <f>IFERROR(_xlfn.XLOOKUP(Table43[[#This Row],[Column1]],#REF!,#REF!),0)</f>
        <v>0</v>
      </c>
      <c r="V669" s="39"/>
    </row>
    <row r="670" spans="1:22" x14ac:dyDescent="0.35">
      <c r="A670" s="3" t="s">
        <v>5458</v>
      </c>
      <c r="B670" s="3" t="s">
        <v>1981</v>
      </c>
      <c r="C670" s="3" t="s">
        <v>9</v>
      </c>
      <c r="D670" s="5">
        <v>12000</v>
      </c>
      <c r="E670" s="3" t="s">
        <v>10</v>
      </c>
      <c r="F670" s="2">
        <v>1</v>
      </c>
      <c r="G670" s="3">
        <v>2</v>
      </c>
      <c r="H670" s="3">
        <v>1</v>
      </c>
      <c r="I670" s="21">
        <f>Table43[[#This Row],[Item Cost]]*Table43[[#This Row],[In Stock]]</f>
        <v>12000</v>
      </c>
      <c r="J670" s="12" t="s">
        <v>4941</v>
      </c>
      <c r="K670" s="13" t="s">
        <v>4664</v>
      </c>
      <c r="L670" s="13" t="s">
        <v>4674</v>
      </c>
      <c r="M670" s="13" t="s">
        <v>4734</v>
      </c>
      <c r="N670" s="12" t="s">
        <v>4672</v>
      </c>
      <c r="O670" s="17" t="str">
        <f>IF(LEN(COUNTIFS($J$1:J670,$J670,$K$1:K670,$K670,$L$1:L670,$L670,$M$1:M670,M670,$N$1:N670,N670))=1,"00"&amp;COUNTIFS($J$1:J670,$J670,$K$1:K670,$K670,$L$1:L670,$L670,$M$1:M670,M670,$N$1:N670,N670),IF(LEN(COUNTIFS($J$1:J670,$J670,$K$1:K670,$K670,$L$1:L670,$L670,$M$1:M670,M670,$N$1:N670,N670))=2,"0"&amp;COUNTIFS($J$1:J670,$J670,$K$1:K670,$K670,$L$1:L670,$L670,$M$1:M670,M670,$N$1:N670,N670),COUNTIFS($J$1:J670,$J670,$K$1:K670,$K670,$L$1:L670,$L670,$M$1:M670,M670,$N$1:N670,N670)))</f>
        <v>001</v>
      </c>
      <c r="P67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MS-CS-002-02-00001-INV</v>
      </c>
      <c r="Q670" s="59"/>
      <c r="R670" s="34" t="s">
        <v>6443</v>
      </c>
      <c r="S670" s="34" t="s">
        <v>1981</v>
      </c>
      <c r="T670" s="34">
        <f>+IFERROR(_xlfn.XLOOKUP(Table43[[#This Row],[Column1]],#REF!,#REF!),0)</f>
        <v>0</v>
      </c>
      <c r="U670" s="50">
        <f>IFERROR(_xlfn.XLOOKUP(Table43[[#This Row],[Column1]],#REF!,#REF!),0)</f>
        <v>0</v>
      </c>
      <c r="V670" s="39"/>
    </row>
    <row r="671" spans="1:22" x14ac:dyDescent="0.35">
      <c r="A671" s="2" t="s">
        <v>5459</v>
      </c>
      <c r="B671" s="2" t="s">
        <v>1983</v>
      </c>
      <c r="C671" s="2" t="s">
        <v>15</v>
      </c>
      <c r="D671" s="2">
        <v>0</v>
      </c>
      <c r="E671" s="2" t="s">
        <v>10</v>
      </c>
      <c r="F671" s="2">
        <v>1</v>
      </c>
      <c r="G671" s="2">
        <v>2</v>
      </c>
      <c r="H671" s="2">
        <v>0</v>
      </c>
      <c r="I671" s="22">
        <f>Table43[[#This Row],[Item Cost]]*Table43[[#This Row],[In Stock]]</f>
        <v>0</v>
      </c>
      <c r="J671" s="12" t="s">
        <v>4941</v>
      </c>
      <c r="K671" s="13" t="s">
        <v>4666</v>
      </c>
      <c r="L671" s="13" t="s">
        <v>4674</v>
      </c>
      <c r="M671" s="13" t="s">
        <v>4734</v>
      </c>
      <c r="N671" s="12" t="s">
        <v>4672</v>
      </c>
      <c r="O671" s="17" t="str">
        <f>IF(LEN(COUNTIFS($J$1:J671,$J671,$K$1:K671,$K671,$L$1:L671,$L671,$M$1:M671,M671,$N$1:N671,N671))=1,"00"&amp;COUNTIFS($J$1:J671,$J671,$K$1:K671,$K671,$L$1:L671,$L671,$M$1:M671,M671,$N$1:N671,N671),IF(LEN(COUNTIFS($J$1:J671,$J671,$K$1:K671,$K671,$L$1:L671,$L671,$M$1:M671,M671,$N$1:N671,N671))=2,"0"&amp;COUNTIFS($J$1:J671,$J671,$K$1:K671,$K671,$L$1:L671,$L671,$M$1:M671,M671,$N$1:N671,N671),COUNTIFS($J$1:J671,$J671,$K$1:K671,$K671,$L$1:L671,$L671,$M$1:M671,M671,$N$1:N671,N671)))</f>
        <v>004</v>
      </c>
      <c r="P67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MS-NS-002-02-00004-INV</v>
      </c>
      <c r="Q671" s="59"/>
      <c r="R671" s="34" t="s">
        <v>6444</v>
      </c>
      <c r="S671" s="34" t="s">
        <v>1983</v>
      </c>
      <c r="T671" s="34">
        <f>+IFERROR(_xlfn.XLOOKUP(Table43[[#This Row],[Column1]],#REF!,#REF!),0)</f>
        <v>0</v>
      </c>
      <c r="U671" s="50">
        <f>IFERROR(_xlfn.XLOOKUP(Table43[[#This Row],[Column1]],#REF!,#REF!),0)</f>
        <v>0</v>
      </c>
      <c r="V671" s="39"/>
    </row>
    <row r="672" spans="1:22" x14ac:dyDescent="0.35">
      <c r="A672" s="2" t="s">
        <v>5460</v>
      </c>
      <c r="B672" s="3" t="s">
        <v>1985</v>
      </c>
      <c r="C672" s="3" t="s">
        <v>9</v>
      </c>
      <c r="D672" s="3">
        <v>504.4</v>
      </c>
      <c r="E672" s="3" t="s">
        <v>10</v>
      </c>
      <c r="F672" s="2">
        <v>1</v>
      </c>
      <c r="G672" s="3">
        <v>2</v>
      </c>
      <c r="H672" s="3">
        <v>2</v>
      </c>
      <c r="I672" s="21">
        <f>Table43[[#This Row],[Item Cost]]*Table43[[#This Row],[In Stock]]</f>
        <v>1008.8</v>
      </c>
      <c r="J672" s="12" t="s">
        <v>4941</v>
      </c>
      <c r="K672" s="13" t="s">
        <v>4664</v>
      </c>
      <c r="L672" s="13" t="s">
        <v>4674</v>
      </c>
      <c r="M672" s="13" t="s">
        <v>4837</v>
      </c>
      <c r="N672" s="12" t="s">
        <v>4672</v>
      </c>
      <c r="O672" s="17" t="str">
        <f>IF(LEN(COUNTIFS($J$1:J672,$J672,$K$1:K672,$K672,$L$1:L672,$L672,$M$1:M672,M672,$N$1:N672,N672))=1,"00"&amp;COUNTIFS($J$1:J672,$J672,$K$1:K672,$K672,$L$1:L672,$L672,$M$1:M672,M672,$N$1:N672,N672),IF(LEN(COUNTIFS($J$1:J672,$J672,$K$1:K672,$K672,$L$1:L672,$L672,$M$1:M672,M672,$N$1:N672,N672))=2,"0"&amp;COUNTIFS($J$1:J672,$J672,$K$1:K672,$K672,$L$1:L672,$L672,$M$1:M672,M672,$N$1:N672,N672),COUNTIFS($J$1:J672,$J672,$K$1:K672,$K672,$L$1:L672,$L672,$M$1:M672,M672,$N$1:N672,N672)))</f>
        <v>028</v>
      </c>
      <c r="P67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MS-CS-002-26-00028-INV</v>
      </c>
      <c r="Q672" s="59" t="s">
        <v>7366</v>
      </c>
      <c r="R672" s="34" t="s">
        <v>6445</v>
      </c>
      <c r="S672" s="34" t="s">
        <v>1985</v>
      </c>
      <c r="T672" s="34">
        <f>+IFERROR(_xlfn.XLOOKUP(Table43[[#This Row],[Column1]],#REF!,#REF!),0)</f>
        <v>0</v>
      </c>
      <c r="U672" s="50">
        <f>IFERROR(_xlfn.XLOOKUP(Table43[[#This Row],[Column1]],#REF!,#REF!),0)</f>
        <v>0</v>
      </c>
      <c r="V672" s="39"/>
    </row>
    <row r="673" spans="1:22" x14ac:dyDescent="0.35">
      <c r="A673" s="3" t="s">
        <v>5461</v>
      </c>
      <c r="B673" s="2" t="s">
        <v>1987</v>
      </c>
      <c r="C673" s="2" t="s">
        <v>9</v>
      </c>
      <c r="D673" s="4">
        <v>2860</v>
      </c>
      <c r="E673" s="2" t="s">
        <v>10</v>
      </c>
      <c r="F673" s="2">
        <v>1</v>
      </c>
      <c r="G673" s="2">
        <v>2</v>
      </c>
      <c r="H673" s="2">
        <v>1</v>
      </c>
      <c r="I673" s="22">
        <f>Table43[[#This Row],[Item Cost]]*Table43[[#This Row],[In Stock]]</f>
        <v>2860</v>
      </c>
      <c r="J673" s="12" t="s">
        <v>4941</v>
      </c>
      <c r="K673" s="13" t="s">
        <v>4664</v>
      </c>
      <c r="L673" s="13" t="s">
        <v>4674</v>
      </c>
      <c r="M673" s="13" t="s">
        <v>4837</v>
      </c>
      <c r="N673" s="12" t="s">
        <v>4672</v>
      </c>
      <c r="O673" s="17" t="str">
        <f>IF(LEN(COUNTIFS($J$1:J673,$J673,$K$1:K673,$K673,$L$1:L673,$L673,$M$1:M673,M673,$N$1:N673,N673))=1,"00"&amp;COUNTIFS($J$1:J673,$J673,$K$1:K673,$K673,$L$1:L673,$L673,$M$1:M673,M673,$N$1:N673,N673),IF(LEN(COUNTIFS($J$1:J673,$J673,$K$1:K673,$K673,$L$1:L673,$L673,$M$1:M673,M673,$N$1:N673,N673))=2,"0"&amp;COUNTIFS($J$1:J673,$J673,$K$1:K673,$K673,$L$1:L673,$L673,$M$1:M673,M673,$N$1:N673,N673),COUNTIFS($J$1:J673,$J673,$K$1:K673,$K673,$L$1:L673,$L673,$M$1:M673,M673,$N$1:N673,N673)))</f>
        <v>029</v>
      </c>
      <c r="P67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MS-CS-002-26-00029-INV</v>
      </c>
      <c r="Q673" s="59" t="s">
        <v>7366</v>
      </c>
      <c r="R673" s="34" t="s">
        <v>6446</v>
      </c>
      <c r="S673" s="34" t="s">
        <v>1987</v>
      </c>
      <c r="T673" s="34">
        <f>+IFERROR(_xlfn.XLOOKUP(Table43[[#This Row],[Column1]],#REF!,#REF!),0)</f>
        <v>0</v>
      </c>
      <c r="U673" s="50">
        <f>IFERROR(_xlfn.XLOOKUP(Table43[[#This Row],[Column1]],#REF!,#REF!),0)</f>
        <v>0</v>
      </c>
      <c r="V673" s="39"/>
    </row>
    <row r="674" spans="1:22" x14ac:dyDescent="0.35">
      <c r="A674" s="2" t="s">
        <v>5462</v>
      </c>
      <c r="B674" s="3" t="s">
        <v>1989</v>
      </c>
      <c r="C674" s="3" t="s">
        <v>15</v>
      </c>
      <c r="D674" s="5">
        <v>1420</v>
      </c>
      <c r="E674" s="3" t="s">
        <v>10</v>
      </c>
      <c r="F674" s="2">
        <v>1</v>
      </c>
      <c r="G674" s="2">
        <v>2</v>
      </c>
      <c r="H674" s="3">
        <v>2</v>
      </c>
      <c r="I674" s="21">
        <f>Table43[[#This Row],[Item Cost]]*Table43[[#This Row],[In Stock]]</f>
        <v>2840</v>
      </c>
      <c r="J674" s="12" t="s">
        <v>4941</v>
      </c>
      <c r="K674" s="13" t="s">
        <v>4666</v>
      </c>
      <c r="L674" s="13" t="s">
        <v>4674</v>
      </c>
      <c r="M674" s="13" t="s">
        <v>4693</v>
      </c>
      <c r="N674" s="12" t="s">
        <v>4672</v>
      </c>
      <c r="O674" s="17" t="str">
        <f>IF(LEN(COUNTIFS($J$1:J674,$J674,$K$1:K674,$K674,$L$1:L674,$L674,$M$1:M674,M674,$N$1:N674,N674))=1,"00"&amp;COUNTIFS($J$1:J674,$J674,$K$1:K674,$K674,$L$1:L674,$L674,$M$1:M674,M674,$N$1:N674,N674),IF(LEN(COUNTIFS($J$1:J674,$J674,$K$1:K674,$K674,$L$1:L674,$L674,$M$1:M674,M674,$N$1:N674,N674))=2,"0"&amp;COUNTIFS($J$1:J674,$J674,$K$1:K674,$K674,$L$1:L674,$L674,$M$1:M674,M674,$N$1:N674,N674),COUNTIFS($J$1:J674,$J674,$K$1:K674,$K674,$L$1:L674,$L674,$M$1:M674,M674,$N$1:N674,N674)))</f>
        <v>013</v>
      </c>
      <c r="P67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MS-NS-002-23-00013-INV</v>
      </c>
      <c r="Q674" s="59"/>
      <c r="R674" s="34" t="s">
        <v>6447</v>
      </c>
      <c r="S674" s="34" t="s">
        <v>1989</v>
      </c>
      <c r="T674" s="34">
        <f>+IFERROR(_xlfn.XLOOKUP(Table43[[#This Row],[Column1]],#REF!,#REF!),0)</f>
        <v>0</v>
      </c>
      <c r="U674" s="50">
        <f>IFERROR(_xlfn.XLOOKUP(Table43[[#This Row],[Column1]],#REF!,#REF!),0)</f>
        <v>0</v>
      </c>
      <c r="V674" s="39"/>
    </row>
    <row r="675" spans="1:22" x14ac:dyDescent="0.35">
      <c r="A675" s="2" t="s">
        <v>5463</v>
      </c>
      <c r="B675" s="2" t="s">
        <v>1991</v>
      </c>
      <c r="C675" s="2" t="s">
        <v>9</v>
      </c>
      <c r="D675" s="4">
        <v>6675</v>
      </c>
      <c r="E675" s="2" t="s">
        <v>10</v>
      </c>
      <c r="F675" s="2">
        <v>1</v>
      </c>
      <c r="G675" s="2">
        <v>2</v>
      </c>
      <c r="H675" s="2">
        <v>2</v>
      </c>
      <c r="I675" s="22">
        <f>Table43[[#This Row],[Item Cost]]*Table43[[#This Row],[In Stock]]</f>
        <v>13350</v>
      </c>
      <c r="J675" s="12" t="s">
        <v>4941</v>
      </c>
      <c r="K675" s="13" t="s">
        <v>4664</v>
      </c>
      <c r="L675" s="13" t="s">
        <v>4674</v>
      </c>
      <c r="M675" s="13" t="s">
        <v>4772</v>
      </c>
      <c r="N675" s="12" t="s">
        <v>4672</v>
      </c>
      <c r="O675" s="17" t="str">
        <f>IF(LEN(COUNTIFS($J$1:J675,$J675,$K$1:K675,$K675,$L$1:L675,$L675,$M$1:M675,M675,$N$1:N675,N675))=1,"00"&amp;COUNTIFS($J$1:J675,$J675,$K$1:K675,$K675,$L$1:L675,$L675,$M$1:M675,M675,$N$1:N675,N675),IF(LEN(COUNTIFS($J$1:J675,$J675,$K$1:K675,$K675,$L$1:L675,$L675,$M$1:M675,M675,$N$1:N675,N675))=2,"0"&amp;COUNTIFS($J$1:J675,$J675,$K$1:K675,$K675,$L$1:L675,$L675,$M$1:M675,M675,$N$1:N675,N675),COUNTIFS($J$1:J675,$J675,$K$1:K675,$K675,$L$1:L675,$L675,$M$1:M675,M675,$N$1:N675,N675)))</f>
        <v>004</v>
      </c>
      <c r="P67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MS-CS-002-06-00004-INV</v>
      </c>
      <c r="Q675" s="59" t="s">
        <v>7362</v>
      </c>
      <c r="R675" s="34" t="s">
        <v>6448</v>
      </c>
      <c r="S675" s="34" t="s">
        <v>1991</v>
      </c>
      <c r="T675" s="34">
        <f>+IFERROR(_xlfn.XLOOKUP(Table43[[#This Row],[Column1]],#REF!,#REF!),0)</f>
        <v>0</v>
      </c>
      <c r="U675" s="50">
        <f>IFERROR(_xlfn.XLOOKUP(Table43[[#This Row],[Column1]],#REF!,#REF!),0)</f>
        <v>0</v>
      </c>
      <c r="V675" s="39"/>
    </row>
    <row r="676" spans="1:22" x14ac:dyDescent="0.35">
      <c r="A676" s="3" t="s">
        <v>5464</v>
      </c>
      <c r="B676" s="3" t="s">
        <v>1993</v>
      </c>
      <c r="C676" s="3" t="s">
        <v>9</v>
      </c>
      <c r="D676" s="5">
        <v>3500</v>
      </c>
      <c r="E676" s="3" t="s">
        <v>10</v>
      </c>
      <c r="F676" s="2">
        <v>1</v>
      </c>
      <c r="G676" s="3">
        <v>2</v>
      </c>
      <c r="H676" s="3">
        <v>3</v>
      </c>
      <c r="I676" s="21">
        <f>Table43[[#This Row],[Item Cost]]*Table43[[#This Row],[In Stock]]</f>
        <v>10500</v>
      </c>
      <c r="J676" s="12" t="s">
        <v>4941</v>
      </c>
      <c r="K676" s="13" t="s">
        <v>4664</v>
      </c>
      <c r="L676" s="13" t="s">
        <v>4674</v>
      </c>
      <c r="M676" s="13" t="s">
        <v>4772</v>
      </c>
      <c r="N676" s="12" t="s">
        <v>4672</v>
      </c>
      <c r="O676" s="17" t="str">
        <f>IF(LEN(COUNTIFS($J$1:J676,$J676,$K$1:K676,$K676,$L$1:L676,$L676,$M$1:M676,M676,$N$1:N676,N676))=1,"00"&amp;COUNTIFS($J$1:J676,$J676,$K$1:K676,$K676,$L$1:L676,$L676,$M$1:M676,M676,$N$1:N676,N676),IF(LEN(COUNTIFS($J$1:J676,$J676,$K$1:K676,$K676,$L$1:L676,$L676,$M$1:M676,M676,$N$1:N676,N676))=2,"0"&amp;COUNTIFS($J$1:J676,$J676,$K$1:K676,$K676,$L$1:L676,$L676,$M$1:M676,M676,$N$1:N676,N676),COUNTIFS($J$1:J676,$J676,$K$1:K676,$K676,$L$1:L676,$L676,$M$1:M676,M676,$N$1:N676,N676)))</f>
        <v>005</v>
      </c>
      <c r="P67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MS-CS-002-06-00005-INV</v>
      </c>
      <c r="Q676" s="59" t="s">
        <v>7362</v>
      </c>
      <c r="R676" s="34" t="s">
        <v>6449</v>
      </c>
      <c r="S676" s="34" t="s">
        <v>1993</v>
      </c>
      <c r="T676" s="34">
        <f>+IFERROR(_xlfn.XLOOKUP(Table43[[#This Row],[Column1]],#REF!,#REF!),0)</f>
        <v>0</v>
      </c>
      <c r="U676" s="50">
        <f>IFERROR(_xlfn.XLOOKUP(Table43[[#This Row],[Column1]],#REF!,#REF!),0)</f>
        <v>0</v>
      </c>
      <c r="V676" s="39"/>
    </row>
    <row r="677" spans="1:22" x14ac:dyDescent="0.35">
      <c r="A677" s="2" t="s">
        <v>5465</v>
      </c>
      <c r="B677" s="2" t="s">
        <v>1995</v>
      </c>
      <c r="C677" s="2" t="s">
        <v>15</v>
      </c>
      <c r="D677" s="4">
        <v>3500</v>
      </c>
      <c r="E677" s="2" t="s">
        <v>10</v>
      </c>
      <c r="F677" s="2">
        <v>1</v>
      </c>
      <c r="G677" s="2">
        <v>2</v>
      </c>
      <c r="H677" s="2">
        <v>1</v>
      </c>
      <c r="I677" s="22">
        <f>Table43[[#This Row],[Item Cost]]*Table43[[#This Row],[In Stock]]</f>
        <v>3500</v>
      </c>
      <c r="J677" s="12" t="s">
        <v>4941</v>
      </c>
      <c r="K677" s="13" t="s">
        <v>4666</v>
      </c>
      <c r="L677" s="13" t="s">
        <v>4674</v>
      </c>
      <c r="M677" s="13" t="s">
        <v>4733</v>
      </c>
      <c r="N677" s="12" t="s">
        <v>4672</v>
      </c>
      <c r="O677" s="17" t="str">
        <f>IF(LEN(COUNTIFS($J$1:J677,$J677,$K$1:K677,$K677,$L$1:L677,$L677,$M$1:M677,M677,$N$1:N677,N677))=1,"00"&amp;COUNTIFS($J$1:J677,$J677,$K$1:K677,$K677,$L$1:L677,$L677,$M$1:M677,M677,$N$1:N677,N677),IF(LEN(COUNTIFS($J$1:J677,$J677,$K$1:K677,$K677,$L$1:L677,$L677,$M$1:M677,M677,$N$1:N677,N677))=2,"0"&amp;COUNTIFS($J$1:J677,$J677,$K$1:K677,$K677,$L$1:L677,$L677,$M$1:M677,M677,$N$1:N677,N677),COUNTIFS($J$1:J677,$J677,$K$1:K677,$K677,$L$1:L677,$L677,$M$1:M677,M677,$N$1:N677,N677)))</f>
        <v>003</v>
      </c>
      <c r="P67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MS-NS-002-01-00003-INV</v>
      </c>
      <c r="Q677" s="59" t="s">
        <v>7362</v>
      </c>
      <c r="R677" s="34" t="s">
        <v>6450</v>
      </c>
      <c r="S677" s="34" t="s">
        <v>1995</v>
      </c>
      <c r="T677" s="34">
        <f>+IFERROR(_xlfn.XLOOKUP(Table43[[#This Row],[Column1]],#REF!,#REF!),0)</f>
        <v>0</v>
      </c>
      <c r="U677" s="50">
        <f>IFERROR(_xlfn.XLOOKUP(Table43[[#This Row],[Column1]],#REF!,#REF!),0)</f>
        <v>0</v>
      </c>
      <c r="V677" s="39"/>
    </row>
    <row r="678" spans="1:22" x14ac:dyDescent="0.35">
      <c r="A678" s="2" t="s">
        <v>5466</v>
      </c>
      <c r="B678" s="3" t="s">
        <v>1997</v>
      </c>
      <c r="C678" s="3" t="s">
        <v>15</v>
      </c>
      <c r="D678" s="3">
        <v>0</v>
      </c>
      <c r="E678" s="3" t="s">
        <v>10</v>
      </c>
      <c r="F678" s="2">
        <v>1</v>
      </c>
      <c r="G678" s="2">
        <v>2</v>
      </c>
      <c r="H678" s="3">
        <v>0</v>
      </c>
      <c r="I678" s="21">
        <f>Table43[[#This Row],[Item Cost]]*Table43[[#This Row],[In Stock]]</f>
        <v>0</v>
      </c>
      <c r="J678" s="12" t="s">
        <v>4941</v>
      </c>
      <c r="K678" s="13" t="s">
        <v>4666</v>
      </c>
      <c r="L678" s="13" t="s">
        <v>4674</v>
      </c>
      <c r="M678" s="13" t="s">
        <v>4775</v>
      </c>
      <c r="N678" s="12" t="s">
        <v>4672</v>
      </c>
      <c r="O678" s="17" t="str">
        <f>IF(LEN(COUNTIFS($J$1:J678,$J678,$K$1:K678,$K678,$L$1:L678,$L678,$M$1:M678,M678,$N$1:N678,N678))=1,"00"&amp;COUNTIFS($J$1:J678,$J678,$K$1:K678,$K678,$L$1:L678,$L678,$M$1:M678,M678,$N$1:N678,N678),IF(LEN(COUNTIFS($J$1:J678,$J678,$K$1:K678,$K678,$L$1:L678,$L678,$M$1:M678,M678,$N$1:N678,N678))=2,"0"&amp;COUNTIFS($J$1:J678,$J678,$K$1:K678,$K678,$L$1:L678,$L678,$M$1:M678,M678,$N$1:N678,N678),COUNTIFS($J$1:J678,$J678,$K$1:K678,$K678,$L$1:L678,$L678,$M$1:M678,M678,$N$1:N678,N678)))</f>
        <v>003</v>
      </c>
      <c r="P67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MS-NS-002-09-00003-INV</v>
      </c>
      <c r="Q678" s="59"/>
      <c r="R678" s="34" t="s">
        <v>6451</v>
      </c>
      <c r="S678" s="34" t="s">
        <v>1997</v>
      </c>
      <c r="T678" s="34">
        <f>+IFERROR(_xlfn.XLOOKUP(Table43[[#This Row],[Column1]],#REF!,#REF!),0)</f>
        <v>0</v>
      </c>
      <c r="U678" s="50">
        <f>IFERROR(_xlfn.XLOOKUP(Table43[[#This Row],[Column1]],#REF!,#REF!),0)</f>
        <v>0</v>
      </c>
      <c r="V678" s="39"/>
    </row>
    <row r="679" spans="1:22" x14ac:dyDescent="0.35">
      <c r="A679" s="3" t="s">
        <v>5467</v>
      </c>
      <c r="B679" s="2" t="s">
        <v>1999</v>
      </c>
      <c r="C679" s="2" t="s">
        <v>15</v>
      </c>
      <c r="D679" s="2">
        <v>0</v>
      </c>
      <c r="E679" s="2" t="s">
        <v>10</v>
      </c>
      <c r="F679" s="2">
        <v>1</v>
      </c>
      <c r="G679" s="2">
        <v>2</v>
      </c>
      <c r="H679" s="2">
        <v>0</v>
      </c>
      <c r="I679" s="22">
        <f>Table43[[#This Row],[Item Cost]]*Table43[[#This Row],[In Stock]]</f>
        <v>0</v>
      </c>
      <c r="J679" s="12" t="s">
        <v>4941</v>
      </c>
      <c r="K679" s="13" t="s">
        <v>4666</v>
      </c>
      <c r="L679" s="13" t="s">
        <v>4674</v>
      </c>
      <c r="M679" s="13" t="s">
        <v>4775</v>
      </c>
      <c r="N679" s="12" t="s">
        <v>4672</v>
      </c>
      <c r="O679" s="17" t="str">
        <f>IF(LEN(COUNTIFS($J$1:J679,$J679,$K$1:K679,$K679,$L$1:L679,$L679,$M$1:M679,M679,$N$1:N679,N679))=1,"00"&amp;COUNTIFS($J$1:J679,$J679,$K$1:K679,$K679,$L$1:L679,$L679,$M$1:M679,M679,$N$1:N679,N679),IF(LEN(COUNTIFS($J$1:J679,$J679,$K$1:K679,$K679,$L$1:L679,$L679,$M$1:M679,M679,$N$1:N679,N679))=2,"0"&amp;COUNTIFS($J$1:J679,$J679,$K$1:K679,$K679,$L$1:L679,$L679,$M$1:M679,M679,$N$1:N679,N679),COUNTIFS($J$1:J679,$J679,$K$1:K679,$K679,$L$1:L679,$L679,$M$1:M679,M679,$N$1:N679,N679)))</f>
        <v>004</v>
      </c>
      <c r="P67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MS-NS-002-09-00004-INV</v>
      </c>
      <c r="Q679" s="59"/>
      <c r="R679" s="34" t="s">
        <v>6452</v>
      </c>
      <c r="S679" s="34" t="s">
        <v>1999</v>
      </c>
      <c r="T679" s="34">
        <f>+IFERROR(_xlfn.XLOOKUP(Table43[[#This Row],[Column1]],#REF!,#REF!),0)</f>
        <v>0</v>
      </c>
      <c r="U679" s="50">
        <f>IFERROR(_xlfn.XLOOKUP(Table43[[#This Row],[Column1]],#REF!,#REF!),0)</f>
        <v>0</v>
      </c>
      <c r="V679" s="39"/>
    </row>
    <row r="680" spans="1:22" x14ac:dyDescent="0.35">
      <c r="A680" s="3" t="s">
        <v>2000</v>
      </c>
      <c r="B680" s="3" t="s">
        <v>2001</v>
      </c>
      <c r="C680" s="3" t="s">
        <v>15</v>
      </c>
      <c r="D680" s="5">
        <v>54536.63</v>
      </c>
      <c r="E680" s="3" t="s">
        <v>10</v>
      </c>
      <c r="F680" s="2">
        <v>1</v>
      </c>
      <c r="G680" s="2">
        <v>2</v>
      </c>
      <c r="H680" s="3">
        <v>1</v>
      </c>
      <c r="I680" s="21">
        <f>Table43[[#This Row],[Item Cost]]*Table43[[#This Row],[In Stock]]</f>
        <v>54536.63</v>
      </c>
      <c r="J680" s="12" t="s">
        <v>4941</v>
      </c>
      <c r="K680" s="13" t="s">
        <v>4666</v>
      </c>
      <c r="L680" s="13" t="s">
        <v>4695</v>
      </c>
      <c r="M680" s="13" t="s">
        <v>4772</v>
      </c>
      <c r="N680" s="12" t="s">
        <v>4856</v>
      </c>
      <c r="O680" s="17" t="str">
        <f>IF(LEN(COUNTIFS($J$1:J680,$J680,$K$1:K680,$K680,$L$1:L680,$L680,$M$1:M680,M680,$N$1:N680,N680))=1,"00"&amp;COUNTIFS($J$1:J680,$J680,$K$1:K680,$K680,$L$1:L680,$L680,$M$1:M680,M680,$N$1:N680,N680),IF(LEN(COUNTIFS($J$1:J680,$J680,$K$1:K680,$K680,$L$1:L680,$L680,$M$1:M680,M680,$N$1:N680,N680))=2,"0"&amp;COUNTIFS($J$1:J680,$J680,$K$1:K680,$K680,$L$1:L680,$L680,$M$1:M680,M680,$N$1:N680,N680),COUNTIFS($J$1:J680,$J680,$K$1:K680,$K680,$L$1:L680,$L680,$M$1:M680,M680,$N$1:N680,N680)))</f>
        <v>001</v>
      </c>
      <c r="P68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MS-NS-013-06-13001-INV</v>
      </c>
      <c r="Q680" s="59"/>
      <c r="R680" s="34" t="s">
        <v>6453</v>
      </c>
      <c r="S680" s="34" t="s">
        <v>2001</v>
      </c>
      <c r="T680" s="34">
        <f>+IFERROR(_xlfn.XLOOKUP(Table43[[#This Row],[Column1]],#REF!,#REF!),0)</f>
        <v>0</v>
      </c>
      <c r="U680" s="50">
        <f>IFERROR(_xlfn.XLOOKUP(Table43[[#This Row],[Column1]],#REF!,#REF!),0)</f>
        <v>0</v>
      </c>
      <c r="V680" s="39"/>
    </row>
    <row r="681" spans="1:22" x14ac:dyDescent="0.35">
      <c r="A681" s="2" t="s">
        <v>2002</v>
      </c>
      <c r="B681" s="2" t="s">
        <v>2003</v>
      </c>
      <c r="C681" s="2" t="s">
        <v>15</v>
      </c>
      <c r="D681" s="2">
        <v>0</v>
      </c>
      <c r="E681" s="2" t="s">
        <v>10</v>
      </c>
      <c r="F681" s="2">
        <v>1</v>
      </c>
      <c r="G681" s="2">
        <v>2</v>
      </c>
      <c r="H681" s="2">
        <v>0</v>
      </c>
      <c r="I681" s="22">
        <f>Table43[[#This Row],[Item Cost]]*Table43[[#This Row],[In Stock]]</f>
        <v>0</v>
      </c>
      <c r="J681" s="12" t="s">
        <v>4941</v>
      </c>
      <c r="K681" s="13" t="s">
        <v>4666</v>
      </c>
      <c r="L681" s="13" t="s">
        <v>4695</v>
      </c>
      <c r="M681" s="13" t="s">
        <v>4772</v>
      </c>
      <c r="N681" s="12" t="s">
        <v>4856</v>
      </c>
      <c r="O681" s="17" t="str">
        <f>IF(LEN(COUNTIFS($J$1:J681,$J681,$K$1:K681,$K681,$L$1:L681,$L681,$M$1:M681,M681,$N$1:N681,N681))=1,"00"&amp;COUNTIFS($J$1:J681,$J681,$K$1:K681,$K681,$L$1:L681,$L681,$M$1:M681,M681,$N$1:N681,N681),IF(LEN(COUNTIFS($J$1:J681,$J681,$K$1:K681,$K681,$L$1:L681,$L681,$M$1:M681,M681,$N$1:N681,N681))=2,"0"&amp;COUNTIFS($J$1:J681,$J681,$K$1:K681,$K681,$L$1:L681,$L681,$M$1:M681,M681,$N$1:N681,N681),COUNTIFS($J$1:J681,$J681,$K$1:K681,$K681,$L$1:L681,$L681,$M$1:M681,M681,$N$1:N681,N681)))</f>
        <v>002</v>
      </c>
      <c r="P68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MS-NS-013-06-13002-INV</v>
      </c>
      <c r="Q681" s="59"/>
      <c r="R681" s="34" t="s">
        <v>6454</v>
      </c>
      <c r="S681" s="34" t="s">
        <v>2003</v>
      </c>
      <c r="T681" s="34">
        <f>+IFERROR(_xlfn.XLOOKUP(Table43[[#This Row],[Column1]],#REF!,#REF!),0)</f>
        <v>0</v>
      </c>
      <c r="U681" s="50">
        <f>IFERROR(_xlfn.XLOOKUP(Table43[[#This Row],[Column1]],#REF!,#REF!),0)</f>
        <v>0</v>
      </c>
      <c r="V681" s="39"/>
    </row>
    <row r="682" spans="1:22" x14ac:dyDescent="0.35">
      <c r="A682" s="3" t="s">
        <v>2004</v>
      </c>
      <c r="B682" s="3" t="s">
        <v>2005</v>
      </c>
      <c r="C682" s="3" t="s">
        <v>15</v>
      </c>
      <c r="D682" s="3">
        <v>0</v>
      </c>
      <c r="E682" s="3" t="s">
        <v>10</v>
      </c>
      <c r="F682" s="2">
        <v>1</v>
      </c>
      <c r="G682" s="2">
        <v>2</v>
      </c>
      <c r="H682" s="3">
        <v>0</v>
      </c>
      <c r="I682" s="21">
        <f>Table43[[#This Row],[Item Cost]]*Table43[[#This Row],[In Stock]]</f>
        <v>0</v>
      </c>
      <c r="J682" s="12" t="s">
        <v>4941</v>
      </c>
      <c r="K682" s="13" t="s">
        <v>4666</v>
      </c>
      <c r="L682" s="13" t="s">
        <v>4695</v>
      </c>
      <c r="M682" s="13" t="s">
        <v>4772</v>
      </c>
      <c r="N682" s="12" t="s">
        <v>4856</v>
      </c>
      <c r="O682" s="17" t="str">
        <f>IF(LEN(COUNTIFS($J$1:J682,$J682,$K$1:K682,$K682,$L$1:L682,$L682,$M$1:M682,M682,$N$1:N682,N682))=1,"00"&amp;COUNTIFS($J$1:J682,$J682,$K$1:K682,$K682,$L$1:L682,$L682,$M$1:M682,M682,$N$1:N682,N682),IF(LEN(COUNTIFS($J$1:J682,$J682,$K$1:K682,$K682,$L$1:L682,$L682,$M$1:M682,M682,$N$1:N682,N682))=2,"0"&amp;COUNTIFS($J$1:J682,$J682,$K$1:K682,$K682,$L$1:L682,$L682,$M$1:M682,M682,$N$1:N682,N682),COUNTIFS($J$1:J682,$J682,$K$1:K682,$K682,$L$1:L682,$L682,$M$1:M682,M682,$N$1:N682,N682)))</f>
        <v>003</v>
      </c>
      <c r="P68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MS-NS-013-06-13003-INV</v>
      </c>
      <c r="Q682" s="59"/>
      <c r="R682" s="34" t="s">
        <v>6455</v>
      </c>
      <c r="S682" s="34" t="s">
        <v>2005</v>
      </c>
      <c r="T682" s="34">
        <f>+IFERROR(_xlfn.XLOOKUP(Table43[[#This Row],[Column1]],#REF!,#REF!),0)</f>
        <v>0</v>
      </c>
      <c r="U682" s="50">
        <f>IFERROR(_xlfn.XLOOKUP(Table43[[#This Row],[Column1]],#REF!,#REF!),0)</f>
        <v>0</v>
      </c>
      <c r="V682" s="39"/>
    </row>
    <row r="683" spans="1:22" x14ac:dyDescent="0.35">
      <c r="A683" s="3" t="s">
        <v>2006</v>
      </c>
      <c r="B683" s="2" t="s">
        <v>2007</v>
      </c>
      <c r="C683" s="2" t="s">
        <v>15</v>
      </c>
      <c r="D683" s="2">
        <v>0</v>
      </c>
      <c r="E683" s="2" t="s">
        <v>10</v>
      </c>
      <c r="F683" s="2">
        <v>1</v>
      </c>
      <c r="G683" s="2">
        <v>2</v>
      </c>
      <c r="H683" s="2">
        <v>0</v>
      </c>
      <c r="I683" s="22">
        <f>Table43[[#This Row],[Item Cost]]*Table43[[#This Row],[In Stock]]</f>
        <v>0</v>
      </c>
      <c r="J683" s="12" t="s">
        <v>4941</v>
      </c>
      <c r="K683" s="13" t="s">
        <v>4666</v>
      </c>
      <c r="L683" s="13" t="s">
        <v>4695</v>
      </c>
      <c r="M683" s="13" t="s">
        <v>4693</v>
      </c>
      <c r="N683" s="12" t="s">
        <v>4856</v>
      </c>
      <c r="O683" s="17" t="str">
        <f>IF(LEN(COUNTIFS($J$1:J683,$J683,$K$1:K683,$K683,$L$1:L683,$L683,$M$1:M683,M683,$N$1:N683,N683))=1,"00"&amp;COUNTIFS($J$1:J683,$J683,$K$1:K683,$K683,$L$1:L683,$L683,$M$1:M683,M683,$N$1:N683,N683),IF(LEN(COUNTIFS($J$1:J683,$J683,$K$1:K683,$K683,$L$1:L683,$L683,$M$1:M683,M683,$N$1:N683,N683))=2,"0"&amp;COUNTIFS($J$1:J683,$J683,$K$1:K683,$K683,$L$1:L683,$L683,$M$1:M683,M683,$N$1:N683,N683),COUNTIFS($J$1:J683,$J683,$K$1:K683,$K683,$L$1:L683,$L683,$M$1:M683,M683,$N$1:N683,N683)))</f>
        <v>001</v>
      </c>
      <c r="P68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MS-NS-013-23-13001-INV</v>
      </c>
      <c r="Q683" s="59"/>
      <c r="R683" s="34" t="s">
        <v>6456</v>
      </c>
      <c r="S683" s="34" t="s">
        <v>2007</v>
      </c>
      <c r="T683" s="34">
        <f>+IFERROR(_xlfn.XLOOKUP(Table43[[#This Row],[Column1]],#REF!,#REF!),0)</f>
        <v>0</v>
      </c>
      <c r="U683" s="50">
        <f>IFERROR(_xlfn.XLOOKUP(Table43[[#This Row],[Column1]],#REF!,#REF!),0)</f>
        <v>0</v>
      </c>
      <c r="V683" s="39"/>
    </row>
    <row r="684" spans="1:22" x14ac:dyDescent="0.35">
      <c r="A684" s="2" t="s">
        <v>2008</v>
      </c>
      <c r="B684" s="3" t="s">
        <v>2009</v>
      </c>
      <c r="C684" s="3" t="s">
        <v>15</v>
      </c>
      <c r="D684" s="3">
        <v>0</v>
      </c>
      <c r="E684" s="3" t="s">
        <v>10</v>
      </c>
      <c r="F684" s="2">
        <v>1</v>
      </c>
      <c r="G684" s="2">
        <v>2</v>
      </c>
      <c r="H684" s="3">
        <v>0</v>
      </c>
      <c r="I684" s="21">
        <f>Table43[[#This Row],[Item Cost]]*Table43[[#This Row],[In Stock]]</f>
        <v>0</v>
      </c>
      <c r="J684" s="12" t="s">
        <v>4941</v>
      </c>
      <c r="K684" s="13" t="s">
        <v>4666</v>
      </c>
      <c r="L684" s="13" t="s">
        <v>4695</v>
      </c>
      <c r="M684" s="13" t="s">
        <v>4693</v>
      </c>
      <c r="N684" s="12" t="s">
        <v>4856</v>
      </c>
      <c r="O684" s="17" t="str">
        <f>IF(LEN(COUNTIFS($J$1:J684,$J684,$K$1:K684,$K684,$L$1:L684,$L684,$M$1:M684,M684,$N$1:N684,N684))=1,"00"&amp;COUNTIFS($J$1:J684,$J684,$K$1:K684,$K684,$L$1:L684,$L684,$M$1:M684,M684,$N$1:N684,N684),IF(LEN(COUNTIFS($J$1:J684,$J684,$K$1:K684,$K684,$L$1:L684,$L684,$M$1:M684,M684,$N$1:N684,N684))=2,"0"&amp;COUNTIFS($J$1:J684,$J684,$K$1:K684,$K684,$L$1:L684,$L684,$M$1:M684,M684,$N$1:N684,N684),COUNTIFS($J$1:J684,$J684,$K$1:K684,$K684,$L$1:L684,$L684,$M$1:M684,M684,$N$1:N684,N684)))</f>
        <v>002</v>
      </c>
      <c r="P68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MS-NS-013-23-13002-INV</v>
      </c>
      <c r="Q684" s="59"/>
      <c r="R684" s="34" t="s">
        <v>6457</v>
      </c>
      <c r="S684" s="34" t="s">
        <v>2009</v>
      </c>
      <c r="T684" s="34">
        <f>+IFERROR(_xlfn.XLOOKUP(Table43[[#This Row],[Column1]],#REF!,#REF!),0)</f>
        <v>0</v>
      </c>
      <c r="U684" s="50">
        <f>IFERROR(_xlfn.XLOOKUP(Table43[[#This Row],[Column1]],#REF!,#REF!),0)</f>
        <v>0</v>
      </c>
      <c r="V684" s="39"/>
    </row>
    <row r="685" spans="1:22" x14ac:dyDescent="0.35">
      <c r="A685" s="3" t="s">
        <v>2010</v>
      </c>
      <c r="B685" s="2" t="s">
        <v>2011</v>
      </c>
      <c r="C685" s="2" t="s">
        <v>15</v>
      </c>
      <c r="D685" s="2">
        <v>0</v>
      </c>
      <c r="E685" s="2" t="s">
        <v>10</v>
      </c>
      <c r="F685" s="2">
        <v>1</v>
      </c>
      <c r="G685" s="2">
        <v>2</v>
      </c>
      <c r="H685" s="2">
        <v>0</v>
      </c>
      <c r="I685" s="22">
        <f>Table43[[#This Row],[Item Cost]]*Table43[[#This Row],[In Stock]]</f>
        <v>0</v>
      </c>
      <c r="J685" s="12" t="s">
        <v>4941</v>
      </c>
      <c r="K685" s="13" t="s">
        <v>4666</v>
      </c>
      <c r="L685" s="13" t="s">
        <v>4695</v>
      </c>
      <c r="M685" s="13" t="s">
        <v>4693</v>
      </c>
      <c r="N685" s="12" t="s">
        <v>4856</v>
      </c>
      <c r="O685" s="17" t="str">
        <f>IF(LEN(COUNTIFS($J$1:J685,$J685,$K$1:K685,$K685,$L$1:L685,$L685,$M$1:M685,M685,$N$1:N685,N685))=1,"00"&amp;COUNTIFS($J$1:J685,$J685,$K$1:K685,$K685,$L$1:L685,$L685,$M$1:M685,M685,$N$1:N685,N685),IF(LEN(COUNTIFS($J$1:J685,$J685,$K$1:K685,$K685,$L$1:L685,$L685,$M$1:M685,M685,$N$1:N685,N685))=2,"0"&amp;COUNTIFS($J$1:J685,$J685,$K$1:K685,$K685,$L$1:L685,$L685,$M$1:M685,M685,$N$1:N685,N685),COUNTIFS($J$1:J685,$J685,$K$1:K685,$K685,$L$1:L685,$L685,$M$1:M685,M685,$N$1:N685,N685)))</f>
        <v>003</v>
      </c>
      <c r="P68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MS-NS-013-23-13003-INV</v>
      </c>
      <c r="Q685" s="59"/>
      <c r="R685" s="34" t="s">
        <v>6458</v>
      </c>
      <c r="S685" s="34" t="s">
        <v>2011</v>
      </c>
      <c r="T685" s="34">
        <f>+IFERROR(_xlfn.XLOOKUP(Table43[[#This Row],[Column1]],#REF!,#REF!),0)</f>
        <v>0</v>
      </c>
      <c r="U685" s="50">
        <f>IFERROR(_xlfn.XLOOKUP(Table43[[#This Row],[Column1]],#REF!,#REF!),0)</f>
        <v>0</v>
      </c>
      <c r="V685" s="39"/>
    </row>
    <row r="686" spans="1:22" x14ac:dyDescent="0.35">
      <c r="A686" s="3" t="s">
        <v>2012</v>
      </c>
      <c r="B686" s="3" t="s">
        <v>2013</v>
      </c>
      <c r="C686" s="3" t="s">
        <v>15</v>
      </c>
      <c r="D686" s="3">
        <v>0</v>
      </c>
      <c r="E686" s="3" t="s">
        <v>10</v>
      </c>
      <c r="F686" s="2">
        <v>1</v>
      </c>
      <c r="G686" s="2">
        <v>2</v>
      </c>
      <c r="H686" s="3">
        <v>0</v>
      </c>
      <c r="I686" s="21">
        <f>Table43[[#This Row],[Item Cost]]*Table43[[#This Row],[In Stock]]</f>
        <v>0</v>
      </c>
      <c r="J686" s="12" t="s">
        <v>4941</v>
      </c>
      <c r="K686" s="13" t="s">
        <v>4666</v>
      </c>
      <c r="L686" s="13" t="s">
        <v>4695</v>
      </c>
      <c r="M686" s="13" t="s">
        <v>4693</v>
      </c>
      <c r="N686" s="12" t="s">
        <v>4856</v>
      </c>
      <c r="O686" s="17" t="str">
        <f>IF(LEN(COUNTIFS($J$1:J686,$J686,$K$1:K686,$K686,$L$1:L686,$L686,$M$1:M686,M686,$N$1:N686,N686))=1,"00"&amp;COUNTIFS($J$1:J686,$J686,$K$1:K686,$K686,$L$1:L686,$L686,$M$1:M686,M686,$N$1:N686,N686),IF(LEN(COUNTIFS($J$1:J686,$J686,$K$1:K686,$K686,$L$1:L686,$L686,$M$1:M686,M686,$N$1:N686,N686))=2,"0"&amp;COUNTIFS($J$1:J686,$J686,$K$1:K686,$K686,$L$1:L686,$L686,$M$1:M686,M686,$N$1:N686,N686),COUNTIFS($J$1:J686,$J686,$K$1:K686,$K686,$L$1:L686,$L686,$M$1:M686,M686,$N$1:N686,N686)))</f>
        <v>004</v>
      </c>
      <c r="P68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MS-NS-013-23-13004-INV</v>
      </c>
      <c r="Q686" s="59"/>
      <c r="R686" s="34" t="s">
        <v>6459</v>
      </c>
      <c r="S686" s="34" t="s">
        <v>2013</v>
      </c>
      <c r="T686" s="34">
        <f>+IFERROR(_xlfn.XLOOKUP(Table43[[#This Row],[Column1]],#REF!,#REF!),0)</f>
        <v>0</v>
      </c>
      <c r="U686" s="50">
        <f>IFERROR(_xlfn.XLOOKUP(Table43[[#This Row],[Column1]],#REF!,#REF!),0)</f>
        <v>0</v>
      </c>
      <c r="V686" s="39"/>
    </row>
    <row r="687" spans="1:22" x14ac:dyDescent="0.35">
      <c r="A687" s="2" t="s">
        <v>2014</v>
      </c>
      <c r="B687" s="2" t="s">
        <v>2015</v>
      </c>
      <c r="C687" s="2" t="s">
        <v>15</v>
      </c>
      <c r="D687" s="2">
        <v>0</v>
      </c>
      <c r="E687" s="2" t="s">
        <v>10</v>
      </c>
      <c r="F687" s="2">
        <v>1</v>
      </c>
      <c r="G687" s="2">
        <v>2</v>
      </c>
      <c r="H687" s="2">
        <v>0</v>
      </c>
      <c r="I687" s="22">
        <f>Table43[[#This Row],[Item Cost]]*Table43[[#This Row],[In Stock]]</f>
        <v>0</v>
      </c>
      <c r="J687" s="12" t="s">
        <v>4941</v>
      </c>
      <c r="K687" s="13" t="s">
        <v>4666</v>
      </c>
      <c r="L687" s="13" t="s">
        <v>4695</v>
      </c>
      <c r="M687" s="13" t="s">
        <v>4693</v>
      </c>
      <c r="N687" s="12" t="s">
        <v>4856</v>
      </c>
      <c r="O687" s="17" t="str">
        <f>IF(LEN(COUNTIFS($J$1:J687,$J687,$K$1:K687,$K687,$L$1:L687,$L687,$M$1:M687,M687,$N$1:N687,N687))=1,"00"&amp;COUNTIFS($J$1:J687,$J687,$K$1:K687,$K687,$L$1:L687,$L687,$M$1:M687,M687,$N$1:N687,N687),IF(LEN(COUNTIFS($J$1:J687,$J687,$K$1:K687,$K687,$L$1:L687,$L687,$M$1:M687,M687,$N$1:N687,N687))=2,"0"&amp;COUNTIFS($J$1:J687,$J687,$K$1:K687,$K687,$L$1:L687,$L687,$M$1:M687,M687,$N$1:N687,N687),COUNTIFS($J$1:J687,$J687,$K$1:K687,$K687,$L$1:L687,$L687,$M$1:M687,M687,$N$1:N687,N687)))</f>
        <v>005</v>
      </c>
      <c r="P68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MS-NS-013-23-13005-INV</v>
      </c>
      <c r="Q687" s="59"/>
      <c r="R687" s="34" t="s">
        <v>6460</v>
      </c>
      <c r="S687" s="34" t="s">
        <v>2015</v>
      </c>
      <c r="T687" s="34">
        <f>+IFERROR(_xlfn.XLOOKUP(Table43[[#This Row],[Column1]],#REF!,#REF!),0)</f>
        <v>0</v>
      </c>
      <c r="U687" s="50">
        <f>IFERROR(_xlfn.XLOOKUP(Table43[[#This Row],[Column1]],#REF!,#REF!),0)</f>
        <v>0</v>
      </c>
      <c r="V687" s="39"/>
    </row>
    <row r="688" spans="1:22" x14ac:dyDescent="0.35">
      <c r="A688" s="3" t="s">
        <v>2016</v>
      </c>
      <c r="B688" s="3" t="s">
        <v>2017</v>
      </c>
      <c r="C688" s="3" t="s">
        <v>15</v>
      </c>
      <c r="D688" s="3">
        <v>0</v>
      </c>
      <c r="E688" s="3" t="s">
        <v>10</v>
      </c>
      <c r="F688" s="2">
        <v>1</v>
      </c>
      <c r="G688" s="2">
        <v>2</v>
      </c>
      <c r="H688" s="3">
        <v>0</v>
      </c>
      <c r="I688" s="21">
        <f>Table43[[#This Row],[Item Cost]]*Table43[[#This Row],[In Stock]]</f>
        <v>0</v>
      </c>
      <c r="J688" s="12" t="s">
        <v>4941</v>
      </c>
      <c r="K688" s="13" t="s">
        <v>4666</v>
      </c>
      <c r="L688" s="13" t="s">
        <v>4695</v>
      </c>
      <c r="M688" s="13" t="s">
        <v>4672</v>
      </c>
      <c r="N688" s="12" t="s">
        <v>4856</v>
      </c>
      <c r="O688" s="17" t="str">
        <f>IF(LEN(COUNTIFS($J$1:J688,$J688,$K$1:K688,$K688,$L$1:L688,$L688,$M$1:M688,M688,$N$1:N688,N688))=1,"00"&amp;COUNTIFS($J$1:J688,$J688,$K$1:K688,$K688,$L$1:L688,$L688,$M$1:M688,M688,$N$1:N688,N688),IF(LEN(COUNTIFS($J$1:J688,$J688,$K$1:K688,$K688,$L$1:L688,$L688,$M$1:M688,M688,$N$1:N688,N688))=2,"0"&amp;COUNTIFS($J$1:J688,$J688,$K$1:K688,$K688,$L$1:L688,$L688,$M$1:M688,M688,$N$1:N688,N688),COUNTIFS($J$1:J688,$J688,$K$1:K688,$K688,$L$1:L688,$L688,$M$1:M688,M688,$N$1:N688,N688)))</f>
        <v>001</v>
      </c>
      <c r="P68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MS-NS-013-00-13001-INV</v>
      </c>
      <c r="Q688" s="59"/>
      <c r="R688" s="34" t="s">
        <v>6461</v>
      </c>
      <c r="S688" s="34" t="s">
        <v>2017</v>
      </c>
      <c r="T688" s="34">
        <f>+IFERROR(_xlfn.XLOOKUP(Table43[[#This Row],[Column1]],#REF!,#REF!),0)</f>
        <v>0</v>
      </c>
      <c r="U688" s="50">
        <f>IFERROR(_xlfn.XLOOKUP(Table43[[#This Row],[Column1]],#REF!,#REF!),0)</f>
        <v>0</v>
      </c>
      <c r="V688" s="39"/>
    </row>
    <row r="689" spans="1:22" x14ac:dyDescent="0.35">
      <c r="A689" s="3" t="s">
        <v>2018</v>
      </c>
      <c r="B689" s="2" t="s">
        <v>2019</v>
      </c>
      <c r="C689" s="2" t="s">
        <v>15</v>
      </c>
      <c r="D689" s="2">
        <v>0</v>
      </c>
      <c r="E689" s="2" t="s">
        <v>10</v>
      </c>
      <c r="F689" s="2">
        <v>1</v>
      </c>
      <c r="G689" s="2">
        <v>2</v>
      </c>
      <c r="H689" s="2">
        <v>0</v>
      </c>
      <c r="I689" s="22">
        <f>Table43[[#This Row],[Item Cost]]*Table43[[#This Row],[In Stock]]</f>
        <v>0</v>
      </c>
      <c r="J689" s="12" t="s">
        <v>4941</v>
      </c>
      <c r="K689" s="13" t="s">
        <v>4666</v>
      </c>
      <c r="L689" s="13" t="s">
        <v>4695</v>
      </c>
      <c r="M689" s="13" t="s">
        <v>4672</v>
      </c>
      <c r="N689" s="12" t="s">
        <v>4856</v>
      </c>
      <c r="O689" s="17" t="str">
        <f>IF(LEN(COUNTIFS($J$1:J689,$J689,$K$1:K689,$K689,$L$1:L689,$L689,$M$1:M689,M689,$N$1:N689,N689))=1,"00"&amp;COUNTIFS($J$1:J689,$J689,$K$1:K689,$K689,$L$1:L689,$L689,$M$1:M689,M689,$N$1:N689,N689),IF(LEN(COUNTIFS($J$1:J689,$J689,$K$1:K689,$K689,$L$1:L689,$L689,$M$1:M689,M689,$N$1:N689,N689))=2,"0"&amp;COUNTIFS($J$1:J689,$J689,$K$1:K689,$K689,$L$1:L689,$L689,$M$1:M689,M689,$N$1:N689,N689),COUNTIFS($J$1:J689,$J689,$K$1:K689,$K689,$L$1:L689,$L689,$M$1:M689,M689,$N$1:N689,N689)))</f>
        <v>002</v>
      </c>
      <c r="P68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MS-NS-013-00-13002-INV</v>
      </c>
      <c r="Q689" s="59"/>
      <c r="R689" s="34" t="s">
        <v>6462</v>
      </c>
      <c r="S689" s="34" t="s">
        <v>2019</v>
      </c>
      <c r="T689" s="34">
        <f>+IFERROR(_xlfn.XLOOKUP(Table43[[#This Row],[Column1]],#REF!,#REF!),0)</f>
        <v>0</v>
      </c>
      <c r="U689" s="50">
        <f>IFERROR(_xlfn.XLOOKUP(Table43[[#This Row],[Column1]],#REF!,#REF!),0)</f>
        <v>0</v>
      </c>
      <c r="V689" s="39"/>
    </row>
    <row r="690" spans="1:22" x14ac:dyDescent="0.35">
      <c r="A690" s="2" t="s">
        <v>2020</v>
      </c>
      <c r="B690" s="3" t="s">
        <v>2021</v>
      </c>
      <c r="C690" s="3" t="s">
        <v>15</v>
      </c>
      <c r="D690" s="3">
        <v>0</v>
      </c>
      <c r="E690" s="3" t="s">
        <v>10</v>
      </c>
      <c r="F690" s="2">
        <v>1</v>
      </c>
      <c r="G690" s="2">
        <v>2</v>
      </c>
      <c r="H690" s="3">
        <v>0</v>
      </c>
      <c r="I690" s="21">
        <f>Table43[[#This Row],[Item Cost]]*Table43[[#This Row],[In Stock]]</f>
        <v>0</v>
      </c>
      <c r="J690" s="12" t="s">
        <v>4941</v>
      </c>
      <c r="K690" s="13" t="s">
        <v>4666</v>
      </c>
      <c r="L690" s="13" t="s">
        <v>4695</v>
      </c>
      <c r="M690" s="13" t="s">
        <v>4837</v>
      </c>
      <c r="N690" s="12" t="s">
        <v>4856</v>
      </c>
      <c r="O690" s="17" t="str">
        <f>IF(LEN(COUNTIFS($J$1:J690,$J690,$K$1:K690,$K690,$L$1:L690,$L690,$M$1:M690,M690,$N$1:N690,N690))=1,"00"&amp;COUNTIFS($J$1:J690,$J690,$K$1:K690,$K690,$L$1:L690,$L690,$M$1:M690,M690,$N$1:N690,N690),IF(LEN(COUNTIFS($J$1:J690,$J690,$K$1:K690,$K690,$L$1:L690,$L690,$M$1:M690,M690,$N$1:N690,N690))=2,"0"&amp;COUNTIFS($J$1:J690,$J690,$K$1:K690,$K690,$L$1:L690,$L690,$M$1:M690,M690,$N$1:N690,N690),COUNTIFS($J$1:J690,$J690,$K$1:K690,$K690,$L$1:L690,$L690,$M$1:M690,M690,$N$1:N690,N690)))</f>
        <v>001</v>
      </c>
      <c r="P69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MS-NS-013-26-13001-INV</v>
      </c>
      <c r="Q690" s="59"/>
      <c r="R690" s="34" t="s">
        <v>6463</v>
      </c>
      <c r="S690" s="34" t="s">
        <v>2021</v>
      </c>
      <c r="T690" s="34">
        <f>+IFERROR(_xlfn.XLOOKUP(Table43[[#This Row],[Column1]],#REF!,#REF!),0)</f>
        <v>0</v>
      </c>
      <c r="U690" s="50">
        <f>IFERROR(_xlfn.XLOOKUP(Table43[[#This Row],[Column1]],#REF!,#REF!),0)</f>
        <v>0</v>
      </c>
      <c r="V690" s="39"/>
    </row>
    <row r="691" spans="1:22" x14ac:dyDescent="0.35">
      <c r="A691" s="3" t="s">
        <v>2022</v>
      </c>
      <c r="B691" s="2" t="s">
        <v>2023</v>
      </c>
      <c r="C691" s="2" t="s">
        <v>9</v>
      </c>
      <c r="D691" s="4">
        <v>8950</v>
      </c>
      <c r="E691" s="2" t="s">
        <v>10</v>
      </c>
      <c r="F691" s="2">
        <v>1</v>
      </c>
      <c r="G691" s="2">
        <v>2</v>
      </c>
      <c r="H691" s="2">
        <v>1</v>
      </c>
      <c r="I691" s="22">
        <f>Table43[[#This Row],[Item Cost]]*Table43[[#This Row],[In Stock]]</f>
        <v>8950</v>
      </c>
      <c r="J691" s="12" t="s">
        <v>4941</v>
      </c>
      <c r="K691" s="13" t="s">
        <v>4664</v>
      </c>
      <c r="L691" s="13" t="s">
        <v>4695</v>
      </c>
      <c r="M691" s="13" t="s">
        <v>4840</v>
      </c>
      <c r="N691" s="12" t="s">
        <v>4856</v>
      </c>
      <c r="O691" s="17" t="str">
        <f>IF(LEN(COUNTIFS($J$1:J691,$J691,$K$1:K691,$K691,$L$1:L691,$L691,$M$1:M691,M691,$N$1:N691,N691))=1,"00"&amp;COUNTIFS($J$1:J691,$J691,$K$1:K691,$K691,$L$1:L691,$L691,$M$1:M691,M691,$N$1:N691,N691),IF(LEN(COUNTIFS($J$1:J691,$J691,$K$1:K691,$K691,$L$1:L691,$L691,$M$1:M691,M691,$N$1:N691,N691))=2,"0"&amp;COUNTIFS($J$1:J691,$J691,$K$1:K691,$K691,$L$1:L691,$L691,$M$1:M691,M691,$N$1:N691,N691),COUNTIFS($J$1:J691,$J691,$K$1:K691,$K691,$L$1:L691,$L691,$M$1:M691,M691,$N$1:N691,N691)))</f>
        <v>001</v>
      </c>
      <c r="P69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MS-CS-013-15-13001-INV</v>
      </c>
      <c r="Q691" s="59" t="s">
        <v>7370</v>
      </c>
      <c r="R691" s="34" t="s">
        <v>6464</v>
      </c>
      <c r="S691" s="34" t="s">
        <v>2023</v>
      </c>
      <c r="T691" s="34">
        <f>+IFERROR(_xlfn.XLOOKUP(Table43[[#This Row],[Column1]],#REF!,#REF!),0)</f>
        <v>0</v>
      </c>
      <c r="U691" s="50">
        <f>IFERROR(_xlfn.XLOOKUP(Table43[[#This Row],[Column1]],#REF!,#REF!),0)</f>
        <v>0</v>
      </c>
      <c r="V691" s="39"/>
    </row>
    <row r="692" spans="1:22" x14ac:dyDescent="0.35">
      <c r="A692" s="3" t="s">
        <v>2024</v>
      </c>
      <c r="B692" s="3" t="s">
        <v>2025</v>
      </c>
      <c r="C692" s="3" t="s">
        <v>15</v>
      </c>
      <c r="D692" s="5">
        <v>8250</v>
      </c>
      <c r="E692" s="3" t="s">
        <v>10</v>
      </c>
      <c r="F692" s="2">
        <v>1</v>
      </c>
      <c r="G692" s="2">
        <v>2</v>
      </c>
      <c r="H692" s="3">
        <v>0</v>
      </c>
      <c r="I692" s="21">
        <f>Table43[[#This Row],[Item Cost]]*Table43[[#This Row],[In Stock]]</f>
        <v>0</v>
      </c>
      <c r="J692" s="12" t="s">
        <v>4941</v>
      </c>
      <c r="K692" s="13" t="s">
        <v>4666</v>
      </c>
      <c r="L692" s="13" t="s">
        <v>4695</v>
      </c>
      <c r="M692" s="13" t="s">
        <v>4693</v>
      </c>
      <c r="N692" s="12" t="s">
        <v>4856</v>
      </c>
      <c r="O692" s="17" t="str">
        <f>IF(LEN(COUNTIFS($J$1:J692,$J692,$K$1:K692,$K692,$L$1:L692,$L692,$M$1:M692,M692,$N$1:N692,N692))=1,"00"&amp;COUNTIFS($J$1:J692,$J692,$K$1:K692,$K692,$L$1:L692,$L692,$M$1:M692,M692,$N$1:N692,N692),IF(LEN(COUNTIFS($J$1:J692,$J692,$K$1:K692,$K692,$L$1:L692,$L692,$M$1:M692,M692,$N$1:N692,N692))=2,"0"&amp;COUNTIFS($J$1:J692,$J692,$K$1:K692,$K692,$L$1:L692,$L692,$M$1:M692,M692,$N$1:N692,N692),COUNTIFS($J$1:J692,$J692,$K$1:K692,$K692,$L$1:L692,$L692,$M$1:M692,M692,$N$1:N692,N692)))</f>
        <v>006</v>
      </c>
      <c r="P69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MS-NS-013-23-13006-INV</v>
      </c>
      <c r="Q692" s="59"/>
      <c r="R692" s="34" t="s">
        <v>6465</v>
      </c>
      <c r="S692" s="34" t="s">
        <v>2025</v>
      </c>
      <c r="T692" s="34">
        <f>+IFERROR(_xlfn.XLOOKUP(Table43[[#This Row],[Column1]],#REF!,#REF!),0)</f>
        <v>0</v>
      </c>
      <c r="U692" s="50">
        <f>IFERROR(_xlfn.XLOOKUP(Table43[[#This Row],[Column1]],#REF!,#REF!),0)</f>
        <v>0</v>
      </c>
      <c r="V692" s="39"/>
    </row>
    <row r="693" spans="1:22" x14ac:dyDescent="0.35">
      <c r="A693" s="2" t="s">
        <v>2026</v>
      </c>
      <c r="B693" s="2" t="s">
        <v>2029</v>
      </c>
      <c r="C693" s="2" t="s">
        <v>15</v>
      </c>
      <c r="D693" s="2">
        <v>0</v>
      </c>
      <c r="E693" s="2" t="s">
        <v>10</v>
      </c>
      <c r="F693" s="2">
        <v>1</v>
      </c>
      <c r="G693" s="2">
        <v>2</v>
      </c>
      <c r="H693" s="2">
        <v>0</v>
      </c>
      <c r="I693" s="22">
        <f>Table43[[#This Row],[Item Cost]]*Table43[[#This Row],[In Stock]]</f>
        <v>0</v>
      </c>
      <c r="J693" s="12" t="s">
        <v>4941</v>
      </c>
      <c r="K693" s="13" t="s">
        <v>4666</v>
      </c>
      <c r="L693" s="13" t="s">
        <v>4695</v>
      </c>
      <c r="M693" s="13" t="s">
        <v>4837</v>
      </c>
      <c r="N693" s="12" t="s">
        <v>4856</v>
      </c>
      <c r="O693" s="17" t="str">
        <f>IF(LEN(COUNTIFS($J$1:J693,$J693,$K$1:K693,$K693,$L$1:L693,$L693,$M$1:M693,M693,$N$1:N693,N693))=1,"00"&amp;COUNTIFS($J$1:J693,$J693,$K$1:K693,$K693,$L$1:L693,$L693,$M$1:M693,M693,$N$1:N693,N693),IF(LEN(COUNTIFS($J$1:J693,$J693,$K$1:K693,$K693,$L$1:L693,$L693,$M$1:M693,M693,$N$1:N693,N693))=2,"0"&amp;COUNTIFS($J$1:J693,$J693,$K$1:K693,$K693,$L$1:L693,$L693,$M$1:M693,M693,$N$1:N693,N693),COUNTIFS($J$1:J693,$J693,$K$1:K693,$K693,$L$1:L693,$L693,$M$1:M693,M693,$N$1:N693,N693)))</f>
        <v>002</v>
      </c>
      <c r="P69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MS-NS-013-26-13002-INV</v>
      </c>
      <c r="Q693" s="59"/>
      <c r="R693" s="34" t="s">
        <v>6466</v>
      </c>
      <c r="S693" s="34" t="s">
        <v>2029</v>
      </c>
      <c r="T693" s="34">
        <f>+IFERROR(_xlfn.XLOOKUP(Table43[[#This Row],[Column1]],#REF!,#REF!),0)</f>
        <v>0</v>
      </c>
      <c r="U693" s="50">
        <f>IFERROR(_xlfn.XLOOKUP(Table43[[#This Row],[Column1]],#REF!,#REF!),0)</f>
        <v>0</v>
      </c>
      <c r="V693" s="39"/>
    </row>
    <row r="694" spans="1:22" x14ac:dyDescent="0.35">
      <c r="A694" s="3" t="s">
        <v>5468</v>
      </c>
      <c r="B694" s="3" t="s">
        <v>2031</v>
      </c>
      <c r="C694" s="3" t="s">
        <v>15</v>
      </c>
      <c r="D694" s="3">
        <v>0</v>
      </c>
      <c r="E694" s="3" t="s">
        <v>10</v>
      </c>
      <c r="F694" s="2">
        <v>1</v>
      </c>
      <c r="G694" s="2">
        <v>2</v>
      </c>
      <c r="H694" s="3">
        <v>0</v>
      </c>
      <c r="I694" s="21">
        <f>Table43[[#This Row],[Item Cost]]*Table43[[#This Row],[In Stock]]</f>
        <v>0</v>
      </c>
      <c r="J694" s="12" t="s">
        <v>4941</v>
      </c>
      <c r="K694" s="13" t="s">
        <v>4666</v>
      </c>
      <c r="L694" s="13" t="s">
        <v>4695</v>
      </c>
      <c r="M694" s="13" t="s">
        <v>4828</v>
      </c>
      <c r="N694" s="12" t="s">
        <v>4856</v>
      </c>
      <c r="O694" s="17" t="str">
        <f>IF(LEN(COUNTIFS($J$1:J694,$J694,$K$1:K694,$K694,$L$1:L694,$L694,$M$1:M694,M694,$N$1:N694,N694))=1,"00"&amp;COUNTIFS($J$1:J694,$J694,$K$1:K694,$K694,$L$1:L694,$L694,$M$1:M694,M694,$N$1:N694,N694),IF(LEN(COUNTIFS($J$1:J694,$J694,$K$1:K694,$K694,$L$1:L694,$L694,$M$1:M694,M694,$N$1:N694,N694))=2,"0"&amp;COUNTIFS($J$1:J694,$J694,$K$1:K694,$K694,$L$1:L694,$L694,$M$1:M694,M694,$N$1:N694,N694),COUNTIFS($J$1:J694,$J694,$K$1:K694,$K694,$L$1:L694,$L694,$M$1:M694,M694,$N$1:N694,N694)))</f>
        <v>001</v>
      </c>
      <c r="P69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MS-NS-013-13-13001-INV</v>
      </c>
      <c r="Q694" s="59"/>
      <c r="R694" s="34" t="s">
        <v>6467</v>
      </c>
      <c r="S694" s="34" t="s">
        <v>2031</v>
      </c>
      <c r="T694" s="34">
        <f>+IFERROR(_xlfn.XLOOKUP(Table43[[#This Row],[Column1]],#REF!,#REF!),0)</f>
        <v>0</v>
      </c>
      <c r="U694" s="50">
        <f>IFERROR(_xlfn.XLOOKUP(Table43[[#This Row],[Column1]],#REF!,#REF!),0)</f>
        <v>0</v>
      </c>
      <c r="V694" s="39"/>
    </row>
    <row r="695" spans="1:22" x14ac:dyDescent="0.35">
      <c r="A695" s="3" t="s">
        <v>2028</v>
      </c>
      <c r="B695" s="2" t="s">
        <v>2033</v>
      </c>
      <c r="C695" s="2" t="s">
        <v>15</v>
      </c>
      <c r="D695" s="2">
        <v>0</v>
      </c>
      <c r="E695" s="2" t="s">
        <v>10</v>
      </c>
      <c r="F695" s="2">
        <v>1</v>
      </c>
      <c r="G695" s="2">
        <v>2</v>
      </c>
      <c r="H695" s="2">
        <v>0</v>
      </c>
      <c r="I695" s="22">
        <f>Table43[[#This Row],[Item Cost]]*Table43[[#This Row],[In Stock]]</f>
        <v>0</v>
      </c>
      <c r="J695" s="12" t="s">
        <v>4941</v>
      </c>
      <c r="K695" s="13" t="s">
        <v>4666</v>
      </c>
      <c r="L695" s="13" t="s">
        <v>4695</v>
      </c>
      <c r="M695" s="13" t="s">
        <v>4828</v>
      </c>
      <c r="N695" s="12" t="s">
        <v>4856</v>
      </c>
      <c r="O695" s="17" t="str">
        <f>IF(LEN(COUNTIFS($J$1:J695,$J695,$K$1:K695,$K695,$L$1:L695,$L695,$M$1:M695,M695,$N$1:N695,N695))=1,"00"&amp;COUNTIFS($J$1:J695,$J695,$K$1:K695,$K695,$L$1:L695,$L695,$M$1:M695,M695,$N$1:N695,N695),IF(LEN(COUNTIFS($J$1:J695,$J695,$K$1:K695,$K695,$L$1:L695,$L695,$M$1:M695,M695,$N$1:N695,N695))=2,"0"&amp;COUNTIFS($J$1:J695,$J695,$K$1:K695,$K695,$L$1:L695,$L695,$M$1:M695,M695,$N$1:N695,N695),COUNTIFS($J$1:J695,$J695,$K$1:K695,$K695,$L$1:L695,$L695,$M$1:M695,M695,$N$1:N695,N695)))</f>
        <v>002</v>
      </c>
      <c r="P69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MS-NS-013-13-13002-INV</v>
      </c>
      <c r="Q695" s="59"/>
      <c r="R695" s="34" t="s">
        <v>6468</v>
      </c>
      <c r="S695" s="34" t="s">
        <v>2033</v>
      </c>
      <c r="T695" s="34">
        <f>+IFERROR(_xlfn.XLOOKUP(Table43[[#This Row],[Column1]],#REF!,#REF!),0)</f>
        <v>0</v>
      </c>
      <c r="U695" s="50">
        <f>IFERROR(_xlfn.XLOOKUP(Table43[[#This Row],[Column1]],#REF!,#REF!),0)</f>
        <v>0</v>
      </c>
      <c r="V695" s="39"/>
    </row>
    <row r="696" spans="1:22" x14ac:dyDescent="0.35">
      <c r="A696" s="2" t="s">
        <v>2030</v>
      </c>
      <c r="B696" s="3" t="s">
        <v>2035</v>
      </c>
      <c r="C696" s="3" t="s">
        <v>15</v>
      </c>
      <c r="D696" s="3">
        <v>0</v>
      </c>
      <c r="E696" s="3" t="s">
        <v>10</v>
      </c>
      <c r="F696" s="2">
        <v>1</v>
      </c>
      <c r="G696" s="2">
        <v>2</v>
      </c>
      <c r="H696" s="3">
        <v>0</v>
      </c>
      <c r="I696" s="21">
        <f>Table43[[#This Row],[Item Cost]]*Table43[[#This Row],[In Stock]]</f>
        <v>0</v>
      </c>
      <c r="J696" s="12" t="s">
        <v>4941</v>
      </c>
      <c r="K696" s="13" t="s">
        <v>4666</v>
      </c>
      <c r="L696" s="13" t="s">
        <v>4695</v>
      </c>
      <c r="M696" s="13" t="s">
        <v>4828</v>
      </c>
      <c r="N696" s="12" t="s">
        <v>4856</v>
      </c>
      <c r="O696" s="17" t="str">
        <f>IF(LEN(COUNTIFS($J$1:J696,$J696,$K$1:K696,$K696,$L$1:L696,$L696,$M$1:M696,M696,$N$1:N696,N696))=1,"00"&amp;COUNTIFS($J$1:J696,$J696,$K$1:K696,$K696,$L$1:L696,$L696,$M$1:M696,M696,$N$1:N696,N696),IF(LEN(COUNTIFS($J$1:J696,$J696,$K$1:K696,$K696,$L$1:L696,$L696,$M$1:M696,M696,$N$1:N696,N696))=2,"0"&amp;COUNTIFS($J$1:J696,$J696,$K$1:K696,$K696,$L$1:L696,$L696,$M$1:M696,M696,$N$1:N696,N696),COUNTIFS($J$1:J696,$J696,$K$1:K696,$K696,$L$1:L696,$L696,$M$1:M696,M696,$N$1:N696,N696)))</f>
        <v>003</v>
      </c>
      <c r="P69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MS-NS-013-13-13003-INV</v>
      </c>
      <c r="Q696" s="59"/>
      <c r="R696" s="34" t="s">
        <v>6469</v>
      </c>
      <c r="S696" s="34" t="s">
        <v>2035</v>
      </c>
      <c r="T696" s="34">
        <f>+IFERROR(_xlfn.XLOOKUP(Table43[[#This Row],[Column1]],#REF!,#REF!),0)</f>
        <v>0</v>
      </c>
      <c r="U696" s="50">
        <f>IFERROR(_xlfn.XLOOKUP(Table43[[#This Row],[Column1]],#REF!,#REF!),0)</f>
        <v>0</v>
      </c>
      <c r="V696" s="39"/>
    </row>
    <row r="697" spans="1:22" x14ac:dyDescent="0.35">
      <c r="A697" s="3" t="s">
        <v>2032</v>
      </c>
      <c r="B697" s="2" t="s">
        <v>2037</v>
      </c>
      <c r="C697" s="2" t="s">
        <v>15</v>
      </c>
      <c r="D697" s="2">
        <v>0</v>
      </c>
      <c r="E697" s="2" t="s">
        <v>10</v>
      </c>
      <c r="F697" s="2">
        <v>1</v>
      </c>
      <c r="G697" s="2">
        <v>2</v>
      </c>
      <c r="H697" s="2">
        <v>0</v>
      </c>
      <c r="I697" s="22">
        <f>Table43[[#This Row],[Item Cost]]*Table43[[#This Row],[In Stock]]</f>
        <v>0</v>
      </c>
      <c r="J697" s="12" t="s">
        <v>4941</v>
      </c>
      <c r="K697" s="13" t="s">
        <v>4666</v>
      </c>
      <c r="L697" s="13" t="s">
        <v>4695</v>
      </c>
      <c r="M697" s="13" t="s">
        <v>4828</v>
      </c>
      <c r="N697" s="12" t="s">
        <v>4856</v>
      </c>
      <c r="O697" s="17" t="str">
        <f>IF(LEN(COUNTIFS($J$1:J697,$J697,$K$1:K697,$K697,$L$1:L697,$L697,$M$1:M697,M697,$N$1:N697,N697))=1,"00"&amp;COUNTIFS($J$1:J697,$J697,$K$1:K697,$K697,$L$1:L697,$L697,$M$1:M697,M697,$N$1:N697,N697),IF(LEN(COUNTIFS($J$1:J697,$J697,$K$1:K697,$K697,$L$1:L697,$L697,$M$1:M697,M697,$N$1:N697,N697))=2,"0"&amp;COUNTIFS($J$1:J697,$J697,$K$1:K697,$K697,$L$1:L697,$L697,$M$1:M697,M697,$N$1:N697,N697),COUNTIFS($J$1:J697,$J697,$K$1:K697,$K697,$L$1:L697,$L697,$M$1:M697,M697,$N$1:N697,N697)))</f>
        <v>004</v>
      </c>
      <c r="P69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MS-NS-013-13-13004-INV</v>
      </c>
      <c r="Q697" s="59"/>
      <c r="R697" s="34" t="s">
        <v>6470</v>
      </c>
      <c r="S697" s="34" t="s">
        <v>2037</v>
      </c>
      <c r="T697" s="34">
        <f>+IFERROR(_xlfn.XLOOKUP(Table43[[#This Row],[Column1]],#REF!,#REF!),0)</f>
        <v>0</v>
      </c>
      <c r="U697" s="50">
        <f>IFERROR(_xlfn.XLOOKUP(Table43[[#This Row],[Column1]],#REF!,#REF!),0)</f>
        <v>0</v>
      </c>
      <c r="V697" s="39"/>
    </row>
    <row r="698" spans="1:22" x14ac:dyDescent="0.35">
      <c r="A698" s="3" t="s">
        <v>2034</v>
      </c>
      <c r="B698" s="3" t="s">
        <v>2039</v>
      </c>
      <c r="C698" s="3" t="s">
        <v>15</v>
      </c>
      <c r="D698" s="3">
        <v>477.10300000000001</v>
      </c>
      <c r="E698" s="3" t="s">
        <v>10</v>
      </c>
      <c r="F698" s="2">
        <v>1</v>
      </c>
      <c r="G698" s="2">
        <v>2</v>
      </c>
      <c r="H698" s="3">
        <v>7</v>
      </c>
      <c r="I698" s="21">
        <f>Table43[[#This Row],[Item Cost]]*Table43[[#This Row],[In Stock]]</f>
        <v>3339.721</v>
      </c>
      <c r="J698" s="12" t="s">
        <v>4941</v>
      </c>
      <c r="K698" s="13" t="s">
        <v>4666</v>
      </c>
      <c r="L698" s="13" t="s">
        <v>4695</v>
      </c>
      <c r="M698" s="13" t="s">
        <v>4734</v>
      </c>
      <c r="N698" s="12" t="s">
        <v>4856</v>
      </c>
      <c r="O698" s="17" t="str">
        <f>IF(LEN(COUNTIFS($J$1:J698,$J698,$K$1:K698,$K698,$L$1:L698,$L698,$M$1:M698,M698,$N$1:N698,N698))=1,"00"&amp;COUNTIFS($J$1:J698,$J698,$K$1:K698,$K698,$L$1:L698,$L698,$M$1:M698,M698,$N$1:N698,N698),IF(LEN(COUNTIFS($J$1:J698,$J698,$K$1:K698,$K698,$L$1:L698,$L698,$M$1:M698,M698,$N$1:N698,N698))=2,"0"&amp;COUNTIFS($J$1:J698,$J698,$K$1:K698,$K698,$L$1:L698,$L698,$M$1:M698,M698,$N$1:N698,N698),COUNTIFS($J$1:J698,$J698,$K$1:K698,$K698,$L$1:L698,$L698,$M$1:M698,M698,$N$1:N698,N698)))</f>
        <v>001</v>
      </c>
      <c r="P69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MS-NS-013-02-13001-INV</v>
      </c>
      <c r="Q698" s="59" t="s">
        <v>7371</v>
      </c>
      <c r="R698" s="34" t="s">
        <v>6471</v>
      </c>
      <c r="S698" s="34" t="s">
        <v>2039</v>
      </c>
      <c r="T698" s="34">
        <f>+IFERROR(_xlfn.XLOOKUP(Table43[[#This Row],[Column1]],#REF!,#REF!),0)</f>
        <v>0</v>
      </c>
      <c r="U698" s="50">
        <f>IFERROR(_xlfn.XLOOKUP(Table43[[#This Row],[Column1]],#REF!,#REF!),0)</f>
        <v>0</v>
      </c>
      <c r="V698" s="39"/>
    </row>
    <row r="699" spans="1:22" x14ac:dyDescent="0.35">
      <c r="A699" s="2" t="s">
        <v>2036</v>
      </c>
      <c r="B699" s="2" t="s">
        <v>2041</v>
      </c>
      <c r="C699" s="2" t="s">
        <v>15</v>
      </c>
      <c r="D699" s="2">
        <v>0</v>
      </c>
      <c r="E699" s="2" t="s">
        <v>10</v>
      </c>
      <c r="F699" s="2">
        <v>1</v>
      </c>
      <c r="G699" s="2">
        <v>2</v>
      </c>
      <c r="H699" s="2">
        <v>0</v>
      </c>
      <c r="I699" s="22">
        <f>Table43[[#This Row],[Item Cost]]*Table43[[#This Row],[In Stock]]</f>
        <v>0</v>
      </c>
      <c r="J699" s="12" t="s">
        <v>4941</v>
      </c>
      <c r="K699" s="13" t="s">
        <v>4666</v>
      </c>
      <c r="L699" s="13" t="s">
        <v>4695</v>
      </c>
      <c r="M699" s="13" t="s">
        <v>4734</v>
      </c>
      <c r="N699" s="12" t="s">
        <v>4856</v>
      </c>
      <c r="O699" s="17" t="str">
        <f>IF(LEN(COUNTIFS($J$1:J699,$J699,$K$1:K699,$K699,$L$1:L699,$L699,$M$1:M699,M699,$N$1:N699,N699))=1,"00"&amp;COUNTIFS($J$1:J699,$J699,$K$1:K699,$K699,$L$1:L699,$L699,$M$1:M699,M699,$N$1:N699,N699),IF(LEN(COUNTIFS($J$1:J699,$J699,$K$1:K699,$K699,$L$1:L699,$L699,$M$1:M699,M699,$N$1:N699,N699))=2,"0"&amp;COUNTIFS($J$1:J699,$J699,$K$1:K699,$K699,$L$1:L699,$L699,$M$1:M699,M699,$N$1:N699,N699),COUNTIFS($J$1:J699,$J699,$K$1:K699,$K699,$L$1:L699,$L699,$M$1:M699,M699,$N$1:N699,N699)))</f>
        <v>002</v>
      </c>
      <c r="P69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MS-NS-013-02-13002-INV</v>
      </c>
      <c r="Q699" s="59"/>
      <c r="R699" s="34" t="s">
        <v>6472</v>
      </c>
      <c r="S699" s="34" t="s">
        <v>2041</v>
      </c>
      <c r="T699" s="34">
        <f>+IFERROR(_xlfn.XLOOKUP(Table43[[#This Row],[Column1]],#REF!,#REF!),0)</f>
        <v>0</v>
      </c>
      <c r="U699" s="50">
        <f>IFERROR(_xlfn.XLOOKUP(Table43[[#This Row],[Column1]],#REF!,#REF!),0)</f>
        <v>0</v>
      </c>
      <c r="V699" s="39"/>
    </row>
    <row r="700" spans="1:22" x14ac:dyDescent="0.35">
      <c r="A700" s="3" t="s">
        <v>2038</v>
      </c>
      <c r="B700" s="2" t="s">
        <v>2045</v>
      </c>
      <c r="C700" s="2" t="s">
        <v>15</v>
      </c>
      <c r="D700" s="4">
        <v>20162.03</v>
      </c>
      <c r="E700" s="2" t="s">
        <v>10</v>
      </c>
      <c r="F700" s="2">
        <v>1</v>
      </c>
      <c r="G700" s="2">
        <v>2</v>
      </c>
      <c r="H700" s="2">
        <v>1</v>
      </c>
      <c r="I700" s="22">
        <f>Table43[[#This Row],[Item Cost]]*Table43[[#This Row],[In Stock]]</f>
        <v>20162.03</v>
      </c>
      <c r="J700" s="12" t="s">
        <v>4941</v>
      </c>
      <c r="K700" s="13" t="s">
        <v>4666</v>
      </c>
      <c r="L700" s="13" t="s">
        <v>4695</v>
      </c>
      <c r="M700" s="13" t="s">
        <v>4693</v>
      </c>
      <c r="N700" s="12" t="s">
        <v>4856</v>
      </c>
      <c r="O700" s="17" t="str">
        <f>IF(LEN(COUNTIFS($J$1:J700,$J700,$K$1:K700,$K700,$L$1:L700,$L700,$M$1:M700,M700,$N$1:N700,N700))=1,"00"&amp;COUNTIFS($J$1:J700,$J700,$K$1:K700,$K700,$L$1:L700,$L700,$M$1:M700,M700,$N$1:N700,N700),IF(LEN(COUNTIFS($J$1:J700,$J700,$K$1:K700,$K700,$L$1:L700,$L700,$M$1:M700,M700,$N$1:N700,N700))=2,"0"&amp;COUNTIFS($J$1:J700,$J700,$K$1:K700,$K700,$L$1:L700,$L700,$M$1:M700,M700,$N$1:N700,N700),COUNTIFS($J$1:J700,$J700,$K$1:K700,$K700,$L$1:L700,$L700,$M$1:M700,M700,$N$1:N700,N700)))</f>
        <v>007</v>
      </c>
      <c r="P70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MS-NS-013-23-13007-INV</v>
      </c>
      <c r="Q700" s="59"/>
      <c r="R700" s="34" t="s">
        <v>6473</v>
      </c>
      <c r="S700" s="34" t="s">
        <v>2045</v>
      </c>
      <c r="T700" s="34">
        <f>+IFERROR(_xlfn.XLOOKUP(Table43[[#This Row],[Column1]],#REF!,#REF!),0)</f>
        <v>0</v>
      </c>
      <c r="U700" s="50">
        <f>IFERROR(_xlfn.XLOOKUP(Table43[[#This Row],[Column1]],#REF!,#REF!),0)</f>
        <v>0</v>
      </c>
      <c r="V700" s="39"/>
    </row>
    <row r="701" spans="1:22" x14ac:dyDescent="0.35">
      <c r="A701" s="3" t="s">
        <v>2040</v>
      </c>
      <c r="B701" s="3" t="s">
        <v>2047</v>
      </c>
      <c r="C701" s="3" t="s">
        <v>15</v>
      </c>
      <c r="D701" s="3">
        <v>250</v>
      </c>
      <c r="E701" s="3" t="s">
        <v>10</v>
      </c>
      <c r="F701" s="2">
        <v>1</v>
      </c>
      <c r="G701" s="2">
        <v>2</v>
      </c>
      <c r="H701" s="3">
        <v>3</v>
      </c>
      <c r="I701" s="21">
        <f>Table43[[#This Row],[Item Cost]]*Table43[[#This Row],[In Stock]]</f>
        <v>750</v>
      </c>
      <c r="J701" s="12" t="s">
        <v>4941</v>
      </c>
      <c r="K701" s="13" t="s">
        <v>4666</v>
      </c>
      <c r="L701" s="13" t="s">
        <v>4695</v>
      </c>
      <c r="M701" s="13" t="s">
        <v>4672</v>
      </c>
      <c r="N701" s="12" t="s">
        <v>4672</v>
      </c>
      <c r="O701" s="17" t="str">
        <f>IF(LEN(COUNTIFS($J$1:J701,$J701,$K$1:K701,$K701,$L$1:L701,$L701,$M$1:M701,M701,$N$1:N701,N701))=1,"00"&amp;COUNTIFS($J$1:J701,$J701,$K$1:K701,$K701,$L$1:L701,$L701,$M$1:M701,M701,$N$1:N701,N701),IF(LEN(COUNTIFS($J$1:J701,$J701,$K$1:K701,$K701,$L$1:L701,$L701,$M$1:M701,M701,$N$1:N701,N701))=2,"0"&amp;COUNTIFS($J$1:J701,$J701,$K$1:K701,$K701,$L$1:L701,$L701,$M$1:M701,M701,$N$1:N701,N701),COUNTIFS($J$1:J701,$J701,$K$1:K701,$K701,$L$1:L701,$L701,$M$1:M701,M701,$N$1:N701,N701)))</f>
        <v>001</v>
      </c>
      <c r="P70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MS-NS-013-00-00001-INV</v>
      </c>
      <c r="Q701" s="59"/>
      <c r="R701" s="34" t="s">
        <v>6474</v>
      </c>
      <c r="S701" s="34" t="s">
        <v>2047</v>
      </c>
      <c r="T701" s="34">
        <f>+IFERROR(_xlfn.XLOOKUP(Table43[[#This Row],[Column1]],#REF!,#REF!),0)</f>
        <v>0</v>
      </c>
      <c r="U701" s="50">
        <f>IFERROR(_xlfn.XLOOKUP(Table43[[#This Row],[Column1]],#REF!,#REF!),0)</f>
        <v>0</v>
      </c>
      <c r="V701" s="39"/>
    </row>
    <row r="702" spans="1:22" x14ac:dyDescent="0.35">
      <c r="A702" s="2" t="s">
        <v>2048</v>
      </c>
      <c r="B702" s="2" t="s">
        <v>2049</v>
      </c>
      <c r="C702" s="2" t="s">
        <v>9</v>
      </c>
      <c r="D702" s="2">
        <v>911.4</v>
      </c>
      <c r="E702" s="2" t="s">
        <v>10</v>
      </c>
      <c r="F702" s="2">
        <v>1</v>
      </c>
      <c r="G702" s="2">
        <v>2</v>
      </c>
      <c r="H702" s="2">
        <v>2</v>
      </c>
      <c r="I702" s="22">
        <f>Table43[[#This Row],[Item Cost]]*Table43[[#This Row],[In Stock]]</f>
        <v>1822.8</v>
      </c>
      <c r="J702" s="12" t="s">
        <v>4941</v>
      </c>
      <c r="K702" s="13" t="s">
        <v>4664</v>
      </c>
      <c r="L702" s="13" t="s">
        <v>4755</v>
      </c>
      <c r="M702" s="13" t="s">
        <v>4770</v>
      </c>
      <c r="N702" s="12" t="s">
        <v>4846</v>
      </c>
      <c r="O702" s="17" t="str">
        <f>IF(LEN(COUNTIFS($J$1:J702,$J702,$K$1:K702,$K702,$L$1:L702,$L702,$M$1:M702,M702,$N$1:N702,N702))=1,"00"&amp;COUNTIFS($J$1:J702,$J702,$K$1:K702,$K702,$L$1:L702,$L702,$M$1:M702,M702,$N$1:N702,N702),IF(LEN(COUNTIFS($J$1:J702,$J702,$K$1:K702,$K702,$L$1:L702,$L702,$M$1:M702,M702,$N$1:N702,N702))=2,"0"&amp;COUNTIFS($J$1:J702,$J702,$K$1:K702,$K702,$L$1:L702,$L702,$M$1:M702,M702,$N$1:N702,N702),COUNTIFS($J$1:J702,$J702,$K$1:K702,$K702,$L$1:L702,$L702,$M$1:M702,M702,$N$1:N702,N702)))</f>
        <v>001</v>
      </c>
      <c r="P70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MS-CS-011-04-02001-INV</v>
      </c>
      <c r="Q702" s="59" t="s">
        <v>7336</v>
      </c>
      <c r="R702" s="34" t="s">
        <v>6475</v>
      </c>
      <c r="S702" s="34" t="s">
        <v>2049</v>
      </c>
      <c r="T702" s="34">
        <f>+IFERROR(_xlfn.XLOOKUP(Table43[[#This Row],[Column1]],#REF!,#REF!),0)</f>
        <v>0</v>
      </c>
      <c r="U702" s="50">
        <f>IFERROR(_xlfn.XLOOKUP(Table43[[#This Row],[Column1]],#REF!,#REF!),0)</f>
        <v>0</v>
      </c>
      <c r="V702" s="39"/>
    </row>
    <row r="703" spans="1:22" x14ac:dyDescent="0.35">
      <c r="A703" s="3" t="s">
        <v>2050</v>
      </c>
      <c r="B703" s="3" t="s">
        <v>2051</v>
      </c>
      <c r="C703" s="3" t="s">
        <v>9</v>
      </c>
      <c r="D703" s="5">
        <v>2325.1950000000002</v>
      </c>
      <c r="E703" s="3" t="s">
        <v>10</v>
      </c>
      <c r="F703" s="2">
        <v>1</v>
      </c>
      <c r="G703" s="3">
        <v>2</v>
      </c>
      <c r="H703" s="3">
        <v>2</v>
      </c>
      <c r="I703" s="21">
        <f>Table43[[#This Row],[Item Cost]]*Table43[[#This Row],[In Stock]]</f>
        <v>4650.3900000000003</v>
      </c>
      <c r="J703" s="12" t="s">
        <v>4941</v>
      </c>
      <c r="K703" s="13" t="s">
        <v>4664</v>
      </c>
      <c r="L703" s="13" t="s">
        <v>4755</v>
      </c>
      <c r="M703" s="13" t="s">
        <v>4774</v>
      </c>
      <c r="N703" s="12" t="s">
        <v>4846</v>
      </c>
      <c r="O703" s="17" t="str">
        <f>IF(LEN(COUNTIFS($J$1:J703,$J703,$K$1:K703,$K703,$L$1:L703,$L703,$M$1:M703,M703,$N$1:N703,N703))=1,"00"&amp;COUNTIFS($J$1:J703,$J703,$K$1:K703,$K703,$L$1:L703,$L703,$M$1:M703,M703,$N$1:N703,N703),IF(LEN(COUNTIFS($J$1:J703,$J703,$K$1:K703,$K703,$L$1:L703,$L703,$M$1:M703,M703,$N$1:N703,N703))=2,"0"&amp;COUNTIFS($J$1:J703,$J703,$K$1:K703,$K703,$L$1:L703,$L703,$M$1:M703,M703,$N$1:N703,N703),COUNTIFS($J$1:J703,$J703,$K$1:K703,$K703,$L$1:L703,$L703,$M$1:M703,M703,$N$1:N703,N703)))</f>
        <v>001</v>
      </c>
      <c r="P70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MS-CS-011-08-02001-INV</v>
      </c>
      <c r="Q703" s="59" t="s">
        <v>7330</v>
      </c>
      <c r="R703" s="34" t="s">
        <v>6476</v>
      </c>
      <c r="S703" s="34" t="s">
        <v>2051</v>
      </c>
      <c r="T703" s="34">
        <f>+IFERROR(_xlfn.XLOOKUP(Table43[[#This Row],[Column1]],#REF!,#REF!),0)</f>
        <v>0</v>
      </c>
      <c r="U703" s="50">
        <f>IFERROR(_xlfn.XLOOKUP(Table43[[#This Row],[Column1]],#REF!,#REF!),0)</f>
        <v>0</v>
      </c>
      <c r="V703" s="39"/>
    </row>
    <row r="704" spans="1:22" x14ac:dyDescent="0.35">
      <c r="A704" s="2" t="s">
        <v>2052</v>
      </c>
      <c r="B704" s="2" t="s">
        <v>2053</v>
      </c>
      <c r="C704" s="2" t="s">
        <v>9</v>
      </c>
      <c r="D704" s="4">
        <v>2119.09</v>
      </c>
      <c r="E704" s="2" t="s">
        <v>10</v>
      </c>
      <c r="F704" s="2">
        <v>1</v>
      </c>
      <c r="G704" s="2">
        <v>2</v>
      </c>
      <c r="H704" s="2">
        <v>2</v>
      </c>
      <c r="I704" s="22">
        <f>Table43[[#This Row],[Item Cost]]*Table43[[#This Row],[In Stock]]</f>
        <v>4238.18</v>
      </c>
      <c r="J704" s="12" t="s">
        <v>4941</v>
      </c>
      <c r="K704" s="13" t="s">
        <v>4664</v>
      </c>
      <c r="L704" s="13" t="s">
        <v>4755</v>
      </c>
      <c r="M704" s="13" t="s">
        <v>4770</v>
      </c>
      <c r="N704" s="12" t="s">
        <v>4846</v>
      </c>
      <c r="O704" s="17" t="str">
        <f>IF(LEN(COUNTIFS($J$1:J704,$J704,$K$1:K704,$K704,$L$1:L704,$L704,$M$1:M704,M704,$N$1:N704,N704))=1,"00"&amp;COUNTIFS($J$1:J704,$J704,$K$1:K704,$K704,$L$1:L704,$L704,$M$1:M704,M704,$N$1:N704,N704),IF(LEN(COUNTIFS($J$1:J704,$J704,$K$1:K704,$K704,$L$1:L704,$L704,$M$1:M704,M704,$N$1:N704,N704))=2,"0"&amp;COUNTIFS($J$1:J704,$J704,$K$1:K704,$K704,$L$1:L704,$L704,$M$1:M704,M704,$N$1:N704,N704),COUNTIFS($J$1:J704,$J704,$K$1:K704,$K704,$L$1:L704,$L704,$M$1:M704,M704,$N$1:N704,N704)))</f>
        <v>002</v>
      </c>
      <c r="P70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MS-CS-011-04-02002-INV</v>
      </c>
      <c r="Q704" s="59" t="s">
        <v>7330</v>
      </c>
      <c r="R704" s="34" t="s">
        <v>6477</v>
      </c>
      <c r="S704" s="34" t="s">
        <v>2053</v>
      </c>
      <c r="T704" s="34">
        <f>+IFERROR(_xlfn.XLOOKUP(Table43[[#This Row],[Column1]],#REF!,#REF!),0)</f>
        <v>0</v>
      </c>
      <c r="U704" s="50">
        <f>IFERROR(_xlfn.XLOOKUP(Table43[[#This Row],[Column1]],#REF!,#REF!),0)</f>
        <v>0</v>
      </c>
      <c r="V704" s="39"/>
    </row>
    <row r="705" spans="1:22" x14ac:dyDescent="0.35">
      <c r="A705" s="2" t="s">
        <v>2054</v>
      </c>
      <c r="B705" s="3" t="s">
        <v>2055</v>
      </c>
      <c r="C705" s="3" t="s">
        <v>9</v>
      </c>
      <c r="D705" s="3">
        <v>405.78</v>
      </c>
      <c r="E705" s="3" t="s">
        <v>10</v>
      </c>
      <c r="F705" s="2">
        <v>1</v>
      </c>
      <c r="G705" s="3">
        <v>2</v>
      </c>
      <c r="H705" s="3">
        <v>2</v>
      </c>
      <c r="I705" s="21">
        <f>Table43[[#This Row],[Item Cost]]*Table43[[#This Row],[In Stock]]</f>
        <v>811.56</v>
      </c>
      <c r="J705" s="12" t="s">
        <v>4941</v>
      </c>
      <c r="K705" s="13" t="s">
        <v>4664</v>
      </c>
      <c r="L705" s="13" t="s">
        <v>4755</v>
      </c>
      <c r="M705" s="13" t="s">
        <v>4774</v>
      </c>
      <c r="N705" s="12" t="s">
        <v>4846</v>
      </c>
      <c r="O705" s="17" t="str">
        <f>IF(LEN(COUNTIFS($J$1:J705,$J705,$K$1:K705,$K705,$L$1:L705,$L705,$M$1:M705,M705,$N$1:N705,N705))=1,"00"&amp;COUNTIFS($J$1:J705,$J705,$K$1:K705,$K705,$L$1:L705,$L705,$M$1:M705,M705,$N$1:N705,N705),IF(LEN(COUNTIFS($J$1:J705,$J705,$K$1:K705,$K705,$L$1:L705,$L705,$M$1:M705,M705,$N$1:N705,N705))=2,"0"&amp;COUNTIFS($J$1:J705,$J705,$K$1:K705,$K705,$L$1:L705,$L705,$M$1:M705,M705,$N$1:N705,N705),COUNTIFS($J$1:J705,$J705,$K$1:K705,$K705,$L$1:L705,$L705,$M$1:M705,M705,$N$1:N705,N705)))</f>
        <v>002</v>
      </c>
      <c r="P70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MS-CS-011-08-02002-INV</v>
      </c>
      <c r="Q705" s="59" t="s">
        <v>7330</v>
      </c>
      <c r="R705" s="34" t="s">
        <v>6478</v>
      </c>
      <c r="S705" s="34" t="s">
        <v>2055</v>
      </c>
      <c r="T705" s="34">
        <f>+IFERROR(_xlfn.XLOOKUP(Table43[[#This Row],[Column1]],#REF!,#REF!),0)</f>
        <v>0</v>
      </c>
      <c r="U705" s="50">
        <f>IFERROR(_xlfn.XLOOKUP(Table43[[#This Row],[Column1]],#REF!,#REF!),0)</f>
        <v>0</v>
      </c>
      <c r="V705" s="39"/>
    </row>
    <row r="706" spans="1:22" x14ac:dyDescent="0.35">
      <c r="A706" s="3" t="s">
        <v>2056</v>
      </c>
      <c r="B706" s="2" t="s">
        <v>2057</v>
      </c>
      <c r="C706" s="2" t="s">
        <v>9</v>
      </c>
      <c r="D706" s="4">
        <v>2325.1950000000002</v>
      </c>
      <c r="E706" s="2" t="s">
        <v>10</v>
      </c>
      <c r="F706" s="2">
        <v>1</v>
      </c>
      <c r="G706" s="2">
        <v>2</v>
      </c>
      <c r="H706" s="2">
        <v>2</v>
      </c>
      <c r="I706" s="22">
        <f>Table43[[#This Row],[Item Cost]]*Table43[[#This Row],[In Stock]]</f>
        <v>4650.3900000000003</v>
      </c>
      <c r="J706" s="12" t="s">
        <v>4941</v>
      </c>
      <c r="K706" s="13" t="s">
        <v>4664</v>
      </c>
      <c r="L706" s="13" t="s">
        <v>4755</v>
      </c>
      <c r="M706" s="13" t="s">
        <v>4774</v>
      </c>
      <c r="N706" s="12" t="s">
        <v>4846</v>
      </c>
      <c r="O706" s="17" t="str">
        <f>IF(LEN(COUNTIFS($J$1:J706,$J706,$K$1:K706,$K706,$L$1:L706,$L706,$M$1:M706,M706,$N$1:N706,N706))=1,"00"&amp;COUNTIFS($J$1:J706,$J706,$K$1:K706,$K706,$L$1:L706,$L706,$M$1:M706,M706,$N$1:N706,N706),IF(LEN(COUNTIFS($J$1:J706,$J706,$K$1:K706,$K706,$L$1:L706,$L706,$M$1:M706,M706,$N$1:N706,N706))=2,"0"&amp;COUNTIFS($J$1:J706,$J706,$K$1:K706,$K706,$L$1:L706,$L706,$M$1:M706,M706,$N$1:N706,N706),COUNTIFS($J$1:J706,$J706,$K$1:K706,$K706,$L$1:L706,$L706,$M$1:M706,M706,$N$1:N706,N706)))</f>
        <v>003</v>
      </c>
      <c r="P70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MS-CS-011-08-02003-INV</v>
      </c>
      <c r="Q706" s="59" t="s">
        <v>7330</v>
      </c>
      <c r="R706" s="34" t="s">
        <v>6479</v>
      </c>
      <c r="S706" s="34" t="s">
        <v>2057</v>
      </c>
      <c r="T706" s="34">
        <f>+IFERROR(_xlfn.XLOOKUP(Table43[[#This Row],[Column1]],#REF!,#REF!),0)</f>
        <v>0</v>
      </c>
      <c r="U706" s="50">
        <f>IFERROR(_xlfn.XLOOKUP(Table43[[#This Row],[Column1]],#REF!,#REF!),0)</f>
        <v>0</v>
      </c>
      <c r="V706" s="39"/>
    </row>
    <row r="707" spans="1:22" x14ac:dyDescent="0.35">
      <c r="A707" s="2" t="s">
        <v>2058</v>
      </c>
      <c r="B707" s="3" t="s">
        <v>2059</v>
      </c>
      <c r="C707" s="3" t="s">
        <v>9</v>
      </c>
      <c r="D707" s="3">
        <v>428.95299999999997</v>
      </c>
      <c r="E707" s="3" t="s">
        <v>10</v>
      </c>
      <c r="F707" s="2">
        <v>1</v>
      </c>
      <c r="G707" s="3">
        <v>3</v>
      </c>
      <c r="H707" s="3">
        <v>6</v>
      </c>
      <c r="I707" s="21">
        <f>Table43[[#This Row],[Item Cost]]*Table43[[#This Row],[In Stock]]</f>
        <v>2573.7179999999998</v>
      </c>
      <c r="J707" s="12" t="s">
        <v>4941</v>
      </c>
      <c r="K707" s="13" t="s">
        <v>4664</v>
      </c>
      <c r="L707" s="13" t="s">
        <v>4755</v>
      </c>
      <c r="M707" s="13" t="s">
        <v>4774</v>
      </c>
      <c r="N707" s="12" t="s">
        <v>4846</v>
      </c>
      <c r="O707" s="17" t="str">
        <f>IF(LEN(COUNTIFS($J$1:J707,$J707,$K$1:K707,$K707,$L$1:L707,$L707,$M$1:M707,M707,$N$1:N707,N707))=1,"00"&amp;COUNTIFS($J$1:J707,$J707,$K$1:K707,$K707,$L$1:L707,$L707,$M$1:M707,M707,$N$1:N707,N707),IF(LEN(COUNTIFS($J$1:J707,$J707,$K$1:K707,$K707,$L$1:L707,$L707,$M$1:M707,M707,$N$1:N707,N707))=2,"0"&amp;COUNTIFS($J$1:J707,$J707,$K$1:K707,$K707,$L$1:L707,$L707,$M$1:M707,M707,$N$1:N707,N707),COUNTIFS($J$1:J707,$J707,$K$1:K707,$K707,$L$1:L707,$L707,$M$1:M707,M707,$N$1:N707,N707)))</f>
        <v>004</v>
      </c>
      <c r="P70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MS-CS-011-08-02004-INV</v>
      </c>
      <c r="Q707" s="59" t="s">
        <v>7330</v>
      </c>
      <c r="R707" s="34" t="s">
        <v>6480</v>
      </c>
      <c r="S707" s="34" t="s">
        <v>2059</v>
      </c>
      <c r="T707" s="34">
        <f>+IFERROR(_xlfn.XLOOKUP(Table43[[#This Row],[Column1]],#REF!,#REF!),0)</f>
        <v>0</v>
      </c>
      <c r="U707" s="50">
        <f>IFERROR(_xlfn.XLOOKUP(Table43[[#This Row],[Column1]],#REF!,#REF!),0)</f>
        <v>0</v>
      </c>
      <c r="V707" s="39"/>
    </row>
    <row r="708" spans="1:22" x14ac:dyDescent="0.35">
      <c r="A708" s="2" t="s">
        <v>2060</v>
      </c>
      <c r="B708" s="2" t="s">
        <v>2061</v>
      </c>
      <c r="C708" s="2" t="s">
        <v>9</v>
      </c>
      <c r="D708" s="2">
        <v>53.618000000000002</v>
      </c>
      <c r="E708" s="2" t="s">
        <v>10</v>
      </c>
      <c r="F708" s="2">
        <v>1</v>
      </c>
      <c r="G708" s="2">
        <v>2</v>
      </c>
      <c r="H708" s="2">
        <v>5</v>
      </c>
      <c r="I708" s="22">
        <f>Table43[[#This Row],[Item Cost]]*Table43[[#This Row],[In Stock]]</f>
        <v>268.09000000000003</v>
      </c>
      <c r="J708" s="12" t="s">
        <v>4941</v>
      </c>
      <c r="K708" s="13" t="s">
        <v>4664</v>
      </c>
      <c r="L708" s="13" t="s">
        <v>4755</v>
      </c>
      <c r="M708" s="13" t="s">
        <v>4837</v>
      </c>
      <c r="N708" s="12" t="s">
        <v>4846</v>
      </c>
      <c r="O708" s="17" t="str">
        <f>IF(LEN(COUNTIFS($J$1:J708,$J708,$K$1:K708,$K708,$L$1:L708,$L708,$M$1:M708,M708,$N$1:N708,N708))=1,"00"&amp;COUNTIFS($J$1:J708,$J708,$K$1:K708,$K708,$L$1:L708,$L708,$M$1:M708,M708,$N$1:N708,N708),IF(LEN(COUNTIFS($J$1:J708,$J708,$K$1:K708,$K708,$L$1:L708,$L708,$M$1:M708,M708,$N$1:N708,N708))=2,"0"&amp;COUNTIFS($J$1:J708,$J708,$K$1:K708,$K708,$L$1:L708,$L708,$M$1:M708,M708,$N$1:N708,N708),COUNTIFS($J$1:J708,$J708,$K$1:K708,$K708,$L$1:L708,$L708,$M$1:M708,M708,$N$1:N708,N708)))</f>
        <v>001</v>
      </c>
      <c r="P70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MS-CS-011-26-02001-INV</v>
      </c>
      <c r="Q708" s="59" t="s">
        <v>7330</v>
      </c>
      <c r="R708" s="34" t="s">
        <v>6481</v>
      </c>
      <c r="S708" s="34" t="s">
        <v>2061</v>
      </c>
      <c r="T708" s="34">
        <f>+IFERROR(_xlfn.XLOOKUP(Table43[[#This Row],[Column1]],#REF!,#REF!),0)</f>
        <v>0</v>
      </c>
      <c r="U708" s="50">
        <f>IFERROR(_xlfn.XLOOKUP(Table43[[#This Row],[Column1]],#REF!,#REF!),0)</f>
        <v>0</v>
      </c>
      <c r="V708" s="39"/>
    </row>
    <row r="709" spans="1:22" x14ac:dyDescent="0.35">
      <c r="A709" s="3" t="s">
        <v>2062</v>
      </c>
      <c r="B709" s="3" t="s">
        <v>2063</v>
      </c>
      <c r="C709" s="3" t="s">
        <v>9</v>
      </c>
      <c r="D709" s="3">
        <v>369.82</v>
      </c>
      <c r="E709" s="3" t="s">
        <v>10</v>
      </c>
      <c r="F709" s="2">
        <v>1</v>
      </c>
      <c r="G709" s="3">
        <v>2</v>
      </c>
      <c r="H709" s="3">
        <v>2</v>
      </c>
      <c r="I709" s="21">
        <f>Table43[[#This Row],[Item Cost]]*Table43[[#This Row],[In Stock]]</f>
        <v>739.64</v>
      </c>
      <c r="J709" s="12" t="s">
        <v>4941</v>
      </c>
      <c r="K709" s="13" t="s">
        <v>4664</v>
      </c>
      <c r="L709" s="13" t="s">
        <v>4755</v>
      </c>
      <c r="M709" s="13" t="s">
        <v>4837</v>
      </c>
      <c r="N709" s="12" t="s">
        <v>4846</v>
      </c>
      <c r="O709" s="17" t="str">
        <f>IF(LEN(COUNTIFS($J$1:J709,$J709,$K$1:K709,$K709,$L$1:L709,$L709,$M$1:M709,M709,$N$1:N709,N709))=1,"00"&amp;COUNTIFS($J$1:J709,$J709,$K$1:K709,$K709,$L$1:L709,$L709,$M$1:M709,M709,$N$1:N709,N709),IF(LEN(COUNTIFS($J$1:J709,$J709,$K$1:K709,$K709,$L$1:L709,$L709,$M$1:M709,M709,$N$1:N709,N709))=2,"0"&amp;COUNTIFS($J$1:J709,$J709,$K$1:K709,$K709,$L$1:L709,$L709,$M$1:M709,M709,$N$1:N709,N709),COUNTIFS($J$1:J709,$J709,$K$1:K709,$K709,$L$1:L709,$L709,$M$1:M709,M709,$N$1:N709,N709)))</f>
        <v>002</v>
      </c>
      <c r="P70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MS-CS-011-26-02002-INV</v>
      </c>
      <c r="Q709" s="59"/>
      <c r="R709" s="34" t="s">
        <v>6482</v>
      </c>
      <c r="S709" s="34" t="s">
        <v>2063</v>
      </c>
      <c r="T709" s="34">
        <f>+IFERROR(_xlfn.XLOOKUP(Table43[[#This Row],[Column1]],#REF!,#REF!),0)</f>
        <v>0</v>
      </c>
      <c r="U709" s="50">
        <f>IFERROR(_xlfn.XLOOKUP(Table43[[#This Row],[Column1]],#REF!,#REF!),0)</f>
        <v>0</v>
      </c>
      <c r="V709" s="39"/>
    </row>
    <row r="710" spans="1:22" x14ac:dyDescent="0.35">
      <c r="A710" s="2" t="s">
        <v>2064</v>
      </c>
      <c r="B710" s="2" t="s">
        <v>2065</v>
      </c>
      <c r="C710" s="2" t="s">
        <v>9</v>
      </c>
      <c r="D710" s="2">
        <v>107.604</v>
      </c>
      <c r="E710" s="2" t="s">
        <v>10</v>
      </c>
      <c r="F710" s="2">
        <v>1</v>
      </c>
      <c r="G710" s="2">
        <v>2</v>
      </c>
      <c r="H710" s="2">
        <v>5</v>
      </c>
      <c r="I710" s="22">
        <f>Table43[[#This Row],[Item Cost]]*Table43[[#This Row],[In Stock]]</f>
        <v>538.02</v>
      </c>
      <c r="J710" s="12" t="s">
        <v>4941</v>
      </c>
      <c r="K710" s="13" t="s">
        <v>4664</v>
      </c>
      <c r="L710" s="13" t="s">
        <v>4755</v>
      </c>
      <c r="M710" s="13" t="s">
        <v>4837</v>
      </c>
      <c r="N710" s="12" t="s">
        <v>4846</v>
      </c>
      <c r="O710" s="17" t="str">
        <f>IF(LEN(COUNTIFS($J$1:J710,$J710,$K$1:K710,$K710,$L$1:L710,$L710,$M$1:M710,M710,$N$1:N710,N710))=1,"00"&amp;COUNTIFS($J$1:J710,$J710,$K$1:K710,$K710,$L$1:L710,$L710,$M$1:M710,M710,$N$1:N710,N710),IF(LEN(COUNTIFS($J$1:J710,$J710,$K$1:K710,$K710,$L$1:L710,$L710,$M$1:M710,M710,$N$1:N710,N710))=2,"0"&amp;COUNTIFS($J$1:J710,$J710,$K$1:K710,$K710,$L$1:L710,$L710,$M$1:M710,M710,$N$1:N710,N710),COUNTIFS($J$1:J710,$J710,$K$1:K710,$K710,$L$1:L710,$L710,$M$1:M710,M710,$N$1:N710,N710)))</f>
        <v>003</v>
      </c>
      <c r="P71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MS-CS-011-26-02003-INV</v>
      </c>
      <c r="Q710" s="59"/>
      <c r="R710" s="34" t="s">
        <v>6483</v>
      </c>
      <c r="S710" s="34" t="s">
        <v>2065</v>
      </c>
      <c r="T710" s="34">
        <f>+IFERROR(_xlfn.XLOOKUP(Table43[[#This Row],[Column1]],#REF!,#REF!),0)</f>
        <v>0</v>
      </c>
      <c r="U710" s="50">
        <f>IFERROR(_xlfn.XLOOKUP(Table43[[#This Row],[Column1]],#REF!,#REF!),0)</f>
        <v>0</v>
      </c>
      <c r="V710" s="39"/>
    </row>
    <row r="711" spans="1:22" x14ac:dyDescent="0.35">
      <c r="A711" s="2" t="s">
        <v>2066</v>
      </c>
      <c r="B711" s="3" t="s">
        <v>2067</v>
      </c>
      <c r="C711" s="3" t="s">
        <v>9</v>
      </c>
      <c r="D711" s="3">
        <v>59.13</v>
      </c>
      <c r="E711" s="3" t="s">
        <v>10</v>
      </c>
      <c r="F711" s="2">
        <v>1</v>
      </c>
      <c r="G711" s="3">
        <v>2</v>
      </c>
      <c r="H711" s="3">
        <v>1</v>
      </c>
      <c r="I711" s="21">
        <f>Table43[[#This Row],[Item Cost]]*Table43[[#This Row],[In Stock]]</f>
        <v>59.13</v>
      </c>
      <c r="J711" s="12" t="s">
        <v>4941</v>
      </c>
      <c r="K711" s="13" t="s">
        <v>4664</v>
      </c>
      <c r="L711" s="13" t="s">
        <v>4755</v>
      </c>
      <c r="M711" s="13" t="s">
        <v>4774</v>
      </c>
      <c r="N711" s="12" t="s">
        <v>4846</v>
      </c>
      <c r="O711" s="17" t="str">
        <f>IF(LEN(COUNTIFS($J$1:J711,$J711,$K$1:K711,$K711,$L$1:L711,$L711,$M$1:M711,M711,$N$1:N711,N711))=1,"00"&amp;COUNTIFS($J$1:J711,$J711,$K$1:K711,$K711,$L$1:L711,$L711,$M$1:M711,M711,$N$1:N711,N711),IF(LEN(COUNTIFS($J$1:J711,$J711,$K$1:K711,$K711,$L$1:L711,$L711,$M$1:M711,M711,$N$1:N711,N711))=2,"0"&amp;COUNTIFS($J$1:J711,$J711,$K$1:K711,$K711,$L$1:L711,$L711,$M$1:M711,M711,$N$1:N711,N711),COUNTIFS($J$1:J711,$J711,$K$1:K711,$K711,$L$1:L711,$L711,$M$1:M711,M711,$N$1:N711,N711)))</f>
        <v>005</v>
      </c>
      <c r="P71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MS-CS-011-08-02005-INV</v>
      </c>
      <c r="Q711" s="59"/>
      <c r="R711" s="34" t="s">
        <v>6484</v>
      </c>
      <c r="S711" s="34" t="s">
        <v>2067</v>
      </c>
      <c r="T711" s="34">
        <f>+IFERROR(_xlfn.XLOOKUP(Table43[[#This Row],[Column1]],#REF!,#REF!),0)</f>
        <v>0</v>
      </c>
      <c r="U711" s="50">
        <f>IFERROR(_xlfn.XLOOKUP(Table43[[#This Row],[Column1]],#REF!,#REF!),0)</f>
        <v>0</v>
      </c>
      <c r="V711" s="39"/>
    </row>
    <row r="712" spans="1:22" x14ac:dyDescent="0.35">
      <c r="A712" s="3" t="s">
        <v>2068</v>
      </c>
      <c r="B712" s="2" t="s">
        <v>2069</v>
      </c>
      <c r="C712" s="2" t="s">
        <v>9</v>
      </c>
      <c r="D712" s="2">
        <v>140</v>
      </c>
      <c r="E712" s="2" t="s">
        <v>10</v>
      </c>
      <c r="F712" s="2">
        <v>1</v>
      </c>
      <c r="G712" s="2">
        <v>5</v>
      </c>
      <c r="H712" s="2">
        <v>12</v>
      </c>
      <c r="I712" s="22">
        <f>Table43[[#This Row],[Item Cost]]*Table43[[#This Row],[In Stock]]</f>
        <v>1680</v>
      </c>
      <c r="J712" s="12" t="s">
        <v>4941</v>
      </c>
      <c r="K712" s="13" t="s">
        <v>4664</v>
      </c>
      <c r="L712" s="13" t="s">
        <v>4755</v>
      </c>
      <c r="M712" s="13" t="s">
        <v>4693</v>
      </c>
      <c r="N712" s="12" t="s">
        <v>4846</v>
      </c>
      <c r="O712" s="17" t="str">
        <f>IF(LEN(COUNTIFS($J$1:J712,$J712,$K$1:K712,$K712,$L$1:L712,$L712,$M$1:M712,M712,$N$1:N712,N712))=1,"00"&amp;COUNTIFS($J$1:J712,$J712,$K$1:K712,$K712,$L$1:L712,$L712,$M$1:M712,M712,$N$1:N712,N712),IF(LEN(COUNTIFS($J$1:J712,$J712,$K$1:K712,$K712,$L$1:L712,$L712,$M$1:M712,M712,$N$1:N712,N712))=2,"0"&amp;COUNTIFS($J$1:J712,$J712,$K$1:K712,$K712,$L$1:L712,$L712,$M$1:M712,M712,$N$1:N712,N712),COUNTIFS($J$1:J712,$J712,$K$1:K712,$K712,$L$1:L712,$L712,$M$1:M712,M712,$N$1:N712,N712)))</f>
        <v>001</v>
      </c>
      <c r="P71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MS-CS-011-23-02001-INV</v>
      </c>
      <c r="Q712" s="59" t="s">
        <v>7330</v>
      </c>
      <c r="R712" s="34" t="s">
        <v>6485</v>
      </c>
      <c r="S712" s="34" t="s">
        <v>2069</v>
      </c>
      <c r="T712" s="34">
        <f>+IFERROR(_xlfn.XLOOKUP(Table43[[#This Row],[Column1]],#REF!,#REF!),0)</f>
        <v>0</v>
      </c>
      <c r="U712" s="50">
        <f>IFERROR(_xlfn.XLOOKUP(Table43[[#This Row],[Column1]],#REF!,#REF!),0)</f>
        <v>0</v>
      </c>
      <c r="V712" s="39"/>
    </row>
    <row r="713" spans="1:22" x14ac:dyDescent="0.35">
      <c r="A713" s="2" t="s">
        <v>2070</v>
      </c>
      <c r="B713" s="3" t="s">
        <v>2071</v>
      </c>
      <c r="C713" s="3" t="s">
        <v>9</v>
      </c>
      <c r="D713" s="3">
        <v>706</v>
      </c>
      <c r="E713" s="3" t="s">
        <v>10</v>
      </c>
      <c r="F713" s="2">
        <v>1</v>
      </c>
      <c r="G713" s="3">
        <v>2</v>
      </c>
      <c r="H713" s="3">
        <v>4</v>
      </c>
      <c r="I713" s="21">
        <f>Table43[[#This Row],[Item Cost]]*Table43[[#This Row],[In Stock]]</f>
        <v>2824</v>
      </c>
      <c r="J713" s="12" t="s">
        <v>4941</v>
      </c>
      <c r="K713" s="13" t="s">
        <v>4664</v>
      </c>
      <c r="L713" s="13" t="s">
        <v>4755</v>
      </c>
      <c r="M713" s="13" t="s">
        <v>4770</v>
      </c>
      <c r="N713" s="12" t="s">
        <v>4846</v>
      </c>
      <c r="O713" s="17" t="str">
        <f>IF(LEN(COUNTIFS($J$1:J713,$J713,$K$1:K713,$K713,$L$1:L713,$L713,$M$1:M713,M713,$N$1:N713,N713))=1,"00"&amp;COUNTIFS($J$1:J713,$J713,$K$1:K713,$K713,$L$1:L713,$L713,$M$1:M713,M713,$N$1:N713,N713),IF(LEN(COUNTIFS($J$1:J713,$J713,$K$1:K713,$K713,$L$1:L713,$L713,$M$1:M713,M713,$N$1:N713,N713))=2,"0"&amp;COUNTIFS($J$1:J713,$J713,$K$1:K713,$K713,$L$1:L713,$L713,$M$1:M713,M713,$N$1:N713,N713),COUNTIFS($J$1:J713,$J713,$K$1:K713,$K713,$L$1:L713,$L713,$M$1:M713,M713,$N$1:N713,N713)))</f>
        <v>003</v>
      </c>
      <c r="P71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MS-CS-011-04-02003-INV</v>
      </c>
      <c r="Q713" s="59" t="s">
        <v>7372</v>
      </c>
      <c r="R713" s="34" t="s">
        <v>6486</v>
      </c>
      <c r="S713" s="34" t="s">
        <v>2071</v>
      </c>
      <c r="T713" s="34">
        <f>+IFERROR(_xlfn.XLOOKUP(Table43[[#This Row],[Column1]],#REF!,#REF!),0)</f>
        <v>0</v>
      </c>
      <c r="U713" s="50">
        <f>IFERROR(_xlfn.XLOOKUP(Table43[[#This Row],[Column1]],#REF!,#REF!),0)</f>
        <v>0</v>
      </c>
      <c r="V713" s="39"/>
    </row>
    <row r="714" spans="1:22" x14ac:dyDescent="0.35">
      <c r="A714" s="2" t="s">
        <v>2072</v>
      </c>
      <c r="B714" s="2" t="s">
        <v>2077</v>
      </c>
      <c r="C714" s="2" t="s">
        <v>15</v>
      </c>
      <c r="D714" s="2">
        <v>440.38499999999999</v>
      </c>
      <c r="E714" s="2" t="s">
        <v>10</v>
      </c>
      <c r="F714" s="2">
        <v>1</v>
      </c>
      <c r="G714" s="2">
        <v>2</v>
      </c>
      <c r="H714" s="2">
        <v>12</v>
      </c>
      <c r="I714" s="22">
        <f>Table43[[#This Row],[Item Cost]]*Table43[[#This Row],[In Stock]]</f>
        <v>5284.62</v>
      </c>
      <c r="J714" s="12" t="s">
        <v>4941</v>
      </c>
      <c r="K714" s="13" t="s">
        <v>4666</v>
      </c>
      <c r="L714" s="13" t="s">
        <v>4755</v>
      </c>
      <c r="M714" s="13" t="s">
        <v>4837</v>
      </c>
      <c r="N714" s="12" t="s">
        <v>4846</v>
      </c>
      <c r="O714" s="17" t="str">
        <f>IF(LEN(COUNTIFS($J$1:J714,$J714,$K$1:K714,$K714,$L$1:L714,$L714,$M$1:M714,M714,$N$1:N714,N714))=1,"00"&amp;COUNTIFS($J$1:J714,$J714,$K$1:K714,$K714,$L$1:L714,$L714,$M$1:M714,M714,$N$1:N714,N714),IF(LEN(COUNTIFS($J$1:J714,$J714,$K$1:K714,$K714,$L$1:L714,$L714,$M$1:M714,M714,$N$1:N714,N714))=2,"0"&amp;COUNTIFS($J$1:J714,$J714,$K$1:K714,$K714,$L$1:L714,$L714,$M$1:M714,M714,$N$1:N714,N714),COUNTIFS($J$1:J714,$J714,$K$1:K714,$K714,$L$1:L714,$L714,$M$1:M714,M714,$N$1:N714,N714)))</f>
        <v>001</v>
      </c>
      <c r="P71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MS-NS-011-26-02001-INV</v>
      </c>
      <c r="Q714" s="59"/>
      <c r="R714" s="34" t="s">
        <v>6487</v>
      </c>
      <c r="S714" s="34" t="s">
        <v>2077</v>
      </c>
      <c r="T714" s="34">
        <f>+IFERROR(_xlfn.XLOOKUP(Table43[[#This Row],[Column1]],#REF!,#REF!),0)</f>
        <v>0</v>
      </c>
      <c r="U714" s="50">
        <f>IFERROR(_xlfn.XLOOKUP(Table43[[#This Row],[Column1]],#REF!,#REF!),0)</f>
        <v>0</v>
      </c>
      <c r="V714" s="39"/>
    </row>
    <row r="715" spans="1:22" x14ac:dyDescent="0.35">
      <c r="A715" s="3" t="s">
        <v>2074</v>
      </c>
      <c r="B715" s="3" t="s">
        <v>2079</v>
      </c>
      <c r="C715" s="3" t="s">
        <v>15</v>
      </c>
      <c r="D715" s="3">
        <v>0</v>
      </c>
      <c r="E715" s="3" t="s">
        <v>10</v>
      </c>
      <c r="F715" s="2">
        <v>1</v>
      </c>
      <c r="G715" s="2">
        <v>2</v>
      </c>
      <c r="H715" s="3">
        <v>0</v>
      </c>
      <c r="I715" s="21">
        <f>Table43[[#This Row],[Item Cost]]*Table43[[#This Row],[In Stock]]</f>
        <v>0</v>
      </c>
      <c r="J715" s="12" t="s">
        <v>4941</v>
      </c>
      <c r="K715" s="13" t="s">
        <v>4666</v>
      </c>
      <c r="L715" s="13" t="s">
        <v>4755</v>
      </c>
      <c r="M715" s="13" t="s">
        <v>4650</v>
      </c>
      <c r="N715" s="12" t="s">
        <v>4846</v>
      </c>
      <c r="O715" s="17" t="str">
        <f>IF(LEN(COUNTIFS($J$1:J715,$J715,$K$1:K715,$K715,$L$1:L715,$L715,$M$1:M715,M715,$N$1:N715,N715))=1,"00"&amp;COUNTIFS($J$1:J715,$J715,$K$1:K715,$K715,$L$1:L715,$L715,$M$1:M715,M715,$N$1:N715,N715),IF(LEN(COUNTIFS($J$1:J715,$J715,$K$1:K715,$K715,$L$1:L715,$L715,$M$1:M715,M715,$N$1:N715,N715))=2,"0"&amp;COUNTIFS($J$1:J715,$J715,$K$1:K715,$K715,$L$1:L715,$L715,$M$1:M715,M715,$N$1:N715,N715),COUNTIFS($J$1:J715,$J715,$K$1:K715,$K715,$L$1:L715,$L715,$M$1:M715,M715,$N$1:N715,N715)))</f>
        <v>001</v>
      </c>
      <c r="P71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MS-NS-011-12-02001-INV</v>
      </c>
      <c r="Q715" s="59"/>
      <c r="R715" s="34" t="s">
        <v>6488</v>
      </c>
      <c r="S715" s="34" t="s">
        <v>2079</v>
      </c>
      <c r="T715" s="34">
        <f>+IFERROR(_xlfn.XLOOKUP(Table43[[#This Row],[Column1]],#REF!,#REF!),0)</f>
        <v>0</v>
      </c>
      <c r="U715" s="50">
        <f>IFERROR(_xlfn.XLOOKUP(Table43[[#This Row],[Column1]],#REF!,#REF!),0)</f>
        <v>0</v>
      </c>
      <c r="V715" s="39"/>
    </row>
    <row r="716" spans="1:22" x14ac:dyDescent="0.35">
      <c r="A716" s="2" t="s">
        <v>2080</v>
      </c>
      <c r="B716" s="2" t="s">
        <v>2081</v>
      </c>
      <c r="C716" s="2" t="s">
        <v>15</v>
      </c>
      <c r="D716" s="2">
        <v>0</v>
      </c>
      <c r="E716" s="2" t="s">
        <v>10</v>
      </c>
      <c r="F716" s="2">
        <v>1</v>
      </c>
      <c r="G716" s="2">
        <v>2</v>
      </c>
      <c r="H716" s="2">
        <v>0</v>
      </c>
      <c r="I716" s="22">
        <f>Table43[[#This Row],[Item Cost]]*Table43[[#This Row],[In Stock]]</f>
        <v>0</v>
      </c>
      <c r="J716" s="12" t="s">
        <v>4941</v>
      </c>
      <c r="K716" s="13" t="s">
        <v>4666</v>
      </c>
      <c r="L716" s="13" t="s">
        <v>4699</v>
      </c>
      <c r="M716" s="13" t="s">
        <v>4693</v>
      </c>
      <c r="N716" s="12" t="s">
        <v>4672</v>
      </c>
      <c r="O716" s="17" t="str">
        <f>IF(LEN(COUNTIFS($J$1:J716,$J716,$K$1:K716,$K716,$L$1:L716,$L716,$M$1:M716,M716,$N$1:N716,N716))=1,"00"&amp;COUNTIFS($J$1:J716,$J716,$K$1:K716,$K716,$L$1:L716,$L716,$M$1:M716,M716,$N$1:N716,N716),IF(LEN(COUNTIFS($J$1:J716,$J716,$K$1:K716,$K716,$L$1:L716,$L716,$M$1:M716,M716,$N$1:N716,N716))=2,"0"&amp;COUNTIFS($J$1:J716,$J716,$K$1:K716,$K716,$L$1:L716,$L716,$M$1:M716,M716,$N$1:N716,N716),COUNTIFS($J$1:J716,$J716,$K$1:K716,$K716,$L$1:L716,$L716,$M$1:M716,M716,$N$1:N716,N716)))</f>
        <v>001</v>
      </c>
      <c r="P71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MS-NS-014-23-00001-INV</v>
      </c>
      <c r="Q716" s="59"/>
      <c r="R716" s="34" t="s">
        <v>6489</v>
      </c>
      <c r="S716" s="34" t="s">
        <v>2081</v>
      </c>
      <c r="T716" s="34">
        <f>+IFERROR(_xlfn.XLOOKUP(Table43[[#This Row],[Column1]],#REF!,#REF!),0)</f>
        <v>0</v>
      </c>
      <c r="U716" s="50">
        <f>IFERROR(_xlfn.XLOOKUP(Table43[[#This Row],[Column1]],#REF!,#REF!),0)</f>
        <v>0</v>
      </c>
      <c r="V716" s="39"/>
    </row>
    <row r="717" spans="1:22" x14ac:dyDescent="0.35">
      <c r="A717" s="3" t="s">
        <v>2082</v>
      </c>
      <c r="B717" s="3" t="s">
        <v>2083</v>
      </c>
      <c r="C717" s="3" t="s">
        <v>9</v>
      </c>
      <c r="D717" s="5">
        <v>22847.18</v>
      </c>
      <c r="E717" s="3" t="s">
        <v>10</v>
      </c>
      <c r="F717" s="2">
        <v>1</v>
      </c>
      <c r="G717" s="3">
        <v>2</v>
      </c>
      <c r="H717" s="3">
        <v>1</v>
      </c>
      <c r="I717" s="21">
        <f>Table43[[#This Row],[Item Cost]]*Table43[[#This Row],[In Stock]]</f>
        <v>22847.18</v>
      </c>
      <c r="J717" s="12" t="s">
        <v>4941</v>
      </c>
      <c r="K717" s="13" t="s">
        <v>4664</v>
      </c>
      <c r="L717" s="13" t="s">
        <v>4699</v>
      </c>
      <c r="M717" s="13" t="s">
        <v>4774</v>
      </c>
      <c r="N717" s="12" t="s">
        <v>4672</v>
      </c>
      <c r="O717" s="17" t="str">
        <f>IF(LEN(COUNTIFS($J$1:J717,$J717,$K$1:K717,$K717,$L$1:L717,$L717,$M$1:M717,M717,$N$1:N717,N717))=1,"00"&amp;COUNTIFS($J$1:J717,$J717,$K$1:K717,$K717,$L$1:L717,$L717,$M$1:M717,M717,$N$1:N717,N717),IF(LEN(COUNTIFS($J$1:J717,$J717,$K$1:K717,$K717,$L$1:L717,$L717,$M$1:M717,M717,$N$1:N717,N717))=2,"0"&amp;COUNTIFS($J$1:J717,$J717,$K$1:K717,$K717,$L$1:L717,$L717,$M$1:M717,M717,$N$1:N717,N717),COUNTIFS($J$1:J717,$J717,$K$1:K717,$K717,$L$1:L717,$L717,$M$1:M717,M717,$N$1:N717,N717)))</f>
        <v>001</v>
      </c>
      <c r="P71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MS-CS-014-08-00001-INV</v>
      </c>
      <c r="Q717" s="59"/>
      <c r="R717" s="34" t="s">
        <v>6490</v>
      </c>
      <c r="S717" s="34" t="s">
        <v>2083</v>
      </c>
      <c r="T717" s="34">
        <f>+IFERROR(_xlfn.XLOOKUP(Table43[[#This Row],[Column1]],#REF!,#REF!),0)</f>
        <v>0</v>
      </c>
      <c r="U717" s="50">
        <f>IFERROR(_xlfn.XLOOKUP(Table43[[#This Row],[Column1]],#REF!,#REF!),0)</f>
        <v>0</v>
      </c>
      <c r="V717" s="39"/>
    </row>
    <row r="718" spans="1:22" x14ac:dyDescent="0.35">
      <c r="A718" s="2" t="s">
        <v>2084</v>
      </c>
      <c r="B718" s="2" t="s">
        <v>2085</v>
      </c>
      <c r="C718" s="2" t="s">
        <v>9</v>
      </c>
      <c r="D718" s="4">
        <v>2329.4349999999999</v>
      </c>
      <c r="E718" s="2" t="s">
        <v>10</v>
      </c>
      <c r="F718" s="2">
        <v>1</v>
      </c>
      <c r="G718" s="2">
        <v>2</v>
      </c>
      <c r="H718" s="2">
        <v>4</v>
      </c>
      <c r="I718" s="22">
        <f>Table43[[#This Row],[Item Cost]]*Table43[[#This Row],[In Stock]]</f>
        <v>9317.74</v>
      </c>
      <c r="J718" s="12" t="s">
        <v>4941</v>
      </c>
      <c r="K718" s="13" t="s">
        <v>4664</v>
      </c>
      <c r="L718" s="13" t="s">
        <v>4699</v>
      </c>
      <c r="M718" s="13" t="s">
        <v>4774</v>
      </c>
      <c r="N718" s="12" t="s">
        <v>4672</v>
      </c>
      <c r="O718" s="17" t="str">
        <f>IF(LEN(COUNTIFS($J$1:J718,$J718,$K$1:K718,$K718,$L$1:L718,$L718,$M$1:M718,M718,$N$1:N718,N718))=1,"00"&amp;COUNTIFS($J$1:J718,$J718,$K$1:K718,$K718,$L$1:L718,$L718,$M$1:M718,M718,$N$1:N718,N718),IF(LEN(COUNTIFS($J$1:J718,$J718,$K$1:K718,$K718,$L$1:L718,$L718,$M$1:M718,M718,$N$1:N718,N718))=2,"0"&amp;COUNTIFS($J$1:J718,$J718,$K$1:K718,$K718,$L$1:L718,$L718,$M$1:M718,M718,$N$1:N718,N718),COUNTIFS($J$1:J718,$J718,$K$1:K718,$K718,$L$1:L718,$L718,$M$1:M718,M718,$N$1:N718,N718)))</f>
        <v>002</v>
      </c>
      <c r="P71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MS-CS-014-08-00002-INV</v>
      </c>
      <c r="Q718" s="59" t="s">
        <v>7373</v>
      </c>
      <c r="R718" s="34" t="s">
        <v>6491</v>
      </c>
      <c r="S718" s="34" t="s">
        <v>2085</v>
      </c>
      <c r="T718" s="34">
        <f>+IFERROR(_xlfn.XLOOKUP(Table43[[#This Row],[Column1]],#REF!,#REF!),0)</f>
        <v>0</v>
      </c>
      <c r="U718" s="50">
        <f>IFERROR(_xlfn.XLOOKUP(Table43[[#This Row],[Column1]],#REF!,#REF!),0)</f>
        <v>0</v>
      </c>
      <c r="V718" s="39"/>
    </row>
    <row r="719" spans="1:22" x14ac:dyDescent="0.35">
      <c r="A719" s="2" t="s">
        <v>2086</v>
      </c>
      <c r="B719" s="3" t="s">
        <v>2087</v>
      </c>
      <c r="C719" s="3" t="s">
        <v>9</v>
      </c>
      <c r="D719" s="5">
        <v>2381.1999999999998</v>
      </c>
      <c r="E719" s="3" t="s">
        <v>10</v>
      </c>
      <c r="F719" s="2">
        <v>1</v>
      </c>
      <c r="G719" s="3">
        <v>2</v>
      </c>
      <c r="H719" s="3">
        <v>1</v>
      </c>
      <c r="I719" s="21">
        <f>Table43[[#This Row],[Item Cost]]*Table43[[#This Row],[In Stock]]</f>
        <v>2381.1999999999998</v>
      </c>
      <c r="J719" s="12" t="s">
        <v>4941</v>
      </c>
      <c r="K719" s="13" t="s">
        <v>4664</v>
      </c>
      <c r="L719" s="13" t="s">
        <v>4699</v>
      </c>
      <c r="M719" s="13" t="s">
        <v>4774</v>
      </c>
      <c r="N719" s="12" t="s">
        <v>4672</v>
      </c>
      <c r="O719" s="17" t="str">
        <f>IF(LEN(COUNTIFS($J$1:J719,$J719,$K$1:K719,$K719,$L$1:L719,$L719,$M$1:M719,M719,$N$1:N719,N719))=1,"00"&amp;COUNTIFS($J$1:J719,$J719,$K$1:K719,$K719,$L$1:L719,$L719,$M$1:M719,M719,$N$1:N719,N719),IF(LEN(COUNTIFS($J$1:J719,$J719,$K$1:K719,$K719,$L$1:L719,$L719,$M$1:M719,M719,$N$1:N719,N719))=2,"0"&amp;COUNTIFS($J$1:J719,$J719,$K$1:K719,$K719,$L$1:L719,$L719,$M$1:M719,M719,$N$1:N719,N719),COUNTIFS($J$1:J719,$J719,$K$1:K719,$K719,$L$1:L719,$L719,$M$1:M719,M719,$N$1:N719,N719)))</f>
        <v>003</v>
      </c>
      <c r="P71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MS-CS-014-08-00003-INV</v>
      </c>
      <c r="Q719" s="59"/>
      <c r="R719" s="34" t="s">
        <v>6492</v>
      </c>
      <c r="S719" s="34" t="s">
        <v>2087</v>
      </c>
      <c r="T719" s="34">
        <f>+IFERROR(_xlfn.XLOOKUP(Table43[[#This Row],[Column1]],#REF!,#REF!),0)</f>
        <v>0</v>
      </c>
      <c r="U719" s="50">
        <f>IFERROR(_xlfn.XLOOKUP(Table43[[#This Row],[Column1]],#REF!,#REF!),0)</f>
        <v>0</v>
      </c>
      <c r="V719" s="39"/>
    </row>
    <row r="720" spans="1:22" x14ac:dyDescent="0.35">
      <c r="A720" s="3" t="s">
        <v>2088</v>
      </c>
      <c r="B720" s="2" t="s">
        <v>2089</v>
      </c>
      <c r="C720" s="2" t="s">
        <v>9</v>
      </c>
      <c r="D720" s="4">
        <v>2241.6170000000002</v>
      </c>
      <c r="E720" s="2" t="s">
        <v>10</v>
      </c>
      <c r="F720" s="2">
        <v>1</v>
      </c>
      <c r="G720" s="2">
        <v>2</v>
      </c>
      <c r="H720" s="2">
        <v>3</v>
      </c>
      <c r="I720" s="22">
        <f>Table43[[#This Row],[Item Cost]]*Table43[[#This Row],[In Stock]]</f>
        <v>6724.8510000000006</v>
      </c>
      <c r="J720" s="12" t="s">
        <v>4941</v>
      </c>
      <c r="K720" s="13" t="s">
        <v>4664</v>
      </c>
      <c r="L720" s="13" t="s">
        <v>4699</v>
      </c>
      <c r="M720" s="13" t="s">
        <v>4774</v>
      </c>
      <c r="N720" s="12" t="s">
        <v>4672</v>
      </c>
      <c r="O720" s="17" t="str">
        <f>IF(LEN(COUNTIFS($J$1:J720,$J720,$K$1:K720,$K720,$L$1:L720,$L720,$M$1:M720,M720,$N$1:N720,N720))=1,"00"&amp;COUNTIFS($J$1:J720,$J720,$K$1:K720,$K720,$L$1:L720,$L720,$M$1:M720,M720,$N$1:N720,N720),IF(LEN(COUNTIFS($J$1:J720,$J720,$K$1:K720,$K720,$L$1:L720,$L720,$M$1:M720,M720,$N$1:N720,N720))=2,"0"&amp;COUNTIFS($J$1:J720,$J720,$K$1:K720,$K720,$L$1:L720,$L720,$M$1:M720,M720,$N$1:N720,N720),COUNTIFS($J$1:J720,$J720,$K$1:K720,$K720,$L$1:L720,$L720,$M$1:M720,M720,$N$1:N720,N720)))</f>
        <v>004</v>
      </c>
      <c r="P72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MS-CS-014-08-00004-INV</v>
      </c>
      <c r="Q720" s="59"/>
      <c r="R720" s="34" t="s">
        <v>6493</v>
      </c>
      <c r="S720" s="34" t="s">
        <v>2089</v>
      </c>
      <c r="T720" s="34">
        <f>+IFERROR(_xlfn.XLOOKUP(Table43[[#This Row],[Column1]],#REF!,#REF!),0)</f>
        <v>0</v>
      </c>
      <c r="U720" s="50">
        <f>IFERROR(_xlfn.XLOOKUP(Table43[[#This Row],[Column1]],#REF!,#REF!),0)</f>
        <v>0</v>
      </c>
      <c r="V720" s="39"/>
    </row>
    <row r="721" spans="1:22" x14ac:dyDescent="0.35">
      <c r="A721" s="2" t="s">
        <v>2090</v>
      </c>
      <c r="B721" s="3" t="s">
        <v>2091</v>
      </c>
      <c r="C721" s="3" t="s">
        <v>9</v>
      </c>
      <c r="D721" s="5">
        <v>4020.18</v>
      </c>
      <c r="E721" s="3" t="s">
        <v>10</v>
      </c>
      <c r="F721" s="2">
        <v>1</v>
      </c>
      <c r="G721" s="3">
        <v>2</v>
      </c>
      <c r="H721" s="3">
        <v>1</v>
      </c>
      <c r="I721" s="21">
        <f>Table43[[#This Row],[Item Cost]]*Table43[[#This Row],[In Stock]]</f>
        <v>4020.18</v>
      </c>
      <c r="J721" s="12" t="s">
        <v>4941</v>
      </c>
      <c r="K721" s="13" t="s">
        <v>4664</v>
      </c>
      <c r="L721" s="13" t="s">
        <v>4699</v>
      </c>
      <c r="M721" s="13" t="s">
        <v>4774</v>
      </c>
      <c r="N721" s="12" t="s">
        <v>4672</v>
      </c>
      <c r="O721" s="17" t="str">
        <f>IF(LEN(COUNTIFS($J$1:J721,$J721,$K$1:K721,$K721,$L$1:L721,$L721,$M$1:M721,M721,$N$1:N721,N721))=1,"00"&amp;COUNTIFS($J$1:J721,$J721,$K$1:K721,$K721,$L$1:L721,$L721,$M$1:M721,M721,$N$1:N721,N721),IF(LEN(COUNTIFS($J$1:J721,$J721,$K$1:K721,$K721,$L$1:L721,$L721,$M$1:M721,M721,$N$1:N721,N721))=2,"0"&amp;COUNTIFS($J$1:J721,$J721,$K$1:K721,$K721,$L$1:L721,$L721,$M$1:M721,M721,$N$1:N721,N721),COUNTIFS($J$1:J721,$J721,$K$1:K721,$K721,$L$1:L721,$L721,$M$1:M721,M721,$N$1:N721,N721)))</f>
        <v>005</v>
      </c>
      <c r="P72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MS-CS-014-08-00005-INV</v>
      </c>
      <c r="Q721" s="59"/>
      <c r="R721" s="34" t="s">
        <v>6494</v>
      </c>
      <c r="S721" s="34" t="s">
        <v>2091</v>
      </c>
      <c r="T721" s="34">
        <f>+IFERROR(_xlfn.XLOOKUP(Table43[[#This Row],[Column1]],#REF!,#REF!),0)</f>
        <v>0</v>
      </c>
      <c r="U721" s="50">
        <f>IFERROR(_xlfn.XLOOKUP(Table43[[#This Row],[Column1]],#REF!,#REF!),0)</f>
        <v>0</v>
      </c>
      <c r="V721" s="39"/>
    </row>
    <row r="722" spans="1:22" x14ac:dyDescent="0.35">
      <c r="A722" s="2" t="s">
        <v>2092</v>
      </c>
      <c r="B722" s="2" t="s">
        <v>2093</v>
      </c>
      <c r="C722" s="2" t="s">
        <v>9</v>
      </c>
      <c r="D722" s="4">
        <v>2832.732</v>
      </c>
      <c r="E722" s="2" t="s">
        <v>10</v>
      </c>
      <c r="F722" s="2">
        <v>1</v>
      </c>
      <c r="G722" s="2">
        <v>2</v>
      </c>
      <c r="H722" s="2">
        <v>5</v>
      </c>
      <c r="I722" s="22">
        <f>Table43[[#This Row],[Item Cost]]*Table43[[#This Row],[In Stock]]</f>
        <v>14163.66</v>
      </c>
      <c r="J722" s="12" t="s">
        <v>4941</v>
      </c>
      <c r="K722" s="13" t="s">
        <v>4664</v>
      </c>
      <c r="L722" s="13" t="s">
        <v>4699</v>
      </c>
      <c r="M722" s="13" t="s">
        <v>4774</v>
      </c>
      <c r="N722" s="12" t="s">
        <v>4672</v>
      </c>
      <c r="O722" s="17" t="str">
        <f>IF(LEN(COUNTIFS($J$1:J722,$J722,$K$1:K722,$K722,$L$1:L722,$L722,$M$1:M722,M722,$N$1:N722,N722))=1,"00"&amp;COUNTIFS($J$1:J722,$J722,$K$1:K722,$K722,$L$1:L722,$L722,$M$1:M722,M722,$N$1:N722,N722),IF(LEN(COUNTIFS($J$1:J722,$J722,$K$1:K722,$K722,$L$1:L722,$L722,$M$1:M722,M722,$N$1:N722,N722))=2,"0"&amp;COUNTIFS($J$1:J722,$J722,$K$1:K722,$K722,$L$1:L722,$L722,$M$1:M722,M722,$N$1:N722,N722),COUNTIFS($J$1:J722,$J722,$K$1:K722,$K722,$L$1:L722,$L722,$M$1:M722,M722,$N$1:N722,N722)))</f>
        <v>006</v>
      </c>
      <c r="P72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MS-CS-014-08-00006-INV</v>
      </c>
      <c r="Q722" s="59"/>
      <c r="R722" s="34" t="s">
        <v>6495</v>
      </c>
      <c r="S722" s="34" t="s">
        <v>2093</v>
      </c>
      <c r="T722" s="34">
        <f>+IFERROR(_xlfn.XLOOKUP(Table43[[#This Row],[Column1]],#REF!,#REF!),0)</f>
        <v>0</v>
      </c>
      <c r="U722" s="50">
        <f>IFERROR(_xlfn.XLOOKUP(Table43[[#This Row],[Column1]],#REF!,#REF!),0)</f>
        <v>0</v>
      </c>
      <c r="V722" s="39"/>
    </row>
    <row r="723" spans="1:22" x14ac:dyDescent="0.35">
      <c r="A723" s="3" t="s">
        <v>2094</v>
      </c>
      <c r="B723" s="3" t="s">
        <v>2095</v>
      </c>
      <c r="C723" s="3" t="s">
        <v>15</v>
      </c>
      <c r="D723" s="3">
        <v>676</v>
      </c>
      <c r="E723" s="3" t="s">
        <v>10</v>
      </c>
      <c r="F723" s="2">
        <v>1</v>
      </c>
      <c r="G723" s="2">
        <v>2</v>
      </c>
      <c r="H723" s="3">
        <v>2</v>
      </c>
      <c r="I723" s="21">
        <f>Table43[[#This Row],[Item Cost]]*Table43[[#This Row],[In Stock]]</f>
        <v>1352</v>
      </c>
      <c r="J723" s="12" t="s">
        <v>4941</v>
      </c>
      <c r="K723" s="13" t="s">
        <v>4666</v>
      </c>
      <c r="L723" s="13" t="s">
        <v>4699</v>
      </c>
      <c r="M723" s="13" t="s">
        <v>4837</v>
      </c>
      <c r="N723" s="12" t="s">
        <v>4672</v>
      </c>
      <c r="O723" s="17" t="str">
        <f>IF(LEN(COUNTIFS($J$1:J723,$J723,$K$1:K723,$K723,$L$1:L723,$L723,$M$1:M723,M723,$N$1:N723,N723))=1,"00"&amp;COUNTIFS($J$1:J723,$J723,$K$1:K723,$K723,$L$1:L723,$L723,$M$1:M723,M723,$N$1:N723,N723),IF(LEN(COUNTIFS($J$1:J723,$J723,$K$1:K723,$K723,$L$1:L723,$L723,$M$1:M723,M723,$N$1:N723,N723))=2,"0"&amp;COUNTIFS($J$1:J723,$J723,$K$1:K723,$K723,$L$1:L723,$L723,$M$1:M723,M723,$N$1:N723,N723),COUNTIFS($J$1:J723,$J723,$K$1:K723,$K723,$L$1:L723,$L723,$M$1:M723,M723,$N$1:N723,N723)))</f>
        <v>001</v>
      </c>
      <c r="P72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MS-NS-014-26-00001-INV</v>
      </c>
      <c r="Q723" s="59"/>
      <c r="R723" s="34" t="s">
        <v>6496</v>
      </c>
      <c r="S723" s="34" t="s">
        <v>2095</v>
      </c>
      <c r="T723" s="34">
        <f>+IFERROR(_xlfn.XLOOKUP(Table43[[#This Row],[Column1]],#REF!,#REF!),0)</f>
        <v>0</v>
      </c>
      <c r="U723" s="50">
        <f>IFERROR(_xlfn.XLOOKUP(Table43[[#This Row],[Column1]],#REF!,#REF!),0)</f>
        <v>0</v>
      </c>
      <c r="V723" s="39"/>
    </row>
    <row r="724" spans="1:22" x14ac:dyDescent="0.35">
      <c r="A724" s="2" t="s">
        <v>2096</v>
      </c>
      <c r="B724" s="2" t="s">
        <v>2097</v>
      </c>
      <c r="C724" s="2" t="s">
        <v>9</v>
      </c>
      <c r="D724" s="2">
        <v>53</v>
      </c>
      <c r="E724" s="2" t="s">
        <v>10</v>
      </c>
      <c r="F724" s="2">
        <v>1</v>
      </c>
      <c r="G724" s="2">
        <v>2</v>
      </c>
      <c r="H724" s="2">
        <v>1</v>
      </c>
      <c r="I724" s="22">
        <f>Table43[[#This Row],[Item Cost]]*Table43[[#This Row],[In Stock]]</f>
        <v>53</v>
      </c>
      <c r="J724" s="12" t="s">
        <v>4941</v>
      </c>
      <c r="K724" s="13" t="s">
        <v>4664</v>
      </c>
      <c r="L724" s="13" t="s">
        <v>4699</v>
      </c>
      <c r="M724" s="13" t="s">
        <v>4834</v>
      </c>
      <c r="N724" s="12" t="s">
        <v>4672</v>
      </c>
      <c r="O724" s="17" t="str">
        <f>IF(LEN(COUNTIFS($J$1:J724,$J724,$K$1:K724,$K724,$L$1:L724,$L724,$M$1:M724,M724,$N$1:N724,N724))=1,"00"&amp;COUNTIFS($J$1:J724,$J724,$K$1:K724,$K724,$L$1:L724,$L724,$M$1:M724,M724,$N$1:N724,N724),IF(LEN(COUNTIFS($J$1:J724,$J724,$K$1:K724,$K724,$L$1:L724,$L724,$M$1:M724,M724,$N$1:N724,N724))=2,"0"&amp;COUNTIFS($J$1:J724,$J724,$K$1:K724,$K724,$L$1:L724,$L724,$M$1:M724,M724,$N$1:N724,N724),COUNTIFS($J$1:J724,$J724,$K$1:K724,$K724,$L$1:L724,$L724,$M$1:M724,M724,$N$1:N724,N724)))</f>
        <v>001</v>
      </c>
      <c r="P72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MS-CS-014-17-00001-INV</v>
      </c>
      <c r="Q724" s="59"/>
      <c r="R724" s="34" t="s">
        <v>6497</v>
      </c>
      <c r="S724" s="34" t="s">
        <v>2097</v>
      </c>
      <c r="T724" s="34">
        <f>+IFERROR(_xlfn.XLOOKUP(Table43[[#This Row],[Column1]],#REF!,#REF!),0)</f>
        <v>0</v>
      </c>
      <c r="U724" s="50">
        <f>IFERROR(_xlfn.XLOOKUP(Table43[[#This Row],[Column1]],#REF!,#REF!),0)</f>
        <v>0</v>
      </c>
      <c r="V724" s="39"/>
    </row>
    <row r="725" spans="1:22" x14ac:dyDescent="0.35">
      <c r="A725" s="2" t="s">
        <v>2098</v>
      </c>
      <c r="B725" s="3" t="s">
        <v>2099</v>
      </c>
      <c r="C725" s="3" t="s">
        <v>9</v>
      </c>
      <c r="D725" s="3">
        <v>70</v>
      </c>
      <c r="E725" s="3" t="s">
        <v>10</v>
      </c>
      <c r="F725" s="2">
        <v>1</v>
      </c>
      <c r="G725" s="3">
        <v>2</v>
      </c>
      <c r="H725" s="3">
        <v>1</v>
      </c>
      <c r="I725" s="21">
        <f>Table43[[#This Row],[Item Cost]]*Table43[[#This Row],[In Stock]]</f>
        <v>70</v>
      </c>
      <c r="J725" s="12" t="s">
        <v>4941</v>
      </c>
      <c r="K725" s="13" t="s">
        <v>4664</v>
      </c>
      <c r="L725" s="13" t="s">
        <v>4699</v>
      </c>
      <c r="M725" s="13" t="s">
        <v>4834</v>
      </c>
      <c r="N725" s="12" t="s">
        <v>4672</v>
      </c>
      <c r="O725" s="17" t="str">
        <f>IF(LEN(COUNTIFS($J$1:J725,$J725,$K$1:K725,$K725,$L$1:L725,$L725,$M$1:M725,M725,$N$1:N725,N725))=1,"00"&amp;COUNTIFS($J$1:J725,$J725,$K$1:K725,$K725,$L$1:L725,$L725,$M$1:M725,M725,$N$1:N725,N725),IF(LEN(COUNTIFS($J$1:J725,$J725,$K$1:K725,$K725,$L$1:L725,$L725,$M$1:M725,M725,$N$1:N725,N725))=2,"0"&amp;COUNTIFS($J$1:J725,$J725,$K$1:K725,$K725,$L$1:L725,$L725,$M$1:M725,M725,$N$1:N725,N725),COUNTIFS($J$1:J725,$J725,$K$1:K725,$K725,$L$1:L725,$L725,$M$1:M725,M725,$N$1:N725,N725)))</f>
        <v>002</v>
      </c>
      <c r="P72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MS-CS-014-17-00002-INV</v>
      </c>
      <c r="Q725" s="59"/>
      <c r="R725" s="34" t="s">
        <v>6498</v>
      </c>
      <c r="S725" s="34" t="s">
        <v>2099</v>
      </c>
      <c r="T725" s="34">
        <f>+IFERROR(_xlfn.XLOOKUP(Table43[[#This Row],[Column1]],#REF!,#REF!),0)</f>
        <v>0</v>
      </c>
      <c r="U725" s="50">
        <f>IFERROR(_xlfn.XLOOKUP(Table43[[#This Row],[Column1]],#REF!,#REF!),0)</f>
        <v>0</v>
      </c>
      <c r="V725" s="39"/>
    </row>
    <row r="726" spans="1:22" x14ac:dyDescent="0.35">
      <c r="A726" s="3" t="s">
        <v>2100</v>
      </c>
      <c r="B726" s="2" t="s">
        <v>2101</v>
      </c>
      <c r="C726" s="2" t="s">
        <v>9</v>
      </c>
      <c r="D726" s="2">
        <v>127.5</v>
      </c>
      <c r="E726" s="2" t="s">
        <v>10</v>
      </c>
      <c r="F726" s="2">
        <v>1</v>
      </c>
      <c r="G726" s="2">
        <v>2</v>
      </c>
      <c r="H726" s="2">
        <v>1</v>
      </c>
      <c r="I726" s="22">
        <f>Table43[[#This Row],[Item Cost]]*Table43[[#This Row],[In Stock]]</f>
        <v>127.5</v>
      </c>
      <c r="J726" s="12" t="s">
        <v>4941</v>
      </c>
      <c r="K726" s="13" t="s">
        <v>4664</v>
      </c>
      <c r="L726" s="13" t="s">
        <v>4699</v>
      </c>
      <c r="M726" s="13" t="s">
        <v>4834</v>
      </c>
      <c r="N726" s="12" t="s">
        <v>4672</v>
      </c>
      <c r="O726" s="17" t="str">
        <f>IF(LEN(COUNTIFS($J$1:J726,$J726,$K$1:K726,$K726,$L$1:L726,$L726,$M$1:M726,M726,$N$1:N726,N726))=1,"00"&amp;COUNTIFS($J$1:J726,$J726,$K$1:K726,$K726,$L$1:L726,$L726,$M$1:M726,M726,$N$1:N726,N726),IF(LEN(COUNTIFS($J$1:J726,$J726,$K$1:K726,$K726,$L$1:L726,$L726,$M$1:M726,M726,$N$1:N726,N726))=2,"0"&amp;COUNTIFS($J$1:J726,$J726,$K$1:K726,$K726,$L$1:L726,$L726,$M$1:M726,M726,$N$1:N726,N726),COUNTIFS($J$1:J726,$J726,$K$1:K726,$K726,$L$1:L726,$L726,$M$1:M726,M726,$N$1:N726,N726)))</f>
        <v>003</v>
      </c>
      <c r="P72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MS-CS-014-17-00003-INV</v>
      </c>
      <c r="Q726" s="59" t="s">
        <v>7330</v>
      </c>
      <c r="R726" s="34" t="s">
        <v>6499</v>
      </c>
      <c r="S726" s="34" t="s">
        <v>2101</v>
      </c>
      <c r="T726" s="34">
        <f>+IFERROR(_xlfn.XLOOKUP(Table43[[#This Row],[Column1]],#REF!,#REF!),0)</f>
        <v>0</v>
      </c>
      <c r="U726" s="50">
        <f>IFERROR(_xlfn.XLOOKUP(Table43[[#This Row],[Column1]],#REF!,#REF!),0)</f>
        <v>0</v>
      </c>
      <c r="V726" s="39"/>
    </row>
    <row r="727" spans="1:22" x14ac:dyDescent="0.35">
      <c r="A727" s="2" t="s">
        <v>2102</v>
      </c>
      <c r="B727" s="2" t="s">
        <v>2105</v>
      </c>
      <c r="C727" s="2" t="s">
        <v>9</v>
      </c>
      <c r="D727" s="2">
        <v>317</v>
      </c>
      <c r="E727" s="2" t="s">
        <v>10</v>
      </c>
      <c r="F727" s="2">
        <v>1</v>
      </c>
      <c r="G727" s="2">
        <v>2</v>
      </c>
      <c r="H727" s="2">
        <v>1</v>
      </c>
      <c r="I727" s="22">
        <f>Table43[[#This Row],[Item Cost]]*Table43[[#This Row],[In Stock]]</f>
        <v>317</v>
      </c>
      <c r="J727" s="12" t="s">
        <v>4941</v>
      </c>
      <c r="K727" s="13" t="s">
        <v>4664</v>
      </c>
      <c r="L727" s="13" t="s">
        <v>4699</v>
      </c>
      <c r="M727" s="13" t="s">
        <v>4770</v>
      </c>
      <c r="N727" s="12" t="s">
        <v>4672</v>
      </c>
      <c r="O727" s="17" t="str">
        <f>IF(LEN(COUNTIFS($J$1:J727,$J727,$K$1:K727,$K727,$L$1:L727,$L727,$M$1:M727,M727,$N$1:N727,N727))=1,"00"&amp;COUNTIFS($J$1:J727,$J727,$K$1:K727,$K727,$L$1:L727,$L727,$M$1:M727,M727,$N$1:N727,N727),IF(LEN(COUNTIFS($J$1:J727,$J727,$K$1:K727,$K727,$L$1:L727,$L727,$M$1:M727,M727,$N$1:N727,N727))=2,"0"&amp;COUNTIFS($J$1:J727,$J727,$K$1:K727,$K727,$L$1:L727,$L727,$M$1:M727,M727,$N$1:N727,N727),COUNTIFS($J$1:J727,$J727,$K$1:K727,$K727,$L$1:L727,$L727,$M$1:M727,M727,$N$1:N727,N727)))</f>
        <v>001</v>
      </c>
      <c r="P72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MS-CS-014-04-00001-INV</v>
      </c>
      <c r="Q727" s="59"/>
      <c r="R727" s="34" t="s">
        <v>6500</v>
      </c>
      <c r="S727" s="34" t="s">
        <v>2105</v>
      </c>
      <c r="T727" s="34">
        <f>+IFERROR(_xlfn.XLOOKUP(Table43[[#This Row],[Column1]],#REF!,#REF!),0)</f>
        <v>0</v>
      </c>
      <c r="U727" s="50">
        <f>IFERROR(_xlfn.XLOOKUP(Table43[[#This Row],[Column1]],#REF!,#REF!),0)</f>
        <v>0</v>
      </c>
      <c r="V727" s="39"/>
    </row>
    <row r="728" spans="1:22" x14ac:dyDescent="0.35">
      <c r="A728" s="2" t="s">
        <v>2104</v>
      </c>
      <c r="B728" s="3" t="s">
        <v>2107</v>
      </c>
      <c r="C728" s="3" t="s">
        <v>9</v>
      </c>
      <c r="D728" s="3">
        <v>419</v>
      </c>
      <c r="E728" s="3" t="s">
        <v>10</v>
      </c>
      <c r="F728" s="2">
        <v>1</v>
      </c>
      <c r="G728" s="3">
        <v>2</v>
      </c>
      <c r="H728" s="3">
        <v>1</v>
      </c>
      <c r="I728" s="21">
        <f>Table43[[#This Row],[Item Cost]]*Table43[[#This Row],[In Stock]]</f>
        <v>419</v>
      </c>
      <c r="J728" s="12" t="s">
        <v>4941</v>
      </c>
      <c r="K728" s="13" t="s">
        <v>4664</v>
      </c>
      <c r="L728" s="13" t="s">
        <v>4699</v>
      </c>
      <c r="M728" s="13" t="s">
        <v>4770</v>
      </c>
      <c r="N728" s="12" t="s">
        <v>4672</v>
      </c>
      <c r="O728" s="17" t="str">
        <f>IF(LEN(COUNTIFS($J$1:J728,$J728,$K$1:K728,$K728,$L$1:L728,$L728,$M$1:M728,M728,$N$1:N728,N728))=1,"00"&amp;COUNTIFS($J$1:J728,$J728,$K$1:K728,$K728,$L$1:L728,$L728,$M$1:M728,M728,$N$1:N728,N728),IF(LEN(COUNTIFS($J$1:J728,$J728,$K$1:K728,$K728,$L$1:L728,$L728,$M$1:M728,M728,$N$1:N728,N728))=2,"0"&amp;COUNTIFS($J$1:J728,$J728,$K$1:K728,$K728,$L$1:L728,$L728,$M$1:M728,M728,$N$1:N728,N728),COUNTIFS($J$1:J728,$J728,$K$1:K728,$K728,$L$1:L728,$L728,$M$1:M728,M728,$N$1:N728,N728)))</f>
        <v>002</v>
      </c>
      <c r="P72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MS-CS-014-04-00002-INV</v>
      </c>
      <c r="Q728" s="59" t="s">
        <v>7374</v>
      </c>
      <c r="R728" s="34" t="s">
        <v>6501</v>
      </c>
      <c r="S728" s="34" t="s">
        <v>2107</v>
      </c>
      <c r="T728" s="34">
        <f>+IFERROR(_xlfn.XLOOKUP(Table43[[#This Row],[Column1]],#REF!,#REF!),0)</f>
        <v>0</v>
      </c>
      <c r="U728" s="50">
        <f>IFERROR(_xlfn.XLOOKUP(Table43[[#This Row],[Column1]],#REF!,#REF!),0)</f>
        <v>0</v>
      </c>
      <c r="V728" s="39"/>
    </row>
    <row r="729" spans="1:22" x14ac:dyDescent="0.35">
      <c r="A729" s="3" t="s">
        <v>2106</v>
      </c>
      <c r="B729" s="2" t="s">
        <v>2109</v>
      </c>
      <c r="C729" s="2" t="s">
        <v>9</v>
      </c>
      <c r="D729" s="2">
        <v>229</v>
      </c>
      <c r="E729" s="2" t="s">
        <v>10</v>
      </c>
      <c r="F729" s="2">
        <v>1</v>
      </c>
      <c r="G729" s="2">
        <v>2</v>
      </c>
      <c r="H729" s="2">
        <v>1</v>
      </c>
      <c r="I729" s="22">
        <f>Table43[[#This Row],[Item Cost]]*Table43[[#This Row],[In Stock]]</f>
        <v>229</v>
      </c>
      <c r="J729" s="12" t="s">
        <v>4941</v>
      </c>
      <c r="K729" s="13" t="s">
        <v>4664</v>
      </c>
      <c r="L729" s="13" t="s">
        <v>4699</v>
      </c>
      <c r="M729" s="13" t="s">
        <v>4770</v>
      </c>
      <c r="N729" s="12" t="s">
        <v>4672</v>
      </c>
      <c r="O729" s="17" t="str">
        <f>IF(LEN(COUNTIFS($J$1:J729,$J729,$K$1:K729,$K729,$L$1:L729,$L729,$M$1:M729,M729,$N$1:N729,N729))=1,"00"&amp;COUNTIFS($J$1:J729,$J729,$K$1:K729,$K729,$L$1:L729,$L729,$M$1:M729,M729,$N$1:N729,N729),IF(LEN(COUNTIFS($J$1:J729,$J729,$K$1:K729,$K729,$L$1:L729,$L729,$M$1:M729,M729,$N$1:N729,N729))=2,"0"&amp;COUNTIFS($J$1:J729,$J729,$K$1:K729,$K729,$L$1:L729,$L729,$M$1:M729,M729,$N$1:N729,N729),COUNTIFS($J$1:J729,$J729,$K$1:K729,$K729,$L$1:L729,$L729,$M$1:M729,M729,$N$1:N729,N729)))</f>
        <v>003</v>
      </c>
      <c r="P72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MS-CS-014-04-00003-INV</v>
      </c>
      <c r="Q729" s="59" t="s">
        <v>7373</v>
      </c>
      <c r="R729" s="34" t="s">
        <v>6502</v>
      </c>
      <c r="S729" s="34" t="s">
        <v>2109</v>
      </c>
      <c r="T729" s="34">
        <f>+IFERROR(_xlfn.XLOOKUP(Table43[[#This Row],[Column1]],#REF!,#REF!),0)</f>
        <v>0</v>
      </c>
      <c r="U729" s="50">
        <f>IFERROR(_xlfn.XLOOKUP(Table43[[#This Row],[Column1]],#REF!,#REF!),0)</f>
        <v>0</v>
      </c>
      <c r="V729" s="39"/>
    </row>
    <row r="730" spans="1:22" x14ac:dyDescent="0.35">
      <c r="A730" s="2" t="s">
        <v>2108</v>
      </c>
      <c r="B730" s="3" t="s">
        <v>2103</v>
      </c>
      <c r="C730" s="3" t="s">
        <v>9</v>
      </c>
      <c r="D730" s="3">
        <v>241</v>
      </c>
      <c r="E730" s="3" t="s">
        <v>10</v>
      </c>
      <c r="F730" s="2">
        <v>1</v>
      </c>
      <c r="G730" s="3">
        <v>2</v>
      </c>
      <c r="H730" s="3">
        <v>1</v>
      </c>
      <c r="I730" s="21">
        <f>Table43[[#This Row],[Item Cost]]*Table43[[#This Row],[In Stock]]</f>
        <v>241</v>
      </c>
      <c r="J730" s="12" t="s">
        <v>4941</v>
      </c>
      <c r="K730" s="13" t="s">
        <v>4664</v>
      </c>
      <c r="L730" s="13" t="s">
        <v>4699</v>
      </c>
      <c r="M730" s="13" t="s">
        <v>4770</v>
      </c>
      <c r="N730" s="12" t="s">
        <v>4672</v>
      </c>
      <c r="O730" s="17" t="str">
        <f>IF(LEN(COUNTIFS($J$1:J730,$J730,$K$1:K730,$K730,$L$1:L730,$L730,$M$1:M730,M730,$N$1:N730,N730))=1,"00"&amp;COUNTIFS($J$1:J730,$J730,$K$1:K730,$K730,$L$1:L730,$L730,$M$1:M730,M730,$N$1:N730,N730),IF(LEN(COUNTIFS($J$1:J730,$J730,$K$1:K730,$K730,$L$1:L730,$L730,$M$1:M730,M730,$N$1:N730,N730))=2,"0"&amp;COUNTIFS($J$1:J730,$J730,$K$1:K730,$K730,$L$1:L730,$L730,$M$1:M730,M730,$N$1:N730,N730),COUNTIFS($J$1:J730,$J730,$K$1:K730,$K730,$L$1:L730,$L730,$M$1:M730,M730,$N$1:N730,N730)))</f>
        <v>004</v>
      </c>
      <c r="P73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MS-CS-014-04-00004-INV</v>
      </c>
      <c r="Q730" s="59" t="s">
        <v>7373</v>
      </c>
      <c r="R730" s="34" t="s">
        <v>6503</v>
      </c>
      <c r="S730" s="34" t="s">
        <v>2103</v>
      </c>
      <c r="T730" s="34">
        <f>+IFERROR(_xlfn.XLOOKUP(Table43[[#This Row],[Column1]],#REF!,#REF!),0)</f>
        <v>0</v>
      </c>
      <c r="U730" s="50">
        <f>IFERROR(_xlfn.XLOOKUP(Table43[[#This Row],[Column1]],#REF!,#REF!),0)</f>
        <v>0</v>
      </c>
      <c r="V730" s="39"/>
    </row>
    <row r="731" spans="1:22" x14ac:dyDescent="0.35">
      <c r="A731" s="2" t="s">
        <v>2110</v>
      </c>
      <c r="B731" s="2" t="s">
        <v>2112</v>
      </c>
      <c r="C731" s="2" t="s">
        <v>9</v>
      </c>
      <c r="D731" s="2">
        <v>288</v>
      </c>
      <c r="E731" s="2" t="s">
        <v>10</v>
      </c>
      <c r="F731" s="2">
        <v>1</v>
      </c>
      <c r="G731" s="2">
        <v>2</v>
      </c>
      <c r="H731" s="2">
        <v>1</v>
      </c>
      <c r="I731" s="22">
        <f>Table43[[#This Row],[Item Cost]]*Table43[[#This Row],[In Stock]]</f>
        <v>288</v>
      </c>
      <c r="J731" s="12" t="s">
        <v>4941</v>
      </c>
      <c r="K731" s="13" t="s">
        <v>4664</v>
      </c>
      <c r="L731" s="13" t="s">
        <v>4699</v>
      </c>
      <c r="M731" s="13" t="s">
        <v>4693</v>
      </c>
      <c r="N731" s="12" t="s">
        <v>4672</v>
      </c>
      <c r="O731" s="17" t="str">
        <f>IF(LEN(COUNTIFS($J$1:J731,$J731,$K$1:K731,$K731,$L$1:L731,$L731,$M$1:M731,M731,$N$1:N731,N731))=1,"00"&amp;COUNTIFS($J$1:J731,$J731,$K$1:K731,$K731,$L$1:L731,$L731,$M$1:M731,M731,$N$1:N731,N731),IF(LEN(COUNTIFS($J$1:J731,$J731,$K$1:K731,$K731,$L$1:L731,$L731,$M$1:M731,M731,$N$1:N731,N731))=2,"0"&amp;COUNTIFS($J$1:J731,$J731,$K$1:K731,$K731,$L$1:L731,$L731,$M$1:M731,M731,$N$1:N731,N731),COUNTIFS($J$1:J731,$J731,$K$1:K731,$K731,$L$1:L731,$L731,$M$1:M731,M731,$N$1:N731,N731)))</f>
        <v>001</v>
      </c>
      <c r="P73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MS-CS-014-23-00001-INV</v>
      </c>
      <c r="Q731" s="59" t="s">
        <v>7330</v>
      </c>
      <c r="R731" s="34" t="s">
        <v>6504</v>
      </c>
      <c r="S731" s="34" t="s">
        <v>2112</v>
      </c>
      <c r="T731" s="34">
        <f>+IFERROR(_xlfn.XLOOKUP(Table43[[#This Row],[Column1]],#REF!,#REF!),0)</f>
        <v>0</v>
      </c>
      <c r="U731" s="50">
        <f>IFERROR(_xlfn.XLOOKUP(Table43[[#This Row],[Column1]],#REF!,#REF!),0)</f>
        <v>0</v>
      </c>
      <c r="V731" s="39"/>
    </row>
    <row r="732" spans="1:22" x14ac:dyDescent="0.35">
      <c r="A732" s="3" t="s">
        <v>2111</v>
      </c>
      <c r="B732" s="3" t="s">
        <v>2114</v>
      </c>
      <c r="C732" s="3" t="s">
        <v>9</v>
      </c>
      <c r="D732" s="3">
        <v>17</v>
      </c>
      <c r="E732" s="3" t="s">
        <v>10</v>
      </c>
      <c r="F732" s="2">
        <v>1</v>
      </c>
      <c r="G732" s="3">
        <v>2</v>
      </c>
      <c r="H732" s="3">
        <v>1</v>
      </c>
      <c r="I732" s="21">
        <f>Table43[[#This Row],[Item Cost]]*Table43[[#This Row],[In Stock]]</f>
        <v>17</v>
      </c>
      <c r="J732" s="12" t="s">
        <v>4941</v>
      </c>
      <c r="K732" s="13" t="s">
        <v>4664</v>
      </c>
      <c r="L732" s="13" t="s">
        <v>4699</v>
      </c>
      <c r="M732" s="13" t="s">
        <v>4837</v>
      </c>
      <c r="N732" s="12" t="s">
        <v>4672</v>
      </c>
      <c r="O732" s="17" t="str">
        <f>IF(LEN(COUNTIFS($J$1:J732,$J732,$K$1:K732,$K732,$L$1:L732,$L732,$M$1:M732,M732,$N$1:N732,N732))=1,"00"&amp;COUNTIFS($J$1:J732,$J732,$K$1:K732,$K732,$L$1:L732,$L732,$M$1:M732,M732,$N$1:N732,N732),IF(LEN(COUNTIFS($J$1:J732,$J732,$K$1:K732,$K732,$L$1:L732,$L732,$M$1:M732,M732,$N$1:N732,N732))=2,"0"&amp;COUNTIFS($J$1:J732,$J732,$K$1:K732,$K732,$L$1:L732,$L732,$M$1:M732,M732,$N$1:N732,N732),COUNTIFS($J$1:J732,$J732,$K$1:K732,$K732,$L$1:L732,$L732,$M$1:M732,M732,$N$1:N732,N732)))</f>
        <v>001</v>
      </c>
      <c r="P73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MS-CS-014-26-00001-INV</v>
      </c>
      <c r="Q732" s="59"/>
      <c r="R732" s="34" t="s">
        <v>6505</v>
      </c>
      <c r="S732" s="34" t="s">
        <v>2114</v>
      </c>
      <c r="T732" s="34">
        <f>+IFERROR(_xlfn.XLOOKUP(Table43[[#This Row],[Column1]],#REF!,#REF!),0)</f>
        <v>0</v>
      </c>
      <c r="U732" s="50">
        <f>IFERROR(_xlfn.XLOOKUP(Table43[[#This Row],[Column1]],#REF!,#REF!),0)</f>
        <v>0</v>
      </c>
      <c r="V732" s="39"/>
    </row>
    <row r="733" spans="1:22" x14ac:dyDescent="0.35">
      <c r="A733" s="2" t="s">
        <v>2113</v>
      </c>
      <c r="B733" s="2" t="s">
        <v>2116</v>
      </c>
      <c r="C733" s="2" t="s">
        <v>9</v>
      </c>
      <c r="D733" s="2">
        <v>16</v>
      </c>
      <c r="E733" s="2" t="s">
        <v>10</v>
      </c>
      <c r="F733" s="2">
        <v>1</v>
      </c>
      <c r="G733" s="2">
        <v>2</v>
      </c>
      <c r="H733" s="2">
        <v>1</v>
      </c>
      <c r="I733" s="22">
        <f>Table43[[#This Row],[Item Cost]]*Table43[[#This Row],[In Stock]]</f>
        <v>16</v>
      </c>
      <c r="J733" s="12" t="s">
        <v>4941</v>
      </c>
      <c r="K733" s="13" t="s">
        <v>4664</v>
      </c>
      <c r="L733" s="13" t="s">
        <v>4699</v>
      </c>
      <c r="M733" s="13" t="s">
        <v>4837</v>
      </c>
      <c r="N733" s="12" t="s">
        <v>4672</v>
      </c>
      <c r="O733" s="17" t="str">
        <f>IF(LEN(COUNTIFS($J$1:J733,$J733,$K$1:K733,$K733,$L$1:L733,$L733,$M$1:M733,M733,$N$1:N733,N733))=1,"00"&amp;COUNTIFS($J$1:J733,$J733,$K$1:K733,$K733,$L$1:L733,$L733,$M$1:M733,M733,$N$1:N733,N733),IF(LEN(COUNTIFS($J$1:J733,$J733,$K$1:K733,$K733,$L$1:L733,$L733,$M$1:M733,M733,$N$1:N733,N733))=2,"0"&amp;COUNTIFS($J$1:J733,$J733,$K$1:K733,$K733,$L$1:L733,$L733,$M$1:M733,M733,$N$1:N733,N733),COUNTIFS($J$1:J733,$J733,$K$1:K733,$K733,$L$1:L733,$L733,$M$1:M733,M733,$N$1:N733,N733)))</f>
        <v>002</v>
      </c>
      <c r="P73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MS-CS-014-26-00002-INV</v>
      </c>
      <c r="Q733" s="59" t="s">
        <v>7330</v>
      </c>
      <c r="R733" s="34" t="s">
        <v>6506</v>
      </c>
      <c r="S733" s="34" t="s">
        <v>2116</v>
      </c>
      <c r="T733" s="34">
        <f>+IFERROR(_xlfn.XLOOKUP(Table43[[#This Row],[Column1]],#REF!,#REF!),0)</f>
        <v>0</v>
      </c>
      <c r="U733" s="50">
        <f>IFERROR(_xlfn.XLOOKUP(Table43[[#This Row],[Column1]],#REF!,#REF!),0)</f>
        <v>0</v>
      </c>
      <c r="V733" s="39"/>
    </row>
    <row r="734" spans="1:22" x14ac:dyDescent="0.35">
      <c r="A734" s="2" t="s">
        <v>2115</v>
      </c>
      <c r="B734" s="3" t="s">
        <v>2118</v>
      </c>
      <c r="C734" s="3" t="s">
        <v>9</v>
      </c>
      <c r="D734" s="3">
        <v>54</v>
      </c>
      <c r="E734" s="3" t="s">
        <v>10</v>
      </c>
      <c r="F734" s="2">
        <v>1</v>
      </c>
      <c r="G734" s="3">
        <v>2</v>
      </c>
      <c r="H734" s="3">
        <v>1</v>
      </c>
      <c r="I734" s="21">
        <f>Table43[[#This Row],[Item Cost]]*Table43[[#This Row],[In Stock]]</f>
        <v>54</v>
      </c>
      <c r="J734" s="12" t="s">
        <v>4941</v>
      </c>
      <c r="K734" s="13" t="s">
        <v>4664</v>
      </c>
      <c r="L734" s="13" t="s">
        <v>4699</v>
      </c>
      <c r="M734" s="13" t="s">
        <v>4837</v>
      </c>
      <c r="N734" s="12" t="s">
        <v>4672</v>
      </c>
      <c r="O734" s="17" t="str">
        <f>IF(LEN(COUNTIFS($J$1:J734,$J734,$K$1:K734,$K734,$L$1:L734,$L734,$M$1:M734,M734,$N$1:N734,N734))=1,"00"&amp;COUNTIFS($J$1:J734,$J734,$K$1:K734,$K734,$L$1:L734,$L734,$M$1:M734,M734,$N$1:N734,N734),IF(LEN(COUNTIFS($J$1:J734,$J734,$K$1:K734,$K734,$L$1:L734,$L734,$M$1:M734,M734,$N$1:N734,N734))=2,"0"&amp;COUNTIFS($J$1:J734,$J734,$K$1:K734,$K734,$L$1:L734,$L734,$M$1:M734,M734,$N$1:N734,N734),COUNTIFS($J$1:J734,$J734,$K$1:K734,$K734,$L$1:L734,$L734,$M$1:M734,M734,$N$1:N734,N734)))</f>
        <v>003</v>
      </c>
      <c r="P73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MS-CS-014-26-00003-INV</v>
      </c>
      <c r="Q734" s="59" t="s">
        <v>7330</v>
      </c>
      <c r="R734" s="34" t="s">
        <v>6507</v>
      </c>
      <c r="S734" s="34" t="s">
        <v>2118</v>
      </c>
      <c r="T734" s="34">
        <f>+IFERROR(_xlfn.XLOOKUP(Table43[[#This Row],[Column1]],#REF!,#REF!),0)</f>
        <v>0</v>
      </c>
      <c r="U734" s="50">
        <f>IFERROR(_xlfn.XLOOKUP(Table43[[#This Row],[Column1]],#REF!,#REF!),0)</f>
        <v>0</v>
      </c>
      <c r="V734" s="39"/>
    </row>
    <row r="735" spans="1:22" x14ac:dyDescent="0.35">
      <c r="A735" s="3" t="s">
        <v>2117</v>
      </c>
      <c r="B735" s="2" t="s">
        <v>2120</v>
      </c>
      <c r="C735" s="2" t="s">
        <v>9</v>
      </c>
      <c r="D735" s="2">
        <v>46</v>
      </c>
      <c r="E735" s="2" t="s">
        <v>10</v>
      </c>
      <c r="F735" s="2">
        <v>1</v>
      </c>
      <c r="G735" s="2">
        <v>2</v>
      </c>
      <c r="H735" s="2">
        <v>1</v>
      </c>
      <c r="I735" s="22">
        <f>Table43[[#This Row],[Item Cost]]*Table43[[#This Row],[In Stock]]</f>
        <v>46</v>
      </c>
      <c r="J735" s="12" t="s">
        <v>4941</v>
      </c>
      <c r="K735" s="13" t="s">
        <v>4664</v>
      </c>
      <c r="L735" s="13" t="s">
        <v>4699</v>
      </c>
      <c r="M735" s="13" t="s">
        <v>4837</v>
      </c>
      <c r="N735" s="12" t="s">
        <v>4672</v>
      </c>
      <c r="O735" s="17" t="str">
        <f>IF(LEN(COUNTIFS($J$1:J735,$J735,$K$1:K735,$K735,$L$1:L735,$L735,$M$1:M735,M735,$N$1:N735,N735))=1,"00"&amp;COUNTIFS($J$1:J735,$J735,$K$1:K735,$K735,$L$1:L735,$L735,$M$1:M735,M735,$N$1:N735,N735),IF(LEN(COUNTIFS($J$1:J735,$J735,$K$1:K735,$K735,$L$1:L735,$L735,$M$1:M735,M735,$N$1:N735,N735))=2,"0"&amp;COUNTIFS($J$1:J735,$J735,$K$1:K735,$K735,$L$1:L735,$L735,$M$1:M735,M735,$N$1:N735,N735),COUNTIFS($J$1:J735,$J735,$K$1:K735,$K735,$L$1:L735,$L735,$M$1:M735,M735,$N$1:N735,N735)))</f>
        <v>004</v>
      </c>
      <c r="P73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MS-CS-014-26-00004-INV</v>
      </c>
      <c r="Q735" s="59" t="s">
        <v>7330</v>
      </c>
      <c r="R735" s="34" t="s">
        <v>6508</v>
      </c>
      <c r="S735" s="34" t="s">
        <v>2120</v>
      </c>
      <c r="T735" s="34">
        <f>+IFERROR(_xlfn.XLOOKUP(Table43[[#This Row],[Column1]],#REF!,#REF!),0)</f>
        <v>0</v>
      </c>
      <c r="U735" s="50">
        <f>IFERROR(_xlfn.XLOOKUP(Table43[[#This Row],[Column1]],#REF!,#REF!),0)</f>
        <v>0</v>
      </c>
      <c r="V735" s="39"/>
    </row>
    <row r="736" spans="1:22" x14ac:dyDescent="0.35">
      <c r="A736" s="2" t="s">
        <v>2119</v>
      </c>
      <c r="B736" s="3" t="s">
        <v>2122</v>
      </c>
      <c r="C736" s="3" t="s">
        <v>9</v>
      </c>
      <c r="D736" s="3">
        <v>5</v>
      </c>
      <c r="E736" s="3" t="s">
        <v>10</v>
      </c>
      <c r="F736" s="2">
        <v>1</v>
      </c>
      <c r="G736" s="3">
        <v>2</v>
      </c>
      <c r="H736" s="3">
        <v>1</v>
      </c>
      <c r="I736" s="21">
        <f>Table43[[#This Row],[Item Cost]]*Table43[[#This Row],[In Stock]]</f>
        <v>5</v>
      </c>
      <c r="J736" s="12" t="s">
        <v>4941</v>
      </c>
      <c r="K736" s="13" t="s">
        <v>4664</v>
      </c>
      <c r="L736" s="13" t="s">
        <v>4699</v>
      </c>
      <c r="M736" s="13" t="s">
        <v>4835</v>
      </c>
      <c r="N736" s="12" t="s">
        <v>4672</v>
      </c>
      <c r="O736" s="17" t="str">
        <f>IF(LEN(COUNTIFS($J$1:J736,$J736,$K$1:K736,$K736,$L$1:L736,$L736,$M$1:M736,M736,$N$1:N736,N736))=1,"00"&amp;COUNTIFS($J$1:J736,$J736,$K$1:K736,$K736,$L$1:L736,$L736,$M$1:M736,M736,$N$1:N736,N736),IF(LEN(COUNTIFS($J$1:J736,$J736,$K$1:K736,$K736,$L$1:L736,$L736,$M$1:M736,M736,$N$1:N736,N736))=2,"0"&amp;COUNTIFS($J$1:J736,$J736,$K$1:K736,$K736,$L$1:L736,$L736,$M$1:M736,M736,$N$1:N736,N736),COUNTIFS($J$1:J736,$J736,$K$1:K736,$K736,$L$1:L736,$L736,$M$1:M736,M736,$N$1:N736,N736)))</f>
        <v>001</v>
      </c>
      <c r="P73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MS-CS-014-24-00001-INV</v>
      </c>
      <c r="Q736" s="59" t="s">
        <v>7330</v>
      </c>
      <c r="R736" s="34" t="s">
        <v>6509</v>
      </c>
      <c r="S736" s="34" t="s">
        <v>2122</v>
      </c>
      <c r="T736" s="34">
        <f>+IFERROR(_xlfn.XLOOKUP(Table43[[#This Row],[Column1]],#REF!,#REF!),0)</f>
        <v>0</v>
      </c>
      <c r="U736" s="50">
        <f>IFERROR(_xlfn.XLOOKUP(Table43[[#This Row],[Column1]],#REF!,#REF!),0)</f>
        <v>0</v>
      </c>
      <c r="V736" s="39"/>
    </row>
    <row r="737" spans="1:22" x14ac:dyDescent="0.35">
      <c r="A737" s="2" t="s">
        <v>2121</v>
      </c>
      <c r="B737" s="2" t="s">
        <v>2124</v>
      </c>
      <c r="C737" s="2" t="s">
        <v>9</v>
      </c>
      <c r="D737" s="2">
        <v>50</v>
      </c>
      <c r="E737" s="2" t="s">
        <v>10</v>
      </c>
      <c r="F737" s="2">
        <v>1</v>
      </c>
      <c r="G737" s="2">
        <v>2</v>
      </c>
      <c r="H737" s="2">
        <v>5</v>
      </c>
      <c r="I737" s="22">
        <f>Table43[[#This Row],[Item Cost]]*Table43[[#This Row],[In Stock]]</f>
        <v>250</v>
      </c>
      <c r="J737" s="12" t="s">
        <v>4941</v>
      </c>
      <c r="K737" s="13" t="s">
        <v>4664</v>
      </c>
      <c r="L737" s="13" t="s">
        <v>4699</v>
      </c>
      <c r="M737" s="13" t="s">
        <v>4827</v>
      </c>
      <c r="N737" s="12" t="s">
        <v>4672</v>
      </c>
      <c r="O737" s="17" t="str">
        <f>IF(LEN(COUNTIFS($J$1:J737,$J737,$K$1:K737,$K737,$L$1:L737,$L737,$M$1:M737,M737,$N$1:N737,N737))=1,"00"&amp;COUNTIFS($J$1:J737,$J737,$K$1:K737,$K737,$L$1:L737,$L737,$M$1:M737,M737,$N$1:N737,N737),IF(LEN(COUNTIFS($J$1:J737,$J737,$K$1:K737,$K737,$L$1:L737,$L737,$M$1:M737,M737,$N$1:N737,N737))=2,"0"&amp;COUNTIFS($J$1:J737,$J737,$K$1:K737,$K737,$L$1:L737,$L737,$M$1:M737,M737,$N$1:N737,N737),COUNTIFS($J$1:J737,$J737,$K$1:K737,$K737,$L$1:L737,$L737,$M$1:M737,M737,$N$1:N737,N737)))</f>
        <v>001</v>
      </c>
      <c r="P73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MS-CS-014-10-00001-INV</v>
      </c>
      <c r="Q737" s="59" t="s">
        <v>7330</v>
      </c>
      <c r="R737" s="34" t="s">
        <v>6510</v>
      </c>
      <c r="S737" s="34" t="s">
        <v>2124</v>
      </c>
      <c r="T737" s="34">
        <f>+IFERROR(_xlfn.XLOOKUP(Table43[[#This Row],[Column1]],#REF!,#REF!),0)</f>
        <v>0</v>
      </c>
      <c r="U737" s="50">
        <f>IFERROR(_xlfn.XLOOKUP(Table43[[#This Row],[Column1]],#REF!,#REF!),0)</f>
        <v>0</v>
      </c>
      <c r="V737" s="39"/>
    </row>
    <row r="738" spans="1:22" x14ac:dyDescent="0.35">
      <c r="A738" s="3" t="s">
        <v>2123</v>
      </c>
      <c r="B738" s="3" t="s">
        <v>2126</v>
      </c>
      <c r="C738" s="3" t="s">
        <v>9</v>
      </c>
      <c r="D738" s="3">
        <v>425</v>
      </c>
      <c r="E738" s="3" t="s">
        <v>10</v>
      </c>
      <c r="F738" s="2">
        <v>1</v>
      </c>
      <c r="G738" s="3">
        <v>2</v>
      </c>
      <c r="H738" s="3">
        <v>1</v>
      </c>
      <c r="I738" s="21">
        <f>Table43[[#This Row],[Item Cost]]*Table43[[#This Row],[In Stock]]</f>
        <v>425</v>
      </c>
      <c r="J738" s="12" t="s">
        <v>4941</v>
      </c>
      <c r="K738" s="13" t="s">
        <v>4664</v>
      </c>
      <c r="L738" s="13" t="s">
        <v>4699</v>
      </c>
      <c r="M738" s="13" t="s">
        <v>4827</v>
      </c>
      <c r="N738" s="12" t="s">
        <v>4672</v>
      </c>
      <c r="O738" s="17" t="str">
        <f>IF(LEN(COUNTIFS($J$1:J738,$J738,$K$1:K738,$K738,$L$1:L738,$L738,$M$1:M738,M738,$N$1:N738,N738))=1,"00"&amp;COUNTIFS($J$1:J738,$J738,$K$1:K738,$K738,$L$1:L738,$L738,$M$1:M738,M738,$N$1:N738,N738),IF(LEN(COUNTIFS($J$1:J738,$J738,$K$1:K738,$K738,$L$1:L738,$L738,$M$1:M738,M738,$N$1:N738,N738))=2,"0"&amp;COUNTIFS($J$1:J738,$J738,$K$1:K738,$K738,$L$1:L738,$L738,$M$1:M738,M738,$N$1:N738,N738),COUNTIFS($J$1:J738,$J738,$K$1:K738,$K738,$L$1:L738,$L738,$M$1:M738,M738,$N$1:N738,N738)))</f>
        <v>002</v>
      </c>
      <c r="P73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MS-CS-014-10-00002-INV</v>
      </c>
      <c r="Q738" s="59" t="s">
        <v>7330</v>
      </c>
      <c r="R738" s="34" t="s">
        <v>6511</v>
      </c>
      <c r="S738" s="34" t="s">
        <v>2126</v>
      </c>
      <c r="T738" s="34">
        <f>+IFERROR(_xlfn.XLOOKUP(Table43[[#This Row],[Column1]],#REF!,#REF!),0)</f>
        <v>0</v>
      </c>
      <c r="U738" s="50">
        <f>IFERROR(_xlfn.XLOOKUP(Table43[[#This Row],[Column1]],#REF!,#REF!),0)</f>
        <v>0</v>
      </c>
      <c r="V738" s="39"/>
    </row>
    <row r="739" spans="1:22" x14ac:dyDescent="0.35">
      <c r="A739" s="2" t="s">
        <v>2125</v>
      </c>
      <c r="B739" s="2" t="s">
        <v>2128</v>
      </c>
      <c r="C739" s="2" t="s">
        <v>9</v>
      </c>
      <c r="D739" s="2">
        <v>236</v>
      </c>
      <c r="E739" s="2" t="s">
        <v>10</v>
      </c>
      <c r="F739" s="2">
        <v>1</v>
      </c>
      <c r="G739" s="2">
        <v>2</v>
      </c>
      <c r="H739" s="2">
        <v>1</v>
      </c>
      <c r="I739" s="22">
        <f>Table43[[#This Row],[Item Cost]]*Table43[[#This Row],[In Stock]]</f>
        <v>236</v>
      </c>
      <c r="J739" s="12" t="s">
        <v>4941</v>
      </c>
      <c r="K739" s="13" t="s">
        <v>4664</v>
      </c>
      <c r="L739" s="13" t="s">
        <v>4699</v>
      </c>
      <c r="M739" s="13" t="s">
        <v>4827</v>
      </c>
      <c r="N739" s="12" t="s">
        <v>4672</v>
      </c>
      <c r="O739" s="17" t="str">
        <f>IF(LEN(COUNTIFS($J$1:J739,$J739,$K$1:K739,$K739,$L$1:L739,$L739,$M$1:M739,M739,$N$1:N739,N739))=1,"00"&amp;COUNTIFS($J$1:J739,$J739,$K$1:K739,$K739,$L$1:L739,$L739,$M$1:M739,M739,$N$1:N739,N739),IF(LEN(COUNTIFS($J$1:J739,$J739,$K$1:K739,$K739,$L$1:L739,$L739,$M$1:M739,M739,$N$1:N739,N739))=2,"0"&amp;COUNTIFS($J$1:J739,$J739,$K$1:K739,$K739,$L$1:L739,$L739,$M$1:M739,M739,$N$1:N739,N739),COUNTIFS($J$1:J739,$J739,$K$1:K739,$K739,$L$1:L739,$L739,$M$1:M739,M739,$N$1:N739,N739)))</f>
        <v>003</v>
      </c>
      <c r="P73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MS-CS-014-10-00003-INV</v>
      </c>
      <c r="Q739" s="59" t="s">
        <v>7330</v>
      </c>
      <c r="R739" s="34" t="s">
        <v>6512</v>
      </c>
      <c r="S739" s="34" t="s">
        <v>2128</v>
      </c>
      <c r="T739" s="34">
        <f>+IFERROR(_xlfn.XLOOKUP(Table43[[#This Row],[Column1]],#REF!,#REF!),0)</f>
        <v>0</v>
      </c>
      <c r="U739" s="50">
        <f>IFERROR(_xlfn.XLOOKUP(Table43[[#This Row],[Column1]],#REF!,#REF!),0)</f>
        <v>0</v>
      </c>
      <c r="V739" s="39"/>
    </row>
    <row r="740" spans="1:22" x14ac:dyDescent="0.35">
      <c r="A740" s="2" t="s">
        <v>2127</v>
      </c>
      <c r="B740" s="3" t="s">
        <v>2130</v>
      </c>
      <c r="C740" s="3" t="s">
        <v>9</v>
      </c>
      <c r="D740" s="3">
        <v>186</v>
      </c>
      <c r="E740" s="3" t="s">
        <v>10</v>
      </c>
      <c r="F740" s="2">
        <v>1</v>
      </c>
      <c r="G740" s="3">
        <v>2</v>
      </c>
      <c r="H740" s="3">
        <v>1</v>
      </c>
      <c r="I740" s="21">
        <f>Table43[[#This Row],[Item Cost]]*Table43[[#This Row],[In Stock]]</f>
        <v>186</v>
      </c>
      <c r="J740" s="12" t="s">
        <v>4941</v>
      </c>
      <c r="K740" s="13" t="s">
        <v>4664</v>
      </c>
      <c r="L740" s="13" t="s">
        <v>4699</v>
      </c>
      <c r="M740" s="13" t="s">
        <v>4827</v>
      </c>
      <c r="N740" s="12" t="s">
        <v>4672</v>
      </c>
      <c r="O740" s="17" t="str">
        <f>IF(LEN(COUNTIFS($J$1:J740,$J740,$K$1:K740,$K740,$L$1:L740,$L740,$M$1:M740,M740,$N$1:N740,N740))=1,"00"&amp;COUNTIFS($J$1:J740,$J740,$K$1:K740,$K740,$L$1:L740,$L740,$M$1:M740,M740,$N$1:N740,N740),IF(LEN(COUNTIFS($J$1:J740,$J740,$K$1:K740,$K740,$L$1:L740,$L740,$M$1:M740,M740,$N$1:N740,N740))=2,"0"&amp;COUNTIFS($J$1:J740,$J740,$K$1:K740,$K740,$L$1:L740,$L740,$M$1:M740,M740,$N$1:N740,N740),COUNTIFS($J$1:J740,$J740,$K$1:K740,$K740,$L$1:L740,$L740,$M$1:M740,M740,$N$1:N740,N740)))</f>
        <v>004</v>
      </c>
      <c r="P74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MS-CS-014-10-00004-INV</v>
      </c>
      <c r="Q740" s="59" t="s">
        <v>7330</v>
      </c>
      <c r="R740" s="34" t="s">
        <v>6513</v>
      </c>
      <c r="S740" s="34" t="s">
        <v>2130</v>
      </c>
      <c r="T740" s="34">
        <f>+IFERROR(_xlfn.XLOOKUP(Table43[[#This Row],[Column1]],#REF!,#REF!),0)</f>
        <v>0</v>
      </c>
      <c r="U740" s="50">
        <f>IFERROR(_xlfn.XLOOKUP(Table43[[#This Row],[Column1]],#REF!,#REF!),0)</f>
        <v>0</v>
      </c>
      <c r="V740" s="39"/>
    </row>
    <row r="741" spans="1:22" x14ac:dyDescent="0.35">
      <c r="A741" s="3" t="s">
        <v>2129</v>
      </c>
      <c r="B741" s="2" t="s">
        <v>2132</v>
      </c>
      <c r="C741" s="2" t="s">
        <v>9</v>
      </c>
      <c r="D741" s="2">
        <v>196</v>
      </c>
      <c r="E741" s="2" t="s">
        <v>10</v>
      </c>
      <c r="F741" s="2">
        <v>1</v>
      </c>
      <c r="G741" s="2">
        <v>2</v>
      </c>
      <c r="H741" s="2">
        <v>1</v>
      </c>
      <c r="I741" s="22">
        <f>Table43[[#This Row],[Item Cost]]*Table43[[#This Row],[In Stock]]</f>
        <v>196</v>
      </c>
      <c r="J741" s="12" t="s">
        <v>4941</v>
      </c>
      <c r="K741" s="13" t="s">
        <v>4664</v>
      </c>
      <c r="L741" s="13" t="s">
        <v>4699</v>
      </c>
      <c r="M741" s="13" t="s">
        <v>4827</v>
      </c>
      <c r="N741" s="12" t="s">
        <v>4672</v>
      </c>
      <c r="O741" s="17" t="str">
        <f>IF(LEN(COUNTIFS($J$1:J741,$J741,$K$1:K741,$K741,$L$1:L741,$L741,$M$1:M741,M741,$N$1:N741,N741))=1,"00"&amp;COUNTIFS($J$1:J741,$J741,$K$1:K741,$K741,$L$1:L741,$L741,$M$1:M741,M741,$N$1:N741,N741),IF(LEN(COUNTIFS($J$1:J741,$J741,$K$1:K741,$K741,$L$1:L741,$L741,$M$1:M741,M741,$N$1:N741,N741))=2,"0"&amp;COUNTIFS($J$1:J741,$J741,$K$1:K741,$K741,$L$1:L741,$L741,$M$1:M741,M741,$N$1:N741,N741),COUNTIFS($J$1:J741,$J741,$K$1:K741,$K741,$L$1:L741,$L741,$M$1:M741,M741,$N$1:N741,N741)))</f>
        <v>005</v>
      </c>
      <c r="P74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MS-CS-014-10-00005-INV</v>
      </c>
      <c r="Q741" s="59" t="s">
        <v>7330</v>
      </c>
      <c r="R741" s="34" t="s">
        <v>6514</v>
      </c>
      <c r="S741" s="34" t="s">
        <v>2132</v>
      </c>
      <c r="T741" s="34">
        <f>+IFERROR(_xlfn.XLOOKUP(Table43[[#This Row],[Column1]],#REF!,#REF!),0)</f>
        <v>0</v>
      </c>
      <c r="U741" s="50">
        <f>IFERROR(_xlfn.XLOOKUP(Table43[[#This Row],[Column1]],#REF!,#REF!),0)</f>
        <v>0</v>
      </c>
      <c r="V741" s="39"/>
    </row>
    <row r="742" spans="1:22" x14ac:dyDescent="0.35">
      <c r="A742" s="2" t="s">
        <v>2131</v>
      </c>
      <c r="B742" s="3" t="s">
        <v>2134</v>
      </c>
      <c r="C742" s="3" t="s">
        <v>9</v>
      </c>
      <c r="D742" s="5">
        <v>5500</v>
      </c>
      <c r="E742" s="3" t="s">
        <v>10</v>
      </c>
      <c r="F742" s="2">
        <v>1</v>
      </c>
      <c r="G742" s="3">
        <v>2</v>
      </c>
      <c r="H742" s="3">
        <v>1</v>
      </c>
      <c r="I742" s="21">
        <f>Table43[[#This Row],[Item Cost]]*Table43[[#This Row],[In Stock]]</f>
        <v>5500</v>
      </c>
      <c r="J742" s="12" t="s">
        <v>4941</v>
      </c>
      <c r="K742" s="13" t="s">
        <v>4664</v>
      </c>
      <c r="L742" s="13" t="s">
        <v>4699</v>
      </c>
      <c r="M742" s="13" t="s">
        <v>3950</v>
      </c>
      <c r="N742" s="12" t="s">
        <v>4672</v>
      </c>
      <c r="O742" s="17" t="str">
        <f>IF(LEN(COUNTIFS($J$1:J742,$J742,$K$1:K742,$K742,$L$1:L742,$L742,$M$1:M742,M742,$N$1:N742,N742))=1,"00"&amp;COUNTIFS($J$1:J742,$J742,$K$1:K742,$K742,$L$1:L742,$L742,$M$1:M742,M742,$N$1:N742,N742),IF(LEN(COUNTIFS($J$1:J742,$J742,$K$1:K742,$K742,$L$1:L742,$L742,$M$1:M742,M742,$N$1:N742,N742))=2,"0"&amp;COUNTIFS($J$1:J742,$J742,$K$1:K742,$K742,$L$1:L742,$L742,$M$1:M742,M742,$N$1:N742,N742),COUNTIFS($J$1:J742,$J742,$K$1:K742,$K742,$L$1:L742,$L742,$M$1:M742,M742,$N$1:N742,N742)))</f>
        <v>001</v>
      </c>
      <c r="P74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MS-CS-014-22-00001-INV</v>
      </c>
      <c r="Q742" s="59"/>
      <c r="R742" s="34" t="s">
        <v>6515</v>
      </c>
      <c r="S742" s="34" t="s">
        <v>2134</v>
      </c>
      <c r="T742" s="34">
        <f>+IFERROR(_xlfn.XLOOKUP(Table43[[#This Row],[Column1]],#REF!,#REF!),0)</f>
        <v>0</v>
      </c>
      <c r="U742" s="50">
        <f>IFERROR(_xlfn.XLOOKUP(Table43[[#This Row],[Column1]],#REF!,#REF!),0)</f>
        <v>0</v>
      </c>
      <c r="V742" s="39"/>
    </row>
    <row r="743" spans="1:22" x14ac:dyDescent="0.35">
      <c r="A743" s="2" t="s">
        <v>2133</v>
      </c>
      <c r="B743" s="2" t="s">
        <v>2136</v>
      </c>
      <c r="C743" s="2" t="s">
        <v>9</v>
      </c>
      <c r="D743" s="2">
        <v>631.47</v>
      </c>
      <c r="E743" s="2" t="s">
        <v>10</v>
      </c>
      <c r="F743" s="2">
        <v>1</v>
      </c>
      <c r="G743" s="2">
        <v>2</v>
      </c>
      <c r="H743" s="2">
        <v>1</v>
      </c>
      <c r="I743" s="22">
        <f>Table43[[#This Row],[Item Cost]]*Table43[[#This Row],[In Stock]]</f>
        <v>631.47</v>
      </c>
      <c r="J743" s="12" t="s">
        <v>4941</v>
      </c>
      <c r="K743" s="13" t="s">
        <v>4664</v>
      </c>
      <c r="L743" s="13" t="s">
        <v>4699</v>
      </c>
      <c r="M743" s="13" t="s">
        <v>4693</v>
      </c>
      <c r="N743" s="12" t="s">
        <v>4672</v>
      </c>
      <c r="O743" s="17" t="str">
        <f>IF(LEN(COUNTIFS($J$1:J743,$J743,$K$1:K743,$K743,$L$1:L743,$L743,$M$1:M743,M743,$N$1:N743,N743))=1,"00"&amp;COUNTIFS($J$1:J743,$J743,$K$1:K743,$K743,$L$1:L743,$L743,$M$1:M743,M743,$N$1:N743,N743),IF(LEN(COUNTIFS($J$1:J743,$J743,$K$1:K743,$K743,$L$1:L743,$L743,$M$1:M743,M743,$N$1:N743,N743))=2,"0"&amp;COUNTIFS($J$1:J743,$J743,$K$1:K743,$K743,$L$1:L743,$L743,$M$1:M743,M743,$N$1:N743,N743),COUNTIFS($J$1:J743,$J743,$K$1:K743,$K743,$L$1:L743,$L743,$M$1:M743,M743,$N$1:N743,N743)))</f>
        <v>002</v>
      </c>
      <c r="P74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MS-CS-014-23-00002-INV</v>
      </c>
      <c r="Q743" s="59" t="s">
        <v>7373</v>
      </c>
      <c r="R743" s="34" t="s">
        <v>6516</v>
      </c>
      <c r="S743" s="34" t="s">
        <v>2136</v>
      </c>
      <c r="T743" s="34">
        <f>+IFERROR(_xlfn.XLOOKUP(Table43[[#This Row],[Column1]],#REF!,#REF!),0)</f>
        <v>0</v>
      </c>
      <c r="U743" s="50">
        <f>IFERROR(_xlfn.XLOOKUP(Table43[[#This Row],[Column1]],#REF!,#REF!),0)</f>
        <v>0</v>
      </c>
      <c r="V743" s="39"/>
    </row>
    <row r="744" spans="1:22" x14ac:dyDescent="0.35">
      <c r="A744" s="3" t="s">
        <v>2135</v>
      </c>
      <c r="B744" s="3" t="s">
        <v>2138</v>
      </c>
      <c r="C744" s="3" t="s">
        <v>9</v>
      </c>
      <c r="D744" s="5">
        <v>1079.7</v>
      </c>
      <c r="E744" s="3" t="s">
        <v>10</v>
      </c>
      <c r="F744" s="2">
        <v>1</v>
      </c>
      <c r="G744" s="3">
        <v>2</v>
      </c>
      <c r="H744" s="3">
        <v>1</v>
      </c>
      <c r="I744" s="21">
        <f>Table43[[#This Row],[Item Cost]]*Table43[[#This Row],[In Stock]]</f>
        <v>1079.7</v>
      </c>
      <c r="J744" s="12" t="s">
        <v>4941</v>
      </c>
      <c r="K744" s="13" t="s">
        <v>4664</v>
      </c>
      <c r="L744" s="13" t="s">
        <v>4699</v>
      </c>
      <c r="M744" s="13" t="s">
        <v>4693</v>
      </c>
      <c r="N744" s="12" t="s">
        <v>4672</v>
      </c>
      <c r="O744" s="17" t="str">
        <f>IF(LEN(COUNTIFS($J$1:J744,$J744,$K$1:K744,$K744,$L$1:L744,$L744,$M$1:M744,M744,$N$1:N744,N744))=1,"00"&amp;COUNTIFS($J$1:J744,$J744,$K$1:K744,$K744,$L$1:L744,$L744,$M$1:M744,M744,$N$1:N744,N744),IF(LEN(COUNTIFS($J$1:J744,$J744,$K$1:K744,$K744,$L$1:L744,$L744,$M$1:M744,M744,$N$1:N744,N744))=2,"0"&amp;COUNTIFS($J$1:J744,$J744,$K$1:K744,$K744,$L$1:L744,$L744,$M$1:M744,M744,$N$1:N744,N744),COUNTIFS($J$1:J744,$J744,$K$1:K744,$K744,$L$1:L744,$L744,$M$1:M744,M744,$N$1:N744,N744)))</f>
        <v>003</v>
      </c>
      <c r="P74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MS-CS-014-23-00003-INV</v>
      </c>
      <c r="Q744" s="59" t="s">
        <v>7373</v>
      </c>
      <c r="R744" s="34" t="s">
        <v>6517</v>
      </c>
      <c r="S744" s="34" t="s">
        <v>2138</v>
      </c>
      <c r="T744" s="34">
        <f>+IFERROR(_xlfn.XLOOKUP(Table43[[#This Row],[Column1]],#REF!,#REF!),0)</f>
        <v>0</v>
      </c>
      <c r="U744" s="50">
        <f>IFERROR(_xlfn.XLOOKUP(Table43[[#This Row],[Column1]],#REF!,#REF!),0)</f>
        <v>0</v>
      </c>
      <c r="V744" s="39"/>
    </row>
    <row r="745" spans="1:22" x14ac:dyDescent="0.35">
      <c r="A745" s="2" t="s">
        <v>2137</v>
      </c>
      <c r="B745" s="2" t="s">
        <v>2140</v>
      </c>
      <c r="C745" s="2" t="s">
        <v>9</v>
      </c>
      <c r="D745" s="4">
        <v>2371.65</v>
      </c>
      <c r="E745" s="2" t="s">
        <v>10</v>
      </c>
      <c r="F745" s="2">
        <v>1</v>
      </c>
      <c r="G745" s="3">
        <v>2</v>
      </c>
      <c r="H745" s="2">
        <v>1</v>
      </c>
      <c r="I745" s="22">
        <f>Table43[[#This Row],[Item Cost]]*Table43[[#This Row],[In Stock]]</f>
        <v>2371.65</v>
      </c>
      <c r="J745" s="12" t="s">
        <v>4941</v>
      </c>
      <c r="K745" s="13" t="s">
        <v>4664</v>
      </c>
      <c r="L745" s="13" t="s">
        <v>4699</v>
      </c>
      <c r="M745" s="13" t="s">
        <v>4693</v>
      </c>
      <c r="N745" s="12" t="s">
        <v>4672</v>
      </c>
      <c r="O745" s="17" t="str">
        <f>IF(LEN(COUNTIFS($J$1:J745,$J745,$K$1:K745,$K745,$L$1:L745,$L745,$M$1:M745,M745,$N$1:N745,N745))=1,"00"&amp;COUNTIFS($J$1:J745,$J745,$K$1:K745,$K745,$L$1:L745,$L745,$M$1:M745,M745,$N$1:N745,N745),IF(LEN(COUNTIFS($J$1:J745,$J745,$K$1:K745,$K745,$L$1:L745,$L745,$M$1:M745,M745,$N$1:N745,N745))=2,"0"&amp;COUNTIFS($J$1:J745,$J745,$K$1:K745,$K745,$L$1:L745,$L745,$M$1:M745,M745,$N$1:N745,N745),COUNTIFS($J$1:J745,$J745,$K$1:K745,$K745,$L$1:L745,$L745,$M$1:M745,M745,$N$1:N745,N745)))</f>
        <v>004</v>
      </c>
      <c r="P74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MS-CS-014-23-00004-INV</v>
      </c>
      <c r="Q745" s="59" t="s">
        <v>7330</v>
      </c>
      <c r="R745" s="34" t="s">
        <v>6518</v>
      </c>
      <c r="S745" s="34" t="s">
        <v>2140</v>
      </c>
      <c r="T745" s="34">
        <f>+IFERROR(_xlfn.XLOOKUP(Table43[[#This Row],[Column1]],#REF!,#REF!),0)</f>
        <v>0</v>
      </c>
      <c r="U745" s="50">
        <f>IFERROR(_xlfn.XLOOKUP(Table43[[#This Row],[Column1]],#REF!,#REF!),0)</f>
        <v>0</v>
      </c>
      <c r="V745" s="39"/>
    </row>
    <row r="746" spans="1:22" x14ac:dyDescent="0.35">
      <c r="A746" s="2" t="s">
        <v>2139</v>
      </c>
      <c r="B746" s="3" t="s">
        <v>2142</v>
      </c>
      <c r="C746" s="3" t="s">
        <v>9</v>
      </c>
      <c r="D746" s="3">
        <v>458.81</v>
      </c>
      <c r="E746" s="3" t="s">
        <v>10</v>
      </c>
      <c r="F746" s="2">
        <v>1</v>
      </c>
      <c r="G746" s="3">
        <v>2</v>
      </c>
      <c r="H746" s="3">
        <v>1</v>
      </c>
      <c r="I746" s="21">
        <f>Table43[[#This Row],[Item Cost]]*Table43[[#This Row],[In Stock]]</f>
        <v>458.81</v>
      </c>
      <c r="J746" s="12" t="s">
        <v>4941</v>
      </c>
      <c r="K746" s="13" t="s">
        <v>4664</v>
      </c>
      <c r="L746" s="13" t="s">
        <v>4699</v>
      </c>
      <c r="M746" s="13" t="s">
        <v>4833</v>
      </c>
      <c r="N746" s="12" t="s">
        <v>4672</v>
      </c>
      <c r="O746" s="17" t="str">
        <f>IF(LEN(COUNTIFS($J$1:J746,$J746,$K$1:K746,$K746,$L$1:L746,$L746,$M$1:M746,M746,$N$1:N746,N746))=1,"00"&amp;COUNTIFS($J$1:J746,$J746,$K$1:K746,$K746,$L$1:L746,$L746,$M$1:M746,M746,$N$1:N746,N746),IF(LEN(COUNTIFS($J$1:J746,$J746,$K$1:K746,$K746,$L$1:L746,$L746,$M$1:M746,M746,$N$1:N746,N746))=2,"0"&amp;COUNTIFS($J$1:J746,$J746,$K$1:K746,$K746,$L$1:L746,$L746,$M$1:M746,M746,$N$1:N746,N746),COUNTIFS($J$1:J746,$J746,$K$1:K746,$K746,$L$1:L746,$L746,$M$1:M746,M746,$N$1:N746,N746)))</f>
        <v>001</v>
      </c>
      <c r="P74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MS-CS-014-16-00001-INV</v>
      </c>
      <c r="Q746" s="59" t="s">
        <v>7330</v>
      </c>
      <c r="R746" s="34" t="s">
        <v>6519</v>
      </c>
      <c r="S746" s="34" t="s">
        <v>2142</v>
      </c>
      <c r="T746" s="34">
        <f>+IFERROR(_xlfn.XLOOKUP(Table43[[#This Row],[Column1]],#REF!,#REF!),0)</f>
        <v>0</v>
      </c>
      <c r="U746" s="50">
        <f>IFERROR(_xlfn.XLOOKUP(Table43[[#This Row],[Column1]],#REF!,#REF!),0)</f>
        <v>0</v>
      </c>
      <c r="V746" s="39"/>
    </row>
    <row r="747" spans="1:22" x14ac:dyDescent="0.35">
      <c r="A747" s="3" t="s">
        <v>2141</v>
      </c>
      <c r="B747" s="2" t="s">
        <v>2144</v>
      </c>
      <c r="C747" s="2" t="s">
        <v>9</v>
      </c>
      <c r="D747" s="2">
        <v>933.14</v>
      </c>
      <c r="E747" s="2" t="s">
        <v>10</v>
      </c>
      <c r="F747" s="2">
        <v>1</v>
      </c>
      <c r="G747" s="3">
        <v>2</v>
      </c>
      <c r="H747" s="2">
        <v>1</v>
      </c>
      <c r="I747" s="22">
        <f>Table43[[#This Row],[Item Cost]]*Table43[[#This Row],[In Stock]]</f>
        <v>933.14</v>
      </c>
      <c r="J747" s="12" t="s">
        <v>4941</v>
      </c>
      <c r="K747" s="13" t="s">
        <v>4664</v>
      </c>
      <c r="L747" s="13" t="s">
        <v>4699</v>
      </c>
      <c r="M747" s="13" t="s">
        <v>4693</v>
      </c>
      <c r="N747" s="12" t="s">
        <v>4672</v>
      </c>
      <c r="O747" s="17" t="str">
        <f>IF(LEN(COUNTIFS($J$1:J747,$J747,$K$1:K747,$K747,$L$1:L747,$L747,$M$1:M747,M747,$N$1:N747,N747))=1,"00"&amp;COUNTIFS($J$1:J747,$J747,$K$1:K747,$K747,$L$1:L747,$L747,$M$1:M747,M747,$N$1:N747,N747),IF(LEN(COUNTIFS($J$1:J747,$J747,$K$1:K747,$K747,$L$1:L747,$L747,$M$1:M747,M747,$N$1:N747,N747))=2,"0"&amp;COUNTIFS($J$1:J747,$J747,$K$1:K747,$K747,$L$1:L747,$L747,$M$1:M747,M747,$N$1:N747,N747),COUNTIFS($J$1:J747,$J747,$K$1:K747,$K747,$L$1:L747,$L747,$M$1:M747,M747,$N$1:N747,N747)))</f>
        <v>005</v>
      </c>
      <c r="P74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MS-CS-014-23-00005-INV</v>
      </c>
      <c r="Q747" s="59" t="s">
        <v>7330</v>
      </c>
      <c r="R747" s="34" t="s">
        <v>6520</v>
      </c>
      <c r="S747" s="34" t="s">
        <v>2144</v>
      </c>
      <c r="T747" s="34">
        <f>+IFERROR(_xlfn.XLOOKUP(Table43[[#This Row],[Column1]],#REF!,#REF!),0)</f>
        <v>0</v>
      </c>
      <c r="U747" s="50">
        <f>IFERROR(_xlfn.XLOOKUP(Table43[[#This Row],[Column1]],#REF!,#REF!),0)</f>
        <v>0</v>
      </c>
      <c r="V747" s="39"/>
    </row>
    <row r="748" spans="1:22" x14ac:dyDescent="0.35">
      <c r="A748" s="2" t="s">
        <v>2143</v>
      </c>
      <c r="B748" s="3" t="s">
        <v>2146</v>
      </c>
      <c r="C748" s="3" t="s">
        <v>9</v>
      </c>
      <c r="D748" s="5">
        <v>1676.16</v>
      </c>
      <c r="E748" s="3" t="s">
        <v>10</v>
      </c>
      <c r="F748" s="2">
        <v>1</v>
      </c>
      <c r="G748" s="3">
        <v>2</v>
      </c>
      <c r="H748" s="3">
        <v>1</v>
      </c>
      <c r="I748" s="21">
        <f>Table43[[#This Row],[Item Cost]]*Table43[[#This Row],[In Stock]]</f>
        <v>1676.16</v>
      </c>
      <c r="J748" s="12" t="s">
        <v>4941</v>
      </c>
      <c r="K748" s="13" t="s">
        <v>4664</v>
      </c>
      <c r="L748" s="13" t="s">
        <v>4699</v>
      </c>
      <c r="M748" s="13" t="s">
        <v>4693</v>
      </c>
      <c r="N748" s="12" t="s">
        <v>4672</v>
      </c>
      <c r="O748" s="17" t="str">
        <f>IF(LEN(COUNTIFS($J$1:J748,$J748,$K$1:K748,$K748,$L$1:L748,$L748,$M$1:M748,M748,$N$1:N748,N748))=1,"00"&amp;COUNTIFS($J$1:J748,$J748,$K$1:K748,$K748,$L$1:L748,$L748,$M$1:M748,M748,$N$1:N748,N748),IF(LEN(COUNTIFS($J$1:J748,$J748,$K$1:K748,$K748,$L$1:L748,$L748,$M$1:M748,M748,$N$1:N748,N748))=2,"0"&amp;COUNTIFS($J$1:J748,$J748,$K$1:K748,$K748,$L$1:L748,$L748,$M$1:M748,M748,$N$1:N748,N748),COUNTIFS($J$1:J748,$J748,$K$1:K748,$K748,$L$1:L748,$L748,$M$1:M748,M748,$N$1:N748,N748)))</f>
        <v>006</v>
      </c>
      <c r="P74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MS-CS-014-23-00006-INV</v>
      </c>
      <c r="Q748" s="59" t="s">
        <v>7333</v>
      </c>
      <c r="R748" s="34" t="s">
        <v>6521</v>
      </c>
      <c r="S748" s="34" t="s">
        <v>2146</v>
      </c>
      <c r="T748" s="34">
        <f>+IFERROR(_xlfn.XLOOKUP(Table43[[#This Row],[Column1]],#REF!,#REF!),0)</f>
        <v>0</v>
      </c>
      <c r="U748" s="50">
        <f>IFERROR(_xlfn.XLOOKUP(Table43[[#This Row],[Column1]],#REF!,#REF!),0)</f>
        <v>0</v>
      </c>
      <c r="V748" s="39"/>
    </row>
    <row r="749" spans="1:22" x14ac:dyDescent="0.35">
      <c r="A749" s="2" t="s">
        <v>2145</v>
      </c>
      <c r="B749" s="2" t="s">
        <v>2148</v>
      </c>
      <c r="C749" s="2" t="s">
        <v>9</v>
      </c>
      <c r="D749" s="2">
        <v>91</v>
      </c>
      <c r="E749" s="2" t="s">
        <v>10</v>
      </c>
      <c r="F749" s="2">
        <v>1</v>
      </c>
      <c r="G749" s="3">
        <v>2</v>
      </c>
      <c r="H749" s="2">
        <v>2</v>
      </c>
      <c r="I749" s="22">
        <f>Table43[[#This Row],[Item Cost]]*Table43[[#This Row],[In Stock]]</f>
        <v>182</v>
      </c>
      <c r="J749" s="12" t="s">
        <v>4941</v>
      </c>
      <c r="K749" s="13" t="s">
        <v>4664</v>
      </c>
      <c r="L749" s="13" t="s">
        <v>4699</v>
      </c>
      <c r="M749" s="13" t="s">
        <v>4693</v>
      </c>
      <c r="N749" s="12" t="s">
        <v>4672</v>
      </c>
      <c r="O749" s="17" t="str">
        <f>IF(LEN(COUNTIFS($J$1:J749,$J749,$K$1:K749,$K749,$L$1:L749,$L749,$M$1:M749,M749,$N$1:N749,N749))=1,"00"&amp;COUNTIFS($J$1:J749,$J749,$K$1:K749,$K749,$L$1:L749,$L749,$M$1:M749,M749,$N$1:N749,N749),IF(LEN(COUNTIFS($J$1:J749,$J749,$K$1:K749,$K749,$L$1:L749,$L749,$M$1:M749,M749,$N$1:N749,N749))=2,"0"&amp;COUNTIFS($J$1:J749,$J749,$K$1:K749,$K749,$L$1:L749,$L749,$M$1:M749,M749,$N$1:N749,N749),COUNTIFS($J$1:J749,$J749,$K$1:K749,$K749,$L$1:L749,$L749,$M$1:M749,M749,$N$1:N749,N749)))</f>
        <v>007</v>
      </c>
      <c r="P74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MS-CS-014-23-00007-INV</v>
      </c>
      <c r="Q749" s="59"/>
      <c r="R749" s="34" t="s">
        <v>6522</v>
      </c>
      <c r="S749" s="34" t="s">
        <v>2148</v>
      </c>
      <c r="T749" s="34">
        <f>+IFERROR(_xlfn.XLOOKUP(Table43[[#This Row],[Column1]],#REF!,#REF!),0)</f>
        <v>0</v>
      </c>
      <c r="U749" s="50">
        <f>IFERROR(_xlfn.XLOOKUP(Table43[[#This Row],[Column1]],#REF!,#REF!),0)</f>
        <v>0</v>
      </c>
      <c r="V749" s="39"/>
    </row>
    <row r="750" spans="1:22" x14ac:dyDescent="0.35">
      <c r="A750" s="3" t="s">
        <v>2147</v>
      </c>
      <c r="B750" s="3" t="s">
        <v>2150</v>
      </c>
      <c r="C750" s="3" t="s">
        <v>9</v>
      </c>
      <c r="D750" s="3">
        <v>105</v>
      </c>
      <c r="E750" s="3" t="s">
        <v>10</v>
      </c>
      <c r="F750" s="2">
        <v>1</v>
      </c>
      <c r="G750" s="3">
        <v>2</v>
      </c>
      <c r="H750" s="3">
        <v>2</v>
      </c>
      <c r="I750" s="21">
        <f>Table43[[#This Row],[Item Cost]]*Table43[[#This Row],[In Stock]]</f>
        <v>210</v>
      </c>
      <c r="J750" s="12" t="s">
        <v>4941</v>
      </c>
      <c r="K750" s="13" t="s">
        <v>4664</v>
      </c>
      <c r="L750" s="13" t="s">
        <v>4699</v>
      </c>
      <c r="M750" s="13" t="s">
        <v>4693</v>
      </c>
      <c r="N750" s="12" t="s">
        <v>4672</v>
      </c>
      <c r="O750" s="17" t="str">
        <f>IF(LEN(COUNTIFS($J$1:J750,$J750,$K$1:K750,$K750,$L$1:L750,$L750,$M$1:M750,M750,$N$1:N750,N750))=1,"00"&amp;COUNTIFS($J$1:J750,$J750,$K$1:K750,$K750,$L$1:L750,$L750,$M$1:M750,M750,$N$1:N750,N750),IF(LEN(COUNTIFS($J$1:J750,$J750,$K$1:K750,$K750,$L$1:L750,$L750,$M$1:M750,M750,$N$1:N750,N750))=2,"0"&amp;COUNTIFS($J$1:J750,$J750,$K$1:K750,$K750,$L$1:L750,$L750,$M$1:M750,M750,$N$1:N750,N750),COUNTIFS($J$1:J750,$J750,$K$1:K750,$K750,$L$1:L750,$L750,$M$1:M750,M750,$N$1:N750,N750)))</f>
        <v>008</v>
      </c>
      <c r="P75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MS-CS-014-23-00008-INV</v>
      </c>
      <c r="Q750" s="59"/>
      <c r="R750" s="34" t="s">
        <v>6523</v>
      </c>
      <c r="S750" s="34" t="s">
        <v>2150</v>
      </c>
      <c r="T750" s="34">
        <f>+IFERROR(_xlfn.XLOOKUP(Table43[[#This Row],[Column1]],#REF!,#REF!),0)</f>
        <v>0</v>
      </c>
      <c r="U750" s="50">
        <f>IFERROR(_xlfn.XLOOKUP(Table43[[#This Row],[Column1]],#REF!,#REF!),0)</f>
        <v>0</v>
      </c>
      <c r="V750" s="39"/>
    </row>
    <row r="751" spans="1:22" x14ac:dyDescent="0.35">
      <c r="A751" s="2" t="s">
        <v>2149</v>
      </c>
      <c r="B751" s="2" t="s">
        <v>2152</v>
      </c>
      <c r="C751" s="2" t="s">
        <v>9</v>
      </c>
      <c r="D751" s="2">
        <v>71</v>
      </c>
      <c r="E751" s="2" t="s">
        <v>10</v>
      </c>
      <c r="F751" s="2">
        <v>1</v>
      </c>
      <c r="G751" s="3">
        <v>2</v>
      </c>
      <c r="H751" s="2">
        <v>1</v>
      </c>
      <c r="I751" s="22">
        <f>Table43[[#This Row],[Item Cost]]*Table43[[#This Row],[In Stock]]</f>
        <v>71</v>
      </c>
      <c r="J751" s="12" t="s">
        <v>4941</v>
      </c>
      <c r="K751" s="13" t="s">
        <v>4664</v>
      </c>
      <c r="L751" s="13" t="s">
        <v>4699</v>
      </c>
      <c r="M751" s="13" t="s">
        <v>4693</v>
      </c>
      <c r="N751" s="12" t="s">
        <v>4672</v>
      </c>
      <c r="O751" s="17" t="str">
        <f>IF(LEN(COUNTIFS($J$1:J751,$J751,$K$1:K751,$K751,$L$1:L751,$L751,$M$1:M751,M751,$N$1:N751,N751))=1,"00"&amp;COUNTIFS($J$1:J751,$J751,$K$1:K751,$K751,$L$1:L751,$L751,$M$1:M751,M751,$N$1:N751,N751),IF(LEN(COUNTIFS($J$1:J751,$J751,$K$1:K751,$K751,$L$1:L751,$L751,$M$1:M751,M751,$N$1:N751,N751))=2,"0"&amp;COUNTIFS($J$1:J751,$J751,$K$1:K751,$K751,$L$1:L751,$L751,$M$1:M751,M751,$N$1:N751,N751),COUNTIFS($J$1:J751,$J751,$K$1:K751,$K751,$L$1:L751,$L751,$M$1:M751,M751,$N$1:N751,N751)))</f>
        <v>009</v>
      </c>
      <c r="P75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MS-CS-014-23-00009-INV</v>
      </c>
      <c r="Q751" s="59"/>
      <c r="R751" s="34" t="s">
        <v>6524</v>
      </c>
      <c r="S751" s="34" t="s">
        <v>2152</v>
      </c>
      <c r="T751" s="34">
        <f>+IFERROR(_xlfn.XLOOKUP(Table43[[#This Row],[Column1]],#REF!,#REF!),0)</f>
        <v>0</v>
      </c>
      <c r="U751" s="50">
        <f>IFERROR(_xlfn.XLOOKUP(Table43[[#This Row],[Column1]],#REF!,#REF!),0)</f>
        <v>0</v>
      </c>
      <c r="V751" s="39"/>
    </row>
    <row r="752" spans="1:22" x14ac:dyDescent="0.35">
      <c r="A752" s="2" t="s">
        <v>2151</v>
      </c>
      <c r="B752" s="3" t="s">
        <v>2154</v>
      </c>
      <c r="C752" s="3" t="s">
        <v>9</v>
      </c>
      <c r="D752" s="3">
        <v>126</v>
      </c>
      <c r="E752" s="3" t="s">
        <v>10</v>
      </c>
      <c r="F752" s="2">
        <v>1</v>
      </c>
      <c r="G752" s="3">
        <v>2</v>
      </c>
      <c r="H752" s="3">
        <v>2</v>
      </c>
      <c r="I752" s="21">
        <f>Table43[[#This Row],[Item Cost]]*Table43[[#This Row],[In Stock]]</f>
        <v>252</v>
      </c>
      <c r="J752" s="12" t="s">
        <v>4941</v>
      </c>
      <c r="K752" s="13" t="s">
        <v>4664</v>
      </c>
      <c r="L752" s="13" t="s">
        <v>4699</v>
      </c>
      <c r="M752" s="13" t="s">
        <v>4693</v>
      </c>
      <c r="N752" s="12" t="s">
        <v>4672</v>
      </c>
      <c r="O752" s="17" t="str">
        <f>IF(LEN(COUNTIFS($J$1:J752,$J752,$K$1:K752,$K752,$L$1:L752,$L752,$M$1:M752,M752,$N$1:N752,N752))=1,"00"&amp;COUNTIFS($J$1:J752,$J752,$K$1:K752,$K752,$L$1:L752,$L752,$M$1:M752,M752,$N$1:N752,N752),IF(LEN(COUNTIFS($J$1:J752,$J752,$K$1:K752,$K752,$L$1:L752,$L752,$M$1:M752,M752,$N$1:N752,N752))=2,"0"&amp;COUNTIFS($J$1:J752,$J752,$K$1:K752,$K752,$L$1:L752,$L752,$M$1:M752,M752,$N$1:N752,N752),COUNTIFS($J$1:J752,$J752,$K$1:K752,$K752,$L$1:L752,$L752,$M$1:M752,M752,$N$1:N752,N752)))</f>
        <v>010</v>
      </c>
      <c r="P75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MS-CS-014-23-00010-INV</v>
      </c>
      <c r="Q752" s="59" t="s">
        <v>7330</v>
      </c>
      <c r="R752" s="34" t="s">
        <v>6525</v>
      </c>
      <c r="S752" s="34" t="s">
        <v>2154</v>
      </c>
      <c r="T752" s="34">
        <f>+IFERROR(_xlfn.XLOOKUP(Table43[[#This Row],[Column1]],#REF!,#REF!),0)</f>
        <v>0</v>
      </c>
      <c r="U752" s="50">
        <f>IFERROR(_xlfn.XLOOKUP(Table43[[#This Row],[Column1]],#REF!,#REF!),0)</f>
        <v>0</v>
      </c>
      <c r="V752" s="39"/>
    </row>
    <row r="753" spans="1:22" x14ac:dyDescent="0.35">
      <c r="A753" s="3" t="s">
        <v>2153</v>
      </c>
      <c r="B753" s="2" t="s">
        <v>2156</v>
      </c>
      <c r="C753" s="2" t="s">
        <v>9</v>
      </c>
      <c r="D753" s="4">
        <v>2600</v>
      </c>
      <c r="E753" s="2" t="s">
        <v>10</v>
      </c>
      <c r="F753" s="2">
        <v>1</v>
      </c>
      <c r="G753" s="3">
        <v>2</v>
      </c>
      <c r="H753" s="2">
        <v>1</v>
      </c>
      <c r="I753" s="22">
        <f>Table43[[#This Row],[Item Cost]]*Table43[[#This Row],[In Stock]]</f>
        <v>2600</v>
      </c>
      <c r="J753" s="12" t="s">
        <v>4941</v>
      </c>
      <c r="K753" s="13" t="s">
        <v>4664</v>
      </c>
      <c r="L753" s="13" t="s">
        <v>4699</v>
      </c>
      <c r="M753" s="13" t="s">
        <v>4837</v>
      </c>
      <c r="N753" s="12" t="s">
        <v>4672</v>
      </c>
      <c r="O753" s="17" t="str">
        <f>IF(LEN(COUNTIFS($J$1:J753,$J753,$K$1:K753,$K753,$L$1:L753,$L753,$M$1:M753,M753,$N$1:N753,N753))=1,"00"&amp;COUNTIFS($J$1:J753,$J753,$K$1:K753,$K753,$L$1:L753,$L753,$M$1:M753,M753,$N$1:N753,N753),IF(LEN(COUNTIFS($J$1:J753,$J753,$K$1:K753,$K753,$L$1:L753,$L753,$M$1:M753,M753,$N$1:N753,N753))=2,"0"&amp;COUNTIFS($J$1:J753,$J753,$K$1:K753,$K753,$L$1:L753,$L753,$M$1:M753,M753,$N$1:N753,N753),COUNTIFS($J$1:J753,$J753,$K$1:K753,$K753,$L$1:L753,$L753,$M$1:M753,M753,$N$1:N753,N753)))</f>
        <v>005</v>
      </c>
      <c r="P75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MS-CS-014-26-00005-INV</v>
      </c>
      <c r="Q753" s="59" t="s">
        <v>7330</v>
      </c>
      <c r="R753" s="34" t="s">
        <v>6526</v>
      </c>
      <c r="S753" s="34" t="s">
        <v>2156</v>
      </c>
      <c r="T753" s="34">
        <f>+IFERROR(_xlfn.XLOOKUP(Table43[[#This Row],[Column1]],#REF!,#REF!),0)</f>
        <v>0</v>
      </c>
      <c r="U753" s="50">
        <f>IFERROR(_xlfn.XLOOKUP(Table43[[#This Row],[Column1]],#REF!,#REF!),0)</f>
        <v>0</v>
      </c>
      <c r="V753" s="39"/>
    </row>
    <row r="754" spans="1:22" x14ac:dyDescent="0.35">
      <c r="A754" s="2" t="s">
        <v>2155</v>
      </c>
      <c r="B754" s="3" t="s">
        <v>2158</v>
      </c>
      <c r="C754" s="3" t="s">
        <v>9</v>
      </c>
      <c r="D754" s="3">
        <v>324.5</v>
      </c>
      <c r="E754" s="3" t="s">
        <v>10</v>
      </c>
      <c r="F754" s="2">
        <v>1</v>
      </c>
      <c r="G754" s="3">
        <v>2</v>
      </c>
      <c r="H754" s="3">
        <v>1</v>
      </c>
      <c r="I754" s="21">
        <f>Table43[[#This Row],[Item Cost]]*Table43[[#This Row],[In Stock]]</f>
        <v>324.5</v>
      </c>
      <c r="J754" s="12" t="s">
        <v>4941</v>
      </c>
      <c r="K754" s="13" t="s">
        <v>4664</v>
      </c>
      <c r="L754" s="13" t="s">
        <v>4699</v>
      </c>
      <c r="M754" s="13" t="s">
        <v>4693</v>
      </c>
      <c r="N754" s="12" t="s">
        <v>4672</v>
      </c>
      <c r="O754" s="17" t="str">
        <f>IF(LEN(COUNTIFS($J$1:J754,$J754,$K$1:K754,$K754,$L$1:L754,$L754,$M$1:M754,M754,$N$1:N754,N754))=1,"00"&amp;COUNTIFS($J$1:J754,$J754,$K$1:K754,$K754,$L$1:L754,$L754,$M$1:M754,M754,$N$1:N754,N754),IF(LEN(COUNTIFS($J$1:J754,$J754,$K$1:K754,$K754,$L$1:L754,$L754,$M$1:M754,M754,$N$1:N754,N754))=2,"0"&amp;COUNTIFS($J$1:J754,$J754,$K$1:K754,$K754,$L$1:L754,$L754,$M$1:M754,M754,$N$1:N754,N754),COUNTIFS($J$1:J754,$J754,$K$1:K754,$K754,$L$1:L754,$L754,$M$1:M754,M754,$N$1:N754,N754)))</f>
        <v>011</v>
      </c>
      <c r="P75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MS-CS-014-23-00011-INV</v>
      </c>
      <c r="Q754" s="59" t="s">
        <v>7330</v>
      </c>
      <c r="R754" s="34" t="s">
        <v>6527</v>
      </c>
      <c r="S754" s="34" t="s">
        <v>2158</v>
      </c>
      <c r="T754" s="34">
        <f>+IFERROR(_xlfn.XLOOKUP(Table43[[#This Row],[Column1]],#REF!,#REF!),0)</f>
        <v>0</v>
      </c>
      <c r="U754" s="50">
        <f>IFERROR(_xlfn.XLOOKUP(Table43[[#This Row],[Column1]],#REF!,#REF!),0)</f>
        <v>0</v>
      </c>
      <c r="V754" s="39"/>
    </row>
    <row r="755" spans="1:22" x14ac:dyDescent="0.35">
      <c r="A755" s="2" t="s">
        <v>2157</v>
      </c>
      <c r="B755" s="2" t="s">
        <v>2160</v>
      </c>
      <c r="C755" s="2" t="s">
        <v>9</v>
      </c>
      <c r="D755" s="2">
        <v>66.08</v>
      </c>
      <c r="E755" s="2" t="s">
        <v>10</v>
      </c>
      <c r="F755" s="2">
        <v>1</v>
      </c>
      <c r="G755" s="3">
        <v>2</v>
      </c>
      <c r="H755" s="2">
        <v>1</v>
      </c>
      <c r="I755" s="22">
        <f>Table43[[#This Row],[Item Cost]]*Table43[[#This Row],[In Stock]]</f>
        <v>66.08</v>
      </c>
      <c r="J755" s="12" t="s">
        <v>4941</v>
      </c>
      <c r="K755" s="13" t="s">
        <v>4664</v>
      </c>
      <c r="L755" s="13" t="s">
        <v>4699</v>
      </c>
      <c r="M755" s="13" t="s">
        <v>4693</v>
      </c>
      <c r="N755" s="12" t="s">
        <v>4672</v>
      </c>
      <c r="O755" s="17" t="str">
        <f>IF(LEN(COUNTIFS($J$1:J755,$J755,$K$1:K755,$K755,$L$1:L755,$L755,$M$1:M755,M755,$N$1:N755,N755))=1,"00"&amp;COUNTIFS($J$1:J755,$J755,$K$1:K755,$K755,$L$1:L755,$L755,$M$1:M755,M755,$N$1:N755,N755),IF(LEN(COUNTIFS($J$1:J755,$J755,$K$1:K755,$K755,$L$1:L755,$L755,$M$1:M755,M755,$N$1:N755,N755))=2,"0"&amp;COUNTIFS($J$1:J755,$J755,$K$1:K755,$K755,$L$1:L755,$L755,$M$1:M755,M755,$N$1:N755,N755),COUNTIFS($J$1:J755,$J755,$K$1:K755,$K755,$L$1:L755,$L755,$M$1:M755,M755,$N$1:N755,N755)))</f>
        <v>012</v>
      </c>
      <c r="P75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MS-CS-014-23-00012-INV</v>
      </c>
      <c r="Q755" s="59" t="s">
        <v>7330</v>
      </c>
      <c r="R755" s="34" t="s">
        <v>6528</v>
      </c>
      <c r="S755" s="34" t="s">
        <v>2160</v>
      </c>
      <c r="T755" s="34">
        <f>+IFERROR(_xlfn.XLOOKUP(Table43[[#This Row],[Column1]],#REF!,#REF!),0)</f>
        <v>0</v>
      </c>
      <c r="U755" s="50">
        <f>IFERROR(_xlfn.XLOOKUP(Table43[[#This Row],[Column1]],#REF!,#REF!),0)</f>
        <v>0</v>
      </c>
      <c r="V755" s="39"/>
    </row>
    <row r="756" spans="1:22" x14ac:dyDescent="0.35">
      <c r="A756" s="3" t="s">
        <v>2159</v>
      </c>
      <c r="B756" s="3" t="s">
        <v>2162</v>
      </c>
      <c r="C756" s="3" t="s">
        <v>9</v>
      </c>
      <c r="D756" s="5">
        <v>2242</v>
      </c>
      <c r="E756" s="3" t="s">
        <v>10</v>
      </c>
      <c r="F756" s="2">
        <v>1</v>
      </c>
      <c r="G756" s="3">
        <v>2</v>
      </c>
      <c r="H756" s="3">
        <v>1</v>
      </c>
      <c r="I756" s="21">
        <f>Table43[[#This Row],[Item Cost]]*Table43[[#This Row],[In Stock]]</f>
        <v>2242</v>
      </c>
      <c r="J756" s="12" t="s">
        <v>4941</v>
      </c>
      <c r="K756" s="13" t="s">
        <v>4664</v>
      </c>
      <c r="L756" s="13" t="s">
        <v>4699</v>
      </c>
      <c r="M756" s="13" t="s">
        <v>4693</v>
      </c>
      <c r="N756" s="12" t="s">
        <v>4672</v>
      </c>
      <c r="O756" s="17" t="str">
        <f>IF(LEN(COUNTIFS($J$1:J756,$J756,$K$1:K756,$K756,$L$1:L756,$L756,$M$1:M756,M756,$N$1:N756,N756))=1,"00"&amp;COUNTIFS($J$1:J756,$J756,$K$1:K756,$K756,$L$1:L756,$L756,$M$1:M756,M756,$N$1:N756,N756),IF(LEN(COUNTIFS($J$1:J756,$J756,$K$1:K756,$K756,$L$1:L756,$L756,$M$1:M756,M756,$N$1:N756,N756))=2,"0"&amp;COUNTIFS($J$1:J756,$J756,$K$1:K756,$K756,$L$1:L756,$L756,$M$1:M756,M756,$N$1:N756,N756),COUNTIFS($J$1:J756,$J756,$K$1:K756,$K756,$L$1:L756,$L756,$M$1:M756,M756,$N$1:N756,N756)))</f>
        <v>013</v>
      </c>
      <c r="P75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MS-CS-014-23-00013-INV</v>
      </c>
      <c r="Q756" s="59" t="s">
        <v>7330</v>
      </c>
      <c r="R756" s="34" t="s">
        <v>6529</v>
      </c>
      <c r="S756" s="34" t="s">
        <v>2162</v>
      </c>
      <c r="T756" s="34">
        <f>+IFERROR(_xlfn.XLOOKUP(Table43[[#This Row],[Column1]],#REF!,#REF!),0)</f>
        <v>0</v>
      </c>
      <c r="U756" s="50">
        <f>IFERROR(_xlfn.XLOOKUP(Table43[[#This Row],[Column1]],#REF!,#REF!),0)</f>
        <v>0</v>
      </c>
      <c r="V756" s="39"/>
    </row>
    <row r="757" spans="1:22" x14ac:dyDescent="0.35">
      <c r="A757" s="2" t="s">
        <v>2161</v>
      </c>
      <c r="B757" s="2" t="s">
        <v>2164</v>
      </c>
      <c r="C757" s="2" t="s">
        <v>9</v>
      </c>
      <c r="D757" s="4">
        <v>1260</v>
      </c>
      <c r="E757" s="2" t="s">
        <v>10</v>
      </c>
      <c r="F757" s="2">
        <v>1</v>
      </c>
      <c r="G757" s="3">
        <v>2</v>
      </c>
      <c r="H757" s="2">
        <v>1</v>
      </c>
      <c r="I757" s="22">
        <f>Table43[[#This Row],[Item Cost]]*Table43[[#This Row],[In Stock]]</f>
        <v>1260</v>
      </c>
      <c r="J757" s="12" t="s">
        <v>4941</v>
      </c>
      <c r="K757" s="13" t="s">
        <v>4664</v>
      </c>
      <c r="L757" s="13" t="s">
        <v>4699</v>
      </c>
      <c r="M757" s="13" t="s">
        <v>4693</v>
      </c>
      <c r="N757" s="12" t="s">
        <v>4672</v>
      </c>
      <c r="O757" s="17" t="str">
        <f>IF(LEN(COUNTIFS($J$1:J757,$J757,$K$1:K757,$K757,$L$1:L757,$L757,$M$1:M757,M757,$N$1:N757,N757))=1,"00"&amp;COUNTIFS($J$1:J757,$J757,$K$1:K757,$K757,$L$1:L757,$L757,$M$1:M757,M757,$N$1:N757,N757),IF(LEN(COUNTIFS($J$1:J757,$J757,$K$1:K757,$K757,$L$1:L757,$L757,$M$1:M757,M757,$N$1:N757,N757))=2,"0"&amp;COUNTIFS($J$1:J757,$J757,$K$1:K757,$K757,$L$1:L757,$L757,$M$1:M757,M757,$N$1:N757,N757),COUNTIFS($J$1:J757,$J757,$K$1:K757,$K757,$L$1:L757,$L757,$M$1:M757,M757,$N$1:N757,N757)))</f>
        <v>014</v>
      </c>
      <c r="P75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MS-CS-014-23-00014-INV</v>
      </c>
      <c r="Q757" s="59" t="s">
        <v>7333</v>
      </c>
      <c r="R757" s="34" t="s">
        <v>6530</v>
      </c>
      <c r="S757" s="34" t="s">
        <v>2164</v>
      </c>
      <c r="T757" s="34">
        <f>+IFERROR(_xlfn.XLOOKUP(Table43[[#This Row],[Column1]],#REF!,#REF!),0)</f>
        <v>0</v>
      </c>
      <c r="U757" s="50">
        <f>IFERROR(_xlfn.XLOOKUP(Table43[[#This Row],[Column1]],#REF!,#REF!),0)</f>
        <v>0</v>
      </c>
      <c r="V757" s="39"/>
    </row>
    <row r="758" spans="1:22" x14ac:dyDescent="0.35">
      <c r="A758" s="2" t="s">
        <v>2163</v>
      </c>
      <c r="B758" s="3" t="s">
        <v>2166</v>
      </c>
      <c r="C758" s="3" t="s">
        <v>9</v>
      </c>
      <c r="D758" s="5">
        <v>6931.32</v>
      </c>
      <c r="E758" s="3" t="s">
        <v>10</v>
      </c>
      <c r="F758" s="2">
        <v>1</v>
      </c>
      <c r="G758" s="3">
        <v>2</v>
      </c>
      <c r="H758" s="3">
        <v>1</v>
      </c>
      <c r="I758" s="21">
        <f>Table43[[#This Row],[Item Cost]]*Table43[[#This Row],[In Stock]]</f>
        <v>6931.32</v>
      </c>
      <c r="J758" s="12" t="s">
        <v>4941</v>
      </c>
      <c r="K758" s="13" t="s">
        <v>4664</v>
      </c>
      <c r="L758" s="13" t="s">
        <v>4699</v>
      </c>
      <c r="M758" s="13" t="s">
        <v>4733</v>
      </c>
      <c r="N758" s="12" t="s">
        <v>4672</v>
      </c>
      <c r="O758" s="17" t="str">
        <f>IF(LEN(COUNTIFS($J$1:J758,$J758,$K$1:K758,$K758,$L$1:L758,$L758,$M$1:M758,M758,$N$1:N758,N758))=1,"00"&amp;COUNTIFS($J$1:J758,$J758,$K$1:K758,$K758,$L$1:L758,$L758,$M$1:M758,M758,$N$1:N758,N758),IF(LEN(COUNTIFS($J$1:J758,$J758,$K$1:K758,$K758,$L$1:L758,$L758,$M$1:M758,M758,$N$1:N758,N758))=2,"0"&amp;COUNTIFS($J$1:J758,$J758,$K$1:K758,$K758,$L$1:L758,$L758,$M$1:M758,M758,$N$1:N758,N758),COUNTIFS($J$1:J758,$J758,$K$1:K758,$K758,$L$1:L758,$L758,$M$1:M758,M758,$N$1:N758,N758)))</f>
        <v>001</v>
      </c>
      <c r="P75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MS-CS-014-01-00001-INV</v>
      </c>
      <c r="Q758" s="59" t="s">
        <v>7333</v>
      </c>
      <c r="R758" s="34" t="s">
        <v>6531</v>
      </c>
      <c r="S758" s="34" t="s">
        <v>2166</v>
      </c>
      <c r="T758" s="34">
        <f>+IFERROR(_xlfn.XLOOKUP(Table43[[#This Row],[Column1]],#REF!,#REF!),0)</f>
        <v>0</v>
      </c>
      <c r="U758" s="50">
        <f>IFERROR(_xlfn.XLOOKUP(Table43[[#This Row],[Column1]],#REF!,#REF!),0)</f>
        <v>0</v>
      </c>
      <c r="V758" s="39"/>
    </row>
    <row r="759" spans="1:22" x14ac:dyDescent="0.35">
      <c r="A759" s="3" t="s">
        <v>2165</v>
      </c>
      <c r="B759" s="2" t="s">
        <v>2168</v>
      </c>
      <c r="C759" s="2" t="s">
        <v>9</v>
      </c>
      <c r="D759" s="2">
        <v>108.48</v>
      </c>
      <c r="E759" s="2" t="s">
        <v>10</v>
      </c>
      <c r="F759" s="2">
        <v>1</v>
      </c>
      <c r="G759" s="3">
        <v>2</v>
      </c>
      <c r="H759" s="2">
        <v>1</v>
      </c>
      <c r="I759" s="22">
        <f>Table43[[#This Row],[Item Cost]]*Table43[[#This Row],[In Stock]]</f>
        <v>108.48</v>
      </c>
      <c r="J759" s="12" t="s">
        <v>4941</v>
      </c>
      <c r="K759" s="13" t="s">
        <v>4664</v>
      </c>
      <c r="L759" s="13" t="s">
        <v>4699</v>
      </c>
      <c r="M759" s="13" t="s">
        <v>4828</v>
      </c>
      <c r="N759" s="12" t="s">
        <v>4672</v>
      </c>
      <c r="O759" s="17" t="str">
        <f>IF(LEN(COUNTIFS($J$1:J759,$J759,$K$1:K759,$K759,$L$1:L759,$L759,$M$1:M759,M759,$N$1:N759,N759))=1,"00"&amp;COUNTIFS($J$1:J759,$J759,$K$1:K759,$K759,$L$1:L759,$L759,$M$1:M759,M759,$N$1:N759,N759),IF(LEN(COUNTIFS($J$1:J759,$J759,$K$1:K759,$K759,$L$1:L759,$L759,$M$1:M759,M759,$N$1:N759,N759))=2,"0"&amp;COUNTIFS($J$1:J759,$J759,$K$1:K759,$K759,$L$1:L759,$L759,$M$1:M759,M759,$N$1:N759,N759),COUNTIFS($J$1:J759,$J759,$K$1:K759,$K759,$L$1:L759,$L759,$M$1:M759,M759,$N$1:N759,N759)))</f>
        <v>001</v>
      </c>
      <c r="P75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MS-CS-014-13-00001-INV</v>
      </c>
      <c r="Q759" s="59" t="s">
        <v>7330</v>
      </c>
      <c r="R759" s="49" t="s">
        <v>5696</v>
      </c>
      <c r="S759" s="34" t="s">
        <v>5717</v>
      </c>
      <c r="T759" s="34">
        <f>+IFERROR(_xlfn.XLOOKUP(Table43[[#This Row],[Column1]],#REF!,#REF!),0)</f>
        <v>0</v>
      </c>
      <c r="U759" s="50">
        <f>IFERROR(_xlfn.XLOOKUP(Table43[[#This Row],[Column1]],#REF!,#REF!),0)</f>
        <v>0</v>
      </c>
      <c r="V759" s="39"/>
    </row>
    <row r="760" spans="1:22" x14ac:dyDescent="0.35">
      <c r="A760" s="2" t="s">
        <v>2167</v>
      </c>
      <c r="B760" s="3" t="s">
        <v>2170</v>
      </c>
      <c r="C760" s="3" t="s">
        <v>9</v>
      </c>
      <c r="D760" s="3">
        <v>294.72000000000003</v>
      </c>
      <c r="E760" s="3" t="s">
        <v>10</v>
      </c>
      <c r="F760" s="2">
        <v>1</v>
      </c>
      <c r="G760" s="3">
        <v>2</v>
      </c>
      <c r="H760" s="3">
        <v>2</v>
      </c>
      <c r="I760" s="21">
        <f>Table43[[#This Row],[Item Cost]]*Table43[[#This Row],[In Stock]]</f>
        <v>589.44000000000005</v>
      </c>
      <c r="J760" s="12" t="s">
        <v>4941</v>
      </c>
      <c r="K760" s="13" t="s">
        <v>4664</v>
      </c>
      <c r="L760" s="13" t="s">
        <v>4699</v>
      </c>
      <c r="M760" s="13" t="s">
        <v>4775</v>
      </c>
      <c r="N760" s="12" t="s">
        <v>4672</v>
      </c>
      <c r="O760" s="17" t="str">
        <f>IF(LEN(COUNTIFS($J$1:J760,$J760,$K$1:K760,$K760,$L$1:L760,$L760,$M$1:M760,M760,$N$1:N760,N760))=1,"00"&amp;COUNTIFS($J$1:J760,$J760,$K$1:K760,$K760,$L$1:L760,$L760,$M$1:M760,M760,$N$1:N760,N760),IF(LEN(COUNTIFS($J$1:J760,$J760,$K$1:K760,$K760,$L$1:L760,$L760,$M$1:M760,M760,$N$1:N760,N760))=2,"0"&amp;COUNTIFS($J$1:J760,$J760,$K$1:K760,$K760,$L$1:L760,$L760,$M$1:M760,M760,$N$1:N760,N760),COUNTIFS($J$1:J760,$J760,$K$1:K760,$K760,$L$1:L760,$L760,$M$1:M760,M760,$N$1:N760,N760)))</f>
        <v>001</v>
      </c>
      <c r="P76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MS-CS-014-09-00001-INV</v>
      </c>
      <c r="Q760" s="59" t="s">
        <v>7333</v>
      </c>
      <c r="R760" s="49" t="s">
        <v>5697</v>
      </c>
      <c r="S760" s="34" t="s">
        <v>5718</v>
      </c>
      <c r="T760" s="34">
        <f>+IFERROR(_xlfn.XLOOKUP(Table43[[#This Row],[Column1]],#REF!,#REF!),0)</f>
        <v>0</v>
      </c>
      <c r="U760" s="50">
        <f>IFERROR(_xlfn.XLOOKUP(Table43[[#This Row],[Column1]],#REF!,#REF!),0)</f>
        <v>0</v>
      </c>
      <c r="V760" s="39"/>
    </row>
    <row r="761" spans="1:22" x14ac:dyDescent="0.35">
      <c r="A761" s="2" t="s">
        <v>2169</v>
      </c>
      <c r="B761" s="2" t="s">
        <v>2172</v>
      </c>
      <c r="C761" s="2" t="s">
        <v>9</v>
      </c>
      <c r="D761" s="4">
        <v>18374.96</v>
      </c>
      <c r="E761" s="2" t="s">
        <v>10</v>
      </c>
      <c r="F761" s="2">
        <v>1</v>
      </c>
      <c r="G761" s="3">
        <v>2</v>
      </c>
      <c r="H761" s="2">
        <v>1</v>
      </c>
      <c r="I761" s="22">
        <f>Table43[[#This Row],[Item Cost]]*Table43[[#This Row],[In Stock]]</f>
        <v>18374.96</v>
      </c>
      <c r="J761" s="12" t="s">
        <v>4941</v>
      </c>
      <c r="K761" s="13" t="s">
        <v>4664</v>
      </c>
      <c r="L761" s="13" t="s">
        <v>4699</v>
      </c>
      <c r="M761" s="13" t="s">
        <v>4693</v>
      </c>
      <c r="N761" s="12" t="s">
        <v>4672</v>
      </c>
      <c r="O761" s="17" t="str">
        <f>IF(LEN(COUNTIFS($J$1:J761,$J761,$K$1:K761,$K761,$L$1:L761,$L761,$M$1:M761,M761,$N$1:N761,N761))=1,"00"&amp;COUNTIFS($J$1:J761,$J761,$K$1:K761,$K761,$L$1:L761,$L761,$M$1:M761,M761,$N$1:N761,N761),IF(LEN(COUNTIFS($J$1:J761,$J761,$K$1:K761,$K761,$L$1:L761,$L761,$M$1:M761,M761,$N$1:N761,N761))=2,"0"&amp;COUNTIFS($J$1:J761,$J761,$K$1:K761,$K761,$L$1:L761,$L761,$M$1:M761,M761,$N$1:N761,N761),COUNTIFS($J$1:J761,$J761,$K$1:K761,$K761,$L$1:L761,$L761,$M$1:M761,M761,$N$1:N761,N761)))</f>
        <v>015</v>
      </c>
      <c r="P76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MS-CS-014-23-00015-INV</v>
      </c>
      <c r="Q761" s="59"/>
      <c r="R761" s="34" t="s">
        <v>6532</v>
      </c>
      <c r="S761" s="34" t="s">
        <v>2172</v>
      </c>
      <c r="T761" s="34">
        <f>+IFERROR(_xlfn.XLOOKUP(Table43[[#This Row],[Column1]],#REF!,#REF!),0)</f>
        <v>0</v>
      </c>
      <c r="U761" s="50">
        <f>IFERROR(_xlfn.XLOOKUP(Table43[[#This Row],[Column1]],#REF!,#REF!),0)</f>
        <v>0</v>
      </c>
      <c r="V761" s="39"/>
    </row>
    <row r="762" spans="1:22" x14ac:dyDescent="0.35">
      <c r="A762" s="3" t="s">
        <v>2171</v>
      </c>
      <c r="B762" s="3" t="s">
        <v>2174</v>
      </c>
      <c r="C762" s="3" t="s">
        <v>9</v>
      </c>
      <c r="D762" s="3">
        <v>123.5</v>
      </c>
      <c r="E762" s="3" t="s">
        <v>10</v>
      </c>
      <c r="F762" s="2">
        <v>1</v>
      </c>
      <c r="G762" s="3">
        <v>2</v>
      </c>
      <c r="H762" s="3">
        <v>1</v>
      </c>
      <c r="I762" s="21">
        <f>Table43[[#This Row],[Item Cost]]*Table43[[#This Row],[In Stock]]</f>
        <v>123.5</v>
      </c>
      <c r="J762" s="12" t="s">
        <v>4941</v>
      </c>
      <c r="K762" s="13" t="s">
        <v>4664</v>
      </c>
      <c r="L762" s="13" t="s">
        <v>4699</v>
      </c>
      <c r="M762" s="13" t="s">
        <v>4693</v>
      </c>
      <c r="N762" s="12" t="s">
        <v>4672</v>
      </c>
      <c r="O762" s="17" t="str">
        <f>IF(LEN(COUNTIFS($J$1:J762,$J762,$K$1:K762,$K762,$L$1:L762,$L762,$M$1:M762,M762,$N$1:N762,N762))=1,"00"&amp;COUNTIFS($J$1:J762,$J762,$K$1:K762,$K762,$L$1:L762,$L762,$M$1:M762,M762,$N$1:N762,N762),IF(LEN(COUNTIFS($J$1:J762,$J762,$K$1:K762,$K762,$L$1:L762,$L762,$M$1:M762,M762,$N$1:N762,N762))=2,"0"&amp;COUNTIFS($J$1:J762,$J762,$K$1:K762,$K762,$L$1:L762,$L762,$M$1:M762,M762,$N$1:N762,N762),COUNTIFS($J$1:J762,$J762,$K$1:K762,$K762,$L$1:L762,$L762,$M$1:M762,M762,$N$1:N762,N762)))</f>
        <v>016</v>
      </c>
      <c r="P76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MS-CS-014-23-00016-INV</v>
      </c>
      <c r="Q762" s="59" t="s">
        <v>7330</v>
      </c>
      <c r="R762" s="34" t="s">
        <v>6533</v>
      </c>
      <c r="S762" s="34" t="s">
        <v>2174</v>
      </c>
      <c r="T762" s="34">
        <f>+IFERROR(_xlfn.XLOOKUP(Table43[[#This Row],[Column1]],#REF!,#REF!),0)</f>
        <v>0</v>
      </c>
      <c r="U762" s="50">
        <f>IFERROR(_xlfn.XLOOKUP(Table43[[#This Row],[Column1]],#REF!,#REF!),0)</f>
        <v>0</v>
      </c>
      <c r="V762" s="39"/>
    </row>
    <row r="763" spans="1:22" x14ac:dyDescent="0.35">
      <c r="A763" s="2" t="s">
        <v>2173</v>
      </c>
      <c r="B763" s="2" t="s">
        <v>2176</v>
      </c>
      <c r="C763" s="2" t="s">
        <v>9</v>
      </c>
      <c r="D763" s="4">
        <v>2440</v>
      </c>
      <c r="E763" s="2" t="s">
        <v>10</v>
      </c>
      <c r="F763" s="2">
        <v>1</v>
      </c>
      <c r="G763" s="3">
        <v>2</v>
      </c>
      <c r="H763" s="2">
        <v>1</v>
      </c>
      <c r="I763" s="22">
        <f>Table43[[#This Row],[Item Cost]]*Table43[[#This Row],[In Stock]]</f>
        <v>2440</v>
      </c>
      <c r="J763" s="12" t="s">
        <v>4941</v>
      </c>
      <c r="K763" s="13" t="s">
        <v>4664</v>
      </c>
      <c r="L763" s="13" t="s">
        <v>4699</v>
      </c>
      <c r="M763" s="13" t="s">
        <v>4840</v>
      </c>
      <c r="N763" s="12" t="s">
        <v>4672</v>
      </c>
      <c r="O763" s="17" t="str">
        <f>IF(LEN(COUNTIFS($J$1:J763,$J763,$K$1:K763,$K763,$L$1:L763,$L763,$M$1:M763,M763,$N$1:N763,N763))=1,"00"&amp;COUNTIFS($J$1:J763,$J763,$K$1:K763,$K763,$L$1:L763,$L763,$M$1:M763,M763,$N$1:N763,N763),IF(LEN(COUNTIFS($J$1:J763,$J763,$K$1:K763,$K763,$L$1:L763,$L763,$M$1:M763,M763,$N$1:N763,N763))=2,"0"&amp;COUNTIFS($J$1:J763,$J763,$K$1:K763,$K763,$L$1:L763,$L763,$M$1:M763,M763,$N$1:N763,N763),COUNTIFS($J$1:J763,$J763,$K$1:K763,$K763,$L$1:L763,$L763,$M$1:M763,M763,$N$1:N763,N763)))</f>
        <v>001</v>
      </c>
      <c r="P76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MS-CS-014-15-00001-INV</v>
      </c>
      <c r="Q763" s="59" t="s">
        <v>7330</v>
      </c>
      <c r="R763" s="34" t="s">
        <v>6534</v>
      </c>
      <c r="S763" s="34" t="s">
        <v>2176</v>
      </c>
      <c r="T763" s="34">
        <f>+IFERROR(_xlfn.XLOOKUP(Table43[[#This Row],[Column1]],#REF!,#REF!),0)</f>
        <v>0</v>
      </c>
      <c r="U763" s="50">
        <f>IFERROR(_xlfn.XLOOKUP(Table43[[#This Row],[Column1]],#REF!,#REF!),0)</f>
        <v>0</v>
      </c>
      <c r="V763" s="39"/>
    </row>
    <row r="764" spans="1:22" x14ac:dyDescent="0.35">
      <c r="A764" s="2" t="s">
        <v>2175</v>
      </c>
      <c r="B764" s="3" t="s">
        <v>2178</v>
      </c>
      <c r="C764" s="3" t="s">
        <v>9</v>
      </c>
      <c r="D764" s="5">
        <v>11045</v>
      </c>
      <c r="E764" s="3" t="s">
        <v>10</v>
      </c>
      <c r="F764" s="2">
        <v>1</v>
      </c>
      <c r="G764" s="3">
        <v>2</v>
      </c>
      <c r="H764" s="3">
        <v>2</v>
      </c>
      <c r="I764" s="21">
        <f>Table43[[#This Row],[Item Cost]]*Table43[[#This Row],[In Stock]]</f>
        <v>22090</v>
      </c>
      <c r="J764" s="12" t="s">
        <v>4941</v>
      </c>
      <c r="K764" s="13" t="s">
        <v>4664</v>
      </c>
      <c r="L764" s="13" t="s">
        <v>4699</v>
      </c>
      <c r="M764" s="13" t="s">
        <v>4693</v>
      </c>
      <c r="N764" s="12" t="s">
        <v>4672</v>
      </c>
      <c r="O764" s="17" t="str">
        <f>IF(LEN(COUNTIFS($J$1:J764,$J764,$K$1:K764,$K764,$L$1:L764,$L764,$M$1:M764,M764,$N$1:N764,N764))=1,"00"&amp;COUNTIFS($J$1:J764,$J764,$K$1:K764,$K764,$L$1:L764,$L764,$M$1:M764,M764,$N$1:N764,N764),IF(LEN(COUNTIFS($J$1:J764,$J764,$K$1:K764,$K764,$L$1:L764,$L764,$M$1:M764,M764,$N$1:N764,N764))=2,"0"&amp;COUNTIFS($J$1:J764,$J764,$K$1:K764,$K764,$L$1:L764,$L764,$M$1:M764,M764,$N$1:N764,N764),COUNTIFS($J$1:J764,$J764,$K$1:K764,$K764,$L$1:L764,$L764,$M$1:M764,M764,$N$1:N764,N764)))</f>
        <v>017</v>
      </c>
      <c r="P76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MS-CS-014-23-00017-INV</v>
      </c>
      <c r="Q764" s="59" t="s">
        <v>7330</v>
      </c>
      <c r="R764" s="34" t="s">
        <v>6535</v>
      </c>
      <c r="S764" s="34" t="s">
        <v>2178</v>
      </c>
      <c r="T764" s="34">
        <f>+IFERROR(_xlfn.XLOOKUP(Table43[[#This Row],[Column1]],#REF!,#REF!),0)</f>
        <v>0</v>
      </c>
      <c r="U764" s="50">
        <f>IFERROR(_xlfn.XLOOKUP(Table43[[#This Row],[Column1]],#REF!,#REF!),0)</f>
        <v>0</v>
      </c>
      <c r="V764" s="39"/>
    </row>
    <row r="765" spans="1:22" x14ac:dyDescent="0.35">
      <c r="A765" s="3" t="s">
        <v>2177</v>
      </c>
      <c r="B765" s="2" t="s">
        <v>2180</v>
      </c>
      <c r="C765" s="2" t="s">
        <v>9</v>
      </c>
      <c r="D765" s="4">
        <v>3787.85</v>
      </c>
      <c r="E765" s="2" t="s">
        <v>10</v>
      </c>
      <c r="F765" s="2">
        <v>1</v>
      </c>
      <c r="G765" s="3">
        <v>2</v>
      </c>
      <c r="H765" s="2">
        <v>1</v>
      </c>
      <c r="I765" s="22">
        <f>Table43[[#This Row],[Item Cost]]*Table43[[#This Row],[In Stock]]</f>
        <v>3787.85</v>
      </c>
      <c r="J765" s="12" t="s">
        <v>4941</v>
      </c>
      <c r="K765" s="13" t="s">
        <v>4664</v>
      </c>
      <c r="L765" s="13" t="s">
        <v>4699</v>
      </c>
      <c r="M765" s="13" t="s">
        <v>4840</v>
      </c>
      <c r="N765" s="12" t="s">
        <v>4672</v>
      </c>
      <c r="O765" s="17" t="str">
        <f>IF(LEN(COUNTIFS($J$1:J765,$J765,$K$1:K765,$K765,$L$1:L765,$L765,$M$1:M765,M765,$N$1:N765,N765))=1,"00"&amp;COUNTIFS($J$1:J765,$J765,$K$1:K765,$K765,$L$1:L765,$L765,$M$1:M765,M765,$N$1:N765,N765),IF(LEN(COUNTIFS($J$1:J765,$J765,$K$1:K765,$K765,$L$1:L765,$L765,$M$1:M765,M765,$N$1:N765,N765))=2,"0"&amp;COUNTIFS($J$1:J765,$J765,$K$1:K765,$K765,$L$1:L765,$L765,$M$1:M765,M765,$N$1:N765,N765),COUNTIFS($J$1:J765,$J765,$K$1:K765,$K765,$L$1:L765,$L765,$M$1:M765,M765,$N$1:N765,N765)))</f>
        <v>002</v>
      </c>
      <c r="P76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MS-CS-014-15-00002-INV</v>
      </c>
      <c r="Q765" s="59" t="s">
        <v>7373</v>
      </c>
      <c r="R765" s="34" t="s">
        <v>6536</v>
      </c>
      <c r="S765" s="34" t="s">
        <v>2180</v>
      </c>
      <c r="T765" s="34">
        <f>+IFERROR(_xlfn.XLOOKUP(Table43[[#This Row],[Column1]],#REF!,#REF!),0)</f>
        <v>0</v>
      </c>
      <c r="U765" s="50">
        <f>IFERROR(_xlfn.XLOOKUP(Table43[[#This Row],[Column1]],#REF!,#REF!),0)</f>
        <v>0</v>
      </c>
      <c r="V765" s="39"/>
    </row>
    <row r="766" spans="1:22" x14ac:dyDescent="0.35">
      <c r="A766" s="2" t="s">
        <v>2179</v>
      </c>
      <c r="B766" s="3" t="s">
        <v>2182</v>
      </c>
      <c r="C766" s="3" t="s">
        <v>9</v>
      </c>
      <c r="D766" s="5">
        <v>4764.6400000000003</v>
      </c>
      <c r="E766" s="3" t="s">
        <v>10</v>
      </c>
      <c r="F766" s="2">
        <v>1</v>
      </c>
      <c r="G766" s="3">
        <v>2</v>
      </c>
      <c r="H766" s="3">
        <v>1</v>
      </c>
      <c r="I766" s="21">
        <f>Table43[[#This Row],[Item Cost]]*Table43[[#This Row],[In Stock]]</f>
        <v>4764.6400000000003</v>
      </c>
      <c r="J766" s="12" t="s">
        <v>4941</v>
      </c>
      <c r="K766" s="13" t="s">
        <v>4664</v>
      </c>
      <c r="L766" s="13" t="s">
        <v>4699</v>
      </c>
      <c r="M766" s="13" t="s">
        <v>4840</v>
      </c>
      <c r="N766" s="12" t="s">
        <v>4672</v>
      </c>
      <c r="O766" s="17" t="str">
        <f>IF(LEN(COUNTIFS($J$1:J766,$J766,$K$1:K766,$K766,$L$1:L766,$L766,$M$1:M766,M766,$N$1:N766,N766))=1,"00"&amp;COUNTIFS($J$1:J766,$J766,$K$1:K766,$K766,$L$1:L766,$L766,$M$1:M766,M766,$N$1:N766,N766),IF(LEN(COUNTIFS($J$1:J766,$J766,$K$1:K766,$K766,$L$1:L766,$L766,$M$1:M766,M766,$N$1:N766,N766))=2,"0"&amp;COUNTIFS($J$1:J766,$J766,$K$1:K766,$K766,$L$1:L766,$L766,$M$1:M766,M766,$N$1:N766,N766),COUNTIFS($J$1:J766,$J766,$K$1:K766,$K766,$L$1:L766,$L766,$M$1:M766,M766,$N$1:N766,N766)))</f>
        <v>003</v>
      </c>
      <c r="P76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MS-CS-014-15-00003-INV</v>
      </c>
      <c r="Q766" s="59" t="s">
        <v>7373</v>
      </c>
      <c r="R766" s="34" t="s">
        <v>6537</v>
      </c>
      <c r="S766" s="34" t="s">
        <v>2182</v>
      </c>
      <c r="T766" s="34">
        <f>+IFERROR(_xlfn.XLOOKUP(Table43[[#This Row],[Column1]],#REF!,#REF!),0)</f>
        <v>0</v>
      </c>
      <c r="U766" s="50">
        <f>IFERROR(_xlfn.XLOOKUP(Table43[[#This Row],[Column1]],#REF!,#REF!),0)</f>
        <v>0</v>
      </c>
      <c r="V766" s="39"/>
    </row>
    <row r="767" spans="1:22" x14ac:dyDescent="0.35">
      <c r="A767" s="2" t="s">
        <v>2181</v>
      </c>
      <c r="B767" s="2" t="s">
        <v>2184</v>
      </c>
      <c r="C767" s="2" t="s">
        <v>9</v>
      </c>
      <c r="D767" s="4">
        <v>3246.59</v>
      </c>
      <c r="E767" s="2" t="s">
        <v>10</v>
      </c>
      <c r="F767" s="2">
        <v>1</v>
      </c>
      <c r="G767" s="3">
        <v>2</v>
      </c>
      <c r="H767" s="2">
        <v>1</v>
      </c>
      <c r="I767" s="22">
        <f>Table43[[#This Row],[Item Cost]]*Table43[[#This Row],[In Stock]]</f>
        <v>3246.59</v>
      </c>
      <c r="J767" s="12" t="s">
        <v>4941</v>
      </c>
      <c r="K767" s="13" t="s">
        <v>4664</v>
      </c>
      <c r="L767" s="13" t="s">
        <v>4699</v>
      </c>
      <c r="M767" s="13" t="s">
        <v>4840</v>
      </c>
      <c r="N767" s="12" t="s">
        <v>4672</v>
      </c>
      <c r="O767" s="17" t="str">
        <f>IF(LEN(COUNTIFS($J$1:J767,$J767,$K$1:K767,$K767,$L$1:L767,$L767,$M$1:M767,M767,$N$1:N767,N767))=1,"00"&amp;COUNTIFS($J$1:J767,$J767,$K$1:K767,$K767,$L$1:L767,$L767,$M$1:M767,M767,$N$1:N767,N767),IF(LEN(COUNTIFS($J$1:J767,$J767,$K$1:K767,$K767,$L$1:L767,$L767,$M$1:M767,M767,$N$1:N767,N767))=2,"0"&amp;COUNTIFS($J$1:J767,$J767,$K$1:K767,$K767,$L$1:L767,$L767,$M$1:M767,M767,$N$1:N767,N767),COUNTIFS($J$1:J767,$J767,$K$1:K767,$K767,$L$1:L767,$L767,$M$1:M767,M767,$N$1:N767,N767)))</f>
        <v>004</v>
      </c>
      <c r="P76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MS-CS-014-15-00004-INV</v>
      </c>
      <c r="Q767" s="59" t="s">
        <v>7373</v>
      </c>
      <c r="R767" s="34" t="s">
        <v>6538</v>
      </c>
      <c r="S767" s="34" t="s">
        <v>2184</v>
      </c>
      <c r="T767" s="34">
        <f>+IFERROR(_xlfn.XLOOKUP(Table43[[#This Row],[Column1]],#REF!,#REF!),0)</f>
        <v>0</v>
      </c>
      <c r="U767" s="50">
        <f>IFERROR(_xlfn.XLOOKUP(Table43[[#This Row],[Column1]],#REF!,#REF!),0)</f>
        <v>0</v>
      </c>
      <c r="V767" s="39"/>
    </row>
    <row r="768" spans="1:22" x14ac:dyDescent="0.35">
      <c r="A768" s="3" t="s">
        <v>2183</v>
      </c>
      <c r="B768" s="3" t="s">
        <v>2186</v>
      </c>
      <c r="C768" s="3" t="s">
        <v>9</v>
      </c>
      <c r="D768" s="5">
        <v>4231.1400000000003</v>
      </c>
      <c r="E768" s="3" t="s">
        <v>10</v>
      </c>
      <c r="F768" s="2">
        <v>1</v>
      </c>
      <c r="G768" s="3">
        <v>2</v>
      </c>
      <c r="H768" s="3">
        <v>1</v>
      </c>
      <c r="I768" s="21">
        <f>Table43[[#This Row],[Item Cost]]*Table43[[#This Row],[In Stock]]</f>
        <v>4231.1400000000003</v>
      </c>
      <c r="J768" s="12" t="s">
        <v>4941</v>
      </c>
      <c r="K768" s="13" t="s">
        <v>4664</v>
      </c>
      <c r="L768" s="13" t="s">
        <v>4699</v>
      </c>
      <c r="M768" s="13" t="s">
        <v>4840</v>
      </c>
      <c r="N768" s="12" t="s">
        <v>4672</v>
      </c>
      <c r="O768" s="17" t="str">
        <f>IF(LEN(COUNTIFS($J$1:J768,$J768,$K$1:K768,$K768,$L$1:L768,$L768,$M$1:M768,M768,$N$1:N768,N768))=1,"00"&amp;COUNTIFS($J$1:J768,$J768,$K$1:K768,$K768,$L$1:L768,$L768,$M$1:M768,M768,$N$1:N768,N768),IF(LEN(COUNTIFS($J$1:J768,$J768,$K$1:K768,$K768,$L$1:L768,$L768,$M$1:M768,M768,$N$1:N768,N768))=2,"0"&amp;COUNTIFS($J$1:J768,$J768,$K$1:K768,$K768,$L$1:L768,$L768,$M$1:M768,M768,$N$1:N768,N768),COUNTIFS($J$1:J768,$J768,$K$1:K768,$K768,$L$1:L768,$L768,$M$1:M768,M768,$N$1:N768,N768)))</f>
        <v>005</v>
      </c>
      <c r="P76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MS-CS-014-15-00005-INV</v>
      </c>
      <c r="Q768" s="59" t="s">
        <v>7373</v>
      </c>
      <c r="R768" s="34" t="s">
        <v>6539</v>
      </c>
      <c r="S768" s="34" t="s">
        <v>2186</v>
      </c>
      <c r="T768" s="34">
        <f>+IFERROR(_xlfn.XLOOKUP(Table43[[#This Row],[Column1]],#REF!,#REF!),0)</f>
        <v>0</v>
      </c>
      <c r="U768" s="50">
        <f>IFERROR(_xlfn.XLOOKUP(Table43[[#This Row],[Column1]],#REF!,#REF!),0)</f>
        <v>0</v>
      </c>
      <c r="V768" s="39"/>
    </row>
    <row r="769" spans="1:22" x14ac:dyDescent="0.35">
      <c r="A769" s="2" t="s">
        <v>2185</v>
      </c>
      <c r="B769" s="2" t="s">
        <v>2188</v>
      </c>
      <c r="C769" s="2" t="s">
        <v>9</v>
      </c>
      <c r="D769" s="2">
        <v>39.54</v>
      </c>
      <c r="E769" s="2" t="s">
        <v>10</v>
      </c>
      <c r="F769" s="2">
        <v>1</v>
      </c>
      <c r="G769" s="3">
        <v>2</v>
      </c>
      <c r="H769" s="2">
        <v>1</v>
      </c>
      <c r="I769" s="22">
        <f>Table43[[#This Row],[Item Cost]]*Table43[[#This Row],[In Stock]]</f>
        <v>39.54</v>
      </c>
      <c r="J769" s="12" t="s">
        <v>4941</v>
      </c>
      <c r="K769" s="13" t="s">
        <v>4664</v>
      </c>
      <c r="L769" s="13" t="s">
        <v>4699</v>
      </c>
      <c r="M769" s="13" t="s">
        <v>4775</v>
      </c>
      <c r="N769" s="12" t="s">
        <v>4672</v>
      </c>
      <c r="O769" s="17" t="str">
        <f>IF(LEN(COUNTIFS($J$1:J769,$J769,$K$1:K769,$K769,$L$1:L769,$L769,$M$1:M769,M769,$N$1:N769,N769))=1,"00"&amp;COUNTIFS($J$1:J769,$J769,$K$1:K769,$K769,$L$1:L769,$L769,$M$1:M769,M769,$N$1:N769,N769),IF(LEN(COUNTIFS($J$1:J769,$J769,$K$1:K769,$K769,$L$1:L769,$L769,$M$1:M769,M769,$N$1:N769,N769))=2,"0"&amp;COUNTIFS($J$1:J769,$J769,$K$1:K769,$K769,$L$1:L769,$L769,$M$1:M769,M769,$N$1:N769,N769),COUNTIFS($J$1:J769,$J769,$K$1:K769,$K769,$L$1:L769,$L769,$M$1:M769,M769,$N$1:N769,N769)))</f>
        <v>002</v>
      </c>
      <c r="P76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MS-CS-014-09-00002-INV</v>
      </c>
      <c r="Q769" s="59" t="s">
        <v>7373</v>
      </c>
      <c r="R769" s="34" t="s">
        <v>6540</v>
      </c>
      <c r="S769" s="34" t="s">
        <v>2188</v>
      </c>
      <c r="T769" s="34">
        <f>+IFERROR(_xlfn.XLOOKUP(Table43[[#This Row],[Column1]],#REF!,#REF!),0)</f>
        <v>0</v>
      </c>
      <c r="U769" s="50">
        <f>IFERROR(_xlfn.XLOOKUP(Table43[[#This Row],[Column1]],#REF!,#REF!),0)</f>
        <v>0</v>
      </c>
      <c r="V769" s="39"/>
    </row>
    <row r="770" spans="1:22" x14ac:dyDescent="0.35">
      <c r="A770" s="2" t="s">
        <v>2187</v>
      </c>
      <c r="B770" s="3" t="s">
        <v>2190</v>
      </c>
      <c r="C770" s="3" t="s">
        <v>9</v>
      </c>
      <c r="D770" s="3">
        <v>62.85</v>
      </c>
      <c r="E770" s="3" t="s">
        <v>10</v>
      </c>
      <c r="F770" s="2">
        <v>1</v>
      </c>
      <c r="G770" s="3">
        <v>2</v>
      </c>
      <c r="H770" s="3">
        <v>1</v>
      </c>
      <c r="I770" s="21">
        <f>Table43[[#This Row],[Item Cost]]*Table43[[#This Row],[In Stock]]</f>
        <v>62.85</v>
      </c>
      <c r="J770" s="12" t="s">
        <v>4941</v>
      </c>
      <c r="K770" s="13" t="s">
        <v>4664</v>
      </c>
      <c r="L770" s="13" t="s">
        <v>4699</v>
      </c>
      <c r="M770" s="13" t="s">
        <v>4693</v>
      </c>
      <c r="N770" s="12" t="s">
        <v>4672</v>
      </c>
      <c r="O770" s="17" t="str">
        <f>IF(LEN(COUNTIFS($J$1:J770,$J770,$K$1:K770,$K770,$L$1:L770,$L770,$M$1:M770,M770,$N$1:N770,N770))=1,"00"&amp;COUNTIFS($J$1:J770,$J770,$K$1:K770,$K770,$L$1:L770,$L770,$M$1:M770,M770,$N$1:N770,N770),IF(LEN(COUNTIFS($J$1:J770,$J770,$K$1:K770,$K770,$L$1:L770,$L770,$M$1:M770,M770,$N$1:N770,N770))=2,"0"&amp;COUNTIFS($J$1:J770,$J770,$K$1:K770,$K770,$L$1:L770,$L770,$M$1:M770,M770,$N$1:N770,N770),COUNTIFS($J$1:J770,$J770,$K$1:K770,$K770,$L$1:L770,$L770,$M$1:M770,M770,$N$1:N770,N770)))</f>
        <v>018</v>
      </c>
      <c r="P77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MS-CS-014-23-00018-INV</v>
      </c>
      <c r="Q770" s="59" t="s">
        <v>7373</v>
      </c>
      <c r="R770" s="34" t="s">
        <v>6541</v>
      </c>
      <c r="S770" s="34" t="s">
        <v>2190</v>
      </c>
      <c r="T770" s="34">
        <f>+IFERROR(_xlfn.XLOOKUP(Table43[[#This Row],[Column1]],#REF!,#REF!),0)</f>
        <v>0</v>
      </c>
      <c r="U770" s="50">
        <f>IFERROR(_xlfn.XLOOKUP(Table43[[#This Row],[Column1]],#REF!,#REF!),0)</f>
        <v>0</v>
      </c>
      <c r="V770" s="39"/>
    </row>
    <row r="771" spans="1:22" x14ac:dyDescent="0.35">
      <c r="A771" s="3" t="s">
        <v>2189</v>
      </c>
      <c r="B771" s="2" t="s">
        <v>2192</v>
      </c>
      <c r="C771" s="2" t="s">
        <v>9</v>
      </c>
      <c r="D771" s="2">
        <v>100.3</v>
      </c>
      <c r="E771" s="2" t="s">
        <v>10</v>
      </c>
      <c r="F771" s="2">
        <v>1</v>
      </c>
      <c r="G771" s="3">
        <v>2</v>
      </c>
      <c r="H771" s="2">
        <v>1</v>
      </c>
      <c r="I771" s="22">
        <f>Table43[[#This Row],[Item Cost]]*Table43[[#This Row],[In Stock]]</f>
        <v>100.3</v>
      </c>
      <c r="J771" s="12" t="s">
        <v>4941</v>
      </c>
      <c r="K771" s="13" t="s">
        <v>4664</v>
      </c>
      <c r="L771" s="13" t="s">
        <v>4699</v>
      </c>
      <c r="M771" s="13" t="s">
        <v>4693</v>
      </c>
      <c r="N771" s="12" t="s">
        <v>4672</v>
      </c>
      <c r="O771" s="17" t="str">
        <f>IF(LEN(COUNTIFS($J$1:J771,$J771,$K$1:K771,$K771,$L$1:L771,$L771,$M$1:M771,M771,$N$1:N771,N771))=1,"00"&amp;COUNTIFS($J$1:J771,$J771,$K$1:K771,$K771,$L$1:L771,$L771,$M$1:M771,M771,$N$1:N771,N771),IF(LEN(COUNTIFS($J$1:J771,$J771,$K$1:K771,$K771,$L$1:L771,$L771,$M$1:M771,M771,$N$1:N771,N771))=2,"0"&amp;COUNTIFS($J$1:J771,$J771,$K$1:K771,$K771,$L$1:L771,$L771,$M$1:M771,M771,$N$1:N771,N771),COUNTIFS($J$1:J771,$J771,$K$1:K771,$K771,$L$1:L771,$L771,$M$1:M771,M771,$N$1:N771,N771)))</f>
        <v>019</v>
      </c>
      <c r="P77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MS-CS-014-23-00019-INV</v>
      </c>
      <c r="Q771" s="59" t="s">
        <v>7373</v>
      </c>
      <c r="R771" s="34" t="s">
        <v>6542</v>
      </c>
      <c r="S771" s="34" t="s">
        <v>2192</v>
      </c>
      <c r="T771" s="34">
        <f>+IFERROR(_xlfn.XLOOKUP(Table43[[#This Row],[Column1]],#REF!,#REF!),0)</f>
        <v>0</v>
      </c>
      <c r="U771" s="50">
        <f>IFERROR(_xlfn.XLOOKUP(Table43[[#This Row],[Column1]],#REF!,#REF!),0)</f>
        <v>0</v>
      </c>
      <c r="V771" s="39"/>
    </row>
    <row r="772" spans="1:22" x14ac:dyDescent="0.35">
      <c r="A772" s="2" t="s">
        <v>2191</v>
      </c>
      <c r="B772" s="3" t="s">
        <v>2194</v>
      </c>
      <c r="C772" s="3" t="s">
        <v>9</v>
      </c>
      <c r="D772" s="3">
        <v>151.04</v>
      </c>
      <c r="E772" s="3" t="s">
        <v>10</v>
      </c>
      <c r="F772" s="2">
        <v>1</v>
      </c>
      <c r="G772" s="3">
        <v>2</v>
      </c>
      <c r="H772" s="3">
        <v>1</v>
      </c>
      <c r="I772" s="21">
        <f>Table43[[#This Row],[Item Cost]]*Table43[[#This Row],[In Stock]]</f>
        <v>151.04</v>
      </c>
      <c r="J772" s="12" t="s">
        <v>4941</v>
      </c>
      <c r="K772" s="13" t="s">
        <v>4664</v>
      </c>
      <c r="L772" s="13" t="s">
        <v>4699</v>
      </c>
      <c r="M772" s="13" t="s">
        <v>4693</v>
      </c>
      <c r="N772" s="12" t="s">
        <v>4672</v>
      </c>
      <c r="O772" s="17" t="str">
        <f>IF(LEN(COUNTIFS($J$1:J772,$J772,$K$1:K772,$K772,$L$1:L772,$L772,$M$1:M772,M772,$N$1:N772,N772))=1,"00"&amp;COUNTIFS($J$1:J772,$J772,$K$1:K772,$K772,$L$1:L772,$L772,$M$1:M772,M772,$N$1:N772,N772),IF(LEN(COUNTIFS($J$1:J772,$J772,$K$1:K772,$K772,$L$1:L772,$L772,$M$1:M772,M772,$N$1:N772,N772))=2,"0"&amp;COUNTIFS($J$1:J772,$J772,$K$1:K772,$K772,$L$1:L772,$L772,$M$1:M772,M772,$N$1:N772,N772),COUNTIFS($J$1:J772,$J772,$K$1:K772,$K772,$L$1:L772,$L772,$M$1:M772,M772,$N$1:N772,N772)))</f>
        <v>020</v>
      </c>
      <c r="P77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MS-CS-014-23-00020-INV</v>
      </c>
      <c r="Q772" s="59" t="s">
        <v>7373</v>
      </c>
      <c r="R772" s="34" t="s">
        <v>6543</v>
      </c>
      <c r="S772" s="34" t="s">
        <v>2194</v>
      </c>
      <c r="T772" s="34">
        <f>+IFERROR(_xlfn.XLOOKUP(Table43[[#This Row],[Column1]],#REF!,#REF!),0)</f>
        <v>0</v>
      </c>
      <c r="U772" s="50">
        <f>IFERROR(_xlfn.XLOOKUP(Table43[[#This Row],[Column1]],#REF!,#REF!),0)</f>
        <v>0</v>
      </c>
      <c r="V772" s="39"/>
    </row>
    <row r="773" spans="1:22" x14ac:dyDescent="0.35">
      <c r="A773" s="2" t="s">
        <v>2193</v>
      </c>
      <c r="B773" s="2" t="s">
        <v>2196</v>
      </c>
      <c r="C773" s="2" t="s">
        <v>9</v>
      </c>
      <c r="D773" s="2">
        <v>152.6</v>
      </c>
      <c r="E773" s="2" t="s">
        <v>10</v>
      </c>
      <c r="F773" s="2">
        <v>1</v>
      </c>
      <c r="G773" s="3">
        <v>2</v>
      </c>
      <c r="H773" s="2">
        <v>1</v>
      </c>
      <c r="I773" s="22">
        <f>Table43[[#This Row],[Item Cost]]*Table43[[#This Row],[In Stock]]</f>
        <v>152.6</v>
      </c>
      <c r="J773" s="12" t="s">
        <v>4941</v>
      </c>
      <c r="K773" s="13" t="s">
        <v>4664</v>
      </c>
      <c r="L773" s="13" t="s">
        <v>4699</v>
      </c>
      <c r="M773" s="13" t="s">
        <v>4693</v>
      </c>
      <c r="N773" s="12" t="s">
        <v>4672</v>
      </c>
      <c r="O773" s="17" t="str">
        <f>IF(LEN(COUNTIFS($J$1:J773,$J773,$K$1:K773,$K773,$L$1:L773,$L773,$M$1:M773,M773,$N$1:N773,N773))=1,"00"&amp;COUNTIFS($J$1:J773,$J773,$K$1:K773,$K773,$L$1:L773,$L773,$M$1:M773,M773,$N$1:N773,N773),IF(LEN(COUNTIFS($J$1:J773,$J773,$K$1:K773,$K773,$L$1:L773,$L773,$M$1:M773,M773,$N$1:N773,N773))=2,"0"&amp;COUNTIFS($J$1:J773,$J773,$K$1:K773,$K773,$L$1:L773,$L773,$M$1:M773,M773,$N$1:N773,N773),COUNTIFS($J$1:J773,$J773,$K$1:K773,$K773,$L$1:L773,$L773,$M$1:M773,M773,$N$1:N773,N773)))</f>
        <v>021</v>
      </c>
      <c r="P77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MS-CS-014-23-00021-INV</v>
      </c>
      <c r="Q773" s="59" t="s">
        <v>7373</v>
      </c>
      <c r="R773" s="34" t="s">
        <v>6544</v>
      </c>
      <c r="S773" s="34" t="s">
        <v>2196</v>
      </c>
      <c r="T773" s="34">
        <f>+IFERROR(_xlfn.XLOOKUP(Table43[[#This Row],[Column1]],#REF!,#REF!),0)</f>
        <v>0</v>
      </c>
      <c r="U773" s="50">
        <f>IFERROR(_xlfn.XLOOKUP(Table43[[#This Row],[Column1]],#REF!,#REF!),0)</f>
        <v>0</v>
      </c>
      <c r="V773" s="39"/>
    </row>
    <row r="774" spans="1:22" x14ac:dyDescent="0.35">
      <c r="A774" s="3" t="s">
        <v>2195</v>
      </c>
      <c r="B774" s="3" t="s">
        <v>2198</v>
      </c>
      <c r="C774" s="3" t="s">
        <v>9</v>
      </c>
      <c r="D774" s="5">
        <v>1764.1</v>
      </c>
      <c r="E774" s="3" t="s">
        <v>10</v>
      </c>
      <c r="F774" s="2">
        <v>1</v>
      </c>
      <c r="G774" s="3">
        <v>2</v>
      </c>
      <c r="H774" s="3">
        <v>1</v>
      </c>
      <c r="I774" s="21">
        <f>Table43[[#This Row],[Item Cost]]*Table43[[#This Row],[In Stock]]</f>
        <v>1764.1</v>
      </c>
      <c r="J774" s="12" t="s">
        <v>4941</v>
      </c>
      <c r="K774" s="13" t="s">
        <v>4664</v>
      </c>
      <c r="L774" s="13" t="s">
        <v>4699</v>
      </c>
      <c r="M774" s="13" t="s">
        <v>4693</v>
      </c>
      <c r="N774" s="12" t="s">
        <v>4672</v>
      </c>
      <c r="O774" s="17" t="str">
        <f>IF(LEN(COUNTIFS($J$1:J774,$J774,$K$1:K774,$K774,$L$1:L774,$L774,$M$1:M774,M774,$N$1:N774,N774))=1,"00"&amp;COUNTIFS($J$1:J774,$J774,$K$1:K774,$K774,$L$1:L774,$L774,$M$1:M774,M774,$N$1:N774,N774),IF(LEN(COUNTIFS($J$1:J774,$J774,$K$1:K774,$K774,$L$1:L774,$L774,$M$1:M774,M774,$N$1:N774,N774))=2,"0"&amp;COUNTIFS($J$1:J774,$J774,$K$1:K774,$K774,$L$1:L774,$L774,$M$1:M774,M774,$N$1:N774,N774),COUNTIFS($J$1:J774,$J774,$K$1:K774,$K774,$L$1:L774,$L774,$M$1:M774,M774,$N$1:N774,N774)))</f>
        <v>022</v>
      </c>
      <c r="P77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MS-CS-014-23-00022-INV</v>
      </c>
      <c r="Q774" s="59" t="s">
        <v>7373</v>
      </c>
      <c r="R774" s="34" t="s">
        <v>6545</v>
      </c>
      <c r="S774" s="34" t="s">
        <v>2198</v>
      </c>
      <c r="T774" s="34">
        <f>+IFERROR(_xlfn.XLOOKUP(Table43[[#This Row],[Column1]],#REF!,#REF!),0)</f>
        <v>0</v>
      </c>
      <c r="U774" s="50">
        <f>IFERROR(_xlfn.XLOOKUP(Table43[[#This Row],[Column1]],#REF!,#REF!),0)</f>
        <v>0</v>
      </c>
      <c r="V774" s="39"/>
    </row>
    <row r="775" spans="1:22" x14ac:dyDescent="0.35">
      <c r="A775" s="2" t="s">
        <v>2197</v>
      </c>
      <c r="B775" s="2" t="s">
        <v>2200</v>
      </c>
      <c r="C775" s="2" t="s">
        <v>9</v>
      </c>
      <c r="D775" s="2">
        <v>15.48</v>
      </c>
      <c r="E775" s="2" t="s">
        <v>10</v>
      </c>
      <c r="F775" s="2">
        <v>1</v>
      </c>
      <c r="G775" s="3">
        <v>2</v>
      </c>
      <c r="H775" s="2">
        <v>1</v>
      </c>
      <c r="I775" s="22">
        <f>Table43[[#This Row],[Item Cost]]*Table43[[#This Row],[In Stock]]</f>
        <v>15.48</v>
      </c>
      <c r="J775" s="12" t="s">
        <v>4941</v>
      </c>
      <c r="K775" s="13" t="s">
        <v>4664</v>
      </c>
      <c r="L775" s="13" t="s">
        <v>4699</v>
      </c>
      <c r="M775" s="13" t="s">
        <v>4693</v>
      </c>
      <c r="N775" s="12" t="s">
        <v>4672</v>
      </c>
      <c r="O775" s="17" t="str">
        <f>IF(LEN(COUNTIFS($J$1:J775,$J775,$K$1:K775,$K775,$L$1:L775,$L775,$M$1:M775,M775,$N$1:N775,N775))=1,"00"&amp;COUNTIFS($J$1:J775,$J775,$K$1:K775,$K775,$L$1:L775,$L775,$M$1:M775,M775,$N$1:N775,N775),IF(LEN(COUNTIFS($J$1:J775,$J775,$K$1:K775,$K775,$L$1:L775,$L775,$M$1:M775,M775,$N$1:N775,N775))=2,"0"&amp;COUNTIFS($J$1:J775,$J775,$K$1:K775,$K775,$L$1:L775,$L775,$M$1:M775,M775,$N$1:N775,N775),COUNTIFS($J$1:J775,$J775,$K$1:K775,$K775,$L$1:L775,$L775,$M$1:M775,M775,$N$1:N775,N775)))</f>
        <v>023</v>
      </c>
      <c r="P77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MS-CS-014-23-00023-INV</v>
      </c>
      <c r="Q775" s="59" t="s">
        <v>7373</v>
      </c>
      <c r="R775" s="34" t="s">
        <v>6546</v>
      </c>
      <c r="S775" s="34" t="s">
        <v>2200</v>
      </c>
      <c r="T775" s="34">
        <f>+IFERROR(_xlfn.XLOOKUP(Table43[[#This Row],[Column1]],#REF!,#REF!),0)</f>
        <v>0</v>
      </c>
      <c r="U775" s="50">
        <f>IFERROR(_xlfn.XLOOKUP(Table43[[#This Row],[Column1]],#REF!,#REF!),0)</f>
        <v>0</v>
      </c>
      <c r="V775" s="39"/>
    </row>
    <row r="776" spans="1:22" x14ac:dyDescent="0.35">
      <c r="A776" s="2" t="s">
        <v>2199</v>
      </c>
      <c r="B776" s="3" t="s">
        <v>2202</v>
      </c>
      <c r="C776" s="3" t="s">
        <v>9</v>
      </c>
      <c r="D776" s="5">
        <v>4591.28</v>
      </c>
      <c r="E776" s="3" t="s">
        <v>10</v>
      </c>
      <c r="F776" s="2">
        <v>1</v>
      </c>
      <c r="G776" s="3">
        <v>2</v>
      </c>
      <c r="H776" s="3">
        <v>1</v>
      </c>
      <c r="I776" s="21">
        <f>Table43[[#This Row],[Item Cost]]*Table43[[#This Row],[In Stock]]</f>
        <v>4591.28</v>
      </c>
      <c r="J776" s="12" t="s">
        <v>4941</v>
      </c>
      <c r="K776" s="13" t="s">
        <v>4664</v>
      </c>
      <c r="L776" s="13" t="s">
        <v>4699</v>
      </c>
      <c r="M776" s="13" t="s">
        <v>4693</v>
      </c>
      <c r="N776" s="12" t="s">
        <v>4672</v>
      </c>
      <c r="O776" s="17" t="str">
        <f>IF(LEN(COUNTIFS($J$1:J776,$J776,$K$1:K776,$K776,$L$1:L776,$L776,$M$1:M776,M776,$N$1:N776,N776))=1,"00"&amp;COUNTIFS($J$1:J776,$J776,$K$1:K776,$K776,$L$1:L776,$L776,$M$1:M776,M776,$N$1:N776,N776),IF(LEN(COUNTIFS($J$1:J776,$J776,$K$1:K776,$K776,$L$1:L776,$L776,$M$1:M776,M776,$N$1:N776,N776))=2,"0"&amp;COUNTIFS($J$1:J776,$J776,$K$1:K776,$K776,$L$1:L776,$L776,$M$1:M776,M776,$N$1:N776,N776),COUNTIFS($J$1:J776,$J776,$K$1:K776,$K776,$L$1:L776,$L776,$M$1:M776,M776,$N$1:N776,N776)))</f>
        <v>024</v>
      </c>
      <c r="P77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MS-CS-014-23-00024-INV</v>
      </c>
      <c r="Q776" s="59" t="s">
        <v>7373</v>
      </c>
      <c r="R776" s="34" t="s">
        <v>6547</v>
      </c>
      <c r="S776" s="34" t="s">
        <v>2202</v>
      </c>
      <c r="T776" s="34">
        <f>+IFERROR(_xlfn.XLOOKUP(Table43[[#This Row],[Column1]],#REF!,#REF!),0)</f>
        <v>0</v>
      </c>
      <c r="U776" s="50">
        <f>IFERROR(_xlfn.XLOOKUP(Table43[[#This Row],[Column1]],#REF!,#REF!),0)</f>
        <v>0</v>
      </c>
      <c r="V776" s="39"/>
    </row>
    <row r="777" spans="1:22" x14ac:dyDescent="0.35">
      <c r="A777" s="3" t="s">
        <v>2201</v>
      </c>
      <c r="B777" s="2" t="s">
        <v>2204</v>
      </c>
      <c r="C777" s="2" t="s">
        <v>9</v>
      </c>
      <c r="D777" s="2">
        <v>223.28</v>
      </c>
      <c r="E777" s="2" t="s">
        <v>10</v>
      </c>
      <c r="F777" s="2">
        <v>1</v>
      </c>
      <c r="G777" s="3">
        <v>2</v>
      </c>
      <c r="H777" s="2">
        <v>1</v>
      </c>
      <c r="I777" s="22">
        <f>Table43[[#This Row],[Item Cost]]*Table43[[#This Row],[In Stock]]</f>
        <v>223.28</v>
      </c>
      <c r="J777" s="12" t="s">
        <v>4941</v>
      </c>
      <c r="K777" s="13" t="s">
        <v>4664</v>
      </c>
      <c r="L777" s="13" t="s">
        <v>4699</v>
      </c>
      <c r="M777" s="13" t="s">
        <v>4693</v>
      </c>
      <c r="N777" s="12" t="s">
        <v>4672</v>
      </c>
      <c r="O777" s="17" t="str">
        <f>IF(LEN(COUNTIFS($J$1:J777,$J777,$K$1:K777,$K777,$L$1:L777,$L777,$M$1:M777,M777,$N$1:N777,N777))=1,"00"&amp;COUNTIFS($J$1:J777,$J777,$K$1:K777,$K777,$L$1:L777,$L777,$M$1:M777,M777,$N$1:N777,N777),IF(LEN(COUNTIFS($J$1:J777,$J777,$K$1:K777,$K777,$L$1:L777,$L777,$M$1:M777,M777,$N$1:N777,N777))=2,"0"&amp;COUNTIFS($J$1:J777,$J777,$K$1:K777,$K777,$L$1:L777,$L777,$M$1:M777,M777,$N$1:N777,N777),COUNTIFS($J$1:J777,$J777,$K$1:K777,$K777,$L$1:L777,$L777,$M$1:M777,M777,$N$1:N777,N777)))</f>
        <v>025</v>
      </c>
      <c r="P77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MS-CS-014-23-00025-INV</v>
      </c>
      <c r="Q777" s="59" t="s">
        <v>7373</v>
      </c>
      <c r="R777" s="34" t="s">
        <v>6548</v>
      </c>
      <c r="S777" s="34" t="s">
        <v>2204</v>
      </c>
      <c r="T777" s="34">
        <f>+IFERROR(_xlfn.XLOOKUP(Table43[[#This Row],[Column1]],#REF!,#REF!),0)</f>
        <v>0</v>
      </c>
      <c r="U777" s="50">
        <f>IFERROR(_xlfn.XLOOKUP(Table43[[#This Row],[Column1]],#REF!,#REF!),0)</f>
        <v>0</v>
      </c>
      <c r="V777" s="39"/>
    </row>
    <row r="778" spans="1:22" x14ac:dyDescent="0.35">
      <c r="A778" s="2" t="s">
        <v>2203</v>
      </c>
      <c r="B778" s="3" t="s">
        <v>2206</v>
      </c>
      <c r="C778" s="3" t="s">
        <v>9</v>
      </c>
      <c r="D778" s="3">
        <v>234.16</v>
      </c>
      <c r="E778" s="3" t="s">
        <v>10</v>
      </c>
      <c r="F778" s="2">
        <v>1</v>
      </c>
      <c r="G778" s="3">
        <v>2</v>
      </c>
      <c r="H778" s="3">
        <v>1</v>
      </c>
      <c r="I778" s="21">
        <f>Table43[[#This Row],[Item Cost]]*Table43[[#This Row],[In Stock]]</f>
        <v>234.16</v>
      </c>
      <c r="J778" s="12" t="s">
        <v>4941</v>
      </c>
      <c r="K778" s="13" t="s">
        <v>4664</v>
      </c>
      <c r="L778" s="13" t="s">
        <v>4699</v>
      </c>
      <c r="M778" s="13" t="s">
        <v>4693</v>
      </c>
      <c r="N778" s="12" t="s">
        <v>4672</v>
      </c>
      <c r="O778" s="17" t="str">
        <f>IF(LEN(COUNTIFS($J$1:J778,$J778,$K$1:K778,$K778,$L$1:L778,$L778,$M$1:M778,M778,$N$1:N778,N778))=1,"00"&amp;COUNTIFS($J$1:J778,$J778,$K$1:K778,$K778,$L$1:L778,$L778,$M$1:M778,M778,$N$1:N778,N778),IF(LEN(COUNTIFS($J$1:J778,$J778,$K$1:K778,$K778,$L$1:L778,$L778,$M$1:M778,M778,$N$1:N778,N778))=2,"0"&amp;COUNTIFS($J$1:J778,$J778,$K$1:K778,$K778,$L$1:L778,$L778,$M$1:M778,M778,$N$1:N778,N778),COUNTIFS($J$1:J778,$J778,$K$1:K778,$K778,$L$1:L778,$L778,$M$1:M778,M778,$N$1:N778,N778)))</f>
        <v>026</v>
      </c>
      <c r="P77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MS-CS-014-23-00026-INV</v>
      </c>
      <c r="Q778" s="59" t="s">
        <v>7373</v>
      </c>
      <c r="R778" s="34" t="s">
        <v>6549</v>
      </c>
      <c r="S778" s="34" t="s">
        <v>2206</v>
      </c>
      <c r="T778" s="34">
        <f>+IFERROR(_xlfn.XLOOKUP(Table43[[#This Row],[Column1]],#REF!,#REF!),0)</f>
        <v>0</v>
      </c>
      <c r="U778" s="50">
        <f>IFERROR(_xlfn.XLOOKUP(Table43[[#This Row],[Column1]],#REF!,#REF!),0)</f>
        <v>0</v>
      </c>
      <c r="V778" s="39"/>
    </row>
    <row r="779" spans="1:22" x14ac:dyDescent="0.35">
      <c r="A779" s="2" t="s">
        <v>2205</v>
      </c>
      <c r="B779" s="2" t="s">
        <v>2208</v>
      </c>
      <c r="C779" s="2" t="s">
        <v>9</v>
      </c>
      <c r="D779" s="2">
        <v>971.03</v>
      </c>
      <c r="E779" s="2" t="s">
        <v>10</v>
      </c>
      <c r="F779" s="2">
        <v>1</v>
      </c>
      <c r="G779" s="3">
        <v>2</v>
      </c>
      <c r="H779" s="2">
        <v>1</v>
      </c>
      <c r="I779" s="22">
        <f>Table43[[#This Row],[Item Cost]]*Table43[[#This Row],[In Stock]]</f>
        <v>971.03</v>
      </c>
      <c r="J779" s="12" t="s">
        <v>4941</v>
      </c>
      <c r="K779" s="13" t="s">
        <v>4664</v>
      </c>
      <c r="L779" s="13" t="s">
        <v>4699</v>
      </c>
      <c r="M779" s="13" t="s">
        <v>4693</v>
      </c>
      <c r="N779" s="12" t="s">
        <v>4672</v>
      </c>
      <c r="O779" s="17" t="str">
        <f>IF(LEN(COUNTIFS($J$1:J779,$J779,$K$1:K779,$K779,$L$1:L779,$L779,$M$1:M779,M779,$N$1:N779,N779))=1,"00"&amp;COUNTIFS($J$1:J779,$J779,$K$1:K779,$K779,$L$1:L779,$L779,$M$1:M779,M779,$N$1:N779,N779),IF(LEN(COUNTIFS($J$1:J779,$J779,$K$1:K779,$K779,$L$1:L779,$L779,$M$1:M779,M779,$N$1:N779,N779))=2,"0"&amp;COUNTIFS($J$1:J779,$J779,$K$1:K779,$K779,$L$1:L779,$L779,$M$1:M779,M779,$N$1:N779,N779),COUNTIFS($J$1:J779,$J779,$K$1:K779,$K779,$L$1:L779,$L779,$M$1:M779,M779,$N$1:N779,N779)))</f>
        <v>027</v>
      </c>
      <c r="P77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MS-CS-014-23-00027-INV</v>
      </c>
      <c r="Q779" s="59" t="s">
        <v>7373</v>
      </c>
      <c r="R779" s="34" t="s">
        <v>6550</v>
      </c>
      <c r="S779" s="34" t="s">
        <v>2208</v>
      </c>
      <c r="T779" s="34">
        <f>+IFERROR(_xlfn.XLOOKUP(Table43[[#This Row],[Column1]],#REF!,#REF!),0)</f>
        <v>0</v>
      </c>
      <c r="U779" s="50">
        <f>IFERROR(_xlfn.XLOOKUP(Table43[[#This Row],[Column1]],#REF!,#REF!),0)</f>
        <v>0</v>
      </c>
      <c r="V779" s="39"/>
    </row>
    <row r="780" spans="1:22" x14ac:dyDescent="0.35">
      <c r="A780" s="3" t="s">
        <v>2207</v>
      </c>
      <c r="B780" s="3" t="s">
        <v>2210</v>
      </c>
      <c r="C780" s="3" t="s">
        <v>9</v>
      </c>
      <c r="D780" s="3">
        <v>414.31</v>
      </c>
      <c r="E780" s="3" t="s">
        <v>10</v>
      </c>
      <c r="F780" s="2">
        <v>1</v>
      </c>
      <c r="G780" s="3">
        <v>2</v>
      </c>
      <c r="H780" s="3">
        <v>1</v>
      </c>
      <c r="I780" s="21">
        <f>Table43[[#This Row],[Item Cost]]*Table43[[#This Row],[In Stock]]</f>
        <v>414.31</v>
      </c>
      <c r="J780" s="12" t="s">
        <v>4941</v>
      </c>
      <c r="K780" s="13" t="s">
        <v>4664</v>
      </c>
      <c r="L780" s="13" t="s">
        <v>4699</v>
      </c>
      <c r="M780" s="13" t="s">
        <v>4693</v>
      </c>
      <c r="N780" s="12" t="s">
        <v>4672</v>
      </c>
      <c r="O780" s="17" t="str">
        <f>IF(LEN(COUNTIFS($J$1:J780,$J780,$K$1:K780,$K780,$L$1:L780,$L780,$M$1:M780,M780,$N$1:N780,N780))=1,"00"&amp;COUNTIFS($J$1:J780,$J780,$K$1:K780,$K780,$L$1:L780,$L780,$M$1:M780,M780,$N$1:N780,N780),IF(LEN(COUNTIFS($J$1:J780,$J780,$K$1:K780,$K780,$L$1:L780,$L780,$M$1:M780,M780,$N$1:N780,N780))=2,"0"&amp;COUNTIFS($J$1:J780,$J780,$K$1:K780,$K780,$L$1:L780,$L780,$M$1:M780,M780,$N$1:N780,N780),COUNTIFS($J$1:J780,$J780,$K$1:K780,$K780,$L$1:L780,$L780,$M$1:M780,M780,$N$1:N780,N780)))</f>
        <v>028</v>
      </c>
      <c r="P78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MS-CS-014-23-00028-INV</v>
      </c>
      <c r="Q780" s="59" t="s">
        <v>7373</v>
      </c>
      <c r="R780" s="34" t="s">
        <v>6551</v>
      </c>
      <c r="S780" s="34" t="s">
        <v>2210</v>
      </c>
      <c r="T780" s="34">
        <f>+IFERROR(_xlfn.XLOOKUP(Table43[[#This Row],[Column1]],#REF!,#REF!),0)</f>
        <v>0</v>
      </c>
      <c r="U780" s="50">
        <f>IFERROR(_xlfn.XLOOKUP(Table43[[#This Row],[Column1]],#REF!,#REF!),0)</f>
        <v>0</v>
      </c>
      <c r="V780" s="39"/>
    </row>
    <row r="781" spans="1:22" x14ac:dyDescent="0.35">
      <c r="A781" s="2" t="s">
        <v>2209</v>
      </c>
      <c r="B781" s="2" t="s">
        <v>2212</v>
      </c>
      <c r="C781" s="2" t="s">
        <v>9</v>
      </c>
      <c r="D781" s="4">
        <v>5710.72</v>
      </c>
      <c r="E781" s="2" t="s">
        <v>10</v>
      </c>
      <c r="F781" s="2">
        <v>1</v>
      </c>
      <c r="G781" s="3">
        <v>2</v>
      </c>
      <c r="H781" s="2">
        <v>1</v>
      </c>
      <c r="I781" s="22">
        <f>Table43[[#This Row],[Item Cost]]*Table43[[#This Row],[In Stock]]</f>
        <v>5710.72</v>
      </c>
      <c r="J781" s="12" t="s">
        <v>4941</v>
      </c>
      <c r="K781" s="13" t="s">
        <v>4664</v>
      </c>
      <c r="L781" s="13" t="s">
        <v>4699</v>
      </c>
      <c r="M781" s="13" t="s">
        <v>4693</v>
      </c>
      <c r="N781" s="12" t="s">
        <v>4672</v>
      </c>
      <c r="O781" s="17" t="str">
        <f>IF(LEN(COUNTIFS($J$1:J781,$J781,$K$1:K781,$K781,$L$1:L781,$L781,$M$1:M781,M781,$N$1:N781,N781))=1,"00"&amp;COUNTIFS($J$1:J781,$J781,$K$1:K781,$K781,$L$1:L781,$L781,$M$1:M781,M781,$N$1:N781,N781),IF(LEN(COUNTIFS($J$1:J781,$J781,$K$1:K781,$K781,$L$1:L781,$L781,$M$1:M781,M781,$N$1:N781,N781))=2,"0"&amp;COUNTIFS($J$1:J781,$J781,$K$1:K781,$K781,$L$1:L781,$L781,$M$1:M781,M781,$N$1:N781,N781),COUNTIFS($J$1:J781,$J781,$K$1:K781,$K781,$L$1:L781,$L781,$M$1:M781,M781,$N$1:N781,N781)))</f>
        <v>029</v>
      </c>
      <c r="P78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MS-CS-014-23-00029-INV</v>
      </c>
      <c r="Q781" s="59" t="s">
        <v>7330</v>
      </c>
      <c r="R781" s="34" t="s">
        <v>6552</v>
      </c>
      <c r="S781" s="34" t="s">
        <v>2212</v>
      </c>
      <c r="T781" s="34">
        <f>+IFERROR(_xlfn.XLOOKUP(Table43[[#This Row],[Column1]],#REF!,#REF!),0)</f>
        <v>0</v>
      </c>
      <c r="U781" s="50">
        <f>IFERROR(_xlfn.XLOOKUP(Table43[[#This Row],[Column1]],#REF!,#REF!),0)</f>
        <v>0</v>
      </c>
      <c r="V781" s="39"/>
    </row>
    <row r="782" spans="1:22" x14ac:dyDescent="0.35">
      <c r="A782" s="2" t="s">
        <v>2211</v>
      </c>
      <c r="B782" s="3" t="s">
        <v>2214</v>
      </c>
      <c r="C782" s="3" t="s">
        <v>9</v>
      </c>
      <c r="D782" s="3">
        <v>674.59</v>
      </c>
      <c r="E782" s="3" t="s">
        <v>10</v>
      </c>
      <c r="F782" s="2">
        <v>1</v>
      </c>
      <c r="G782" s="3">
        <v>2</v>
      </c>
      <c r="H782" s="3">
        <v>1</v>
      </c>
      <c r="I782" s="21">
        <f>Table43[[#This Row],[Item Cost]]*Table43[[#This Row],[In Stock]]</f>
        <v>674.59</v>
      </c>
      <c r="J782" s="12" t="s">
        <v>4941</v>
      </c>
      <c r="K782" s="13" t="s">
        <v>4664</v>
      </c>
      <c r="L782" s="13" t="s">
        <v>4699</v>
      </c>
      <c r="M782" s="13" t="s">
        <v>4693</v>
      </c>
      <c r="N782" s="12" t="s">
        <v>4672</v>
      </c>
      <c r="O782" s="17" t="str">
        <f>IF(LEN(COUNTIFS($J$1:J782,$J782,$K$1:K782,$K782,$L$1:L782,$L782,$M$1:M782,M782,$N$1:N782,N782))=1,"00"&amp;COUNTIFS($J$1:J782,$J782,$K$1:K782,$K782,$L$1:L782,$L782,$M$1:M782,M782,$N$1:N782,N782),IF(LEN(COUNTIFS($J$1:J782,$J782,$K$1:K782,$K782,$L$1:L782,$L782,$M$1:M782,M782,$N$1:N782,N782))=2,"0"&amp;COUNTIFS($J$1:J782,$J782,$K$1:K782,$K782,$L$1:L782,$L782,$M$1:M782,M782,$N$1:N782,N782),COUNTIFS($J$1:J782,$J782,$K$1:K782,$K782,$L$1:L782,$L782,$M$1:M782,M782,$N$1:N782,N782)))</f>
        <v>030</v>
      </c>
      <c r="P78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MS-CS-014-23-00030-INV</v>
      </c>
      <c r="Q782" s="59" t="s">
        <v>7373</v>
      </c>
      <c r="R782" s="34" t="s">
        <v>6553</v>
      </c>
      <c r="S782" s="34" t="s">
        <v>2214</v>
      </c>
      <c r="T782" s="34">
        <f>+IFERROR(_xlfn.XLOOKUP(Table43[[#This Row],[Column1]],#REF!,#REF!),0)</f>
        <v>0</v>
      </c>
      <c r="U782" s="50">
        <f>IFERROR(_xlfn.XLOOKUP(Table43[[#This Row],[Column1]],#REF!,#REF!),0)</f>
        <v>0</v>
      </c>
      <c r="V782" s="39"/>
    </row>
    <row r="783" spans="1:22" x14ac:dyDescent="0.35">
      <c r="A783" s="3" t="s">
        <v>2213</v>
      </c>
      <c r="B783" s="2" t="s">
        <v>2216</v>
      </c>
      <c r="C783" s="2" t="s">
        <v>9</v>
      </c>
      <c r="D783" s="2">
        <v>233.64</v>
      </c>
      <c r="E783" s="2" t="s">
        <v>10</v>
      </c>
      <c r="F783" s="2">
        <v>1</v>
      </c>
      <c r="G783" s="3">
        <v>2</v>
      </c>
      <c r="H783" s="2">
        <v>1</v>
      </c>
      <c r="I783" s="22">
        <f>Table43[[#This Row],[Item Cost]]*Table43[[#This Row],[In Stock]]</f>
        <v>233.64</v>
      </c>
      <c r="J783" s="12" t="s">
        <v>4941</v>
      </c>
      <c r="K783" s="13" t="s">
        <v>4664</v>
      </c>
      <c r="L783" s="13" t="s">
        <v>4699</v>
      </c>
      <c r="M783" s="13" t="s">
        <v>4693</v>
      </c>
      <c r="N783" s="12" t="s">
        <v>4672</v>
      </c>
      <c r="O783" s="17" t="str">
        <f>IF(LEN(COUNTIFS($J$1:J783,$J783,$K$1:K783,$K783,$L$1:L783,$L783,$M$1:M783,M783,$N$1:N783,N783))=1,"00"&amp;COUNTIFS($J$1:J783,$J783,$K$1:K783,$K783,$L$1:L783,$L783,$M$1:M783,M783,$N$1:N783,N783),IF(LEN(COUNTIFS($J$1:J783,$J783,$K$1:K783,$K783,$L$1:L783,$L783,$M$1:M783,M783,$N$1:N783,N783))=2,"0"&amp;COUNTIFS($J$1:J783,$J783,$K$1:K783,$K783,$L$1:L783,$L783,$M$1:M783,M783,$N$1:N783,N783),COUNTIFS($J$1:J783,$J783,$K$1:K783,$K783,$L$1:L783,$L783,$M$1:M783,M783,$N$1:N783,N783)))</f>
        <v>031</v>
      </c>
      <c r="P78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MS-CS-014-23-00031-INV</v>
      </c>
      <c r="Q783" s="59" t="s">
        <v>7373</v>
      </c>
      <c r="R783" s="34" t="s">
        <v>6554</v>
      </c>
      <c r="S783" s="34" t="s">
        <v>2216</v>
      </c>
      <c r="T783" s="34">
        <f>+IFERROR(_xlfn.XLOOKUP(Table43[[#This Row],[Column1]],#REF!,#REF!),0)</f>
        <v>0</v>
      </c>
      <c r="U783" s="50">
        <f>IFERROR(_xlfn.XLOOKUP(Table43[[#This Row],[Column1]],#REF!,#REF!),0)</f>
        <v>0</v>
      </c>
      <c r="V783" s="39"/>
    </row>
    <row r="784" spans="1:22" x14ac:dyDescent="0.35">
      <c r="A784" s="2" t="s">
        <v>2215</v>
      </c>
      <c r="B784" s="3" t="s">
        <v>2218</v>
      </c>
      <c r="C784" s="3" t="s">
        <v>9</v>
      </c>
      <c r="D784" s="3">
        <v>538.16</v>
      </c>
      <c r="E784" s="3" t="s">
        <v>10</v>
      </c>
      <c r="F784" s="2">
        <v>1</v>
      </c>
      <c r="G784" s="3">
        <v>2</v>
      </c>
      <c r="H784" s="3">
        <v>1</v>
      </c>
      <c r="I784" s="21">
        <f>Table43[[#This Row],[Item Cost]]*Table43[[#This Row],[In Stock]]</f>
        <v>538.16</v>
      </c>
      <c r="J784" s="12" t="s">
        <v>4941</v>
      </c>
      <c r="K784" s="13" t="s">
        <v>4664</v>
      </c>
      <c r="L784" s="13" t="s">
        <v>4699</v>
      </c>
      <c r="M784" s="13" t="s">
        <v>4693</v>
      </c>
      <c r="N784" s="12" t="s">
        <v>4672</v>
      </c>
      <c r="O784" s="17" t="str">
        <f>IF(LEN(COUNTIFS($J$1:J784,$J784,$K$1:K784,$K784,$L$1:L784,$L784,$M$1:M784,M784,$N$1:N784,N784))=1,"00"&amp;COUNTIFS($J$1:J784,$J784,$K$1:K784,$K784,$L$1:L784,$L784,$M$1:M784,M784,$N$1:N784,N784),IF(LEN(COUNTIFS($J$1:J784,$J784,$K$1:K784,$K784,$L$1:L784,$L784,$M$1:M784,M784,$N$1:N784,N784))=2,"0"&amp;COUNTIFS($J$1:J784,$J784,$K$1:K784,$K784,$L$1:L784,$L784,$M$1:M784,M784,$N$1:N784,N784),COUNTIFS($J$1:J784,$J784,$K$1:K784,$K784,$L$1:L784,$L784,$M$1:M784,M784,$N$1:N784,N784)))</f>
        <v>032</v>
      </c>
      <c r="P78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MS-CS-014-23-00032-INV</v>
      </c>
      <c r="Q784" s="59" t="s">
        <v>7373</v>
      </c>
      <c r="R784" s="34" t="s">
        <v>6555</v>
      </c>
      <c r="S784" s="34" t="s">
        <v>2218</v>
      </c>
      <c r="T784" s="34">
        <f>+IFERROR(_xlfn.XLOOKUP(Table43[[#This Row],[Column1]],#REF!,#REF!),0)</f>
        <v>0</v>
      </c>
      <c r="U784" s="50">
        <f>IFERROR(_xlfn.XLOOKUP(Table43[[#This Row],[Column1]],#REF!,#REF!),0)</f>
        <v>0</v>
      </c>
      <c r="V784" s="39"/>
    </row>
    <row r="785" spans="1:22" x14ac:dyDescent="0.35">
      <c r="A785" s="2" t="s">
        <v>2217</v>
      </c>
      <c r="B785" s="2" t="s">
        <v>2220</v>
      </c>
      <c r="C785" s="2" t="s">
        <v>9</v>
      </c>
      <c r="D785" s="4">
        <v>1167.1199999999999</v>
      </c>
      <c r="E785" s="2" t="s">
        <v>10</v>
      </c>
      <c r="F785" s="2">
        <v>1</v>
      </c>
      <c r="G785" s="3">
        <v>2</v>
      </c>
      <c r="H785" s="2">
        <v>1</v>
      </c>
      <c r="I785" s="22">
        <f>Table43[[#This Row],[Item Cost]]*Table43[[#This Row],[In Stock]]</f>
        <v>1167.1199999999999</v>
      </c>
      <c r="J785" s="12" t="s">
        <v>4941</v>
      </c>
      <c r="K785" s="13" t="s">
        <v>4664</v>
      </c>
      <c r="L785" s="13" t="s">
        <v>4699</v>
      </c>
      <c r="M785" s="13" t="s">
        <v>4693</v>
      </c>
      <c r="N785" s="12" t="s">
        <v>4672</v>
      </c>
      <c r="O785" s="17" t="str">
        <f>IF(LEN(COUNTIFS($J$1:J785,$J785,$K$1:K785,$K785,$L$1:L785,$L785,$M$1:M785,M785,$N$1:N785,N785))=1,"00"&amp;COUNTIFS($J$1:J785,$J785,$K$1:K785,$K785,$L$1:L785,$L785,$M$1:M785,M785,$N$1:N785,N785),IF(LEN(COUNTIFS($J$1:J785,$J785,$K$1:K785,$K785,$L$1:L785,$L785,$M$1:M785,M785,$N$1:N785,N785))=2,"0"&amp;COUNTIFS($J$1:J785,$J785,$K$1:K785,$K785,$L$1:L785,$L785,$M$1:M785,M785,$N$1:N785,N785),COUNTIFS($J$1:J785,$J785,$K$1:K785,$K785,$L$1:L785,$L785,$M$1:M785,M785,$N$1:N785,N785)))</f>
        <v>033</v>
      </c>
      <c r="P78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MS-CS-014-23-00033-INV</v>
      </c>
      <c r="Q785" s="59" t="s">
        <v>7333</v>
      </c>
      <c r="R785" s="34" t="s">
        <v>6556</v>
      </c>
      <c r="S785" s="34" t="s">
        <v>2220</v>
      </c>
      <c r="T785" s="34">
        <f>+IFERROR(_xlfn.XLOOKUP(Table43[[#This Row],[Column1]],#REF!,#REF!),0)</f>
        <v>0</v>
      </c>
      <c r="U785" s="50">
        <f>IFERROR(_xlfn.XLOOKUP(Table43[[#This Row],[Column1]],#REF!,#REF!),0)</f>
        <v>0</v>
      </c>
      <c r="V785" s="39"/>
    </row>
    <row r="786" spans="1:22" x14ac:dyDescent="0.35">
      <c r="A786" s="3" t="s">
        <v>2219</v>
      </c>
      <c r="B786" s="3" t="s">
        <v>2222</v>
      </c>
      <c r="C786" s="3" t="s">
        <v>9</v>
      </c>
      <c r="D786" s="5">
        <v>1401.84</v>
      </c>
      <c r="E786" s="3" t="s">
        <v>10</v>
      </c>
      <c r="F786" s="2">
        <v>1</v>
      </c>
      <c r="G786" s="3">
        <v>2</v>
      </c>
      <c r="H786" s="3">
        <v>1</v>
      </c>
      <c r="I786" s="21">
        <f>Table43[[#This Row],[Item Cost]]*Table43[[#This Row],[In Stock]]</f>
        <v>1401.84</v>
      </c>
      <c r="J786" s="12" t="s">
        <v>4941</v>
      </c>
      <c r="K786" s="13" t="s">
        <v>4664</v>
      </c>
      <c r="L786" s="13" t="s">
        <v>4699</v>
      </c>
      <c r="M786" s="13" t="s">
        <v>4693</v>
      </c>
      <c r="N786" s="12" t="s">
        <v>4672</v>
      </c>
      <c r="O786" s="17" t="str">
        <f>IF(LEN(COUNTIFS($J$1:J786,$J786,$K$1:K786,$K786,$L$1:L786,$L786,$M$1:M786,M786,$N$1:N786,N786))=1,"00"&amp;COUNTIFS($J$1:J786,$J786,$K$1:K786,$K786,$L$1:L786,$L786,$M$1:M786,M786,$N$1:N786,N786),IF(LEN(COUNTIFS($J$1:J786,$J786,$K$1:K786,$K786,$L$1:L786,$L786,$M$1:M786,M786,$N$1:N786,N786))=2,"0"&amp;COUNTIFS($J$1:J786,$J786,$K$1:K786,$K786,$L$1:L786,$L786,$M$1:M786,M786,$N$1:N786,N786),COUNTIFS($J$1:J786,$J786,$K$1:K786,$K786,$L$1:L786,$L786,$M$1:M786,M786,$N$1:N786,N786)))</f>
        <v>034</v>
      </c>
      <c r="P78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MS-CS-014-23-00034-INV</v>
      </c>
      <c r="Q786" s="59" t="s">
        <v>7373</v>
      </c>
      <c r="R786" s="34" t="s">
        <v>6557</v>
      </c>
      <c r="S786" s="34" t="s">
        <v>2222</v>
      </c>
      <c r="T786" s="34">
        <f>+IFERROR(_xlfn.XLOOKUP(Table43[[#This Row],[Column1]],#REF!,#REF!),0)</f>
        <v>0</v>
      </c>
      <c r="U786" s="50">
        <f>IFERROR(_xlfn.XLOOKUP(Table43[[#This Row],[Column1]],#REF!,#REF!),0)</f>
        <v>0</v>
      </c>
      <c r="V786" s="39"/>
    </row>
    <row r="787" spans="1:22" x14ac:dyDescent="0.35">
      <c r="A787" s="2" t="s">
        <v>2221</v>
      </c>
      <c r="B787" s="2" t="s">
        <v>2224</v>
      </c>
      <c r="C787" s="2" t="s">
        <v>9</v>
      </c>
      <c r="D787" s="4">
        <v>1851</v>
      </c>
      <c r="E787" s="2" t="s">
        <v>10</v>
      </c>
      <c r="F787" s="2">
        <v>1</v>
      </c>
      <c r="G787" s="3">
        <v>2</v>
      </c>
      <c r="H787" s="2">
        <v>2</v>
      </c>
      <c r="I787" s="22">
        <f>Table43[[#This Row],[Item Cost]]*Table43[[#This Row],[In Stock]]</f>
        <v>3702</v>
      </c>
      <c r="J787" s="12" t="s">
        <v>4941</v>
      </c>
      <c r="K787" s="13" t="s">
        <v>4664</v>
      </c>
      <c r="L787" s="13" t="s">
        <v>4699</v>
      </c>
      <c r="M787" s="13" t="s">
        <v>4859</v>
      </c>
      <c r="N787" s="12" t="s">
        <v>4672</v>
      </c>
      <c r="O787" s="17" t="str">
        <f>IF(LEN(COUNTIFS($J$1:J787,$J787,$K$1:K787,$K787,$L$1:L787,$L787,$M$1:M787,M787,$N$1:N787,N787))=1,"00"&amp;COUNTIFS($J$1:J787,$J787,$K$1:K787,$K787,$L$1:L787,$L787,$M$1:M787,M787,$N$1:N787,N787),IF(LEN(COUNTIFS($J$1:J787,$J787,$K$1:K787,$K787,$L$1:L787,$L787,$M$1:M787,M787,$N$1:N787,N787))=2,"0"&amp;COUNTIFS($J$1:J787,$J787,$K$1:K787,$K787,$L$1:L787,$L787,$M$1:M787,M787,$N$1:N787,N787),COUNTIFS($J$1:J787,$J787,$K$1:K787,$K787,$L$1:L787,$L787,$M$1:M787,M787,$N$1:N787,N787)))</f>
        <v>001</v>
      </c>
      <c r="P78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MS-CS-014-30-00001-INV</v>
      </c>
      <c r="Q787" s="59" t="s">
        <v>7373</v>
      </c>
      <c r="R787" s="34" t="s">
        <v>6558</v>
      </c>
      <c r="S787" s="34" t="s">
        <v>2224</v>
      </c>
      <c r="T787" s="34">
        <f>+IFERROR(_xlfn.XLOOKUP(Table43[[#This Row],[Column1]],#REF!,#REF!),0)</f>
        <v>0</v>
      </c>
      <c r="U787" s="50">
        <f>IFERROR(_xlfn.XLOOKUP(Table43[[#This Row],[Column1]],#REF!,#REF!),0)</f>
        <v>0</v>
      </c>
      <c r="V787" s="39"/>
    </row>
    <row r="788" spans="1:22" x14ac:dyDescent="0.35">
      <c r="A788" s="2" t="s">
        <v>2223</v>
      </c>
      <c r="B788" s="3" t="s">
        <v>2226</v>
      </c>
      <c r="C788" s="3" t="s">
        <v>9</v>
      </c>
      <c r="D788" s="3">
        <v>222</v>
      </c>
      <c r="E788" s="3" t="s">
        <v>10</v>
      </c>
      <c r="F788" s="2">
        <v>1</v>
      </c>
      <c r="G788" s="3">
        <v>2</v>
      </c>
      <c r="H788" s="3">
        <v>1</v>
      </c>
      <c r="I788" s="21">
        <f>Table43[[#This Row],[Item Cost]]*Table43[[#This Row],[In Stock]]</f>
        <v>222</v>
      </c>
      <c r="J788" s="12" t="s">
        <v>4941</v>
      </c>
      <c r="K788" s="13" t="s">
        <v>4664</v>
      </c>
      <c r="L788" s="13" t="s">
        <v>4699</v>
      </c>
      <c r="M788" s="13" t="s">
        <v>4693</v>
      </c>
      <c r="N788" s="12" t="s">
        <v>4672</v>
      </c>
      <c r="O788" s="17" t="str">
        <f>IF(LEN(COUNTIFS($J$1:J788,$J788,$K$1:K788,$K788,$L$1:L788,$L788,$M$1:M788,M788,$N$1:N788,N788))=1,"00"&amp;COUNTIFS($J$1:J788,$J788,$K$1:K788,$K788,$L$1:L788,$L788,$M$1:M788,M788,$N$1:N788,N788),IF(LEN(COUNTIFS($J$1:J788,$J788,$K$1:K788,$K788,$L$1:L788,$L788,$M$1:M788,M788,$N$1:N788,N788))=2,"0"&amp;COUNTIFS($J$1:J788,$J788,$K$1:K788,$K788,$L$1:L788,$L788,$M$1:M788,M788,$N$1:N788,N788),COUNTIFS($J$1:J788,$J788,$K$1:K788,$K788,$L$1:L788,$L788,$M$1:M788,M788,$N$1:N788,N788)))</f>
        <v>035</v>
      </c>
      <c r="P78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MS-CS-014-23-00035-INV</v>
      </c>
      <c r="Q788" s="59" t="s">
        <v>7373</v>
      </c>
      <c r="R788" s="34" t="s">
        <v>6559</v>
      </c>
      <c r="S788" s="34" t="s">
        <v>2226</v>
      </c>
      <c r="T788" s="34">
        <f>+IFERROR(_xlfn.XLOOKUP(Table43[[#This Row],[Column1]],#REF!,#REF!),0)</f>
        <v>0</v>
      </c>
      <c r="U788" s="50">
        <f>IFERROR(_xlfn.XLOOKUP(Table43[[#This Row],[Column1]],#REF!,#REF!),0)</f>
        <v>0</v>
      </c>
      <c r="V788" s="39"/>
    </row>
    <row r="789" spans="1:22" x14ac:dyDescent="0.35">
      <c r="A789" s="3" t="s">
        <v>2225</v>
      </c>
      <c r="B789" s="2" t="s">
        <v>2228</v>
      </c>
      <c r="C789" s="2" t="s">
        <v>9</v>
      </c>
      <c r="D789" s="2">
        <v>69</v>
      </c>
      <c r="E789" s="2" t="s">
        <v>10</v>
      </c>
      <c r="F789" s="2">
        <v>1</v>
      </c>
      <c r="G789" s="3">
        <v>2</v>
      </c>
      <c r="H789" s="2">
        <v>1</v>
      </c>
      <c r="I789" s="22">
        <f>Table43[[#This Row],[Item Cost]]*Table43[[#This Row],[In Stock]]</f>
        <v>69</v>
      </c>
      <c r="J789" s="12" t="s">
        <v>4941</v>
      </c>
      <c r="K789" s="13" t="s">
        <v>4664</v>
      </c>
      <c r="L789" s="13" t="s">
        <v>4699</v>
      </c>
      <c r="M789" s="13" t="s">
        <v>4834</v>
      </c>
      <c r="N789" s="12" t="s">
        <v>4672</v>
      </c>
      <c r="O789" s="17" t="str">
        <f>IF(LEN(COUNTIFS($J$1:J789,$J789,$K$1:K789,$K789,$L$1:L789,$L789,$M$1:M789,M789,$N$1:N789,N789))=1,"00"&amp;COUNTIFS($J$1:J789,$J789,$K$1:K789,$K789,$L$1:L789,$L789,$M$1:M789,M789,$N$1:N789,N789),IF(LEN(COUNTIFS($J$1:J789,$J789,$K$1:K789,$K789,$L$1:L789,$L789,$M$1:M789,M789,$N$1:N789,N789))=2,"0"&amp;COUNTIFS($J$1:J789,$J789,$K$1:K789,$K789,$L$1:L789,$L789,$M$1:M789,M789,$N$1:N789,N789),COUNTIFS($J$1:J789,$J789,$K$1:K789,$K789,$L$1:L789,$L789,$M$1:M789,M789,$N$1:N789,N789)))</f>
        <v>004</v>
      </c>
      <c r="P78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MS-CS-014-17-00004-INV</v>
      </c>
      <c r="Q789" s="59"/>
      <c r="R789" s="34" t="s">
        <v>6560</v>
      </c>
      <c r="S789" s="34" t="s">
        <v>2228</v>
      </c>
      <c r="T789" s="34">
        <f>+IFERROR(_xlfn.XLOOKUP(Table43[[#This Row],[Column1]],#REF!,#REF!),0)</f>
        <v>0</v>
      </c>
      <c r="U789" s="50">
        <f>IFERROR(_xlfn.XLOOKUP(Table43[[#This Row],[Column1]],#REF!,#REF!),0)</f>
        <v>0</v>
      </c>
      <c r="V789" s="39"/>
    </row>
    <row r="790" spans="1:22" x14ac:dyDescent="0.35">
      <c r="A790" s="2" t="s">
        <v>2227</v>
      </c>
      <c r="B790" s="3" t="s">
        <v>2230</v>
      </c>
      <c r="C790" s="3" t="s">
        <v>9</v>
      </c>
      <c r="D790" s="5">
        <v>1229.9000000000001</v>
      </c>
      <c r="E790" s="3" t="s">
        <v>10</v>
      </c>
      <c r="F790" s="2">
        <v>1</v>
      </c>
      <c r="G790" s="3">
        <v>2</v>
      </c>
      <c r="H790" s="3">
        <v>1</v>
      </c>
      <c r="I790" s="21">
        <f>Table43[[#This Row],[Item Cost]]*Table43[[#This Row],[In Stock]]</f>
        <v>1229.9000000000001</v>
      </c>
      <c r="J790" s="12" t="s">
        <v>4941</v>
      </c>
      <c r="K790" s="13" t="s">
        <v>4664</v>
      </c>
      <c r="L790" s="13" t="s">
        <v>4699</v>
      </c>
      <c r="M790" s="13" t="s">
        <v>4693</v>
      </c>
      <c r="N790" s="12" t="s">
        <v>4672</v>
      </c>
      <c r="O790" s="17" t="str">
        <f>IF(LEN(COUNTIFS($J$1:J790,$J790,$K$1:K790,$K790,$L$1:L790,$L790,$M$1:M790,M790,$N$1:N790,N790))=1,"00"&amp;COUNTIFS($J$1:J790,$J790,$K$1:K790,$K790,$L$1:L790,$L790,$M$1:M790,M790,$N$1:N790,N790),IF(LEN(COUNTIFS($J$1:J790,$J790,$K$1:K790,$K790,$L$1:L790,$L790,$M$1:M790,M790,$N$1:N790,N790))=2,"0"&amp;COUNTIFS($J$1:J790,$J790,$K$1:K790,$K790,$L$1:L790,$L790,$M$1:M790,M790,$N$1:N790,N790),COUNTIFS($J$1:J790,$J790,$K$1:K790,$K790,$L$1:L790,$L790,$M$1:M790,M790,$N$1:N790,N790)))</f>
        <v>036</v>
      </c>
      <c r="P79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MS-CS-014-23-00036-INV</v>
      </c>
      <c r="Q790" s="59" t="s">
        <v>7373</v>
      </c>
      <c r="R790" s="34" t="s">
        <v>6561</v>
      </c>
      <c r="S790" s="34" t="s">
        <v>2230</v>
      </c>
      <c r="T790" s="34">
        <f>+IFERROR(_xlfn.XLOOKUP(Table43[[#This Row],[Column1]],#REF!,#REF!),0)</f>
        <v>0</v>
      </c>
      <c r="U790" s="50">
        <f>IFERROR(_xlfn.XLOOKUP(Table43[[#This Row],[Column1]],#REF!,#REF!),0)</f>
        <v>0</v>
      </c>
      <c r="V790" s="39"/>
    </row>
    <row r="791" spans="1:22" x14ac:dyDescent="0.35">
      <c r="A791" s="2" t="s">
        <v>2229</v>
      </c>
      <c r="B791" s="2" t="s">
        <v>2232</v>
      </c>
      <c r="C791" s="2" t="s">
        <v>9</v>
      </c>
      <c r="D791" s="2">
        <v>31.36</v>
      </c>
      <c r="E791" s="2" t="s">
        <v>10</v>
      </c>
      <c r="F791" s="2">
        <v>1</v>
      </c>
      <c r="G791" s="3">
        <v>2</v>
      </c>
      <c r="H791" s="2">
        <v>2</v>
      </c>
      <c r="I791" s="22">
        <f>Table43[[#This Row],[Item Cost]]*Table43[[#This Row],[In Stock]]</f>
        <v>62.72</v>
      </c>
      <c r="J791" s="12" t="s">
        <v>4941</v>
      </c>
      <c r="K791" s="13" t="s">
        <v>4664</v>
      </c>
      <c r="L791" s="13" t="s">
        <v>4699</v>
      </c>
      <c r="M791" s="13" t="s">
        <v>4777</v>
      </c>
      <c r="N791" s="12" t="s">
        <v>4672</v>
      </c>
      <c r="O791" s="17" t="str">
        <f>IF(LEN(COUNTIFS($J$1:J791,$J791,$K$1:K791,$K791,$L$1:L791,$L791,$M$1:M791,M791,$N$1:N791,N791))=1,"00"&amp;COUNTIFS($J$1:J791,$J791,$K$1:K791,$K791,$L$1:L791,$L791,$M$1:M791,M791,$N$1:N791,N791),IF(LEN(COUNTIFS($J$1:J791,$J791,$K$1:K791,$K791,$L$1:L791,$L791,$M$1:M791,M791,$N$1:N791,N791))=2,"0"&amp;COUNTIFS($J$1:J791,$J791,$K$1:K791,$K791,$L$1:L791,$L791,$M$1:M791,M791,$N$1:N791,N791),COUNTIFS($J$1:J791,$J791,$K$1:K791,$K791,$L$1:L791,$L791,$M$1:M791,M791,$N$1:N791,N791)))</f>
        <v>001</v>
      </c>
      <c r="P79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MS-CS-014-11-00001-INV</v>
      </c>
      <c r="Q791" s="59" t="s">
        <v>7333</v>
      </c>
      <c r="R791" s="34" t="s">
        <v>6562</v>
      </c>
      <c r="S791" s="34" t="s">
        <v>2232</v>
      </c>
      <c r="T791" s="34">
        <f>+IFERROR(_xlfn.XLOOKUP(Table43[[#This Row],[Column1]],#REF!,#REF!),0)</f>
        <v>0</v>
      </c>
      <c r="U791" s="50">
        <f>IFERROR(_xlfn.XLOOKUP(Table43[[#This Row],[Column1]],#REF!,#REF!),0)</f>
        <v>0</v>
      </c>
      <c r="V791" s="39"/>
    </row>
    <row r="792" spans="1:22" x14ac:dyDescent="0.35">
      <c r="A792" s="3" t="s">
        <v>2231</v>
      </c>
      <c r="B792" s="3" t="s">
        <v>2234</v>
      </c>
      <c r="C792" s="3" t="s">
        <v>15</v>
      </c>
      <c r="D792" s="3">
        <v>0</v>
      </c>
      <c r="E792" s="3" t="s">
        <v>10</v>
      </c>
      <c r="F792" s="2">
        <v>1</v>
      </c>
      <c r="G792" s="2">
        <v>2</v>
      </c>
      <c r="H792" s="3">
        <v>0</v>
      </c>
      <c r="I792" s="21">
        <f>Table43[[#This Row],[Item Cost]]*Table43[[#This Row],[In Stock]]</f>
        <v>0</v>
      </c>
      <c r="J792" s="12" t="s">
        <v>4941</v>
      </c>
      <c r="K792" s="13" t="s">
        <v>4666</v>
      </c>
      <c r="L792" s="13" t="s">
        <v>4699</v>
      </c>
      <c r="M792" s="13" t="s">
        <v>4837</v>
      </c>
      <c r="N792" s="12" t="s">
        <v>4672</v>
      </c>
      <c r="O792" s="17" t="str">
        <f>IF(LEN(COUNTIFS($J$1:J792,$J792,$K$1:K792,$K792,$L$1:L792,$L792,$M$1:M792,M792,$N$1:N792,N792))=1,"00"&amp;COUNTIFS($J$1:J792,$J792,$K$1:K792,$K792,$L$1:L792,$L792,$M$1:M792,M792,$N$1:N792,N792),IF(LEN(COUNTIFS($J$1:J792,$J792,$K$1:K792,$K792,$L$1:L792,$L792,$M$1:M792,M792,$N$1:N792,N792))=2,"0"&amp;COUNTIFS($J$1:J792,$J792,$K$1:K792,$K792,$L$1:L792,$L792,$M$1:M792,M792,$N$1:N792,N792),COUNTIFS($J$1:J792,$J792,$K$1:K792,$K792,$L$1:L792,$L792,$M$1:M792,M792,$N$1:N792,N792)))</f>
        <v>002</v>
      </c>
      <c r="P79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MS-NS-014-26-00002-INV</v>
      </c>
      <c r="Q792" s="59"/>
      <c r="R792" s="34" t="s">
        <v>6563</v>
      </c>
      <c r="S792" s="34" t="s">
        <v>2234</v>
      </c>
      <c r="T792" s="34">
        <f>+IFERROR(_xlfn.XLOOKUP(Table43[[#This Row],[Column1]],#REF!,#REF!),0)</f>
        <v>0</v>
      </c>
      <c r="U792" s="50">
        <f>IFERROR(_xlfn.XLOOKUP(Table43[[#This Row],[Column1]],#REF!,#REF!),0)</f>
        <v>0</v>
      </c>
      <c r="V792" s="39"/>
    </row>
    <row r="793" spans="1:22" x14ac:dyDescent="0.35">
      <c r="A793" s="2" t="s">
        <v>2233</v>
      </c>
      <c r="B793" s="2" t="s">
        <v>2236</v>
      </c>
      <c r="C793" s="2" t="s">
        <v>15</v>
      </c>
      <c r="D793" s="2">
        <v>0</v>
      </c>
      <c r="E793" s="2" t="s">
        <v>10</v>
      </c>
      <c r="F793" s="2">
        <v>1</v>
      </c>
      <c r="G793" s="2">
        <v>2</v>
      </c>
      <c r="H793" s="2">
        <v>0</v>
      </c>
      <c r="I793" s="22">
        <f>Table43[[#This Row],[Item Cost]]*Table43[[#This Row],[In Stock]]</f>
        <v>0</v>
      </c>
      <c r="J793" s="12" t="s">
        <v>4941</v>
      </c>
      <c r="K793" s="13" t="s">
        <v>4666</v>
      </c>
      <c r="L793" s="13" t="s">
        <v>4699</v>
      </c>
      <c r="M793" s="13" t="s">
        <v>4837</v>
      </c>
      <c r="N793" s="12" t="s">
        <v>4672</v>
      </c>
      <c r="O793" s="17" t="str">
        <f>IF(LEN(COUNTIFS($J$1:J793,$J793,$K$1:K793,$K793,$L$1:L793,$L793,$M$1:M793,M793,$N$1:N793,N793))=1,"00"&amp;COUNTIFS($J$1:J793,$J793,$K$1:K793,$K793,$L$1:L793,$L793,$M$1:M793,M793,$N$1:N793,N793),IF(LEN(COUNTIFS($J$1:J793,$J793,$K$1:K793,$K793,$L$1:L793,$L793,$M$1:M793,M793,$N$1:N793,N793))=2,"0"&amp;COUNTIFS($J$1:J793,$J793,$K$1:K793,$K793,$L$1:L793,$L793,$M$1:M793,M793,$N$1:N793,N793),COUNTIFS($J$1:J793,$J793,$K$1:K793,$K793,$L$1:L793,$L793,$M$1:M793,M793,$N$1:N793,N793)))</f>
        <v>003</v>
      </c>
      <c r="P79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MS-NS-014-26-00003-INV</v>
      </c>
      <c r="Q793" s="59"/>
      <c r="R793" s="34" t="s">
        <v>6564</v>
      </c>
      <c r="S793" s="34" t="s">
        <v>2236</v>
      </c>
      <c r="T793" s="34">
        <f>+IFERROR(_xlfn.XLOOKUP(Table43[[#This Row],[Column1]],#REF!,#REF!),0)</f>
        <v>0</v>
      </c>
      <c r="U793" s="50">
        <f>IFERROR(_xlfn.XLOOKUP(Table43[[#This Row],[Column1]],#REF!,#REF!),0)</f>
        <v>0</v>
      </c>
      <c r="V793" s="39"/>
    </row>
    <row r="794" spans="1:22" x14ac:dyDescent="0.35">
      <c r="A794" s="2" t="s">
        <v>2235</v>
      </c>
      <c r="B794" s="3" t="s">
        <v>2238</v>
      </c>
      <c r="C794" s="3" t="s">
        <v>15</v>
      </c>
      <c r="D794" s="3">
        <v>0</v>
      </c>
      <c r="E794" s="3" t="s">
        <v>10</v>
      </c>
      <c r="F794" s="2">
        <v>1</v>
      </c>
      <c r="G794" s="2">
        <v>2</v>
      </c>
      <c r="H794" s="3">
        <v>0</v>
      </c>
      <c r="I794" s="21">
        <f>Table43[[#This Row],[Item Cost]]*Table43[[#This Row],[In Stock]]</f>
        <v>0</v>
      </c>
      <c r="J794" s="12" t="s">
        <v>4941</v>
      </c>
      <c r="K794" s="13" t="s">
        <v>4666</v>
      </c>
      <c r="L794" s="13" t="s">
        <v>4699</v>
      </c>
      <c r="M794" s="13" t="s">
        <v>4837</v>
      </c>
      <c r="N794" s="12" t="s">
        <v>4672</v>
      </c>
      <c r="O794" s="17" t="str">
        <f>IF(LEN(COUNTIFS($J$1:J794,$J794,$K$1:K794,$K794,$L$1:L794,$L794,$M$1:M794,M794,$N$1:N794,N794))=1,"00"&amp;COUNTIFS($J$1:J794,$J794,$K$1:K794,$K794,$L$1:L794,$L794,$M$1:M794,M794,$N$1:N794,N794),IF(LEN(COUNTIFS($J$1:J794,$J794,$K$1:K794,$K794,$L$1:L794,$L794,$M$1:M794,M794,$N$1:N794,N794))=2,"0"&amp;COUNTIFS($J$1:J794,$J794,$K$1:K794,$K794,$L$1:L794,$L794,$M$1:M794,M794,$N$1:N794,N794),COUNTIFS($J$1:J794,$J794,$K$1:K794,$K794,$L$1:L794,$L794,$M$1:M794,M794,$N$1:N794,N794)))</f>
        <v>004</v>
      </c>
      <c r="P79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MS-NS-014-26-00004-INV</v>
      </c>
      <c r="Q794" s="59"/>
      <c r="R794" s="34" t="s">
        <v>6565</v>
      </c>
      <c r="S794" s="34" t="s">
        <v>2238</v>
      </c>
      <c r="T794" s="34">
        <f>+IFERROR(_xlfn.XLOOKUP(Table43[[#This Row],[Column1]],#REF!,#REF!),0)</f>
        <v>0</v>
      </c>
      <c r="U794" s="50">
        <f>IFERROR(_xlfn.XLOOKUP(Table43[[#This Row],[Column1]],#REF!,#REF!),0)</f>
        <v>0</v>
      </c>
      <c r="V794" s="39"/>
    </row>
    <row r="795" spans="1:22" x14ac:dyDescent="0.35">
      <c r="A795" s="3" t="s">
        <v>2237</v>
      </c>
      <c r="B795" s="2" t="s">
        <v>2240</v>
      </c>
      <c r="C795" s="2" t="s">
        <v>15</v>
      </c>
      <c r="D795" s="4">
        <v>1250</v>
      </c>
      <c r="E795" s="2" t="s">
        <v>10</v>
      </c>
      <c r="F795" s="2">
        <v>1</v>
      </c>
      <c r="G795" s="2">
        <v>2</v>
      </c>
      <c r="H795" s="2">
        <v>3</v>
      </c>
      <c r="I795" s="22">
        <f>Table43[[#This Row],[Item Cost]]*Table43[[#This Row],[In Stock]]</f>
        <v>3750</v>
      </c>
      <c r="J795" s="12" t="s">
        <v>4941</v>
      </c>
      <c r="K795" s="13" t="s">
        <v>4666</v>
      </c>
      <c r="L795" s="13" t="s">
        <v>4699</v>
      </c>
      <c r="M795" s="13" t="s">
        <v>4693</v>
      </c>
      <c r="N795" s="12" t="s">
        <v>4672</v>
      </c>
      <c r="O795" s="17" t="str">
        <f>IF(LEN(COUNTIFS($J$1:J795,$J795,$K$1:K795,$K795,$L$1:L795,$L795,$M$1:M795,M795,$N$1:N795,N795))=1,"00"&amp;COUNTIFS($J$1:J795,$J795,$K$1:K795,$K795,$L$1:L795,$L795,$M$1:M795,M795,$N$1:N795,N795),IF(LEN(COUNTIFS($J$1:J795,$J795,$K$1:K795,$K795,$L$1:L795,$L795,$M$1:M795,M795,$N$1:N795,N795))=2,"0"&amp;COUNTIFS($J$1:J795,$J795,$K$1:K795,$K795,$L$1:L795,$L795,$M$1:M795,M795,$N$1:N795,N795),COUNTIFS($J$1:J795,$J795,$K$1:K795,$K795,$L$1:L795,$L795,$M$1:M795,M795,$N$1:N795,N795)))</f>
        <v>002</v>
      </c>
      <c r="P79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MS-NS-014-23-00002-INV</v>
      </c>
      <c r="Q795" s="59" t="s">
        <v>7333</v>
      </c>
      <c r="R795" s="34" t="s">
        <v>6566</v>
      </c>
      <c r="S795" s="34" t="s">
        <v>2240</v>
      </c>
      <c r="T795" s="34">
        <f>+IFERROR(_xlfn.XLOOKUP(Table43[[#This Row],[Column1]],#REF!,#REF!),0)</f>
        <v>0</v>
      </c>
      <c r="U795" s="50">
        <f>IFERROR(_xlfn.XLOOKUP(Table43[[#This Row],[Column1]],#REF!,#REF!),0)</f>
        <v>0</v>
      </c>
      <c r="V795" s="39"/>
    </row>
    <row r="796" spans="1:22" x14ac:dyDescent="0.35">
      <c r="A796" s="2" t="s">
        <v>2239</v>
      </c>
      <c r="B796" s="3" t="s">
        <v>2242</v>
      </c>
      <c r="C796" s="3" t="s">
        <v>15</v>
      </c>
      <c r="D796" s="3">
        <v>52.62</v>
      </c>
      <c r="E796" s="3" t="s">
        <v>10</v>
      </c>
      <c r="F796" s="2">
        <v>1</v>
      </c>
      <c r="G796" s="2">
        <v>2</v>
      </c>
      <c r="H796" s="3">
        <v>10</v>
      </c>
      <c r="I796" s="21">
        <f>Table43[[#This Row],[Item Cost]]*Table43[[#This Row],[In Stock]]</f>
        <v>526.19999999999993</v>
      </c>
      <c r="J796" s="12" t="s">
        <v>4941</v>
      </c>
      <c r="K796" s="13" t="s">
        <v>4666</v>
      </c>
      <c r="L796" s="13" t="s">
        <v>4699</v>
      </c>
      <c r="M796" s="13" t="s">
        <v>4693</v>
      </c>
      <c r="N796" s="12" t="s">
        <v>4672</v>
      </c>
      <c r="O796" s="17" t="str">
        <f>IF(LEN(COUNTIFS($J$1:J796,$J796,$K$1:K796,$K796,$L$1:L796,$L796,$M$1:M796,M796,$N$1:N796,N796))=1,"00"&amp;COUNTIFS($J$1:J796,$J796,$K$1:K796,$K796,$L$1:L796,$L796,$M$1:M796,M796,$N$1:N796,N796),IF(LEN(COUNTIFS($J$1:J796,$J796,$K$1:K796,$K796,$L$1:L796,$L796,$M$1:M796,M796,$N$1:N796,N796))=2,"0"&amp;COUNTIFS($J$1:J796,$J796,$K$1:K796,$K796,$L$1:L796,$L796,$M$1:M796,M796,$N$1:N796,N796),COUNTIFS($J$1:J796,$J796,$K$1:K796,$K796,$L$1:L796,$L796,$M$1:M796,M796,$N$1:N796,N796)))</f>
        <v>003</v>
      </c>
      <c r="P79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MS-NS-014-23-00003-INV</v>
      </c>
      <c r="Q796" s="59" t="s">
        <v>7333</v>
      </c>
      <c r="R796" s="34" t="s">
        <v>6567</v>
      </c>
      <c r="S796" s="34" t="s">
        <v>2242</v>
      </c>
      <c r="T796" s="34">
        <f>+IFERROR(_xlfn.XLOOKUP(Table43[[#This Row],[Column1]],#REF!,#REF!),0)</f>
        <v>0</v>
      </c>
      <c r="U796" s="50">
        <f>IFERROR(_xlfn.XLOOKUP(Table43[[#This Row],[Column1]],#REF!,#REF!),0)</f>
        <v>0</v>
      </c>
      <c r="V796" s="39"/>
    </row>
    <row r="797" spans="1:22" x14ac:dyDescent="0.35">
      <c r="A797" s="2" t="s">
        <v>2241</v>
      </c>
      <c r="B797" s="2" t="s">
        <v>2244</v>
      </c>
      <c r="C797" s="2" t="s">
        <v>15</v>
      </c>
      <c r="D797" s="2">
        <v>64.31</v>
      </c>
      <c r="E797" s="2" t="s">
        <v>10</v>
      </c>
      <c r="F797" s="2">
        <v>1</v>
      </c>
      <c r="G797" s="2">
        <v>2</v>
      </c>
      <c r="H797" s="2">
        <v>10</v>
      </c>
      <c r="I797" s="22">
        <f>Table43[[#This Row],[Item Cost]]*Table43[[#This Row],[In Stock]]</f>
        <v>643.1</v>
      </c>
      <c r="J797" s="12" t="s">
        <v>4941</v>
      </c>
      <c r="K797" s="13" t="s">
        <v>4666</v>
      </c>
      <c r="L797" s="13" t="s">
        <v>4699</v>
      </c>
      <c r="M797" s="13" t="s">
        <v>4693</v>
      </c>
      <c r="N797" s="12" t="s">
        <v>4672</v>
      </c>
      <c r="O797" s="17" t="str">
        <f>IF(LEN(COUNTIFS($J$1:J797,$J797,$K$1:K797,$K797,$L$1:L797,$L797,$M$1:M797,M797,$N$1:N797,N797))=1,"00"&amp;COUNTIFS($J$1:J797,$J797,$K$1:K797,$K797,$L$1:L797,$L797,$M$1:M797,M797,$N$1:N797,N797),IF(LEN(COUNTIFS($J$1:J797,$J797,$K$1:K797,$K797,$L$1:L797,$L797,$M$1:M797,M797,$N$1:N797,N797))=2,"0"&amp;COUNTIFS($J$1:J797,$J797,$K$1:K797,$K797,$L$1:L797,$L797,$M$1:M797,M797,$N$1:N797,N797),COUNTIFS($J$1:J797,$J797,$K$1:K797,$K797,$L$1:L797,$L797,$M$1:M797,M797,$N$1:N797,N797)))</f>
        <v>004</v>
      </c>
      <c r="P79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MS-NS-014-23-00004-INV</v>
      </c>
      <c r="Q797" s="59" t="s">
        <v>7333</v>
      </c>
      <c r="R797" s="34" t="s">
        <v>6568</v>
      </c>
      <c r="S797" s="34" t="s">
        <v>2244</v>
      </c>
      <c r="T797" s="34">
        <f>+IFERROR(_xlfn.XLOOKUP(Table43[[#This Row],[Column1]],#REF!,#REF!),0)</f>
        <v>0</v>
      </c>
      <c r="U797" s="50">
        <f>IFERROR(_xlfn.XLOOKUP(Table43[[#This Row],[Column1]],#REF!,#REF!),0)</f>
        <v>0</v>
      </c>
      <c r="V797" s="39"/>
    </row>
    <row r="798" spans="1:22" x14ac:dyDescent="0.35">
      <c r="A798" s="3" t="s">
        <v>2243</v>
      </c>
      <c r="B798" s="3" t="s">
        <v>2246</v>
      </c>
      <c r="C798" s="3" t="s">
        <v>15</v>
      </c>
      <c r="D798" s="3">
        <v>29.23</v>
      </c>
      <c r="E798" s="3" t="s">
        <v>10</v>
      </c>
      <c r="F798" s="2">
        <v>1</v>
      </c>
      <c r="G798" s="2">
        <v>2</v>
      </c>
      <c r="H798" s="3">
        <v>10</v>
      </c>
      <c r="I798" s="21">
        <f>Table43[[#This Row],[Item Cost]]*Table43[[#This Row],[In Stock]]</f>
        <v>292.3</v>
      </c>
      <c r="J798" s="12" t="s">
        <v>4941</v>
      </c>
      <c r="K798" s="13" t="s">
        <v>4666</v>
      </c>
      <c r="L798" s="13" t="s">
        <v>4699</v>
      </c>
      <c r="M798" s="13" t="s">
        <v>4693</v>
      </c>
      <c r="N798" s="12" t="s">
        <v>4672</v>
      </c>
      <c r="O798" s="17" t="str">
        <f>IF(LEN(COUNTIFS($J$1:J798,$J798,$K$1:K798,$K798,$L$1:L798,$L798,$M$1:M798,M798,$N$1:N798,N798))=1,"00"&amp;COUNTIFS($J$1:J798,$J798,$K$1:K798,$K798,$L$1:L798,$L798,$M$1:M798,M798,$N$1:N798,N798),IF(LEN(COUNTIFS($J$1:J798,$J798,$K$1:K798,$K798,$L$1:L798,$L798,$M$1:M798,M798,$N$1:N798,N798))=2,"0"&amp;COUNTIFS($J$1:J798,$J798,$K$1:K798,$K798,$L$1:L798,$L798,$M$1:M798,M798,$N$1:N798,N798),COUNTIFS($J$1:J798,$J798,$K$1:K798,$K798,$L$1:L798,$L798,$M$1:M798,M798,$N$1:N798,N798)))</f>
        <v>005</v>
      </c>
      <c r="P79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MS-NS-014-23-00005-INV</v>
      </c>
      <c r="Q798" s="59" t="s">
        <v>7333</v>
      </c>
      <c r="R798" s="34" t="s">
        <v>6569</v>
      </c>
      <c r="S798" s="34" t="s">
        <v>2246</v>
      </c>
      <c r="T798" s="34">
        <f>+IFERROR(_xlfn.XLOOKUP(Table43[[#This Row],[Column1]],#REF!,#REF!),0)</f>
        <v>0</v>
      </c>
      <c r="U798" s="50">
        <f>IFERROR(_xlfn.XLOOKUP(Table43[[#This Row],[Column1]],#REF!,#REF!),0)</f>
        <v>0</v>
      </c>
      <c r="V798" s="39"/>
    </row>
    <row r="799" spans="1:22" x14ac:dyDescent="0.35">
      <c r="A799" s="2" t="s">
        <v>2245</v>
      </c>
      <c r="B799" s="2" t="s">
        <v>2248</v>
      </c>
      <c r="C799" s="2" t="s">
        <v>15</v>
      </c>
      <c r="D799" s="2">
        <v>11.69</v>
      </c>
      <c r="E799" s="2" t="s">
        <v>10</v>
      </c>
      <c r="F799" s="2">
        <v>1</v>
      </c>
      <c r="G799" s="2">
        <v>2</v>
      </c>
      <c r="H799" s="2">
        <v>10</v>
      </c>
      <c r="I799" s="22">
        <f>Table43[[#This Row],[Item Cost]]*Table43[[#This Row],[In Stock]]</f>
        <v>116.89999999999999</v>
      </c>
      <c r="J799" s="12" t="s">
        <v>4941</v>
      </c>
      <c r="K799" s="13" t="s">
        <v>4666</v>
      </c>
      <c r="L799" s="13" t="s">
        <v>4699</v>
      </c>
      <c r="M799" s="13" t="s">
        <v>4693</v>
      </c>
      <c r="N799" s="12" t="s">
        <v>4672</v>
      </c>
      <c r="O799" s="17" t="str">
        <f>IF(LEN(COUNTIFS($J$1:J799,$J799,$K$1:K799,$K799,$L$1:L799,$L799,$M$1:M799,M799,$N$1:N799,N799))=1,"00"&amp;COUNTIFS($J$1:J799,$J799,$K$1:K799,$K799,$L$1:L799,$L799,$M$1:M799,M799,$N$1:N799,N799),IF(LEN(COUNTIFS($J$1:J799,$J799,$K$1:K799,$K799,$L$1:L799,$L799,$M$1:M799,M799,$N$1:N799,N799))=2,"0"&amp;COUNTIFS($J$1:J799,$J799,$K$1:K799,$K799,$L$1:L799,$L799,$M$1:M799,M799,$N$1:N799,N799),COUNTIFS($J$1:J799,$J799,$K$1:K799,$K799,$L$1:L799,$L799,$M$1:M799,M799,$N$1:N799,N799)))</f>
        <v>006</v>
      </c>
      <c r="P79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MS-NS-014-23-00006-INV</v>
      </c>
      <c r="Q799" s="59" t="s">
        <v>7333</v>
      </c>
      <c r="R799" s="34" t="s">
        <v>6570</v>
      </c>
      <c r="S799" s="34" t="s">
        <v>2248</v>
      </c>
      <c r="T799" s="34">
        <f>+IFERROR(_xlfn.XLOOKUP(Table43[[#This Row],[Column1]],#REF!,#REF!),0)</f>
        <v>0</v>
      </c>
      <c r="U799" s="50">
        <f>IFERROR(_xlfn.XLOOKUP(Table43[[#This Row],[Column1]],#REF!,#REF!),0)</f>
        <v>0</v>
      </c>
      <c r="V799" s="39"/>
    </row>
    <row r="800" spans="1:22" x14ac:dyDescent="0.35">
      <c r="A800" s="2" t="s">
        <v>2247</v>
      </c>
      <c r="B800" s="3" t="s">
        <v>2250</v>
      </c>
      <c r="C800" s="3" t="s">
        <v>15</v>
      </c>
      <c r="D800" s="3">
        <v>17.54</v>
      </c>
      <c r="E800" s="3" t="s">
        <v>10</v>
      </c>
      <c r="F800" s="2">
        <v>1</v>
      </c>
      <c r="G800" s="2">
        <v>2</v>
      </c>
      <c r="H800" s="3">
        <v>10</v>
      </c>
      <c r="I800" s="21">
        <f>Table43[[#This Row],[Item Cost]]*Table43[[#This Row],[In Stock]]</f>
        <v>175.39999999999998</v>
      </c>
      <c r="J800" s="12" t="s">
        <v>4941</v>
      </c>
      <c r="K800" s="13" t="s">
        <v>4666</v>
      </c>
      <c r="L800" s="13" t="s">
        <v>4699</v>
      </c>
      <c r="M800" s="13" t="s">
        <v>4693</v>
      </c>
      <c r="N800" s="12" t="s">
        <v>4672</v>
      </c>
      <c r="O800" s="17" t="str">
        <f>IF(LEN(COUNTIFS($J$1:J800,$J800,$K$1:K800,$K800,$L$1:L800,$L800,$M$1:M800,M800,$N$1:N800,N800))=1,"00"&amp;COUNTIFS($J$1:J800,$J800,$K$1:K800,$K800,$L$1:L800,$L800,$M$1:M800,M800,$N$1:N800,N800),IF(LEN(COUNTIFS($J$1:J800,$J800,$K$1:K800,$K800,$L$1:L800,$L800,$M$1:M800,M800,$N$1:N800,N800))=2,"0"&amp;COUNTIFS($J$1:J800,$J800,$K$1:K800,$K800,$L$1:L800,$L800,$M$1:M800,M800,$N$1:N800,N800),COUNTIFS($J$1:J800,$J800,$K$1:K800,$K800,$L$1:L800,$L800,$M$1:M800,M800,$N$1:N800,N800)))</f>
        <v>007</v>
      </c>
      <c r="P80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MS-NS-014-23-00007-INV</v>
      </c>
      <c r="Q800" s="59" t="s">
        <v>7333</v>
      </c>
      <c r="R800" s="34" t="s">
        <v>6571</v>
      </c>
      <c r="S800" s="34" t="s">
        <v>2250</v>
      </c>
      <c r="T800" s="34">
        <f>+IFERROR(_xlfn.XLOOKUP(Table43[[#This Row],[Column1]],#REF!,#REF!),0)</f>
        <v>0</v>
      </c>
      <c r="U800" s="50">
        <f>IFERROR(_xlfn.XLOOKUP(Table43[[#This Row],[Column1]],#REF!,#REF!),0)</f>
        <v>0</v>
      </c>
      <c r="V800" s="39"/>
    </row>
    <row r="801" spans="1:22" x14ac:dyDescent="0.35">
      <c r="A801" s="3" t="s">
        <v>2249</v>
      </c>
      <c r="B801" s="2" t="s">
        <v>2252</v>
      </c>
      <c r="C801" s="2" t="s">
        <v>15</v>
      </c>
      <c r="D801" s="2">
        <v>5.85</v>
      </c>
      <c r="E801" s="2" t="s">
        <v>10</v>
      </c>
      <c r="F801" s="2">
        <v>1</v>
      </c>
      <c r="G801" s="2">
        <v>2</v>
      </c>
      <c r="H801" s="2">
        <v>10</v>
      </c>
      <c r="I801" s="22">
        <f>Table43[[#This Row],[Item Cost]]*Table43[[#This Row],[In Stock]]</f>
        <v>58.5</v>
      </c>
      <c r="J801" s="12" t="s">
        <v>4941</v>
      </c>
      <c r="K801" s="13" t="s">
        <v>4666</v>
      </c>
      <c r="L801" s="13" t="s">
        <v>4699</v>
      </c>
      <c r="M801" s="13" t="s">
        <v>4693</v>
      </c>
      <c r="N801" s="12" t="s">
        <v>4672</v>
      </c>
      <c r="O801" s="17" t="str">
        <f>IF(LEN(COUNTIFS($J$1:J801,$J801,$K$1:K801,$K801,$L$1:L801,$L801,$M$1:M801,M801,$N$1:N801,N801))=1,"00"&amp;COUNTIFS($J$1:J801,$J801,$K$1:K801,$K801,$L$1:L801,$L801,$M$1:M801,M801,$N$1:N801,N801),IF(LEN(COUNTIFS($J$1:J801,$J801,$K$1:K801,$K801,$L$1:L801,$L801,$M$1:M801,M801,$N$1:N801,N801))=2,"0"&amp;COUNTIFS($J$1:J801,$J801,$K$1:K801,$K801,$L$1:L801,$L801,$M$1:M801,M801,$N$1:N801,N801),COUNTIFS($J$1:J801,$J801,$K$1:K801,$K801,$L$1:L801,$L801,$M$1:M801,M801,$N$1:N801,N801)))</f>
        <v>008</v>
      </c>
      <c r="P80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MS-NS-014-23-00008-INV</v>
      </c>
      <c r="Q801" s="59" t="s">
        <v>7333</v>
      </c>
      <c r="R801" s="34" t="s">
        <v>6572</v>
      </c>
      <c r="S801" s="34" t="s">
        <v>2252</v>
      </c>
      <c r="T801" s="34">
        <f>+IFERROR(_xlfn.XLOOKUP(Table43[[#This Row],[Column1]],#REF!,#REF!),0)</f>
        <v>0</v>
      </c>
      <c r="U801" s="50">
        <f>IFERROR(_xlfn.XLOOKUP(Table43[[#This Row],[Column1]],#REF!,#REF!),0)</f>
        <v>0</v>
      </c>
      <c r="V801" s="39"/>
    </row>
    <row r="802" spans="1:22" x14ac:dyDescent="0.35">
      <c r="A802" s="2" t="s">
        <v>2251</v>
      </c>
      <c r="B802" s="3" t="s">
        <v>2254</v>
      </c>
      <c r="C802" s="3" t="s">
        <v>15</v>
      </c>
      <c r="D802" s="3">
        <v>11.69</v>
      </c>
      <c r="E802" s="3" t="s">
        <v>10</v>
      </c>
      <c r="F802" s="2">
        <v>1</v>
      </c>
      <c r="G802" s="2">
        <v>2</v>
      </c>
      <c r="H802" s="3">
        <v>10</v>
      </c>
      <c r="I802" s="21">
        <f>Table43[[#This Row],[Item Cost]]*Table43[[#This Row],[In Stock]]</f>
        <v>116.89999999999999</v>
      </c>
      <c r="J802" s="12" t="s">
        <v>4941</v>
      </c>
      <c r="K802" s="13" t="s">
        <v>4666</v>
      </c>
      <c r="L802" s="13" t="s">
        <v>4699</v>
      </c>
      <c r="M802" s="13" t="s">
        <v>4693</v>
      </c>
      <c r="N802" s="12" t="s">
        <v>4672</v>
      </c>
      <c r="O802" s="17" t="str">
        <f>IF(LEN(COUNTIFS($J$1:J802,$J802,$K$1:K802,$K802,$L$1:L802,$L802,$M$1:M802,M802,$N$1:N802,N802))=1,"00"&amp;COUNTIFS($J$1:J802,$J802,$K$1:K802,$K802,$L$1:L802,$L802,$M$1:M802,M802,$N$1:N802,N802),IF(LEN(COUNTIFS($J$1:J802,$J802,$K$1:K802,$K802,$L$1:L802,$L802,$M$1:M802,M802,$N$1:N802,N802))=2,"0"&amp;COUNTIFS($J$1:J802,$J802,$K$1:K802,$K802,$L$1:L802,$L802,$M$1:M802,M802,$N$1:N802,N802),COUNTIFS($J$1:J802,$J802,$K$1:K802,$K802,$L$1:L802,$L802,$M$1:M802,M802,$N$1:N802,N802)))</f>
        <v>009</v>
      </c>
      <c r="P80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MS-NS-014-23-00009-INV</v>
      </c>
      <c r="Q802" s="59" t="s">
        <v>7333</v>
      </c>
      <c r="R802" s="34" t="s">
        <v>6573</v>
      </c>
      <c r="S802" s="34" t="s">
        <v>2254</v>
      </c>
      <c r="T802" s="34">
        <f>+IFERROR(_xlfn.XLOOKUP(Table43[[#This Row],[Column1]],#REF!,#REF!),0)</f>
        <v>0</v>
      </c>
      <c r="U802" s="50">
        <f>IFERROR(_xlfn.XLOOKUP(Table43[[#This Row],[Column1]],#REF!,#REF!),0)</f>
        <v>0</v>
      </c>
      <c r="V802" s="39"/>
    </row>
    <row r="803" spans="1:22" x14ac:dyDescent="0.35">
      <c r="A803" s="2" t="s">
        <v>2255</v>
      </c>
      <c r="B803" s="2" t="s">
        <v>2256</v>
      </c>
      <c r="C803" s="2" t="s">
        <v>15</v>
      </c>
      <c r="D803" s="4">
        <v>1650</v>
      </c>
      <c r="E803" s="2" t="s">
        <v>10</v>
      </c>
      <c r="F803" s="2">
        <v>1</v>
      </c>
      <c r="G803" s="2">
        <v>2</v>
      </c>
      <c r="H803" s="2">
        <v>1</v>
      </c>
      <c r="I803" s="22">
        <f>Table43[[#This Row],[Item Cost]]*Table43[[#This Row],[In Stock]]</f>
        <v>1650</v>
      </c>
      <c r="J803" s="12" t="s">
        <v>4941</v>
      </c>
      <c r="K803" s="13" t="s">
        <v>4666</v>
      </c>
      <c r="L803" s="13" t="s">
        <v>4701</v>
      </c>
      <c r="M803" s="13" t="s">
        <v>4837</v>
      </c>
      <c r="N803" s="12" t="s">
        <v>4672</v>
      </c>
      <c r="O803" s="17" t="str">
        <f>IF(LEN(COUNTIFS($J$1:J803,$J803,$K$1:K803,$K803,$L$1:L803,$L803,$M$1:M803,M803,$N$1:N803,N803))=1,"00"&amp;COUNTIFS($J$1:J803,$J803,$K$1:K803,$K803,$L$1:L803,$L803,$M$1:M803,M803,$N$1:N803,N803),IF(LEN(COUNTIFS($J$1:J803,$J803,$K$1:K803,$K803,$L$1:L803,$L803,$M$1:M803,M803,$N$1:N803,N803))=2,"0"&amp;COUNTIFS($J$1:J803,$J803,$K$1:K803,$K803,$L$1:L803,$L803,$M$1:M803,M803,$N$1:N803,N803),COUNTIFS($J$1:J803,$J803,$K$1:K803,$K803,$L$1:L803,$L803,$M$1:M803,M803,$N$1:N803,N803)))</f>
        <v>001</v>
      </c>
      <c r="P80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MS-NS-015-26-00001-INV</v>
      </c>
      <c r="Q803" s="59"/>
      <c r="R803" s="34" t="s">
        <v>6574</v>
      </c>
      <c r="S803" s="34" t="s">
        <v>2256</v>
      </c>
      <c r="T803" s="34">
        <f>+IFERROR(_xlfn.XLOOKUP(Table43[[#This Row],[Column1]],#REF!,#REF!),0)</f>
        <v>0</v>
      </c>
      <c r="U803" s="50">
        <f>IFERROR(_xlfn.XLOOKUP(Table43[[#This Row],[Column1]],#REF!,#REF!),0)</f>
        <v>0</v>
      </c>
      <c r="V803" s="39"/>
    </row>
    <row r="804" spans="1:22" x14ac:dyDescent="0.35">
      <c r="A804" s="3" t="s">
        <v>2257</v>
      </c>
      <c r="B804" s="3" t="s">
        <v>2258</v>
      </c>
      <c r="C804" s="3" t="s">
        <v>15</v>
      </c>
      <c r="D804" s="5">
        <v>1750</v>
      </c>
      <c r="E804" s="3" t="s">
        <v>10</v>
      </c>
      <c r="F804" s="2">
        <v>1</v>
      </c>
      <c r="G804" s="2">
        <v>2</v>
      </c>
      <c r="H804" s="3">
        <v>1</v>
      </c>
      <c r="I804" s="21">
        <f>Table43[[#This Row],[Item Cost]]*Table43[[#This Row],[In Stock]]</f>
        <v>1750</v>
      </c>
      <c r="J804" s="12" t="s">
        <v>4941</v>
      </c>
      <c r="K804" s="13" t="s">
        <v>4666</v>
      </c>
      <c r="L804" s="13" t="s">
        <v>4701</v>
      </c>
      <c r="M804" s="13" t="s">
        <v>4837</v>
      </c>
      <c r="N804" s="12" t="s">
        <v>4672</v>
      </c>
      <c r="O804" s="17" t="str">
        <f>IF(LEN(COUNTIFS($J$1:J804,$J804,$K$1:K804,$K804,$L$1:L804,$L804,$M$1:M804,M804,$N$1:N804,N804))=1,"00"&amp;COUNTIFS($J$1:J804,$J804,$K$1:K804,$K804,$L$1:L804,$L804,$M$1:M804,M804,$N$1:N804,N804),IF(LEN(COUNTIFS($J$1:J804,$J804,$K$1:K804,$K804,$L$1:L804,$L804,$M$1:M804,M804,$N$1:N804,N804))=2,"0"&amp;COUNTIFS($J$1:J804,$J804,$K$1:K804,$K804,$L$1:L804,$L804,$M$1:M804,M804,$N$1:N804,N804),COUNTIFS($J$1:J804,$J804,$K$1:K804,$K804,$L$1:L804,$L804,$M$1:M804,M804,$N$1:N804,N804)))</f>
        <v>002</v>
      </c>
      <c r="P80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MS-NS-015-26-00002-INV</v>
      </c>
      <c r="Q804" s="59"/>
      <c r="R804" s="34" t="s">
        <v>6575</v>
      </c>
      <c r="S804" s="34" t="s">
        <v>2258</v>
      </c>
      <c r="T804" s="34">
        <f>+IFERROR(_xlfn.XLOOKUP(Table43[[#This Row],[Column1]],#REF!,#REF!),0)</f>
        <v>0</v>
      </c>
      <c r="U804" s="50">
        <f>IFERROR(_xlfn.XLOOKUP(Table43[[#This Row],[Column1]],#REF!,#REF!),0)</f>
        <v>0</v>
      </c>
      <c r="V804" s="39"/>
    </row>
    <row r="805" spans="1:22" x14ac:dyDescent="0.35">
      <c r="A805" s="3" t="s">
        <v>2263</v>
      </c>
      <c r="B805" s="3" t="s">
        <v>2264</v>
      </c>
      <c r="C805" s="3" t="s">
        <v>15</v>
      </c>
      <c r="D805" s="3">
        <v>145</v>
      </c>
      <c r="E805" s="3" t="s">
        <v>10</v>
      </c>
      <c r="F805" s="3">
        <v>2</v>
      </c>
      <c r="G805" s="3">
        <v>4</v>
      </c>
      <c r="H805" s="3">
        <v>12</v>
      </c>
      <c r="I805" s="21">
        <f>Table43[[#This Row],[Item Cost]]*Table43[[#This Row],[In Stock]]</f>
        <v>1740</v>
      </c>
      <c r="J805" s="12" t="s">
        <v>4941</v>
      </c>
      <c r="K805" s="13" t="s">
        <v>4666</v>
      </c>
      <c r="L805" s="13" t="s">
        <v>4672</v>
      </c>
      <c r="M805" s="13" t="s">
        <v>4837</v>
      </c>
      <c r="N805" s="12" t="s">
        <v>4672</v>
      </c>
      <c r="O805" s="17" t="str">
        <f>IF(LEN(COUNTIFS($J$1:J805,$J805,$K$1:K805,$K805,$L$1:L805,$L805,$M$1:M805,M805,$N$1:N805,N805))=1,"00"&amp;COUNTIFS($J$1:J805,$J805,$K$1:K805,$K805,$L$1:L805,$L805,$M$1:M805,M805,$N$1:N805,N805),IF(LEN(COUNTIFS($J$1:J805,$J805,$K$1:K805,$K805,$L$1:L805,$L805,$M$1:M805,M805,$N$1:N805,N805))=2,"0"&amp;COUNTIFS($J$1:J805,$J805,$K$1:K805,$K805,$L$1:L805,$L805,$M$1:M805,M805,$N$1:N805,N805),COUNTIFS($J$1:J805,$J805,$K$1:K805,$K805,$L$1:L805,$L805,$M$1:M805,M805,$N$1:N805,N805)))</f>
        <v>001</v>
      </c>
      <c r="P80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MS-NS-000-26-00001-INV</v>
      </c>
      <c r="Q805" s="59"/>
      <c r="R805" s="34" t="s">
        <v>6576</v>
      </c>
      <c r="S805" s="34" t="s">
        <v>2264</v>
      </c>
      <c r="T805" s="34">
        <f>+IFERROR(_xlfn.XLOOKUP(Table43[[#This Row],[Column1]],#REF!,#REF!),0)</f>
        <v>0</v>
      </c>
      <c r="U805" s="50">
        <f>IFERROR(_xlfn.XLOOKUP(Table43[[#This Row],[Column1]],#REF!,#REF!),0)</f>
        <v>0</v>
      </c>
      <c r="V805" s="39"/>
    </row>
    <row r="806" spans="1:22" x14ac:dyDescent="0.35">
      <c r="A806" s="2" t="s">
        <v>2265</v>
      </c>
      <c r="B806" s="2" t="s">
        <v>2266</v>
      </c>
      <c r="C806" s="2" t="s">
        <v>15</v>
      </c>
      <c r="D806" s="2">
        <v>145</v>
      </c>
      <c r="E806" s="2" t="s">
        <v>10</v>
      </c>
      <c r="F806" s="3">
        <v>2</v>
      </c>
      <c r="G806" s="3">
        <v>4</v>
      </c>
      <c r="H806" s="2">
        <v>8</v>
      </c>
      <c r="I806" s="22">
        <f>Table43[[#This Row],[Item Cost]]*Table43[[#This Row],[In Stock]]</f>
        <v>1160</v>
      </c>
      <c r="J806" s="12" t="s">
        <v>4941</v>
      </c>
      <c r="K806" s="13" t="s">
        <v>4666</v>
      </c>
      <c r="L806" s="13" t="s">
        <v>4672</v>
      </c>
      <c r="M806" s="13" t="s">
        <v>4837</v>
      </c>
      <c r="N806" s="12" t="s">
        <v>4672</v>
      </c>
      <c r="O806" s="17" t="str">
        <f>IF(LEN(COUNTIFS($J$1:J806,$J806,$K$1:K806,$K806,$L$1:L806,$L806,$M$1:M806,M806,$N$1:N806,N806))=1,"00"&amp;COUNTIFS($J$1:J806,$J806,$K$1:K806,$K806,$L$1:L806,$L806,$M$1:M806,M806,$N$1:N806,N806),IF(LEN(COUNTIFS($J$1:J806,$J806,$K$1:K806,$K806,$L$1:L806,$L806,$M$1:M806,M806,$N$1:N806,N806))=2,"0"&amp;COUNTIFS($J$1:J806,$J806,$K$1:K806,$K806,$L$1:L806,$L806,$M$1:M806,M806,$N$1:N806,N806),COUNTIFS($J$1:J806,$J806,$K$1:K806,$K806,$L$1:L806,$L806,$M$1:M806,M806,$N$1:N806,N806)))</f>
        <v>002</v>
      </c>
      <c r="P80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MS-NS-000-26-00002-INV</v>
      </c>
      <c r="Q806" s="59" t="s">
        <v>7335</v>
      </c>
      <c r="R806" s="34" t="s">
        <v>6577</v>
      </c>
      <c r="S806" s="34" t="s">
        <v>2266</v>
      </c>
      <c r="T806" s="34">
        <f>+IFERROR(_xlfn.XLOOKUP(Table43[[#This Row],[Column1]],#REF!,#REF!),0)</f>
        <v>0</v>
      </c>
      <c r="U806" s="50">
        <f>IFERROR(_xlfn.XLOOKUP(Table43[[#This Row],[Column1]],#REF!,#REF!),0)</f>
        <v>0</v>
      </c>
      <c r="V806" s="39"/>
    </row>
    <row r="807" spans="1:22" x14ac:dyDescent="0.35">
      <c r="A807" s="3" t="s">
        <v>2267</v>
      </c>
      <c r="B807" s="3" t="s">
        <v>2268</v>
      </c>
      <c r="C807" s="3" t="s">
        <v>15</v>
      </c>
      <c r="D807" s="3">
        <v>100</v>
      </c>
      <c r="E807" s="3" t="s">
        <v>10</v>
      </c>
      <c r="F807" s="3">
        <v>2</v>
      </c>
      <c r="G807" s="3">
        <v>4</v>
      </c>
      <c r="H807" s="3">
        <v>18</v>
      </c>
      <c r="I807" s="21">
        <f>Table43[[#This Row],[Item Cost]]*Table43[[#This Row],[In Stock]]</f>
        <v>1800</v>
      </c>
      <c r="J807" s="12" t="s">
        <v>4941</v>
      </c>
      <c r="K807" s="13" t="s">
        <v>4666</v>
      </c>
      <c r="L807" s="13" t="s">
        <v>4672</v>
      </c>
      <c r="M807" s="13" t="s">
        <v>4837</v>
      </c>
      <c r="N807" s="12" t="s">
        <v>4672</v>
      </c>
      <c r="O807" s="17" t="str">
        <f>IF(LEN(COUNTIFS($J$1:J807,$J807,$K$1:K807,$K807,$L$1:L807,$L807,$M$1:M807,M807,$N$1:N807,N807))=1,"00"&amp;COUNTIFS($J$1:J807,$J807,$K$1:K807,$K807,$L$1:L807,$L807,$M$1:M807,M807,$N$1:N807,N807),IF(LEN(COUNTIFS($J$1:J807,$J807,$K$1:K807,$K807,$L$1:L807,$L807,$M$1:M807,M807,$N$1:N807,N807))=2,"0"&amp;COUNTIFS($J$1:J807,$J807,$K$1:K807,$K807,$L$1:L807,$L807,$M$1:M807,M807,$N$1:N807,N807),COUNTIFS($J$1:J807,$J807,$K$1:K807,$K807,$L$1:L807,$L807,$M$1:M807,M807,$N$1:N807,N807)))</f>
        <v>003</v>
      </c>
      <c r="P80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MS-NS-000-26-00003-INV</v>
      </c>
      <c r="Q807" s="59" t="s">
        <v>7335</v>
      </c>
      <c r="R807" s="34" t="s">
        <v>6578</v>
      </c>
      <c r="S807" s="34" t="s">
        <v>2268</v>
      </c>
      <c r="T807" s="34">
        <f>+IFERROR(_xlfn.XLOOKUP(Table43[[#This Row],[Column1]],#REF!,#REF!),0)</f>
        <v>0</v>
      </c>
      <c r="U807" s="50">
        <f>IFERROR(_xlfn.XLOOKUP(Table43[[#This Row],[Column1]],#REF!,#REF!),0)</f>
        <v>0</v>
      </c>
      <c r="V807" s="39"/>
    </row>
    <row r="808" spans="1:22" x14ac:dyDescent="0.35">
      <c r="A808" s="2" t="s">
        <v>2269</v>
      </c>
      <c r="B808" s="2" t="s">
        <v>2270</v>
      </c>
      <c r="C808" s="2" t="s">
        <v>15</v>
      </c>
      <c r="D808" s="2">
        <v>100</v>
      </c>
      <c r="E808" s="2" t="s">
        <v>10</v>
      </c>
      <c r="F808" s="3">
        <v>2</v>
      </c>
      <c r="G808" s="3">
        <v>4</v>
      </c>
      <c r="H808" s="2">
        <v>21</v>
      </c>
      <c r="I808" s="22">
        <f>Table43[[#This Row],[Item Cost]]*Table43[[#This Row],[In Stock]]</f>
        <v>2100</v>
      </c>
      <c r="J808" s="12" t="s">
        <v>4941</v>
      </c>
      <c r="K808" s="13" t="s">
        <v>4666</v>
      </c>
      <c r="L808" s="13" t="s">
        <v>4672</v>
      </c>
      <c r="M808" s="13" t="s">
        <v>4837</v>
      </c>
      <c r="N808" s="12" t="s">
        <v>4672</v>
      </c>
      <c r="O808" s="17" t="str">
        <f>IF(LEN(COUNTIFS($J$1:J808,$J808,$K$1:K808,$K808,$L$1:L808,$L808,$M$1:M808,M808,$N$1:N808,N808))=1,"00"&amp;COUNTIFS($J$1:J808,$J808,$K$1:K808,$K808,$L$1:L808,$L808,$M$1:M808,M808,$N$1:N808,N808),IF(LEN(COUNTIFS($J$1:J808,$J808,$K$1:K808,$K808,$L$1:L808,$L808,$M$1:M808,M808,$N$1:N808,N808))=2,"0"&amp;COUNTIFS($J$1:J808,$J808,$K$1:K808,$K808,$L$1:L808,$L808,$M$1:M808,M808,$N$1:N808,N808),COUNTIFS($J$1:J808,$J808,$K$1:K808,$K808,$L$1:L808,$L808,$M$1:M808,M808,$N$1:N808,N808)))</f>
        <v>004</v>
      </c>
      <c r="P80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MS-NS-000-26-00004-INV</v>
      </c>
      <c r="Q808" s="59" t="s">
        <v>7335</v>
      </c>
      <c r="R808" s="34" t="s">
        <v>6579</v>
      </c>
      <c r="S808" s="34" t="s">
        <v>2270</v>
      </c>
      <c r="T808" s="34">
        <f>+IFERROR(_xlfn.XLOOKUP(Table43[[#This Row],[Column1]],#REF!,#REF!),0)</f>
        <v>0</v>
      </c>
      <c r="U808" s="50">
        <f>IFERROR(_xlfn.XLOOKUP(Table43[[#This Row],[Column1]],#REF!,#REF!),0)</f>
        <v>0</v>
      </c>
      <c r="V808" s="39"/>
    </row>
    <row r="809" spans="1:22" x14ac:dyDescent="0.35">
      <c r="A809" s="3" t="s">
        <v>2271</v>
      </c>
      <c r="B809" s="3" t="s">
        <v>2272</v>
      </c>
      <c r="C809" s="3" t="s">
        <v>15</v>
      </c>
      <c r="D809" s="3">
        <v>200</v>
      </c>
      <c r="E809" s="3" t="s">
        <v>10</v>
      </c>
      <c r="F809" s="3">
        <v>2</v>
      </c>
      <c r="G809" s="3">
        <v>4</v>
      </c>
      <c r="H809" s="3">
        <v>14</v>
      </c>
      <c r="I809" s="21">
        <f>Table43[[#This Row],[Item Cost]]*Table43[[#This Row],[In Stock]]</f>
        <v>2800</v>
      </c>
      <c r="J809" s="12" t="s">
        <v>4941</v>
      </c>
      <c r="K809" s="13" t="s">
        <v>4666</v>
      </c>
      <c r="L809" s="13" t="s">
        <v>4672</v>
      </c>
      <c r="M809" s="13" t="s">
        <v>4837</v>
      </c>
      <c r="N809" s="12" t="s">
        <v>4672</v>
      </c>
      <c r="O809" s="17" t="str">
        <f>IF(LEN(COUNTIFS($J$1:J809,$J809,$K$1:K809,$K809,$L$1:L809,$L809,$M$1:M809,M809,$N$1:N809,N809))=1,"00"&amp;COUNTIFS($J$1:J809,$J809,$K$1:K809,$K809,$L$1:L809,$L809,$M$1:M809,M809,$N$1:N809,N809),IF(LEN(COUNTIFS($J$1:J809,$J809,$K$1:K809,$K809,$L$1:L809,$L809,$M$1:M809,M809,$N$1:N809,N809))=2,"0"&amp;COUNTIFS($J$1:J809,$J809,$K$1:K809,$K809,$L$1:L809,$L809,$M$1:M809,M809,$N$1:N809,N809),COUNTIFS($J$1:J809,$J809,$K$1:K809,$K809,$L$1:L809,$L809,$M$1:M809,M809,$N$1:N809,N809)))</f>
        <v>005</v>
      </c>
      <c r="P80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MS-NS-000-26-00005-INV</v>
      </c>
      <c r="Q809" s="59" t="s">
        <v>7335</v>
      </c>
      <c r="R809" s="34" t="s">
        <v>6580</v>
      </c>
      <c r="S809" s="34" t="s">
        <v>2272</v>
      </c>
      <c r="T809" s="34">
        <f>+IFERROR(_xlfn.XLOOKUP(Table43[[#This Row],[Column1]],#REF!,#REF!),0)</f>
        <v>0</v>
      </c>
      <c r="U809" s="50">
        <f>IFERROR(_xlfn.XLOOKUP(Table43[[#This Row],[Column1]],#REF!,#REF!),0)</f>
        <v>0</v>
      </c>
      <c r="V809" s="39"/>
    </row>
    <row r="810" spans="1:22" x14ac:dyDescent="0.35">
      <c r="A810" s="2" t="s">
        <v>2273</v>
      </c>
      <c r="B810" s="2" t="s">
        <v>2274</v>
      </c>
      <c r="C810" s="2" t="s">
        <v>15</v>
      </c>
      <c r="D810" s="2">
        <v>200</v>
      </c>
      <c r="E810" s="2" t="s">
        <v>10</v>
      </c>
      <c r="F810" s="3">
        <v>2</v>
      </c>
      <c r="G810" s="3">
        <v>4</v>
      </c>
      <c r="H810" s="2">
        <v>6</v>
      </c>
      <c r="I810" s="22">
        <f>Table43[[#This Row],[Item Cost]]*Table43[[#This Row],[In Stock]]</f>
        <v>1200</v>
      </c>
      <c r="J810" s="12" t="s">
        <v>4941</v>
      </c>
      <c r="K810" s="13" t="s">
        <v>4666</v>
      </c>
      <c r="L810" s="13" t="s">
        <v>4672</v>
      </c>
      <c r="M810" s="13" t="s">
        <v>4837</v>
      </c>
      <c r="N810" s="12" t="s">
        <v>4672</v>
      </c>
      <c r="O810" s="17" t="str">
        <f>IF(LEN(COUNTIFS($J$1:J810,$J810,$K$1:K810,$K810,$L$1:L810,$L810,$M$1:M810,M810,$N$1:N810,N810))=1,"00"&amp;COUNTIFS($J$1:J810,$J810,$K$1:K810,$K810,$L$1:L810,$L810,$M$1:M810,M810,$N$1:N810,N810),IF(LEN(COUNTIFS($J$1:J810,$J810,$K$1:K810,$K810,$L$1:L810,$L810,$M$1:M810,M810,$N$1:N810,N810))=2,"0"&amp;COUNTIFS($J$1:J810,$J810,$K$1:K810,$K810,$L$1:L810,$L810,$M$1:M810,M810,$N$1:N810,N810),COUNTIFS($J$1:J810,$J810,$K$1:K810,$K810,$L$1:L810,$L810,$M$1:M810,M810,$N$1:N810,N810)))</f>
        <v>006</v>
      </c>
      <c r="P81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MS-NS-000-26-00006-INV</v>
      </c>
      <c r="Q810" s="59" t="s">
        <v>7335</v>
      </c>
      <c r="R810" s="34" t="s">
        <v>6581</v>
      </c>
      <c r="S810" s="34" t="s">
        <v>2274</v>
      </c>
      <c r="T810" s="34">
        <f>+IFERROR(_xlfn.XLOOKUP(Table43[[#This Row],[Column1]],#REF!,#REF!),0)</f>
        <v>0</v>
      </c>
      <c r="U810" s="50">
        <f>IFERROR(_xlfn.XLOOKUP(Table43[[#This Row],[Column1]],#REF!,#REF!),0)</f>
        <v>0</v>
      </c>
      <c r="V810" s="39"/>
    </row>
    <row r="811" spans="1:22" x14ac:dyDescent="0.35">
      <c r="A811" s="3" t="s">
        <v>2275</v>
      </c>
      <c r="B811" s="3" t="s">
        <v>2276</v>
      </c>
      <c r="C811" s="3" t="s">
        <v>15</v>
      </c>
      <c r="D811" s="3">
        <v>150</v>
      </c>
      <c r="E811" s="3" t="s">
        <v>10</v>
      </c>
      <c r="F811" s="3">
        <v>2</v>
      </c>
      <c r="G811" s="3">
        <v>4</v>
      </c>
      <c r="H811" s="3">
        <v>12</v>
      </c>
      <c r="I811" s="21">
        <f>Table43[[#This Row],[Item Cost]]*Table43[[#This Row],[In Stock]]</f>
        <v>1800</v>
      </c>
      <c r="J811" s="12" t="s">
        <v>4941</v>
      </c>
      <c r="K811" s="13" t="s">
        <v>4666</v>
      </c>
      <c r="L811" s="13" t="s">
        <v>4672</v>
      </c>
      <c r="M811" s="13" t="s">
        <v>4837</v>
      </c>
      <c r="N811" s="12" t="s">
        <v>4672</v>
      </c>
      <c r="O811" s="17" t="str">
        <f>IF(LEN(COUNTIFS($J$1:J811,$J811,$K$1:K811,$K811,$L$1:L811,$L811,$M$1:M811,M811,$N$1:N811,N811))=1,"00"&amp;COUNTIFS($J$1:J811,$J811,$K$1:K811,$K811,$L$1:L811,$L811,$M$1:M811,M811,$N$1:N811,N811),IF(LEN(COUNTIFS($J$1:J811,$J811,$K$1:K811,$K811,$L$1:L811,$L811,$M$1:M811,M811,$N$1:N811,N811))=2,"0"&amp;COUNTIFS($J$1:J811,$J811,$K$1:K811,$K811,$L$1:L811,$L811,$M$1:M811,M811,$N$1:N811,N811),COUNTIFS($J$1:J811,$J811,$K$1:K811,$K811,$L$1:L811,$L811,$M$1:M811,M811,$N$1:N811,N811)))</f>
        <v>007</v>
      </c>
      <c r="P81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MS-NS-000-26-00007-INV</v>
      </c>
      <c r="Q811" s="59"/>
      <c r="R811" s="34" t="s">
        <v>6582</v>
      </c>
      <c r="S811" s="34" t="s">
        <v>2276</v>
      </c>
      <c r="T811" s="34">
        <f>+IFERROR(_xlfn.XLOOKUP(Table43[[#This Row],[Column1]],#REF!,#REF!),0)</f>
        <v>0</v>
      </c>
      <c r="U811" s="50">
        <f>IFERROR(_xlfn.XLOOKUP(Table43[[#This Row],[Column1]],#REF!,#REF!),0)</f>
        <v>0</v>
      </c>
      <c r="V811" s="39"/>
    </row>
    <row r="812" spans="1:22" x14ac:dyDescent="0.35">
      <c r="A812" s="2" t="s">
        <v>2277</v>
      </c>
      <c r="B812" s="2" t="s">
        <v>2278</v>
      </c>
      <c r="C812" s="2" t="s">
        <v>15</v>
      </c>
      <c r="D812" s="2">
        <v>150</v>
      </c>
      <c r="E812" s="2" t="s">
        <v>10</v>
      </c>
      <c r="F812" s="3">
        <v>2</v>
      </c>
      <c r="G812" s="3">
        <v>4</v>
      </c>
      <c r="H812" s="2">
        <v>12</v>
      </c>
      <c r="I812" s="22">
        <f>Table43[[#This Row],[Item Cost]]*Table43[[#This Row],[In Stock]]</f>
        <v>1800</v>
      </c>
      <c r="J812" s="12" t="s">
        <v>4941</v>
      </c>
      <c r="K812" s="13" t="s">
        <v>4666</v>
      </c>
      <c r="L812" s="13" t="s">
        <v>4672</v>
      </c>
      <c r="M812" s="13" t="s">
        <v>4837</v>
      </c>
      <c r="N812" s="12" t="s">
        <v>4672</v>
      </c>
      <c r="O812" s="17" t="str">
        <f>IF(LEN(COUNTIFS($J$1:J812,$J812,$K$1:K812,$K812,$L$1:L812,$L812,$M$1:M812,M812,$N$1:N812,N812))=1,"00"&amp;COUNTIFS($J$1:J812,$J812,$K$1:K812,$K812,$L$1:L812,$L812,$M$1:M812,M812,$N$1:N812,N812),IF(LEN(COUNTIFS($J$1:J812,$J812,$K$1:K812,$K812,$L$1:L812,$L812,$M$1:M812,M812,$N$1:N812,N812))=2,"0"&amp;COUNTIFS($J$1:J812,$J812,$K$1:K812,$K812,$L$1:L812,$L812,$M$1:M812,M812,$N$1:N812,N812),COUNTIFS($J$1:J812,$J812,$K$1:K812,$K812,$L$1:L812,$L812,$M$1:M812,M812,$N$1:N812,N812)))</f>
        <v>008</v>
      </c>
      <c r="P81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MS-NS-000-26-00008-INV</v>
      </c>
      <c r="Q812" s="59" t="s">
        <v>7335</v>
      </c>
      <c r="R812" s="34" t="s">
        <v>6583</v>
      </c>
      <c r="S812" s="34" t="s">
        <v>2278</v>
      </c>
      <c r="T812" s="34">
        <f>+IFERROR(_xlfn.XLOOKUP(Table43[[#This Row],[Column1]],#REF!,#REF!),0)</f>
        <v>0</v>
      </c>
      <c r="U812" s="50">
        <f>IFERROR(_xlfn.XLOOKUP(Table43[[#This Row],[Column1]],#REF!,#REF!),0)</f>
        <v>0</v>
      </c>
      <c r="V812" s="39"/>
    </row>
    <row r="813" spans="1:22" x14ac:dyDescent="0.35">
      <c r="A813" s="3" t="s">
        <v>7308</v>
      </c>
      <c r="B813" s="3" t="s">
        <v>7260</v>
      </c>
      <c r="C813" s="2" t="s">
        <v>15</v>
      </c>
      <c r="D813" s="2">
        <v>150</v>
      </c>
      <c r="E813" s="2" t="s">
        <v>10</v>
      </c>
      <c r="F813" s="3">
        <v>2</v>
      </c>
      <c r="G813" s="3">
        <v>4</v>
      </c>
      <c r="H813" s="2">
        <v>12</v>
      </c>
      <c r="I813" s="22">
        <f>Table43[[#This Row],[Item Cost]]*Table43[[#This Row],[In Stock]]</f>
        <v>1800</v>
      </c>
      <c r="J813" s="12" t="s">
        <v>4941</v>
      </c>
      <c r="K813" s="13" t="s">
        <v>4666</v>
      </c>
      <c r="L813" s="13" t="s">
        <v>4672</v>
      </c>
      <c r="M813" s="13" t="s">
        <v>4672</v>
      </c>
      <c r="N813" s="12" t="s">
        <v>4672</v>
      </c>
      <c r="O813" s="17" t="str">
        <f>IF(LEN(COUNTIFS($J$1:J813,$J813,$K$1:K813,$K813,$L$1:L813,$L813,$M$1:M813,M813,$N$1:N813,N813))=1,"00"&amp;COUNTIFS($J$1:J813,$J813,$K$1:K813,$K813,$L$1:L813,$L813,$M$1:M813,M813,$N$1:N813,N813),IF(LEN(COUNTIFS($J$1:J813,$J813,$K$1:K813,$K813,$L$1:L813,$L813,$M$1:M813,M813,$N$1:N813,N813))=2,"0"&amp;COUNTIFS($J$1:J813,$J813,$K$1:K813,$K813,$L$1:L813,$L813,$M$1:M813,M813,$N$1:N813,N813),COUNTIFS($J$1:J813,$J813,$K$1:K813,$K813,$L$1:L813,$L813,$M$1:M813,M813,$N$1:N813,N813)))</f>
        <v>002</v>
      </c>
      <c r="P81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MS-NS-000-00-00002-INV</v>
      </c>
      <c r="Q813" s="59"/>
      <c r="R813" s="34"/>
      <c r="S813" s="34"/>
      <c r="T813" s="34">
        <f>+IFERROR(_xlfn.XLOOKUP(Table43[[#This Row],[Column1]],#REF!,#REF!),0)</f>
        <v>0</v>
      </c>
      <c r="U813" s="51">
        <f>IFERROR(_xlfn.XLOOKUP(Table43[[#This Row],[Column1]],#REF!,#REF!),0)</f>
        <v>0</v>
      </c>
      <c r="V813" s="39"/>
    </row>
    <row r="814" spans="1:22" x14ac:dyDescent="0.35">
      <c r="A814" s="3" t="s">
        <v>2279</v>
      </c>
      <c r="B814" s="3" t="s">
        <v>2280</v>
      </c>
      <c r="C814" s="3" t="s">
        <v>15</v>
      </c>
      <c r="D814" s="5">
        <v>6000</v>
      </c>
      <c r="E814" s="3" t="s">
        <v>10</v>
      </c>
      <c r="F814" s="3">
        <v>2</v>
      </c>
      <c r="G814" s="3">
        <v>4</v>
      </c>
      <c r="H814" s="3">
        <v>1</v>
      </c>
      <c r="I814" s="21">
        <f>Table43[[#This Row],[Item Cost]]*Table43[[#This Row],[In Stock]]</f>
        <v>6000</v>
      </c>
      <c r="J814" s="12" t="s">
        <v>4941</v>
      </c>
      <c r="K814" s="13" t="s">
        <v>4666</v>
      </c>
      <c r="L814" s="13" t="s">
        <v>4705</v>
      </c>
      <c r="M814" s="13" t="s">
        <v>4770</v>
      </c>
      <c r="N814" s="12" t="s">
        <v>4672</v>
      </c>
      <c r="O814" s="17" t="str">
        <f>IF(LEN(COUNTIFS($J$1:J814,$J814,$K$1:K814,$K814,$L$1:L814,$L814,$M$1:M814,M814,$N$1:N814,N814))=1,"00"&amp;COUNTIFS($J$1:J814,$J814,$K$1:K814,$K814,$L$1:L814,$L814,$M$1:M814,M814,$N$1:N814,N814),IF(LEN(COUNTIFS($J$1:J814,$J814,$K$1:K814,$K814,$L$1:L814,$L814,$M$1:M814,M814,$N$1:N814,N814))=2,"0"&amp;COUNTIFS($J$1:J814,$J814,$K$1:K814,$K814,$L$1:L814,$L814,$M$1:M814,M814,$N$1:N814,N814),COUNTIFS($J$1:J814,$J814,$K$1:K814,$K814,$L$1:L814,$L814,$M$1:M814,M814,$N$1:N814,N814)))</f>
        <v>001</v>
      </c>
      <c r="P81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MS-NS-017-04-00001-INV</v>
      </c>
      <c r="Q814" s="59"/>
      <c r="R814" s="34" t="s">
        <v>6584</v>
      </c>
      <c r="S814" s="34" t="s">
        <v>2280</v>
      </c>
      <c r="T814" s="34">
        <f>+IFERROR(_xlfn.XLOOKUP(Table43[[#This Row],[Column1]],#REF!,#REF!),0)</f>
        <v>0</v>
      </c>
      <c r="U814" s="50">
        <f>IFERROR(_xlfn.XLOOKUP(Table43[[#This Row],[Column1]],#REF!,#REF!),0)</f>
        <v>0</v>
      </c>
      <c r="V814" s="39"/>
    </row>
    <row r="815" spans="1:22" x14ac:dyDescent="0.35">
      <c r="A815" s="2" t="s">
        <v>2281</v>
      </c>
      <c r="B815" s="2" t="s">
        <v>2282</v>
      </c>
      <c r="C815" s="2" t="s">
        <v>15</v>
      </c>
      <c r="D815" s="4">
        <v>6000</v>
      </c>
      <c r="E815" s="2" t="s">
        <v>10</v>
      </c>
      <c r="F815" s="3">
        <v>2</v>
      </c>
      <c r="G815" s="3">
        <v>4</v>
      </c>
      <c r="H815" s="2">
        <v>0</v>
      </c>
      <c r="I815" s="22">
        <f>Table43[[#This Row],[Item Cost]]*Table43[[#This Row],[In Stock]]</f>
        <v>0</v>
      </c>
      <c r="J815" s="12" t="s">
        <v>4941</v>
      </c>
      <c r="K815" s="13" t="s">
        <v>4666</v>
      </c>
      <c r="L815" s="13" t="s">
        <v>4705</v>
      </c>
      <c r="M815" s="13" t="s">
        <v>4770</v>
      </c>
      <c r="N815" s="12" t="s">
        <v>4672</v>
      </c>
      <c r="O815" s="17" t="str">
        <f>IF(LEN(COUNTIFS($J$1:J815,$J815,$K$1:K815,$K815,$L$1:L815,$L815,$M$1:M815,M815,$N$1:N815,N815))=1,"00"&amp;COUNTIFS($J$1:J815,$J815,$K$1:K815,$K815,$L$1:L815,$L815,$M$1:M815,M815,$N$1:N815,N815),IF(LEN(COUNTIFS($J$1:J815,$J815,$K$1:K815,$K815,$L$1:L815,$L815,$M$1:M815,M815,$N$1:N815,N815))=2,"0"&amp;COUNTIFS($J$1:J815,$J815,$K$1:K815,$K815,$L$1:L815,$L815,$M$1:M815,M815,$N$1:N815,N815),COUNTIFS($J$1:J815,$J815,$K$1:K815,$K815,$L$1:L815,$L815,$M$1:M815,M815,$N$1:N815,N815)))</f>
        <v>002</v>
      </c>
      <c r="P81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MS-NS-017-04-00002-INV</v>
      </c>
      <c r="Q815" s="59"/>
      <c r="R815" s="34" t="s">
        <v>6585</v>
      </c>
      <c r="S815" s="34" t="s">
        <v>2282</v>
      </c>
      <c r="T815" s="34">
        <f>+IFERROR(_xlfn.XLOOKUP(Table43[[#This Row],[Column1]],#REF!,#REF!),0)</f>
        <v>0</v>
      </c>
      <c r="U815" s="50">
        <f>IFERROR(_xlfn.XLOOKUP(Table43[[#This Row],[Column1]],#REF!,#REF!),0)</f>
        <v>0</v>
      </c>
      <c r="V815" s="39"/>
    </row>
    <row r="816" spans="1:22" x14ac:dyDescent="0.35">
      <c r="A816" s="3" t="s">
        <v>2283</v>
      </c>
      <c r="B816" s="3" t="s">
        <v>2284</v>
      </c>
      <c r="C816" s="3" t="s">
        <v>15</v>
      </c>
      <c r="D816" s="3">
        <v>850</v>
      </c>
      <c r="E816" s="3" t="s">
        <v>10</v>
      </c>
      <c r="F816" s="3">
        <v>2</v>
      </c>
      <c r="G816" s="3">
        <v>4</v>
      </c>
      <c r="H816" s="3">
        <v>1</v>
      </c>
      <c r="I816" s="21">
        <f>Table43[[#This Row],[Item Cost]]*Table43[[#This Row],[In Stock]]</f>
        <v>850</v>
      </c>
      <c r="J816" s="12" t="s">
        <v>4941</v>
      </c>
      <c r="K816" s="13" t="s">
        <v>4666</v>
      </c>
      <c r="L816" s="13" t="s">
        <v>4705</v>
      </c>
      <c r="M816" s="13" t="s">
        <v>4693</v>
      </c>
      <c r="N816" s="12" t="s">
        <v>4672</v>
      </c>
      <c r="O816" s="17" t="str">
        <f>IF(LEN(COUNTIFS($J$1:J816,$J816,$K$1:K816,$K816,$L$1:L816,$L816,$M$1:M816,M816,$N$1:N816,N816))=1,"00"&amp;COUNTIFS($J$1:J816,$J816,$K$1:K816,$K816,$L$1:L816,$L816,$M$1:M816,M816,$N$1:N816,N816),IF(LEN(COUNTIFS($J$1:J816,$J816,$K$1:K816,$K816,$L$1:L816,$L816,$M$1:M816,M816,$N$1:N816,N816))=2,"0"&amp;COUNTIFS($J$1:J816,$J816,$K$1:K816,$K816,$L$1:L816,$L816,$M$1:M816,M816,$N$1:N816,N816),COUNTIFS($J$1:J816,$J816,$K$1:K816,$K816,$L$1:L816,$L816,$M$1:M816,M816,$N$1:N816,N816)))</f>
        <v>001</v>
      </c>
      <c r="P81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MS-NS-017-23-00001-INV</v>
      </c>
      <c r="Q816" s="59"/>
      <c r="R816" s="34" t="s">
        <v>6586</v>
      </c>
      <c r="S816" s="34" t="s">
        <v>2284</v>
      </c>
      <c r="T816" s="34">
        <f>+IFERROR(_xlfn.XLOOKUP(Table43[[#This Row],[Column1]],#REF!,#REF!),0)</f>
        <v>0</v>
      </c>
      <c r="U816" s="50">
        <f>IFERROR(_xlfn.XLOOKUP(Table43[[#This Row],[Column1]],#REF!,#REF!),0)</f>
        <v>0</v>
      </c>
      <c r="V816" s="39"/>
    </row>
    <row r="817" spans="1:22" x14ac:dyDescent="0.35">
      <c r="A817" s="2" t="s">
        <v>2285</v>
      </c>
      <c r="B817" s="2" t="s">
        <v>2286</v>
      </c>
      <c r="C817" s="2" t="s">
        <v>15</v>
      </c>
      <c r="D817" s="4">
        <v>5500</v>
      </c>
      <c r="E817" s="2" t="s">
        <v>10</v>
      </c>
      <c r="F817" s="3">
        <v>2</v>
      </c>
      <c r="G817" s="3">
        <v>4</v>
      </c>
      <c r="H817" s="2">
        <v>2</v>
      </c>
      <c r="I817" s="22">
        <f>Table43[[#This Row],[Item Cost]]*Table43[[#This Row],[In Stock]]</f>
        <v>11000</v>
      </c>
      <c r="J817" s="12" t="s">
        <v>4941</v>
      </c>
      <c r="K817" s="13" t="s">
        <v>4666</v>
      </c>
      <c r="L817" s="13" t="s">
        <v>4705</v>
      </c>
      <c r="M817" s="13" t="s">
        <v>4840</v>
      </c>
      <c r="N817" s="12" t="s">
        <v>4672</v>
      </c>
      <c r="O817" s="17" t="str">
        <f>IF(LEN(COUNTIFS($J$1:J817,$J817,$K$1:K817,$K817,$L$1:L817,$L817,$M$1:M817,M817,$N$1:N817,N817))=1,"00"&amp;COUNTIFS($J$1:J817,$J817,$K$1:K817,$K817,$L$1:L817,$L817,$M$1:M817,M817,$N$1:N817,N817),IF(LEN(COUNTIFS($J$1:J817,$J817,$K$1:K817,$K817,$L$1:L817,$L817,$M$1:M817,M817,$N$1:N817,N817))=2,"0"&amp;COUNTIFS($J$1:J817,$J817,$K$1:K817,$K817,$L$1:L817,$L817,$M$1:M817,M817,$N$1:N817,N817),COUNTIFS($J$1:J817,$J817,$K$1:K817,$K817,$L$1:L817,$L817,$M$1:M817,M817,$N$1:N817,N817)))</f>
        <v>001</v>
      </c>
      <c r="P81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MS-NS-017-15-00001-INV</v>
      </c>
      <c r="Q817" s="59"/>
      <c r="R817" s="34" t="s">
        <v>6587</v>
      </c>
      <c r="S817" s="34" t="s">
        <v>2286</v>
      </c>
      <c r="T817" s="34">
        <f>+IFERROR(_xlfn.XLOOKUP(Table43[[#This Row],[Column1]],#REF!,#REF!),0)</f>
        <v>0</v>
      </c>
      <c r="U817" s="50">
        <f>IFERROR(_xlfn.XLOOKUP(Table43[[#This Row],[Column1]],#REF!,#REF!),0)</f>
        <v>0</v>
      </c>
      <c r="V817" s="39"/>
    </row>
    <row r="818" spans="1:22" x14ac:dyDescent="0.35">
      <c r="A818" s="3" t="s">
        <v>2287</v>
      </c>
      <c r="B818" s="3" t="s">
        <v>2288</v>
      </c>
      <c r="C818" s="3" t="s">
        <v>15</v>
      </c>
      <c r="D818" s="3">
        <v>0</v>
      </c>
      <c r="E818" s="3" t="s">
        <v>10</v>
      </c>
      <c r="F818" s="3">
        <v>0</v>
      </c>
      <c r="G818" s="3">
        <v>100</v>
      </c>
      <c r="H818" s="3">
        <v>0</v>
      </c>
      <c r="I818" s="21">
        <f>Table43[[#This Row],[Item Cost]]*Table43[[#This Row],[In Stock]]</f>
        <v>0</v>
      </c>
      <c r="J818" s="12" t="s">
        <v>4941</v>
      </c>
      <c r="K818" s="13" t="s">
        <v>4666</v>
      </c>
      <c r="L818" s="13" t="s">
        <v>4705</v>
      </c>
      <c r="M818" s="13" t="s">
        <v>4693</v>
      </c>
      <c r="N818" s="12" t="s">
        <v>4672</v>
      </c>
      <c r="O818" s="17" t="str">
        <f>IF(LEN(COUNTIFS($J$1:J818,$J818,$K$1:K818,$K818,$L$1:L818,$L818,$M$1:M818,M818,$N$1:N818,N818))=1,"00"&amp;COUNTIFS($J$1:J818,$J818,$K$1:K818,$K818,$L$1:L818,$L818,$M$1:M818,M818,$N$1:N818,N818),IF(LEN(COUNTIFS($J$1:J818,$J818,$K$1:K818,$K818,$L$1:L818,$L818,$M$1:M818,M818,$N$1:N818,N818))=2,"0"&amp;COUNTIFS($J$1:J818,$J818,$K$1:K818,$K818,$L$1:L818,$L818,$M$1:M818,M818,$N$1:N818,N818),COUNTIFS($J$1:J818,$J818,$K$1:K818,$K818,$L$1:L818,$L818,$M$1:M818,M818,$N$1:N818,N818)))</f>
        <v>002</v>
      </c>
      <c r="P81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MS-NS-017-23-00002-INV</v>
      </c>
      <c r="Q818" s="59"/>
      <c r="R818" s="34"/>
      <c r="S818" s="34">
        <v>0</v>
      </c>
      <c r="T818" s="34">
        <f>+IFERROR(_xlfn.XLOOKUP(Table43[[#This Row],[Column1]],#REF!,#REF!),0)</f>
        <v>0</v>
      </c>
      <c r="U818" s="50">
        <f>IFERROR(_xlfn.XLOOKUP(Table43[[#This Row],[Column1]],#REF!,#REF!),0)</f>
        <v>0</v>
      </c>
      <c r="V818" s="39"/>
    </row>
    <row r="819" spans="1:22" x14ac:dyDescent="0.35">
      <c r="A819" s="3" t="s">
        <v>5469</v>
      </c>
      <c r="B819" s="3" t="s">
        <v>2346</v>
      </c>
      <c r="C819" s="3" t="s">
        <v>9</v>
      </c>
      <c r="D819" s="3">
        <v>19958.79</v>
      </c>
      <c r="E819" s="3" t="s">
        <v>10</v>
      </c>
      <c r="F819" s="2">
        <v>1</v>
      </c>
      <c r="G819" s="2">
        <v>2</v>
      </c>
      <c r="H819" s="3">
        <v>1</v>
      </c>
      <c r="I819" s="21">
        <f>Table43[[#This Row],[Item Cost]]*Table43[[#This Row],[In Stock]]</f>
        <v>19958.79</v>
      </c>
      <c r="J819" s="12" t="s">
        <v>4944</v>
      </c>
      <c r="K819" s="13" t="s">
        <v>4664</v>
      </c>
      <c r="L819" s="13" t="s">
        <v>4860</v>
      </c>
      <c r="M819" s="13" t="s">
        <v>4832</v>
      </c>
      <c r="N819" s="12" t="s">
        <v>4672</v>
      </c>
      <c r="O819" s="17" t="str">
        <f>IF(LEN(COUNTIFS($J$1:J860,$J819,$K$1:K860,$K819,$L$1:L860,$L819,$M$1:M860,M819,$N$1:N860,N819))=1,"00"&amp;COUNTIFS($J$1:J860,$J819,$K$1:K860,$K819,$L$1:L860,$L819,$M$1:M860,M819,$N$1:N860,N819),IF(LEN(COUNTIFS($J$1:J860,$J819,$K$1:K860,$K819,$L$1:L860,$L819,$M$1:M860,M819,$N$1:N860,N819))=2,"0"&amp;COUNTIFS($J$1:J860,$J819,$K$1:K860,$K819,$L$1:L860,$L819,$M$1:M860,M819,$N$1:N860,N819),COUNTIFS($J$1:J860,$J819,$K$1:K860,$K819,$L$1:L860,$L819,$M$1:M860,M819,$N$1:N860,N819)))</f>
        <v>001</v>
      </c>
      <c r="P81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KS-CS-034-07-00001-INV</v>
      </c>
      <c r="Q819" s="59" t="s">
        <v>7370</v>
      </c>
      <c r="R819" s="34" t="s">
        <v>6588</v>
      </c>
      <c r="S819" s="34" t="s">
        <v>2346</v>
      </c>
      <c r="T819" s="34">
        <f>+IFERROR(_xlfn.XLOOKUP(Table43[[#This Row],[Column1]],#REF!,#REF!),0)</f>
        <v>0</v>
      </c>
      <c r="U819" s="50">
        <f>IFERROR(_xlfn.XLOOKUP(Table43[[#This Row],[Column1]],#REF!,#REF!),0)</f>
        <v>0</v>
      </c>
      <c r="V819" s="39"/>
    </row>
    <row r="820" spans="1:22" x14ac:dyDescent="0.35">
      <c r="A820" s="3" t="s">
        <v>7276</v>
      </c>
      <c r="B820" s="3" t="s">
        <v>7320</v>
      </c>
      <c r="C820" s="3" t="s">
        <v>15</v>
      </c>
      <c r="D820" s="3"/>
      <c r="E820" s="3" t="s">
        <v>10</v>
      </c>
      <c r="F820" s="2"/>
      <c r="G820" s="2"/>
      <c r="H820" s="3"/>
      <c r="I820" s="21">
        <f>Table43[[#This Row],[Item Cost]]*Table43[[#This Row],[In Stock]]</f>
        <v>0</v>
      </c>
      <c r="J820" s="12" t="s">
        <v>4944</v>
      </c>
      <c r="K820" s="13" t="s">
        <v>4666</v>
      </c>
      <c r="L820" s="13" t="s">
        <v>4693</v>
      </c>
      <c r="M820" s="13" t="s">
        <v>4672</v>
      </c>
      <c r="N820" s="12" t="s">
        <v>4672</v>
      </c>
      <c r="O820" s="17" t="str">
        <f>IF(LEN(COUNTIFS($J$1:J820,$J820,$K$1:K820,$K820,$L$1:L820,$L820,$M$1:M820,M820,$N$1:N820,N820))=1,"00"&amp;COUNTIFS($J$1:J820,$J820,$K$1:K820,$K820,$L$1:L820,$L820,$M$1:M820,M820,$N$1:N820,N820),IF(LEN(COUNTIFS($J$1:J820,$J820,$K$1:K820,$K820,$L$1:L820,$L820,$M$1:M820,M820,$N$1:N820,N820))=2,"0"&amp;COUNTIFS($J$1:J820,$J820,$K$1:K820,$K820,$L$1:L820,$L820,$M$1:M820,M820,$N$1:N820,N820),COUNTIFS($J$1:J820,$J820,$K$1:K820,$K820,$L$1:L820,$L820,$M$1:M820,M820,$N$1:N820,N820)))</f>
        <v>001</v>
      </c>
      <c r="P82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KS-NS-012-00-00001-INV</v>
      </c>
      <c r="Q820" s="59"/>
      <c r="R820" s="34"/>
      <c r="S820" s="34"/>
      <c r="T820" s="34">
        <f>+IFERROR(_xlfn.XLOOKUP(Table43[[#This Row],[Column1]],#REF!,#REF!),0)</f>
        <v>0</v>
      </c>
      <c r="U820" s="51">
        <f>IFERROR(_xlfn.XLOOKUP(Table43[[#This Row],[Column1]],#REF!,#REF!),0)</f>
        <v>0</v>
      </c>
      <c r="V820" s="39"/>
    </row>
    <row r="821" spans="1:22" x14ac:dyDescent="0.35">
      <c r="A821" s="3" t="s">
        <v>2454</v>
      </c>
      <c r="B821" s="3" t="s">
        <v>2455</v>
      </c>
      <c r="C821" s="3" t="s">
        <v>9</v>
      </c>
      <c r="D821" s="5">
        <v>4980</v>
      </c>
      <c r="E821" s="3" t="s">
        <v>10</v>
      </c>
      <c r="F821" s="2">
        <v>1</v>
      </c>
      <c r="G821" s="3">
        <v>2</v>
      </c>
      <c r="H821" s="3">
        <v>1</v>
      </c>
      <c r="I821" s="21">
        <f>Table43[[#This Row],[Item Cost]]*Table43[[#This Row],[In Stock]]</f>
        <v>4980</v>
      </c>
      <c r="J821" s="12" t="s">
        <v>4941</v>
      </c>
      <c r="K821" s="13" t="s">
        <v>4664</v>
      </c>
      <c r="L821" s="13" t="s">
        <v>4703</v>
      </c>
      <c r="M821" s="13" t="s">
        <v>4693</v>
      </c>
      <c r="N821" s="12" t="s">
        <v>4672</v>
      </c>
      <c r="O821" s="17" t="str">
        <f>IF(LEN(COUNTIFS($J$1:J821,$J821,$K$1:K821,$K821,$L$1:L821,$L821,$M$1:M821,M821,$N$1:N821,N821))=1,"00"&amp;COUNTIFS($J$1:J821,$J821,$K$1:K821,$K821,$L$1:L821,$L821,$M$1:M821,M821,$N$1:N821,N821),IF(LEN(COUNTIFS($J$1:J821,$J821,$K$1:K821,$K821,$L$1:L821,$L821,$M$1:M821,M821,$N$1:N821,N821))=2,"0"&amp;COUNTIFS($J$1:J821,$J821,$K$1:K821,$K821,$L$1:L821,$L821,$M$1:M821,M821,$N$1:N821,N821),COUNTIFS($J$1:J821,$J821,$K$1:K821,$K821,$L$1:L821,$L821,$M$1:M821,M821,$N$1:N821,N821)))</f>
        <v>001</v>
      </c>
      <c r="P82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MS-CS-016-23-00001-INV</v>
      </c>
      <c r="Q821" s="59"/>
      <c r="R821" s="34" t="s">
        <v>6592</v>
      </c>
      <c r="S821" s="34" t="s">
        <v>2455</v>
      </c>
      <c r="T821" s="34">
        <f>+IFERROR(_xlfn.XLOOKUP(Table43[[#This Row],[Column1]],#REF!,#REF!),0)</f>
        <v>0</v>
      </c>
      <c r="U821" s="50">
        <f>IFERROR(_xlfn.XLOOKUP(Table43[[#This Row],[Column1]],#REF!,#REF!),0)</f>
        <v>0</v>
      </c>
      <c r="V821" s="39"/>
    </row>
    <row r="822" spans="1:22" x14ac:dyDescent="0.35">
      <c r="A822" s="2" t="s">
        <v>2456</v>
      </c>
      <c r="B822" s="2" t="s">
        <v>2457</v>
      </c>
      <c r="C822" s="2" t="s">
        <v>15</v>
      </c>
      <c r="D822" s="2">
        <v>0</v>
      </c>
      <c r="E822" s="2" t="s">
        <v>10</v>
      </c>
      <c r="F822" s="2">
        <v>1</v>
      </c>
      <c r="G822" s="2">
        <v>2</v>
      </c>
      <c r="H822" s="2">
        <v>0</v>
      </c>
      <c r="I822" s="22">
        <f>Table43[[#This Row],[Item Cost]]*Table43[[#This Row],[In Stock]]</f>
        <v>0</v>
      </c>
      <c r="J822" s="12" t="s">
        <v>4941</v>
      </c>
      <c r="K822" s="13" t="s">
        <v>4666</v>
      </c>
      <c r="L822" s="13" t="s">
        <v>4703</v>
      </c>
      <c r="M822" s="13" t="s">
        <v>4693</v>
      </c>
      <c r="N822" s="12" t="s">
        <v>4672</v>
      </c>
      <c r="O822" s="17" t="str">
        <f>IF(LEN(COUNTIFS($J$1:J822,$J822,$K$1:K822,$K822,$L$1:L822,$L822,$M$1:M822,M822,$N$1:N822,N822))=1,"00"&amp;COUNTIFS($J$1:J822,$J822,$K$1:K822,$K822,$L$1:L822,$L822,$M$1:M822,M822,$N$1:N822,N822),IF(LEN(COUNTIFS($J$1:J822,$J822,$K$1:K822,$K822,$L$1:L822,$L822,$M$1:M822,M822,$N$1:N822,N822))=2,"0"&amp;COUNTIFS($J$1:J822,$J822,$K$1:K822,$K822,$L$1:L822,$L822,$M$1:M822,M822,$N$1:N822,N822),COUNTIFS($J$1:J822,$J822,$K$1:K822,$K822,$L$1:L822,$L822,$M$1:M822,M822,$N$1:N822,N822)))</f>
        <v>001</v>
      </c>
      <c r="P82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MS-NS-016-23-00001-INV</v>
      </c>
      <c r="Q822" s="59"/>
      <c r="R822" s="34" t="s">
        <v>6593</v>
      </c>
      <c r="S822" s="34" t="s">
        <v>2457</v>
      </c>
      <c r="T822" s="34">
        <f>+IFERROR(_xlfn.XLOOKUP(Table43[[#This Row],[Column1]],#REF!,#REF!),0)</f>
        <v>0</v>
      </c>
      <c r="U822" s="50">
        <f>IFERROR(_xlfn.XLOOKUP(Table43[[#This Row],[Column1]],#REF!,#REF!),0)</f>
        <v>0</v>
      </c>
      <c r="V822" s="39"/>
    </row>
    <row r="823" spans="1:22" x14ac:dyDescent="0.35">
      <c r="A823" s="3" t="s">
        <v>2458</v>
      </c>
      <c r="B823" s="3" t="s">
        <v>2459</v>
      </c>
      <c r="C823" s="3" t="s">
        <v>15</v>
      </c>
      <c r="D823" s="3">
        <v>0</v>
      </c>
      <c r="E823" s="3" t="s">
        <v>10</v>
      </c>
      <c r="F823" s="2">
        <v>1</v>
      </c>
      <c r="G823" s="2">
        <v>2</v>
      </c>
      <c r="H823" s="3">
        <v>0</v>
      </c>
      <c r="I823" s="21">
        <f>Table43[[#This Row],[Item Cost]]*Table43[[#This Row],[In Stock]]</f>
        <v>0</v>
      </c>
      <c r="J823" s="12" t="s">
        <v>4941</v>
      </c>
      <c r="K823" s="13" t="s">
        <v>4666</v>
      </c>
      <c r="L823" s="13" t="s">
        <v>4703</v>
      </c>
      <c r="M823" s="13" t="s">
        <v>4693</v>
      </c>
      <c r="N823" s="12" t="s">
        <v>4672</v>
      </c>
      <c r="O823" s="17" t="str">
        <f>IF(LEN(COUNTIFS($J$1:J823,$J823,$K$1:K823,$K823,$L$1:L823,$L823,$M$1:M823,M823,$N$1:N823,N823))=1,"00"&amp;COUNTIFS($J$1:J823,$J823,$K$1:K823,$K823,$L$1:L823,$L823,$M$1:M823,M823,$N$1:N823,N823),IF(LEN(COUNTIFS($J$1:J823,$J823,$K$1:K823,$K823,$L$1:L823,$L823,$M$1:M823,M823,$N$1:N823,N823))=2,"0"&amp;COUNTIFS($J$1:J823,$J823,$K$1:K823,$K823,$L$1:L823,$L823,$M$1:M823,M823,$N$1:N823,N823),COUNTIFS($J$1:J823,$J823,$K$1:K823,$K823,$L$1:L823,$L823,$M$1:M823,M823,$N$1:N823,N823)))</f>
        <v>002</v>
      </c>
      <c r="P82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MS-NS-016-23-00002-INV</v>
      </c>
      <c r="Q823" s="59"/>
      <c r="R823" s="34" t="s">
        <v>6594</v>
      </c>
      <c r="S823" s="34" t="s">
        <v>2459</v>
      </c>
      <c r="T823" s="34">
        <f>+IFERROR(_xlfn.XLOOKUP(Table43[[#This Row],[Column1]],#REF!,#REF!),0)</f>
        <v>0</v>
      </c>
      <c r="U823" s="50">
        <f>IFERROR(_xlfn.XLOOKUP(Table43[[#This Row],[Column1]],#REF!,#REF!),0)</f>
        <v>0</v>
      </c>
      <c r="V823" s="39"/>
    </row>
    <row r="824" spans="1:22" x14ac:dyDescent="0.35">
      <c r="A824" s="2" t="s">
        <v>2460</v>
      </c>
      <c r="B824" s="2" t="s">
        <v>2461</v>
      </c>
      <c r="C824" s="2" t="s">
        <v>15</v>
      </c>
      <c r="D824" s="2">
        <v>0</v>
      </c>
      <c r="E824" s="2" t="s">
        <v>10</v>
      </c>
      <c r="F824" s="2">
        <v>1</v>
      </c>
      <c r="G824" s="2">
        <v>2</v>
      </c>
      <c r="H824" s="2">
        <v>0</v>
      </c>
      <c r="I824" s="22">
        <f>Table43[[#This Row],[Item Cost]]*Table43[[#This Row],[In Stock]]</f>
        <v>0</v>
      </c>
      <c r="J824" s="12" t="s">
        <v>4941</v>
      </c>
      <c r="K824" s="13" t="s">
        <v>4666</v>
      </c>
      <c r="L824" s="13" t="s">
        <v>4703</v>
      </c>
      <c r="M824" s="13" t="s">
        <v>4775</v>
      </c>
      <c r="N824" s="12" t="s">
        <v>4672</v>
      </c>
      <c r="O824" s="17" t="str">
        <f>IF(LEN(COUNTIFS($J$1:J824,$J824,$K$1:K824,$K824,$L$1:L824,$L824,$M$1:M824,M824,$N$1:N824,N824))=1,"00"&amp;COUNTIFS($J$1:J824,$J824,$K$1:K824,$K824,$L$1:L824,$L824,$M$1:M824,M824,$N$1:N824,N824),IF(LEN(COUNTIFS($J$1:J824,$J824,$K$1:K824,$K824,$L$1:L824,$L824,$M$1:M824,M824,$N$1:N824,N824))=2,"0"&amp;COUNTIFS($J$1:J824,$J824,$K$1:K824,$K824,$L$1:L824,$L824,$M$1:M824,M824,$N$1:N824,N824),COUNTIFS($J$1:J824,$J824,$K$1:K824,$K824,$L$1:L824,$L824,$M$1:M824,M824,$N$1:N824,N824)))</f>
        <v>001</v>
      </c>
      <c r="P82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MS-NS-016-09-00001-INV</v>
      </c>
      <c r="Q824" s="59"/>
      <c r="R824" s="34" t="s">
        <v>6595</v>
      </c>
      <c r="S824" s="34" t="s">
        <v>2461</v>
      </c>
      <c r="T824" s="34">
        <f>+IFERROR(_xlfn.XLOOKUP(Table43[[#This Row],[Column1]],#REF!,#REF!),0)</f>
        <v>0</v>
      </c>
      <c r="U824" s="50">
        <f>IFERROR(_xlfn.XLOOKUP(Table43[[#This Row],[Column1]],#REF!,#REF!),0)</f>
        <v>0</v>
      </c>
      <c r="V824" s="39"/>
    </row>
    <row r="825" spans="1:22" x14ac:dyDescent="0.35">
      <c r="A825" s="3" t="s">
        <v>2462</v>
      </c>
      <c r="B825" s="3" t="s">
        <v>2463</v>
      </c>
      <c r="C825" s="3" t="s">
        <v>9</v>
      </c>
      <c r="D825" s="3">
        <v>230</v>
      </c>
      <c r="E825" s="3" t="s">
        <v>10</v>
      </c>
      <c r="F825" s="2">
        <v>1</v>
      </c>
      <c r="G825" s="3">
        <v>2</v>
      </c>
      <c r="H825" s="3">
        <v>1</v>
      </c>
      <c r="I825" s="21">
        <f>Table43[[#This Row],[Item Cost]]*Table43[[#This Row],[In Stock]]</f>
        <v>230</v>
      </c>
      <c r="J825" s="12" t="s">
        <v>4941</v>
      </c>
      <c r="K825" s="13" t="s">
        <v>4664</v>
      </c>
      <c r="L825" s="13" t="s">
        <v>4703</v>
      </c>
      <c r="M825" s="13" t="s">
        <v>4693</v>
      </c>
      <c r="N825" s="12" t="s">
        <v>4672</v>
      </c>
      <c r="O825" s="17" t="str">
        <f>IF(LEN(COUNTIFS($J$1:J825,$J825,$K$1:K825,$K825,$L$1:L825,$L825,$M$1:M825,M825,$N$1:N825,N825))=1,"00"&amp;COUNTIFS($J$1:J825,$J825,$K$1:K825,$K825,$L$1:L825,$L825,$M$1:M825,M825,$N$1:N825,N825),IF(LEN(COUNTIFS($J$1:J825,$J825,$K$1:K825,$K825,$L$1:L825,$L825,$M$1:M825,M825,$N$1:N825,N825))=2,"0"&amp;COUNTIFS($J$1:J825,$J825,$K$1:K825,$K825,$L$1:L825,$L825,$M$1:M825,M825,$N$1:N825,N825),COUNTIFS($J$1:J825,$J825,$K$1:K825,$K825,$L$1:L825,$L825,$M$1:M825,M825,$N$1:N825,N825)))</f>
        <v>002</v>
      </c>
      <c r="P82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MS-CS-016-23-00002-INV</v>
      </c>
      <c r="Q825" s="59"/>
      <c r="R825" s="34" t="s">
        <v>6596</v>
      </c>
      <c r="S825" s="34" t="s">
        <v>2463</v>
      </c>
      <c r="T825" s="34">
        <f>+IFERROR(_xlfn.XLOOKUP(Table43[[#This Row],[Column1]],#REF!,#REF!),0)</f>
        <v>0</v>
      </c>
      <c r="U825" s="50">
        <f>IFERROR(_xlfn.XLOOKUP(Table43[[#This Row],[Column1]],#REF!,#REF!),0)</f>
        <v>0</v>
      </c>
      <c r="V825" s="39"/>
    </row>
    <row r="826" spans="1:22" x14ac:dyDescent="0.35">
      <c r="A826" s="2" t="s">
        <v>2464</v>
      </c>
      <c r="B826" s="2" t="s">
        <v>2465</v>
      </c>
      <c r="C826" s="2" t="s">
        <v>9</v>
      </c>
      <c r="D826" s="4">
        <v>1150</v>
      </c>
      <c r="E826" s="2" t="s">
        <v>10</v>
      </c>
      <c r="F826" s="2">
        <v>1</v>
      </c>
      <c r="G826" s="3">
        <v>2</v>
      </c>
      <c r="H826" s="2">
        <v>1</v>
      </c>
      <c r="I826" s="22">
        <f>Table43[[#This Row],[Item Cost]]*Table43[[#This Row],[In Stock]]</f>
        <v>1150</v>
      </c>
      <c r="J826" s="12" t="s">
        <v>4941</v>
      </c>
      <c r="K826" s="13" t="s">
        <v>4664</v>
      </c>
      <c r="L826" s="13" t="s">
        <v>4703</v>
      </c>
      <c r="M826" s="13" t="s">
        <v>4693</v>
      </c>
      <c r="N826" s="12" t="s">
        <v>4672</v>
      </c>
      <c r="O826" s="17" t="str">
        <f>IF(LEN(COUNTIFS($J$1:J826,$J826,$K$1:K826,$K826,$L$1:L826,$L826,$M$1:M826,M826,$N$1:N826,N826))=1,"00"&amp;COUNTIFS($J$1:J826,$J826,$K$1:K826,$K826,$L$1:L826,$L826,$M$1:M826,M826,$N$1:N826,N826),IF(LEN(COUNTIFS($J$1:J826,$J826,$K$1:K826,$K826,$L$1:L826,$L826,$M$1:M826,M826,$N$1:N826,N826))=2,"0"&amp;COUNTIFS($J$1:J826,$J826,$K$1:K826,$K826,$L$1:L826,$L826,$M$1:M826,M826,$N$1:N826,N826),COUNTIFS($J$1:J826,$J826,$K$1:K826,$K826,$L$1:L826,$L826,$M$1:M826,M826,$N$1:N826,N826)))</f>
        <v>003</v>
      </c>
      <c r="P82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MS-CS-016-23-00003-INV</v>
      </c>
      <c r="Q826" s="59"/>
      <c r="R826" s="34" t="s">
        <v>6597</v>
      </c>
      <c r="S826" s="34" t="s">
        <v>2465</v>
      </c>
      <c r="T826" s="34">
        <f>+IFERROR(_xlfn.XLOOKUP(Table43[[#This Row],[Column1]],#REF!,#REF!),0)</f>
        <v>0</v>
      </c>
      <c r="U826" s="50">
        <f>IFERROR(_xlfn.XLOOKUP(Table43[[#This Row],[Column1]],#REF!,#REF!),0)</f>
        <v>0</v>
      </c>
      <c r="V826" s="39"/>
    </row>
    <row r="827" spans="1:22" x14ac:dyDescent="0.35">
      <c r="A827" s="3" t="s">
        <v>2466</v>
      </c>
      <c r="B827" s="3" t="s">
        <v>2467</v>
      </c>
      <c r="C827" s="3" t="s">
        <v>15</v>
      </c>
      <c r="D827" s="3">
        <v>0</v>
      </c>
      <c r="E827" s="3" t="s">
        <v>10</v>
      </c>
      <c r="F827" s="2">
        <v>1</v>
      </c>
      <c r="G827" s="2">
        <v>2</v>
      </c>
      <c r="H827" s="3">
        <v>0</v>
      </c>
      <c r="I827" s="21">
        <f>Table43[[#This Row],[Item Cost]]*Table43[[#This Row],[In Stock]]</f>
        <v>0</v>
      </c>
      <c r="J827" s="12" t="s">
        <v>4941</v>
      </c>
      <c r="K827" s="13" t="s">
        <v>4666</v>
      </c>
      <c r="L827" s="13" t="s">
        <v>4703</v>
      </c>
      <c r="M827" s="13" t="s">
        <v>4775</v>
      </c>
      <c r="N827" s="12" t="s">
        <v>4672</v>
      </c>
      <c r="O827" s="17" t="str">
        <f>IF(LEN(COUNTIFS($J$1:J827,$J827,$K$1:K827,$K827,$L$1:L827,$L827,$M$1:M827,M827,$N$1:N827,N827))=1,"00"&amp;COUNTIFS($J$1:J827,$J827,$K$1:K827,$K827,$L$1:L827,$L827,$M$1:M827,M827,$N$1:N827,N827),IF(LEN(COUNTIFS($J$1:J827,$J827,$K$1:K827,$K827,$L$1:L827,$L827,$M$1:M827,M827,$N$1:N827,N827))=2,"0"&amp;COUNTIFS($J$1:J827,$J827,$K$1:K827,$K827,$L$1:L827,$L827,$M$1:M827,M827,$N$1:N827,N827),COUNTIFS($J$1:J827,$J827,$K$1:K827,$K827,$L$1:L827,$L827,$M$1:M827,M827,$N$1:N827,N827)))</f>
        <v>002</v>
      </c>
      <c r="P82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MS-NS-016-09-00002-INV</v>
      </c>
      <c r="Q827" s="59" t="s">
        <v>7370</v>
      </c>
      <c r="R827" s="34" t="s">
        <v>6598</v>
      </c>
      <c r="S827" s="34" t="s">
        <v>2467</v>
      </c>
      <c r="T827" s="34">
        <f>+IFERROR(_xlfn.XLOOKUP(Table43[[#This Row],[Column1]],#REF!,#REF!),0)</f>
        <v>0</v>
      </c>
      <c r="U827" s="50">
        <f>IFERROR(_xlfn.XLOOKUP(Table43[[#This Row],[Column1]],#REF!,#REF!),0)</f>
        <v>0</v>
      </c>
      <c r="V827" s="39"/>
    </row>
    <row r="828" spans="1:22" x14ac:dyDescent="0.35">
      <c r="A828" s="2" t="s">
        <v>2468</v>
      </c>
      <c r="B828" s="2" t="s">
        <v>2469</v>
      </c>
      <c r="C828" s="2" t="s">
        <v>15</v>
      </c>
      <c r="D828" s="2">
        <v>0</v>
      </c>
      <c r="E828" s="2" t="s">
        <v>10</v>
      </c>
      <c r="F828" s="2">
        <v>1</v>
      </c>
      <c r="G828" s="2">
        <v>2</v>
      </c>
      <c r="H828" s="2">
        <v>0</v>
      </c>
      <c r="I828" s="22">
        <f>Table43[[#This Row],[Item Cost]]*Table43[[#This Row],[In Stock]]</f>
        <v>0</v>
      </c>
      <c r="J828" s="12" t="s">
        <v>4941</v>
      </c>
      <c r="K828" s="13" t="s">
        <v>4666</v>
      </c>
      <c r="L828" s="13" t="s">
        <v>4703</v>
      </c>
      <c r="M828" s="13" t="s">
        <v>4693</v>
      </c>
      <c r="N828" s="12" t="s">
        <v>4672</v>
      </c>
      <c r="O828" s="17" t="str">
        <f>IF(LEN(COUNTIFS($J$1:J828,$J828,$K$1:K828,$K828,$L$1:L828,$L828,$M$1:M828,M828,$N$1:N828,N828))=1,"00"&amp;COUNTIFS($J$1:J828,$J828,$K$1:K828,$K828,$L$1:L828,$L828,$M$1:M828,M828,$N$1:N828,N828),IF(LEN(COUNTIFS($J$1:J828,$J828,$K$1:K828,$K828,$L$1:L828,$L828,$M$1:M828,M828,$N$1:N828,N828))=2,"0"&amp;COUNTIFS($J$1:J828,$J828,$K$1:K828,$K828,$L$1:L828,$L828,$M$1:M828,M828,$N$1:N828,N828),COUNTIFS($J$1:J828,$J828,$K$1:K828,$K828,$L$1:L828,$L828,$M$1:M828,M828,$N$1:N828,N828)))</f>
        <v>003</v>
      </c>
      <c r="P82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MS-NS-016-23-00003-INV</v>
      </c>
      <c r="Q828" s="59"/>
      <c r="R828" s="34" t="s">
        <v>6599</v>
      </c>
      <c r="S828" s="34" t="s">
        <v>2469</v>
      </c>
      <c r="T828" s="34">
        <f>+IFERROR(_xlfn.XLOOKUP(Table43[[#This Row],[Column1]],#REF!,#REF!),0)</f>
        <v>0</v>
      </c>
      <c r="U828" s="50">
        <f>IFERROR(_xlfn.XLOOKUP(Table43[[#This Row],[Column1]],#REF!,#REF!),0)</f>
        <v>0</v>
      </c>
      <c r="V828" s="39"/>
    </row>
    <row r="829" spans="1:22" x14ac:dyDescent="0.35">
      <c r="A829" s="3" t="s">
        <v>2470</v>
      </c>
      <c r="B829" s="3" t="s">
        <v>2471</v>
      </c>
      <c r="C829" s="3" t="s">
        <v>15</v>
      </c>
      <c r="D829" s="3">
        <v>0</v>
      </c>
      <c r="E829" s="3" t="s">
        <v>10</v>
      </c>
      <c r="F829" s="2">
        <v>1</v>
      </c>
      <c r="G829" s="2">
        <v>2</v>
      </c>
      <c r="H829" s="3">
        <v>0</v>
      </c>
      <c r="I829" s="21">
        <f>Table43[[#This Row],[Item Cost]]*Table43[[#This Row],[In Stock]]</f>
        <v>0</v>
      </c>
      <c r="J829" s="12" t="s">
        <v>4941</v>
      </c>
      <c r="K829" s="13" t="s">
        <v>4666</v>
      </c>
      <c r="L829" s="13" t="s">
        <v>4703</v>
      </c>
      <c r="M829" s="13" t="s">
        <v>4828</v>
      </c>
      <c r="N829" s="12" t="s">
        <v>4672</v>
      </c>
      <c r="O829" s="17" t="str">
        <f>IF(LEN(COUNTIFS($J$1:J829,$J829,$K$1:K829,$K829,$L$1:L829,$L829,$M$1:M829,M829,$N$1:N829,N829))=1,"00"&amp;COUNTIFS($J$1:J829,$J829,$K$1:K829,$K829,$L$1:L829,$L829,$M$1:M829,M829,$N$1:N829,N829),IF(LEN(COUNTIFS($J$1:J829,$J829,$K$1:K829,$K829,$L$1:L829,$L829,$M$1:M829,M829,$N$1:N829,N829))=2,"0"&amp;COUNTIFS($J$1:J829,$J829,$K$1:K829,$K829,$L$1:L829,$L829,$M$1:M829,M829,$N$1:N829,N829),COUNTIFS($J$1:J829,$J829,$K$1:K829,$K829,$L$1:L829,$L829,$M$1:M829,M829,$N$1:N829,N829)))</f>
        <v>001</v>
      </c>
      <c r="P82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MS-NS-016-13-00001-INV</v>
      </c>
      <c r="Q829" s="59"/>
      <c r="R829" s="34" t="s">
        <v>6600</v>
      </c>
      <c r="S829" s="34" t="s">
        <v>2471</v>
      </c>
      <c r="T829" s="34">
        <f>+IFERROR(_xlfn.XLOOKUP(Table43[[#This Row],[Column1]],#REF!,#REF!),0)</f>
        <v>0</v>
      </c>
      <c r="U829" s="50">
        <f>IFERROR(_xlfn.XLOOKUP(Table43[[#This Row],[Column1]],#REF!,#REF!),0)</f>
        <v>0</v>
      </c>
      <c r="V829" s="39"/>
    </row>
    <row r="830" spans="1:22" x14ac:dyDescent="0.35">
      <c r="A830" s="3" t="s">
        <v>5643</v>
      </c>
      <c r="B830" s="3" t="s">
        <v>2260</v>
      </c>
      <c r="C830" s="3" t="s">
        <v>9</v>
      </c>
      <c r="D830" s="5">
        <v>29250</v>
      </c>
      <c r="E830" s="3" t="s">
        <v>10</v>
      </c>
      <c r="F830" s="2">
        <v>1</v>
      </c>
      <c r="G830" s="3">
        <v>2</v>
      </c>
      <c r="H830" s="3">
        <v>1</v>
      </c>
      <c r="I830" s="21">
        <f>Table43[[#This Row],[Item Cost]]*Table43[[#This Row],[In Stock]]</f>
        <v>29250</v>
      </c>
      <c r="J830" s="12" t="s">
        <v>4941</v>
      </c>
      <c r="K830" s="13" t="s">
        <v>4664</v>
      </c>
      <c r="L830" s="13" t="s">
        <v>4703</v>
      </c>
      <c r="M830" s="13" t="s">
        <v>4693</v>
      </c>
      <c r="N830" s="12" t="s">
        <v>4672</v>
      </c>
      <c r="O830" s="17" t="str">
        <f>IF(LEN(COUNTIFS($J$1:J830,$J830,$K$1:K830,$K830,$L$1:L830,$L830,$M$1:M830,M830,$N$1:N830,N830))=1,"00"&amp;COUNTIFS($J$1:J830,$J830,$K$1:K830,$K830,$L$1:L830,$L830,$M$1:M830,M830,$N$1:N830,N830),IF(LEN(COUNTIFS($J$1:J830,$J830,$K$1:K830,$K830,$L$1:L830,$L830,$M$1:M830,M830,$N$1:N830,N830))=2,"0"&amp;COUNTIFS($J$1:J830,$J830,$K$1:K830,$K830,$L$1:L830,$L830,$M$1:M830,M830,$N$1:N830,N830),COUNTIFS($J$1:J830,$J830,$K$1:K830,$K830,$L$1:L830,$L830,$M$1:M830,M830,$N$1:N830,N830)))</f>
        <v>004</v>
      </c>
      <c r="P83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MS-CS-016-23-00004-INV</v>
      </c>
      <c r="Q830" s="59"/>
      <c r="R830" s="34" t="s">
        <v>6589</v>
      </c>
      <c r="S830" s="34" t="s">
        <v>2260</v>
      </c>
      <c r="T830" s="34">
        <f>+IFERROR(_xlfn.XLOOKUP(Table43[[#This Row],[Column1]],#REF!,#REF!),0)</f>
        <v>0</v>
      </c>
      <c r="U830" s="50">
        <f>IFERROR(_xlfn.XLOOKUP(Table43[[#This Row],[Column1]],#REF!,#REF!),0)</f>
        <v>0</v>
      </c>
      <c r="V830" s="39"/>
    </row>
    <row r="831" spans="1:22" x14ac:dyDescent="0.35">
      <c r="A831" s="3" t="s">
        <v>5645</v>
      </c>
      <c r="B831" s="3" t="s">
        <v>2452</v>
      </c>
      <c r="C831" s="3" t="s">
        <v>9</v>
      </c>
      <c r="D831" s="5">
        <v>47850</v>
      </c>
      <c r="E831" s="3" t="s">
        <v>10</v>
      </c>
      <c r="F831" s="2">
        <v>1</v>
      </c>
      <c r="G831" s="3">
        <v>2</v>
      </c>
      <c r="H831" s="3">
        <v>1</v>
      </c>
      <c r="I831" s="21">
        <f>Table43[[#This Row],[Item Cost]]*Table43[[#This Row],[In Stock]]</f>
        <v>47850</v>
      </c>
      <c r="J831" s="12" t="s">
        <v>4941</v>
      </c>
      <c r="K831" s="13" t="s">
        <v>4664</v>
      </c>
      <c r="L831" s="13" t="s">
        <v>4703</v>
      </c>
      <c r="M831" s="13" t="s">
        <v>4693</v>
      </c>
      <c r="N831" s="12" t="s">
        <v>4672</v>
      </c>
      <c r="O831" s="17" t="str">
        <f>IF(LEN(COUNTIFS($J$1:J831,$J831,$K$1:K831,$K831,$L$1:L831,$L831,$M$1:M831,M831,$N$1:N831,N831))=1,"00"&amp;COUNTIFS($J$1:J831,$J831,$K$1:K831,$K831,$L$1:L831,$L831,$M$1:M831,M831,$N$1:N831,N831),IF(LEN(COUNTIFS($J$1:J831,$J831,$K$1:K831,$K831,$L$1:L831,$L831,$M$1:M831,M831,$N$1:N831,N831))=2,"0"&amp;COUNTIFS($J$1:J831,$J831,$K$1:K831,$K831,$L$1:L831,$L831,$M$1:M831,M831,$N$1:N831,N831),COUNTIFS($J$1:J831,$J831,$K$1:K831,$K831,$L$1:L831,$L831,$M$1:M831,M831,$N$1:N831,N831)))</f>
        <v>005</v>
      </c>
      <c r="P83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MS-CS-016-23-00005-INV</v>
      </c>
      <c r="Q831" s="59" t="s">
        <v>7336</v>
      </c>
      <c r="R831" s="34" t="s">
        <v>6590</v>
      </c>
      <c r="S831" s="34" t="s">
        <v>2452</v>
      </c>
      <c r="T831" s="34">
        <f>+IFERROR(_xlfn.XLOOKUP(Table43[[#This Row],[Column1]],#REF!,#REF!),0)</f>
        <v>0</v>
      </c>
      <c r="U831" s="50">
        <f>IFERROR(_xlfn.XLOOKUP(Table43[[#This Row],[Column1]],#REF!,#REF!),0)</f>
        <v>0</v>
      </c>
      <c r="V831" s="39"/>
    </row>
    <row r="832" spans="1:22" x14ac:dyDescent="0.35">
      <c r="A832" s="3" t="s">
        <v>5646</v>
      </c>
      <c r="B832" s="2" t="s">
        <v>2262</v>
      </c>
      <c r="C832" s="2" t="s">
        <v>9</v>
      </c>
      <c r="D832" s="4">
        <v>1651</v>
      </c>
      <c r="E832" s="2" t="s">
        <v>10</v>
      </c>
      <c r="F832" s="2">
        <v>1</v>
      </c>
      <c r="G832" s="3">
        <v>2</v>
      </c>
      <c r="H832" s="2">
        <v>1</v>
      </c>
      <c r="I832" s="22">
        <f>Table43[[#This Row],[Item Cost]]*Table43[[#This Row],[In Stock]]</f>
        <v>1651</v>
      </c>
      <c r="J832" s="12" t="s">
        <v>4941</v>
      </c>
      <c r="K832" s="13" t="s">
        <v>4664</v>
      </c>
      <c r="L832" s="13" t="s">
        <v>4703</v>
      </c>
      <c r="M832" s="13" t="s">
        <v>4693</v>
      </c>
      <c r="N832" s="12" t="s">
        <v>4672</v>
      </c>
      <c r="O832" s="17" t="str">
        <f>IF(LEN(COUNTIFS($J$1:J832,$J832,$K$1:K832,$K832,$L$1:L832,$L832,$M$1:M832,M832,$N$1:N832,N832))=1,"00"&amp;COUNTIFS($J$1:J832,$J832,$K$1:K832,$K832,$L$1:L832,$L832,$M$1:M832,M832,$N$1:N832,N832),IF(LEN(COUNTIFS($J$1:J832,$J832,$K$1:K832,$K832,$L$1:L832,$L832,$M$1:M832,M832,$N$1:N832,N832))=2,"0"&amp;COUNTIFS($J$1:J832,$J832,$K$1:K832,$K832,$L$1:L832,$L832,$M$1:M832,M832,$N$1:N832,N832),COUNTIFS($J$1:J832,$J832,$K$1:K832,$K832,$L$1:L832,$L832,$M$1:M832,M832,$N$1:N832,N832)))</f>
        <v>006</v>
      </c>
      <c r="P83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MS-CS-016-23-00006-INV</v>
      </c>
      <c r="Q832" s="59" t="s">
        <v>7336</v>
      </c>
      <c r="R832" s="34" t="s">
        <v>6591</v>
      </c>
      <c r="S832" s="34" t="s">
        <v>2262</v>
      </c>
      <c r="T832" s="34">
        <f>+IFERROR(_xlfn.XLOOKUP(Table43[[#This Row],[Column1]],#REF!,#REF!),0)</f>
        <v>0</v>
      </c>
      <c r="U832" s="50">
        <f>IFERROR(_xlfn.XLOOKUP(Table43[[#This Row],[Column1]],#REF!,#REF!),0)</f>
        <v>0</v>
      </c>
      <c r="V832" s="39"/>
    </row>
    <row r="833" spans="1:22" x14ac:dyDescent="0.35">
      <c r="A833" s="3" t="s">
        <v>2482</v>
      </c>
      <c r="B833" s="3" t="s">
        <v>2483</v>
      </c>
      <c r="C833" s="3" t="s">
        <v>9</v>
      </c>
      <c r="D833" s="3">
        <v>734.5</v>
      </c>
      <c r="E833" s="3" t="s">
        <v>10</v>
      </c>
      <c r="F833" s="2">
        <v>1</v>
      </c>
      <c r="G833" s="3">
        <v>2</v>
      </c>
      <c r="H833" s="3">
        <v>1</v>
      </c>
      <c r="I833" s="21">
        <f>Table43[[#This Row],[Item Cost]]*Table43[[#This Row],[In Stock]]</f>
        <v>734.5</v>
      </c>
      <c r="J833" s="12" t="s">
        <v>4941</v>
      </c>
      <c r="K833" s="13" t="s">
        <v>4664</v>
      </c>
      <c r="L833" s="13" t="s">
        <v>4754</v>
      </c>
      <c r="M833" s="13" t="s">
        <v>4693</v>
      </c>
      <c r="N833" s="12" t="s">
        <v>4847</v>
      </c>
      <c r="O833" s="17" t="str">
        <f>IF(LEN(COUNTIFS($J$1:J833,$J833,$K$1:K833,$K833,$L$1:L833,$L833,$M$1:M833,M833,$N$1:N833,N833))=1,"00"&amp;COUNTIFS($J$1:J833,$J833,$K$1:K833,$K833,$L$1:L833,$L833,$M$1:M833,M833,$N$1:N833,N833),IF(LEN(COUNTIFS($J$1:J833,$J833,$K$1:K833,$K833,$L$1:L833,$L833,$M$1:M833,M833,$N$1:N833,N833))=2,"0"&amp;COUNTIFS($J$1:J833,$J833,$K$1:K833,$K833,$L$1:L833,$L833,$M$1:M833,M833,$N$1:N833,N833),COUNTIFS($J$1:J833,$J833,$K$1:K833,$K833,$L$1:L833,$L833,$M$1:M833,M833,$N$1:N833,N833)))</f>
        <v>001</v>
      </c>
      <c r="P83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MS-CS-018-23-03001-INV</v>
      </c>
      <c r="Q833" s="59" t="s">
        <v>7336</v>
      </c>
      <c r="R833" s="34" t="s">
        <v>6601</v>
      </c>
      <c r="S833" s="34" t="s">
        <v>2483</v>
      </c>
      <c r="T833" s="34">
        <f>+IFERROR(_xlfn.XLOOKUP(Table43[[#This Row],[Column1]],#REF!,#REF!),0)</f>
        <v>0</v>
      </c>
      <c r="U833" s="50">
        <f>IFERROR(_xlfn.XLOOKUP(Table43[[#This Row],[Column1]],#REF!,#REF!),0)</f>
        <v>0</v>
      </c>
      <c r="V833" s="39"/>
    </row>
    <row r="834" spans="1:22" x14ac:dyDescent="0.35">
      <c r="A834" s="2" t="s">
        <v>2484</v>
      </c>
      <c r="B834" s="2" t="s">
        <v>4877</v>
      </c>
      <c r="C834" s="2" t="s">
        <v>9</v>
      </c>
      <c r="D834" s="2">
        <v>91.81</v>
      </c>
      <c r="E834" s="2" t="s">
        <v>10</v>
      </c>
      <c r="F834" s="2">
        <v>1</v>
      </c>
      <c r="G834" s="3">
        <v>2</v>
      </c>
      <c r="H834" s="2">
        <v>1</v>
      </c>
      <c r="I834" s="22">
        <f>Table43[[#This Row],[Item Cost]]*Table43[[#This Row],[In Stock]]</f>
        <v>91.81</v>
      </c>
      <c r="J834" s="12" t="s">
        <v>4941</v>
      </c>
      <c r="K834" s="13" t="s">
        <v>4664</v>
      </c>
      <c r="L834" s="13" t="s">
        <v>4754</v>
      </c>
      <c r="M834" s="13" t="s">
        <v>4693</v>
      </c>
      <c r="N834" s="12" t="s">
        <v>4847</v>
      </c>
      <c r="O834" s="17" t="str">
        <f>IF(LEN(COUNTIFS($J$1:J834,$J834,$K$1:K834,$K834,$L$1:L834,$L834,$M$1:M834,M834,$N$1:N834,N834))=1,"00"&amp;COUNTIFS($J$1:J834,$J834,$K$1:K834,$K834,$L$1:L834,$L834,$M$1:M834,M834,$N$1:N834,N834),IF(LEN(COUNTIFS($J$1:J834,$J834,$K$1:K834,$K834,$L$1:L834,$L834,$M$1:M834,M834,$N$1:N834,N834))=2,"0"&amp;COUNTIFS($J$1:J834,$J834,$K$1:K834,$K834,$L$1:L834,$L834,$M$1:M834,M834,$N$1:N834,N834),COUNTIFS($J$1:J834,$J834,$K$1:K834,$K834,$L$1:L834,$L834,$M$1:M834,M834,$N$1:N834,N834)))</f>
        <v>002</v>
      </c>
      <c r="P83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MS-CS-018-23-03002-INV</v>
      </c>
      <c r="Q834" s="59"/>
      <c r="R834" s="34" t="s">
        <v>7235</v>
      </c>
      <c r="S834" s="34" t="s">
        <v>2485</v>
      </c>
      <c r="T834" s="34">
        <f>+IFERROR(_xlfn.XLOOKUP(Table43[[#This Row],[Column1]],#REF!,#REF!),0)</f>
        <v>0</v>
      </c>
      <c r="U834" s="50">
        <f>IFERROR(_xlfn.XLOOKUP(Table43[[#This Row],[Column1]],#REF!,#REF!),0)</f>
        <v>0</v>
      </c>
      <c r="V834" s="39"/>
    </row>
    <row r="835" spans="1:22" x14ac:dyDescent="0.35">
      <c r="A835" s="3" t="s">
        <v>2486</v>
      </c>
      <c r="B835" s="3" t="s">
        <v>4878</v>
      </c>
      <c r="C835" s="3" t="s">
        <v>9</v>
      </c>
      <c r="D835" s="3">
        <v>14.69</v>
      </c>
      <c r="E835" s="3" t="s">
        <v>10</v>
      </c>
      <c r="F835" s="2">
        <v>1</v>
      </c>
      <c r="G835" s="3">
        <v>2</v>
      </c>
      <c r="H835" s="3">
        <v>1</v>
      </c>
      <c r="I835" s="21">
        <f>Table43[[#This Row],[Item Cost]]*Table43[[#This Row],[In Stock]]</f>
        <v>14.69</v>
      </c>
      <c r="J835" s="12" t="s">
        <v>4941</v>
      </c>
      <c r="K835" s="13" t="s">
        <v>4664</v>
      </c>
      <c r="L835" s="13" t="s">
        <v>4754</v>
      </c>
      <c r="M835" s="13" t="s">
        <v>4693</v>
      </c>
      <c r="N835" s="12" t="s">
        <v>4847</v>
      </c>
      <c r="O835" s="17" t="str">
        <f>IF(LEN(COUNTIFS($J$1:J835,$J835,$K$1:K835,$K835,$L$1:L835,$L835,$M$1:M835,M835,$N$1:N835,N835))=1,"00"&amp;COUNTIFS($J$1:J835,$J835,$K$1:K835,$K835,$L$1:L835,$L835,$M$1:M835,M835,$N$1:N835,N835),IF(LEN(COUNTIFS($J$1:J835,$J835,$K$1:K835,$K835,$L$1:L835,$L835,$M$1:M835,M835,$N$1:N835,N835))=2,"0"&amp;COUNTIFS($J$1:J835,$J835,$K$1:K835,$K835,$L$1:L835,$L835,$M$1:M835,M835,$N$1:N835,N835),COUNTIFS($J$1:J835,$J835,$K$1:K835,$K835,$L$1:L835,$L835,$M$1:M835,M835,$N$1:N835,N835)))</f>
        <v>003</v>
      </c>
      <c r="P83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MS-CS-018-23-03003-INV</v>
      </c>
      <c r="Q835" s="59"/>
      <c r="R835" s="34" t="s">
        <v>7236</v>
      </c>
      <c r="S835" s="34" t="s">
        <v>2487</v>
      </c>
      <c r="T835" s="34">
        <f>+IFERROR(_xlfn.XLOOKUP(Table43[[#This Row],[Column1]],#REF!,#REF!),0)</f>
        <v>0</v>
      </c>
      <c r="U835" s="50">
        <f>IFERROR(_xlfn.XLOOKUP(Table43[[#This Row],[Column1]],#REF!,#REF!),0)</f>
        <v>0</v>
      </c>
      <c r="V835" s="39"/>
    </row>
    <row r="836" spans="1:22" x14ac:dyDescent="0.35">
      <c r="A836" s="2" t="s">
        <v>2488</v>
      </c>
      <c r="B836" s="2" t="s">
        <v>2485</v>
      </c>
      <c r="C836" s="2" t="s">
        <v>9</v>
      </c>
      <c r="D836" s="2">
        <v>88.14</v>
      </c>
      <c r="E836" s="2" t="s">
        <v>10</v>
      </c>
      <c r="F836" s="2">
        <v>1</v>
      </c>
      <c r="G836" s="3">
        <v>2</v>
      </c>
      <c r="H836" s="2">
        <v>1</v>
      </c>
      <c r="I836" s="22">
        <f>Table43[[#This Row],[Item Cost]]*Table43[[#This Row],[In Stock]]</f>
        <v>88.14</v>
      </c>
      <c r="J836" s="12" t="s">
        <v>4941</v>
      </c>
      <c r="K836" s="13" t="s">
        <v>4664</v>
      </c>
      <c r="L836" s="13" t="s">
        <v>4754</v>
      </c>
      <c r="M836" s="13" t="s">
        <v>4693</v>
      </c>
      <c r="N836" s="12" t="s">
        <v>4847</v>
      </c>
      <c r="O836" s="17" t="str">
        <f>IF(LEN(COUNTIFS($J$1:J836,$J836,$K$1:K836,$K836,$L$1:L836,$L836,$M$1:M836,M836,$N$1:N836,N836))=1,"00"&amp;COUNTIFS($J$1:J836,$J836,$K$1:K836,$K836,$L$1:L836,$L836,$M$1:M836,M836,$N$1:N836,N836),IF(LEN(COUNTIFS($J$1:J836,$J836,$K$1:K836,$K836,$L$1:L836,$L836,$M$1:M836,M836,$N$1:N836,N836))=2,"0"&amp;COUNTIFS($J$1:J836,$J836,$K$1:K836,$K836,$L$1:L836,$L836,$M$1:M836,M836,$N$1:N836,N836),COUNTIFS($J$1:J836,$J836,$K$1:K836,$K836,$L$1:L836,$L836,$M$1:M836,M836,$N$1:N836,N836)))</f>
        <v>004</v>
      </c>
      <c r="P83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MS-CS-018-23-03004-INV</v>
      </c>
      <c r="Q836" s="59" t="s">
        <v>7336</v>
      </c>
      <c r="R836" s="34" t="s">
        <v>6602</v>
      </c>
      <c r="S836" s="34" t="s">
        <v>2485</v>
      </c>
      <c r="T836" s="34">
        <f>+IFERROR(_xlfn.XLOOKUP(Table43[[#This Row],[Column1]],#REF!,#REF!),0)</f>
        <v>0</v>
      </c>
      <c r="U836" s="50">
        <f>IFERROR(_xlfn.XLOOKUP(Table43[[#This Row],[Column1]],#REF!,#REF!),0)</f>
        <v>0</v>
      </c>
      <c r="V836" s="39"/>
    </row>
    <row r="837" spans="1:22" x14ac:dyDescent="0.35">
      <c r="A837" s="3" t="s">
        <v>2489</v>
      </c>
      <c r="B837" s="3" t="s">
        <v>2487</v>
      </c>
      <c r="C837" s="3" t="s">
        <v>9</v>
      </c>
      <c r="D837" s="3">
        <v>12.12</v>
      </c>
      <c r="E837" s="3" t="s">
        <v>10</v>
      </c>
      <c r="F837" s="2">
        <v>1</v>
      </c>
      <c r="G837" s="3">
        <v>2</v>
      </c>
      <c r="H837" s="3">
        <v>1</v>
      </c>
      <c r="I837" s="21">
        <f>Table43[[#This Row],[Item Cost]]*Table43[[#This Row],[In Stock]]</f>
        <v>12.12</v>
      </c>
      <c r="J837" s="12" t="s">
        <v>4941</v>
      </c>
      <c r="K837" s="13" t="s">
        <v>4664</v>
      </c>
      <c r="L837" s="13" t="s">
        <v>4754</v>
      </c>
      <c r="M837" s="13" t="s">
        <v>4693</v>
      </c>
      <c r="N837" s="12" t="s">
        <v>4847</v>
      </c>
      <c r="O837" s="17" t="str">
        <f>IF(LEN(COUNTIFS($J$1:J837,$J837,$K$1:K837,$K837,$L$1:L837,$L837,$M$1:M837,M837,$N$1:N837,N837))=1,"00"&amp;COUNTIFS($J$1:J837,$J837,$K$1:K837,$K837,$L$1:L837,$L837,$M$1:M837,M837,$N$1:N837,N837),IF(LEN(COUNTIFS($J$1:J837,$J837,$K$1:K837,$K837,$L$1:L837,$L837,$M$1:M837,M837,$N$1:N837,N837))=2,"0"&amp;COUNTIFS($J$1:J837,$J837,$K$1:K837,$K837,$L$1:L837,$L837,$M$1:M837,M837,$N$1:N837,N837),COUNTIFS($J$1:J837,$J837,$K$1:K837,$K837,$L$1:L837,$L837,$M$1:M837,M837,$N$1:N837,N837)))</f>
        <v>005</v>
      </c>
      <c r="P83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MS-CS-018-23-03005-INV</v>
      </c>
      <c r="Q837" s="59" t="s">
        <v>7336</v>
      </c>
      <c r="R837" s="34" t="s">
        <v>6603</v>
      </c>
      <c r="S837" s="34" t="s">
        <v>2487</v>
      </c>
      <c r="T837" s="34">
        <f>+IFERROR(_xlfn.XLOOKUP(Table43[[#This Row],[Column1]],#REF!,#REF!),0)</f>
        <v>0</v>
      </c>
      <c r="U837" s="50">
        <f>IFERROR(_xlfn.XLOOKUP(Table43[[#This Row],[Column1]],#REF!,#REF!),0)</f>
        <v>0</v>
      </c>
      <c r="V837" s="39"/>
    </row>
    <row r="838" spans="1:22" x14ac:dyDescent="0.35">
      <c r="A838" s="3" t="s">
        <v>2490</v>
      </c>
      <c r="B838" s="2" t="s">
        <v>2491</v>
      </c>
      <c r="C838" s="2" t="s">
        <v>9</v>
      </c>
      <c r="D838" s="2">
        <v>113.48</v>
      </c>
      <c r="E838" s="2" t="s">
        <v>10</v>
      </c>
      <c r="F838" s="2">
        <v>1</v>
      </c>
      <c r="G838" s="3">
        <v>2</v>
      </c>
      <c r="H838" s="2">
        <v>1</v>
      </c>
      <c r="I838" s="22">
        <f>Table43[[#This Row],[Item Cost]]*Table43[[#This Row],[In Stock]]</f>
        <v>113.48</v>
      </c>
      <c r="J838" s="12" t="s">
        <v>4941</v>
      </c>
      <c r="K838" s="13" t="s">
        <v>4664</v>
      </c>
      <c r="L838" s="13" t="s">
        <v>4754</v>
      </c>
      <c r="M838" s="13" t="s">
        <v>4693</v>
      </c>
      <c r="N838" s="12" t="s">
        <v>4847</v>
      </c>
      <c r="O838" s="17" t="str">
        <f>IF(LEN(COUNTIFS($J$1:J838,$J838,$K$1:K838,$K838,$L$1:L838,$L838,$M$1:M838,M838,$N$1:N838,N838))=1,"00"&amp;COUNTIFS($J$1:J838,$J838,$K$1:K838,$K838,$L$1:L838,$L838,$M$1:M838,M838,$N$1:N838,N838),IF(LEN(COUNTIFS($J$1:J838,$J838,$K$1:K838,$K838,$L$1:L838,$L838,$M$1:M838,M838,$N$1:N838,N838))=2,"0"&amp;COUNTIFS($J$1:J838,$J838,$K$1:K838,$K838,$L$1:L838,$L838,$M$1:M838,M838,$N$1:N838,N838),COUNTIFS($J$1:J838,$J838,$K$1:K838,$K838,$L$1:L838,$L838,$M$1:M838,M838,$N$1:N838,N838)))</f>
        <v>006</v>
      </c>
      <c r="P83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MS-CS-018-23-03006-INV</v>
      </c>
      <c r="Q838" s="59" t="s">
        <v>7336</v>
      </c>
      <c r="R838" s="34" t="s">
        <v>6604</v>
      </c>
      <c r="S838" s="34" t="s">
        <v>2491</v>
      </c>
      <c r="T838" s="34">
        <f>+IFERROR(_xlfn.XLOOKUP(Table43[[#This Row],[Column1]],#REF!,#REF!),0)</f>
        <v>0</v>
      </c>
      <c r="U838" s="50">
        <f>IFERROR(_xlfn.XLOOKUP(Table43[[#This Row],[Column1]],#REF!,#REF!),0)</f>
        <v>0</v>
      </c>
      <c r="V838" s="39"/>
    </row>
    <row r="839" spans="1:22" x14ac:dyDescent="0.35">
      <c r="A839" s="2" t="s">
        <v>2492</v>
      </c>
      <c r="B839" s="3" t="s">
        <v>2493</v>
      </c>
      <c r="C839" s="3" t="s">
        <v>9</v>
      </c>
      <c r="D839" s="3">
        <v>10.28</v>
      </c>
      <c r="E839" s="3" t="s">
        <v>10</v>
      </c>
      <c r="F839" s="2">
        <v>1</v>
      </c>
      <c r="G839" s="3">
        <v>2</v>
      </c>
      <c r="H839" s="3">
        <v>1</v>
      </c>
      <c r="I839" s="21">
        <f>Table43[[#This Row],[Item Cost]]*Table43[[#This Row],[In Stock]]</f>
        <v>10.28</v>
      </c>
      <c r="J839" s="12" t="s">
        <v>4941</v>
      </c>
      <c r="K839" s="13" t="s">
        <v>4664</v>
      </c>
      <c r="L839" s="13" t="s">
        <v>4754</v>
      </c>
      <c r="M839" s="13" t="s">
        <v>4693</v>
      </c>
      <c r="N839" s="12" t="s">
        <v>4847</v>
      </c>
      <c r="O839" s="17" t="str">
        <f>IF(LEN(COUNTIFS($J$1:J839,$J839,$K$1:K839,$K839,$L$1:L839,$L839,$M$1:M839,M839,$N$1:N839,N839))=1,"00"&amp;COUNTIFS($J$1:J839,$J839,$K$1:K839,$K839,$L$1:L839,$L839,$M$1:M839,M839,$N$1:N839,N839),IF(LEN(COUNTIFS($J$1:J839,$J839,$K$1:K839,$K839,$L$1:L839,$L839,$M$1:M839,M839,$N$1:N839,N839))=2,"0"&amp;COUNTIFS($J$1:J839,$J839,$K$1:K839,$K839,$L$1:L839,$L839,$M$1:M839,M839,$N$1:N839,N839),COUNTIFS($J$1:J839,$J839,$K$1:K839,$K839,$L$1:L839,$L839,$M$1:M839,M839,$N$1:N839,N839)))</f>
        <v>007</v>
      </c>
      <c r="P83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MS-CS-018-23-03007-INV</v>
      </c>
      <c r="Q839" s="59" t="s">
        <v>7375</v>
      </c>
      <c r="R839" s="34" t="s">
        <v>6605</v>
      </c>
      <c r="S839" s="34" t="s">
        <v>2493</v>
      </c>
      <c r="T839" s="34">
        <f>+IFERROR(_xlfn.XLOOKUP(Table43[[#This Row],[Column1]],#REF!,#REF!),0)</f>
        <v>0</v>
      </c>
      <c r="U839" s="50">
        <f>IFERROR(_xlfn.XLOOKUP(Table43[[#This Row],[Column1]],#REF!,#REF!),0)</f>
        <v>0</v>
      </c>
      <c r="V839" s="39"/>
    </row>
    <row r="840" spans="1:22" x14ac:dyDescent="0.35">
      <c r="A840" s="3" t="s">
        <v>2494</v>
      </c>
      <c r="B840" s="2" t="s">
        <v>2495</v>
      </c>
      <c r="C840" s="2" t="s">
        <v>9</v>
      </c>
      <c r="D840" s="2">
        <v>18.36</v>
      </c>
      <c r="E840" s="2" t="s">
        <v>10</v>
      </c>
      <c r="F840" s="2">
        <v>1</v>
      </c>
      <c r="G840" s="3">
        <v>2</v>
      </c>
      <c r="H840" s="2">
        <v>1</v>
      </c>
      <c r="I840" s="22">
        <f>Table43[[#This Row],[Item Cost]]*Table43[[#This Row],[In Stock]]</f>
        <v>18.36</v>
      </c>
      <c r="J840" s="12" t="s">
        <v>4941</v>
      </c>
      <c r="K840" s="13" t="s">
        <v>4664</v>
      </c>
      <c r="L840" s="13" t="s">
        <v>4754</v>
      </c>
      <c r="M840" s="13" t="s">
        <v>4693</v>
      </c>
      <c r="N840" s="12" t="s">
        <v>4847</v>
      </c>
      <c r="O840" s="17" t="str">
        <f>IF(LEN(COUNTIFS($J$1:J840,$J840,$K$1:K840,$K840,$L$1:L840,$L840,$M$1:M840,M840,$N$1:N840,N840))=1,"00"&amp;COUNTIFS($J$1:J840,$J840,$K$1:K840,$K840,$L$1:L840,$L840,$M$1:M840,M840,$N$1:N840,N840),IF(LEN(COUNTIFS($J$1:J840,$J840,$K$1:K840,$K840,$L$1:L840,$L840,$M$1:M840,M840,$N$1:N840,N840))=2,"0"&amp;COUNTIFS($J$1:J840,$J840,$K$1:K840,$K840,$L$1:L840,$L840,$M$1:M840,M840,$N$1:N840,N840),COUNTIFS($J$1:J840,$J840,$K$1:K840,$K840,$L$1:L840,$L840,$M$1:M840,M840,$N$1:N840,N840)))</f>
        <v>008</v>
      </c>
      <c r="P84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MS-CS-018-23-03008-INV</v>
      </c>
      <c r="Q840" s="59"/>
      <c r="R840" s="34" t="s">
        <v>6606</v>
      </c>
      <c r="S840" s="34" t="s">
        <v>2495</v>
      </c>
      <c r="T840" s="34">
        <f>+IFERROR(_xlfn.XLOOKUP(Table43[[#This Row],[Column1]],#REF!,#REF!),0)</f>
        <v>0</v>
      </c>
      <c r="U840" s="50">
        <f>IFERROR(_xlfn.XLOOKUP(Table43[[#This Row],[Column1]],#REF!,#REF!),0)</f>
        <v>0</v>
      </c>
      <c r="V840" s="39"/>
    </row>
    <row r="841" spans="1:22" x14ac:dyDescent="0.35">
      <c r="A841" s="2" t="s">
        <v>2496</v>
      </c>
      <c r="B841" s="3" t="s">
        <v>2497</v>
      </c>
      <c r="C841" s="3" t="s">
        <v>9</v>
      </c>
      <c r="D841" s="3">
        <v>9.92</v>
      </c>
      <c r="E841" s="3" t="s">
        <v>10</v>
      </c>
      <c r="F841" s="2">
        <v>1</v>
      </c>
      <c r="G841" s="3">
        <v>2</v>
      </c>
      <c r="H841" s="3">
        <v>1</v>
      </c>
      <c r="I841" s="21">
        <f>Table43[[#This Row],[Item Cost]]*Table43[[#This Row],[In Stock]]</f>
        <v>9.92</v>
      </c>
      <c r="J841" s="12" t="s">
        <v>4941</v>
      </c>
      <c r="K841" s="13" t="s">
        <v>4664</v>
      </c>
      <c r="L841" s="13" t="s">
        <v>4754</v>
      </c>
      <c r="M841" s="13" t="s">
        <v>4693</v>
      </c>
      <c r="N841" s="12" t="s">
        <v>4847</v>
      </c>
      <c r="O841" s="17" t="str">
        <f>IF(LEN(COUNTIFS($J$1:J841,$J841,$K$1:K841,$K841,$L$1:L841,$L841,$M$1:M841,M841,$N$1:N841,N841))=1,"00"&amp;COUNTIFS($J$1:J841,$J841,$K$1:K841,$K841,$L$1:L841,$L841,$M$1:M841,M841,$N$1:N841,N841),IF(LEN(COUNTIFS($J$1:J841,$J841,$K$1:K841,$K841,$L$1:L841,$L841,$M$1:M841,M841,$N$1:N841,N841))=2,"0"&amp;COUNTIFS($J$1:J841,$J841,$K$1:K841,$K841,$L$1:L841,$L841,$M$1:M841,M841,$N$1:N841,N841),COUNTIFS($J$1:J841,$J841,$K$1:K841,$K841,$L$1:L841,$L841,$M$1:M841,M841,$N$1:N841,N841)))</f>
        <v>009</v>
      </c>
      <c r="P84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MS-CS-018-23-03009-INV</v>
      </c>
      <c r="Q841" s="59" t="s">
        <v>7336</v>
      </c>
      <c r="R841" s="34" t="s">
        <v>6607</v>
      </c>
      <c r="S841" s="34" t="s">
        <v>2497</v>
      </c>
      <c r="T841" s="34">
        <f>+IFERROR(_xlfn.XLOOKUP(Table43[[#This Row],[Column1]],#REF!,#REF!),0)</f>
        <v>0</v>
      </c>
      <c r="U841" s="50">
        <f>IFERROR(_xlfn.XLOOKUP(Table43[[#This Row],[Column1]],#REF!,#REF!),0)</f>
        <v>0</v>
      </c>
      <c r="V841" s="39"/>
    </row>
    <row r="842" spans="1:22" x14ac:dyDescent="0.35">
      <c r="A842" s="3" t="s">
        <v>2498</v>
      </c>
      <c r="B842" s="2" t="s">
        <v>2499</v>
      </c>
      <c r="C842" s="2" t="s">
        <v>9</v>
      </c>
      <c r="D842" s="2">
        <v>152.04</v>
      </c>
      <c r="E842" s="2" t="s">
        <v>10</v>
      </c>
      <c r="F842" s="2">
        <v>1</v>
      </c>
      <c r="G842" s="3">
        <v>2</v>
      </c>
      <c r="H842" s="2">
        <v>1</v>
      </c>
      <c r="I842" s="22">
        <f>Table43[[#This Row],[Item Cost]]*Table43[[#This Row],[In Stock]]</f>
        <v>152.04</v>
      </c>
      <c r="J842" s="12" t="s">
        <v>4941</v>
      </c>
      <c r="K842" s="13" t="s">
        <v>4664</v>
      </c>
      <c r="L842" s="13" t="s">
        <v>4754</v>
      </c>
      <c r="M842" s="13" t="s">
        <v>4693</v>
      </c>
      <c r="N842" s="12" t="s">
        <v>4847</v>
      </c>
      <c r="O842" s="17" t="str">
        <f>IF(LEN(COUNTIFS($J$1:J842,$J842,$K$1:K842,$K842,$L$1:L842,$L842,$M$1:M842,M842,$N$1:N842,N842))=1,"00"&amp;COUNTIFS($J$1:J842,$J842,$K$1:K842,$K842,$L$1:L842,$L842,$M$1:M842,M842,$N$1:N842,N842),IF(LEN(COUNTIFS($J$1:J842,$J842,$K$1:K842,$K842,$L$1:L842,$L842,$M$1:M842,M842,$N$1:N842,N842))=2,"0"&amp;COUNTIFS($J$1:J842,$J842,$K$1:K842,$K842,$L$1:L842,$L842,$M$1:M842,M842,$N$1:N842,N842),COUNTIFS($J$1:J842,$J842,$K$1:K842,$K842,$L$1:L842,$L842,$M$1:M842,M842,$N$1:N842,N842)))</f>
        <v>010</v>
      </c>
      <c r="P84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MS-CS-018-23-03010-INV</v>
      </c>
      <c r="Q842" s="59" t="s">
        <v>7376</v>
      </c>
      <c r="R842" s="34" t="s">
        <v>6608</v>
      </c>
      <c r="S842" s="34" t="s">
        <v>2499</v>
      </c>
      <c r="T842" s="34">
        <f>+IFERROR(_xlfn.XLOOKUP(Table43[[#This Row],[Column1]],#REF!,#REF!),0)</f>
        <v>0</v>
      </c>
      <c r="U842" s="50">
        <f>IFERROR(_xlfn.XLOOKUP(Table43[[#This Row],[Column1]],#REF!,#REF!),0)</f>
        <v>0</v>
      </c>
      <c r="V842" s="39"/>
    </row>
    <row r="843" spans="1:22" x14ac:dyDescent="0.35">
      <c r="A843" s="3" t="s">
        <v>2500</v>
      </c>
      <c r="B843" s="3" t="s">
        <v>2501</v>
      </c>
      <c r="C843" s="3" t="s">
        <v>9</v>
      </c>
      <c r="D843" s="3">
        <v>91.08</v>
      </c>
      <c r="E843" s="3" t="s">
        <v>10</v>
      </c>
      <c r="F843" s="2">
        <v>1</v>
      </c>
      <c r="G843" s="3">
        <v>2</v>
      </c>
      <c r="H843" s="3">
        <v>1</v>
      </c>
      <c r="I843" s="21">
        <f>Table43[[#This Row],[Item Cost]]*Table43[[#This Row],[In Stock]]</f>
        <v>91.08</v>
      </c>
      <c r="J843" s="12" t="s">
        <v>4941</v>
      </c>
      <c r="K843" s="13" t="s">
        <v>4664</v>
      </c>
      <c r="L843" s="13" t="s">
        <v>4754</v>
      </c>
      <c r="M843" s="13" t="s">
        <v>4693</v>
      </c>
      <c r="N843" s="12" t="s">
        <v>4847</v>
      </c>
      <c r="O843" s="17" t="str">
        <f>IF(LEN(COUNTIFS($J$1:J843,$J843,$K$1:K843,$K843,$L$1:L843,$L843,$M$1:M843,M843,$N$1:N843,N843))=1,"00"&amp;COUNTIFS($J$1:J843,$J843,$K$1:K843,$K843,$L$1:L843,$L843,$M$1:M843,M843,$N$1:N843,N843),IF(LEN(COUNTIFS($J$1:J843,$J843,$K$1:K843,$K843,$L$1:L843,$L843,$M$1:M843,M843,$N$1:N843,N843))=2,"0"&amp;COUNTIFS($J$1:J843,$J843,$K$1:K843,$K843,$L$1:L843,$L843,$M$1:M843,M843,$N$1:N843,N843),COUNTIFS($J$1:J843,$J843,$K$1:K843,$K843,$L$1:L843,$L843,$M$1:M843,M843,$N$1:N843,N843)))</f>
        <v>011</v>
      </c>
      <c r="P84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MS-CS-018-23-03011-INV</v>
      </c>
      <c r="Q843" s="59" t="s">
        <v>7336</v>
      </c>
      <c r="R843" s="34" t="s">
        <v>6609</v>
      </c>
      <c r="S843" s="34" t="s">
        <v>2501</v>
      </c>
      <c r="T843" s="34">
        <f>+IFERROR(_xlfn.XLOOKUP(Table43[[#This Row],[Column1]],#REF!,#REF!),0)</f>
        <v>0</v>
      </c>
      <c r="U843" s="50">
        <f>IFERROR(_xlfn.XLOOKUP(Table43[[#This Row],[Column1]],#REF!,#REF!),0)</f>
        <v>0</v>
      </c>
      <c r="V843" s="39"/>
    </row>
    <row r="844" spans="1:22" x14ac:dyDescent="0.35">
      <c r="A844" s="2" t="s">
        <v>2502</v>
      </c>
      <c r="B844" s="2" t="s">
        <v>824</v>
      </c>
      <c r="C844" s="2" t="s">
        <v>9</v>
      </c>
      <c r="D844" s="2">
        <v>636.80999999999995</v>
      </c>
      <c r="E844" s="2" t="s">
        <v>10</v>
      </c>
      <c r="F844" s="2">
        <v>1</v>
      </c>
      <c r="G844" s="3">
        <v>2</v>
      </c>
      <c r="H844" s="2">
        <v>1</v>
      </c>
      <c r="I844" s="22">
        <f>Table43[[#This Row],[Item Cost]]*Table43[[#This Row],[In Stock]]</f>
        <v>636.80999999999995</v>
      </c>
      <c r="J844" s="12" t="s">
        <v>4941</v>
      </c>
      <c r="K844" s="13" t="s">
        <v>4664</v>
      </c>
      <c r="L844" s="13" t="s">
        <v>4754</v>
      </c>
      <c r="M844" s="13" t="s">
        <v>4833</v>
      </c>
      <c r="N844" s="12" t="s">
        <v>4847</v>
      </c>
      <c r="O844" s="17" t="str">
        <f>IF(LEN(COUNTIFS($J$1:J844,$J844,$K$1:K844,$K844,$L$1:L844,$L844,$M$1:M844,M844,$N$1:N844,N844))=1,"00"&amp;COUNTIFS($J$1:J844,$J844,$K$1:K844,$K844,$L$1:L844,$L844,$M$1:M844,M844,$N$1:N844,N844),IF(LEN(COUNTIFS($J$1:J844,$J844,$K$1:K844,$K844,$L$1:L844,$L844,$M$1:M844,M844,$N$1:N844,N844))=2,"0"&amp;COUNTIFS($J$1:J844,$J844,$K$1:K844,$K844,$L$1:L844,$L844,$M$1:M844,M844,$N$1:N844,N844),COUNTIFS($J$1:J844,$J844,$K$1:K844,$K844,$L$1:L844,$L844,$M$1:M844,M844,$N$1:N844,N844)))</f>
        <v>001</v>
      </c>
      <c r="P84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MS-CS-018-16-03001-INV</v>
      </c>
      <c r="Q844" s="59" t="s">
        <v>7336</v>
      </c>
      <c r="R844" s="34" t="s">
        <v>6610</v>
      </c>
      <c r="S844" s="34" t="s">
        <v>824</v>
      </c>
      <c r="T844" s="34">
        <f>+IFERROR(_xlfn.XLOOKUP(Table43[[#This Row],[Column1]],#REF!,#REF!),0)</f>
        <v>0</v>
      </c>
      <c r="U844" s="50">
        <f>IFERROR(_xlfn.XLOOKUP(Table43[[#This Row],[Column1]],#REF!,#REF!),0)</f>
        <v>0</v>
      </c>
      <c r="V844" s="39"/>
    </row>
    <row r="845" spans="1:22" x14ac:dyDescent="0.35">
      <c r="A845" s="3" t="s">
        <v>2503</v>
      </c>
      <c r="B845" s="3" t="s">
        <v>2504</v>
      </c>
      <c r="C845" s="3" t="s">
        <v>9</v>
      </c>
      <c r="D845" s="3">
        <v>69.78</v>
      </c>
      <c r="E845" s="3" t="s">
        <v>10</v>
      </c>
      <c r="F845" s="2">
        <v>1</v>
      </c>
      <c r="G845" s="3">
        <v>2</v>
      </c>
      <c r="H845" s="3">
        <v>2</v>
      </c>
      <c r="I845" s="21">
        <f>Table43[[#This Row],[Item Cost]]*Table43[[#This Row],[In Stock]]</f>
        <v>139.56</v>
      </c>
      <c r="J845" s="12" t="s">
        <v>4941</v>
      </c>
      <c r="K845" s="13" t="s">
        <v>4664</v>
      </c>
      <c r="L845" s="13" t="s">
        <v>4754</v>
      </c>
      <c r="M845" s="13" t="s">
        <v>4775</v>
      </c>
      <c r="N845" s="12" t="s">
        <v>4847</v>
      </c>
      <c r="O845" s="17" t="str">
        <f>IF(LEN(COUNTIFS($J$1:J845,$J845,$K$1:K845,$K845,$L$1:L845,$L845,$M$1:M845,M845,$N$1:N845,N845))=1,"00"&amp;COUNTIFS($J$1:J845,$J845,$K$1:K845,$K845,$L$1:L845,$L845,$M$1:M845,M845,$N$1:N845,N845),IF(LEN(COUNTIFS($J$1:J845,$J845,$K$1:K845,$K845,$L$1:L845,$L845,$M$1:M845,M845,$N$1:N845,N845))=2,"0"&amp;COUNTIFS($J$1:J845,$J845,$K$1:K845,$K845,$L$1:L845,$L845,$M$1:M845,M845,$N$1:N845,N845),COUNTIFS($J$1:J845,$J845,$K$1:K845,$K845,$L$1:L845,$L845,$M$1:M845,M845,$N$1:N845,N845)))</f>
        <v>001</v>
      </c>
      <c r="P84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MS-CS-018-09-03001-INV</v>
      </c>
      <c r="Q845" s="59" t="s">
        <v>7336</v>
      </c>
      <c r="R845" s="34" t="s">
        <v>6611</v>
      </c>
      <c r="S845" s="34" t="s">
        <v>2504</v>
      </c>
      <c r="T845" s="34">
        <f>+IFERROR(_xlfn.XLOOKUP(Table43[[#This Row],[Column1]],#REF!,#REF!),0)</f>
        <v>0</v>
      </c>
      <c r="U845" s="50">
        <f>IFERROR(_xlfn.XLOOKUP(Table43[[#This Row],[Column1]],#REF!,#REF!),0)</f>
        <v>0</v>
      </c>
      <c r="V845" s="39"/>
    </row>
    <row r="846" spans="1:22" x14ac:dyDescent="0.35">
      <c r="A846" s="2" t="s">
        <v>2505</v>
      </c>
      <c r="B846" s="2" t="s">
        <v>2506</v>
      </c>
      <c r="C846" s="2" t="s">
        <v>9</v>
      </c>
      <c r="D846" s="2">
        <v>469.71</v>
      </c>
      <c r="E846" s="2" t="s">
        <v>10</v>
      </c>
      <c r="F846" s="2">
        <v>1</v>
      </c>
      <c r="G846" s="3">
        <v>2</v>
      </c>
      <c r="H846" s="2">
        <v>1</v>
      </c>
      <c r="I846" s="22">
        <f>Table43[[#This Row],[Item Cost]]*Table43[[#This Row],[In Stock]]</f>
        <v>469.71</v>
      </c>
      <c r="J846" s="12" t="s">
        <v>4941</v>
      </c>
      <c r="K846" s="13" t="s">
        <v>4664</v>
      </c>
      <c r="L846" s="13" t="s">
        <v>4754</v>
      </c>
      <c r="M846" s="13" t="s">
        <v>4774</v>
      </c>
      <c r="N846" s="12" t="s">
        <v>4847</v>
      </c>
      <c r="O846" s="17" t="str">
        <f>IF(LEN(COUNTIFS($J$1:J846,$J846,$K$1:K846,$K846,$L$1:L846,$L846,$M$1:M846,M846,$N$1:N846,N846))=1,"00"&amp;COUNTIFS($J$1:J846,$J846,$K$1:K846,$K846,$L$1:L846,$L846,$M$1:M846,M846,$N$1:N846,N846),IF(LEN(COUNTIFS($J$1:J846,$J846,$K$1:K846,$K846,$L$1:L846,$L846,$M$1:M846,M846,$N$1:N846,N846))=2,"0"&amp;COUNTIFS($J$1:J846,$J846,$K$1:K846,$K846,$L$1:L846,$L846,$M$1:M846,M846,$N$1:N846,N846),COUNTIFS($J$1:J846,$J846,$K$1:K846,$K846,$L$1:L846,$L846,$M$1:M846,M846,$N$1:N846,N846)))</f>
        <v>001</v>
      </c>
      <c r="P84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MS-CS-018-08-03001-INV</v>
      </c>
      <c r="Q846" s="59" t="s">
        <v>7336</v>
      </c>
      <c r="R846" s="34" t="s">
        <v>6612</v>
      </c>
      <c r="S846" s="34" t="s">
        <v>2506</v>
      </c>
      <c r="T846" s="34">
        <f>+IFERROR(_xlfn.XLOOKUP(Table43[[#This Row],[Column1]],#REF!,#REF!),0)</f>
        <v>0</v>
      </c>
      <c r="U846" s="50">
        <f>IFERROR(_xlfn.XLOOKUP(Table43[[#This Row],[Column1]],#REF!,#REF!),0)</f>
        <v>0</v>
      </c>
      <c r="V846" s="39"/>
    </row>
    <row r="847" spans="1:22" x14ac:dyDescent="0.35">
      <c r="A847" s="3" t="s">
        <v>2507</v>
      </c>
      <c r="B847" s="3" t="s">
        <v>2508</v>
      </c>
      <c r="C847" s="3" t="s">
        <v>9</v>
      </c>
      <c r="D847" s="3">
        <v>163.06</v>
      </c>
      <c r="E847" s="3" t="s">
        <v>10</v>
      </c>
      <c r="F847" s="2">
        <v>1</v>
      </c>
      <c r="G847" s="3">
        <v>2</v>
      </c>
      <c r="H847" s="3">
        <v>1</v>
      </c>
      <c r="I847" s="21">
        <f>Table43[[#This Row],[Item Cost]]*Table43[[#This Row],[In Stock]]</f>
        <v>163.06</v>
      </c>
      <c r="J847" s="12" t="s">
        <v>4941</v>
      </c>
      <c r="K847" s="13" t="s">
        <v>4664</v>
      </c>
      <c r="L847" s="13" t="s">
        <v>4754</v>
      </c>
      <c r="M847" s="13" t="s">
        <v>4827</v>
      </c>
      <c r="N847" s="12" t="s">
        <v>4847</v>
      </c>
      <c r="O847" s="17" t="str">
        <f>IF(LEN(COUNTIFS($J$1:J847,$J847,$K$1:K847,$K847,$L$1:L847,$L847,$M$1:M847,M847,$N$1:N847,N847))=1,"00"&amp;COUNTIFS($J$1:J847,$J847,$K$1:K847,$K847,$L$1:L847,$L847,$M$1:M847,M847,$N$1:N847,N847),IF(LEN(COUNTIFS($J$1:J847,$J847,$K$1:K847,$K847,$L$1:L847,$L847,$M$1:M847,M847,$N$1:N847,N847))=2,"0"&amp;COUNTIFS($J$1:J847,$J847,$K$1:K847,$K847,$L$1:L847,$L847,$M$1:M847,M847,$N$1:N847,N847),COUNTIFS($J$1:J847,$J847,$K$1:K847,$K847,$L$1:L847,$L847,$M$1:M847,M847,$N$1:N847,N847)))</f>
        <v>001</v>
      </c>
      <c r="P84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MS-CS-018-10-03001-INV</v>
      </c>
      <c r="Q847" s="59"/>
      <c r="R847" s="34" t="s">
        <v>6613</v>
      </c>
      <c r="S847" s="34" t="s">
        <v>2508</v>
      </c>
      <c r="T847" s="34">
        <f>+IFERROR(_xlfn.XLOOKUP(Table43[[#This Row],[Column1]],#REF!,#REF!),0)</f>
        <v>0</v>
      </c>
      <c r="U847" s="50">
        <f>IFERROR(_xlfn.XLOOKUP(Table43[[#This Row],[Column1]],#REF!,#REF!),0)</f>
        <v>0</v>
      </c>
      <c r="V847" s="39"/>
    </row>
    <row r="848" spans="1:22" x14ac:dyDescent="0.35">
      <c r="A848" s="3" t="s">
        <v>2509</v>
      </c>
      <c r="B848" s="2" t="s">
        <v>2510</v>
      </c>
      <c r="C848" s="2" t="s">
        <v>9</v>
      </c>
      <c r="D848" s="2">
        <v>9.18</v>
      </c>
      <c r="E848" s="2" t="s">
        <v>10</v>
      </c>
      <c r="F848" s="2">
        <v>1</v>
      </c>
      <c r="G848" s="3">
        <v>2</v>
      </c>
      <c r="H848" s="2">
        <v>2</v>
      </c>
      <c r="I848" s="22">
        <f>Table43[[#This Row],[Item Cost]]*Table43[[#This Row],[In Stock]]</f>
        <v>18.36</v>
      </c>
      <c r="J848" s="12" t="s">
        <v>4941</v>
      </c>
      <c r="K848" s="13" t="s">
        <v>4664</v>
      </c>
      <c r="L848" s="13" t="s">
        <v>4754</v>
      </c>
      <c r="M848" s="13" t="s">
        <v>4859</v>
      </c>
      <c r="N848" s="12" t="s">
        <v>4847</v>
      </c>
      <c r="O848" s="17" t="str">
        <f>IF(LEN(COUNTIFS($J$1:J848,$J848,$K$1:K848,$K848,$L$1:L848,$L848,$M$1:M848,M848,$N$1:N848,N848))=1,"00"&amp;COUNTIFS($J$1:J848,$J848,$K$1:K848,$K848,$L$1:L848,$L848,$M$1:M848,M848,$N$1:N848,N848),IF(LEN(COUNTIFS($J$1:J848,$J848,$K$1:K848,$K848,$L$1:L848,$L848,$M$1:M848,M848,$N$1:N848,N848))=2,"0"&amp;COUNTIFS($J$1:J848,$J848,$K$1:K848,$K848,$L$1:L848,$L848,$M$1:M848,M848,$N$1:N848,N848),COUNTIFS($J$1:J848,$J848,$K$1:K848,$K848,$L$1:L848,$L848,$M$1:M848,M848,$N$1:N848,N848)))</f>
        <v>001</v>
      </c>
      <c r="P84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MS-CS-018-30-03001-INV</v>
      </c>
      <c r="Q848" s="59"/>
      <c r="R848" s="34" t="s">
        <v>6614</v>
      </c>
      <c r="S848" s="34" t="s">
        <v>2510</v>
      </c>
      <c r="T848" s="34">
        <f>+IFERROR(_xlfn.XLOOKUP(Table43[[#This Row],[Column1]],#REF!,#REF!),0)</f>
        <v>0</v>
      </c>
      <c r="U848" s="50">
        <f>IFERROR(_xlfn.XLOOKUP(Table43[[#This Row],[Column1]],#REF!,#REF!),0)</f>
        <v>0</v>
      </c>
      <c r="V848" s="39"/>
    </row>
    <row r="849" spans="1:22" x14ac:dyDescent="0.35">
      <c r="A849" s="2" t="s">
        <v>2511</v>
      </c>
      <c r="B849" s="3" t="s">
        <v>848</v>
      </c>
      <c r="C849" s="3" t="s">
        <v>9</v>
      </c>
      <c r="D849" s="3">
        <v>13.59</v>
      </c>
      <c r="E849" s="3" t="s">
        <v>10</v>
      </c>
      <c r="F849" s="2">
        <v>1</v>
      </c>
      <c r="G849" s="3">
        <v>2</v>
      </c>
      <c r="H849" s="3">
        <v>2</v>
      </c>
      <c r="I849" s="21">
        <f>Table43[[#This Row],[Item Cost]]*Table43[[#This Row],[In Stock]]</f>
        <v>27.18</v>
      </c>
      <c r="J849" s="12" t="s">
        <v>4941</v>
      </c>
      <c r="K849" s="13" t="s">
        <v>4664</v>
      </c>
      <c r="L849" s="13" t="s">
        <v>4754</v>
      </c>
      <c r="M849" s="13" t="s">
        <v>4859</v>
      </c>
      <c r="N849" s="12" t="s">
        <v>4847</v>
      </c>
      <c r="O849" s="17" t="str">
        <f>IF(LEN(COUNTIFS($J$1:J849,$J849,$K$1:K849,$K849,$L$1:L849,$L849,$M$1:M849,M849,$N$1:N849,N849))=1,"00"&amp;COUNTIFS($J$1:J849,$J849,$K$1:K849,$K849,$L$1:L849,$L849,$M$1:M849,M849,$N$1:N849,N849),IF(LEN(COUNTIFS($J$1:J849,$J849,$K$1:K849,$K849,$L$1:L849,$L849,$M$1:M849,M849,$N$1:N849,N849))=2,"0"&amp;COUNTIFS($J$1:J849,$J849,$K$1:K849,$K849,$L$1:L849,$L849,$M$1:M849,M849,$N$1:N849,N849),COUNTIFS($J$1:J849,$J849,$K$1:K849,$K849,$L$1:L849,$L849,$M$1:M849,M849,$N$1:N849,N849)))</f>
        <v>002</v>
      </c>
      <c r="P84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MS-CS-018-30-03002-INV</v>
      </c>
      <c r="Q849" s="59" t="s">
        <v>7370</v>
      </c>
      <c r="R849" s="34" t="s">
        <v>6615</v>
      </c>
      <c r="S849" s="34" t="s">
        <v>848</v>
      </c>
      <c r="T849" s="34">
        <f>+IFERROR(_xlfn.XLOOKUP(Table43[[#This Row],[Column1]],#REF!,#REF!),0)</f>
        <v>0</v>
      </c>
      <c r="U849" s="50">
        <f>IFERROR(_xlfn.XLOOKUP(Table43[[#This Row],[Column1]],#REF!,#REF!),0)</f>
        <v>0</v>
      </c>
      <c r="V849" s="39"/>
    </row>
    <row r="850" spans="1:22" x14ac:dyDescent="0.35">
      <c r="A850" s="3" t="s">
        <v>2512</v>
      </c>
      <c r="B850" s="2" t="s">
        <v>852</v>
      </c>
      <c r="C850" s="2" t="s">
        <v>9</v>
      </c>
      <c r="D850" s="2">
        <v>73.45</v>
      </c>
      <c r="E850" s="2" t="s">
        <v>10</v>
      </c>
      <c r="F850" s="2">
        <v>1</v>
      </c>
      <c r="G850" s="3">
        <v>2</v>
      </c>
      <c r="H850" s="2">
        <v>2</v>
      </c>
      <c r="I850" s="22">
        <f>Table43[[#This Row],[Item Cost]]*Table43[[#This Row],[In Stock]]</f>
        <v>146.9</v>
      </c>
      <c r="J850" s="12" t="s">
        <v>4941</v>
      </c>
      <c r="K850" s="13" t="s">
        <v>4664</v>
      </c>
      <c r="L850" s="13" t="s">
        <v>4754</v>
      </c>
      <c r="M850" s="13" t="s">
        <v>4693</v>
      </c>
      <c r="N850" s="12" t="s">
        <v>4847</v>
      </c>
      <c r="O850" s="17" t="str">
        <f>IF(LEN(COUNTIFS($J$1:J850,$J850,$K$1:K850,$K850,$L$1:L850,$L850,$M$1:M850,M850,$N$1:N850,N850))=1,"00"&amp;COUNTIFS($J$1:J850,$J850,$K$1:K850,$K850,$L$1:L850,$L850,$M$1:M850,M850,$N$1:N850,N850),IF(LEN(COUNTIFS($J$1:J850,$J850,$K$1:K850,$K850,$L$1:L850,$L850,$M$1:M850,M850,$N$1:N850,N850))=2,"0"&amp;COUNTIFS($J$1:J850,$J850,$K$1:K850,$K850,$L$1:L850,$L850,$M$1:M850,M850,$N$1:N850,N850),COUNTIFS($J$1:J850,$J850,$K$1:K850,$K850,$L$1:L850,$L850,$M$1:M850,M850,$N$1:N850,N850)))</f>
        <v>012</v>
      </c>
      <c r="P85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MS-CS-018-23-03012-INV</v>
      </c>
      <c r="Q850" s="59" t="s">
        <v>7370</v>
      </c>
      <c r="R850" s="34" t="s">
        <v>6616</v>
      </c>
      <c r="S850" s="34" t="s">
        <v>852</v>
      </c>
      <c r="T850" s="34">
        <f>+IFERROR(_xlfn.XLOOKUP(Table43[[#This Row],[Column1]],#REF!,#REF!),0)</f>
        <v>0</v>
      </c>
      <c r="U850" s="50">
        <f>IFERROR(_xlfn.XLOOKUP(Table43[[#This Row],[Column1]],#REF!,#REF!),0)</f>
        <v>0</v>
      </c>
      <c r="V850" s="39"/>
    </row>
    <row r="851" spans="1:22" x14ac:dyDescent="0.35">
      <c r="A851" s="2" t="s">
        <v>2513</v>
      </c>
      <c r="B851" s="3" t="s">
        <v>2514</v>
      </c>
      <c r="C851" s="3" t="s">
        <v>9</v>
      </c>
      <c r="D851" s="3">
        <v>160.66999999999999</v>
      </c>
      <c r="E851" s="3" t="s">
        <v>10</v>
      </c>
      <c r="F851" s="2">
        <v>1</v>
      </c>
      <c r="G851" s="3">
        <v>2</v>
      </c>
      <c r="H851" s="3">
        <v>0</v>
      </c>
      <c r="I851" s="21">
        <f>Table43[[#This Row],[Item Cost]]*Table43[[#This Row],[In Stock]]</f>
        <v>0</v>
      </c>
      <c r="J851" s="12" t="s">
        <v>4941</v>
      </c>
      <c r="K851" s="13" t="s">
        <v>4664</v>
      </c>
      <c r="L851" s="13" t="s">
        <v>4754</v>
      </c>
      <c r="M851" s="13" t="s">
        <v>4844</v>
      </c>
      <c r="N851" s="12" t="s">
        <v>4847</v>
      </c>
      <c r="O851" s="17" t="str">
        <f>IF(LEN(COUNTIFS($J$1:J851,$J851,$K$1:K851,$K851,$L$1:L851,$L851,$M$1:M851,M851,$N$1:N851,N851))=1,"00"&amp;COUNTIFS($J$1:J851,$J851,$K$1:K851,$K851,$L$1:L851,$L851,$M$1:M851,M851,$N$1:N851,N851),IF(LEN(COUNTIFS($J$1:J851,$J851,$K$1:K851,$K851,$L$1:L851,$L851,$M$1:M851,M851,$N$1:N851,N851))=2,"0"&amp;COUNTIFS($J$1:J851,$J851,$K$1:K851,$K851,$L$1:L851,$L851,$M$1:M851,M851,$N$1:N851,N851),COUNTIFS($J$1:J851,$J851,$K$1:K851,$K851,$L$1:L851,$L851,$M$1:M851,M851,$N$1:N851,N851)))</f>
        <v>001</v>
      </c>
      <c r="P85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MS-CS-018-29-03001-INV</v>
      </c>
      <c r="Q851" s="59" t="s">
        <v>7370</v>
      </c>
      <c r="R851" s="34" t="s">
        <v>6617</v>
      </c>
      <c r="S851" s="34" t="s">
        <v>2514</v>
      </c>
      <c r="T851" s="34">
        <f>+IFERROR(_xlfn.XLOOKUP(Table43[[#This Row],[Column1]],#REF!,#REF!),0)</f>
        <v>0</v>
      </c>
      <c r="U851" s="50">
        <f>IFERROR(_xlfn.XLOOKUP(Table43[[#This Row],[Column1]],#REF!,#REF!),0)</f>
        <v>0</v>
      </c>
      <c r="V851" s="39"/>
    </row>
    <row r="852" spans="1:22" x14ac:dyDescent="0.35">
      <c r="A852" s="3" t="s">
        <v>2515</v>
      </c>
      <c r="B852" s="2" t="s">
        <v>2516</v>
      </c>
      <c r="C852" s="2" t="s">
        <v>9</v>
      </c>
      <c r="D852" s="2">
        <v>142.31</v>
      </c>
      <c r="E852" s="2" t="s">
        <v>10</v>
      </c>
      <c r="F852" s="2">
        <v>1</v>
      </c>
      <c r="G852" s="3">
        <v>2</v>
      </c>
      <c r="H852" s="2">
        <v>0</v>
      </c>
      <c r="I852" s="22">
        <f>Table43[[#This Row],[Item Cost]]*Table43[[#This Row],[In Stock]]</f>
        <v>0</v>
      </c>
      <c r="J852" s="12" t="s">
        <v>4941</v>
      </c>
      <c r="K852" s="13" t="s">
        <v>4664</v>
      </c>
      <c r="L852" s="13" t="s">
        <v>4754</v>
      </c>
      <c r="M852" s="13" t="s">
        <v>4844</v>
      </c>
      <c r="N852" s="12" t="s">
        <v>4847</v>
      </c>
      <c r="O852" s="17" t="str">
        <f>IF(LEN(COUNTIFS($J$1:J852,$J852,$K$1:K852,$K852,$L$1:L852,$L852,$M$1:M852,M852,$N$1:N852,N852))=1,"00"&amp;COUNTIFS($J$1:J852,$J852,$K$1:K852,$K852,$L$1:L852,$L852,$M$1:M852,M852,$N$1:N852,N852),IF(LEN(COUNTIFS($J$1:J852,$J852,$K$1:K852,$K852,$L$1:L852,$L852,$M$1:M852,M852,$N$1:N852,N852))=2,"0"&amp;COUNTIFS($J$1:J852,$J852,$K$1:K852,$K852,$L$1:L852,$L852,$M$1:M852,M852,$N$1:N852,N852),COUNTIFS($J$1:J852,$J852,$K$1:K852,$K852,$L$1:L852,$L852,$M$1:M852,M852,$N$1:N852,N852)))</f>
        <v>002</v>
      </c>
      <c r="P85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MS-CS-018-29-03002-INV</v>
      </c>
      <c r="Q852" s="59" t="s">
        <v>7370</v>
      </c>
      <c r="R852" s="34" t="s">
        <v>6618</v>
      </c>
      <c r="S852" s="34" t="s">
        <v>2516</v>
      </c>
      <c r="T852" s="34">
        <f>+IFERROR(_xlfn.XLOOKUP(Table43[[#This Row],[Column1]],#REF!,#REF!),0)</f>
        <v>0</v>
      </c>
      <c r="U852" s="50">
        <f>IFERROR(_xlfn.XLOOKUP(Table43[[#This Row],[Column1]],#REF!,#REF!),0)</f>
        <v>0</v>
      </c>
      <c r="V852" s="39"/>
    </row>
    <row r="853" spans="1:22" x14ac:dyDescent="0.35">
      <c r="A853" s="3" t="s">
        <v>2517</v>
      </c>
      <c r="B853" s="3" t="s">
        <v>2518</v>
      </c>
      <c r="C853" s="3" t="s">
        <v>9</v>
      </c>
      <c r="D853" s="3">
        <v>298.39</v>
      </c>
      <c r="E853" s="3" t="s">
        <v>10</v>
      </c>
      <c r="F853" s="2">
        <v>1</v>
      </c>
      <c r="G853" s="3">
        <v>2</v>
      </c>
      <c r="H853" s="3">
        <v>6</v>
      </c>
      <c r="I853" s="21">
        <f>Table43[[#This Row],[Item Cost]]*Table43[[#This Row],[In Stock]]</f>
        <v>1790.34</v>
      </c>
      <c r="J853" s="12" t="s">
        <v>4941</v>
      </c>
      <c r="K853" s="13" t="s">
        <v>4664</v>
      </c>
      <c r="L853" s="13" t="s">
        <v>4754</v>
      </c>
      <c r="M853" s="13" t="s">
        <v>4844</v>
      </c>
      <c r="N853" s="12" t="s">
        <v>4847</v>
      </c>
      <c r="O853" s="17" t="str">
        <f>IF(LEN(COUNTIFS($J$1:J853,$J853,$K$1:K853,$K853,$L$1:L853,$L853,$M$1:M853,M853,$N$1:N853,N853))=1,"00"&amp;COUNTIFS($J$1:J853,$J853,$K$1:K853,$K853,$L$1:L853,$L853,$M$1:M853,M853,$N$1:N853,N853),IF(LEN(COUNTIFS($J$1:J853,$J853,$K$1:K853,$K853,$L$1:L853,$L853,$M$1:M853,M853,$N$1:N853,N853))=2,"0"&amp;COUNTIFS($J$1:J853,$J853,$K$1:K853,$K853,$L$1:L853,$L853,$M$1:M853,M853,$N$1:N853,N853),COUNTIFS($J$1:J853,$J853,$K$1:K853,$K853,$L$1:L853,$L853,$M$1:M853,M853,$N$1:N853,N853)))</f>
        <v>003</v>
      </c>
      <c r="P85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MS-CS-018-29-03003-INV</v>
      </c>
      <c r="Q853" s="59" t="s">
        <v>7370</v>
      </c>
      <c r="R853" s="34" t="s">
        <v>6619</v>
      </c>
      <c r="S853" s="34" t="s">
        <v>2518</v>
      </c>
      <c r="T853" s="34">
        <f>+IFERROR(_xlfn.XLOOKUP(Table43[[#This Row],[Column1]],#REF!,#REF!),0)</f>
        <v>0</v>
      </c>
      <c r="U853" s="50">
        <f>IFERROR(_xlfn.XLOOKUP(Table43[[#This Row],[Column1]],#REF!,#REF!),0)</f>
        <v>0</v>
      </c>
      <c r="V853" s="39"/>
    </row>
    <row r="854" spans="1:22" x14ac:dyDescent="0.35">
      <c r="A854" s="2" t="s">
        <v>2519</v>
      </c>
      <c r="B854" s="2" t="s">
        <v>2520</v>
      </c>
      <c r="C854" s="2" t="s">
        <v>9</v>
      </c>
      <c r="D854" s="2">
        <v>367.25</v>
      </c>
      <c r="E854" s="2" t="s">
        <v>10</v>
      </c>
      <c r="F854" s="2">
        <v>1</v>
      </c>
      <c r="G854" s="3">
        <v>2</v>
      </c>
      <c r="H854" s="2">
        <v>1</v>
      </c>
      <c r="I854" s="22">
        <f>Table43[[#This Row],[Item Cost]]*Table43[[#This Row],[In Stock]]</f>
        <v>367.25</v>
      </c>
      <c r="J854" s="12" t="s">
        <v>4941</v>
      </c>
      <c r="K854" s="13" t="s">
        <v>4664</v>
      </c>
      <c r="L854" s="13" t="s">
        <v>4754</v>
      </c>
      <c r="M854" s="13" t="s">
        <v>4844</v>
      </c>
      <c r="N854" s="12" t="s">
        <v>4847</v>
      </c>
      <c r="O854" s="17" t="str">
        <f>IF(LEN(COUNTIFS($J$1:J854,$J854,$K$1:K854,$K854,$L$1:L854,$L854,$M$1:M854,M854,$N$1:N854,N854))=1,"00"&amp;COUNTIFS($J$1:J854,$J854,$K$1:K854,$K854,$L$1:L854,$L854,$M$1:M854,M854,$N$1:N854,N854),IF(LEN(COUNTIFS($J$1:J854,$J854,$K$1:K854,$K854,$L$1:L854,$L854,$M$1:M854,M854,$N$1:N854,N854))=2,"0"&amp;COUNTIFS($J$1:J854,$J854,$K$1:K854,$K854,$L$1:L854,$L854,$M$1:M854,M854,$N$1:N854,N854),COUNTIFS($J$1:J854,$J854,$K$1:K854,$K854,$L$1:L854,$L854,$M$1:M854,M854,$N$1:N854,N854)))</f>
        <v>004</v>
      </c>
      <c r="P85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MS-CS-018-29-03004-INV</v>
      </c>
      <c r="Q854" s="59" t="s">
        <v>7370</v>
      </c>
      <c r="R854" s="34" t="s">
        <v>6620</v>
      </c>
      <c r="S854" s="34" t="s">
        <v>2520</v>
      </c>
      <c r="T854" s="34">
        <f>+IFERROR(_xlfn.XLOOKUP(Table43[[#This Row],[Column1]],#REF!,#REF!),0)</f>
        <v>0</v>
      </c>
      <c r="U854" s="50">
        <f>IFERROR(_xlfn.XLOOKUP(Table43[[#This Row],[Column1]],#REF!,#REF!),0)</f>
        <v>0</v>
      </c>
      <c r="V854" s="39"/>
    </row>
    <row r="855" spans="1:22" x14ac:dyDescent="0.35">
      <c r="A855" s="3" t="s">
        <v>2521</v>
      </c>
      <c r="B855" s="3" t="s">
        <v>2522</v>
      </c>
      <c r="C855" s="3" t="s">
        <v>9</v>
      </c>
      <c r="D855" s="3">
        <v>367.25</v>
      </c>
      <c r="E855" s="3" t="s">
        <v>10</v>
      </c>
      <c r="F855" s="2">
        <v>1</v>
      </c>
      <c r="G855" s="3">
        <v>2</v>
      </c>
      <c r="H855" s="3">
        <v>1</v>
      </c>
      <c r="I855" s="21">
        <f>Table43[[#This Row],[Item Cost]]*Table43[[#This Row],[In Stock]]</f>
        <v>367.25</v>
      </c>
      <c r="J855" s="12" t="s">
        <v>4941</v>
      </c>
      <c r="K855" s="13" t="s">
        <v>4664</v>
      </c>
      <c r="L855" s="13" t="s">
        <v>4754</v>
      </c>
      <c r="M855" s="13" t="s">
        <v>4844</v>
      </c>
      <c r="N855" s="12" t="s">
        <v>4847</v>
      </c>
      <c r="O855" s="17" t="str">
        <f>IF(LEN(COUNTIFS($J$1:J855,$J855,$K$1:K855,$K855,$L$1:L855,$L855,$M$1:M855,M855,$N$1:N855,N855))=1,"00"&amp;COUNTIFS($J$1:J855,$J855,$K$1:K855,$K855,$L$1:L855,$L855,$M$1:M855,M855,$N$1:N855,N855),IF(LEN(COUNTIFS($J$1:J855,$J855,$K$1:K855,$K855,$L$1:L855,$L855,$M$1:M855,M855,$N$1:N855,N855))=2,"0"&amp;COUNTIFS($J$1:J855,$J855,$K$1:K855,$K855,$L$1:L855,$L855,$M$1:M855,M855,$N$1:N855,N855),COUNTIFS($J$1:J855,$J855,$K$1:K855,$K855,$L$1:L855,$L855,$M$1:M855,M855,$N$1:N855,N855)))</f>
        <v>005</v>
      </c>
      <c r="P85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MS-CS-018-29-03005-INV</v>
      </c>
      <c r="Q855" s="59" t="s">
        <v>7370</v>
      </c>
      <c r="R855" s="34" t="s">
        <v>6621</v>
      </c>
      <c r="S855" s="34" t="s">
        <v>2522</v>
      </c>
      <c r="T855" s="34">
        <f>+IFERROR(_xlfn.XLOOKUP(Table43[[#This Row],[Column1]],#REF!,#REF!),0)</f>
        <v>0</v>
      </c>
      <c r="U855" s="50">
        <f>IFERROR(_xlfn.XLOOKUP(Table43[[#This Row],[Column1]],#REF!,#REF!),0)</f>
        <v>0</v>
      </c>
      <c r="V855" s="39"/>
    </row>
    <row r="856" spans="1:22" x14ac:dyDescent="0.35">
      <c r="A856" s="2" t="s">
        <v>2523</v>
      </c>
      <c r="B856" s="2" t="s">
        <v>2524</v>
      </c>
      <c r="C856" s="2" t="s">
        <v>9</v>
      </c>
      <c r="D856" s="2">
        <v>367.25</v>
      </c>
      <c r="E856" s="2" t="s">
        <v>10</v>
      </c>
      <c r="F856" s="2">
        <v>1</v>
      </c>
      <c r="G856" s="3">
        <v>2</v>
      </c>
      <c r="H856" s="2">
        <v>1</v>
      </c>
      <c r="I856" s="22">
        <f>Table43[[#This Row],[Item Cost]]*Table43[[#This Row],[In Stock]]</f>
        <v>367.25</v>
      </c>
      <c r="J856" s="12" t="s">
        <v>4941</v>
      </c>
      <c r="K856" s="13" t="s">
        <v>4664</v>
      </c>
      <c r="L856" s="13" t="s">
        <v>4754</v>
      </c>
      <c r="M856" s="13" t="s">
        <v>4844</v>
      </c>
      <c r="N856" s="12" t="s">
        <v>4847</v>
      </c>
      <c r="O856" s="17" t="str">
        <f>IF(LEN(COUNTIFS($J$1:J856,$J856,$K$1:K856,$K856,$L$1:L856,$L856,$M$1:M856,M856,$N$1:N856,N856))=1,"00"&amp;COUNTIFS($J$1:J856,$J856,$K$1:K856,$K856,$L$1:L856,$L856,$M$1:M856,M856,$N$1:N856,N856),IF(LEN(COUNTIFS($J$1:J856,$J856,$K$1:K856,$K856,$L$1:L856,$L856,$M$1:M856,M856,$N$1:N856,N856))=2,"0"&amp;COUNTIFS($J$1:J856,$J856,$K$1:K856,$K856,$L$1:L856,$L856,$M$1:M856,M856,$N$1:N856,N856),COUNTIFS($J$1:J856,$J856,$K$1:K856,$K856,$L$1:L856,$L856,$M$1:M856,M856,$N$1:N856,N856)))</f>
        <v>006</v>
      </c>
      <c r="P85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MS-CS-018-29-03006-INV</v>
      </c>
      <c r="Q856" s="59" t="s">
        <v>7370</v>
      </c>
      <c r="R856" s="34" t="s">
        <v>7237</v>
      </c>
      <c r="S856" s="34" t="s">
        <v>5719</v>
      </c>
      <c r="T856" s="34">
        <f>+IFERROR(_xlfn.XLOOKUP(Table43[[#This Row],[Column1]],#REF!,#REF!),0)</f>
        <v>0</v>
      </c>
      <c r="U856" s="50">
        <f>IFERROR(_xlfn.XLOOKUP(Table43[[#This Row],[Column1]],#REF!,#REF!),0)</f>
        <v>0</v>
      </c>
      <c r="V856" s="39"/>
    </row>
    <row r="857" spans="1:22" x14ac:dyDescent="0.35">
      <c r="A857" s="3" t="s">
        <v>2525</v>
      </c>
      <c r="B857" s="3" t="s">
        <v>2526</v>
      </c>
      <c r="C857" s="3" t="s">
        <v>9</v>
      </c>
      <c r="D857" s="3">
        <v>367.25</v>
      </c>
      <c r="E857" s="3" t="s">
        <v>10</v>
      </c>
      <c r="F857" s="2">
        <v>1</v>
      </c>
      <c r="G857" s="3">
        <v>2</v>
      </c>
      <c r="H857" s="3">
        <v>1</v>
      </c>
      <c r="I857" s="21">
        <f>Table43[[#This Row],[Item Cost]]*Table43[[#This Row],[In Stock]]</f>
        <v>367.25</v>
      </c>
      <c r="J857" s="12" t="s">
        <v>4941</v>
      </c>
      <c r="K857" s="13" t="s">
        <v>4664</v>
      </c>
      <c r="L857" s="13" t="s">
        <v>4754</v>
      </c>
      <c r="M857" s="13" t="s">
        <v>4844</v>
      </c>
      <c r="N857" s="12" t="s">
        <v>4847</v>
      </c>
      <c r="O857" s="17" t="str">
        <f>IF(LEN(COUNTIFS($J$1:J857,$J857,$K$1:K857,$K857,$L$1:L857,$L857,$M$1:M857,M857,$N$1:N857,N857))=1,"00"&amp;COUNTIFS($J$1:J857,$J857,$K$1:K857,$K857,$L$1:L857,$L857,$M$1:M857,M857,$N$1:N857,N857),IF(LEN(COUNTIFS($J$1:J857,$J857,$K$1:K857,$K857,$L$1:L857,$L857,$M$1:M857,M857,$N$1:N857,N857))=2,"0"&amp;COUNTIFS($J$1:J857,$J857,$K$1:K857,$K857,$L$1:L857,$L857,$M$1:M857,M857,$N$1:N857,N857),COUNTIFS($J$1:J857,$J857,$K$1:K857,$K857,$L$1:L857,$L857,$M$1:M857,M857,$N$1:N857,N857)))</f>
        <v>007</v>
      </c>
      <c r="P85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MS-CS-018-29-03007-INV</v>
      </c>
      <c r="Q857" s="59"/>
      <c r="R857" s="34" t="s">
        <v>7238</v>
      </c>
      <c r="S857" s="34" t="s">
        <v>5720</v>
      </c>
      <c r="T857" s="34">
        <f>+IFERROR(_xlfn.XLOOKUP(Table43[[#This Row],[Column1]],#REF!,#REF!),0)</f>
        <v>0</v>
      </c>
      <c r="U857" s="50">
        <f>IFERROR(_xlfn.XLOOKUP(Table43[[#This Row],[Column1]],#REF!,#REF!),0)</f>
        <v>0</v>
      </c>
      <c r="V857" s="39"/>
    </row>
    <row r="858" spans="1:22" x14ac:dyDescent="0.35">
      <c r="A858" s="3" t="s">
        <v>2527</v>
      </c>
      <c r="B858" s="2" t="s">
        <v>2528</v>
      </c>
      <c r="C858" s="2" t="s">
        <v>9</v>
      </c>
      <c r="D858" s="2">
        <v>908.94</v>
      </c>
      <c r="E858" s="2" t="s">
        <v>10</v>
      </c>
      <c r="F858" s="2">
        <v>1</v>
      </c>
      <c r="G858" s="3">
        <v>2</v>
      </c>
      <c r="H858" s="2">
        <v>1</v>
      </c>
      <c r="I858" s="22">
        <f>Table43[[#This Row],[Item Cost]]*Table43[[#This Row],[In Stock]]</f>
        <v>908.94</v>
      </c>
      <c r="J858" s="12" t="s">
        <v>4941</v>
      </c>
      <c r="K858" s="13" t="s">
        <v>4664</v>
      </c>
      <c r="L858" s="13" t="s">
        <v>4754</v>
      </c>
      <c r="M858" s="13" t="s">
        <v>4837</v>
      </c>
      <c r="N858" s="12" t="s">
        <v>4847</v>
      </c>
      <c r="O858" s="17" t="str">
        <f>IF(LEN(COUNTIFS($J$1:J858,$J858,$K$1:K858,$K858,$L$1:L858,$L858,$M$1:M858,M858,$N$1:N858,N858))=1,"00"&amp;COUNTIFS($J$1:J858,$J858,$K$1:K858,$K858,$L$1:L858,$L858,$M$1:M858,M858,$N$1:N858,N858),IF(LEN(COUNTIFS($J$1:J858,$J858,$K$1:K858,$K858,$L$1:L858,$L858,$M$1:M858,M858,$N$1:N858,N858))=2,"0"&amp;COUNTIFS($J$1:J858,$J858,$K$1:K858,$K858,$L$1:L858,$L858,$M$1:M858,M858,$N$1:N858,N858),COUNTIFS($J$1:J858,$J858,$K$1:K858,$K858,$L$1:L858,$L858,$M$1:M858,M858,$N$1:N858,N858)))</f>
        <v>001</v>
      </c>
      <c r="P85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MS-CS-018-26-03001-INV</v>
      </c>
      <c r="Q858" s="59"/>
      <c r="R858" s="34" t="s">
        <v>7239</v>
      </c>
      <c r="S858" s="34" t="s">
        <v>5721</v>
      </c>
      <c r="T858" s="34">
        <f>+IFERROR(_xlfn.XLOOKUP(Table43[[#This Row],[Column1]],#REF!,#REF!),0)</f>
        <v>0</v>
      </c>
      <c r="U858" s="50">
        <f>IFERROR(_xlfn.XLOOKUP(Table43[[#This Row],[Column1]],#REF!,#REF!),0)</f>
        <v>0</v>
      </c>
      <c r="V858" s="39"/>
    </row>
    <row r="859" spans="1:22" x14ac:dyDescent="0.35">
      <c r="A859" s="2" t="s">
        <v>2529</v>
      </c>
      <c r="B859" s="3" t="s">
        <v>2530</v>
      </c>
      <c r="C859" s="3" t="s">
        <v>15</v>
      </c>
      <c r="D859" s="3">
        <v>0</v>
      </c>
      <c r="E859" s="3" t="s">
        <v>10</v>
      </c>
      <c r="F859" s="2">
        <v>1</v>
      </c>
      <c r="G859" s="2">
        <v>2</v>
      </c>
      <c r="H859" s="3">
        <v>0</v>
      </c>
      <c r="I859" s="21">
        <f>Table43[[#This Row],[Item Cost]]*Table43[[#This Row],[In Stock]]</f>
        <v>0</v>
      </c>
      <c r="J859" s="12" t="s">
        <v>4941</v>
      </c>
      <c r="K859" s="13" t="s">
        <v>4666</v>
      </c>
      <c r="L859" s="13" t="s">
        <v>4754</v>
      </c>
      <c r="M859" s="13" t="s">
        <v>4837</v>
      </c>
      <c r="N859" s="12" t="s">
        <v>4847</v>
      </c>
      <c r="O859" s="17" t="str">
        <f>IF(LEN(COUNTIFS($J$1:J859,$J859,$K$1:K859,$K859,$L$1:L859,$L859,$M$1:M859,M859,$N$1:N859,N859))=1,"00"&amp;COUNTIFS($J$1:J859,$J859,$K$1:K859,$K859,$L$1:L859,$L859,$M$1:M859,M859,$N$1:N859,N859),IF(LEN(COUNTIFS($J$1:J859,$J859,$K$1:K859,$K859,$L$1:L859,$L859,$M$1:M859,M859,$N$1:N859,N859))=2,"0"&amp;COUNTIFS($J$1:J859,$J859,$K$1:K859,$K859,$L$1:L859,$L859,$M$1:M859,M859,$N$1:N859,N859),COUNTIFS($J$1:J859,$J859,$K$1:K859,$K859,$L$1:L859,$L859,$M$1:M859,M859,$N$1:N859,N859)))</f>
        <v>001</v>
      </c>
      <c r="P85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MS-NS-018-26-03001-INV</v>
      </c>
      <c r="Q859" s="59" t="s">
        <v>7371</v>
      </c>
      <c r="R859" s="34" t="s">
        <v>7240</v>
      </c>
      <c r="S859" s="34" t="s">
        <v>5722</v>
      </c>
      <c r="T859" s="34">
        <f>+IFERROR(_xlfn.XLOOKUP(Table43[[#This Row],[Column1]],#REF!,#REF!),0)</f>
        <v>0</v>
      </c>
      <c r="U859" s="50">
        <f>IFERROR(_xlfn.XLOOKUP(Table43[[#This Row],[Column1]],#REF!,#REF!),0)</f>
        <v>0</v>
      </c>
      <c r="V859" s="39"/>
    </row>
    <row r="860" spans="1:22" x14ac:dyDescent="0.35">
      <c r="A860" s="3" t="s">
        <v>2531</v>
      </c>
      <c r="B860" s="2" t="s">
        <v>2532</v>
      </c>
      <c r="C860" s="2" t="s">
        <v>15</v>
      </c>
      <c r="D860" s="2">
        <v>0</v>
      </c>
      <c r="E860" s="2" t="s">
        <v>10</v>
      </c>
      <c r="F860" s="2">
        <v>1</v>
      </c>
      <c r="G860" s="2">
        <v>2</v>
      </c>
      <c r="H860" s="2">
        <v>0</v>
      </c>
      <c r="I860" s="22">
        <f>Table43[[#This Row],[Item Cost]]*Table43[[#This Row],[In Stock]]</f>
        <v>0</v>
      </c>
      <c r="J860" s="12" t="s">
        <v>4941</v>
      </c>
      <c r="K860" s="13" t="s">
        <v>4666</v>
      </c>
      <c r="L860" s="13" t="s">
        <v>4754</v>
      </c>
      <c r="M860" s="13" t="s">
        <v>4837</v>
      </c>
      <c r="N860" s="12" t="s">
        <v>4847</v>
      </c>
      <c r="O860" s="17" t="str">
        <f>IF(LEN(COUNTIFS($J$1:J860,$J860,$K$1:K860,$K860,$L$1:L860,$L860,$M$1:M860,M860,$N$1:N860,N860))=1,"00"&amp;COUNTIFS($J$1:J860,$J860,$K$1:K860,$K860,$L$1:L860,$L860,$M$1:M860,M860,$N$1:N860,N860),IF(LEN(COUNTIFS($J$1:J860,$J860,$K$1:K860,$K860,$L$1:L860,$L860,$M$1:M860,M860,$N$1:N860,N860))=2,"0"&amp;COUNTIFS($J$1:J860,$J860,$K$1:K860,$K860,$L$1:L860,$L860,$M$1:M860,M860,$N$1:N860,N860),COUNTIFS($J$1:J860,$J860,$K$1:K860,$K860,$L$1:L860,$L860,$M$1:M860,M860,$N$1:N860,N860)))</f>
        <v>002</v>
      </c>
      <c r="P86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MS-NS-018-26-03002-INV</v>
      </c>
      <c r="Q860" s="59" t="s">
        <v>7370</v>
      </c>
      <c r="R860" s="34" t="s">
        <v>6622</v>
      </c>
      <c r="S860" s="34" t="s">
        <v>2532</v>
      </c>
      <c r="T860" s="34">
        <f>+IFERROR(_xlfn.XLOOKUP(Table43[[#This Row],[Column1]],#REF!,#REF!),0)</f>
        <v>0</v>
      </c>
      <c r="U860" s="50">
        <f>IFERROR(_xlfn.XLOOKUP(Table43[[#This Row],[Column1]],#REF!,#REF!),0)</f>
        <v>0</v>
      </c>
      <c r="V860" s="39"/>
    </row>
    <row r="861" spans="1:22" x14ac:dyDescent="0.35">
      <c r="A861" s="2" t="s">
        <v>2533</v>
      </c>
      <c r="B861" s="3" t="s">
        <v>2534</v>
      </c>
      <c r="C861" s="3" t="s">
        <v>15</v>
      </c>
      <c r="D861" s="3">
        <v>0</v>
      </c>
      <c r="E861" s="3" t="s">
        <v>10</v>
      </c>
      <c r="F861" s="2">
        <v>1</v>
      </c>
      <c r="G861" s="2">
        <v>2</v>
      </c>
      <c r="H861" s="3">
        <v>0</v>
      </c>
      <c r="I861" s="21">
        <f>Table43[[#This Row],[Item Cost]]*Table43[[#This Row],[In Stock]]</f>
        <v>0</v>
      </c>
      <c r="J861" s="12" t="s">
        <v>4941</v>
      </c>
      <c r="K861" s="13" t="s">
        <v>4666</v>
      </c>
      <c r="L861" s="13" t="s">
        <v>4754</v>
      </c>
      <c r="M861" s="13" t="s">
        <v>4693</v>
      </c>
      <c r="N861" s="12" t="s">
        <v>4847</v>
      </c>
      <c r="O861" s="17" t="str">
        <f>IF(LEN(COUNTIFS($J$1:J861,$J861,$K$1:K861,$K861,$L$1:L861,$L861,$M$1:M861,M861,$N$1:N861,N861))=1,"00"&amp;COUNTIFS($J$1:J861,$J861,$K$1:K861,$K861,$L$1:L861,$L861,$M$1:M861,M861,$N$1:N861,N861),IF(LEN(COUNTIFS($J$1:J861,$J861,$K$1:K861,$K861,$L$1:L861,$L861,$M$1:M861,M861,$N$1:N861,N861))=2,"0"&amp;COUNTIFS($J$1:J861,$J861,$K$1:K861,$K861,$L$1:L861,$L861,$M$1:M861,M861,$N$1:N861,N861),COUNTIFS($J$1:J861,$J861,$K$1:K861,$K861,$L$1:L861,$L861,$M$1:M861,M861,$N$1:N861,N861)))</f>
        <v>001</v>
      </c>
      <c r="P86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MS-NS-018-23-03001-INV</v>
      </c>
      <c r="Q861" s="34"/>
      <c r="R861" s="34" t="s">
        <v>6623</v>
      </c>
      <c r="S861" s="34" t="s">
        <v>2534</v>
      </c>
      <c r="T861" s="34">
        <f>+IFERROR(_xlfn.XLOOKUP(Table43[[#This Row],[Column1]],#REF!,#REF!),0)</f>
        <v>0</v>
      </c>
      <c r="U861" s="50">
        <f>IFERROR(_xlfn.XLOOKUP(Table43[[#This Row],[Column1]],#REF!,#REF!),0)</f>
        <v>0</v>
      </c>
      <c r="V861" s="39"/>
    </row>
    <row r="862" spans="1:22" x14ac:dyDescent="0.35">
      <c r="A862" s="3" t="s">
        <v>2535</v>
      </c>
      <c r="B862" s="2" t="s">
        <v>2536</v>
      </c>
      <c r="C862" s="2" t="s">
        <v>15</v>
      </c>
      <c r="D862" s="4">
        <v>1610</v>
      </c>
      <c r="E862" s="2" t="s">
        <v>10</v>
      </c>
      <c r="F862" s="2">
        <v>1</v>
      </c>
      <c r="G862" s="2">
        <v>2</v>
      </c>
      <c r="H862" s="2">
        <v>2</v>
      </c>
      <c r="I862" s="22">
        <f>Table43[[#This Row],[Item Cost]]*Table43[[#This Row],[In Stock]]</f>
        <v>3220</v>
      </c>
      <c r="J862" s="12" t="s">
        <v>4941</v>
      </c>
      <c r="K862" s="13" t="s">
        <v>4666</v>
      </c>
      <c r="L862" s="13" t="s">
        <v>4754</v>
      </c>
      <c r="M862" s="13" t="s">
        <v>4693</v>
      </c>
      <c r="N862" s="12" t="s">
        <v>4847</v>
      </c>
      <c r="O862" s="17" t="str">
        <f>IF(LEN(COUNTIFS($J$1:J862,$J862,$K$1:K862,$K862,$L$1:L862,$L862,$M$1:M862,M862,$N$1:N862,N862))=1,"00"&amp;COUNTIFS($J$1:J862,$J862,$K$1:K862,$K862,$L$1:L862,$L862,$M$1:M862,M862,$N$1:N862,N862),IF(LEN(COUNTIFS($J$1:J862,$J862,$K$1:K862,$K862,$L$1:L862,$L862,$M$1:M862,M862,$N$1:N862,N862))=2,"0"&amp;COUNTIFS($J$1:J862,$J862,$K$1:K862,$K862,$L$1:L862,$L862,$M$1:M862,M862,$N$1:N862,N862),COUNTIFS($J$1:J862,$J862,$K$1:K862,$K862,$L$1:L862,$L862,$M$1:M862,M862,$N$1:N862,N862)))</f>
        <v>002</v>
      </c>
      <c r="P86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MS-NS-018-23-03002-INV</v>
      </c>
      <c r="Q862" s="34"/>
      <c r="R862" s="34" t="s">
        <v>6624</v>
      </c>
      <c r="S862" s="34" t="s">
        <v>2536</v>
      </c>
      <c r="T862" s="34">
        <f>+IFERROR(_xlfn.XLOOKUP(Table43[[#This Row],[Column1]],#REF!,#REF!),0)</f>
        <v>0</v>
      </c>
      <c r="U862" s="50">
        <f>IFERROR(_xlfn.XLOOKUP(Table43[[#This Row],[Column1]],#REF!,#REF!),0)</f>
        <v>0</v>
      </c>
      <c r="V862" s="39"/>
    </row>
    <row r="863" spans="1:22" x14ac:dyDescent="0.35">
      <c r="A863" s="2" t="s">
        <v>3015</v>
      </c>
      <c r="B863" s="2" t="s">
        <v>3016</v>
      </c>
      <c r="C863" s="2" t="s">
        <v>9</v>
      </c>
      <c r="D863" s="2">
        <v>98.28</v>
      </c>
      <c r="E863" s="2" t="s">
        <v>10</v>
      </c>
      <c r="F863" s="2">
        <v>1</v>
      </c>
      <c r="G863" s="3">
        <v>2</v>
      </c>
      <c r="H863" s="2">
        <v>1</v>
      </c>
      <c r="I863" s="22">
        <f>Table43[[#This Row],[Item Cost]]*Table43[[#This Row],[In Stock]]</f>
        <v>98.28</v>
      </c>
      <c r="J863" s="12" t="s">
        <v>4941</v>
      </c>
      <c r="K863" s="13" t="s">
        <v>4664</v>
      </c>
      <c r="L863" s="13" t="s">
        <v>4709</v>
      </c>
      <c r="M863" s="13" t="s">
        <v>4775</v>
      </c>
      <c r="N863" s="12" t="s">
        <v>4672</v>
      </c>
      <c r="O863" s="17" t="str">
        <f>IF(LEN(COUNTIFS($J$1:J863,$J863,$K$1:K863,$K863,$L$1:L863,$L863,$M$1:M863,M863,$N$1:N863,N863))=1,"00"&amp;COUNTIFS($J$1:J863,$J863,$K$1:K863,$K863,$L$1:L863,$L863,$M$1:M863,M863,$N$1:N863,N863),IF(LEN(COUNTIFS($J$1:J863,$J863,$K$1:K863,$K863,$L$1:L863,$L863,$M$1:M863,M863,$N$1:N863,N863))=2,"0"&amp;COUNTIFS($J$1:J863,$J863,$K$1:K863,$K863,$L$1:L863,$L863,$M$1:M863,M863,$N$1:N863,N863),COUNTIFS($J$1:J863,$J863,$K$1:K863,$K863,$L$1:L863,$L863,$M$1:M863,M863,$N$1:N863,N863)))</f>
        <v>001</v>
      </c>
      <c r="P86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MS-CS-019-09-00001-INV</v>
      </c>
      <c r="Q863" s="59" t="s">
        <v>7355</v>
      </c>
      <c r="R863" s="34" t="s">
        <v>6625</v>
      </c>
      <c r="S863" s="34" t="s">
        <v>3016</v>
      </c>
      <c r="T863" s="34">
        <f>+IFERROR(_xlfn.XLOOKUP(Table43[[#This Row],[Column1]],#REF!,#REF!),0)</f>
        <v>0</v>
      </c>
      <c r="U863" s="50">
        <f>IFERROR(_xlfn.XLOOKUP(Table43[[#This Row],[Column1]],#REF!,#REF!),0)</f>
        <v>0</v>
      </c>
      <c r="V863" s="39"/>
    </row>
    <row r="864" spans="1:22" x14ac:dyDescent="0.35">
      <c r="A864" s="2" t="s">
        <v>3017</v>
      </c>
      <c r="B864" s="3" t="s">
        <v>3018</v>
      </c>
      <c r="C864" s="3" t="s">
        <v>9</v>
      </c>
      <c r="D864" s="3">
        <v>829</v>
      </c>
      <c r="E864" s="3" t="s">
        <v>10</v>
      </c>
      <c r="F864" s="2">
        <v>1</v>
      </c>
      <c r="G864" s="3">
        <v>2</v>
      </c>
      <c r="H864" s="3">
        <v>1</v>
      </c>
      <c r="I864" s="21">
        <f>Table43[[#This Row],[Item Cost]]*Table43[[#This Row],[In Stock]]</f>
        <v>829</v>
      </c>
      <c r="J864" s="12" t="s">
        <v>4941</v>
      </c>
      <c r="K864" s="13" t="s">
        <v>4664</v>
      </c>
      <c r="L864" s="13" t="s">
        <v>4709</v>
      </c>
      <c r="M864" s="13" t="s">
        <v>4837</v>
      </c>
      <c r="N864" s="12" t="s">
        <v>4672</v>
      </c>
      <c r="O864" s="17" t="str">
        <f>IF(LEN(COUNTIFS($J$1:J864,$J864,$K$1:K864,$K864,$L$1:L864,$L864,$M$1:M864,M864,$N$1:N864,N864))=1,"00"&amp;COUNTIFS($J$1:J864,$J864,$K$1:K864,$K864,$L$1:L864,$L864,$M$1:M864,M864,$N$1:N864,N864),IF(LEN(COUNTIFS($J$1:J864,$J864,$K$1:K864,$K864,$L$1:L864,$L864,$M$1:M864,M864,$N$1:N864,N864))=2,"0"&amp;COUNTIFS($J$1:J864,$J864,$K$1:K864,$K864,$L$1:L864,$L864,$M$1:M864,M864,$N$1:N864,N864),COUNTIFS($J$1:J864,$J864,$K$1:K864,$K864,$L$1:L864,$L864,$M$1:M864,M864,$N$1:N864,N864)))</f>
        <v>001</v>
      </c>
      <c r="P86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MS-CS-019-26-00001-INV</v>
      </c>
      <c r="Q864" s="59" t="s">
        <v>7355</v>
      </c>
      <c r="R864" s="34" t="s">
        <v>6626</v>
      </c>
      <c r="S864" s="34" t="s">
        <v>3018</v>
      </c>
      <c r="T864" s="34">
        <f>+IFERROR(_xlfn.XLOOKUP(Table43[[#This Row],[Column1]],#REF!,#REF!),0)</f>
        <v>0</v>
      </c>
      <c r="U864" s="50">
        <f>IFERROR(_xlfn.XLOOKUP(Table43[[#This Row],[Column1]],#REF!,#REF!),0)</f>
        <v>0</v>
      </c>
      <c r="V864" s="39"/>
    </row>
    <row r="865" spans="1:22" x14ac:dyDescent="0.35">
      <c r="A865" s="2" t="s">
        <v>3019</v>
      </c>
      <c r="B865" s="2" t="s">
        <v>3020</v>
      </c>
      <c r="C865" s="2" t="s">
        <v>9</v>
      </c>
      <c r="D865" s="2">
        <v>198.45</v>
      </c>
      <c r="E865" s="2" t="s">
        <v>10</v>
      </c>
      <c r="F865" s="2">
        <v>1</v>
      </c>
      <c r="G865" s="3">
        <v>2</v>
      </c>
      <c r="H865" s="2">
        <v>1</v>
      </c>
      <c r="I865" s="22">
        <f>Table43[[#This Row],[Item Cost]]*Table43[[#This Row],[In Stock]]</f>
        <v>198.45</v>
      </c>
      <c r="J865" s="12" t="s">
        <v>4941</v>
      </c>
      <c r="K865" s="13" t="s">
        <v>4664</v>
      </c>
      <c r="L865" s="13" t="s">
        <v>4709</v>
      </c>
      <c r="M865" s="13" t="s">
        <v>4775</v>
      </c>
      <c r="N865" s="12" t="s">
        <v>4672</v>
      </c>
      <c r="O865" s="17" t="str">
        <f>IF(LEN(COUNTIFS($J$1:J865,$J865,$K$1:K865,$K865,$L$1:L865,$L865,$M$1:M865,M865,$N$1:N865,N865))=1,"00"&amp;COUNTIFS($J$1:J865,$J865,$K$1:K865,$K865,$L$1:L865,$L865,$M$1:M865,M865,$N$1:N865,N865),IF(LEN(COUNTIFS($J$1:J865,$J865,$K$1:K865,$K865,$L$1:L865,$L865,$M$1:M865,M865,$N$1:N865,N865))=2,"0"&amp;COUNTIFS($J$1:J865,$J865,$K$1:K865,$K865,$L$1:L865,$L865,$M$1:M865,M865,$N$1:N865,N865),COUNTIFS($J$1:J865,$J865,$K$1:K865,$K865,$L$1:L865,$L865,$M$1:M865,M865,$N$1:N865,N865)))</f>
        <v>002</v>
      </c>
      <c r="P86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MS-CS-019-09-00002-INV</v>
      </c>
      <c r="Q865" s="59" t="s">
        <v>7355</v>
      </c>
      <c r="R865" s="34" t="s">
        <v>6627</v>
      </c>
      <c r="S865" s="34" t="s">
        <v>3020</v>
      </c>
      <c r="T865" s="34">
        <f>+IFERROR(_xlfn.XLOOKUP(Table43[[#This Row],[Column1]],#REF!,#REF!),0)</f>
        <v>0</v>
      </c>
      <c r="U865" s="50">
        <f>IFERROR(_xlfn.XLOOKUP(Table43[[#This Row],[Column1]],#REF!,#REF!),0)</f>
        <v>0</v>
      </c>
      <c r="V865" s="39"/>
    </row>
    <row r="866" spans="1:22" x14ac:dyDescent="0.35">
      <c r="A866" s="2" t="s">
        <v>3021</v>
      </c>
      <c r="B866" s="3" t="s">
        <v>3022</v>
      </c>
      <c r="C866" s="3" t="s">
        <v>15</v>
      </c>
      <c r="D866" s="3">
        <v>823.68</v>
      </c>
      <c r="E866" s="3" t="s">
        <v>10</v>
      </c>
      <c r="F866" s="3">
        <v>1</v>
      </c>
      <c r="G866" s="3">
        <v>2</v>
      </c>
      <c r="H866" s="3">
        <v>0</v>
      </c>
      <c r="I866" s="21">
        <f>Table43[[#This Row],[Item Cost]]*Table43[[#This Row],[In Stock]]</f>
        <v>0</v>
      </c>
      <c r="J866" s="12" t="s">
        <v>4941</v>
      </c>
      <c r="K866" s="13" t="s">
        <v>4666</v>
      </c>
      <c r="L866" s="13" t="s">
        <v>4709</v>
      </c>
      <c r="M866" s="13" t="s">
        <v>4772</v>
      </c>
      <c r="N866" s="12" t="s">
        <v>4672</v>
      </c>
      <c r="O866" s="17" t="str">
        <f>IF(LEN(COUNTIFS($J$1:J866,$J866,$K$1:K866,$K866,$L$1:L866,$L866,$M$1:M866,M866,$N$1:N866,N866))=1,"00"&amp;COUNTIFS($J$1:J866,$J866,$K$1:K866,$K866,$L$1:L866,$L866,$M$1:M866,M866,$N$1:N866,N866),IF(LEN(COUNTIFS($J$1:J866,$J866,$K$1:K866,$K866,$L$1:L866,$L866,$M$1:M866,M866,$N$1:N866,N866))=2,"0"&amp;COUNTIFS($J$1:J866,$J866,$K$1:K866,$K866,$L$1:L866,$L866,$M$1:M866,M866,$N$1:N866,N866),COUNTIFS($J$1:J866,$J866,$K$1:K866,$K866,$L$1:L866,$L866,$M$1:M866,M866,$N$1:N866,N866)))</f>
        <v>001</v>
      </c>
      <c r="P86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MS-NS-019-06-00001-INV</v>
      </c>
      <c r="Q866" s="59"/>
      <c r="R866" s="34" t="s">
        <v>6628</v>
      </c>
      <c r="S866" s="34" t="s">
        <v>3022</v>
      </c>
      <c r="T866" s="34">
        <f>+IFERROR(_xlfn.XLOOKUP(Table43[[#This Row],[Column1]],#REF!,#REF!),0)</f>
        <v>0</v>
      </c>
      <c r="U866" s="50">
        <f>IFERROR(_xlfn.XLOOKUP(Table43[[#This Row],[Column1]],#REF!,#REF!),0)</f>
        <v>0</v>
      </c>
      <c r="V866" s="39"/>
    </row>
    <row r="867" spans="1:22" x14ac:dyDescent="0.35">
      <c r="A867" s="2" t="s">
        <v>3023</v>
      </c>
      <c r="B867" s="2" t="s">
        <v>3024</v>
      </c>
      <c r="C867" s="2" t="s">
        <v>9</v>
      </c>
      <c r="D867" s="4">
        <v>1797.91</v>
      </c>
      <c r="E867" s="2" t="s">
        <v>10</v>
      </c>
      <c r="F867" s="2">
        <v>1</v>
      </c>
      <c r="G867" s="3">
        <v>2</v>
      </c>
      <c r="H867" s="2">
        <v>1</v>
      </c>
      <c r="I867" s="22">
        <f>Table43[[#This Row],[Item Cost]]*Table43[[#This Row],[In Stock]]</f>
        <v>1797.91</v>
      </c>
      <c r="J867" s="12" t="s">
        <v>4941</v>
      </c>
      <c r="K867" s="13" t="s">
        <v>4664</v>
      </c>
      <c r="L867" s="13" t="s">
        <v>4709</v>
      </c>
      <c r="M867" s="13" t="s">
        <v>4772</v>
      </c>
      <c r="N867" s="12" t="s">
        <v>4672</v>
      </c>
      <c r="O867" s="17" t="str">
        <f>IF(LEN(COUNTIFS($J$1:J867,$J867,$K$1:K867,$K867,$L$1:L867,$L867,$M$1:M867,M867,$N$1:N867,N867))=1,"00"&amp;COUNTIFS($J$1:J867,$J867,$K$1:K867,$K867,$L$1:L867,$L867,$M$1:M867,M867,$N$1:N867,N867),IF(LEN(COUNTIFS($J$1:J867,$J867,$K$1:K867,$K867,$L$1:L867,$L867,$M$1:M867,M867,$N$1:N867,N867))=2,"0"&amp;COUNTIFS($J$1:J867,$J867,$K$1:K867,$K867,$L$1:L867,$L867,$M$1:M867,M867,$N$1:N867,N867),COUNTIFS($J$1:J867,$J867,$K$1:K867,$K867,$L$1:L867,$L867,$M$1:M867,M867,$N$1:N867,N867)))</f>
        <v>001</v>
      </c>
      <c r="P86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MS-CS-019-06-00001-INV</v>
      </c>
      <c r="Q867" s="59"/>
      <c r="R867" s="34" t="s">
        <v>6629</v>
      </c>
      <c r="S867" s="34" t="s">
        <v>3024</v>
      </c>
      <c r="T867" s="34">
        <f>+IFERROR(_xlfn.XLOOKUP(Table43[[#This Row],[Column1]],#REF!,#REF!),0)</f>
        <v>0</v>
      </c>
      <c r="U867" s="50">
        <f>IFERROR(_xlfn.XLOOKUP(Table43[[#This Row],[Column1]],#REF!,#REF!),0)</f>
        <v>0</v>
      </c>
      <c r="V867" s="39"/>
    </row>
    <row r="868" spans="1:22" x14ac:dyDescent="0.35">
      <c r="A868" s="2" t="s">
        <v>3025</v>
      </c>
      <c r="B868" s="3" t="s">
        <v>3026</v>
      </c>
      <c r="C868" s="3" t="s">
        <v>9</v>
      </c>
      <c r="D868" s="5">
        <v>4481</v>
      </c>
      <c r="E868" s="3" t="s">
        <v>10</v>
      </c>
      <c r="F868" s="2">
        <v>1</v>
      </c>
      <c r="G868" s="3">
        <v>2</v>
      </c>
      <c r="H868" s="3">
        <v>1</v>
      </c>
      <c r="I868" s="21">
        <f>Table43[[#This Row],[Item Cost]]*Table43[[#This Row],[In Stock]]</f>
        <v>4481</v>
      </c>
      <c r="J868" s="12" t="s">
        <v>4941</v>
      </c>
      <c r="K868" s="13" t="s">
        <v>4664</v>
      </c>
      <c r="L868" s="13" t="s">
        <v>4709</v>
      </c>
      <c r="M868" s="13" t="s">
        <v>4837</v>
      </c>
      <c r="N868" s="12" t="s">
        <v>4672</v>
      </c>
      <c r="O868" s="17" t="str">
        <f>IF(LEN(COUNTIFS($J$1:J868,$J868,$K$1:K868,$K868,$L$1:L868,$L868,$M$1:M868,M868,$N$1:N868,N868))=1,"00"&amp;COUNTIFS($J$1:J868,$J868,$K$1:K868,$K868,$L$1:L868,$L868,$M$1:M868,M868,$N$1:N868,N868),IF(LEN(COUNTIFS($J$1:J868,$J868,$K$1:K868,$K868,$L$1:L868,$L868,$M$1:M868,M868,$N$1:N868,N868))=2,"0"&amp;COUNTIFS($J$1:J868,$J868,$K$1:K868,$K868,$L$1:L868,$L868,$M$1:M868,M868,$N$1:N868,N868),COUNTIFS($J$1:J868,$J868,$K$1:K868,$K868,$L$1:L868,$L868,$M$1:M868,M868,$N$1:N868,N868)))</f>
        <v>002</v>
      </c>
      <c r="P86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MS-CS-019-26-00002-INV</v>
      </c>
      <c r="Q868" s="59" t="s">
        <v>7377</v>
      </c>
      <c r="R868" s="34" t="s">
        <v>7241</v>
      </c>
      <c r="S868" s="34" t="s">
        <v>5723</v>
      </c>
      <c r="T868" s="34">
        <f>+IFERROR(_xlfn.XLOOKUP(Table43[[#This Row],[Column1]],#REF!,#REF!),0)</f>
        <v>0</v>
      </c>
      <c r="U868" s="50">
        <f>IFERROR(_xlfn.XLOOKUP(Table43[[#This Row],[Column1]],#REF!,#REF!),0)</f>
        <v>0</v>
      </c>
      <c r="V868" s="39"/>
    </row>
    <row r="869" spans="1:22" x14ac:dyDescent="0.35">
      <c r="A869" s="2" t="s">
        <v>3027</v>
      </c>
      <c r="B869" s="2" t="s">
        <v>3028</v>
      </c>
      <c r="C869" s="2" t="s">
        <v>9</v>
      </c>
      <c r="D869" s="2">
        <v>787</v>
      </c>
      <c r="E869" s="2" t="s">
        <v>10</v>
      </c>
      <c r="F869" s="2">
        <v>1</v>
      </c>
      <c r="G869" s="3">
        <v>2</v>
      </c>
      <c r="H869" s="2">
        <v>0</v>
      </c>
      <c r="I869" s="22">
        <f>Table43[[#This Row],[Item Cost]]*Table43[[#This Row],[In Stock]]</f>
        <v>0</v>
      </c>
      <c r="J869" s="12" t="s">
        <v>4941</v>
      </c>
      <c r="K869" s="13" t="s">
        <v>4664</v>
      </c>
      <c r="L869" s="13" t="s">
        <v>4709</v>
      </c>
      <c r="M869" s="13" t="s">
        <v>4770</v>
      </c>
      <c r="N869" s="12" t="s">
        <v>4672</v>
      </c>
      <c r="O869" s="17" t="str">
        <f>IF(LEN(COUNTIFS($J$1:J869,$J869,$K$1:K869,$K869,$L$1:L869,$L869,$M$1:M869,M869,$N$1:N869,N869))=1,"00"&amp;COUNTIFS($J$1:J869,$J869,$K$1:K869,$K869,$L$1:L869,$L869,$M$1:M869,M869,$N$1:N869,N869),IF(LEN(COUNTIFS($J$1:J869,$J869,$K$1:K869,$K869,$L$1:L869,$L869,$M$1:M869,M869,$N$1:N869,N869))=2,"0"&amp;COUNTIFS($J$1:J869,$J869,$K$1:K869,$K869,$L$1:L869,$L869,$M$1:M869,M869,$N$1:N869,N869),COUNTIFS($J$1:J869,$J869,$K$1:K869,$K869,$L$1:L869,$L869,$M$1:M869,M869,$N$1:N869,N869)))</f>
        <v>001</v>
      </c>
      <c r="P86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MS-CS-019-04-00001-INV</v>
      </c>
      <c r="Q869" s="59"/>
      <c r="R869" s="34" t="s">
        <v>7242</v>
      </c>
      <c r="S869" s="34" t="s">
        <v>5724</v>
      </c>
      <c r="T869" s="34">
        <f>+IFERROR(_xlfn.XLOOKUP(Table43[[#This Row],[Column1]],#REF!,#REF!),0)</f>
        <v>0</v>
      </c>
      <c r="U869" s="50">
        <f>IFERROR(_xlfn.XLOOKUP(Table43[[#This Row],[Column1]],#REF!,#REF!),0)</f>
        <v>0</v>
      </c>
      <c r="V869" s="39"/>
    </row>
    <row r="870" spans="1:22" x14ac:dyDescent="0.35">
      <c r="A870" s="2" t="s">
        <v>3029</v>
      </c>
      <c r="B870" s="3" t="s">
        <v>3030</v>
      </c>
      <c r="C870" s="3" t="s">
        <v>9</v>
      </c>
      <c r="D870" s="3">
        <v>675.15</v>
      </c>
      <c r="E870" s="3" t="s">
        <v>10</v>
      </c>
      <c r="F870" s="2">
        <v>1</v>
      </c>
      <c r="G870" s="3">
        <v>2</v>
      </c>
      <c r="H870" s="3">
        <v>0</v>
      </c>
      <c r="I870" s="21">
        <f>Table43[[#This Row],[Item Cost]]*Table43[[#This Row],[In Stock]]</f>
        <v>0</v>
      </c>
      <c r="J870" s="12" t="s">
        <v>4941</v>
      </c>
      <c r="K870" s="13" t="s">
        <v>4664</v>
      </c>
      <c r="L870" s="13" t="s">
        <v>4709</v>
      </c>
      <c r="M870" s="13" t="s">
        <v>4772</v>
      </c>
      <c r="N870" s="12" t="s">
        <v>4672</v>
      </c>
      <c r="O870" s="17" t="str">
        <f>IF(LEN(COUNTIFS($J$1:J870,$J870,$K$1:K870,$K870,$L$1:L870,$L870,$M$1:M870,M870,$N$1:N870,N870))=1,"00"&amp;COUNTIFS($J$1:J870,$J870,$K$1:K870,$K870,$L$1:L870,$L870,$M$1:M870,M870,$N$1:N870,N870),IF(LEN(COUNTIFS($J$1:J870,$J870,$K$1:K870,$K870,$L$1:L870,$L870,$M$1:M870,M870,$N$1:N870,N870))=2,"0"&amp;COUNTIFS($J$1:J870,$J870,$K$1:K870,$K870,$L$1:L870,$L870,$M$1:M870,M870,$N$1:N870,N870),COUNTIFS($J$1:J870,$J870,$K$1:K870,$K870,$L$1:L870,$L870,$M$1:M870,M870,$N$1:N870,N870)))</f>
        <v>002</v>
      </c>
      <c r="P87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MS-CS-019-06-00002-INV</v>
      </c>
      <c r="Q870" s="59"/>
      <c r="R870" s="34" t="s">
        <v>6630</v>
      </c>
      <c r="S870" s="34" t="s">
        <v>3030</v>
      </c>
      <c r="T870" s="34">
        <f>+IFERROR(_xlfn.XLOOKUP(Table43[[#This Row],[Column1]],#REF!,#REF!),0)</f>
        <v>0</v>
      </c>
      <c r="U870" s="50">
        <f>IFERROR(_xlfn.XLOOKUP(Table43[[#This Row],[Column1]],#REF!,#REF!),0)</f>
        <v>0</v>
      </c>
      <c r="V870" s="39"/>
    </row>
    <row r="871" spans="1:22" x14ac:dyDescent="0.35">
      <c r="A871" s="2" t="s">
        <v>3031</v>
      </c>
      <c r="B871" s="2" t="s">
        <v>3032</v>
      </c>
      <c r="C871" s="2" t="s">
        <v>9</v>
      </c>
      <c r="D871" s="2">
        <v>787</v>
      </c>
      <c r="E871" s="2" t="s">
        <v>10</v>
      </c>
      <c r="F871" s="2">
        <v>1</v>
      </c>
      <c r="G871" s="3">
        <v>2</v>
      </c>
      <c r="H871" s="2">
        <v>0</v>
      </c>
      <c r="I871" s="22">
        <f>Table43[[#This Row],[Item Cost]]*Table43[[#This Row],[In Stock]]</f>
        <v>0</v>
      </c>
      <c r="J871" s="12" t="s">
        <v>4941</v>
      </c>
      <c r="K871" s="13" t="s">
        <v>4664</v>
      </c>
      <c r="L871" s="13" t="s">
        <v>4709</v>
      </c>
      <c r="M871" s="13" t="s">
        <v>4770</v>
      </c>
      <c r="N871" s="12" t="s">
        <v>4672</v>
      </c>
      <c r="O871" s="17" t="str">
        <f>IF(LEN(COUNTIFS($J$1:J871,$J871,$K$1:K871,$K871,$L$1:L871,$L871,$M$1:M871,M871,$N$1:N871,N871))=1,"00"&amp;COUNTIFS($J$1:J871,$J871,$K$1:K871,$K871,$L$1:L871,$L871,$M$1:M871,M871,$N$1:N871,N871),IF(LEN(COUNTIFS($J$1:J871,$J871,$K$1:K871,$K871,$L$1:L871,$L871,$M$1:M871,M871,$N$1:N871,N871))=2,"0"&amp;COUNTIFS($J$1:J871,$J871,$K$1:K871,$K871,$L$1:L871,$L871,$M$1:M871,M871,$N$1:N871,N871),COUNTIFS($J$1:J871,$J871,$K$1:K871,$K871,$L$1:L871,$L871,$M$1:M871,M871,$N$1:N871,N871)))</f>
        <v>002</v>
      </c>
      <c r="P87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MS-CS-019-04-00002-INV</v>
      </c>
      <c r="Q871" s="59"/>
      <c r="R871" s="34" t="s">
        <v>7243</v>
      </c>
      <c r="S871" s="34" t="s">
        <v>5725</v>
      </c>
      <c r="T871" s="34">
        <f>+IFERROR(_xlfn.XLOOKUP(Table43[[#This Row],[Column1]],#REF!,#REF!),0)</f>
        <v>0</v>
      </c>
      <c r="U871" s="50">
        <f>IFERROR(_xlfn.XLOOKUP(Table43[[#This Row],[Column1]],#REF!,#REF!),0)</f>
        <v>0</v>
      </c>
      <c r="V871" s="39"/>
    </row>
    <row r="872" spans="1:22" x14ac:dyDescent="0.35">
      <c r="A872" s="2" t="s">
        <v>3033</v>
      </c>
      <c r="B872" s="3" t="s">
        <v>3034</v>
      </c>
      <c r="C872" s="3" t="s">
        <v>9</v>
      </c>
      <c r="D872" s="3">
        <v>355.834</v>
      </c>
      <c r="E872" s="3" t="s">
        <v>10</v>
      </c>
      <c r="F872" s="2">
        <v>1</v>
      </c>
      <c r="G872" s="3">
        <v>2</v>
      </c>
      <c r="H872" s="3">
        <v>7</v>
      </c>
      <c r="I872" s="21">
        <f>Table43[[#This Row],[Item Cost]]*Table43[[#This Row],[In Stock]]</f>
        <v>2490.8380000000002</v>
      </c>
      <c r="J872" s="12" t="s">
        <v>4941</v>
      </c>
      <c r="K872" s="13" t="s">
        <v>4664</v>
      </c>
      <c r="L872" s="13" t="s">
        <v>4709</v>
      </c>
      <c r="M872" s="13" t="s">
        <v>4770</v>
      </c>
      <c r="N872" s="12" t="s">
        <v>4672</v>
      </c>
      <c r="O872" s="17" t="str">
        <f>IF(LEN(COUNTIFS($J$1:J872,$J872,$K$1:K872,$K872,$L$1:L872,$L872,$M$1:M872,M872,$N$1:N872,N872))=1,"00"&amp;COUNTIFS($J$1:J872,$J872,$K$1:K872,$K872,$L$1:L872,$L872,$M$1:M872,M872,$N$1:N872,N872),IF(LEN(COUNTIFS($J$1:J872,$J872,$K$1:K872,$K872,$L$1:L872,$L872,$M$1:M872,M872,$N$1:N872,N872))=2,"0"&amp;COUNTIFS($J$1:J872,$J872,$K$1:K872,$K872,$L$1:L872,$L872,$M$1:M872,M872,$N$1:N872,N872),COUNTIFS($J$1:J872,$J872,$K$1:K872,$K872,$L$1:L872,$L872,$M$1:M872,M872,$N$1:N872,N872)))</f>
        <v>003</v>
      </c>
      <c r="P87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MS-CS-019-04-00003-INV</v>
      </c>
      <c r="Q872" s="59" t="s">
        <v>7378</v>
      </c>
      <c r="R872" s="34" t="s">
        <v>6631</v>
      </c>
      <c r="S872" s="34" t="s">
        <v>3034</v>
      </c>
      <c r="T872" s="34">
        <f>+IFERROR(_xlfn.XLOOKUP(Table43[[#This Row],[Column1]],#REF!,#REF!),0)</f>
        <v>0</v>
      </c>
      <c r="U872" s="50">
        <f>IFERROR(_xlfn.XLOOKUP(Table43[[#This Row],[Column1]],#REF!,#REF!),0)</f>
        <v>0</v>
      </c>
      <c r="V872" s="39"/>
    </row>
    <row r="873" spans="1:22" x14ac:dyDescent="0.35">
      <c r="A873" s="2" t="s">
        <v>3035</v>
      </c>
      <c r="B873" s="2" t="s">
        <v>3036</v>
      </c>
      <c r="C873" s="2" t="s">
        <v>9</v>
      </c>
      <c r="D873" s="2">
        <v>667</v>
      </c>
      <c r="E873" s="2" t="s">
        <v>10</v>
      </c>
      <c r="F873" s="2">
        <v>1</v>
      </c>
      <c r="G873" s="3">
        <v>2</v>
      </c>
      <c r="H873" s="2">
        <v>1</v>
      </c>
      <c r="I873" s="22">
        <f>Table43[[#This Row],[Item Cost]]*Table43[[#This Row],[In Stock]]</f>
        <v>667</v>
      </c>
      <c r="J873" s="12" t="s">
        <v>4941</v>
      </c>
      <c r="K873" s="13" t="s">
        <v>4664</v>
      </c>
      <c r="L873" s="13" t="s">
        <v>4709</v>
      </c>
      <c r="M873" s="13" t="s">
        <v>4837</v>
      </c>
      <c r="N873" s="12" t="s">
        <v>4672</v>
      </c>
      <c r="O873" s="17" t="str">
        <f>IF(LEN(COUNTIFS($J$1:J873,$J873,$K$1:K873,$K873,$L$1:L873,$L873,$M$1:M873,M873,$N$1:N873,N873))=1,"00"&amp;COUNTIFS($J$1:J873,$J873,$K$1:K873,$K873,$L$1:L873,$L873,$M$1:M873,M873,$N$1:N873,N873),IF(LEN(COUNTIFS($J$1:J873,$J873,$K$1:K873,$K873,$L$1:L873,$L873,$M$1:M873,M873,$N$1:N873,N873))=2,"0"&amp;COUNTIFS($J$1:J873,$J873,$K$1:K873,$K873,$L$1:L873,$L873,$M$1:M873,M873,$N$1:N873,N873),COUNTIFS($J$1:J873,$J873,$K$1:K873,$K873,$L$1:L873,$L873,$M$1:M873,M873,$N$1:N873,N873)))</f>
        <v>003</v>
      </c>
      <c r="P87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MS-CS-019-26-00003-INV</v>
      </c>
      <c r="Q873" s="59"/>
      <c r="R873" s="34" t="s">
        <v>6632</v>
      </c>
      <c r="S873" s="34" t="s">
        <v>3036</v>
      </c>
      <c r="T873" s="34">
        <f>+IFERROR(_xlfn.XLOOKUP(Table43[[#This Row],[Column1]],#REF!,#REF!),0)</f>
        <v>0</v>
      </c>
      <c r="U873" s="50">
        <f>IFERROR(_xlfn.XLOOKUP(Table43[[#This Row],[Column1]],#REF!,#REF!),0)</f>
        <v>0</v>
      </c>
      <c r="V873" s="39"/>
    </row>
    <row r="874" spans="1:22" x14ac:dyDescent="0.35">
      <c r="A874" s="2" t="s">
        <v>3037</v>
      </c>
      <c r="B874" s="3" t="s">
        <v>3038</v>
      </c>
      <c r="C874" s="3" t="s">
        <v>9</v>
      </c>
      <c r="D874" s="3">
        <v>36.840000000000003</v>
      </c>
      <c r="E874" s="3" t="s">
        <v>10</v>
      </c>
      <c r="F874" s="2">
        <v>1</v>
      </c>
      <c r="G874" s="3">
        <v>2</v>
      </c>
      <c r="H874" s="3">
        <v>2</v>
      </c>
      <c r="I874" s="21">
        <f>Table43[[#This Row],[Item Cost]]*Table43[[#This Row],[In Stock]]</f>
        <v>73.680000000000007</v>
      </c>
      <c r="J874" s="12" t="s">
        <v>4941</v>
      </c>
      <c r="K874" s="13" t="s">
        <v>4664</v>
      </c>
      <c r="L874" s="13" t="s">
        <v>4709</v>
      </c>
      <c r="M874" s="13" t="s">
        <v>4777</v>
      </c>
      <c r="N874" s="12" t="s">
        <v>4672</v>
      </c>
      <c r="O874" s="17" t="str">
        <f>IF(LEN(COUNTIFS($J$1:J874,$J874,$K$1:K874,$K874,$L$1:L874,$L874,$M$1:M874,M874,$N$1:N874,N874))=1,"00"&amp;COUNTIFS($J$1:J874,$J874,$K$1:K874,$K874,$L$1:L874,$L874,$M$1:M874,M874,$N$1:N874,N874),IF(LEN(COUNTIFS($J$1:J874,$J874,$K$1:K874,$K874,$L$1:L874,$L874,$M$1:M874,M874,$N$1:N874,N874))=2,"0"&amp;COUNTIFS($J$1:J874,$J874,$K$1:K874,$K874,$L$1:L874,$L874,$M$1:M874,M874,$N$1:N874,N874),COUNTIFS($J$1:J874,$J874,$K$1:K874,$K874,$L$1:L874,$L874,$M$1:M874,M874,$N$1:N874,N874)))</f>
        <v>001</v>
      </c>
      <c r="P87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MS-CS-019-11-00001-INV</v>
      </c>
      <c r="Q874" s="59" t="s">
        <v>7355</v>
      </c>
      <c r="R874" s="34" t="s">
        <v>6633</v>
      </c>
      <c r="S874" s="34" t="s">
        <v>3038</v>
      </c>
      <c r="T874" s="34">
        <f>+IFERROR(_xlfn.XLOOKUP(Table43[[#This Row],[Column1]],#REF!,#REF!),0)</f>
        <v>0</v>
      </c>
      <c r="U874" s="50">
        <f>IFERROR(_xlfn.XLOOKUP(Table43[[#This Row],[Column1]],#REF!,#REF!),0)</f>
        <v>0</v>
      </c>
      <c r="V874" s="39"/>
    </row>
    <row r="875" spans="1:22" x14ac:dyDescent="0.35">
      <c r="A875" s="2" t="s">
        <v>3039</v>
      </c>
      <c r="B875" s="2" t="s">
        <v>3040</v>
      </c>
      <c r="C875" s="2" t="s">
        <v>9</v>
      </c>
      <c r="D875" s="2">
        <v>401.36</v>
      </c>
      <c r="E875" s="2" t="s">
        <v>10</v>
      </c>
      <c r="F875" s="2">
        <v>1</v>
      </c>
      <c r="G875" s="3">
        <v>2</v>
      </c>
      <c r="H875" s="2">
        <v>1</v>
      </c>
      <c r="I875" s="22">
        <f>Table43[[#This Row],[Item Cost]]*Table43[[#This Row],[In Stock]]</f>
        <v>401.36</v>
      </c>
      <c r="J875" s="12" t="s">
        <v>4941</v>
      </c>
      <c r="K875" s="13" t="s">
        <v>4664</v>
      </c>
      <c r="L875" s="13" t="s">
        <v>4709</v>
      </c>
      <c r="M875" s="13" t="s">
        <v>4693</v>
      </c>
      <c r="N875" s="12" t="s">
        <v>4672</v>
      </c>
      <c r="O875" s="17" t="str">
        <f>IF(LEN(COUNTIFS($J$1:J875,$J875,$K$1:K875,$K875,$L$1:L875,$L875,$M$1:M875,M875,$N$1:N875,N875))=1,"00"&amp;COUNTIFS($J$1:J875,$J875,$K$1:K875,$K875,$L$1:L875,$L875,$M$1:M875,M875,$N$1:N875,N875),IF(LEN(COUNTIFS($J$1:J875,$J875,$K$1:K875,$K875,$L$1:L875,$L875,$M$1:M875,M875,$N$1:N875,N875))=2,"0"&amp;COUNTIFS($J$1:J875,$J875,$K$1:K875,$K875,$L$1:L875,$L875,$M$1:M875,M875,$N$1:N875,N875),COUNTIFS($J$1:J875,$J875,$K$1:K875,$K875,$L$1:L875,$L875,$M$1:M875,M875,$N$1:N875,N875)))</f>
        <v>001</v>
      </c>
      <c r="P87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MS-CS-019-23-00001-INV</v>
      </c>
      <c r="Q875" s="59" t="s">
        <v>7355</v>
      </c>
      <c r="R875" s="34" t="s">
        <v>6634</v>
      </c>
      <c r="S875" s="34" t="s">
        <v>3040</v>
      </c>
      <c r="T875" s="34">
        <f>+IFERROR(_xlfn.XLOOKUP(Table43[[#This Row],[Column1]],#REF!,#REF!),0)</f>
        <v>0</v>
      </c>
      <c r="U875" s="50">
        <f>IFERROR(_xlfn.XLOOKUP(Table43[[#This Row],[Column1]],#REF!,#REF!),0)</f>
        <v>0</v>
      </c>
      <c r="V875" s="39"/>
    </row>
    <row r="876" spans="1:22" x14ac:dyDescent="0.35">
      <c r="A876" s="2" t="s">
        <v>3041</v>
      </c>
      <c r="B876" s="3" t="s">
        <v>3042</v>
      </c>
      <c r="C876" s="3" t="s">
        <v>9</v>
      </c>
      <c r="D876" s="3">
        <v>18.899999999999999</v>
      </c>
      <c r="E876" s="3" t="s">
        <v>10</v>
      </c>
      <c r="F876" s="2">
        <v>1</v>
      </c>
      <c r="G876" s="3">
        <v>2</v>
      </c>
      <c r="H876" s="3">
        <v>0</v>
      </c>
      <c r="I876" s="21">
        <f>Table43[[#This Row],[Item Cost]]*Table43[[#This Row],[In Stock]]</f>
        <v>0</v>
      </c>
      <c r="J876" s="12" t="s">
        <v>4941</v>
      </c>
      <c r="K876" s="13" t="s">
        <v>4664</v>
      </c>
      <c r="L876" s="13" t="s">
        <v>4709</v>
      </c>
      <c r="M876" s="13" t="s">
        <v>4777</v>
      </c>
      <c r="N876" s="12" t="s">
        <v>4672</v>
      </c>
      <c r="O876" s="17" t="str">
        <f>IF(LEN(COUNTIFS($J$1:J876,$J876,$K$1:K876,$K876,$L$1:L876,$L876,$M$1:M876,M876,$N$1:N876,N876))=1,"00"&amp;COUNTIFS($J$1:J876,$J876,$K$1:K876,$K876,$L$1:L876,$L876,$M$1:M876,M876,$N$1:N876,N876),IF(LEN(COUNTIFS($J$1:J876,$J876,$K$1:K876,$K876,$L$1:L876,$L876,$M$1:M876,M876,$N$1:N876,N876))=2,"0"&amp;COUNTIFS($J$1:J876,$J876,$K$1:K876,$K876,$L$1:L876,$L876,$M$1:M876,M876,$N$1:N876,N876),COUNTIFS($J$1:J876,$J876,$K$1:K876,$K876,$L$1:L876,$L876,$M$1:M876,M876,$N$1:N876,N876)))</f>
        <v>002</v>
      </c>
      <c r="P87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MS-CS-019-11-00002-INV</v>
      </c>
      <c r="Q876" s="59"/>
      <c r="R876" s="34" t="s">
        <v>6635</v>
      </c>
      <c r="S876" s="34" t="s">
        <v>3042</v>
      </c>
      <c r="T876" s="34">
        <f>+IFERROR(_xlfn.XLOOKUP(Table43[[#This Row],[Column1]],#REF!,#REF!),0)</f>
        <v>0</v>
      </c>
      <c r="U876" s="50">
        <f>IFERROR(_xlfn.XLOOKUP(Table43[[#This Row],[Column1]],#REF!,#REF!),0)</f>
        <v>0</v>
      </c>
      <c r="V876" s="39"/>
    </row>
    <row r="877" spans="1:22" x14ac:dyDescent="0.35">
      <c r="A877" s="2" t="s">
        <v>3043</v>
      </c>
      <c r="B877" s="2" t="s">
        <v>3044</v>
      </c>
      <c r="C877" s="2" t="s">
        <v>9</v>
      </c>
      <c r="D877" s="4">
        <v>1085.8150000000001</v>
      </c>
      <c r="E877" s="2" t="s">
        <v>10</v>
      </c>
      <c r="F877" s="2">
        <v>1</v>
      </c>
      <c r="G877" s="3">
        <v>2</v>
      </c>
      <c r="H877" s="2">
        <v>2</v>
      </c>
      <c r="I877" s="22">
        <f>Table43[[#This Row],[Item Cost]]*Table43[[#This Row],[In Stock]]</f>
        <v>2171.63</v>
      </c>
      <c r="J877" s="12" t="s">
        <v>4941</v>
      </c>
      <c r="K877" s="13" t="s">
        <v>4664</v>
      </c>
      <c r="L877" s="13" t="s">
        <v>4709</v>
      </c>
      <c r="M877" s="13" t="s">
        <v>4733</v>
      </c>
      <c r="N877" s="12" t="s">
        <v>4672</v>
      </c>
      <c r="O877" s="17" t="str">
        <f>IF(LEN(COUNTIFS($J$1:J877,$J877,$K$1:K877,$K877,$L$1:L877,$L877,$M$1:M877,M877,$N$1:N877,N877))=1,"00"&amp;COUNTIFS($J$1:J877,$J877,$K$1:K877,$K877,$L$1:L877,$L877,$M$1:M877,M877,$N$1:N877,N877),IF(LEN(COUNTIFS($J$1:J877,$J877,$K$1:K877,$K877,$L$1:L877,$L877,$M$1:M877,M877,$N$1:N877,N877))=2,"0"&amp;COUNTIFS($J$1:J877,$J877,$K$1:K877,$K877,$L$1:L877,$L877,$M$1:M877,M877,$N$1:N877,N877),COUNTIFS($J$1:J877,$J877,$K$1:K877,$K877,$L$1:L877,$L877,$M$1:M877,M877,$N$1:N877,N877)))</f>
        <v>001</v>
      </c>
      <c r="P87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MS-CS-019-01-00001-INV</v>
      </c>
      <c r="Q877" s="59" t="s">
        <v>7355</v>
      </c>
      <c r="R877" s="34" t="s">
        <v>6636</v>
      </c>
      <c r="S877" s="34" t="s">
        <v>3044</v>
      </c>
      <c r="T877" s="34">
        <f>+IFERROR(_xlfn.XLOOKUP(Table43[[#This Row],[Column1]],#REF!,#REF!),0)</f>
        <v>0</v>
      </c>
      <c r="U877" s="50">
        <f>IFERROR(_xlfn.XLOOKUP(Table43[[#This Row],[Column1]],#REF!,#REF!),0)</f>
        <v>0</v>
      </c>
      <c r="V877" s="39"/>
    </row>
    <row r="878" spans="1:22" x14ac:dyDescent="0.35">
      <c r="A878" s="2" t="s">
        <v>3045</v>
      </c>
      <c r="B878" s="3" t="s">
        <v>3046</v>
      </c>
      <c r="C878" s="3" t="s">
        <v>9</v>
      </c>
      <c r="D878" s="5">
        <v>1275</v>
      </c>
      <c r="E878" s="3" t="s">
        <v>10</v>
      </c>
      <c r="F878" s="2">
        <v>1</v>
      </c>
      <c r="G878" s="3">
        <v>2</v>
      </c>
      <c r="H878" s="3">
        <v>2</v>
      </c>
      <c r="I878" s="21">
        <f>Table43[[#This Row],[Item Cost]]*Table43[[#This Row],[In Stock]]</f>
        <v>2550</v>
      </c>
      <c r="J878" s="12" t="s">
        <v>4941</v>
      </c>
      <c r="K878" s="13" t="s">
        <v>4664</v>
      </c>
      <c r="L878" s="13" t="s">
        <v>4709</v>
      </c>
      <c r="M878" s="13" t="s">
        <v>4733</v>
      </c>
      <c r="N878" s="12" t="s">
        <v>4672</v>
      </c>
      <c r="O878" s="17" t="str">
        <f>IF(LEN(COUNTIFS($J$1:J878,$J878,$K$1:K878,$K878,$L$1:L878,$L878,$M$1:M878,M878,$N$1:N878,N878))=1,"00"&amp;COUNTIFS($J$1:J878,$J878,$K$1:K878,$K878,$L$1:L878,$L878,$M$1:M878,M878,$N$1:N878,N878),IF(LEN(COUNTIFS($J$1:J878,$J878,$K$1:K878,$K878,$L$1:L878,$L878,$M$1:M878,M878,$N$1:N878,N878))=2,"0"&amp;COUNTIFS($J$1:J878,$J878,$K$1:K878,$K878,$L$1:L878,$L878,$M$1:M878,M878,$N$1:N878,N878),COUNTIFS($J$1:J878,$J878,$K$1:K878,$K878,$L$1:L878,$L878,$M$1:M878,M878,$N$1:N878,N878)))</f>
        <v>002</v>
      </c>
      <c r="P87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MS-CS-019-01-00002-INV</v>
      </c>
      <c r="Q878" s="59" t="s">
        <v>7355</v>
      </c>
      <c r="R878" s="34" t="s">
        <v>6637</v>
      </c>
      <c r="S878" s="34" t="s">
        <v>3046</v>
      </c>
      <c r="T878" s="34">
        <f>+IFERROR(_xlfn.XLOOKUP(Table43[[#This Row],[Column1]],#REF!,#REF!),0)</f>
        <v>0</v>
      </c>
      <c r="U878" s="50">
        <f>IFERROR(_xlfn.XLOOKUP(Table43[[#This Row],[Column1]],#REF!,#REF!),0)</f>
        <v>0</v>
      </c>
      <c r="V878" s="39"/>
    </row>
    <row r="879" spans="1:22" x14ac:dyDescent="0.35">
      <c r="A879" s="2" t="s">
        <v>3047</v>
      </c>
      <c r="B879" s="2" t="s">
        <v>3048</v>
      </c>
      <c r="C879" s="2" t="s">
        <v>9</v>
      </c>
      <c r="D879" s="4">
        <v>1746.175</v>
      </c>
      <c r="E879" s="2" t="s">
        <v>10</v>
      </c>
      <c r="F879" s="2">
        <v>1</v>
      </c>
      <c r="G879" s="3">
        <v>2</v>
      </c>
      <c r="H879" s="2">
        <v>2</v>
      </c>
      <c r="I879" s="22">
        <f>Table43[[#This Row],[Item Cost]]*Table43[[#This Row],[In Stock]]</f>
        <v>3492.35</v>
      </c>
      <c r="J879" s="12" t="s">
        <v>4941</v>
      </c>
      <c r="K879" s="13" t="s">
        <v>4664</v>
      </c>
      <c r="L879" s="13" t="s">
        <v>4709</v>
      </c>
      <c r="M879" s="13" t="s">
        <v>4733</v>
      </c>
      <c r="N879" s="12" t="s">
        <v>4672</v>
      </c>
      <c r="O879" s="17" t="str">
        <f>IF(LEN(COUNTIFS($J$1:J879,$J879,$K$1:K879,$K879,$L$1:L879,$L879,$M$1:M879,M879,$N$1:N879,N879))=1,"00"&amp;COUNTIFS($J$1:J879,$J879,$K$1:K879,$K879,$L$1:L879,$L879,$M$1:M879,M879,$N$1:N879,N879),IF(LEN(COUNTIFS($J$1:J879,$J879,$K$1:K879,$K879,$L$1:L879,$L879,$M$1:M879,M879,$N$1:N879,N879))=2,"0"&amp;COUNTIFS($J$1:J879,$J879,$K$1:K879,$K879,$L$1:L879,$L879,$M$1:M879,M879,$N$1:N879,N879),COUNTIFS($J$1:J879,$J879,$K$1:K879,$K879,$L$1:L879,$L879,$M$1:M879,M879,$N$1:N879,N879)))</f>
        <v>003</v>
      </c>
      <c r="P87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MS-CS-019-01-00003-INV</v>
      </c>
      <c r="Q879" s="59" t="s">
        <v>7355</v>
      </c>
      <c r="R879" s="34" t="s">
        <v>6638</v>
      </c>
      <c r="S879" s="34" t="s">
        <v>3048</v>
      </c>
      <c r="T879" s="34">
        <f>+IFERROR(_xlfn.XLOOKUP(Table43[[#This Row],[Column1]],#REF!,#REF!),0)</f>
        <v>0</v>
      </c>
      <c r="U879" s="50">
        <f>IFERROR(_xlfn.XLOOKUP(Table43[[#This Row],[Column1]],#REF!,#REF!),0)</f>
        <v>0</v>
      </c>
      <c r="V879" s="39"/>
    </row>
    <row r="880" spans="1:22" x14ac:dyDescent="0.35">
      <c r="A880" s="2" t="s">
        <v>3049</v>
      </c>
      <c r="B880" s="3" t="s">
        <v>3050</v>
      </c>
      <c r="C880" s="3" t="s">
        <v>9</v>
      </c>
      <c r="D880" s="3">
        <v>272.26</v>
      </c>
      <c r="E880" s="3" t="s">
        <v>10</v>
      </c>
      <c r="F880" s="2">
        <v>1</v>
      </c>
      <c r="G880" s="3">
        <v>2</v>
      </c>
      <c r="H880" s="3">
        <v>1</v>
      </c>
      <c r="I880" s="21">
        <f>Table43[[#This Row],[Item Cost]]*Table43[[#This Row],[In Stock]]</f>
        <v>272.26</v>
      </c>
      <c r="J880" s="12" t="s">
        <v>4941</v>
      </c>
      <c r="K880" s="13" t="s">
        <v>4664</v>
      </c>
      <c r="L880" s="13" t="s">
        <v>4709</v>
      </c>
      <c r="M880" s="13" t="s">
        <v>4733</v>
      </c>
      <c r="N880" s="12" t="s">
        <v>4672</v>
      </c>
      <c r="O880" s="17" t="str">
        <f>IF(LEN(COUNTIFS($J$1:J880,$J880,$K$1:K880,$K880,$L$1:L880,$L880,$M$1:M880,M880,$N$1:N880,N880))=1,"00"&amp;COUNTIFS($J$1:J880,$J880,$K$1:K880,$K880,$L$1:L880,$L880,$M$1:M880,M880,$N$1:N880,N880),IF(LEN(COUNTIFS($J$1:J880,$J880,$K$1:K880,$K880,$L$1:L880,$L880,$M$1:M880,M880,$N$1:N880,N880))=2,"0"&amp;COUNTIFS($J$1:J880,$J880,$K$1:K880,$K880,$L$1:L880,$L880,$M$1:M880,M880,$N$1:N880,N880),COUNTIFS($J$1:J880,$J880,$K$1:K880,$K880,$L$1:L880,$L880,$M$1:M880,M880,$N$1:N880,N880)))</f>
        <v>004</v>
      </c>
      <c r="P88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MS-CS-019-01-00004-INV</v>
      </c>
      <c r="Q880" s="59" t="s">
        <v>7355</v>
      </c>
      <c r="R880" s="34" t="s">
        <v>6639</v>
      </c>
      <c r="S880" s="34" t="s">
        <v>3050</v>
      </c>
      <c r="T880" s="34">
        <f>+IFERROR(_xlfn.XLOOKUP(Table43[[#This Row],[Column1]],#REF!,#REF!),0)</f>
        <v>0</v>
      </c>
      <c r="U880" s="50">
        <f>IFERROR(_xlfn.XLOOKUP(Table43[[#This Row],[Column1]],#REF!,#REF!),0)</f>
        <v>0</v>
      </c>
      <c r="V880" s="39"/>
    </row>
    <row r="881" spans="1:22" x14ac:dyDescent="0.35">
      <c r="A881" s="2" t="s">
        <v>3051</v>
      </c>
      <c r="B881" s="2" t="s">
        <v>3052</v>
      </c>
      <c r="C881" s="2" t="s">
        <v>9</v>
      </c>
      <c r="D881" s="4">
        <v>1489</v>
      </c>
      <c r="E881" s="2" t="s">
        <v>10</v>
      </c>
      <c r="F881" s="2">
        <v>1</v>
      </c>
      <c r="G881" s="3">
        <v>2</v>
      </c>
      <c r="H881" s="2">
        <v>2</v>
      </c>
      <c r="I881" s="22">
        <f>Table43[[#This Row],[Item Cost]]*Table43[[#This Row],[In Stock]]</f>
        <v>2978</v>
      </c>
      <c r="J881" s="12" t="s">
        <v>4941</v>
      </c>
      <c r="K881" s="13" t="s">
        <v>4664</v>
      </c>
      <c r="L881" s="13" t="s">
        <v>4709</v>
      </c>
      <c r="M881" s="13" t="s">
        <v>4733</v>
      </c>
      <c r="N881" s="12" t="s">
        <v>4672</v>
      </c>
      <c r="O881" s="17" t="str">
        <f>IF(LEN(COUNTIFS($J$1:J881,$J881,$K$1:K881,$K881,$L$1:L881,$L881,$M$1:M881,M881,$N$1:N881,N881))=1,"00"&amp;COUNTIFS($J$1:J881,$J881,$K$1:K881,$K881,$L$1:L881,$L881,$M$1:M881,M881,$N$1:N881,N881),IF(LEN(COUNTIFS($J$1:J881,$J881,$K$1:K881,$K881,$L$1:L881,$L881,$M$1:M881,M881,$N$1:N881,N881))=2,"0"&amp;COUNTIFS($J$1:J881,$J881,$K$1:K881,$K881,$L$1:L881,$L881,$M$1:M881,M881,$N$1:N881,N881),COUNTIFS($J$1:J881,$J881,$K$1:K881,$K881,$L$1:L881,$L881,$M$1:M881,M881,$N$1:N881,N881)))</f>
        <v>005</v>
      </c>
      <c r="P88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MS-CS-019-01-00005-INV</v>
      </c>
      <c r="Q881" s="59" t="s">
        <v>7355</v>
      </c>
      <c r="R881" s="34" t="s">
        <v>6640</v>
      </c>
      <c r="S881" s="34" t="s">
        <v>3052</v>
      </c>
      <c r="T881" s="34">
        <f>+IFERROR(_xlfn.XLOOKUP(Table43[[#This Row],[Column1]],#REF!,#REF!),0)</f>
        <v>0</v>
      </c>
      <c r="U881" s="50">
        <f>IFERROR(_xlfn.XLOOKUP(Table43[[#This Row],[Column1]],#REF!,#REF!),0)</f>
        <v>0</v>
      </c>
      <c r="V881" s="39"/>
    </row>
    <row r="882" spans="1:22" x14ac:dyDescent="0.35">
      <c r="A882" s="2" t="s">
        <v>3053</v>
      </c>
      <c r="B882" s="3" t="s">
        <v>3054</v>
      </c>
      <c r="C882" s="3" t="s">
        <v>9</v>
      </c>
      <c r="D882" s="3">
        <v>38.43</v>
      </c>
      <c r="E882" s="3" t="s">
        <v>10</v>
      </c>
      <c r="F882" s="2">
        <v>1</v>
      </c>
      <c r="G882" s="3">
        <v>2</v>
      </c>
      <c r="H882" s="3">
        <v>0</v>
      </c>
      <c r="I882" s="21">
        <f>Table43[[#This Row],[Item Cost]]*Table43[[#This Row],[In Stock]]</f>
        <v>0</v>
      </c>
      <c r="J882" s="12" t="s">
        <v>4941</v>
      </c>
      <c r="K882" s="13" t="s">
        <v>4664</v>
      </c>
      <c r="L882" s="13" t="s">
        <v>4709</v>
      </c>
      <c r="M882" s="13" t="s">
        <v>4775</v>
      </c>
      <c r="N882" s="12" t="s">
        <v>4672</v>
      </c>
      <c r="O882" s="17" t="str">
        <f>IF(LEN(COUNTIFS($J$1:J882,$J882,$K$1:K882,$K882,$L$1:L882,$L882,$M$1:M882,M882,$N$1:N882,N882))=1,"00"&amp;COUNTIFS($J$1:J882,$J882,$K$1:K882,$K882,$L$1:L882,$L882,$M$1:M882,M882,$N$1:N882,N882),IF(LEN(COUNTIFS($J$1:J882,$J882,$K$1:K882,$K882,$L$1:L882,$L882,$M$1:M882,M882,$N$1:N882,N882))=2,"0"&amp;COUNTIFS($J$1:J882,$J882,$K$1:K882,$K882,$L$1:L882,$L882,$M$1:M882,M882,$N$1:N882,N882),COUNTIFS($J$1:J882,$J882,$K$1:K882,$K882,$L$1:L882,$L882,$M$1:M882,M882,$N$1:N882,N882)))</f>
        <v>003</v>
      </c>
      <c r="P88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MS-CS-019-09-00003-INV</v>
      </c>
      <c r="Q882" s="59"/>
      <c r="R882" s="34" t="s">
        <v>6641</v>
      </c>
      <c r="S882" s="34" t="s">
        <v>3054</v>
      </c>
      <c r="T882" s="34">
        <f>+IFERROR(_xlfn.XLOOKUP(Table43[[#This Row],[Column1]],#REF!,#REF!),0)</f>
        <v>0</v>
      </c>
      <c r="U882" s="50">
        <f>IFERROR(_xlfn.XLOOKUP(Table43[[#This Row],[Column1]],#REF!,#REF!),0)</f>
        <v>0</v>
      </c>
      <c r="V882" s="39"/>
    </row>
    <row r="883" spans="1:22" x14ac:dyDescent="0.35">
      <c r="A883" s="2" t="s">
        <v>3055</v>
      </c>
      <c r="B883" s="2" t="s">
        <v>3056</v>
      </c>
      <c r="C883" s="2" t="s">
        <v>9</v>
      </c>
      <c r="D883" s="2">
        <v>33.71</v>
      </c>
      <c r="E883" s="2" t="s">
        <v>10</v>
      </c>
      <c r="F883" s="2">
        <v>1</v>
      </c>
      <c r="G883" s="3">
        <v>2</v>
      </c>
      <c r="H883" s="2">
        <v>2</v>
      </c>
      <c r="I883" s="22">
        <f>Table43[[#This Row],[Item Cost]]*Table43[[#This Row],[In Stock]]</f>
        <v>67.42</v>
      </c>
      <c r="J883" s="12" t="s">
        <v>4941</v>
      </c>
      <c r="K883" s="13" t="s">
        <v>4664</v>
      </c>
      <c r="L883" s="13" t="s">
        <v>4709</v>
      </c>
      <c r="M883" s="13" t="s">
        <v>4859</v>
      </c>
      <c r="N883" s="12" t="s">
        <v>4672</v>
      </c>
      <c r="O883" s="17" t="str">
        <f>IF(LEN(COUNTIFS($J$1:J883,$J883,$K$1:K883,$K883,$L$1:L883,$L883,$M$1:M883,M883,$N$1:N883,N883))=1,"00"&amp;COUNTIFS($J$1:J883,$J883,$K$1:K883,$K883,$L$1:L883,$L883,$M$1:M883,M883,$N$1:N883,N883),IF(LEN(COUNTIFS($J$1:J883,$J883,$K$1:K883,$K883,$L$1:L883,$L883,$M$1:M883,M883,$N$1:N883,N883))=2,"0"&amp;COUNTIFS($J$1:J883,$J883,$K$1:K883,$K883,$L$1:L883,$L883,$M$1:M883,M883,$N$1:N883,N883),COUNTIFS($J$1:J883,$J883,$K$1:K883,$K883,$L$1:L883,$L883,$M$1:M883,M883,$N$1:N883,N883)))</f>
        <v>001</v>
      </c>
      <c r="P88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MS-CS-019-30-00001-INV</v>
      </c>
      <c r="Q883" s="59" t="s">
        <v>7355</v>
      </c>
      <c r="R883" s="34" t="s">
        <v>6642</v>
      </c>
      <c r="S883" s="34" t="s">
        <v>3056</v>
      </c>
      <c r="T883" s="34">
        <f>+IFERROR(_xlfn.XLOOKUP(Table43[[#This Row],[Column1]],#REF!,#REF!),0)</f>
        <v>0</v>
      </c>
      <c r="U883" s="50">
        <f>IFERROR(_xlfn.XLOOKUP(Table43[[#This Row],[Column1]],#REF!,#REF!),0)</f>
        <v>0</v>
      </c>
      <c r="V883" s="39"/>
    </row>
    <row r="884" spans="1:22" x14ac:dyDescent="0.35">
      <c r="A884" s="2" t="s">
        <v>3057</v>
      </c>
      <c r="B884" s="3" t="s">
        <v>3058</v>
      </c>
      <c r="C884" s="3" t="s">
        <v>9</v>
      </c>
      <c r="D884" s="3">
        <v>10.82</v>
      </c>
      <c r="E884" s="3" t="s">
        <v>10</v>
      </c>
      <c r="F884" s="2">
        <v>1</v>
      </c>
      <c r="G884" s="3">
        <v>2</v>
      </c>
      <c r="H884" s="3">
        <v>4</v>
      </c>
      <c r="I884" s="21">
        <f>Table43[[#This Row],[Item Cost]]*Table43[[#This Row],[In Stock]]</f>
        <v>43.28</v>
      </c>
      <c r="J884" s="12" t="s">
        <v>4941</v>
      </c>
      <c r="K884" s="13" t="s">
        <v>4664</v>
      </c>
      <c r="L884" s="13" t="s">
        <v>4709</v>
      </c>
      <c r="M884" s="13" t="s">
        <v>4693</v>
      </c>
      <c r="N884" s="12" t="s">
        <v>4672</v>
      </c>
      <c r="O884" s="17" t="str">
        <f>IF(LEN(COUNTIFS($J$1:J884,$J884,$K$1:K884,$K884,$L$1:L884,$L884,$M$1:M884,M884,$N$1:N884,N884))=1,"00"&amp;COUNTIFS($J$1:J884,$J884,$K$1:K884,$K884,$L$1:L884,$L884,$M$1:M884,M884,$N$1:N884,N884),IF(LEN(COUNTIFS($J$1:J884,$J884,$K$1:K884,$K884,$L$1:L884,$L884,$M$1:M884,M884,$N$1:N884,N884))=2,"0"&amp;COUNTIFS($J$1:J884,$J884,$K$1:K884,$K884,$L$1:L884,$L884,$M$1:M884,M884,$N$1:N884,N884),COUNTIFS($J$1:J884,$J884,$K$1:K884,$K884,$L$1:L884,$L884,$M$1:M884,M884,$N$1:N884,N884)))</f>
        <v>002</v>
      </c>
      <c r="P88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MS-CS-019-23-00002-INV</v>
      </c>
      <c r="Q884" s="59" t="s">
        <v>7355</v>
      </c>
      <c r="R884" s="34" t="s">
        <v>6643</v>
      </c>
      <c r="S884" s="34" t="s">
        <v>3058</v>
      </c>
      <c r="T884" s="34">
        <f>+IFERROR(_xlfn.XLOOKUP(Table43[[#This Row],[Column1]],#REF!,#REF!),0)</f>
        <v>0</v>
      </c>
      <c r="U884" s="50">
        <f>IFERROR(_xlfn.XLOOKUP(Table43[[#This Row],[Column1]],#REF!,#REF!),0)</f>
        <v>0</v>
      </c>
      <c r="V884" s="39"/>
    </row>
    <row r="885" spans="1:22" x14ac:dyDescent="0.35">
      <c r="A885" s="2" t="s">
        <v>3059</v>
      </c>
      <c r="B885" s="2" t="s">
        <v>3060</v>
      </c>
      <c r="C885" s="2" t="s">
        <v>9</v>
      </c>
      <c r="D885" s="2">
        <v>819</v>
      </c>
      <c r="E885" s="2" t="s">
        <v>10</v>
      </c>
      <c r="F885" s="2">
        <v>1</v>
      </c>
      <c r="G885" s="3">
        <v>2</v>
      </c>
      <c r="H885" s="2">
        <v>2</v>
      </c>
      <c r="I885" s="22">
        <f>Table43[[#This Row],[Item Cost]]*Table43[[#This Row],[In Stock]]</f>
        <v>1638</v>
      </c>
      <c r="J885" s="12" t="s">
        <v>4941</v>
      </c>
      <c r="K885" s="13" t="s">
        <v>4664</v>
      </c>
      <c r="L885" s="13" t="s">
        <v>4709</v>
      </c>
      <c r="M885" s="13" t="s">
        <v>4827</v>
      </c>
      <c r="N885" s="12" t="s">
        <v>4672</v>
      </c>
      <c r="O885" s="17" t="str">
        <f>IF(LEN(COUNTIFS($J$1:J885,$J885,$K$1:K885,$K885,$L$1:L885,$L885,$M$1:M885,M885,$N$1:N885,N885))=1,"00"&amp;COUNTIFS($J$1:J885,$J885,$K$1:K885,$K885,$L$1:L885,$L885,$M$1:M885,M885,$N$1:N885,N885),IF(LEN(COUNTIFS($J$1:J885,$J885,$K$1:K885,$K885,$L$1:L885,$L885,$M$1:M885,M885,$N$1:N885,N885))=2,"0"&amp;COUNTIFS($J$1:J885,$J885,$K$1:K885,$K885,$L$1:L885,$L885,$M$1:M885,M885,$N$1:N885,N885),COUNTIFS($J$1:J885,$J885,$K$1:K885,$K885,$L$1:L885,$L885,$M$1:M885,M885,$N$1:N885,N885)))</f>
        <v>001</v>
      </c>
      <c r="P88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MS-CS-019-10-00001-INV</v>
      </c>
      <c r="Q885" s="59" t="s">
        <v>7337</v>
      </c>
      <c r="R885" s="34" t="s">
        <v>7244</v>
      </c>
      <c r="S885" s="34" t="s">
        <v>5726</v>
      </c>
      <c r="T885" s="34">
        <f>+IFERROR(_xlfn.XLOOKUP(Table43[[#This Row],[Column1]],#REF!,#REF!),0)</f>
        <v>0</v>
      </c>
      <c r="U885" s="50">
        <f>IFERROR(_xlfn.XLOOKUP(Table43[[#This Row],[Column1]],#REF!,#REF!),0)</f>
        <v>0</v>
      </c>
      <c r="V885" s="39"/>
    </row>
    <row r="886" spans="1:22" x14ac:dyDescent="0.35">
      <c r="A886" s="2" t="s">
        <v>3061</v>
      </c>
      <c r="B886" s="3" t="s">
        <v>3062</v>
      </c>
      <c r="C886" s="3" t="s">
        <v>9</v>
      </c>
      <c r="D886" s="3">
        <v>46.83</v>
      </c>
      <c r="E886" s="3" t="s">
        <v>10</v>
      </c>
      <c r="F886" s="2">
        <v>1</v>
      </c>
      <c r="G886" s="3">
        <v>2</v>
      </c>
      <c r="H886" s="3">
        <v>2</v>
      </c>
      <c r="I886" s="21">
        <f>Table43[[#This Row],[Item Cost]]*Table43[[#This Row],[In Stock]]</f>
        <v>93.66</v>
      </c>
      <c r="J886" s="12" t="s">
        <v>4941</v>
      </c>
      <c r="K886" s="13" t="s">
        <v>4664</v>
      </c>
      <c r="L886" s="13" t="s">
        <v>4709</v>
      </c>
      <c r="M886" s="13" t="s">
        <v>4827</v>
      </c>
      <c r="N886" s="12" t="s">
        <v>4672</v>
      </c>
      <c r="O886" s="17" t="str">
        <f>IF(LEN(COUNTIFS($J$1:J886,$J886,$K$1:K886,$K886,$L$1:L886,$L886,$M$1:M886,M886,$N$1:N886,N886))=1,"00"&amp;COUNTIFS($J$1:J886,$J886,$K$1:K886,$K886,$L$1:L886,$L886,$M$1:M886,M886,$N$1:N886,N886),IF(LEN(COUNTIFS($J$1:J886,$J886,$K$1:K886,$K886,$L$1:L886,$L886,$M$1:M886,M886,$N$1:N886,N886))=2,"0"&amp;COUNTIFS($J$1:J886,$J886,$K$1:K886,$K886,$L$1:L886,$L886,$M$1:M886,M886,$N$1:N886,N886),COUNTIFS($J$1:J886,$J886,$K$1:K886,$K886,$L$1:L886,$L886,$M$1:M886,M886,$N$1:N886,N886)))</f>
        <v>002</v>
      </c>
      <c r="P88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MS-CS-019-10-00002-INV</v>
      </c>
      <c r="Q886" s="59" t="s">
        <v>7355</v>
      </c>
      <c r="R886" s="34" t="s">
        <v>6644</v>
      </c>
      <c r="S886" s="34" t="s">
        <v>3062</v>
      </c>
      <c r="T886" s="34">
        <f>+IFERROR(_xlfn.XLOOKUP(Table43[[#This Row],[Column1]],#REF!,#REF!),0)</f>
        <v>0</v>
      </c>
      <c r="U886" s="50">
        <f>IFERROR(_xlfn.XLOOKUP(Table43[[#This Row],[Column1]],#REF!,#REF!),0)</f>
        <v>0</v>
      </c>
      <c r="V886" s="39"/>
    </row>
    <row r="887" spans="1:22" x14ac:dyDescent="0.35">
      <c r="A887" s="2" t="s">
        <v>3063</v>
      </c>
      <c r="B887" s="2" t="s">
        <v>3064</v>
      </c>
      <c r="C887" s="2" t="s">
        <v>9</v>
      </c>
      <c r="D887" s="4">
        <v>4569</v>
      </c>
      <c r="E887" s="2" t="s">
        <v>10</v>
      </c>
      <c r="F887" s="2">
        <v>1</v>
      </c>
      <c r="G887" s="3">
        <v>2</v>
      </c>
      <c r="H887" s="2">
        <v>1</v>
      </c>
      <c r="I887" s="22">
        <f>Table43[[#This Row],[Item Cost]]*Table43[[#This Row],[In Stock]]</f>
        <v>4569</v>
      </c>
      <c r="J887" s="12" t="s">
        <v>4941</v>
      </c>
      <c r="K887" s="13" t="s">
        <v>4664</v>
      </c>
      <c r="L887" s="13" t="s">
        <v>4709</v>
      </c>
      <c r="M887" s="13" t="s">
        <v>4733</v>
      </c>
      <c r="N887" s="12" t="s">
        <v>4672</v>
      </c>
      <c r="O887" s="17" t="str">
        <f>IF(LEN(COUNTIFS($J$1:J887,$J887,$K$1:K887,$K887,$L$1:L887,$L887,$M$1:M887,M887,$N$1:N887,N887))=1,"00"&amp;COUNTIFS($J$1:J887,$J887,$K$1:K887,$K887,$L$1:L887,$L887,$M$1:M887,M887,$N$1:N887,N887),IF(LEN(COUNTIFS($J$1:J887,$J887,$K$1:K887,$K887,$L$1:L887,$L887,$M$1:M887,M887,$N$1:N887,N887))=2,"0"&amp;COUNTIFS($J$1:J887,$J887,$K$1:K887,$K887,$L$1:L887,$L887,$M$1:M887,M887,$N$1:N887,N887),COUNTIFS($J$1:J887,$J887,$K$1:K887,$K887,$L$1:L887,$L887,$M$1:M887,M887,$N$1:N887,N887)))</f>
        <v>006</v>
      </c>
      <c r="P88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MS-CS-019-01-00006-INV</v>
      </c>
      <c r="Q887" s="59"/>
      <c r="R887" s="34" t="s">
        <v>6645</v>
      </c>
      <c r="S887" s="34" t="s">
        <v>3064</v>
      </c>
      <c r="T887" s="34">
        <f>+IFERROR(_xlfn.XLOOKUP(Table43[[#This Row],[Column1]],#REF!,#REF!),0)</f>
        <v>0</v>
      </c>
      <c r="U887" s="50">
        <f>IFERROR(_xlfn.XLOOKUP(Table43[[#This Row],[Column1]],#REF!,#REF!),0)</f>
        <v>0</v>
      </c>
      <c r="V887" s="39"/>
    </row>
    <row r="888" spans="1:22" x14ac:dyDescent="0.35">
      <c r="A888" s="2" t="s">
        <v>3065</v>
      </c>
      <c r="B888" s="3" t="s">
        <v>3066</v>
      </c>
      <c r="C888" s="3" t="s">
        <v>9</v>
      </c>
      <c r="D888" s="5">
        <v>1817.0239999999999</v>
      </c>
      <c r="E888" s="3" t="s">
        <v>10</v>
      </c>
      <c r="F888" s="2">
        <v>1</v>
      </c>
      <c r="G888" s="3">
        <v>4</v>
      </c>
      <c r="H888" s="3">
        <v>28</v>
      </c>
      <c r="I888" s="21">
        <f>Table43[[#This Row],[Item Cost]]*Table43[[#This Row],[In Stock]]</f>
        <v>50876.671999999999</v>
      </c>
      <c r="J888" s="12" t="s">
        <v>4941</v>
      </c>
      <c r="K888" s="13" t="s">
        <v>4664</v>
      </c>
      <c r="L888" s="13" t="s">
        <v>4709</v>
      </c>
      <c r="M888" s="13" t="s">
        <v>4837</v>
      </c>
      <c r="N888" s="12" t="s">
        <v>4672</v>
      </c>
      <c r="O888" s="17" t="str">
        <f>IF(LEN(COUNTIFS($J$1:J888,$J888,$K$1:K888,$K888,$L$1:L888,$L888,$M$1:M888,M888,$N$1:N888,N888))=1,"00"&amp;COUNTIFS($J$1:J888,$J888,$K$1:K888,$K888,$L$1:L888,$L888,$M$1:M888,M888,$N$1:N888,N888),IF(LEN(COUNTIFS($J$1:J888,$J888,$K$1:K888,$K888,$L$1:L888,$L888,$M$1:M888,M888,$N$1:N888,N888))=2,"0"&amp;COUNTIFS($J$1:J888,$J888,$K$1:K888,$K888,$L$1:L888,$L888,$M$1:M888,M888,$N$1:N888,N888),COUNTIFS($J$1:J888,$J888,$K$1:K888,$K888,$L$1:L888,$L888,$M$1:M888,M888,$N$1:N888,N888)))</f>
        <v>004</v>
      </c>
      <c r="P88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MS-CS-019-26-00004-INV</v>
      </c>
      <c r="Q888" s="59"/>
      <c r="R888" s="34" t="s">
        <v>6646</v>
      </c>
      <c r="S888" s="34" t="s">
        <v>3066</v>
      </c>
      <c r="T888" s="34">
        <f>+IFERROR(_xlfn.XLOOKUP(Table43[[#This Row],[Column1]],#REF!,#REF!),0)</f>
        <v>0</v>
      </c>
      <c r="U888" s="50">
        <f>IFERROR(_xlfn.XLOOKUP(Table43[[#This Row],[Column1]],#REF!,#REF!),0)</f>
        <v>0</v>
      </c>
      <c r="V888" s="39"/>
    </row>
    <row r="889" spans="1:22" x14ac:dyDescent="0.35">
      <c r="A889" s="2" t="s">
        <v>3067</v>
      </c>
      <c r="B889" s="2" t="s">
        <v>3068</v>
      </c>
      <c r="C889" s="2" t="s">
        <v>9</v>
      </c>
      <c r="D889" s="2">
        <v>111.818</v>
      </c>
      <c r="E889" s="2" t="s">
        <v>10</v>
      </c>
      <c r="F889" s="2">
        <v>1</v>
      </c>
      <c r="G889" s="2">
        <v>4</v>
      </c>
      <c r="H889" s="2">
        <v>11</v>
      </c>
      <c r="I889" s="22">
        <f>Table43[[#This Row],[Item Cost]]*Table43[[#This Row],[In Stock]]</f>
        <v>1229.998</v>
      </c>
      <c r="J889" s="12" t="s">
        <v>4941</v>
      </c>
      <c r="K889" s="13" t="s">
        <v>4664</v>
      </c>
      <c r="L889" s="13" t="s">
        <v>4709</v>
      </c>
      <c r="M889" s="13" t="s">
        <v>4837</v>
      </c>
      <c r="N889" s="12" t="s">
        <v>4672</v>
      </c>
      <c r="O889" s="17" t="str">
        <f>IF(LEN(COUNTIFS($J$1:J889,$J889,$K$1:K889,$K889,$L$1:L889,$L889,$M$1:M889,M889,$N$1:N889,N889))=1,"00"&amp;COUNTIFS($J$1:J889,$J889,$K$1:K889,$K889,$L$1:L889,$L889,$M$1:M889,M889,$N$1:N889,N889),IF(LEN(COUNTIFS($J$1:J889,$J889,$K$1:K889,$K889,$L$1:L889,$L889,$M$1:M889,M889,$N$1:N889,N889))=2,"0"&amp;COUNTIFS($J$1:J889,$J889,$K$1:K889,$K889,$L$1:L889,$L889,$M$1:M889,M889,$N$1:N889,N889),COUNTIFS($J$1:J889,$J889,$K$1:K889,$K889,$L$1:L889,$L889,$M$1:M889,M889,$N$1:N889,N889)))</f>
        <v>005</v>
      </c>
      <c r="P88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MS-CS-019-26-00005-INV</v>
      </c>
      <c r="Q889" s="59"/>
      <c r="R889" s="34" t="s">
        <v>6647</v>
      </c>
      <c r="S889" s="34" t="s">
        <v>3068</v>
      </c>
      <c r="T889" s="34">
        <f>+IFERROR(_xlfn.XLOOKUP(Table43[[#This Row],[Column1]],#REF!,#REF!),0)</f>
        <v>0</v>
      </c>
      <c r="U889" s="50">
        <f>IFERROR(_xlfn.XLOOKUP(Table43[[#This Row],[Column1]],#REF!,#REF!),0)</f>
        <v>0</v>
      </c>
      <c r="V889" s="39"/>
    </row>
    <row r="890" spans="1:22" x14ac:dyDescent="0.35">
      <c r="A890" s="2" t="s">
        <v>3069</v>
      </c>
      <c r="B890" s="3" t="s">
        <v>3070</v>
      </c>
      <c r="C890" s="3" t="s">
        <v>9</v>
      </c>
      <c r="D890" s="3">
        <v>480</v>
      </c>
      <c r="E890" s="3" t="s">
        <v>10</v>
      </c>
      <c r="F890" s="2">
        <v>1</v>
      </c>
      <c r="G890" s="3">
        <v>2</v>
      </c>
      <c r="H890" s="3">
        <v>2</v>
      </c>
      <c r="I890" s="21">
        <f>Table43[[#This Row],[Item Cost]]*Table43[[#This Row],[In Stock]]</f>
        <v>960</v>
      </c>
      <c r="J890" s="12" t="s">
        <v>4941</v>
      </c>
      <c r="K890" s="13" t="s">
        <v>4664</v>
      </c>
      <c r="L890" s="13" t="s">
        <v>4709</v>
      </c>
      <c r="M890" s="13" t="s">
        <v>4770</v>
      </c>
      <c r="N890" s="12" t="s">
        <v>4672</v>
      </c>
      <c r="O890" s="17" t="str">
        <f>IF(LEN(COUNTIFS($J$1:J890,$J890,$K$1:K890,$K890,$L$1:L890,$L890,$M$1:M890,M890,$N$1:N890,N890))=1,"00"&amp;COUNTIFS($J$1:J890,$J890,$K$1:K890,$K890,$L$1:L890,$L890,$M$1:M890,M890,$N$1:N890,N890),IF(LEN(COUNTIFS($J$1:J890,$J890,$K$1:K890,$K890,$L$1:L890,$L890,$M$1:M890,M890,$N$1:N890,N890))=2,"0"&amp;COUNTIFS($J$1:J890,$J890,$K$1:K890,$K890,$L$1:L890,$L890,$M$1:M890,M890,$N$1:N890,N890),COUNTIFS($J$1:J890,$J890,$K$1:K890,$K890,$L$1:L890,$L890,$M$1:M890,M890,$N$1:N890,N890)))</f>
        <v>004</v>
      </c>
      <c r="P89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MS-CS-019-04-00004-INV</v>
      </c>
      <c r="Q890" s="59" t="s">
        <v>7355</v>
      </c>
      <c r="R890" s="34" t="s">
        <v>6648</v>
      </c>
      <c r="S890" s="34" t="s">
        <v>3070</v>
      </c>
      <c r="T890" s="34">
        <f>+IFERROR(_xlfn.XLOOKUP(Table43[[#This Row],[Column1]],#REF!,#REF!),0)</f>
        <v>0</v>
      </c>
      <c r="U890" s="50">
        <f>IFERROR(_xlfn.XLOOKUP(Table43[[#This Row],[Column1]],#REF!,#REF!),0)</f>
        <v>0</v>
      </c>
      <c r="V890" s="39"/>
    </row>
    <row r="891" spans="1:22" x14ac:dyDescent="0.35">
      <c r="A891" s="2" t="s">
        <v>3071</v>
      </c>
      <c r="B891" s="2" t="s">
        <v>3072</v>
      </c>
      <c r="C891" s="2" t="s">
        <v>9</v>
      </c>
      <c r="D891" s="4">
        <v>1490</v>
      </c>
      <c r="E891" s="2" t="s">
        <v>10</v>
      </c>
      <c r="F891" s="2">
        <v>1</v>
      </c>
      <c r="G891" s="3">
        <v>2</v>
      </c>
      <c r="H891" s="2">
        <v>2</v>
      </c>
      <c r="I891" s="22">
        <f>Table43[[#This Row],[Item Cost]]*Table43[[#This Row],[In Stock]]</f>
        <v>2980</v>
      </c>
      <c r="J891" s="12" t="s">
        <v>4941</v>
      </c>
      <c r="K891" s="13" t="s">
        <v>4664</v>
      </c>
      <c r="L891" s="13" t="s">
        <v>4709</v>
      </c>
      <c r="M891" s="13" t="s">
        <v>4693</v>
      </c>
      <c r="N891" s="12" t="s">
        <v>4672</v>
      </c>
      <c r="O891" s="17" t="str">
        <f>IF(LEN(COUNTIFS($J$1:J891,$J891,$K$1:K891,$K891,$L$1:L891,$L891,$M$1:M891,M891,$N$1:N891,N891))=1,"00"&amp;COUNTIFS($J$1:J891,$J891,$K$1:K891,$K891,$L$1:L891,$L891,$M$1:M891,M891,$N$1:N891,N891),IF(LEN(COUNTIFS($J$1:J891,$J891,$K$1:K891,$K891,$L$1:L891,$L891,$M$1:M891,M891,$N$1:N891,N891))=2,"0"&amp;COUNTIFS($J$1:J891,$J891,$K$1:K891,$K891,$L$1:L891,$L891,$M$1:M891,M891,$N$1:N891,N891),COUNTIFS($J$1:J891,$J891,$K$1:K891,$K891,$L$1:L891,$L891,$M$1:M891,M891,$N$1:N891,N891)))</f>
        <v>003</v>
      </c>
      <c r="P89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MS-CS-019-23-00003-INV</v>
      </c>
      <c r="Q891" s="59"/>
      <c r="R891" s="34" t="s">
        <v>6649</v>
      </c>
      <c r="S891" s="34" t="s">
        <v>3072</v>
      </c>
      <c r="T891" s="34">
        <f>+IFERROR(_xlfn.XLOOKUP(Table43[[#This Row],[Column1]],#REF!,#REF!),0)</f>
        <v>0</v>
      </c>
      <c r="U891" s="50">
        <f>IFERROR(_xlfn.XLOOKUP(Table43[[#This Row],[Column1]],#REF!,#REF!),0)</f>
        <v>0</v>
      </c>
      <c r="V891" s="39"/>
    </row>
    <row r="892" spans="1:22" x14ac:dyDescent="0.35">
      <c r="A892" s="2" t="s">
        <v>3073</v>
      </c>
      <c r="B892" s="3" t="s">
        <v>3074</v>
      </c>
      <c r="C892" s="3" t="s">
        <v>9</v>
      </c>
      <c r="D892" s="3">
        <v>120</v>
      </c>
      <c r="E892" s="3" t="s">
        <v>10</v>
      </c>
      <c r="F892" s="2">
        <v>1</v>
      </c>
      <c r="G892" s="3">
        <v>2</v>
      </c>
      <c r="H892" s="3">
        <v>4</v>
      </c>
      <c r="I892" s="21">
        <f>Table43[[#This Row],[Item Cost]]*Table43[[#This Row],[In Stock]]</f>
        <v>480</v>
      </c>
      <c r="J892" s="12" t="s">
        <v>4941</v>
      </c>
      <c r="K892" s="13" t="s">
        <v>4664</v>
      </c>
      <c r="L892" s="13" t="s">
        <v>4709</v>
      </c>
      <c r="M892" s="13" t="s">
        <v>4777</v>
      </c>
      <c r="N892" s="12" t="s">
        <v>4672</v>
      </c>
      <c r="O892" s="17" t="str">
        <f>IF(LEN(COUNTIFS($J$1:J892,$J892,$K$1:K892,$K892,$L$1:L892,$L892,$M$1:M892,M892,$N$1:N892,N892))=1,"00"&amp;COUNTIFS($J$1:J892,$J892,$K$1:K892,$K892,$L$1:L892,$L892,$M$1:M892,M892,$N$1:N892,N892),IF(LEN(COUNTIFS($J$1:J892,$J892,$K$1:K892,$K892,$L$1:L892,$L892,$M$1:M892,M892,$N$1:N892,N892))=2,"0"&amp;COUNTIFS($J$1:J892,$J892,$K$1:K892,$K892,$L$1:L892,$L892,$M$1:M892,M892,$N$1:N892,N892),COUNTIFS($J$1:J892,$J892,$K$1:K892,$K892,$L$1:L892,$L892,$M$1:M892,M892,$N$1:N892,N892)))</f>
        <v>003</v>
      </c>
      <c r="P89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MS-CS-019-11-00003-INV</v>
      </c>
      <c r="Q892" s="59"/>
      <c r="R892" s="34" t="s">
        <v>7245</v>
      </c>
      <c r="S892" s="34" t="s">
        <v>5727</v>
      </c>
      <c r="T892" s="34">
        <f>+IFERROR(_xlfn.XLOOKUP(Table43[[#This Row],[Column1]],#REF!,#REF!),0)</f>
        <v>0</v>
      </c>
      <c r="U892" s="50">
        <f>IFERROR(_xlfn.XLOOKUP(Table43[[#This Row],[Column1]],#REF!,#REF!),0)</f>
        <v>0</v>
      </c>
      <c r="V892" s="39"/>
    </row>
    <row r="893" spans="1:22" x14ac:dyDescent="0.35">
      <c r="A893" s="2" t="s">
        <v>3075</v>
      </c>
      <c r="B893" s="2" t="s">
        <v>3076</v>
      </c>
      <c r="C893" s="2" t="s">
        <v>9</v>
      </c>
      <c r="D893" s="4">
        <v>2500</v>
      </c>
      <c r="E893" s="2" t="s">
        <v>10</v>
      </c>
      <c r="F893" s="2">
        <v>1</v>
      </c>
      <c r="G893" s="3">
        <v>2</v>
      </c>
      <c r="H893" s="2">
        <v>1</v>
      </c>
      <c r="I893" s="22">
        <f>Table43[[#This Row],[Item Cost]]*Table43[[#This Row],[In Stock]]</f>
        <v>2500</v>
      </c>
      <c r="J893" s="12" t="s">
        <v>4941</v>
      </c>
      <c r="K893" s="13" t="s">
        <v>4664</v>
      </c>
      <c r="L893" s="13" t="s">
        <v>4709</v>
      </c>
      <c r="M893" s="13" t="s">
        <v>4733</v>
      </c>
      <c r="N893" s="12" t="s">
        <v>4672</v>
      </c>
      <c r="O893" s="17" t="str">
        <f>IF(LEN(COUNTIFS($J$1:J893,$J893,$K$1:K893,$K893,$L$1:L893,$L893,$M$1:M893,M893,$N$1:N893,N893))=1,"00"&amp;COUNTIFS($J$1:J893,$J893,$K$1:K893,$K893,$L$1:L893,$L893,$M$1:M893,M893,$N$1:N893,N893),IF(LEN(COUNTIFS($J$1:J893,$J893,$K$1:K893,$K893,$L$1:L893,$L893,$M$1:M893,M893,$N$1:N893,N893))=2,"0"&amp;COUNTIFS($J$1:J893,$J893,$K$1:K893,$K893,$L$1:L893,$L893,$M$1:M893,M893,$N$1:N893,N893),COUNTIFS($J$1:J893,$J893,$K$1:K893,$K893,$L$1:L893,$L893,$M$1:M893,M893,$N$1:N893,N893)))</f>
        <v>007</v>
      </c>
      <c r="P89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MS-CS-019-01-00007-INV</v>
      </c>
      <c r="Q893" s="59"/>
      <c r="R893" s="34" t="s">
        <v>6650</v>
      </c>
      <c r="S893" s="34" t="s">
        <v>3076</v>
      </c>
      <c r="T893" s="34">
        <f>+IFERROR(_xlfn.XLOOKUP(Table43[[#This Row],[Column1]],#REF!,#REF!),0)</f>
        <v>0</v>
      </c>
      <c r="U893" s="50">
        <f>IFERROR(_xlfn.XLOOKUP(Table43[[#This Row],[Column1]],#REF!,#REF!),0)</f>
        <v>0</v>
      </c>
      <c r="V893" s="39"/>
    </row>
    <row r="894" spans="1:22" x14ac:dyDescent="0.35">
      <c r="A894" s="2" t="s">
        <v>3077</v>
      </c>
      <c r="B894" s="3" t="s">
        <v>3078</v>
      </c>
      <c r="C894" s="3" t="s">
        <v>9</v>
      </c>
      <c r="D894" s="3">
        <v>350</v>
      </c>
      <c r="E894" s="3" t="s">
        <v>10</v>
      </c>
      <c r="F894" s="2">
        <v>1</v>
      </c>
      <c r="G894" s="3">
        <v>2</v>
      </c>
      <c r="H894" s="3">
        <v>1</v>
      </c>
      <c r="I894" s="21">
        <f>Table43[[#This Row],[Item Cost]]*Table43[[#This Row],[In Stock]]</f>
        <v>350</v>
      </c>
      <c r="J894" s="12" t="s">
        <v>4941</v>
      </c>
      <c r="K894" s="13" t="s">
        <v>4664</v>
      </c>
      <c r="L894" s="13" t="s">
        <v>4709</v>
      </c>
      <c r="M894" s="13" t="s">
        <v>4837</v>
      </c>
      <c r="N894" s="12" t="s">
        <v>4672</v>
      </c>
      <c r="O894" s="17" t="str">
        <f>IF(LEN(COUNTIFS($J$1:J894,$J894,$K$1:K894,$K894,$L$1:L894,$L894,$M$1:M894,M894,$N$1:N894,N894))=1,"00"&amp;COUNTIFS($J$1:J894,$J894,$K$1:K894,$K894,$L$1:L894,$L894,$M$1:M894,M894,$N$1:N894,N894),IF(LEN(COUNTIFS($J$1:J894,$J894,$K$1:K894,$K894,$L$1:L894,$L894,$M$1:M894,M894,$N$1:N894,N894))=2,"0"&amp;COUNTIFS($J$1:J894,$J894,$K$1:K894,$K894,$L$1:L894,$L894,$M$1:M894,M894,$N$1:N894,N894),COUNTIFS($J$1:J894,$J894,$K$1:K894,$K894,$L$1:L894,$L894,$M$1:M894,M894,$N$1:N894,N894)))</f>
        <v>006</v>
      </c>
      <c r="P89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MS-CS-019-26-00006-INV</v>
      </c>
      <c r="Q894" s="59" t="s">
        <v>7355</v>
      </c>
      <c r="R894" s="34" t="s">
        <v>6651</v>
      </c>
      <c r="S894" s="34" t="s">
        <v>3078</v>
      </c>
      <c r="T894" s="34">
        <f>+IFERROR(_xlfn.XLOOKUP(Table43[[#This Row],[Column1]],#REF!,#REF!),0)</f>
        <v>0</v>
      </c>
      <c r="U894" s="50">
        <f>IFERROR(_xlfn.XLOOKUP(Table43[[#This Row],[Column1]],#REF!,#REF!),0)</f>
        <v>0</v>
      </c>
      <c r="V894" s="39"/>
    </row>
    <row r="895" spans="1:22" x14ac:dyDescent="0.35">
      <c r="A895" s="2" t="s">
        <v>3079</v>
      </c>
      <c r="B895" s="2" t="s">
        <v>3080</v>
      </c>
      <c r="C895" s="2" t="s">
        <v>15</v>
      </c>
      <c r="D895" s="4">
        <v>1500</v>
      </c>
      <c r="E895" s="2" t="s">
        <v>10</v>
      </c>
      <c r="F895" s="2">
        <v>1</v>
      </c>
      <c r="G895" s="2">
        <v>2</v>
      </c>
      <c r="H895" s="2">
        <v>1</v>
      </c>
      <c r="I895" s="22">
        <f>Table43[[#This Row],[Item Cost]]*Table43[[#This Row],[In Stock]]</f>
        <v>1500</v>
      </c>
      <c r="J895" s="12" t="s">
        <v>4941</v>
      </c>
      <c r="K895" s="13" t="s">
        <v>4666</v>
      </c>
      <c r="L895" s="13" t="s">
        <v>4709</v>
      </c>
      <c r="M895" s="13" t="s">
        <v>4772</v>
      </c>
      <c r="N895" s="12" t="s">
        <v>4672</v>
      </c>
      <c r="O895" s="17" t="str">
        <f>IF(LEN(COUNTIFS($J$1:J895,$J895,$K$1:K895,$K895,$L$1:L895,$L895,$M$1:M895,M895,$N$1:N895,N895))=1,"00"&amp;COUNTIFS($J$1:J895,$J895,$K$1:K895,$K895,$L$1:L895,$L895,$M$1:M895,M895,$N$1:N895,N895),IF(LEN(COUNTIFS($J$1:J895,$J895,$K$1:K895,$K895,$L$1:L895,$L895,$M$1:M895,M895,$N$1:N895,N895))=2,"0"&amp;COUNTIFS($J$1:J895,$J895,$K$1:K895,$K895,$L$1:L895,$L895,$M$1:M895,M895,$N$1:N895,N895),COUNTIFS($J$1:J895,$J895,$K$1:K895,$K895,$L$1:L895,$L895,$M$1:M895,M895,$N$1:N895,N895)))</f>
        <v>002</v>
      </c>
      <c r="P89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MS-NS-019-06-00002-INV</v>
      </c>
      <c r="Q895" s="59" t="s">
        <v>7355</v>
      </c>
      <c r="R895" s="34" t="s">
        <v>6652</v>
      </c>
      <c r="S895" s="34" t="s">
        <v>3080</v>
      </c>
      <c r="T895" s="34">
        <f>+IFERROR(_xlfn.XLOOKUP(Table43[[#This Row],[Column1]],#REF!,#REF!),0)</f>
        <v>0</v>
      </c>
      <c r="U895" s="50">
        <f>IFERROR(_xlfn.XLOOKUP(Table43[[#This Row],[Column1]],#REF!,#REF!),0)</f>
        <v>0</v>
      </c>
      <c r="V895" s="39"/>
    </row>
    <row r="896" spans="1:22" x14ac:dyDescent="0.35">
      <c r="A896" s="3" t="s">
        <v>3081</v>
      </c>
      <c r="B896" s="3" t="s">
        <v>3082</v>
      </c>
      <c r="C896" s="3" t="s">
        <v>15</v>
      </c>
      <c r="D896" s="5">
        <v>10000</v>
      </c>
      <c r="E896" s="3" t="s">
        <v>10</v>
      </c>
      <c r="F896" s="2">
        <v>1</v>
      </c>
      <c r="G896" s="2">
        <v>2</v>
      </c>
      <c r="H896" s="3">
        <v>2</v>
      </c>
      <c r="I896" s="21">
        <f>Table43[[#This Row],[Item Cost]]*Table43[[#This Row],[In Stock]]</f>
        <v>20000</v>
      </c>
      <c r="J896" s="12" t="s">
        <v>4941</v>
      </c>
      <c r="K896" s="13" t="s">
        <v>4666</v>
      </c>
      <c r="L896" s="13" t="s">
        <v>4672</v>
      </c>
      <c r="M896" s="13" t="s">
        <v>4837</v>
      </c>
      <c r="N896" s="12" t="s">
        <v>4672</v>
      </c>
      <c r="O896" s="17" t="str">
        <f>IF(LEN(COUNTIFS($J$1:J896,$J896,$K$1:K896,$K896,$L$1:L896,$L896,$M$1:M896,M896,$N$1:N896,N896))=1,"00"&amp;COUNTIFS($J$1:J896,$J896,$K$1:K896,$K896,$L$1:L896,$L896,$M$1:M896,M896,$N$1:N896,N896),IF(LEN(COUNTIFS($J$1:J896,$J896,$K$1:K896,$K896,$L$1:L896,$L896,$M$1:M896,M896,$N$1:N896,N896))=2,"0"&amp;COUNTIFS($J$1:J896,$J896,$K$1:K896,$K896,$L$1:L896,$L896,$M$1:M896,M896,$N$1:N896,N896),COUNTIFS($J$1:J896,$J896,$K$1:K896,$K896,$L$1:L896,$L896,$M$1:M896,M896,$N$1:N896,N896)))</f>
        <v>009</v>
      </c>
      <c r="P89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MS-NS-000-26-00009-INV</v>
      </c>
      <c r="Q896" s="59"/>
      <c r="R896" s="34" t="s">
        <v>6653</v>
      </c>
      <c r="S896" s="34" t="s">
        <v>3082</v>
      </c>
      <c r="T896" s="34">
        <f>+IFERROR(_xlfn.XLOOKUP(Table43[[#This Row],[Column1]],#REF!,#REF!),0)</f>
        <v>0</v>
      </c>
      <c r="U896" s="50">
        <f>IFERROR(_xlfn.XLOOKUP(Table43[[#This Row],[Column1]],#REF!,#REF!),0)</f>
        <v>0</v>
      </c>
      <c r="V896" s="39"/>
    </row>
    <row r="897" spans="1:22" x14ac:dyDescent="0.35">
      <c r="A897" s="2" t="s">
        <v>3083</v>
      </c>
      <c r="B897" s="2" t="s">
        <v>3084</v>
      </c>
      <c r="C897" s="2" t="s">
        <v>15</v>
      </c>
      <c r="D897" s="2">
        <v>850</v>
      </c>
      <c r="E897" s="2" t="s">
        <v>10</v>
      </c>
      <c r="F897" s="2">
        <v>1</v>
      </c>
      <c r="G897" s="2">
        <v>2</v>
      </c>
      <c r="H897" s="2">
        <v>4</v>
      </c>
      <c r="I897" s="22">
        <f>Table43[[#This Row],[Item Cost]]*Table43[[#This Row],[In Stock]]</f>
        <v>3400</v>
      </c>
      <c r="J897" s="12" t="s">
        <v>4941</v>
      </c>
      <c r="K897" s="13" t="s">
        <v>4666</v>
      </c>
      <c r="L897" s="13" t="s">
        <v>4672</v>
      </c>
      <c r="M897" s="13" t="s">
        <v>4832</v>
      </c>
      <c r="N897" s="12" t="s">
        <v>4672</v>
      </c>
      <c r="O897" s="17" t="str">
        <f>IF(LEN(COUNTIFS($J$1:J897,$J897,$K$1:K897,$K897,$L$1:L897,$L897,$M$1:M897,M897,$N$1:N897,N897))=1,"00"&amp;COUNTIFS($J$1:J897,$J897,$K$1:K897,$K897,$L$1:L897,$L897,$M$1:M897,M897,$N$1:N897,N897),IF(LEN(COUNTIFS($J$1:J897,$J897,$K$1:K897,$K897,$L$1:L897,$L897,$M$1:M897,M897,$N$1:N897,N897))=2,"0"&amp;COUNTIFS($J$1:J897,$J897,$K$1:K897,$K897,$L$1:L897,$L897,$M$1:M897,M897,$N$1:N897,N897),COUNTIFS($J$1:J897,$J897,$K$1:K897,$K897,$L$1:L897,$L897,$M$1:M897,M897,$N$1:N897,N897)))</f>
        <v>001</v>
      </c>
      <c r="P89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MS-NS-000-07-00001-INV</v>
      </c>
      <c r="Q897" s="59"/>
      <c r="R897" s="34" t="s">
        <v>6654</v>
      </c>
      <c r="S897" s="34" t="s">
        <v>3084</v>
      </c>
      <c r="T897" s="34">
        <f>+IFERROR(_xlfn.XLOOKUP(Table43[[#This Row],[Column1]],#REF!,#REF!),0)</f>
        <v>0</v>
      </c>
      <c r="U897" s="50">
        <f>IFERROR(_xlfn.XLOOKUP(Table43[[#This Row],[Column1]],#REF!,#REF!),0)</f>
        <v>0</v>
      </c>
      <c r="V897" s="39"/>
    </row>
    <row r="898" spans="1:22" x14ac:dyDescent="0.35">
      <c r="A898" s="3" t="s">
        <v>3085</v>
      </c>
      <c r="B898" s="3" t="s">
        <v>3086</v>
      </c>
      <c r="C898" s="2" t="s">
        <v>15</v>
      </c>
      <c r="D898" s="5">
        <v>8000</v>
      </c>
      <c r="E898" s="3" t="s">
        <v>10</v>
      </c>
      <c r="F898" s="2">
        <v>1</v>
      </c>
      <c r="G898" s="2">
        <v>2</v>
      </c>
      <c r="H898" s="3">
        <v>1</v>
      </c>
      <c r="I898" s="21">
        <f>Table43[[#This Row],[Item Cost]]*Table43[[#This Row],[In Stock]]</f>
        <v>8000</v>
      </c>
      <c r="J898" s="12" t="s">
        <v>4941</v>
      </c>
      <c r="K898" s="13" t="s">
        <v>4666</v>
      </c>
      <c r="L898" s="13" t="s">
        <v>4672</v>
      </c>
      <c r="M898" s="13" t="s">
        <v>4693</v>
      </c>
      <c r="N898" s="12" t="s">
        <v>4672</v>
      </c>
      <c r="O898" s="17" t="str">
        <f>IF(LEN(COUNTIFS($J$1:J898,$J898,$K$1:K898,$K898,$L$1:L898,$L898,$M$1:M898,M898,$N$1:N898,N898))=1,"00"&amp;COUNTIFS($J$1:J898,$J898,$K$1:K898,$K898,$L$1:L898,$L898,$M$1:M898,M898,$N$1:N898,N898),IF(LEN(COUNTIFS($J$1:J898,$J898,$K$1:K898,$K898,$L$1:L898,$L898,$M$1:M898,M898,$N$1:N898,N898))=2,"0"&amp;COUNTIFS($J$1:J898,$J898,$K$1:K898,$K898,$L$1:L898,$L898,$M$1:M898,M898,$N$1:N898,N898),COUNTIFS($J$1:J898,$J898,$K$1:K898,$K898,$L$1:L898,$L898,$M$1:M898,M898,$N$1:N898,N898)))</f>
        <v>001</v>
      </c>
      <c r="P89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MS-NS-000-23-00001-INV</v>
      </c>
      <c r="Q898" s="59"/>
      <c r="R898" s="34" t="s">
        <v>6655</v>
      </c>
      <c r="S898" s="34" t="s">
        <v>3086</v>
      </c>
      <c r="T898" s="34">
        <f>+IFERROR(_xlfn.XLOOKUP(Table43[[#This Row],[Column1]],#REF!,#REF!),0)</f>
        <v>0</v>
      </c>
      <c r="U898" s="50">
        <f>IFERROR(_xlfn.XLOOKUP(Table43[[#This Row],[Column1]],#REF!,#REF!),0)</f>
        <v>0</v>
      </c>
      <c r="V898" s="39"/>
    </row>
    <row r="899" spans="1:22" x14ac:dyDescent="0.35">
      <c r="A899" s="3" t="s">
        <v>3089</v>
      </c>
      <c r="B899" s="3" t="s">
        <v>3090</v>
      </c>
      <c r="C899" s="2" t="s">
        <v>15</v>
      </c>
      <c r="D899" s="5">
        <v>1000</v>
      </c>
      <c r="E899" s="3" t="s">
        <v>10</v>
      </c>
      <c r="F899" s="2">
        <v>1</v>
      </c>
      <c r="G899" s="2">
        <v>2</v>
      </c>
      <c r="H899" s="3">
        <v>2</v>
      </c>
      <c r="I899" s="21">
        <f>Table43[[#This Row],[Item Cost]]*Table43[[#This Row],[In Stock]]</f>
        <v>2000</v>
      </c>
      <c r="J899" s="12" t="s">
        <v>4941</v>
      </c>
      <c r="K899" s="13" t="s">
        <v>4666</v>
      </c>
      <c r="L899" s="13" t="s">
        <v>4672</v>
      </c>
      <c r="M899" s="13" t="s">
        <v>4770</v>
      </c>
      <c r="N899" s="12" t="s">
        <v>4672</v>
      </c>
      <c r="O899" s="17" t="str">
        <f>IF(LEN(COUNTIFS($J$1:J899,$J899,$K$1:K899,$K899,$L$1:L899,$L899,$M$1:M899,M899,$N$1:N899,N899))=1,"00"&amp;COUNTIFS($J$1:J899,$J899,$K$1:K899,$K899,$L$1:L899,$L899,$M$1:M899,M899,$N$1:N899,N899),IF(LEN(COUNTIFS($J$1:J899,$J899,$K$1:K899,$K899,$L$1:L899,$L899,$M$1:M899,M899,$N$1:N899,N899))=2,"0"&amp;COUNTIFS($J$1:J899,$J899,$K$1:K899,$K899,$L$1:L899,$L899,$M$1:M899,M899,$N$1:N899,N899),COUNTIFS($J$1:J899,$J899,$K$1:K899,$K899,$L$1:L899,$L899,$M$1:M899,M899,$N$1:N899,N899)))</f>
        <v>001</v>
      </c>
      <c r="P89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MS-NS-000-04-00001-INV</v>
      </c>
      <c r="Q899" s="59"/>
      <c r="R899" s="34" t="s">
        <v>6656</v>
      </c>
      <c r="S899" s="34" t="s">
        <v>3090</v>
      </c>
      <c r="T899" s="34">
        <f>+IFERROR(_xlfn.XLOOKUP(Table43[[#This Row],[Column1]],#REF!,#REF!),0)</f>
        <v>0</v>
      </c>
      <c r="U899" s="50">
        <f>IFERROR(_xlfn.XLOOKUP(Table43[[#This Row],[Column1]],#REF!,#REF!),0)</f>
        <v>0</v>
      </c>
      <c r="V899" s="39"/>
    </row>
    <row r="900" spans="1:22" x14ac:dyDescent="0.35">
      <c r="A900" s="2" t="s">
        <v>3091</v>
      </c>
      <c r="B900" s="2" t="s">
        <v>3092</v>
      </c>
      <c r="C900" s="2" t="s">
        <v>15</v>
      </c>
      <c r="D900" s="4">
        <v>3500</v>
      </c>
      <c r="E900" s="2" t="s">
        <v>10</v>
      </c>
      <c r="F900" s="2">
        <v>1</v>
      </c>
      <c r="G900" s="2">
        <v>2</v>
      </c>
      <c r="H900" s="2">
        <v>1</v>
      </c>
      <c r="I900" s="22">
        <f>Table43[[#This Row],[Item Cost]]*Table43[[#This Row],[In Stock]]</f>
        <v>3500</v>
      </c>
      <c r="J900" s="12" t="s">
        <v>4941</v>
      </c>
      <c r="K900" s="13" t="s">
        <v>4666</v>
      </c>
      <c r="L900" s="13" t="s">
        <v>4672</v>
      </c>
      <c r="M900" s="13" t="s">
        <v>3950</v>
      </c>
      <c r="N900" s="12" t="s">
        <v>4672</v>
      </c>
      <c r="O900" s="17" t="str">
        <f>IF(LEN(COUNTIFS($J$1:J900,$J900,$K$1:K900,$K900,$L$1:L900,$L900,$M$1:M900,M900,$N$1:N900,N900))=1,"00"&amp;COUNTIFS($J$1:J900,$J900,$K$1:K900,$K900,$L$1:L900,$L900,$M$1:M900,M900,$N$1:N900,N900),IF(LEN(COUNTIFS($J$1:J900,$J900,$K$1:K900,$K900,$L$1:L900,$L900,$M$1:M900,M900,$N$1:N900,N900))=2,"0"&amp;COUNTIFS($J$1:J900,$J900,$K$1:K900,$K900,$L$1:L900,$L900,$M$1:M900,M900,$N$1:N900,N900),COUNTIFS($J$1:J900,$J900,$K$1:K900,$K900,$L$1:L900,$L900,$M$1:M900,M900,$N$1:N900,N900)))</f>
        <v>018</v>
      </c>
      <c r="P90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MS-NS-000-22-00018-INV</v>
      </c>
      <c r="Q900" s="59"/>
      <c r="R900" s="34" t="s">
        <v>6657</v>
      </c>
      <c r="S900" s="34" t="s">
        <v>3092</v>
      </c>
      <c r="T900" s="34">
        <f>+IFERROR(_xlfn.XLOOKUP(Table43[[#This Row],[Column1]],#REF!,#REF!),0)</f>
        <v>0</v>
      </c>
      <c r="U900" s="50">
        <f>IFERROR(_xlfn.XLOOKUP(Table43[[#This Row],[Column1]],#REF!,#REF!),0)</f>
        <v>0</v>
      </c>
      <c r="V900" s="39"/>
    </row>
    <row r="901" spans="1:22" x14ac:dyDescent="0.35">
      <c r="A901" s="3" t="s">
        <v>3093</v>
      </c>
      <c r="B901" s="3" t="s">
        <v>3094</v>
      </c>
      <c r="C901" s="2" t="s">
        <v>15</v>
      </c>
      <c r="D901" s="5">
        <v>1500</v>
      </c>
      <c r="E901" s="3" t="s">
        <v>10</v>
      </c>
      <c r="F901" s="2">
        <v>0</v>
      </c>
      <c r="G901" s="2">
        <v>1</v>
      </c>
      <c r="H901" s="3">
        <v>1</v>
      </c>
      <c r="I901" s="21">
        <f>Table43[[#This Row],[Item Cost]]*Table43[[#This Row],[In Stock]]</f>
        <v>1500</v>
      </c>
      <c r="J901" s="12" t="s">
        <v>4941</v>
      </c>
      <c r="K901" s="13" t="s">
        <v>4666</v>
      </c>
      <c r="L901" s="13" t="s">
        <v>4672</v>
      </c>
      <c r="M901" s="13" t="s">
        <v>4832</v>
      </c>
      <c r="N901" s="12" t="s">
        <v>4672</v>
      </c>
      <c r="O901" s="17" t="str">
        <f>IF(LEN(COUNTIFS($J$1:J901,$J901,$K$1:K901,$K901,$L$1:L901,$L901,$M$1:M901,M901,$N$1:N901,N901))=1,"00"&amp;COUNTIFS($J$1:J901,$J901,$K$1:K901,$K901,$L$1:L901,$L901,$M$1:M901,M901,$N$1:N901,N901),IF(LEN(COUNTIFS($J$1:J901,$J901,$K$1:K901,$K901,$L$1:L901,$L901,$M$1:M901,M901,$N$1:N901,N901))=2,"0"&amp;COUNTIFS($J$1:J901,$J901,$K$1:K901,$K901,$L$1:L901,$L901,$M$1:M901,M901,$N$1:N901,N901),COUNTIFS($J$1:J901,$J901,$K$1:K901,$K901,$L$1:L901,$L901,$M$1:M901,M901,$N$1:N901,N901)))</f>
        <v>002</v>
      </c>
      <c r="P90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MS-NS-000-07-00002-INV</v>
      </c>
      <c r="Q901" s="59"/>
      <c r="R901" s="34" t="s">
        <v>6658</v>
      </c>
      <c r="S901" s="34" t="s">
        <v>3094</v>
      </c>
      <c r="T901" s="34">
        <f>+IFERROR(_xlfn.XLOOKUP(Table43[[#This Row],[Column1]],#REF!,#REF!),0)</f>
        <v>0</v>
      </c>
      <c r="U901" s="50">
        <f>IFERROR(_xlfn.XLOOKUP(Table43[[#This Row],[Column1]],#REF!,#REF!),0)</f>
        <v>0</v>
      </c>
      <c r="V901" s="39"/>
    </row>
    <row r="902" spans="1:22" x14ac:dyDescent="0.35">
      <c r="A902" s="2" t="s">
        <v>3095</v>
      </c>
      <c r="B902" s="2" t="s">
        <v>3096</v>
      </c>
      <c r="C902" s="2" t="s">
        <v>15</v>
      </c>
      <c r="D902" s="4">
        <v>2500</v>
      </c>
      <c r="E902" s="2" t="s">
        <v>10</v>
      </c>
      <c r="F902" s="2">
        <v>0</v>
      </c>
      <c r="G902" s="2">
        <v>1</v>
      </c>
      <c r="H902" s="2">
        <v>1</v>
      </c>
      <c r="I902" s="22">
        <f>Table43[[#This Row],[Item Cost]]*Table43[[#This Row],[In Stock]]</f>
        <v>2500</v>
      </c>
      <c r="J902" s="12" t="s">
        <v>4941</v>
      </c>
      <c r="K902" s="13" t="s">
        <v>4666</v>
      </c>
      <c r="L902" s="13" t="s">
        <v>4672</v>
      </c>
      <c r="M902" s="13" t="s">
        <v>4837</v>
      </c>
      <c r="N902" s="12" t="s">
        <v>4672</v>
      </c>
      <c r="O902" s="17" t="str">
        <f>IF(LEN(COUNTIFS($J$1:J902,$J902,$K$1:K902,$K902,$L$1:L902,$L902,$M$1:M902,M902,$N$1:N902,N902))=1,"00"&amp;COUNTIFS($J$1:J902,$J902,$K$1:K902,$K902,$L$1:L902,$L902,$M$1:M902,M902,$N$1:N902,N902),IF(LEN(COUNTIFS($J$1:J902,$J902,$K$1:K902,$K902,$L$1:L902,$L902,$M$1:M902,M902,$N$1:N902,N902))=2,"0"&amp;COUNTIFS($J$1:J902,$J902,$K$1:K902,$K902,$L$1:L902,$L902,$M$1:M902,M902,$N$1:N902,N902),COUNTIFS($J$1:J902,$J902,$K$1:K902,$K902,$L$1:L902,$L902,$M$1:M902,M902,$N$1:N902,N902)))</f>
        <v>010</v>
      </c>
      <c r="P90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MS-NS-000-26-00010-INV</v>
      </c>
      <c r="Q902" s="59"/>
      <c r="R902" s="34" t="s">
        <v>6659</v>
      </c>
      <c r="S902" s="34" t="s">
        <v>3096</v>
      </c>
      <c r="T902" s="34">
        <f>+IFERROR(_xlfn.XLOOKUP(Table43[[#This Row],[Column1]],#REF!,#REF!),0)</f>
        <v>0</v>
      </c>
      <c r="U902" s="50">
        <f>IFERROR(_xlfn.XLOOKUP(Table43[[#This Row],[Column1]],#REF!,#REF!),0)</f>
        <v>0</v>
      </c>
      <c r="V902" s="39"/>
    </row>
    <row r="903" spans="1:22" x14ac:dyDescent="0.35">
      <c r="A903" s="3" t="s">
        <v>3097</v>
      </c>
      <c r="B903" s="3" t="s">
        <v>284</v>
      </c>
      <c r="C903" s="2" t="s">
        <v>15</v>
      </c>
      <c r="D903" s="4">
        <v>2500</v>
      </c>
      <c r="E903" s="2" t="s">
        <v>10</v>
      </c>
      <c r="F903" s="2">
        <v>0</v>
      </c>
      <c r="G903" s="2">
        <v>1</v>
      </c>
      <c r="H903" s="2">
        <v>1</v>
      </c>
      <c r="I903" s="22">
        <f>Table43[[#This Row],[Item Cost]]*Table43[[#This Row],[In Stock]]</f>
        <v>2500</v>
      </c>
      <c r="J903" s="12" t="s">
        <v>4941</v>
      </c>
      <c r="K903" s="13" t="s">
        <v>4666</v>
      </c>
      <c r="L903" s="13" t="s">
        <v>4672</v>
      </c>
      <c r="M903" s="13" t="s">
        <v>4837</v>
      </c>
      <c r="N903" s="12" t="s">
        <v>4672</v>
      </c>
      <c r="O903" s="17" t="str">
        <f>IF(LEN(COUNTIFS($J$1:J903,$J903,$K$1:K903,$K903,$L$1:L903,$L903,$M$1:M903,M903,$N$1:N903,N903))=1,"00"&amp;COUNTIFS($J$1:J903,$J903,$K$1:K903,$K903,$L$1:L903,$L903,$M$1:M903,M903,$N$1:N903,N903),IF(LEN(COUNTIFS($J$1:J903,$J903,$K$1:K903,$K903,$L$1:L903,$L903,$M$1:M903,M903,$N$1:N903,N903))=2,"0"&amp;COUNTIFS($J$1:J903,$J903,$K$1:K903,$K903,$L$1:L903,$L903,$M$1:M903,M903,$N$1:N903,N903),COUNTIFS($J$1:J903,$J903,$K$1:K903,$K903,$L$1:L903,$L903,$M$1:M903,M903,$N$1:N903,N903)))</f>
        <v>011</v>
      </c>
      <c r="P90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MS-NS-000-26-00011-INV</v>
      </c>
      <c r="Q903" s="59"/>
      <c r="R903" s="34"/>
      <c r="S903" s="34"/>
      <c r="T903" s="34">
        <f>+IFERROR(_xlfn.XLOOKUP(Table43[[#This Row],[Column1]],#REF!,#REF!),0)</f>
        <v>0</v>
      </c>
      <c r="U903" s="51">
        <f>IFERROR(_xlfn.XLOOKUP(Table43[[#This Row],[Column1]],#REF!,#REF!),0)</f>
        <v>0</v>
      </c>
      <c r="V903" s="39"/>
    </row>
    <row r="904" spans="1:22" x14ac:dyDescent="0.35">
      <c r="A904" s="3" t="s">
        <v>5649</v>
      </c>
      <c r="B904" s="3" t="s">
        <v>5156</v>
      </c>
      <c r="C904" s="3" t="s">
        <v>5470</v>
      </c>
      <c r="D904" s="3"/>
      <c r="E904" s="3" t="s">
        <v>10</v>
      </c>
      <c r="F904" s="2">
        <v>0</v>
      </c>
      <c r="G904" s="2">
        <v>100</v>
      </c>
      <c r="H904" s="3"/>
      <c r="I904" s="21">
        <f>Table43[[#This Row],[Item Cost]]*Table43[[#This Row],[In Stock]]</f>
        <v>0</v>
      </c>
      <c r="J904" s="12" t="s">
        <v>4934</v>
      </c>
      <c r="K904" s="13" t="s">
        <v>4666</v>
      </c>
      <c r="L904" s="13" t="s">
        <v>4672</v>
      </c>
      <c r="M904" s="13" t="s">
        <v>4672</v>
      </c>
      <c r="N904" s="12" t="s">
        <v>4672</v>
      </c>
      <c r="O904" s="17" t="str">
        <f>IF(LEN(COUNTIFS($J$1:J904,$J904,$K$1:K904,$K904,$L$1:L904,$L904,$M$1:M904,M904,$N$1:N904,N904))=1,"00"&amp;COUNTIFS($J$1:J904,$J904,$K$1:K904,$K904,$L$1:L904,$L904,$M$1:M904,M904,$N$1:N904,N904),IF(LEN(COUNTIFS($J$1:J904,$J904,$K$1:K904,$K904,$L$1:L904,$L904,$M$1:M904,M904,$N$1:N904,N904))=2,"0"&amp;COUNTIFS($J$1:J904,$J904,$K$1:K904,$K904,$L$1:L904,$L904,$M$1:M904,M904,$N$1:N904,N904),COUNTIFS($J$1:J904,$J904,$K$1:K904,$K904,$L$1:L904,$L904,$M$1:M904,M904,$N$1:N904,N904)))</f>
        <v>001</v>
      </c>
      <c r="P90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PS-NS-000-00-00001-INV</v>
      </c>
      <c r="Q904" s="59"/>
      <c r="R904" s="34"/>
      <c r="S904" s="34">
        <v>0</v>
      </c>
      <c r="T904" s="34">
        <f>+IFERROR(_xlfn.XLOOKUP(Table43[[#This Row],[Column1]],#REF!,#REF!),0)</f>
        <v>0</v>
      </c>
      <c r="U904" s="50">
        <f>IFERROR(_xlfn.XLOOKUP(Table43[[#This Row],[Column1]],#REF!,#REF!),0)</f>
        <v>0</v>
      </c>
      <c r="V904" s="39"/>
    </row>
    <row r="905" spans="1:22" x14ac:dyDescent="0.35">
      <c r="A905" s="3" t="s">
        <v>5650</v>
      </c>
      <c r="B905" s="3" t="s">
        <v>5157</v>
      </c>
      <c r="C905" s="3" t="s">
        <v>5470</v>
      </c>
      <c r="D905" s="3"/>
      <c r="E905" s="3" t="s">
        <v>10</v>
      </c>
      <c r="F905" s="2">
        <v>0</v>
      </c>
      <c r="G905" s="2">
        <v>100</v>
      </c>
      <c r="H905" s="3"/>
      <c r="I905" s="21">
        <f>Table43[[#This Row],[Item Cost]]*Table43[[#This Row],[In Stock]]</f>
        <v>0</v>
      </c>
      <c r="J905" s="12" t="s">
        <v>4934</v>
      </c>
      <c r="K905" s="13" t="s">
        <v>4666</v>
      </c>
      <c r="L905" s="13" t="s">
        <v>4672</v>
      </c>
      <c r="M905" s="13" t="s">
        <v>4672</v>
      </c>
      <c r="N905" s="12" t="s">
        <v>4672</v>
      </c>
      <c r="O905" s="17" t="str">
        <f>IF(LEN(COUNTIFS($J$1:J905,$J905,$K$1:K905,$K905,$L$1:L905,$L905,$M$1:M905,M905,$N$1:N905,N905))=1,"00"&amp;COUNTIFS($J$1:J905,$J905,$K$1:K905,$K905,$L$1:L905,$L905,$M$1:M905,M905,$N$1:N905,N905),IF(LEN(COUNTIFS($J$1:J905,$J905,$K$1:K905,$K905,$L$1:L905,$L905,$M$1:M905,M905,$N$1:N905,N905))=2,"0"&amp;COUNTIFS($J$1:J905,$J905,$K$1:K905,$K905,$L$1:L905,$L905,$M$1:M905,M905,$N$1:N905,N905),COUNTIFS($J$1:J905,$J905,$K$1:K905,$K905,$L$1:L905,$L905,$M$1:M905,M905,$N$1:N905,N905)))</f>
        <v>002</v>
      </c>
      <c r="P90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PS-NS-000-00-00002-INV</v>
      </c>
      <c r="Q905" s="59"/>
      <c r="R905" s="34"/>
      <c r="S905" s="34">
        <v>0</v>
      </c>
      <c r="T905" s="34">
        <f>+IFERROR(_xlfn.XLOOKUP(Table43[[#This Row],[Column1]],#REF!,#REF!),0)</f>
        <v>0</v>
      </c>
      <c r="U905" s="50">
        <f>IFERROR(_xlfn.XLOOKUP(Table43[[#This Row],[Column1]],#REF!,#REF!),0)</f>
        <v>0</v>
      </c>
      <c r="V905" s="39"/>
    </row>
    <row r="906" spans="1:22" x14ac:dyDescent="0.35">
      <c r="A906" s="3" t="s">
        <v>5651</v>
      </c>
      <c r="B906" s="3" t="s">
        <v>5158</v>
      </c>
      <c r="C906" s="3" t="s">
        <v>5470</v>
      </c>
      <c r="D906" s="3"/>
      <c r="E906" s="3" t="s">
        <v>10</v>
      </c>
      <c r="F906" s="2">
        <v>0</v>
      </c>
      <c r="G906" s="2">
        <v>100</v>
      </c>
      <c r="H906" s="3"/>
      <c r="I906" s="21">
        <f>Table43[[#This Row],[Item Cost]]*Table43[[#This Row],[In Stock]]</f>
        <v>0</v>
      </c>
      <c r="J906" s="12" t="s">
        <v>4934</v>
      </c>
      <c r="K906" s="13" t="s">
        <v>4666</v>
      </c>
      <c r="L906" s="13" t="s">
        <v>4672</v>
      </c>
      <c r="M906" s="13" t="s">
        <v>4672</v>
      </c>
      <c r="N906" s="12" t="s">
        <v>4672</v>
      </c>
      <c r="O906" s="17" t="str">
        <f>IF(LEN(COUNTIFS($J$1:J906,$J906,$K$1:K906,$K906,$L$1:L906,$L906,$M$1:M906,M906,$N$1:N906,N906))=1,"00"&amp;COUNTIFS($J$1:J906,$J906,$K$1:K906,$K906,$L$1:L906,$L906,$M$1:M906,M906,$N$1:N906,N906),IF(LEN(COUNTIFS($J$1:J906,$J906,$K$1:K906,$K906,$L$1:L906,$L906,$M$1:M906,M906,$N$1:N906,N906))=2,"0"&amp;COUNTIFS($J$1:J906,$J906,$K$1:K906,$K906,$L$1:L906,$L906,$M$1:M906,M906,$N$1:N906,N906),COUNTIFS($J$1:J906,$J906,$K$1:K906,$K906,$L$1:L906,$L906,$M$1:M906,M906,$N$1:N906,N906)))</f>
        <v>003</v>
      </c>
      <c r="P90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PS-NS-000-00-00003-INV</v>
      </c>
      <c r="Q906" s="59"/>
      <c r="R906" s="34"/>
      <c r="S906" s="34">
        <v>0</v>
      </c>
      <c r="T906" s="34">
        <f>+IFERROR(_xlfn.XLOOKUP(Table43[[#This Row],[Column1]],#REF!,#REF!),0)</f>
        <v>0</v>
      </c>
      <c r="U906" s="50">
        <f>IFERROR(_xlfn.XLOOKUP(Table43[[#This Row],[Column1]],#REF!,#REF!),0)</f>
        <v>0</v>
      </c>
      <c r="V906" s="39"/>
    </row>
    <row r="907" spans="1:22" x14ac:dyDescent="0.35">
      <c r="A907" s="3" t="s">
        <v>5652</v>
      </c>
      <c r="B907" s="3" t="s">
        <v>5159</v>
      </c>
      <c r="C907" s="3" t="s">
        <v>5470</v>
      </c>
      <c r="D907" s="3"/>
      <c r="E907" s="3" t="s">
        <v>10</v>
      </c>
      <c r="F907" s="2">
        <v>0</v>
      </c>
      <c r="G907" s="2">
        <v>100</v>
      </c>
      <c r="H907" s="3"/>
      <c r="I907" s="21">
        <f>Table43[[#This Row],[Item Cost]]*Table43[[#This Row],[In Stock]]</f>
        <v>0</v>
      </c>
      <c r="J907" s="12" t="s">
        <v>4934</v>
      </c>
      <c r="K907" s="13" t="s">
        <v>4666</v>
      </c>
      <c r="L907" s="13" t="s">
        <v>4672</v>
      </c>
      <c r="M907" s="13" t="s">
        <v>4672</v>
      </c>
      <c r="N907" s="12" t="s">
        <v>4672</v>
      </c>
      <c r="O907" s="17" t="str">
        <f>IF(LEN(COUNTIFS($J$1:J907,$J907,$K$1:K907,$K907,$L$1:L907,$L907,$M$1:M907,M907,$N$1:N907,N907))=1,"00"&amp;COUNTIFS($J$1:J907,$J907,$K$1:K907,$K907,$L$1:L907,$L907,$M$1:M907,M907,$N$1:N907,N907),IF(LEN(COUNTIFS($J$1:J907,$J907,$K$1:K907,$K907,$L$1:L907,$L907,$M$1:M907,M907,$N$1:N907,N907))=2,"0"&amp;COUNTIFS($J$1:J907,$J907,$K$1:K907,$K907,$L$1:L907,$L907,$M$1:M907,M907,$N$1:N907,N907),COUNTIFS($J$1:J907,$J907,$K$1:K907,$K907,$L$1:L907,$L907,$M$1:M907,M907,$N$1:N907,N907)))</f>
        <v>004</v>
      </c>
      <c r="P90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PS-NS-000-00-00004-INV</v>
      </c>
      <c r="Q907" s="59"/>
      <c r="R907" s="34"/>
      <c r="S907" s="34">
        <v>0</v>
      </c>
      <c r="T907" s="34">
        <f>+IFERROR(_xlfn.XLOOKUP(Table43[[#This Row],[Column1]],#REF!,#REF!),0)</f>
        <v>0</v>
      </c>
      <c r="U907" s="50">
        <f>IFERROR(_xlfn.XLOOKUP(Table43[[#This Row],[Column1]],#REF!,#REF!),0)</f>
        <v>0</v>
      </c>
      <c r="V907" s="39"/>
    </row>
    <row r="908" spans="1:22" x14ac:dyDescent="0.35">
      <c r="A908" s="3" t="s">
        <v>5653</v>
      </c>
      <c r="B908" s="3" t="s">
        <v>5160</v>
      </c>
      <c r="C908" s="3" t="s">
        <v>5470</v>
      </c>
      <c r="D908" s="3"/>
      <c r="E908" s="3" t="s">
        <v>10</v>
      </c>
      <c r="F908" s="2">
        <v>0</v>
      </c>
      <c r="G908" s="2">
        <v>100</v>
      </c>
      <c r="H908" s="3"/>
      <c r="I908" s="21">
        <f>Table43[[#This Row],[Item Cost]]*Table43[[#This Row],[In Stock]]</f>
        <v>0</v>
      </c>
      <c r="J908" s="12" t="s">
        <v>4934</v>
      </c>
      <c r="K908" s="13" t="s">
        <v>4666</v>
      </c>
      <c r="L908" s="13" t="s">
        <v>4672</v>
      </c>
      <c r="M908" s="13" t="s">
        <v>4672</v>
      </c>
      <c r="N908" s="12" t="s">
        <v>4672</v>
      </c>
      <c r="O908" s="17" t="str">
        <f>IF(LEN(COUNTIFS($J$1:J908,$J908,$K$1:K908,$K908,$L$1:L908,$L908,$M$1:M908,M908,$N$1:N908,N908))=1,"00"&amp;COUNTIFS($J$1:J908,$J908,$K$1:K908,$K908,$L$1:L908,$L908,$M$1:M908,M908,$N$1:N908,N908),IF(LEN(COUNTIFS($J$1:J908,$J908,$K$1:K908,$K908,$L$1:L908,$L908,$M$1:M908,M908,$N$1:N908,N908))=2,"0"&amp;COUNTIFS($J$1:J908,$J908,$K$1:K908,$K908,$L$1:L908,$L908,$M$1:M908,M908,$N$1:N908,N908),COUNTIFS($J$1:J908,$J908,$K$1:K908,$K908,$L$1:L908,$L908,$M$1:M908,M908,$N$1:N908,N908)))</f>
        <v>005</v>
      </c>
      <c r="P90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PS-NS-000-00-00005-INV</v>
      </c>
      <c r="Q908" s="59"/>
      <c r="R908" s="34"/>
      <c r="S908" s="34">
        <v>0</v>
      </c>
      <c r="T908" s="34">
        <f>+IFERROR(_xlfn.XLOOKUP(Table43[[#This Row],[Column1]],#REF!,#REF!),0)</f>
        <v>0</v>
      </c>
      <c r="U908" s="50">
        <f>IFERROR(_xlfn.XLOOKUP(Table43[[#This Row],[Column1]],#REF!,#REF!),0)</f>
        <v>0</v>
      </c>
      <c r="V908" s="39"/>
    </row>
    <row r="909" spans="1:22" x14ac:dyDescent="0.35">
      <c r="A909" s="3" t="s">
        <v>5654</v>
      </c>
      <c r="B909" s="3" t="s">
        <v>5161</v>
      </c>
      <c r="C909" s="3" t="s">
        <v>5470</v>
      </c>
      <c r="D909" s="3"/>
      <c r="E909" s="3" t="s">
        <v>10</v>
      </c>
      <c r="F909" s="2">
        <v>0</v>
      </c>
      <c r="G909" s="2">
        <v>100</v>
      </c>
      <c r="H909" s="3"/>
      <c r="I909" s="21">
        <f>Table43[[#This Row],[Item Cost]]*Table43[[#This Row],[In Stock]]</f>
        <v>0</v>
      </c>
      <c r="J909" s="12" t="s">
        <v>4934</v>
      </c>
      <c r="K909" s="13" t="s">
        <v>4666</v>
      </c>
      <c r="L909" s="13" t="s">
        <v>4672</v>
      </c>
      <c r="M909" s="13" t="s">
        <v>4672</v>
      </c>
      <c r="N909" s="12" t="s">
        <v>4672</v>
      </c>
      <c r="O909" s="17" t="str">
        <f>IF(LEN(COUNTIFS($J$1:J909,$J909,$K$1:K909,$K909,$L$1:L909,$L909,$M$1:M909,M909,$N$1:N909,N909))=1,"00"&amp;COUNTIFS($J$1:J909,$J909,$K$1:K909,$K909,$L$1:L909,$L909,$M$1:M909,M909,$N$1:N909,N909),IF(LEN(COUNTIFS($J$1:J909,$J909,$K$1:K909,$K909,$L$1:L909,$L909,$M$1:M909,M909,$N$1:N909,N909))=2,"0"&amp;COUNTIFS($J$1:J909,$J909,$K$1:K909,$K909,$L$1:L909,$L909,$M$1:M909,M909,$N$1:N909,N909),COUNTIFS($J$1:J909,$J909,$K$1:K909,$K909,$L$1:L909,$L909,$M$1:M909,M909,$N$1:N909,N909)))</f>
        <v>006</v>
      </c>
      <c r="P90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PS-NS-000-00-00006-INV</v>
      </c>
      <c r="Q909" s="59"/>
      <c r="R909" s="34"/>
      <c r="S909" s="34">
        <v>0</v>
      </c>
      <c r="T909" s="34">
        <f>+IFERROR(_xlfn.XLOOKUP(Table43[[#This Row],[Column1]],#REF!,#REF!),0)</f>
        <v>0</v>
      </c>
      <c r="U909" s="50">
        <f>IFERROR(_xlfn.XLOOKUP(Table43[[#This Row],[Column1]],#REF!,#REF!),0)</f>
        <v>0</v>
      </c>
      <c r="V909" s="39"/>
    </row>
    <row r="910" spans="1:22" x14ac:dyDescent="0.35">
      <c r="A910" s="3" t="s">
        <v>5655</v>
      </c>
      <c r="B910" s="3" t="s">
        <v>5162</v>
      </c>
      <c r="C910" s="3" t="s">
        <v>5470</v>
      </c>
      <c r="D910" s="3"/>
      <c r="E910" s="3" t="s">
        <v>10</v>
      </c>
      <c r="F910" s="2">
        <v>0</v>
      </c>
      <c r="G910" s="2">
        <v>100</v>
      </c>
      <c r="H910" s="3"/>
      <c r="I910" s="21">
        <f>Table43[[#This Row],[Item Cost]]*Table43[[#This Row],[In Stock]]</f>
        <v>0</v>
      </c>
      <c r="J910" s="12" t="s">
        <v>4934</v>
      </c>
      <c r="K910" s="13" t="s">
        <v>4666</v>
      </c>
      <c r="L910" s="13" t="s">
        <v>4672</v>
      </c>
      <c r="M910" s="13" t="s">
        <v>4672</v>
      </c>
      <c r="N910" s="12" t="s">
        <v>4672</v>
      </c>
      <c r="O910" s="17" t="str">
        <f>IF(LEN(COUNTIFS($J$1:J910,$J910,$K$1:K910,$K910,$L$1:L910,$L910,$M$1:M910,M910,$N$1:N910,N910))=1,"00"&amp;COUNTIFS($J$1:J910,$J910,$K$1:K910,$K910,$L$1:L910,$L910,$M$1:M910,M910,$N$1:N910,N910),IF(LEN(COUNTIFS($J$1:J910,$J910,$K$1:K910,$K910,$L$1:L910,$L910,$M$1:M910,M910,$N$1:N910,N910))=2,"0"&amp;COUNTIFS($J$1:J910,$J910,$K$1:K910,$K910,$L$1:L910,$L910,$M$1:M910,M910,$N$1:N910,N910),COUNTIFS($J$1:J910,$J910,$K$1:K910,$K910,$L$1:L910,$L910,$M$1:M910,M910,$N$1:N910,N910)))</f>
        <v>007</v>
      </c>
      <c r="P91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PS-NS-000-00-00007-INV</v>
      </c>
      <c r="Q910" s="59"/>
      <c r="R910" s="34"/>
      <c r="S910" s="34">
        <v>0</v>
      </c>
      <c r="T910" s="34">
        <f>+IFERROR(_xlfn.XLOOKUP(Table43[[#This Row],[Column1]],#REF!,#REF!),0)</f>
        <v>0</v>
      </c>
      <c r="U910" s="50">
        <f>IFERROR(_xlfn.XLOOKUP(Table43[[#This Row],[Column1]],#REF!,#REF!),0)</f>
        <v>0</v>
      </c>
      <c r="V910" s="39"/>
    </row>
    <row r="911" spans="1:22" x14ac:dyDescent="0.35">
      <c r="A911" s="3" t="s">
        <v>5656</v>
      </c>
      <c r="B911" s="3" t="s">
        <v>5163</v>
      </c>
      <c r="C911" s="3" t="s">
        <v>5470</v>
      </c>
      <c r="D911" s="3"/>
      <c r="E911" s="3" t="s">
        <v>10</v>
      </c>
      <c r="F911" s="2">
        <v>0</v>
      </c>
      <c r="G911" s="2">
        <v>100</v>
      </c>
      <c r="H911" s="3"/>
      <c r="I911" s="21">
        <f>Table43[[#This Row],[Item Cost]]*Table43[[#This Row],[In Stock]]</f>
        <v>0</v>
      </c>
      <c r="J911" s="12" t="s">
        <v>4934</v>
      </c>
      <c r="K911" s="13" t="s">
        <v>4666</v>
      </c>
      <c r="L911" s="13" t="s">
        <v>4672</v>
      </c>
      <c r="M911" s="13" t="s">
        <v>4672</v>
      </c>
      <c r="N911" s="12" t="s">
        <v>4672</v>
      </c>
      <c r="O911" s="17" t="str">
        <f>IF(LEN(COUNTIFS($J$1:J911,$J911,$K$1:K911,$K911,$L$1:L911,$L911,$M$1:M911,M911,$N$1:N911,N911))=1,"00"&amp;COUNTIFS($J$1:J911,$J911,$K$1:K911,$K911,$L$1:L911,$L911,$M$1:M911,M911,$N$1:N911,N911),IF(LEN(COUNTIFS($J$1:J911,$J911,$K$1:K911,$K911,$L$1:L911,$L911,$M$1:M911,M911,$N$1:N911,N911))=2,"0"&amp;COUNTIFS($J$1:J911,$J911,$K$1:K911,$K911,$L$1:L911,$L911,$M$1:M911,M911,$N$1:N911,N911),COUNTIFS($J$1:J911,$J911,$K$1:K911,$K911,$L$1:L911,$L911,$M$1:M911,M911,$N$1:N911,N911)))</f>
        <v>008</v>
      </c>
      <c r="P91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PS-NS-000-00-00008-INV</v>
      </c>
      <c r="Q911" s="59"/>
      <c r="R911" s="34"/>
      <c r="S911" s="34">
        <v>0</v>
      </c>
      <c r="T911" s="34">
        <f>+IFERROR(_xlfn.XLOOKUP(Table43[[#This Row],[Column1]],#REF!,#REF!),0)</f>
        <v>0</v>
      </c>
      <c r="U911" s="50">
        <f>IFERROR(_xlfn.XLOOKUP(Table43[[#This Row],[Column1]],#REF!,#REF!),0)</f>
        <v>0</v>
      </c>
      <c r="V911" s="39"/>
    </row>
    <row r="912" spans="1:22" x14ac:dyDescent="0.35">
      <c r="A912" s="3" t="s">
        <v>5657</v>
      </c>
      <c r="B912" s="3" t="s">
        <v>5164</v>
      </c>
      <c r="C912" s="3" t="s">
        <v>5470</v>
      </c>
      <c r="D912" s="3"/>
      <c r="E912" s="3" t="s">
        <v>10</v>
      </c>
      <c r="F912" s="2">
        <v>0</v>
      </c>
      <c r="G912" s="2">
        <v>100</v>
      </c>
      <c r="H912" s="3"/>
      <c r="I912" s="21">
        <f>Table43[[#This Row],[Item Cost]]*Table43[[#This Row],[In Stock]]</f>
        <v>0</v>
      </c>
      <c r="J912" s="12" t="s">
        <v>4934</v>
      </c>
      <c r="K912" s="13" t="s">
        <v>4666</v>
      </c>
      <c r="L912" s="13" t="s">
        <v>4672</v>
      </c>
      <c r="M912" s="13" t="s">
        <v>4672</v>
      </c>
      <c r="N912" s="12" t="s">
        <v>4672</v>
      </c>
      <c r="O912" s="17" t="str">
        <f>IF(LEN(COUNTIFS($J$1:J912,$J912,$K$1:K912,$K912,$L$1:L912,$L912,$M$1:M912,M912,$N$1:N912,N912))=1,"00"&amp;COUNTIFS($J$1:J912,$J912,$K$1:K912,$K912,$L$1:L912,$L912,$M$1:M912,M912,$N$1:N912,N912),IF(LEN(COUNTIFS($J$1:J912,$J912,$K$1:K912,$K912,$L$1:L912,$L912,$M$1:M912,M912,$N$1:N912,N912))=2,"0"&amp;COUNTIFS($J$1:J912,$J912,$K$1:K912,$K912,$L$1:L912,$L912,$M$1:M912,M912,$N$1:N912,N912),COUNTIFS($J$1:J912,$J912,$K$1:K912,$K912,$L$1:L912,$L912,$M$1:M912,M912,$N$1:N912,N912)))</f>
        <v>009</v>
      </c>
      <c r="P91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PS-NS-000-00-00009-INV</v>
      </c>
      <c r="Q912" s="59"/>
      <c r="R912" s="34"/>
      <c r="S912" s="34">
        <v>0</v>
      </c>
      <c r="T912" s="34">
        <f>+IFERROR(_xlfn.XLOOKUP(Table43[[#This Row],[Column1]],#REF!,#REF!),0)</f>
        <v>0</v>
      </c>
      <c r="U912" s="50">
        <f>IFERROR(_xlfn.XLOOKUP(Table43[[#This Row],[Column1]],#REF!,#REF!),0)</f>
        <v>0</v>
      </c>
      <c r="V912" s="39"/>
    </row>
    <row r="913" spans="1:22" x14ac:dyDescent="0.35">
      <c r="A913" s="3" t="s">
        <v>5658</v>
      </c>
      <c r="B913" s="3" t="s">
        <v>5165</v>
      </c>
      <c r="C913" s="3" t="s">
        <v>5470</v>
      </c>
      <c r="D913" s="3"/>
      <c r="E913" s="3" t="s">
        <v>10</v>
      </c>
      <c r="F913" s="2">
        <v>0</v>
      </c>
      <c r="G913" s="2">
        <v>100</v>
      </c>
      <c r="H913" s="3"/>
      <c r="I913" s="21">
        <f>Table43[[#This Row],[Item Cost]]*Table43[[#This Row],[In Stock]]</f>
        <v>0</v>
      </c>
      <c r="J913" s="12" t="s">
        <v>4934</v>
      </c>
      <c r="K913" s="13" t="s">
        <v>4666</v>
      </c>
      <c r="L913" s="13" t="s">
        <v>4672</v>
      </c>
      <c r="M913" s="13" t="s">
        <v>4672</v>
      </c>
      <c r="N913" s="12" t="s">
        <v>4672</v>
      </c>
      <c r="O913" s="17" t="str">
        <f>IF(LEN(COUNTIFS($J$1:J913,$J913,$K$1:K913,$K913,$L$1:L913,$L913,$M$1:M913,M913,$N$1:N913,N913))=1,"00"&amp;COUNTIFS($J$1:J913,$J913,$K$1:K913,$K913,$L$1:L913,$L913,$M$1:M913,M913,$N$1:N913,N913),IF(LEN(COUNTIFS($J$1:J913,$J913,$K$1:K913,$K913,$L$1:L913,$L913,$M$1:M913,M913,$N$1:N913,N913))=2,"0"&amp;COUNTIFS($J$1:J913,$J913,$K$1:K913,$K913,$L$1:L913,$L913,$M$1:M913,M913,$N$1:N913,N913),COUNTIFS($J$1:J913,$J913,$K$1:K913,$K913,$L$1:L913,$L913,$M$1:M913,M913,$N$1:N913,N913)))</f>
        <v>010</v>
      </c>
      <c r="P91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PS-NS-000-00-00010-INV</v>
      </c>
      <c r="Q913" s="59"/>
      <c r="R913" s="34"/>
      <c r="S913" s="34">
        <v>0</v>
      </c>
      <c r="T913" s="34">
        <f>+IFERROR(_xlfn.XLOOKUP(Table43[[#This Row],[Column1]],#REF!,#REF!),0)</f>
        <v>0</v>
      </c>
      <c r="U913" s="50">
        <f>IFERROR(_xlfn.XLOOKUP(Table43[[#This Row],[Column1]],#REF!,#REF!),0)</f>
        <v>0</v>
      </c>
      <c r="V913" s="39"/>
    </row>
    <row r="914" spans="1:22" x14ac:dyDescent="0.35">
      <c r="A914" s="3" t="s">
        <v>5659</v>
      </c>
      <c r="B914" s="3" t="s">
        <v>5166</v>
      </c>
      <c r="C914" s="3" t="s">
        <v>5470</v>
      </c>
      <c r="D914" s="3"/>
      <c r="E914" s="3" t="s">
        <v>10</v>
      </c>
      <c r="F914" s="2">
        <v>0</v>
      </c>
      <c r="G914" s="2">
        <v>100</v>
      </c>
      <c r="H914" s="3"/>
      <c r="I914" s="21">
        <f>Table43[[#This Row],[Item Cost]]*Table43[[#This Row],[In Stock]]</f>
        <v>0</v>
      </c>
      <c r="J914" s="12" t="s">
        <v>4934</v>
      </c>
      <c r="K914" s="13" t="s">
        <v>4666</v>
      </c>
      <c r="L914" s="13" t="s">
        <v>4672</v>
      </c>
      <c r="M914" s="13" t="s">
        <v>4672</v>
      </c>
      <c r="N914" s="12" t="s">
        <v>4672</v>
      </c>
      <c r="O914" s="17" t="str">
        <f>IF(LEN(COUNTIFS($J$1:J914,$J914,$K$1:K914,$K914,$L$1:L914,$L914,$M$1:M914,M914,$N$1:N914,N914))=1,"00"&amp;COUNTIFS($J$1:J914,$J914,$K$1:K914,$K914,$L$1:L914,$L914,$M$1:M914,M914,$N$1:N914,N914),IF(LEN(COUNTIFS($J$1:J914,$J914,$K$1:K914,$K914,$L$1:L914,$L914,$M$1:M914,M914,$N$1:N914,N914))=2,"0"&amp;COUNTIFS($J$1:J914,$J914,$K$1:K914,$K914,$L$1:L914,$L914,$M$1:M914,M914,$N$1:N914,N914),COUNTIFS($J$1:J914,$J914,$K$1:K914,$K914,$L$1:L914,$L914,$M$1:M914,M914,$N$1:N914,N914)))</f>
        <v>011</v>
      </c>
      <c r="P91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PS-NS-000-00-00011-INV</v>
      </c>
      <c r="Q914" s="59"/>
      <c r="R914" s="34" t="s">
        <v>6660</v>
      </c>
      <c r="S914" s="34" t="s">
        <v>5166</v>
      </c>
      <c r="T914" s="34">
        <f>+IFERROR(_xlfn.XLOOKUP(Table43[[#This Row],[Column1]],#REF!,#REF!),0)</f>
        <v>0</v>
      </c>
      <c r="U914" s="50">
        <f>IFERROR(_xlfn.XLOOKUP(Table43[[#This Row],[Column1]],#REF!,#REF!),0)</f>
        <v>0</v>
      </c>
      <c r="V914" s="39"/>
    </row>
    <row r="915" spans="1:22" x14ac:dyDescent="0.35">
      <c r="A915" s="3" t="s">
        <v>5660</v>
      </c>
      <c r="B915" s="3" t="s">
        <v>5167</v>
      </c>
      <c r="C915" s="3" t="s">
        <v>5470</v>
      </c>
      <c r="D915" s="3"/>
      <c r="E915" s="3" t="s">
        <v>10</v>
      </c>
      <c r="F915" s="2">
        <v>0</v>
      </c>
      <c r="G915" s="2">
        <v>100</v>
      </c>
      <c r="H915" s="3"/>
      <c r="I915" s="21">
        <f>Table43[[#This Row],[Item Cost]]*Table43[[#This Row],[In Stock]]</f>
        <v>0</v>
      </c>
      <c r="J915" s="12" t="s">
        <v>4934</v>
      </c>
      <c r="K915" s="13" t="s">
        <v>4666</v>
      </c>
      <c r="L915" s="13" t="s">
        <v>4672</v>
      </c>
      <c r="M915" s="13" t="s">
        <v>4672</v>
      </c>
      <c r="N915" s="12" t="s">
        <v>4672</v>
      </c>
      <c r="O915" s="17" t="str">
        <f>IF(LEN(COUNTIFS($J$1:J915,$J915,$K$1:K915,$K915,$L$1:L915,$L915,$M$1:M915,M915,$N$1:N915,N915))=1,"00"&amp;COUNTIFS($J$1:J915,$J915,$K$1:K915,$K915,$L$1:L915,$L915,$M$1:M915,M915,$N$1:N915,N915),IF(LEN(COUNTIFS($J$1:J915,$J915,$K$1:K915,$K915,$L$1:L915,$L915,$M$1:M915,M915,$N$1:N915,N915))=2,"0"&amp;COUNTIFS($J$1:J915,$J915,$K$1:K915,$K915,$L$1:L915,$L915,$M$1:M915,M915,$N$1:N915,N915),COUNTIFS($J$1:J915,$J915,$K$1:K915,$K915,$L$1:L915,$L915,$M$1:M915,M915,$N$1:N915,N915)))</f>
        <v>012</v>
      </c>
      <c r="P91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PS-NS-000-00-00012-INV</v>
      </c>
      <c r="Q915" s="59"/>
      <c r="R915" s="34"/>
      <c r="S915" s="34">
        <v>0</v>
      </c>
      <c r="T915" s="34">
        <f>+IFERROR(_xlfn.XLOOKUP(Table43[[#This Row],[Column1]],#REF!,#REF!),0)</f>
        <v>0</v>
      </c>
      <c r="U915" s="50">
        <f>IFERROR(_xlfn.XLOOKUP(Table43[[#This Row],[Column1]],#REF!,#REF!),0)</f>
        <v>0</v>
      </c>
      <c r="V915" s="39"/>
    </row>
    <row r="916" spans="1:22" x14ac:dyDescent="0.35">
      <c r="A916" s="3" t="s">
        <v>5661</v>
      </c>
      <c r="B916" s="3" t="s">
        <v>5168</v>
      </c>
      <c r="C916" s="3" t="s">
        <v>5470</v>
      </c>
      <c r="D916" s="3"/>
      <c r="E916" s="3" t="s">
        <v>10</v>
      </c>
      <c r="F916" s="2">
        <v>0</v>
      </c>
      <c r="G916" s="2">
        <v>100</v>
      </c>
      <c r="H916" s="3"/>
      <c r="I916" s="21">
        <f>Table43[[#This Row],[Item Cost]]*Table43[[#This Row],[In Stock]]</f>
        <v>0</v>
      </c>
      <c r="J916" s="12" t="s">
        <v>4934</v>
      </c>
      <c r="K916" s="13" t="s">
        <v>4666</v>
      </c>
      <c r="L916" s="13" t="s">
        <v>4672</v>
      </c>
      <c r="M916" s="13" t="s">
        <v>4672</v>
      </c>
      <c r="N916" s="12" t="s">
        <v>4672</v>
      </c>
      <c r="O916" s="17" t="str">
        <f>IF(LEN(COUNTIFS($J$1:J916,$J916,$K$1:K916,$K916,$L$1:L916,$L916,$M$1:M916,M916,$N$1:N916,N916))=1,"00"&amp;COUNTIFS($J$1:J916,$J916,$K$1:K916,$K916,$L$1:L916,$L916,$M$1:M916,M916,$N$1:N916,N916),IF(LEN(COUNTIFS($J$1:J916,$J916,$K$1:K916,$K916,$L$1:L916,$L916,$M$1:M916,M916,$N$1:N916,N916))=2,"0"&amp;COUNTIFS($J$1:J916,$J916,$K$1:K916,$K916,$L$1:L916,$L916,$M$1:M916,M916,$N$1:N916,N916),COUNTIFS($J$1:J916,$J916,$K$1:K916,$K916,$L$1:L916,$L916,$M$1:M916,M916,$N$1:N916,N916)))</f>
        <v>013</v>
      </c>
      <c r="P91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PS-NS-000-00-00013-INV</v>
      </c>
      <c r="Q916" s="59"/>
      <c r="R916" s="34"/>
      <c r="S916" s="34">
        <v>0</v>
      </c>
      <c r="T916" s="34">
        <f>+IFERROR(_xlfn.XLOOKUP(Table43[[#This Row],[Column1]],#REF!,#REF!),0)</f>
        <v>0</v>
      </c>
      <c r="U916" s="50">
        <f>IFERROR(_xlfn.XLOOKUP(Table43[[#This Row],[Column1]],#REF!,#REF!),0)</f>
        <v>0</v>
      </c>
      <c r="V916" s="39"/>
    </row>
    <row r="917" spans="1:22" x14ac:dyDescent="0.35">
      <c r="A917" s="3" t="s">
        <v>5662</v>
      </c>
      <c r="B917" s="3" t="s">
        <v>5169</v>
      </c>
      <c r="C917" s="3" t="s">
        <v>5470</v>
      </c>
      <c r="D917" s="3"/>
      <c r="E917" s="3" t="s">
        <v>10</v>
      </c>
      <c r="F917" s="2">
        <v>0</v>
      </c>
      <c r="G917" s="2">
        <v>100</v>
      </c>
      <c r="H917" s="3"/>
      <c r="I917" s="21">
        <f>Table43[[#This Row],[Item Cost]]*Table43[[#This Row],[In Stock]]</f>
        <v>0</v>
      </c>
      <c r="J917" s="12" t="s">
        <v>4934</v>
      </c>
      <c r="K917" s="13" t="s">
        <v>4666</v>
      </c>
      <c r="L917" s="13" t="s">
        <v>4672</v>
      </c>
      <c r="M917" s="13" t="s">
        <v>4672</v>
      </c>
      <c r="N917" s="12" t="s">
        <v>4672</v>
      </c>
      <c r="O917" s="17" t="str">
        <f>IF(LEN(COUNTIFS($J$1:J917,$J917,$K$1:K917,$K917,$L$1:L917,$L917,$M$1:M917,M917,$N$1:N917,N917))=1,"00"&amp;COUNTIFS($J$1:J917,$J917,$K$1:K917,$K917,$L$1:L917,$L917,$M$1:M917,M917,$N$1:N917,N917),IF(LEN(COUNTIFS($J$1:J917,$J917,$K$1:K917,$K917,$L$1:L917,$L917,$M$1:M917,M917,$N$1:N917,N917))=2,"0"&amp;COUNTIFS($J$1:J917,$J917,$K$1:K917,$K917,$L$1:L917,$L917,$M$1:M917,M917,$N$1:N917,N917),COUNTIFS($J$1:J917,$J917,$K$1:K917,$K917,$L$1:L917,$L917,$M$1:M917,M917,$N$1:N917,N917)))</f>
        <v>014</v>
      </c>
      <c r="P91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PS-NS-000-00-00014-INV</v>
      </c>
      <c r="Q917" s="59"/>
      <c r="R917" s="34"/>
      <c r="S917" s="34">
        <v>0</v>
      </c>
      <c r="T917" s="34">
        <f>+IFERROR(_xlfn.XLOOKUP(Table43[[#This Row],[Column1]],#REF!,#REF!),0)</f>
        <v>0</v>
      </c>
      <c r="U917" s="50">
        <f>IFERROR(_xlfn.XLOOKUP(Table43[[#This Row],[Column1]],#REF!,#REF!),0)</f>
        <v>0</v>
      </c>
      <c r="V917" s="39"/>
    </row>
    <row r="918" spans="1:22" x14ac:dyDescent="0.35">
      <c r="A918" s="3" t="s">
        <v>5663</v>
      </c>
      <c r="B918" s="3" t="s">
        <v>5170</v>
      </c>
      <c r="C918" s="3" t="s">
        <v>5470</v>
      </c>
      <c r="D918" s="3"/>
      <c r="E918" s="3" t="s">
        <v>10</v>
      </c>
      <c r="F918" s="2">
        <v>0</v>
      </c>
      <c r="G918" s="2">
        <v>100</v>
      </c>
      <c r="H918" s="3"/>
      <c r="I918" s="21">
        <f>Table43[[#This Row],[Item Cost]]*Table43[[#This Row],[In Stock]]</f>
        <v>0</v>
      </c>
      <c r="J918" s="12" t="s">
        <v>4934</v>
      </c>
      <c r="K918" s="13" t="s">
        <v>4666</v>
      </c>
      <c r="L918" s="13" t="s">
        <v>4672</v>
      </c>
      <c r="M918" s="13" t="s">
        <v>4672</v>
      </c>
      <c r="N918" s="12" t="s">
        <v>4672</v>
      </c>
      <c r="O918" s="17" t="str">
        <f>IF(LEN(COUNTIFS($J$1:J918,$J918,$K$1:K918,$K918,$L$1:L918,$L918,$M$1:M918,M918,$N$1:N918,N918))=1,"00"&amp;COUNTIFS($J$1:J918,$J918,$K$1:K918,$K918,$L$1:L918,$L918,$M$1:M918,M918,$N$1:N918,N918),IF(LEN(COUNTIFS($J$1:J918,$J918,$K$1:K918,$K918,$L$1:L918,$L918,$M$1:M918,M918,$N$1:N918,N918))=2,"0"&amp;COUNTIFS($J$1:J918,$J918,$K$1:K918,$K918,$L$1:L918,$L918,$M$1:M918,M918,$N$1:N918,N918),COUNTIFS($J$1:J918,$J918,$K$1:K918,$K918,$L$1:L918,$L918,$M$1:M918,M918,$N$1:N918,N918)))</f>
        <v>015</v>
      </c>
      <c r="P91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PS-NS-000-00-00015-INV</v>
      </c>
      <c r="Q918" s="59"/>
      <c r="R918" s="34" t="s">
        <v>6661</v>
      </c>
      <c r="S918" s="34" t="s">
        <v>5728</v>
      </c>
      <c r="T918" s="34">
        <f>+IFERROR(_xlfn.XLOOKUP(Table43[[#This Row],[Column1]],#REF!,#REF!),0)</f>
        <v>0</v>
      </c>
      <c r="U918" s="50">
        <f>IFERROR(_xlfn.XLOOKUP(Table43[[#This Row],[Column1]],#REF!,#REF!),0)</f>
        <v>0</v>
      </c>
      <c r="V918" s="39"/>
    </row>
    <row r="919" spans="1:22" x14ac:dyDescent="0.35">
      <c r="A919" s="3" t="s">
        <v>5664</v>
      </c>
      <c r="B919" s="3" t="s">
        <v>5171</v>
      </c>
      <c r="C919" s="3" t="s">
        <v>5470</v>
      </c>
      <c r="D919" s="3"/>
      <c r="E919" s="3" t="s">
        <v>10</v>
      </c>
      <c r="F919" s="2">
        <v>0</v>
      </c>
      <c r="G919" s="2">
        <v>100</v>
      </c>
      <c r="H919" s="3"/>
      <c r="I919" s="21">
        <f>Table43[[#This Row],[Item Cost]]*Table43[[#This Row],[In Stock]]</f>
        <v>0</v>
      </c>
      <c r="J919" s="12" t="s">
        <v>4934</v>
      </c>
      <c r="K919" s="13" t="s">
        <v>4666</v>
      </c>
      <c r="L919" s="13" t="s">
        <v>4672</v>
      </c>
      <c r="M919" s="13" t="s">
        <v>4672</v>
      </c>
      <c r="N919" s="12" t="s">
        <v>4672</v>
      </c>
      <c r="O919" s="17" t="str">
        <f>IF(LEN(COUNTIFS($J$1:J919,$J919,$K$1:K919,$K919,$L$1:L919,$L919,$M$1:M919,M919,$N$1:N919,N919))=1,"00"&amp;COUNTIFS($J$1:J919,$J919,$K$1:K919,$K919,$L$1:L919,$L919,$M$1:M919,M919,$N$1:N919,N919),IF(LEN(COUNTIFS($J$1:J919,$J919,$K$1:K919,$K919,$L$1:L919,$L919,$M$1:M919,M919,$N$1:N919,N919))=2,"0"&amp;COUNTIFS($J$1:J919,$J919,$K$1:K919,$K919,$L$1:L919,$L919,$M$1:M919,M919,$N$1:N919,N919),COUNTIFS($J$1:J919,$J919,$K$1:K919,$K919,$L$1:L919,$L919,$M$1:M919,M919,$N$1:N919,N919)))</f>
        <v>016</v>
      </c>
      <c r="P91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PS-NS-000-00-00016-INV</v>
      </c>
      <c r="Q919" s="59"/>
      <c r="R919" s="34"/>
      <c r="S919" s="34">
        <v>0</v>
      </c>
      <c r="T919" s="34">
        <f>+IFERROR(_xlfn.XLOOKUP(Table43[[#This Row],[Column1]],#REF!,#REF!),0)</f>
        <v>0</v>
      </c>
      <c r="U919" s="50">
        <f>IFERROR(_xlfn.XLOOKUP(Table43[[#This Row],[Column1]],#REF!,#REF!),0)</f>
        <v>0</v>
      </c>
      <c r="V919" s="39"/>
    </row>
    <row r="920" spans="1:22" x14ac:dyDescent="0.35">
      <c r="A920" s="3" t="s">
        <v>5665</v>
      </c>
      <c r="B920" s="3" t="s">
        <v>5172</v>
      </c>
      <c r="C920" s="3" t="s">
        <v>5470</v>
      </c>
      <c r="D920" s="3"/>
      <c r="E920" s="3" t="s">
        <v>10</v>
      </c>
      <c r="F920" s="2">
        <v>0</v>
      </c>
      <c r="G920" s="2">
        <v>100</v>
      </c>
      <c r="H920" s="3"/>
      <c r="I920" s="21">
        <f>Table43[[#This Row],[Item Cost]]*Table43[[#This Row],[In Stock]]</f>
        <v>0</v>
      </c>
      <c r="J920" s="12" t="s">
        <v>4934</v>
      </c>
      <c r="K920" s="13" t="s">
        <v>4666</v>
      </c>
      <c r="L920" s="13" t="s">
        <v>4672</v>
      </c>
      <c r="M920" s="13" t="s">
        <v>4672</v>
      </c>
      <c r="N920" s="12" t="s">
        <v>4672</v>
      </c>
      <c r="O920" s="17" t="str">
        <f>IF(LEN(COUNTIFS($J$1:J920,$J920,$K$1:K920,$K920,$L$1:L920,$L920,$M$1:M920,M920,$N$1:N920,N920))=1,"00"&amp;COUNTIFS($J$1:J920,$J920,$K$1:K920,$K920,$L$1:L920,$L920,$M$1:M920,M920,$N$1:N920,N920),IF(LEN(COUNTIFS($J$1:J920,$J920,$K$1:K920,$K920,$L$1:L920,$L920,$M$1:M920,M920,$N$1:N920,N920))=2,"0"&amp;COUNTIFS($J$1:J920,$J920,$K$1:K920,$K920,$L$1:L920,$L920,$M$1:M920,M920,$N$1:N920,N920),COUNTIFS($J$1:J920,$J920,$K$1:K920,$K920,$L$1:L920,$L920,$M$1:M920,M920,$N$1:N920,N920)))</f>
        <v>017</v>
      </c>
      <c r="P92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PS-NS-000-00-00017-INV</v>
      </c>
      <c r="Q920" s="59"/>
      <c r="R920" s="34"/>
      <c r="S920" s="34">
        <v>0</v>
      </c>
      <c r="T920" s="34">
        <f>+IFERROR(_xlfn.XLOOKUP(Table43[[#This Row],[Column1]],#REF!,#REF!),0)</f>
        <v>0</v>
      </c>
      <c r="U920" s="50">
        <f>IFERROR(_xlfn.XLOOKUP(Table43[[#This Row],[Column1]],#REF!,#REF!),0)</f>
        <v>0</v>
      </c>
      <c r="V920" s="39"/>
    </row>
    <row r="921" spans="1:22" x14ac:dyDescent="0.35">
      <c r="A921" s="3" t="s">
        <v>5666</v>
      </c>
      <c r="B921" s="3" t="s">
        <v>5173</v>
      </c>
      <c r="C921" s="3" t="s">
        <v>5470</v>
      </c>
      <c r="D921" s="3"/>
      <c r="E921" s="3" t="s">
        <v>10</v>
      </c>
      <c r="F921" s="2">
        <v>0</v>
      </c>
      <c r="G921" s="2">
        <v>100</v>
      </c>
      <c r="H921" s="3"/>
      <c r="I921" s="21">
        <f>Table43[[#This Row],[Item Cost]]*Table43[[#This Row],[In Stock]]</f>
        <v>0</v>
      </c>
      <c r="J921" s="12" t="s">
        <v>4934</v>
      </c>
      <c r="K921" s="13" t="s">
        <v>4666</v>
      </c>
      <c r="L921" s="13" t="s">
        <v>4672</v>
      </c>
      <c r="M921" s="13" t="s">
        <v>4672</v>
      </c>
      <c r="N921" s="12" t="s">
        <v>4672</v>
      </c>
      <c r="O921" s="17" t="str">
        <f>IF(LEN(COUNTIFS($J$1:J921,$J921,$K$1:K921,$K921,$L$1:L921,$L921,$M$1:M921,M921,$N$1:N921,N921))=1,"00"&amp;COUNTIFS($J$1:J921,$J921,$K$1:K921,$K921,$L$1:L921,$L921,$M$1:M921,M921,$N$1:N921,N921),IF(LEN(COUNTIFS($J$1:J921,$J921,$K$1:K921,$K921,$L$1:L921,$L921,$M$1:M921,M921,$N$1:N921,N921))=2,"0"&amp;COUNTIFS($J$1:J921,$J921,$K$1:K921,$K921,$L$1:L921,$L921,$M$1:M921,M921,$N$1:N921,N921),COUNTIFS($J$1:J921,$J921,$K$1:K921,$K921,$L$1:L921,$L921,$M$1:M921,M921,$N$1:N921,N921)))</f>
        <v>018</v>
      </c>
      <c r="P92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PS-NS-000-00-00018-INV</v>
      </c>
      <c r="Q921" s="59"/>
      <c r="R921" s="34"/>
      <c r="S921" s="34">
        <v>0</v>
      </c>
      <c r="T921" s="34">
        <f>+IFERROR(_xlfn.XLOOKUP(Table43[[#This Row],[Column1]],#REF!,#REF!),0)</f>
        <v>0</v>
      </c>
      <c r="U921" s="50">
        <f>IFERROR(_xlfn.XLOOKUP(Table43[[#This Row],[Column1]],#REF!,#REF!),0)</f>
        <v>0</v>
      </c>
      <c r="V921" s="39"/>
    </row>
    <row r="922" spans="1:22" x14ac:dyDescent="0.35">
      <c r="A922" s="3" t="s">
        <v>5667</v>
      </c>
      <c r="B922" s="3" t="s">
        <v>5174</v>
      </c>
      <c r="C922" s="3" t="s">
        <v>5470</v>
      </c>
      <c r="D922" s="3"/>
      <c r="E922" s="3" t="s">
        <v>10</v>
      </c>
      <c r="F922" s="2">
        <v>0</v>
      </c>
      <c r="G922" s="2">
        <v>100</v>
      </c>
      <c r="H922" s="3"/>
      <c r="I922" s="21">
        <f>Table43[[#This Row],[Item Cost]]*Table43[[#This Row],[In Stock]]</f>
        <v>0</v>
      </c>
      <c r="J922" s="12" t="s">
        <v>4934</v>
      </c>
      <c r="K922" s="13" t="s">
        <v>4666</v>
      </c>
      <c r="L922" s="13" t="s">
        <v>4672</v>
      </c>
      <c r="M922" s="13" t="s">
        <v>4672</v>
      </c>
      <c r="N922" s="12" t="s">
        <v>4672</v>
      </c>
      <c r="O922" s="17" t="str">
        <f>IF(LEN(COUNTIFS($J$1:J922,$J922,$K$1:K922,$K922,$L$1:L922,$L922,$M$1:M922,M922,$N$1:N922,N922))=1,"00"&amp;COUNTIFS($J$1:J922,$J922,$K$1:K922,$K922,$L$1:L922,$L922,$M$1:M922,M922,$N$1:N922,N922),IF(LEN(COUNTIFS($J$1:J922,$J922,$K$1:K922,$K922,$L$1:L922,$L922,$M$1:M922,M922,$N$1:N922,N922))=2,"0"&amp;COUNTIFS($J$1:J922,$J922,$K$1:K922,$K922,$L$1:L922,$L922,$M$1:M922,M922,$N$1:N922,N922),COUNTIFS($J$1:J922,$J922,$K$1:K922,$K922,$L$1:L922,$L922,$M$1:M922,M922,$N$1:N922,N922)))</f>
        <v>019</v>
      </c>
      <c r="P92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PS-NS-000-00-00019-INV</v>
      </c>
      <c r="Q922" s="59"/>
      <c r="R922" s="34"/>
      <c r="S922" s="34">
        <v>0</v>
      </c>
      <c r="T922" s="34">
        <f>+IFERROR(_xlfn.XLOOKUP(Table43[[#This Row],[Column1]],#REF!,#REF!),0)</f>
        <v>0</v>
      </c>
      <c r="U922" s="50">
        <f>IFERROR(_xlfn.XLOOKUP(Table43[[#This Row],[Column1]],#REF!,#REF!),0)</f>
        <v>0</v>
      </c>
      <c r="V922" s="39"/>
    </row>
    <row r="923" spans="1:22" x14ac:dyDescent="0.35">
      <c r="A923" s="3" t="s">
        <v>5668</v>
      </c>
      <c r="B923" s="3" t="s">
        <v>5175</v>
      </c>
      <c r="C923" s="3" t="s">
        <v>5470</v>
      </c>
      <c r="D923" s="3"/>
      <c r="E923" s="3" t="s">
        <v>10</v>
      </c>
      <c r="F923" s="2">
        <v>0</v>
      </c>
      <c r="G923" s="2">
        <v>100</v>
      </c>
      <c r="H923" s="3"/>
      <c r="I923" s="21">
        <f>Table43[[#This Row],[Item Cost]]*Table43[[#This Row],[In Stock]]</f>
        <v>0</v>
      </c>
      <c r="J923" s="12" t="s">
        <v>4934</v>
      </c>
      <c r="K923" s="13" t="s">
        <v>4666</v>
      </c>
      <c r="L923" s="13" t="s">
        <v>4672</v>
      </c>
      <c r="M923" s="13" t="s">
        <v>4672</v>
      </c>
      <c r="N923" s="12" t="s">
        <v>4672</v>
      </c>
      <c r="O923" s="17" t="str">
        <f>IF(LEN(COUNTIFS($J$1:J923,$J923,$K$1:K923,$K923,$L$1:L923,$L923,$M$1:M923,M923,$N$1:N923,N923))=1,"00"&amp;COUNTIFS($J$1:J923,$J923,$K$1:K923,$K923,$L$1:L923,$L923,$M$1:M923,M923,$N$1:N923,N923),IF(LEN(COUNTIFS($J$1:J923,$J923,$K$1:K923,$K923,$L$1:L923,$L923,$M$1:M923,M923,$N$1:N923,N923))=2,"0"&amp;COUNTIFS($J$1:J923,$J923,$K$1:K923,$K923,$L$1:L923,$L923,$M$1:M923,M923,$N$1:N923,N923),COUNTIFS($J$1:J923,$J923,$K$1:K923,$K923,$L$1:L923,$L923,$M$1:M923,M923,$N$1:N923,N923)))</f>
        <v>020</v>
      </c>
      <c r="P92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PS-NS-000-00-00020-INV</v>
      </c>
      <c r="Q923" s="59"/>
      <c r="R923" s="34"/>
      <c r="S923" s="34">
        <v>0</v>
      </c>
      <c r="T923" s="34">
        <f>+IFERROR(_xlfn.XLOOKUP(Table43[[#This Row],[Column1]],#REF!,#REF!),0)</f>
        <v>0</v>
      </c>
      <c r="U923" s="50">
        <f>IFERROR(_xlfn.XLOOKUP(Table43[[#This Row],[Column1]],#REF!,#REF!),0)</f>
        <v>0</v>
      </c>
      <c r="V923" s="39"/>
    </row>
    <row r="924" spans="1:22" x14ac:dyDescent="0.35">
      <c r="A924" s="3" t="s">
        <v>5669</v>
      </c>
      <c r="B924" s="3" t="s">
        <v>5176</v>
      </c>
      <c r="C924" s="3" t="s">
        <v>5470</v>
      </c>
      <c r="D924" s="3"/>
      <c r="E924" s="3" t="s">
        <v>10</v>
      </c>
      <c r="F924" s="2">
        <v>0</v>
      </c>
      <c r="G924" s="2">
        <v>100</v>
      </c>
      <c r="H924" s="3"/>
      <c r="I924" s="21">
        <f>Table43[[#This Row],[Item Cost]]*Table43[[#This Row],[In Stock]]</f>
        <v>0</v>
      </c>
      <c r="J924" s="12" t="s">
        <v>4934</v>
      </c>
      <c r="K924" s="13" t="s">
        <v>4666</v>
      </c>
      <c r="L924" s="13" t="s">
        <v>4672</v>
      </c>
      <c r="M924" s="13" t="s">
        <v>4672</v>
      </c>
      <c r="N924" s="12" t="s">
        <v>4672</v>
      </c>
      <c r="O924" s="17" t="str">
        <f>IF(LEN(COUNTIFS($J$1:J924,$J924,$K$1:K924,$K924,$L$1:L924,$L924,$M$1:M924,M924,$N$1:N924,N924))=1,"00"&amp;COUNTIFS($J$1:J924,$J924,$K$1:K924,$K924,$L$1:L924,$L924,$M$1:M924,M924,$N$1:N924,N924),IF(LEN(COUNTIFS($J$1:J924,$J924,$K$1:K924,$K924,$L$1:L924,$L924,$M$1:M924,M924,$N$1:N924,N924))=2,"0"&amp;COUNTIFS($J$1:J924,$J924,$K$1:K924,$K924,$L$1:L924,$L924,$M$1:M924,M924,$N$1:N924,N924),COUNTIFS($J$1:J924,$J924,$K$1:K924,$K924,$L$1:L924,$L924,$M$1:M924,M924,$N$1:N924,N924)))</f>
        <v>021</v>
      </c>
      <c r="P92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PS-NS-000-00-00021-INV</v>
      </c>
      <c r="Q924" s="59"/>
      <c r="R924" s="34"/>
      <c r="S924" s="34">
        <v>0</v>
      </c>
      <c r="T924" s="34">
        <f>+IFERROR(_xlfn.XLOOKUP(Table43[[#This Row],[Column1]],#REF!,#REF!),0)</f>
        <v>0</v>
      </c>
      <c r="U924" s="50">
        <f>IFERROR(_xlfn.XLOOKUP(Table43[[#This Row],[Column1]],#REF!,#REF!),0)</f>
        <v>0</v>
      </c>
      <c r="V924" s="39"/>
    </row>
    <row r="925" spans="1:22" x14ac:dyDescent="0.35">
      <c r="A925" s="3" t="s">
        <v>5670</v>
      </c>
      <c r="B925" s="3" t="s">
        <v>5177</v>
      </c>
      <c r="C925" s="3" t="s">
        <v>5470</v>
      </c>
      <c r="D925" s="3"/>
      <c r="E925" s="3" t="s">
        <v>10</v>
      </c>
      <c r="F925" s="2">
        <v>0</v>
      </c>
      <c r="G925" s="2">
        <v>100</v>
      </c>
      <c r="H925" s="3"/>
      <c r="I925" s="21">
        <f>Table43[[#This Row],[Item Cost]]*Table43[[#This Row],[In Stock]]</f>
        <v>0</v>
      </c>
      <c r="J925" s="12" t="s">
        <v>4934</v>
      </c>
      <c r="K925" s="13" t="s">
        <v>4666</v>
      </c>
      <c r="L925" s="13" t="s">
        <v>4672</v>
      </c>
      <c r="M925" s="13" t="s">
        <v>4672</v>
      </c>
      <c r="N925" s="12" t="s">
        <v>4672</v>
      </c>
      <c r="O925" s="17" t="str">
        <f>IF(LEN(COUNTIFS($J$1:J925,$J925,$K$1:K925,$K925,$L$1:L925,$L925,$M$1:M925,M925,$N$1:N925,N925))=1,"00"&amp;COUNTIFS($J$1:J925,$J925,$K$1:K925,$K925,$L$1:L925,$L925,$M$1:M925,M925,$N$1:N925,N925),IF(LEN(COUNTIFS($J$1:J925,$J925,$K$1:K925,$K925,$L$1:L925,$L925,$M$1:M925,M925,$N$1:N925,N925))=2,"0"&amp;COUNTIFS($J$1:J925,$J925,$K$1:K925,$K925,$L$1:L925,$L925,$M$1:M925,M925,$N$1:N925,N925),COUNTIFS($J$1:J925,$J925,$K$1:K925,$K925,$L$1:L925,$L925,$M$1:M925,M925,$N$1:N925,N925)))</f>
        <v>022</v>
      </c>
      <c r="P92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PS-NS-000-00-00022-INV</v>
      </c>
      <c r="Q925" s="59"/>
      <c r="R925" s="34"/>
      <c r="S925" s="34">
        <v>0</v>
      </c>
      <c r="T925" s="34">
        <f>+IFERROR(_xlfn.XLOOKUP(Table43[[#This Row],[Column1]],#REF!,#REF!),0)</f>
        <v>0</v>
      </c>
      <c r="U925" s="50">
        <f>IFERROR(_xlfn.XLOOKUP(Table43[[#This Row],[Column1]],#REF!,#REF!),0)</f>
        <v>0</v>
      </c>
      <c r="V925" s="39"/>
    </row>
    <row r="926" spans="1:22" x14ac:dyDescent="0.35">
      <c r="A926" s="3" t="s">
        <v>5671</v>
      </c>
      <c r="B926" s="3" t="s">
        <v>5178</v>
      </c>
      <c r="C926" s="3" t="s">
        <v>5470</v>
      </c>
      <c r="D926" s="3"/>
      <c r="E926" s="3" t="s">
        <v>10</v>
      </c>
      <c r="F926" s="2">
        <v>0</v>
      </c>
      <c r="G926" s="2">
        <v>100</v>
      </c>
      <c r="H926" s="3"/>
      <c r="I926" s="21">
        <f>Table43[[#This Row],[Item Cost]]*Table43[[#This Row],[In Stock]]</f>
        <v>0</v>
      </c>
      <c r="J926" s="12" t="s">
        <v>4934</v>
      </c>
      <c r="K926" s="13" t="s">
        <v>4666</v>
      </c>
      <c r="L926" s="13" t="s">
        <v>4672</v>
      </c>
      <c r="M926" s="13" t="s">
        <v>4672</v>
      </c>
      <c r="N926" s="12" t="s">
        <v>4672</v>
      </c>
      <c r="O926" s="17" t="str">
        <f>IF(LEN(COUNTIFS($J$1:J926,$J926,$K$1:K926,$K926,$L$1:L926,$L926,$M$1:M926,M926,$N$1:N926,N926))=1,"00"&amp;COUNTIFS($J$1:J926,$J926,$K$1:K926,$K926,$L$1:L926,$L926,$M$1:M926,M926,$N$1:N926,N926),IF(LEN(COUNTIFS($J$1:J926,$J926,$K$1:K926,$K926,$L$1:L926,$L926,$M$1:M926,M926,$N$1:N926,N926))=2,"0"&amp;COUNTIFS($J$1:J926,$J926,$K$1:K926,$K926,$L$1:L926,$L926,$M$1:M926,M926,$N$1:N926,N926),COUNTIFS($J$1:J926,$J926,$K$1:K926,$K926,$L$1:L926,$L926,$M$1:M926,M926,$N$1:N926,N926)))</f>
        <v>023</v>
      </c>
      <c r="P92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PS-NS-000-00-00023-INV</v>
      </c>
      <c r="Q926" s="59"/>
      <c r="R926" s="34"/>
      <c r="S926" s="34">
        <v>0</v>
      </c>
      <c r="T926" s="34">
        <f>+IFERROR(_xlfn.XLOOKUP(Table43[[#This Row],[Column1]],#REF!,#REF!),0)</f>
        <v>0</v>
      </c>
      <c r="U926" s="50">
        <f>IFERROR(_xlfn.XLOOKUP(Table43[[#This Row],[Column1]],#REF!,#REF!),0)</f>
        <v>0</v>
      </c>
      <c r="V926" s="39"/>
    </row>
    <row r="927" spans="1:22" x14ac:dyDescent="0.35">
      <c r="A927" s="3" t="s">
        <v>5672</v>
      </c>
      <c r="B927" s="3" t="s">
        <v>5179</v>
      </c>
      <c r="C927" s="3" t="s">
        <v>5470</v>
      </c>
      <c r="D927" s="3"/>
      <c r="E927" s="3" t="s">
        <v>10</v>
      </c>
      <c r="F927" s="2">
        <v>0</v>
      </c>
      <c r="G927" s="2">
        <v>100</v>
      </c>
      <c r="H927" s="3"/>
      <c r="I927" s="21">
        <f>Table43[[#This Row],[Item Cost]]*Table43[[#This Row],[In Stock]]</f>
        <v>0</v>
      </c>
      <c r="J927" s="12" t="s">
        <v>4934</v>
      </c>
      <c r="K927" s="13" t="s">
        <v>4666</v>
      </c>
      <c r="L927" s="13" t="s">
        <v>4672</v>
      </c>
      <c r="M927" s="13" t="s">
        <v>4672</v>
      </c>
      <c r="N927" s="12" t="s">
        <v>4672</v>
      </c>
      <c r="O927" s="17" t="str">
        <f>IF(LEN(COUNTIFS($J$1:J927,$J927,$K$1:K927,$K927,$L$1:L927,$L927,$M$1:M927,M927,$N$1:N927,N927))=1,"00"&amp;COUNTIFS($J$1:J927,$J927,$K$1:K927,$K927,$L$1:L927,$L927,$M$1:M927,M927,$N$1:N927,N927),IF(LEN(COUNTIFS($J$1:J927,$J927,$K$1:K927,$K927,$L$1:L927,$L927,$M$1:M927,M927,$N$1:N927,N927))=2,"0"&amp;COUNTIFS($J$1:J927,$J927,$K$1:K927,$K927,$L$1:L927,$L927,$M$1:M927,M927,$N$1:N927,N927),COUNTIFS($J$1:J927,$J927,$K$1:K927,$K927,$L$1:L927,$L927,$M$1:M927,M927,$N$1:N927,N927)))</f>
        <v>024</v>
      </c>
      <c r="P92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PS-NS-000-00-00024-INV</v>
      </c>
      <c r="Q927" s="59"/>
      <c r="R927" s="34"/>
      <c r="S927" s="34">
        <v>0</v>
      </c>
      <c r="T927" s="34">
        <f>+IFERROR(_xlfn.XLOOKUP(Table43[[#This Row],[Column1]],#REF!,#REF!),0)</f>
        <v>0</v>
      </c>
      <c r="U927" s="50">
        <f>IFERROR(_xlfn.XLOOKUP(Table43[[#This Row],[Column1]],#REF!,#REF!),0)</f>
        <v>0</v>
      </c>
      <c r="V927" s="39"/>
    </row>
    <row r="928" spans="1:22" x14ac:dyDescent="0.35">
      <c r="A928" s="3" t="s">
        <v>5673</v>
      </c>
      <c r="B928" s="3" t="s">
        <v>5180</v>
      </c>
      <c r="C928" s="3" t="s">
        <v>5470</v>
      </c>
      <c r="D928" s="3"/>
      <c r="E928" s="3" t="s">
        <v>10</v>
      </c>
      <c r="F928" s="2">
        <v>0</v>
      </c>
      <c r="G928" s="2">
        <v>100</v>
      </c>
      <c r="H928" s="3"/>
      <c r="I928" s="21">
        <f>Table43[[#This Row],[Item Cost]]*Table43[[#This Row],[In Stock]]</f>
        <v>0</v>
      </c>
      <c r="J928" s="12" t="s">
        <v>4934</v>
      </c>
      <c r="K928" s="13" t="s">
        <v>4666</v>
      </c>
      <c r="L928" s="13" t="s">
        <v>4672</v>
      </c>
      <c r="M928" s="13" t="s">
        <v>4672</v>
      </c>
      <c r="N928" s="12" t="s">
        <v>4672</v>
      </c>
      <c r="O928" s="17" t="str">
        <f>IF(LEN(COUNTIFS($J$1:J928,$J928,$K$1:K928,$K928,$L$1:L928,$L928,$M$1:M928,M928,$N$1:N928,N928))=1,"00"&amp;COUNTIFS($J$1:J928,$J928,$K$1:K928,$K928,$L$1:L928,$L928,$M$1:M928,M928,$N$1:N928,N928),IF(LEN(COUNTIFS($J$1:J928,$J928,$K$1:K928,$K928,$L$1:L928,$L928,$M$1:M928,M928,$N$1:N928,N928))=2,"0"&amp;COUNTIFS($J$1:J928,$J928,$K$1:K928,$K928,$L$1:L928,$L928,$M$1:M928,M928,$N$1:N928,N928),COUNTIFS($J$1:J928,$J928,$K$1:K928,$K928,$L$1:L928,$L928,$M$1:M928,M928,$N$1:N928,N928)))</f>
        <v>025</v>
      </c>
      <c r="P92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PS-NS-000-00-00025-INV</v>
      </c>
      <c r="Q928" s="59"/>
      <c r="R928" s="34" t="s">
        <v>6662</v>
      </c>
      <c r="S928" s="34" t="s">
        <v>5729</v>
      </c>
      <c r="T928" s="34">
        <f>+IFERROR(_xlfn.XLOOKUP(Table43[[#This Row],[Column1]],#REF!,#REF!),0)</f>
        <v>0</v>
      </c>
      <c r="U928" s="50">
        <f>IFERROR(_xlfn.XLOOKUP(Table43[[#This Row],[Column1]],#REF!,#REF!),0)</f>
        <v>0</v>
      </c>
      <c r="V928" s="39"/>
    </row>
    <row r="929" spans="1:22" x14ac:dyDescent="0.35">
      <c r="A929" s="3" t="s">
        <v>5674</v>
      </c>
      <c r="B929" s="3" t="s">
        <v>5181</v>
      </c>
      <c r="C929" s="3" t="s">
        <v>5470</v>
      </c>
      <c r="D929" s="3"/>
      <c r="E929" s="3" t="s">
        <v>10</v>
      </c>
      <c r="F929" s="2">
        <v>0</v>
      </c>
      <c r="G929" s="2">
        <v>100</v>
      </c>
      <c r="H929" s="3"/>
      <c r="I929" s="21">
        <f>Table43[[#This Row],[Item Cost]]*Table43[[#This Row],[In Stock]]</f>
        <v>0</v>
      </c>
      <c r="J929" s="12" t="s">
        <v>4934</v>
      </c>
      <c r="K929" s="13" t="s">
        <v>4666</v>
      </c>
      <c r="L929" s="13" t="s">
        <v>4672</v>
      </c>
      <c r="M929" s="13" t="s">
        <v>4672</v>
      </c>
      <c r="N929" s="12" t="s">
        <v>4672</v>
      </c>
      <c r="O929" s="17" t="str">
        <f>IF(LEN(COUNTIFS($J$1:J929,$J929,$K$1:K929,$K929,$L$1:L929,$L929,$M$1:M929,M929,$N$1:N929,N929))=1,"00"&amp;COUNTIFS($J$1:J929,$J929,$K$1:K929,$K929,$L$1:L929,$L929,$M$1:M929,M929,$N$1:N929,N929),IF(LEN(COUNTIFS($J$1:J929,$J929,$K$1:K929,$K929,$L$1:L929,$L929,$M$1:M929,M929,$N$1:N929,N929))=2,"0"&amp;COUNTIFS($J$1:J929,$J929,$K$1:K929,$K929,$L$1:L929,$L929,$M$1:M929,M929,$N$1:N929,N929),COUNTIFS($J$1:J929,$J929,$K$1:K929,$K929,$L$1:L929,$L929,$M$1:M929,M929,$N$1:N929,N929)))</f>
        <v>026</v>
      </c>
      <c r="P92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PS-NS-000-00-00026-INV</v>
      </c>
      <c r="Q929" s="59"/>
      <c r="R929" s="34" t="s">
        <v>6663</v>
      </c>
      <c r="S929" s="34" t="s">
        <v>5730</v>
      </c>
      <c r="T929" s="34">
        <f>+IFERROR(_xlfn.XLOOKUP(Table43[[#This Row],[Column1]],#REF!,#REF!),0)</f>
        <v>0</v>
      </c>
      <c r="U929" s="50">
        <f>IFERROR(_xlfn.XLOOKUP(Table43[[#This Row],[Column1]],#REF!,#REF!),0)</f>
        <v>0</v>
      </c>
      <c r="V929" s="39"/>
    </row>
    <row r="930" spans="1:22" x14ac:dyDescent="0.35">
      <c r="A930" s="3" t="s">
        <v>5675</v>
      </c>
      <c r="B930" s="3" t="s">
        <v>5182</v>
      </c>
      <c r="C930" s="3" t="s">
        <v>5470</v>
      </c>
      <c r="D930" s="3"/>
      <c r="E930" s="3" t="s">
        <v>10</v>
      </c>
      <c r="F930" s="2">
        <v>0</v>
      </c>
      <c r="G930" s="2">
        <v>100</v>
      </c>
      <c r="H930" s="3"/>
      <c r="I930" s="21">
        <f>Table43[[#This Row],[Item Cost]]*Table43[[#This Row],[In Stock]]</f>
        <v>0</v>
      </c>
      <c r="J930" s="12" t="s">
        <v>4934</v>
      </c>
      <c r="K930" s="13" t="s">
        <v>4666</v>
      </c>
      <c r="L930" s="13" t="s">
        <v>4672</v>
      </c>
      <c r="M930" s="13" t="s">
        <v>4672</v>
      </c>
      <c r="N930" s="12" t="s">
        <v>4672</v>
      </c>
      <c r="O930" s="17" t="str">
        <f>IF(LEN(COUNTIFS($J$1:J930,$J930,$K$1:K930,$K930,$L$1:L930,$L930,$M$1:M930,M930,$N$1:N930,N930))=1,"00"&amp;COUNTIFS($J$1:J930,$J930,$K$1:K930,$K930,$L$1:L930,$L930,$M$1:M930,M930,$N$1:N930,N930),IF(LEN(COUNTIFS($J$1:J930,$J930,$K$1:K930,$K930,$L$1:L930,$L930,$M$1:M930,M930,$N$1:N930,N930))=2,"0"&amp;COUNTIFS($J$1:J930,$J930,$K$1:K930,$K930,$L$1:L930,$L930,$M$1:M930,M930,$N$1:N930,N930),COUNTIFS($J$1:J930,$J930,$K$1:K930,$K930,$L$1:L930,$L930,$M$1:M930,M930,$N$1:N930,N930)))</f>
        <v>027</v>
      </c>
      <c r="P93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PS-NS-000-00-00027-INV</v>
      </c>
      <c r="Q930" s="59"/>
      <c r="R930" s="34" t="s">
        <v>6664</v>
      </c>
      <c r="S930" s="34" t="s">
        <v>5731</v>
      </c>
      <c r="T930" s="34">
        <f>+IFERROR(_xlfn.XLOOKUP(Table43[[#This Row],[Column1]],#REF!,#REF!),0)</f>
        <v>0</v>
      </c>
      <c r="U930" s="50">
        <f>IFERROR(_xlfn.XLOOKUP(Table43[[#This Row],[Column1]],#REF!,#REF!),0)</f>
        <v>0</v>
      </c>
      <c r="V930" s="39"/>
    </row>
    <row r="931" spans="1:22" x14ac:dyDescent="0.35">
      <c r="A931" s="3" t="s">
        <v>5676</v>
      </c>
      <c r="B931" s="3" t="s">
        <v>5183</v>
      </c>
      <c r="C931" s="3" t="s">
        <v>5470</v>
      </c>
      <c r="D931" s="3"/>
      <c r="E931" s="3" t="s">
        <v>10</v>
      </c>
      <c r="F931" s="2">
        <v>0</v>
      </c>
      <c r="G931" s="2">
        <v>100</v>
      </c>
      <c r="H931" s="3"/>
      <c r="I931" s="21">
        <f>Table43[[#This Row],[Item Cost]]*Table43[[#This Row],[In Stock]]</f>
        <v>0</v>
      </c>
      <c r="J931" s="12" t="s">
        <v>4934</v>
      </c>
      <c r="K931" s="13" t="s">
        <v>4666</v>
      </c>
      <c r="L931" s="13" t="s">
        <v>4672</v>
      </c>
      <c r="M931" s="13" t="s">
        <v>4672</v>
      </c>
      <c r="N931" s="12" t="s">
        <v>4672</v>
      </c>
      <c r="O931" s="17" t="str">
        <f>IF(LEN(COUNTIFS($J$1:J931,$J931,$K$1:K931,$K931,$L$1:L931,$L931,$M$1:M931,M931,$N$1:N931,N931))=1,"00"&amp;COUNTIFS($J$1:J931,$J931,$K$1:K931,$K931,$L$1:L931,$L931,$M$1:M931,M931,$N$1:N931,N931),IF(LEN(COUNTIFS($J$1:J931,$J931,$K$1:K931,$K931,$L$1:L931,$L931,$M$1:M931,M931,$N$1:N931,N931))=2,"0"&amp;COUNTIFS($J$1:J931,$J931,$K$1:K931,$K931,$L$1:L931,$L931,$M$1:M931,M931,$N$1:N931,N931),COUNTIFS($J$1:J931,$J931,$K$1:K931,$K931,$L$1:L931,$L931,$M$1:M931,M931,$N$1:N931,N931)))</f>
        <v>028</v>
      </c>
      <c r="P93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PS-NS-000-00-00028-INV</v>
      </c>
      <c r="Q931" s="59"/>
      <c r="R931" s="34" t="s">
        <v>6665</v>
      </c>
      <c r="S931" s="34" t="s">
        <v>5732</v>
      </c>
      <c r="T931" s="34">
        <f>+IFERROR(_xlfn.XLOOKUP(Table43[[#This Row],[Column1]],#REF!,#REF!),0)</f>
        <v>0</v>
      </c>
      <c r="U931" s="50">
        <f>IFERROR(_xlfn.XLOOKUP(Table43[[#This Row],[Column1]],#REF!,#REF!),0)</f>
        <v>0</v>
      </c>
      <c r="V931" s="39"/>
    </row>
    <row r="932" spans="1:22" x14ac:dyDescent="0.35">
      <c r="A932" s="3" t="s">
        <v>5677</v>
      </c>
      <c r="B932" s="3" t="s">
        <v>5184</v>
      </c>
      <c r="C932" s="3" t="s">
        <v>5470</v>
      </c>
      <c r="D932" s="3"/>
      <c r="E932" s="3" t="s">
        <v>10</v>
      </c>
      <c r="F932" s="2">
        <v>0</v>
      </c>
      <c r="G932" s="2">
        <v>100</v>
      </c>
      <c r="H932" s="3"/>
      <c r="I932" s="21">
        <f>Table43[[#This Row],[Item Cost]]*Table43[[#This Row],[In Stock]]</f>
        <v>0</v>
      </c>
      <c r="J932" s="12" t="s">
        <v>4934</v>
      </c>
      <c r="K932" s="13" t="s">
        <v>4666</v>
      </c>
      <c r="L932" s="13" t="s">
        <v>4672</v>
      </c>
      <c r="M932" s="13" t="s">
        <v>4672</v>
      </c>
      <c r="N932" s="12" t="s">
        <v>4672</v>
      </c>
      <c r="O932" s="17" t="str">
        <f>IF(LEN(COUNTIFS($J$1:J932,$J932,$K$1:K932,$K932,$L$1:L932,$L932,$M$1:M932,M932,$N$1:N932,N932))=1,"00"&amp;COUNTIFS($J$1:J932,$J932,$K$1:K932,$K932,$L$1:L932,$L932,$M$1:M932,M932,$N$1:N932,N932),IF(LEN(COUNTIFS($J$1:J932,$J932,$K$1:K932,$K932,$L$1:L932,$L932,$M$1:M932,M932,$N$1:N932,N932))=2,"0"&amp;COUNTIFS($J$1:J932,$J932,$K$1:K932,$K932,$L$1:L932,$L932,$M$1:M932,M932,$N$1:N932,N932),COUNTIFS($J$1:J932,$J932,$K$1:K932,$K932,$L$1:L932,$L932,$M$1:M932,M932,$N$1:N932,N932)))</f>
        <v>029</v>
      </c>
      <c r="P93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PS-NS-000-00-00029-INV</v>
      </c>
      <c r="Q932" s="59"/>
      <c r="R932" s="34"/>
      <c r="S932" s="34">
        <v>0</v>
      </c>
      <c r="T932" s="34">
        <f>+IFERROR(_xlfn.XLOOKUP(Table43[[#This Row],[Column1]],#REF!,#REF!),0)</f>
        <v>0</v>
      </c>
      <c r="U932" s="50">
        <f>IFERROR(_xlfn.XLOOKUP(Table43[[#This Row],[Column1]],#REF!,#REF!),0)</f>
        <v>0</v>
      </c>
      <c r="V932" s="39"/>
    </row>
    <row r="933" spans="1:22" x14ac:dyDescent="0.35">
      <c r="A933" s="3" t="s">
        <v>5678</v>
      </c>
      <c r="B933" s="3" t="s">
        <v>5185</v>
      </c>
      <c r="C933" s="3" t="s">
        <v>5470</v>
      </c>
      <c r="D933" s="3"/>
      <c r="E933" s="3" t="s">
        <v>10</v>
      </c>
      <c r="F933" s="2">
        <v>0</v>
      </c>
      <c r="G933" s="2">
        <v>100</v>
      </c>
      <c r="H933" s="3"/>
      <c r="I933" s="21">
        <f>Table43[[#This Row],[Item Cost]]*Table43[[#This Row],[In Stock]]</f>
        <v>0</v>
      </c>
      <c r="J933" s="12" t="s">
        <v>4934</v>
      </c>
      <c r="K933" s="13" t="s">
        <v>4666</v>
      </c>
      <c r="L933" s="13" t="s">
        <v>4672</v>
      </c>
      <c r="M933" s="13" t="s">
        <v>4672</v>
      </c>
      <c r="N933" s="12" t="s">
        <v>4672</v>
      </c>
      <c r="O933" s="17" t="str">
        <f>IF(LEN(COUNTIFS($J$1:J933,$J933,$K$1:K933,$K933,$L$1:L933,$L933,$M$1:M933,M933,$N$1:N933,N933))=1,"00"&amp;COUNTIFS($J$1:J933,$J933,$K$1:K933,$K933,$L$1:L933,$L933,$M$1:M933,M933,$N$1:N933,N933),IF(LEN(COUNTIFS($J$1:J933,$J933,$K$1:K933,$K933,$L$1:L933,$L933,$M$1:M933,M933,$N$1:N933,N933))=2,"0"&amp;COUNTIFS($J$1:J933,$J933,$K$1:K933,$K933,$L$1:L933,$L933,$M$1:M933,M933,$N$1:N933,N933),COUNTIFS($J$1:J933,$J933,$K$1:K933,$K933,$L$1:L933,$L933,$M$1:M933,M933,$N$1:N933,N933)))</f>
        <v>030</v>
      </c>
      <c r="P93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PS-NS-000-00-00030-INV</v>
      </c>
      <c r="Q933" s="59"/>
      <c r="R933" s="34"/>
      <c r="S933" s="34">
        <v>0</v>
      </c>
      <c r="T933" s="34">
        <f>+IFERROR(_xlfn.XLOOKUP(Table43[[#This Row],[Column1]],#REF!,#REF!),0)</f>
        <v>0</v>
      </c>
      <c r="U933" s="50">
        <f>IFERROR(_xlfn.XLOOKUP(Table43[[#This Row],[Column1]],#REF!,#REF!),0)</f>
        <v>0</v>
      </c>
      <c r="V933" s="39"/>
    </row>
    <row r="934" spans="1:22" x14ac:dyDescent="0.35">
      <c r="A934" s="3" t="s">
        <v>5679</v>
      </c>
      <c r="B934" s="3" t="s">
        <v>5186</v>
      </c>
      <c r="C934" s="3" t="s">
        <v>5470</v>
      </c>
      <c r="D934" s="3"/>
      <c r="E934" s="3" t="s">
        <v>10</v>
      </c>
      <c r="F934" s="2">
        <v>0</v>
      </c>
      <c r="G934" s="2">
        <v>100</v>
      </c>
      <c r="H934" s="3"/>
      <c r="I934" s="21">
        <f>Table43[[#This Row],[Item Cost]]*Table43[[#This Row],[In Stock]]</f>
        <v>0</v>
      </c>
      <c r="J934" s="12" t="s">
        <v>4934</v>
      </c>
      <c r="K934" s="13" t="s">
        <v>4666</v>
      </c>
      <c r="L934" s="13" t="s">
        <v>4672</v>
      </c>
      <c r="M934" s="13" t="s">
        <v>4672</v>
      </c>
      <c r="N934" s="12" t="s">
        <v>4672</v>
      </c>
      <c r="O934" s="17" t="str">
        <f>IF(LEN(COUNTIFS($J$1:J934,$J934,$K$1:K934,$K934,$L$1:L934,$L934,$M$1:M934,M934,$N$1:N934,N934))=1,"00"&amp;COUNTIFS($J$1:J934,$J934,$K$1:K934,$K934,$L$1:L934,$L934,$M$1:M934,M934,$N$1:N934,N934),IF(LEN(COUNTIFS($J$1:J934,$J934,$K$1:K934,$K934,$L$1:L934,$L934,$M$1:M934,M934,$N$1:N934,N934))=2,"0"&amp;COUNTIFS($J$1:J934,$J934,$K$1:K934,$K934,$L$1:L934,$L934,$M$1:M934,M934,$N$1:N934,N934),COUNTIFS($J$1:J934,$J934,$K$1:K934,$K934,$L$1:L934,$L934,$M$1:M934,M934,$N$1:N934,N934)))</f>
        <v>031</v>
      </c>
      <c r="P93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PS-NS-000-00-00031-INV</v>
      </c>
      <c r="Q934" s="59"/>
      <c r="R934" s="34"/>
      <c r="S934" s="34">
        <v>0</v>
      </c>
      <c r="T934" s="34">
        <f>+IFERROR(_xlfn.XLOOKUP(Table43[[#This Row],[Column1]],#REF!,#REF!),0)</f>
        <v>0</v>
      </c>
      <c r="U934" s="50">
        <f>IFERROR(_xlfn.XLOOKUP(Table43[[#This Row],[Column1]],#REF!,#REF!),0)</f>
        <v>0</v>
      </c>
      <c r="V934" s="39"/>
    </row>
    <row r="935" spans="1:22" x14ac:dyDescent="0.35">
      <c r="A935" s="3" t="s">
        <v>5680</v>
      </c>
      <c r="B935" s="3" t="s">
        <v>5187</v>
      </c>
      <c r="C935" s="3" t="s">
        <v>5470</v>
      </c>
      <c r="D935" s="3"/>
      <c r="E935" s="3" t="s">
        <v>10</v>
      </c>
      <c r="F935" s="2">
        <v>0</v>
      </c>
      <c r="G935" s="2">
        <v>100</v>
      </c>
      <c r="H935" s="3"/>
      <c r="I935" s="21">
        <f>Table43[[#This Row],[Item Cost]]*Table43[[#This Row],[In Stock]]</f>
        <v>0</v>
      </c>
      <c r="J935" s="12" t="s">
        <v>4934</v>
      </c>
      <c r="K935" s="13" t="s">
        <v>4666</v>
      </c>
      <c r="L935" s="13" t="s">
        <v>4672</v>
      </c>
      <c r="M935" s="13" t="s">
        <v>4672</v>
      </c>
      <c r="N935" s="12" t="s">
        <v>4672</v>
      </c>
      <c r="O935" s="17" t="str">
        <f>IF(LEN(COUNTIFS($J$1:J935,$J935,$K$1:K935,$K935,$L$1:L935,$L935,$M$1:M935,M935,$N$1:N935,N935))=1,"00"&amp;COUNTIFS($J$1:J935,$J935,$K$1:K935,$K935,$L$1:L935,$L935,$M$1:M935,M935,$N$1:N935,N935),IF(LEN(COUNTIFS($J$1:J935,$J935,$K$1:K935,$K935,$L$1:L935,$L935,$M$1:M935,M935,$N$1:N935,N935))=2,"0"&amp;COUNTIFS($J$1:J935,$J935,$K$1:K935,$K935,$L$1:L935,$L935,$M$1:M935,M935,$N$1:N935,N935),COUNTIFS($J$1:J935,$J935,$K$1:K935,$K935,$L$1:L935,$L935,$M$1:M935,M935,$N$1:N935,N935)))</f>
        <v>032</v>
      </c>
      <c r="P93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PS-NS-000-00-00032-INV</v>
      </c>
      <c r="Q935" s="59"/>
      <c r="R935" s="34"/>
      <c r="S935" s="34">
        <v>0</v>
      </c>
      <c r="T935" s="34">
        <f>+IFERROR(_xlfn.XLOOKUP(Table43[[#This Row],[Column1]],#REF!,#REF!),0)</f>
        <v>0</v>
      </c>
      <c r="U935" s="50">
        <f>IFERROR(_xlfn.XLOOKUP(Table43[[#This Row],[Column1]],#REF!,#REF!),0)</f>
        <v>0</v>
      </c>
      <c r="V935" s="39"/>
    </row>
    <row r="936" spans="1:22" x14ac:dyDescent="0.35">
      <c r="A936" s="3" t="s">
        <v>5681</v>
      </c>
      <c r="B936" s="3" t="s">
        <v>5188</v>
      </c>
      <c r="C936" s="3" t="s">
        <v>5470</v>
      </c>
      <c r="D936" s="3"/>
      <c r="E936" s="3" t="s">
        <v>10</v>
      </c>
      <c r="F936" s="2">
        <v>0</v>
      </c>
      <c r="G936" s="2">
        <v>100</v>
      </c>
      <c r="H936" s="3"/>
      <c r="I936" s="21">
        <f>Table43[[#This Row],[Item Cost]]*Table43[[#This Row],[In Stock]]</f>
        <v>0</v>
      </c>
      <c r="J936" s="12" t="s">
        <v>4934</v>
      </c>
      <c r="K936" s="13" t="s">
        <v>4666</v>
      </c>
      <c r="L936" s="13" t="s">
        <v>4672</v>
      </c>
      <c r="M936" s="13" t="s">
        <v>4672</v>
      </c>
      <c r="N936" s="12" t="s">
        <v>4672</v>
      </c>
      <c r="O936" s="17" t="str">
        <f>IF(LEN(COUNTIFS($J$1:J936,$J936,$K$1:K936,$K936,$L$1:L936,$L936,$M$1:M936,M936,$N$1:N936,N936))=1,"00"&amp;COUNTIFS($J$1:J936,$J936,$K$1:K936,$K936,$L$1:L936,$L936,$M$1:M936,M936,$N$1:N936,N936),IF(LEN(COUNTIFS($J$1:J936,$J936,$K$1:K936,$K936,$L$1:L936,$L936,$M$1:M936,M936,$N$1:N936,N936))=2,"0"&amp;COUNTIFS($J$1:J936,$J936,$K$1:K936,$K936,$L$1:L936,$L936,$M$1:M936,M936,$N$1:N936,N936),COUNTIFS($J$1:J936,$J936,$K$1:K936,$K936,$L$1:L936,$L936,$M$1:M936,M936,$N$1:N936,N936)))</f>
        <v>033</v>
      </c>
      <c r="P93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PS-NS-000-00-00033-INV</v>
      </c>
      <c r="Q936" s="59"/>
      <c r="R936" s="34" t="s">
        <v>6666</v>
      </c>
      <c r="S936" s="34" t="s">
        <v>5188</v>
      </c>
      <c r="T936" s="34">
        <f>+IFERROR(_xlfn.XLOOKUP(Table43[[#This Row],[Column1]],#REF!,#REF!),0)</f>
        <v>0</v>
      </c>
      <c r="U936" s="50">
        <f>IFERROR(_xlfn.XLOOKUP(Table43[[#This Row],[Column1]],#REF!,#REF!),0)</f>
        <v>0</v>
      </c>
      <c r="V936" s="39"/>
    </row>
    <row r="937" spans="1:22" x14ac:dyDescent="0.35">
      <c r="A937" s="3" t="s">
        <v>7292</v>
      </c>
      <c r="B937" s="3" t="s">
        <v>7291</v>
      </c>
      <c r="C937" s="3" t="s">
        <v>7298</v>
      </c>
      <c r="D937" s="3"/>
      <c r="E937" s="3" t="s">
        <v>10</v>
      </c>
      <c r="F937" s="2">
        <v>0</v>
      </c>
      <c r="G937" s="2">
        <v>100</v>
      </c>
      <c r="H937" s="3"/>
      <c r="I937" s="21">
        <f>Table43[[#This Row],[Item Cost]]*Table43[[#This Row],[In Stock]]</f>
        <v>0</v>
      </c>
      <c r="J937" s="12" t="s">
        <v>4941</v>
      </c>
      <c r="K937" s="13" t="s">
        <v>4666</v>
      </c>
      <c r="L937" s="13" t="s">
        <v>4755</v>
      </c>
      <c r="M937" s="13" t="s">
        <v>4844</v>
      </c>
      <c r="N937" s="12" t="s">
        <v>4851</v>
      </c>
      <c r="O937" s="17" t="str">
        <f>IF(LEN(COUNTIFS($J$1:J937,$J937,$K$1:K937,$K937,$L$1:L937,$L937,$M$1:M937,M937,$N$1:N937,N937))=1,"00"&amp;COUNTIFS($J$1:J937,$J937,$K$1:K937,$K937,$L$1:L937,$L937,$M$1:M937,M937,$N$1:N937,N937),IF(LEN(COUNTIFS($J$1:J937,$J937,$K$1:K937,$K937,$L$1:L937,$L937,$M$1:M937,M937,$N$1:N937,N937))=2,"0"&amp;COUNTIFS($J$1:J937,$J937,$K$1:K937,$K937,$L$1:L937,$L937,$M$1:M937,M937,$N$1:N937,N937),COUNTIFS($J$1:J937,$J937,$K$1:K937,$K937,$L$1:L937,$L937,$M$1:M937,M937,$N$1:N937,N937)))</f>
        <v>001</v>
      </c>
      <c r="P93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MS-NS-011-29-07001-INV</v>
      </c>
      <c r="Q937" s="59"/>
      <c r="R937" s="34"/>
      <c r="S937" s="34"/>
      <c r="T937" s="34">
        <f>+IFERROR(_xlfn.XLOOKUP(Table43[[#This Row],[Column1]],#REF!,#REF!),0)</f>
        <v>0</v>
      </c>
      <c r="U937" s="51">
        <f>IFERROR(_xlfn.XLOOKUP(Table43[[#This Row],[Column1]],#REF!,#REF!),0)</f>
        <v>0</v>
      </c>
      <c r="V937" s="39"/>
    </row>
    <row r="938" spans="1:22" x14ac:dyDescent="0.35">
      <c r="A938" s="3" t="s">
        <v>7293</v>
      </c>
      <c r="B938" s="3" t="s">
        <v>7270</v>
      </c>
      <c r="C938" s="3" t="s">
        <v>7298</v>
      </c>
      <c r="D938" s="3"/>
      <c r="E938" s="3" t="s">
        <v>10</v>
      </c>
      <c r="F938" s="2">
        <v>0</v>
      </c>
      <c r="G938" s="2">
        <v>100</v>
      </c>
      <c r="H938" s="3"/>
      <c r="I938" s="21">
        <f>Table43[[#This Row],[Item Cost]]*Table43[[#This Row],[In Stock]]</f>
        <v>0</v>
      </c>
      <c r="J938" s="12" t="s">
        <v>4941</v>
      </c>
      <c r="K938" s="13" t="s">
        <v>4666</v>
      </c>
      <c r="L938" s="13" t="s">
        <v>4755</v>
      </c>
      <c r="M938" s="13" t="s">
        <v>4844</v>
      </c>
      <c r="N938" s="12" t="s">
        <v>4851</v>
      </c>
      <c r="O938" s="17" t="str">
        <f>IF(LEN(COUNTIFS($J$1:J938,$J938,$K$1:K938,$K938,$L$1:L938,$L938,$M$1:M938,M938,$N$1:N938,N938))=1,"00"&amp;COUNTIFS($J$1:J938,$J938,$K$1:K938,$K938,$L$1:L938,$L938,$M$1:M938,M938,$N$1:N938,N938),IF(LEN(COUNTIFS($J$1:J938,$J938,$K$1:K938,$K938,$L$1:L938,$L938,$M$1:M938,M938,$N$1:N938,N938))=2,"0"&amp;COUNTIFS($J$1:J938,$J938,$K$1:K938,$K938,$L$1:L938,$L938,$M$1:M938,M938,$N$1:N938,N938),COUNTIFS($J$1:J938,$J938,$K$1:K938,$K938,$L$1:L938,$L938,$M$1:M938,M938,$N$1:N938,N938)))</f>
        <v>002</v>
      </c>
      <c r="P93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MS-NS-011-29-07002-INV</v>
      </c>
      <c r="Q938" s="59"/>
      <c r="R938" s="34"/>
      <c r="S938" s="34"/>
      <c r="T938" s="34">
        <f>+IFERROR(_xlfn.XLOOKUP(Table43[[#This Row],[Column1]],#REF!,#REF!),0)</f>
        <v>0</v>
      </c>
      <c r="U938" s="51">
        <f>IFERROR(_xlfn.XLOOKUP(Table43[[#This Row],[Column1]],#REF!,#REF!),0)</f>
        <v>0</v>
      </c>
      <c r="V938" s="39"/>
    </row>
    <row r="939" spans="1:22" x14ac:dyDescent="0.35">
      <c r="A939" s="3" t="s">
        <v>7294</v>
      </c>
      <c r="B939" s="3" t="s">
        <v>7271</v>
      </c>
      <c r="C939" s="3" t="s">
        <v>7298</v>
      </c>
      <c r="D939" s="3"/>
      <c r="E939" s="3" t="s">
        <v>10</v>
      </c>
      <c r="F939" s="2">
        <v>0</v>
      </c>
      <c r="G939" s="2">
        <v>100</v>
      </c>
      <c r="H939" s="3"/>
      <c r="I939" s="21">
        <f>Table43[[#This Row],[Item Cost]]*Table43[[#This Row],[In Stock]]</f>
        <v>0</v>
      </c>
      <c r="J939" s="12" t="s">
        <v>4941</v>
      </c>
      <c r="K939" s="13" t="s">
        <v>4666</v>
      </c>
      <c r="L939" s="13" t="s">
        <v>4755</v>
      </c>
      <c r="M939" s="13" t="s">
        <v>4844</v>
      </c>
      <c r="N939" s="12" t="s">
        <v>4851</v>
      </c>
      <c r="O939" s="17" t="str">
        <f>IF(LEN(COUNTIFS($J$1:J939,$J939,$K$1:K939,$K939,$L$1:L939,$L939,$M$1:M939,M939,$N$1:N939,N939))=1,"00"&amp;COUNTIFS($J$1:J939,$J939,$K$1:K939,$K939,$L$1:L939,$L939,$M$1:M939,M939,$N$1:N939,N939),IF(LEN(COUNTIFS($J$1:J939,$J939,$K$1:K939,$K939,$L$1:L939,$L939,$M$1:M939,M939,$N$1:N939,N939))=2,"0"&amp;COUNTIFS($J$1:J939,$J939,$K$1:K939,$K939,$L$1:L939,$L939,$M$1:M939,M939,$N$1:N939,N939),COUNTIFS($J$1:J939,$J939,$K$1:K939,$K939,$L$1:L939,$L939,$M$1:M939,M939,$N$1:N939,N939)))</f>
        <v>003</v>
      </c>
      <c r="P93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MS-NS-011-29-07003-INV</v>
      </c>
      <c r="Q939" s="59"/>
      <c r="R939" s="34"/>
      <c r="S939" s="34"/>
      <c r="T939" s="34">
        <f>+IFERROR(_xlfn.XLOOKUP(Table43[[#This Row],[Column1]],#REF!,#REF!),0)</f>
        <v>0</v>
      </c>
      <c r="U939" s="51">
        <f>IFERROR(_xlfn.XLOOKUP(Table43[[#This Row],[Column1]],#REF!,#REF!),0)</f>
        <v>0</v>
      </c>
      <c r="V939" s="39"/>
    </row>
    <row r="940" spans="1:22" x14ac:dyDescent="0.35">
      <c r="A940" s="3" t="s">
        <v>7295</v>
      </c>
      <c r="B940" s="3" t="s">
        <v>7272</v>
      </c>
      <c r="C940" s="3" t="s">
        <v>7298</v>
      </c>
      <c r="D940" s="3"/>
      <c r="E940" s="3" t="s">
        <v>10</v>
      </c>
      <c r="F940" s="2">
        <v>0</v>
      </c>
      <c r="G940" s="2">
        <v>100</v>
      </c>
      <c r="H940" s="3"/>
      <c r="I940" s="21">
        <f>Table43[[#This Row],[Item Cost]]*Table43[[#This Row],[In Stock]]</f>
        <v>0</v>
      </c>
      <c r="J940" s="12" t="s">
        <v>4941</v>
      </c>
      <c r="K940" s="13" t="s">
        <v>4666</v>
      </c>
      <c r="L940" s="13" t="s">
        <v>4755</v>
      </c>
      <c r="M940" s="13" t="s">
        <v>4844</v>
      </c>
      <c r="N940" s="12" t="s">
        <v>4849</v>
      </c>
      <c r="O940" s="17" t="str">
        <f>IF(LEN(COUNTIFS($J$1:J940,$J940,$K$1:K940,$K940,$L$1:L940,$L940,$M$1:M940,M940,$N$1:N940,N940))=1,"00"&amp;COUNTIFS($J$1:J940,$J940,$K$1:K940,$K940,$L$1:L940,$L940,$M$1:M940,M940,$N$1:N940,N940),IF(LEN(COUNTIFS($J$1:J940,$J940,$K$1:K940,$K940,$L$1:L940,$L940,$M$1:M940,M940,$N$1:N940,N940))=2,"0"&amp;COUNTIFS($J$1:J940,$J940,$K$1:K940,$K940,$L$1:L940,$L940,$M$1:M940,M940,$N$1:N940,N940),COUNTIFS($J$1:J940,$J940,$K$1:K940,$K940,$L$1:L940,$L940,$M$1:M940,M940,$N$1:N940,N940)))</f>
        <v>001</v>
      </c>
      <c r="P94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MS-NS-011-29-05001-INV</v>
      </c>
      <c r="Q940" s="59"/>
      <c r="R940" s="34"/>
      <c r="S940" s="34"/>
      <c r="T940" s="34">
        <f>+IFERROR(_xlfn.XLOOKUP(Table43[[#This Row],[Column1]],#REF!,#REF!),0)</f>
        <v>0</v>
      </c>
      <c r="U940" s="51">
        <f>IFERROR(_xlfn.XLOOKUP(Table43[[#This Row],[Column1]],#REF!,#REF!),0)</f>
        <v>0</v>
      </c>
      <c r="V940" s="39"/>
    </row>
    <row r="941" spans="1:22" x14ac:dyDescent="0.35">
      <c r="A941" s="3" t="s">
        <v>7296</v>
      </c>
      <c r="B941" s="3" t="s">
        <v>7297</v>
      </c>
      <c r="C941" s="3" t="s">
        <v>7298</v>
      </c>
      <c r="D941" s="3"/>
      <c r="E941" s="3" t="s">
        <v>10</v>
      </c>
      <c r="F941" s="2">
        <v>0</v>
      </c>
      <c r="G941" s="2">
        <v>100</v>
      </c>
      <c r="H941" s="3"/>
      <c r="I941" s="21">
        <f>Table43[[#This Row],[Item Cost]]*Table43[[#This Row],[In Stock]]</f>
        <v>0</v>
      </c>
      <c r="J941" s="12" t="s">
        <v>4941</v>
      </c>
      <c r="K941" s="13" t="s">
        <v>4666</v>
      </c>
      <c r="L941" s="13" t="s">
        <v>4755</v>
      </c>
      <c r="M941" s="13" t="s">
        <v>4844</v>
      </c>
      <c r="N941" s="12" t="s">
        <v>4849</v>
      </c>
      <c r="O941" s="17" t="str">
        <f>IF(LEN(COUNTIFS($J$1:J941,$J941,$K$1:K941,$K941,$L$1:L941,$L941,$M$1:M941,M941,$N$1:N941,N941))=1,"00"&amp;COUNTIFS($J$1:J941,$J941,$K$1:K941,$K941,$L$1:L941,$L941,$M$1:M941,M941,$N$1:N941,N941),IF(LEN(COUNTIFS($J$1:J941,$J941,$K$1:K941,$K941,$L$1:L941,$L941,$M$1:M941,M941,$N$1:N941,N941))=2,"0"&amp;COUNTIFS($J$1:J941,$J941,$K$1:K941,$K941,$L$1:L941,$L941,$M$1:M941,M941,$N$1:N941,N941),COUNTIFS($J$1:J941,$J941,$K$1:K941,$K941,$L$1:L941,$L941,$M$1:M941,M941,$N$1:N941,N941)))</f>
        <v>002</v>
      </c>
      <c r="P94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MS-NS-011-29-05002-INV</v>
      </c>
      <c r="Q941" s="59"/>
      <c r="R941" s="34"/>
      <c r="S941" s="34"/>
      <c r="T941" s="34">
        <f>+IFERROR(_xlfn.XLOOKUP(Table43[[#This Row],[Column1]],#REF!,#REF!),0)</f>
        <v>0</v>
      </c>
      <c r="U941" s="51">
        <f>IFERROR(_xlfn.XLOOKUP(Table43[[#This Row],[Column1]],#REF!,#REF!),0)</f>
        <v>0</v>
      </c>
      <c r="V941" s="39"/>
    </row>
    <row r="942" spans="1:22" x14ac:dyDescent="0.35">
      <c r="A942" s="3" t="s">
        <v>7301</v>
      </c>
      <c r="B942" s="3" t="s">
        <v>7273</v>
      </c>
      <c r="C942" s="3" t="s">
        <v>5470</v>
      </c>
      <c r="D942" s="3"/>
      <c r="E942" s="3" t="s">
        <v>10</v>
      </c>
      <c r="F942" s="2">
        <v>0</v>
      </c>
      <c r="G942" s="2">
        <v>100</v>
      </c>
      <c r="H942" s="3"/>
      <c r="I942" s="21">
        <f>Table43[[#This Row],[Item Cost]]*Table43[[#This Row],[In Stock]]</f>
        <v>0</v>
      </c>
      <c r="J942" s="12" t="s">
        <v>4934</v>
      </c>
      <c r="K942" s="13" t="s">
        <v>4666</v>
      </c>
      <c r="L942" s="13" t="s">
        <v>4672</v>
      </c>
      <c r="M942" s="13" t="s">
        <v>4672</v>
      </c>
      <c r="N942" s="12" t="s">
        <v>4672</v>
      </c>
      <c r="O942" s="17" t="str">
        <f>IF(LEN(COUNTIFS($J$1:J942,$J942,$K$1:K942,$K942,$L$1:L942,$L942,$M$1:M942,M942,$N$1:N942,N942))=1,"00"&amp;COUNTIFS($J$1:J942,$J942,$K$1:K942,$K942,$L$1:L942,$L942,$M$1:M942,M942,$N$1:N942,N942),IF(LEN(COUNTIFS($J$1:J942,$J942,$K$1:K942,$K942,$L$1:L942,$L942,$M$1:M942,M942,$N$1:N942,N942))=2,"0"&amp;COUNTIFS($J$1:J942,$J942,$K$1:K942,$K942,$L$1:L942,$L942,$M$1:M942,M942,$N$1:N942,N942),COUNTIFS($J$1:J942,$J942,$K$1:K942,$K942,$L$1:L942,$L942,$M$1:M942,M942,$N$1:N942,N942)))</f>
        <v>034</v>
      </c>
      <c r="P94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PS-NS-000-00-00034-INV</v>
      </c>
      <c r="Q942" s="59"/>
      <c r="R942" s="34"/>
      <c r="S942" s="34"/>
      <c r="T942" s="34">
        <f>+IFERROR(_xlfn.XLOOKUP(Table43[[#This Row],[Column1]],#REF!,#REF!),0)</f>
        <v>0</v>
      </c>
      <c r="U942" s="51">
        <f>IFERROR(_xlfn.XLOOKUP(Table43[[#This Row],[Column1]],#REF!,#REF!),0)</f>
        <v>0</v>
      </c>
      <c r="V942" s="39"/>
    </row>
    <row r="943" spans="1:22" x14ac:dyDescent="0.35">
      <c r="A943" s="3" t="s">
        <v>7302</v>
      </c>
      <c r="B943" s="3" t="s">
        <v>7274</v>
      </c>
      <c r="C943" s="3" t="s">
        <v>5470</v>
      </c>
      <c r="D943" s="3"/>
      <c r="E943" s="3" t="s">
        <v>10</v>
      </c>
      <c r="F943" s="2">
        <v>0</v>
      </c>
      <c r="G943" s="2">
        <v>100</v>
      </c>
      <c r="H943" s="3"/>
      <c r="I943" s="21">
        <f>Table43[[#This Row],[Item Cost]]*Table43[[#This Row],[In Stock]]</f>
        <v>0</v>
      </c>
      <c r="J943" s="12" t="s">
        <v>4934</v>
      </c>
      <c r="K943" s="13" t="s">
        <v>4666</v>
      </c>
      <c r="L943" s="13" t="s">
        <v>4672</v>
      </c>
      <c r="M943" s="13" t="s">
        <v>4672</v>
      </c>
      <c r="N943" s="12" t="s">
        <v>4672</v>
      </c>
      <c r="O943" s="17" t="str">
        <f>IF(LEN(COUNTIFS($J$1:J943,$J943,$K$1:K943,$K943,$L$1:L943,$L943,$M$1:M943,M943,$N$1:N943,N943))=1,"00"&amp;COUNTIFS($J$1:J943,$J943,$K$1:K943,$K943,$L$1:L943,$L943,$M$1:M943,M943,$N$1:N943,N943),IF(LEN(COUNTIFS($J$1:J943,$J943,$K$1:K943,$K943,$L$1:L943,$L943,$M$1:M943,M943,$N$1:N943,N943))=2,"0"&amp;COUNTIFS($J$1:J943,$J943,$K$1:K943,$K943,$L$1:L943,$L943,$M$1:M943,M943,$N$1:N943,N943),COUNTIFS($J$1:J943,$J943,$K$1:K943,$K943,$L$1:L943,$L943,$M$1:M943,M943,$N$1:N943,N943)))</f>
        <v>035</v>
      </c>
      <c r="P94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PS-NS-000-00-00035-INV</v>
      </c>
      <c r="Q943" s="59" t="s">
        <v>7379</v>
      </c>
      <c r="R943" s="34"/>
      <c r="S943" s="34"/>
      <c r="T943" s="34">
        <f>+IFERROR(_xlfn.XLOOKUP(Table43[[#This Row],[Column1]],#REF!,#REF!),0)</f>
        <v>0</v>
      </c>
      <c r="U943" s="51">
        <f>IFERROR(_xlfn.XLOOKUP(Table43[[#This Row],[Column1]],#REF!,#REF!),0)</f>
        <v>0</v>
      </c>
      <c r="V943" s="39"/>
    </row>
    <row r="944" spans="1:22" x14ac:dyDescent="0.35">
      <c r="A944" s="3" t="s">
        <v>7303</v>
      </c>
      <c r="B944" s="3" t="s">
        <v>7275</v>
      </c>
      <c r="C944" s="3" t="s">
        <v>5470</v>
      </c>
      <c r="D944" s="3"/>
      <c r="E944" s="3" t="s">
        <v>10</v>
      </c>
      <c r="F944" s="2">
        <v>0</v>
      </c>
      <c r="G944" s="2">
        <v>100</v>
      </c>
      <c r="H944" s="3"/>
      <c r="I944" s="21">
        <f>Table43[[#This Row],[Item Cost]]*Table43[[#This Row],[In Stock]]</f>
        <v>0</v>
      </c>
      <c r="J944" s="12" t="s">
        <v>4934</v>
      </c>
      <c r="K944" s="13" t="s">
        <v>4666</v>
      </c>
      <c r="L944" s="13" t="s">
        <v>4672</v>
      </c>
      <c r="M944" s="13" t="s">
        <v>4672</v>
      </c>
      <c r="N944" s="12" t="s">
        <v>4672</v>
      </c>
      <c r="O944" s="17" t="str">
        <f>IF(LEN(COUNTIFS($J$1:J944,$J944,$K$1:K944,$K944,$L$1:L944,$L944,$M$1:M944,M944,$N$1:N944,N944))=1,"00"&amp;COUNTIFS($J$1:J944,$J944,$K$1:K944,$K944,$L$1:L944,$L944,$M$1:M944,M944,$N$1:N944,N944),IF(LEN(COUNTIFS($J$1:J944,$J944,$K$1:K944,$K944,$L$1:L944,$L944,$M$1:M944,M944,$N$1:N944,N944))=2,"0"&amp;COUNTIFS($J$1:J944,$J944,$K$1:K944,$K944,$L$1:L944,$L944,$M$1:M944,M944,$N$1:N944,N944),COUNTIFS($J$1:J944,$J944,$K$1:K944,$K944,$L$1:L944,$L944,$M$1:M944,M944,$N$1:N944,N944)))</f>
        <v>036</v>
      </c>
      <c r="P94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PS-NS-000-00-00036-INV</v>
      </c>
      <c r="Q944" s="59" t="s">
        <v>7379</v>
      </c>
      <c r="R944" s="34"/>
      <c r="S944" s="34"/>
      <c r="T944" s="34">
        <f>+IFERROR(_xlfn.XLOOKUP(Table43[[#This Row],[Column1]],#REF!,#REF!),0)</f>
        <v>0</v>
      </c>
      <c r="U944" s="51">
        <f>IFERROR(_xlfn.XLOOKUP(Table43[[#This Row],[Column1]],#REF!,#REF!),0)</f>
        <v>0</v>
      </c>
      <c r="V944" s="39"/>
    </row>
    <row r="945" spans="1:22" x14ac:dyDescent="0.35">
      <c r="A945" s="3" t="s">
        <v>7311</v>
      </c>
      <c r="B945" s="53" t="s">
        <v>7313</v>
      </c>
      <c r="C945" s="3" t="s">
        <v>7298</v>
      </c>
      <c r="D945" s="3"/>
      <c r="E945" s="3" t="s">
        <v>10</v>
      </c>
      <c r="F945" s="2">
        <v>0</v>
      </c>
      <c r="G945" s="2">
        <v>100</v>
      </c>
      <c r="H945" s="3"/>
      <c r="I945" s="21">
        <f>Table43[[#This Row],[Item Cost]]*Table43[[#This Row],[In Stock]]</f>
        <v>0</v>
      </c>
      <c r="J945" s="12" t="s">
        <v>4941</v>
      </c>
      <c r="K945" s="13" t="s">
        <v>4666</v>
      </c>
      <c r="L945" s="13" t="s">
        <v>4755</v>
      </c>
      <c r="M945" s="13" t="s">
        <v>4844</v>
      </c>
      <c r="N945" s="12" t="s">
        <v>4853</v>
      </c>
      <c r="O945" s="17" t="str">
        <f>IF(LEN(COUNTIFS($J$1:J945,$J945,$K$1:K945,$K945,$L$1:L945,$L945,$M$1:M945,M945,$N$1:N945,N945))=1,"00"&amp;COUNTIFS($J$1:J945,$J945,$K$1:K945,$K945,$L$1:L945,$L945,$M$1:M945,M945,$N$1:N945,N945),IF(LEN(COUNTIFS($J$1:J945,$J945,$K$1:K945,$K945,$L$1:L945,$L945,$M$1:M945,M945,$N$1:N945,N945))=2,"0"&amp;COUNTIFS($J$1:J945,$J945,$K$1:K945,$K945,$L$1:L945,$L945,$M$1:M945,M945,$N$1:N945,N945),COUNTIFS($J$1:J945,$J945,$K$1:K945,$K945,$L$1:L945,$L945,$M$1:M945,M945,$N$1:N945,N945)))</f>
        <v>001</v>
      </c>
      <c r="P94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MS-NS-011-29-09001-INV</v>
      </c>
      <c r="Q945" s="59"/>
      <c r="R945" s="34"/>
      <c r="S945" s="34"/>
      <c r="T945" s="34">
        <f>+IFERROR(_xlfn.XLOOKUP(Table43[[#This Row],[Column1]],#REF!,#REF!),0)</f>
        <v>0</v>
      </c>
      <c r="U945" s="51">
        <f>IFERROR(_xlfn.XLOOKUP(Table43[[#This Row],[Column1]],#REF!,#REF!),0)</f>
        <v>0</v>
      </c>
      <c r="V945" s="39"/>
    </row>
    <row r="946" spans="1:22" x14ac:dyDescent="0.35">
      <c r="A946" s="3" t="s">
        <v>7312</v>
      </c>
      <c r="B946" s="54" t="s">
        <v>7314</v>
      </c>
      <c r="C946" s="3" t="s">
        <v>7298</v>
      </c>
      <c r="D946" s="3"/>
      <c r="E946" s="3" t="s">
        <v>10</v>
      </c>
      <c r="F946" s="2">
        <v>0</v>
      </c>
      <c r="G946" s="2">
        <v>100</v>
      </c>
      <c r="H946" s="3"/>
      <c r="I946" s="21">
        <f>Table43[[#This Row],[Item Cost]]*Table43[[#This Row],[In Stock]]</f>
        <v>0</v>
      </c>
      <c r="J946" s="12" t="s">
        <v>4941</v>
      </c>
      <c r="K946" s="13" t="s">
        <v>4666</v>
      </c>
      <c r="L946" s="13" t="s">
        <v>4755</v>
      </c>
      <c r="M946" s="13" t="s">
        <v>4844</v>
      </c>
      <c r="N946" s="12" t="s">
        <v>4853</v>
      </c>
      <c r="O946" s="17" t="str">
        <f>IF(LEN(COUNTIFS($J$1:J949,$J946,$K$1:K949,$K946,$L$1:L949,$L946,$M$1:M949,M946,$N$1:N949,N946))=1,"00"&amp;COUNTIFS($J$1:J949,$J946,$K$1:K949,$K946,$L$1:L949,$L946,$M$1:M949,M946,$N$1:N949,N946),IF(LEN(COUNTIFS($J$1:J949,$J946,$K$1:K949,$K946,$L$1:L949,$L946,$M$1:M949,M946,$N$1:N949,N946))=2,"0"&amp;COUNTIFS($J$1:J949,$J946,$K$1:K949,$K946,$L$1:L949,$L946,$M$1:M949,M946,$N$1:N949,N946),COUNTIFS($J$1:J949,$J946,$K$1:K949,$K946,$L$1:L949,$L946,$M$1:M949,M946,$N$1:N949,N946)))</f>
        <v>002</v>
      </c>
      <c r="P94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MS-NS-011-29-09002-INV</v>
      </c>
      <c r="Q946" s="59"/>
      <c r="R946" s="34"/>
      <c r="S946" s="34"/>
      <c r="T946" s="34">
        <f>+IFERROR(_xlfn.XLOOKUP(Table43[[#This Row],[Column1]],#REF!,#REF!),0)</f>
        <v>0</v>
      </c>
      <c r="U946" s="51">
        <f>IFERROR(_xlfn.XLOOKUP(Table43[[#This Row],[Column1]],#REF!,#REF!),0)</f>
        <v>0</v>
      </c>
      <c r="V946" s="39"/>
    </row>
    <row r="947" spans="1:22" x14ac:dyDescent="0.35">
      <c r="A947" s="3" t="s">
        <v>3101</v>
      </c>
      <c r="B947" s="3" t="s">
        <v>3102</v>
      </c>
      <c r="C947" s="3" t="s">
        <v>9</v>
      </c>
      <c r="D947" s="5">
        <v>2570</v>
      </c>
      <c r="E947" s="3" t="s">
        <v>10</v>
      </c>
      <c r="F947" s="2">
        <v>1</v>
      </c>
      <c r="G947" s="3">
        <v>2</v>
      </c>
      <c r="H947" s="3">
        <v>0</v>
      </c>
      <c r="I947" s="21">
        <f>Table43[[#This Row],[Item Cost]]*Table43[[#This Row],[In Stock]]</f>
        <v>0</v>
      </c>
      <c r="J947" s="12" t="s">
        <v>4941</v>
      </c>
      <c r="K947" s="13" t="s">
        <v>4664</v>
      </c>
      <c r="L947" s="13" t="s">
        <v>4703</v>
      </c>
      <c r="M947" s="13" t="s">
        <v>4693</v>
      </c>
      <c r="N947" s="12" t="s">
        <v>4855</v>
      </c>
      <c r="O947" s="17" t="str">
        <f>IF(LEN(COUNTIFS($J$1:J947,$J947,$K$1:K947,$K947,$L$1:L947,$L947,$M$1:M947,M947,$N$1:N947,N947))=1,"00"&amp;COUNTIFS($J$1:J947,$J947,$K$1:K947,$K947,$L$1:L947,$L947,$M$1:M947,M947,$N$1:N947,N947),IF(LEN(COUNTIFS($J$1:J947,$J947,$K$1:K947,$K947,$L$1:L947,$L947,$M$1:M947,M947,$N$1:N947,N947))=2,"0"&amp;COUNTIFS($J$1:J947,$J947,$K$1:K947,$K947,$L$1:L947,$L947,$M$1:M947,M947,$N$1:N947,N947),COUNTIFS($J$1:J947,$J947,$K$1:K947,$K947,$L$1:L947,$L947,$M$1:M947,M947,$N$1:N947,N947)))</f>
        <v>001</v>
      </c>
      <c r="P94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MS-CS-016-23-12001-INV</v>
      </c>
      <c r="Q947" s="59" t="s">
        <v>7326</v>
      </c>
      <c r="R947" s="34" t="s">
        <v>6667</v>
      </c>
      <c r="S947" s="34" t="s">
        <v>3102</v>
      </c>
      <c r="T947" s="34">
        <f>+IFERROR(_xlfn.XLOOKUP(Table43[[#This Row],[Column1]],#REF!,#REF!),0)</f>
        <v>0</v>
      </c>
      <c r="U947" s="50">
        <f>IFERROR(_xlfn.XLOOKUP(Table43[[#This Row],[Column1]],#REF!,#REF!),0)</f>
        <v>0</v>
      </c>
      <c r="V947" s="39"/>
    </row>
    <row r="948" spans="1:22" x14ac:dyDescent="0.35">
      <c r="A948" s="2" t="s">
        <v>3103</v>
      </c>
      <c r="B948" s="2" t="s">
        <v>3104</v>
      </c>
      <c r="C948" s="2" t="s">
        <v>15</v>
      </c>
      <c r="D948" s="2">
        <v>0</v>
      </c>
      <c r="E948" s="2" t="s">
        <v>10</v>
      </c>
      <c r="F948" s="2">
        <v>0</v>
      </c>
      <c r="G948" s="2">
        <v>1</v>
      </c>
      <c r="H948" s="2">
        <v>0</v>
      </c>
      <c r="I948" s="22">
        <f>Table43[[#This Row],[Item Cost]]*Table43[[#This Row],[In Stock]]</f>
        <v>0</v>
      </c>
      <c r="J948" s="12" t="s">
        <v>4941</v>
      </c>
      <c r="K948" s="13" t="s">
        <v>4666</v>
      </c>
      <c r="L948" s="13" t="s">
        <v>4703</v>
      </c>
      <c r="M948" s="13" t="s">
        <v>4693</v>
      </c>
      <c r="N948" s="12" t="s">
        <v>4855</v>
      </c>
      <c r="O948" s="17" t="str">
        <f>IF(LEN(COUNTIFS($J$1:J948,$J948,$K$1:K948,$K948,$L$1:L948,$L948,$M$1:M948,M948,$N$1:N948,N948))=1,"00"&amp;COUNTIFS($J$1:J948,$J948,$K$1:K948,$K948,$L$1:L948,$L948,$M$1:M948,M948,$N$1:N948,N948),IF(LEN(COUNTIFS($J$1:J948,$J948,$K$1:K948,$K948,$L$1:L948,$L948,$M$1:M948,M948,$N$1:N948,N948))=2,"0"&amp;COUNTIFS($J$1:J948,$J948,$K$1:K948,$K948,$L$1:L948,$L948,$M$1:M948,M948,$N$1:N948,N948),COUNTIFS($J$1:J948,$J948,$K$1:K948,$K948,$L$1:L948,$L948,$M$1:M948,M948,$N$1:N948,N948)))</f>
        <v>001</v>
      </c>
      <c r="P94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MS-NS-016-23-12001-INV</v>
      </c>
      <c r="Q948" s="59" t="s">
        <v>7346</v>
      </c>
      <c r="R948" s="34" t="s">
        <v>6668</v>
      </c>
      <c r="S948" s="34" t="s">
        <v>3104</v>
      </c>
      <c r="T948" s="34">
        <f>+IFERROR(_xlfn.XLOOKUP(Table43[[#This Row],[Column1]],#REF!,#REF!),0)</f>
        <v>0</v>
      </c>
      <c r="U948" s="50">
        <f>IFERROR(_xlfn.XLOOKUP(Table43[[#This Row],[Column1]],#REF!,#REF!),0)</f>
        <v>0</v>
      </c>
      <c r="V948" s="39"/>
    </row>
    <row r="949" spans="1:22" x14ac:dyDescent="0.35">
      <c r="A949" s="3" t="s">
        <v>3105</v>
      </c>
      <c r="B949" s="3" t="s">
        <v>3106</v>
      </c>
      <c r="C949" s="3" t="s">
        <v>15</v>
      </c>
      <c r="D949" s="3">
        <v>0</v>
      </c>
      <c r="E949" s="3" t="s">
        <v>10</v>
      </c>
      <c r="F949" s="2">
        <v>0</v>
      </c>
      <c r="G949" s="2">
        <v>1</v>
      </c>
      <c r="H949" s="3">
        <v>0</v>
      </c>
      <c r="I949" s="21">
        <f>Table43[[#This Row],[Item Cost]]*Table43[[#This Row],[In Stock]]</f>
        <v>0</v>
      </c>
      <c r="J949" s="12" t="s">
        <v>4941</v>
      </c>
      <c r="K949" s="13" t="s">
        <v>4666</v>
      </c>
      <c r="L949" s="13" t="s">
        <v>4703</v>
      </c>
      <c r="M949" s="13" t="s">
        <v>4693</v>
      </c>
      <c r="N949" s="12" t="s">
        <v>4855</v>
      </c>
      <c r="O949" s="17" t="str">
        <f>IF(LEN(COUNTIFS($J$1:J949,$J949,$K$1:K949,$K949,$L$1:L949,$L949,$M$1:M949,M949,$N$1:N949,N949))=1,"00"&amp;COUNTIFS($J$1:J949,$J949,$K$1:K949,$K949,$L$1:L949,$L949,$M$1:M949,M949,$N$1:N949,N949),IF(LEN(COUNTIFS($J$1:J949,$J949,$K$1:K949,$K949,$L$1:L949,$L949,$M$1:M949,M949,$N$1:N949,N949))=2,"0"&amp;COUNTIFS($J$1:J949,$J949,$K$1:K949,$K949,$L$1:L949,$L949,$M$1:M949,M949,$N$1:N949,N949),COUNTIFS($J$1:J949,$J949,$K$1:K949,$K949,$L$1:L949,$L949,$M$1:M949,M949,$N$1:N949,N949)))</f>
        <v>002</v>
      </c>
      <c r="P94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MS-NS-016-23-12002-INV</v>
      </c>
      <c r="Q949" s="59" t="s">
        <v>7346</v>
      </c>
      <c r="R949" s="34" t="s">
        <v>6669</v>
      </c>
      <c r="S949" s="34" t="s">
        <v>3106</v>
      </c>
      <c r="T949" s="34">
        <f>+IFERROR(_xlfn.XLOOKUP(Table43[[#This Row],[Column1]],#REF!,#REF!),0)</f>
        <v>0</v>
      </c>
      <c r="U949" s="50">
        <f>IFERROR(_xlfn.XLOOKUP(Table43[[#This Row],[Column1]],#REF!,#REF!),0)</f>
        <v>0</v>
      </c>
      <c r="V949" s="39"/>
    </row>
    <row r="950" spans="1:22" x14ac:dyDescent="0.35">
      <c r="A950" s="2" t="s">
        <v>3107</v>
      </c>
      <c r="B950" s="2" t="s">
        <v>3108</v>
      </c>
      <c r="C950" s="2" t="s">
        <v>9</v>
      </c>
      <c r="D950" s="2">
        <v>297</v>
      </c>
      <c r="E950" s="2" t="s">
        <v>10</v>
      </c>
      <c r="F950" s="2">
        <v>1</v>
      </c>
      <c r="G950" s="3">
        <v>2</v>
      </c>
      <c r="H950" s="2">
        <v>2</v>
      </c>
      <c r="I950" s="22">
        <f>Table43[[#This Row],[Item Cost]]*Table43[[#This Row],[In Stock]]</f>
        <v>594</v>
      </c>
      <c r="J950" s="12" t="s">
        <v>4941</v>
      </c>
      <c r="K950" s="13" t="s">
        <v>4664</v>
      </c>
      <c r="L950" s="13" t="s">
        <v>4703</v>
      </c>
      <c r="M950" s="13" t="s">
        <v>4828</v>
      </c>
      <c r="N950" s="12" t="s">
        <v>4855</v>
      </c>
      <c r="O950" s="17" t="str">
        <f>IF(LEN(COUNTIFS($J$1:J950,$J950,$K$1:K950,$K950,$L$1:L950,$L950,$M$1:M950,M950,$N$1:N950,N950))=1,"00"&amp;COUNTIFS($J$1:J950,$J950,$K$1:K950,$K950,$L$1:L950,$L950,$M$1:M950,M950,$N$1:N950,N950),IF(LEN(COUNTIFS($J$1:J950,$J950,$K$1:K950,$K950,$L$1:L950,$L950,$M$1:M950,M950,$N$1:N950,N950))=2,"0"&amp;COUNTIFS($J$1:J950,$J950,$K$1:K950,$K950,$L$1:L950,$L950,$M$1:M950,M950,$N$1:N950,N950),COUNTIFS($J$1:J950,$J950,$K$1:K950,$K950,$L$1:L950,$L950,$M$1:M950,M950,$N$1:N950,N950)))</f>
        <v>001</v>
      </c>
      <c r="P95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MS-CS-016-13-12001-INV</v>
      </c>
      <c r="Q950" s="59" t="s">
        <v>7346</v>
      </c>
      <c r="R950" s="34" t="s">
        <v>6670</v>
      </c>
      <c r="S950" s="34" t="s">
        <v>3108</v>
      </c>
      <c r="T950" s="34">
        <f>+IFERROR(_xlfn.XLOOKUP(Table43[[#This Row],[Column1]],#REF!,#REF!),0)</f>
        <v>0</v>
      </c>
      <c r="U950" s="50">
        <f>IFERROR(_xlfn.XLOOKUP(Table43[[#This Row],[Column1]],#REF!,#REF!),0)</f>
        <v>0</v>
      </c>
      <c r="V950" s="39"/>
    </row>
    <row r="951" spans="1:22" x14ac:dyDescent="0.35">
      <c r="A951" s="3" t="s">
        <v>3109</v>
      </c>
      <c r="B951" s="3" t="s">
        <v>3110</v>
      </c>
      <c r="C951" s="3" t="s">
        <v>15</v>
      </c>
      <c r="D951" s="3">
        <v>0</v>
      </c>
      <c r="E951" s="3" t="s">
        <v>10</v>
      </c>
      <c r="F951" s="2">
        <v>0</v>
      </c>
      <c r="G951" s="2">
        <v>1</v>
      </c>
      <c r="H951" s="3">
        <v>0</v>
      </c>
      <c r="I951" s="21">
        <f>Table43[[#This Row],[Item Cost]]*Table43[[#This Row],[In Stock]]</f>
        <v>0</v>
      </c>
      <c r="J951" s="12" t="s">
        <v>4941</v>
      </c>
      <c r="K951" s="13" t="s">
        <v>4666</v>
      </c>
      <c r="L951" s="13" t="s">
        <v>4703</v>
      </c>
      <c r="M951" s="13" t="s">
        <v>4693</v>
      </c>
      <c r="N951" s="12" t="s">
        <v>4855</v>
      </c>
      <c r="O951" s="17" t="str">
        <f>IF(LEN(COUNTIFS($J$1:J951,$J951,$K$1:K951,$K951,$L$1:L951,$L951,$M$1:M951,M951,$N$1:N951,N951))=1,"00"&amp;COUNTIFS($J$1:J951,$J951,$K$1:K951,$K951,$L$1:L951,$L951,$M$1:M951,M951,$N$1:N951,N951),IF(LEN(COUNTIFS($J$1:J951,$J951,$K$1:K951,$K951,$L$1:L951,$L951,$M$1:M951,M951,$N$1:N951,N951))=2,"0"&amp;COUNTIFS($J$1:J951,$J951,$K$1:K951,$K951,$L$1:L951,$L951,$M$1:M951,M951,$N$1:N951,N951),COUNTIFS($J$1:J951,$J951,$K$1:K951,$K951,$L$1:L951,$L951,$M$1:M951,M951,$N$1:N951,N951)))</f>
        <v>003</v>
      </c>
      <c r="P95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MS-NS-016-23-12003-INV</v>
      </c>
      <c r="Q951" s="59" t="s">
        <v>7346</v>
      </c>
      <c r="R951" s="34" t="s">
        <v>6671</v>
      </c>
      <c r="S951" s="34" t="s">
        <v>3110</v>
      </c>
      <c r="T951" s="34">
        <f>+IFERROR(_xlfn.XLOOKUP(Table43[[#This Row],[Column1]],#REF!,#REF!),0)</f>
        <v>0</v>
      </c>
      <c r="U951" s="50">
        <f>IFERROR(_xlfn.XLOOKUP(Table43[[#This Row],[Column1]],#REF!,#REF!),0)</f>
        <v>0</v>
      </c>
      <c r="V951" s="39"/>
    </row>
    <row r="952" spans="1:22" x14ac:dyDescent="0.35">
      <c r="A952" s="2" t="s">
        <v>3111</v>
      </c>
      <c r="B952" s="2" t="s">
        <v>3112</v>
      </c>
      <c r="C952" s="2" t="s">
        <v>9</v>
      </c>
      <c r="D952" s="2">
        <v>607.04</v>
      </c>
      <c r="E952" s="2" t="s">
        <v>10</v>
      </c>
      <c r="F952" s="2">
        <v>1</v>
      </c>
      <c r="G952" s="3">
        <v>2</v>
      </c>
      <c r="H952" s="2">
        <v>1</v>
      </c>
      <c r="I952" s="22">
        <f>Table43[[#This Row],[Item Cost]]*Table43[[#This Row],[In Stock]]</f>
        <v>607.04</v>
      </c>
      <c r="J952" s="12" t="s">
        <v>4941</v>
      </c>
      <c r="K952" s="13" t="s">
        <v>4664</v>
      </c>
      <c r="L952" s="13" t="s">
        <v>4703</v>
      </c>
      <c r="M952" s="13" t="s">
        <v>4693</v>
      </c>
      <c r="N952" s="12" t="s">
        <v>4855</v>
      </c>
      <c r="O952" s="17" t="str">
        <f>IF(LEN(COUNTIFS($J$1:J952,$J952,$K$1:K952,$K952,$L$1:L952,$L952,$M$1:M952,M952,$N$1:N952,N952))=1,"00"&amp;COUNTIFS($J$1:J952,$J952,$K$1:K952,$K952,$L$1:L952,$L952,$M$1:M952,M952,$N$1:N952,N952),IF(LEN(COUNTIFS($J$1:J952,$J952,$K$1:K952,$K952,$L$1:L952,$L952,$M$1:M952,M952,$N$1:N952,N952))=2,"0"&amp;COUNTIFS($J$1:J952,$J952,$K$1:K952,$K952,$L$1:L952,$L952,$M$1:M952,M952,$N$1:N952,N952),COUNTIFS($J$1:J952,$J952,$K$1:K952,$K952,$L$1:L952,$L952,$M$1:M952,M952,$N$1:N952,N952)))</f>
        <v>002</v>
      </c>
      <c r="P95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MS-CS-016-23-12002-INV</v>
      </c>
      <c r="Q952" s="59"/>
      <c r="R952" s="34" t="s">
        <v>6672</v>
      </c>
      <c r="S952" s="34" t="s">
        <v>3112</v>
      </c>
      <c r="T952" s="34">
        <f>+IFERROR(_xlfn.XLOOKUP(Table43[[#This Row],[Column1]],#REF!,#REF!),0)</f>
        <v>0</v>
      </c>
      <c r="U952" s="50">
        <f>IFERROR(_xlfn.XLOOKUP(Table43[[#This Row],[Column1]],#REF!,#REF!),0)</f>
        <v>0</v>
      </c>
      <c r="V952" s="39"/>
    </row>
    <row r="953" spans="1:22" x14ac:dyDescent="0.35">
      <c r="A953" s="3" t="s">
        <v>3113</v>
      </c>
      <c r="B953" s="3" t="s">
        <v>3114</v>
      </c>
      <c r="C953" s="3" t="s">
        <v>9</v>
      </c>
      <c r="D953" s="3">
        <v>399</v>
      </c>
      <c r="E953" s="3" t="s">
        <v>10</v>
      </c>
      <c r="F953" s="2">
        <v>1</v>
      </c>
      <c r="G953" s="3">
        <v>2</v>
      </c>
      <c r="H953" s="3">
        <v>1</v>
      </c>
      <c r="I953" s="21">
        <f>Table43[[#This Row],[Item Cost]]*Table43[[#This Row],[In Stock]]</f>
        <v>399</v>
      </c>
      <c r="J953" s="12" t="s">
        <v>4941</v>
      </c>
      <c r="K953" s="13" t="s">
        <v>4664</v>
      </c>
      <c r="L953" s="13" t="s">
        <v>4703</v>
      </c>
      <c r="M953" s="13" t="s">
        <v>4693</v>
      </c>
      <c r="N953" s="12" t="s">
        <v>4855</v>
      </c>
      <c r="O953" s="17" t="str">
        <f>IF(LEN(COUNTIFS($J$1:J953,$J953,$K$1:K953,$K953,$L$1:L953,$L953,$M$1:M953,M953,$N$1:N953,N953))=1,"00"&amp;COUNTIFS($J$1:J953,$J953,$K$1:K953,$K953,$L$1:L953,$L953,$M$1:M953,M953,$N$1:N953,N953),IF(LEN(COUNTIFS($J$1:J953,$J953,$K$1:K953,$K953,$L$1:L953,$L953,$M$1:M953,M953,$N$1:N953,N953))=2,"0"&amp;COUNTIFS($J$1:J953,$J953,$K$1:K953,$K953,$L$1:L953,$L953,$M$1:M953,M953,$N$1:N953,N953),COUNTIFS($J$1:J953,$J953,$K$1:K953,$K953,$L$1:L953,$L953,$M$1:M953,M953,$N$1:N953,N953)))</f>
        <v>003</v>
      </c>
      <c r="P95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MS-CS-016-23-12003-INV</v>
      </c>
      <c r="Q953" s="59" t="s">
        <v>7326</v>
      </c>
      <c r="R953" s="34" t="s">
        <v>6673</v>
      </c>
      <c r="S953" s="34" t="s">
        <v>3114</v>
      </c>
      <c r="T953" s="34">
        <f>+IFERROR(_xlfn.XLOOKUP(Table43[[#This Row],[Column1]],#REF!,#REF!),0)</f>
        <v>0</v>
      </c>
      <c r="U953" s="50">
        <f>IFERROR(_xlfn.XLOOKUP(Table43[[#This Row],[Column1]],#REF!,#REF!),0)</f>
        <v>0</v>
      </c>
      <c r="V953" s="39"/>
    </row>
    <row r="954" spans="1:22" x14ac:dyDescent="0.35">
      <c r="A954" s="2" t="s">
        <v>3115</v>
      </c>
      <c r="B954" s="2" t="s">
        <v>3116</v>
      </c>
      <c r="C954" s="2" t="s">
        <v>9</v>
      </c>
      <c r="D954" s="2">
        <v>631</v>
      </c>
      <c r="E954" s="2" t="s">
        <v>10</v>
      </c>
      <c r="F954" s="2">
        <v>1</v>
      </c>
      <c r="G954" s="3">
        <v>2</v>
      </c>
      <c r="H954" s="2">
        <v>1</v>
      </c>
      <c r="I954" s="22">
        <f>Table43[[#This Row],[Item Cost]]*Table43[[#This Row],[In Stock]]</f>
        <v>631</v>
      </c>
      <c r="J954" s="12" t="s">
        <v>4941</v>
      </c>
      <c r="K954" s="13" t="s">
        <v>4664</v>
      </c>
      <c r="L954" s="13" t="s">
        <v>4703</v>
      </c>
      <c r="M954" s="13" t="s">
        <v>4827</v>
      </c>
      <c r="N954" s="12" t="s">
        <v>4855</v>
      </c>
      <c r="O954" s="17" t="str">
        <f>IF(LEN(COUNTIFS($J$1:J954,$J954,$K$1:K954,$K954,$L$1:L954,$L954,$M$1:M954,M954,$N$1:N954,N954))=1,"00"&amp;COUNTIFS($J$1:J954,$J954,$K$1:K954,$K954,$L$1:L954,$L954,$M$1:M954,M954,$N$1:N954,N954),IF(LEN(COUNTIFS($J$1:J954,$J954,$K$1:K954,$K954,$L$1:L954,$L954,$M$1:M954,M954,$N$1:N954,N954))=2,"0"&amp;COUNTIFS($J$1:J954,$J954,$K$1:K954,$K954,$L$1:L954,$L954,$M$1:M954,M954,$N$1:N954,N954),COUNTIFS($J$1:J954,$J954,$K$1:K954,$K954,$L$1:L954,$L954,$M$1:M954,M954,$N$1:N954,N954)))</f>
        <v>001</v>
      </c>
      <c r="P95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MS-CS-016-10-12001-INV</v>
      </c>
      <c r="Q954" s="59"/>
      <c r="R954" s="34" t="s">
        <v>6674</v>
      </c>
      <c r="S954" s="34" t="s">
        <v>3116</v>
      </c>
      <c r="T954" s="34">
        <f>+IFERROR(_xlfn.XLOOKUP(Table43[[#This Row],[Column1]],#REF!,#REF!),0)</f>
        <v>0</v>
      </c>
      <c r="U954" s="50">
        <f>IFERROR(_xlfn.XLOOKUP(Table43[[#This Row],[Column1]],#REF!,#REF!),0)</f>
        <v>0</v>
      </c>
      <c r="V954" s="39"/>
    </row>
    <row r="955" spans="1:22" x14ac:dyDescent="0.35">
      <c r="A955" s="3" t="s">
        <v>3117</v>
      </c>
      <c r="B955" s="3" t="s">
        <v>3118</v>
      </c>
      <c r="C955" s="3" t="s">
        <v>9</v>
      </c>
      <c r="D955" s="3">
        <v>722</v>
      </c>
      <c r="E955" s="3" t="s">
        <v>10</v>
      </c>
      <c r="F955" s="2">
        <v>1</v>
      </c>
      <c r="G955" s="3">
        <v>2</v>
      </c>
      <c r="H955" s="3">
        <v>1</v>
      </c>
      <c r="I955" s="21">
        <f>Table43[[#This Row],[Item Cost]]*Table43[[#This Row],[In Stock]]</f>
        <v>722</v>
      </c>
      <c r="J955" s="12" t="s">
        <v>4941</v>
      </c>
      <c r="K955" s="13" t="s">
        <v>4664</v>
      </c>
      <c r="L955" s="13" t="s">
        <v>4703</v>
      </c>
      <c r="M955" s="13" t="s">
        <v>4827</v>
      </c>
      <c r="N955" s="12" t="s">
        <v>4855</v>
      </c>
      <c r="O955" s="17" t="str">
        <f>IF(LEN(COUNTIFS($J$1:J955,$J955,$K$1:K955,$K955,$L$1:L955,$L955,$M$1:M955,M955,$N$1:N955,N955))=1,"00"&amp;COUNTIFS($J$1:J955,$J955,$K$1:K955,$K955,$L$1:L955,$L955,$M$1:M955,M955,$N$1:N955,N955),IF(LEN(COUNTIFS($J$1:J955,$J955,$K$1:K955,$K955,$L$1:L955,$L955,$M$1:M955,M955,$N$1:N955,N955))=2,"0"&amp;COUNTIFS($J$1:J955,$J955,$K$1:K955,$K955,$L$1:L955,$L955,$M$1:M955,M955,$N$1:N955,N955),COUNTIFS($J$1:J955,$J955,$K$1:K955,$K955,$L$1:L955,$L955,$M$1:M955,M955,$N$1:N955,N955)))</f>
        <v>002</v>
      </c>
      <c r="P95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MS-CS-016-10-12002-INV</v>
      </c>
      <c r="Q955" s="59"/>
      <c r="R955" s="34" t="s">
        <v>6675</v>
      </c>
      <c r="S955" s="34" t="s">
        <v>3118</v>
      </c>
      <c r="T955" s="34">
        <f>+IFERROR(_xlfn.XLOOKUP(Table43[[#This Row],[Column1]],#REF!,#REF!),0)</f>
        <v>0</v>
      </c>
      <c r="U955" s="50">
        <f>IFERROR(_xlfn.XLOOKUP(Table43[[#This Row],[Column1]],#REF!,#REF!),0)</f>
        <v>0</v>
      </c>
      <c r="V955" s="39"/>
    </row>
    <row r="956" spans="1:22" x14ac:dyDescent="0.35">
      <c r="A956" s="2" t="s">
        <v>3119</v>
      </c>
      <c r="B956" s="2" t="s">
        <v>3120</v>
      </c>
      <c r="C956" s="2" t="s">
        <v>9</v>
      </c>
      <c r="D956" s="2">
        <v>980</v>
      </c>
      <c r="E956" s="2" t="s">
        <v>10</v>
      </c>
      <c r="F956" s="2">
        <v>1</v>
      </c>
      <c r="G956" s="3">
        <v>2</v>
      </c>
      <c r="H956" s="2">
        <v>1</v>
      </c>
      <c r="I956" s="22">
        <f>Table43[[#This Row],[Item Cost]]*Table43[[#This Row],[In Stock]]</f>
        <v>980</v>
      </c>
      <c r="J956" s="12" t="s">
        <v>4941</v>
      </c>
      <c r="K956" s="13" t="s">
        <v>4664</v>
      </c>
      <c r="L956" s="13" t="s">
        <v>4703</v>
      </c>
      <c r="M956" s="13" t="s">
        <v>4770</v>
      </c>
      <c r="N956" s="12" t="s">
        <v>4855</v>
      </c>
      <c r="O956" s="17" t="str">
        <f>IF(LEN(COUNTIFS($J$1:J956,$J956,$K$1:K956,$K956,$L$1:L956,$L956,$M$1:M956,M956,$N$1:N956,N956))=1,"00"&amp;COUNTIFS($J$1:J956,$J956,$K$1:K956,$K956,$L$1:L956,$L956,$M$1:M956,M956,$N$1:N956,N956),IF(LEN(COUNTIFS($J$1:J956,$J956,$K$1:K956,$K956,$L$1:L956,$L956,$M$1:M956,M956,$N$1:N956,N956))=2,"0"&amp;COUNTIFS($J$1:J956,$J956,$K$1:K956,$K956,$L$1:L956,$L956,$M$1:M956,M956,$N$1:N956,N956),COUNTIFS($J$1:J956,$J956,$K$1:K956,$K956,$L$1:L956,$L956,$M$1:M956,M956,$N$1:N956,N956)))</f>
        <v>001</v>
      </c>
      <c r="P95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MS-CS-016-04-12001-INV</v>
      </c>
      <c r="Q956" s="59"/>
      <c r="R956" s="34" t="s">
        <v>6676</v>
      </c>
      <c r="S956" s="34" t="s">
        <v>3120</v>
      </c>
      <c r="T956" s="34">
        <f>+IFERROR(_xlfn.XLOOKUP(Table43[[#This Row],[Column1]],#REF!,#REF!),0)</f>
        <v>0</v>
      </c>
      <c r="U956" s="50">
        <f>IFERROR(_xlfn.XLOOKUP(Table43[[#This Row],[Column1]],#REF!,#REF!),0)</f>
        <v>0</v>
      </c>
      <c r="V956" s="39"/>
    </row>
    <row r="957" spans="1:22" x14ac:dyDescent="0.35">
      <c r="A957" s="3" t="s">
        <v>3121</v>
      </c>
      <c r="B957" s="3" t="s">
        <v>3122</v>
      </c>
      <c r="C957" s="3" t="s">
        <v>9</v>
      </c>
      <c r="D957" s="3">
        <v>751</v>
      </c>
      <c r="E957" s="3" t="s">
        <v>10</v>
      </c>
      <c r="F957" s="2">
        <v>1</v>
      </c>
      <c r="G957" s="3">
        <v>2</v>
      </c>
      <c r="H957" s="3">
        <v>1</v>
      </c>
      <c r="I957" s="21">
        <f>Table43[[#This Row],[Item Cost]]*Table43[[#This Row],[In Stock]]</f>
        <v>751</v>
      </c>
      <c r="J957" s="12" t="s">
        <v>4941</v>
      </c>
      <c r="K957" s="13" t="s">
        <v>4664</v>
      </c>
      <c r="L957" s="13" t="s">
        <v>4703</v>
      </c>
      <c r="M957" s="13" t="s">
        <v>4770</v>
      </c>
      <c r="N957" s="12" t="s">
        <v>4855</v>
      </c>
      <c r="O957" s="17" t="str">
        <f>IF(LEN(COUNTIFS($J$1:J957,$J957,$K$1:K957,$K957,$L$1:L957,$L957,$M$1:M957,M957,$N$1:N957,N957))=1,"00"&amp;COUNTIFS($J$1:J957,$J957,$K$1:K957,$K957,$L$1:L957,$L957,$M$1:M957,M957,$N$1:N957,N957),IF(LEN(COUNTIFS($J$1:J957,$J957,$K$1:K957,$K957,$L$1:L957,$L957,$M$1:M957,M957,$N$1:N957,N957))=2,"0"&amp;COUNTIFS($J$1:J957,$J957,$K$1:K957,$K957,$L$1:L957,$L957,$M$1:M957,M957,$N$1:N957,N957),COUNTIFS($J$1:J957,$J957,$K$1:K957,$K957,$L$1:L957,$L957,$M$1:M957,M957,$N$1:N957,N957)))</f>
        <v>002</v>
      </c>
      <c r="P95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MS-CS-016-04-12002-INV</v>
      </c>
      <c r="Q957" s="59" t="s">
        <v>7326</v>
      </c>
      <c r="R957" s="34" t="s">
        <v>6677</v>
      </c>
      <c r="S957" s="34" t="s">
        <v>3122</v>
      </c>
      <c r="T957" s="34">
        <f>+IFERROR(_xlfn.XLOOKUP(Table43[[#This Row],[Column1]],#REF!,#REF!),0)</f>
        <v>0</v>
      </c>
      <c r="U957" s="50">
        <f>IFERROR(_xlfn.XLOOKUP(Table43[[#This Row],[Column1]],#REF!,#REF!),0)</f>
        <v>0</v>
      </c>
      <c r="V957" s="39"/>
    </row>
    <row r="958" spans="1:22" x14ac:dyDescent="0.35">
      <c r="A958" s="2" t="s">
        <v>3123</v>
      </c>
      <c r="B958" s="2" t="s">
        <v>3124</v>
      </c>
      <c r="C958" s="2" t="s">
        <v>9</v>
      </c>
      <c r="D958" s="2">
        <v>793</v>
      </c>
      <c r="E958" s="2" t="s">
        <v>10</v>
      </c>
      <c r="F958" s="2">
        <v>1</v>
      </c>
      <c r="G958" s="3">
        <v>2</v>
      </c>
      <c r="H958" s="2">
        <v>1</v>
      </c>
      <c r="I958" s="22">
        <f>Table43[[#This Row],[Item Cost]]*Table43[[#This Row],[In Stock]]</f>
        <v>793</v>
      </c>
      <c r="J958" s="12" t="s">
        <v>4941</v>
      </c>
      <c r="K958" s="13" t="s">
        <v>4664</v>
      </c>
      <c r="L958" s="13" t="s">
        <v>4703</v>
      </c>
      <c r="M958" s="13" t="s">
        <v>4770</v>
      </c>
      <c r="N958" s="12" t="s">
        <v>4855</v>
      </c>
      <c r="O958" s="17" t="str">
        <f>IF(LEN(COUNTIFS($J$1:J958,$J958,$K$1:K958,$K958,$L$1:L958,$L958,$M$1:M958,M958,$N$1:N958,N958))=1,"00"&amp;COUNTIFS($J$1:J958,$J958,$K$1:K958,$K958,$L$1:L958,$L958,$M$1:M958,M958,$N$1:N958,N958),IF(LEN(COUNTIFS($J$1:J958,$J958,$K$1:K958,$K958,$L$1:L958,$L958,$M$1:M958,M958,$N$1:N958,N958))=2,"0"&amp;COUNTIFS($J$1:J958,$J958,$K$1:K958,$K958,$L$1:L958,$L958,$M$1:M958,M958,$N$1:N958,N958),COUNTIFS($J$1:J958,$J958,$K$1:K958,$K958,$L$1:L958,$L958,$M$1:M958,M958,$N$1:N958,N958)))</f>
        <v>003</v>
      </c>
      <c r="P95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MS-CS-016-04-12003-INV</v>
      </c>
      <c r="Q958" s="59" t="s">
        <v>7326</v>
      </c>
      <c r="R958" s="34" t="s">
        <v>6678</v>
      </c>
      <c r="S958" s="34" t="s">
        <v>3124</v>
      </c>
      <c r="T958" s="34">
        <f>+IFERROR(_xlfn.XLOOKUP(Table43[[#This Row],[Column1]],#REF!,#REF!),0)</f>
        <v>0</v>
      </c>
      <c r="U958" s="50">
        <f>IFERROR(_xlfn.XLOOKUP(Table43[[#This Row],[Column1]],#REF!,#REF!),0)</f>
        <v>0</v>
      </c>
      <c r="V958" s="39"/>
    </row>
    <row r="959" spans="1:22" x14ac:dyDescent="0.35">
      <c r="A959" s="3" t="s">
        <v>3125</v>
      </c>
      <c r="B959" s="3" t="s">
        <v>3126</v>
      </c>
      <c r="C959" s="3" t="s">
        <v>9</v>
      </c>
      <c r="D959" s="3">
        <v>822</v>
      </c>
      <c r="E959" s="3" t="s">
        <v>10</v>
      </c>
      <c r="F959" s="2">
        <v>1</v>
      </c>
      <c r="G959" s="3">
        <v>2</v>
      </c>
      <c r="H959" s="3">
        <v>1</v>
      </c>
      <c r="I959" s="21">
        <f>Table43[[#This Row],[Item Cost]]*Table43[[#This Row],[In Stock]]</f>
        <v>822</v>
      </c>
      <c r="J959" s="12" t="s">
        <v>4941</v>
      </c>
      <c r="K959" s="13" t="s">
        <v>4664</v>
      </c>
      <c r="L959" s="13" t="s">
        <v>4703</v>
      </c>
      <c r="M959" s="13" t="s">
        <v>4770</v>
      </c>
      <c r="N959" s="12" t="s">
        <v>4855</v>
      </c>
      <c r="O959" s="17" t="str">
        <f>IF(LEN(COUNTIFS($J$1:J959,$J959,$K$1:K959,$K959,$L$1:L959,$L959,$M$1:M959,M959,$N$1:N959,N959))=1,"00"&amp;COUNTIFS($J$1:J959,$J959,$K$1:K959,$K959,$L$1:L959,$L959,$M$1:M959,M959,$N$1:N959,N959),IF(LEN(COUNTIFS($J$1:J959,$J959,$K$1:K959,$K959,$L$1:L959,$L959,$M$1:M959,M959,$N$1:N959,N959))=2,"0"&amp;COUNTIFS($J$1:J959,$J959,$K$1:K959,$K959,$L$1:L959,$L959,$M$1:M959,M959,$N$1:N959,N959),COUNTIFS($J$1:J959,$J959,$K$1:K959,$K959,$L$1:L959,$L959,$M$1:M959,M959,$N$1:N959,N959)))</f>
        <v>004</v>
      </c>
      <c r="P95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MS-CS-016-04-12004-INV</v>
      </c>
      <c r="Q959" s="59" t="s">
        <v>7326</v>
      </c>
      <c r="R959" s="34" t="s">
        <v>6679</v>
      </c>
      <c r="S959" s="34" t="s">
        <v>3126</v>
      </c>
      <c r="T959" s="34">
        <f>+IFERROR(_xlfn.XLOOKUP(Table43[[#This Row],[Column1]],#REF!,#REF!),0)</f>
        <v>0</v>
      </c>
      <c r="U959" s="50">
        <f>IFERROR(_xlfn.XLOOKUP(Table43[[#This Row],[Column1]],#REF!,#REF!),0)</f>
        <v>0</v>
      </c>
      <c r="V959" s="39"/>
    </row>
    <row r="960" spans="1:22" x14ac:dyDescent="0.35">
      <c r="A960" s="2" t="s">
        <v>3127</v>
      </c>
      <c r="B960" s="2" t="s">
        <v>3128</v>
      </c>
      <c r="C960" s="2" t="s">
        <v>9</v>
      </c>
      <c r="D960" s="4">
        <v>1180</v>
      </c>
      <c r="E960" s="2" t="s">
        <v>10</v>
      </c>
      <c r="F960" s="2">
        <v>1</v>
      </c>
      <c r="G960" s="3">
        <v>2</v>
      </c>
      <c r="H960" s="2">
        <v>1</v>
      </c>
      <c r="I960" s="22">
        <f>Table43[[#This Row],[Item Cost]]*Table43[[#This Row],[In Stock]]</f>
        <v>1180</v>
      </c>
      <c r="J960" s="12" t="s">
        <v>4941</v>
      </c>
      <c r="K960" s="13" t="s">
        <v>4664</v>
      </c>
      <c r="L960" s="13" t="s">
        <v>4703</v>
      </c>
      <c r="M960" s="13" t="s">
        <v>4840</v>
      </c>
      <c r="N960" s="12" t="s">
        <v>4855</v>
      </c>
      <c r="O960" s="17" t="str">
        <f>IF(LEN(COUNTIFS($J$1:J960,$J960,$K$1:K960,$K960,$L$1:L960,$L960,$M$1:M960,M960,$N$1:N960,N960))=1,"00"&amp;COUNTIFS($J$1:J960,$J960,$K$1:K960,$K960,$L$1:L960,$L960,$M$1:M960,M960,$N$1:N960,N960),IF(LEN(COUNTIFS($J$1:J960,$J960,$K$1:K960,$K960,$L$1:L960,$L960,$M$1:M960,M960,$N$1:N960,N960))=2,"0"&amp;COUNTIFS($J$1:J960,$J960,$K$1:K960,$K960,$L$1:L960,$L960,$M$1:M960,M960,$N$1:N960,N960),COUNTIFS($J$1:J960,$J960,$K$1:K960,$K960,$L$1:L960,$L960,$M$1:M960,M960,$N$1:N960,N960)))</f>
        <v>001</v>
      </c>
      <c r="P96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MS-CS-016-15-12001-INV</v>
      </c>
      <c r="Q960" s="59" t="s">
        <v>7336</v>
      </c>
      <c r="R960" s="34" t="s">
        <v>6680</v>
      </c>
      <c r="S960" s="34" t="s">
        <v>3128</v>
      </c>
      <c r="T960" s="34">
        <f>+IFERROR(_xlfn.XLOOKUP(Table43[[#This Row],[Column1]],#REF!,#REF!),0)</f>
        <v>0</v>
      </c>
      <c r="U960" s="50">
        <f>IFERROR(_xlfn.XLOOKUP(Table43[[#This Row],[Column1]],#REF!,#REF!),0)</f>
        <v>0</v>
      </c>
      <c r="V960" s="39"/>
    </row>
    <row r="961" spans="1:22" x14ac:dyDescent="0.35">
      <c r="A961" s="3" t="s">
        <v>3129</v>
      </c>
      <c r="B961" s="3" t="s">
        <v>3130</v>
      </c>
      <c r="C961" s="3" t="s">
        <v>15</v>
      </c>
      <c r="D961" s="3">
        <v>0</v>
      </c>
      <c r="E961" s="3" t="s">
        <v>10</v>
      </c>
      <c r="F961" s="2">
        <v>0</v>
      </c>
      <c r="G961" s="2">
        <v>1</v>
      </c>
      <c r="H961" s="3">
        <v>0</v>
      </c>
      <c r="I961" s="21">
        <f>Table43[[#This Row],[Item Cost]]*Table43[[#This Row],[In Stock]]</f>
        <v>0</v>
      </c>
      <c r="J961" s="12" t="s">
        <v>4941</v>
      </c>
      <c r="K961" s="13" t="s">
        <v>4666</v>
      </c>
      <c r="L961" s="13" t="s">
        <v>4703</v>
      </c>
      <c r="M961" s="13" t="s">
        <v>4777</v>
      </c>
      <c r="N961" s="12" t="s">
        <v>4855</v>
      </c>
      <c r="O961" s="17" t="str">
        <f>IF(LEN(COUNTIFS($J$1:J961,$J961,$K$1:K961,$K961,$L$1:L961,$L961,$M$1:M961,M961,$N$1:N961,N961))=1,"00"&amp;COUNTIFS($J$1:J961,$J961,$K$1:K961,$K961,$L$1:L961,$L961,$M$1:M961,M961,$N$1:N961,N961),IF(LEN(COUNTIFS($J$1:J961,$J961,$K$1:K961,$K961,$L$1:L961,$L961,$M$1:M961,M961,$N$1:N961,N961))=2,"0"&amp;COUNTIFS($J$1:J961,$J961,$K$1:K961,$K961,$L$1:L961,$L961,$M$1:M961,M961,$N$1:N961,N961),COUNTIFS($J$1:J961,$J961,$K$1:K961,$K961,$L$1:L961,$L961,$M$1:M961,M961,$N$1:N961,N961)))</f>
        <v>001</v>
      </c>
      <c r="P96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MS-NS-016-11-12001-INV</v>
      </c>
      <c r="Q961" s="59"/>
      <c r="R961" s="34" t="s">
        <v>6681</v>
      </c>
      <c r="S961" s="34" t="s">
        <v>3130</v>
      </c>
      <c r="T961" s="34">
        <f>+IFERROR(_xlfn.XLOOKUP(Table43[[#This Row],[Column1]],#REF!,#REF!),0)</f>
        <v>0</v>
      </c>
      <c r="U961" s="50">
        <f>IFERROR(_xlfn.XLOOKUP(Table43[[#This Row],[Column1]],#REF!,#REF!),0)</f>
        <v>0</v>
      </c>
      <c r="V961" s="39"/>
    </row>
    <row r="962" spans="1:22" x14ac:dyDescent="0.35">
      <c r="A962" s="2" t="s">
        <v>3131</v>
      </c>
      <c r="B962" s="2" t="s">
        <v>3132</v>
      </c>
      <c r="C962" s="2" t="s">
        <v>15</v>
      </c>
      <c r="D962" s="2">
        <v>0</v>
      </c>
      <c r="E962" s="2" t="s">
        <v>10</v>
      </c>
      <c r="F962" s="2">
        <v>0</v>
      </c>
      <c r="G962" s="2">
        <v>1</v>
      </c>
      <c r="H962" s="2">
        <v>0</v>
      </c>
      <c r="I962" s="22">
        <f>Table43[[#This Row],[Item Cost]]*Table43[[#This Row],[In Stock]]</f>
        <v>0</v>
      </c>
      <c r="J962" s="12" t="s">
        <v>4941</v>
      </c>
      <c r="K962" s="13" t="s">
        <v>4666</v>
      </c>
      <c r="L962" s="13" t="s">
        <v>4703</v>
      </c>
      <c r="M962" s="13" t="s">
        <v>4775</v>
      </c>
      <c r="N962" s="12" t="s">
        <v>4855</v>
      </c>
      <c r="O962" s="17" t="str">
        <f>IF(LEN(COUNTIFS($J$1:J962,$J962,$K$1:K962,$K962,$L$1:L962,$L962,$M$1:M962,M962,$N$1:N962,N962))=1,"00"&amp;COUNTIFS($J$1:J962,$J962,$K$1:K962,$K962,$L$1:L962,$L962,$M$1:M962,M962,$N$1:N962,N962),IF(LEN(COUNTIFS($J$1:J962,$J962,$K$1:K962,$K962,$L$1:L962,$L962,$M$1:M962,M962,$N$1:N962,N962))=2,"0"&amp;COUNTIFS($J$1:J962,$J962,$K$1:K962,$K962,$L$1:L962,$L962,$M$1:M962,M962,$N$1:N962,N962),COUNTIFS($J$1:J962,$J962,$K$1:K962,$K962,$L$1:L962,$L962,$M$1:M962,M962,$N$1:N962,N962)))</f>
        <v>001</v>
      </c>
      <c r="P96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MS-NS-016-09-12001-INV</v>
      </c>
      <c r="Q962" s="59"/>
      <c r="R962" s="34" t="s">
        <v>6682</v>
      </c>
      <c r="S962" s="34" t="s">
        <v>3132</v>
      </c>
      <c r="T962" s="34">
        <f>+IFERROR(_xlfn.XLOOKUP(Table43[[#This Row],[Column1]],#REF!,#REF!),0)</f>
        <v>0</v>
      </c>
      <c r="U962" s="50">
        <f>IFERROR(_xlfn.XLOOKUP(Table43[[#This Row],[Column1]],#REF!,#REF!),0)</f>
        <v>0</v>
      </c>
      <c r="V962" s="39"/>
    </row>
    <row r="963" spans="1:22" x14ac:dyDescent="0.35">
      <c r="A963" s="3" t="s">
        <v>3133</v>
      </c>
      <c r="B963" s="3" t="s">
        <v>3134</v>
      </c>
      <c r="C963" s="3" t="s">
        <v>15</v>
      </c>
      <c r="D963" s="3">
        <v>0</v>
      </c>
      <c r="E963" s="3" t="s">
        <v>10</v>
      </c>
      <c r="F963" s="2">
        <v>0</v>
      </c>
      <c r="G963" s="2">
        <v>1</v>
      </c>
      <c r="H963" s="3">
        <v>0</v>
      </c>
      <c r="I963" s="21">
        <f>Table43[[#This Row],[Item Cost]]*Table43[[#This Row],[In Stock]]</f>
        <v>0</v>
      </c>
      <c r="J963" s="12" t="s">
        <v>4941</v>
      </c>
      <c r="K963" s="13" t="s">
        <v>4666</v>
      </c>
      <c r="L963" s="13" t="s">
        <v>4711</v>
      </c>
      <c r="M963" s="13" t="s">
        <v>4734</v>
      </c>
      <c r="N963" s="12" t="s">
        <v>4847</v>
      </c>
      <c r="O963" s="17" t="str">
        <f>IF(LEN(COUNTIFS($J$1:J963,$J963,$K$1:K963,$K963,$L$1:L963,$L963,$M$1:M963,M963,$N$1:N963,N963))=1,"00"&amp;COUNTIFS($J$1:J963,$J963,$K$1:K963,$K963,$L$1:L963,$L963,$M$1:M963,M963,$N$1:N963,N963),IF(LEN(COUNTIFS($J$1:J963,$J963,$K$1:K963,$K963,$L$1:L963,$L963,$M$1:M963,M963,$N$1:N963,N963))=2,"0"&amp;COUNTIFS($J$1:J963,$J963,$K$1:K963,$K963,$L$1:L963,$L963,$M$1:M963,M963,$N$1:N963,N963),COUNTIFS($J$1:J963,$J963,$K$1:K963,$K963,$L$1:L963,$L963,$M$1:M963,M963,$N$1:N963,N963)))</f>
        <v>001</v>
      </c>
      <c r="P96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MS-NS-020-02-03001-INV</v>
      </c>
      <c r="Q963" s="34"/>
      <c r="R963" s="34" t="s">
        <v>7246</v>
      </c>
      <c r="S963" s="34" t="s">
        <v>5733</v>
      </c>
      <c r="T963" s="34">
        <f>+IFERROR(_xlfn.XLOOKUP(Table43[[#This Row],[Column1]],#REF!,#REF!),0)</f>
        <v>0</v>
      </c>
      <c r="U963" s="50">
        <f>IFERROR(_xlfn.XLOOKUP(Table43[[#This Row],[Column1]],#REF!,#REF!),0)</f>
        <v>0</v>
      </c>
      <c r="V963" s="39"/>
    </row>
    <row r="964" spans="1:22" x14ac:dyDescent="0.35">
      <c r="A964" s="2" t="s">
        <v>3135</v>
      </c>
      <c r="B964" s="2" t="s">
        <v>3136</v>
      </c>
      <c r="C964" s="2" t="s">
        <v>15</v>
      </c>
      <c r="D964" s="2">
        <v>0</v>
      </c>
      <c r="E964" s="2" t="s">
        <v>10</v>
      </c>
      <c r="F964" s="2">
        <v>0</v>
      </c>
      <c r="G964" s="2">
        <v>1</v>
      </c>
      <c r="H964" s="2">
        <v>0</v>
      </c>
      <c r="I964" s="22">
        <f>Table43[[#This Row],[Item Cost]]*Table43[[#This Row],[In Stock]]</f>
        <v>0</v>
      </c>
      <c r="J964" s="12" t="s">
        <v>4941</v>
      </c>
      <c r="K964" s="13" t="s">
        <v>4666</v>
      </c>
      <c r="L964" s="13" t="s">
        <v>4711</v>
      </c>
      <c r="M964" s="13" t="s">
        <v>4772</v>
      </c>
      <c r="N964" s="12" t="s">
        <v>4847</v>
      </c>
      <c r="O964" s="17" t="str">
        <f>IF(LEN(COUNTIFS($J$1:J964,$J964,$K$1:K964,$K964,$L$1:L964,$L964,$M$1:M964,M964,$N$1:N964,N964))=1,"00"&amp;COUNTIFS($J$1:J964,$J964,$K$1:K964,$K964,$L$1:L964,$L964,$M$1:M964,M964,$N$1:N964,N964),IF(LEN(COUNTIFS($J$1:J964,$J964,$K$1:K964,$K964,$L$1:L964,$L964,$M$1:M964,M964,$N$1:N964,N964))=2,"0"&amp;COUNTIFS($J$1:J964,$J964,$K$1:K964,$K964,$L$1:L964,$L964,$M$1:M964,M964,$N$1:N964,N964),COUNTIFS($J$1:J964,$J964,$K$1:K964,$K964,$L$1:L964,$L964,$M$1:M964,M964,$N$1:N964,N964)))</f>
        <v>001</v>
      </c>
      <c r="P96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MS-NS-020-06-03001-INV</v>
      </c>
      <c r="Q964" s="34"/>
      <c r="R964" s="34" t="s">
        <v>7247</v>
      </c>
      <c r="S964" s="34" t="s">
        <v>5734</v>
      </c>
      <c r="T964" s="34">
        <f>+IFERROR(_xlfn.XLOOKUP(Table43[[#This Row],[Column1]],#REF!,#REF!),0)</f>
        <v>0</v>
      </c>
      <c r="U964" s="50">
        <f>IFERROR(_xlfn.XLOOKUP(Table43[[#This Row],[Column1]],#REF!,#REF!),0)</f>
        <v>0</v>
      </c>
      <c r="V964" s="39"/>
    </row>
    <row r="965" spans="1:22" x14ac:dyDescent="0.35">
      <c r="A965" s="3" t="s">
        <v>3137</v>
      </c>
      <c r="B965" s="3" t="s">
        <v>3138</v>
      </c>
      <c r="C965" s="3" t="s">
        <v>15</v>
      </c>
      <c r="D965" s="3">
        <v>0</v>
      </c>
      <c r="E965" s="3" t="s">
        <v>10</v>
      </c>
      <c r="F965" s="2">
        <v>0</v>
      </c>
      <c r="G965" s="2">
        <v>1</v>
      </c>
      <c r="H965" s="3">
        <v>0</v>
      </c>
      <c r="I965" s="21">
        <f>Table43[[#This Row],[Item Cost]]*Table43[[#This Row],[In Stock]]</f>
        <v>0</v>
      </c>
      <c r="J965" s="12" t="s">
        <v>4941</v>
      </c>
      <c r="K965" s="13" t="s">
        <v>4666</v>
      </c>
      <c r="L965" s="13" t="s">
        <v>4711</v>
      </c>
      <c r="M965" s="13" t="s">
        <v>4772</v>
      </c>
      <c r="N965" s="12" t="s">
        <v>4847</v>
      </c>
      <c r="O965" s="17" t="str">
        <f>IF(LEN(COUNTIFS($J$1:J965,$J965,$K$1:K965,$K965,$L$1:L965,$L965,$M$1:M965,M965,$N$1:N965,N965))=1,"00"&amp;COUNTIFS($J$1:J965,$J965,$K$1:K965,$K965,$L$1:L965,$L965,$M$1:M965,M965,$N$1:N965,N965),IF(LEN(COUNTIFS($J$1:J965,$J965,$K$1:K965,$K965,$L$1:L965,$L965,$M$1:M965,M965,$N$1:N965,N965))=2,"0"&amp;COUNTIFS($J$1:J965,$J965,$K$1:K965,$K965,$L$1:L965,$L965,$M$1:M965,M965,$N$1:N965,N965),COUNTIFS($J$1:J965,$J965,$K$1:K965,$K965,$L$1:L965,$L965,$M$1:M965,M965,$N$1:N965,N965)))</f>
        <v>002</v>
      </c>
      <c r="P96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MS-NS-020-06-03002-INV</v>
      </c>
      <c r="Q965" s="34"/>
      <c r="R965" s="34" t="s">
        <v>7248</v>
      </c>
      <c r="S965" s="34" t="s">
        <v>5735</v>
      </c>
      <c r="T965" s="34">
        <f>+IFERROR(_xlfn.XLOOKUP(Table43[[#This Row],[Column1]],#REF!,#REF!),0)</f>
        <v>0</v>
      </c>
      <c r="U965" s="50">
        <f>IFERROR(_xlfn.XLOOKUP(Table43[[#This Row],[Column1]],#REF!,#REF!),0)</f>
        <v>0</v>
      </c>
      <c r="V965" s="39"/>
    </row>
    <row r="966" spans="1:22" x14ac:dyDescent="0.35">
      <c r="A966" s="2" t="s">
        <v>3139</v>
      </c>
      <c r="B966" s="2" t="s">
        <v>3140</v>
      </c>
      <c r="C966" s="2" t="s">
        <v>15</v>
      </c>
      <c r="D966" s="2">
        <v>0</v>
      </c>
      <c r="E966" s="2" t="s">
        <v>10</v>
      </c>
      <c r="F966" s="2">
        <v>0</v>
      </c>
      <c r="G966" s="2">
        <v>1</v>
      </c>
      <c r="H966" s="2">
        <v>0</v>
      </c>
      <c r="I966" s="22">
        <f>Table43[[#This Row],[Item Cost]]*Table43[[#This Row],[In Stock]]</f>
        <v>0</v>
      </c>
      <c r="J966" s="12" t="s">
        <v>4941</v>
      </c>
      <c r="K966" s="13" t="s">
        <v>4666</v>
      </c>
      <c r="L966" s="13" t="s">
        <v>4711</v>
      </c>
      <c r="M966" s="13" t="s">
        <v>4837</v>
      </c>
      <c r="N966" s="12" t="s">
        <v>4847</v>
      </c>
      <c r="O966" s="17" t="str">
        <f>IF(LEN(COUNTIFS($J$1:J966,$J966,$K$1:K966,$K966,$L$1:L966,$L966,$M$1:M966,M966,$N$1:N966,N966))=1,"00"&amp;COUNTIFS($J$1:J966,$J966,$K$1:K966,$K966,$L$1:L966,$L966,$M$1:M966,M966,$N$1:N966,N966),IF(LEN(COUNTIFS($J$1:J966,$J966,$K$1:K966,$K966,$L$1:L966,$L966,$M$1:M966,M966,$N$1:N966,N966))=2,"0"&amp;COUNTIFS($J$1:J966,$J966,$K$1:K966,$K966,$L$1:L966,$L966,$M$1:M966,M966,$N$1:N966,N966),COUNTIFS($J$1:J966,$J966,$K$1:K966,$K966,$L$1:L966,$L966,$M$1:M966,M966,$N$1:N966,N966)))</f>
        <v>001</v>
      </c>
      <c r="P96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MS-NS-020-26-03001-INV</v>
      </c>
      <c r="Q966" s="34"/>
      <c r="R966" s="34" t="s">
        <v>7249</v>
      </c>
      <c r="S966" s="34" t="s">
        <v>5736</v>
      </c>
      <c r="T966" s="34">
        <f>+IFERROR(_xlfn.XLOOKUP(Table43[[#This Row],[Column1]],#REF!,#REF!),0)</f>
        <v>0</v>
      </c>
      <c r="U966" s="50">
        <f>IFERROR(_xlfn.XLOOKUP(Table43[[#This Row],[Column1]],#REF!,#REF!),0)</f>
        <v>0</v>
      </c>
      <c r="V966" s="39"/>
    </row>
    <row r="967" spans="1:22" x14ac:dyDescent="0.35">
      <c r="A967" s="3" t="s">
        <v>3141</v>
      </c>
      <c r="B967" s="3" t="s">
        <v>3142</v>
      </c>
      <c r="C967" s="3" t="s">
        <v>15</v>
      </c>
      <c r="D967" s="3">
        <v>0</v>
      </c>
      <c r="E967" s="3" t="s">
        <v>10</v>
      </c>
      <c r="F967" s="2">
        <v>0</v>
      </c>
      <c r="G967" s="2">
        <v>1</v>
      </c>
      <c r="H967" s="3">
        <v>0</v>
      </c>
      <c r="I967" s="21">
        <f>Table43[[#This Row],[Item Cost]]*Table43[[#This Row],[In Stock]]</f>
        <v>0</v>
      </c>
      <c r="J967" s="12" t="s">
        <v>4941</v>
      </c>
      <c r="K967" s="13" t="s">
        <v>4666</v>
      </c>
      <c r="L967" s="13" t="s">
        <v>4711</v>
      </c>
      <c r="M967" s="13" t="s">
        <v>4837</v>
      </c>
      <c r="N967" s="12" t="s">
        <v>4847</v>
      </c>
      <c r="O967" s="17" t="str">
        <f>IF(LEN(COUNTIFS($J$1:J967,$J967,$K$1:K967,$K967,$L$1:L967,$L967,$M$1:M967,M967,$N$1:N967,N967))=1,"00"&amp;COUNTIFS($J$1:J967,$J967,$K$1:K967,$K967,$L$1:L967,$L967,$M$1:M967,M967,$N$1:N967,N967),IF(LEN(COUNTIFS($J$1:J967,$J967,$K$1:K967,$K967,$L$1:L967,$L967,$M$1:M967,M967,$N$1:N967,N967))=2,"0"&amp;COUNTIFS($J$1:J967,$J967,$K$1:K967,$K967,$L$1:L967,$L967,$M$1:M967,M967,$N$1:N967,N967),COUNTIFS($J$1:J967,$J967,$K$1:K967,$K967,$L$1:L967,$L967,$M$1:M967,M967,$N$1:N967,N967)))</f>
        <v>002</v>
      </c>
      <c r="P96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MS-NS-020-26-03002-INV</v>
      </c>
      <c r="Q967" s="34"/>
      <c r="R967" s="34" t="s">
        <v>6683</v>
      </c>
      <c r="S967" s="34" t="s">
        <v>3142</v>
      </c>
      <c r="T967" s="34">
        <f>+IFERROR(_xlfn.XLOOKUP(Table43[[#This Row],[Column1]],#REF!,#REF!),0)</f>
        <v>0</v>
      </c>
      <c r="U967" s="50">
        <f>IFERROR(_xlfn.XLOOKUP(Table43[[#This Row],[Column1]],#REF!,#REF!),0)</f>
        <v>0</v>
      </c>
      <c r="V967" s="39"/>
    </row>
    <row r="968" spans="1:22" x14ac:dyDescent="0.35">
      <c r="A968" s="2" t="s">
        <v>3143</v>
      </c>
      <c r="B968" s="2" t="s">
        <v>3144</v>
      </c>
      <c r="C968" s="2" t="s">
        <v>15</v>
      </c>
      <c r="D968" s="2">
        <v>0</v>
      </c>
      <c r="E968" s="2" t="s">
        <v>10</v>
      </c>
      <c r="F968" s="2">
        <v>0</v>
      </c>
      <c r="G968" s="2">
        <v>1</v>
      </c>
      <c r="H968" s="2">
        <v>0</v>
      </c>
      <c r="I968" s="22">
        <f>Table43[[#This Row],[Item Cost]]*Table43[[#This Row],[In Stock]]</f>
        <v>0</v>
      </c>
      <c r="J968" s="12" t="s">
        <v>4941</v>
      </c>
      <c r="K968" s="13" t="s">
        <v>4666</v>
      </c>
      <c r="L968" s="13" t="s">
        <v>4711</v>
      </c>
      <c r="M968" s="13" t="s">
        <v>4672</v>
      </c>
      <c r="N968" s="12" t="s">
        <v>4847</v>
      </c>
      <c r="O968" s="17" t="str">
        <f>IF(LEN(COUNTIFS($J$1:J968,$J968,$K$1:K968,$K968,$L$1:L968,$L968,$M$1:M968,M968,$N$1:N968,N968))=1,"00"&amp;COUNTIFS($J$1:J968,$J968,$K$1:K968,$K968,$L$1:L968,$L968,$M$1:M968,M968,$N$1:N968,N968),IF(LEN(COUNTIFS($J$1:J968,$J968,$K$1:K968,$K968,$L$1:L968,$L968,$M$1:M968,M968,$N$1:N968,N968))=2,"0"&amp;COUNTIFS($J$1:J968,$J968,$K$1:K968,$K968,$L$1:L968,$L968,$M$1:M968,M968,$N$1:N968,N968),COUNTIFS($J$1:J968,$J968,$K$1:K968,$K968,$L$1:L968,$L968,$M$1:M968,M968,$N$1:N968,N968)))</f>
        <v>001</v>
      </c>
      <c r="P96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MS-NS-020-00-03001-INV</v>
      </c>
      <c r="Q968" s="34"/>
      <c r="R968" s="34" t="s">
        <v>6684</v>
      </c>
      <c r="S968" s="34" t="s">
        <v>3144</v>
      </c>
      <c r="T968" s="34">
        <f>+IFERROR(_xlfn.XLOOKUP(Table43[[#This Row],[Column1]],#REF!,#REF!),0)</f>
        <v>0</v>
      </c>
      <c r="U968" s="50">
        <f>IFERROR(_xlfn.XLOOKUP(Table43[[#This Row],[Column1]],#REF!,#REF!),0)</f>
        <v>0</v>
      </c>
      <c r="V968" s="39"/>
    </row>
    <row r="969" spans="1:22" x14ac:dyDescent="0.35">
      <c r="A969" s="3" t="s">
        <v>3145</v>
      </c>
      <c r="B969" s="3" t="s">
        <v>3146</v>
      </c>
      <c r="C969" s="3" t="s">
        <v>15</v>
      </c>
      <c r="D969" s="3">
        <v>0</v>
      </c>
      <c r="E969" s="3" t="s">
        <v>10</v>
      </c>
      <c r="F969" s="2">
        <v>0</v>
      </c>
      <c r="G969" s="2">
        <v>1</v>
      </c>
      <c r="H969" s="3">
        <v>0</v>
      </c>
      <c r="I969" s="21">
        <f>Table43[[#This Row],[Item Cost]]*Table43[[#This Row],[In Stock]]</f>
        <v>0</v>
      </c>
      <c r="J969" s="12" t="s">
        <v>4941</v>
      </c>
      <c r="K969" s="13" t="s">
        <v>4666</v>
      </c>
      <c r="L969" s="13" t="s">
        <v>4711</v>
      </c>
      <c r="M969" s="13" t="s">
        <v>4837</v>
      </c>
      <c r="N969" s="12" t="s">
        <v>4847</v>
      </c>
      <c r="O969" s="17" t="str">
        <f>IF(LEN(COUNTIFS($J$1:J969,$J969,$K$1:K969,$K969,$L$1:L969,$L969,$M$1:M969,M969,$N$1:N969,N969))=1,"00"&amp;COUNTIFS($J$1:J969,$J969,$K$1:K969,$K969,$L$1:L969,$L969,$M$1:M969,M969,$N$1:N969,N969),IF(LEN(COUNTIFS($J$1:J969,$J969,$K$1:K969,$K969,$L$1:L969,$L969,$M$1:M969,M969,$N$1:N969,N969))=2,"0"&amp;COUNTIFS($J$1:J969,$J969,$K$1:K969,$K969,$L$1:L969,$L969,$M$1:M969,M969,$N$1:N969,N969),COUNTIFS($J$1:J969,$J969,$K$1:K969,$K969,$L$1:L969,$L969,$M$1:M969,M969,$N$1:N969,N969)))</f>
        <v>003</v>
      </c>
      <c r="P96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MS-NS-020-26-03003-INV</v>
      </c>
      <c r="Q969" s="34"/>
      <c r="R969" s="34" t="s">
        <v>6685</v>
      </c>
      <c r="S969" s="34" t="s">
        <v>3146</v>
      </c>
      <c r="T969" s="34">
        <f>+IFERROR(_xlfn.XLOOKUP(Table43[[#This Row],[Column1]],#REF!,#REF!),0)</f>
        <v>0</v>
      </c>
      <c r="U969" s="50">
        <f>IFERROR(_xlfn.XLOOKUP(Table43[[#This Row],[Column1]],#REF!,#REF!),0)</f>
        <v>0</v>
      </c>
      <c r="V969" s="39"/>
    </row>
    <row r="970" spans="1:22" x14ac:dyDescent="0.35">
      <c r="A970" s="2" t="s">
        <v>3147</v>
      </c>
      <c r="B970" s="2" t="s">
        <v>3148</v>
      </c>
      <c r="C970" s="2" t="s">
        <v>15</v>
      </c>
      <c r="D970" s="2">
        <v>0</v>
      </c>
      <c r="E970" s="2" t="s">
        <v>10</v>
      </c>
      <c r="F970" s="2">
        <v>0</v>
      </c>
      <c r="G970" s="2">
        <v>1</v>
      </c>
      <c r="H970" s="2">
        <v>0</v>
      </c>
      <c r="I970" s="22">
        <f>Table43[[#This Row],[Item Cost]]*Table43[[#This Row],[In Stock]]</f>
        <v>0</v>
      </c>
      <c r="J970" s="12" t="s">
        <v>4941</v>
      </c>
      <c r="K970" s="13" t="s">
        <v>4666</v>
      </c>
      <c r="L970" s="13" t="s">
        <v>4711</v>
      </c>
      <c r="M970" s="13" t="s">
        <v>4837</v>
      </c>
      <c r="N970" s="12" t="s">
        <v>4847</v>
      </c>
      <c r="O970" s="17" t="str">
        <f>IF(LEN(COUNTIFS($J$1:J970,$J970,$K$1:K970,$K970,$L$1:L970,$L970,$M$1:M970,M970,$N$1:N970,N970))=1,"00"&amp;COUNTIFS($J$1:J970,$J970,$K$1:K970,$K970,$L$1:L970,$L970,$M$1:M970,M970,$N$1:N970,N970),IF(LEN(COUNTIFS($J$1:J970,$J970,$K$1:K970,$K970,$L$1:L970,$L970,$M$1:M970,M970,$N$1:N970,N970))=2,"0"&amp;COUNTIFS($J$1:J970,$J970,$K$1:K970,$K970,$L$1:L970,$L970,$M$1:M970,M970,$N$1:N970,N970),COUNTIFS($J$1:J970,$J970,$K$1:K970,$K970,$L$1:L970,$L970,$M$1:M970,M970,$N$1:N970,N970)))</f>
        <v>004</v>
      </c>
      <c r="P97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MS-NS-020-26-03004-INV</v>
      </c>
      <c r="Q970" s="34"/>
      <c r="R970" s="34" t="s">
        <v>6686</v>
      </c>
      <c r="S970" s="34" t="s">
        <v>3148</v>
      </c>
      <c r="T970" s="34">
        <f>+IFERROR(_xlfn.XLOOKUP(Table43[[#This Row],[Column1]],#REF!,#REF!),0)</f>
        <v>0</v>
      </c>
      <c r="U970" s="50">
        <f>IFERROR(_xlfn.XLOOKUP(Table43[[#This Row],[Column1]],#REF!,#REF!),0)</f>
        <v>0</v>
      </c>
      <c r="V970" s="39"/>
    </row>
    <row r="971" spans="1:22" x14ac:dyDescent="0.35">
      <c r="A971" s="3" t="s">
        <v>3149</v>
      </c>
      <c r="B971" s="3" t="s">
        <v>3150</v>
      </c>
      <c r="C971" s="3" t="s">
        <v>15</v>
      </c>
      <c r="D971" s="3">
        <v>0</v>
      </c>
      <c r="E971" s="3" t="s">
        <v>10</v>
      </c>
      <c r="F971" s="2">
        <v>0</v>
      </c>
      <c r="G971" s="2">
        <v>1</v>
      </c>
      <c r="H971" s="3">
        <v>0</v>
      </c>
      <c r="I971" s="21">
        <f>Table43[[#This Row],[Item Cost]]*Table43[[#This Row],[In Stock]]</f>
        <v>0</v>
      </c>
      <c r="J971" s="12" t="s">
        <v>4941</v>
      </c>
      <c r="K971" s="13" t="s">
        <v>4666</v>
      </c>
      <c r="L971" s="13" t="s">
        <v>4711</v>
      </c>
      <c r="M971" s="13" t="s">
        <v>4837</v>
      </c>
      <c r="N971" s="12" t="s">
        <v>4847</v>
      </c>
      <c r="O971" s="17" t="str">
        <f>IF(LEN(COUNTIFS($J$1:J971,$J971,$K$1:K971,$K971,$L$1:L971,$L971,$M$1:M971,M971,$N$1:N971,N971))=1,"00"&amp;COUNTIFS($J$1:J971,$J971,$K$1:K971,$K971,$L$1:L971,$L971,$M$1:M971,M971,$N$1:N971,N971),IF(LEN(COUNTIFS($J$1:J971,$J971,$K$1:K971,$K971,$L$1:L971,$L971,$M$1:M971,M971,$N$1:N971,N971))=2,"0"&amp;COUNTIFS($J$1:J971,$J971,$K$1:K971,$K971,$L$1:L971,$L971,$M$1:M971,M971,$N$1:N971,N971),COUNTIFS($J$1:J971,$J971,$K$1:K971,$K971,$L$1:L971,$L971,$M$1:M971,M971,$N$1:N971,N971)))</f>
        <v>005</v>
      </c>
      <c r="P97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MS-NS-020-26-03005-INV</v>
      </c>
      <c r="Q971" s="34"/>
      <c r="R971" s="34" t="s">
        <v>6687</v>
      </c>
      <c r="S971" s="34" t="s">
        <v>3150</v>
      </c>
      <c r="T971" s="34">
        <f>+IFERROR(_xlfn.XLOOKUP(Table43[[#This Row],[Column1]],#REF!,#REF!),0)</f>
        <v>0</v>
      </c>
      <c r="U971" s="50">
        <f>IFERROR(_xlfn.XLOOKUP(Table43[[#This Row],[Column1]],#REF!,#REF!),0)</f>
        <v>0</v>
      </c>
      <c r="V971" s="39"/>
    </row>
    <row r="972" spans="1:22" x14ac:dyDescent="0.35">
      <c r="A972" s="2" t="s">
        <v>3151</v>
      </c>
      <c r="B972" s="2" t="s">
        <v>3152</v>
      </c>
      <c r="C972" s="2" t="s">
        <v>15</v>
      </c>
      <c r="D972" s="2">
        <v>0</v>
      </c>
      <c r="E972" s="2" t="s">
        <v>10</v>
      </c>
      <c r="F972" s="2">
        <v>0</v>
      </c>
      <c r="G972" s="2">
        <v>1</v>
      </c>
      <c r="H972" s="2">
        <v>0</v>
      </c>
      <c r="I972" s="22">
        <f>Table43[[#This Row],[Item Cost]]*Table43[[#This Row],[In Stock]]</f>
        <v>0</v>
      </c>
      <c r="J972" s="12" t="s">
        <v>4941</v>
      </c>
      <c r="K972" s="13" t="s">
        <v>4666</v>
      </c>
      <c r="L972" s="13" t="s">
        <v>4711</v>
      </c>
      <c r="M972" s="13" t="s">
        <v>4837</v>
      </c>
      <c r="N972" s="12" t="s">
        <v>4847</v>
      </c>
      <c r="O972" s="17" t="str">
        <f>IF(LEN(COUNTIFS($J$1:J972,$J972,$K$1:K972,$K972,$L$1:L972,$L972,$M$1:M972,M972,$N$1:N972,N972))=1,"00"&amp;COUNTIFS($J$1:J972,$J972,$K$1:K972,$K972,$L$1:L972,$L972,$M$1:M972,M972,$N$1:N972,N972),IF(LEN(COUNTIFS($J$1:J972,$J972,$K$1:K972,$K972,$L$1:L972,$L972,$M$1:M972,M972,$N$1:N972,N972))=2,"0"&amp;COUNTIFS($J$1:J972,$J972,$K$1:K972,$K972,$L$1:L972,$L972,$M$1:M972,M972,$N$1:N972,N972),COUNTIFS($J$1:J972,$J972,$K$1:K972,$K972,$L$1:L972,$L972,$M$1:M972,M972,$N$1:N972,N972)))</f>
        <v>006</v>
      </c>
      <c r="P97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MS-NS-020-26-03006-INV</v>
      </c>
      <c r="Q972" s="34"/>
      <c r="R972" s="34" t="s">
        <v>6688</v>
      </c>
      <c r="S972" s="34" t="s">
        <v>3152</v>
      </c>
      <c r="T972" s="34">
        <f>+IFERROR(_xlfn.XLOOKUP(Table43[[#This Row],[Column1]],#REF!,#REF!),0)</f>
        <v>0</v>
      </c>
      <c r="U972" s="50">
        <f>IFERROR(_xlfn.XLOOKUP(Table43[[#This Row],[Column1]],#REF!,#REF!),0)</f>
        <v>0</v>
      </c>
      <c r="V972" s="39"/>
    </row>
    <row r="973" spans="1:22" x14ac:dyDescent="0.35">
      <c r="A973" s="3" t="s">
        <v>3153</v>
      </c>
      <c r="B973" s="3" t="s">
        <v>3154</v>
      </c>
      <c r="C973" s="3" t="s">
        <v>15</v>
      </c>
      <c r="D973" s="3">
        <v>0</v>
      </c>
      <c r="E973" s="3" t="s">
        <v>10</v>
      </c>
      <c r="F973" s="2">
        <v>0</v>
      </c>
      <c r="G973" s="2">
        <v>1</v>
      </c>
      <c r="H973" s="3">
        <v>0</v>
      </c>
      <c r="I973" s="21">
        <f>Table43[[#This Row],[Item Cost]]*Table43[[#This Row],[In Stock]]</f>
        <v>0</v>
      </c>
      <c r="J973" s="12" t="s">
        <v>4941</v>
      </c>
      <c r="K973" s="13" t="s">
        <v>4666</v>
      </c>
      <c r="L973" s="13" t="s">
        <v>4711</v>
      </c>
      <c r="M973" s="13" t="s">
        <v>4770</v>
      </c>
      <c r="N973" s="12" t="s">
        <v>4847</v>
      </c>
      <c r="O973" s="17" t="str">
        <f>IF(LEN(COUNTIFS($J$1:J973,$J973,$K$1:K973,$K973,$L$1:L973,$L973,$M$1:M973,M973,$N$1:N973,N973))=1,"00"&amp;COUNTIFS($J$1:J973,$J973,$K$1:K973,$K973,$L$1:L973,$L973,$M$1:M973,M973,$N$1:N973,N973),IF(LEN(COUNTIFS($J$1:J973,$J973,$K$1:K973,$K973,$L$1:L973,$L973,$M$1:M973,M973,$N$1:N973,N973))=2,"0"&amp;COUNTIFS($J$1:J973,$J973,$K$1:K973,$K973,$L$1:L973,$L973,$M$1:M973,M973,$N$1:N973,N973),COUNTIFS($J$1:J973,$J973,$K$1:K973,$K973,$L$1:L973,$L973,$M$1:M973,M973,$N$1:N973,N973)))</f>
        <v>001</v>
      </c>
      <c r="P97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MS-NS-020-04-03001-INV</v>
      </c>
      <c r="Q973" s="34"/>
      <c r="R973" s="34" t="s">
        <v>6689</v>
      </c>
      <c r="S973" s="34" t="s">
        <v>3154</v>
      </c>
      <c r="T973" s="34">
        <f>+IFERROR(_xlfn.XLOOKUP(Table43[[#This Row],[Column1]],#REF!,#REF!),0)</f>
        <v>0</v>
      </c>
      <c r="U973" s="50">
        <f>IFERROR(_xlfn.XLOOKUP(Table43[[#This Row],[Column1]],#REF!,#REF!),0)</f>
        <v>0</v>
      </c>
      <c r="V973" s="39"/>
    </row>
    <row r="974" spans="1:22" x14ac:dyDescent="0.35">
      <c r="A974" s="2" t="s">
        <v>3155</v>
      </c>
      <c r="B974" s="2" t="s">
        <v>3156</v>
      </c>
      <c r="C974" s="2" t="s">
        <v>15</v>
      </c>
      <c r="D974" s="2">
        <v>0</v>
      </c>
      <c r="E974" s="2" t="s">
        <v>10</v>
      </c>
      <c r="F974" s="2">
        <v>0</v>
      </c>
      <c r="G974" s="2">
        <v>1</v>
      </c>
      <c r="H974" s="2">
        <v>0</v>
      </c>
      <c r="I974" s="22">
        <f>Table43[[#This Row],[Item Cost]]*Table43[[#This Row],[In Stock]]</f>
        <v>0</v>
      </c>
      <c r="J974" s="12" t="s">
        <v>4941</v>
      </c>
      <c r="K974" s="13" t="s">
        <v>4666</v>
      </c>
      <c r="L974" s="13" t="s">
        <v>4711</v>
      </c>
      <c r="M974" s="13" t="s">
        <v>4844</v>
      </c>
      <c r="N974" s="12" t="s">
        <v>4847</v>
      </c>
      <c r="O974" s="17" t="str">
        <f>IF(LEN(COUNTIFS($J$1:J974,$J974,$K$1:K974,$K974,$L$1:L974,$L974,$M$1:M974,M974,$N$1:N974,N974))=1,"00"&amp;COUNTIFS($J$1:J974,$J974,$K$1:K974,$K974,$L$1:L974,$L974,$M$1:M974,M974,$N$1:N974,N974),IF(LEN(COUNTIFS($J$1:J974,$J974,$K$1:K974,$K974,$L$1:L974,$L974,$M$1:M974,M974,$N$1:N974,N974))=2,"0"&amp;COUNTIFS($J$1:J974,$J974,$K$1:K974,$K974,$L$1:L974,$L974,$M$1:M974,M974,$N$1:N974,N974),COUNTIFS($J$1:J974,$J974,$K$1:K974,$K974,$L$1:L974,$L974,$M$1:M974,M974,$N$1:N974,N974)))</f>
        <v>001</v>
      </c>
      <c r="P97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MS-NS-020-29-03001-INV</v>
      </c>
      <c r="Q974" s="34"/>
      <c r="R974" s="34" t="s">
        <v>6690</v>
      </c>
      <c r="S974" s="34" t="s">
        <v>3156</v>
      </c>
      <c r="T974" s="34">
        <f>+IFERROR(_xlfn.XLOOKUP(Table43[[#This Row],[Column1]],#REF!,#REF!),0)</f>
        <v>0</v>
      </c>
      <c r="U974" s="50">
        <f>IFERROR(_xlfn.XLOOKUP(Table43[[#This Row],[Column1]],#REF!,#REF!),0)</f>
        <v>0</v>
      </c>
      <c r="V974" s="39"/>
    </row>
    <row r="975" spans="1:22" x14ac:dyDescent="0.35">
      <c r="A975" s="3" t="s">
        <v>3157</v>
      </c>
      <c r="B975" s="3" t="s">
        <v>3158</v>
      </c>
      <c r="C975" s="3" t="s">
        <v>15</v>
      </c>
      <c r="D975" s="3">
        <v>0</v>
      </c>
      <c r="E975" s="3" t="s">
        <v>10</v>
      </c>
      <c r="F975" s="2">
        <v>0</v>
      </c>
      <c r="G975" s="2">
        <v>1</v>
      </c>
      <c r="H975" s="3">
        <v>0</v>
      </c>
      <c r="I975" s="21">
        <f>Table43[[#This Row],[Item Cost]]*Table43[[#This Row],[In Stock]]</f>
        <v>0</v>
      </c>
      <c r="J975" s="12" t="s">
        <v>4941</v>
      </c>
      <c r="K975" s="13" t="s">
        <v>4666</v>
      </c>
      <c r="L975" s="13" t="s">
        <v>4711</v>
      </c>
      <c r="M975" s="13" t="s">
        <v>4837</v>
      </c>
      <c r="N975" s="12" t="s">
        <v>4847</v>
      </c>
      <c r="O975" s="17" t="str">
        <f>IF(LEN(COUNTIFS($J$1:J975,$J975,$K$1:K975,$K975,$L$1:L975,$L975,$M$1:M975,M975,$N$1:N975,N975))=1,"00"&amp;COUNTIFS($J$1:J975,$J975,$K$1:K975,$K975,$L$1:L975,$L975,$M$1:M975,M975,$N$1:N975,N975),IF(LEN(COUNTIFS($J$1:J975,$J975,$K$1:K975,$K975,$L$1:L975,$L975,$M$1:M975,M975,$N$1:N975,N975))=2,"0"&amp;COUNTIFS($J$1:J975,$J975,$K$1:K975,$K975,$L$1:L975,$L975,$M$1:M975,M975,$N$1:N975,N975),COUNTIFS($J$1:J975,$J975,$K$1:K975,$K975,$L$1:L975,$L975,$M$1:M975,M975,$N$1:N975,N975)))</f>
        <v>007</v>
      </c>
      <c r="P97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MS-NS-020-26-03007-INV</v>
      </c>
      <c r="Q975" s="34"/>
      <c r="R975" s="34" t="s">
        <v>7250</v>
      </c>
      <c r="S975" s="34" t="s">
        <v>5737</v>
      </c>
      <c r="T975" s="34">
        <f>+IFERROR(_xlfn.XLOOKUP(Table43[[#This Row],[Column1]],#REF!,#REF!),0)</f>
        <v>0</v>
      </c>
      <c r="U975" s="50">
        <f>IFERROR(_xlfn.XLOOKUP(Table43[[#This Row],[Column1]],#REF!,#REF!),0)</f>
        <v>0</v>
      </c>
      <c r="V975" s="39"/>
    </row>
    <row r="976" spans="1:22" x14ac:dyDescent="0.35">
      <c r="A976" s="2" t="s">
        <v>3159</v>
      </c>
      <c r="B976" s="2" t="s">
        <v>3160</v>
      </c>
      <c r="C976" s="2" t="s">
        <v>15</v>
      </c>
      <c r="D976" s="2">
        <v>0</v>
      </c>
      <c r="E976" s="2" t="s">
        <v>10</v>
      </c>
      <c r="F976" s="2">
        <v>0</v>
      </c>
      <c r="G976" s="2">
        <v>1</v>
      </c>
      <c r="H976" s="2">
        <v>0</v>
      </c>
      <c r="I976" s="22">
        <f>Table43[[#This Row],[Item Cost]]*Table43[[#This Row],[In Stock]]</f>
        <v>0</v>
      </c>
      <c r="J976" s="12" t="s">
        <v>4941</v>
      </c>
      <c r="K976" s="13" t="s">
        <v>4666</v>
      </c>
      <c r="L976" s="13" t="s">
        <v>4711</v>
      </c>
      <c r="M976" s="13" t="s">
        <v>4837</v>
      </c>
      <c r="N976" s="12" t="s">
        <v>4847</v>
      </c>
      <c r="O976" s="17" t="str">
        <f>IF(LEN(COUNTIFS($J$1:J976,$J976,$K$1:K976,$K976,$L$1:L976,$L976,$M$1:M976,M976,$N$1:N976,N976))=1,"00"&amp;COUNTIFS($J$1:J976,$J976,$K$1:K976,$K976,$L$1:L976,$L976,$M$1:M976,M976,$N$1:N976,N976),IF(LEN(COUNTIFS($J$1:J976,$J976,$K$1:K976,$K976,$L$1:L976,$L976,$M$1:M976,M976,$N$1:N976,N976))=2,"0"&amp;COUNTIFS($J$1:J976,$J976,$K$1:K976,$K976,$L$1:L976,$L976,$M$1:M976,M976,$N$1:N976,N976),COUNTIFS($J$1:J976,$J976,$K$1:K976,$K976,$L$1:L976,$L976,$M$1:M976,M976,$N$1:N976,N976)))</f>
        <v>008</v>
      </c>
      <c r="P97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MS-NS-020-26-03008-INV</v>
      </c>
      <c r="Q976" s="34"/>
      <c r="R976" s="34" t="s">
        <v>6691</v>
      </c>
      <c r="S976" s="34" t="s">
        <v>3160</v>
      </c>
      <c r="T976" s="34">
        <f>+IFERROR(_xlfn.XLOOKUP(Table43[[#This Row],[Column1]],#REF!,#REF!),0)</f>
        <v>0</v>
      </c>
      <c r="U976" s="50">
        <f>IFERROR(_xlfn.XLOOKUP(Table43[[#This Row],[Column1]],#REF!,#REF!),0)</f>
        <v>0</v>
      </c>
      <c r="V976" s="39"/>
    </row>
    <row r="977" spans="1:22" x14ac:dyDescent="0.35">
      <c r="A977" s="3" t="s">
        <v>3161</v>
      </c>
      <c r="B977" s="3" t="s">
        <v>3162</v>
      </c>
      <c r="C977" s="3" t="s">
        <v>15</v>
      </c>
      <c r="D977" s="3">
        <v>0</v>
      </c>
      <c r="E977" s="3" t="s">
        <v>10</v>
      </c>
      <c r="F977" s="2">
        <v>0</v>
      </c>
      <c r="G977" s="2">
        <v>1</v>
      </c>
      <c r="H977" s="3">
        <v>0</v>
      </c>
      <c r="I977" s="21">
        <f>Table43[[#This Row],[Item Cost]]*Table43[[#This Row],[In Stock]]</f>
        <v>0</v>
      </c>
      <c r="J977" s="12" t="s">
        <v>4941</v>
      </c>
      <c r="K977" s="13" t="s">
        <v>4666</v>
      </c>
      <c r="L977" s="13" t="s">
        <v>4711</v>
      </c>
      <c r="M977" s="13" t="s">
        <v>4827</v>
      </c>
      <c r="N977" s="12" t="s">
        <v>4847</v>
      </c>
      <c r="O977" s="17" t="str">
        <f>IF(LEN(COUNTIFS($J$1:J977,$J977,$K$1:K977,$K977,$L$1:L977,$L977,$M$1:M977,M977,$N$1:N977,N977))=1,"00"&amp;COUNTIFS($J$1:J977,$J977,$K$1:K977,$K977,$L$1:L977,$L977,$M$1:M977,M977,$N$1:N977,N977),IF(LEN(COUNTIFS($J$1:J977,$J977,$K$1:K977,$K977,$L$1:L977,$L977,$M$1:M977,M977,$N$1:N977,N977))=2,"0"&amp;COUNTIFS($J$1:J977,$J977,$K$1:K977,$K977,$L$1:L977,$L977,$M$1:M977,M977,$N$1:N977,N977),COUNTIFS($J$1:J977,$J977,$K$1:K977,$K977,$L$1:L977,$L977,$M$1:M977,M977,$N$1:N977,N977)))</f>
        <v>001</v>
      </c>
      <c r="P97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MS-NS-020-10-03001-INV</v>
      </c>
      <c r="Q977" s="34"/>
      <c r="R977" s="34" t="s">
        <v>6692</v>
      </c>
      <c r="S977" s="34" t="s">
        <v>3162</v>
      </c>
      <c r="T977" s="34">
        <f>+IFERROR(_xlfn.XLOOKUP(Table43[[#This Row],[Column1]],#REF!,#REF!),0)</f>
        <v>0</v>
      </c>
      <c r="U977" s="50">
        <f>IFERROR(_xlfn.XLOOKUP(Table43[[#This Row],[Column1]],#REF!,#REF!),0)</f>
        <v>0</v>
      </c>
      <c r="V977" s="39"/>
    </row>
    <row r="978" spans="1:22" x14ac:dyDescent="0.35">
      <c r="A978" s="2" t="s">
        <v>3163</v>
      </c>
      <c r="B978" s="2" t="s">
        <v>3164</v>
      </c>
      <c r="C978" s="2" t="s">
        <v>15</v>
      </c>
      <c r="D978" s="2">
        <v>0</v>
      </c>
      <c r="E978" s="2" t="s">
        <v>10</v>
      </c>
      <c r="F978" s="2">
        <v>0</v>
      </c>
      <c r="G978" s="2">
        <v>1</v>
      </c>
      <c r="H978" s="2">
        <v>0</v>
      </c>
      <c r="I978" s="22">
        <f>Table43[[#This Row],[Item Cost]]*Table43[[#This Row],[In Stock]]</f>
        <v>0</v>
      </c>
      <c r="J978" s="12" t="s">
        <v>4941</v>
      </c>
      <c r="K978" s="13" t="s">
        <v>4666</v>
      </c>
      <c r="L978" s="13" t="s">
        <v>4711</v>
      </c>
      <c r="M978" s="13" t="s">
        <v>4770</v>
      </c>
      <c r="N978" s="12" t="s">
        <v>4847</v>
      </c>
      <c r="O978" s="17" t="str">
        <f>IF(LEN(COUNTIFS($J$1:J978,$J978,$K$1:K978,$K978,$L$1:L978,$L978,$M$1:M978,M978,$N$1:N978,N978))=1,"00"&amp;COUNTIFS($J$1:J978,$J978,$K$1:K978,$K978,$L$1:L978,$L978,$M$1:M978,M978,$N$1:N978,N978),IF(LEN(COUNTIFS($J$1:J978,$J978,$K$1:K978,$K978,$L$1:L978,$L978,$M$1:M978,M978,$N$1:N978,N978))=2,"0"&amp;COUNTIFS($J$1:J978,$J978,$K$1:K978,$K978,$L$1:L978,$L978,$M$1:M978,M978,$N$1:N978,N978),COUNTIFS($J$1:J978,$J978,$K$1:K978,$K978,$L$1:L978,$L978,$M$1:M978,M978,$N$1:N978,N978)))</f>
        <v>002</v>
      </c>
      <c r="P97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MS-NS-020-04-03002-INV</v>
      </c>
      <c r="Q978" s="34"/>
      <c r="R978" s="34" t="s">
        <v>6693</v>
      </c>
      <c r="S978" s="34" t="s">
        <v>3164</v>
      </c>
      <c r="T978" s="34">
        <f>+IFERROR(_xlfn.XLOOKUP(Table43[[#This Row],[Column1]],#REF!,#REF!),0)</f>
        <v>0</v>
      </c>
      <c r="U978" s="50">
        <f>IFERROR(_xlfn.XLOOKUP(Table43[[#This Row],[Column1]],#REF!,#REF!),0)</f>
        <v>0</v>
      </c>
      <c r="V978" s="39"/>
    </row>
    <row r="979" spans="1:22" x14ac:dyDescent="0.35">
      <c r="A979" s="3" t="s">
        <v>3165</v>
      </c>
      <c r="B979" s="3" t="s">
        <v>3166</v>
      </c>
      <c r="C979" s="3" t="s">
        <v>15</v>
      </c>
      <c r="D979" s="3">
        <v>0</v>
      </c>
      <c r="E979" s="3" t="s">
        <v>10</v>
      </c>
      <c r="F979" s="2">
        <v>0</v>
      </c>
      <c r="G979" s="2">
        <v>1</v>
      </c>
      <c r="H979" s="3">
        <v>0</v>
      </c>
      <c r="I979" s="21">
        <f>Table43[[#This Row],[Item Cost]]*Table43[[#This Row],[In Stock]]</f>
        <v>0</v>
      </c>
      <c r="J979" s="12" t="s">
        <v>4941</v>
      </c>
      <c r="K979" s="13" t="s">
        <v>4666</v>
      </c>
      <c r="L979" s="13" t="s">
        <v>4711</v>
      </c>
      <c r="M979" s="13" t="s">
        <v>4837</v>
      </c>
      <c r="N979" s="12" t="s">
        <v>4847</v>
      </c>
      <c r="O979" s="17" t="str">
        <f>IF(LEN(COUNTIFS($J$1:J979,$J979,$K$1:K979,$K979,$L$1:L979,$L979,$M$1:M979,M979,$N$1:N979,N979))=1,"00"&amp;COUNTIFS($J$1:J979,$J979,$K$1:K979,$K979,$L$1:L979,$L979,$M$1:M979,M979,$N$1:N979,N979),IF(LEN(COUNTIFS($J$1:J979,$J979,$K$1:K979,$K979,$L$1:L979,$L979,$M$1:M979,M979,$N$1:N979,N979))=2,"0"&amp;COUNTIFS($J$1:J979,$J979,$K$1:K979,$K979,$L$1:L979,$L979,$M$1:M979,M979,$N$1:N979,N979),COUNTIFS($J$1:J979,$J979,$K$1:K979,$K979,$L$1:L979,$L979,$M$1:M979,M979,$N$1:N979,N979)))</f>
        <v>009</v>
      </c>
      <c r="P97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MS-NS-020-26-03009-INV</v>
      </c>
      <c r="Q979" s="34"/>
      <c r="R979" s="34" t="s">
        <v>7251</v>
      </c>
      <c r="S979" s="34" t="s">
        <v>5738</v>
      </c>
      <c r="T979" s="34">
        <f>+IFERROR(_xlfn.XLOOKUP(Table43[[#This Row],[Column1]],#REF!,#REF!),0)</f>
        <v>0</v>
      </c>
      <c r="U979" s="50">
        <f>IFERROR(_xlfn.XLOOKUP(Table43[[#This Row],[Column1]],#REF!,#REF!),0)</f>
        <v>0</v>
      </c>
      <c r="V979" s="39"/>
    </row>
    <row r="980" spans="1:22" x14ac:dyDescent="0.35">
      <c r="A980" s="2" t="s">
        <v>3167</v>
      </c>
      <c r="B980" s="2" t="s">
        <v>3168</v>
      </c>
      <c r="C980" s="2" t="s">
        <v>15</v>
      </c>
      <c r="D980" s="2">
        <v>0</v>
      </c>
      <c r="E980" s="3" t="s">
        <v>10</v>
      </c>
      <c r="F980" s="3">
        <v>0</v>
      </c>
      <c r="G980" s="3">
        <v>100</v>
      </c>
      <c r="H980" s="2">
        <v>0</v>
      </c>
      <c r="I980" s="22">
        <f>Table43[[#This Row],[Item Cost]]*Table43[[#This Row],[In Stock]]</f>
        <v>0</v>
      </c>
      <c r="J980" s="12" t="s">
        <v>4941</v>
      </c>
      <c r="K980" s="13" t="s">
        <v>4666</v>
      </c>
      <c r="L980" s="13" t="s">
        <v>4713</v>
      </c>
      <c r="M980" s="13" t="s">
        <v>4772</v>
      </c>
      <c r="N980" s="12" t="s">
        <v>4672</v>
      </c>
      <c r="O980" s="17" t="str">
        <f>IF(LEN(COUNTIFS($J$1:J980,$J980,$K$1:K980,$K980,$L$1:L980,$L980,$M$1:M980,M980,$N$1:N980,N980))=1,"00"&amp;COUNTIFS($J$1:J980,$J980,$K$1:K980,$K980,$L$1:L980,$L980,$M$1:M980,M980,$N$1:N980,N980),IF(LEN(COUNTIFS($J$1:J980,$J980,$K$1:K980,$K980,$L$1:L980,$L980,$M$1:M980,M980,$N$1:N980,N980))=2,"0"&amp;COUNTIFS($J$1:J980,$J980,$K$1:K980,$K980,$L$1:L980,$L980,$M$1:M980,M980,$N$1:N980,N980),COUNTIFS($J$1:J980,$J980,$K$1:K980,$K980,$L$1:L980,$L980,$M$1:M980,M980,$N$1:N980,N980)))</f>
        <v>001</v>
      </c>
      <c r="P98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MS-NS-021-06-00001-INV</v>
      </c>
      <c r="Q980" s="59"/>
      <c r="R980" s="34"/>
      <c r="S980" s="34">
        <v>0</v>
      </c>
      <c r="T980" s="34">
        <f>+IFERROR(_xlfn.XLOOKUP(Table43[[#This Row],[Column1]],#REF!,#REF!),0)</f>
        <v>0</v>
      </c>
      <c r="U980" s="50">
        <f>IFERROR(_xlfn.XLOOKUP(Table43[[#This Row],[Column1]],#REF!,#REF!),0)</f>
        <v>0</v>
      </c>
      <c r="V980" s="39"/>
    </row>
    <row r="981" spans="1:22" x14ac:dyDescent="0.35">
      <c r="A981" s="3" t="s">
        <v>3169</v>
      </c>
      <c r="B981" s="3" t="s">
        <v>3170</v>
      </c>
      <c r="C981" s="2" t="s">
        <v>15</v>
      </c>
      <c r="D981" s="2">
        <v>0</v>
      </c>
      <c r="E981" s="3" t="s">
        <v>10</v>
      </c>
      <c r="F981" s="3">
        <v>0</v>
      </c>
      <c r="G981" s="3">
        <v>100</v>
      </c>
      <c r="H981" s="3">
        <v>0</v>
      </c>
      <c r="I981" s="21">
        <f>Table43[[#This Row],[Item Cost]]*Table43[[#This Row],[In Stock]]</f>
        <v>0</v>
      </c>
      <c r="J981" s="12" t="s">
        <v>4941</v>
      </c>
      <c r="K981" s="13" t="s">
        <v>4666</v>
      </c>
      <c r="L981" s="13" t="s">
        <v>4713</v>
      </c>
      <c r="M981" s="13" t="s">
        <v>4772</v>
      </c>
      <c r="N981" s="12" t="s">
        <v>4672</v>
      </c>
      <c r="O981" s="17" t="str">
        <f>IF(LEN(COUNTIFS($J$1:J981,$J981,$K$1:K981,$K981,$L$1:L981,$L981,$M$1:M981,M981,$N$1:N981,N981))=1,"00"&amp;COUNTIFS($J$1:J981,$J981,$K$1:K981,$K981,$L$1:L981,$L981,$M$1:M981,M981,$N$1:N981,N981),IF(LEN(COUNTIFS($J$1:J981,$J981,$K$1:K981,$K981,$L$1:L981,$L981,$M$1:M981,M981,$N$1:N981,N981))=2,"0"&amp;COUNTIFS($J$1:J981,$J981,$K$1:K981,$K981,$L$1:L981,$L981,$M$1:M981,M981,$N$1:N981,N981),COUNTIFS($J$1:J981,$J981,$K$1:K981,$K981,$L$1:L981,$L981,$M$1:M981,M981,$N$1:N981,N981)))</f>
        <v>002</v>
      </c>
      <c r="P98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MS-NS-021-06-00002-INV</v>
      </c>
      <c r="Q981" s="59"/>
      <c r="R981" s="34"/>
      <c r="S981" s="34">
        <v>0</v>
      </c>
      <c r="T981" s="34">
        <f>+IFERROR(_xlfn.XLOOKUP(Table43[[#This Row],[Column1]],#REF!,#REF!),0)</f>
        <v>0</v>
      </c>
      <c r="U981" s="50">
        <f>IFERROR(_xlfn.XLOOKUP(Table43[[#This Row],[Column1]],#REF!,#REF!),0)</f>
        <v>0</v>
      </c>
      <c r="V981" s="39"/>
    </row>
    <row r="982" spans="1:22" x14ac:dyDescent="0.35">
      <c r="A982" s="2" t="s">
        <v>3171</v>
      </c>
      <c r="B982" s="2" t="s">
        <v>3172</v>
      </c>
      <c r="C982" s="2" t="s">
        <v>15</v>
      </c>
      <c r="D982" s="2">
        <v>0</v>
      </c>
      <c r="E982" s="3" t="s">
        <v>10</v>
      </c>
      <c r="F982" s="3">
        <v>0</v>
      </c>
      <c r="G982" s="3">
        <v>100</v>
      </c>
      <c r="H982" s="2">
        <v>0</v>
      </c>
      <c r="I982" s="22">
        <f>Table43[[#This Row],[Item Cost]]*Table43[[#This Row],[In Stock]]</f>
        <v>0</v>
      </c>
      <c r="J982" s="12" t="s">
        <v>4941</v>
      </c>
      <c r="K982" s="13" t="s">
        <v>4666</v>
      </c>
      <c r="L982" s="13" t="s">
        <v>4713</v>
      </c>
      <c r="M982" s="13" t="s">
        <v>4827</v>
      </c>
      <c r="N982" s="12" t="s">
        <v>4672</v>
      </c>
      <c r="O982" s="17" t="str">
        <f>IF(LEN(COUNTIFS($J$1:J982,$J982,$K$1:K982,$K982,$L$1:L982,$L982,$M$1:M982,M982,$N$1:N982,N982))=1,"00"&amp;COUNTIFS($J$1:J982,$J982,$K$1:K982,$K982,$L$1:L982,$L982,$M$1:M982,M982,$N$1:N982,N982),IF(LEN(COUNTIFS($J$1:J982,$J982,$K$1:K982,$K982,$L$1:L982,$L982,$M$1:M982,M982,$N$1:N982,N982))=2,"0"&amp;COUNTIFS($J$1:J982,$J982,$K$1:K982,$K982,$L$1:L982,$L982,$M$1:M982,M982,$N$1:N982,N982),COUNTIFS($J$1:J982,$J982,$K$1:K982,$K982,$L$1:L982,$L982,$M$1:M982,M982,$N$1:N982,N982)))</f>
        <v>001</v>
      </c>
      <c r="P98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MS-NS-021-10-00001-INV</v>
      </c>
      <c r="Q982" s="59"/>
      <c r="R982" s="34"/>
      <c r="S982" s="34">
        <v>0</v>
      </c>
      <c r="T982" s="34">
        <f>+IFERROR(_xlfn.XLOOKUP(Table43[[#This Row],[Column1]],#REF!,#REF!),0)</f>
        <v>0</v>
      </c>
      <c r="U982" s="50">
        <f>IFERROR(_xlfn.XLOOKUP(Table43[[#This Row],[Column1]],#REF!,#REF!),0)</f>
        <v>0</v>
      </c>
      <c r="V982" s="39"/>
    </row>
    <row r="983" spans="1:22" x14ac:dyDescent="0.35">
      <c r="A983" s="3" t="s">
        <v>3173</v>
      </c>
      <c r="B983" s="3" t="s">
        <v>3174</v>
      </c>
      <c r="C983" s="2" t="s">
        <v>15</v>
      </c>
      <c r="D983" s="2">
        <v>0</v>
      </c>
      <c r="E983" s="3" t="s">
        <v>10</v>
      </c>
      <c r="F983" s="3">
        <v>0</v>
      </c>
      <c r="G983" s="3">
        <v>100</v>
      </c>
      <c r="H983" s="3">
        <v>0</v>
      </c>
      <c r="I983" s="21">
        <f>Table43[[#This Row],[Item Cost]]*Table43[[#This Row],[In Stock]]</f>
        <v>0</v>
      </c>
      <c r="J983" s="12" t="s">
        <v>4941</v>
      </c>
      <c r="K983" s="13" t="s">
        <v>4666</v>
      </c>
      <c r="L983" s="13" t="s">
        <v>4713</v>
      </c>
      <c r="M983" s="13" t="s">
        <v>4828</v>
      </c>
      <c r="N983" s="12" t="s">
        <v>4672</v>
      </c>
      <c r="O983" s="17" t="str">
        <f>IF(LEN(COUNTIFS($J$1:J983,$J983,$K$1:K983,$K983,$L$1:L983,$L983,$M$1:M983,M983,$N$1:N983,N983))=1,"00"&amp;COUNTIFS($J$1:J983,$J983,$K$1:K983,$K983,$L$1:L983,$L983,$M$1:M983,M983,$N$1:N983,N983),IF(LEN(COUNTIFS($J$1:J983,$J983,$K$1:K983,$K983,$L$1:L983,$L983,$M$1:M983,M983,$N$1:N983,N983))=2,"0"&amp;COUNTIFS($J$1:J983,$J983,$K$1:K983,$K983,$L$1:L983,$L983,$M$1:M983,M983,$N$1:N983,N983),COUNTIFS($J$1:J983,$J983,$K$1:K983,$K983,$L$1:L983,$L983,$M$1:M983,M983,$N$1:N983,N983)))</f>
        <v>001</v>
      </c>
      <c r="P98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MS-NS-021-13-00001-INV</v>
      </c>
      <c r="Q983" s="59"/>
      <c r="R983" s="34"/>
      <c r="S983" s="34">
        <v>0</v>
      </c>
      <c r="T983" s="34">
        <f>+IFERROR(_xlfn.XLOOKUP(Table43[[#This Row],[Column1]],#REF!,#REF!),0)</f>
        <v>0</v>
      </c>
      <c r="U983" s="50">
        <f>IFERROR(_xlfn.XLOOKUP(Table43[[#This Row],[Column1]],#REF!,#REF!),0)</f>
        <v>0</v>
      </c>
      <c r="V983" s="39"/>
    </row>
    <row r="984" spans="1:22" x14ac:dyDescent="0.35">
      <c r="A984" s="2" t="s">
        <v>3175</v>
      </c>
      <c r="B984" s="2" t="s">
        <v>3176</v>
      </c>
      <c r="C984" s="2" t="s">
        <v>15</v>
      </c>
      <c r="D984" s="2">
        <v>0</v>
      </c>
      <c r="E984" s="3" t="s">
        <v>10</v>
      </c>
      <c r="F984" s="3">
        <v>0</v>
      </c>
      <c r="G984" s="3">
        <v>100</v>
      </c>
      <c r="H984" s="2">
        <v>0</v>
      </c>
      <c r="I984" s="22">
        <f>Table43[[#This Row],[Item Cost]]*Table43[[#This Row],[In Stock]]</f>
        <v>0</v>
      </c>
      <c r="J984" s="12" t="s">
        <v>4941</v>
      </c>
      <c r="K984" s="13" t="s">
        <v>4666</v>
      </c>
      <c r="L984" s="13" t="s">
        <v>4713</v>
      </c>
      <c r="M984" s="13" t="s">
        <v>4693</v>
      </c>
      <c r="N984" s="12" t="s">
        <v>4672</v>
      </c>
      <c r="O984" s="17" t="str">
        <f>IF(LEN(COUNTIFS($J$1:J984,$J984,$K$1:K984,$K984,$L$1:L984,$L984,$M$1:M984,M984,$N$1:N984,N984))=1,"00"&amp;COUNTIFS($J$1:J984,$J984,$K$1:K984,$K984,$L$1:L984,$L984,$M$1:M984,M984,$N$1:N984,N984),IF(LEN(COUNTIFS($J$1:J984,$J984,$K$1:K984,$K984,$L$1:L984,$L984,$M$1:M984,M984,$N$1:N984,N984))=2,"0"&amp;COUNTIFS($J$1:J984,$J984,$K$1:K984,$K984,$L$1:L984,$L984,$M$1:M984,M984,$N$1:N984,N984),COUNTIFS($J$1:J984,$J984,$K$1:K984,$K984,$L$1:L984,$L984,$M$1:M984,M984,$N$1:N984,N984)))</f>
        <v>001</v>
      </c>
      <c r="P98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MS-NS-021-23-00001-INV</v>
      </c>
      <c r="Q984" s="59"/>
      <c r="R984" s="34"/>
      <c r="S984" s="34">
        <v>0</v>
      </c>
      <c r="T984" s="34">
        <f>+IFERROR(_xlfn.XLOOKUP(Table43[[#This Row],[Column1]],#REF!,#REF!),0)</f>
        <v>0</v>
      </c>
      <c r="U984" s="50">
        <f>IFERROR(_xlfn.XLOOKUP(Table43[[#This Row],[Column1]],#REF!,#REF!),0)</f>
        <v>0</v>
      </c>
      <c r="V984" s="39"/>
    </row>
    <row r="985" spans="1:22" x14ac:dyDescent="0.35">
      <c r="A985" s="3" t="s">
        <v>3177</v>
      </c>
      <c r="B985" s="3" t="s">
        <v>3178</v>
      </c>
      <c r="C985" s="2" t="s">
        <v>15</v>
      </c>
      <c r="D985" s="2">
        <v>0</v>
      </c>
      <c r="E985" s="3" t="s">
        <v>10</v>
      </c>
      <c r="F985" s="3">
        <v>0</v>
      </c>
      <c r="G985" s="3">
        <v>100</v>
      </c>
      <c r="H985" s="3">
        <v>0</v>
      </c>
      <c r="I985" s="21">
        <f>Table43[[#This Row],[Item Cost]]*Table43[[#This Row],[In Stock]]</f>
        <v>0</v>
      </c>
      <c r="J985" s="12" t="s">
        <v>4941</v>
      </c>
      <c r="K985" s="13" t="s">
        <v>4666</v>
      </c>
      <c r="L985" s="13" t="s">
        <v>4713</v>
      </c>
      <c r="M985" s="13" t="s">
        <v>4693</v>
      </c>
      <c r="N985" s="12" t="s">
        <v>4672</v>
      </c>
      <c r="O985" s="17" t="str">
        <f>IF(LEN(COUNTIFS($J$1:J985,$J985,$K$1:K985,$K985,$L$1:L985,$L985,$M$1:M985,M985,$N$1:N985,N985))=1,"00"&amp;COUNTIFS($J$1:J985,$J985,$K$1:K985,$K985,$L$1:L985,$L985,$M$1:M985,M985,$N$1:N985,N985),IF(LEN(COUNTIFS($J$1:J985,$J985,$K$1:K985,$K985,$L$1:L985,$L985,$M$1:M985,M985,$N$1:N985,N985))=2,"0"&amp;COUNTIFS($J$1:J985,$J985,$K$1:K985,$K985,$L$1:L985,$L985,$M$1:M985,M985,$N$1:N985,N985),COUNTIFS($J$1:J985,$J985,$K$1:K985,$K985,$L$1:L985,$L985,$M$1:M985,M985,$N$1:N985,N985)))</f>
        <v>002</v>
      </c>
      <c r="P98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MS-NS-021-23-00002-INV</v>
      </c>
      <c r="Q985" s="59"/>
      <c r="R985" s="34"/>
      <c r="S985" s="34">
        <v>0</v>
      </c>
      <c r="T985" s="34">
        <f>+IFERROR(_xlfn.XLOOKUP(Table43[[#This Row],[Column1]],#REF!,#REF!),0)</f>
        <v>0</v>
      </c>
      <c r="U985" s="50">
        <f>IFERROR(_xlfn.XLOOKUP(Table43[[#This Row],[Column1]],#REF!,#REF!),0)</f>
        <v>0</v>
      </c>
      <c r="V985" s="39"/>
    </row>
    <row r="986" spans="1:22" x14ac:dyDescent="0.35">
      <c r="A986" s="2" t="s">
        <v>3179</v>
      </c>
      <c r="B986" s="2" t="s">
        <v>3180</v>
      </c>
      <c r="C986" s="2" t="s">
        <v>15</v>
      </c>
      <c r="D986" s="2">
        <v>0</v>
      </c>
      <c r="E986" s="3" t="s">
        <v>10</v>
      </c>
      <c r="F986" s="3">
        <v>0</v>
      </c>
      <c r="G986" s="3">
        <v>100</v>
      </c>
      <c r="H986" s="2">
        <v>0</v>
      </c>
      <c r="I986" s="22">
        <f>Table43[[#This Row],[Item Cost]]*Table43[[#This Row],[In Stock]]</f>
        <v>0</v>
      </c>
      <c r="J986" s="12" t="s">
        <v>4941</v>
      </c>
      <c r="K986" s="13" t="s">
        <v>4666</v>
      </c>
      <c r="L986" s="13" t="s">
        <v>4713</v>
      </c>
      <c r="M986" s="13" t="s">
        <v>4775</v>
      </c>
      <c r="N986" s="12" t="s">
        <v>4672</v>
      </c>
      <c r="O986" s="17" t="str">
        <f>IF(LEN(COUNTIFS($J$1:J986,$J986,$K$1:K986,$K986,$L$1:L986,$L986,$M$1:M986,M986,$N$1:N986,N986))=1,"00"&amp;COUNTIFS($J$1:J986,$J986,$K$1:K986,$K986,$L$1:L986,$L986,$M$1:M986,M986,$N$1:N986,N986),IF(LEN(COUNTIFS($J$1:J986,$J986,$K$1:K986,$K986,$L$1:L986,$L986,$M$1:M986,M986,$N$1:N986,N986))=2,"0"&amp;COUNTIFS($J$1:J986,$J986,$K$1:K986,$K986,$L$1:L986,$L986,$M$1:M986,M986,$N$1:N986,N986),COUNTIFS($J$1:J986,$J986,$K$1:K986,$K986,$L$1:L986,$L986,$M$1:M986,M986,$N$1:N986,N986)))</f>
        <v>001</v>
      </c>
      <c r="P98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MS-NS-021-09-00001-INV</v>
      </c>
      <c r="Q986" s="59"/>
      <c r="R986" s="34"/>
      <c r="S986" s="34">
        <v>0</v>
      </c>
      <c r="T986" s="34">
        <f>+IFERROR(_xlfn.XLOOKUP(Table43[[#This Row],[Column1]],#REF!,#REF!),0)</f>
        <v>0</v>
      </c>
      <c r="U986" s="50">
        <f>IFERROR(_xlfn.XLOOKUP(Table43[[#This Row],[Column1]],#REF!,#REF!),0)</f>
        <v>0</v>
      </c>
      <c r="V986" s="39"/>
    </row>
    <row r="987" spans="1:22" x14ac:dyDescent="0.35">
      <c r="A987" s="3" t="s">
        <v>3181</v>
      </c>
      <c r="B987" s="3" t="s">
        <v>268</v>
      </c>
      <c r="C987" s="3" t="s">
        <v>9</v>
      </c>
      <c r="D987" s="5">
        <v>3600</v>
      </c>
      <c r="E987" s="3" t="s">
        <v>10</v>
      </c>
      <c r="F987" s="2">
        <v>1</v>
      </c>
      <c r="G987" s="3">
        <v>2</v>
      </c>
      <c r="H987" s="3">
        <v>2</v>
      </c>
      <c r="I987" s="21">
        <f>Table43[[#This Row],[Item Cost]]*Table43[[#This Row],[In Stock]]</f>
        <v>7200</v>
      </c>
      <c r="J987" s="12" t="s">
        <v>4941</v>
      </c>
      <c r="K987" s="13" t="s">
        <v>4664</v>
      </c>
      <c r="L987" s="13" t="s">
        <v>4713</v>
      </c>
      <c r="M987" s="13" t="s">
        <v>4693</v>
      </c>
      <c r="N987" s="12" t="s">
        <v>4672</v>
      </c>
      <c r="O987" s="17" t="str">
        <f>IF(LEN(COUNTIFS($J$1:J987,$J987,$K$1:K987,$K987,$L$1:L987,$L987,$M$1:M987,M987,$N$1:N987,N987))=1,"00"&amp;COUNTIFS($J$1:J987,$J987,$K$1:K987,$K987,$L$1:L987,$L987,$M$1:M987,M987,$N$1:N987,N987),IF(LEN(COUNTIFS($J$1:J987,$J987,$K$1:K987,$K987,$L$1:L987,$L987,$M$1:M987,M987,$N$1:N987,N987))=2,"0"&amp;COUNTIFS($J$1:J987,$J987,$K$1:K987,$K987,$L$1:L987,$L987,$M$1:M987,M987,$N$1:N987,N987),COUNTIFS($J$1:J987,$J987,$K$1:K987,$K987,$L$1:L987,$L987,$M$1:M987,M987,$N$1:N987,N987)))</f>
        <v>001</v>
      </c>
      <c r="P98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MS-CS-021-23-00001-INV</v>
      </c>
      <c r="Q987" s="59"/>
      <c r="R987" s="34" t="s">
        <v>6694</v>
      </c>
      <c r="S987" s="34" t="s">
        <v>268</v>
      </c>
      <c r="T987" s="34">
        <f>+IFERROR(_xlfn.XLOOKUP(Table43[[#This Row],[Column1]],#REF!,#REF!),0)</f>
        <v>0</v>
      </c>
      <c r="U987" s="50">
        <f>IFERROR(_xlfn.XLOOKUP(Table43[[#This Row],[Column1]],#REF!,#REF!),0)</f>
        <v>0</v>
      </c>
      <c r="V987" s="39"/>
    </row>
    <row r="988" spans="1:22" x14ac:dyDescent="0.35">
      <c r="A988" s="2" t="s">
        <v>3182</v>
      </c>
      <c r="B988" s="2" t="s">
        <v>3183</v>
      </c>
      <c r="C988" s="2" t="s">
        <v>9</v>
      </c>
      <c r="D988" s="2">
        <v>250</v>
      </c>
      <c r="E988" s="2" t="s">
        <v>10</v>
      </c>
      <c r="F988" s="2">
        <v>1</v>
      </c>
      <c r="G988" s="3">
        <v>2</v>
      </c>
      <c r="H988" s="2">
        <v>9</v>
      </c>
      <c r="I988" s="22">
        <f>Table43[[#This Row],[Item Cost]]*Table43[[#This Row],[In Stock]]</f>
        <v>2250</v>
      </c>
      <c r="J988" s="12" t="s">
        <v>4941</v>
      </c>
      <c r="K988" s="13" t="s">
        <v>4664</v>
      </c>
      <c r="L988" s="13" t="s">
        <v>4713</v>
      </c>
      <c r="M988" s="13" t="s">
        <v>4693</v>
      </c>
      <c r="N988" s="12" t="s">
        <v>4672</v>
      </c>
      <c r="O988" s="17" t="str">
        <f>IF(LEN(COUNTIFS($J$1:J988,$J988,$K$1:K988,$K988,$L$1:L988,$L988,$M$1:M988,M988,$N$1:N988,N988))=1,"00"&amp;COUNTIFS($J$1:J988,$J988,$K$1:K988,$K988,$L$1:L988,$L988,$M$1:M988,M988,$N$1:N988,N988),IF(LEN(COUNTIFS($J$1:J988,$J988,$K$1:K988,$K988,$L$1:L988,$L988,$M$1:M988,M988,$N$1:N988,N988))=2,"0"&amp;COUNTIFS($J$1:J988,$J988,$K$1:K988,$K988,$L$1:L988,$L988,$M$1:M988,M988,$N$1:N988,N988),COUNTIFS($J$1:J988,$J988,$K$1:K988,$K988,$L$1:L988,$L988,$M$1:M988,M988,$N$1:N988,N988)))</f>
        <v>002</v>
      </c>
      <c r="P98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MS-CS-021-23-00002-INV</v>
      </c>
      <c r="Q988" s="59"/>
      <c r="R988" s="34" t="s">
        <v>6695</v>
      </c>
      <c r="S988" s="34" t="s">
        <v>3183</v>
      </c>
      <c r="T988" s="34">
        <f>+IFERROR(_xlfn.XLOOKUP(Table43[[#This Row],[Column1]],#REF!,#REF!),0)</f>
        <v>0</v>
      </c>
      <c r="U988" s="50">
        <f>IFERROR(_xlfn.XLOOKUP(Table43[[#This Row],[Column1]],#REF!,#REF!),0)</f>
        <v>0</v>
      </c>
      <c r="V988" s="39"/>
    </row>
    <row r="989" spans="1:22" x14ac:dyDescent="0.35">
      <c r="A989" s="3" t="s">
        <v>3184</v>
      </c>
      <c r="B989" s="3" t="s">
        <v>3185</v>
      </c>
      <c r="C989" s="2" t="s">
        <v>15</v>
      </c>
      <c r="D989" s="2">
        <v>0</v>
      </c>
      <c r="E989" s="3" t="s">
        <v>10</v>
      </c>
      <c r="F989" s="3">
        <v>0</v>
      </c>
      <c r="G989" s="3">
        <v>100</v>
      </c>
      <c r="H989" s="3">
        <v>0</v>
      </c>
      <c r="I989" s="21">
        <f>Table43[[#This Row],[Item Cost]]*Table43[[#This Row],[In Stock]]</f>
        <v>0</v>
      </c>
      <c r="J989" s="12" t="s">
        <v>4941</v>
      </c>
      <c r="K989" s="13" t="s">
        <v>4666</v>
      </c>
      <c r="L989" s="13" t="s">
        <v>4713</v>
      </c>
      <c r="M989" s="13" t="s">
        <v>4693</v>
      </c>
      <c r="N989" s="12" t="s">
        <v>4672</v>
      </c>
      <c r="O989" s="17" t="str">
        <f>IF(LEN(COUNTIFS($J$1:J989,$J989,$K$1:K989,$K989,$L$1:L989,$L989,$M$1:M989,M989,$N$1:N989,N989))=1,"00"&amp;COUNTIFS($J$1:J989,$J989,$K$1:K989,$K989,$L$1:L989,$L989,$M$1:M989,M989,$N$1:N989,N989),IF(LEN(COUNTIFS($J$1:J989,$J989,$K$1:K989,$K989,$L$1:L989,$L989,$M$1:M989,M989,$N$1:N989,N989))=2,"0"&amp;COUNTIFS($J$1:J989,$J989,$K$1:K989,$K989,$L$1:L989,$L989,$M$1:M989,M989,$N$1:N989,N989),COUNTIFS($J$1:J989,$J989,$K$1:K989,$K989,$L$1:L989,$L989,$M$1:M989,M989,$N$1:N989,N989)))</f>
        <v>003</v>
      </c>
      <c r="P98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MS-NS-021-23-00003-INV</v>
      </c>
      <c r="Q989" s="59"/>
      <c r="R989" s="34"/>
      <c r="S989" s="34">
        <v>0</v>
      </c>
      <c r="T989" s="34">
        <f>+IFERROR(_xlfn.XLOOKUP(Table43[[#This Row],[Column1]],#REF!,#REF!),0)</f>
        <v>0</v>
      </c>
      <c r="U989" s="50">
        <f>IFERROR(_xlfn.XLOOKUP(Table43[[#This Row],[Column1]],#REF!,#REF!),0)</f>
        <v>0</v>
      </c>
      <c r="V989" s="39"/>
    </row>
    <row r="990" spans="1:22" x14ac:dyDescent="0.35">
      <c r="A990" s="2" t="s">
        <v>3186</v>
      </c>
      <c r="B990" s="2" t="s">
        <v>3187</v>
      </c>
      <c r="C990" s="2" t="s">
        <v>15</v>
      </c>
      <c r="D990" s="2">
        <v>0</v>
      </c>
      <c r="E990" s="3" t="s">
        <v>10</v>
      </c>
      <c r="F990" s="3">
        <v>0</v>
      </c>
      <c r="G990" s="3">
        <v>100</v>
      </c>
      <c r="H990" s="2">
        <v>0</v>
      </c>
      <c r="I990" s="22">
        <f>Table43[[#This Row],[Item Cost]]*Table43[[#This Row],[In Stock]]</f>
        <v>0</v>
      </c>
      <c r="J990" s="12" t="s">
        <v>4941</v>
      </c>
      <c r="K990" s="13" t="s">
        <v>4666</v>
      </c>
      <c r="L990" s="13" t="s">
        <v>4713</v>
      </c>
      <c r="M990" s="13" t="s">
        <v>4693</v>
      </c>
      <c r="N990" s="12" t="s">
        <v>4672</v>
      </c>
      <c r="O990" s="17" t="str">
        <f>IF(LEN(COUNTIFS($J$1:J990,$J990,$K$1:K990,$K990,$L$1:L990,$L990,$M$1:M990,M990,$N$1:N990,N990))=1,"00"&amp;COUNTIFS($J$1:J990,$J990,$K$1:K990,$K990,$L$1:L990,$L990,$M$1:M990,M990,$N$1:N990,N990),IF(LEN(COUNTIFS($J$1:J990,$J990,$K$1:K990,$K990,$L$1:L990,$L990,$M$1:M990,M990,$N$1:N990,N990))=2,"0"&amp;COUNTIFS($J$1:J990,$J990,$K$1:K990,$K990,$L$1:L990,$L990,$M$1:M990,M990,$N$1:N990,N990),COUNTIFS($J$1:J990,$J990,$K$1:K990,$K990,$L$1:L990,$L990,$M$1:M990,M990,$N$1:N990,N990)))</f>
        <v>004</v>
      </c>
      <c r="P99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MS-NS-021-23-00004-INV</v>
      </c>
      <c r="Q990" s="59"/>
      <c r="R990" s="34"/>
      <c r="S990" s="34">
        <v>0</v>
      </c>
      <c r="T990" s="34">
        <f>+IFERROR(_xlfn.XLOOKUP(Table43[[#This Row],[Column1]],#REF!,#REF!),0)</f>
        <v>0</v>
      </c>
      <c r="U990" s="50">
        <f>IFERROR(_xlfn.XLOOKUP(Table43[[#This Row],[Column1]],#REF!,#REF!),0)</f>
        <v>0</v>
      </c>
      <c r="V990" s="39"/>
    </row>
    <row r="991" spans="1:22" x14ac:dyDescent="0.35">
      <c r="A991" s="3" t="s">
        <v>3188</v>
      </c>
      <c r="B991" s="3" t="s">
        <v>3189</v>
      </c>
      <c r="C991" s="2" t="s">
        <v>15</v>
      </c>
      <c r="D991" s="2">
        <v>0</v>
      </c>
      <c r="E991" s="3" t="s">
        <v>10</v>
      </c>
      <c r="F991" s="3">
        <v>0</v>
      </c>
      <c r="G991" s="3">
        <v>100</v>
      </c>
      <c r="H991" s="3">
        <v>0</v>
      </c>
      <c r="I991" s="21">
        <f>Table43[[#This Row],[Item Cost]]*Table43[[#This Row],[In Stock]]</f>
        <v>0</v>
      </c>
      <c r="J991" s="12" t="s">
        <v>4941</v>
      </c>
      <c r="K991" s="13" t="s">
        <v>4666</v>
      </c>
      <c r="L991" s="13" t="s">
        <v>4713</v>
      </c>
      <c r="M991" s="13" t="s">
        <v>4693</v>
      </c>
      <c r="N991" s="12" t="s">
        <v>4672</v>
      </c>
      <c r="O991" s="17" t="str">
        <f>IF(LEN(COUNTIFS($J$1:J991,$J991,$K$1:K991,$K991,$L$1:L991,$L991,$M$1:M991,M991,$N$1:N991,N991))=1,"00"&amp;COUNTIFS($J$1:J991,$J991,$K$1:K991,$K991,$L$1:L991,$L991,$M$1:M991,M991,$N$1:N991,N991),IF(LEN(COUNTIFS($J$1:J991,$J991,$K$1:K991,$K991,$L$1:L991,$L991,$M$1:M991,M991,$N$1:N991,N991))=2,"0"&amp;COUNTIFS($J$1:J991,$J991,$K$1:K991,$K991,$L$1:L991,$L991,$M$1:M991,M991,$N$1:N991,N991),COUNTIFS($J$1:J991,$J991,$K$1:K991,$K991,$L$1:L991,$L991,$M$1:M991,M991,$N$1:N991,N991)))</f>
        <v>005</v>
      </c>
      <c r="P99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MS-NS-021-23-00005-INV</v>
      </c>
      <c r="Q991" s="59"/>
      <c r="R991" s="34"/>
      <c r="S991" s="34">
        <v>0</v>
      </c>
      <c r="T991" s="34">
        <f>+IFERROR(_xlfn.XLOOKUP(Table43[[#This Row],[Column1]],#REF!,#REF!),0)</f>
        <v>0</v>
      </c>
      <c r="U991" s="50">
        <f>IFERROR(_xlfn.XLOOKUP(Table43[[#This Row],[Column1]],#REF!,#REF!),0)</f>
        <v>0</v>
      </c>
      <c r="V991" s="39"/>
    </row>
    <row r="992" spans="1:22" x14ac:dyDescent="0.35">
      <c r="A992" s="2" t="s">
        <v>3190</v>
      </c>
      <c r="B992" s="2" t="s">
        <v>3191</v>
      </c>
      <c r="C992" s="2" t="s">
        <v>15</v>
      </c>
      <c r="D992" s="2">
        <v>0</v>
      </c>
      <c r="E992" s="3" t="s">
        <v>10</v>
      </c>
      <c r="F992" s="3">
        <v>0</v>
      </c>
      <c r="G992" s="3">
        <v>100</v>
      </c>
      <c r="H992" s="2">
        <v>0</v>
      </c>
      <c r="I992" s="22">
        <f>Table43[[#This Row],[Item Cost]]*Table43[[#This Row],[In Stock]]</f>
        <v>0</v>
      </c>
      <c r="J992" s="12" t="s">
        <v>4941</v>
      </c>
      <c r="K992" s="13" t="s">
        <v>4666</v>
      </c>
      <c r="L992" s="13" t="s">
        <v>4713</v>
      </c>
      <c r="M992" s="13" t="s">
        <v>4693</v>
      </c>
      <c r="N992" s="12" t="s">
        <v>4672</v>
      </c>
      <c r="O992" s="17" t="str">
        <f>IF(LEN(COUNTIFS($J$1:J992,$J992,$K$1:K992,$K992,$L$1:L992,$L992,$M$1:M992,M992,$N$1:N992,N992))=1,"00"&amp;COUNTIFS($J$1:J992,$J992,$K$1:K992,$K992,$L$1:L992,$L992,$M$1:M992,M992,$N$1:N992,N992),IF(LEN(COUNTIFS($J$1:J992,$J992,$K$1:K992,$K992,$L$1:L992,$L992,$M$1:M992,M992,$N$1:N992,N992))=2,"0"&amp;COUNTIFS($J$1:J992,$J992,$K$1:K992,$K992,$L$1:L992,$L992,$M$1:M992,M992,$N$1:N992,N992),COUNTIFS($J$1:J992,$J992,$K$1:K992,$K992,$L$1:L992,$L992,$M$1:M992,M992,$N$1:N992,N992)))</f>
        <v>006</v>
      </c>
      <c r="P99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MS-NS-021-23-00006-INV</v>
      </c>
      <c r="Q992" s="59"/>
      <c r="R992" s="34"/>
      <c r="S992" s="34">
        <v>0</v>
      </c>
      <c r="T992" s="34">
        <f>+IFERROR(_xlfn.XLOOKUP(Table43[[#This Row],[Column1]],#REF!,#REF!),0)</f>
        <v>0</v>
      </c>
      <c r="U992" s="50">
        <f>IFERROR(_xlfn.XLOOKUP(Table43[[#This Row],[Column1]],#REF!,#REF!),0)</f>
        <v>0</v>
      </c>
      <c r="V992" s="39"/>
    </row>
    <row r="993" spans="1:22" x14ac:dyDescent="0.35">
      <c r="A993" s="3" t="s">
        <v>3192</v>
      </c>
      <c r="B993" s="3" t="s">
        <v>3193</v>
      </c>
      <c r="C993" s="2" t="s">
        <v>15</v>
      </c>
      <c r="D993" s="2">
        <v>0</v>
      </c>
      <c r="E993" s="3" t="s">
        <v>10</v>
      </c>
      <c r="F993" s="3">
        <v>0</v>
      </c>
      <c r="G993" s="3">
        <v>100</v>
      </c>
      <c r="H993" s="3">
        <v>0</v>
      </c>
      <c r="I993" s="21">
        <f>Table43[[#This Row],[Item Cost]]*Table43[[#This Row],[In Stock]]</f>
        <v>0</v>
      </c>
      <c r="J993" s="12" t="s">
        <v>4941</v>
      </c>
      <c r="K993" s="13" t="s">
        <v>4666</v>
      </c>
      <c r="L993" s="13" t="s">
        <v>4713</v>
      </c>
      <c r="M993" s="13" t="s">
        <v>4837</v>
      </c>
      <c r="N993" s="12" t="s">
        <v>4672</v>
      </c>
      <c r="O993" s="17" t="str">
        <f>IF(LEN(COUNTIFS($J$1:J993,$J993,$K$1:K993,$K993,$L$1:L993,$L993,$M$1:M993,M993,$N$1:N993,N993))=1,"00"&amp;COUNTIFS($J$1:J993,$J993,$K$1:K993,$K993,$L$1:L993,$L993,$M$1:M993,M993,$N$1:N993,N993),IF(LEN(COUNTIFS($J$1:J993,$J993,$K$1:K993,$K993,$L$1:L993,$L993,$M$1:M993,M993,$N$1:N993,N993))=2,"0"&amp;COUNTIFS($J$1:J993,$J993,$K$1:K993,$K993,$L$1:L993,$L993,$M$1:M993,M993,$N$1:N993,N993),COUNTIFS($J$1:J993,$J993,$K$1:K993,$K993,$L$1:L993,$L993,$M$1:M993,M993,$N$1:N993,N993)))</f>
        <v>001</v>
      </c>
      <c r="P99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MS-NS-021-26-00001-INV</v>
      </c>
      <c r="Q993" s="59"/>
      <c r="R993" s="34"/>
      <c r="S993" s="34">
        <v>0</v>
      </c>
      <c r="T993" s="34">
        <f>+IFERROR(_xlfn.XLOOKUP(Table43[[#This Row],[Column1]],#REF!,#REF!),0)</f>
        <v>0</v>
      </c>
      <c r="U993" s="50">
        <f>IFERROR(_xlfn.XLOOKUP(Table43[[#This Row],[Column1]],#REF!,#REF!),0)</f>
        <v>0</v>
      </c>
      <c r="V993" s="39"/>
    </row>
    <row r="994" spans="1:22" x14ac:dyDescent="0.35">
      <c r="A994" s="2" t="s">
        <v>3194</v>
      </c>
      <c r="B994" s="2" t="s">
        <v>3195</v>
      </c>
      <c r="C994" s="2" t="s">
        <v>15</v>
      </c>
      <c r="D994" s="2">
        <v>0</v>
      </c>
      <c r="E994" s="3" t="s">
        <v>10</v>
      </c>
      <c r="F994" s="3">
        <v>0</v>
      </c>
      <c r="G994" s="3">
        <v>100</v>
      </c>
      <c r="H994" s="2">
        <v>3</v>
      </c>
      <c r="I994" s="22">
        <f>Table43[[#This Row],[Item Cost]]*Table43[[#This Row],[In Stock]]</f>
        <v>0</v>
      </c>
      <c r="J994" s="12" t="s">
        <v>4941</v>
      </c>
      <c r="K994" s="13" t="s">
        <v>4666</v>
      </c>
      <c r="L994" s="13" t="s">
        <v>4713</v>
      </c>
      <c r="M994" s="13" t="s">
        <v>4693</v>
      </c>
      <c r="N994" s="12" t="s">
        <v>4672</v>
      </c>
      <c r="O994" s="17" t="str">
        <f>IF(LEN(COUNTIFS($J$1:J994,$J994,$K$1:K994,$K994,$L$1:L994,$L994,$M$1:M994,M994,$N$1:N994,N994))=1,"00"&amp;COUNTIFS($J$1:J994,$J994,$K$1:K994,$K994,$L$1:L994,$L994,$M$1:M994,M994,$N$1:N994,N994),IF(LEN(COUNTIFS($J$1:J994,$J994,$K$1:K994,$K994,$L$1:L994,$L994,$M$1:M994,M994,$N$1:N994,N994))=2,"0"&amp;COUNTIFS($J$1:J994,$J994,$K$1:K994,$K994,$L$1:L994,$L994,$M$1:M994,M994,$N$1:N994,N994),COUNTIFS($J$1:J994,$J994,$K$1:K994,$K994,$L$1:L994,$L994,$M$1:M994,M994,$N$1:N994,N994)))</f>
        <v>007</v>
      </c>
      <c r="P99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MS-NS-021-23-00007-INV</v>
      </c>
      <c r="Q994" s="59"/>
      <c r="R994" s="34" t="s">
        <v>6696</v>
      </c>
      <c r="S994" s="34" t="s">
        <v>3195</v>
      </c>
      <c r="T994" s="34">
        <f>+IFERROR(_xlfn.XLOOKUP(Table43[[#This Row],[Column1]],#REF!,#REF!),0)</f>
        <v>0</v>
      </c>
      <c r="U994" s="50">
        <f>IFERROR(_xlfn.XLOOKUP(Table43[[#This Row],[Column1]],#REF!,#REF!),0)</f>
        <v>0</v>
      </c>
      <c r="V994" s="39"/>
    </row>
    <row r="995" spans="1:22" x14ac:dyDescent="0.35">
      <c r="A995" s="2" t="s">
        <v>3198</v>
      </c>
      <c r="B995" s="2" t="s">
        <v>3199</v>
      </c>
      <c r="C995" s="2" t="s">
        <v>15</v>
      </c>
      <c r="D995" s="2">
        <v>194</v>
      </c>
      <c r="E995" s="2" t="s">
        <v>10</v>
      </c>
      <c r="F995" s="2">
        <v>0</v>
      </c>
      <c r="G995" s="2">
        <v>1</v>
      </c>
      <c r="H995" s="2">
        <v>1</v>
      </c>
      <c r="I995" s="22">
        <f>Table43[[#This Row],[Item Cost]]*Table43[[#This Row],[In Stock]]</f>
        <v>194</v>
      </c>
      <c r="J995" s="12" t="s">
        <v>4941</v>
      </c>
      <c r="K995" s="13" t="s">
        <v>4666</v>
      </c>
      <c r="L995" s="13" t="s">
        <v>4713</v>
      </c>
      <c r="M995" s="13" t="s">
        <v>4693</v>
      </c>
      <c r="N995" s="12" t="s">
        <v>4672</v>
      </c>
      <c r="O995" s="17" t="str">
        <f>IF(LEN(COUNTIFS($J$1:J995,$J995,$K$1:K995,$K995,$L$1:L995,$L995,$M$1:M995,M995,$N$1:N995,N995))=1,"00"&amp;COUNTIFS($J$1:J995,$J995,$K$1:K995,$K995,$L$1:L995,$L995,$M$1:M995,M995,$N$1:N995,N995),IF(LEN(COUNTIFS($J$1:J995,$J995,$K$1:K995,$K995,$L$1:L995,$L995,$M$1:M995,M995,$N$1:N995,N995))=2,"0"&amp;COUNTIFS($J$1:J995,$J995,$K$1:K995,$K995,$L$1:L995,$L995,$M$1:M995,M995,$N$1:N995,N995),COUNTIFS($J$1:J995,$J995,$K$1:K995,$K995,$L$1:L995,$L995,$M$1:M995,M995,$N$1:N995,N995)))</f>
        <v>008</v>
      </c>
      <c r="P99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MS-NS-021-23-00008-INV</v>
      </c>
      <c r="Q995" s="59"/>
      <c r="R995" s="34" t="s">
        <v>6697</v>
      </c>
      <c r="S995" s="34" t="s">
        <v>3199</v>
      </c>
      <c r="T995" s="34">
        <f>+IFERROR(_xlfn.XLOOKUP(Table43[[#This Row],[Column1]],#REF!,#REF!),0)</f>
        <v>0</v>
      </c>
      <c r="U995" s="50">
        <f>IFERROR(_xlfn.XLOOKUP(Table43[[#This Row],[Column1]],#REF!,#REF!),0)</f>
        <v>0</v>
      </c>
      <c r="V995" s="39"/>
    </row>
    <row r="996" spans="1:22" x14ac:dyDescent="0.35">
      <c r="A996" s="3" t="s">
        <v>3200</v>
      </c>
      <c r="B996" s="3" t="s">
        <v>3201</v>
      </c>
      <c r="C996" s="3" t="s">
        <v>15</v>
      </c>
      <c r="D996" s="3">
        <v>90</v>
      </c>
      <c r="E996" s="3" t="s">
        <v>10</v>
      </c>
      <c r="F996" s="2">
        <v>0</v>
      </c>
      <c r="G996" s="2">
        <v>1</v>
      </c>
      <c r="H996" s="3">
        <v>4</v>
      </c>
      <c r="I996" s="21">
        <f>Table43[[#This Row],[Item Cost]]*Table43[[#This Row],[In Stock]]</f>
        <v>360</v>
      </c>
      <c r="J996" s="12" t="s">
        <v>4941</v>
      </c>
      <c r="K996" s="13" t="s">
        <v>4666</v>
      </c>
      <c r="L996" s="13" t="s">
        <v>4713</v>
      </c>
      <c r="M996" s="13" t="s">
        <v>4828</v>
      </c>
      <c r="N996" s="12" t="s">
        <v>4672</v>
      </c>
      <c r="O996" s="17" t="str">
        <f>IF(LEN(COUNTIFS($J$1:J996,$J996,$K$1:K996,$K996,$L$1:L996,$L996,$M$1:M996,M996,$N$1:N996,N996))=1,"00"&amp;COUNTIFS($J$1:J996,$J996,$K$1:K996,$K996,$L$1:L996,$L996,$M$1:M996,M996,$N$1:N996,N996),IF(LEN(COUNTIFS($J$1:J996,$J996,$K$1:K996,$K996,$L$1:L996,$L996,$M$1:M996,M996,$N$1:N996,N996))=2,"0"&amp;COUNTIFS($J$1:J996,$J996,$K$1:K996,$K996,$L$1:L996,$L996,$M$1:M996,M996,$N$1:N996,N996),COUNTIFS($J$1:J996,$J996,$K$1:K996,$K996,$L$1:L996,$L996,$M$1:M996,M996,$N$1:N996,N996)))</f>
        <v>002</v>
      </c>
      <c r="P99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MS-NS-021-13-00002-INV</v>
      </c>
      <c r="Q996" s="59"/>
      <c r="R996" s="34" t="s">
        <v>6698</v>
      </c>
      <c r="S996" s="34" t="s">
        <v>3201</v>
      </c>
      <c r="T996" s="34">
        <f>+IFERROR(_xlfn.XLOOKUP(Table43[[#This Row],[Column1]],#REF!,#REF!),0)</f>
        <v>0</v>
      </c>
      <c r="U996" s="50">
        <f>IFERROR(_xlfn.XLOOKUP(Table43[[#This Row],[Column1]],#REF!,#REF!),0)</f>
        <v>0</v>
      </c>
      <c r="V996" s="39"/>
    </row>
    <row r="997" spans="1:22" x14ac:dyDescent="0.35">
      <c r="A997" s="2" t="s">
        <v>3202</v>
      </c>
      <c r="B997" s="2" t="s">
        <v>3203</v>
      </c>
      <c r="C997" s="2" t="s">
        <v>15</v>
      </c>
      <c r="D997" s="2">
        <v>0</v>
      </c>
      <c r="E997" s="3" t="s">
        <v>10</v>
      </c>
      <c r="F997" s="3">
        <v>0</v>
      </c>
      <c r="G997" s="3">
        <v>100</v>
      </c>
      <c r="H997" s="2">
        <v>0</v>
      </c>
      <c r="I997" s="22">
        <f>Table43[[#This Row],[Item Cost]]*Table43[[#This Row],[In Stock]]</f>
        <v>0</v>
      </c>
      <c r="J997" s="12" t="s">
        <v>4941</v>
      </c>
      <c r="K997" s="13" t="s">
        <v>4666</v>
      </c>
      <c r="L997" s="13" t="s">
        <v>4713</v>
      </c>
      <c r="M997" s="13" t="s">
        <v>4772</v>
      </c>
      <c r="N997" s="12" t="s">
        <v>4672</v>
      </c>
      <c r="O997" s="17" t="str">
        <f>IF(LEN(COUNTIFS($J$1:J997,$J997,$K$1:K997,$K997,$L$1:L997,$L997,$M$1:M997,M997,$N$1:N997,N997))=1,"00"&amp;COUNTIFS($J$1:J997,$J997,$K$1:K997,$K997,$L$1:L997,$L997,$M$1:M997,M997,$N$1:N997,N997),IF(LEN(COUNTIFS($J$1:J997,$J997,$K$1:K997,$K997,$L$1:L997,$L997,$M$1:M997,M997,$N$1:N997,N997))=2,"0"&amp;COUNTIFS($J$1:J997,$J997,$K$1:K997,$K997,$L$1:L997,$L997,$M$1:M997,M997,$N$1:N997,N997),COUNTIFS($J$1:J997,$J997,$K$1:K997,$K997,$L$1:L997,$L997,$M$1:M997,M997,$N$1:N997,N997)))</f>
        <v>003</v>
      </c>
      <c r="P99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MS-NS-021-06-00003-INV</v>
      </c>
      <c r="Q997" s="59"/>
      <c r="R997" s="34"/>
      <c r="S997" s="34">
        <v>0</v>
      </c>
      <c r="T997" s="34">
        <f>+IFERROR(_xlfn.XLOOKUP(Table43[[#This Row],[Column1]],#REF!,#REF!),0)</f>
        <v>0</v>
      </c>
      <c r="U997" s="50">
        <f>IFERROR(_xlfn.XLOOKUP(Table43[[#This Row],[Column1]],#REF!,#REF!),0)</f>
        <v>0</v>
      </c>
      <c r="V997" s="39"/>
    </row>
    <row r="998" spans="1:22" x14ac:dyDescent="0.35">
      <c r="A998" s="3" t="s">
        <v>3204</v>
      </c>
      <c r="B998" s="3" t="s">
        <v>3205</v>
      </c>
      <c r="C998" s="3" t="s">
        <v>15</v>
      </c>
      <c r="D998" s="3">
        <v>144</v>
      </c>
      <c r="E998" s="3" t="s">
        <v>10</v>
      </c>
      <c r="F998" s="2">
        <v>0</v>
      </c>
      <c r="G998" s="2">
        <v>1</v>
      </c>
      <c r="H998" s="3">
        <v>2</v>
      </c>
      <c r="I998" s="21">
        <f>Table43[[#This Row],[Item Cost]]*Table43[[#This Row],[In Stock]]</f>
        <v>288</v>
      </c>
      <c r="J998" s="12" t="s">
        <v>4941</v>
      </c>
      <c r="K998" s="13" t="s">
        <v>4666</v>
      </c>
      <c r="L998" s="13" t="s">
        <v>4713</v>
      </c>
      <c r="M998" s="13" t="s">
        <v>4693</v>
      </c>
      <c r="N998" s="12" t="s">
        <v>4672</v>
      </c>
      <c r="O998" s="17" t="str">
        <f>IF(LEN(COUNTIFS($J$1:J998,$J998,$K$1:K998,$K998,$L$1:L998,$L998,$M$1:M998,M998,$N$1:N998,N998))=1,"00"&amp;COUNTIFS($J$1:J998,$J998,$K$1:K998,$K998,$L$1:L998,$L998,$M$1:M998,M998,$N$1:N998,N998),IF(LEN(COUNTIFS($J$1:J998,$J998,$K$1:K998,$K998,$L$1:L998,$L998,$M$1:M998,M998,$N$1:N998,N998))=2,"0"&amp;COUNTIFS($J$1:J998,$J998,$K$1:K998,$K998,$L$1:L998,$L998,$M$1:M998,M998,$N$1:N998,N998),COUNTIFS($J$1:J998,$J998,$K$1:K998,$K998,$L$1:L998,$L998,$M$1:M998,M998,$N$1:N998,N998)))</f>
        <v>009</v>
      </c>
      <c r="P99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MS-NS-021-23-00009-INV</v>
      </c>
      <c r="Q998" s="59" t="s">
        <v>7346</v>
      </c>
      <c r="R998" s="34" t="s">
        <v>6699</v>
      </c>
      <c r="S998" s="34" t="s">
        <v>3205</v>
      </c>
      <c r="T998" s="34">
        <f>+IFERROR(_xlfn.XLOOKUP(Table43[[#This Row],[Column1]],#REF!,#REF!),0)</f>
        <v>0</v>
      </c>
      <c r="U998" s="50">
        <f>IFERROR(_xlfn.XLOOKUP(Table43[[#This Row],[Column1]],#REF!,#REF!),0)</f>
        <v>0</v>
      </c>
      <c r="V998" s="39"/>
    </row>
    <row r="999" spans="1:22" x14ac:dyDescent="0.35">
      <c r="A999" s="2" t="s">
        <v>3206</v>
      </c>
      <c r="B999" s="2" t="s">
        <v>3207</v>
      </c>
      <c r="C999" s="2" t="s">
        <v>15</v>
      </c>
      <c r="D999" s="2">
        <v>152</v>
      </c>
      <c r="E999" s="2" t="s">
        <v>10</v>
      </c>
      <c r="F999" s="2">
        <v>0</v>
      </c>
      <c r="G999" s="2">
        <v>1</v>
      </c>
      <c r="H999" s="2">
        <v>2</v>
      </c>
      <c r="I999" s="22">
        <f>Table43[[#This Row],[Item Cost]]*Table43[[#This Row],[In Stock]]</f>
        <v>304</v>
      </c>
      <c r="J999" s="12" t="s">
        <v>4941</v>
      </c>
      <c r="K999" s="13" t="s">
        <v>4666</v>
      </c>
      <c r="L999" s="13" t="s">
        <v>4713</v>
      </c>
      <c r="M999" s="13" t="s">
        <v>4693</v>
      </c>
      <c r="N999" s="12" t="s">
        <v>4672</v>
      </c>
      <c r="O999" s="17" t="str">
        <f>IF(LEN(COUNTIFS($J$1:J999,$J999,$K$1:K999,$K999,$L$1:L999,$L999,$M$1:M999,M999,$N$1:N999,N999))=1,"00"&amp;COUNTIFS($J$1:J999,$J999,$K$1:K999,$K999,$L$1:L999,$L999,$M$1:M999,M999,$N$1:N999,N999),IF(LEN(COUNTIFS($J$1:J999,$J999,$K$1:K999,$K999,$L$1:L999,$L999,$M$1:M999,M999,$N$1:N999,N999))=2,"0"&amp;COUNTIFS($J$1:J999,$J999,$K$1:K999,$K999,$L$1:L999,$L999,$M$1:M999,M999,$N$1:N999,N999),COUNTIFS($J$1:J999,$J999,$K$1:K999,$K999,$L$1:L999,$L999,$M$1:M999,M999,$N$1:N999,N999)))</f>
        <v>010</v>
      </c>
      <c r="P99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MS-NS-021-23-00010-INV</v>
      </c>
      <c r="Q999" s="59" t="s">
        <v>7346</v>
      </c>
      <c r="R999" s="34" t="s">
        <v>6700</v>
      </c>
      <c r="S999" s="34" t="s">
        <v>3207</v>
      </c>
      <c r="T999" s="34">
        <f>+IFERROR(_xlfn.XLOOKUP(Table43[[#This Row],[Column1]],#REF!,#REF!),0)</f>
        <v>0</v>
      </c>
      <c r="U999" s="50">
        <f>IFERROR(_xlfn.XLOOKUP(Table43[[#This Row],[Column1]],#REF!,#REF!),0)</f>
        <v>0</v>
      </c>
      <c r="V999" s="39"/>
    </row>
    <row r="1000" spans="1:22" x14ac:dyDescent="0.35">
      <c r="A1000" s="3" t="s">
        <v>3208</v>
      </c>
      <c r="B1000" s="3" t="s">
        <v>3209</v>
      </c>
      <c r="C1000" s="3" t="s">
        <v>15</v>
      </c>
      <c r="D1000" s="3">
        <v>0</v>
      </c>
      <c r="E1000" s="3" t="s">
        <v>10</v>
      </c>
      <c r="F1000" s="3">
        <v>0</v>
      </c>
      <c r="G1000" s="3">
        <v>100</v>
      </c>
      <c r="H1000" s="3">
        <v>0</v>
      </c>
      <c r="I1000" s="21">
        <f>Table43[[#This Row],[Item Cost]]*Table43[[#This Row],[In Stock]]</f>
        <v>0</v>
      </c>
      <c r="J1000" s="12" t="s">
        <v>4941</v>
      </c>
      <c r="K1000" s="13" t="s">
        <v>4666</v>
      </c>
      <c r="L1000" s="13" t="s">
        <v>4715</v>
      </c>
      <c r="M1000" s="13" t="s">
        <v>4770</v>
      </c>
      <c r="N1000" s="12" t="s">
        <v>4672</v>
      </c>
      <c r="O1000" s="17" t="str">
        <f>IF(LEN(COUNTIFS($J$1:J1000,$J1000,$K$1:K1000,$K1000,$L$1:L1000,$L1000,$M$1:M1000,M1000,$N$1:N1000,N1000))=1,"00"&amp;COUNTIFS($J$1:J1000,$J1000,$K$1:K1000,$K1000,$L$1:L1000,$L1000,$M$1:M1000,M1000,$N$1:N1000,N1000),IF(LEN(COUNTIFS($J$1:J1000,$J1000,$K$1:K1000,$K1000,$L$1:L1000,$L1000,$M$1:M1000,M1000,$N$1:N1000,N1000))=2,"0"&amp;COUNTIFS($J$1:J1000,$J1000,$K$1:K1000,$K1000,$L$1:L1000,$L1000,$M$1:M1000,M1000,$N$1:N1000,N1000),COUNTIFS($J$1:J1000,$J1000,$K$1:K1000,$K1000,$L$1:L1000,$L1000,$M$1:M1000,M1000,$N$1:N1000,N1000)))</f>
        <v>001</v>
      </c>
      <c r="P100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MS-NS-022-04-00001-INV</v>
      </c>
      <c r="Q1000" s="34"/>
      <c r="R1000" s="34"/>
      <c r="S1000" s="34">
        <v>0</v>
      </c>
      <c r="T1000" s="34">
        <f>+IFERROR(_xlfn.XLOOKUP(Table43[[#This Row],[Column1]],#REF!,#REF!),0)</f>
        <v>0</v>
      </c>
      <c r="U1000" s="50">
        <f>IFERROR(_xlfn.XLOOKUP(Table43[[#This Row],[Column1]],#REF!,#REF!),0)</f>
        <v>0</v>
      </c>
      <c r="V1000" s="39"/>
    </row>
    <row r="1001" spans="1:22" x14ac:dyDescent="0.35">
      <c r="A1001" s="3" t="s">
        <v>3210</v>
      </c>
      <c r="B1001" s="2" t="s">
        <v>3211</v>
      </c>
      <c r="C1001" s="3" t="s">
        <v>15</v>
      </c>
      <c r="D1001" s="2">
        <v>0</v>
      </c>
      <c r="E1001" s="3" t="s">
        <v>10</v>
      </c>
      <c r="F1001" s="3">
        <v>0</v>
      </c>
      <c r="G1001" s="3">
        <v>100</v>
      </c>
      <c r="H1001" s="2">
        <v>0</v>
      </c>
      <c r="I1001" s="22">
        <f>Table43[[#This Row],[Item Cost]]*Table43[[#This Row],[In Stock]]</f>
        <v>0</v>
      </c>
      <c r="J1001" s="12" t="s">
        <v>4941</v>
      </c>
      <c r="K1001" s="13" t="s">
        <v>4666</v>
      </c>
      <c r="L1001" s="13" t="s">
        <v>4715</v>
      </c>
      <c r="M1001" s="13" t="s">
        <v>4774</v>
      </c>
      <c r="N1001" s="12" t="s">
        <v>4672</v>
      </c>
      <c r="O1001" s="17" t="str">
        <f>IF(LEN(COUNTIFS($J$1:J1001,$J1001,$K$1:K1001,$K1001,$L$1:L1001,$L1001,$M$1:M1001,M1001,$N$1:N1001,N1001))=1,"00"&amp;COUNTIFS($J$1:J1001,$J1001,$K$1:K1001,$K1001,$L$1:L1001,$L1001,$M$1:M1001,M1001,$N$1:N1001,N1001),IF(LEN(COUNTIFS($J$1:J1001,$J1001,$K$1:K1001,$K1001,$L$1:L1001,$L1001,$M$1:M1001,M1001,$N$1:N1001,N1001))=2,"0"&amp;COUNTIFS($J$1:J1001,$J1001,$K$1:K1001,$K1001,$L$1:L1001,$L1001,$M$1:M1001,M1001,$N$1:N1001,N1001),COUNTIFS($J$1:J1001,$J1001,$K$1:K1001,$K1001,$L$1:L1001,$L1001,$M$1:M1001,M1001,$N$1:N1001,N1001)))</f>
        <v>001</v>
      </c>
      <c r="P100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MS-NS-022-08-00001-INV</v>
      </c>
      <c r="Q1001" s="34"/>
      <c r="R1001" s="34"/>
      <c r="S1001" s="34">
        <v>0</v>
      </c>
      <c r="T1001" s="34">
        <f>+IFERROR(_xlfn.XLOOKUP(Table43[[#This Row],[Column1]],#REF!,#REF!),0)</f>
        <v>0</v>
      </c>
      <c r="U1001" s="50">
        <f>IFERROR(_xlfn.XLOOKUP(Table43[[#This Row],[Column1]],#REF!,#REF!),0)</f>
        <v>0</v>
      </c>
      <c r="V1001" s="39"/>
    </row>
    <row r="1002" spans="1:22" x14ac:dyDescent="0.35">
      <c r="A1002" s="3" t="s">
        <v>3212</v>
      </c>
      <c r="B1002" s="3" t="s">
        <v>3213</v>
      </c>
      <c r="C1002" s="3" t="s">
        <v>15</v>
      </c>
      <c r="D1002" s="3">
        <v>0</v>
      </c>
      <c r="E1002" s="3" t="s">
        <v>10</v>
      </c>
      <c r="F1002" s="3">
        <v>0</v>
      </c>
      <c r="G1002" s="3">
        <v>100</v>
      </c>
      <c r="H1002" s="3">
        <v>0</v>
      </c>
      <c r="I1002" s="21">
        <f>Table43[[#This Row],[Item Cost]]*Table43[[#This Row],[In Stock]]</f>
        <v>0</v>
      </c>
      <c r="J1002" s="12" t="s">
        <v>4941</v>
      </c>
      <c r="K1002" s="13" t="s">
        <v>4666</v>
      </c>
      <c r="L1002" s="13" t="s">
        <v>4715</v>
      </c>
      <c r="M1002" s="13" t="s">
        <v>4770</v>
      </c>
      <c r="N1002" s="12" t="s">
        <v>4672</v>
      </c>
      <c r="O1002" s="17" t="str">
        <f>IF(LEN(COUNTIFS($J$1:J1002,$J1002,$K$1:K1002,$K1002,$L$1:L1002,$L1002,$M$1:M1002,M1002,$N$1:N1002,N1002))=1,"00"&amp;COUNTIFS($J$1:J1002,$J1002,$K$1:K1002,$K1002,$L$1:L1002,$L1002,$M$1:M1002,M1002,$N$1:N1002,N1002),IF(LEN(COUNTIFS($J$1:J1002,$J1002,$K$1:K1002,$K1002,$L$1:L1002,$L1002,$M$1:M1002,M1002,$N$1:N1002,N1002))=2,"0"&amp;COUNTIFS($J$1:J1002,$J1002,$K$1:K1002,$K1002,$L$1:L1002,$L1002,$M$1:M1002,M1002,$N$1:N1002,N1002),COUNTIFS($J$1:J1002,$J1002,$K$1:K1002,$K1002,$L$1:L1002,$L1002,$M$1:M1002,M1002,$N$1:N1002,N1002)))</f>
        <v>002</v>
      </c>
      <c r="P100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MS-NS-022-04-00002-INV</v>
      </c>
      <c r="Q1002" s="34"/>
      <c r="R1002" s="34"/>
      <c r="S1002" s="34">
        <v>0</v>
      </c>
      <c r="T1002" s="34">
        <f>+IFERROR(_xlfn.XLOOKUP(Table43[[#This Row],[Column1]],#REF!,#REF!),0)</f>
        <v>0</v>
      </c>
      <c r="U1002" s="50">
        <f>IFERROR(_xlfn.XLOOKUP(Table43[[#This Row],[Column1]],#REF!,#REF!),0)</f>
        <v>0</v>
      </c>
      <c r="V1002" s="39"/>
    </row>
    <row r="1003" spans="1:22" x14ac:dyDescent="0.35">
      <c r="A1003" s="3" t="s">
        <v>3214</v>
      </c>
      <c r="B1003" s="2" t="s">
        <v>3215</v>
      </c>
      <c r="C1003" s="3" t="s">
        <v>15</v>
      </c>
      <c r="D1003" s="2">
        <v>0</v>
      </c>
      <c r="E1003" s="3" t="s">
        <v>10</v>
      </c>
      <c r="F1003" s="3">
        <v>0</v>
      </c>
      <c r="G1003" s="3">
        <v>100</v>
      </c>
      <c r="H1003" s="2">
        <v>0</v>
      </c>
      <c r="I1003" s="22">
        <f>Table43[[#This Row],[Item Cost]]*Table43[[#This Row],[In Stock]]</f>
        <v>0</v>
      </c>
      <c r="J1003" s="12" t="s">
        <v>4941</v>
      </c>
      <c r="K1003" s="13" t="s">
        <v>4666</v>
      </c>
      <c r="L1003" s="13" t="s">
        <v>4715</v>
      </c>
      <c r="M1003" s="13" t="s">
        <v>4770</v>
      </c>
      <c r="N1003" s="12" t="s">
        <v>4672</v>
      </c>
      <c r="O1003" s="17" t="str">
        <f>IF(LEN(COUNTIFS($J$1:J1003,$J1003,$K$1:K1003,$K1003,$L$1:L1003,$L1003,$M$1:M1003,M1003,$N$1:N1003,N1003))=1,"00"&amp;COUNTIFS($J$1:J1003,$J1003,$K$1:K1003,$K1003,$L$1:L1003,$L1003,$M$1:M1003,M1003,$N$1:N1003,N1003),IF(LEN(COUNTIFS($J$1:J1003,$J1003,$K$1:K1003,$K1003,$L$1:L1003,$L1003,$M$1:M1003,M1003,$N$1:N1003,N1003))=2,"0"&amp;COUNTIFS($J$1:J1003,$J1003,$K$1:K1003,$K1003,$L$1:L1003,$L1003,$M$1:M1003,M1003,$N$1:N1003,N1003),COUNTIFS($J$1:J1003,$J1003,$K$1:K1003,$K1003,$L$1:L1003,$L1003,$M$1:M1003,M1003,$N$1:N1003,N1003)))</f>
        <v>003</v>
      </c>
      <c r="P100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MS-NS-022-04-00003-INV</v>
      </c>
      <c r="Q1003" s="34"/>
      <c r="R1003" s="34"/>
      <c r="S1003" s="34">
        <v>0</v>
      </c>
      <c r="T1003" s="34">
        <f>+IFERROR(_xlfn.XLOOKUP(Table43[[#This Row],[Column1]],#REF!,#REF!),0)</f>
        <v>0</v>
      </c>
      <c r="U1003" s="50">
        <f>IFERROR(_xlfn.XLOOKUP(Table43[[#This Row],[Column1]],#REF!,#REF!),0)</f>
        <v>0</v>
      </c>
      <c r="V1003" s="39"/>
    </row>
    <row r="1004" spans="1:22" x14ac:dyDescent="0.35">
      <c r="A1004" s="3" t="s">
        <v>3216</v>
      </c>
      <c r="B1004" s="3" t="s">
        <v>3217</v>
      </c>
      <c r="C1004" s="3" t="s">
        <v>15</v>
      </c>
      <c r="D1004" s="3">
        <v>450</v>
      </c>
      <c r="E1004" s="3" t="s">
        <v>10</v>
      </c>
      <c r="F1004" s="3">
        <v>0</v>
      </c>
      <c r="G1004" s="3">
        <v>100</v>
      </c>
      <c r="H1004" s="3">
        <v>0</v>
      </c>
      <c r="I1004" s="21">
        <f>Table43[[#This Row],[Item Cost]]*Table43[[#This Row],[In Stock]]</f>
        <v>0</v>
      </c>
      <c r="J1004" s="12" t="s">
        <v>4941</v>
      </c>
      <c r="K1004" s="13" t="s">
        <v>4666</v>
      </c>
      <c r="L1004" s="13" t="s">
        <v>4715</v>
      </c>
      <c r="M1004" s="13" t="s">
        <v>4770</v>
      </c>
      <c r="N1004" s="12" t="s">
        <v>4672</v>
      </c>
      <c r="O1004" s="17" t="str">
        <f>IF(LEN(COUNTIFS($J$1:J1004,$J1004,$K$1:K1004,$K1004,$L$1:L1004,$L1004,$M$1:M1004,M1004,$N$1:N1004,N1004))=1,"00"&amp;COUNTIFS($J$1:J1004,$J1004,$K$1:K1004,$K1004,$L$1:L1004,$L1004,$M$1:M1004,M1004,$N$1:N1004,N1004),IF(LEN(COUNTIFS($J$1:J1004,$J1004,$K$1:K1004,$K1004,$L$1:L1004,$L1004,$M$1:M1004,M1004,$N$1:N1004,N1004))=2,"0"&amp;COUNTIFS($J$1:J1004,$J1004,$K$1:K1004,$K1004,$L$1:L1004,$L1004,$M$1:M1004,M1004,$N$1:N1004,N1004),COUNTIFS($J$1:J1004,$J1004,$K$1:K1004,$K1004,$L$1:L1004,$L1004,$M$1:M1004,M1004,$N$1:N1004,N1004)))</f>
        <v>004</v>
      </c>
      <c r="P100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MS-NS-022-04-00004-INV</v>
      </c>
      <c r="Q1004" s="34"/>
      <c r="R1004" s="34"/>
      <c r="S1004" s="34">
        <v>0</v>
      </c>
      <c r="T1004" s="34">
        <f>+IFERROR(_xlfn.XLOOKUP(Table43[[#This Row],[Column1]],#REF!,#REF!),0)</f>
        <v>0</v>
      </c>
      <c r="U1004" s="50">
        <f>IFERROR(_xlfn.XLOOKUP(Table43[[#This Row],[Column1]],#REF!,#REF!),0)</f>
        <v>0</v>
      </c>
      <c r="V1004" s="39"/>
    </row>
    <row r="1005" spans="1:22" x14ac:dyDescent="0.35">
      <c r="A1005" s="3" t="s">
        <v>3218</v>
      </c>
      <c r="B1005" s="3" t="s">
        <v>910</v>
      </c>
      <c r="C1005" s="3" t="s">
        <v>15</v>
      </c>
      <c r="D1005" s="3">
        <v>0</v>
      </c>
      <c r="E1005" s="3" t="s">
        <v>10</v>
      </c>
      <c r="F1005" s="3">
        <v>0</v>
      </c>
      <c r="G1005" s="3">
        <v>100</v>
      </c>
      <c r="H1005" s="3">
        <v>0</v>
      </c>
      <c r="I1005" s="21">
        <f>Table43[[#This Row],[Item Cost]]*Table43[[#This Row],[In Stock]]</f>
        <v>0</v>
      </c>
      <c r="J1005" s="12" t="s">
        <v>4941</v>
      </c>
      <c r="K1005" s="13" t="s">
        <v>4666</v>
      </c>
      <c r="L1005" s="13" t="s">
        <v>4715</v>
      </c>
      <c r="M1005" s="13" t="s">
        <v>4693</v>
      </c>
      <c r="N1005" s="12" t="s">
        <v>4672</v>
      </c>
      <c r="O1005" s="17" t="str">
        <f>IF(LEN(COUNTIFS($J$1:J1005,$J1005,$K$1:K1005,$K1005,$L$1:L1005,$L1005,$M$1:M1005,M1005,$N$1:N1005,N1005))=1,"00"&amp;COUNTIFS($J$1:J1005,$J1005,$K$1:K1005,$K1005,$L$1:L1005,$L1005,$M$1:M1005,M1005,$N$1:N1005,N1005),IF(LEN(COUNTIFS($J$1:J1005,$J1005,$K$1:K1005,$K1005,$L$1:L1005,$L1005,$M$1:M1005,M1005,$N$1:N1005,N1005))=2,"0"&amp;COUNTIFS($J$1:J1005,$J1005,$K$1:K1005,$K1005,$L$1:L1005,$L1005,$M$1:M1005,M1005,$N$1:N1005,N1005),COUNTIFS($J$1:J1005,$J1005,$K$1:K1005,$K1005,$L$1:L1005,$L1005,$M$1:M1005,M1005,$N$1:N1005,N1005)))</f>
        <v>001</v>
      </c>
      <c r="P100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MS-NS-022-23-00001-INV</v>
      </c>
      <c r="Q1005" s="34"/>
      <c r="R1005" s="34" t="s">
        <v>6701</v>
      </c>
      <c r="S1005" s="34" t="s">
        <v>910</v>
      </c>
      <c r="T1005" s="34">
        <f>+IFERROR(_xlfn.XLOOKUP(Table43[[#This Row],[Column1]],#REF!,#REF!),0)</f>
        <v>0</v>
      </c>
      <c r="U1005" s="50">
        <f>IFERROR(_xlfn.XLOOKUP(Table43[[#This Row],[Column1]],#REF!,#REF!),0)</f>
        <v>0</v>
      </c>
      <c r="V1005" s="39"/>
    </row>
    <row r="1006" spans="1:22" x14ac:dyDescent="0.35">
      <c r="A1006" s="3" t="s">
        <v>3219</v>
      </c>
      <c r="B1006" s="3" t="s">
        <v>3223</v>
      </c>
      <c r="C1006" s="3" t="s">
        <v>15</v>
      </c>
      <c r="D1006" s="3">
        <v>0</v>
      </c>
      <c r="E1006" s="3" t="s">
        <v>10</v>
      </c>
      <c r="F1006" s="3">
        <v>0</v>
      </c>
      <c r="G1006" s="3">
        <v>100</v>
      </c>
      <c r="H1006" s="3">
        <v>0</v>
      </c>
      <c r="I1006" s="21">
        <f>Table43[[#This Row],[Item Cost]]*Table43[[#This Row],[In Stock]]</f>
        <v>0</v>
      </c>
      <c r="J1006" s="12" t="s">
        <v>4941</v>
      </c>
      <c r="K1006" s="13" t="s">
        <v>4666</v>
      </c>
      <c r="L1006" s="13" t="s">
        <v>4715</v>
      </c>
      <c r="M1006" s="13" t="s">
        <v>4775</v>
      </c>
      <c r="N1006" s="12" t="s">
        <v>4672</v>
      </c>
      <c r="O1006" s="17" t="str">
        <f>IF(LEN(COUNTIFS($J$1:J1006,$J1006,$K$1:K1006,$K1006,$L$1:L1006,$L1006,$M$1:M1006,M1006,$N$1:N1006,N1006))=1,"00"&amp;COUNTIFS($J$1:J1006,$J1006,$K$1:K1006,$K1006,$L$1:L1006,$L1006,$M$1:M1006,M1006,$N$1:N1006,N1006),IF(LEN(COUNTIFS($J$1:J1006,$J1006,$K$1:K1006,$K1006,$L$1:L1006,$L1006,$M$1:M1006,M1006,$N$1:N1006,N1006))=2,"0"&amp;COUNTIFS($J$1:J1006,$J1006,$K$1:K1006,$K1006,$L$1:L1006,$L1006,$M$1:M1006,M1006,$N$1:N1006,N1006),COUNTIFS($J$1:J1006,$J1006,$K$1:K1006,$K1006,$L$1:L1006,$L1006,$M$1:M1006,M1006,$N$1:N1006,N1006)))</f>
        <v>001</v>
      </c>
      <c r="P100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MS-NS-022-09-00001-INV</v>
      </c>
      <c r="Q1006" s="34"/>
      <c r="R1006" s="34"/>
      <c r="S1006" s="34">
        <v>0</v>
      </c>
      <c r="T1006" s="34">
        <f>+IFERROR(_xlfn.XLOOKUP(Table43[[#This Row],[Column1]],#REF!,#REF!),0)</f>
        <v>0</v>
      </c>
      <c r="U1006" s="50">
        <f>IFERROR(_xlfn.XLOOKUP(Table43[[#This Row],[Column1]],#REF!,#REF!),0)</f>
        <v>0</v>
      </c>
      <c r="V1006" s="39"/>
    </row>
    <row r="1007" spans="1:22" x14ac:dyDescent="0.35">
      <c r="A1007" s="3" t="s">
        <v>3220</v>
      </c>
      <c r="B1007" s="3" t="s">
        <v>3230</v>
      </c>
      <c r="C1007" s="3" t="s">
        <v>15</v>
      </c>
      <c r="D1007" s="3">
        <v>0.95</v>
      </c>
      <c r="E1007" s="3" t="s">
        <v>10</v>
      </c>
      <c r="F1007" s="3">
        <v>0</v>
      </c>
      <c r="G1007" s="3">
        <v>100</v>
      </c>
      <c r="H1007" s="3">
        <v>0</v>
      </c>
      <c r="I1007" s="21">
        <f>Table43[[#This Row],[Item Cost]]*Table43[[#This Row],[In Stock]]</f>
        <v>0</v>
      </c>
      <c r="J1007" s="12" t="s">
        <v>4941</v>
      </c>
      <c r="K1007" s="13" t="s">
        <v>4666</v>
      </c>
      <c r="L1007" s="13" t="s">
        <v>4715</v>
      </c>
      <c r="M1007" s="13" t="s">
        <v>4693</v>
      </c>
      <c r="N1007" s="12" t="s">
        <v>4672</v>
      </c>
      <c r="O1007" s="17" t="str">
        <f>IF(LEN(COUNTIFS($J$1:J1007,$J1007,$K$1:K1007,$K1007,$L$1:L1007,$L1007,$M$1:M1007,M1007,$N$1:N1007,N1007))=1,"00"&amp;COUNTIFS($J$1:J1007,$J1007,$K$1:K1007,$K1007,$L$1:L1007,$L1007,$M$1:M1007,M1007,$N$1:N1007,N1007),IF(LEN(COUNTIFS($J$1:J1007,$J1007,$K$1:K1007,$K1007,$L$1:L1007,$L1007,$M$1:M1007,M1007,$N$1:N1007,N1007))=2,"0"&amp;COUNTIFS($J$1:J1007,$J1007,$K$1:K1007,$K1007,$L$1:L1007,$L1007,$M$1:M1007,M1007,$N$1:N1007,N1007),COUNTIFS($J$1:J1007,$J1007,$K$1:K1007,$K1007,$L$1:L1007,$L1007,$M$1:M1007,M1007,$N$1:N1007,N1007)))</f>
        <v>002</v>
      </c>
      <c r="P100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MS-NS-022-23-00002-INV</v>
      </c>
      <c r="Q1007" s="34"/>
      <c r="R1007" s="34"/>
      <c r="S1007" s="34">
        <v>0</v>
      </c>
      <c r="T1007" s="34">
        <f>+IFERROR(_xlfn.XLOOKUP(Table43[[#This Row],[Column1]],#REF!,#REF!),0)</f>
        <v>0</v>
      </c>
      <c r="U1007" s="50">
        <f>IFERROR(_xlfn.XLOOKUP(Table43[[#This Row],[Column1]],#REF!,#REF!),0)</f>
        <v>0</v>
      </c>
      <c r="V1007" s="39"/>
    </row>
    <row r="1008" spans="1:22" x14ac:dyDescent="0.35">
      <c r="A1008" s="3" t="s">
        <v>3222</v>
      </c>
      <c r="B1008" s="2" t="s">
        <v>3232</v>
      </c>
      <c r="C1008" s="3" t="s">
        <v>15</v>
      </c>
      <c r="D1008" s="2">
        <v>299.43</v>
      </c>
      <c r="E1008" s="3" t="s">
        <v>10</v>
      </c>
      <c r="F1008" s="3">
        <v>0</v>
      </c>
      <c r="G1008" s="3">
        <v>100</v>
      </c>
      <c r="H1008" s="2">
        <v>4</v>
      </c>
      <c r="I1008" s="22">
        <f>Table43[[#This Row],[Item Cost]]*Table43[[#This Row],[In Stock]]</f>
        <v>1197.72</v>
      </c>
      <c r="J1008" s="12" t="s">
        <v>4941</v>
      </c>
      <c r="K1008" s="13" t="s">
        <v>4666</v>
      </c>
      <c r="L1008" s="13" t="s">
        <v>4715</v>
      </c>
      <c r="M1008" s="13" t="s">
        <v>4837</v>
      </c>
      <c r="N1008" s="12" t="s">
        <v>4672</v>
      </c>
      <c r="O1008" s="17" t="str">
        <f>IF(LEN(COUNTIFS($J$1:J1008,$J1008,$K$1:K1008,$K1008,$L$1:L1008,$L1008,$M$1:M1008,M1008,$N$1:N1008,N1008))=1,"00"&amp;COUNTIFS($J$1:J1008,$J1008,$K$1:K1008,$K1008,$L$1:L1008,$L1008,$M$1:M1008,M1008,$N$1:N1008,N1008),IF(LEN(COUNTIFS($J$1:J1008,$J1008,$K$1:K1008,$K1008,$L$1:L1008,$L1008,$M$1:M1008,M1008,$N$1:N1008,N1008))=2,"0"&amp;COUNTIFS($J$1:J1008,$J1008,$K$1:K1008,$K1008,$L$1:L1008,$L1008,$M$1:M1008,M1008,$N$1:N1008,N1008),COUNTIFS($J$1:J1008,$J1008,$K$1:K1008,$K1008,$L$1:L1008,$L1008,$M$1:M1008,M1008,$N$1:N1008,N1008)))</f>
        <v>001</v>
      </c>
      <c r="P100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MS-NS-022-26-00001-INV</v>
      </c>
      <c r="Q1008" s="34"/>
      <c r="R1008" s="34" t="s">
        <v>6702</v>
      </c>
      <c r="S1008" s="34" t="s">
        <v>3232</v>
      </c>
      <c r="T1008" s="34">
        <f>+IFERROR(_xlfn.XLOOKUP(Table43[[#This Row],[Column1]],#REF!,#REF!),0)</f>
        <v>0</v>
      </c>
      <c r="U1008" s="50">
        <f>IFERROR(_xlfn.XLOOKUP(Table43[[#This Row],[Column1]],#REF!,#REF!),0)</f>
        <v>0</v>
      </c>
      <c r="V1008" s="39"/>
    </row>
    <row r="1009" spans="1:22" x14ac:dyDescent="0.35">
      <c r="A1009" s="3" t="s">
        <v>3224</v>
      </c>
      <c r="B1009" s="3" t="s">
        <v>3234</v>
      </c>
      <c r="C1009" s="3" t="s">
        <v>9</v>
      </c>
      <c r="D1009" s="5">
        <v>10200</v>
      </c>
      <c r="E1009" s="3" t="s">
        <v>10</v>
      </c>
      <c r="F1009" s="2">
        <v>1</v>
      </c>
      <c r="G1009" s="3">
        <v>2</v>
      </c>
      <c r="H1009" s="3">
        <v>1</v>
      </c>
      <c r="I1009" s="21">
        <f>Table43[[#This Row],[Item Cost]]*Table43[[#This Row],[In Stock]]</f>
        <v>10200</v>
      </c>
      <c r="J1009" s="12" t="s">
        <v>4941</v>
      </c>
      <c r="K1009" s="13" t="s">
        <v>4664</v>
      </c>
      <c r="L1009" s="13" t="s">
        <v>4715</v>
      </c>
      <c r="M1009" s="13" t="s">
        <v>4837</v>
      </c>
      <c r="N1009" s="12" t="s">
        <v>4672</v>
      </c>
      <c r="O1009" s="17" t="str">
        <f>IF(LEN(COUNTIFS($J$1:J1009,$J1009,$K$1:K1009,$K1009,$L$1:L1009,$L1009,$M$1:M1009,M1009,$N$1:N1009,N1009))=1,"00"&amp;COUNTIFS($J$1:J1009,$J1009,$K$1:K1009,$K1009,$L$1:L1009,$L1009,$M$1:M1009,M1009,$N$1:N1009,N1009),IF(LEN(COUNTIFS($J$1:J1009,$J1009,$K$1:K1009,$K1009,$L$1:L1009,$L1009,$M$1:M1009,M1009,$N$1:N1009,N1009))=2,"0"&amp;COUNTIFS($J$1:J1009,$J1009,$K$1:K1009,$K1009,$L$1:L1009,$L1009,$M$1:M1009,M1009,$N$1:N1009,N1009),COUNTIFS($J$1:J1009,$J1009,$K$1:K1009,$K1009,$L$1:L1009,$L1009,$M$1:M1009,M1009,$N$1:N1009,N1009)))</f>
        <v>001</v>
      </c>
      <c r="P100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MS-CS-022-26-00001-INV</v>
      </c>
      <c r="Q1009" s="34"/>
      <c r="R1009" s="34" t="s">
        <v>6703</v>
      </c>
      <c r="S1009" s="34" t="s">
        <v>3234</v>
      </c>
      <c r="T1009" s="34">
        <f>+IFERROR(_xlfn.XLOOKUP(Table43[[#This Row],[Column1]],#REF!,#REF!),0)</f>
        <v>0</v>
      </c>
      <c r="U1009" s="50">
        <f>IFERROR(_xlfn.XLOOKUP(Table43[[#This Row],[Column1]],#REF!,#REF!),0)</f>
        <v>0</v>
      </c>
      <c r="V1009" s="39"/>
    </row>
    <row r="1010" spans="1:22" x14ac:dyDescent="0.35">
      <c r="A1010" s="3" t="s">
        <v>5067</v>
      </c>
      <c r="B1010" s="42" t="s">
        <v>4999</v>
      </c>
      <c r="C1010" s="3" t="s">
        <v>5606</v>
      </c>
      <c r="D1010" s="3"/>
      <c r="E1010" s="3" t="s">
        <v>10</v>
      </c>
      <c r="F1010" s="2">
        <v>5</v>
      </c>
      <c r="G1010" s="2">
        <v>25</v>
      </c>
      <c r="H1010" s="3"/>
      <c r="I1010" s="21">
        <f>Table43[[#This Row],[Item Cost]]*Table43[[#This Row],[In Stock]]</f>
        <v>0</v>
      </c>
      <c r="J1010" s="12" t="s">
        <v>4932</v>
      </c>
      <c r="K1010" s="13" t="s">
        <v>4664</v>
      </c>
      <c r="L1010" s="13" t="s">
        <v>4672</v>
      </c>
      <c r="M1010" s="13" t="s">
        <v>5152</v>
      </c>
      <c r="N1010" s="12" t="s">
        <v>4672</v>
      </c>
      <c r="O1010" s="17" t="str">
        <f>IF(LEN(COUNTIFS($J$1:J1010,$J1010,$K$1:K1010,$K1010,$L$1:L1010,$L1010,$M$1:M1010,M1010,$N$1:N1010,N1010))=1,"00"&amp;COUNTIFS($J$1:J1010,$J1010,$K$1:K1010,$K1010,$L$1:L1010,$L1010,$M$1:M1010,M1010,$N$1:N1010,N1010),IF(LEN(COUNTIFS($J$1:J1010,$J1010,$K$1:K1010,$K1010,$L$1:L1010,$L1010,$M$1:M1010,M1010,$N$1:N1010,N1010))=2,"0"&amp;COUNTIFS($J$1:J1010,$J1010,$K$1:K1010,$K1010,$L$1:L1010,$L1010,$M$1:M1010,M1010,$N$1:N1010,N1010),COUNTIFS($J$1:J1010,$J1010,$K$1:K1010,$K1010,$L$1:L1010,$L1010,$M$1:M1010,M1010,$N$1:N1010,N1010)))</f>
        <v>001</v>
      </c>
      <c r="P101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ES-CS-000-33-00001-INV</v>
      </c>
      <c r="Q1010" s="34"/>
      <c r="R1010" s="34" t="s">
        <v>6704</v>
      </c>
      <c r="S1010" s="34" t="s">
        <v>4999</v>
      </c>
      <c r="T1010" s="34">
        <f>+IFERROR(_xlfn.XLOOKUP(Table43[[#This Row],[Column1]],#REF!,#REF!),0)</f>
        <v>0</v>
      </c>
      <c r="U1010" s="50">
        <f>IFERROR(_xlfn.XLOOKUP(Table43[[#This Row],[Column1]],#REF!,#REF!),0)</f>
        <v>0</v>
      </c>
      <c r="V1010" s="39"/>
    </row>
    <row r="1011" spans="1:22" x14ac:dyDescent="0.35">
      <c r="A1011" s="3" t="s">
        <v>5068</v>
      </c>
      <c r="B1011" s="42" t="s">
        <v>5000</v>
      </c>
      <c r="C1011" s="3" t="s">
        <v>5606</v>
      </c>
      <c r="D1011" s="3"/>
      <c r="E1011" s="3" t="s">
        <v>10</v>
      </c>
      <c r="F1011" s="2">
        <v>5</v>
      </c>
      <c r="G1011" s="2">
        <v>25</v>
      </c>
      <c r="H1011" s="3"/>
      <c r="I1011" s="21">
        <f>Table43[[#This Row],[Item Cost]]*Table43[[#This Row],[In Stock]]</f>
        <v>0</v>
      </c>
      <c r="J1011" s="12" t="s">
        <v>4932</v>
      </c>
      <c r="K1011" s="13" t="s">
        <v>4664</v>
      </c>
      <c r="L1011" s="13" t="s">
        <v>4672</v>
      </c>
      <c r="M1011" s="13" t="s">
        <v>5152</v>
      </c>
      <c r="N1011" s="12" t="s">
        <v>4672</v>
      </c>
      <c r="O1011" s="17" t="str">
        <f>IF(LEN(COUNTIFS($J$1:J1011,$J1011,$K$1:K1011,$K1011,$L$1:L1011,$L1011,$M$1:M1011,M1011,$N$1:N1011,N1011))=1,"00"&amp;COUNTIFS($J$1:J1011,$J1011,$K$1:K1011,$K1011,$L$1:L1011,$L1011,$M$1:M1011,M1011,$N$1:N1011,N1011),IF(LEN(COUNTIFS($J$1:J1011,$J1011,$K$1:K1011,$K1011,$L$1:L1011,$L1011,$M$1:M1011,M1011,$N$1:N1011,N1011))=2,"0"&amp;COUNTIFS($J$1:J1011,$J1011,$K$1:K1011,$K1011,$L$1:L1011,$L1011,$M$1:M1011,M1011,$N$1:N1011,N1011),COUNTIFS($J$1:J1011,$J1011,$K$1:K1011,$K1011,$L$1:L1011,$L1011,$M$1:M1011,M1011,$N$1:N1011,N1011)))</f>
        <v>002</v>
      </c>
      <c r="P101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ES-CS-000-33-00002-INV</v>
      </c>
      <c r="Q1011" s="34"/>
      <c r="R1011" s="34" t="s">
        <v>6705</v>
      </c>
      <c r="S1011" s="34" t="s">
        <v>5000</v>
      </c>
      <c r="T1011" s="34">
        <f>+IFERROR(_xlfn.XLOOKUP(Table43[[#This Row],[Column1]],#REF!,#REF!),0)</f>
        <v>0</v>
      </c>
      <c r="U1011" s="50">
        <f>IFERROR(_xlfn.XLOOKUP(Table43[[#This Row],[Column1]],#REF!,#REF!),0)</f>
        <v>0</v>
      </c>
      <c r="V1011" s="39"/>
    </row>
    <row r="1012" spans="1:22" x14ac:dyDescent="0.35">
      <c r="A1012" s="3" t="s">
        <v>5069</v>
      </c>
      <c r="B1012" s="42" t="s">
        <v>5001</v>
      </c>
      <c r="C1012" s="3" t="s">
        <v>5606</v>
      </c>
      <c r="D1012" s="3"/>
      <c r="E1012" s="3" t="s">
        <v>10</v>
      </c>
      <c r="F1012" s="2">
        <v>5</v>
      </c>
      <c r="G1012" s="2">
        <v>25</v>
      </c>
      <c r="H1012" s="3"/>
      <c r="I1012" s="21">
        <f>Table43[[#This Row],[Item Cost]]*Table43[[#This Row],[In Stock]]</f>
        <v>0</v>
      </c>
      <c r="J1012" s="12" t="s">
        <v>4932</v>
      </c>
      <c r="K1012" s="13" t="s">
        <v>4664</v>
      </c>
      <c r="L1012" s="13" t="s">
        <v>4672</v>
      </c>
      <c r="M1012" s="13" t="s">
        <v>5152</v>
      </c>
      <c r="N1012" s="12" t="s">
        <v>4672</v>
      </c>
      <c r="O1012" s="17" t="str">
        <f>IF(LEN(COUNTIFS($J$1:J1012,$J1012,$K$1:K1012,$K1012,$L$1:L1012,$L1012,$M$1:M1012,M1012,$N$1:N1012,N1012))=1,"00"&amp;COUNTIFS($J$1:J1012,$J1012,$K$1:K1012,$K1012,$L$1:L1012,$L1012,$M$1:M1012,M1012,$N$1:N1012,N1012),IF(LEN(COUNTIFS($J$1:J1012,$J1012,$K$1:K1012,$K1012,$L$1:L1012,$L1012,$M$1:M1012,M1012,$N$1:N1012,N1012))=2,"0"&amp;COUNTIFS($J$1:J1012,$J1012,$K$1:K1012,$K1012,$L$1:L1012,$L1012,$M$1:M1012,M1012,$N$1:N1012,N1012),COUNTIFS($J$1:J1012,$J1012,$K$1:K1012,$K1012,$L$1:L1012,$L1012,$M$1:M1012,M1012,$N$1:N1012,N1012)))</f>
        <v>003</v>
      </c>
      <c r="P101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ES-CS-000-33-00003-INV</v>
      </c>
      <c r="Q1012" s="34"/>
      <c r="R1012" s="34" t="s">
        <v>6706</v>
      </c>
      <c r="S1012" s="34" t="s">
        <v>5001</v>
      </c>
      <c r="T1012" s="34">
        <f>+IFERROR(_xlfn.XLOOKUP(Table43[[#This Row],[Column1]],#REF!,#REF!),0)</f>
        <v>0</v>
      </c>
      <c r="U1012" s="50">
        <f>IFERROR(_xlfn.XLOOKUP(Table43[[#This Row],[Column1]],#REF!,#REF!),0)</f>
        <v>0</v>
      </c>
      <c r="V1012" s="39"/>
    </row>
    <row r="1013" spans="1:22" x14ac:dyDescent="0.35">
      <c r="A1013" s="3" t="s">
        <v>5070</v>
      </c>
      <c r="B1013" s="42" t="s">
        <v>5002</v>
      </c>
      <c r="C1013" s="3" t="s">
        <v>5606</v>
      </c>
      <c r="D1013" s="3"/>
      <c r="E1013" s="3" t="s">
        <v>10</v>
      </c>
      <c r="F1013" s="2">
        <v>5</v>
      </c>
      <c r="G1013" s="2">
        <v>25</v>
      </c>
      <c r="H1013" s="3"/>
      <c r="I1013" s="21">
        <f>Table43[[#This Row],[Item Cost]]*Table43[[#This Row],[In Stock]]</f>
        <v>0</v>
      </c>
      <c r="J1013" s="12" t="s">
        <v>4932</v>
      </c>
      <c r="K1013" s="13" t="s">
        <v>4664</v>
      </c>
      <c r="L1013" s="13" t="s">
        <v>4672</v>
      </c>
      <c r="M1013" s="13" t="s">
        <v>5152</v>
      </c>
      <c r="N1013" s="12" t="s">
        <v>4672</v>
      </c>
      <c r="O1013" s="17" t="str">
        <f>IF(LEN(COUNTIFS($J$1:J1013,$J1013,$K$1:K1013,$K1013,$L$1:L1013,$L1013,$M$1:M1013,M1013,$N$1:N1013,N1013))=1,"00"&amp;COUNTIFS($J$1:J1013,$J1013,$K$1:K1013,$K1013,$L$1:L1013,$L1013,$M$1:M1013,M1013,$N$1:N1013,N1013),IF(LEN(COUNTIFS($J$1:J1013,$J1013,$K$1:K1013,$K1013,$L$1:L1013,$L1013,$M$1:M1013,M1013,$N$1:N1013,N1013))=2,"0"&amp;COUNTIFS($J$1:J1013,$J1013,$K$1:K1013,$K1013,$L$1:L1013,$L1013,$M$1:M1013,M1013,$N$1:N1013,N1013),COUNTIFS($J$1:J1013,$J1013,$K$1:K1013,$K1013,$L$1:L1013,$L1013,$M$1:M1013,M1013,$N$1:N1013,N1013)))</f>
        <v>004</v>
      </c>
      <c r="P101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ES-CS-000-33-00004-INV</v>
      </c>
      <c r="Q1013" s="34"/>
      <c r="R1013" s="34" t="s">
        <v>6707</v>
      </c>
      <c r="S1013" s="34" t="s">
        <v>5002</v>
      </c>
      <c r="T1013" s="34">
        <f>+IFERROR(_xlfn.XLOOKUP(Table43[[#This Row],[Column1]],#REF!,#REF!),0)</f>
        <v>0</v>
      </c>
      <c r="U1013" s="50">
        <f>IFERROR(_xlfn.XLOOKUP(Table43[[#This Row],[Column1]],#REF!,#REF!),0)</f>
        <v>0</v>
      </c>
      <c r="V1013" s="39"/>
    </row>
    <row r="1014" spans="1:22" x14ac:dyDescent="0.35">
      <c r="A1014" s="3" t="s">
        <v>5071</v>
      </c>
      <c r="B1014" s="42" t="s">
        <v>5003</v>
      </c>
      <c r="C1014" s="3" t="s">
        <v>5606</v>
      </c>
      <c r="D1014" s="3"/>
      <c r="E1014" s="3" t="s">
        <v>10</v>
      </c>
      <c r="F1014" s="2">
        <v>5</v>
      </c>
      <c r="G1014" s="2">
        <v>25</v>
      </c>
      <c r="H1014" s="3"/>
      <c r="I1014" s="21">
        <f>Table43[[#This Row],[Item Cost]]*Table43[[#This Row],[In Stock]]</f>
        <v>0</v>
      </c>
      <c r="J1014" s="12" t="s">
        <v>4932</v>
      </c>
      <c r="K1014" s="13" t="s">
        <v>4664</v>
      </c>
      <c r="L1014" s="13" t="s">
        <v>4672</v>
      </c>
      <c r="M1014" s="13" t="s">
        <v>5152</v>
      </c>
      <c r="N1014" s="12" t="s">
        <v>4672</v>
      </c>
      <c r="O1014" s="17" t="str">
        <f>IF(LEN(COUNTIFS($J$1:J1014,$J1014,$K$1:K1014,$K1014,$L$1:L1014,$L1014,$M$1:M1014,M1014,$N$1:N1014,N1014))=1,"00"&amp;COUNTIFS($J$1:J1014,$J1014,$K$1:K1014,$K1014,$L$1:L1014,$L1014,$M$1:M1014,M1014,$N$1:N1014,N1014),IF(LEN(COUNTIFS($J$1:J1014,$J1014,$K$1:K1014,$K1014,$L$1:L1014,$L1014,$M$1:M1014,M1014,$N$1:N1014,N1014))=2,"0"&amp;COUNTIFS($J$1:J1014,$J1014,$K$1:K1014,$K1014,$L$1:L1014,$L1014,$M$1:M1014,M1014,$N$1:N1014,N1014),COUNTIFS($J$1:J1014,$J1014,$K$1:K1014,$K1014,$L$1:L1014,$L1014,$M$1:M1014,M1014,$N$1:N1014,N1014)))</f>
        <v>005</v>
      </c>
      <c r="P101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ES-CS-000-33-00005-INV</v>
      </c>
      <c r="Q1014" s="34"/>
      <c r="R1014" s="34" t="s">
        <v>6708</v>
      </c>
      <c r="S1014" s="34" t="s">
        <v>5003</v>
      </c>
      <c r="T1014" s="34">
        <f>+IFERROR(_xlfn.XLOOKUP(Table43[[#This Row],[Column1]],#REF!,#REF!),0)</f>
        <v>0</v>
      </c>
      <c r="U1014" s="50">
        <f>IFERROR(_xlfn.XLOOKUP(Table43[[#This Row],[Column1]],#REF!,#REF!),0)</f>
        <v>0</v>
      </c>
      <c r="V1014" s="39"/>
    </row>
    <row r="1015" spans="1:22" x14ac:dyDescent="0.35">
      <c r="A1015" s="3" t="s">
        <v>5072</v>
      </c>
      <c r="B1015" s="42" t="s">
        <v>5004</v>
      </c>
      <c r="C1015" s="3" t="s">
        <v>5606</v>
      </c>
      <c r="D1015" s="3"/>
      <c r="E1015" s="3" t="s">
        <v>10</v>
      </c>
      <c r="F1015" s="2">
        <v>5</v>
      </c>
      <c r="G1015" s="2">
        <v>25</v>
      </c>
      <c r="H1015" s="3"/>
      <c r="I1015" s="21">
        <f>Table43[[#This Row],[Item Cost]]*Table43[[#This Row],[In Stock]]</f>
        <v>0</v>
      </c>
      <c r="J1015" s="12" t="s">
        <v>4932</v>
      </c>
      <c r="K1015" s="13" t="s">
        <v>4664</v>
      </c>
      <c r="L1015" s="13" t="s">
        <v>4672</v>
      </c>
      <c r="M1015" s="13" t="s">
        <v>5152</v>
      </c>
      <c r="N1015" s="12" t="s">
        <v>4672</v>
      </c>
      <c r="O1015" s="17" t="str">
        <f>IF(LEN(COUNTIFS($J$1:J1015,$J1015,$K$1:K1015,$K1015,$L$1:L1015,$L1015,$M$1:M1015,M1015,$N$1:N1015,N1015))=1,"00"&amp;COUNTIFS($J$1:J1015,$J1015,$K$1:K1015,$K1015,$L$1:L1015,$L1015,$M$1:M1015,M1015,$N$1:N1015,N1015),IF(LEN(COUNTIFS($J$1:J1015,$J1015,$K$1:K1015,$K1015,$L$1:L1015,$L1015,$M$1:M1015,M1015,$N$1:N1015,N1015))=2,"0"&amp;COUNTIFS($J$1:J1015,$J1015,$K$1:K1015,$K1015,$L$1:L1015,$L1015,$M$1:M1015,M1015,$N$1:N1015,N1015),COUNTIFS($J$1:J1015,$J1015,$K$1:K1015,$K1015,$L$1:L1015,$L1015,$M$1:M1015,M1015,$N$1:N1015,N1015)))</f>
        <v>006</v>
      </c>
      <c r="P101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ES-CS-000-33-00006-INV</v>
      </c>
      <c r="Q1015" s="34"/>
      <c r="R1015" s="34" t="s">
        <v>6709</v>
      </c>
      <c r="S1015" s="34" t="s">
        <v>5004</v>
      </c>
      <c r="T1015" s="34">
        <f>+IFERROR(_xlfn.XLOOKUP(Table43[[#This Row],[Column1]],#REF!,#REF!),0)</f>
        <v>0</v>
      </c>
      <c r="U1015" s="50">
        <f>IFERROR(_xlfn.XLOOKUP(Table43[[#This Row],[Column1]],#REF!,#REF!),0)</f>
        <v>0</v>
      </c>
      <c r="V1015" s="39"/>
    </row>
    <row r="1016" spans="1:22" x14ac:dyDescent="0.35">
      <c r="A1016" s="3" t="s">
        <v>5073</v>
      </c>
      <c r="B1016" s="42" t="s">
        <v>5005</v>
      </c>
      <c r="C1016" s="3" t="s">
        <v>5606</v>
      </c>
      <c r="D1016" s="3"/>
      <c r="E1016" s="3" t="s">
        <v>10</v>
      </c>
      <c r="F1016" s="2">
        <v>5</v>
      </c>
      <c r="G1016" s="2">
        <v>25</v>
      </c>
      <c r="H1016" s="3"/>
      <c r="I1016" s="21">
        <f>Table43[[#This Row],[Item Cost]]*Table43[[#This Row],[In Stock]]</f>
        <v>0</v>
      </c>
      <c r="J1016" s="12" t="s">
        <v>4932</v>
      </c>
      <c r="K1016" s="13" t="s">
        <v>4664</v>
      </c>
      <c r="L1016" s="13" t="s">
        <v>4672</v>
      </c>
      <c r="M1016" s="13" t="s">
        <v>5152</v>
      </c>
      <c r="N1016" s="12" t="s">
        <v>4672</v>
      </c>
      <c r="O1016" s="17" t="str">
        <f>IF(LEN(COUNTIFS($J$1:J1016,$J1016,$K$1:K1016,$K1016,$L$1:L1016,$L1016,$M$1:M1016,M1016,$N$1:N1016,N1016))=1,"00"&amp;COUNTIFS($J$1:J1016,$J1016,$K$1:K1016,$K1016,$L$1:L1016,$L1016,$M$1:M1016,M1016,$N$1:N1016,N1016),IF(LEN(COUNTIFS($J$1:J1016,$J1016,$K$1:K1016,$K1016,$L$1:L1016,$L1016,$M$1:M1016,M1016,$N$1:N1016,N1016))=2,"0"&amp;COUNTIFS($J$1:J1016,$J1016,$K$1:K1016,$K1016,$L$1:L1016,$L1016,$M$1:M1016,M1016,$N$1:N1016,N1016),COUNTIFS($J$1:J1016,$J1016,$K$1:K1016,$K1016,$L$1:L1016,$L1016,$M$1:M1016,M1016,$N$1:N1016,N1016)))</f>
        <v>007</v>
      </c>
      <c r="P101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ES-CS-000-33-00007-INV</v>
      </c>
      <c r="Q1016" s="34"/>
      <c r="R1016" s="34" t="s">
        <v>6710</v>
      </c>
      <c r="S1016" s="34" t="s">
        <v>5005</v>
      </c>
      <c r="T1016" s="34">
        <f>+IFERROR(_xlfn.XLOOKUP(Table43[[#This Row],[Column1]],#REF!,#REF!),0)</f>
        <v>0</v>
      </c>
      <c r="U1016" s="50">
        <f>IFERROR(_xlfn.XLOOKUP(Table43[[#This Row],[Column1]],#REF!,#REF!),0)</f>
        <v>0</v>
      </c>
      <c r="V1016" s="39"/>
    </row>
    <row r="1017" spans="1:22" x14ac:dyDescent="0.35">
      <c r="A1017" s="3" t="s">
        <v>5074</v>
      </c>
      <c r="B1017" s="42" t="s">
        <v>5006</v>
      </c>
      <c r="C1017" s="3" t="s">
        <v>5606</v>
      </c>
      <c r="D1017" s="3"/>
      <c r="E1017" s="3" t="s">
        <v>10</v>
      </c>
      <c r="F1017" s="2">
        <v>5</v>
      </c>
      <c r="G1017" s="2">
        <v>25</v>
      </c>
      <c r="H1017" s="3"/>
      <c r="I1017" s="21">
        <f>Table43[[#This Row],[Item Cost]]*Table43[[#This Row],[In Stock]]</f>
        <v>0</v>
      </c>
      <c r="J1017" s="12" t="s">
        <v>4932</v>
      </c>
      <c r="K1017" s="13" t="s">
        <v>4664</v>
      </c>
      <c r="L1017" s="13" t="s">
        <v>4672</v>
      </c>
      <c r="M1017" s="13" t="s">
        <v>5152</v>
      </c>
      <c r="N1017" s="12" t="s">
        <v>4672</v>
      </c>
      <c r="O1017" s="17" t="str">
        <f>IF(LEN(COUNTIFS($J$1:J1017,$J1017,$K$1:K1017,$K1017,$L$1:L1017,$L1017,$M$1:M1017,M1017,$N$1:N1017,N1017))=1,"00"&amp;COUNTIFS($J$1:J1017,$J1017,$K$1:K1017,$K1017,$L$1:L1017,$L1017,$M$1:M1017,M1017,$N$1:N1017,N1017),IF(LEN(COUNTIFS($J$1:J1017,$J1017,$K$1:K1017,$K1017,$L$1:L1017,$L1017,$M$1:M1017,M1017,$N$1:N1017,N1017))=2,"0"&amp;COUNTIFS($J$1:J1017,$J1017,$K$1:K1017,$K1017,$L$1:L1017,$L1017,$M$1:M1017,M1017,$N$1:N1017,N1017),COUNTIFS($J$1:J1017,$J1017,$K$1:K1017,$K1017,$L$1:L1017,$L1017,$M$1:M1017,M1017,$N$1:N1017,N1017)))</f>
        <v>008</v>
      </c>
      <c r="P101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ES-CS-000-33-00008-INV</v>
      </c>
      <c r="Q1017" s="34"/>
      <c r="R1017" s="34" t="s">
        <v>6711</v>
      </c>
      <c r="S1017" s="34" t="s">
        <v>5006</v>
      </c>
      <c r="T1017" s="34">
        <f>+IFERROR(_xlfn.XLOOKUP(Table43[[#This Row],[Column1]],#REF!,#REF!),0)</f>
        <v>0</v>
      </c>
      <c r="U1017" s="50">
        <f>IFERROR(_xlfn.XLOOKUP(Table43[[#This Row],[Column1]],#REF!,#REF!),0)</f>
        <v>0</v>
      </c>
      <c r="V1017" s="39"/>
    </row>
    <row r="1018" spans="1:22" x14ac:dyDescent="0.35">
      <c r="A1018" s="3" t="s">
        <v>5075</v>
      </c>
      <c r="B1018" s="42" t="s">
        <v>5007</v>
      </c>
      <c r="C1018" s="3" t="s">
        <v>5606</v>
      </c>
      <c r="D1018" s="3"/>
      <c r="E1018" s="3" t="s">
        <v>10</v>
      </c>
      <c r="F1018" s="2">
        <v>5</v>
      </c>
      <c r="G1018" s="2">
        <v>25</v>
      </c>
      <c r="H1018" s="3"/>
      <c r="I1018" s="21">
        <f>Table43[[#This Row],[Item Cost]]*Table43[[#This Row],[In Stock]]</f>
        <v>0</v>
      </c>
      <c r="J1018" s="12" t="s">
        <v>4932</v>
      </c>
      <c r="K1018" s="13" t="s">
        <v>4664</v>
      </c>
      <c r="L1018" s="13" t="s">
        <v>4672</v>
      </c>
      <c r="M1018" s="13" t="s">
        <v>5152</v>
      </c>
      <c r="N1018" s="12" t="s">
        <v>4672</v>
      </c>
      <c r="O1018" s="17" t="str">
        <f>IF(LEN(COUNTIFS($J$1:J1018,$J1018,$K$1:K1018,$K1018,$L$1:L1018,$L1018,$M$1:M1018,M1018,$N$1:N1018,N1018))=1,"00"&amp;COUNTIFS($J$1:J1018,$J1018,$K$1:K1018,$K1018,$L$1:L1018,$L1018,$M$1:M1018,M1018,$N$1:N1018,N1018),IF(LEN(COUNTIFS($J$1:J1018,$J1018,$K$1:K1018,$K1018,$L$1:L1018,$L1018,$M$1:M1018,M1018,$N$1:N1018,N1018))=2,"0"&amp;COUNTIFS($J$1:J1018,$J1018,$K$1:K1018,$K1018,$L$1:L1018,$L1018,$M$1:M1018,M1018,$N$1:N1018,N1018),COUNTIFS($J$1:J1018,$J1018,$K$1:K1018,$K1018,$L$1:L1018,$L1018,$M$1:M1018,M1018,$N$1:N1018,N1018)))</f>
        <v>009</v>
      </c>
      <c r="P101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ES-CS-000-33-00009-INV</v>
      </c>
      <c r="Q1018" s="34"/>
      <c r="R1018" s="34" t="s">
        <v>6712</v>
      </c>
      <c r="S1018" s="34" t="s">
        <v>5007</v>
      </c>
      <c r="T1018" s="34">
        <f>+IFERROR(_xlfn.XLOOKUP(Table43[[#This Row],[Column1]],#REF!,#REF!),0)</f>
        <v>0</v>
      </c>
      <c r="U1018" s="50">
        <f>IFERROR(_xlfn.XLOOKUP(Table43[[#This Row],[Column1]],#REF!,#REF!),0)</f>
        <v>0</v>
      </c>
      <c r="V1018" s="39"/>
    </row>
    <row r="1019" spans="1:22" x14ac:dyDescent="0.35">
      <c r="A1019" s="3" t="s">
        <v>5076</v>
      </c>
      <c r="B1019" s="42" t="s">
        <v>5008</v>
      </c>
      <c r="C1019" s="3" t="s">
        <v>5606</v>
      </c>
      <c r="D1019" s="3"/>
      <c r="E1019" s="3" t="s">
        <v>10</v>
      </c>
      <c r="F1019" s="2">
        <v>5</v>
      </c>
      <c r="G1019" s="2">
        <v>25</v>
      </c>
      <c r="H1019" s="3"/>
      <c r="I1019" s="21">
        <f>Table43[[#This Row],[Item Cost]]*Table43[[#This Row],[In Stock]]</f>
        <v>0</v>
      </c>
      <c r="J1019" s="12" t="s">
        <v>4932</v>
      </c>
      <c r="K1019" s="13" t="s">
        <v>4664</v>
      </c>
      <c r="L1019" s="13" t="s">
        <v>4672</v>
      </c>
      <c r="M1019" s="13" t="s">
        <v>5152</v>
      </c>
      <c r="N1019" s="12" t="s">
        <v>4672</v>
      </c>
      <c r="O1019" s="17" t="str">
        <f>IF(LEN(COUNTIFS($J$1:J1019,$J1019,$K$1:K1019,$K1019,$L$1:L1019,$L1019,$M$1:M1019,M1019,$N$1:N1019,N1019))=1,"00"&amp;COUNTIFS($J$1:J1019,$J1019,$K$1:K1019,$K1019,$L$1:L1019,$L1019,$M$1:M1019,M1019,$N$1:N1019,N1019),IF(LEN(COUNTIFS($J$1:J1019,$J1019,$K$1:K1019,$K1019,$L$1:L1019,$L1019,$M$1:M1019,M1019,$N$1:N1019,N1019))=2,"0"&amp;COUNTIFS($J$1:J1019,$J1019,$K$1:K1019,$K1019,$L$1:L1019,$L1019,$M$1:M1019,M1019,$N$1:N1019,N1019),COUNTIFS($J$1:J1019,$J1019,$K$1:K1019,$K1019,$L$1:L1019,$L1019,$M$1:M1019,M1019,$N$1:N1019,N1019)))</f>
        <v>010</v>
      </c>
      <c r="P101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ES-CS-000-33-00010-INV</v>
      </c>
      <c r="Q1019" s="34"/>
      <c r="R1019" s="34" t="s">
        <v>6713</v>
      </c>
      <c r="S1019" s="34" t="s">
        <v>5008</v>
      </c>
      <c r="T1019" s="34">
        <f>+IFERROR(_xlfn.XLOOKUP(Table43[[#This Row],[Column1]],#REF!,#REF!),0)</f>
        <v>0</v>
      </c>
      <c r="U1019" s="50">
        <f>IFERROR(_xlfn.XLOOKUP(Table43[[#This Row],[Column1]],#REF!,#REF!),0)</f>
        <v>0</v>
      </c>
      <c r="V1019" s="39"/>
    </row>
    <row r="1020" spans="1:22" x14ac:dyDescent="0.35">
      <c r="A1020" s="3" t="s">
        <v>5077</v>
      </c>
      <c r="B1020" s="42" t="s">
        <v>5009</v>
      </c>
      <c r="C1020" s="3" t="s">
        <v>5606</v>
      </c>
      <c r="D1020" s="3"/>
      <c r="E1020" s="3" t="s">
        <v>10</v>
      </c>
      <c r="F1020" s="2">
        <v>5</v>
      </c>
      <c r="G1020" s="2">
        <v>25</v>
      </c>
      <c r="H1020" s="3"/>
      <c r="I1020" s="21">
        <f>Table43[[#This Row],[Item Cost]]*Table43[[#This Row],[In Stock]]</f>
        <v>0</v>
      </c>
      <c r="J1020" s="12" t="s">
        <v>4932</v>
      </c>
      <c r="K1020" s="13" t="s">
        <v>4664</v>
      </c>
      <c r="L1020" s="13" t="s">
        <v>4672</v>
      </c>
      <c r="M1020" s="13" t="s">
        <v>5152</v>
      </c>
      <c r="N1020" s="12" t="s">
        <v>4672</v>
      </c>
      <c r="O1020" s="17" t="str">
        <f>IF(LEN(COUNTIFS($J$1:J1020,$J1020,$K$1:K1020,$K1020,$L$1:L1020,$L1020,$M$1:M1020,M1020,$N$1:N1020,N1020))=1,"00"&amp;COUNTIFS($J$1:J1020,$J1020,$K$1:K1020,$K1020,$L$1:L1020,$L1020,$M$1:M1020,M1020,$N$1:N1020,N1020),IF(LEN(COUNTIFS($J$1:J1020,$J1020,$K$1:K1020,$K1020,$L$1:L1020,$L1020,$M$1:M1020,M1020,$N$1:N1020,N1020))=2,"0"&amp;COUNTIFS($J$1:J1020,$J1020,$K$1:K1020,$K1020,$L$1:L1020,$L1020,$M$1:M1020,M1020,$N$1:N1020,N1020),COUNTIFS($J$1:J1020,$J1020,$K$1:K1020,$K1020,$L$1:L1020,$L1020,$M$1:M1020,M1020,$N$1:N1020,N1020)))</f>
        <v>011</v>
      </c>
      <c r="P102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ES-CS-000-33-00011-INV</v>
      </c>
      <c r="Q1020" s="34"/>
      <c r="R1020" s="34" t="s">
        <v>6714</v>
      </c>
      <c r="S1020" s="34" t="s">
        <v>5009</v>
      </c>
      <c r="T1020" s="34">
        <f>+IFERROR(_xlfn.XLOOKUP(Table43[[#This Row],[Column1]],#REF!,#REF!),0)</f>
        <v>0</v>
      </c>
      <c r="U1020" s="50">
        <f>IFERROR(_xlfn.XLOOKUP(Table43[[#This Row],[Column1]],#REF!,#REF!),0)</f>
        <v>0</v>
      </c>
      <c r="V1020" s="39"/>
    </row>
    <row r="1021" spans="1:22" x14ac:dyDescent="0.35">
      <c r="A1021" s="3" t="s">
        <v>5078</v>
      </c>
      <c r="B1021" s="42" t="s">
        <v>5010</v>
      </c>
      <c r="C1021" s="3" t="s">
        <v>5606</v>
      </c>
      <c r="D1021" s="3"/>
      <c r="E1021" s="3" t="s">
        <v>10</v>
      </c>
      <c r="F1021" s="2">
        <v>5</v>
      </c>
      <c r="G1021" s="2">
        <v>25</v>
      </c>
      <c r="H1021" s="3"/>
      <c r="I1021" s="21">
        <f>Table43[[#This Row],[Item Cost]]*Table43[[#This Row],[In Stock]]</f>
        <v>0</v>
      </c>
      <c r="J1021" s="12" t="s">
        <v>4932</v>
      </c>
      <c r="K1021" s="13" t="s">
        <v>4664</v>
      </c>
      <c r="L1021" s="13" t="s">
        <v>4672</v>
      </c>
      <c r="M1021" s="13" t="s">
        <v>5152</v>
      </c>
      <c r="N1021" s="12" t="s">
        <v>4672</v>
      </c>
      <c r="O1021" s="17" t="str">
        <f>IF(LEN(COUNTIFS($J$1:J1021,$J1021,$K$1:K1021,$K1021,$L$1:L1021,$L1021,$M$1:M1021,M1021,$N$1:N1021,N1021))=1,"00"&amp;COUNTIFS($J$1:J1021,$J1021,$K$1:K1021,$K1021,$L$1:L1021,$L1021,$M$1:M1021,M1021,$N$1:N1021,N1021),IF(LEN(COUNTIFS($J$1:J1021,$J1021,$K$1:K1021,$K1021,$L$1:L1021,$L1021,$M$1:M1021,M1021,$N$1:N1021,N1021))=2,"0"&amp;COUNTIFS($J$1:J1021,$J1021,$K$1:K1021,$K1021,$L$1:L1021,$L1021,$M$1:M1021,M1021,$N$1:N1021,N1021),COUNTIFS($J$1:J1021,$J1021,$K$1:K1021,$K1021,$L$1:L1021,$L1021,$M$1:M1021,M1021,$N$1:N1021,N1021)))</f>
        <v>012</v>
      </c>
      <c r="P102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ES-CS-000-33-00012-INV</v>
      </c>
      <c r="Q1021" s="34"/>
      <c r="R1021" s="34" t="s">
        <v>6715</v>
      </c>
      <c r="S1021" s="34" t="s">
        <v>5010</v>
      </c>
      <c r="T1021" s="34">
        <f>+IFERROR(_xlfn.XLOOKUP(Table43[[#This Row],[Column1]],#REF!,#REF!),0)</f>
        <v>0</v>
      </c>
      <c r="U1021" s="50">
        <f>IFERROR(_xlfn.XLOOKUP(Table43[[#This Row],[Column1]],#REF!,#REF!),0)</f>
        <v>0</v>
      </c>
      <c r="V1021" s="39"/>
    </row>
    <row r="1022" spans="1:22" x14ac:dyDescent="0.35">
      <c r="A1022" s="3" t="s">
        <v>5079</v>
      </c>
      <c r="B1022" s="42" t="s">
        <v>5011</v>
      </c>
      <c r="C1022" s="3" t="s">
        <v>5606</v>
      </c>
      <c r="D1022" s="3"/>
      <c r="E1022" s="3" t="s">
        <v>10</v>
      </c>
      <c r="F1022" s="2">
        <v>5</v>
      </c>
      <c r="G1022" s="2">
        <v>25</v>
      </c>
      <c r="H1022" s="3"/>
      <c r="I1022" s="21">
        <f>Table43[[#This Row],[Item Cost]]*Table43[[#This Row],[In Stock]]</f>
        <v>0</v>
      </c>
      <c r="J1022" s="12" t="s">
        <v>4932</v>
      </c>
      <c r="K1022" s="13" t="s">
        <v>4664</v>
      </c>
      <c r="L1022" s="13" t="s">
        <v>4672</v>
      </c>
      <c r="M1022" s="13" t="s">
        <v>5152</v>
      </c>
      <c r="N1022" s="12" t="s">
        <v>4672</v>
      </c>
      <c r="O1022" s="17" t="str">
        <f>IF(LEN(COUNTIFS($J$1:J1022,$J1022,$K$1:K1022,$K1022,$L$1:L1022,$L1022,$M$1:M1022,M1022,$N$1:N1022,N1022))=1,"00"&amp;COUNTIFS($J$1:J1022,$J1022,$K$1:K1022,$K1022,$L$1:L1022,$L1022,$M$1:M1022,M1022,$N$1:N1022,N1022),IF(LEN(COUNTIFS($J$1:J1022,$J1022,$K$1:K1022,$K1022,$L$1:L1022,$L1022,$M$1:M1022,M1022,$N$1:N1022,N1022))=2,"0"&amp;COUNTIFS($J$1:J1022,$J1022,$K$1:K1022,$K1022,$L$1:L1022,$L1022,$M$1:M1022,M1022,$N$1:N1022,N1022),COUNTIFS($J$1:J1022,$J1022,$K$1:K1022,$K1022,$L$1:L1022,$L1022,$M$1:M1022,M1022,$N$1:N1022,N1022)))</f>
        <v>013</v>
      </c>
      <c r="P102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ES-CS-000-33-00013-INV</v>
      </c>
      <c r="Q1022" s="34"/>
      <c r="R1022" s="34" t="s">
        <v>6716</v>
      </c>
      <c r="S1022" s="34" t="s">
        <v>5011</v>
      </c>
      <c r="T1022" s="34">
        <f>+IFERROR(_xlfn.XLOOKUP(Table43[[#This Row],[Column1]],#REF!,#REF!),0)</f>
        <v>0</v>
      </c>
      <c r="U1022" s="50">
        <f>IFERROR(_xlfn.XLOOKUP(Table43[[#This Row],[Column1]],#REF!,#REF!),0)</f>
        <v>0</v>
      </c>
      <c r="V1022" s="39"/>
    </row>
    <row r="1023" spans="1:22" x14ac:dyDescent="0.35">
      <c r="A1023" s="3" t="s">
        <v>5080</v>
      </c>
      <c r="B1023" s="42" t="s">
        <v>5012</v>
      </c>
      <c r="C1023" s="3" t="s">
        <v>5606</v>
      </c>
      <c r="D1023" s="3"/>
      <c r="E1023" s="3" t="s">
        <v>10</v>
      </c>
      <c r="F1023" s="2">
        <v>5</v>
      </c>
      <c r="G1023" s="2">
        <v>25</v>
      </c>
      <c r="H1023" s="3"/>
      <c r="I1023" s="21">
        <f>Table43[[#This Row],[Item Cost]]*Table43[[#This Row],[In Stock]]</f>
        <v>0</v>
      </c>
      <c r="J1023" s="12" t="s">
        <v>4932</v>
      </c>
      <c r="K1023" s="13" t="s">
        <v>4664</v>
      </c>
      <c r="L1023" s="13" t="s">
        <v>4672</v>
      </c>
      <c r="M1023" s="13" t="s">
        <v>5152</v>
      </c>
      <c r="N1023" s="12" t="s">
        <v>4672</v>
      </c>
      <c r="O1023" s="17" t="str">
        <f>IF(LEN(COUNTIFS($J$1:J1023,$J1023,$K$1:K1023,$K1023,$L$1:L1023,$L1023,$M$1:M1023,M1023,$N$1:N1023,N1023))=1,"00"&amp;COUNTIFS($J$1:J1023,$J1023,$K$1:K1023,$K1023,$L$1:L1023,$L1023,$M$1:M1023,M1023,$N$1:N1023,N1023),IF(LEN(COUNTIFS($J$1:J1023,$J1023,$K$1:K1023,$K1023,$L$1:L1023,$L1023,$M$1:M1023,M1023,$N$1:N1023,N1023))=2,"0"&amp;COUNTIFS($J$1:J1023,$J1023,$K$1:K1023,$K1023,$L$1:L1023,$L1023,$M$1:M1023,M1023,$N$1:N1023,N1023),COUNTIFS($J$1:J1023,$J1023,$K$1:K1023,$K1023,$L$1:L1023,$L1023,$M$1:M1023,M1023,$N$1:N1023,N1023)))</f>
        <v>014</v>
      </c>
      <c r="P102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ES-CS-000-33-00014-INV</v>
      </c>
      <c r="Q1023" s="34"/>
      <c r="R1023" s="34" t="s">
        <v>6717</v>
      </c>
      <c r="S1023" s="34" t="s">
        <v>5012</v>
      </c>
      <c r="T1023" s="34">
        <f>+IFERROR(_xlfn.XLOOKUP(Table43[[#This Row],[Column1]],#REF!,#REF!),0)</f>
        <v>0</v>
      </c>
      <c r="U1023" s="50">
        <f>IFERROR(_xlfn.XLOOKUP(Table43[[#This Row],[Column1]],#REF!,#REF!),0)</f>
        <v>0</v>
      </c>
      <c r="V1023" s="39"/>
    </row>
    <row r="1024" spans="1:22" x14ac:dyDescent="0.35">
      <c r="A1024" s="3" t="s">
        <v>5081</v>
      </c>
      <c r="B1024" s="42" t="s">
        <v>5013</v>
      </c>
      <c r="C1024" s="3" t="s">
        <v>5606</v>
      </c>
      <c r="D1024" s="3"/>
      <c r="E1024" s="3" t="s">
        <v>10</v>
      </c>
      <c r="F1024" s="2">
        <v>5</v>
      </c>
      <c r="G1024" s="2">
        <v>25</v>
      </c>
      <c r="H1024" s="3"/>
      <c r="I1024" s="21">
        <f>Table43[[#This Row],[Item Cost]]*Table43[[#This Row],[In Stock]]</f>
        <v>0</v>
      </c>
      <c r="J1024" s="12" t="s">
        <v>4932</v>
      </c>
      <c r="K1024" s="13" t="s">
        <v>4664</v>
      </c>
      <c r="L1024" s="13" t="s">
        <v>4672</v>
      </c>
      <c r="M1024" s="13" t="s">
        <v>5152</v>
      </c>
      <c r="N1024" s="12" t="s">
        <v>4672</v>
      </c>
      <c r="O1024" s="17" t="str">
        <f>IF(LEN(COUNTIFS($J$1:J1024,$J1024,$K$1:K1024,$K1024,$L$1:L1024,$L1024,$M$1:M1024,M1024,$N$1:N1024,N1024))=1,"00"&amp;COUNTIFS($J$1:J1024,$J1024,$K$1:K1024,$K1024,$L$1:L1024,$L1024,$M$1:M1024,M1024,$N$1:N1024,N1024),IF(LEN(COUNTIFS($J$1:J1024,$J1024,$K$1:K1024,$K1024,$L$1:L1024,$L1024,$M$1:M1024,M1024,$N$1:N1024,N1024))=2,"0"&amp;COUNTIFS($J$1:J1024,$J1024,$K$1:K1024,$K1024,$L$1:L1024,$L1024,$M$1:M1024,M1024,$N$1:N1024,N1024),COUNTIFS($J$1:J1024,$J1024,$K$1:K1024,$K1024,$L$1:L1024,$L1024,$M$1:M1024,M1024,$N$1:N1024,N1024)))</f>
        <v>015</v>
      </c>
      <c r="P102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ES-CS-000-33-00015-INV</v>
      </c>
      <c r="Q1024" s="34"/>
      <c r="R1024" s="34" t="s">
        <v>6718</v>
      </c>
      <c r="S1024" s="34" t="s">
        <v>5013</v>
      </c>
      <c r="T1024" s="34">
        <f>+IFERROR(_xlfn.XLOOKUP(Table43[[#This Row],[Column1]],#REF!,#REF!),0)</f>
        <v>0</v>
      </c>
      <c r="U1024" s="50">
        <f>IFERROR(_xlfn.XLOOKUP(Table43[[#This Row],[Column1]],#REF!,#REF!),0)</f>
        <v>0</v>
      </c>
      <c r="V1024" s="39"/>
    </row>
    <row r="1025" spans="1:22" x14ac:dyDescent="0.35">
      <c r="A1025" s="3" t="s">
        <v>5082</v>
      </c>
      <c r="B1025" s="42" t="s">
        <v>5014</v>
      </c>
      <c r="C1025" s="3" t="s">
        <v>5606</v>
      </c>
      <c r="D1025" s="3"/>
      <c r="E1025" s="3" t="s">
        <v>10</v>
      </c>
      <c r="F1025" s="2">
        <v>5</v>
      </c>
      <c r="G1025" s="2">
        <v>25</v>
      </c>
      <c r="H1025" s="3"/>
      <c r="I1025" s="21">
        <f>Table43[[#This Row],[Item Cost]]*Table43[[#This Row],[In Stock]]</f>
        <v>0</v>
      </c>
      <c r="J1025" s="12" t="s">
        <v>4932</v>
      </c>
      <c r="K1025" s="13" t="s">
        <v>4664</v>
      </c>
      <c r="L1025" s="13" t="s">
        <v>4672</v>
      </c>
      <c r="M1025" s="13" t="s">
        <v>5152</v>
      </c>
      <c r="N1025" s="12" t="s">
        <v>4672</v>
      </c>
      <c r="O1025" s="17" t="str">
        <f>IF(LEN(COUNTIFS($J$1:J1025,$J1025,$K$1:K1025,$K1025,$L$1:L1025,$L1025,$M$1:M1025,M1025,$N$1:N1025,N1025))=1,"00"&amp;COUNTIFS($J$1:J1025,$J1025,$K$1:K1025,$K1025,$L$1:L1025,$L1025,$M$1:M1025,M1025,$N$1:N1025,N1025),IF(LEN(COUNTIFS($J$1:J1025,$J1025,$K$1:K1025,$K1025,$L$1:L1025,$L1025,$M$1:M1025,M1025,$N$1:N1025,N1025))=2,"0"&amp;COUNTIFS($J$1:J1025,$J1025,$K$1:K1025,$K1025,$L$1:L1025,$L1025,$M$1:M1025,M1025,$N$1:N1025,N1025),COUNTIFS($J$1:J1025,$J1025,$K$1:K1025,$K1025,$L$1:L1025,$L1025,$M$1:M1025,M1025,$N$1:N1025,N1025)))</f>
        <v>016</v>
      </c>
      <c r="P102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ES-CS-000-33-00016-INV</v>
      </c>
      <c r="Q1025" s="34"/>
      <c r="R1025" s="34" t="s">
        <v>6719</v>
      </c>
      <c r="S1025" s="34" t="s">
        <v>5014</v>
      </c>
      <c r="T1025" s="34">
        <f>+IFERROR(_xlfn.XLOOKUP(Table43[[#This Row],[Column1]],#REF!,#REF!),0)</f>
        <v>0</v>
      </c>
      <c r="U1025" s="50">
        <f>IFERROR(_xlfn.XLOOKUP(Table43[[#This Row],[Column1]],#REF!,#REF!),0)</f>
        <v>0</v>
      </c>
      <c r="V1025" s="39"/>
    </row>
    <row r="1026" spans="1:22" x14ac:dyDescent="0.35">
      <c r="A1026" s="3" t="s">
        <v>5083</v>
      </c>
      <c r="B1026" s="42" t="s">
        <v>5015</v>
      </c>
      <c r="C1026" s="3" t="s">
        <v>5606</v>
      </c>
      <c r="D1026" s="3"/>
      <c r="E1026" s="3" t="s">
        <v>10</v>
      </c>
      <c r="F1026" s="2">
        <v>5</v>
      </c>
      <c r="G1026" s="2">
        <v>25</v>
      </c>
      <c r="H1026" s="3"/>
      <c r="I1026" s="21">
        <f>Table43[[#This Row],[Item Cost]]*Table43[[#This Row],[In Stock]]</f>
        <v>0</v>
      </c>
      <c r="J1026" s="12" t="s">
        <v>4932</v>
      </c>
      <c r="K1026" s="13" t="s">
        <v>4664</v>
      </c>
      <c r="L1026" s="13" t="s">
        <v>4672</v>
      </c>
      <c r="M1026" s="13" t="s">
        <v>5152</v>
      </c>
      <c r="N1026" s="12" t="s">
        <v>4672</v>
      </c>
      <c r="O1026" s="17" t="str">
        <f>IF(LEN(COUNTIFS($J$1:J1026,$J1026,$K$1:K1026,$K1026,$L$1:L1026,$L1026,$M$1:M1026,M1026,$N$1:N1026,N1026))=1,"00"&amp;COUNTIFS($J$1:J1026,$J1026,$K$1:K1026,$K1026,$L$1:L1026,$L1026,$M$1:M1026,M1026,$N$1:N1026,N1026),IF(LEN(COUNTIFS($J$1:J1026,$J1026,$K$1:K1026,$K1026,$L$1:L1026,$L1026,$M$1:M1026,M1026,$N$1:N1026,N1026))=2,"0"&amp;COUNTIFS($J$1:J1026,$J1026,$K$1:K1026,$K1026,$L$1:L1026,$L1026,$M$1:M1026,M1026,$N$1:N1026,N1026),COUNTIFS($J$1:J1026,$J1026,$K$1:K1026,$K1026,$L$1:L1026,$L1026,$M$1:M1026,M1026,$N$1:N1026,N1026)))</f>
        <v>017</v>
      </c>
      <c r="P102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ES-CS-000-33-00017-INV</v>
      </c>
      <c r="Q1026" s="34"/>
      <c r="R1026" s="34" t="s">
        <v>6720</v>
      </c>
      <c r="S1026" s="34" t="s">
        <v>5015</v>
      </c>
      <c r="T1026" s="34">
        <f>+IFERROR(_xlfn.XLOOKUP(Table43[[#This Row],[Column1]],#REF!,#REF!),0)</f>
        <v>0</v>
      </c>
      <c r="U1026" s="50">
        <f>IFERROR(_xlfn.XLOOKUP(Table43[[#This Row],[Column1]],#REF!,#REF!),0)</f>
        <v>0</v>
      </c>
      <c r="V1026" s="39"/>
    </row>
    <row r="1027" spans="1:22" x14ac:dyDescent="0.35">
      <c r="A1027" s="3" t="s">
        <v>5084</v>
      </c>
      <c r="B1027" s="42" t="s">
        <v>5016</v>
      </c>
      <c r="C1027" s="3" t="s">
        <v>5606</v>
      </c>
      <c r="D1027" s="3"/>
      <c r="E1027" s="3" t="s">
        <v>10</v>
      </c>
      <c r="F1027" s="2">
        <v>5</v>
      </c>
      <c r="G1027" s="2">
        <v>25</v>
      </c>
      <c r="H1027" s="3"/>
      <c r="I1027" s="21">
        <f>Table43[[#This Row],[Item Cost]]*Table43[[#This Row],[In Stock]]</f>
        <v>0</v>
      </c>
      <c r="J1027" s="12" t="s">
        <v>4932</v>
      </c>
      <c r="K1027" s="13" t="s">
        <v>4664</v>
      </c>
      <c r="L1027" s="13" t="s">
        <v>4672</v>
      </c>
      <c r="M1027" s="13" t="s">
        <v>5152</v>
      </c>
      <c r="N1027" s="12" t="s">
        <v>4672</v>
      </c>
      <c r="O1027" s="17" t="str">
        <f>IF(LEN(COUNTIFS($J$1:J1027,$J1027,$K$1:K1027,$K1027,$L$1:L1027,$L1027,$M$1:M1027,M1027,$N$1:N1027,N1027))=1,"00"&amp;COUNTIFS($J$1:J1027,$J1027,$K$1:K1027,$K1027,$L$1:L1027,$L1027,$M$1:M1027,M1027,$N$1:N1027,N1027),IF(LEN(COUNTIFS($J$1:J1027,$J1027,$K$1:K1027,$K1027,$L$1:L1027,$L1027,$M$1:M1027,M1027,$N$1:N1027,N1027))=2,"0"&amp;COUNTIFS($J$1:J1027,$J1027,$K$1:K1027,$K1027,$L$1:L1027,$L1027,$M$1:M1027,M1027,$N$1:N1027,N1027),COUNTIFS($J$1:J1027,$J1027,$K$1:K1027,$K1027,$L$1:L1027,$L1027,$M$1:M1027,M1027,$N$1:N1027,N1027)))</f>
        <v>018</v>
      </c>
      <c r="P102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ES-CS-000-33-00018-INV</v>
      </c>
      <c r="Q1027" s="34"/>
      <c r="R1027" s="34" t="s">
        <v>6721</v>
      </c>
      <c r="S1027" s="34" t="s">
        <v>5016</v>
      </c>
      <c r="T1027" s="34">
        <f>+IFERROR(_xlfn.XLOOKUP(Table43[[#This Row],[Column1]],#REF!,#REF!),0)</f>
        <v>0</v>
      </c>
      <c r="U1027" s="50">
        <f>IFERROR(_xlfn.XLOOKUP(Table43[[#This Row],[Column1]],#REF!,#REF!),0)</f>
        <v>0</v>
      </c>
      <c r="V1027" s="39"/>
    </row>
    <row r="1028" spans="1:22" x14ac:dyDescent="0.35">
      <c r="A1028" s="3" t="s">
        <v>5085</v>
      </c>
      <c r="B1028" s="42" t="s">
        <v>5017</v>
      </c>
      <c r="C1028" s="3" t="s">
        <v>5606</v>
      </c>
      <c r="D1028" s="3"/>
      <c r="E1028" s="3" t="s">
        <v>10</v>
      </c>
      <c r="F1028" s="2">
        <v>5</v>
      </c>
      <c r="G1028" s="2">
        <v>25</v>
      </c>
      <c r="H1028" s="3"/>
      <c r="I1028" s="21">
        <f>Table43[[#This Row],[Item Cost]]*Table43[[#This Row],[In Stock]]</f>
        <v>0</v>
      </c>
      <c r="J1028" s="12" t="s">
        <v>4932</v>
      </c>
      <c r="K1028" s="13" t="s">
        <v>4664</v>
      </c>
      <c r="L1028" s="13" t="s">
        <v>4672</v>
      </c>
      <c r="M1028" s="13" t="s">
        <v>5152</v>
      </c>
      <c r="N1028" s="12" t="s">
        <v>4672</v>
      </c>
      <c r="O1028" s="17" t="str">
        <f>IF(LEN(COUNTIFS($J$1:J1028,$J1028,$K$1:K1028,$K1028,$L$1:L1028,$L1028,$M$1:M1028,M1028,$N$1:N1028,N1028))=1,"00"&amp;COUNTIFS($J$1:J1028,$J1028,$K$1:K1028,$K1028,$L$1:L1028,$L1028,$M$1:M1028,M1028,$N$1:N1028,N1028),IF(LEN(COUNTIFS($J$1:J1028,$J1028,$K$1:K1028,$K1028,$L$1:L1028,$L1028,$M$1:M1028,M1028,$N$1:N1028,N1028))=2,"0"&amp;COUNTIFS($J$1:J1028,$J1028,$K$1:K1028,$K1028,$L$1:L1028,$L1028,$M$1:M1028,M1028,$N$1:N1028,N1028),COUNTIFS($J$1:J1028,$J1028,$K$1:K1028,$K1028,$L$1:L1028,$L1028,$M$1:M1028,M1028,$N$1:N1028,N1028)))</f>
        <v>019</v>
      </c>
      <c r="P102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ES-CS-000-33-00019-INV</v>
      </c>
      <c r="Q1028" s="34"/>
      <c r="R1028" s="34" t="s">
        <v>6722</v>
      </c>
      <c r="S1028" s="34" t="s">
        <v>5017</v>
      </c>
      <c r="T1028" s="34">
        <f>+IFERROR(_xlfn.XLOOKUP(Table43[[#This Row],[Column1]],#REF!,#REF!),0)</f>
        <v>0</v>
      </c>
      <c r="U1028" s="50">
        <f>IFERROR(_xlfn.XLOOKUP(Table43[[#This Row],[Column1]],#REF!,#REF!),0)</f>
        <v>0</v>
      </c>
      <c r="V1028" s="39"/>
    </row>
    <row r="1029" spans="1:22" x14ac:dyDescent="0.35">
      <c r="A1029" s="3" t="s">
        <v>5086</v>
      </c>
      <c r="B1029" s="42" t="s">
        <v>5018</v>
      </c>
      <c r="C1029" s="3" t="s">
        <v>5606</v>
      </c>
      <c r="D1029" s="3"/>
      <c r="E1029" s="3" t="s">
        <v>10</v>
      </c>
      <c r="F1029" s="2">
        <v>5</v>
      </c>
      <c r="G1029" s="2">
        <v>25</v>
      </c>
      <c r="H1029" s="3"/>
      <c r="I1029" s="21">
        <f>Table43[[#This Row],[Item Cost]]*Table43[[#This Row],[In Stock]]</f>
        <v>0</v>
      </c>
      <c r="J1029" s="12" t="s">
        <v>4932</v>
      </c>
      <c r="K1029" s="13" t="s">
        <v>4664</v>
      </c>
      <c r="L1029" s="13" t="s">
        <v>4672</v>
      </c>
      <c r="M1029" s="13" t="s">
        <v>5152</v>
      </c>
      <c r="N1029" s="12" t="s">
        <v>4672</v>
      </c>
      <c r="O1029" s="17" t="str">
        <f>IF(LEN(COUNTIFS($J$1:J1029,$J1029,$K$1:K1029,$K1029,$L$1:L1029,$L1029,$M$1:M1029,M1029,$N$1:N1029,N1029))=1,"00"&amp;COUNTIFS($J$1:J1029,$J1029,$K$1:K1029,$K1029,$L$1:L1029,$L1029,$M$1:M1029,M1029,$N$1:N1029,N1029),IF(LEN(COUNTIFS($J$1:J1029,$J1029,$K$1:K1029,$K1029,$L$1:L1029,$L1029,$M$1:M1029,M1029,$N$1:N1029,N1029))=2,"0"&amp;COUNTIFS($J$1:J1029,$J1029,$K$1:K1029,$K1029,$L$1:L1029,$L1029,$M$1:M1029,M1029,$N$1:N1029,N1029),COUNTIFS($J$1:J1029,$J1029,$K$1:K1029,$K1029,$L$1:L1029,$L1029,$M$1:M1029,M1029,$N$1:N1029,N1029)))</f>
        <v>020</v>
      </c>
      <c r="P102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ES-CS-000-33-00020-INV</v>
      </c>
      <c r="Q1029" s="34"/>
      <c r="R1029" s="34" t="s">
        <v>6723</v>
      </c>
      <c r="S1029" s="34" t="s">
        <v>5018</v>
      </c>
      <c r="T1029" s="34">
        <f>+IFERROR(_xlfn.XLOOKUP(Table43[[#This Row],[Column1]],#REF!,#REF!),0)</f>
        <v>0</v>
      </c>
      <c r="U1029" s="50">
        <f>IFERROR(_xlfn.XLOOKUP(Table43[[#This Row],[Column1]],#REF!,#REF!),0)</f>
        <v>0</v>
      </c>
      <c r="V1029" s="39"/>
    </row>
    <row r="1030" spans="1:22" x14ac:dyDescent="0.35">
      <c r="A1030" s="3" t="s">
        <v>5087</v>
      </c>
      <c r="B1030" s="42" t="s">
        <v>5019</v>
      </c>
      <c r="C1030" s="3" t="s">
        <v>5606</v>
      </c>
      <c r="D1030" s="3"/>
      <c r="E1030" s="3" t="s">
        <v>10</v>
      </c>
      <c r="F1030" s="2">
        <v>5</v>
      </c>
      <c r="G1030" s="2">
        <v>25</v>
      </c>
      <c r="H1030" s="3"/>
      <c r="I1030" s="21">
        <f>Table43[[#This Row],[Item Cost]]*Table43[[#This Row],[In Stock]]</f>
        <v>0</v>
      </c>
      <c r="J1030" s="12" t="s">
        <v>4932</v>
      </c>
      <c r="K1030" s="13" t="s">
        <v>4664</v>
      </c>
      <c r="L1030" s="13" t="s">
        <v>4672</v>
      </c>
      <c r="M1030" s="13" t="s">
        <v>5152</v>
      </c>
      <c r="N1030" s="12" t="s">
        <v>4672</v>
      </c>
      <c r="O1030" s="17" t="str">
        <f>IF(LEN(COUNTIFS($J$1:J1030,$J1030,$K$1:K1030,$K1030,$L$1:L1030,$L1030,$M$1:M1030,M1030,$N$1:N1030,N1030))=1,"00"&amp;COUNTIFS($J$1:J1030,$J1030,$K$1:K1030,$K1030,$L$1:L1030,$L1030,$M$1:M1030,M1030,$N$1:N1030,N1030),IF(LEN(COUNTIFS($J$1:J1030,$J1030,$K$1:K1030,$K1030,$L$1:L1030,$L1030,$M$1:M1030,M1030,$N$1:N1030,N1030))=2,"0"&amp;COUNTIFS($J$1:J1030,$J1030,$K$1:K1030,$K1030,$L$1:L1030,$L1030,$M$1:M1030,M1030,$N$1:N1030,N1030),COUNTIFS($J$1:J1030,$J1030,$K$1:K1030,$K1030,$L$1:L1030,$L1030,$M$1:M1030,M1030,$N$1:N1030,N1030)))</f>
        <v>021</v>
      </c>
      <c r="P103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ES-CS-000-33-00021-INV</v>
      </c>
      <c r="Q1030" s="34"/>
      <c r="R1030" s="34" t="s">
        <v>6724</v>
      </c>
      <c r="S1030" s="34" t="s">
        <v>5019</v>
      </c>
      <c r="T1030" s="34">
        <f>+IFERROR(_xlfn.XLOOKUP(Table43[[#This Row],[Column1]],#REF!,#REF!),0)</f>
        <v>0</v>
      </c>
      <c r="U1030" s="50">
        <f>IFERROR(_xlfn.XLOOKUP(Table43[[#This Row],[Column1]],#REF!,#REF!),0)</f>
        <v>0</v>
      </c>
      <c r="V1030" s="39"/>
    </row>
    <row r="1031" spans="1:22" x14ac:dyDescent="0.35">
      <c r="A1031" s="3" t="s">
        <v>5088</v>
      </c>
      <c r="B1031" s="42" t="s">
        <v>5020</v>
      </c>
      <c r="C1031" s="3" t="s">
        <v>5606</v>
      </c>
      <c r="D1031" s="3"/>
      <c r="E1031" s="3" t="s">
        <v>10</v>
      </c>
      <c r="F1031" s="2">
        <v>5</v>
      </c>
      <c r="G1031" s="2">
        <v>25</v>
      </c>
      <c r="H1031" s="3"/>
      <c r="I1031" s="21">
        <f>Table43[[#This Row],[Item Cost]]*Table43[[#This Row],[In Stock]]</f>
        <v>0</v>
      </c>
      <c r="J1031" s="12" t="s">
        <v>4932</v>
      </c>
      <c r="K1031" s="13" t="s">
        <v>4664</v>
      </c>
      <c r="L1031" s="13" t="s">
        <v>4672</v>
      </c>
      <c r="M1031" s="13" t="s">
        <v>5152</v>
      </c>
      <c r="N1031" s="12" t="s">
        <v>4672</v>
      </c>
      <c r="O1031" s="17" t="str">
        <f>IF(LEN(COUNTIFS($J$1:J1031,$J1031,$K$1:K1031,$K1031,$L$1:L1031,$L1031,$M$1:M1031,M1031,$N$1:N1031,N1031))=1,"00"&amp;COUNTIFS($J$1:J1031,$J1031,$K$1:K1031,$K1031,$L$1:L1031,$L1031,$M$1:M1031,M1031,$N$1:N1031,N1031),IF(LEN(COUNTIFS($J$1:J1031,$J1031,$K$1:K1031,$K1031,$L$1:L1031,$L1031,$M$1:M1031,M1031,$N$1:N1031,N1031))=2,"0"&amp;COUNTIFS($J$1:J1031,$J1031,$K$1:K1031,$K1031,$L$1:L1031,$L1031,$M$1:M1031,M1031,$N$1:N1031,N1031),COUNTIFS($J$1:J1031,$J1031,$K$1:K1031,$K1031,$L$1:L1031,$L1031,$M$1:M1031,M1031,$N$1:N1031,N1031)))</f>
        <v>022</v>
      </c>
      <c r="P103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ES-CS-000-33-00022-INV</v>
      </c>
      <c r="Q1031" s="34"/>
      <c r="R1031" s="34" t="s">
        <v>6725</v>
      </c>
      <c r="S1031" s="34" t="s">
        <v>5020</v>
      </c>
      <c r="T1031" s="34">
        <f>+IFERROR(_xlfn.XLOOKUP(Table43[[#This Row],[Column1]],#REF!,#REF!),0)</f>
        <v>0</v>
      </c>
      <c r="U1031" s="50">
        <f>IFERROR(_xlfn.XLOOKUP(Table43[[#This Row],[Column1]],#REF!,#REF!),0)</f>
        <v>0</v>
      </c>
      <c r="V1031" s="39"/>
    </row>
    <row r="1032" spans="1:22" x14ac:dyDescent="0.35">
      <c r="A1032" s="3" t="s">
        <v>5089</v>
      </c>
      <c r="B1032" s="42" t="s">
        <v>5021</v>
      </c>
      <c r="C1032" s="3" t="s">
        <v>5606</v>
      </c>
      <c r="D1032" s="3"/>
      <c r="E1032" s="3" t="s">
        <v>10</v>
      </c>
      <c r="F1032" s="2">
        <v>5</v>
      </c>
      <c r="G1032" s="2">
        <v>25</v>
      </c>
      <c r="H1032" s="3"/>
      <c r="I1032" s="21">
        <f>Table43[[#This Row],[Item Cost]]*Table43[[#This Row],[In Stock]]</f>
        <v>0</v>
      </c>
      <c r="J1032" s="12" t="s">
        <v>4932</v>
      </c>
      <c r="K1032" s="13" t="s">
        <v>4664</v>
      </c>
      <c r="L1032" s="13" t="s">
        <v>4672</v>
      </c>
      <c r="M1032" s="13" t="s">
        <v>5152</v>
      </c>
      <c r="N1032" s="12" t="s">
        <v>4672</v>
      </c>
      <c r="O1032" s="17" t="str">
        <f>IF(LEN(COUNTIFS($J$1:J1032,$J1032,$K$1:K1032,$K1032,$L$1:L1032,$L1032,$M$1:M1032,M1032,$N$1:N1032,N1032))=1,"00"&amp;COUNTIFS($J$1:J1032,$J1032,$K$1:K1032,$K1032,$L$1:L1032,$L1032,$M$1:M1032,M1032,$N$1:N1032,N1032),IF(LEN(COUNTIFS($J$1:J1032,$J1032,$K$1:K1032,$K1032,$L$1:L1032,$L1032,$M$1:M1032,M1032,$N$1:N1032,N1032))=2,"0"&amp;COUNTIFS($J$1:J1032,$J1032,$K$1:K1032,$K1032,$L$1:L1032,$L1032,$M$1:M1032,M1032,$N$1:N1032,N1032),COUNTIFS($J$1:J1032,$J1032,$K$1:K1032,$K1032,$L$1:L1032,$L1032,$M$1:M1032,M1032,$N$1:N1032,N1032)))</f>
        <v>023</v>
      </c>
      <c r="P103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ES-CS-000-33-00023-INV</v>
      </c>
      <c r="Q1032" s="34"/>
      <c r="R1032" s="34" t="s">
        <v>6726</v>
      </c>
      <c r="S1032" s="34" t="s">
        <v>5021</v>
      </c>
      <c r="T1032" s="34">
        <f>+IFERROR(_xlfn.XLOOKUP(Table43[[#This Row],[Column1]],#REF!,#REF!),0)</f>
        <v>0</v>
      </c>
      <c r="U1032" s="50">
        <f>IFERROR(_xlfn.XLOOKUP(Table43[[#This Row],[Column1]],#REF!,#REF!),0)</f>
        <v>0</v>
      </c>
      <c r="V1032" s="39"/>
    </row>
    <row r="1033" spans="1:22" x14ac:dyDescent="0.35">
      <c r="A1033" s="3" t="s">
        <v>5090</v>
      </c>
      <c r="B1033" s="42" t="s">
        <v>5022</v>
      </c>
      <c r="C1033" s="3" t="s">
        <v>5606</v>
      </c>
      <c r="D1033" s="3"/>
      <c r="E1033" s="3" t="s">
        <v>10</v>
      </c>
      <c r="F1033" s="2">
        <v>5</v>
      </c>
      <c r="G1033" s="2">
        <v>25</v>
      </c>
      <c r="H1033" s="3"/>
      <c r="I1033" s="21">
        <f>Table43[[#This Row],[Item Cost]]*Table43[[#This Row],[In Stock]]</f>
        <v>0</v>
      </c>
      <c r="J1033" s="12" t="s">
        <v>4932</v>
      </c>
      <c r="K1033" s="13" t="s">
        <v>4664</v>
      </c>
      <c r="L1033" s="13" t="s">
        <v>4672</v>
      </c>
      <c r="M1033" s="13" t="s">
        <v>5152</v>
      </c>
      <c r="N1033" s="12" t="s">
        <v>4672</v>
      </c>
      <c r="O1033" s="17" t="str">
        <f>IF(LEN(COUNTIFS($J$1:J1033,$J1033,$K$1:K1033,$K1033,$L$1:L1033,$L1033,$M$1:M1033,M1033,$N$1:N1033,N1033))=1,"00"&amp;COUNTIFS($J$1:J1033,$J1033,$K$1:K1033,$K1033,$L$1:L1033,$L1033,$M$1:M1033,M1033,$N$1:N1033,N1033),IF(LEN(COUNTIFS($J$1:J1033,$J1033,$K$1:K1033,$K1033,$L$1:L1033,$L1033,$M$1:M1033,M1033,$N$1:N1033,N1033))=2,"0"&amp;COUNTIFS($J$1:J1033,$J1033,$K$1:K1033,$K1033,$L$1:L1033,$L1033,$M$1:M1033,M1033,$N$1:N1033,N1033),COUNTIFS($J$1:J1033,$J1033,$K$1:K1033,$K1033,$L$1:L1033,$L1033,$M$1:M1033,M1033,$N$1:N1033,N1033)))</f>
        <v>024</v>
      </c>
      <c r="P103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ES-CS-000-33-00024-INV</v>
      </c>
      <c r="Q1033" s="34"/>
      <c r="R1033" s="34" t="s">
        <v>6727</v>
      </c>
      <c r="S1033" s="34" t="s">
        <v>5022</v>
      </c>
      <c r="T1033" s="34">
        <f>+IFERROR(_xlfn.XLOOKUP(Table43[[#This Row],[Column1]],#REF!,#REF!),0)</f>
        <v>0</v>
      </c>
      <c r="U1033" s="50">
        <f>IFERROR(_xlfn.XLOOKUP(Table43[[#This Row],[Column1]],#REF!,#REF!),0)</f>
        <v>0</v>
      </c>
      <c r="V1033" s="39"/>
    </row>
    <row r="1034" spans="1:22" x14ac:dyDescent="0.35">
      <c r="A1034" s="3" t="s">
        <v>5091</v>
      </c>
      <c r="B1034" s="42" t="s">
        <v>5023</v>
      </c>
      <c r="C1034" s="3" t="s">
        <v>5606</v>
      </c>
      <c r="D1034" s="3"/>
      <c r="E1034" s="3" t="s">
        <v>10</v>
      </c>
      <c r="F1034" s="2">
        <v>5</v>
      </c>
      <c r="G1034" s="2">
        <v>25</v>
      </c>
      <c r="H1034" s="3"/>
      <c r="I1034" s="21">
        <f>Table43[[#This Row],[Item Cost]]*Table43[[#This Row],[In Stock]]</f>
        <v>0</v>
      </c>
      <c r="J1034" s="12" t="s">
        <v>4932</v>
      </c>
      <c r="K1034" s="13" t="s">
        <v>4664</v>
      </c>
      <c r="L1034" s="13" t="s">
        <v>4672</v>
      </c>
      <c r="M1034" s="13" t="s">
        <v>5152</v>
      </c>
      <c r="N1034" s="12" t="s">
        <v>4672</v>
      </c>
      <c r="O1034" s="17" t="str">
        <f>IF(LEN(COUNTIFS($J$1:J1034,$J1034,$K$1:K1034,$K1034,$L$1:L1034,$L1034,$M$1:M1034,M1034,$N$1:N1034,N1034))=1,"00"&amp;COUNTIFS($J$1:J1034,$J1034,$K$1:K1034,$K1034,$L$1:L1034,$L1034,$M$1:M1034,M1034,$N$1:N1034,N1034),IF(LEN(COUNTIFS($J$1:J1034,$J1034,$K$1:K1034,$K1034,$L$1:L1034,$L1034,$M$1:M1034,M1034,$N$1:N1034,N1034))=2,"0"&amp;COUNTIFS($J$1:J1034,$J1034,$K$1:K1034,$K1034,$L$1:L1034,$L1034,$M$1:M1034,M1034,$N$1:N1034,N1034),COUNTIFS($J$1:J1034,$J1034,$K$1:K1034,$K1034,$L$1:L1034,$L1034,$M$1:M1034,M1034,$N$1:N1034,N1034)))</f>
        <v>025</v>
      </c>
      <c r="P103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ES-CS-000-33-00025-INV</v>
      </c>
      <c r="Q1034" s="34"/>
      <c r="R1034" s="34"/>
      <c r="S1034" s="34">
        <v>0</v>
      </c>
      <c r="T1034" s="34">
        <f>+IFERROR(_xlfn.XLOOKUP(Table43[[#This Row],[Column1]],#REF!,#REF!),0)</f>
        <v>0</v>
      </c>
      <c r="U1034" s="50">
        <f>IFERROR(_xlfn.XLOOKUP(Table43[[#This Row],[Column1]],#REF!,#REF!),0)</f>
        <v>0</v>
      </c>
      <c r="V1034" s="39"/>
    </row>
    <row r="1035" spans="1:22" x14ac:dyDescent="0.35">
      <c r="A1035" s="3" t="s">
        <v>5092</v>
      </c>
      <c r="B1035" s="42" t="s">
        <v>5024</v>
      </c>
      <c r="C1035" s="3" t="s">
        <v>5606</v>
      </c>
      <c r="D1035" s="3"/>
      <c r="E1035" s="3" t="s">
        <v>10</v>
      </c>
      <c r="F1035" s="2">
        <v>5</v>
      </c>
      <c r="G1035" s="2">
        <v>25</v>
      </c>
      <c r="H1035" s="3"/>
      <c r="I1035" s="21">
        <f>Table43[[#This Row],[Item Cost]]*Table43[[#This Row],[In Stock]]</f>
        <v>0</v>
      </c>
      <c r="J1035" s="12" t="s">
        <v>4932</v>
      </c>
      <c r="K1035" s="13" t="s">
        <v>4664</v>
      </c>
      <c r="L1035" s="13" t="s">
        <v>4672</v>
      </c>
      <c r="M1035" s="13" t="s">
        <v>5152</v>
      </c>
      <c r="N1035" s="12" t="s">
        <v>4672</v>
      </c>
      <c r="O1035" s="17" t="str">
        <f>IF(LEN(COUNTIFS($J$1:J1035,$J1035,$K$1:K1035,$K1035,$L$1:L1035,$L1035,$M$1:M1035,M1035,$N$1:N1035,N1035))=1,"00"&amp;COUNTIFS($J$1:J1035,$J1035,$K$1:K1035,$K1035,$L$1:L1035,$L1035,$M$1:M1035,M1035,$N$1:N1035,N1035),IF(LEN(COUNTIFS($J$1:J1035,$J1035,$K$1:K1035,$K1035,$L$1:L1035,$L1035,$M$1:M1035,M1035,$N$1:N1035,N1035))=2,"0"&amp;COUNTIFS($J$1:J1035,$J1035,$K$1:K1035,$K1035,$L$1:L1035,$L1035,$M$1:M1035,M1035,$N$1:N1035,N1035),COUNTIFS($J$1:J1035,$J1035,$K$1:K1035,$K1035,$L$1:L1035,$L1035,$M$1:M1035,M1035,$N$1:N1035,N1035)))</f>
        <v>026</v>
      </c>
      <c r="P103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ES-CS-000-33-00026-INV</v>
      </c>
      <c r="Q1035" s="34"/>
      <c r="R1035" s="34" t="s">
        <v>6728</v>
      </c>
      <c r="S1035" s="34" t="s">
        <v>5024</v>
      </c>
      <c r="T1035" s="34">
        <f>+IFERROR(_xlfn.XLOOKUP(Table43[[#This Row],[Column1]],#REF!,#REF!),0)</f>
        <v>0</v>
      </c>
      <c r="U1035" s="50">
        <f>IFERROR(_xlfn.XLOOKUP(Table43[[#This Row],[Column1]],#REF!,#REF!),0)</f>
        <v>0</v>
      </c>
      <c r="V1035" s="39"/>
    </row>
    <row r="1036" spans="1:22" x14ac:dyDescent="0.35">
      <c r="A1036" s="3" t="s">
        <v>5093</v>
      </c>
      <c r="B1036" s="42" t="s">
        <v>5025</v>
      </c>
      <c r="C1036" s="3" t="s">
        <v>5606</v>
      </c>
      <c r="D1036" s="3"/>
      <c r="E1036" s="3" t="s">
        <v>10</v>
      </c>
      <c r="F1036" s="2">
        <v>5</v>
      </c>
      <c r="G1036" s="2">
        <v>25</v>
      </c>
      <c r="H1036" s="3"/>
      <c r="I1036" s="21">
        <f>Table43[[#This Row],[Item Cost]]*Table43[[#This Row],[In Stock]]</f>
        <v>0</v>
      </c>
      <c r="J1036" s="12" t="s">
        <v>4932</v>
      </c>
      <c r="K1036" s="13" t="s">
        <v>4664</v>
      </c>
      <c r="L1036" s="13" t="s">
        <v>4672</v>
      </c>
      <c r="M1036" s="13" t="s">
        <v>5152</v>
      </c>
      <c r="N1036" s="12" t="s">
        <v>4672</v>
      </c>
      <c r="O1036" s="17" t="str">
        <f>IF(LEN(COUNTIFS($J$1:J1036,$J1036,$K$1:K1036,$K1036,$L$1:L1036,$L1036,$M$1:M1036,M1036,$N$1:N1036,N1036))=1,"00"&amp;COUNTIFS($J$1:J1036,$J1036,$K$1:K1036,$K1036,$L$1:L1036,$L1036,$M$1:M1036,M1036,$N$1:N1036,N1036),IF(LEN(COUNTIFS($J$1:J1036,$J1036,$K$1:K1036,$K1036,$L$1:L1036,$L1036,$M$1:M1036,M1036,$N$1:N1036,N1036))=2,"0"&amp;COUNTIFS($J$1:J1036,$J1036,$K$1:K1036,$K1036,$L$1:L1036,$L1036,$M$1:M1036,M1036,$N$1:N1036,N1036),COUNTIFS($J$1:J1036,$J1036,$K$1:K1036,$K1036,$L$1:L1036,$L1036,$M$1:M1036,M1036,$N$1:N1036,N1036)))</f>
        <v>027</v>
      </c>
      <c r="P103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ES-CS-000-33-00027-INV</v>
      </c>
      <c r="Q1036" s="34"/>
      <c r="R1036" s="34" t="s">
        <v>6729</v>
      </c>
      <c r="S1036" s="34" t="s">
        <v>5025</v>
      </c>
      <c r="T1036" s="34">
        <f>+IFERROR(_xlfn.XLOOKUP(Table43[[#This Row],[Column1]],#REF!,#REF!),0)</f>
        <v>0</v>
      </c>
      <c r="U1036" s="50">
        <f>IFERROR(_xlfn.XLOOKUP(Table43[[#This Row],[Column1]],#REF!,#REF!),0)</f>
        <v>0</v>
      </c>
      <c r="V1036" s="39"/>
    </row>
    <row r="1037" spans="1:22" x14ac:dyDescent="0.35">
      <c r="A1037" s="3" t="s">
        <v>5094</v>
      </c>
      <c r="B1037" s="42" t="s">
        <v>5026</v>
      </c>
      <c r="C1037" s="3" t="s">
        <v>5606</v>
      </c>
      <c r="D1037" s="3"/>
      <c r="E1037" s="3" t="s">
        <v>10</v>
      </c>
      <c r="F1037" s="2">
        <v>5</v>
      </c>
      <c r="G1037" s="2">
        <v>25</v>
      </c>
      <c r="H1037" s="3"/>
      <c r="I1037" s="21">
        <f>Table43[[#This Row],[Item Cost]]*Table43[[#This Row],[In Stock]]</f>
        <v>0</v>
      </c>
      <c r="J1037" s="12" t="s">
        <v>4932</v>
      </c>
      <c r="K1037" s="13" t="s">
        <v>4664</v>
      </c>
      <c r="L1037" s="13" t="s">
        <v>4672</v>
      </c>
      <c r="M1037" s="13" t="s">
        <v>5152</v>
      </c>
      <c r="N1037" s="12" t="s">
        <v>4672</v>
      </c>
      <c r="O1037" s="17" t="str">
        <f>IF(LEN(COUNTIFS($J$1:J1037,$J1037,$K$1:K1037,$K1037,$L$1:L1037,$L1037,$M$1:M1037,M1037,$N$1:N1037,N1037))=1,"00"&amp;COUNTIFS($J$1:J1037,$J1037,$K$1:K1037,$K1037,$L$1:L1037,$L1037,$M$1:M1037,M1037,$N$1:N1037,N1037),IF(LEN(COUNTIFS($J$1:J1037,$J1037,$K$1:K1037,$K1037,$L$1:L1037,$L1037,$M$1:M1037,M1037,$N$1:N1037,N1037))=2,"0"&amp;COUNTIFS($J$1:J1037,$J1037,$K$1:K1037,$K1037,$L$1:L1037,$L1037,$M$1:M1037,M1037,$N$1:N1037,N1037),COUNTIFS($J$1:J1037,$J1037,$K$1:K1037,$K1037,$L$1:L1037,$L1037,$M$1:M1037,M1037,$N$1:N1037,N1037)))</f>
        <v>028</v>
      </c>
      <c r="P103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ES-CS-000-33-00028-INV</v>
      </c>
      <c r="Q1037" s="34"/>
      <c r="R1037" s="34" t="s">
        <v>6730</v>
      </c>
      <c r="S1037" s="34" t="s">
        <v>5026</v>
      </c>
      <c r="T1037" s="34">
        <f>+IFERROR(_xlfn.XLOOKUP(Table43[[#This Row],[Column1]],#REF!,#REF!),0)</f>
        <v>0</v>
      </c>
      <c r="U1037" s="50">
        <f>IFERROR(_xlfn.XLOOKUP(Table43[[#This Row],[Column1]],#REF!,#REF!),0)</f>
        <v>0</v>
      </c>
      <c r="V1037" s="39"/>
    </row>
    <row r="1038" spans="1:22" x14ac:dyDescent="0.35">
      <c r="A1038" s="3" t="s">
        <v>5095</v>
      </c>
      <c r="B1038" s="42" t="s">
        <v>5027</v>
      </c>
      <c r="C1038" s="3" t="s">
        <v>5606</v>
      </c>
      <c r="D1038" s="3"/>
      <c r="E1038" s="3" t="s">
        <v>10</v>
      </c>
      <c r="F1038" s="2">
        <v>5</v>
      </c>
      <c r="G1038" s="2">
        <v>25</v>
      </c>
      <c r="H1038" s="3"/>
      <c r="I1038" s="21">
        <f>Table43[[#This Row],[Item Cost]]*Table43[[#This Row],[In Stock]]</f>
        <v>0</v>
      </c>
      <c r="J1038" s="12" t="s">
        <v>4932</v>
      </c>
      <c r="K1038" s="13" t="s">
        <v>4664</v>
      </c>
      <c r="L1038" s="13" t="s">
        <v>4672</v>
      </c>
      <c r="M1038" s="13" t="s">
        <v>5152</v>
      </c>
      <c r="N1038" s="12" t="s">
        <v>4672</v>
      </c>
      <c r="O1038" s="17" t="str">
        <f>IF(LEN(COUNTIFS($J$1:J1038,$J1038,$K$1:K1038,$K1038,$L$1:L1038,$L1038,$M$1:M1038,M1038,$N$1:N1038,N1038))=1,"00"&amp;COUNTIFS($J$1:J1038,$J1038,$K$1:K1038,$K1038,$L$1:L1038,$L1038,$M$1:M1038,M1038,$N$1:N1038,N1038),IF(LEN(COUNTIFS($J$1:J1038,$J1038,$K$1:K1038,$K1038,$L$1:L1038,$L1038,$M$1:M1038,M1038,$N$1:N1038,N1038))=2,"0"&amp;COUNTIFS($J$1:J1038,$J1038,$K$1:K1038,$K1038,$L$1:L1038,$L1038,$M$1:M1038,M1038,$N$1:N1038,N1038),COUNTIFS($J$1:J1038,$J1038,$K$1:K1038,$K1038,$L$1:L1038,$L1038,$M$1:M1038,M1038,$N$1:N1038,N1038)))</f>
        <v>029</v>
      </c>
      <c r="P103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ES-CS-000-33-00029-INV</v>
      </c>
      <c r="Q1038" s="34"/>
      <c r="R1038" s="34" t="s">
        <v>6731</v>
      </c>
      <c r="S1038" s="34" t="s">
        <v>5027</v>
      </c>
      <c r="T1038" s="34">
        <f>+IFERROR(_xlfn.XLOOKUP(Table43[[#This Row],[Column1]],#REF!,#REF!),0)</f>
        <v>0</v>
      </c>
      <c r="U1038" s="50">
        <f>IFERROR(_xlfn.XLOOKUP(Table43[[#This Row],[Column1]],#REF!,#REF!),0)</f>
        <v>0</v>
      </c>
      <c r="V1038" s="39"/>
    </row>
    <row r="1039" spans="1:22" x14ac:dyDescent="0.35">
      <c r="A1039" s="3" t="s">
        <v>5096</v>
      </c>
      <c r="B1039" s="42" t="s">
        <v>5028</v>
      </c>
      <c r="C1039" s="3" t="s">
        <v>5606</v>
      </c>
      <c r="D1039" s="3"/>
      <c r="E1039" s="3" t="s">
        <v>10</v>
      </c>
      <c r="F1039" s="2">
        <v>5</v>
      </c>
      <c r="G1039" s="2">
        <v>25</v>
      </c>
      <c r="H1039" s="3"/>
      <c r="I1039" s="21">
        <f>Table43[[#This Row],[Item Cost]]*Table43[[#This Row],[In Stock]]</f>
        <v>0</v>
      </c>
      <c r="J1039" s="12" t="s">
        <v>4932</v>
      </c>
      <c r="K1039" s="13" t="s">
        <v>4664</v>
      </c>
      <c r="L1039" s="13" t="s">
        <v>4672</v>
      </c>
      <c r="M1039" s="13" t="s">
        <v>5152</v>
      </c>
      <c r="N1039" s="12" t="s">
        <v>4672</v>
      </c>
      <c r="O1039" s="17" t="str">
        <f>IF(LEN(COUNTIFS($J$1:J1039,$J1039,$K$1:K1039,$K1039,$L$1:L1039,$L1039,$M$1:M1039,M1039,$N$1:N1039,N1039))=1,"00"&amp;COUNTIFS($J$1:J1039,$J1039,$K$1:K1039,$K1039,$L$1:L1039,$L1039,$M$1:M1039,M1039,$N$1:N1039,N1039),IF(LEN(COUNTIFS($J$1:J1039,$J1039,$K$1:K1039,$K1039,$L$1:L1039,$L1039,$M$1:M1039,M1039,$N$1:N1039,N1039))=2,"0"&amp;COUNTIFS($J$1:J1039,$J1039,$K$1:K1039,$K1039,$L$1:L1039,$L1039,$M$1:M1039,M1039,$N$1:N1039,N1039),COUNTIFS($J$1:J1039,$J1039,$K$1:K1039,$K1039,$L$1:L1039,$L1039,$M$1:M1039,M1039,$N$1:N1039,N1039)))</f>
        <v>030</v>
      </c>
      <c r="P103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ES-CS-000-33-00030-INV</v>
      </c>
      <c r="Q1039" s="34"/>
      <c r="R1039" s="34" t="s">
        <v>6732</v>
      </c>
      <c r="S1039" s="34" t="s">
        <v>5028</v>
      </c>
      <c r="T1039" s="34">
        <f>+IFERROR(_xlfn.XLOOKUP(Table43[[#This Row],[Column1]],#REF!,#REF!),0)</f>
        <v>0</v>
      </c>
      <c r="U1039" s="50">
        <f>IFERROR(_xlfn.XLOOKUP(Table43[[#This Row],[Column1]],#REF!,#REF!),0)</f>
        <v>0</v>
      </c>
      <c r="V1039" s="39"/>
    </row>
    <row r="1040" spans="1:22" x14ac:dyDescent="0.35">
      <c r="A1040" s="3" t="s">
        <v>5097</v>
      </c>
      <c r="B1040" s="42" t="s">
        <v>5029</v>
      </c>
      <c r="C1040" s="3" t="s">
        <v>5606</v>
      </c>
      <c r="D1040" s="3"/>
      <c r="E1040" s="3" t="s">
        <v>10</v>
      </c>
      <c r="F1040" s="2">
        <v>5</v>
      </c>
      <c r="G1040" s="2">
        <v>25</v>
      </c>
      <c r="H1040" s="3"/>
      <c r="I1040" s="21">
        <f>Table43[[#This Row],[Item Cost]]*Table43[[#This Row],[In Stock]]</f>
        <v>0</v>
      </c>
      <c r="J1040" s="12" t="s">
        <v>4932</v>
      </c>
      <c r="K1040" s="13" t="s">
        <v>4664</v>
      </c>
      <c r="L1040" s="13" t="s">
        <v>4672</v>
      </c>
      <c r="M1040" s="13" t="s">
        <v>5152</v>
      </c>
      <c r="N1040" s="12" t="s">
        <v>4672</v>
      </c>
      <c r="O1040" s="17" t="str">
        <f>IF(LEN(COUNTIFS($J$1:J1040,$J1040,$K$1:K1040,$K1040,$L$1:L1040,$L1040,$M$1:M1040,M1040,$N$1:N1040,N1040))=1,"00"&amp;COUNTIFS($J$1:J1040,$J1040,$K$1:K1040,$K1040,$L$1:L1040,$L1040,$M$1:M1040,M1040,$N$1:N1040,N1040),IF(LEN(COUNTIFS($J$1:J1040,$J1040,$K$1:K1040,$K1040,$L$1:L1040,$L1040,$M$1:M1040,M1040,$N$1:N1040,N1040))=2,"0"&amp;COUNTIFS($J$1:J1040,$J1040,$K$1:K1040,$K1040,$L$1:L1040,$L1040,$M$1:M1040,M1040,$N$1:N1040,N1040),COUNTIFS($J$1:J1040,$J1040,$K$1:K1040,$K1040,$L$1:L1040,$L1040,$M$1:M1040,M1040,$N$1:N1040,N1040)))</f>
        <v>031</v>
      </c>
      <c r="P104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ES-CS-000-33-00031-INV</v>
      </c>
      <c r="Q1040" s="34"/>
      <c r="R1040" s="34" t="s">
        <v>6733</v>
      </c>
      <c r="S1040" s="34" t="s">
        <v>5029</v>
      </c>
      <c r="T1040" s="34">
        <f>+IFERROR(_xlfn.XLOOKUP(Table43[[#This Row],[Column1]],#REF!,#REF!),0)</f>
        <v>0</v>
      </c>
      <c r="U1040" s="50">
        <f>IFERROR(_xlfn.XLOOKUP(Table43[[#This Row],[Column1]],#REF!,#REF!),0)</f>
        <v>0</v>
      </c>
      <c r="V1040" s="39"/>
    </row>
    <row r="1041" spans="1:22" x14ac:dyDescent="0.35">
      <c r="A1041" s="3" t="s">
        <v>5098</v>
      </c>
      <c r="B1041" s="42" t="s">
        <v>5030</v>
      </c>
      <c r="C1041" s="3" t="s">
        <v>5606</v>
      </c>
      <c r="D1041" s="3"/>
      <c r="E1041" s="3" t="s">
        <v>10</v>
      </c>
      <c r="F1041" s="2">
        <v>5</v>
      </c>
      <c r="G1041" s="2">
        <v>25</v>
      </c>
      <c r="H1041" s="3"/>
      <c r="I1041" s="21">
        <f>Table43[[#This Row],[Item Cost]]*Table43[[#This Row],[In Stock]]</f>
        <v>0</v>
      </c>
      <c r="J1041" s="12" t="s">
        <v>4932</v>
      </c>
      <c r="K1041" s="13" t="s">
        <v>4664</v>
      </c>
      <c r="L1041" s="13" t="s">
        <v>4672</v>
      </c>
      <c r="M1041" s="13" t="s">
        <v>5152</v>
      </c>
      <c r="N1041" s="12" t="s">
        <v>4672</v>
      </c>
      <c r="O1041" s="17" t="str">
        <f>IF(LEN(COUNTIFS($J$1:J1041,$J1041,$K$1:K1041,$K1041,$L$1:L1041,$L1041,$M$1:M1041,M1041,$N$1:N1041,N1041))=1,"00"&amp;COUNTIFS($J$1:J1041,$J1041,$K$1:K1041,$K1041,$L$1:L1041,$L1041,$M$1:M1041,M1041,$N$1:N1041,N1041),IF(LEN(COUNTIFS($J$1:J1041,$J1041,$K$1:K1041,$K1041,$L$1:L1041,$L1041,$M$1:M1041,M1041,$N$1:N1041,N1041))=2,"0"&amp;COUNTIFS($J$1:J1041,$J1041,$K$1:K1041,$K1041,$L$1:L1041,$L1041,$M$1:M1041,M1041,$N$1:N1041,N1041),COUNTIFS($J$1:J1041,$J1041,$K$1:K1041,$K1041,$L$1:L1041,$L1041,$M$1:M1041,M1041,$N$1:N1041,N1041)))</f>
        <v>032</v>
      </c>
      <c r="P104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ES-CS-000-33-00032-INV</v>
      </c>
      <c r="Q1041" s="34"/>
      <c r="R1041" s="34" t="s">
        <v>6734</v>
      </c>
      <c r="S1041" s="34" t="s">
        <v>5030</v>
      </c>
      <c r="T1041" s="34">
        <f>+IFERROR(_xlfn.XLOOKUP(Table43[[#This Row],[Column1]],#REF!,#REF!),0)</f>
        <v>0</v>
      </c>
      <c r="U1041" s="50">
        <f>IFERROR(_xlfn.XLOOKUP(Table43[[#This Row],[Column1]],#REF!,#REF!),0)</f>
        <v>0</v>
      </c>
      <c r="V1041" s="39"/>
    </row>
    <row r="1042" spans="1:22" x14ac:dyDescent="0.35">
      <c r="A1042" s="3" t="s">
        <v>5099</v>
      </c>
      <c r="B1042" s="42" t="s">
        <v>5031</v>
      </c>
      <c r="C1042" s="3" t="s">
        <v>5606</v>
      </c>
      <c r="D1042" s="3"/>
      <c r="E1042" s="3" t="s">
        <v>10</v>
      </c>
      <c r="F1042" s="2">
        <v>5</v>
      </c>
      <c r="G1042" s="2">
        <v>25</v>
      </c>
      <c r="H1042" s="3"/>
      <c r="I1042" s="21">
        <f>Table43[[#This Row],[Item Cost]]*Table43[[#This Row],[In Stock]]</f>
        <v>0</v>
      </c>
      <c r="J1042" s="12" t="s">
        <v>4932</v>
      </c>
      <c r="K1042" s="13" t="s">
        <v>4664</v>
      </c>
      <c r="L1042" s="13" t="s">
        <v>4672</v>
      </c>
      <c r="M1042" s="13" t="s">
        <v>5152</v>
      </c>
      <c r="N1042" s="12" t="s">
        <v>4672</v>
      </c>
      <c r="O1042" s="17" t="str">
        <f>IF(LEN(COUNTIFS($J$1:J1042,$J1042,$K$1:K1042,$K1042,$L$1:L1042,$L1042,$M$1:M1042,M1042,$N$1:N1042,N1042))=1,"00"&amp;COUNTIFS($J$1:J1042,$J1042,$K$1:K1042,$K1042,$L$1:L1042,$L1042,$M$1:M1042,M1042,$N$1:N1042,N1042),IF(LEN(COUNTIFS($J$1:J1042,$J1042,$K$1:K1042,$K1042,$L$1:L1042,$L1042,$M$1:M1042,M1042,$N$1:N1042,N1042))=2,"0"&amp;COUNTIFS($J$1:J1042,$J1042,$K$1:K1042,$K1042,$L$1:L1042,$L1042,$M$1:M1042,M1042,$N$1:N1042,N1042),COUNTIFS($J$1:J1042,$J1042,$K$1:K1042,$K1042,$L$1:L1042,$L1042,$M$1:M1042,M1042,$N$1:N1042,N1042)))</f>
        <v>033</v>
      </c>
      <c r="P104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ES-CS-000-33-00033-INV</v>
      </c>
      <c r="Q1042" s="34"/>
      <c r="R1042" s="34" t="s">
        <v>6735</v>
      </c>
      <c r="S1042" s="34" t="s">
        <v>5031</v>
      </c>
      <c r="T1042" s="34">
        <f>+IFERROR(_xlfn.XLOOKUP(Table43[[#This Row],[Column1]],#REF!,#REF!),0)</f>
        <v>0</v>
      </c>
      <c r="U1042" s="50">
        <f>IFERROR(_xlfn.XLOOKUP(Table43[[#This Row],[Column1]],#REF!,#REF!),0)</f>
        <v>0</v>
      </c>
      <c r="V1042" s="39"/>
    </row>
    <row r="1043" spans="1:22" x14ac:dyDescent="0.35">
      <c r="A1043" s="3" t="s">
        <v>5100</v>
      </c>
      <c r="B1043" s="42" t="s">
        <v>5032</v>
      </c>
      <c r="C1043" s="3" t="s">
        <v>5606</v>
      </c>
      <c r="D1043" s="3"/>
      <c r="E1043" s="3" t="s">
        <v>10</v>
      </c>
      <c r="F1043" s="2">
        <v>5</v>
      </c>
      <c r="G1043" s="2">
        <v>25</v>
      </c>
      <c r="H1043" s="3"/>
      <c r="I1043" s="21">
        <f>Table43[[#This Row],[Item Cost]]*Table43[[#This Row],[In Stock]]</f>
        <v>0</v>
      </c>
      <c r="J1043" s="12" t="s">
        <v>4932</v>
      </c>
      <c r="K1043" s="13" t="s">
        <v>4664</v>
      </c>
      <c r="L1043" s="13" t="s">
        <v>4672</v>
      </c>
      <c r="M1043" s="13" t="s">
        <v>5152</v>
      </c>
      <c r="N1043" s="12" t="s">
        <v>4672</v>
      </c>
      <c r="O1043" s="17" t="str">
        <f>IF(LEN(COUNTIFS($J$1:J1043,$J1043,$K$1:K1043,$K1043,$L$1:L1043,$L1043,$M$1:M1043,M1043,$N$1:N1043,N1043))=1,"00"&amp;COUNTIFS($J$1:J1043,$J1043,$K$1:K1043,$K1043,$L$1:L1043,$L1043,$M$1:M1043,M1043,$N$1:N1043,N1043),IF(LEN(COUNTIFS($J$1:J1043,$J1043,$K$1:K1043,$K1043,$L$1:L1043,$L1043,$M$1:M1043,M1043,$N$1:N1043,N1043))=2,"0"&amp;COUNTIFS($J$1:J1043,$J1043,$K$1:K1043,$K1043,$L$1:L1043,$L1043,$M$1:M1043,M1043,$N$1:N1043,N1043),COUNTIFS($J$1:J1043,$J1043,$K$1:K1043,$K1043,$L$1:L1043,$L1043,$M$1:M1043,M1043,$N$1:N1043,N1043)))</f>
        <v>034</v>
      </c>
      <c r="P104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ES-CS-000-33-00034-INV</v>
      </c>
      <c r="Q1043" s="34"/>
      <c r="R1043" s="34" t="s">
        <v>6736</v>
      </c>
      <c r="S1043" s="34" t="s">
        <v>5032</v>
      </c>
      <c r="T1043" s="34">
        <f>+IFERROR(_xlfn.XLOOKUP(Table43[[#This Row],[Column1]],#REF!,#REF!),0)</f>
        <v>0</v>
      </c>
      <c r="U1043" s="50">
        <f>IFERROR(_xlfn.XLOOKUP(Table43[[#This Row],[Column1]],#REF!,#REF!),0)</f>
        <v>0</v>
      </c>
      <c r="V1043" s="39"/>
    </row>
    <row r="1044" spans="1:22" x14ac:dyDescent="0.35">
      <c r="A1044" s="3" t="s">
        <v>5101</v>
      </c>
      <c r="B1044" s="42" t="s">
        <v>5033</v>
      </c>
      <c r="C1044" s="3" t="s">
        <v>5606</v>
      </c>
      <c r="D1044" s="3"/>
      <c r="E1044" s="3" t="s">
        <v>10</v>
      </c>
      <c r="F1044" s="2">
        <v>5</v>
      </c>
      <c r="G1044" s="2">
        <v>25</v>
      </c>
      <c r="H1044" s="3"/>
      <c r="I1044" s="21">
        <f>Table43[[#This Row],[Item Cost]]*Table43[[#This Row],[In Stock]]</f>
        <v>0</v>
      </c>
      <c r="J1044" s="12" t="s">
        <v>4932</v>
      </c>
      <c r="K1044" s="13" t="s">
        <v>4664</v>
      </c>
      <c r="L1044" s="13" t="s">
        <v>4672</v>
      </c>
      <c r="M1044" s="13" t="s">
        <v>5152</v>
      </c>
      <c r="N1044" s="12" t="s">
        <v>4672</v>
      </c>
      <c r="O1044" s="17" t="str">
        <f>IF(LEN(COUNTIFS($J$1:J1044,$J1044,$K$1:K1044,$K1044,$L$1:L1044,$L1044,$M$1:M1044,M1044,$N$1:N1044,N1044))=1,"00"&amp;COUNTIFS($J$1:J1044,$J1044,$K$1:K1044,$K1044,$L$1:L1044,$L1044,$M$1:M1044,M1044,$N$1:N1044,N1044),IF(LEN(COUNTIFS($J$1:J1044,$J1044,$K$1:K1044,$K1044,$L$1:L1044,$L1044,$M$1:M1044,M1044,$N$1:N1044,N1044))=2,"0"&amp;COUNTIFS($J$1:J1044,$J1044,$K$1:K1044,$K1044,$L$1:L1044,$L1044,$M$1:M1044,M1044,$N$1:N1044,N1044),COUNTIFS($J$1:J1044,$J1044,$K$1:K1044,$K1044,$L$1:L1044,$L1044,$M$1:M1044,M1044,$N$1:N1044,N1044)))</f>
        <v>035</v>
      </c>
      <c r="P104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ES-CS-000-33-00035-INV</v>
      </c>
      <c r="Q1044" s="34"/>
      <c r="R1044" s="34" t="s">
        <v>6737</v>
      </c>
      <c r="S1044" s="34" t="s">
        <v>5033</v>
      </c>
      <c r="T1044" s="34">
        <f>+IFERROR(_xlfn.XLOOKUP(Table43[[#This Row],[Column1]],#REF!,#REF!),0)</f>
        <v>0</v>
      </c>
      <c r="U1044" s="50">
        <f>IFERROR(_xlfn.XLOOKUP(Table43[[#This Row],[Column1]],#REF!,#REF!),0)</f>
        <v>0</v>
      </c>
      <c r="V1044" s="39"/>
    </row>
    <row r="1045" spans="1:22" x14ac:dyDescent="0.35">
      <c r="A1045" s="3" t="s">
        <v>5102</v>
      </c>
      <c r="B1045" s="42" t="s">
        <v>5034</v>
      </c>
      <c r="C1045" s="3" t="s">
        <v>5606</v>
      </c>
      <c r="D1045" s="3"/>
      <c r="E1045" s="3" t="s">
        <v>10</v>
      </c>
      <c r="F1045" s="2">
        <v>5</v>
      </c>
      <c r="G1045" s="2">
        <v>25</v>
      </c>
      <c r="H1045" s="3"/>
      <c r="I1045" s="21">
        <f>Table43[[#This Row],[Item Cost]]*Table43[[#This Row],[In Stock]]</f>
        <v>0</v>
      </c>
      <c r="J1045" s="12" t="s">
        <v>4932</v>
      </c>
      <c r="K1045" s="13" t="s">
        <v>4664</v>
      </c>
      <c r="L1045" s="13" t="s">
        <v>4672</v>
      </c>
      <c r="M1045" s="13" t="s">
        <v>5152</v>
      </c>
      <c r="N1045" s="12" t="s">
        <v>4672</v>
      </c>
      <c r="O1045" s="17" t="str">
        <f>IF(LEN(COUNTIFS($J$1:J1045,$J1045,$K$1:K1045,$K1045,$L$1:L1045,$L1045,$M$1:M1045,M1045,$N$1:N1045,N1045))=1,"00"&amp;COUNTIFS($J$1:J1045,$J1045,$K$1:K1045,$K1045,$L$1:L1045,$L1045,$M$1:M1045,M1045,$N$1:N1045,N1045),IF(LEN(COUNTIFS($J$1:J1045,$J1045,$K$1:K1045,$K1045,$L$1:L1045,$L1045,$M$1:M1045,M1045,$N$1:N1045,N1045))=2,"0"&amp;COUNTIFS($J$1:J1045,$J1045,$K$1:K1045,$K1045,$L$1:L1045,$L1045,$M$1:M1045,M1045,$N$1:N1045,N1045),COUNTIFS($J$1:J1045,$J1045,$K$1:K1045,$K1045,$L$1:L1045,$L1045,$M$1:M1045,M1045,$N$1:N1045,N1045)))</f>
        <v>036</v>
      </c>
      <c r="P104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ES-CS-000-33-00036-INV</v>
      </c>
      <c r="Q1045" s="34"/>
      <c r="R1045" s="34" t="s">
        <v>6738</v>
      </c>
      <c r="S1045" s="34" t="s">
        <v>5034</v>
      </c>
      <c r="T1045" s="34">
        <f>+IFERROR(_xlfn.XLOOKUP(Table43[[#This Row],[Column1]],#REF!,#REF!),0)</f>
        <v>0</v>
      </c>
      <c r="U1045" s="50">
        <f>IFERROR(_xlfn.XLOOKUP(Table43[[#This Row],[Column1]],#REF!,#REF!),0)</f>
        <v>0</v>
      </c>
      <c r="V1045" s="39"/>
    </row>
    <row r="1046" spans="1:22" x14ac:dyDescent="0.35">
      <c r="A1046" s="3" t="s">
        <v>5103</v>
      </c>
      <c r="B1046" s="42" t="s">
        <v>5035</v>
      </c>
      <c r="C1046" s="3" t="s">
        <v>5606</v>
      </c>
      <c r="D1046" s="3"/>
      <c r="E1046" s="3" t="s">
        <v>10</v>
      </c>
      <c r="F1046" s="2">
        <v>5</v>
      </c>
      <c r="G1046" s="2">
        <v>25</v>
      </c>
      <c r="H1046" s="3"/>
      <c r="I1046" s="21">
        <f>Table43[[#This Row],[Item Cost]]*Table43[[#This Row],[In Stock]]</f>
        <v>0</v>
      </c>
      <c r="J1046" s="12" t="s">
        <v>4932</v>
      </c>
      <c r="K1046" s="13" t="s">
        <v>4664</v>
      </c>
      <c r="L1046" s="13" t="s">
        <v>4672</v>
      </c>
      <c r="M1046" s="13" t="s">
        <v>5152</v>
      </c>
      <c r="N1046" s="12" t="s">
        <v>4672</v>
      </c>
      <c r="O1046" s="17" t="str">
        <f>IF(LEN(COUNTIFS($J$1:J1046,$J1046,$K$1:K1046,$K1046,$L$1:L1046,$L1046,$M$1:M1046,M1046,$N$1:N1046,N1046))=1,"00"&amp;COUNTIFS($J$1:J1046,$J1046,$K$1:K1046,$K1046,$L$1:L1046,$L1046,$M$1:M1046,M1046,$N$1:N1046,N1046),IF(LEN(COUNTIFS($J$1:J1046,$J1046,$K$1:K1046,$K1046,$L$1:L1046,$L1046,$M$1:M1046,M1046,$N$1:N1046,N1046))=2,"0"&amp;COUNTIFS($J$1:J1046,$J1046,$K$1:K1046,$K1046,$L$1:L1046,$L1046,$M$1:M1046,M1046,$N$1:N1046,N1046),COUNTIFS($J$1:J1046,$J1046,$K$1:K1046,$K1046,$L$1:L1046,$L1046,$M$1:M1046,M1046,$N$1:N1046,N1046)))</f>
        <v>037</v>
      </c>
      <c r="P104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ES-CS-000-33-00037-INV</v>
      </c>
      <c r="Q1046" s="34"/>
      <c r="R1046" s="34" t="s">
        <v>6739</v>
      </c>
      <c r="S1046" s="34" t="s">
        <v>5035</v>
      </c>
      <c r="T1046" s="34">
        <f>+IFERROR(_xlfn.XLOOKUP(Table43[[#This Row],[Column1]],#REF!,#REF!),0)</f>
        <v>0</v>
      </c>
      <c r="U1046" s="50">
        <f>IFERROR(_xlfn.XLOOKUP(Table43[[#This Row],[Column1]],#REF!,#REF!),0)</f>
        <v>0</v>
      </c>
      <c r="V1046" s="39"/>
    </row>
    <row r="1047" spans="1:22" x14ac:dyDescent="0.35">
      <c r="A1047" s="3" t="s">
        <v>5104</v>
      </c>
      <c r="B1047" s="42" t="s">
        <v>5036</v>
      </c>
      <c r="C1047" s="3" t="s">
        <v>5606</v>
      </c>
      <c r="D1047" s="3"/>
      <c r="E1047" s="3" t="s">
        <v>10</v>
      </c>
      <c r="F1047" s="2">
        <v>5</v>
      </c>
      <c r="G1047" s="2">
        <v>25</v>
      </c>
      <c r="H1047" s="3"/>
      <c r="I1047" s="21">
        <f>Table43[[#This Row],[Item Cost]]*Table43[[#This Row],[In Stock]]</f>
        <v>0</v>
      </c>
      <c r="J1047" s="12" t="s">
        <v>4932</v>
      </c>
      <c r="K1047" s="13" t="s">
        <v>4664</v>
      </c>
      <c r="L1047" s="13" t="s">
        <v>4672</v>
      </c>
      <c r="M1047" s="13" t="s">
        <v>5152</v>
      </c>
      <c r="N1047" s="12" t="s">
        <v>4672</v>
      </c>
      <c r="O1047" s="17" t="str">
        <f>IF(LEN(COUNTIFS($J$1:J1047,$J1047,$K$1:K1047,$K1047,$L$1:L1047,$L1047,$M$1:M1047,M1047,$N$1:N1047,N1047))=1,"00"&amp;COUNTIFS($J$1:J1047,$J1047,$K$1:K1047,$K1047,$L$1:L1047,$L1047,$M$1:M1047,M1047,$N$1:N1047,N1047),IF(LEN(COUNTIFS($J$1:J1047,$J1047,$K$1:K1047,$K1047,$L$1:L1047,$L1047,$M$1:M1047,M1047,$N$1:N1047,N1047))=2,"0"&amp;COUNTIFS($J$1:J1047,$J1047,$K$1:K1047,$K1047,$L$1:L1047,$L1047,$M$1:M1047,M1047,$N$1:N1047,N1047),COUNTIFS($J$1:J1047,$J1047,$K$1:K1047,$K1047,$L$1:L1047,$L1047,$M$1:M1047,M1047,$N$1:N1047,N1047)))</f>
        <v>038</v>
      </c>
      <c r="P104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ES-CS-000-33-00038-INV</v>
      </c>
      <c r="Q1047" s="34"/>
      <c r="R1047" s="34" t="s">
        <v>6740</v>
      </c>
      <c r="S1047" s="34" t="s">
        <v>5036</v>
      </c>
      <c r="T1047" s="34">
        <f>+IFERROR(_xlfn.XLOOKUP(Table43[[#This Row],[Column1]],#REF!,#REF!),0)</f>
        <v>0</v>
      </c>
      <c r="U1047" s="50">
        <f>IFERROR(_xlfn.XLOOKUP(Table43[[#This Row],[Column1]],#REF!,#REF!),0)</f>
        <v>0</v>
      </c>
      <c r="V1047" s="39"/>
    </row>
    <row r="1048" spans="1:22" x14ac:dyDescent="0.35">
      <c r="A1048" s="3" t="s">
        <v>5105</v>
      </c>
      <c r="B1048" s="42" t="s">
        <v>5037</v>
      </c>
      <c r="C1048" s="3" t="s">
        <v>5606</v>
      </c>
      <c r="D1048" s="3"/>
      <c r="E1048" s="3" t="s">
        <v>10</v>
      </c>
      <c r="F1048" s="2">
        <v>5</v>
      </c>
      <c r="G1048" s="2">
        <v>25</v>
      </c>
      <c r="H1048" s="3"/>
      <c r="I1048" s="21">
        <f>Table43[[#This Row],[Item Cost]]*Table43[[#This Row],[In Stock]]</f>
        <v>0</v>
      </c>
      <c r="J1048" s="12" t="s">
        <v>4932</v>
      </c>
      <c r="K1048" s="13" t="s">
        <v>4664</v>
      </c>
      <c r="L1048" s="13" t="s">
        <v>4672</v>
      </c>
      <c r="M1048" s="13" t="s">
        <v>5152</v>
      </c>
      <c r="N1048" s="12" t="s">
        <v>4672</v>
      </c>
      <c r="O1048" s="17" t="str">
        <f>IF(LEN(COUNTIFS($J$1:J1048,$J1048,$K$1:K1048,$K1048,$L$1:L1048,$L1048,$M$1:M1048,M1048,$N$1:N1048,N1048))=1,"00"&amp;COUNTIFS($J$1:J1048,$J1048,$K$1:K1048,$K1048,$L$1:L1048,$L1048,$M$1:M1048,M1048,$N$1:N1048,N1048),IF(LEN(COUNTIFS($J$1:J1048,$J1048,$K$1:K1048,$K1048,$L$1:L1048,$L1048,$M$1:M1048,M1048,$N$1:N1048,N1048))=2,"0"&amp;COUNTIFS($J$1:J1048,$J1048,$K$1:K1048,$K1048,$L$1:L1048,$L1048,$M$1:M1048,M1048,$N$1:N1048,N1048),COUNTIFS($J$1:J1048,$J1048,$K$1:K1048,$K1048,$L$1:L1048,$L1048,$M$1:M1048,M1048,$N$1:N1048,N1048)))</f>
        <v>039</v>
      </c>
      <c r="P104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ES-CS-000-33-00039-INV</v>
      </c>
      <c r="Q1048" s="34"/>
      <c r="R1048" s="34" t="s">
        <v>6741</v>
      </c>
      <c r="S1048" s="34" t="s">
        <v>5037</v>
      </c>
      <c r="T1048" s="34">
        <f>+IFERROR(_xlfn.XLOOKUP(Table43[[#This Row],[Column1]],#REF!,#REF!),0)</f>
        <v>0</v>
      </c>
      <c r="U1048" s="50">
        <f>IFERROR(_xlfn.XLOOKUP(Table43[[#This Row],[Column1]],#REF!,#REF!),0)</f>
        <v>0</v>
      </c>
      <c r="V1048" s="39"/>
    </row>
    <row r="1049" spans="1:22" x14ac:dyDescent="0.35">
      <c r="A1049" s="3" t="s">
        <v>5106</v>
      </c>
      <c r="B1049" s="42" t="s">
        <v>5038</v>
      </c>
      <c r="C1049" s="3" t="s">
        <v>5606</v>
      </c>
      <c r="D1049" s="3"/>
      <c r="E1049" s="3" t="s">
        <v>10</v>
      </c>
      <c r="F1049" s="2">
        <v>5</v>
      </c>
      <c r="G1049" s="2">
        <v>25</v>
      </c>
      <c r="H1049" s="3"/>
      <c r="I1049" s="21">
        <f>Table43[[#This Row],[Item Cost]]*Table43[[#This Row],[In Stock]]</f>
        <v>0</v>
      </c>
      <c r="J1049" s="12" t="s">
        <v>4932</v>
      </c>
      <c r="K1049" s="13" t="s">
        <v>4664</v>
      </c>
      <c r="L1049" s="13" t="s">
        <v>4672</v>
      </c>
      <c r="M1049" s="13" t="s">
        <v>5152</v>
      </c>
      <c r="N1049" s="12" t="s">
        <v>4672</v>
      </c>
      <c r="O1049" s="17" t="str">
        <f>IF(LEN(COUNTIFS($J$1:J1049,$J1049,$K$1:K1049,$K1049,$L$1:L1049,$L1049,$M$1:M1049,M1049,$N$1:N1049,N1049))=1,"00"&amp;COUNTIFS($J$1:J1049,$J1049,$K$1:K1049,$K1049,$L$1:L1049,$L1049,$M$1:M1049,M1049,$N$1:N1049,N1049),IF(LEN(COUNTIFS($J$1:J1049,$J1049,$K$1:K1049,$K1049,$L$1:L1049,$L1049,$M$1:M1049,M1049,$N$1:N1049,N1049))=2,"0"&amp;COUNTIFS($J$1:J1049,$J1049,$K$1:K1049,$K1049,$L$1:L1049,$L1049,$M$1:M1049,M1049,$N$1:N1049,N1049),COUNTIFS($J$1:J1049,$J1049,$K$1:K1049,$K1049,$L$1:L1049,$L1049,$M$1:M1049,M1049,$N$1:N1049,N1049)))</f>
        <v>040</v>
      </c>
      <c r="P104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ES-CS-000-33-00040-INV</v>
      </c>
      <c r="Q1049" s="34"/>
      <c r="R1049" s="34" t="s">
        <v>6742</v>
      </c>
      <c r="S1049" s="34" t="s">
        <v>5038</v>
      </c>
      <c r="T1049" s="34">
        <f>+IFERROR(_xlfn.XLOOKUP(Table43[[#This Row],[Column1]],#REF!,#REF!),0)</f>
        <v>0</v>
      </c>
      <c r="U1049" s="50">
        <f>IFERROR(_xlfn.XLOOKUP(Table43[[#This Row],[Column1]],#REF!,#REF!),0)</f>
        <v>0</v>
      </c>
      <c r="V1049" s="39"/>
    </row>
    <row r="1050" spans="1:22" x14ac:dyDescent="0.35">
      <c r="A1050" s="3" t="s">
        <v>5107</v>
      </c>
      <c r="B1050" s="42" t="s">
        <v>5039</v>
      </c>
      <c r="C1050" s="3" t="s">
        <v>5606</v>
      </c>
      <c r="D1050" s="3"/>
      <c r="E1050" s="3" t="s">
        <v>10</v>
      </c>
      <c r="F1050" s="2">
        <v>5</v>
      </c>
      <c r="G1050" s="2">
        <v>25</v>
      </c>
      <c r="H1050" s="3"/>
      <c r="I1050" s="21">
        <f>Table43[[#This Row],[Item Cost]]*Table43[[#This Row],[In Stock]]</f>
        <v>0</v>
      </c>
      <c r="J1050" s="12" t="s">
        <v>4932</v>
      </c>
      <c r="K1050" s="13" t="s">
        <v>4664</v>
      </c>
      <c r="L1050" s="13" t="s">
        <v>4672</v>
      </c>
      <c r="M1050" s="13" t="s">
        <v>5152</v>
      </c>
      <c r="N1050" s="12" t="s">
        <v>4672</v>
      </c>
      <c r="O1050" s="17" t="str">
        <f>IF(LEN(COUNTIFS($J$1:J1050,$J1050,$K$1:K1050,$K1050,$L$1:L1050,$L1050,$M$1:M1050,M1050,$N$1:N1050,N1050))=1,"00"&amp;COUNTIFS($J$1:J1050,$J1050,$K$1:K1050,$K1050,$L$1:L1050,$L1050,$M$1:M1050,M1050,$N$1:N1050,N1050),IF(LEN(COUNTIFS($J$1:J1050,$J1050,$K$1:K1050,$K1050,$L$1:L1050,$L1050,$M$1:M1050,M1050,$N$1:N1050,N1050))=2,"0"&amp;COUNTIFS($J$1:J1050,$J1050,$K$1:K1050,$K1050,$L$1:L1050,$L1050,$M$1:M1050,M1050,$N$1:N1050,N1050),COUNTIFS($J$1:J1050,$J1050,$K$1:K1050,$K1050,$L$1:L1050,$L1050,$M$1:M1050,M1050,$N$1:N1050,N1050)))</f>
        <v>041</v>
      </c>
      <c r="P105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ES-CS-000-33-00041-INV</v>
      </c>
      <c r="Q1050" s="34"/>
      <c r="R1050" s="34" t="s">
        <v>6743</v>
      </c>
      <c r="S1050" s="34" t="s">
        <v>5039</v>
      </c>
      <c r="T1050" s="34">
        <f>+IFERROR(_xlfn.XLOOKUP(Table43[[#This Row],[Column1]],#REF!,#REF!),0)</f>
        <v>0</v>
      </c>
      <c r="U1050" s="50">
        <f>IFERROR(_xlfn.XLOOKUP(Table43[[#This Row],[Column1]],#REF!,#REF!),0)</f>
        <v>0</v>
      </c>
      <c r="V1050" s="39"/>
    </row>
    <row r="1051" spans="1:22" x14ac:dyDescent="0.35">
      <c r="A1051" s="3" t="s">
        <v>5108</v>
      </c>
      <c r="B1051" s="42" t="s">
        <v>5040</v>
      </c>
      <c r="C1051" s="3" t="s">
        <v>5606</v>
      </c>
      <c r="D1051" s="3"/>
      <c r="E1051" s="3" t="s">
        <v>10</v>
      </c>
      <c r="F1051" s="2">
        <v>5</v>
      </c>
      <c r="G1051" s="2">
        <v>25</v>
      </c>
      <c r="H1051" s="3"/>
      <c r="I1051" s="21">
        <f>Table43[[#This Row],[Item Cost]]*Table43[[#This Row],[In Stock]]</f>
        <v>0</v>
      </c>
      <c r="J1051" s="12" t="s">
        <v>4932</v>
      </c>
      <c r="K1051" s="13" t="s">
        <v>4664</v>
      </c>
      <c r="L1051" s="13" t="s">
        <v>4672</v>
      </c>
      <c r="M1051" s="13" t="s">
        <v>5152</v>
      </c>
      <c r="N1051" s="12" t="s">
        <v>4672</v>
      </c>
      <c r="O1051" s="17" t="str">
        <f>IF(LEN(COUNTIFS($J$1:J1051,$J1051,$K$1:K1051,$K1051,$L$1:L1051,$L1051,$M$1:M1051,M1051,$N$1:N1051,N1051))=1,"00"&amp;COUNTIFS($J$1:J1051,$J1051,$K$1:K1051,$K1051,$L$1:L1051,$L1051,$M$1:M1051,M1051,$N$1:N1051,N1051),IF(LEN(COUNTIFS($J$1:J1051,$J1051,$K$1:K1051,$K1051,$L$1:L1051,$L1051,$M$1:M1051,M1051,$N$1:N1051,N1051))=2,"0"&amp;COUNTIFS($J$1:J1051,$J1051,$K$1:K1051,$K1051,$L$1:L1051,$L1051,$M$1:M1051,M1051,$N$1:N1051,N1051),COUNTIFS($J$1:J1051,$J1051,$K$1:K1051,$K1051,$L$1:L1051,$L1051,$M$1:M1051,M1051,$N$1:N1051,N1051)))</f>
        <v>042</v>
      </c>
      <c r="P105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ES-CS-000-33-00042-INV</v>
      </c>
      <c r="Q1051" s="34"/>
      <c r="R1051" s="34" t="s">
        <v>6744</v>
      </c>
      <c r="S1051" s="34" t="s">
        <v>5040</v>
      </c>
      <c r="T1051" s="34">
        <f>+IFERROR(_xlfn.XLOOKUP(Table43[[#This Row],[Column1]],#REF!,#REF!),0)</f>
        <v>0</v>
      </c>
      <c r="U1051" s="50">
        <f>IFERROR(_xlfn.XLOOKUP(Table43[[#This Row],[Column1]],#REF!,#REF!),0)</f>
        <v>0</v>
      </c>
      <c r="V1051" s="39"/>
    </row>
    <row r="1052" spans="1:22" x14ac:dyDescent="0.35">
      <c r="A1052" s="3" t="s">
        <v>5109</v>
      </c>
      <c r="B1052" s="42" t="s">
        <v>5041</v>
      </c>
      <c r="C1052" s="3" t="s">
        <v>5606</v>
      </c>
      <c r="D1052" s="3"/>
      <c r="E1052" s="3" t="s">
        <v>10</v>
      </c>
      <c r="F1052" s="2">
        <v>5</v>
      </c>
      <c r="G1052" s="2">
        <v>25</v>
      </c>
      <c r="H1052" s="3"/>
      <c r="I1052" s="21">
        <f>Table43[[#This Row],[Item Cost]]*Table43[[#This Row],[In Stock]]</f>
        <v>0</v>
      </c>
      <c r="J1052" s="12" t="s">
        <v>4932</v>
      </c>
      <c r="K1052" s="13" t="s">
        <v>4664</v>
      </c>
      <c r="L1052" s="13" t="s">
        <v>4672</v>
      </c>
      <c r="M1052" s="13" t="s">
        <v>5152</v>
      </c>
      <c r="N1052" s="12" t="s">
        <v>4672</v>
      </c>
      <c r="O1052" s="17" t="str">
        <f>IF(LEN(COUNTIFS($J$1:J1052,$J1052,$K$1:K1052,$K1052,$L$1:L1052,$L1052,$M$1:M1052,M1052,$N$1:N1052,N1052))=1,"00"&amp;COUNTIFS($J$1:J1052,$J1052,$K$1:K1052,$K1052,$L$1:L1052,$L1052,$M$1:M1052,M1052,$N$1:N1052,N1052),IF(LEN(COUNTIFS($J$1:J1052,$J1052,$K$1:K1052,$K1052,$L$1:L1052,$L1052,$M$1:M1052,M1052,$N$1:N1052,N1052))=2,"0"&amp;COUNTIFS($J$1:J1052,$J1052,$K$1:K1052,$K1052,$L$1:L1052,$L1052,$M$1:M1052,M1052,$N$1:N1052,N1052),COUNTIFS($J$1:J1052,$J1052,$K$1:K1052,$K1052,$L$1:L1052,$L1052,$M$1:M1052,M1052,$N$1:N1052,N1052)))</f>
        <v>043</v>
      </c>
      <c r="P105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ES-CS-000-33-00043-INV</v>
      </c>
      <c r="Q1052" s="34"/>
      <c r="R1052" s="34" t="s">
        <v>6745</v>
      </c>
      <c r="S1052" s="34" t="s">
        <v>5041</v>
      </c>
      <c r="T1052" s="34">
        <f>+IFERROR(_xlfn.XLOOKUP(Table43[[#This Row],[Column1]],#REF!,#REF!),0)</f>
        <v>0</v>
      </c>
      <c r="U1052" s="50">
        <f>IFERROR(_xlfn.XLOOKUP(Table43[[#This Row],[Column1]],#REF!,#REF!),0)</f>
        <v>0</v>
      </c>
      <c r="V1052" s="39"/>
    </row>
    <row r="1053" spans="1:22" x14ac:dyDescent="0.35">
      <c r="A1053" s="3" t="s">
        <v>5110</v>
      </c>
      <c r="B1053" s="42" t="s">
        <v>5042</v>
      </c>
      <c r="C1053" s="3" t="s">
        <v>5606</v>
      </c>
      <c r="D1053" s="3"/>
      <c r="E1053" s="3" t="s">
        <v>10</v>
      </c>
      <c r="F1053" s="2">
        <v>5</v>
      </c>
      <c r="G1053" s="2">
        <v>25</v>
      </c>
      <c r="H1053" s="3"/>
      <c r="I1053" s="21">
        <f>Table43[[#This Row],[Item Cost]]*Table43[[#This Row],[In Stock]]</f>
        <v>0</v>
      </c>
      <c r="J1053" s="12" t="s">
        <v>4932</v>
      </c>
      <c r="K1053" s="13" t="s">
        <v>4664</v>
      </c>
      <c r="L1053" s="13" t="s">
        <v>4672</v>
      </c>
      <c r="M1053" s="13" t="s">
        <v>5152</v>
      </c>
      <c r="N1053" s="12" t="s">
        <v>4672</v>
      </c>
      <c r="O1053" s="17" t="str">
        <f>IF(LEN(COUNTIFS($J$1:J1053,$J1053,$K$1:K1053,$K1053,$L$1:L1053,$L1053,$M$1:M1053,M1053,$N$1:N1053,N1053))=1,"00"&amp;COUNTIFS($J$1:J1053,$J1053,$K$1:K1053,$K1053,$L$1:L1053,$L1053,$M$1:M1053,M1053,$N$1:N1053,N1053),IF(LEN(COUNTIFS($J$1:J1053,$J1053,$K$1:K1053,$K1053,$L$1:L1053,$L1053,$M$1:M1053,M1053,$N$1:N1053,N1053))=2,"0"&amp;COUNTIFS($J$1:J1053,$J1053,$K$1:K1053,$K1053,$L$1:L1053,$L1053,$M$1:M1053,M1053,$N$1:N1053,N1053),COUNTIFS($J$1:J1053,$J1053,$K$1:K1053,$K1053,$L$1:L1053,$L1053,$M$1:M1053,M1053,$N$1:N1053,N1053)))</f>
        <v>044</v>
      </c>
      <c r="P105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ES-CS-000-33-00044-INV</v>
      </c>
      <c r="Q1053" s="34"/>
      <c r="R1053" s="34" t="s">
        <v>6746</v>
      </c>
      <c r="S1053" s="34" t="s">
        <v>5042</v>
      </c>
      <c r="T1053" s="34">
        <f>+IFERROR(_xlfn.XLOOKUP(Table43[[#This Row],[Column1]],#REF!,#REF!),0)</f>
        <v>0</v>
      </c>
      <c r="U1053" s="50">
        <f>IFERROR(_xlfn.XLOOKUP(Table43[[#This Row],[Column1]],#REF!,#REF!),0)</f>
        <v>0</v>
      </c>
      <c r="V1053" s="39"/>
    </row>
    <row r="1054" spans="1:22" x14ac:dyDescent="0.35">
      <c r="A1054" s="3" t="s">
        <v>5111</v>
      </c>
      <c r="B1054" s="42" t="s">
        <v>5043</v>
      </c>
      <c r="C1054" s="3" t="s">
        <v>5606</v>
      </c>
      <c r="D1054" s="3"/>
      <c r="E1054" s="3" t="s">
        <v>10</v>
      </c>
      <c r="F1054" s="2">
        <v>5</v>
      </c>
      <c r="G1054" s="2">
        <v>25</v>
      </c>
      <c r="H1054" s="3"/>
      <c r="I1054" s="21">
        <f>Table43[[#This Row],[Item Cost]]*Table43[[#This Row],[In Stock]]</f>
        <v>0</v>
      </c>
      <c r="J1054" s="12" t="s">
        <v>4932</v>
      </c>
      <c r="K1054" s="13" t="s">
        <v>4664</v>
      </c>
      <c r="L1054" s="13" t="s">
        <v>4672</v>
      </c>
      <c r="M1054" s="13" t="s">
        <v>5152</v>
      </c>
      <c r="N1054" s="12" t="s">
        <v>4672</v>
      </c>
      <c r="O1054" s="17" t="str">
        <f>IF(LEN(COUNTIFS($J$1:J1054,$J1054,$K$1:K1054,$K1054,$L$1:L1054,$L1054,$M$1:M1054,M1054,$N$1:N1054,N1054))=1,"00"&amp;COUNTIFS($J$1:J1054,$J1054,$K$1:K1054,$K1054,$L$1:L1054,$L1054,$M$1:M1054,M1054,$N$1:N1054,N1054),IF(LEN(COUNTIFS($J$1:J1054,$J1054,$K$1:K1054,$K1054,$L$1:L1054,$L1054,$M$1:M1054,M1054,$N$1:N1054,N1054))=2,"0"&amp;COUNTIFS($J$1:J1054,$J1054,$K$1:K1054,$K1054,$L$1:L1054,$L1054,$M$1:M1054,M1054,$N$1:N1054,N1054),COUNTIFS($J$1:J1054,$J1054,$K$1:K1054,$K1054,$L$1:L1054,$L1054,$M$1:M1054,M1054,$N$1:N1054,N1054)))</f>
        <v>045</v>
      </c>
      <c r="P105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ES-CS-000-33-00045-INV</v>
      </c>
      <c r="Q1054" s="34"/>
      <c r="R1054" s="34" t="s">
        <v>6747</v>
      </c>
      <c r="S1054" s="34" t="s">
        <v>5043</v>
      </c>
      <c r="T1054" s="34">
        <f>+IFERROR(_xlfn.XLOOKUP(Table43[[#This Row],[Column1]],#REF!,#REF!),0)</f>
        <v>0</v>
      </c>
      <c r="U1054" s="50">
        <f>IFERROR(_xlfn.XLOOKUP(Table43[[#This Row],[Column1]],#REF!,#REF!),0)</f>
        <v>0</v>
      </c>
      <c r="V1054" s="39"/>
    </row>
    <row r="1055" spans="1:22" x14ac:dyDescent="0.35">
      <c r="A1055" s="3" t="s">
        <v>5112</v>
      </c>
      <c r="B1055" s="42" t="s">
        <v>5044</v>
      </c>
      <c r="C1055" s="3" t="s">
        <v>5606</v>
      </c>
      <c r="D1055" s="3"/>
      <c r="E1055" s="3" t="s">
        <v>10</v>
      </c>
      <c r="F1055" s="2">
        <v>5</v>
      </c>
      <c r="G1055" s="2">
        <v>25</v>
      </c>
      <c r="H1055" s="3"/>
      <c r="I1055" s="21">
        <f>Table43[[#This Row],[Item Cost]]*Table43[[#This Row],[In Stock]]</f>
        <v>0</v>
      </c>
      <c r="J1055" s="12" t="s">
        <v>4932</v>
      </c>
      <c r="K1055" s="13" t="s">
        <v>4664</v>
      </c>
      <c r="L1055" s="13" t="s">
        <v>4672</v>
      </c>
      <c r="M1055" s="13" t="s">
        <v>5152</v>
      </c>
      <c r="N1055" s="12" t="s">
        <v>4672</v>
      </c>
      <c r="O1055" s="17" t="str">
        <f>IF(LEN(COUNTIFS($J$1:J1055,$J1055,$K$1:K1055,$K1055,$L$1:L1055,$L1055,$M$1:M1055,M1055,$N$1:N1055,N1055))=1,"00"&amp;COUNTIFS($J$1:J1055,$J1055,$K$1:K1055,$K1055,$L$1:L1055,$L1055,$M$1:M1055,M1055,$N$1:N1055,N1055),IF(LEN(COUNTIFS($J$1:J1055,$J1055,$K$1:K1055,$K1055,$L$1:L1055,$L1055,$M$1:M1055,M1055,$N$1:N1055,N1055))=2,"0"&amp;COUNTIFS($J$1:J1055,$J1055,$K$1:K1055,$K1055,$L$1:L1055,$L1055,$M$1:M1055,M1055,$N$1:N1055,N1055),COUNTIFS($J$1:J1055,$J1055,$K$1:K1055,$K1055,$L$1:L1055,$L1055,$M$1:M1055,M1055,$N$1:N1055,N1055)))</f>
        <v>046</v>
      </c>
      <c r="P105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ES-CS-000-33-00046-INV</v>
      </c>
      <c r="Q1055" s="34"/>
      <c r="R1055" s="34" t="s">
        <v>6748</v>
      </c>
      <c r="S1055" s="34" t="s">
        <v>5044</v>
      </c>
      <c r="T1055" s="34">
        <f>+IFERROR(_xlfn.XLOOKUP(Table43[[#This Row],[Column1]],#REF!,#REF!),0)</f>
        <v>0</v>
      </c>
      <c r="U1055" s="50">
        <f>IFERROR(_xlfn.XLOOKUP(Table43[[#This Row],[Column1]],#REF!,#REF!),0)</f>
        <v>0</v>
      </c>
      <c r="V1055" s="39"/>
    </row>
    <row r="1056" spans="1:22" x14ac:dyDescent="0.35">
      <c r="A1056" s="3" t="s">
        <v>5113</v>
      </c>
      <c r="B1056" s="42" t="s">
        <v>5045</v>
      </c>
      <c r="C1056" s="3" t="s">
        <v>5606</v>
      </c>
      <c r="D1056" s="3"/>
      <c r="E1056" s="3" t="s">
        <v>10</v>
      </c>
      <c r="F1056" s="2">
        <v>5</v>
      </c>
      <c r="G1056" s="2">
        <v>25</v>
      </c>
      <c r="H1056" s="3"/>
      <c r="I1056" s="21">
        <f>Table43[[#This Row],[Item Cost]]*Table43[[#This Row],[In Stock]]</f>
        <v>0</v>
      </c>
      <c r="J1056" s="12" t="s">
        <v>4932</v>
      </c>
      <c r="K1056" s="13" t="s">
        <v>4664</v>
      </c>
      <c r="L1056" s="13" t="s">
        <v>4672</v>
      </c>
      <c r="M1056" s="13" t="s">
        <v>5152</v>
      </c>
      <c r="N1056" s="12" t="s">
        <v>4672</v>
      </c>
      <c r="O1056" s="17" t="str">
        <f>IF(LEN(COUNTIFS($J$1:J1056,$J1056,$K$1:K1056,$K1056,$L$1:L1056,$L1056,$M$1:M1056,M1056,$N$1:N1056,N1056))=1,"00"&amp;COUNTIFS($J$1:J1056,$J1056,$K$1:K1056,$K1056,$L$1:L1056,$L1056,$M$1:M1056,M1056,$N$1:N1056,N1056),IF(LEN(COUNTIFS($J$1:J1056,$J1056,$K$1:K1056,$K1056,$L$1:L1056,$L1056,$M$1:M1056,M1056,$N$1:N1056,N1056))=2,"0"&amp;COUNTIFS($J$1:J1056,$J1056,$K$1:K1056,$K1056,$L$1:L1056,$L1056,$M$1:M1056,M1056,$N$1:N1056,N1056),COUNTIFS($J$1:J1056,$J1056,$K$1:K1056,$K1056,$L$1:L1056,$L1056,$M$1:M1056,M1056,$N$1:N1056,N1056)))</f>
        <v>047</v>
      </c>
      <c r="P105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ES-CS-000-33-00047-INV</v>
      </c>
      <c r="Q1056" s="34"/>
      <c r="R1056" s="34" t="s">
        <v>6749</v>
      </c>
      <c r="S1056" s="34" t="s">
        <v>5045</v>
      </c>
      <c r="T1056" s="34">
        <f>+IFERROR(_xlfn.XLOOKUP(Table43[[#This Row],[Column1]],#REF!,#REF!),0)</f>
        <v>0</v>
      </c>
      <c r="U1056" s="50">
        <f>IFERROR(_xlfn.XLOOKUP(Table43[[#This Row],[Column1]],#REF!,#REF!),0)</f>
        <v>0</v>
      </c>
      <c r="V1056" s="39"/>
    </row>
    <row r="1057" spans="1:22" x14ac:dyDescent="0.35">
      <c r="A1057" s="3" t="s">
        <v>5114</v>
      </c>
      <c r="B1057" s="42" t="s">
        <v>5046</v>
      </c>
      <c r="C1057" s="3" t="s">
        <v>5606</v>
      </c>
      <c r="D1057" s="3"/>
      <c r="E1057" s="3" t="s">
        <v>10</v>
      </c>
      <c r="F1057" s="2">
        <v>5</v>
      </c>
      <c r="G1057" s="2">
        <v>25</v>
      </c>
      <c r="H1057" s="3"/>
      <c r="I1057" s="21">
        <f>Table43[[#This Row],[Item Cost]]*Table43[[#This Row],[In Stock]]</f>
        <v>0</v>
      </c>
      <c r="J1057" s="12" t="s">
        <v>4932</v>
      </c>
      <c r="K1057" s="13" t="s">
        <v>4664</v>
      </c>
      <c r="L1057" s="13" t="s">
        <v>4672</v>
      </c>
      <c r="M1057" s="13" t="s">
        <v>5152</v>
      </c>
      <c r="N1057" s="12" t="s">
        <v>4672</v>
      </c>
      <c r="O1057" s="17" t="str">
        <f>IF(LEN(COUNTIFS($J$1:J1057,$J1057,$K$1:K1057,$K1057,$L$1:L1057,$L1057,$M$1:M1057,M1057,$N$1:N1057,N1057))=1,"00"&amp;COUNTIFS($J$1:J1057,$J1057,$K$1:K1057,$K1057,$L$1:L1057,$L1057,$M$1:M1057,M1057,$N$1:N1057,N1057),IF(LEN(COUNTIFS($J$1:J1057,$J1057,$K$1:K1057,$K1057,$L$1:L1057,$L1057,$M$1:M1057,M1057,$N$1:N1057,N1057))=2,"0"&amp;COUNTIFS($J$1:J1057,$J1057,$K$1:K1057,$K1057,$L$1:L1057,$L1057,$M$1:M1057,M1057,$N$1:N1057,N1057),COUNTIFS($J$1:J1057,$J1057,$K$1:K1057,$K1057,$L$1:L1057,$L1057,$M$1:M1057,M1057,$N$1:N1057,N1057)))</f>
        <v>048</v>
      </c>
      <c r="P105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ES-CS-000-33-00048-INV</v>
      </c>
      <c r="Q1057" s="34"/>
      <c r="R1057" s="34" t="s">
        <v>6750</v>
      </c>
      <c r="S1057" s="34" t="s">
        <v>5046</v>
      </c>
      <c r="T1057" s="34">
        <f>+IFERROR(_xlfn.XLOOKUP(Table43[[#This Row],[Column1]],#REF!,#REF!),0)</f>
        <v>0</v>
      </c>
      <c r="U1057" s="50">
        <f>IFERROR(_xlfn.XLOOKUP(Table43[[#This Row],[Column1]],#REF!,#REF!),0)</f>
        <v>0</v>
      </c>
      <c r="V1057" s="39"/>
    </row>
    <row r="1058" spans="1:22" x14ac:dyDescent="0.35">
      <c r="A1058" s="3" t="s">
        <v>5115</v>
      </c>
      <c r="B1058" s="42" t="s">
        <v>5047</v>
      </c>
      <c r="C1058" s="3" t="s">
        <v>5606</v>
      </c>
      <c r="D1058" s="3"/>
      <c r="E1058" s="3" t="s">
        <v>10</v>
      </c>
      <c r="F1058" s="2">
        <v>5</v>
      </c>
      <c r="G1058" s="2">
        <v>25</v>
      </c>
      <c r="H1058" s="3"/>
      <c r="I1058" s="21">
        <f>Table43[[#This Row],[Item Cost]]*Table43[[#This Row],[In Stock]]</f>
        <v>0</v>
      </c>
      <c r="J1058" s="12" t="s">
        <v>4932</v>
      </c>
      <c r="K1058" s="13" t="s">
        <v>4664</v>
      </c>
      <c r="L1058" s="13" t="s">
        <v>4672</v>
      </c>
      <c r="M1058" s="13" t="s">
        <v>5152</v>
      </c>
      <c r="N1058" s="12" t="s">
        <v>4672</v>
      </c>
      <c r="O1058" s="17" t="str">
        <f>IF(LEN(COUNTIFS($J$1:J1058,$J1058,$K$1:K1058,$K1058,$L$1:L1058,$L1058,$M$1:M1058,M1058,$N$1:N1058,N1058))=1,"00"&amp;COUNTIFS($J$1:J1058,$J1058,$K$1:K1058,$K1058,$L$1:L1058,$L1058,$M$1:M1058,M1058,$N$1:N1058,N1058),IF(LEN(COUNTIFS($J$1:J1058,$J1058,$K$1:K1058,$K1058,$L$1:L1058,$L1058,$M$1:M1058,M1058,$N$1:N1058,N1058))=2,"0"&amp;COUNTIFS($J$1:J1058,$J1058,$K$1:K1058,$K1058,$L$1:L1058,$L1058,$M$1:M1058,M1058,$N$1:N1058,N1058),COUNTIFS($J$1:J1058,$J1058,$K$1:K1058,$K1058,$L$1:L1058,$L1058,$M$1:M1058,M1058,$N$1:N1058,N1058)))</f>
        <v>049</v>
      </c>
      <c r="P105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ES-CS-000-33-00049-INV</v>
      </c>
      <c r="Q1058" s="34"/>
      <c r="R1058" s="34" t="s">
        <v>6751</v>
      </c>
      <c r="S1058" s="34" t="s">
        <v>5047</v>
      </c>
      <c r="T1058" s="34">
        <f>+IFERROR(_xlfn.XLOOKUP(Table43[[#This Row],[Column1]],#REF!,#REF!),0)</f>
        <v>0</v>
      </c>
      <c r="U1058" s="50">
        <f>IFERROR(_xlfn.XLOOKUP(Table43[[#This Row],[Column1]],#REF!,#REF!),0)</f>
        <v>0</v>
      </c>
      <c r="V1058" s="39"/>
    </row>
    <row r="1059" spans="1:22" x14ac:dyDescent="0.35">
      <c r="A1059" s="3" t="s">
        <v>5116</v>
      </c>
      <c r="B1059" s="42" t="s">
        <v>5048</v>
      </c>
      <c r="C1059" s="3" t="s">
        <v>5606</v>
      </c>
      <c r="D1059" s="3"/>
      <c r="E1059" s="3" t="s">
        <v>10</v>
      </c>
      <c r="F1059" s="2">
        <v>5</v>
      </c>
      <c r="G1059" s="2">
        <v>25</v>
      </c>
      <c r="H1059" s="3"/>
      <c r="I1059" s="21">
        <f>Table43[[#This Row],[Item Cost]]*Table43[[#This Row],[In Stock]]</f>
        <v>0</v>
      </c>
      <c r="J1059" s="12" t="s">
        <v>4932</v>
      </c>
      <c r="K1059" s="13" t="s">
        <v>4664</v>
      </c>
      <c r="L1059" s="13" t="s">
        <v>4672</v>
      </c>
      <c r="M1059" s="13" t="s">
        <v>5152</v>
      </c>
      <c r="N1059" s="12" t="s">
        <v>4672</v>
      </c>
      <c r="O1059" s="17" t="str">
        <f>IF(LEN(COUNTIFS($J$1:J1059,$J1059,$K$1:K1059,$K1059,$L$1:L1059,$L1059,$M$1:M1059,M1059,$N$1:N1059,N1059))=1,"00"&amp;COUNTIFS($J$1:J1059,$J1059,$K$1:K1059,$K1059,$L$1:L1059,$L1059,$M$1:M1059,M1059,$N$1:N1059,N1059),IF(LEN(COUNTIFS($J$1:J1059,$J1059,$K$1:K1059,$K1059,$L$1:L1059,$L1059,$M$1:M1059,M1059,$N$1:N1059,N1059))=2,"0"&amp;COUNTIFS($J$1:J1059,$J1059,$K$1:K1059,$K1059,$L$1:L1059,$L1059,$M$1:M1059,M1059,$N$1:N1059,N1059),COUNTIFS($J$1:J1059,$J1059,$K$1:K1059,$K1059,$L$1:L1059,$L1059,$M$1:M1059,M1059,$N$1:N1059,N1059)))</f>
        <v>050</v>
      </c>
      <c r="P105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ES-CS-000-33-00050-INV</v>
      </c>
      <c r="Q1059" s="34"/>
      <c r="R1059" s="34" t="s">
        <v>6752</v>
      </c>
      <c r="S1059" s="34" t="s">
        <v>5048</v>
      </c>
      <c r="T1059" s="34">
        <f>+IFERROR(_xlfn.XLOOKUP(Table43[[#This Row],[Column1]],#REF!,#REF!),0)</f>
        <v>0</v>
      </c>
      <c r="U1059" s="50">
        <f>IFERROR(_xlfn.XLOOKUP(Table43[[#This Row],[Column1]],#REF!,#REF!),0)</f>
        <v>0</v>
      </c>
      <c r="V1059" s="39"/>
    </row>
    <row r="1060" spans="1:22" x14ac:dyDescent="0.35">
      <c r="A1060" s="3" t="s">
        <v>5117</v>
      </c>
      <c r="B1060" s="42" t="s">
        <v>5049</v>
      </c>
      <c r="C1060" s="3" t="s">
        <v>5606</v>
      </c>
      <c r="D1060" s="3"/>
      <c r="E1060" s="3" t="s">
        <v>10</v>
      </c>
      <c r="F1060" s="2">
        <v>5</v>
      </c>
      <c r="G1060" s="2">
        <v>25</v>
      </c>
      <c r="H1060" s="3"/>
      <c r="I1060" s="21">
        <f>Table43[[#This Row],[Item Cost]]*Table43[[#This Row],[In Stock]]</f>
        <v>0</v>
      </c>
      <c r="J1060" s="12" t="s">
        <v>4932</v>
      </c>
      <c r="K1060" s="13" t="s">
        <v>4664</v>
      </c>
      <c r="L1060" s="13" t="s">
        <v>4672</v>
      </c>
      <c r="M1060" s="13" t="s">
        <v>5152</v>
      </c>
      <c r="N1060" s="12" t="s">
        <v>4672</v>
      </c>
      <c r="O1060" s="17" t="str">
        <f>IF(LEN(COUNTIFS($J$1:J1060,$J1060,$K$1:K1060,$K1060,$L$1:L1060,$L1060,$M$1:M1060,M1060,$N$1:N1060,N1060))=1,"00"&amp;COUNTIFS($J$1:J1060,$J1060,$K$1:K1060,$K1060,$L$1:L1060,$L1060,$M$1:M1060,M1060,$N$1:N1060,N1060),IF(LEN(COUNTIFS($J$1:J1060,$J1060,$K$1:K1060,$K1060,$L$1:L1060,$L1060,$M$1:M1060,M1060,$N$1:N1060,N1060))=2,"0"&amp;COUNTIFS($J$1:J1060,$J1060,$K$1:K1060,$K1060,$L$1:L1060,$L1060,$M$1:M1060,M1060,$N$1:N1060,N1060),COUNTIFS($J$1:J1060,$J1060,$K$1:K1060,$K1060,$L$1:L1060,$L1060,$M$1:M1060,M1060,$N$1:N1060,N1060)))</f>
        <v>051</v>
      </c>
      <c r="P106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ES-CS-000-33-00051-INV</v>
      </c>
      <c r="Q1060" s="34"/>
      <c r="R1060" s="34" t="s">
        <v>6753</v>
      </c>
      <c r="S1060" s="34" t="s">
        <v>5049</v>
      </c>
      <c r="T1060" s="34">
        <f>+IFERROR(_xlfn.XLOOKUP(Table43[[#This Row],[Column1]],#REF!,#REF!),0)</f>
        <v>0</v>
      </c>
      <c r="U1060" s="50">
        <f>IFERROR(_xlfn.XLOOKUP(Table43[[#This Row],[Column1]],#REF!,#REF!),0)</f>
        <v>0</v>
      </c>
      <c r="V1060" s="39"/>
    </row>
    <row r="1061" spans="1:22" x14ac:dyDescent="0.35">
      <c r="A1061" s="3" t="s">
        <v>5118</v>
      </c>
      <c r="B1061" s="42" t="s">
        <v>5050</v>
      </c>
      <c r="C1061" s="3" t="s">
        <v>5606</v>
      </c>
      <c r="D1061" s="3"/>
      <c r="E1061" s="3" t="s">
        <v>10</v>
      </c>
      <c r="F1061" s="2">
        <v>5</v>
      </c>
      <c r="G1061" s="2">
        <v>25</v>
      </c>
      <c r="H1061" s="3"/>
      <c r="I1061" s="21">
        <f>Table43[[#This Row],[Item Cost]]*Table43[[#This Row],[In Stock]]</f>
        <v>0</v>
      </c>
      <c r="J1061" s="12" t="s">
        <v>4932</v>
      </c>
      <c r="K1061" s="13" t="s">
        <v>4664</v>
      </c>
      <c r="L1061" s="13" t="s">
        <v>4672</v>
      </c>
      <c r="M1061" s="13" t="s">
        <v>5152</v>
      </c>
      <c r="N1061" s="12" t="s">
        <v>4672</v>
      </c>
      <c r="O1061" s="17" t="str">
        <f>IF(LEN(COUNTIFS($J$1:J1061,$J1061,$K$1:K1061,$K1061,$L$1:L1061,$L1061,$M$1:M1061,M1061,$N$1:N1061,N1061))=1,"00"&amp;COUNTIFS($J$1:J1061,$J1061,$K$1:K1061,$K1061,$L$1:L1061,$L1061,$M$1:M1061,M1061,$N$1:N1061,N1061),IF(LEN(COUNTIFS($J$1:J1061,$J1061,$K$1:K1061,$K1061,$L$1:L1061,$L1061,$M$1:M1061,M1061,$N$1:N1061,N1061))=2,"0"&amp;COUNTIFS($J$1:J1061,$J1061,$K$1:K1061,$K1061,$L$1:L1061,$L1061,$M$1:M1061,M1061,$N$1:N1061,N1061),COUNTIFS($J$1:J1061,$J1061,$K$1:K1061,$K1061,$L$1:L1061,$L1061,$M$1:M1061,M1061,$N$1:N1061,N1061)))</f>
        <v>052</v>
      </c>
      <c r="P106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ES-CS-000-33-00052-INV</v>
      </c>
      <c r="Q1061" s="34"/>
      <c r="R1061" s="34" t="s">
        <v>6754</v>
      </c>
      <c r="S1061" s="34" t="s">
        <v>5050</v>
      </c>
      <c r="T1061" s="34">
        <f>+IFERROR(_xlfn.XLOOKUP(Table43[[#This Row],[Column1]],#REF!,#REF!),0)</f>
        <v>0</v>
      </c>
      <c r="U1061" s="50">
        <f>IFERROR(_xlfn.XLOOKUP(Table43[[#This Row],[Column1]],#REF!,#REF!),0)</f>
        <v>0</v>
      </c>
      <c r="V1061" s="39"/>
    </row>
    <row r="1062" spans="1:22" x14ac:dyDescent="0.35">
      <c r="A1062" s="3" t="s">
        <v>5119</v>
      </c>
      <c r="B1062" s="42" t="s">
        <v>5051</v>
      </c>
      <c r="C1062" s="3" t="s">
        <v>5606</v>
      </c>
      <c r="D1062" s="3"/>
      <c r="E1062" s="3" t="s">
        <v>10</v>
      </c>
      <c r="F1062" s="2">
        <v>5</v>
      </c>
      <c r="G1062" s="2">
        <v>25</v>
      </c>
      <c r="H1062" s="3"/>
      <c r="I1062" s="21">
        <f>Table43[[#This Row],[Item Cost]]*Table43[[#This Row],[In Stock]]</f>
        <v>0</v>
      </c>
      <c r="J1062" s="12" t="s">
        <v>4932</v>
      </c>
      <c r="K1062" s="13" t="s">
        <v>4664</v>
      </c>
      <c r="L1062" s="13" t="s">
        <v>4672</v>
      </c>
      <c r="M1062" s="13" t="s">
        <v>5152</v>
      </c>
      <c r="N1062" s="12" t="s">
        <v>4672</v>
      </c>
      <c r="O1062" s="17" t="str">
        <f>IF(LEN(COUNTIFS($J$1:J1062,$J1062,$K$1:K1062,$K1062,$L$1:L1062,$L1062,$M$1:M1062,M1062,$N$1:N1062,N1062))=1,"00"&amp;COUNTIFS($J$1:J1062,$J1062,$K$1:K1062,$K1062,$L$1:L1062,$L1062,$M$1:M1062,M1062,$N$1:N1062,N1062),IF(LEN(COUNTIFS($J$1:J1062,$J1062,$K$1:K1062,$K1062,$L$1:L1062,$L1062,$M$1:M1062,M1062,$N$1:N1062,N1062))=2,"0"&amp;COUNTIFS($J$1:J1062,$J1062,$K$1:K1062,$K1062,$L$1:L1062,$L1062,$M$1:M1062,M1062,$N$1:N1062,N1062),COUNTIFS($J$1:J1062,$J1062,$K$1:K1062,$K1062,$L$1:L1062,$L1062,$M$1:M1062,M1062,$N$1:N1062,N1062)))</f>
        <v>053</v>
      </c>
      <c r="P106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ES-CS-000-33-00053-INV</v>
      </c>
      <c r="Q1062" s="34"/>
      <c r="R1062" s="34" t="s">
        <v>6755</v>
      </c>
      <c r="S1062" s="34" t="s">
        <v>5051</v>
      </c>
      <c r="T1062" s="34">
        <f>+IFERROR(_xlfn.XLOOKUP(Table43[[#This Row],[Column1]],#REF!,#REF!),0)</f>
        <v>0</v>
      </c>
      <c r="U1062" s="50">
        <f>IFERROR(_xlfn.XLOOKUP(Table43[[#This Row],[Column1]],#REF!,#REF!),0)</f>
        <v>0</v>
      </c>
      <c r="V1062" s="39"/>
    </row>
    <row r="1063" spans="1:22" x14ac:dyDescent="0.35">
      <c r="A1063" s="3" t="s">
        <v>5120</v>
      </c>
      <c r="B1063" s="42" t="s">
        <v>5052</v>
      </c>
      <c r="C1063" s="3" t="s">
        <v>5606</v>
      </c>
      <c r="D1063" s="3"/>
      <c r="E1063" s="3" t="s">
        <v>10</v>
      </c>
      <c r="F1063" s="2">
        <v>5</v>
      </c>
      <c r="G1063" s="2">
        <v>25</v>
      </c>
      <c r="H1063" s="3"/>
      <c r="I1063" s="21">
        <f>Table43[[#This Row],[Item Cost]]*Table43[[#This Row],[In Stock]]</f>
        <v>0</v>
      </c>
      <c r="J1063" s="12" t="s">
        <v>4932</v>
      </c>
      <c r="K1063" s="13" t="s">
        <v>4664</v>
      </c>
      <c r="L1063" s="13" t="s">
        <v>4672</v>
      </c>
      <c r="M1063" s="13" t="s">
        <v>5152</v>
      </c>
      <c r="N1063" s="12" t="s">
        <v>4672</v>
      </c>
      <c r="O1063" s="17" t="str">
        <f>IF(LEN(COUNTIFS($J$1:J1063,$J1063,$K$1:K1063,$K1063,$L$1:L1063,$L1063,$M$1:M1063,M1063,$N$1:N1063,N1063))=1,"00"&amp;COUNTIFS($J$1:J1063,$J1063,$K$1:K1063,$K1063,$L$1:L1063,$L1063,$M$1:M1063,M1063,$N$1:N1063,N1063),IF(LEN(COUNTIFS($J$1:J1063,$J1063,$K$1:K1063,$K1063,$L$1:L1063,$L1063,$M$1:M1063,M1063,$N$1:N1063,N1063))=2,"0"&amp;COUNTIFS($J$1:J1063,$J1063,$K$1:K1063,$K1063,$L$1:L1063,$L1063,$M$1:M1063,M1063,$N$1:N1063,N1063),COUNTIFS($J$1:J1063,$J1063,$K$1:K1063,$K1063,$L$1:L1063,$L1063,$M$1:M1063,M1063,$N$1:N1063,N1063)))</f>
        <v>054</v>
      </c>
      <c r="P106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ES-CS-000-33-00054-INV</v>
      </c>
      <c r="Q1063" s="34"/>
      <c r="R1063" s="34" t="s">
        <v>6756</v>
      </c>
      <c r="S1063" s="34" t="s">
        <v>5052</v>
      </c>
      <c r="T1063" s="34">
        <f>+IFERROR(_xlfn.XLOOKUP(Table43[[#This Row],[Column1]],#REF!,#REF!),0)</f>
        <v>0</v>
      </c>
      <c r="U1063" s="50">
        <f>IFERROR(_xlfn.XLOOKUP(Table43[[#This Row],[Column1]],#REF!,#REF!),0)</f>
        <v>0</v>
      </c>
      <c r="V1063" s="39"/>
    </row>
    <row r="1064" spans="1:22" x14ac:dyDescent="0.35">
      <c r="A1064" s="3" t="s">
        <v>5121</v>
      </c>
      <c r="B1064" s="42" t="s">
        <v>5053</v>
      </c>
      <c r="C1064" s="3" t="s">
        <v>5606</v>
      </c>
      <c r="D1064" s="3"/>
      <c r="E1064" s="3" t="s">
        <v>10</v>
      </c>
      <c r="F1064" s="2">
        <v>5</v>
      </c>
      <c r="G1064" s="2">
        <v>25</v>
      </c>
      <c r="H1064" s="3"/>
      <c r="I1064" s="21">
        <f>Table43[[#This Row],[Item Cost]]*Table43[[#This Row],[In Stock]]</f>
        <v>0</v>
      </c>
      <c r="J1064" s="12" t="s">
        <v>4932</v>
      </c>
      <c r="K1064" s="13" t="s">
        <v>4664</v>
      </c>
      <c r="L1064" s="13" t="s">
        <v>4672</v>
      </c>
      <c r="M1064" s="13" t="s">
        <v>5152</v>
      </c>
      <c r="N1064" s="12" t="s">
        <v>4672</v>
      </c>
      <c r="O1064" s="17" t="str">
        <f>IF(LEN(COUNTIFS($J$1:J1064,$J1064,$K$1:K1064,$K1064,$L$1:L1064,$L1064,$M$1:M1064,M1064,$N$1:N1064,N1064))=1,"00"&amp;COUNTIFS($J$1:J1064,$J1064,$K$1:K1064,$K1064,$L$1:L1064,$L1064,$M$1:M1064,M1064,$N$1:N1064,N1064),IF(LEN(COUNTIFS($J$1:J1064,$J1064,$K$1:K1064,$K1064,$L$1:L1064,$L1064,$M$1:M1064,M1064,$N$1:N1064,N1064))=2,"0"&amp;COUNTIFS($J$1:J1064,$J1064,$K$1:K1064,$K1064,$L$1:L1064,$L1064,$M$1:M1064,M1064,$N$1:N1064,N1064),COUNTIFS($J$1:J1064,$J1064,$K$1:K1064,$K1064,$L$1:L1064,$L1064,$M$1:M1064,M1064,$N$1:N1064,N1064)))</f>
        <v>055</v>
      </c>
      <c r="P106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ES-CS-000-33-00055-INV</v>
      </c>
      <c r="Q1064" s="34"/>
      <c r="R1064" s="34" t="s">
        <v>6757</v>
      </c>
      <c r="S1064" s="34" t="s">
        <v>5053</v>
      </c>
      <c r="T1064" s="34">
        <f>+IFERROR(_xlfn.XLOOKUP(Table43[[#This Row],[Column1]],#REF!,#REF!),0)</f>
        <v>0</v>
      </c>
      <c r="U1064" s="50">
        <f>IFERROR(_xlfn.XLOOKUP(Table43[[#This Row],[Column1]],#REF!,#REF!),0)</f>
        <v>0</v>
      </c>
      <c r="V1064" s="39"/>
    </row>
    <row r="1065" spans="1:22" x14ac:dyDescent="0.35">
      <c r="A1065" s="3" t="s">
        <v>5122</v>
      </c>
      <c r="B1065" s="42" t="s">
        <v>5054</v>
      </c>
      <c r="C1065" s="3" t="s">
        <v>5606</v>
      </c>
      <c r="D1065" s="3"/>
      <c r="E1065" s="3" t="s">
        <v>10</v>
      </c>
      <c r="F1065" s="2">
        <v>5</v>
      </c>
      <c r="G1065" s="2">
        <v>25</v>
      </c>
      <c r="H1065" s="3"/>
      <c r="I1065" s="21">
        <f>Table43[[#This Row],[Item Cost]]*Table43[[#This Row],[In Stock]]</f>
        <v>0</v>
      </c>
      <c r="J1065" s="12" t="s">
        <v>4932</v>
      </c>
      <c r="K1065" s="13" t="s">
        <v>4664</v>
      </c>
      <c r="L1065" s="13" t="s">
        <v>4672</v>
      </c>
      <c r="M1065" s="13" t="s">
        <v>5152</v>
      </c>
      <c r="N1065" s="12" t="s">
        <v>4672</v>
      </c>
      <c r="O1065" s="17" t="str">
        <f>IF(LEN(COUNTIFS($J$1:J1065,$J1065,$K$1:K1065,$K1065,$L$1:L1065,$L1065,$M$1:M1065,M1065,$N$1:N1065,N1065))=1,"00"&amp;COUNTIFS($J$1:J1065,$J1065,$K$1:K1065,$K1065,$L$1:L1065,$L1065,$M$1:M1065,M1065,$N$1:N1065,N1065),IF(LEN(COUNTIFS($J$1:J1065,$J1065,$K$1:K1065,$K1065,$L$1:L1065,$L1065,$M$1:M1065,M1065,$N$1:N1065,N1065))=2,"0"&amp;COUNTIFS($J$1:J1065,$J1065,$K$1:K1065,$K1065,$L$1:L1065,$L1065,$M$1:M1065,M1065,$N$1:N1065,N1065),COUNTIFS($J$1:J1065,$J1065,$K$1:K1065,$K1065,$L$1:L1065,$L1065,$M$1:M1065,M1065,$N$1:N1065,N1065)))</f>
        <v>056</v>
      </c>
      <c r="P106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ES-CS-000-33-00056-INV</v>
      </c>
      <c r="Q1065" s="34"/>
      <c r="R1065" s="34" t="s">
        <v>6758</v>
      </c>
      <c r="S1065" s="34" t="s">
        <v>5054</v>
      </c>
      <c r="T1065" s="34">
        <f>+IFERROR(_xlfn.XLOOKUP(Table43[[#This Row],[Column1]],#REF!,#REF!),0)</f>
        <v>0</v>
      </c>
      <c r="U1065" s="50">
        <f>IFERROR(_xlfn.XLOOKUP(Table43[[#This Row],[Column1]],#REF!,#REF!),0)</f>
        <v>0</v>
      </c>
      <c r="V1065" s="39"/>
    </row>
    <row r="1066" spans="1:22" x14ac:dyDescent="0.35">
      <c r="A1066" s="3" t="s">
        <v>5123</v>
      </c>
      <c r="B1066" s="42" t="s">
        <v>5055</v>
      </c>
      <c r="C1066" s="3" t="s">
        <v>5606</v>
      </c>
      <c r="D1066" s="3"/>
      <c r="E1066" s="3" t="s">
        <v>10</v>
      </c>
      <c r="F1066" s="2">
        <v>5</v>
      </c>
      <c r="G1066" s="2">
        <v>25</v>
      </c>
      <c r="H1066" s="3"/>
      <c r="I1066" s="21">
        <f>Table43[[#This Row],[Item Cost]]*Table43[[#This Row],[In Stock]]</f>
        <v>0</v>
      </c>
      <c r="J1066" s="12" t="s">
        <v>4932</v>
      </c>
      <c r="K1066" s="13" t="s">
        <v>4664</v>
      </c>
      <c r="L1066" s="13" t="s">
        <v>4672</v>
      </c>
      <c r="M1066" s="13" t="s">
        <v>5152</v>
      </c>
      <c r="N1066" s="12" t="s">
        <v>4672</v>
      </c>
      <c r="O1066" s="17" t="str">
        <f>IF(LEN(COUNTIFS($J$1:J1066,$J1066,$K$1:K1066,$K1066,$L$1:L1066,$L1066,$M$1:M1066,M1066,$N$1:N1066,N1066))=1,"00"&amp;COUNTIFS($J$1:J1066,$J1066,$K$1:K1066,$K1066,$L$1:L1066,$L1066,$M$1:M1066,M1066,$N$1:N1066,N1066),IF(LEN(COUNTIFS($J$1:J1066,$J1066,$K$1:K1066,$K1066,$L$1:L1066,$L1066,$M$1:M1066,M1066,$N$1:N1066,N1066))=2,"0"&amp;COUNTIFS($J$1:J1066,$J1066,$K$1:K1066,$K1066,$L$1:L1066,$L1066,$M$1:M1066,M1066,$N$1:N1066,N1066),COUNTIFS($J$1:J1066,$J1066,$K$1:K1066,$K1066,$L$1:L1066,$L1066,$M$1:M1066,M1066,$N$1:N1066,N1066)))</f>
        <v>057</v>
      </c>
      <c r="P106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ES-CS-000-33-00057-INV</v>
      </c>
      <c r="Q1066" s="34"/>
      <c r="R1066" s="34" t="s">
        <v>6759</v>
      </c>
      <c r="S1066" s="34" t="s">
        <v>5055</v>
      </c>
      <c r="T1066" s="34">
        <f>+IFERROR(_xlfn.XLOOKUP(Table43[[#This Row],[Column1]],#REF!,#REF!),0)</f>
        <v>0</v>
      </c>
      <c r="U1066" s="50">
        <f>IFERROR(_xlfn.XLOOKUP(Table43[[#This Row],[Column1]],#REF!,#REF!),0)</f>
        <v>0</v>
      </c>
      <c r="V1066" s="39"/>
    </row>
    <row r="1067" spans="1:22" x14ac:dyDescent="0.35">
      <c r="A1067" s="3" t="s">
        <v>5124</v>
      </c>
      <c r="B1067" s="42" t="s">
        <v>5056</v>
      </c>
      <c r="C1067" s="3" t="s">
        <v>5606</v>
      </c>
      <c r="D1067" s="3"/>
      <c r="E1067" s="3" t="s">
        <v>10</v>
      </c>
      <c r="F1067" s="2">
        <v>5</v>
      </c>
      <c r="G1067" s="2">
        <v>25</v>
      </c>
      <c r="H1067" s="3"/>
      <c r="I1067" s="21">
        <f>Table43[[#This Row],[Item Cost]]*Table43[[#This Row],[In Stock]]</f>
        <v>0</v>
      </c>
      <c r="J1067" s="12" t="s">
        <v>4932</v>
      </c>
      <c r="K1067" s="13" t="s">
        <v>4664</v>
      </c>
      <c r="L1067" s="13" t="s">
        <v>4672</v>
      </c>
      <c r="M1067" s="13" t="s">
        <v>5152</v>
      </c>
      <c r="N1067" s="12" t="s">
        <v>4672</v>
      </c>
      <c r="O1067" s="17" t="str">
        <f>IF(LEN(COUNTIFS($J$1:J1067,$J1067,$K$1:K1067,$K1067,$L$1:L1067,$L1067,$M$1:M1067,M1067,$N$1:N1067,N1067))=1,"00"&amp;COUNTIFS($J$1:J1067,$J1067,$K$1:K1067,$K1067,$L$1:L1067,$L1067,$M$1:M1067,M1067,$N$1:N1067,N1067),IF(LEN(COUNTIFS($J$1:J1067,$J1067,$K$1:K1067,$K1067,$L$1:L1067,$L1067,$M$1:M1067,M1067,$N$1:N1067,N1067))=2,"0"&amp;COUNTIFS($J$1:J1067,$J1067,$K$1:K1067,$K1067,$L$1:L1067,$L1067,$M$1:M1067,M1067,$N$1:N1067,N1067),COUNTIFS($J$1:J1067,$J1067,$K$1:K1067,$K1067,$L$1:L1067,$L1067,$M$1:M1067,M1067,$N$1:N1067,N1067)))</f>
        <v>058</v>
      </c>
      <c r="P106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ES-CS-000-33-00058-INV</v>
      </c>
      <c r="Q1067" s="34"/>
      <c r="R1067" s="34" t="s">
        <v>6760</v>
      </c>
      <c r="S1067" s="34" t="s">
        <v>5056</v>
      </c>
      <c r="T1067" s="34">
        <f>+IFERROR(_xlfn.XLOOKUP(Table43[[#This Row],[Column1]],#REF!,#REF!),0)</f>
        <v>0</v>
      </c>
      <c r="U1067" s="50">
        <f>IFERROR(_xlfn.XLOOKUP(Table43[[#This Row],[Column1]],#REF!,#REF!),0)</f>
        <v>0</v>
      </c>
      <c r="V1067" s="39"/>
    </row>
    <row r="1068" spans="1:22" x14ac:dyDescent="0.35">
      <c r="A1068" s="3" t="s">
        <v>5125</v>
      </c>
      <c r="B1068" s="42" t="s">
        <v>5057</v>
      </c>
      <c r="C1068" s="3" t="s">
        <v>5606</v>
      </c>
      <c r="D1068" s="3"/>
      <c r="E1068" s="3" t="s">
        <v>10</v>
      </c>
      <c r="F1068" s="2">
        <v>5</v>
      </c>
      <c r="G1068" s="2">
        <v>25</v>
      </c>
      <c r="H1068" s="3"/>
      <c r="I1068" s="21">
        <f>Table43[[#This Row],[Item Cost]]*Table43[[#This Row],[In Stock]]</f>
        <v>0</v>
      </c>
      <c r="J1068" s="12" t="s">
        <v>4932</v>
      </c>
      <c r="K1068" s="13" t="s">
        <v>4664</v>
      </c>
      <c r="L1068" s="13" t="s">
        <v>4672</v>
      </c>
      <c r="M1068" s="13" t="s">
        <v>5152</v>
      </c>
      <c r="N1068" s="12" t="s">
        <v>4672</v>
      </c>
      <c r="O1068" s="17" t="str">
        <f>IF(LEN(COUNTIFS($J$1:J1068,$J1068,$K$1:K1068,$K1068,$L$1:L1068,$L1068,$M$1:M1068,M1068,$N$1:N1068,N1068))=1,"00"&amp;COUNTIFS($J$1:J1068,$J1068,$K$1:K1068,$K1068,$L$1:L1068,$L1068,$M$1:M1068,M1068,$N$1:N1068,N1068),IF(LEN(COUNTIFS($J$1:J1068,$J1068,$K$1:K1068,$K1068,$L$1:L1068,$L1068,$M$1:M1068,M1068,$N$1:N1068,N1068))=2,"0"&amp;COUNTIFS($J$1:J1068,$J1068,$K$1:K1068,$K1068,$L$1:L1068,$L1068,$M$1:M1068,M1068,$N$1:N1068,N1068),COUNTIFS($J$1:J1068,$J1068,$K$1:K1068,$K1068,$L$1:L1068,$L1068,$M$1:M1068,M1068,$N$1:N1068,N1068)))</f>
        <v>059</v>
      </c>
      <c r="P106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ES-CS-000-33-00059-INV</v>
      </c>
      <c r="Q1068" s="34"/>
      <c r="R1068" s="34" t="s">
        <v>6761</v>
      </c>
      <c r="S1068" s="34" t="s">
        <v>5057</v>
      </c>
      <c r="T1068" s="34">
        <f>+IFERROR(_xlfn.XLOOKUP(Table43[[#This Row],[Column1]],#REF!,#REF!),0)</f>
        <v>0</v>
      </c>
      <c r="U1068" s="50">
        <f>IFERROR(_xlfn.XLOOKUP(Table43[[#This Row],[Column1]],#REF!,#REF!),0)</f>
        <v>0</v>
      </c>
      <c r="V1068" s="39"/>
    </row>
    <row r="1069" spans="1:22" x14ac:dyDescent="0.35">
      <c r="A1069" s="3" t="s">
        <v>5126</v>
      </c>
      <c r="B1069" s="42" t="s">
        <v>5058</v>
      </c>
      <c r="C1069" s="3" t="s">
        <v>5606</v>
      </c>
      <c r="D1069" s="3"/>
      <c r="E1069" s="3" t="s">
        <v>10</v>
      </c>
      <c r="F1069" s="2">
        <v>5</v>
      </c>
      <c r="G1069" s="2">
        <v>25</v>
      </c>
      <c r="H1069" s="3"/>
      <c r="I1069" s="21">
        <f>Table43[[#This Row],[Item Cost]]*Table43[[#This Row],[In Stock]]</f>
        <v>0</v>
      </c>
      <c r="J1069" s="12" t="s">
        <v>4932</v>
      </c>
      <c r="K1069" s="13" t="s">
        <v>4664</v>
      </c>
      <c r="L1069" s="13" t="s">
        <v>4672</v>
      </c>
      <c r="M1069" s="13" t="s">
        <v>5152</v>
      </c>
      <c r="N1069" s="12" t="s">
        <v>4672</v>
      </c>
      <c r="O1069" s="17" t="str">
        <f>IF(LEN(COUNTIFS($J$1:J1069,$J1069,$K$1:K1069,$K1069,$L$1:L1069,$L1069,$M$1:M1069,M1069,$N$1:N1069,N1069))=1,"00"&amp;COUNTIFS($J$1:J1069,$J1069,$K$1:K1069,$K1069,$L$1:L1069,$L1069,$M$1:M1069,M1069,$N$1:N1069,N1069),IF(LEN(COUNTIFS($J$1:J1069,$J1069,$K$1:K1069,$K1069,$L$1:L1069,$L1069,$M$1:M1069,M1069,$N$1:N1069,N1069))=2,"0"&amp;COUNTIFS($J$1:J1069,$J1069,$K$1:K1069,$K1069,$L$1:L1069,$L1069,$M$1:M1069,M1069,$N$1:N1069,N1069),COUNTIFS($J$1:J1069,$J1069,$K$1:K1069,$K1069,$L$1:L1069,$L1069,$M$1:M1069,M1069,$N$1:N1069,N1069)))</f>
        <v>060</v>
      </c>
      <c r="P106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ES-CS-000-33-00060-INV</v>
      </c>
      <c r="Q1069" s="34"/>
      <c r="R1069" s="34" t="s">
        <v>6762</v>
      </c>
      <c r="S1069" s="34" t="s">
        <v>5058</v>
      </c>
      <c r="T1069" s="34">
        <f>+IFERROR(_xlfn.XLOOKUP(Table43[[#This Row],[Column1]],#REF!,#REF!),0)</f>
        <v>0</v>
      </c>
      <c r="U1069" s="50">
        <f>IFERROR(_xlfn.XLOOKUP(Table43[[#This Row],[Column1]],#REF!,#REF!),0)</f>
        <v>0</v>
      </c>
      <c r="V1069" s="39"/>
    </row>
    <row r="1070" spans="1:22" x14ac:dyDescent="0.35">
      <c r="A1070" s="3" t="s">
        <v>5127</v>
      </c>
      <c r="B1070" s="42" t="s">
        <v>5059</v>
      </c>
      <c r="C1070" s="3" t="s">
        <v>5606</v>
      </c>
      <c r="D1070" s="3"/>
      <c r="E1070" s="3" t="s">
        <v>10</v>
      </c>
      <c r="F1070" s="2">
        <v>5</v>
      </c>
      <c r="G1070" s="2">
        <v>25</v>
      </c>
      <c r="H1070" s="3"/>
      <c r="I1070" s="21">
        <f>Table43[[#This Row],[Item Cost]]*Table43[[#This Row],[In Stock]]</f>
        <v>0</v>
      </c>
      <c r="J1070" s="12" t="s">
        <v>4932</v>
      </c>
      <c r="K1070" s="13" t="s">
        <v>4664</v>
      </c>
      <c r="L1070" s="13" t="s">
        <v>4672</v>
      </c>
      <c r="M1070" s="13" t="s">
        <v>5152</v>
      </c>
      <c r="N1070" s="12" t="s">
        <v>4672</v>
      </c>
      <c r="O1070" s="17" t="str">
        <f>IF(LEN(COUNTIFS($J$1:J1070,$J1070,$K$1:K1070,$K1070,$L$1:L1070,$L1070,$M$1:M1070,M1070,$N$1:N1070,N1070))=1,"00"&amp;COUNTIFS($J$1:J1070,$J1070,$K$1:K1070,$K1070,$L$1:L1070,$L1070,$M$1:M1070,M1070,$N$1:N1070,N1070),IF(LEN(COUNTIFS($J$1:J1070,$J1070,$K$1:K1070,$K1070,$L$1:L1070,$L1070,$M$1:M1070,M1070,$N$1:N1070,N1070))=2,"0"&amp;COUNTIFS($J$1:J1070,$J1070,$K$1:K1070,$K1070,$L$1:L1070,$L1070,$M$1:M1070,M1070,$N$1:N1070,N1070),COUNTIFS($J$1:J1070,$J1070,$K$1:K1070,$K1070,$L$1:L1070,$L1070,$M$1:M1070,M1070,$N$1:N1070,N1070)))</f>
        <v>061</v>
      </c>
      <c r="P107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ES-CS-000-33-00061-INV</v>
      </c>
      <c r="Q1070" s="34"/>
      <c r="R1070" s="34" t="s">
        <v>6763</v>
      </c>
      <c r="S1070" s="34" t="s">
        <v>5059</v>
      </c>
      <c r="T1070" s="34">
        <f>+IFERROR(_xlfn.XLOOKUP(Table43[[#This Row],[Column1]],#REF!,#REF!),0)</f>
        <v>0</v>
      </c>
      <c r="U1070" s="50">
        <f>IFERROR(_xlfn.XLOOKUP(Table43[[#This Row],[Column1]],#REF!,#REF!),0)</f>
        <v>0</v>
      </c>
      <c r="V1070" s="39"/>
    </row>
    <row r="1071" spans="1:22" x14ac:dyDescent="0.35">
      <c r="A1071" s="3" t="s">
        <v>5128</v>
      </c>
      <c r="B1071" s="42" t="s">
        <v>5060</v>
      </c>
      <c r="C1071" s="3" t="s">
        <v>5606</v>
      </c>
      <c r="D1071" s="3"/>
      <c r="E1071" s="3" t="s">
        <v>10</v>
      </c>
      <c r="F1071" s="2">
        <v>5</v>
      </c>
      <c r="G1071" s="2">
        <v>25</v>
      </c>
      <c r="H1071" s="3"/>
      <c r="I1071" s="21">
        <f>Table43[[#This Row],[Item Cost]]*Table43[[#This Row],[In Stock]]</f>
        <v>0</v>
      </c>
      <c r="J1071" s="12" t="s">
        <v>4932</v>
      </c>
      <c r="K1071" s="13" t="s">
        <v>4664</v>
      </c>
      <c r="L1071" s="13" t="s">
        <v>4672</v>
      </c>
      <c r="M1071" s="13" t="s">
        <v>5152</v>
      </c>
      <c r="N1071" s="12" t="s">
        <v>4672</v>
      </c>
      <c r="O1071" s="17" t="str">
        <f>IF(LEN(COUNTIFS($J$1:J1071,$J1071,$K$1:K1071,$K1071,$L$1:L1071,$L1071,$M$1:M1071,M1071,$N$1:N1071,N1071))=1,"00"&amp;COUNTIFS($J$1:J1071,$J1071,$K$1:K1071,$K1071,$L$1:L1071,$L1071,$M$1:M1071,M1071,$N$1:N1071,N1071),IF(LEN(COUNTIFS($J$1:J1071,$J1071,$K$1:K1071,$K1071,$L$1:L1071,$L1071,$M$1:M1071,M1071,$N$1:N1071,N1071))=2,"0"&amp;COUNTIFS($J$1:J1071,$J1071,$K$1:K1071,$K1071,$L$1:L1071,$L1071,$M$1:M1071,M1071,$N$1:N1071,N1071),COUNTIFS($J$1:J1071,$J1071,$K$1:K1071,$K1071,$L$1:L1071,$L1071,$M$1:M1071,M1071,$N$1:N1071,N1071)))</f>
        <v>062</v>
      </c>
      <c r="P107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ES-CS-000-33-00062-INV</v>
      </c>
      <c r="Q1071" s="34"/>
      <c r="R1071" s="34" t="s">
        <v>6764</v>
      </c>
      <c r="S1071" s="34" t="s">
        <v>5060</v>
      </c>
      <c r="T1071" s="34">
        <f>+IFERROR(_xlfn.XLOOKUP(Table43[[#This Row],[Column1]],#REF!,#REF!),0)</f>
        <v>0</v>
      </c>
      <c r="U1071" s="50">
        <f>IFERROR(_xlfn.XLOOKUP(Table43[[#This Row],[Column1]],#REF!,#REF!),0)</f>
        <v>0</v>
      </c>
      <c r="V1071" s="39"/>
    </row>
    <row r="1072" spans="1:22" x14ac:dyDescent="0.35">
      <c r="A1072" s="3" t="s">
        <v>5129</v>
      </c>
      <c r="B1072" s="42" t="s">
        <v>5061</v>
      </c>
      <c r="C1072" s="3" t="s">
        <v>5606</v>
      </c>
      <c r="D1072" s="3"/>
      <c r="E1072" s="3" t="s">
        <v>10</v>
      </c>
      <c r="F1072" s="2">
        <v>5</v>
      </c>
      <c r="G1072" s="2">
        <v>25</v>
      </c>
      <c r="H1072" s="3"/>
      <c r="I1072" s="21">
        <f>Table43[[#This Row],[Item Cost]]*Table43[[#This Row],[In Stock]]</f>
        <v>0</v>
      </c>
      <c r="J1072" s="12" t="s">
        <v>4932</v>
      </c>
      <c r="K1072" s="13" t="s">
        <v>4664</v>
      </c>
      <c r="L1072" s="13" t="s">
        <v>4672</v>
      </c>
      <c r="M1072" s="13" t="s">
        <v>5152</v>
      </c>
      <c r="N1072" s="12" t="s">
        <v>4672</v>
      </c>
      <c r="O1072" s="17" t="str">
        <f>IF(LEN(COUNTIFS($J$1:J1072,$J1072,$K$1:K1072,$K1072,$L$1:L1072,$L1072,$M$1:M1072,M1072,$N$1:N1072,N1072))=1,"00"&amp;COUNTIFS($J$1:J1072,$J1072,$K$1:K1072,$K1072,$L$1:L1072,$L1072,$M$1:M1072,M1072,$N$1:N1072,N1072),IF(LEN(COUNTIFS($J$1:J1072,$J1072,$K$1:K1072,$K1072,$L$1:L1072,$L1072,$M$1:M1072,M1072,$N$1:N1072,N1072))=2,"0"&amp;COUNTIFS($J$1:J1072,$J1072,$K$1:K1072,$K1072,$L$1:L1072,$L1072,$M$1:M1072,M1072,$N$1:N1072,N1072),COUNTIFS($J$1:J1072,$J1072,$K$1:K1072,$K1072,$L$1:L1072,$L1072,$M$1:M1072,M1072,$N$1:N1072,N1072)))</f>
        <v>063</v>
      </c>
      <c r="P107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ES-CS-000-33-00063-INV</v>
      </c>
      <c r="Q1072" s="34"/>
      <c r="R1072" s="34" t="s">
        <v>6765</v>
      </c>
      <c r="S1072" s="34" t="s">
        <v>5061</v>
      </c>
      <c r="T1072" s="34">
        <f>+IFERROR(_xlfn.XLOOKUP(Table43[[#This Row],[Column1]],#REF!,#REF!),0)</f>
        <v>0</v>
      </c>
      <c r="U1072" s="50">
        <f>IFERROR(_xlfn.XLOOKUP(Table43[[#This Row],[Column1]],#REF!,#REF!),0)</f>
        <v>0</v>
      </c>
      <c r="V1072" s="39"/>
    </row>
    <row r="1073" spans="1:22" x14ac:dyDescent="0.35">
      <c r="A1073" s="3" t="s">
        <v>5130</v>
      </c>
      <c r="B1073" s="42" t="s">
        <v>5062</v>
      </c>
      <c r="C1073" s="3" t="s">
        <v>5606</v>
      </c>
      <c r="D1073" s="3"/>
      <c r="E1073" s="3" t="s">
        <v>10</v>
      </c>
      <c r="F1073" s="2">
        <v>5</v>
      </c>
      <c r="G1073" s="2">
        <v>25</v>
      </c>
      <c r="H1073" s="3"/>
      <c r="I1073" s="21">
        <f>Table43[[#This Row],[Item Cost]]*Table43[[#This Row],[In Stock]]</f>
        <v>0</v>
      </c>
      <c r="J1073" s="12" t="s">
        <v>4932</v>
      </c>
      <c r="K1073" s="13" t="s">
        <v>4664</v>
      </c>
      <c r="L1073" s="13" t="s">
        <v>4672</v>
      </c>
      <c r="M1073" s="13" t="s">
        <v>5152</v>
      </c>
      <c r="N1073" s="12" t="s">
        <v>4672</v>
      </c>
      <c r="O1073" s="17" t="str">
        <f>IF(LEN(COUNTIFS($J$1:J1073,$J1073,$K$1:K1073,$K1073,$L$1:L1073,$L1073,$M$1:M1073,M1073,$N$1:N1073,N1073))=1,"00"&amp;COUNTIFS($J$1:J1073,$J1073,$K$1:K1073,$K1073,$L$1:L1073,$L1073,$M$1:M1073,M1073,$N$1:N1073,N1073),IF(LEN(COUNTIFS($J$1:J1073,$J1073,$K$1:K1073,$K1073,$L$1:L1073,$L1073,$M$1:M1073,M1073,$N$1:N1073,N1073))=2,"0"&amp;COUNTIFS($J$1:J1073,$J1073,$K$1:K1073,$K1073,$L$1:L1073,$L1073,$M$1:M1073,M1073,$N$1:N1073,N1073),COUNTIFS($J$1:J1073,$J1073,$K$1:K1073,$K1073,$L$1:L1073,$L1073,$M$1:M1073,M1073,$N$1:N1073,N1073)))</f>
        <v>064</v>
      </c>
      <c r="P107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ES-CS-000-33-00064-INV</v>
      </c>
      <c r="Q1073" s="34"/>
      <c r="R1073" s="34" t="s">
        <v>6766</v>
      </c>
      <c r="S1073" s="34" t="s">
        <v>5062</v>
      </c>
      <c r="T1073" s="34">
        <f>+IFERROR(_xlfn.XLOOKUP(Table43[[#This Row],[Column1]],#REF!,#REF!),0)</f>
        <v>0</v>
      </c>
      <c r="U1073" s="50">
        <f>IFERROR(_xlfn.XLOOKUP(Table43[[#This Row],[Column1]],#REF!,#REF!),0)</f>
        <v>0</v>
      </c>
      <c r="V1073" s="39"/>
    </row>
    <row r="1074" spans="1:22" x14ac:dyDescent="0.35">
      <c r="A1074" s="3" t="s">
        <v>5131</v>
      </c>
      <c r="B1074" s="42" t="s">
        <v>5063</v>
      </c>
      <c r="C1074" s="3" t="s">
        <v>5606</v>
      </c>
      <c r="D1074" s="3"/>
      <c r="E1074" s="3" t="s">
        <v>10</v>
      </c>
      <c r="F1074" s="2">
        <v>5</v>
      </c>
      <c r="G1074" s="2">
        <v>25</v>
      </c>
      <c r="H1074" s="3"/>
      <c r="I1074" s="21">
        <f>Table43[[#This Row],[Item Cost]]*Table43[[#This Row],[In Stock]]</f>
        <v>0</v>
      </c>
      <c r="J1074" s="12" t="s">
        <v>4932</v>
      </c>
      <c r="K1074" s="13" t="s">
        <v>4664</v>
      </c>
      <c r="L1074" s="13" t="s">
        <v>4672</v>
      </c>
      <c r="M1074" s="13" t="s">
        <v>5152</v>
      </c>
      <c r="N1074" s="12" t="s">
        <v>4672</v>
      </c>
      <c r="O1074" s="17" t="str">
        <f>IF(LEN(COUNTIFS($J$1:J1074,$J1074,$K$1:K1074,$K1074,$L$1:L1074,$L1074,$M$1:M1074,M1074,$N$1:N1074,N1074))=1,"00"&amp;COUNTIFS($J$1:J1074,$J1074,$K$1:K1074,$K1074,$L$1:L1074,$L1074,$M$1:M1074,M1074,$N$1:N1074,N1074),IF(LEN(COUNTIFS($J$1:J1074,$J1074,$K$1:K1074,$K1074,$L$1:L1074,$L1074,$M$1:M1074,M1074,$N$1:N1074,N1074))=2,"0"&amp;COUNTIFS($J$1:J1074,$J1074,$K$1:K1074,$K1074,$L$1:L1074,$L1074,$M$1:M1074,M1074,$N$1:N1074,N1074),COUNTIFS($J$1:J1074,$J1074,$K$1:K1074,$K1074,$L$1:L1074,$L1074,$M$1:M1074,M1074,$N$1:N1074,N1074)))</f>
        <v>065</v>
      </c>
      <c r="P107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ES-CS-000-33-00065-INV</v>
      </c>
      <c r="Q1074" s="34"/>
      <c r="R1074" s="34" t="s">
        <v>6767</v>
      </c>
      <c r="S1074" s="34" t="s">
        <v>5063</v>
      </c>
      <c r="T1074" s="34">
        <f>+IFERROR(_xlfn.XLOOKUP(Table43[[#This Row],[Column1]],#REF!,#REF!),0)</f>
        <v>0</v>
      </c>
      <c r="U1074" s="50">
        <f>IFERROR(_xlfn.XLOOKUP(Table43[[#This Row],[Column1]],#REF!,#REF!),0)</f>
        <v>0</v>
      </c>
      <c r="V1074" s="39"/>
    </row>
    <row r="1075" spans="1:22" x14ac:dyDescent="0.35">
      <c r="A1075" s="3" t="s">
        <v>5132</v>
      </c>
      <c r="B1075" s="43" t="s">
        <v>5064</v>
      </c>
      <c r="C1075" s="3" t="s">
        <v>5606</v>
      </c>
      <c r="D1075" s="3"/>
      <c r="E1075" s="3" t="s">
        <v>10</v>
      </c>
      <c r="F1075" s="2">
        <v>5</v>
      </c>
      <c r="G1075" s="2">
        <v>25</v>
      </c>
      <c r="H1075" s="3"/>
      <c r="I1075" s="21">
        <f>Table43[[#This Row],[Item Cost]]*Table43[[#This Row],[In Stock]]</f>
        <v>0</v>
      </c>
      <c r="J1075" s="12" t="s">
        <v>4932</v>
      </c>
      <c r="K1075" s="13" t="s">
        <v>4664</v>
      </c>
      <c r="L1075" s="13" t="s">
        <v>4672</v>
      </c>
      <c r="M1075" s="13" t="s">
        <v>5152</v>
      </c>
      <c r="N1075" s="12" t="s">
        <v>4672</v>
      </c>
      <c r="O1075" s="17" t="str">
        <f>IF(LEN(COUNTIFS($J$1:J1075,$J1075,$K$1:K1075,$K1075,$L$1:L1075,$L1075,$M$1:M1075,M1075,$N$1:N1075,N1075))=1,"00"&amp;COUNTIFS($J$1:J1075,$J1075,$K$1:K1075,$K1075,$L$1:L1075,$L1075,$M$1:M1075,M1075,$N$1:N1075,N1075),IF(LEN(COUNTIFS($J$1:J1075,$J1075,$K$1:K1075,$K1075,$L$1:L1075,$L1075,$M$1:M1075,M1075,$N$1:N1075,N1075))=2,"0"&amp;COUNTIFS($J$1:J1075,$J1075,$K$1:K1075,$K1075,$L$1:L1075,$L1075,$M$1:M1075,M1075,$N$1:N1075,N1075),COUNTIFS($J$1:J1075,$J1075,$K$1:K1075,$K1075,$L$1:L1075,$L1075,$M$1:M1075,M1075,$N$1:N1075,N1075)))</f>
        <v>066</v>
      </c>
      <c r="P107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ES-CS-000-33-00066-INV</v>
      </c>
      <c r="Q1075" s="34"/>
      <c r="R1075" s="34"/>
      <c r="S1075" s="34">
        <v>0</v>
      </c>
      <c r="T1075" s="34">
        <f>+IFERROR(_xlfn.XLOOKUP(Table43[[#This Row],[Column1]],#REF!,#REF!),0)</f>
        <v>0</v>
      </c>
      <c r="U1075" s="50">
        <f>IFERROR(_xlfn.XLOOKUP(Table43[[#This Row],[Column1]],#REF!,#REF!),0)</f>
        <v>0</v>
      </c>
      <c r="V1075" s="39"/>
    </row>
    <row r="1076" spans="1:22" x14ac:dyDescent="0.35">
      <c r="A1076" s="3" t="s">
        <v>5133</v>
      </c>
      <c r="B1076" s="43" t="s">
        <v>5065</v>
      </c>
      <c r="C1076" s="3" t="s">
        <v>5606</v>
      </c>
      <c r="D1076" s="3"/>
      <c r="E1076" s="3" t="s">
        <v>10</v>
      </c>
      <c r="F1076" s="2">
        <v>5</v>
      </c>
      <c r="G1076" s="2">
        <v>25</v>
      </c>
      <c r="H1076" s="3"/>
      <c r="I1076" s="21">
        <f>Table43[[#This Row],[Item Cost]]*Table43[[#This Row],[In Stock]]</f>
        <v>0</v>
      </c>
      <c r="J1076" s="12" t="s">
        <v>4932</v>
      </c>
      <c r="K1076" s="13" t="s">
        <v>4664</v>
      </c>
      <c r="L1076" s="13" t="s">
        <v>4672</v>
      </c>
      <c r="M1076" s="13" t="s">
        <v>5152</v>
      </c>
      <c r="N1076" s="12" t="s">
        <v>4672</v>
      </c>
      <c r="O1076" s="17" t="str">
        <f>IF(LEN(COUNTIFS($J$1:J1076,$J1076,$K$1:K1076,$K1076,$L$1:L1076,$L1076,$M$1:M1076,M1076,$N$1:N1076,N1076))=1,"00"&amp;COUNTIFS($J$1:J1076,$J1076,$K$1:K1076,$K1076,$L$1:L1076,$L1076,$M$1:M1076,M1076,$N$1:N1076,N1076),IF(LEN(COUNTIFS($J$1:J1076,$J1076,$K$1:K1076,$K1076,$L$1:L1076,$L1076,$M$1:M1076,M1076,$N$1:N1076,N1076))=2,"0"&amp;COUNTIFS($J$1:J1076,$J1076,$K$1:K1076,$K1076,$L$1:L1076,$L1076,$M$1:M1076,M1076,$N$1:N1076,N1076),COUNTIFS($J$1:J1076,$J1076,$K$1:K1076,$K1076,$L$1:L1076,$L1076,$M$1:M1076,M1076,$N$1:N1076,N1076)))</f>
        <v>067</v>
      </c>
      <c r="P107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ES-CS-000-33-00067-INV</v>
      </c>
      <c r="Q1076" s="34"/>
      <c r="R1076" s="34"/>
      <c r="S1076" s="34">
        <v>0</v>
      </c>
      <c r="T1076" s="34">
        <f>+IFERROR(_xlfn.XLOOKUP(Table43[[#This Row],[Column1]],#REF!,#REF!),0)</f>
        <v>0</v>
      </c>
      <c r="U1076" s="50">
        <f>IFERROR(_xlfn.XLOOKUP(Table43[[#This Row],[Column1]],#REF!,#REF!),0)</f>
        <v>0</v>
      </c>
      <c r="V1076" s="39"/>
    </row>
    <row r="1077" spans="1:22" x14ac:dyDescent="0.35">
      <c r="A1077" s="3" t="s">
        <v>7278</v>
      </c>
      <c r="B1077" s="3" t="s">
        <v>7279</v>
      </c>
      <c r="C1077" s="3" t="s">
        <v>5606</v>
      </c>
      <c r="D1077" s="3"/>
      <c r="E1077" s="3" t="s">
        <v>10</v>
      </c>
      <c r="F1077" s="2">
        <v>5</v>
      </c>
      <c r="G1077" s="2">
        <v>25</v>
      </c>
      <c r="H1077" s="3"/>
      <c r="I1077" s="21">
        <f>Table43[[#This Row],[Item Cost]]*Table43[[#This Row],[In Stock]]</f>
        <v>0</v>
      </c>
      <c r="J1077" s="12" t="s">
        <v>4932</v>
      </c>
      <c r="K1077" s="13" t="s">
        <v>4664</v>
      </c>
      <c r="L1077" s="13" t="s">
        <v>4672</v>
      </c>
      <c r="M1077" s="13" t="s">
        <v>5152</v>
      </c>
      <c r="N1077" s="12" t="s">
        <v>4672</v>
      </c>
      <c r="O1077" s="17" t="str">
        <f>IF(LEN(COUNTIFS($J$1:J1077,$J1077,$K$1:K1077,$K1077,$L$1:L1077,$L1077,$M$1:M1077,M1077,$N$1:N1077,N1077))=1,"00"&amp;COUNTIFS($J$1:J1077,$J1077,$K$1:K1077,$K1077,$L$1:L1077,$L1077,$M$1:M1077,M1077,$N$1:N1077,N1077),IF(LEN(COUNTIFS($J$1:J1077,$J1077,$K$1:K1077,$K1077,$L$1:L1077,$L1077,$M$1:M1077,M1077,$N$1:N1077,N1077))=2,"0"&amp;COUNTIFS($J$1:J1077,$J1077,$K$1:K1077,$K1077,$L$1:L1077,$L1077,$M$1:M1077,M1077,$N$1:N1077,N1077),COUNTIFS($J$1:J1077,$J1077,$K$1:K1077,$K1077,$L$1:L1077,$L1077,$M$1:M1077,M1077,$N$1:N1077,N1077)))</f>
        <v>068</v>
      </c>
      <c r="P107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ES-CS-000-33-00068-INV</v>
      </c>
      <c r="Q1077" s="34"/>
      <c r="R1077" s="34"/>
      <c r="S1077" s="34"/>
      <c r="T1077" s="34">
        <f>+IFERROR(_xlfn.XLOOKUP(Table43[[#This Row],[Column1]],#REF!,#REF!),0)</f>
        <v>0</v>
      </c>
      <c r="U1077" s="51">
        <f>IFERROR(_xlfn.XLOOKUP(Table43[[#This Row],[Column1]],#REF!,#REF!),0)</f>
        <v>0</v>
      </c>
      <c r="V1077" s="39"/>
    </row>
    <row r="1078" spans="1:22" x14ac:dyDescent="0.35">
      <c r="A1078" s="3" t="s">
        <v>7306</v>
      </c>
      <c r="B1078" s="3" t="s">
        <v>7307</v>
      </c>
      <c r="C1078" s="3" t="s">
        <v>5606</v>
      </c>
      <c r="D1078" s="3"/>
      <c r="E1078" s="3" t="s">
        <v>10</v>
      </c>
      <c r="F1078" s="2">
        <v>5</v>
      </c>
      <c r="G1078" s="2">
        <v>25</v>
      </c>
      <c r="H1078" s="3"/>
      <c r="I1078" s="21">
        <f>Table43[[#This Row],[Item Cost]]*Table43[[#This Row],[In Stock]]</f>
        <v>0</v>
      </c>
      <c r="J1078" s="12" t="s">
        <v>4932</v>
      </c>
      <c r="K1078" s="13" t="s">
        <v>4664</v>
      </c>
      <c r="L1078" s="13" t="s">
        <v>4672</v>
      </c>
      <c r="M1078" s="13" t="s">
        <v>5152</v>
      </c>
      <c r="N1078" s="12" t="s">
        <v>4672</v>
      </c>
      <c r="O1078" s="17" t="str">
        <f>IF(LEN(COUNTIFS($J$1:J1078,$J1078,$K$1:K1078,$K1078,$L$1:L1078,$L1078,$M$1:M1078,M1078,$N$1:N1078,N1078))=1,"00"&amp;COUNTIFS($J$1:J1078,$J1078,$K$1:K1078,$K1078,$L$1:L1078,$L1078,$M$1:M1078,M1078,$N$1:N1078,N1078),IF(LEN(COUNTIFS($J$1:J1078,$J1078,$K$1:K1078,$K1078,$L$1:L1078,$L1078,$M$1:M1078,M1078,$N$1:N1078,N1078))=2,"0"&amp;COUNTIFS($J$1:J1078,$J1078,$K$1:K1078,$K1078,$L$1:L1078,$L1078,$M$1:M1078,M1078,$N$1:N1078,N1078),COUNTIFS($J$1:J1078,$J1078,$K$1:K1078,$K1078,$L$1:L1078,$L1078,$M$1:M1078,M1078,$N$1:N1078,N1078)))</f>
        <v>069</v>
      </c>
      <c r="P107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ES-CS-000-33-00069-INV</v>
      </c>
      <c r="Q1078" s="34"/>
      <c r="R1078" s="34"/>
      <c r="S1078" s="34"/>
      <c r="T1078" s="34">
        <f>+IFERROR(_xlfn.XLOOKUP(Table43[[#This Row],[Column1]],#REF!,#REF!),0)</f>
        <v>0</v>
      </c>
      <c r="U1078" s="51">
        <f>IFERROR(_xlfn.XLOOKUP(Table43[[#This Row],[Column1]],#REF!,#REF!),0)</f>
        <v>0</v>
      </c>
      <c r="V1078" s="39"/>
    </row>
    <row r="1079" spans="1:22" x14ac:dyDescent="0.35">
      <c r="A1079" s="3" t="s">
        <v>7316</v>
      </c>
      <c r="B1079" s="52" t="s">
        <v>7317</v>
      </c>
      <c r="C1079" s="3" t="s">
        <v>5606</v>
      </c>
      <c r="D1079" s="3"/>
      <c r="E1079" s="3" t="s">
        <v>10</v>
      </c>
      <c r="F1079" s="2">
        <v>5</v>
      </c>
      <c r="G1079" s="2">
        <v>25</v>
      </c>
      <c r="H1079" s="3"/>
      <c r="I1079" s="21">
        <f>Table43[[#This Row],[Item Cost]]*Table43[[#This Row],[In Stock]]</f>
        <v>0</v>
      </c>
      <c r="J1079" s="12" t="s">
        <v>4932</v>
      </c>
      <c r="K1079" s="13" t="s">
        <v>4664</v>
      </c>
      <c r="L1079" s="13" t="s">
        <v>4672</v>
      </c>
      <c r="M1079" s="13" t="s">
        <v>5152</v>
      </c>
      <c r="N1079" s="12" t="s">
        <v>4672</v>
      </c>
      <c r="O1079" s="17" t="str">
        <f>IF(LEN(COUNTIFS($J$1:J1081,$J1079,$K$1:K1081,$K1079,$L$1:L1081,$L1079,$M$1:M1081,M1079,$N$1:N1081,N1079))=1,"00"&amp;COUNTIFS($J$1:J1081,$J1079,$K$1:K1081,$K1079,$L$1:L1081,$L1079,$M$1:M1081,M1079,$N$1:N1081,N1079),IF(LEN(COUNTIFS($J$1:J1081,$J1079,$K$1:K1081,$K1079,$L$1:L1081,$L1079,$M$1:M1081,M1079,$N$1:N1081,N1079))=2,"0"&amp;COUNTIFS($J$1:J1081,$J1079,$K$1:K1081,$K1079,$L$1:L1081,$L1079,$M$1:M1081,M1079,$N$1:N1081,N1079),COUNTIFS($J$1:J1081,$J1079,$K$1:K1081,$K1079,$L$1:L1081,$L1079,$M$1:M1081,M1079,$N$1:N1081,N1079)))</f>
        <v>070</v>
      </c>
      <c r="P107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ES-CS-000-33-00070-INV</v>
      </c>
      <c r="Q1079" s="34"/>
      <c r="R1079" s="34"/>
      <c r="S1079" s="34"/>
      <c r="T1079" s="34">
        <f>+IFERROR(_xlfn.XLOOKUP(Table43[[#This Row],[Column1]],#REF!,#REF!),0)</f>
        <v>0</v>
      </c>
      <c r="U1079" s="51">
        <f>IFERROR(_xlfn.XLOOKUP(Table43[[#This Row],[Column1]],#REF!,#REF!),0)</f>
        <v>0</v>
      </c>
      <c r="V1079" s="39"/>
    </row>
    <row r="1080" spans="1:22" x14ac:dyDescent="0.35">
      <c r="A1080" s="3" t="s">
        <v>5471</v>
      </c>
      <c r="B1080" s="3" t="s">
        <v>3400</v>
      </c>
      <c r="C1080" s="3" t="s">
        <v>15</v>
      </c>
      <c r="D1080" s="3">
        <v>120.83</v>
      </c>
      <c r="E1080" s="3" t="s">
        <v>10</v>
      </c>
      <c r="F1080" s="3">
        <v>0</v>
      </c>
      <c r="G1080" s="3">
        <v>100</v>
      </c>
      <c r="H1080" s="3">
        <v>0</v>
      </c>
      <c r="I1080" s="21">
        <f>Table43[[#This Row],[Item Cost]]*Table43[[#This Row],[In Stock]]</f>
        <v>0</v>
      </c>
      <c r="J1080" s="12" t="s">
        <v>4941</v>
      </c>
      <c r="K1080" s="13" t="s">
        <v>4666</v>
      </c>
      <c r="L1080" s="13" t="s">
        <v>4753</v>
      </c>
      <c r="M1080" s="13" t="s">
        <v>4859</v>
      </c>
      <c r="N1080" s="12" t="s">
        <v>4672</v>
      </c>
      <c r="O1080" s="17" t="str">
        <f>IF(LEN(COUNTIFS($J$1:J1080,$J1080,$K$1:K1080,$K1080,$L$1:L1080,$L1080,$M$1:M1080,M1080,$N$1:N1080,N1080))=1,"00"&amp;COUNTIFS($J$1:J1080,$J1080,$K$1:K1080,$K1080,$L$1:L1080,$L1080,$M$1:M1080,M1080,$N$1:N1080,N1080),IF(LEN(COUNTIFS($J$1:J1080,$J1080,$K$1:K1080,$K1080,$L$1:L1080,$L1080,$M$1:M1080,M1080,$N$1:N1080,N1080))=2,"0"&amp;COUNTIFS($J$1:J1080,$J1080,$K$1:K1080,$K1080,$L$1:L1080,$L1080,$M$1:M1080,M1080,$N$1:N1080,N1080),COUNTIFS($J$1:J1080,$J1080,$K$1:K1080,$K1080,$L$1:L1080,$L1080,$M$1:M1080,M1080,$N$1:N1080,N1080)))</f>
        <v>001</v>
      </c>
      <c r="P108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MS-NS-023-30-00001-INV</v>
      </c>
      <c r="Q1080" s="59" t="s">
        <v>7380</v>
      </c>
      <c r="R1080" s="34"/>
      <c r="S1080" s="34">
        <v>0</v>
      </c>
      <c r="T1080" s="34">
        <f>+IFERROR(_xlfn.XLOOKUP(Table43[[#This Row],[Column1]],#REF!,#REF!),0)</f>
        <v>0</v>
      </c>
      <c r="U1080" s="50">
        <f>IFERROR(_xlfn.XLOOKUP(Table43[[#This Row],[Column1]],#REF!,#REF!),0)</f>
        <v>0</v>
      </c>
      <c r="V1080" s="39"/>
    </row>
    <row r="1081" spans="1:22" x14ac:dyDescent="0.35">
      <c r="A1081" s="3" t="s">
        <v>5472</v>
      </c>
      <c r="B1081" s="3" t="s">
        <v>3451</v>
      </c>
      <c r="C1081" s="3" t="s">
        <v>15</v>
      </c>
      <c r="D1081" s="3">
        <v>6</v>
      </c>
      <c r="E1081" s="3" t="s">
        <v>10</v>
      </c>
      <c r="F1081" s="3">
        <v>5</v>
      </c>
      <c r="G1081" s="3">
        <v>25</v>
      </c>
      <c r="H1081" s="3">
        <v>3</v>
      </c>
      <c r="I1081" s="21">
        <f>Table43[[#This Row],[Item Cost]]*Table43[[#This Row],[In Stock]]</f>
        <v>18</v>
      </c>
      <c r="J1081" s="12" t="s">
        <v>4941</v>
      </c>
      <c r="K1081" s="13" t="s">
        <v>4666</v>
      </c>
      <c r="L1081" s="13" t="s">
        <v>4753</v>
      </c>
      <c r="M1081" s="13" t="s">
        <v>4834</v>
      </c>
      <c r="N1081" s="12" t="s">
        <v>4672</v>
      </c>
      <c r="O1081" s="17" t="str">
        <f>IF(LEN(COUNTIFS($J$1:J1081,$J1081,$K$1:K1081,$K1081,$L$1:L1081,$L1081,$M$1:M1081,M1081,$N$1:N1081,N1081))=1,"00"&amp;COUNTIFS($J$1:J1081,$J1081,$K$1:K1081,$K1081,$L$1:L1081,$L1081,$M$1:M1081,M1081,$N$1:N1081,N1081),IF(LEN(COUNTIFS($J$1:J1081,$J1081,$K$1:K1081,$K1081,$L$1:L1081,$L1081,$M$1:M1081,M1081,$N$1:N1081,N1081))=2,"0"&amp;COUNTIFS($J$1:J1081,$J1081,$K$1:K1081,$K1081,$L$1:L1081,$L1081,$M$1:M1081,M1081,$N$1:N1081,N1081),COUNTIFS($J$1:J1081,$J1081,$K$1:K1081,$K1081,$L$1:L1081,$L1081,$M$1:M1081,M1081,$N$1:N1081,N1081)))</f>
        <v>001</v>
      </c>
      <c r="P108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MS-NS-023-17-00001-INV</v>
      </c>
      <c r="Q1081" s="59"/>
      <c r="R1081" s="34" t="s">
        <v>6768</v>
      </c>
      <c r="S1081" s="34" t="s">
        <v>3451</v>
      </c>
      <c r="T1081" s="34">
        <f>+IFERROR(_xlfn.XLOOKUP(Table43[[#This Row],[Column1]],#REF!,#REF!),0)</f>
        <v>0</v>
      </c>
      <c r="U1081" s="50">
        <f>IFERROR(_xlfn.XLOOKUP(Table43[[#This Row],[Column1]],#REF!,#REF!),0)</f>
        <v>0</v>
      </c>
      <c r="V1081" s="39"/>
    </row>
    <row r="1082" spans="1:22" x14ac:dyDescent="0.35">
      <c r="A1082" s="3" t="s">
        <v>5473</v>
      </c>
      <c r="B1082" s="2" t="s">
        <v>3453</v>
      </c>
      <c r="C1082" s="2" t="s">
        <v>15</v>
      </c>
      <c r="D1082" s="2">
        <v>9</v>
      </c>
      <c r="E1082" s="2" t="s">
        <v>10</v>
      </c>
      <c r="F1082" s="3">
        <v>5</v>
      </c>
      <c r="G1082" s="3">
        <v>25</v>
      </c>
      <c r="H1082" s="2">
        <v>5</v>
      </c>
      <c r="I1082" s="22">
        <f>Table43[[#This Row],[Item Cost]]*Table43[[#This Row],[In Stock]]</f>
        <v>45</v>
      </c>
      <c r="J1082" s="12" t="s">
        <v>4941</v>
      </c>
      <c r="K1082" s="13" t="s">
        <v>4666</v>
      </c>
      <c r="L1082" s="13" t="s">
        <v>4753</v>
      </c>
      <c r="M1082" s="13" t="s">
        <v>4834</v>
      </c>
      <c r="N1082" s="12" t="s">
        <v>4672</v>
      </c>
      <c r="O1082" s="17" t="str">
        <f>IF(LEN(COUNTIFS($J$1:J1082,$J1082,$K$1:K1082,$K1082,$L$1:L1082,$L1082,$M$1:M1082,M1082,$N$1:N1082,N1082))=1,"00"&amp;COUNTIFS($J$1:J1082,$J1082,$K$1:K1082,$K1082,$L$1:L1082,$L1082,$M$1:M1082,M1082,$N$1:N1082,N1082),IF(LEN(COUNTIFS($J$1:J1082,$J1082,$K$1:K1082,$K1082,$L$1:L1082,$L1082,$M$1:M1082,M1082,$N$1:N1082,N1082))=2,"0"&amp;COUNTIFS($J$1:J1082,$J1082,$K$1:K1082,$K1082,$L$1:L1082,$L1082,$M$1:M1082,M1082,$N$1:N1082,N1082),COUNTIFS($J$1:J1082,$J1082,$K$1:K1082,$K1082,$L$1:L1082,$L1082,$M$1:M1082,M1082,$N$1:N1082,N1082)))</f>
        <v>002</v>
      </c>
      <c r="P108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MS-NS-023-17-00002-INV</v>
      </c>
      <c r="Q1082" s="59" t="s">
        <v>7381</v>
      </c>
      <c r="R1082" s="34" t="s">
        <v>6769</v>
      </c>
      <c r="S1082" s="34" t="s">
        <v>3453</v>
      </c>
      <c r="T1082" s="34">
        <f>+IFERROR(_xlfn.XLOOKUP(Table43[[#This Row],[Column1]],#REF!,#REF!),0)</f>
        <v>0</v>
      </c>
      <c r="U1082" s="50">
        <f>IFERROR(_xlfn.XLOOKUP(Table43[[#This Row],[Column1]],#REF!,#REF!),0)</f>
        <v>0</v>
      </c>
      <c r="V1082" s="39"/>
    </row>
    <row r="1083" spans="1:22" x14ac:dyDescent="0.35">
      <c r="A1083" s="3" t="s">
        <v>5474</v>
      </c>
      <c r="B1083" s="3" t="s">
        <v>3455</v>
      </c>
      <c r="C1083" s="3" t="s">
        <v>15</v>
      </c>
      <c r="D1083" s="3">
        <v>12</v>
      </c>
      <c r="E1083" s="3" t="s">
        <v>10</v>
      </c>
      <c r="F1083" s="3">
        <v>5</v>
      </c>
      <c r="G1083" s="3">
        <v>25</v>
      </c>
      <c r="H1083" s="3">
        <v>5</v>
      </c>
      <c r="I1083" s="21">
        <f>Table43[[#This Row],[Item Cost]]*Table43[[#This Row],[In Stock]]</f>
        <v>60</v>
      </c>
      <c r="J1083" s="12" t="s">
        <v>4941</v>
      </c>
      <c r="K1083" s="13" t="s">
        <v>4666</v>
      </c>
      <c r="L1083" s="13" t="s">
        <v>4753</v>
      </c>
      <c r="M1083" s="13" t="s">
        <v>4834</v>
      </c>
      <c r="N1083" s="12" t="s">
        <v>4672</v>
      </c>
      <c r="O1083" s="17" t="str">
        <f>IF(LEN(COUNTIFS($J$1:J1083,$J1083,$K$1:K1083,$K1083,$L$1:L1083,$L1083,$M$1:M1083,M1083,$N$1:N1083,N1083))=1,"00"&amp;COUNTIFS($J$1:J1083,$J1083,$K$1:K1083,$K1083,$L$1:L1083,$L1083,$M$1:M1083,M1083,$N$1:N1083,N1083),IF(LEN(COUNTIFS($J$1:J1083,$J1083,$K$1:K1083,$K1083,$L$1:L1083,$L1083,$M$1:M1083,M1083,$N$1:N1083,N1083))=2,"0"&amp;COUNTIFS($J$1:J1083,$J1083,$K$1:K1083,$K1083,$L$1:L1083,$L1083,$M$1:M1083,M1083,$N$1:N1083,N1083),COUNTIFS($J$1:J1083,$J1083,$K$1:K1083,$K1083,$L$1:L1083,$L1083,$M$1:M1083,M1083,$N$1:N1083,N1083)))</f>
        <v>003</v>
      </c>
      <c r="P108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MS-NS-023-17-00003-INV</v>
      </c>
      <c r="Q1083" s="59"/>
      <c r="R1083" s="34" t="s">
        <v>6770</v>
      </c>
      <c r="S1083" s="34" t="s">
        <v>3455</v>
      </c>
      <c r="T1083" s="34">
        <f>+IFERROR(_xlfn.XLOOKUP(Table43[[#This Row],[Column1]],#REF!,#REF!),0)</f>
        <v>0</v>
      </c>
      <c r="U1083" s="50">
        <f>IFERROR(_xlfn.XLOOKUP(Table43[[#This Row],[Column1]],#REF!,#REF!),0)</f>
        <v>0</v>
      </c>
      <c r="V1083" s="39"/>
    </row>
    <row r="1084" spans="1:22" x14ac:dyDescent="0.35">
      <c r="A1084" s="3" t="s">
        <v>5475</v>
      </c>
      <c r="B1084" s="2" t="s">
        <v>3457</v>
      </c>
      <c r="C1084" s="2" t="s">
        <v>15</v>
      </c>
      <c r="D1084" s="2">
        <v>6.5</v>
      </c>
      <c r="E1084" s="2" t="s">
        <v>10</v>
      </c>
      <c r="F1084" s="3">
        <v>5</v>
      </c>
      <c r="G1084" s="3">
        <v>25</v>
      </c>
      <c r="H1084" s="2">
        <v>0</v>
      </c>
      <c r="I1084" s="22">
        <f>Table43[[#This Row],[Item Cost]]*Table43[[#This Row],[In Stock]]</f>
        <v>0</v>
      </c>
      <c r="J1084" s="12" t="s">
        <v>4941</v>
      </c>
      <c r="K1084" s="13" t="s">
        <v>4666</v>
      </c>
      <c r="L1084" s="13" t="s">
        <v>4753</v>
      </c>
      <c r="M1084" s="13" t="s">
        <v>4834</v>
      </c>
      <c r="N1084" s="12" t="s">
        <v>4672</v>
      </c>
      <c r="O1084" s="17" t="str">
        <f>IF(LEN(COUNTIFS($J$1:J1084,$J1084,$K$1:K1084,$K1084,$L$1:L1084,$L1084,$M$1:M1084,M1084,$N$1:N1084,N1084))=1,"00"&amp;COUNTIFS($J$1:J1084,$J1084,$K$1:K1084,$K1084,$L$1:L1084,$L1084,$M$1:M1084,M1084,$N$1:N1084,N1084),IF(LEN(COUNTIFS($J$1:J1084,$J1084,$K$1:K1084,$K1084,$L$1:L1084,$L1084,$M$1:M1084,M1084,$N$1:N1084,N1084))=2,"0"&amp;COUNTIFS($J$1:J1084,$J1084,$K$1:K1084,$K1084,$L$1:L1084,$L1084,$M$1:M1084,M1084,$N$1:N1084,N1084),COUNTIFS($J$1:J1084,$J1084,$K$1:K1084,$K1084,$L$1:L1084,$L1084,$M$1:M1084,M1084,$N$1:N1084,N1084)))</f>
        <v>004</v>
      </c>
      <c r="P108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MS-NS-023-17-00004-INV</v>
      </c>
      <c r="Q1084" s="59"/>
      <c r="R1084" s="34" t="s">
        <v>6771</v>
      </c>
      <c r="S1084" s="34" t="s">
        <v>3457</v>
      </c>
      <c r="T1084" s="34">
        <f>+IFERROR(_xlfn.XLOOKUP(Table43[[#This Row],[Column1]],#REF!,#REF!),0)</f>
        <v>0</v>
      </c>
      <c r="U1084" s="50">
        <f>IFERROR(_xlfn.XLOOKUP(Table43[[#This Row],[Column1]],#REF!,#REF!),0)</f>
        <v>0</v>
      </c>
      <c r="V1084" s="39"/>
    </row>
    <row r="1085" spans="1:22" x14ac:dyDescent="0.35">
      <c r="A1085" s="3" t="s">
        <v>5476</v>
      </c>
      <c r="B1085" s="3" t="s">
        <v>3459</v>
      </c>
      <c r="C1085" s="3" t="s">
        <v>15</v>
      </c>
      <c r="D1085" s="3">
        <v>9</v>
      </c>
      <c r="E1085" s="3" t="s">
        <v>10</v>
      </c>
      <c r="F1085" s="3">
        <v>5</v>
      </c>
      <c r="G1085" s="3">
        <v>25</v>
      </c>
      <c r="H1085" s="3">
        <v>4</v>
      </c>
      <c r="I1085" s="21">
        <f>Table43[[#This Row],[Item Cost]]*Table43[[#This Row],[In Stock]]</f>
        <v>36</v>
      </c>
      <c r="J1085" s="12" t="s">
        <v>4941</v>
      </c>
      <c r="K1085" s="13" t="s">
        <v>4666</v>
      </c>
      <c r="L1085" s="13" t="s">
        <v>4753</v>
      </c>
      <c r="M1085" s="13" t="s">
        <v>4834</v>
      </c>
      <c r="N1085" s="12" t="s">
        <v>4672</v>
      </c>
      <c r="O1085" s="17" t="str">
        <f>IF(LEN(COUNTIFS($J$1:J1085,$J1085,$K$1:K1085,$K1085,$L$1:L1085,$L1085,$M$1:M1085,M1085,$N$1:N1085,N1085))=1,"00"&amp;COUNTIFS($J$1:J1085,$J1085,$K$1:K1085,$K1085,$L$1:L1085,$L1085,$M$1:M1085,M1085,$N$1:N1085,N1085),IF(LEN(COUNTIFS($J$1:J1085,$J1085,$K$1:K1085,$K1085,$L$1:L1085,$L1085,$M$1:M1085,M1085,$N$1:N1085,N1085))=2,"0"&amp;COUNTIFS($J$1:J1085,$J1085,$K$1:K1085,$K1085,$L$1:L1085,$L1085,$M$1:M1085,M1085,$N$1:N1085,N1085),COUNTIFS($J$1:J1085,$J1085,$K$1:K1085,$K1085,$L$1:L1085,$L1085,$M$1:M1085,M1085,$N$1:N1085,N1085)))</f>
        <v>005</v>
      </c>
      <c r="P108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MS-NS-023-17-00005-INV</v>
      </c>
      <c r="Q1085" s="59"/>
      <c r="R1085" s="34" t="s">
        <v>6772</v>
      </c>
      <c r="S1085" s="34" t="s">
        <v>3459</v>
      </c>
      <c r="T1085" s="34">
        <f>+IFERROR(_xlfn.XLOOKUP(Table43[[#This Row],[Column1]],#REF!,#REF!),0)</f>
        <v>0</v>
      </c>
      <c r="U1085" s="50">
        <f>IFERROR(_xlfn.XLOOKUP(Table43[[#This Row],[Column1]],#REF!,#REF!),0)</f>
        <v>0</v>
      </c>
      <c r="V1085" s="39"/>
    </row>
    <row r="1086" spans="1:22" x14ac:dyDescent="0.35">
      <c r="A1086" s="3" t="s">
        <v>5477</v>
      </c>
      <c r="B1086" s="2" t="s">
        <v>3461</v>
      </c>
      <c r="C1086" s="2" t="s">
        <v>15</v>
      </c>
      <c r="D1086" s="2">
        <v>11</v>
      </c>
      <c r="E1086" s="2" t="s">
        <v>10</v>
      </c>
      <c r="F1086" s="3">
        <v>5</v>
      </c>
      <c r="G1086" s="3">
        <v>25</v>
      </c>
      <c r="H1086" s="2">
        <v>3</v>
      </c>
      <c r="I1086" s="22">
        <f>Table43[[#This Row],[Item Cost]]*Table43[[#This Row],[In Stock]]</f>
        <v>33</v>
      </c>
      <c r="J1086" s="12" t="s">
        <v>4941</v>
      </c>
      <c r="K1086" s="13" t="s">
        <v>4666</v>
      </c>
      <c r="L1086" s="13" t="s">
        <v>4753</v>
      </c>
      <c r="M1086" s="13" t="s">
        <v>4834</v>
      </c>
      <c r="N1086" s="12" t="s">
        <v>4672</v>
      </c>
      <c r="O1086" s="17" t="str">
        <f>IF(LEN(COUNTIFS($J$1:J1086,$J1086,$K$1:K1086,$K1086,$L$1:L1086,$L1086,$M$1:M1086,M1086,$N$1:N1086,N1086))=1,"00"&amp;COUNTIFS($J$1:J1086,$J1086,$K$1:K1086,$K1086,$L$1:L1086,$L1086,$M$1:M1086,M1086,$N$1:N1086,N1086),IF(LEN(COUNTIFS($J$1:J1086,$J1086,$K$1:K1086,$K1086,$L$1:L1086,$L1086,$M$1:M1086,M1086,$N$1:N1086,N1086))=2,"0"&amp;COUNTIFS($J$1:J1086,$J1086,$K$1:K1086,$K1086,$L$1:L1086,$L1086,$M$1:M1086,M1086,$N$1:N1086,N1086),COUNTIFS($J$1:J1086,$J1086,$K$1:K1086,$K1086,$L$1:L1086,$L1086,$M$1:M1086,M1086,$N$1:N1086,N1086)))</f>
        <v>006</v>
      </c>
      <c r="P108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MS-NS-023-17-00006-INV</v>
      </c>
      <c r="Q1086" s="59" t="s">
        <v>7382</v>
      </c>
      <c r="R1086" s="34" t="s">
        <v>6773</v>
      </c>
      <c r="S1086" s="34" t="s">
        <v>3461</v>
      </c>
      <c r="T1086" s="34">
        <f>+IFERROR(_xlfn.XLOOKUP(Table43[[#This Row],[Column1]],#REF!,#REF!),0)</f>
        <v>0</v>
      </c>
      <c r="U1086" s="50">
        <f>IFERROR(_xlfn.XLOOKUP(Table43[[#This Row],[Column1]],#REF!,#REF!),0)</f>
        <v>0</v>
      </c>
      <c r="V1086" s="39"/>
    </row>
    <row r="1087" spans="1:22" x14ac:dyDescent="0.35">
      <c r="A1087" s="3" t="s">
        <v>5478</v>
      </c>
      <c r="B1087" s="3" t="s">
        <v>3463</v>
      </c>
      <c r="C1087" s="3" t="s">
        <v>15</v>
      </c>
      <c r="D1087" s="3">
        <v>8</v>
      </c>
      <c r="E1087" s="3" t="s">
        <v>10</v>
      </c>
      <c r="F1087" s="3">
        <v>5</v>
      </c>
      <c r="G1087" s="3">
        <v>25</v>
      </c>
      <c r="H1087" s="3">
        <v>4</v>
      </c>
      <c r="I1087" s="21">
        <f>Table43[[#This Row],[Item Cost]]*Table43[[#This Row],[In Stock]]</f>
        <v>32</v>
      </c>
      <c r="J1087" s="12" t="s">
        <v>4941</v>
      </c>
      <c r="K1087" s="13" t="s">
        <v>4666</v>
      </c>
      <c r="L1087" s="13" t="s">
        <v>4753</v>
      </c>
      <c r="M1087" s="13" t="s">
        <v>4834</v>
      </c>
      <c r="N1087" s="12" t="s">
        <v>4672</v>
      </c>
      <c r="O1087" s="17" t="str">
        <f>IF(LEN(COUNTIFS($J$1:J1087,$J1087,$K$1:K1087,$K1087,$L$1:L1087,$L1087,$M$1:M1087,M1087,$N$1:N1087,N1087))=1,"00"&amp;COUNTIFS($J$1:J1087,$J1087,$K$1:K1087,$K1087,$L$1:L1087,$L1087,$M$1:M1087,M1087,$N$1:N1087,N1087),IF(LEN(COUNTIFS($J$1:J1087,$J1087,$K$1:K1087,$K1087,$L$1:L1087,$L1087,$M$1:M1087,M1087,$N$1:N1087,N1087))=2,"0"&amp;COUNTIFS($J$1:J1087,$J1087,$K$1:K1087,$K1087,$L$1:L1087,$L1087,$M$1:M1087,M1087,$N$1:N1087,N1087),COUNTIFS($J$1:J1087,$J1087,$K$1:K1087,$K1087,$L$1:L1087,$L1087,$M$1:M1087,M1087,$N$1:N1087,N1087)))</f>
        <v>007</v>
      </c>
      <c r="P108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MS-NS-023-17-00007-INV</v>
      </c>
      <c r="Q1087" s="59"/>
      <c r="R1087" s="34" t="s">
        <v>6774</v>
      </c>
      <c r="S1087" s="34" t="s">
        <v>3463</v>
      </c>
      <c r="T1087" s="34">
        <f>+IFERROR(_xlfn.XLOOKUP(Table43[[#This Row],[Column1]],#REF!,#REF!),0)</f>
        <v>0</v>
      </c>
      <c r="U1087" s="50">
        <f>IFERROR(_xlfn.XLOOKUP(Table43[[#This Row],[Column1]],#REF!,#REF!),0)</f>
        <v>0</v>
      </c>
      <c r="V1087" s="39"/>
    </row>
    <row r="1088" spans="1:22" x14ac:dyDescent="0.35">
      <c r="A1088" s="3" t="s">
        <v>5479</v>
      </c>
      <c r="B1088" s="2" t="s">
        <v>3465</v>
      </c>
      <c r="C1088" s="2" t="s">
        <v>15</v>
      </c>
      <c r="D1088" s="2">
        <v>8.5</v>
      </c>
      <c r="E1088" s="2" t="s">
        <v>10</v>
      </c>
      <c r="F1088" s="3">
        <v>5</v>
      </c>
      <c r="G1088" s="3">
        <v>25</v>
      </c>
      <c r="H1088" s="2">
        <v>5</v>
      </c>
      <c r="I1088" s="22">
        <f>Table43[[#This Row],[Item Cost]]*Table43[[#This Row],[In Stock]]</f>
        <v>42.5</v>
      </c>
      <c r="J1088" s="12" t="s">
        <v>4941</v>
      </c>
      <c r="K1088" s="13" t="s">
        <v>4666</v>
      </c>
      <c r="L1088" s="13" t="s">
        <v>4753</v>
      </c>
      <c r="M1088" s="13" t="s">
        <v>4834</v>
      </c>
      <c r="N1088" s="12" t="s">
        <v>4672</v>
      </c>
      <c r="O1088" s="17" t="str">
        <f>IF(LEN(COUNTIFS($J$1:J1088,$J1088,$K$1:K1088,$K1088,$L$1:L1088,$L1088,$M$1:M1088,M1088,$N$1:N1088,N1088))=1,"00"&amp;COUNTIFS($J$1:J1088,$J1088,$K$1:K1088,$K1088,$L$1:L1088,$L1088,$M$1:M1088,M1088,$N$1:N1088,N1088),IF(LEN(COUNTIFS($J$1:J1088,$J1088,$K$1:K1088,$K1088,$L$1:L1088,$L1088,$M$1:M1088,M1088,$N$1:N1088,N1088))=2,"0"&amp;COUNTIFS($J$1:J1088,$J1088,$K$1:K1088,$K1088,$L$1:L1088,$L1088,$M$1:M1088,M1088,$N$1:N1088,N1088),COUNTIFS($J$1:J1088,$J1088,$K$1:K1088,$K1088,$L$1:L1088,$L1088,$M$1:M1088,M1088,$N$1:N1088,N1088)))</f>
        <v>008</v>
      </c>
      <c r="P108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MS-NS-023-17-00008-INV</v>
      </c>
      <c r="Q1088" s="59" t="s">
        <v>7381</v>
      </c>
      <c r="R1088" s="34" t="s">
        <v>6775</v>
      </c>
      <c r="S1088" s="34" t="s">
        <v>3465</v>
      </c>
      <c r="T1088" s="34">
        <f>+IFERROR(_xlfn.XLOOKUP(Table43[[#This Row],[Column1]],#REF!,#REF!),0)</f>
        <v>0</v>
      </c>
      <c r="U1088" s="50">
        <f>IFERROR(_xlfn.XLOOKUP(Table43[[#This Row],[Column1]],#REF!,#REF!),0)</f>
        <v>0</v>
      </c>
      <c r="V1088" s="39"/>
    </row>
    <row r="1089" spans="1:22" x14ac:dyDescent="0.35">
      <c r="A1089" s="3" t="s">
        <v>5480</v>
      </c>
      <c r="B1089" s="3" t="s">
        <v>3467</v>
      </c>
      <c r="C1089" s="3" t="s">
        <v>15</v>
      </c>
      <c r="D1089" s="3">
        <v>9</v>
      </c>
      <c r="E1089" s="3" t="s">
        <v>10</v>
      </c>
      <c r="F1089" s="3">
        <v>5</v>
      </c>
      <c r="G1089" s="3">
        <v>25</v>
      </c>
      <c r="H1089" s="3">
        <v>0</v>
      </c>
      <c r="I1089" s="21">
        <f>Table43[[#This Row],[Item Cost]]*Table43[[#This Row],[In Stock]]</f>
        <v>0</v>
      </c>
      <c r="J1089" s="12" t="s">
        <v>4941</v>
      </c>
      <c r="K1089" s="13" t="s">
        <v>4666</v>
      </c>
      <c r="L1089" s="13" t="s">
        <v>4753</v>
      </c>
      <c r="M1089" s="13" t="s">
        <v>4834</v>
      </c>
      <c r="N1089" s="12" t="s">
        <v>4672</v>
      </c>
      <c r="O1089" s="17" t="str">
        <f>IF(LEN(COUNTIFS($J$1:J1089,$J1089,$K$1:K1089,$K1089,$L$1:L1089,$L1089,$M$1:M1089,M1089,$N$1:N1089,N1089))=1,"00"&amp;COUNTIFS($J$1:J1089,$J1089,$K$1:K1089,$K1089,$L$1:L1089,$L1089,$M$1:M1089,M1089,$N$1:N1089,N1089),IF(LEN(COUNTIFS($J$1:J1089,$J1089,$K$1:K1089,$K1089,$L$1:L1089,$L1089,$M$1:M1089,M1089,$N$1:N1089,N1089))=2,"0"&amp;COUNTIFS($J$1:J1089,$J1089,$K$1:K1089,$K1089,$L$1:L1089,$L1089,$M$1:M1089,M1089,$N$1:N1089,N1089),COUNTIFS($J$1:J1089,$J1089,$K$1:K1089,$K1089,$L$1:L1089,$L1089,$M$1:M1089,M1089,$N$1:N1089,N1089)))</f>
        <v>009</v>
      </c>
      <c r="P108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MS-NS-023-17-00009-INV</v>
      </c>
      <c r="Q1089" s="59"/>
      <c r="R1089" s="34" t="s">
        <v>6776</v>
      </c>
      <c r="S1089" s="34" t="s">
        <v>3467</v>
      </c>
      <c r="T1089" s="34">
        <f>+IFERROR(_xlfn.XLOOKUP(Table43[[#This Row],[Column1]],#REF!,#REF!),0)</f>
        <v>0</v>
      </c>
      <c r="U1089" s="50">
        <f>IFERROR(_xlfn.XLOOKUP(Table43[[#This Row],[Column1]],#REF!,#REF!),0)</f>
        <v>0</v>
      </c>
      <c r="V1089" s="39"/>
    </row>
    <row r="1090" spans="1:22" x14ac:dyDescent="0.35">
      <c r="A1090" s="3" t="s">
        <v>5481</v>
      </c>
      <c r="B1090" s="2" t="s">
        <v>3469</v>
      </c>
      <c r="C1090" s="2" t="s">
        <v>15</v>
      </c>
      <c r="D1090" s="2">
        <v>10</v>
      </c>
      <c r="E1090" s="2" t="s">
        <v>10</v>
      </c>
      <c r="F1090" s="3">
        <v>5</v>
      </c>
      <c r="G1090" s="3">
        <v>25</v>
      </c>
      <c r="H1090" s="2">
        <v>5</v>
      </c>
      <c r="I1090" s="22">
        <f>Table43[[#This Row],[Item Cost]]*Table43[[#This Row],[In Stock]]</f>
        <v>50</v>
      </c>
      <c r="J1090" s="12" t="s">
        <v>4941</v>
      </c>
      <c r="K1090" s="13" t="s">
        <v>4666</v>
      </c>
      <c r="L1090" s="13" t="s">
        <v>4753</v>
      </c>
      <c r="M1090" s="13" t="s">
        <v>4834</v>
      </c>
      <c r="N1090" s="12" t="s">
        <v>4672</v>
      </c>
      <c r="O1090" s="17" t="str">
        <f>IF(LEN(COUNTIFS($J$1:J1090,$J1090,$K$1:K1090,$K1090,$L$1:L1090,$L1090,$M$1:M1090,M1090,$N$1:N1090,N1090))=1,"00"&amp;COUNTIFS($J$1:J1090,$J1090,$K$1:K1090,$K1090,$L$1:L1090,$L1090,$M$1:M1090,M1090,$N$1:N1090,N1090),IF(LEN(COUNTIFS($J$1:J1090,$J1090,$K$1:K1090,$K1090,$L$1:L1090,$L1090,$M$1:M1090,M1090,$N$1:N1090,N1090))=2,"0"&amp;COUNTIFS($J$1:J1090,$J1090,$K$1:K1090,$K1090,$L$1:L1090,$L1090,$M$1:M1090,M1090,$N$1:N1090,N1090),COUNTIFS($J$1:J1090,$J1090,$K$1:K1090,$K1090,$L$1:L1090,$L1090,$M$1:M1090,M1090,$N$1:N1090,N1090)))</f>
        <v>010</v>
      </c>
      <c r="P109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MS-NS-023-17-00010-INV</v>
      </c>
      <c r="Q1090" s="59"/>
      <c r="R1090" s="34" t="s">
        <v>6777</v>
      </c>
      <c r="S1090" s="34" t="s">
        <v>3469</v>
      </c>
      <c r="T1090" s="34">
        <f>+IFERROR(_xlfn.XLOOKUP(Table43[[#This Row],[Column1]],#REF!,#REF!),0)</f>
        <v>0</v>
      </c>
      <c r="U1090" s="50">
        <f>IFERROR(_xlfn.XLOOKUP(Table43[[#This Row],[Column1]],#REF!,#REF!),0)</f>
        <v>0</v>
      </c>
      <c r="V1090" s="39"/>
    </row>
    <row r="1091" spans="1:22" x14ac:dyDescent="0.35">
      <c r="A1091" s="3" t="s">
        <v>5482</v>
      </c>
      <c r="B1091" s="3" t="s">
        <v>3471</v>
      </c>
      <c r="C1091" s="3" t="s">
        <v>15</v>
      </c>
      <c r="D1091" s="3">
        <v>11</v>
      </c>
      <c r="E1091" s="3" t="s">
        <v>10</v>
      </c>
      <c r="F1091" s="3">
        <v>5</v>
      </c>
      <c r="G1091" s="3">
        <v>25</v>
      </c>
      <c r="H1091" s="3">
        <v>5</v>
      </c>
      <c r="I1091" s="21">
        <f>Table43[[#This Row],[Item Cost]]*Table43[[#This Row],[In Stock]]</f>
        <v>55</v>
      </c>
      <c r="J1091" s="12" t="s">
        <v>4941</v>
      </c>
      <c r="K1091" s="13" t="s">
        <v>4666</v>
      </c>
      <c r="L1091" s="13" t="s">
        <v>4753</v>
      </c>
      <c r="M1091" s="13" t="s">
        <v>4834</v>
      </c>
      <c r="N1091" s="12" t="s">
        <v>4672</v>
      </c>
      <c r="O1091" s="17" t="str">
        <f>IF(LEN(COUNTIFS($J$1:J1091,$J1091,$K$1:K1091,$K1091,$L$1:L1091,$L1091,$M$1:M1091,M1091,$N$1:N1091,N1091))=1,"00"&amp;COUNTIFS($J$1:J1091,$J1091,$K$1:K1091,$K1091,$L$1:L1091,$L1091,$M$1:M1091,M1091,$N$1:N1091,N1091),IF(LEN(COUNTIFS($J$1:J1091,$J1091,$K$1:K1091,$K1091,$L$1:L1091,$L1091,$M$1:M1091,M1091,$N$1:N1091,N1091))=2,"0"&amp;COUNTIFS($J$1:J1091,$J1091,$K$1:K1091,$K1091,$L$1:L1091,$L1091,$M$1:M1091,M1091,$N$1:N1091,N1091),COUNTIFS($J$1:J1091,$J1091,$K$1:K1091,$K1091,$L$1:L1091,$L1091,$M$1:M1091,M1091,$N$1:N1091,N1091)))</f>
        <v>011</v>
      </c>
      <c r="P109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MS-NS-023-17-00011-INV</v>
      </c>
      <c r="Q1091" s="59" t="s">
        <v>7382</v>
      </c>
      <c r="R1091" s="34" t="s">
        <v>6778</v>
      </c>
      <c r="S1091" s="34" t="s">
        <v>3471</v>
      </c>
      <c r="T1091" s="34">
        <f>+IFERROR(_xlfn.XLOOKUP(Table43[[#This Row],[Column1]],#REF!,#REF!),0)</f>
        <v>0</v>
      </c>
      <c r="U1091" s="50">
        <f>IFERROR(_xlfn.XLOOKUP(Table43[[#This Row],[Column1]],#REF!,#REF!),0)</f>
        <v>0</v>
      </c>
      <c r="V1091" s="39"/>
    </row>
    <row r="1092" spans="1:22" x14ac:dyDescent="0.35">
      <c r="A1092" s="3" t="s">
        <v>5483</v>
      </c>
      <c r="B1092" s="2" t="s">
        <v>3473</v>
      </c>
      <c r="C1092" s="2" t="s">
        <v>15</v>
      </c>
      <c r="D1092" s="2">
        <v>14</v>
      </c>
      <c r="E1092" s="2" t="s">
        <v>10</v>
      </c>
      <c r="F1092" s="3">
        <v>5</v>
      </c>
      <c r="G1092" s="3">
        <v>25</v>
      </c>
      <c r="H1092" s="2">
        <v>2</v>
      </c>
      <c r="I1092" s="22">
        <f>Table43[[#This Row],[Item Cost]]*Table43[[#This Row],[In Stock]]</f>
        <v>28</v>
      </c>
      <c r="J1092" s="12" t="s">
        <v>4941</v>
      </c>
      <c r="K1092" s="13" t="s">
        <v>4666</v>
      </c>
      <c r="L1092" s="13" t="s">
        <v>4753</v>
      </c>
      <c r="M1092" s="13" t="s">
        <v>4834</v>
      </c>
      <c r="N1092" s="12" t="s">
        <v>4672</v>
      </c>
      <c r="O1092" s="17" t="str">
        <f>IF(LEN(COUNTIFS($J$1:J1092,$J1092,$K$1:K1092,$K1092,$L$1:L1092,$L1092,$M$1:M1092,M1092,$N$1:N1092,N1092))=1,"00"&amp;COUNTIFS($J$1:J1092,$J1092,$K$1:K1092,$K1092,$L$1:L1092,$L1092,$M$1:M1092,M1092,$N$1:N1092,N1092),IF(LEN(COUNTIFS($J$1:J1092,$J1092,$K$1:K1092,$K1092,$L$1:L1092,$L1092,$M$1:M1092,M1092,$N$1:N1092,N1092))=2,"0"&amp;COUNTIFS($J$1:J1092,$J1092,$K$1:K1092,$K1092,$L$1:L1092,$L1092,$M$1:M1092,M1092,$N$1:N1092,N1092),COUNTIFS($J$1:J1092,$J1092,$K$1:K1092,$K1092,$L$1:L1092,$L1092,$M$1:M1092,M1092,$N$1:N1092,N1092)))</f>
        <v>012</v>
      </c>
      <c r="P109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MS-NS-023-17-00012-INV</v>
      </c>
      <c r="Q1092" s="59"/>
      <c r="R1092" s="34" t="s">
        <v>6779</v>
      </c>
      <c r="S1092" s="34" t="s">
        <v>3473</v>
      </c>
      <c r="T1092" s="34">
        <f>+IFERROR(_xlfn.XLOOKUP(Table43[[#This Row],[Column1]],#REF!,#REF!),0)</f>
        <v>0</v>
      </c>
      <c r="U1092" s="50">
        <f>IFERROR(_xlfn.XLOOKUP(Table43[[#This Row],[Column1]],#REF!,#REF!),0)</f>
        <v>0</v>
      </c>
      <c r="V1092" s="39"/>
    </row>
    <row r="1093" spans="1:22" x14ac:dyDescent="0.35">
      <c r="A1093" s="3" t="s">
        <v>5484</v>
      </c>
      <c r="B1093" s="3" t="s">
        <v>3475</v>
      </c>
      <c r="C1093" s="3" t="s">
        <v>15</v>
      </c>
      <c r="D1093" s="3">
        <v>8</v>
      </c>
      <c r="E1093" s="3" t="s">
        <v>10</v>
      </c>
      <c r="F1093" s="3">
        <v>5</v>
      </c>
      <c r="G1093" s="3">
        <v>25</v>
      </c>
      <c r="H1093" s="3">
        <v>10</v>
      </c>
      <c r="I1093" s="21">
        <f>Table43[[#This Row],[Item Cost]]*Table43[[#This Row],[In Stock]]</f>
        <v>80</v>
      </c>
      <c r="J1093" s="12" t="s">
        <v>4941</v>
      </c>
      <c r="K1093" s="13" t="s">
        <v>4666</v>
      </c>
      <c r="L1093" s="13" t="s">
        <v>4753</v>
      </c>
      <c r="M1093" s="13" t="s">
        <v>4834</v>
      </c>
      <c r="N1093" s="12" t="s">
        <v>4672</v>
      </c>
      <c r="O1093" s="17" t="str">
        <f>IF(LEN(COUNTIFS($J$1:J1093,$J1093,$K$1:K1093,$K1093,$L$1:L1093,$L1093,$M$1:M1093,M1093,$N$1:N1093,N1093))=1,"00"&amp;COUNTIFS($J$1:J1093,$J1093,$K$1:K1093,$K1093,$L$1:L1093,$L1093,$M$1:M1093,M1093,$N$1:N1093,N1093),IF(LEN(COUNTIFS($J$1:J1093,$J1093,$K$1:K1093,$K1093,$L$1:L1093,$L1093,$M$1:M1093,M1093,$N$1:N1093,N1093))=2,"0"&amp;COUNTIFS($J$1:J1093,$J1093,$K$1:K1093,$K1093,$L$1:L1093,$L1093,$M$1:M1093,M1093,$N$1:N1093,N1093),COUNTIFS($J$1:J1093,$J1093,$K$1:K1093,$K1093,$L$1:L1093,$L1093,$M$1:M1093,M1093,$N$1:N1093,N1093)))</f>
        <v>013</v>
      </c>
      <c r="P109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MS-NS-023-17-00013-INV</v>
      </c>
      <c r="Q1093" s="59" t="s">
        <v>7383</v>
      </c>
      <c r="R1093" s="34" t="s">
        <v>6780</v>
      </c>
      <c r="S1093" s="34" t="s">
        <v>3475</v>
      </c>
      <c r="T1093" s="34">
        <f>+IFERROR(_xlfn.XLOOKUP(Table43[[#This Row],[Column1]],#REF!,#REF!),0)</f>
        <v>0</v>
      </c>
      <c r="U1093" s="50">
        <f>IFERROR(_xlfn.XLOOKUP(Table43[[#This Row],[Column1]],#REF!,#REF!),0)</f>
        <v>0</v>
      </c>
      <c r="V1093" s="39"/>
    </row>
    <row r="1094" spans="1:22" x14ac:dyDescent="0.35">
      <c r="A1094" s="3" t="s">
        <v>5485</v>
      </c>
      <c r="B1094" s="2" t="s">
        <v>3477</v>
      </c>
      <c r="C1094" s="2" t="s">
        <v>15</v>
      </c>
      <c r="D1094" s="2">
        <v>8.5</v>
      </c>
      <c r="E1094" s="2" t="s">
        <v>10</v>
      </c>
      <c r="F1094" s="3">
        <v>5</v>
      </c>
      <c r="G1094" s="3">
        <v>25</v>
      </c>
      <c r="H1094" s="2">
        <v>10</v>
      </c>
      <c r="I1094" s="22">
        <f>Table43[[#This Row],[Item Cost]]*Table43[[#This Row],[In Stock]]</f>
        <v>85</v>
      </c>
      <c r="J1094" s="12" t="s">
        <v>4941</v>
      </c>
      <c r="K1094" s="13" t="s">
        <v>4666</v>
      </c>
      <c r="L1094" s="13" t="s">
        <v>4753</v>
      </c>
      <c r="M1094" s="13" t="s">
        <v>4834</v>
      </c>
      <c r="N1094" s="12" t="s">
        <v>4672</v>
      </c>
      <c r="O1094" s="17" t="str">
        <f>IF(LEN(COUNTIFS($J$1:J1094,$J1094,$K$1:K1094,$K1094,$L$1:L1094,$L1094,$M$1:M1094,M1094,$N$1:N1094,N1094))=1,"00"&amp;COUNTIFS($J$1:J1094,$J1094,$K$1:K1094,$K1094,$L$1:L1094,$L1094,$M$1:M1094,M1094,$N$1:N1094,N1094),IF(LEN(COUNTIFS($J$1:J1094,$J1094,$K$1:K1094,$K1094,$L$1:L1094,$L1094,$M$1:M1094,M1094,$N$1:N1094,N1094))=2,"0"&amp;COUNTIFS($J$1:J1094,$J1094,$K$1:K1094,$K1094,$L$1:L1094,$L1094,$M$1:M1094,M1094,$N$1:N1094,N1094),COUNTIFS($J$1:J1094,$J1094,$K$1:K1094,$K1094,$L$1:L1094,$L1094,$M$1:M1094,M1094,$N$1:N1094,N1094)))</f>
        <v>014</v>
      </c>
      <c r="P109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MS-NS-023-17-00014-INV</v>
      </c>
      <c r="Q1094" s="59" t="s">
        <v>7381</v>
      </c>
      <c r="R1094" s="34" t="s">
        <v>6781</v>
      </c>
      <c r="S1094" s="34" t="s">
        <v>3477</v>
      </c>
      <c r="T1094" s="34">
        <f>+IFERROR(_xlfn.XLOOKUP(Table43[[#This Row],[Column1]],#REF!,#REF!),0)</f>
        <v>0</v>
      </c>
      <c r="U1094" s="50">
        <f>IFERROR(_xlfn.XLOOKUP(Table43[[#This Row],[Column1]],#REF!,#REF!),0)</f>
        <v>0</v>
      </c>
      <c r="V1094" s="39"/>
    </row>
    <row r="1095" spans="1:22" x14ac:dyDescent="0.35">
      <c r="A1095" s="3" t="s">
        <v>5486</v>
      </c>
      <c r="B1095" s="3" t="s">
        <v>3479</v>
      </c>
      <c r="C1095" s="3" t="s">
        <v>15</v>
      </c>
      <c r="D1095" s="3">
        <v>9</v>
      </c>
      <c r="E1095" s="3" t="s">
        <v>10</v>
      </c>
      <c r="F1095" s="3">
        <v>5</v>
      </c>
      <c r="G1095" s="3">
        <v>25</v>
      </c>
      <c r="H1095" s="3">
        <v>20</v>
      </c>
      <c r="I1095" s="21">
        <f>Table43[[#This Row],[Item Cost]]*Table43[[#This Row],[In Stock]]</f>
        <v>180</v>
      </c>
      <c r="J1095" s="12" t="s">
        <v>4941</v>
      </c>
      <c r="K1095" s="13" t="s">
        <v>4666</v>
      </c>
      <c r="L1095" s="13" t="s">
        <v>4753</v>
      </c>
      <c r="M1095" s="13" t="s">
        <v>4834</v>
      </c>
      <c r="N1095" s="12" t="s">
        <v>4672</v>
      </c>
      <c r="O1095" s="17" t="str">
        <f>IF(LEN(COUNTIFS($J$1:J1095,$J1095,$K$1:K1095,$K1095,$L$1:L1095,$L1095,$M$1:M1095,M1095,$N$1:N1095,N1095))=1,"00"&amp;COUNTIFS($J$1:J1095,$J1095,$K$1:K1095,$K1095,$L$1:L1095,$L1095,$M$1:M1095,M1095,$N$1:N1095,N1095),IF(LEN(COUNTIFS($J$1:J1095,$J1095,$K$1:K1095,$K1095,$L$1:L1095,$L1095,$M$1:M1095,M1095,$N$1:N1095,N1095))=2,"0"&amp;COUNTIFS($J$1:J1095,$J1095,$K$1:K1095,$K1095,$L$1:L1095,$L1095,$M$1:M1095,M1095,$N$1:N1095,N1095),COUNTIFS($J$1:J1095,$J1095,$K$1:K1095,$K1095,$L$1:L1095,$L1095,$M$1:M1095,M1095,$N$1:N1095,N1095)))</f>
        <v>015</v>
      </c>
      <c r="P109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MS-NS-023-17-00015-INV</v>
      </c>
      <c r="Q1095" s="59" t="s">
        <v>7382</v>
      </c>
      <c r="R1095" s="34" t="s">
        <v>6782</v>
      </c>
      <c r="S1095" s="34" t="s">
        <v>3479</v>
      </c>
      <c r="T1095" s="34">
        <f>+IFERROR(_xlfn.XLOOKUP(Table43[[#This Row],[Column1]],#REF!,#REF!),0)</f>
        <v>0</v>
      </c>
      <c r="U1095" s="50">
        <f>IFERROR(_xlfn.XLOOKUP(Table43[[#This Row],[Column1]],#REF!,#REF!),0)</f>
        <v>0</v>
      </c>
      <c r="V1095" s="39"/>
    </row>
    <row r="1096" spans="1:22" x14ac:dyDescent="0.35">
      <c r="A1096" s="3" t="s">
        <v>5487</v>
      </c>
      <c r="B1096" s="2" t="s">
        <v>3481</v>
      </c>
      <c r="C1096" s="2" t="s">
        <v>15</v>
      </c>
      <c r="D1096" s="2">
        <v>12.5</v>
      </c>
      <c r="E1096" s="2" t="s">
        <v>10</v>
      </c>
      <c r="F1096" s="3">
        <v>5</v>
      </c>
      <c r="G1096" s="3">
        <v>25</v>
      </c>
      <c r="H1096" s="2">
        <v>20</v>
      </c>
      <c r="I1096" s="22">
        <f>Table43[[#This Row],[Item Cost]]*Table43[[#This Row],[In Stock]]</f>
        <v>250</v>
      </c>
      <c r="J1096" s="12" t="s">
        <v>4941</v>
      </c>
      <c r="K1096" s="13" t="s">
        <v>4666</v>
      </c>
      <c r="L1096" s="13" t="s">
        <v>4753</v>
      </c>
      <c r="M1096" s="13" t="s">
        <v>4834</v>
      </c>
      <c r="N1096" s="12" t="s">
        <v>4672</v>
      </c>
      <c r="O1096" s="17" t="str">
        <f>IF(LEN(COUNTIFS($J$1:J1096,$J1096,$K$1:K1096,$K1096,$L$1:L1096,$L1096,$M$1:M1096,M1096,$N$1:N1096,N1096))=1,"00"&amp;COUNTIFS($J$1:J1096,$J1096,$K$1:K1096,$K1096,$L$1:L1096,$L1096,$M$1:M1096,M1096,$N$1:N1096,N1096),IF(LEN(COUNTIFS($J$1:J1096,$J1096,$K$1:K1096,$K1096,$L$1:L1096,$L1096,$M$1:M1096,M1096,$N$1:N1096,N1096))=2,"0"&amp;COUNTIFS($J$1:J1096,$J1096,$K$1:K1096,$K1096,$L$1:L1096,$L1096,$M$1:M1096,M1096,$N$1:N1096,N1096),COUNTIFS($J$1:J1096,$J1096,$K$1:K1096,$K1096,$L$1:L1096,$L1096,$M$1:M1096,M1096,$N$1:N1096,N1096)))</f>
        <v>016</v>
      </c>
      <c r="P109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MS-NS-023-17-00016-INV</v>
      </c>
      <c r="Q1096" s="59" t="s">
        <v>7382</v>
      </c>
      <c r="R1096" s="34" t="s">
        <v>6783</v>
      </c>
      <c r="S1096" s="34" t="s">
        <v>3481</v>
      </c>
      <c r="T1096" s="34">
        <f>+IFERROR(_xlfn.XLOOKUP(Table43[[#This Row],[Column1]],#REF!,#REF!),0)</f>
        <v>0</v>
      </c>
      <c r="U1096" s="50">
        <f>IFERROR(_xlfn.XLOOKUP(Table43[[#This Row],[Column1]],#REF!,#REF!),0)</f>
        <v>0</v>
      </c>
      <c r="V1096" s="39"/>
    </row>
    <row r="1097" spans="1:22" x14ac:dyDescent="0.35">
      <c r="A1097" s="3" t="s">
        <v>5488</v>
      </c>
      <c r="B1097" s="3" t="s">
        <v>3483</v>
      </c>
      <c r="C1097" s="3" t="s">
        <v>15</v>
      </c>
      <c r="D1097" s="3">
        <v>14</v>
      </c>
      <c r="E1097" s="3" t="s">
        <v>10</v>
      </c>
      <c r="F1097" s="3">
        <v>5</v>
      </c>
      <c r="G1097" s="3">
        <v>25</v>
      </c>
      <c r="H1097" s="3">
        <v>0</v>
      </c>
      <c r="I1097" s="21">
        <f>Table43[[#This Row],[Item Cost]]*Table43[[#This Row],[In Stock]]</f>
        <v>0</v>
      </c>
      <c r="J1097" s="12" t="s">
        <v>4941</v>
      </c>
      <c r="K1097" s="13" t="s">
        <v>4666</v>
      </c>
      <c r="L1097" s="13" t="s">
        <v>4753</v>
      </c>
      <c r="M1097" s="13" t="s">
        <v>4834</v>
      </c>
      <c r="N1097" s="12" t="s">
        <v>4672</v>
      </c>
      <c r="O1097" s="17" t="str">
        <f>IF(LEN(COUNTIFS($J$1:J1097,$J1097,$K$1:K1097,$K1097,$L$1:L1097,$L1097,$M$1:M1097,M1097,$N$1:N1097,N1097))=1,"00"&amp;COUNTIFS($J$1:J1097,$J1097,$K$1:K1097,$K1097,$L$1:L1097,$L1097,$M$1:M1097,M1097,$N$1:N1097,N1097),IF(LEN(COUNTIFS($J$1:J1097,$J1097,$K$1:K1097,$K1097,$L$1:L1097,$L1097,$M$1:M1097,M1097,$N$1:N1097,N1097))=2,"0"&amp;COUNTIFS($J$1:J1097,$J1097,$K$1:K1097,$K1097,$L$1:L1097,$L1097,$M$1:M1097,M1097,$N$1:N1097,N1097),COUNTIFS($J$1:J1097,$J1097,$K$1:K1097,$K1097,$L$1:L1097,$L1097,$M$1:M1097,M1097,$N$1:N1097,N1097)))</f>
        <v>017</v>
      </c>
      <c r="P109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MS-NS-023-17-00017-INV</v>
      </c>
      <c r="Q1097" s="59" t="s">
        <v>7383</v>
      </c>
      <c r="R1097" s="34" t="s">
        <v>6784</v>
      </c>
      <c r="S1097" s="34" t="s">
        <v>3483</v>
      </c>
      <c r="T1097" s="34">
        <f>+IFERROR(_xlfn.XLOOKUP(Table43[[#This Row],[Column1]],#REF!,#REF!),0)</f>
        <v>0</v>
      </c>
      <c r="U1097" s="50">
        <f>IFERROR(_xlfn.XLOOKUP(Table43[[#This Row],[Column1]],#REF!,#REF!),0)</f>
        <v>0</v>
      </c>
      <c r="V1097" s="39"/>
    </row>
    <row r="1098" spans="1:22" x14ac:dyDescent="0.35">
      <c r="A1098" s="3" t="s">
        <v>5489</v>
      </c>
      <c r="B1098" s="2" t="s">
        <v>3485</v>
      </c>
      <c r="C1098" s="2" t="s">
        <v>15</v>
      </c>
      <c r="D1098" s="2">
        <v>8.5</v>
      </c>
      <c r="E1098" s="2" t="s">
        <v>10</v>
      </c>
      <c r="F1098" s="3">
        <v>5</v>
      </c>
      <c r="G1098" s="3">
        <v>25</v>
      </c>
      <c r="H1098" s="2">
        <v>10</v>
      </c>
      <c r="I1098" s="22">
        <f>Table43[[#This Row],[Item Cost]]*Table43[[#This Row],[In Stock]]</f>
        <v>85</v>
      </c>
      <c r="J1098" s="12" t="s">
        <v>4941</v>
      </c>
      <c r="K1098" s="13" t="s">
        <v>4666</v>
      </c>
      <c r="L1098" s="13" t="s">
        <v>4753</v>
      </c>
      <c r="M1098" s="13" t="s">
        <v>4834</v>
      </c>
      <c r="N1098" s="12" t="s">
        <v>4672</v>
      </c>
      <c r="O1098" s="17" t="str">
        <f>IF(LEN(COUNTIFS($J$1:J1098,$J1098,$K$1:K1098,$K1098,$L$1:L1098,$L1098,$M$1:M1098,M1098,$N$1:N1098,N1098))=1,"00"&amp;COUNTIFS($J$1:J1098,$J1098,$K$1:K1098,$K1098,$L$1:L1098,$L1098,$M$1:M1098,M1098,$N$1:N1098,N1098),IF(LEN(COUNTIFS($J$1:J1098,$J1098,$K$1:K1098,$K1098,$L$1:L1098,$L1098,$M$1:M1098,M1098,$N$1:N1098,N1098))=2,"0"&amp;COUNTIFS($J$1:J1098,$J1098,$K$1:K1098,$K1098,$L$1:L1098,$L1098,$M$1:M1098,M1098,$N$1:N1098,N1098),COUNTIFS($J$1:J1098,$J1098,$K$1:K1098,$K1098,$L$1:L1098,$L1098,$M$1:M1098,M1098,$N$1:N1098,N1098)))</f>
        <v>018</v>
      </c>
      <c r="P109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MS-NS-023-17-00018-INV</v>
      </c>
      <c r="Q1098" s="59" t="s">
        <v>7382</v>
      </c>
      <c r="R1098" s="34" t="s">
        <v>6785</v>
      </c>
      <c r="S1098" s="34" t="s">
        <v>3485</v>
      </c>
      <c r="T1098" s="34">
        <f>+IFERROR(_xlfn.XLOOKUP(Table43[[#This Row],[Column1]],#REF!,#REF!),0)</f>
        <v>0</v>
      </c>
      <c r="U1098" s="50">
        <f>IFERROR(_xlfn.XLOOKUP(Table43[[#This Row],[Column1]],#REF!,#REF!),0)</f>
        <v>0</v>
      </c>
      <c r="V1098" s="39"/>
    </row>
    <row r="1099" spans="1:22" x14ac:dyDescent="0.35">
      <c r="A1099" s="3" t="s">
        <v>5490</v>
      </c>
      <c r="B1099" s="3" t="s">
        <v>3487</v>
      </c>
      <c r="C1099" s="3" t="s">
        <v>15</v>
      </c>
      <c r="D1099" s="3">
        <v>9</v>
      </c>
      <c r="E1099" s="3" t="s">
        <v>10</v>
      </c>
      <c r="F1099" s="3">
        <v>5</v>
      </c>
      <c r="G1099" s="3">
        <v>25</v>
      </c>
      <c r="H1099" s="3">
        <v>10</v>
      </c>
      <c r="I1099" s="21">
        <f>Table43[[#This Row],[Item Cost]]*Table43[[#This Row],[In Stock]]</f>
        <v>90</v>
      </c>
      <c r="J1099" s="12" t="s">
        <v>4941</v>
      </c>
      <c r="K1099" s="13" t="s">
        <v>4666</v>
      </c>
      <c r="L1099" s="13" t="s">
        <v>4753</v>
      </c>
      <c r="M1099" s="13" t="s">
        <v>4834</v>
      </c>
      <c r="N1099" s="12" t="s">
        <v>4672</v>
      </c>
      <c r="O1099" s="17" t="str">
        <f>IF(LEN(COUNTIFS($J$1:J1099,$J1099,$K$1:K1099,$K1099,$L$1:L1099,$L1099,$M$1:M1099,M1099,$N$1:N1099,N1099))=1,"00"&amp;COUNTIFS($J$1:J1099,$J1099,$K$1:K1099,$K1099,$L$1:L1099,$L1099,$M$1:M1099,M1099,$N$1:N1099,N1099),IF(LEN(COUNTIFS($J$1:J1099,$J1099,$K$1:K1099,$K1099,$L$1:L1099,$L1099,$M$1:M1099,M1099,$N$1:N1099,N1099))=2,"0"&amp;COUNTIFS($J$1:J1099,$J1099,$K$1:K1099,$K1099,$L$1:L1099,$L1099,$M$1:M1099,M1099,$N$1:N1099,N1099),COUNTIFS($J$1:J1099,$J1099,$K$1:K1099,$K1099,$L$1:L1099,$L1099,$M$1:M1099,M1099,$N$1:N1099,N1099)))</f>
        <v>019</v>
      </c>
      <c r="P109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MS-NS-023-17-00019-INV</v>
      </c>
      <c r="Q1099" s="59" t="s">
        <v>7382</v>
      </c>
      <c r="R1099" s="34" t="s">
        <v>6786</v>
      </c>
      <c r="S1099" s="34" t="s">
        <v>3487</v>
      </c>
      <c r="T1099" s="34">
        <f>+IFERROR(_xlfn.XLOOKUP(Table43[[#This Row],[Column1]],#REF!,#REF!),0)</f>
        <v>0</v>
      </c>
      <c r="U1099" s="50">
        <f>IFERROR(_xlfn.XLOOKUP(Table43[[#This Row],[Column1]],#REF!,#REF!),0)</f>
        <v>0</v>
      </c>
      <c r="V1099" s="39"/>
    </row>
    <row r="1100" spans="1:22" x14ac:dyDescent="0.35">
      <c r="A1100" s="3" t="s">
        <v>5491</v>
      </c>
      <c r="B1100" s="2" t="s">
        <v>3489</v>
      </c>
      <c r="C1100" s="2" t="s">
        <v>15</v>
      </c>
      <c r="D1100" s="2">
        <v>9.5</v>
      </c>
      <c r="E1100" s="2" t="s">
        <v>10</v>
      </c>
      <c r="F1100" s="3">
        <v>5</v>
      </c>
      <c r="G1100" s="3">
        <v>25</v>
      </c>
      <c r="H1100" s="2">
        <v>10</v>
      </c>
      <c r="I1100" s="22">
        <f>Table43[[#This Row],[Item Cost]]*Table43[[#This Row],[In Stock]]</f>
        <v>95</v>
      </c>
      <c r="J1100" s="12" t="s">
        <v>4941</v>
      </c>
      <c r="K1100" s="13" t="s">
        <v>4666</v>
      </c>
      <c r="L1100" s="13" t="s">
        <v>4753</v>
      </c>
      <c r="M1100" s="13" t="s">
        <v>4834</v>
      </c>
      <c r="N1100" s="12" t="s">
        <v>4672</v>
      </c>
      <c r="O1100" s="17" t="str">
        <f>IF(LEN(COUNTIFS($J$1:J1100,$J1100,$K$1:K1100,$K1100,$L$1:L1100,$L1100,$M$1:M1100,M1100,$N$1:N1100,N1100))=1,"00"&amp;COUNTIFS($J$1:J1100,$J1100,$K$1:K1100,$K1100,$L$1:L1100,$L1100,$M$1:M1100,M1100,$N$1:N1100,N1100),IF(LEN(COUNTIFS($J$1:J1100,$J1100,$K$1:K1100,$K1100,$L$1:L1100,$L1100,$M$1:M1100,M1100,$N$1:N1100,N1100))=2,"0"&amp;COUNTIFS($J$1:J1100,$J1100,$K$1:K1100,$K1100,$L$1:L1100,$L1100,$M$1:M1100,M1100,$N$1:N1100,N1100),COUNTIFS($J$1:J1100,$J1100,$K$1:K1100,$K1100,$L$1:L1100,$L1100,$M$1:M1100,M1100,$N$1:N1100,N1100)))</f>
        <v>020</v>
      </c>
      <c r="P110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MS-NS-023-17-00020-INV</v>
      </c>
      <c r="Q1100" s="59" t="s">
        <v>7380</v>
      </c>
      <c r="R1100" s="34" t="s">
        <v>6787</v>
      </c>
      <c r="S1100" s="34" t="s">
        <v>3489</v>
      </c>
      <c r="T1100" s="34">
        <f>+IFERROR(_xlfn.XLOOKUP(Table43[[#This Row],[Column1]],#REF!,#REF!),0)</f>
        <v>0</v>
      </c>
      <c r="U1100" s="50">
        <f>IFERROR(_xlfn.XLOOKUP(Table43[[#This Row],[Column1]],#REF!,#REF!),0)</f>
        <v>0</v>
      </c>
      <c r="V1100" s="39"/>
    </row>
    <row r="1101" spans="1:22" x14ac:dyDescent="0.35">
      <c r="A1101" s="3" t="s">
        <v>5492</v>
      </c>
      <c r="B1101" s="3" t="s">
        <v>3491</v>
      </c>
      <c r="C1101" s="3" t="s">
        <v>15</v>
      </c>
      <c r="D1101" s="3">
        <v>12.5</v>
      </c>
      <c r="E1101" s="3" t="s">
        <v>10</v>
      </c>
      <c r="F1101" s="3">
        <v>5</v>
      </c>
      <c r="G1101" s="3">
        <v>25</v>
      </c>
      <c r="H1101" s="3">
        <v>20</v>
      </c>
      <c r="I1101" s="21">
        <f>Table43[[#This Row],[Item Cost]]*Table43[[#This Row],[In Stock]]</f>
        <v>250</v>
      </c>
      <c r="J1101" s="12" t="s">
        <v>4941</v>
      </c>
      <c r="K1101" s="13" t="s">
        <v>4666</v>
      </c>
      <c r="L1101" s="13" t="s">
        <v>4753</v>
      </c>
      <c r="M1101" s="13" t="s">
        <v>4834</v>
      </c>
      <c r="N1101" s="12" t="s">
        <v>4672</v>
      </c>
      <c r="O1101" s="17" t="str">
        <f>IF(LEN(COUNTIFS($J$1:J1101,$J1101,$K$1:K1101,$K1101,$L$1:L1101,$L1101,$M$1:M1101,M1101,$N$1:N1101,N1101))=1,"00"&amp;COUNTIFS($J$1:J1101,$J1101,$K$1:K1101,$K1101,$L$1:L1101,$L1101,$M$1:M1101,M1101,$N$1:N1101,N1101),IF(LEN(COUNTIFS($J$1:J1101,$J1101,$K$1:K1101,$K1101,$L$1:L1101,$L1101,$M$1:M1101,M1101,$N$1:N1101,N1101))=2,"0"&amp;COUNTIFS($J$1:J1101,$J1101,$K$1:K1101,$K1101,$L$1:L1101,$L1101,$M$1:M1101,M1101,$N$1:N1101,N1101),COUNTIFS($J$1:J1101,$J1101,$K$1:K1101,$K1101,$L$1:L1101,$L1101,$M$1:M1101,M1101,$N$1:N1101,N1101)))</f>
        <v>021</v>
      </c>
      <c r="P110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MS-NS-023-17-00021-INV</v>
      </c>
      <c r="Q1101" s="59" t="s">
        <v>7382</v>
      </c>
      <c r="R1101" s="34" t="s">
        <v>6788</v>
      </c>
      <c r="S1101" s="34" t="s">
        <v>3491</v>
      </c>
      <c r="T1101" s="34">
        <f>+IFERROR(_xlfn.XLOOKUP(Table43[[#This Row],[Column1]],#REF!,#REF!),0)</f>
        <v>0</v>
      </c>
      <c r="U1101" s="50">
        <f>IFERROR(_xlfn.XLOOKUP(Table43[[#This Row],[Column1]],#REF!,#REF!),0)</f>
        <v>0</v>
      </c>
      <c r="V1101" s="39"/>
    </row>
    <row r="1102" spans="1:22" x14ac:dyDescent="0.35">
      <c r="A1102" s="3" t="s">
        <v>5493</v>
      </c>
      <c r="B1102" s="2" t="s">
        <v>3493</v>
      </c>
      <c r="C1102" s="2" t="s">
        <v>15</v>
      </c>
      <c r="D1102" s="2">
        <v>14</v>
      </c>
      <c r="E1102" s="2" t="s">
        <v>10</v>
      </c>
      <c r="F1102" s="3">
        <v>5</v>
      </c>
      <c r="G1102" s="3">
        <v>25</v>
      </c>
      <c r="H1102" s="2">
        <v>9</v>
      </c>
      <c r="I1102" s="22">
        <f>Table43[[#This Row],[Item Cost]]*Table43[[#This Row],[In Stock]]</f>
        <v>126</v>
      </c>
      <c r="J1102" s="12" t="s">
        <v>4941</v>
      </c>
      <c r="K1102" s="13" t="s">
        <v>4666</v>
      </c>
      <c r="L1102" s="13" t="s">
        <v>4753</v>
      </c>
      <c r="M1102" s="13" t="s">
        <v>4834</v>
      </c>
      <c r="N1102" s="12" t="s">
        <v>4672</v>
      </c>
      <c r="O1102" s="17" t="str">
        <f>IF(LEN(COUNTIFS($J$1:J1102,$J1102,$K$1:K1102,$K1102,$L$1:L1102,$L1102,$M$1:M1102,M1102,$N$1:N1102,N1102))=1,"00"&amp;COUNTIFS($J$1:J1102,$J1102,$K$1:K1102,$K1102,$L$1:L1102,$L1102,$M$1:M1102,M1102,$N$1:N1102,N1102),IF(LEN(COUNTIFS($J$1:J1102,$J1102,$K$1:K1102,$K1102,$L$1:L1102,$L1102,$M$1:M1102,M1102,$N$1:N1102,N1102))=2,"0"&amp;COUNTIFS($J$1:J1102,$J1102,$K$1:K1102,$K1102,$L$1:L1102,$L1102,$M$1:M1102,M1102,$N$1:N1102,N1102),COUNTIFS($J$1:J1102,$J1102,$K$1:K1102,$K1102,$L$1:L1102,$L1102,$M$1:M1102,M1102,$N$1:N1102,N1102)))</f>
        <v>022</v>
      </c>
      <c r="P110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MS-NS-023-17-00022-INV</v>
      </c>
      <c r="Q1102" s="59" t="s">
        <v>7382</v>
      </c>
      <c r="R1102" s="34" t="s">
        <v>6789</v>
      </c>
      <c r="S1102" s="34" t="s">
        <v>3493</v>
      </c>
      <c r="T1102" s="34">
        <f>+IFERROR(_xlfn.XLOOKUP(Table43[[#This Row],[Column1]],#REF!,#REF!),0)</f>
        <v>0</v>
      </c>
      <c r="U1102" s="50">
        <f>IFERROR(_xlfn.XLOOKUP(Table43[[#This Row],[Column1]],#REF!,#REF!),0)</f>
        <v>0</v>
      </c>
      <c r="V1102" s="39"/>
    </row>
    <row r="1103" spans="1:22" x14ac:dyDescent="0.35">
      <c r="A1103" s="3" t="s">
        <v>5494</v>
      </c>
      <c r="B1103" s="3" t="s">
        <v>3495</v>
      </c>
      <c r="C1103" s="3" t="s">
        <v>15</v>
      </c>
      <c r="D1103" s="3">
        <v>11</v>
      </c>
      <c r="E1103" s="3" t="s">
        <v>10</v>
      </c>
      <c r="F1103" s="3">
        <v>5</v>
      </c>
      <c r="G1103" s="3">
        <v>25</v>
      </c>
      <c r="H1103" s="3">
        <v>20</v>
      </c>
      <c r="I1103" s="21">
        <f>Table43[[#This Row],[Item Cost]]*Table43[[#This Row],[In Stock]]</f>
        <v>220</v>
      </c>
      <c r="J1103" s="12" t="s">
        <v>4941</v>
      </c>
      <c r="K1103" s="13" t="s">
        <v>4666</v>
      </c>
      <c r="L1103" s="13" t="s">
        <v>4753</v>
      </c>
      <c r="M1103" s="13" t="s">
        <v>4834</v>
      </c>
      <c r="N1103" s="12" t="s">
        <v>4672</v>
      </c>
      <c r="O1103" s="17" t="str">
        <f>IF(LEN(COUNTIFS($J$1:J1103,$J1103,$K$1:K1103,$K1103,$L$1:L1103,$L1103,$M$1:M1103,M1103,$N$1:N1103,N1103))=1,"00"&amp;COUNTIFS($J$1:J1103,$J1103,$K$1:K1103,$K1103,$L$1:L1103,$L1103,$M$1:M1103,M1103,$N$1:N1103,N1103),IF(LEN(COUNTIFS($J$1:J1103,$J1103,$K$1:K1103,$K1103,$L$1:L1103,$L1103,$M$1:M1103,M1103,$N$1:N1103,N1103))=2,"0"&amp;COUNTIFS($J$1:J1103,$J1103,$K$1:K1103,$K1103,$L$1:L1103,$L1103,$M$1:M1103,M1103,$N$1:N1103,N1103),COUNTIFS($J$1:J1103,$J1103,$K$1:K1103,$K1103,$L$1:L1103,$L1103,$M$1:M1103,M1103,$N$1:N1103,N1103)))</f>
        <v>023</v>
      </c>
      <c r="P110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MS-NS-023-17-00023-INV</v>
      </c>
      <c r="Q1103" s="59" t="s">
        <v>7382</v>
      </c>
      <c r="R1103" s="34" t="s">
        <v>6790</v>
      </c>
      <c r="S1103" s="34" t="s">
        <v>3495</v>
      </c>
      <c r="T1103" s="34">
        <f>+IFERROR(_xlfn.XLOOKUP(Table43[[#This Row],[Column1]],#REF!,#REF!),0)</f>
        <v>0</v>
      </c>
      <c r="U1103" s="50">
        <f>IFERROR(_xlfn.XLOOKUP(Table43[[#This Row],[Column1]],#REF!,#REF!),0)</f>
        <v>0</v>
      </c>
      <c r="V1103" s="39"/>
    </row>
    <row r="1104" spans="1:22" x14ac:dyDescent="0.35">
      <c r="A1104" s="3" t="s">
        <v>5495</v>
      </c>
      <c r="B1104" s="2" t="s">
        <v>3497</v>
      </c>
      <c r="C1104" s="2" t="s">
        <v>15</v>
      </c>
      <c r="D1104" s="2">
        <v>13.5</v>
      </c>
      <c r="E1104" s="2" t="s">
        <v>10</v>
      </c>
      <c r="F1104" s="3">
        <v>5</v>
      </c>
      <c r="G1104" s="3">
        <v>25</v>
      </c>
      <c r="H1104" s="2">
        <v>20</v>
      </c>
      <c r="I1104" s="22">
        <f>Table43[[#This Row],[Item Cost]]*Table43[[#This Row],[In Stock]]</f>
        <v>270</v>
      </c>
      <c r="J1104" s="12" t="s">
        <v>4941</v>
      </c>
      <c r="K1104" s="13" t="s">
        <v>4666</v>
      </c>
      <c r="L1104" s="13" t="s">
        <v>4753</v>
      </c>
      <c r="M1104" s="13" t="s">
        <v>4834</v>
      </c>
      <c r="N1104" s="12" t="s">
        <v>4672</v>
      </c>
      <c r="O1104" s="17" t="str">
        <f>IF(LEN(COUNTIFS($J$1:J1104,$J1104,$K$1:K1104,$K1104,$L$1:L1104,$L1104,$M$1:M1104,M1104,$N$1:N1104,N1104))=1,"00"&amp;COUNTIFS($J$1:J1104,$J1104,$K$1:K1104,$K1104,$L$1:L1104,$L1104,$M$1:M1104,M1104,$N$1:N1104,N1104),IF(LEN(COUNTIFS($J$1:J1104,$J1104,$K$1:K1104,$K1104,$L$1:L1104,$L1104,$M$1:M1104,M1104,$N$1:N1104,N1104))=2,"0"&amp;COUNTIFS($J$1:J1104,$J1104,$K$1:K1104,$K1104,$L$1:L1104,$L1104,$M$1:M1104,M1104,$N$1:N1104,N1104),COUNTIFS($J$1:J1104,$J1104,$K$1:K1104,$K1104,$L$1:L1104,$L1104,$M$1:M1104,M1104,$N$1:N1104,N1104)))</f>
        <v>024</v>
      </c>
      <c r="P110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MS-NS-023-17-00024-INV</v>
      </c>
      <c r="Q1104" s="59" t="s">
        <v>7382</v>
      </c>
      <c r="R1104" s="34" t="s">
        <v>6791</v>
      </c>
      <c r="S1104" s="34" t="s">
        <v>3497</v>
      </c>
      <c r="T1104" s="34">
        <f>+IFERROR(_xlfn.XLOOKUP(Table43[[#This Row],[Column1]],#REF!,#REF!),0)</f>
        <v>0</v>
      </c>
      <c r="U1104" s="50">
        <f>IFERROR(_xlfn.XLOOKUP(Table43[[#This Row],[Column1]],#REF!,#REF!),0)</f>
        <v>0</v>
      </c>
      <c r="V1104" s="39"/>
    </row>
    <row r="1105" spans="1:22" x14ac:dyDescent="0.35">
      <c r="A1105" s="3" t="s">
        <v>5496</v>
      </c>
      <c r="B1105" s="3" t="s">
        <v>3499</v>
      </c>
      <c r="C1105" s="3" t="s">
        <v>15</v>
      </c>
      <c r="D1105" s="3">
        <v>14</v>
      </c>
      <c r="E1105" s="3" t="s">
        <v>10</v>
      </c>
      <c r="F1105" s="3">
        <v>5</v>
      </c>
      <c r="G1105" s="3">
        <v>25</v>
      </c>
      <c r="H1105" s="3">
        <v>10</v>
      </c>
      <c r="I1105" s="21">
        <f>Table43[[#This Row],[Item Cost]]*Table43[[#This Row],[In Stock]]</f>
        <v>140</v>
      </c>
      <c r="J1105" s="12" t="s">
        <v>4941</v>
      </c>
      <c r="K1105" s="13" t="s">
        <v>4666</v>
      </c>
      <c r="L1105" s="13" t="s">
        <v>4753</v>
      </c>
      <c r="M1105" s="13" t="s">
        <v>4834</v>
      </c>
      <c r="N1105" s="12" t="s">
        <v>4672</v>
      </c>
      <c r="O1105" s="17" t="str">
        <f>IF(LEN(COUNTIFS($J$1:J1105,$J1105,$K$1:K1105,$K1105,$L$1:L1105,$L1105,$M$1:M1105,M1105,$N$1:N1105,N1105))=1,"00"&amp;COUNTIFS($J$1:J1105,$J1105,$K$1:K1105,$K1105,$L$1:L1105,$L1105,$M$1:M1105,M1105,$N$1:N1105,N1105),IF(LEN(COUNTIFS($J$1:J1105,$J1105,$K$1:K1105,$K1105,$L$1:L1105,$L1105,$M$1:M1105,M1105,$N$1:N1105,N1105))=2,"0"&amp;COUNTIFS($J$1:J1105,$J1105,$K$1:K1105,$K1105,$L$1:L1105,$L1105,$M$1:M1105,M1105,$N$1:N1105,N1105),COUNTIFS($J$1:J1105,$J1105,$K$1:K1105,$K1105,$L$1:L1105,$L1105,$M$1:M1105,M1105,$N$1:N1105,N1105)))</f>
        <v>025</v>
      </c>
      <c r="P110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MS-NS-023-17-00025-INV</v>
      </c>
      <c r="Q1105" s="59"/>
      <c r="R1105" s="34" t="s">
        <v>6792</v>
      </c>
      <c r="S1105" s="34" t="s">
        <v>3499</v>
      </c>
      <c r="T1105" s="34">
        <f>+IFERROR(_xlfn.XLOOKUP(Table43[[#This Row],[Column1]],#REF!,#REF!),0)</f>
        <v>0</v>
      </c>
      <c r="U1105" s="50">
        <f>IFERROR(_xlfn.XLOOKUP(Table43[[#This Row],[Column1]],#REF!,#REF!),0)</f>
        <v>0</v>
      </c>
      <c r="V1105" s="39"/>
    </row>
    <row r="1106" spans="1:22" x14ac:dyDescent="0.35">
      <c r="A1106" s="3" t="s">
        <v>5497</v>
      </c>
      <c r="B1106" s="2" t="s">
        <v>3501</v>
      </c>
      <c r="C1106" s="2" t="s">
        <v>15</v>
      </c>
      <c r="D1106" s="2">
        <v>16.5</v>
      </c>
      <c r="E1106" s="2" t="s">
        <v>10</v>
      </c>
      <c r="F1106" s="3">
        <v>5</v>
      </c>
      <c r="G1106" s="3">
        <v>25</v>
      </c>
      <c r="H1106" s="2">
        <v>10</v>
      </c>
      <c r="I1106" s="22">
        <f>Table43[[#This Row],[Item Cost]]*Table43[[#This Row],[In Stock]]</f>
        <v>165</v>
      </c>
      <c r="J1106" s="12" t="s">
        <v>4941</v>
      </c>
      <c r="K1106" s="13" t="s">
        <v>4666</v>
      </c>
      <c r="L1106" s="13" t="s">
        <v>4753</v>
      </c>
      <c r="M1106" s="13" t="s">
        <v>4834</v>
      </c>
      <c r="N1106" s="12" t="s">
        <v>4672</v>
      </c>
      <c r="O1106" s="17" t="str">
        <f>IF(LEN(COUNTIFS($J$1:J1106,$J1106,$K$1:K1106,$K1106,$L$1:L1106,$L1106,$M$1:M1106,M1106,$N$1:N1106,N1106))=1,"00"&amp;COUNTIFS($J$1:J1106,$J1106,$K$1:K1106,$K1106,$L$1:L1106,$L1106,$M$1:M1106,M1106,$N$1:N1106,N1106),IF(LEN(COUNTIFS($J$1:J1106,$J1106,$K$1:K1106,$K1106,$L$1:L1106,$L1106,$M$1:M1106,M1106,$N$1:N1106,N1106))=2,"0"&amp;COUNTIFS($J$1:J1106,$J1106,$K$1:K1106,$K1106,$L$1:L1106,$L1106,$M$1:M1106,M1106,$N$1:N1106,N1106),COUNTIFS($J$1:J1106,$J1106,$K$1:K1106,$K1106,$L$1:L1106,$L1106,$M$1:M1106,M1106,$N$1:N1106,N1106)))</f>
        <v>026</v>
      </c>
      <c r="P110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MS-NS-023-17-00026-INV</v>
      </c>
      <c r="Q1106" s="59"/>
      <c r="R1106" s="34" t="s">
        <v>6793</v>
      </c>
      <c r="S1106" s="34" t="s">
        <v>3501</v>
      </c>
      <c r="T1106" s="34">
        <f>+IFERROR(_xlfn.XLOOKUP(Table43[[#This Row],[Column1]],#REF!,#REF!),0)</f>
        <v>0</v>
      </c>
      <c r="U1106" s="50">
        <f>IFERROR(_xlfn.XLOOKUP(Table43[[#This Row],[Column1]],#REF!,#REF!),0)</f>
        <v>0</v>
      </c>
      <c r="V1106" s="39"/>
    </row>
    <row r="1107" spans="1:22" x14ac:dyDescent="0.35">
      <c r="A1107" s="3" t="s">
        <v>5498</v>
      </c>
      <c r="B1107" s="3" t="s">
        <v>3503</v>
      </c>
      <c r="C1107" s="3" t="s">
        <v>15</v>
      </c>
      <c r="D1107" s="3">
        <v>2.5</v>
      </c>
      <c r="E1107" s="3" t="s">
        <v>10</v>
      </c>
      <c r="F1107" s="3">
        <v>5</v>
      </c>
      <c r="G1107" s="3">
        <v>25</v>
      </c>
      <c r="H1107" s="3">
        <v>0</v>
      </c>
      <c r="I1107" s="21">
        <f>Table43[[#This Row],[Item Cost]]*Table43[[#This Row],[In Stock]]</f>
        <v>0</v>
      </c>
      <c r="J1107" s="12" t="s">
        <v>4941</v>
      </c>
      <c r="K1107" s="13" t="s">
        <v>4666</v>
      </c>
      <c r="L1107" s="13" t="s">
        <v>4753</v>
      </c>
      <c r="M1107" s="13" t="s">
        <v>4834</v>
      </c>
      <c r="N1107" s="12" t="s">
        <v>4672</v>
      </c>
      <c r="O1107" s="17" t="str">
        <f>IF(LEN(COUNTIFS($J$1:J1107,$J1107,$K$1:K1107,$K1107,$L$1:L1107,$L1107,$M$1:M1107,M1107,$N$1:N1107,N1107))=1,"00"&amp;COUNTIFS($J$1:J1107,$J1107,$K$1:K1107,$K1107,$L$1:L1107,$L1107,$M$1:M1107,M1107,$N$1:N1107,N1107),IF(LEN(COUNTIFS($J$1:J1107,$J1107,$K$1:K1107,$K1107,$L$1:L1107,$L1107,$M$1:M1107,M1107,$N$1:N1107,N1107))=2,"0"&amp;COUNTIFS($J$1:J1107,$J1107,$K$1:K1107,$K1107,$L$1:L1107,$L1107,$M$1:M1107,M1107,$N$1:N1107,N1107),COUNTIFS($J$1:J1107,$J1107,$K$1:K1107,$K1107,$L$1:L1107,$L1107,$M$1:M1107,M1107,$N$1:N1107,N1107)))</f>
        <v>027</v>
      </c>
      <c r="P110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MS-NS-023-17-00027-INV</v>
      </c>
      <c r="Q1107" s="59"/>
      <c r="R1107" s="34" t="s">
        <v>6794</v>
      </c>
      <c r="S1107" s="34" t="s">
        <v>3503</v>
      </c>
      <c r="T1107" s="34">
        <f>+IFERROR(_xlfn.XLOOKUP(Table43[[#This Row],[Column1]],#REF!,#REF!),0)</f>
        <v>0</v>
      </c>
      <c r="U1107" s="50">
        <f>IFERROR(_xlfn.XLOOKUP(Table43[[#This Row],[Column1]],#REF!,#REF!),0)</f>
        <v>0</v>
      </c>
      <c r="V1107" s="39"/>
    </row>
    <row r="1108" spans="1:22" x14ac:dyDescent="0.35">
      <c r="A1108" s="3" t="s">
        <v>5499</v>
      </c>
      <c r="B1108" s="2" t="s">
        <v>3505</v>
      </c>
      <c r="C1108" s="2" t="s">
        <v>15</v>
      </c>
      <c r="D1108" s="2">
        <v>3.75</v>
      </c>
      <c r="E1108" s="2" t="s">
        <v>10</v>
      </c>
      <c r="F1108" s="3">
        <v>5</v>
      </c>
      <c r="G1108" s="3">
        <v>25</v>
      </c>
      <c r="H1108" s="2">
        <v>1</v>
      </c>
      <c r="I1108" s="22">
        <f>Table43[[#This Row],[Item Cost]]*Table43[[#This Row],[In Stock]]</f>
        <v>3.75</v>
      </c>
      <c r="J1108" s="12" t="s">
        <v>4941</v>
      </c>
      <c r="K1108" s="13" t="s">
        <v>4666</v>
      </c>
      <c r="L1108" s="14" t="s">
        <v>4753</v>
      </c>
      <c r="M1108" s="13" t="s">
        <v>4834</v>
      </c>
      <c r="N1108" s="12" t="s">
        <v>4672</v>
      </c>
      <c r="O1108" s="17" t="str">
        <f>IF(LEN(COUNTIFS($J$1:J1108,$J1108,$K$1:K1108,$K1108,$L$1:L1108,$L1108,$M$1:M1108,M1108,$N$1:N1108,N1108))=1,"00"&amp;COUNTIFS($J$1:J1108,$J1108,$K$1:K1108,$K1108,$L$1:L1108,$L1108,$M$1:M1108,M1108,$N$1:N1108,N1108),IF(LEN(COUNTIFS($J$1:J1108,$J1108,$K$1:K1108,$K1108,$L$1:L1108,$L1108,$M$1:M1108,M1108,$N$1:N1108,N1108))=2,"0"&amp;COUNTIFS($J$1:J1108,$J1108,$K$1:K1108,$K1108,$L$1:L1108,$L1108,$M$1:M1108,M1108,$N$1:N1108,N1108),COUNTIFS($J$1:J1108,$J1108,$K$1:K1108,$K1108,$L$1:L1108,$L1108,$M$1:M1108,M1108,$N$1:N1108,N1108)))</f>
        <v>028</v>
      </c>
      <c r="P110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MS-NS-023-17-00028-INV</v>
      </c>
      <c r="Q1108" s="59"/>
      <c r="R1108" s="34" t="s">
        <v>6795</v>
      </c>
      <c r="S1108" s="34" t="s">
        <v>3505</v>
      </c>
      <c r="T1108" s="34">
        <f>+IFERROR(_xlfn.XLOOKUP(Table43[[#This Row],[Column1]],#REF!,#REF!),0)</f>
        <v>0</v>
      </c>
      <c r="U1108" s="50">
        <f>IFERROR(_xlfn.XLOOKUP(Table43[[#This Row],[Column1]],#REF!,#REF!),0)</f>
        <v>0</v>
      </c>
      <c r="V1108" s="39"/>
    </row>
    <row r="1109" spans="1:22" x14ac:dyDescent="0.35">
      <c r="A1109" s="3" t="s">
        <v>5500</v>
      </c>
      <c r="B1109" s="3" t="s">
        <v>3507</v>
      </c>
      <c r="C1109" s="3" t="s">
        <v>15</v>
      </c>
      <c r="D1109" s="3">
        <v>3.75</v>
      </c>
      <c r="E1109" s="3" t="s">
        <v>10</v>
      </c>
      <c r="F1109" s="3">
        <v>5</v>
      </c>
      <c r="G1109" s="3">
        <v>25</v>
      </c>
      <c r="H1109" s="3">
        <v>1</v>
      </c>
      <c r="I1109" s="21">
        <f>Table43[[#This Row],[Item Cost]]*Table43[[#This Row],[In Stock]]</f>
        <v>3.75</v>
      </c>
      <c r="J1109" s="12" t="s">
        <v>4941</v>
      </c>
      <c r="K1109" s="13" t="s">
        <v>4666</v>
      </c>
      <c r="L1109" s="13" t="s">
        <v>4753</v>
      </c>
      <c r="M1109" s="13" t="s">
        <v>4834</v>
      </c>
      <c r="N1109" s="12" t="s">
        <v>4672</v>
      </c>
      <c r="O1109" s="17" t="str">
        <f>IF(LEN(COUNTIFS($J$1:J1109,$J1109,$K$1:K1109,$K1109,$L$1:L1109,$L1109,$M$1:M1109,M1109,$N$1:N1109,N1109))=1,"00"&amp;COUNTIFS($J$1:J1109,$J1109,$K$1:K1109,$K1109,$L$1:L1109,$L1109,$M$1:M1109,M1109,$N$1:N1109,N1109),IF(LEN(COUNTIFS($J$1:J1109,$J1109,$K$1:K1109,$K1109,$L$1:L1109,$L1109,$M$1:M1109,M1109,$N$1:N1109,N1109))=2,"0"&amp;COUNTIFS($J$1:J1109,$J1109,$K$1:K1109,$K1109,$L$1:L1109,$L1109,$M$1:M1109,M1109,$N$1:N1109,N1109),COUNTIFS($J$1:J1109,$J1109,$K$1:K1109,$K1109,$L$1:L1109,$L1109,$M$1:M1109,M1109,$N$1:N1109,N1109)))</f>
        <v>029</v>
      </c>
      <c r="P110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MS-NS-023-17-00029-INV</v>
      </c>
      <c r="Q1109" s="59" t="s">
        <v>7384</v>
      </c>
      <c r="R1109" s="34" t="s">
        <v>6796</v>
      </c>
      <c r="S1109" s="34" t="s">
        <v>3507</v>
      </c>
      <c r="T1109" s="34">
        <f>+IFERROR(_xlfn.XLOOKUP(Table43[[#This Row],[Column1]],#REF!,#REF!),0)</f>
        <v>0</v>
      </c>
      <c r="U1109" s="50">
        <f>IFERROR(_xlfn.XLOOKUP(Table43[[#This Row],[Column1]],#REF!,#REF!),0)</f>
        <v>0</v>
      </c>
      <c r="V1109" s="39"/>
    </row>
    <row r="1110" spans="1:22" x14ac:dyDescent="0.35">
      <c r="A1110" s="3" t="s">
        <v>5501</v>
      </c>
      <c r="B1110" s="2" t="s">
        <v>3509</v>
      </c>
      <c r="C1110" s="2" t="s">
        <v>15</v>
      </c>
      <c r="D1110" s="2">
        <v>4</v>
      </c>
      <c r="E1110" s="2" t="s">
        <v>10</v>
      </c>
      <c r="F1110" s="3">
        <v>5</v>
      </c>
      <c r="G1110" s="3">
        <v>25</v>
      </c>
      <c r="H1110" s="2">
        <v>1</v>
      </c>
      <c r="I1110" s="22">
        <f>Table43[[#This Row],[Item Cost]]*Table43[[#This Row],[In Stock]]</f>
        <v>4</v>
      </c>
      <c r="J1110" s="12" t="s">
        <v>4941</v>
      </c>
      <c r="K1110" s="13" t="s">
        <v>4666</v>
      </c>
      <c r="L1110" s="13" t="s">
        <v>4753</v>
      </c>
      <c r="M1110" s="13" t="s">
        <v>4834</v>
      </c>
      <c r="N1110" s="12" t="s">
        <v>4672</v>
      </c>
      <c r="O1110" s="17" t="str">
        <f>IF(LEN(COUNTIFS($J$1:J1110,$J1110,$K$1:K1110,$K1110,$L$1:L1110,$L1110,$M$1:M1110,M1110,$N$1:N1110,N1110))=1,"00"&amp;COUNTIFS($J$1:J1110,$J1110,$K$1:K1110,$K1110,$L$1:L1110,$L1110,$M$1:M1110,M1110,$N$1:N1110,N1110),IF(LEN(COUNTIFS($J$1:J1110,$J1110,$K$1:K1110,$K1110,$L$1:L1110,$L1110,$M$1:M1110,M1110,$N$1:N1110,N1110))=2,"0"&amp;COUNTIFS($J$1:J1110,$J1110,$K$1:K1110,$K1110,$L$1:L1110,$L1110,$M$1:M1110,M1110,$N$1:N1110,N1110),COUNTIFS($J$1:J1110,$J1110,$K$1:K1110,$K1110,$L$1:L1110,$L1110,$M$1:M1110,M1110,$N$1:N1110,N1110)))</f>
        <v>030</v>
      </c>
      <c r="P111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MS-NS-023-17-00030-INV</v>
      </c>
      <c r="Q1110" s="59" t="s">
        <v>7385</v>
      </c>
      <c r="R1110" s="34" t="s">
        <v>6797</v>
      </c>
      <c r="S1110" s="34" t="s">
        <v>3509</v>
      </c>
      <c r="T1110" s="34">
        <f>+IFERROR(_xlfn.XLOOKUP(Table43[[#This Row],[Column1]],#REF!,#REF!),0)</f>
        <v>0</v>
      </c>
      <c r="U1110" s="50">
        <f>IFERROR(_xlfn.XLOOKUP(Table43[[#This Row],[Column1]],#REF!,#REF!),0)</f>
        <v>0</v>
      </c>
      <c r="V1110" s="39"/>
    </row>
    <row r="1111" spans="1:22" x14ac:dyDescent="0.35">
      <c r="A1111" s="3" t="s">
        <v>5502</v>
      </c>
      <c r="B1111" s="3" t="s">
        <v>3511</v>
      </c>
      <c r="C1111" s="3" t="s">
        <v>15</v>
      </c>
      <c r="D1111" s="3">
        <v>6</v>
      </c>
      <c r="E1111" s="3" t="s">
        <v>10</v>
      </c>
      <c r="F1111" s="3">
        <v>5</v>
      </c>
      <c r="G1111" s="3">
        <v>25</v>
      </c>
      <c r="H1111" s="3">
        <v>1</v>
      </c>
      <c r="I1111" s="21">
        <f>Table43[[#This Row],[Item Cost]]*Table43[[#This Row],[In Stock]]</f>
        <v>6</v>
      </c>
      <c r="J1111" s="12" t="s">
        <v>4941</v>
      </c>
      <c r="K1111" s="13" t="s">
        <v>4666</v>
      </c>
      <c r="L1111" s="13" t="s">
        <v>4753</v>
      </c>
      <c r="M1111" s="13" t="s">
        <v>4834</v>
      </c>
      <c r="N1111" s="12" t="s">
        <v>4672</v>
      </c>
      <c r="O1111" s="17" t="str">
        <f>IF(LEN(COUNTIFS($J$1:J1111,$J1111,$K$1:K1111,$K1111,$L$1:L1111,$L1111,$M$1:M1111,M1111,$N$1:N1111,N1111))=1,"00"&amp;COUNTIFS($J$1:J1111,$J1111,$K$1:K1111,$K1111,$L$1:L1111,$L1111,$M$1:M1111,M1111,$N$1:N1111,N1111),IF(LEN(COUNTIFS($J$1:J1111,$J1111,$K$1:K1111,$K1111,$L$1:L1111,$L1111,$M$1:M1111,M1111,$N$1:N1111,N1111))=2,"0"&amp;COUNTIFS($J$1:J1111,$J1111,$K$1:K1111,$K1111,$L$1:L1111,$L1111,$M$1:M1111,M1111,$N$1:N1111,N1111),COUNTIFS($J$1:J1111,$J1111,$K$1:K1111,$K1111,$L$1:L1111,$L1111,$M$1:M1111,M1111,$N$1:N1111,N1111)))</f>
        <v>031</v>
      </c>
      <c r="P111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MS-NS-023-17-00031-INV</v>
      </c>
      <c r="Q1111" s="59" t="s">
        <v>7382</v>
      </c>
      <c r="R1111" s="34" t="s">
        <v>6798</v>
      </c>
      <c r="S1111" s="34" t="s">
        <v>3511</v>
      </c>
      <c r="T1111" s="34">
        <f>+IFERROR(_xlfn.XLOOKUP(Table43[[#This Row],[Column1]],#REF!,#REF!),0)</f>
        <v>0</v>
      </c>
      <c r="U1111" s="50">
        <f>IFERROR(_xlfn.XLOOKUP(Table43[[#This Row],[Column1]],#REF!,#REF!),0)</f>
        <v>0</v>
      </c>
      <c r="V1111" s="39"/>
    </row>
    <row r="1112" spans="1:22" x14ac:dyDescent="0.35">
      <c r="A1112" s="3" t="s">
        <v>5503</v>
      </c>
      <c r="B1112" s="2" t="s">
        <v>3513</v>
      </c>
      <c r="C1112" s="2" t="s">
        <v>15</v>
      </c>
      <c r="D1112" s="2">
        <v>8.5</v>
      </c>
      <c r="E1112" s="2" t="s">
        <v>10</v>
      </c>
      <c r="F1112" s="3">
        <v>5</v>
      </c>
      <c r="G1112" s="3">
        <v>25</v>
      </c>
      <c r="H1112" s="2">
        <v>0</v>
      </c>
      <c r="I1112" s="22">
        <f>Table43[[#This Row],[Item Cost]]*Table43[[#This Row],[In Stock]]</f>
        <v>0</v>
      </c>
      <c r="J1112" s="12" t="s">
        <v>4941</v>
      </c>
      <c r="K1112" s="13" t="s">
        <v>4666</v>
      </c>
      <c r="L1112" s="13" t="s">
        <v>4753</v>
      </c>
      <c r="M1112" s="13" t="s">
        <v>4834</v>
      </c>
      <c r="N1112" s="12" t="s">
        <v>4672</v>
      </c>
      <c r="O1112" s="17" t="str">
        <f>IF(LEN(COUNTIFS($J$1:J1112,$J1112,$K$1:K1112,$K1112,$L$1:L1112,$L1112,$M$1:M1112,M1112,$N$1:N1112,N1112))=1,"00"&amp;COUNTIFS($J$1:J1112,$J1112,$K$1:K1112,$K1112,$L$1:L1112,$L1112,$M$1:M1112,M1112,$N$1:N1112,N1112),IF(LEN(COUNTIFS($J$1:J1112,$J1112,$K$1:K1112,$K1112,$L$1:L1112,$L1112,$M$1:M1112,M1112,$N$1:N1112,N1112))=2,"0"&amp;COUNTIFS($J$1:J1112,$J1112,$K$1:K1112,$K1112,$L$1:L1112,$L1112,$M$1:M1112,M1112,$N$1:N1112,N1112),COUNTIFS($J$1:J1112,$J1112,$K$1:K1112,$K1112,$L$1:L1112,$L1112,$M$1:M1112,M1112,$N$1:N1112,N1112)))</f>
        <v>032</v>
      </c>
      <c r="P111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MS-NS-023-17-00032-INV</v>
      </c>
      <c r="Q1112" s="59"/>
      <c r="R1112" s="34" t="s">
        <v>6799</v>
      </c>
      <c r="S1112" s="34" t="s">
        <v>3513</v>
      </c>
      <c r="T1112" s="34">
        <f>+IFERROR(_xlfn.XLOOKUP(Table43[[#This Row],[Column1]],#REF!,#REF!),0)</f>
        <v>0</v>
      </c>
      <c r="U1112" s="50">
        <f>IFERROR(_xlfn.XLOOKUP(Table43[[#This Row],[Column1]],#REF!,#REF!),0)</f>
        <v>0</v>
      </c>
      <c r="V1112" s="39"/>
    </row>
    <row r="1113" spans="1:22" x14ac:dyDescent="0.35">
      <c r="A1113" s="3" t="s">
        <v>5504</v>
      </c>
      <c r="B1113" s="3" t="s">
        <v>3515</v>
      </c>
      <c r="C1113" s="3" t="s">
        <v>15</v>
      </c>
      <c r="D1113" s="3">
        <v>9.75</v>
      </c>
      <c r="E1113" s="3" t="s">
        <v>10</v>
      </c>
      <c r="F1113" s="3">
        <v>5</v>
      </c>
      <c r="G1113" s="3">
        <v>25</v>
      </c>
      <c r="H1113" s="3">
        <v>10</v>
      </c>
      <c r="I1113" s="21">
        <f>Table43[[#This Row],[Item Cost]]*Table43[[#This Row],[In Stock]]</f>
        <v>97.5</v>
      </c>
      <c r="J1113" s="12" t="s">
        <v>4941</v>
      </c>
      <c r="K1113" s="13" t="s">
        <v>4666</v>
      </c>
      <c r="L1113" s="13" t="s">
        <v>4753</v>
      </c>
      <c r="M1113" s="13" t="s">
        <v>4834</v>
      </c>
      <c r="N1113" s="12" t="s">
        <v>4672</v>
      </c>
      <c r="O1113" s="17" t="str">
        <f>IF(LEN(COUNTIFS($J$1:J1113,$J1113,$K$1:K1113,$K1113,$L$1:L1113,$L1113,$M$1:M1113,M1113,$N$1:N1113,N1113))=1,"00"&amp;COUNTIFS($J$1:J1113,$J1113,$K$1:K1113,$K1113,$L$1:L1113,$L1113,$M$1:M1113,M1113,$N$1:N1113,N1113),IF(LEN(COUNTIFS($J$1:J1113,$J1113,$K$1:K1113,$K1113,$L$1:L1113,$L1113,$M$1:M1113,M1113,$N$1:N1113,N1113))=2,"0"&amp;COUNTIFS($J$1:J1113,$J1113,$K$1:K1113,$K1113,$L$1:L1113,$L1113,$M$1:M1113,M1113,$N$1:N1113,N1113),COUNTIFS($J$1:J1113,$J1113,$K$1:K1113,$K1113,$L$1:L1113,$L1113,$M$1:M1113,M1113,$N$1:N1113,N1113)))</f>
        <v>033</v>
      </c>
      <c r="P111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MS-NS-023-17-00033-INV</v>
      </c>
      <c r="Q1113" s="59"/>
      <c r="R1113" s="34" t="s">
        <v>6800</v>
      </c>
      <c r="S1113" s="34" t="s">
        <v>3515</v>
      </c>
      <c r="T1113" s="34">
        <f>+IFERROR(_xlfn.XLOOKUP(Table43[[#This Row],[Column1]],#REF!,#REF!),0)</f>
        <v>0</v>
      </c>
      <c r="U1113" s="50">
        <f>IFERROR(_xlfn.XLOOKUP(Table43[[#This Row],[Column1]],#REF!,#REF!),0)</f>
        <v>0</v>
      </c>
      <c r="V1113" s="39"/>
    </row>
    <row r="1114" spans="1:22" x14ac:dyDescent="0.35">
      <c r="A1114" s="3" t="s">
        <v>5505</v>
      </c>
      <c r="B1114" s="2" t="s">
        <v>3517</v>
      </c>
      <c r="C1114" s="2" t="s">
        <v>15</v>
      </c>
      <c r="D1114" s="2">
        <v>10.5</v>
      </c>
      <c r="E1114" s="2" t="s">
        <v>10</v>
      </c>
      <c r="F1114" s="3">
        <v>5</v>
      </c>
      <c r="G1114" s="3">
        <v>25</v>
      </c>
      <c r="H1114" s="2">
        <v>2</v>
      </c>
      <c r="I1114" s="22">
        <f>Table43[[#This Row],[Item Cost]]*Table43[[#This Row],[In Stock]]</f>
        <v>21</v>
      </c>
      <c r="J1114" s="12" t="s">
        <v>4941</v>
      </c>
      <c r="K1114" s="13" t="s">
        <v>4666</v>
      </c>
      <c r="L1114" s="13" t="s">
        <v>4753</v>
      </c>
      <c r="M1114" s="13" t="s">
        <v>4834</v>
      </c>
      <c r="N1114" s="12" t="s">
        <v>4672</v>
      </c>
      <c r="O1114" s="17" t="str">
        <f>IF(LEN(COUNTIFS($J$1:J1114,$J1114,$K$1:K1114,$K1114,$L$1:L1114,$L1114,$M$1:M1114,M1114,$N$1:N1114,N1114))=1,"00"&amp;COUNTIFS($J$1:J1114,$J1114,$K$1:K1114,$K1114,$L$1:L1114,$L1114,$M$1:M1114,M1114,$N$1:N1114,N1114),IF(LEN(COUNTIFS($J$1:J1114,$J1114,$K$1:K1114,$K1114,$L$1:L1114,$L1114,$M$1:M1114,M1114,$N$1:N1114,N1114))=2,"0"&amp;COUNTIFS($J$1:J1114,$J1114,$K$1:K1114,$K1114,$L$1:L1114,$L1114,$M$1:M1114,M1114,$N$1:N1114,N1114),COUNTIFS($J$1:J1114,$J1114,$K$1:K1114,$K1114,$L$1:L1114,$L1114,$M$1:M1114,M1114,$N$1:N1114,N1114)))</f>
        <v>034</v>
      </c>
      <c r="P111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MS-NS-023-17-00034-INV</v>
      </c>
      <c r="Q1114" s="59"/>
      <c r="R1114" s="34" t="s">
        <v>6801</v>
      </c>
      <c r="S1114" s="34" t="s">
        <v>3517</v>
      </c>
      <c r="T1114" s="34">
        <f>+IFERROR(_xlfn.XLOOKUP(Table43[[#This Row],[Column1]],#REF!,#REF!),0)</f>
        <v>0</v>
      </c>
      <c r="U1114" s="50">
        <f>IFERROR(_xlfn.XLOOKUP(Table43[[#This Row],[Column1]],#REF!,#REF!),0)</f>
        <v>0</v>
      </c>
      <c r="V1114" s="39"/>
    </row>
    <row r="1115" spans="1:22" x14ac:dyDescent="0.35">
      <c r="A1115" s="3" t="s">
        <v>5506</v>
      </c>
      <c r="B1115" s="3" t="s">
        <v>3519</v>
      </c>
      <c r="C1115" s="3" t="s">
        <v>15</v>
      </c>
      <c r="D1115" s="3">
        <v>12</v>
      </c>
      <c r="E1115" s="3" t="s">
        <v>10</v>
      </c>
      <c r="F1115" s="3">
        <v>5</v>
      </c>
      <c r="G1115" s="3">
        <v>25</v>
      </c>
      <c r="H1115" s="3">
        <v>0</v>
      </c>
      <c r="I1115" s="21">
        <f>Table43[[#This Row],[Item Cost]]*Table43[[#This Row],[In Stock]]</f>
        <v>0</v>
      </c>
      <c r="J1115" s="12" t="s">
        <v>4941</v>
      </c>
      <c r="K1115" s="13" t="s">
        <v>4666</v>
      </c>
      <c r="L1115" s="13" t="s">
        <v>4753</v>
      </c>
      <c r="M1115" s="13" t="s">
        <v>4834</v>
      </c>
      <c r="N1115" s="12" t="s">
        <v>4672</v>
      </c>
      <c r="O1115" s="17" t="str">
        <f>IF(LEN(COUNTIFS($J$1:J1115,$J1115,$K$1:K1115,$K1115,$L$1:L1115,$L1115,$M$1:M1115,M1115,$N$1:N1115,N1115))=1,"00"&amp;COUNTIFS($J$1:J1115,$J1115,$K$1:K1115,$K1115,$L$1:L1115,$L1115,$M$1:M1115,M1115,$N$1:N1115,N1115),IF(LEN(COUNTIFS($J$1:J1115,$J1115,$K$1:K1115,$K1115,$L$1:L1115,$L1115,$M$1:M1115,M1115,$N$1:N1115,N1115))=2,"0"&amp;COUNTIFS($J$1:J1115,$J1115,$K$1:K1115,$K1115,$L$1:L1115,$L1115,$M$1:M1115,M1115,$N$1:N1115,N1115),COUNTIFS($J$1:J1115,$J1115,$K$1:K1115,$K1115,$L$1:L1115,$L1115,$M$1:M1115,M1115,$N$1:N1115,N1115)))</f>
        <v>035</v>
      </c>
      <c r="P111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MS-NS-023-17-00035-INV</v>
      </c>
      <c r="Q1115" s="59"/>
      <c r="R1115" s="34" t="s">
        <v>6802</v>
      </c>
      <c r="S1115" s="34" t="s">
        <v>3519</v>
      </c>
      <c r="T1115" s="34">
        <f>+IFERROR(_xlfn.XLOOKUP(Table43[[#This Row],[Column1]],#REF!,#REF!),0)</f>
        <v>0</v>
      </c>
      <c r="U1115" s="50">
        <f>IFERROR(_xlfn.XLOOKUP(Table43[[#This Row],[Column1]],#REF!,#REF!),0)</f>
        <v>0</v>
      </c>
      <c r="V1115" s="39"/>
    </row>
    <row r="1116" spans="1:22" x14ac:dyDescent="0.35">
      <c r="A1116" s="3" t="s">
        <v>5507</v>
      </c>
      <c r="B1116" s="2" t="s">
        <v>3521</v>
      </c>
      <c r="C1116" s="2" t="s">
        <v>15</v>
      </c>
      <c r="D1116" s="2">
        <v>25</v>
      </c>
      <c r="E1116" s="2" t="s">
        <v>10</v>
      </c>
      <c r="F1116" s="3">
        <v>5</v>
      </c>
      <c r="G1116" s="3">
        <v>25</v>
      </c>
      <c r="H1116" s="2">
        <v>0</v>
      </c>
      <c r="I1116" s="22">
        <f>Table43[[#This Row],[Item Cost]]*Table43[[#This Row],[In Stock]]</f>
        <v>0</v>
      </c>
      <c r="J1116" s="12" t="s">
        <v>4941</v>
      </c>
      <c r="K1116" s="13" t="s">
        <v>4666</v>
      </c>
      <c r="L1116" s="13" t="s">
        <v>4753</v>
      </c>
      <c r="M1116" s="13" t="s">
        <v>4834</v>
      </c>
      <c r="N1116" s="12" t="s">
        <v>4672</v>
      </c>
      <c r="O1116" s="17" t="str">
        <f>IF(LEN(COUNTIFS($J$1:J1116,$J1116,$K$1:K1116,$K1116,$L$1:L1116,$L1116,$M$1:M1116,M1116,$N$1:N1116,N1116))=1,"00"&amp;COUNTIFS($J$1:J1116,$J1116,$K$1:K1116,$K1116,$L$1:L1116,$L1116,$M$1:M1116,M1116,$N$1:N1116,N1116),IF(LEN(COUNTIFS($J$1:J1116,$J1116,$K$1:K1116,$K1116,$L$1:L1116,$L1116,$M$1:M1116,M1116,$N$1:N1116,N1116))=2,"0"&amp;COUNTIFS($J$1:J1116,$J1116,$K$1:K1116,$K1116,$L$1:L1116,$L1116,$M$1:M1116,M1116,$N$1:N1116,N1116),COUNTIFS($J$1:J1116,$J1116,$K$1:K1116,$K1116,$L$1:L1116,$L1116,$M$1:M1116,M1116,$N$1:N1116,N1116)))</f>
        <v>036</v>
      </c>
      <c r="P111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MS-NS-023-17-00036-INV</v>
      </c>
      <c r="Q1116" s="59"/>
      <c r="R1116" s="34" t="s">
        <v>6803</v>
      </c>
      <c r="S1116" s="34" t="s">
        <v>3521</v>
      </c>
      <c r="T1116" s="34">
        <f>+IFERROR(_xlfn.XLOOKUP(Table43[[#This Row],[Column1]],#REF!,#REF!),0)</f>
        <v>0</v>
      </c>
      <c r="U1116" s="50">
        <f>IFERROR(_xlfn.XLOOKUP(Table43[[#This Row],[Column1]],#REF!,#REF!),0)</f>
        <v>0</v>
      </c>
      <c r="V1116" s="39"/>
    </row>
    <row r="1117" spans="1:22" x14ac:dyDescent="0.35">
      <c r="A1117" s="3" t="s">
        <v>5508</v>
      </c>
      <c r="B1117" s="3" t="s">
        <v>3523</v>
      </c>
      <c r="C1117" s="3" t="s">
        <v>15</v>
      </c>
      <c r="D1117" s="3">
        <v>25</v>
      </c>
      <c r="E1117" s="3" t="s">
        <v>10</v>
      </c>
      <c r="F1117" s="3">
        <v>5</v>
      </c>
      <c r="G1117" s="3">
        <v>25</v>
      </c>
      <c r="H1117" s="3">
        <v>0</v>
      </c>
      <c r="I1117" s="21">
        <f>Table43[[#This Row],[Item Cost]]*Table43[[#This Row],[In Stock]]</f>
        <v>0</v>
      </c>
      <c r="J1117" s="12" t="s">
        <v>4941</v>
      </c>
      <c r="K1117" s="13" t="s">
        <v>4666</v>
      </c>
      <c r="L1117" s="13" t="s">
        <v>4753</v>
      </c>
      <c r="M1117" s="13" t="s">
        <v>4834</v>
      </c>
      <c r="N1117" s="12" t="s">
        <v>4672</v>
      </c>
      <c r="O1117" s="17" t="str">
        <f>IF(LEN(COUNTIFS($J$1:J1117,$J1117,$K$1:K1117,$K1117,$L$1:L1117,$L1117,$M$1:M1117,M1117,$N$1:N1117,N1117))=1,"00"&amp;COUNTIFS($J$1:J1117,$J1117,$K$1:K1117,$K1117,$L$1:L1117,$L1117,$M$1:M1117,M1117,$N$1:N1117,N1117),IF(LEN(COUNTIFS($J$1:J1117,$J1117,$K$1:K1117,$K1117,$L$1:L1117,$L1117,$M$1:M1117,M1117,$N$1:N1117,N1117))=2,"0"&amp;COUNTIFS($J$1:J1117,$J1117,$K$1:K1117,$K1117,$L$1:L1117,$L1117,$M$1:M1117,M1117,$N$1:N1117,N1117),COUNTIFS($J$1:J1117,$J1117,$K$1:K1117,$K1117,$L$1:L1117,$L1117,$M$1:M1117,M1117,$N$1:N1117,N1117)))</f>
        <v>037</v>
      </c>
      <c r="P111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MS-NS-023-17-00037-INV</v>
      </c>
      <c r="Q1117" s="59"/>
      <c r="R1117" s="34" t="s">
        <v>6804</v>
      </c>
      <c r="S1117" s="34" t="s">
        <v>3523</v>
      </c>
      <c r="T1117" s="34">
        <f>+IFERROR(_xlfn.XLOOKUP(Table43[[#This Row],[Column1]],#REF!,#REF!),0)</f>
        <v>0</v>
      </c>
      <c r="U1117" s="50">
        <f>IFERROR(_xlfn.XLOOKUP(Table43[[#This Row],[Column1]],#REF!,#REF!),0)</f>
        <v>0</v>
      </c>
      <c r="V1117" s="39"/>
    </row>
    <row r="1118" spans="1:22" x14ac:dyDescent="0.35">
      <c r="A1118" s="3" t="s">
        <v>5509</v>
      </c>
      <c r="B1118" s="2" t="s">
        <v>3525</v>
      </c>
      <c r="C1118" s="2" t="s">
        <v>15</v>
      </c>
      <c r="D1118" s="2">
        <v>25</v>
      </c>
      <c r="E1118" s="2" t="s">
        <v>10</v>
      </c>
      <c r="F1118" s="3">
        <v>5</v>
      </c>
      <c r="G1118" s="3">
        <v>25</v>
      </c>
      <c r="H1118" s="2">
        <v>1</v>
      </c>
      <c r="I1118" s="22">
        <f>Table43[[#This Row],[Item Cost]]*Table43[[#This Row],[In Stock]]</f>
        <v>25</v>
      </c>
      <c r="J1118" s="12" t="s">
        <v>4941</v>
      </c>
      <c r="K1118" s="13" t="s">
        <v>4666</v>
      </c>
      <c r="L1118" s="13" t="s">
        <v>4753</v>
      </c>
      <c r="M1118" s="13" t="s">
        <v>4834</v>
      </c>
      <c r="N1118" s="12" t="s">
        <v>4672</v>
      </c>
      <c r="O1118" s="17" t="str">
        <f>IF(LEN(COUNTIFS($J$1:J1118,$J1118,$K$1:K1118,$K1118,$L$1:L1118,$L1118,$M$1:M1118,M1118,$N$1:N1118,N1118))=1,"00"&amp;COUNTIFS($J$1:J1118,$J1118,$K$1:K1118,$K1118,$L$1:L1118,$L1118,$M$1:M1118,M1118,$N$1:N1118,N1118),IF(LEN(COUNTIFS($J$1:J1118,$J1118,$K$1:K1118,$K1118,$L$1:L1118,$L1118,$M$1:M1118,M1118,$N$1:N1118,N1118))=2,"0"&amp;COUNTIFS($J$1:J1118,$J1118,$K$1:K1118,$K1118,$L$1:L1118,$L1118,$M$1:M1118,M1118,$N$1:N1118,N1118),COUNTIFS($J$1:J1118,$J1118,$K$1:K1118,$K1118,$L$1:L1118,$L1118,$M$1:M1118,M1118,$N$1:N1118,N1118)))</f>
        <v>038</v>
      </c>
      <c r="P111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MS-NS-023-17-00038-INV</v>
      </c>
      <c r="Q1118" s="59"/>
      <c r="R1118" s="34" t="s">
        <v>6805</v>
      </c>
      <c r="S1118" s="34" t="s">
        <v>3525</v>
      </c>
      <c r="T1118" s="34">
        <f>+IFERROR(_xlfn.XLOOKUP(Table43[[#This Row],[Column1]],#REF!,#REF!),0)</f>
        <v>0</v>
      </c>
      <c r="U1118" s="50">
        <f>IFERROR(_xlfn.XLOOKUP(Table43[[#This Row],[Column1]],#REF!,#REF!),0)</f>
        <v>0</v>
      </c>
      <c r="V1118" s="39"/>
    </row>
    <row r="1119" spans="1:22" x14ac:dyDescent="0.35">
      <c r="A1119" s="3" t="s">
        <v>5510</v>
      </c>
      <c r="B1119" s="3" t="s">
        <v>3527</v>
      </c>
      <c r="C1119" s="3" t="s">
        <v>15</v>
      </c>
      <c r="D1119" s="3">
        <v>27</v>
      </c>
      <c r="E1119" s="3" t="s">
        <v>10</v>
      </c>
      <c r="F1119" s="3">
        <v>5</v>
      </c>
      <c r="G1119" s="3">
        <v>25</v>
      </c>
      <c r="H1119" s="3">
        <v>2</v>
      </c>
      <c r="I1119" s="21">
        <f>Table43[[#This Row],[Item Cost]]*Table43[[#This Row],[In Stock]]</f>
        <v>54</v>
      </c>
      <c r="J1119" s="12" t="s">
        <v>4941</v>
      </c>
      <c r="K1119" s="13" t="s">
        <v>4666</v>
      </c>
      <c r="L1119" s="13" t="s">
        <v>4753</v>
      </c>
      <c r="M1119" s="13" t="s">
        <v>4834</v>
      </c>
      <c r="N1119" s="12" t="s">
        <v>4672</v>
      </c>
      <c r="O1119" s="17" t="str">
        <f>IF(LEN(COUNTIFS($J$1:J1119,$J1119,$K$1:K1119,$K1119,$L$1:L1119,$L1119,$M$1:M1119,M1119,$N$1:N1119,N1119))=1,"00"&amp;COUNTIFS($J$1:J1119,$J1119,$K$1:K1119,$K1119,$L$1:L1119,$L1119,$M$1:M1119,M1119,$N$1:N1119,N1119),IF(LEN(COUNTIFS($J$1:J1119,$J1119,$K$1:K1119,$K1119,$L$1:L1119,$L1119,$M$1:M1119,M1119,$N$1:N1119,N1119))=2,"0"&amp;COUNTIFS($J$1:J1119,$J1119,$K$1:K1119,$K1119,$L$1:L1119,$L1119,$M$1:M1119,M1119,$N$1:N1119,N1119),COUNTIFS($J$1:J1119,$J1119,$K$1:K1119,$K1119,$L$1:L1119,$L1119,$M$1:M1119,M1119,$N$1:N1119,N1119)))</f>
        <v>039</v>
      </c>
      <c r="P111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MS-NS-023-17-00039-INV</v>
      </c>
      <c r="Q1119" s="59"/>
      <c r="R1119" s="34" t="s">
        <v>6806</v>
      </c>
      <c r="S1119" s="34" t="s">
        <v>3527</v>
      </c>
      <c r="T1119" s="34">
        <f>+IFERROR(_xlfn.XLOOKUP(Table43[[#This Row],[Column1]],#REF!,#REF!),0)</f>
        <v>0</v>
      </c>
      <c r="U1119" s="50">
        <f>IFERROR(_xlfn.XLOOKUP(Table43[[#This Row],[Column1]],#REF!,#REF!),0)</f>
        <v>0</v>
      </c>
      <c r="V1119" s="39"/>
    </row>
    <row r="1120" spans="1:22" x14ac:dyDescent="0.35">
      <c r="A1120" s="3" t="s">
        <v>5511</v>
      </c>
      <c r="B1120" s="2" t="s">
        <v>3529</v>
      </c>
      <c r="C1120" s="2" t="s">
        <v>15</v>
      </c>
      <c r="D1120" s="2">
        <v>10.25</v>
      </c>
      <c r="E1120" s="2" t="s">
        <v>10</v>
      </c>
      <c r="F1120" s="3">
        <v>5</v>
      </c>
      <c r="G1120" s="3">
        <v>25</v>
      </c>
      <c r="H1120" s="2">
        <v>10</v>
      </c>
      <c r="I1120" s="22">
        <f>Table43[[#This Row],[Item Cost]]*Table43[[#This Row],[In Stock]]</f>
        <v>102.5</v>
      </c>
      <c r="J1120" s="12" t="s">
        <v>4941</v>
      </c>
      <c r="K1120" s="13" t="s">
        <v>4666</v>
      </c>
      <c r="L1120" s="13" t="s">
        <v>4753</v>
      </c>
      <c r="M1120" s="13" t="s">
        <v>4834</v>
      </c>
      <c r="N1120" s="12" t="s">
        <v>4672</v>
      </c>
      <c r="O1120" s="17" t="str">
        <f>IF(LEN(COUNTIFS($J$1:J1120,$J1120,$K$1:K1120,$K1120,$L$1:L1120,$L1120,$M$1:M1120,M1120,$N$1:N1120,N1120))=1,"00"&amp;COUNTIFS($J$1:J1120,$J1120,$K$1:K1120,$K1120,$L$1:L1120,$L1120,$M$1:M1120,M1120,$N$1:N1120,N1120),IF(LEN(COUNTIFS($J$1:J1120,$J1120,$K$1:K1120,$K1120,$L$1:L1120,$L1120,$M$1:M1120,M1120,$N$1:N1120,N1120))=2,"0"&amp;COUNTIFS($J$1:J1120,$J1120,$K$1:K1120,$K1120,$L$1:L1120,$L1120,$M$1:M1120,M1120,$N$1:N1120,N1120),COUNTIFS($J$1:J1120,$J1120,$K$1:K1120,$K1120,$L$1:L1120,$L1120,$M$1:M1120,M1120,$N$1:N1120,N1120)))</f>
        <v>040</v>
      </c>
      <c r="P112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MS-NS-023-17-00040-INV</v>
      </c>
      <c r="Q1120" s="59"/>
      <c r="R1120" s="34" t="s">
        <v>6807</v>
      </c>
      <c r="S1120" s="34" t="s">
        <v>3529</v>
      </c>
      <c r="T1120" s="34">
        <f>+IFERROR(_xlfn.XLOOKUP(Table43[[#This Row],[Column1]],#REF!,#REF!),0)</f>
        <v>0</v>
      </c>
      <c r="U1120" s="50">
        <f>IFERROR(_xlfn.XLOOKUP(Table43[[#This Row],[Column1]],#REF!,#REF!),0)</f>
        <v>0</v>
      </c>
      <c r="V1120" s="39"/>
    </row>
    <row r="1121" spans="1:22" x14ac:dyDescent="0.35">
      <c r="A1121" s="3" t="s">
        <v>5512</v>
      </c>
      <c r="B1121" s="3" t="s">
        <v>3531</v>
      </c>
      <c r="C1121" s="3" t="s">
        <v>15</v>
      </c>
      <c r="D1121" s="3">
        <v>7.5</v>
      </c>
      <c r="E1121" s="3" t="s">
        <v>10</v>
      </c>
      <c r="F1121" s="3">
        <v>5</v>
      </c>
      <c r="G1121" s="3">
        <v>25</v>
      </c>
      <c r="H1121" s="3">
        <v>0</v>
      </c>
      <c r="I1121" s="21">
        <f>Table43[[#This Row],[Item Cost]]*Table43[[#This Row],[In Stock]]</f>
        <v>0</v>
      </c>
      <c r="J1121" s="12" t="s">
        <v>4941</v>
      </c>
      <c r="K1121" s="13" t="s">
        <v>4666</v>
      </c>
      <c r="L1121" s="13" t="s">
        <v>4753</v>
      </c>
      <c r="M1121" s="13" t="s">
        <v>4834</v>
      </c>
      <c r="N1121" s="12" t="s">
        <v>4672</v>
      </c>
      <c r="O1121" s="17" t="str">
        <f>IF(LEN(COUNTIFS($J$1:J1121,$J1121,$K$1:K1121,$K1121,$L$1:L1121,$L1121,$M$1:M1121,M1121,$N$1:N1121,N1121))=1,"00"&amp;COUNTIFS($J$1:J1121,$J1121,$K$1:K1121,$K1121,$L$1:L1121,$L1121,$M$1:M1121,M1121,$N$1:N1121,N1121),IF(LEN(COUNTIFS($J$1:J1121,$J1121,$K$1:K1121,$K1121,$L$1:L1121,$L1121,$M$1:M1121,M1121,$N$1:N1121,N1121))=2,"0"&amp;COUNTIFS($J$1:J1121,$J1121,$K$1:K1121,$K1121,$L$1:L1121,$L1121,$M$1:M1121,M1121,$N$1:N1121,N1121),COUNTIFS($J$1:J1121,$J1121,$K$1:K1121,$K1121,$L$1:L1121,$L1121,$M$1:M1121,M1121,$N$1:N1121,N1121)))</f>
        <v>041</v>
      </c>
      <c r="P112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MS-NS-023-17-00041-INV</v>
      </c>
      <c r="Q1121" s="59"/>
      <c r="R1121" s="34" t="s">
        <v>6808</v>
      </c>
      <c r="S1121" s="34" t="s">
        <v>3531</v>
      </c>
      <c r="T1121" s="34">
        <f>+IFERROR(_xlfn.XLOOKUP(Table43[[#This Row],[Column1]],#REF!,#REF!),0)</f>
        <v>0</v>
      </c>
      <c r="U1121" s="50">
        <f>IFERROR(_xlfn.XLOOKUP(Table43[[#This Row],[Column1]],#REF!,#REF!),0)</f>
        <v>0</v>
      </c>
      <c r="V1121" s="39"/>
    </row>
    <row r="1122" spans="1:22" x14ac:dyDescent="0.35">
      <c r="A1122" s="3" t="s">
        <v>5513</v>
      </c>
      <c r="B1122" s="2" t="s">
        <v>3533</v>
      </c>
      <c r="C1122" s="2" t="s">
        <v>15</v>
      </c>
      <c r="D1122" s="2">
        <v>15.5</v>
      </c>
      <c r="E1122" s="2" t="s">
        <v>10</v>
      </c>
      <c r="F1122" s="3">
        <v>5</v>
      </c>
      <c r="G1122" s="3">
        <v>25</v>
      </c>
      <c r="H1122" s="2">
        <v>0</v>
      </c>
      <c r="I1122" s="22">
        <f>Table43[[#This Row],[Item Cost]]*Table43[[#This Row],[In Stock]]</f>
        <v>0</v>
      </c>
      <c r="J1122" s="12" t="s">
        <v>4941</v>
      </c>
      <c r="K1122" s="13" t="s">
        <v>4666</v>
      </c>
      <c r="L1122" s="13" t="s">
        <v>4753</v>
      </c>
      <c r="M1122" s="13" t="s">
        <v>4834</v>
      </c>
      <c r="N1122" s="12" t="s">
        <v>4672</v>
      </c>
      <c r="O1122" s="17" t="str">
        <f>IF(LEN(COUNTIFS($J$1:J1122,$J1122,$K$1:K1122,$K1122,$L$1:L1122,$L1122,$M$1:M1122,M1122,$N$1:N1122,N1122))=1,"00"&amp;COUNTIFS($J$1:J1122,$J1122,$K$1:K1122,$K1122,$L$1:L1122,$L1122,$M$1:M1122,M1122,$N$1:N1122,N1122),IF(LEN(COUNTIFS($J$1:J1122,$J1122,$K$1:K1122,$K1122,$L$1:L1122,$L1122,$M$1:M1122,M1122,$N$1:N1122,N1122))=2,"0"&amp;COUNTIFS($J$1:J1122,$J1122,$K$1:K1122,$K1122,$L$1:L1122,$L1122,$M$1:M1122,M1122,$N$1:N1122,N1122),COUNTIFS($J$1:J1122,$J1122,$K$1:K1122,$K1122,$L$1:L1122,$L1122,$M$1:M1122,M1122,$N$1:N1122,N1122)))</f>
        <v>042</v>
      </c>
      <c r="P112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MS-NS-023-17-00042-INV</v>
      </c>
      <c r="Q1122" s="59"/>
      <c r="R1122" s="34" t="s">
        <v>6809</v>
      </c>
      <c r="S1122" s="34" t="s">
        <v>3533</v>
      </c>
      <c r="T1122" s="34">
        <f>+IFERROR(_xlfn.XLOOKUP(Table43[[#This Row],[Column1]],#REF!,#REF!),0)</f>
        <v>0</v>
      </c>
      <c r="U1122" s="50">
        <f>IFERROR(_xlfn.XLOOKUP(Table43[[#This Row],[Column1]],#REF!,#REF!),0)</f>
        <v>0</v>
      </c>
      <c r="V1122" s="39"/>
    </row>
    <row r="1123" spans="1:22" x14ac:dyDescent="0.35">
      <c r="A1123" s="3" t="s">
        <v>5514</v>
      </c>
      <c r="B1123" s="3" t="s">
        <v>3535</v>
      </c>
      <c r="C1123" s="3" t="s">
        <v>15</v>
      </c>
      <c r="D1123" s="3">
        <v>22</v>
      </c>
      <c r="E1123" s="3" t="s">
        <v>10</v>
      </c>
      <c r="F1123" s="3">
        <v>5</v>
      </c>
      <c r="G1123" s="3">
        <v>25</v>
      </c>
      <c r="H1123" s="3">
        <v>0</v>
      </c>
      <c r="I1123" s="21">
        <f>Table43[[#This Row],[Item Cost]]*Table43[[#This Row],[In Stock]]</f>
        <v>0</v>
      </c>
      <c r="J1123" s="12" t="s">
        <v>4941</v>
      </c>
      <c r="K1123" s="13" t="s">
        <v>4666</v>
      </c>
      <c r="L1123" s="13" t="s">
        <v>4753</v>
      </c>
      <c r="M1123" s="13" t="s">
        <v>4834</v>
      </c>
      <c r="N1123" s="12" t="s">
        <v>4672</v>
      </c>
      <c r="O1123" s="17" t="str">
        <f>IF(LEN(COUNTIFS($J$1:J1123,$J1123,$K$1:K1123,$K1123,$L$1:L1123,$L1123,$M$1:M1123,M1123,$N$1:N1123,N1123))=1,"00"&amp;COUNTIFS($J$1:J1123,$J1123,$K$1:K1123,$K1123,$L$1:L1123,$L1123,$M$1:M1123,M1123,$N$1:N1123,N1123),IF(LEN(COUNTIFS($J$1:J1123,$J1123,$K$1:K1123,$K1123,$L$1:L1123,$L1123,$M$1:M1123,M1123,$N$1:N1123,N1123))=2,"0"&amp;COUNTIFS($J$1:J1123,$J1123,$K$1:K1123,$K1123,$L$1:L1123,$L1123,$M$1:M1123,M1123,$N$1:N1123,N1123),COUNTIFS($J$1:J1123,$J1123,$K$1:K1123,$K1123,$L$1:L1123,$L1123,$M$1:M1123,M1123,$N$1:N1123,N1123)))</f>
        <v>043</v>
      </c>
      <c r="P112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MS-NS-023-17-00043-INV</v>
      </c>
      <c r="Q1123" s="59"/>
      <c r="R1123" s="34" t="s">
        <v>6810</v>
      </c>
      <c r="S1123" s="34" t="s">
        <v>3535</v>
      </c>
      <c r="T1123" s="34">
        <f>+IFERROR(_xlfn.XLOOKUP(Table43[[#This Row],[Column1]],#REF!,#REF!),0)</f>
        <v>0</v>
      </c>
      <c r="U1123" s="50">
        <f>IFERROR(_xlfn.XLOOKUP(Table43[[#This Row],[Column1]],#REF!,#REF!),0)</f>
        <v>0</v>
      </c>
      <c r="V1123" s="39"/>
    </row>
    <row r="1124" spans="1:22" x14ac:dyDescent="0.35">
      <c r="A1124" s="3" t="s">
        <v>5515</v>
      </c>
      <c r="B1124" s="2" t="s">
        <v>3537</v>
      </c>
      <c r="C1124" s="2" t="s">
        <v>15</v>
      </c>
      <c r="D1124" s="2">
        <v>30</v>
      </c>
      <c r="E1124" s="2" t="s">
        <v>10</v>
      </c>
      <c r="F1124" s="3">
        <v>5</v>
      </c>
      <c r="G1124" s="3">
        <v>25</v>
      </c>
      <c r="H1124" s="2">
        <v>20</v>
      </c>
      <c r="I1124" s="22">
        <f>Table43[[#This Row],[Item Cost]]*Table43[[#This Row],[In Stock]]</f>
        <v>600</v>
      </c>
      <c r="J1124" s="12" t="s">
        <v>4941</v>
      </c>
      <c r="K1124" s="13" t="s">
        <v>4666</v>
      </c>
      <c r="L1124" s="13" t="s">
        <v>4753</v>
      </c>
      <c r="M1124" s="13" t="s">
        <v>4834</v>
      </c>
      <c r="N1124" s="12" t="s">
        <v>4672</v>
      </c>
      <c r="O1124" s="17" t="str">
        <f>IF(LEN(COUNTIFS($J$1:J1124,$J1124,$K$1:K1124,$K1124,$L$1:L1124,$L1124,$M$1:M1124,M1124,$N$1:N1124,N1124))=1,"00"&amp;COUNTIFS($J$1:J1124,$J1124,$K$1:K1124,$K1124,$L$1:L1124,$L1124,$M$1:M1124,M1124,$N$1:N1124,N1124),IF(LEN(COUNTIFS($J$1:J1124,$J1124,$K$1:K1124,$K1124,$L$1:L1124,$L1124,$M$1:M1124,M1124,$N$1:N1124,N1124))=2,"0"&amp;COUNTIFS($J$1:J1124,$J1124,$K$1:K1124,$K1124,$L$1:L1124,$L1124,$M$1:M1124,M1124,$N$1:N1124,N1124),COUNTIFS($J$1:J1124,$J1124,$K$1:K1124,$K1124,$L$1:L1124,$L1124,$M$1:M1124,M1124,$N$1:N1124,N1124)))</f>
        <v>044</v>
      </c>
      <c r="P112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MS-NS-023-17-00044-INV</v>
      </c>
      <c r="Q1124" s="59" t="s">
        <v>7382</v>
      </c>
      <c r="R1124" s="34" t="s">
        <v>6811</v>
      </c>
      <c r="S1124" s="34" t="s">
        <v>3537</v>
      </c>
      <c r="T1124" s="34">
        <f>+IFERROR(_xlfn.XLOOKUP(Table43[[#This Row],[Column1]],#REF!,#REF!),0)</f>
        <v>0</v>
      </c>
      <c r="U1124" s="50">
        <f>IFERROR(_xlfn.XLOOKUP(Table43[[#This Row],[Column1]],#REF!,#REF!),0)</f>
        <v>0</v>
      </c>
      <c r="V1124" s="39"/>
    </row>
    <row r="1125" spans="1:22" x14ac:dyDescent="0.35">
      <c r="A1125" s="3" t="s">
        <v>5516</v>
      </c>
      <c r="B1125" s="3" t="s">
        <v>3539</v>
      </c>
      <c r="C1125" s="3" t="s">
        <v>15</v>
      </c>
      <c r="D1125" s="3">
        <v>35</v>
      </c>
      <c r="E1125" s="3" t="s">
        <v>10</v>
      </c>
      <c r="F1125" s="3">
        <v>5</v>
      </c>
      <c r="G1125" s="3">
        <v>25</v>
      </c>
      <c r="H1125" s="3">
        <v>20</v>
      </c>
      <c r="I1125" s="21">
        <f>Table43[[#This Row],[Item Cost]]*Table43[[#This Row],[In Stock]]</f>
        <v>700</v>
      </c>
      <c r="J1125" s="12" t="s">
        <v>4941</v>
      </c>
      <c r="K1125" s="13" t="s">
        <v>4666</v>
      </c>
      <c r="L1125" s="13" t="s">
        <v>4753</v>
      </c>
      <c r="M1125" s="13" t="s">
        <v>4834</v>
      </c>
      <c r="N1125" s="12" t="s">
        <v>4672</v>
      </c>
      <c r="O1125" s="17" t="str">
        <f>IF(LEN(COUNTIFS($J$1:J1125,$J1125,$K$1:K1125,$K1125,$L$1:L1125,$L1125,$M$1:M1125,M1125,$N$1:N1125,N1125))=1,"00"&amp;COUNTIFS($J$1:J1125,$J1125,$K$1:K1125,$K1125,$L$1:L1125,$L1125,$M$1:M1125,M1125,$N$1:N1125,N1125),IF(LEN(COUNTIFS($J$1:J1125,$J1125,$K$1:K1125,$K1125,$L$1:L1125,$L1125,$M$1:M1125,M1125,$N$1:N1125,N1125))=2,"0"&amp;COUNTIFS($J$1:J1125,$J1125,$K$1:K1125,$K1125,$L$1:L1125,$L1125,$M$1:M1125,M1125,$N$1:N1125,N1125),COUNTIFS($J$1:J1125,$J1125,$K$1:K1125,$K1125,$L$1:L1125,$L1125,$M$1:M1125,M1125,$N$1:N1125,N1125)))</f>
        <v>045</v>
      </c>
      <c r="P112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MS-NS-023-17-00045-INV</v>
      </c>
      <c r="Q1125" s="59" t="s">
        <v>7382</v>
      </c>
      <c r="R1125" s="34" t="s">
        <v>6812</v>
      </c>
      <c r="S1125" s="34" t="s">
        <v>3539</v>
      </c>
      <c r="T1125" s="34">
        <f>+IFERROR(_xlfn.XLOOKUP(Table43[[#This Row],[Column1]],#REF!,#REF!),0)</f>
        <v>0</v>
      </c>
      <c r="U1125" s="50">
        <f>IFERROR(_xlfn.XLOOKUP(Table43[[#This Row],[Column1]],#REF!,#REF!),0)</f>
        <v>0</v>
      </c>
      <c r="V1125" s="39"/>
    </row>
    <row r="1126" spans="1:22" x14ac:dyDescent="0.35">
      <c r="A1126" s="3" t="s">
        <v>5517</v>
      </c>
      <c r="B1126" s="2" t="s">
        <v>3541</v>
      </c>
      <c r="C1126" s="2" t="s">
        <v>15</v>
      </c>
      <c r="D1126" s="2">
        <v>85</v>
      </c>
      <c r="E1126" s="2" t="s">
        <v>10</v>
      </c>
      <c r="F1126" s="3">
        <v>5</v>
      </c>
      <c r="G1126" s="3">
        <v>25</v>
      </c>
      <c r="H1126" s="2">
        <v>20</v>
      </c>
      <c r="I1126" s="22">
        <f>Table43[[#This Row],[Item Cost]]*Table43[[#This Row],[In Stock]]</f>
        <v>1700</v>
      </c>
      <c r="J1126" s="12" t="s">
        <v>4941</v>
      </c>
      <c r="K1126" s="13" t="s">
        <v>4666</v>
      </c>
      <c r="L1126" s="13" t="s">
        <v>4753</v>
      </c>
      <c r="M1126" s="13" t="s">
        <v>4834</v>
      </c>
      <c r="N1126" s="12" t="s">
        <v>4672</v>
      </c>
      <c r="O1126" s="17" t="str">
        <f>IF(LEN(COUNTIFS($J$1:J1126,$J1126,$K$1:K1126,$K1126,$L$1:L1126,$L1126,$M$1:M1126,M1126,$N$1:N1126,N1126))=1,"00"&amp;COUNTIFS($J$1:J1126,$J1126,$K$1:K1126,$K1126,$L$1:L1126,$L1126,$M$1:M1126,M1126,$N$1:N1126,N1126),IF(LEN(COUNTIFS($J$1:J1126,$J1126,$K$1:K1126,$K1126,$L$1:L1126,$L1126,$M$1:M1126,M1126,$N$1:N1126,N1126))=2,"0"&amp;COUNTIFS($J$1:J1126,$J1126,$K$1:K1126,$K1126,$L$1:L1126,$L1126,$M$1:M1126,M1126,$N$1:N1126,N1126),COUNTIFS($J$1:J1126,$J1126,$K$1:K1126,$K1126,$L$1:L1126,$L1126,$M$1:M1126,M1126,$N$1:N1126,N1126)))</f>
        <v>046</v>
      </c>
      <c r="P112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MS-NS-023-17-00046-INV</v>
      </c>
      <c r="Q1126" s="59"/>
      <c r="R1126" s="34" t="s">
        <v>6813</v>
      </c>
      <c r="S1126" s="34" t="s">
        <v>3541</v>
      </c>
      <c r="T1126" s="34">
        <f>+IFERROR(_xlfn.XLOOKUP(Table43[[#This Row],[Column1]],#REF!,#REF!),0)</f>
        <v>0</v>
      </c>
      <c r="U1126" s="50">
        <f>IFERROR(_xlfn.XLOOKUP(Table43[[#This Row],[Column1]],#REF!,#REF!),0)</f>
        <v>0</v>
      </c>
      <c r="V1126" s="39"/>
    </row>
    <row r="1127" spans="1:22" x14ac:dyDescent="0.35">
      <c r="A1127" s="3" t="s">
        <v>5518</v>
      </c>
      <c r="B1127" s="3" t="s">
        <v>3543</v>
      </c>
      <c r="C1127" s="3" t="s">
        <v>15</v>
      </c>
      <c r="D1127" s="3">
        <v>14</v>
      </c>
      <c r="E1127" s="3" t="s">
        <v>10</v>
      </c>
      <c r="F1127" s="3">
        <v>5</v>
      </c>
      <c r="G1127" s="3">
        <v>25</v>
      </c>
      <c r="H1127" s="3">
        <v>10</v>
      </c>
      <c r="I1127" s="21">
        <f>Table43[[#This Row],[Item Cost]]*Table43[[#This Row],[In Stock]]</f>
        <v>140</v>
      </c>
      <c r="J1127" s="12" t="s">
        <v>4941</v>
      </c>
      <c r="K1127" s="13" t="s">
        <v>4666</v>
      </c>
      <c r="L1127" s="13" t="s">
        <v>4753</v>
      </c>
      <c r="M1127" s="13" t="s">
        <v>4834</v>
      </c>
      <c r="N1127" s="12" t="s">
        <v>4672</v>
      </c>
      <c r="O1127" s="17" t="str">
        <f>IF(LEN(COUNTIFS($J$1:J1127,$J1127,$K$1:K1127,$K1127,$L$1:L1127,$L1127,$M$1:M1127,M1127,$N$1:N1127,N1127))=1,"00"&amp;COUNTIFS($J$1:J1127,$J1127,$K$1:K1127,$K1127,$L$1:L1127,$L1127,$M$1:M1127,M1127,$N$1:N1127,N1127),IF(LEN(COUNTIFS($J$1:J1127,$J1127,$K$1:K1127,$K1127,$L$1:L1127,$L1127,$M$1:M1127,M1127,$N$1:N1127,N1127))=2,"0"&amp;COUNTIFS($J$1:J1127,$J1127,$K$1:K1127,$K1127,$L$1:L1127,$L1127,$M$1:M1127,M1127,$N$1:N1127,N1127),COUNTIFS($J$1:J1127,$J1127,$K$1:K1127,$K1127,$L$1:L1127,$L1127,$M$1:M1127,M1127,$N$1:N1127,N1127)))</f>
        <v>047</v>
      </c>
      <c r="P112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MS-NS-023-17-00047-INV</v>
      </c>
      <c r="Q1127" s="59"/>
      <c r="R1127" s="34" t="s">
        <v>6814</v>
      </c>
      <c r="S1127" s="34" t="s">
        <v>3543</v>
      </c>
      <c r="T1127" s="34">
        <f>+IFERROR(_xlfn.XLOOKUP(Table43[[#This Row],[Column1]],#REF!,#REF!),0)</f>
        <v>0</v>
      </c>
      <c r="U1127" s="50">
        <f>IFERROR(_xlfn.XLOOKUP(Table43[[#This Row],[Column1]],#REF!,#REF!),0)</f>
        <v>0</v>
      </c>
      <c r="V1127" s="39"/>
    </row>
    <row r="1128" spans="1:22" x14ac:dyDescent="0.35">
      <c r="A1128" s="3" t="s">
        <v>5519</v>
      </c>
      <c r="B1128" s="2" t="s">
        <v>3545</v>
      </c>
      <c r="C1128" s="2" t="s">
        <v>15</v>
      </c>
      <c r="D1128" s="2">
        <v>12</v>
      </c>
      <c r="E1128" s="2" t="s">
        <v>10</v>
      </c>
      <c r="F1128" s="3">
        <v>5</v>
      </c>
      <c r="G1128" s="3">
        <v>25</v>
      </c>
      <c r="H1128" s="2">
        <v>10</v>
      </c>
      <c r="I1128" s="22">
        <f>Table43[[#This Row],[Item Cost]]*Table43[[#This Row],[In Stock]]</f>
        <v>120</v>
      </c>
      <c r="J1128" s="12" t="s">
        <v>4941</v>
      </c>
      <c r="K1128" s="13" t="s">
        <v>4666</v>
      </c>
      <c r="L1128" s="13" t="s">
        <v>4753</v>
      </c>
      <c r="M1128" s="13" t="s">
        <v>4834</v>
      </c>
      <c r="N1128" s="12" t="s">
        <v>4672</v>
      </c>
      <c r="O1128" s="17" t="str">
        <f>IF(LEN(COUNTIFS($J$1:J1128,$J1128,$K$1:K1128,$K1128,$L$1:L1128,$L1128,$M$1:M1128,M1128,$N$1:N1128,N1128))=1,"00"&amp;COUNTIFS($J$1:J1128,$J1128,$K$1:K1128,$K1128,$L$1:L1128,$L1128,$M$1:M1128,M1128,$N$1:N1128,N1128),IF(LEN(COUNTIFS($J$1:J1128,$J1128,$K$1:K1128,$K1128,$L$1:L1128,$L1128,$M$1:M1128,M1128,$N$1:N1128,N1128))=2,"0"&amp;COUNTIFS($J$1:J1128,$J1128,$K$1:K1128,$K1128,$L$1:L1128,$L1128,$M$1:M1128,M1128,$N$1:N1128,N1128),COUNTIFS($J$1:J1128,$J1128,$K$1:K1128,$K1128,$L$1:L1128,$L1128,$M$1:M1128,M1128,$N$1:N1128,N1128)))</f>
        <v>048</v>
      </c>
      <c r="P112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MS-NS-023-17-00048-INV</v>
      </c>
      <c r="Q1128" s="59"/>
      <c r="R1128" s="34" t="s">
        <v>6815</v>
      </c>
      <c r="S1128" s="34" t="s">
        <v>3545</v>
      </c>
      <c r="T1128" s="34">
        <f>+IFERROR(_xlfn.XLOOKUP(Table43[[#This Row],[Column1]],#REF!,#REF!),0)</f>
        <v>0</v>
      </c>
      <c r="U1128" s="50">
        <f>IFERROR(_xlfn.XLOOKUP(Table43[[#This Row],[Column1]],#REF!,#REF!),0)</f>
        <v>0</v>
      </c>
      <c r="V1128" s="39"/>
    </row>
    <row r="1129" spans="1:22" x14ac:dyDescent="0.35">
      <c r="A1129" s="3" t="s">
        <v>5520</v>
      </c>
      <c r="B1129" s="3" t="s">
        <v>3547</v>
      </c>
      <c r="C1129" s="3" t="s">
        <v>15</v>
      </c>
      <c r="D1129" s="3">
        <v>10.25</v>
      </c>
      <c r="E1129" s="3" t="s">
        <v>10</v>
      </c>
      <c r="F1129" s="3">
        <v>5</v>
      </c>
      <c r="G1129" s="3">
        <v>25</v>
      </c>
      <c r="H1129" s="3">
        <v>4</v>
      </c>
      <c r="I1129" s="21">
        <f>Table43[[#This Row],[Item Cost]]*Table43[[#This Row],[In Stock]]</f>
        <v>41</v>
      </c>
      <c r="J1129" s="12" t="s">
        <v>4941</v>
      </c>
      <c r="K1129" s="13" t="s">
        <v>4666</v>
      </c>
      <c r="L1129" s="13" t="s">
        <v>4753</v>
      </c>
      <c r="M1129" s="13" t="s">
        <v>4834</v>
      </c>
      <c r="N1129" s="12" t="s">
        <v>4672</v>
      </c>
      <c r="O1129" s="17" t="str">
        <f>IF(LEN(COUNTIFS($J$1:J1129,$J1129,$K$1:K1129,$K1129,$L$1:L1129,$L1129,$M$1:M1129,M1129,$N$1:N1129,N1129))=1,"00"&amp;COUNTIFS($J$1:J1129,$J1129,$K$1:K1129,$K1129,$L$1:L1129,$L1129,$M$1:M1129,M1129,$N$1:N1129,N1129),IF(LEN(COUNTIFS($J$1:J1129,$J1129,$K$1:K1129,$K1129,$L$1:L1129,$L1129,$M$1:M1129,M1129,$N$1:N1129,N1129))=2,"0"&amp;COUNTIFS($J$1:J1129,$J1129,$K$1:K1129,$K1129,$L$1:L1129,$L1129,$M$1:M1129,M1129,$N$1:N1129,N1129),COUNTIFS($J$1:J1129,$J1129,$K$1:K1129,$K1129,$L$1:L1129,$L1129,$M$1:M1129,M1129,$N$1:N1129,N1129)))</f>
        <v>049</v>
      </c>
      <c r="P112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MS-NS-023-17-00049-INV</v>
      </c>
      <c r="Q1129" s="59"/>
      <c r="R1129" s="34" t="s">
        <v>6816</v>
      </c>
      <c r="S1129" s="34" t="s">
        <v>3547</v>
      </c>
      <c r="T1129" s="34">
        <f>+IFERROR(_xlfn.XLOOKUP(Table43[[#This Row],[Column1]],#REF!,#REF!),0)</f>
        <v>0</v>
      </c>
      <c r="U1129" s="50">
        <f>IFERROR(_xlfn.XLOOKUP(Table43[[#This Row],[Column1]],#REF!,#REF!),0)</f>
        <v>0</v>
      </c>
      <c r="V1129" s="39"/>
    </row>
    <row r="1130" spans="1:22" x14ac:dyDescent="0.35">
      <c r="A1130" s="3" t="s">
        <v>5521</v>
      </c>
      <c r="B1130" s="3" t="s">
        <v>3567</v>
      </c>
      <c r="C1130" s="3" t="s">
        <v>15</v>
      </c>
      <c r="D1130" s="3">
        <v>56</v>
      </c>
      <c r="E1130" s="3" t="s">
        <v>10</v>
      </c>
      <c r="F1130" s="3">
        <v>5</v>
      </c>
      <c r="G1130" s="3">
        <v>25</v>
      </c>
      <c r="H1130" s="3">
        <v>5</v>
      </c>
      <c r="I1130" s="21">
        <f>Table43[[#This Row],[Item Cost]]*Table43[[#This Row],[In Stock]]</f>
        <v>280</v>
      </c>
      <c r="J1130" s="12" t="s">
        <v>4941</v>
      </c>
      <c r="K1130" s="13" t="s">
        <v>4666</v>
      </c>
      <c r="L1130" s="13" t="s">
        <v>4753</v>
      </c>
      <c r="M1130" s="13" t="s">
        <v>4834</v>
      </c>
      <c r="N1130" s="12" t="s">
        <v>4672</v>
      </c>
      <c r="O1130" s="17" t="str">
        <f>IF(LEN(COUNTIFS($J$1:J1130,$J1130,$K$1:K1130,$K1130,$L$1:L1130,$L1130,$M$1:M1130,M1130,$N$1:N1130,N1130))=1,"00"&amp;COUNTIFS($J$1:J1130,$J1130,$K$1:K1130,$K1130,$L$1:L1130,$L1130,$M$1:M1130,M1130,$N$1:N1130,N1130),IF(LEN(COUNTIFS($J$1:J1130,$J1130,$K$1:K1130,$K1130,$L$1:L1130,$L1130,$M$1:M1130,M1130,$N$1:N1130,N1130))=2,"0"&amp;COUNTIFS($J$1:J1130,$J1130,$K$1:K1130,$K1130,$L$1:L1130,$L1130,$M$1:M1130,M1130,$N$1:N1130,N1130),COUNTIFS($J$1:J1130,$J1130,$K$1:K1130,$K1130,$L$1:L1130,$L1130,$M$1:M1130,M1130,$N$1:N1130,N1130)))</f>
        <v>050</v>
      </c>
      <c r="P113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MS-NS-023-17-00050-INV</v>
      </c>
      <c r="Q1130" s="59"/>
      <c r="R1130" s="34" t="s">
        <v>6817</v>
      </c>
      <c r="S1130" s="34" t="s">
        <v>3567</v>
      </c>
      <c r="T1130" s="34">
        <f>+IFERROR(_xlfn.XLOOKUP(Table43[[#This Row],[Column1]],#REF!,#REF!),0)</f>
        <v>0</v>
      </c>
      <c r="U1130" s="50">
        <f>IFERROR(_xlfn.XLOOKUP(Table43[[#This Row],[Column1]],#REF!,#REF!),0)</f>
        <v>0</v>
      </c>
      <c r="V1130" s="39"/>
    </row>
    <row r="1131" spans="1:22" x14ac:dyDescent="0.35">
      <c r="A1131" s="3" t="s">
        <v>5522</v>
      </c>
      <c r="B1131" s="3" t="s">
        <v>4879</v>
      </c>
      <c r="C1131" s="3" t="s">
        <v>15</v>
      </c>
      <c r="D1131" s="3"/>
      <c r="E1131" s="3" t="s">
        <v>10</v>
      </c>
      <c r="F1131" s="3">
        <v>0</v>
      </c>
      <c r="G1131" s="3">
        <v>4</v>
      </c>
      <c r="H1131" s="3">
        <v>0</v>
      </c>
      <c r="I1131" s="21">
        <f>Table43[[#This Row],[Item Cost]]*Table43[[#This Row],[In Stock]]</f>
        <v>0</v>
      </c>
      <c r="J1131" s="12" t="s">
        <v>4941</v>
      </c>
      <c r="K1131" s="13" t="s">
        <v>4666</v>
      </c>
      <c r="L1131" s="13" t="s">
        <v>4753</v>
      </c>
      <c r="M1131" s="13" t="s">
        <v>4859</v>
      </c>
      <c r="N1131" s="12" t="s">
        <v>4672</v>
      </c>
      <c r="O1131" s="17" t="str">
        <f>IF(LEN(COUNTIFS($J$1:J1131,$J1131,$K$1:K1131,$K1131,$L$1:L1131,$L1131,$M$1:M1131,M1131,$N$1:N1131,N1131))=1,"00"&amp;COUNTIFS($J$1:J1131,$J1131,$K$1:K1131,$K1131,$L$1:L1131,$L1131,$M$1:M1131,M1131,$N$1:N1131,N1131),IF(LEN(COUNTIFS($J$1:J1131,$J1131,$K$1:K1131,$K1131,$L$1:L1131,$L1131,$M$1:M1131,M1131,$N$1:N1131,N1131))=2,"0"&amp;COUNTIFS($J$1:J1131,$J1131,$K$1:K1131,$K1131,$L$1:L1131,$L1131,$M$1:M1131,M1131,$N$1:N1131,N1131),COUNTIFS($J$1:J1131,$J1131,$K$1:K1131,$K1131,$L$1:L1131,$L1131,$M$1:M1131,M1131,$N$1:N1131,N1131)))</f>
        <v>002</v>
      </c>
      <c r="P113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MS-NS-023-30-00002-INV</v>
      </c>
      <c r="Q1131" s="59"/>
      <c r="R1131" s="34" t="s">
        <v>6818</v>
      </c>
      <c r="S1131" s="34" t="s">
        <v>4879</v>
      </c>
      <c r="T1131" s="34">
        <f>+IFERROR(_xlfn.XLOOKUP(Table43[[#This Row],[Column1]],#REF!,#REF!),0)</f>
        <v>0</v>
      </c>
      <c r="U1131" s="50">
        <f>IFERROR(_xlfn.XLOOKUP(Table43[[#This Row],[Column1]],#REF!,#REF!),0)</f>
        <v>0</v>
      </c>
      <c r="V1131" s="39"/>
    </row>
    <row r="1132" spans="1:22" x14ac:dyDescent="0.35">
      <c r="A1132" s="3" t="s">
        <v>5523</v>
      </c>
      <c r="B1132" s="2" t="s">
        <v>3569</v>
      </c>
      <c r="C1132" s="2" t="s">
        <v>15</v>
      </c>
      <c r="D1132" s="2">
        <v>0</v>
      </c>
      <c r="E1132" s="2" t="s">
        <v>10</v>
      </c>
      <c r="F1132" s="3">
        <v>5</v>
      </c>
      <c r="G1132" s="3">
        <v>25</v>
      </c>
      <c r="H1132" s="2">
        <v>0</v>
      </c>
      <c r="I1132" s="22">
        <f>Table43[[#This Row],[Item Cost]]*Table43[[#This Row],[In Stock]]</f>
        <v>0</v>
      </c>
      <c r="J1132" s="12" t="s">
        <v>4941</v>
      </c>
      <c r="K1132" s="13" t="s">
        <v>4666</v>
      </c>
      <c r="L1132" s="13" t="s">
        <v>4753</v>
      </c>
      <c r="M1132" s="13" t="s">
        <v>4834</v>
      </c>
      <c r="N1132" s="12" t="s">
        <v>4672</v>
      </c>
      <c r="O1132" s="17" t="str">
        <f>IF(LEN(COUNTIFS($J$1:J1132,$J1132,$K$1:K1132,$K1132,$L$1:L1132,$L1132,$M$1:M1132,M1132,$N$1:N1132,N1132))=1,"00"&amp;COUNTIFS($J$1:J1132,$J1132,$K$1:K1132,$K1132,$L$1:L1132,$L1132,$M$1:M1132,M1132,$N$1:N1132,N1132),IF(LEN(COUNTIFS($J$1:J1132,$J1132,$K$1:K1132,$K1132,$L$1:L1132,$L1132,$M$1:M1132,M1132,$N$1:N1132,N1132))=2,"0"&amp;COUNTIFS($J$1:J1132,$J1132,$K$1:K1132,$K1132,$L$1:L1132,$L1132,$M$1:M1132,M1132,$N$1:N1132,N1132),COUNTIFS($J$1:J1132,$J1132,$K$1:K1132,$K1132,$L$1:L1132,$L1132,$M$1:M1132,M1132,$N$1:N1132,N1132)))</f>
        <v>051</v>
      </c>
      <c r="P113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MS-NS-023-17-00051-INV</v>
      </c>
      <c r="Q1132" s="59"/>
      <c r="R1132" s="34" t="s">
        <v>6819</v>
      </c>
      <c r="S1132" s="34" t="s">
        <v>3569</v>
      </c>
      <c r="T1132" s="34">
        <f>+IFERROR(_xlfn.XLOOKUP(Table43[[#This Row],[Column1]],#REF!,#REF!),0)</f>
        <v>0</v>
      </c>
      <c r="U1132" s="50">
        <f>IFERROR(_xlfn.XLOOKUP(Table43[[#This Row],[Column1]],#REF!,#REF!),0)</f>
        <v>0</v>
      </c>
      <c r="V1132" s="39"/>
    </row>
    <row r="1133" spans="1:22" x14ac:dyDescent="0.35">
      <c r="A1133" s="3" t="s">
        <v>5524</v>
      </c>
      <c r="B1133" s="3" t="s">
        <v>4880</v>
      </c>
      <c r="C1133" s="3" t="s">
        <v>15</v>
      </c>
      <c r="D1133" s="3"/>
      <c r="E1133" s="3" t="s">
        <v>10</v>
      </c>
      <c r="F1133" s="3">
        <v>0</v>
      </c>
      <c r="G1133" s="3">
        <v>4</v>
      </c>
      <c r="H1133" s="3">
        <v>0</v>
      </c>
      <c r="I1133" s="21">
        <f>Table43[[#This Row],[Item Cost]]*Table43[[#This Row],[In Stock]]</f>
        <v>0</v>
      </c>
      <c r="J1133" s="12" t="s">
        <v>4941</v>
      </c>
      <c r="K1133" s="13" t="s">
        <v>4666</v>
      </c>
      <c r="L1133" s="13" t="s">
        <v>4753</v>
      </c>
      <c r="M1133" s="13" t="s">
        <v>4859</v>
      </c>
      <c r="N1133" s="12" t="s">
        <v>4672</v>
      </c>
      <c r="O1133" s="17" t="str">
        <f>IF(LEN(COUNTIFS($J$1:J1133,$J1133,$K$1:K1133,$K1133,$L$1:L1133,$L1133,$M$1:M1133,M1133,$N$1:N1133,N1133))=1,"00"&amp;COUNTIFS($J$1:J1133,$J1133,$K$1:K1133,$K1133,$L$1:L1133,$L1133,$M$1:M1133,M1133,$N$1:N1133,N1133),IF(LEN(COUNTIFS($J$1:J1133,$J1133,$K$1:K1133,$K1133,$L$1:L1133,$L1133,$M$1:M1133,M1133,$N$1:N1133,N1133))=2,"0"&amp;COUNTIFS($J$1:J1133,$J1133,$K$1:K1133,$K1133,$L$1:L1133,$L1133,$M$1:M1133,M1133,$N$1:N1133,N1133),COUNTIFS($J$1:J1133,$J1133,$K$1:K1133,$K1133,$L$1:L1133,$L1133,$M$1:M1133,M1133,$N$1:N1133,N1133)))</f>
        <v>003</v>
      </c>
      <c r="P113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MS-NS-023-30-00003-INV</v>
      </c>
      <c r="Q1133" s="59"/>
      <c r="R1133" s="34" t="s">
        <v>6820</v>
      </c>
      <c r="S1133" s="34" t="s">
        <v>4880</v>
      </c>
      <c r="T1133" s="34">
        <f>+IFERROR(_xlfn.XLOOKUP(Table43[[#This Row],[Column1]],#REF!,#REF!),0)</f>
        <v>0</v>
      </c>
      <c r="U1133" s="50">
        <f>IFERROR(_xlfn.XLOOKUP(Table43[[#This Row],[Column1]],#REF!,#REF!),0)</f>
        <v>0</v>
      </c>
      <c r="V1133" s="39"/>
    </row>
    <row r="1134" spans="1:22" x14ac:dyDescent="0.35">
      <c r="A1134" s="3" t="s">
        <v>5525</v>
      </c>
      <c r="B1134" s="3" t="s">
        <v>3571</v>
      </c>
      <c r="C1134" s="3" t="s">
        <v>15</v>
      </c>
      <c r="D1134" s="3">
        <v>149</v>
      </c>
      <c r="E1134" s="3" t="s">
        <v>10</v>
      </c>
      <c r="F1134" s="3">
        <v>2</v>
      </c>
      <c r="G1134" s="3">
        <v>4</v>
      </c>
      <c r="H1134" s="3">
        <v>0</v>
      </c>
      <c r="I1134" s="21">
        <f>Table43[[#This Row],[Item Cost]]*Table43[[#This Row],[In Stock]]</f>
        <v>0</v>
      </c>
      <c r="J1134" s="12" t="s">
        <v>4941</v>
      </c>
      <c r="K1134" s="13" t="s">
        <v>4666</v>
      </c>
      <c r="L1134" s="13" t="s">
        <v>4753</v>
      </c>
      <c r="M1134" s="13" t="s">
        <v>4770</v>
      </c>
      <c r="N1134" s="12" t="s">
        <v>4672</v>
      </c>
      <c r="O1134" s="17" t="str">
        <f>IF(LEN(COUNTIFS($J$1:J1134,$J1134,$K$1:K1134,$K1134,$L$1:L1134,$L1134,$M$1:M1134,M1134,$N$1:N1134,N1134))=1,"00"&amp;COUNTIFS($J$1:J1134,$J1134,$K$1:K1134,$K1134,$L$1:L1134,$L1134,$M$1:M1134,M1134,$N$1:N1134,N1134),IF(LEN(COUNTIFS($J$1:J1134,$J1134,$K$1:K1134,$K1134,$L$1:L1134,$L1134,$M$1:M1134,M1134,$N$1:N1134,N1134))=2,"0"&amp;COUNTIFS($J$1:J1134,$J1134,$K$1:K1134,$K1134,$L$1:L1134,$L1134,$M$1:M1134,M1134,$N$1:N1134,N1134),COUNTIFS($J$1:J1134,$J1134,$K$1:K1134,$K1134,$L$1:L1134,$L1134,$M$1:M1134,M1134,$N$1:N1134,N1134)))</f>
        <v>001</v>
      </c>
      <c r="P113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MS-NS-023-04-00001-INV</v>
      </c>
      <c r="Q1134" s="59" t="s">
        <v>7386</v>
      </c>
      <c r="R1134" s="34" t="s">
        <v>6821</v>
      </c>
      <c r="S1134" s="34" t="s">
        <v>3571</v>
      </c>
      <c r="T1134" s="34">
        <f>+IFERROR(_xlfn.XLOOKUP(Table43[[#This Row],[Column1]],#REF!,#REF!),0)</f>
        <v>0</v>
      </c>
      <c r="U1134" s="50">
        <f>IFERROR(_xlfn.XLOOKUP(Table43[[#This Row],[Column1]],#REF!,#REF!),0)</f>
        <v>0</v>
      </c>
      <c r="V1134" s="39"/>
    </row>
    <row r="1135" spans="1:22" x14ac:dyDescent="0.35">
      <c r="A1135" s="3" t="s">
        <v>5526</v>
      </c>
      <c r="B1135" s="3" t="s">
        <v>4881</v>
      </c>
      <c r="C1135" s="3" t="s">
        <v>15</v>
      </c>
      <c r="D1135" s="3"/>
      <c r="E1135" s="3" t="s">
        <v>10</v>
      </c>
      <c r="F1135" s="3">
        <v>0</v>
      </c>
      <c r="G1135" s="3">
        <v>4</v>
      </c>
      <c r="H1135" s="3">
        <v>0</v>
      </c>
      <c r="I1135" s="21">
        <f>Table43[[#This Row],[Item Cost]]*Table43[[#This Row],[In Stock]]</f>
        <v>0</v>
      </c>
      <c r="J1135" s="12" t="s">
        <v>4941</v>
      </c>
      <c r="K1135" s="13" t="s">
        <v>4666</v>
      </c>
      <c r="L1135" s="13" t="s">
        <v>4753</v>
      </c>
      <c r="M1135" s="13" t="s">
        <v>4859</v>
      </c>
      <c r="N1135" s="12" t="s">
        <v>4672</v>
      </c>
      <c r="O1135" s="17" t="str">
        <f>IF(LEN(COUNTIFS($J$1:J1135,$J1135,$K$1:K1135,$K1135,$L$1:L1135,$L1135,$M$1:M1135,M1135,$N$1:N1135,N1135))=1,"00"&amp;COUNTIFS($J$1:J1135,$J1135,$K$1:K1135,$K1135,$L$1:L1135,$L1135,$M$1:M1135,M1135,$N$1:N1135,N1135),IF(LEN(COUNTIFS($J$1:J1135,$J1135,$K$1:K1135,$K1135,$L$1:L1135,$L1135,$M$1:M1135,M1135,$N$1:N1135,N1135))=2,"0"&amp;COUNTIFS($J$1:J1135,$J1135,$K$1:K1135,$K1135,$L$1:L1135,$L1135,$M$1:M1135,M1135,$N$1:N1135,N1135),COUNTIFS($J$1:J1135,$J1135,$K$1:K1135,$K1135,$L$1:L1135,$L1135,$M$1:M1135,M1135,$N$1:N1135,N1135)))</f>
        <v>004</v>
      </c>
      <c r="P113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MS-NS-023-30-00004-INV</v>
      </c>
      <c r="Q1135" s="59"/>
      <c r="R1135" s="34" t="s">
        <v>6822</v>
      </c>
      <c r="S1135" s="34" t="s">
        <v>4881</v>
      </c>
      <c r="T1135" s="34">
        <f>+IFERROR(_xlfn.XLOOKUP(Table43[[#This Row],[Column1]],#REF!,#REF!),0)</f>
        <v>0</v>
      </c>
      <c r="U1135" s="50">
        <f>IFERROR(_xlfn.XLOOKUP(Table43[[#This Row],[Column1]],#REF!,#REF!),0)</f>
        <v>0</v>
      </c>
      <c r="V1135" s="39"/>
    </row>
    <row r="1136" spans="1:22" x14ac:dyDescent="0.35">
      <c r="A1136" s="3" t="s">
        <v>5527</v>
      </c>
      <c r="B1136" s="2" t="s">
        <v>3573</v>
      </c>
      <c r="C1136" s="2" t="s">
        <v>15</v>
      </c>
      <c r="D1136" s="2">
        <v>120</v>
      </c>
      <c r="E1136" s="2" t="s">
        <v>10</v>
      </c>
      <c r="F1136" s="3">
        <v>2</v>
      </c>
      <c r="G1136" s="3">
        <v>4</v>
      </c>
      <c r="H1136" s="2">
        <v>4</v>
      </c>
      <c r="I1136" s="22">
        <f>Table43[[#This Row],[Item Cost]]*Table43[[#This Row],[In Stock]]</f>
        <v>480</v>
      </c>
      <c r="J1136" s="12" t="s">
        <v>4941</v>
      </c>
      <c r="K1136" s="13" t="s">
        <v>4666</v>
      </c>
      <c r="L1136" s="13" t="s">
        <v>4753</v>
      </c>
      <c r="M1136" s="13" t="s">
        <v>4770</v>
      </c>
      <c r="N1136" s="12" t="s">
        <v>4672</v>
      </c>
      <c r="O1136" s="17" t="str">
        <f>IF(LEN(COUNTIFS($J$1:J1136,$J1136,$K$1:K1136,$K1136,$L$1:L1136,$L1136,$M$1:M1136,M1136,$N$1:N1136,N1136))=1,"00"&amp;COUNTIFS($J$1:J1136,$J1136,$K$1:K1136,$K1136,$L$1:L1136,$L1136,$M$1:M1136,M1136,$N$1:N1136,N1136),IF(LEN(COUNTIFS($J$1:J1136,$J1136,$K$1:K1136,$K1136,$L$1:L1136,$L1136,$M$1:M1136,M1136,$N$1:N1136,N1136))=2,"0"&amp;COUNTIFS($J$1:J1136,$J1136,$K$1:K1136,$K1136,$L$1:L1136,$L1136,$M$1:M1136,M1136,$N$1:N1136,N1136),COUNTIFS($J$1:J1136,$J1136,$K$1:K1136,$K1136,$L$1:L1136,$L1136,$M$1:M1136,M1136,$N$1:N1136,N1136)))</f>
        <v>002</v>
      </c>
      <c r="P113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MS-NS-023-04-00002-INV</v>
      </c>
      <c r="Q1136" s="59" t="s">
        <v>7386</v>
      </c>
      <c r="R1136" s="34" t="s">
        <v>6823</v>
      </c>
      <c r="S1136" s="34" t="s">
        <v>3573</v>
      </c>
      <c r="T1136" s="34">
        <f>+IFERROR(_xlfn.XLOOKUP(Table43[[#This Row],[Column1]],#REF!,#REF!),0)</f>
        <v>0</v>
      </c>
      <c r="U1136" s="50">
        <f>IFERROR(_xlfn.XLOOKUP(Table43[[#This Row],[Column1]],#REF!,#REF!),0)</f>
        <v>0</v>
      </c>
      <c r="V1136" s="39"/>
    </row>
    <row r="1137" spans="1:22" x14ac:dyDescent="0.35">
      <c r="A1137" s="3" t="s">
        <v>5528</v>
      </c>
      <c r="B1137" s="3" t="s">
        <v>4882</v>
      </c>
      <c r="C1137" s="3" t="s">
        <v>15</v>
      </c>
      <c r="D1137" s="3"/>
      <c r="E1137" s="3" t="s">
        <v>10</v>
      </c>
      <c r="F1137" s="3">
        <v>0</v>
      </c>
      <c r="G1137" s="3">
        <v>4</v>
      </c>
      <c r="H1137" s="3">
        <v>0</v>
      </c>
      <c r="I1137" s="21">
        <f>Table43[[#This Row],[Item Cost]]*Table43[[#This Row],[In Stock]]</f>
        <v>0</v>
      </c>
      <c r="J1137" s="12" t="s">
        <v>4941</v>
      </c>
      <c r="K1137" s="13" t="s">
        <v>4666</v>
      </c>
      <c r="L1137" s="13" t="s">
        <v>4753</v>
      </c>
      <c r="M1137" s="13" t="s">
        <v>4859</v>
      </c>
      <c r="N1137" s="12" t="s">
        <v>4672</v>
      </c>
      <c r="O1137" s="17" t="str">
        <f>IF(LEN(COUNTIFS($J$1:J1137,$J1137,$K$1:K1137,$K1137,$L$1:L1137,$L1137,$M$1:M1137,M1137,$N$1:N1137,N1137))=1,"00"&amp;COUNTIFS($J$1:J1137,$J1137,$K$1:K1137,$K1137,$L$1:L1137,$L1137,$M$1:M1137,M1137,$N$1:N1137,N1137),IF(LEN(COUNTIFS($J$1:J1137,$J1137,$K$1:K1137,$K1137,$L$1:L1137,$L1137,$M$1:M1137,M1137,$N$1:N1137,N1137))=2,"0"&amp;COUNTIFS($J$1:J1137,$J1137,$K$1:K1137,$K1137,$L$1:L1137,$L1137,$M$1:M1137,M1137,$N$1:N1137,N1137),COUNTIFS($J$1:J1137,$J1137,$K$1:K1137,$K1137,$L$1:L1137,$L1137,$M$1:M1137,M1137,$N$1:N1137,N1137)))</f>
        <v>005</v>
      </c>
      <c r="P113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MS-NS-023-30-00005-INV</v>
      </c>
      <c r="Q1137" s="59"/>
      <c r="R1137" s="34" t="s">
        <v>6824</v>
      </c>
      <c r="S1137" s="34" t="s">
        <v>4882</v>
      </c>
      <c r="T1137" s="34">
        <f>+IFERROR(_xlfn.XLOOKUP(Table43[[#This Row],[Column1]],#REF!,#REF!),0)</f>
        <v>0</v>
      </c>
      <c r="U1137" s="50">
        <f>IFERROR(_xlfn.XLOOKUP(Table43[[#This Row],[Column1]],#REF!,#REF!),0)</f>
        <v>0</v>
      </c>
      <c r="V1137" s="39"/>
    </row>
    <row r="1138" spans="1:22" x14ac:dyDescent="0.35">
      <c r="A1138" s="3" t="s">
        <v>5529</v>
      </c>
      <c r="B1138" s="3" t="s">
        <v>3575</v>
      </c>
      <c r="C1138" s="3" t="s">
        <v>15</v>
      </c>
      <c r="D1138" s="3">
        <v>586</v>
      </c>
      <c r="E1138" s="3" t="s">
        <v>10</v>
      </c>
      <c r="F1138" s="3">
        <v>2</v>
      </c>
      <c r="G1138" s="3">
        <v>4</v>
      </c>
      <c r="H1138" s="3">
        <v>0</v>
      </c>
      <c r="I1138" s="21">
        <f>Table43[[#This Row],[Item Cost]]*Table43[[#This Row],[In Stock]]</f>
        <v>0</v>
      </c>
      <c r="J1138" s="12" t="s">
        <v>4941</v>
      </c>
      <c r="K1138" s="13" t="s">
        <v>4666</v>
      </c>
      <c r="L1138" s="13" t="s">
        <v>4753</v>
      </c>
      <c r="M1138" s="13" t="s">
        <v>4770</v>
      </c>
      <c r="N1138" s="12" t="s">
        <v>4672</v>
      </c>
      <c r="O1138" s="17" t="str">
        <f>IF(LEN(COUNTIFS($J$1:J1138,$J1138,$K$1:K1138,$K1138,$L$1:L1138,$L1138,$M$1:M1138,M1138,$N$1:N1138,N1138))=1,"00"&amp;COUNTIFS($J$1:J1138,$J1138,$K$1:K1138,$K1138,$L$1:L1138,$L1138,$M$1:M1138,M1138,$N$1:N1138,N1138),IF(LEN(COUNTIFS($J$1:J1138,$J1138,$K$1:K1138,$K1138,$L$1:L1138,$L1138,$M$1:M1138,M1138,$N$1:N1138,N1138))=2,"0"&amp;COUNTIFS($J$1:J1138,$J1138,$K$1:K1138,$K1138,$L$1:L1138,$L1138,$M$1:M1138,M1138,$N$1:N1138,N1138),COUNTIFS($J$1:J1138,$J1138,$K$1:K1138,$K1138,$L$1:L1138,$L1138,$M$1:M1138,M1138,$N$1:N1138,N1138)))</f>
        <v>003</v>
      </c>
      <c r="P113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MS-NS-023-04-00003-INV</v>
      </c>
      <c r="Q1138" s="59" t="s">
        <v>7382</v>
      </c>
      <c r="R1138" s="34" t="s">
        <v>6825</v>
      </c>
      <c r="S1138" s="34" t="s">
        <v>3575</v>
      </c>
      <c r="T1138" s="34">
        <f>+IFERROR(_xlfn.XLOOKUP(Table43[[#This Row],[Column1]],#REF!,#REF!),0)</f>
        <v>0</v>
      </c>
      <c r="U1138" s="50">
        <f>IFERROR(_xlfn.XLOOKUP(Table43[[#This Row],[Column1]],#REF!,#REF!),0)</f>
        <v>0</v>
      </c>
      <c r="V1138" s="39"/>
    </row>
    <row r="1139" spans="1:22" x14ac:dyDescent="0.35">
      <c r="A1139" s="3" t="s">
        <v>5530</v>
      </c>
      <c r="B1139" s="3" t="s">
        <v>4883</v>
      </c>
      <c r="C1139" s="3" t="s">
        <v>15</v>
      </c>
      <c r="D1139" s="3"/>
      <c r="E1139" s="3" t="s">
        <v>10</v>
      </c>
      <c r="F1139" s="3">
        <v>0</v>
      </c>
      <c r="G1139" s="3">
        <v>4</v>
      </c>
      <c r="H1139" s="3">
        <v>0</v>
      </c>
      <c r="I1139" s="21">
        <f>Table43[[#This Row],[Item Cost]]*Table43[[#This Row],[In Stock]]</f>
        <v>0</v>
      </c>
      <c r="J1139" s="12" t="s">
        <v>4941</v>
      </c>
      <c r="K1139" s="13" t="s">
        <v>4666</v>
      </c>
      <c r="L1139" s="13" t="s">
        <v>4753</v>
      </c>
      <c r="M1139" s="13" t="s">
        <v>4859</v>
      </c>
      <c r="N1139" s="12" t="s">
        <v>4672</v>
      </c>
      <c r="O1139" s="17" t="str">
        <f>IF(LEN(COUNTIFS($J$1:J1139,$J1139,$K$1:K1139,$K1139,$L$1:L1139,$L1139,$M$1:M1139,M1139,$N$1:N1139,N1139))=1,"00"&amp;COUNTIFS($J$1:J1139,$J1139,$K$1:K1139,$K1139,$L$1:L1139,$L1139,$M$1:M1139,M1139,$N$1:N1139,N1139),IF(LEN(COUNTIFS($J$1:J1139,$J1139,$K$1:K1139,$K1139,$L$1:L1139,$L1139,$M$1:M1139,M1139,$N$1:N1139,N1139))=2,"0"&amp;COUNTIFS($J$1:J1139,$J1139,$K$1:K1139,$K1139,$L$1:L1139,$L1139,$M$1:M1139,M1139,$N$1:N1139,N1139),COUNTIFS($J$1:J1139,$J1139,$K$1:K1139,$K1139,$L$1:L1139,$L1139,$M$1:M1139,M1139,$N$1:N1139,N1139)))</f>
        <v>006</v>
      </c>
      <c r="P113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MS-NS-023-30-00006-INV</v>
      </c>
      <c r="Q1139" s="59"/>
      <c r="R1139" s="34" t="s">
        <v>6826</v>
      </c>
      <c r="S1139" s="34" t="s">
        <v>4883</v>
      </c>
      <c r="T1139" s="34">
        <f>+IFERROR(_xlfn.XLOOKUP(Table43[[#This Row],[Column1]],#REF!,#REF!),0)</f>
        <v>0</v>
      </c>
      <c r="U1139" s="50">
        <f>IFERROR(_xlfn.XLOOKUP(Table43[[#This Row],[Column1]],#REF!,#REF!),0)</f>
        <v>0</v>
      </c>
      <c r="V1139" s="39"/>
    </row>
    <row r="1140" spans="1:22" x14ac:dyDescent="0.35">
      <c r="A1140" s="3" t="s">
        <v>5531</v>
      </c>
      <c r="B1140" s="2" t="s">
        <v>3577</v>
      </c>
      <c r="C1140" s="2" t="s">
        <v>15</v>
      </c>
      <c r="D1140" s="2">
        <v>290</v>
      </c>
      <c r="E1140" s="2" t="s">
        <v>10</v>
      </c>
      <c r="F1140" s="3">
        <v>2</v>
      </c>
      <c r="G1140" s="3">
        <v>4</v>
      </c>
      <c r="H1140" s="2">
        <v>4</v>
      </c>
      <c r="I1140" s="22">
        <f>Table43[[#This Row],[Item Cost]]*Table43[[#This Row],[In Stock]]</f>
        <v>1160</v>
      </c>
      <c r="J1140" s="12" t="s">
        <v>4941</v>
      </c>
      <c r="K1140" s="13" t="s">
        <v>4666</v>
      </c>
      <c r="L1140" s="13" t="s">
        <v>4753</v>
      </c>
      <c r="M1140" s="13" t="s">
        <v>4770</v>
      </c>
      <c r="N1140" s="12" t="s">
        <v>4672</v>
      </c>
      <c r="O1140" s="17" t="str">
        <f>IF(LEN(COUNTIFS($J$1:J1140,$J1140,$K$1:K1140,$K1140,$L$1:L1140,$L1140,$M$1:M1140,M1140,$N$1:N1140,N1140))=1,"00"&amp;COUNTIFS($J$1:J1140,$J1140,$K$1:K1140,$K1140,$L$1:L1140,$L1140,$M$1:M1140,M1140,$N$1:N1140,N1140),IF(LEN(COUNTIFS($J$1:J1140,$J1140,$K$1:K1140,$K1140,$L$1:L1140,$L1140,$M$1:M1140,M1140,$N$1:N1140,N1140))=2,"0"&amp;COUNTIFS($J$1:J1140,$J1140,$K$1:K1140,$K1140,$L$1:L1140,$L1140,$M$1:M1140,M1140,$N$1:N1140,N1140),COUNTIFS($J$1:J1140,$J1140,$K$1:K1140,$K1140,$L$1:L1140,$L1140,$M$1:M1140,M1140,$N$1:N1140,N1140)))</f>
        <v>004</v>
      </c>
      <c r="P114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MS-NS-023-04-00004-INV</v>
      </c>
      <c r="Q1140" s="59"/>
      <c r="R1140" s="34" t="s">
        <v>6827</v>
      </c>
      <c r="S1140" s="34" t="s">
        <v>3577</v>
      </c>
      <c r="T1140" s="34">
        <f>+IFERROR(_xlfn.XLOOKUP(Table43[[#This Row],[Column1]],#REF!,#REF!),0)</f>
        <v>0</v>
      </c>
      <c r="U1140" s="50">
        <f>IFERROR(_xlfn.XLOOKUP(Table43[[#This Row],[Column1]],#REF!,#REF!),0)</f>
        <v>0</v>
      </c>
      <c r="V1140" s="39"/>
    </row>
    <row r="1141" spans="1:22" x14ac:dyDescent="0.35">
      <c r="A1141" s="3" t="s">
        <v>5532</v>
      </c>
      <c r="B1141" s="3" t="s">
        <v>3579</v>
      </c>
      <c r="C1141" s="3" t="s">
        <v>15</v>
      </c>
      <c r="D1141" s="5">
        <v>1610</v>
      </c>
      <c r="E1141" s="3" t="s">
        <v>10</v>
      </c>
      <c r="F1141" s="3">
        <v>2</v>
      </c>
      <c r="G1141" s="3">
        <v>4</v>
      </c>
      <c r="H1141" s="3">
        <v>0</v>
      </c>
      <c r="I1141" s="21">
        <f>Table43[[#This Row],[Item Cost]]*Table43[[#This Row],[In Stock]]</f>
        <v>0</v>
      </c>
      <c r="J1141" s="12" t="s">
        <v>4941</v>
      </c>
      <c r="K1141" s="13" t="s">
        <v>4666</v>
      </c>
      <c r="L1141" s="13" t="s">
        <v>4753</v>
      </c>
      <c r="M1141" s="13" t="s">
        <v>4770</v>
      </c>
      <c r="N1141" s="12" t="s">
        <v>4672</v>
      </c>
      <c r="O1141" s="17" t="str">
        <f>IF(LEN(COUNTIFS($J$1:J1141,$J1141,$K$1:K1141,$K1141,$L$1:L1141,$L1141,$M$1:M1141,M1141,$N$1:N1141,N1141))=1,"00"&amp;COUNTIFS($J$1:J1141,$J1141,$K$1:K1141,$K1141,$L$1:L1141,$L1141,$M$1:M1141,M1141,$N$1:N1141,N1141),IF(LEN(COUNTIFS($J$1:J1141,$J1141,$K$1:K1141,$K1141,$L$1:L1141,$L1141,$M$1:M1141,M1141,$N$1:N1141,N1141))=2,"0"&amp;COUNTIFS($J$1:J1141,$J1141,$K$1:K1141,$K1141,$L$1:L1141,$L1141,$M$1:M1141,M1141,$N$1:N1141,N1141),COUNTIFS($J$1:J1141,$J1141,$K$1:K1141,$K1141,$L$1:L1141,$L1141,$M$1:M1141,M1141,$N$1:N1141,N1141)))</f>
        <v>005</v>
      </c>
      <c r="P114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MS-NS-023-04-00005-INV</v>
      </c>
      <c r="Q1141" s="59"/>
      <c r="R1141" s="34" t="s">
        <v>6828</v>
      </c>
      <c r="S1141" s="34" t="s">
        <v>3579</v>
      </c>
      <c r="T1141" s="34">
        <f>+IFERROR(_xlfn.XLOOKUP(Table43[[#This Row],[Column1]],#REF!,#REF!),0)</f>
        <v>0</v>
      </c>
      <c r="U1141" s="50">
        <f>IFERROR(_xlfn.XLOOKUP(Table43[[#This Row],[Column1]],#REF!,#REF!),0)</f>
        <v>0</v>
      </c>
      <c r="V1141" s="39"/>
    </row>
    <row r="1142" spans="1:22" x14ac:dyDescent="0.35">
      <c r="A1142" s="3" t="s">
        <v>5533</v>
      </c>
      <c r="B1142" s="2" t="s">
        <v>3581</v>
      </c>
      <c r="C1142" s="2" t="s">
        <v>15</v>
      </c>
      <c r="D1142" s="2">
        <v>174</v>
      </c>
      <c r="E1142" s="2" t="s">
        <v>10</v>
      </c>
      <c r="F1142" s="3">
        <v>2</v>
      </c>
      <c r="G1142" s="3">
        <v>4</v>
      </c>
      <c r="H1142" s="2">
        <v>0</v>
      </c>
      <c r="I1142" s="22">
        <f>Table43[[#This Row],[Item Cost]]*Table43[[#This Row],[In Stock]]</f>
        <v>0</v>
      </c>
      <c r="J1142" s="12" t="s">
        <v>4941</v>
      </c>
      <c r="K1142" s="13" t="s">
        <v>4666</v>
      </c>
      <c r="L1142" s="13" t="s">
        <v>4753</v>
      </c>
      <c r="M1142" s="13" t="s">
        <v>4770</v>
      </c>
      <c r="N1142" s="12" t="s">
        <v>4672</v>
      </c>
      <c r="O1142" s="17" t="str">
        <f>IF(LEN(COUNTIFS($J$1:J1142,$J1142,$K$1:K1142,$K1142,$L$1:L1142,$L1142,$M$1:M1142,M1142,$N$1:N1142,N1142))=1,"00"&amp;COUNTIFS($J$1:J1142,$J1142,$K$1:K1142,$K1142,$L$1:L1142,$L1142,$M$1:M1142,M1142,$N$1:N1142,N1142),IF(LEN(COUNTIFS($J$1:J1142,$J1142,$K$1:K1142,$K1142,$L$1:L1142,$L1142,$M$1:M1142,M1142,$N$1:N1142,N1142))=2,"0"&amp;COUNTIFS($J$1:J1142,$J1142,$K$1:K1142,$K1142,$L$1:L1142,$L1142,$M$1:M1142,M1142,$N$1:N1142,N1142),COUNTIFS($J$1:J1142,$J1142,$K$1:K1142,$K1142,$L$1:L1142,$L1142,$M$1:M1142,M1142,$N$1:N1142,N1142)))</f>
        <v>006</v>
      </c>
      <c r="P114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MS-NS-023-04-00006-INV</v>
      </c>
      <c r="Q1142" s="59"/>
      <c r="R1142" s="34" t="s">
        <v>6829</v>
      </c>
      <c r="S1142" s="34" t="s">
        <v>3581</v>
      </c>
      <c r="T1142" s="34">
        <f>+IFERROR(_xlfn.XLOOKUP(Table43[[#This Row],[Column1]],#REF!,#REF!),0)</f>
        <v>0</v>
      </c>
      <c r="U1142" s="50">
        <f>IFERROR(_xlfn.XLOOKUP(Table43[[#This Row],[Column1]],#REF!,#REF!),0)</f>
        <v>0</v>
      </c>
      <c r="V1142" s="39"/>
    </row>
    <row r="1143" spans="1:22" x14ac:dyDescent="0.35">
      <c r="A1143" s="3" t="s">
        <v>5534</v>
      </c>
      <c r="B1143" s="3" t="s">
        <v>3583</v>
      </c>
      <c r="C1143" s="3" t="s">
        <v>15</v>
      </c>
      <c r="D1143" s="3">
        <v>443</v>
      </c>
      <c r="E1143" s="3" t="s">
        <v>10</v>
      </c>
      <c r="F1143" s="3">
        <v>2</v>
      </c>
      <c r="G1143" s="3">
        <v>4</v>
      </c>
      <c r="H1143" s="3">
        <v>1</v>
      </c>
      <c r="I1143" s="21">
        <f>Table43[[#This Row],[Item Cost]]*Table43[[#This Row],[In Stock]]</f>
        <v>443</v>
      </c>
      <c r="J1143" s="12" t="s">
        <v>4941</v>
      </c>
      <c r="K1143" s="13" t="s">
        <v>4666</v>
      </c>
      <c r="L1143" s="13" t="s">
        <v>4753</v>
      </c>
      <c r="M1143" s="13" t="s">
        <v>4770</v>
      </c>
      <c r="N1143" s="12" t="s">
        <v>4672</v>
      </c>
      <c r="O1143" s="17" t="str">
        <f>IF(LEN(COUNTIFS($J$1:J1143,$J1143,$K$1:K1143,$K1143,$L$1:L1143,$L1143,$M$1:M1143,M1143,$N$1:N1143,N1143))=1,"00"&amp;COUNTIFS($J$1:J1143,$J1143,$K$1:K1143,$K1143,$L$1:L1143,$L1143,$M$1:M1143,M1143,$N$1:N1143,N1143),IF(LEN(COUNTIFS($J$1:J1143,$J1143,$K$1:K1143,$K1143,$L$1:L1143,$L1143,$M$1:M1143,M1143,$N$1:N1143,N1143))=2,"0"&amp;COUNTIFS($J$1:J1143,$J1143,$K$1:K1143,$K1143,$L$1:L1143,$L1143,$M$1:M1143,M1143,$N$1:N1143,N1143),COUNTIFS($J$1:J1143,$J1143,$K$1:K1143,$K1143,$L$1:L1143,$L1143,$M$1:M1143,M1143,$N$1:N1143,N1143)))</f>
        <v>007</v>
      </c>
      <c r="P114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MS-NS-023-04-00007-INV</v>
      </c>
      <c r="Q1143" s="59"/>
      <c r="R1143" s="34" t="s">
        <v>6830</v>
      </c>
      <c r="S1143" s="34" t="s">
        <v>3583</v>
      </c>
      <c r="T1143" s="34">
        <f>+IFERROR(_xlfn.XLOOKUP(Table43[[#This Row],[Column1]],#REF!,#REF!),0)</f>
        <v>0</v>
      </c>
      <c r="U1143" s="50">
        <f>IFERROR(_xlfn.XLOOKUP(Table43[[#This Row],[Column1]],#REF!,#REF!),0)</f>
        <v>0</v>
      </c>
      <c r="V1143" s="39"/>
    </row>
    <row r="1144" spans="1:22" x14ac:dyDescent="0.35">
      <c r="A1144" s="3" t="s">
        <v>5535</v>
      </c>
      <c r="B1144" s="2" t="s">
        <v>3585</v>
      </c>
      <c r="C1144" s="2" t="s">
        <v>15</v>
      </c>
      <c r="D1144" s="2">
        <v>560</v>
      </c>
      <c r="E1144" s="2" t="s">
        <v>10</v>
      </c>
      <c r="F1144" s="3">
        <v>2</v>
      </c>
      <c r="G1144" s="3">
        <v>4</v>
      </c>
      <c r="H1144" s="2">
        <v>1</v>
      </c>
      <c r="I1144" s="22">
        <f>Table43[[#This Row],[Item Cost]]*Table43[[#This Row],[In Stock]]</f>
        <v>560</v>
      </c>
      <c r="J1144" s="12" t="s">
        <v>4941</v>
      </c>
      <c r="K1144" s="13" t="s">
        <v>4666</v>
      </c>
      <c r="L1144" s="13" t="s">
        <v>4753</v>
      </c>
      <c r="M1144" s="13" t="s">
        <v>4770</v>
      </c>
      <c r="N1144" s="12" t="s">
        <v>4672</v>
      </c>
      <c r="O1144" s="17" t="str">
        <f>IF(LEN(COUNTIFS($J$1:J1144,$J1144,$K$1:K1144,$K1144,$L$1:L1144,$L1144,$M$1:M1144,M1144,$N$1:N1144,N1144))=1,"00"&amp;COUNTIFS($J$1:J1144,$J1144,$K$1:K1144,$K1144,$L$1:L1144,$L1144,$M$1:M1144,M1144,$N$1:N1144,N1144),IF(LEN(COUNTIFS($J$1:J1144,$J1144,$K$1:K1144,$K1144,$L$1:L1144,$L1144,$M$1:M1144,M1144,$N$1:N1144,N1144))=2,"0"&amp;COUNTIFS($J$1:J1144,$J1144,$K$1:K1144,$K1144,$L$1:L1144,$L1144,$M$1:M1144,M1144,$N$1:N1144,N1144),COUNTIFS($J$1:J1144,$J1144,$K$1:K1144,$K1144,$L$1:L1144,$L1144,$M$1:M1144,M1144,$N$1:N1144,N1144)))</f>
        <v>008</v>
      </c>
      <c r="P114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MS-NS-023-04-00008-INV</v>
      </c>
      <c r="Q1144" s="59"/>
      <c r="R1144" s="34" t="s">
        <v>6831</v>
      </c>
      <c r="S1144" s="34" t="s">
        <v>3585</v>
      </c>
      <c r="T1144" s="34">
        <f>+IFERROR(_xlfn.XLOOKUP(Table43[[#This Row],[Column1]],#REF!,#REF!),0)</f>
        <v>0</v>
      </c>
      <c r="U1144" s="50">
        <f>IFERROR(_xlfn.XLOOKUP(Table43[[#This Row],[Column1]],#REF!,#REF!),0)</f>
        <v>0</v>
      </c>
      <c r="V1144" s="39"/>
    </row>
    <row r="1145" spans="1:22" x14ac:dyDescent="0.35">
      <c r="A1145" s="3" t="s">
        <v>5536</v>
      </c>
      <c r="B1145" s="3" t="s">
        <v>4886</v>
      </c>
      <c r="C1145" s="3" t="s">
        <v>15</v>
      </c>
      <c r="D1145" s="3"/>
      <c r="E1145" s="3" t="s">
        <v>10</v>
      </c>
      <c r="F1145" s="3">
        <v>0</v>
      </c>
      <c r="G1145" s="3">
        <v>4</v>
      </c>
      <c r="H1145" s="3">
        <v>0</v>
      </c>
      <c r="I1145" s="21">
        <f>Table43[[#This Row],[Item Cost]]*Table43[[#This Row],[In Stock]]</f>
        <v>0</v>
      </c>
      <c r="J1145" s="12" t="s">
        <v>4941</v>
      </c>
      <c r="K1145" s="13" t="s">
        <v>4666</v>
      </c>
      <c r="L1145" s="13" t="s">
        <v>4753</v>
      </c>
      <c r="M1145" s="13" t="s">
        <v>4859</v>
      </c>
      <c r="N1145" s="12" t="s">
        <v>4672</v>
      </c>
      <c r="O1145" s="17" t="str">
        <f>IF(LEN(COUNTIFS($J$1:J1145,$J1145,$K$1:K1145,$K1145,$L$1:L1145,$L1145,$M$1:M1145,M1145,$N$1:N1145,N1145))=1,"00"&amp;COUNTIFS($J$1:J1145,$J1145,$K$1:K1145,$K1145,$L$1:L1145,$L1145,$M$1:M1145,M1145,$N$1:N1145,N1145),IF(LEN(COUNTIFS($J$1:J1145,$J1145,$K$1:K1145,$K1145,$L$1:L1145,$L1145,$M$1:M1145,M1145,$N$1:N1145,N1145))=2,"0"&amp;COUNTIFS($J$1:J1145,$J1145,$K$1:K1145,$K1145,$L$1:L1145,$L1145,$M$1:M1145,M1145,$N$1:N1145,N1145),COUNTIFS($J$1:J1145,$J1145,$K$1:K1145,$K1145,$L$1:L1145,$L1145,$M$1:M1145,M1145,$N$1:N1145,N1145)))</f>
        <v>007</v>
      </c>
      <c r="P114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MS-NS-023-30-00007-INV</v>
      </c>
      <c r="Q1145" s="59"/>
      <c r="R1145" s="34" t="s">
        <v>6832</v>
      </c>
      <c r="S1145" s="34" t="s">
        <v>4886</v>
      </c>
      <c r="T1145" s="34">
        <f>+IFERROR(_xlfn.XLOOKUP(Table43[[#This Row],[Column1]],#REF!,#REF!),0)</f>
        <v>0</v>
      </c>
      <c r="U1145" s="50">
        <f>IFERROR(_xlfn.XLOOKUP(Table43[[#This Row],[Column1]],#REF!,#REF!),0)</f>
        <v>0</v>
      </c>
      <c r="V1145" s="39"/>
    </row>
    <row r="1146" spans="1:22" x14ac:dyDescent="0.35">
      <c r="A1146" s="3" t="s">
        <v>5537</v>
      </c>
      <c r="B1146" s="3" t="s">
        <v>3587</v>
      </c>
      <c r="C1146" s="3" t="s">
        <v>15</v>
      </c>
      <c r="D1146" s="3">
        <v>427</v>
      </c>
      <c r="E1146" s="3" t="s">
        <v>10</v>
      </c>
      <c r="F1146" s="3">
        <v>2</v>
      </c>
      <c r="G1146" s="3">
        <v>4</v>
      </c>
      <c r="H1146" s="3">
        <v>1</v>
      </c>
      <c r="I1146" s="21">
        <f>Table43[[#This Row],[Item Cost]]*Table43[[#This Row],[In Stock]]</f>
        <v>427</v>
      </c>
      <c r="J1146" s="12" t="s">
        <v>4941</v>
      </c>
      <c r="K1146" s="13" t="s">
        <v>4666</v>
      </c>
      <c r="L1146" s="13" t="s">
        <v>4753</v>
      </c>
      <c r="M1146" s="13" t="s">
        <v>4770</v>
      </c>
      <c r="N1146" s="12" t="s">
        <v>4672</v>
      </c>
      <c r="O1146" s="17" t="str">
        <f>IF(LEN(COUNTIFS($J$1:J1146,$J1146,$K$1:K1146,$K1146,$L$1:L1146,$L1146,$M$1:M1146,M1146,$N$1:N1146,N1146))=1,"00"&amp;COUNTIFS($J$1:J1146,$J1146,$K$1:K1146,$K1146,$L$1:L1146,$L1146,$M$1:M1146,M1146,$N$1:N1146,N1146),IF(LEN(COUNTIFS($J$1:J1146,$J1146,$K$1:K1146,$K1146,$L$1:L1146,$L1146,$M$1:M1146,M1146,$N$1:N1146,N1146))=2,"0"&amp;COUNTIFS($J$1:J1146,$J1146,$K$1:K1146,$K1146,$L$1:L1146,$L1146,$M$1:M1146,M1146,$N$1:N1146,N1146),COUNTIFS($J$1:J1146,$J1146,$K$1:K1146,$K1146,$L$1:L1146,$L1146,$M$1:M1146,M1146,$N$1:N1146,N1146)))</f>
        <v>009</v>
      </c>
      <c r="P114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MS-NS-023-04-00009-INV</v>
      </c>
      <c r="Q1146" s="59"/>
      <c r="R1146" s="34" t="s">
        <v>6833</v>
      </c>
      <c r="S1146" s="34" t="s">
        <v>3587</v>
      </c>
      <c r="T1146" s="34">
        <f>+IFERROR(_xlfn.XLOOKUP(Table43[[#This Row],[Column1]],#REF!,#REF!),0)</f>
        <v>0</v>
      </c>
      <c r="U1146" s="50">
        <f>IFERROR(_xlfn.XLOOKUP(Table43[[#This Row],[Column1]],#REF!,#REF!),0)</f>
        <v>0</v>
      </c>
      <c r="V1146" s="39"/>
    </row>
    <row r="1147" spans="1:22" x14ac:dyDescent="0.35">
      <c r="A1147" s="3" t="s">
        <v>5538</v>
      </c>
      <c r="B1147" s="2" t="s">
        <v>3589</v>
      </c>
      <c r="C1147" s="2" t="s">
        <v>15</v>
      </c>
      <c r="D1147" s="2">
        <v>395</v>
      </c>
      <c r="E1147" s="2" t="s">
        <v>10</v>
      </c>
      <c r="F1147" s="3">
        <v>2</v>
      </c>
      <c r="G1147" s="3">
        <v>4</v>
      </c>
      <c r="H1147" s="2">
        <v>0</v>
      </c>
      <c r="I1147" s="22">
        <f>Table43[[#This Row],[Item Cost]]*Table43[[#This Row],[In Stock]]</f>
        <v>0</v>
      </c>
      <c r="J1147" s="12" t="s">
        <v>4941</v>
      </c>
      <c r="K1147" s="13" t="s">
        <v>4666</v>
      </c>
      <c r="L1147" s="13" t="s">
        <v>4753</v>
      </c>
      <c r="M1147" s="13" t="s">
        <v>4770</v>
      </c>
      <c r="N1147" s="12" t="s">
        <v>4672</v>
      </c>
      <c r="O1147" s="17" t="str">
        <f>IF(LEN(COUNTIFS($J$1:J1147,$J1147,$K$1:K1147,$K1147,$L$1:L1147,$L1147,$M$1:M1147,M1147,$N$1:N1147,N1147))=1,"00"&amp;COUNTIFS($J$1:J1147,$J1147,$K$1:K1147,$K1147,$L$1:L1147,$L1147,$M$1:M1147,M1147,$N$1:N1147,N1147),IF(LEN(COUNTIFS($J$1:J1147,$J1147,$K$1:K1147,$K1147,$L$1:L1147,$L1147,$M$1:M1147,M1147,$N$1:N1147,N1147))=2,"0"&amp;COUNTIFS($J$1:J1147,$J1147,$K$1:K1147,$K1147,$L$1:L1147,$L1147,$M$1:M1147,M1147,$N$1:N1147,N1147),COUNTIFS($J$1:J1147,$J1147,$K$1:K1147,$K1147,$L$1:L1147,$L1147,$M$1:M1147,M1147,$N$1:N1147,N1147)))</f>
        <v>010</v>
      </c>
      <c r="P114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MS-NS-023-04-00010-INV</v>
      </c>
      <c r="Q1147" s="59"/>
      <c r="R1147" s="34" t="s">
        <v>6834</v>
      </c>
      <c r="S1147" s="34" t="s">
        <v>3589</v>
      </c>
      <c r="T1147" s="34">
        <f>+IFERROR(_xlfn.XLOOKUP(Table43[[#This Row],[Column1]],#REF!,#REF!),0)</f>
        <v>0</v>
      </c>
      <c r="U1147" s="50">
        <f>IFERROR(_xlfn.XLOOKUP(Table43[[#This Row],[Column1]],#REF!,#REF!),0)</f>
        <v>0</v>
      </c>
      <c r="V1147" s="39"/>
    </row>
    <row r="1148" spans="1:22" x14ac:dyDescent="0.35">
      <c r="A1148" s="3" t="s">
        <v>5539</v>
      </c>
      <c r="B1148" s="3" t="s">
        <v>4891</v>
      </c>
      <c r="C1148" s="3" t="s">
        <v>15</v>
      </c>
      <c r="D1148" s="3"/>
      <c r="E1148" s="3" t="s">
        <v>10</v>
      </c>
      <c r="F1148" s="3">
        <v>5</v>
      </c>
      <c r="G1148" s="3">
        <v>25</v>
      </c>
      <c r="H1148" s="3">
        <v>0</v>
      </c>
      <c r="I1148" s="21">
        <f>Table43[[#This Row],[Item Cost]]*Table43[[#This Row],[In Stock]]</f>
        <v>0</v>
      </c>
      <c r="J1148" s="12" t="s">
        <v>4941</v>
      </c>
      <c r="K1148" s="13" t="s">
        <v>4666</v>
      </c>
      <c r="L1148" s="13" t="s">
        <v>4753</v>
      </c>
      <c r="M1148" s="13" t="s">
        <v>4859</v>
      </c>
      <c r="N1148" s="12" t="s">
        <v>4672</v>
      </c>
      <c r="O1148" s="17" t="str">
        <f>IF(LEN(COUNTIFS($J$1:J1148,$J1148,$K$1:K1148,$K1148,$L$1:L1148,$L1148,$M$1:M1148,M1148,$N$1:N1148,N1148))=1,"00"&amp;COUNTIFS($J$1:J1148,$J1148,$K$1:K1148,$K1148,$L$1:L1148,$L1148,$M$1:M1148,M1148,$N$1:N1148,N1148),IF(LEN(COUNTIFS($J$1:J1148,$J1148,$K$1:K1148,$K1148,$L$1:L1148,$L1148,$M$1:M1148,M1148,$N$1:N1148,N1148))=2,"0"&amp;COUNTIFS($J$1:J1148,$J1148,$K$1:K1148,$K1148,$L$1:L1148,$L1148,$M$1:M1148,M1148,$N$1:N1148,N1148),COUNTIFS($J$1:J1148,$J1148,$K$1:K1148,$K1148,$L$1:L1148,$L1148,$M$1:M1148,M1148,$N$1:N1148,N1148)))</f>
        <v>008</v>
      </c>
      <c r="P114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MS-NS-023-30-00008-INV</v>
      </c>
      <c r="Q1148" s="59"/>
      <c r="R1148" s="34" t="s">
        <v>6835</v>
      </c>
      <c r="S1148" s="34" t="s">
        <v>4891</v>
      </c>
      <c r="T1148" s="34">
        <f>+IFERROR(_xlfn.XLOOKUP(Table43[[#This Row],[Column1]],#REF!,#REF!),0)</f>
        <v>0</v>
      </c>
      <c r="U1148" s="50">
        <f>IFERROR(_xlfn.XLOOKUP(Table43[[#This Row],[Column1]],#REF!,#REF!),0)</f>
        <v>0</v>
      </c>
      <c r="V1148" s="39"/>
    </row>
    <row r="1149" spans="1:22" x14ac:dyDescent="0.35">
      <c r="A1149" s="3" t="s">
        <v>5540</v>
      </c>
      <c r="B1149" s="3" t="s">
        <v>3591</v>
      </c>
      <c r="C1149" s="3" t="s">
        <v>15</v>
      </c>
      <c r="D1149" s="3">
        <v>403</v>
      </c>
      <c r="E1149" s="3" t="s">
        <v>10</v>
      </c>
      <c r="F1149" s="3">
        <v>2</v>
      </c>
      <c r="G1149" s="3">
        <v>4</v>
      </c>
      <c r="H1149" s="3">
        <v>1</v>
      </c>
      <c r="I1149" s="21">
        <f>Table43[[#This Row],[Item Cost]]*Table43[[#This Row],[In Stock]]</f>
        <v>403</v>
      </c>
      <c r="J1149" s="12" t="s">
        <v>4941</v>
      </c>
      <c r="K1149" s="13" t="s">
        <v>4666</v>
      </c>
      <c r="L1149" s="13" t="s">
        <v>4753</v>
      </c>
      <c r="M1149" s="13" t="s">
        <v>4770</v>
      </c>
      <c r="N1149" s="12" t="s">
        <v>4672</v>
      </c>
      <c r="O1149" s="17" t="str">
        <f>IF(LEN(COUNTIFS($J$1:J1149,$J1149,$K$1:K1149,$K1149,$L$1:L1149,$L1149,$M$1:M1149,M1149,$N$1:N1149,N1149))=1,"00"&amp;COUNTIFS($J$1:J1149,$J1149,$K$1:K1149,$K1149,$L$1:L1149,$L1149,$M$1:M1149,M1149,$N$1:N1149,N1149),IF(LEN(COUNTIFS($J$1:J1149,$J1149,$K$1:K1149,$K1149,$L$1:L1149,$L1149,$M$1:M1149,M1149,$N$1:N1149,N1149))=2,"0"&amp;COUNTIFS($J$1:J1149,$J1149,$K$1:K1149,$K1149,$L$1:L1149,$L1149,$M$1:M1149,M1149,$N$1:N1149,N1149),COUNTIFS($J$1:J1149,$J1149,$K$1:K1149,$K1149,$L$1:L1149,$L1149,$M$1:M1149,M1149,$N$1:N1149,N1149)))</f>
        <v>011</v>
      </c>
      <c r="P114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MS-NS-023-04-00011-INV</v>
      </c>
      <c r="Q1149" s="59"/>
      <c r="R1149" s="34" t="s">
        <v>6836</v>
      </c>
      <c r="S1149" s="34" t="s">
        <v>3591</v>
      </c>
      <c r="T1149" s="34">
        <f>+IFERROR(_xlfn.XLOOKUP(Table43[[#This Row],[Column1]],#REF!,#REF!),0)</f>
        <v>0</v>
      </c>
      <c r="U1149" s="50">
        <f>IFERROR(_xlfn.XLOOKUP(Table43[[#This Row],[Column1]],#REF!,#REF!),0)</f>
        <v>0</v>
      </c>
      <c r="V1149" s="39"/>
    </row>
    <row r="1150" spans="1:22" x14ac:dyDescent="0.35">
      <c r="A1150" s="3" t="s">
        <v>5541</v>
      </c>
      <c r="B1150" s="3" t="s">
        <v>4892</v>
      </c>
      <c r="C1150" s="3" t="s">
        <v>15</v>
      </c>
      <c r="D1150" s="3"/>
      <c r="E1150" s="3" t="s">
        <v>10</v>
      </c>
      <c r="F1150" s="3">
        <v>5</v>
      </c>
      <c r="G1150" s="3">
        <v>25</v>
      </c>
      <c r="H1150" s="3">
        <v>0</v>
      </c>
      <c r="I1150" s="21">
        <f>Table43[[#This Row],[Item Cost]]*Table43[[#This Row],[In Stock]]</f>
        <v>0</v>
      </c>
      <c r="J1150" s="12" t="s">
        <v>4941</v>
      </c>
      <c r="K1150" s="13" t="s">
        <v>4666</v>
      </c>
      <c r="L1150" s="13" t="s">
        <v>4753</v>
      </c>
      <c r="M1150" s="13" t="s">
        <v>4859</v>
      </c>
      <c r="N1150" s="12" t="s">
        <v>4672</v>
      </c>
      <c r="O1150" s="17" t="str">
        <f>IF(LEN(COUNTIFS($J$1:J1150,$J1150,$K$1:K1150,$K1150,$L$1:L1150,$L1150,$M$1:M1150,M1150,$N$1:N1150,N1150))=1,"00"&amp;COUNTIFS($J$1:J1150,$J1150,$K$1:K1150,$K1150,$L$1:L1150,$L1150,$M$1:M1150,M1150,$N$1:N1150,N1150),IF(LEN(COUNTIFS($J$1:J1150,$J1150,$K$1:K1150,$K1150,$L$1:L1150,$L1150,$M$1:M1150,M1150,$N$1:N1150,N1150))=2,"0"&amp;COUNTIFS($J$1:J1150,$J1150,$K$1:K1150,$K1150,$L$1:L1150,$L1150,$M$1:M1150,M1150,$N$1:N1150,N1150),COUNTIFS($J$1:J1150,$J1150,$K$1:K1150,$K1150,$L$1:L1150,$L1150,$M$1:M1150,M1150,$N$1:N1150,N1150)))</f>
        <v>009</v>
      </c>
      <c r="P115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MS-NS-023-30-00009-INV</v>
      </c>
      <c r="Q1150" s="59"/>
      <c r="R1150" s="34" t="s">
        <v>6837</v>
      </c>
      <c r="S1150" s="34" t="s">
        <v>4892</v>
      </c>
      <c r="T1150" s="34">
        <f>+IFERROR(_xlfn.XLOOKUP(Table43[[#This Row],[Column1]],#REF!,#REF!),0)</f>
        <v>0</v>
      </c>
      <c r="U1150" s="50">
        <f>IFERROR(_xlfn.XLOOKUP(Table43[[#This Row],[Column1]],#REF!,#REF!),0)</f>
        <v>0</v>
      </c>
      <c r="V1150" s="39"/>
    </row>
    <row r="1151" spans="1:22" x14ac:dyDescent="0.35">
      <c r="A1151" s="3" t="s">
        <v>5542</v>
      </c>
      <c r="B1151" s="2" t="s">
        <v>3593</v>
      </c>
      <c r="C1151" s="2" t="s">
        <v>15</v>
      </c>
      <c r="D1151" s="2">
        <v>249.38800000000001</v>
      </c>
      <c r="E1151" s="2" t="s">
        <v>10</v>
      </c>
      <c r="F1151" s="3">
        <v>2</v>
      </c>
      <c r="G1151" s="3">
        <v>4</v>
      </c>
      <c r="H1151" s="2">
        <v>4</v>
      </c>
      <c r="I1151" s="22">
        <f>Table43[[#This Row],[Item Cost]]*Table43[[#This Row],[In Stock]]</f>
        <v>997.55200000000002</v>
      </c>
      <c r="J1151" s="12" t="s">
        <v>4941</v>
      </c>
      <c r="K1151" s="13" t="s">
        <v>4666</v>
      </c>
      <c r="L1151" s="13" t="s">
        <v>4753</v>
      </c>
      <c r="M1151" s="13" t="s">
        <v>4770</v>
      </c>
      <c r="N1151" s="12" t="s">
        <v>4672</v>
      </c>
      <c r="O1151" s="17" t="str">
        <f>IF(LEN(COUNTIFS($J$1:J1151,$J1151,$K$1:K1151,$K1151,$L$1:L1151,$L1151,$M$1:M1151,M1151,$N$1:N1151,N1151))=1,"00"&amp;COUNTIFS($J$1:J1151,$J1151,$K$1:K1151,$K1151,$L$1:L1151,$L1151,$M$1:M1151,M1151,$N$1:N1151,N1151),IF(LEN(COUNTIFS($J$1:J1151,$J1151,$K$1:K1151,$K1151,$L$1:L1151,$L1151,$M$1:M1151,M1151,$N$1:N1151,N1151))=2,"0"&amp;COUNTIFS($J$1:J1151,$J1151,$K$1:K1151,$K1151,$L$1:L1151,$L1151,$M$1:M1151,M1151,$N$1:N1151,N1151),COUNTIFS($J$1:J1151,$J1151,$K$1:K1151,$K1151,$L$1:L1151,$L1151,$M$1:M1151,M1151,$N$1:N1151,N1151)))</f>
        <v>012</v>
      </c>
      <c r="P115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MS-NS-023-04-00012-INV</v>
      </c>
      <c r="Q1151" s="59"/>
      <c r="R1151" s="34" t="s">
        <v>6838</v>
      </c>
      <c r="S1151" s="34" t="s">
        <v>3593</v>
      </c>
      <c r="T1151" s="34">
        <f>+IFERROR(_xlfn.XLOOKUP(Table43[[#This Row],[Column1]],#REF!,#REF!),0)</f>
        <v>0</v>
      </c>
      <c r="U1151" s="50">
        <f>IFERROR(_xlfn.XLOOKUP(Table43[[#This Row],[Column1]],#REF!,#REF!),0)</f>
        <v>0</v>
      </c>
      <c r="V1151" s="39"/>
    </row>
    <row r="1152" spans="1:22" x14ac:dyDescent="0.35">
      <c r="A1152" s="3" t="s">
        <v>5543</v>
      </c>
      <c r="B1152" s="3" t="s">
        <v>4893</v>
      </c>
      <c r="C1152" s="3" t="s">
        <v>15</v>
      </c>
      <c r="D1152" s="3"/>
      <c r="E1152" s="3" t="s">
        <v>10</v>
      </c>
      <c r="F1152" s="3">
        <v>5</v>
      </c>
      <c r="G1152" s="3">
        <v>25</v>
      </c>
      <c r="H1152" s="3">
        <v>0</v>
      </c>
      <c r="I1152" s="21">
        <f>Table43[[#This Row],[Item Cost]]*Table43[[#This Row],[In Stock]]</f>
        <v>0</v>
      </c>
      <c r="J1152" s="12" t="s">
        <v>4941</v>
      </c>
      <c r="K1152" s="13" t="s">
        <v>4666</v>
      </c>
      <c r="L1152" s="13" t="s">
        <v>4753</v>
      </c>
      <c r="M1152" s="13" t="s">
        <v>4859</v>
      </c>
      <c r="N1152" s="12" t="s">
        <v>4672</v>
      </c>
      <c r="O1152" s="17" t="str">
        <f>IF(LEN(COUNTIFS($J$1:J1152,$J1152,$K$1:K1152,$K1152,$L$1:L1152,$L1152,$M$1:M1152,M1152,$N$1:N1152,N1152))=1,"00"&amp;COUNTIFS($J$1:J1152,$J1152,$K$1:K1152,$K1152,$L$1:L1152,$L1152,$M$1:M1152,M1152,$N$1:N1152,N1152),IF(LEN(COUNTIFS($J$1:J1152,$J1152,$K$1:K1152,$K1152,$L$1:L1152,$L1152,$M$1:M1152,M1152,$N$1:N1152,N1152))=2,"0"&amp;COUNTIFS($J$1:J1152,$J1152,$K$1:K1152,$K1152,$L$1:L1152,$L1152,$M$1:M1152,M1152,$N$1:N1152,N1152),COUNTIFS($J$1:J1152,$J1152,$K$1:K1152,$K1152,$L$1:L1152,$L1152,$M$1:M1152,M1152,$N$1:N1152,N1152)))</f>
        <v>010</v>
      </c>
      <c r="P115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MS-NS-023-30-00010-INV</v>
      </c>
      <c r="Q1152" s="59"/>
      <c r="R1152" s="34" t="s">
        <v>6839</v>
      </c>
      <c r="S1152" s="34" t="s">
        <v>4893</v>
      </c>
      <c r="T1152" s="34">
        <f>+IFERROR(_xlfn.XLOOKUP(Table43[[#This Row],[Column1]],#REF!,#REF!),0)</f>
        <v>0</v>
      </c>
      <c r="U1152" s="50">
        <f>IFERROR(_xlfn.XLOOKUP(Table43[[#This Row],[Column1]],#REF!,#REF!),0)</f>
        <v>0</v>
      </c>
      <c r="V1152" s="39"/>
    </row>
    <row r="1153" spans="1:22" x14ac:dyDescent="0.35">
      <c r="A1153" s="3" t="s">
        <v>5544</v>
      </c>
      <c r="B1153" s="3" t="s">
        <v>3595</v>
      </c>
      <c r="C1153" s="3" t="s">
        <v>15</v>
      </c>
      <c r="D1153" s="3">
        <v>508</v>
      </c>
      <c r="E1153" s="3" t="s">
        <v>10</v>
      </c>
      <c r="F1153" s="3">
        <v>2</v>
      </c>
      <c r="G1153" s="3">
        <v>4</v>
      </c>
      <c r="H1153" s="3">
        <v>1</v>
      </c>
      <c r="I1153" s="21">
        <f>Table43[[#This Row],[Item Cost]]*Table43[[#This Row],[In Stock]]</f>
        <v>508</v>
      </c>
      <c r="J1153" s="12" t="s">
        <v>4941</v>
      </c>
      <c r="K1153" s="13" t="s">
        <v>4666</v>
      </c>
      <c r="L1153" s="13" t="s">
        <v>4753</v>
      </c>
      <c r="M1153" s="13" t="s">
        <v>4770</v>
      </c>
      <c r="N1153" s="12" t="s">
        <v>4672</v>
      </c>
      <c r="O1153" s="17" t="str">
        <f>IF(LEN(COUNTIFS($J$1:J1153,$J1153,$K$1:K1153,$K1153,$L$1:L1153,$L1153,$M$1:M1153,M1153,$N$1:N1153,N1153))=1,"00"&amp;COUNTIFS($J$1:J1153,$J1153,$K$1:K1153,$K1153,$L$1:L1153,$L1153,$M$1:M1153,M1153,$N$1:N1153,N1153),IF(LEN(COUNTIFS($J$1:J1153,$J1153,$K$1:K1153,$K1153,$L$1:L1153,$L1153,$M$1:M1153,M1153,$N$1:N1153,N1153))=2,"0"&amp;COUNTIFS($J$1:J1153,$J1153,$K$1:K1153,$K1153,$L$1:L1153,$L1153,$M$1:M1153,M1153,$N$1:N1153,N1153),COUNTIFS($J$1:J1153,$J1153,$K$1:K1153,$K1153,$L$1:L1153,$L1153,$M$1:M1153,M1153,$N$1:N1153,N1153)))</f>
        <v>013</v>
      </c>
      <c r="P115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MS-NS-023-04-00013-INV</v>
      </c>
      <c r="Q1153" s="59"/>
      <c r="R1153" s="34" t="s">
        <v>6840</v>
      </c>
      <c r="S1153" s="34" t="s">
        <v>3595</v>
      </c>
      <c r="T1153" s="34">
        <f>+IFERROR(_xlfn.XLOOKUP(Table43[[#This Row],[Column1]],#REF!,#REF!),0)</f>
        <v>0</v>
      </c>
      <c r="U1153" s="50">
        <f>IFERROR(_xlfn.XLOOKUP(Table43[[#This Row],[Column1]],#REF!,#REF!),0)</f>
        <v>0</v>
      </c>
      <c r="V1153" s="39"/>
    </row>
    <row r="1154" spans="1:22" x14ac:dyDescent="0.35">
      <c r="A1154" s="3" t="s">
        <v>5545</v>
      </c>
      <c r="B1154" s="3" t="s">
        <v>4894</v>
      </c>
      <c r="C1154" s="3" t="s">
        <v>15</v>
      </c>
      <c r="D1154" s="3"/>
      <c r="E1154" s="3" t="s">
        <v>10</v>
      </c>
      <c r="F1154" s="3">
        <v>5</v>
      </c>
      <c r="G1154" s="3">
        <v>25</v>
      </c>
      <c r="H1154" s="3">
        <v>0</v>
      </c>
      <c r="I1154" s="21">
        <f>Table43[[#This Row],[Item Cost]]*Table43[[#This Row],[In Stock]]</f>
        <v>0</v>
      </c>
      <c r="J1154" s="12" t="s">
        <v>4941</v>
      </c>
      <c r="K1154" s="13" t="s">
        <v>4666</v>
      </c>
      <c r="L1154" s="13" t="s">
        <v>4753</v>
      </c>
      <c r="M1154" s="13" t="s">
        <v>4859</v>
      </c>
      <c r="N1154" s="12" t="s">
        <v>4672</v>
      </c>
      <c r="O1154" s="17" t="str">
        <f>IF(LEN(COUNTIFS($J$1:J1154,$J1154,$K$1:K1154,$K1154,$L$1:L1154,$L1154,$M$1:M1154,M1154,$N$1:N1154,N1154))=1,"00"&amp;COUNTIFS($J$1:J1154,$J1154,$K$1:K1154,$K1154,$L$1:L1154,$L1154,$M$1:M1154,M1154,$N$1:N1154,N1154),IF(LEN(COUNTIFS($J$1:J1154,$J1154,$K$1:K1154,$K1154,$L$1:L1154,$L1154,$M$1:M1154,M1154,$N$1:N1154,N1154))=2,"0"&amp;COUNTIFS($J$1:J1154,$J1154,$K$1:K1154,$K1154,$L$1:L1154,$L1154,$M$1:M1154,M1154,$N$1:N1154,N1154),COUNTIFS($J$1:J1154,$J1154,$K$1:K1154,$K1154,$L$1:L1154,$L1154,$M$1:M1154,M1154,$N$1:N1154,N1154)))</f>
        <v>011</v>
      </c>
      <c r="P115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MS-NS-023-30-00011-INV</v>
      </c>
      <c r="Q1154" s="59"/>
      <c r="R1154" s="34" t="s">
        <v>6841</v>
      </c>
      <c r="S1154" s="34" t="s">
        <v>4894</v>
      </c>
      <c r="T1154" s="34">
        <f>+IFERROR(_xlfn.XLOOKUP(Table43[[#This Row],[Column1]],#REF!,#REF!),0)</f>
        <v>0</v>
      </c>
      <c r="U1154" s="50">
        <f>IFERROR(_xlfn.XLOOKUP(Table43[[#This Row],[Column1]],#REF!,#REF!),0)</f>
        <v>0</v>
      </c>
      <c r="V1154" s="39"/>
    </row>
    <row r="1155" spans="1:22" x14ac:dyDescent="0.35">
      <c r="A1155" s="3" t="s">
        <v>5546</v>
      </c>
      <c r="B1155" s="2" t="s">
        <v>3597</v>
      </c>
      <c r="C1155" s="2" t="s">
        <v>15</v>
      </c>
      <c r="D1155" s="2">
        <v>0</v>
      </c>
      <c r="E1155" s="2" t="s">
        <v>10</v>
      </c>
      <c r="F1155" s="3">
        <v>2</v>
      </c>
      <c r="G1155" s="3">
        <v>4</v>
      </c>
      <c r="H1155" s="2">
        <v>0</v>
      </c>
      <c r="I1155" s="22">
        <f>Table43[[#This Row],[Item Cost]]*Table43[[#This Row],[In Stock]]</f>
        <v>0</v>
      </c>
      <c r="J1155" s="12" t="s">
        <v>4941</v>
      </c>
      <c r="K1155" s="13" t="s">
        <v>4666</v>
      </c>
      <c r="L1155" s="13" t="s">
        <v>4753</v>
      </c>
      <c r="M1155" s="13" t="s">
        <v>4827</v>
      </c>
      <c r="N1155" s="12" t="s">
        <v>4672</v>
      </c>
      <c r="O1155" s="17" t="str">
        <f>IF(LEN(COUNTIFS($J$1:J1155,$J1155,$K$1:K1155,$K1155,$L$1:L1155,$L1155,$M$1:M1155,M1155,$N$1:N1155,N1155))=1,"00"&amp;COUNTIFS($J$1:J1155,$J1155,$K$1:K1155,$K1155,$L$1:L1155,$L1155,$M$1:M1155,M1155,$N$1:N1155,N1155),IF(LEN(COUNTIFS($J$1:J1155,$J1155,$K$1:K1155,$K1155,$L$1:L1155,$L1155,$M$1:M1155,M1155,$N$1:N1155,N1155))=2,"0"&amp;COUNTIFS($J$1:J1155,$J1155,$K$1:K1155,$K1155,$L$1:L1155,$L1155,$M$1:M1155,M1155,$N$1:N1155,N1155),COUNTIFS($J$1:J1155,$J1155,$K$1:K1155,$K1155,$L$1:L1155,$L1155,$M$1:M1155,M1155,$N$1:N1155,N1155)))</f>
        <v>001</v>
      </c>
      <c r="P115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MS-NS-023-10-00001-INV</v>
      </c>
      <c r="Q1155" s="59"/>
      <c r="R1155" s="34" t="s">
        <v>6842</v>
      </c>
      <c r="S1155" s="34" t="s">
        <v>3597</v>
      </c>
      <c r="T1155" s="34">
        <f>+IFERROR(_xlfn.XLOOKUP(Table43[[#This Row],[Column1]],#REF!,#REF!),0)</f>
        <v>0</v>
      </c>
      <c r="U1155" s="50">
        <f>IFERROR(_xlfn.XLOOKUP(Table43[[#This Row],[Column1]],#REF!,#REF!),0)</f>
        <v>0</v>
      </c>
      <c r="V1155" s="39"/>
    </row>
    <row r="1156" spans="1:22" x14ac:dyDescent="0.35">
      <c r="A1156" s="3" t="s">
        <v>5547</v>
      </c>
      <c r="B1156" s="3" t="s">
        <v>4895</v>
      </c>
      <c r="C1156" s="3" t="s">
        <v>15</v>
      </c>
      <c r="D1156" s="3"/>
      <c r="E1156" s="3" t="s">
        <v>10</v>
      </c>
      <c r="F1156" s="3">
        <v>5</v>
      </c>
      <c r="G1156" s="3">
        <v>25</v>
      </c>
      <c r="H1156" s="3">
        <v>0</v>
      </c>
      <c r="I1156" s="21">
        <f>Table43[[#This Row],[Item Cost]]*Table43[[#This Row],[In Stock]]</f>
        <v>0</v>
      </c>
      <c r="J1156" s="12" t="s">
        <v>4941</v>
      </c>
      <c r="K1156" s="13" t="s">
        <v>4666</v>
      </c>
      <c r="L1156" s="13" t="s">
        <v>4753</v>
      </c>
      <c r="M1156" s="13" t="s">
        <v>4859</v>
      </c>
      <c r="N1156" s="12" t="s">
        <v>4672</v>
      </c>
      <c r="O1156" s="17" t="str">
        <f>IF(LEN(COUNTIFS($J$1:J1156,$J1156,$K$1:K1156,$K1156,$L$1:L1156,$L1156,$M$1:M1156,M1156,$N$1:N1156,N1156))=1,"00"&amp;COUNTIFS($J$1:J1156,$J1156,$K$1:K1156,$K1156,$L$1:L1156,$L1156,$M$1:M1156,M1156,$N$1:N1156,N1156),IF(LEN(COUNTIFS($J$1:J1156,$J1156,$K$1:K1156,$K1156,$L$1:L1156,$L1156,$M$1:M1156,M1156,$N$1:N1156,N1156))=2,"0"&amp;COUNTIFS($J$1:J1156,$J1156,$K$1:K1156,$K1156,$L$1:L1156,$L1156,$M$1:M1156,M1156,$N$1:N1156,N1156),COUNTIFS($J$1:J1156,$J1156,$K$1:K1156,$K1156,$L$1:L1156,$L1156,$M$1:M1156,M1156,$N$1:N1156,N1156)))</f>
        <v>012</v>
      </c>
      <c r="P115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MS-NS-023-30-00012-INV</v>
      </c>
      <c r="Q1156" s="59"/>
      <c r="R1156" s="34" t="s">
        <v>6843</v>
      </c>
      <c r="S1156" s="34" t="s">
        <v>4895</v>
      </c>
      <c r="T1156" s="34">
        <f>+IFERROR(_xlfn.XLOOKUP(Table43[[#This Row],[Column1]],#REF!,#REF!),0)</f>
        <v>0</v>
      </c>
      <c r="U1156" s="50">
        <f>IFERROR(_xlfn.XLOOKUP(Table43[[#This Row],[Column1]],#REF!,#REF!),0)</f>
        <v>0</v>
      </c>
      <c r="V1156" s="39"/>
    </row>
    <row r="1157" spans="1:22" x14ac:dyDescent="0.35">
      <c r="A1157" s="3" t="s">
        <v>5548</v>
      </c>
      <c r="B1157" s="3" t="s">
        <v>3599</v>
      </c>
      <c r="C1157" s="3" t="s">
        <v>15</v>
      </c>
      <c r="D1157" s="3">
        <v>410</v>
      </c>
      <c r="E1157" s="3" t="s">
        <v>10</v>
      </c>
      <c r="F1157" s="3">
        <v>2</v>
      </c>
      <c r="G1157" s="3">
        <v>4</v>
      </c>
      <c r="H1157" s="3">
        <v>0</v>
      </c>
      <c r="I1157" s="21">
        <f>Table43[[#This Row],[Item Cost]]*Table43[[#This Row],[In Stock]]</f>
        <v>0</v>
      </c>
      <c r="J1157" s="12" t="s">
        <v>4941</v>
      </c>
      <c r="K1157" s="13" t="s">
        <v>4666</v>
      </c>
      <c r="L1157" s="13" t="s">
        <v>4753</v>
      </c>
      <c r="M1157" s="13" t="s">
        <v>4827</v>
      </c>
      <c r="N1157" s="12" t="s">
        <v>4672</v>
      </c>
      <c r="O1157" s="17" t="str">
        <f>IF(LEN(COUNTIFS($J$1:J1157,$J1157,$K$1:K1157,$K1157,$L$1:L1157,$L1157,$M$1:M1157,M1157,$N$1:N1157,N1157))=1,"00"&amp;COUNTIFS($J$1:J1157,$J1157,$K$1:K1157,$K1157,$L$1:L1157,$L1157,$M$1:M1157,M1157,$N$1:N1157,N1157),IF(LEN(COUNTIFS($J$1:J1157,$J1157,$K$1:K1157,$K1157,$L$1:L1157,$L1157,$M$1:M1157,M1157,$N$1:N1157,N1157))=2,"0"&amp;COUNTIFS($J$1:J1157,$J1157,$K$1:K1157,$K1157,$L$1:L1157,$L1157,$M$1:M1157,M1157,$N$1:N1157,N1157),COUNTIFS($J$1:J1157,$J1157,$K$1:K1157,$K1157,$L$1:L1157,$L1157,$M$1:M1157,M1157,$N$1:N1157,N1157)))</f>
        <v>002</v>
      </c>
      <c r="P115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MS-NS-023-10-00002-INV</v>
      </c>
      <c r="Q1157" s="59"/>
      <c r="R1157" s="34" t="s">
        <v>6844</v>
      </c>
      <c r="S1157" s="34" t="s">
        <v>3599</v>
      </c>
      <c r="T1157" s="34">
        <f>+IFERROR(_xlfn.XLOOKUP(Table43[[#This Row],[Column1]],#REF!,#REF!),0)</f>
        <v>0</v>
      </c>
      <c r="U1157" s="50">
        <f>IFERROR(_xlfn.XLOOKUP(Table43[[#This Row],[Column1]],#REF!,#REF!),0)</f>
        <v>0</v>
      </c>
      <c r="V1157" s="39"/>
    </row>
    <row r="1158" spans="1:22" x14ac:dyDescent="0.35">
      <c r="A1158" s="3" t="s">
        <v>5549</v>
      </c>
      <c r="B1158" s="3" t="s">
        <v>4896</v>
      </c>
      <c r="C1158" s="3" t="s">
        <v>15</v>
      </c>
      <c r="D1158" s="3"/>
      <c r="E1158" s="3" t="s">
        <v>10</v>
      </c>
      <c r="F1158" s="3">
        <v>5</v>
      </c>
      <c r="G1158" s="3">
        <v>25</v>
      </c>
      <c r="H1158" s="3">
        <v>0</v>
      </c>
      <c r="I1158" s="21">
        <f>Table43[[#This Row],[Item Cost]]*Table43[[#This Row],[In Stock]]</f>
        <v>0</v>
      </c>
      <c r="J1158" s="12" t="s">
        <v>4941</v>
      </c>
      <c r="K1158" s="13" t="s">
        <v>4666</v>
      </c>
      <c r="L1158" s="13" t="s">
        <v>4753</v>
      </c>
      <c r="M1158" s="13" t="s">
        <v>4859</v>
      </c>
      <c r="N1158" s="12" t="s">
        <v>4672</v>
      </c>
      <c r="O1158" s="17" t="str">
        <f>IF(LEN(COUNTIFS($J$1:J1158,$J1158,$K$1:K1158,$K1158,$L$1:L1158,$L1158,$M$1:M1158,M1158,$N$1:N1158,N1158))=1,"00"&amp;COUNTIFS($J$1:J1158,$J1158,$K$1:K1158,$K1158,$L$1:L1158,$L1158,$M$1:M1158,M1158,$N$1:N1158,N1158),IF(LEN(COUNTIFS($J$1:J1158,$J1158,$K$1:K1158,$K1158,$L$1:L1158,$L1158,$M$1:M1158,M1158,$N$1:N1158,N1158))=2,"0"&amp;COUNTIFS($J$1:J1158,$J1158,$K$1:K1158,$K1158,$L$1:L1158,$L1158,$M$1:M1158,M1158,$N$1:N1158,N1158),COUNTIFS($J$1:J1158,$J1158,$K$1:K1158,$K1158,$L$1:L1158,$L1158,$M$1:M1158,M1158,$N$1:N1158,N1158)))</f>
        <v>013</v>
      </c>
      <c r="P115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MS-NS-023-30-00013-INV</v>
      </c>
      <c r="Q1158" s="59"/>
      <c r="R1158" s="34" t="s">
        <v>6845</v>
      </c>
      <c r="S1158" s="34" t="s">
        <v>4896</v>
      </c>
      <c r="T1158" s="34">
        <f>+IFERROR(_xlfn.XLOOKUP(Table43[[#This Row],[Column1]],#REF!,#REF!),0)</f>
        <v>0</v>
      </c>
      <c r="U1158" s="50">
        <f>IFERROR(_xlfn.XLOOKUP(Table43[[#This Row],[Column1]],#REF!,#REF!),0)</f>
        <v>0</v>
      </c>
      <c r="V1158" s="39"/>
    </row>
    <row r="1159" spans="1:22" x14ac:dyDescent="0.35">
      <c r="A1159" s="3" t="s">
        <v>5550</v>
      </c>
      <c r="B1159" s="2" t="s">
        <v>3601</v>
      </c>
      <c r="C1159" s="2" t="s">
        <v>15</v>
      </c>
      <c r="D1159" s="2">
        <v>0</v>
      </c>
      <c r="E1159" s="2" t="s">
        <v>10</v>
      </c>
      <c r="F1159" s="3">
        <v>2</v>
      </c>
      <c r="G1159" s="3">
        <v>4</v>
      </c>
      <c r="H1159" s="2">
        <v>0</v>
      </c>
      <c r="I1159" s="22">
        <f>Table43[[#This Row],[Item Cost]]*Table43[[#This Row],[In Stock]]</f>
        <v>0</v>
      </c>
      <c r="J1159" s="12" t="s">
        <v>4941</v>
      </c>
      <c r="K1159" s="13" t="s">
        <v>4666</v>
      </c>
      <c r="L1159" s="13" t="s">
        <v>4753</v>
      </c>
      <c r="M1159" s="13" t="s">
        <v>4827</v>
      </c>
      <c r="N1159" s="12" t="s">
        <v>4672</v>
      </c>
      <c r="O1159" s="17" t="str">
        <f>IF(LEN(COUNTIFS($J$1:J1159,$J1159,$K$1:K1159,$K1159,$L$1:L1159,$L1159,$M$1:M1159,M1159,$N$1:N1159,N1159))=1,"00"&amp;COUNTIFS($J$1:J1159,$J1159,$K$1:K1159,$K1159,$L$1:L1159,$L1159,$M$1:M1159,M1159,$N$1:N1159,N1159),IF(LEN(COUNTIFS($J$1:J1159,$J1159,$K$1:K1159,$K1159,$L$1:L1159,$L1159,$M$1:M1159,M1159,$N$1:N1159,N1159))=2,"0"&amp;COUNTIFS($J$1:J1159,$J1159,$K$1:K1159,$K1159,$L$1:L1159,$L1159,$M$1:M1159,M1159,$N$1:N1159,N1159),COUNTIFS($J$1:J1159,$J1159,$K$1:K1159,$K1159,$L$1:L1159,$L1159,$M$1:M1159,M1159,$N$1:N1159,N1159)))</f>
        <v>003</v>
      </c>
      <c r="P115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MS-NS-023-10-00003-INV</v>
      </c>
      <c r="Q1159" s="59"/>
      <c r="R1159" s="34" t="s">
        <v>6846</v>
      </c>
      <c r="S1159" s="34" t="s">
        <v>3601</v>
      </c>
      <c r="T1159" s="34">
        <f>+IFERROR(_xlfn.XLOOKUP(Table43[[#This Row],[Column1]],#REF!,#REF!),0)</f>
        <v>0</v>
      </c>
      <c r="U1159" s="50">
        <f>IFERROR(_xlfn.XLOOKUP(Table43[[#This Row],[Column1]],#REF!,#REF!),0)</f>
        <v>0</v>
      </c>
      <c r="V1159" s="39"/>
    </row>
    <row r="1160" spans="1:22" x14ac:dyDescent="0.35">
      <c r="A1160" s="3" t="s">
        <v>5551</v>
      </c>
      <c r="B1160" s="3" t="s">
        <v>4897</v>
      </c>
      <c r="C1160" s="3" t="s">
        <v>15</v>
      </c>
      <c r="D1160" s="3"/>
      <c r="E1160" s="3" t="s">
        <v>10</v>
      </c>
      <c r="F1160" s="3">
        <v>5</v>
      </c>
      <c r="G1160" s="3">
        <v>25</v>
      </c>
      <c r="H1160" s="3">
        <v>0</v>
      </c>
      <c r="I1160" s="21">
        <f>Table43[[#This Row],[Item Cost]]*Table43[[#This Row],[In Stock]]</f>
        <v>0</v>
      </c>
      <c r="J1160" s="12" t="s">
        <v>4941</v>
      </c>
      <c r="K1160" s="13" t="s">
        <v>4666</v>
      </c>
      <c r="L1160" s="13" t="s">
        <v>4753</v>
      </c>
      <c r="M1160" s="13" t="s">
        <v>4859</v>
      </c>
      <c r="N1160" s="12" t="s">
        <v>4672</v>
      </c>
      <c r="O1160" s="17" t="str">
        <f>IF(LEN(COUNTIFS($J$1:J1160,$J1160,$K$1:K1160,$K1160,$L$1:L1160,$L1160,$M$1:M1160,M1160,$N$1:N1160,N1160))=1,"00"&amp;COUNTIFS($J$1:J1160,$J1160,$K$1:K1160,$K1160,$L$1:L1160,$L1160,$M$1:M1160,M1160,$N$1:N1160,N1160),IF(LEN(COUNTIFS($J$1:J1160,$J1160,$K$1:K1160,$K1160,$L$1:L1160,$L1160,$M$1:M1160,M1160,$N$1:N1160,N1160))=2,"0"&amp;COUNTIFS($J$1:J1160,$J1160,$K$1:K1160,$K1160,$L$1:L1160,$L1160,$M$1:M1160,M1160,$N$1:N1160,N1160),COUNTIFS($J$1:J1160,$J1160,$K$1:K1160,$K1160,$L$1:L1160,$L1160,$M$1:M1160,M1160,$N$1:N1160,N1160)))</f>
        <v>014</v>
      </c>
      <c r="P116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MS-NS-023-30-00014-INV</v>
      </c>
      <c r="Q1160" s="59"/>
      <c r="R1160" s="34" t="s">
        <v>6847</v>
      </c>
      <c r="S1160" s="34" t="s">
        <v>4897</v>
      </c>
      <c r="T1160" s="34">
        <f>+IFERROR(_xlfn.XLOOKUP(Table43[[#This Row],[Column1]],#REF!,#REF!),0)</f>
        <v>0</v>
      </c>
      <c r="U1160" s="50">
        <f>IFERROR(_xlfn.XLOOKUP(Table43[[#This Row],[Column1]],#REF!,#REF!),0)</f>
        <v>0</v>
      </c>
      <c r="V1160" s="39"/>
    </row>
    <row r="1161" spans="1:22" x14ac:dyDescent="0.35">
      <c r="A1161" s="3" t="s">
        <v>5552</v>
      </c>
      <c r="B1161" s="3" t="s">
        <v>3603</v>
      </c>
      <c r="C1161" s="3" t="s">
        <v>15</v>
      </c>
      <c r="D1161" s="3">
        <v>0</v>
      </c>
      <c r="E1161" s="3" t="s">
        <v>10</v>
      </c>
      <c r="F1161" s="3">
        <v>2</v>
      </c>
      <c r="G1161" s="3">
        <v>4</v>
      </c>
      <c r="H1161" s="3">
        <v>0</v>
      </c>
      <c r="I1161" s="21">
        <f>Table43[[#This Row],[Item Cost]]*Table43[[#This Row],[In Stock]]</f>
        <v>0</v>
      </c>
      <c r="J1161" s="12" t="s">
        <v>4941</v>
      </c>
      <c r="K1161" s="13" t="s">
        <v>4666</v>
      </c>
      <c r="L1161" s="13" t="s">
        <v>4753</v>
      </c>
      <c r="M1161" s="13" t="s">
        <v>4827</v>
      </c>
      <c r="N1161" s="12" t="s">
        <v>4672</v>
      </c>
      <c r="O1161" s="17" t="str">
        <f>IF(LEN(COUNTIFS($J$1:J1161,$J1161,$K$1:K1161,$K1161,$L$1:L1161,$L1161,$M$1:M1161,M1161,$N$1:N1161,N1161))=1,"00"&amp;COUNTIFS($J$1:J1161,$J1161,$K$1:K1161,$K1161,$L$1:L1161,$L1161,$M$1:M1161,M1161,$N$1:N1161,N1161),IF(LEN(COUNTIFS($J$1:J1161,$J1161,$K$1:K1161,$K1161,$L$1:L1161,$L1161,$M$1:M1161,M1161,$N$1:N1161,N1161))=2,"0"&amp;COUNTIFS($J$1:J1161,$J1161,$K$1:K1161,$K1161,$L$1:L1161,$L1161,$M$1:M1161,M1161,$N$1:N1161,N1161),COUNTIFS($J$1:J1161,$J1161,$K$1:K1161,$K1161,$L$1:L1161,$L1161,$M$1:M1161,M1161,$N$1:N1161,N1161)))</f>
        <v>004</v>
      </c>
      <c r="P116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MS-NS-023-10-00004-INV</v>
      </c>
      <c r="Q1161" s="59"/>
      <c r="R1161" s="34" t="s">
        <v>6848</v>
      </c>
      <c r="S1161" s="34" t="s">
        <v>3603</v>
      </c>
      <c r="T1161" s="34">
        <f>+IFERROR(_xlfn.XLOOKUP(Table43[[#This Row],[Column1]],#REF!,#REF!),0)</f>
        <v>0</v>
      </c>
      <c r="U1161" s="50">
        <f>IFERROR(_xlfn.XLOOKUP(Table43[[#This Row],[Column1]],#REF!,#REF!),0)</f>
        <v>0</v>
      </c>
      <c r="V1161" s="39"/>
    </row>
    <row r="1162" spans="1:22" x14ac:dyDescent="0.35">
      <c r="A1162" s="3" t="s">
        <v>5553</v>
      </c>
      <c r="B1162" s="3" t="s">
        <v>4898</v>
      </c>
      <c r="C1162" s="3" t="s">
        <v>15</v>
      </c>
      <c r="D1162" s="3"/>
      <c r="E1162" s="3" t="s">
        <v>10</v>
      </c>
      <c r="F1162" s="3">
        <v>5</v>
      </c>
      <c r="G1162" s="3">
        <v>25</v>
      </c>
      <c r="H1162" s="3">
        <v>0</v>
      </c>
      <c r="I1162" s="21">
        <f>Table43[[#This Row],[Item Cost]]*Table43[[#This Row],[In Stock]]</f>
        <v>0</v>
      </c>
      <c r="J1162" s="12" t="s">
        <v>4941</v>
      </c>
      <c r="K1162" s="13" t="s">
        <v>4666</v>
      </c>
      <c r="L1162" s="13" t="s">
        <v>4753</v>
      </c>
      <c r="M1162" s="13" t="s">
        <v>4859</v>
      </c>
      <c r="N1162" s="12" t="s">
        <v>4672</v>
      </c>
      <c r="O1162" s="17" t="str">
        <f>IF(LEN(COUNTIFS($J$1:J1162,$J1162,$K$1:K1162,$K1162,$L$1:L1162,$L1162,$M$1:M1162,M1162,$N$1:N1162,N1162))=1,"00"&amp;COUNTIFS($J$1:J1162,$J1162,$K$1:K1162,$K1162,$L$1:L1162,$L1162,$M$1:M1162,M1162,$N$1:N1162,N1162),IF(LEN(COUNTIFS($J$1:J1162,$J1162,$K$1:K1162,$K1162,$L$1:L1162,$L1162,$M$1:M1162,M1162,$N$1:N1162,N1162))=2,"0"&amp;COUNTIFS($J$1:J1162,$J1162,$K$1:K1162,$K1162,$L$1:L1162,$L1162,$M$1:M1162,M1162,$N$1:N1162,N1162),COUNTIFS($J$1:J1162,$J1162,$K$1:K1162,$K1162,$L$1:L1162,$L1162,$M$1:M1162,M1162,$N$1:N1162,N1162)))</f>
        <v>015</v>
      </c>
      <c r="P116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MS-NS-023-30-00015-INV</v>
      </c>
      <c r="Q1162" s="59"/>
      <c r="R1162" s="34" t="s">
        <v>6849</v>
      </c>
      <c r="S1162" s="34" t="s">
        <v>4898</v>
      </c>
      <c r="T1162" s="34">
        <f>+IFERROR(_xlfn.XLOOKUP(Table43[[#This Row],[Column1]],#REF!,#REF!),0)</f>
        <v>0</v>
      </c>
      <c r="U1162" s="50">
        <f>IFERROR(_xlfn.XLOOKUP(Table43[[#This Row],[Column1]],#REF!,#REF!),0)</f>
        <v>0</v>
      </c>
      <c r="V1162" s="39"/>
    </row>
    <row r="1163" spans="1:22" x14ac:dyDescent="0.35">
      <c r="A1163" s="3" t="s">
        <v>5554</v>
      </c>
      <c r="B1163" s="2" t="s">
        <v>3605</v>
      </c>
      <c r="C1163" s="2" t="s">
        <v>15</v>
      </c>
      <c r="D1163" s="2">
        <v>0</v>
      </c>
      <c r="E1163" s="2" t="s">
        <v>10</v>
      </c>
      <c r="F1163" s="3">
        <v>2</v>
      </c>
      <c r="G1163" s="3">
        <v>4</v>
      </c>
      <c r="H1163" s="2">
        <v>0</v>
      </c>
      <c r="I1163" s="22">
        <f>Table43[[#This Row],[Item Cost]]*Table43[[#This Row],[In Stock]]</f>
        <v>0</v>
      </c>
      <c r="J1163" s="12" t="s">
        <v>4941</v>
      </c>
      <c r="K1163" s="13" t="s">
        <v>4666</v>
      </c>
      <c r="L1163" s="13" t="s">
        <v>4753</v>
      </c>
      <c r="M1163" s="13" t="s">
        <v>4859</v>
      </c>
      <c r="N1163" s="12" t="s">
        <v>4672</v>
      </c>
      <c r="O1163" s="17" t="str">
        <f>IF(LEN(COUNTIFS($J$1:J1163,$J1163,$K$1:K1163,$K1163,$L$1:L1163,$L1163,$M$1:M1163,M1163,$N$1:N1163,N1163))=1,"00"&amp;COUNTIFS($J$1:J1163,$J1163,$K$1:K1163,$K1163,$L$1:L1163,$L1163,$M$1:M1163,M1163,$N$1:N1163,N1163),IF(LEN(COUNTIFS($J$1:J1163,$J1163,$K$1:K1163,$K1163,$L$1:L1163,$L1163,$M$1:M1163,M1163,$N$1:N1163,N1163))=2,"0"&amp;COUNTIFS($J$1:J1163,$J1163,$K$1:K1163,$K1163,$L$1:L1163,$L1163,$M$1:M1163,M1163,$N$1:N1163,N1163),COUNTIFS($J$1:J1163,$J1163,$K$1:K1163,$K1163,$L$1:L1163,$L1163,$M$1:M1163,M1163,$N$1:N1163,N1163)))</f>
        <v>016</v>
      </c>
      <c r="P116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MS-NS-023-30-00016-INV</v>
      </c>
      <c r="Q1163" s="59"/>
      <c r="R1163" s="34" t="s">
        <v>6850</v>
      </c>
      <c r="S1163" s="34" t="s">
        <v>3605</v>
      </c>
      <c r="T1163" s="34">
        <f>+IFERROR(_xlfn.XLOOKUP(Table43[[#This Row],[Column1]],#REF!,#REF!),0)</f>
        <v>0</v>
      </c>
      <c r="U1163" s="50">
        <f>IFERROR(_xlfn.XLOOKUP(Table43[[#This Row],[Column1]],#REF!,#REF!),0)</f>
        <v>0</v>
      </c>
      <c r="V1163" s="39"/>
    </row>
    <row r="1164" spans="1:22" x14ac:dyDescent="0.35">
      <c r="A1164" s="3" t="s">
        <v>5555</v>
      </c>
      <c r="B1164" s="3" t="s">
        <v>4899</v>
      </c>
      <c r="C1164" s="3" t="s">
        <v>15</v>
      </c>
      <c r="D1164" s="3"/>
      <c r="E1164" s="3" t="s">
        <v>10</v>
      </c>
      <c r="F1164" s="3">
        <v>5</v>
      </c>
      <c r="G1164" s="3">
        <v>25</v>
      </c>
      <c r="H1164" s="3">
        <v>0</v>
      </c>
      <c r="I1164" s="21">
        <f>Table43[[#This Row],[Item Cost]]*Table43[[#This Row],[In Stock]]</f>
        <v>0</v>
      </c>
      <c r="J1164" s="12" t="s">
        <v>4941</v>
      </c>
      <c r="K1164" s="13" t="s">
        <v>4666</v>
      </c>
      <c r="L1164" s="13" t="s">
        <v>4753</v>
      </c>
      <c r="M1164" s="13" t="s">
        <v>4859</v>
      </c>
      <c r="N1164" s="12" t="s">
        <v>4672</v>
      </c>
      <c r="O1164" s="17" t="str">
        <f>IF(LEN(COUNTIFS($J$1:J1164,$J1164,$K$1:K1164,$K1164,$L$1:L1164,$L1164,$M$1:M1164,M1164,$N$1:N1164,N1164))=1,"00"&amp;COUNTIFS($J$1:J1164,$J1164,$K$1:K1164,$K1164,$L$1:L1164,$L1164,$M$1:M1164,M1164,$N$1:N1164,N1164),IF(LEN(COUNTIFS($J$1:J1164,$J1164,$K$1:K1164,$K1164,$L$1:L1164,$L1164,$M$1:M1164,M1164,$N$1:N1164,N1164))=2,"0"&amp;COUNTIFS($J$1:J1164,$J1164,$K$1:K1164,$K1164,$L$1:L1164,$L1164,$M$1:M1164,M1164,$N$1:N1164,N1164),COUNTIFS($J$1:J1164,$J1164,$K$1:K1164,$K1164,$L$1:L1164,$L1164,$M$1:M1164,M1164,$N$1:N1164,N1164)))</f>
        <v>017</v>
      </c>
      <c r="P116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MS-NS-023-30-00017-INV</v>
      </c>
      <c r="Q1164" s="59"/>
      <c r="R1164" s="34" t="s">
        <v>6851</v>
      </c>
      <c r="S1164" s="34" t="s">
        <v>4899</v>
      </c>
      <c r="T1164" s="34">
        <f>+IFERROR(_xlfn.XLOOKUP(Table43[[#This Row],[Column1]],#REF!,#REF!),0)</f>
        <v>0</v>
      </c>
      <c r="U1164" s="50">
        <f>IFERROR(_xlfn.XLOOKUP(Table43[[#This Row],[Column1]],#REF!,#REF!),0)</f>
        <v>0</v>
      </c>
      <c r="V1164" s="39"/>
    </row>
    <row r="1165" spans="1:22" x14ac:dyDescent="0.35">
      <c r="A1165" s="3" t="s">
        <v>5556</v>
      </c>
      <c r="B1165" s="3" t="s">
        <v>3607</v>
      </c>
      <c r="C1165" s="3" t="s">
        <v>15</v>
      </c>
      <c r="D1165" s="3">
        <v>0</v>
      </c>
      <c r="E1165" s="3" t="s">
        <v>10</v>
      </c>
      <c r="F1165" s="3">
        <v>2</v>
      </c>
      <c r="G1165" s="3">
        <v>4</v>
      </c>
      <c r="H1165" s="3">
        <v>0</v>
      </c>
      <c r="I1165" s="21">
        <f>Table43[[#This Row],[Item Cost]]*Table43[[#This Row],[In Stock]]</f>
        <v>0</v>
      </c>
      <c r="J1165" s="12" t="s">
        <v>4941</v>
      </c>
      <c r="K1165" s="13" t="s">
        <v>4666</v>
      </c>
      <c r="L1165" s="13" t="s">
        <v>4753</v>
      </c>
      <c r="M1165" s="13" t="s">
        <v>4859</v>
      </c>
      <c r="N1165" s="12" t="s">
        <v>4672</v>
      </c>
      <c r="O1165" s="17" t="str">
        <f>IF(LEN(COUNTIFS($J$1:J1165,$J1165,$K$1:K1165,$K1165,$L$1:L1165,$L1165,$M$1:M1165,M1165,$N$1:N1165,N1165))=1,"00"&amp;COUNTIFS($J$1:J1165,$J1165,$K$1:K1165,$K1165,$L$1:L1165,$L1165,$M$1:M1165,M1165,$N$1:N1165,N1165),IF(LEN(COUNTIFS($J$1:J1165,$J1165,$K$1:K1165,$K1165,$L$1:L1165,$L1165,$M$1:M1165,M1165,$N$1:N1165,N1165))=2,"0"&amp;COUNTIFS($J$1:J1165,$J1165,$K$1:K1165,$K1165,$L$1:L1165,$L1165,$M$1:M1165,M1165,$N$1:N1165,N1165),COUNTIFS($J$1:J1165,$J1165,$K$1:K1165,$K1165,$L$1:L1165,$L1165,$M$1:M1165,M1165,$N$1:N1165,N1165)))</f>
        <v>018</v>
      </c>
      <c r="P116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MS-NS-023-30-00018-INV</v>
      </c>
      <c r="Q1165" s="59"/>
      <c r="R1165" s="34" t="s">
        <v>6852</v>
      </c>
      <c r="S1165" s="34" t="s">
        <v>3607</v>
      </c>
      <c r="T1165" s="34">
        <f>+IFERROR(_xlfn.XLOOKUP(Table43[[#This Row],[Column1]],#REF!,#REF!),0)</f>
        <v>0</v>
      </c>
      <c r="U1165" s="50">
        <f>IFERROR(_xlfn.XLOOKUP(Table43[[#This Row],[Column1]],#REF!,#REF!),0)</f>
        <v>0</v>
      </c>
      <c r="V1165" s="39"/>
    </row>
    <row r="1166" spans="1:22" x14ac:dyDescent="0.35">
      <c r="A1166" s="3" t="s">
        <v>5557</v>
      </c>
      <c r="B1166" s="3" t="s">
        <v>4900</v>
      </c>
      <c r="C1166" s="3" t="s">
        <v>15</v>
      </c>
      <c r="D1166" s="3"/>
      <c r="E1166" s="3" t="s">
        <v>10</v>
      </c>
      <c r="F1166" s="3">
        <v>5</v>
      </c>
      <c r="G1166" s="3">
        <v>25</v>
      </c>
      <c r="H1166" s="3">
        <v>0</v>
      </c>
      <c r="I1166" s="21">
        <f>Table43[[#This Row],[Item Cost]]*Table43[[#This Row],[In Stock]]</f>
        <v>0</v>
      </c>
      <c r="J1166" s="12" t="s">
        <v>4941</v>
      </c>
      <c r="K1166" s="13" t="s">
        <v>4666</v>
      </c>
      <c r="L1166" s="13" t="s">
        <v>4753</v>
      </c>
      <c r="M1166" s="13" t="s">
        <v>4859</v>
      </c>
      <c r="N1166" s="12" t="s">
        <v>4672</v>
      </c>
      <c r="O1166" s="17" t="str">
        <f>IF(LEN(COUNTIFS($J$1:J1166,$J1166,$K$1:K1166,$K1166,$L$1:L1166,$L1166,$M$1:M1166,M1166,$N$1:N1166,N1166))=1,"00"&amp;COUNTIFS($J$1:J1166,$J1166,$K$1:K1166,$K1166,$L$1:L1166,$L1166,$M$1:M1166,M1166,$N$1:N1166,N1166),IF(LEN(COUNTIFS($J$1:J1166,$J1166,$K$1:K1166,$K1166,$L$1:L1166,$L1166,$M$1:M1166,M1166,$N$1:N1166,N1166))=2,"0"&amp;COUNTIFS($J$1:J1166,$J1166,$K$1:K1166,$K1166,$L$1:L1166,$L1166,$M$1:M1166,M1166,$N$1:N1166,N1166),COUNTIFS($J$1:J1166,$J1166,$K$1:K1166,$K1166,$L$1:L1166,$L1166,$M$1:M1166,M1166,$N$1:N1166,N1166)))</f>
        <v>019</v>
      </c>
      <c r="P116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MS-NS-023-30-00019-INV</v>
      </c>
      <c r="Q1166" s="59"/>
      <c r="R1166" s="34" t="s">
        <v>6853</v>
      </c>
      <c r="S1166" s="34" t="s">
        <v>4900</v>
      </c>
      <c r="T1166" s="34">
        <f>+IFERROR(_xlfn.XLOOKUP(Table43[[#This Row],[Column1]],#REF!,#REF!),0)</f>
        <v>0</v>
      </c>
      <c r="U1166" s="50">
        <f>IFERROR(_xlfn.XLOOKUP(Table43[[#This Row],[Column1]],#REF!,#REF!),0)</f>
        <v>0</v>
      </c>
      <c r="V1166" s="39"/>
    </row>
    <row r="1167" spans="1:22" x14ac:dyDescent="0.35">
      <c r="A1167" s="3" t="s">
        <v>5558</v>
      </c>
      <c r="B1167" s="3" t="s">
        <v>4901</v>
      </c>
      <c r="C1167" s="3" t="s">
        <v>15</v>
      </c>
      <c r="D1167" s="3"/>
      <c r="E1167" s="3" t="s">
        <v>10</v>
      </c>
      <c r="F1167" s="3">
        <v>5</v>
      </c>
      <c r="G1167" s="3">
        <v>25</v>
      </c>
      <c r="H1167" s="3">
        <v>0</v>
      </c>
      <c r="I1167" s="21">
        <f>Table43[[#This Row],[Item Cost]]*Table43[[#This Row],[In Stock]]</f>
        <v>0</v>
      </c>
      <c r="J1167" s="12" t="s">
        <v>4941</v>
      </c>
      <c r="K1167" s="13" t="s">
        <v>4666</v>
      </c>
      <c r="L1167" s="13" t="s">
        <v>4753</v>
      </c>
      <c r="M1167" s="13" t="s">
        <v>4859</v>
      </c>
      <c r="N1167" s="12" t="s">
        <v>4672</v>
      </c>
      <c r="O1167" s="17" t="str">
        <f>IF(LEN(COUNTIFS($J$1:J1167,$J1167,$K$1:K1167,$K1167,$L$1:L1167,$L1167,$M$1:M1167,M1167,$N$1:N1167,N1167))=1,"00"&amp;COUNTIFS($J$1:J1167,$J1167,$K$1:K1167,$K1167,$L$1:L1167,$L1167,$M$1:M1167,M1167,$N$1:N1167,N1167),IF(LEN(COUNTIFS($J$1:J1167,$J1167,$K$1:K1167,$K1167,$L$1:L1167,$L1167,$M$1:M1167,M1167,$N$1:N1167,N1167))=2,"0"&amp;COUNTIFS($J$1:J1167,$J1167,$K$1:K1167,$K1167,$L$1:L1167,$L1167,$M$1:M1167,M1167,$N$1:N1167,N1167),COUNTIFS($J$1:J1167,$J1167,$K$1:K1167,$K1167,$L$1:L1167,$L1167,$M$1:M1167,M1167,$N$1:N1167,N1167)))</f>
        <v>020</v>
      </c>
      <c r="P116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MS-NS-023-30-00020-INV</v>
      </c>
      <c r="Q1167" s="59"/>
      <c r="R1167" s="34" t="s">
        <v>6854</v>
      </c>
      <c r="S1167" s="34" t="s">
        <v>4901</v>
      </c>
      <c r="T1167" s="34">
        <f>+IFERROR(_xlfn.XLOOKUP(Table43[[#This Row],[Column1]],#REF!,#REF!),0)</f>
        <v>0</v>
      </c>
      <c r="U1167" s="50">
        <f>IFERROR(_xlfn.XLOOKUP(Table43[[#This Row],[Column1]],#REF!,#REF!),0)</f>
        <v>0</v>
      </c>
      <c r="V1167" s="39"/>
    </row>
    <row r="1168" spans="1:22" x14ac:dyDescent="0.35">
      <c r="A1168" s="3" t="s">
        <v>5559</v>
      </c>
      <c r="B1168" s="3" t="s">
        <v>3609</v>
      </c>
      <c r="C1168" s="3" t="s">
        <v>15</v>
      </c>
      <c r="D1168" s="3">
        <v>0</v>
      </c>
      <c r="E1168" s="3" t="s">
        <v>10</v>
      </c>
      <c r="F1168" s="3">
        <v>2</v>
      </c>
      <c r="G1168" s="3">
        <v>4</v>
      </c>
      <c r="H1168" s="3">
        <v>0</v>
      </c>
      <c r="I1168" s="21">
        <f>Table43[[#This Row],[Item Cost]]*Table43[[#This Row],[In Stock]]</f>
        <v>0</v>
      </c>
      <c r="J1168" s="12" t="s">
        <v>4941</v>
      </c>
      <c r="K1168" s="13" t="s">
        <v>4666</v>
      </c>
      <c r="L1168" s="13" t="s">
        <v>4753</v>
      </c>
      <c r="M1168" s="13" t="s">
        <v>4827</v>
      </c>
      <c r="N1168" s="12" t="s">
        <v>4672</v>
      </c>
      <c r="O1168" s="17" t="str">
        <f>IF(LEN(COUNTIFS($J$1:J1168,$J1168,$K$1:K1168,$K1168,$L$1:L1168,$L1168,$M$1:M1168,M1168,$N$1:N1168,N1168))=1,"00"&amp;COUNTIFS($J$1:J1168,$J1168,$K$1:K1168,$K1168,$L$1:L1168,$L1168,$M$1:M1168,M1168,$N$1:N1168,N1168),IF(LEN(COUNTIFS($J$1:J1168,$J1168,$K$1:K1168,$K1168,$L$1:L1168,$L1168,$M$1:M1168,M1168,$N$1:N1168,N1168))=2,"0"&amp;COUNTIFS($J$1:J1168,$J1168,$K$1:K1168,$K1168,$L$1:L1168,$L1168,$M$1:M1168,M1168,$N$1:N1168,N1168),COUNTIFS($J$1:J1168,$J1168,$K$1:K1168,$K1168,$L$1:L1168,$L1168,$M$1:M1168,M1168,$N$1:N1168,N1168)))</f>
        <v>005</v>
      </c>
      <c r="P116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MS-NS-023-10-00005-INV</v>
      </c>
      <c r="Q1168" s="59"/>
      <c r="R1168" s="34" t="s">
        <v>6855</v>
      </c>
      <c r="S1168" s="34" t="s">
        <v>3609</v>
      </c>
      <c r="T1168" s="34">
        <f>+IFERROR(_xlfn.XLOOKUP(Table43[[#This Row],[Column1]],#REF!,#REF!),0)</f>
        <v>0</v>
      </c>
      <c r="U1168" s="50">
        <f>IFERROR(_xlfn.XLOOKUP(Table43[[#This Row],[Column1]],#REF!,#REF!),0)</f>
        <v>0</v>
      </c>
      <c r="V1168" s="39"/>
    </row>
    <row r="1169" spans="1:22" x14ac:dyDescent="0.35">
      <c r="A1169" s="3" t="s">
        <v>5560</v>
      </c>
      <c r="B1169" s="2" t="s">
        <v>3611</v>
      </c>
      <c r="C1169" s="2" t="s">
        <v>15</v>
      </c>
      <c r="D1169" s="2">
        <v>75</v>
      </c>
      <c r="E1169" s="2" t="s">
        <v>10</v>
      </c>
      <c r="F1169" s="3">
        <v>2</v>
      </c>
      <c r="G1169" s="3">
        <v>4</v>
      </c>
      <c r="H1169" s="2">
        <v>1</v>
      </c>
      <c r="I1169" s="22">
        <f>Table43[[#This Row],[Item Cost]]*Table43[[#This Row],[In Stock]]</f>
        <v>75</v>
      </c>
      <c r="J1169" s="12" t="s">
        <v>4941</v>
      </c>
      <c r="K1169" s="13" t="s">
        <v>4666</v>
      </c>
      <c r="L1169" s="13" t="s">
        <v>4753</v>
      </c>
      <c r="M1169" s="13" t="s">
        <v>4827</v>
      </c>
      <c r="N1169" s="12" t="s">
        <v>4672</v>
      </c>
      <c r="O1169" s="17" t="str">
        <f>IF(LEN(COUNTIFS($J$1:J1169,$J1169,$K$1:K1169,$K1169,$L$1:L1169,$L1169,$M$1:M1169,M1169,$N$1:N1169,N1169))=1,"00"&amp;COUNTIFS($J$1:J1169,$J1169,$K$1:K1169,$K1169,$L$1:L1169,$L1169,$M$1:M1169,M1169,$N$1:N1169,N1169),IF(LEN(COUNTIFS($J$1:J1169,$J1169,$K$1:K1169,$K1169,$L$1:L1169,$L1169,$M$1:M1169,M1169,$N$1:N1169,N1169))=2,"0"&amp;COUNTIFS($J$1:J1169,$J1169,$K$1:K1169,$K1169,$L$1:L1169,$L1169,$M$1:M1169,M1169,$N$1:N1169,N1169),COUNTIFS($J$1:J1169,$J1169,$K$1:K1169,$K1169,$L$1:L1169,$L1169,$M$1:M1169,M1169,$N$1:N1169,N1169)))</f>
        <v>006</v>
      </c>
      <c r="P116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MS-NS-023-10-00006-INV</v>
      </c>
      <c r="Q1169" s="59"/>
      <c r="R1169" s="34" t="s">
        <v>6856</v>
      </c>
      <c r="S1169" s="34" t="s">
        <v>3611</v>
      </c>
      <c r="T1169" s="34">
        <f>+IFERROR(_xlfn.XLOOKUP(Table43[[#This Row],[Column1]],#REF!,#REF!),0)</f>
        <v>0</v>
      </c>
      <c r="U1169" s="50">
        <f>IFERROR(_xlfn.XLOOKUP(Table43[[#This Row],[Column1]],#REF!,#REF!),0)</f>
        <v>0</v>
      </c>
      <c r="V1169" s="39"/>
    </row>
    <row r="1170" spans="1:22" x14ac:dyDescent="0.35">
      <c r="A1170" s="3" t="s">
        <v>5561</v>
      </c>
      <c r="B1170" s="2" t="s">
        <v>3613</v>
      </c>
      <c r="C1170" s="2" t="s">
        <v>15</v>
      </c>
      <c r="D1170" s="2">
        <v>0</v>
      </c>
      <c r="E1170" s="2" t="s">
        <v>10</v>
      </c>
      <c r="F1170" s="3">
        <v>2</v>
      </c>
      <c r="G1170" s="3">
        <v>4</v>
      </c>
      <c r="H1170" s="2">
        <v>0</v>
      </c>
      <c r="I1170" s="22">
        <f>Table43[[#This Row],[Item Cost]]*Table43[[#This Row],[In Stock]]</f>
        <v>0</v>
      </c>
      <c r="J1170" s="12" t="s">
        <v>4941</v>
      </c>
      <c r="K1170" s="13" t="s">
        <v>4666</v>
      </c>
      <c r="L1170" s="13" t="s">
        <v>4753</v>
      </c>
      <c r="M1170" s="13" t="s">
        <v>4827</v>
      </c>
      <c r="N1170" s="12" t="s">
        <v>4672</v>
      </c>
      <c r="O1170" s="17" t="str">
        <f>IF(LEN(COUNTIFS($J$1:J1170,$J1170,$K$1:K1170,$K1170,$L$1:L1170,$L1170,$M$1:M1170,M1170,$N$1:N1170,N1170))=1,"00"&amp;COUNTIFS($J$1:J1170,$J1170,$K$1:K1170,$K1170,$L$1:L1170,$L1170,$M$1:M1170,M1170,$N$1:N1170,N1170),IF(LEN(COUNTIFS($J$1:J1170,$J1170,$K$1:K1170,$K1170,$L$1:L1170,$L1170,$M$1:M1170,M1170,$N$1:N1170,N1170))=2,"0"&amp;COUNTIFS($J$1:J1170,$J1170,$K$1:K1170,$K1170,$L$1:L1170,$L1170,$M$1:M1170,M1170,$N$1:N1170,N1170),COUNTIFS($J$1:J1170,$J1170,$K$1:K1170,$K1170,$L$1:L1170,$L1170,$M$1:M1170,M1170,$N$1:N1170,N1170)))</f>
        <v>007</v>
      </c>
      <c r="P117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MS-NS-023-10-00007-INV</v>
      </c>
      <c r="Q1170" s="59"/>
      <c r="R1170" s="34" t="s">
        <v>6857</v>
      </c>
      <c r="S1170" s="34" t="s">
        <v>3613</v>
      </c>
      <c r="T1170" s="34">
        <f>+IFERROR(_xlfn.XLOOKUP(Table43[[#This Row],[Column1]],#REF!,#REF!),0)</f>
        <v>0</v>
      </c>
      <c r="U1170" s="50">
        <f>IFERROR(_xlfn.XLOOKUP(Table43[[#This Row],[Column1]],#REF!,#REF!),0)</f>
        <v>0</v>
      </c>
      <c r="V1170" s="39"/>
    </row>
    <row r="1171" spans="1:22" x14ac:dyDescent="0.35">
      <c r="A1171" s="3" t="s">
        <v>5562</v>
      </c>
      <c r="B1171" s="3" t="s">
        <v>3615</v>
      </c>
      <c r="C1171" s="3" t="s">
        <v>15</v>
      </c>
      <c r="D1171" s="3">
        <v>210</v>
      </c>
      <c r="E1171" s="3" t="s">
        <v>10</v>
      </c>
      <c r="F1171" s="3">
        <v>2</v>
      </c>
      <c r="G1171" s="3">
        <v>4</v>
      </c>
      <c r="H1171" s="3">
        <v>2</v>
      </c>
      <c r="I1171" s="21">
        <f>Table43[[#This Row],[Item Cost]]*Table43[[#This Row],[In Stock]]</f>
        <v>420</v>
      </c>
      <c r="J1171" s="12" t="s">
        <v>4941</v>
      </c>
      <c r="K1171" s="13" t="s">
        <v>4666</v>
      </c>
      <c r="L1171" s="13" t="s">
        <v>4753</v>
      </c>
      <c r="M1171" s="13" t="s">
        <v>4827</v>
      </c>
      <c r="N1171" s="12" t="s">
        <v>4672</v>
      </c>
      <c r="O1171" s="17" t="str">
        <f>IF(LEN(COUNTIFS($J$1:J1171,$J1171,$K$1:K1171,$K1171,$L$1:L1171,$L1171,$M$1:M1171,M1171,$N$1:N1171,N1171))=1,"00"&amp;COUNTIFS($J$1:J1171,$J1171,$K$1:K1171,$K1171,$L$1:L1171,$L1171,$M$1:M1171,M1171,$N$1:N1171,N1171),IF(LEN(COUNTIFS($J$1:J1171,$J1171,$K$1:K1171,$K1171,$L$1:L1171,$L1171,$M$1:M1171,M1171,$N$1:N1171,N1171))=2,"0"&amp;COUNTIFS($J$1:J1171,$J1171,$K$1:K1171,$K1171,$L$1:L1171,$L1171,$M$1:M1171,M1171,$N$1:N1171,N1171),COUNTIFS($J$1:J1171,$J1171,$K$1:K1171,$K1171,$L$1:L1171,$L1171,$M$1:M1171,M1171,$N$1:N1171,N1171)))</f>
        <v>008</v>
      </c>
      <c r="P117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MS-NS-023-10-00008-INV</v>
      </c>
      <c r="Q1171" s="59"/>
      <c r="R1171" s="34" t="s">
        <v>6858</v>
      </c>
      <c r="S1171" s="34" t="s">
        <v>3615</v>
      </c>
      <c r="T1171" s="34">
        <f>+IFERROR(_xlfn.XLOOKUP(Table43[[#This Row],[Column1]],#REF!,#REF!),0)</f>
        <v>0</v>
      </c>
      <c r="U1171" s="50">
        <f>IFERROR(_xlfn.XLOOKUP(Table43[[#This Row],[Column1]],#REF!,#REF!),0)</f>
        <v>0</v>
      </c>
      <c r="V1171" s="39"/>
    </row>
    <row r="1172" spans="1:22" x14ac:dyDescent="0.35">
      <c r="A1172" s="3" t="s">
        <v>5563</v>
      </c>
      <c r="B1172" s="2" t="s">
        <v>3617</v>
      </c>
      <c r="C1172" s="2" t="s">
        <v>15</v>
      </c>
      <c r="D1172" s="2">
        <v>0</v>
      </c>
      <c r="E1172" s="2" t="s">
        <v>10</v>
      </c>
      <c r="F1172" s="3">
        <v>2</v>
      </c>
      <c r="G1172" s="3">
        <v>4</v>
      </c>
      <c r="H1172" s="2">
        <v>0</v>
      </c>
      <c r="I1172" s="22">
        <f>Table43[[#This Row],[Item Cost]]*Table43[[#This Row],[In Stock]]</f>
        <v>0</v>
      </c>
      <c r="J1172" s="12" t="s">
        <v>4941</v>
      </c>
      <c r="K1172" s="13" t="s">
        <v>4666</v>
      </c>
      <c r="L1172" s="13" t="s">
        <v>4753</v>
      </c>
      <c r="M1172" s="13" t="s">
        <v>4859</v>
      </c>
      <c r="N1172" s="12" t="s">
        <v>4672</v>
      </c>
      <c r="O1172" s="17" t="str">
        <f>IF(LEN(COUNTIFS($J$1:J1172,$J1172,$K$1:K1172,$K1172,$L$1:L1172,$L1172,$M$1:M1172,M1172,$N$1:N1172,N1172))=1,"00"&amp;COUNTIFS($J$1:J1172,$J1172,$K$1:K1172,$K1172,$L$1:L1172,$L1172,$M$1:M1172,M1172,$N$1:N1172,N1172),IF(LEN(COUNTIFS($J$1:J1172,$J1172,$K$1:K1172,$K1172,$L$1:L1172,$L1172,$M$1:M1172,M1172,$N$1:N1172,N1172))=2,"0"&amp;COUNTIFS($J$1:J1172,$J1172,$K$1:K1172,$K1172,$L$1:L1172,$L1172,$M$1:M1172,M1172,$N$1:N1172,N1172),COUNTIFS($J$1:J1172,$J1172,$K$1:K1172,$K1172,$L$1:L1172,$L1172,$M$1:M1172,M1172,$N$1:N1172,N1172)))</f>
        <v>021</v>
      </c>
      <c r="P117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MS-NS-023-30-00021-INV</v>
      </c>
      <c r="Q1172" s="59"/>
      <c r="R1172" s="34" t="s">
        <v>6859</v>
      </c>
      <c r="S1172" s="34" t="s">
        <v>3617</v>
      </c>
      <c r="T1172" s="34">
        <f>+IFERROR(_xlfn.XLOOKUP(Table43[[#This Row],[Column1]],#REF!,#REF!),0)</f>
        <v>0</v>
      </c>
      <c r="U1172" s="50">
        <f>IFERROR(_xlfn.XLOOKUP(Table43[[#This Row],[Column1]],#REF!,#REF!),0)</f>
        <v>0</v>
      </c>
      <c r="V1172" s="39"/>
    </row>
    <row r="1173" spans="1:22" x14ac:dyDescent="0.35">
      <c r="A1173" s="3" t="s">
        <v>5564</v>
      </c>
      <c r="B1173" s="2" t="s">
        <v>3619</v>
      </c>
      <c r="C1173" s="2" t="s">
        <v>15</v>
      </c>
      <c r="D1173" s="2">
        <v>50</v>
      </c>
      <c r="E1173" s="2" t="s">
        <v>10</v>
      </c>
      <c r="F1173" s="3">
        <v>2</v>
      </c>
      <c r="G1173" s="3">
        <v>4</v>
      </c>
      <c r="H1173" s="2">
        <v>5</v>
      </c>
      <c r="I1173" s="22">
        <f>Table43[[#This Row],[Item Cost]]*Table43[[#This Row],[In Stock]]</f>
        <v>250</v>
      </c>
      <c r="J1173" s="12" t="s">
        <v>4941</v>
      </c>
      <c r="K1173" s="13" t="s">
        <v>4666</v>
      </c>
      <c r="L1173" s="13" t="s">
        <v>4753</v>
      </c>
      <c r="M1173" s="13" t="s">
        <v>4859</v>
      </c>
      <c r="N1173" s="12" t="s">
        <v>4672</v>
      </c>
      <c r="O1173" s="17" t="str">
        <f>IF(LEN(COUNTIFS($J$1:J1173,$J1173,$K$1:K1173,$K1173,$L$1:L1173,$L1173,$M$1:M1173,M1173,$N$1:N1173,N1173))=1,"00"&amp;COUNTIFS($J$1:J1173,$J1173,$K$1:K1173,$K1173,$L$1:L1173,$L1173,$M$1:M1173,M1173,$N$1:N1173,N1173),IF(LEN(COUNTIFS($J$1:J1173,$J1173,$K$1:K1173,$K1173,$L$1:L1173,$L1173,$M$1:M1173,M1173,$N$1:N1173,N1173))=2,"0"&amp;COUNTIFS($J$1:J1173,$J1173,$K$1:K1173,$K1173,$L$1:L1173,$L1173,$M$1:M1173,M1173,$N$1:N1173,N1173),COUNTIFS($J$1:J1173,$J1173,$K$1:K1173,$K1173,$L$1:L1173,$L1173,$M$1:M1173,M1173,$N$1:N1173,N1173)))</f>
        <v>022</v>
      </c>
      <c r="P117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MS-NS-023-30-00022-INV</v>
      </c>
      <c r="Q1173" s="59"/>
      <c r="R1173" s="34" t="s">
        <v>6860</v>
      </c>
      <c r="S1173" s="34" t="s">
        <v>3619</v>
      </c>
      <c r="T1173" s="34">
        <f>+IFERROR(_xlfn.XLOOKUP(Table43[[#This Row],[Column1]],#REF!,#REF!),0)</f>
        <v>0</v>
      </c>
      <c r="U1173" s="50">
        <f>IFERROR(_xlfn.XLOOKUP(Table43[[#This Row],[Column1]],#REF!,#REF!),0)</f>
        <v>0</v>
      </c>
      <c r="V1173" s="39"/>
    </row>
    <row r="1174" spans="1:22" x14ac:dyDescent="0.35">
      <c r="A1174" s="3" t="s">
        <v>5565</v>
      </c>
      <c r="B1174" s="3" t="s">
        <v>3621</v>
      </c>
      <c r="C1174" s="3" t="s">
        <v>15</v>
      </c>
      <c r="D1174" s="3">
        <v>0</v>
      </c>
      <c r="E1174" s="3" t="s">
        <v>10</v>
      </c>
      <c r="F1174" s="3">
        <v>2</v>
      </c>
      <c r="G1174" s="3">
        <v>4</v>
      </c>
      <c r="H1174" s="3">
        <v>0</v>
      </c>
      <c r="I1174" s="21">
        <f>Table43[[#This Row],[Item Cost]]*Table43[[#This Row],[In Stock]]</f>
        <v>0</v>
      </c>
      <c r="J1174" s="12" t="s">
        <v>4941</v>
      </c>
      <c r="K1174" s="13" t="s">
        <v>4666</v>
      </c>
      <c r="L1174" s="13" t="s">
        <v>4753</v>
      </c>
      <c r="M1174" s="13" t="s">
        <v>4770</v>
      </c>
      <c r="N1174" s="12" t="s">
        <v>4672</v>
      </c>
      <c r="O1174" s="17" t="str">
        <f>IF(LEN(COUNTIFS($J$1:J1174,$J1174,$K$1:K1174,$K1174,$L$1:L1174,$L1174,$M$1:M1174,M1174,$N$1:N1174,N1174))=1,"00"&amp;COUNTIFS($J$1:J1174,$J1174,$K$1:K1174,$K1174,$L$1:L1174,$L1174,$M$1:M1174,M1174,$N$1:N1174,N1174),IF(LEN(COUNTIFS($J$1:J1174,$J1174,$K$1:K1174,$K1174,$L$1:L1174,$L1174,$M$1:M1174,M1174,$N$1:N1174,N1174))=2,"0"&amp;COUNTIFS($J$1:J1174,$J1174,$K$1:K1174,$K1174,$L$1:L1174,$L1174,$M$1:M1174,M1174,$N$1:N1174,N1174),COUNTIFS($J$1:J1174,$J1174,$K$1:K1174,$K1174,$L$1:L1174,$L1174,$M$1:M1174,M1174,$N$1:N1174,N1174)))</f>
        <v>014</v>
      </c>
      <c r="P117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MS-NS-023-04-00014-INV</v>
      </c>
      <c r="Q1174" s="59"/>
      <c r="R1174" s="34" t="s">
        <v>6861</v>
      </c>
      <c r="S1174" s="34" t="s">
        <v>3621</v>
      </c>
      <c r="T1174" s="34">
        <f>+IFERROR(_xlfn.XLOOKUP(Table43[[#This Row],[Column1]],#REF!,#REF!),0)</f>
        <v>0</v>
      </c>
      <c r="U1174" s="50">
        <f>IFERROR(_xlfn.XLOOKUP(Table43[[#This Row],[Column1]],#REF!,#REF!),0)</f>
        <v>0</v>
      </c>
      <c r="V1174" s="39"/>
    </row>
    <row r="1175" spans="1:22" x14ac:dyDescent="0.35">
      <c r="A1175" s="3" t="s">
        <v>5566</v>
      </c>
      <c r="B1175" s="2" t="s">
        <v>3623</v>
      </c>
      <c r="C1175" s="2" t="s">
        <v>15</v>
      </c>
      <c r="D1175" s="4">
        <v>1096</v>
      </c>
      <c r="E1175" s="2" t="s">
        <v>10</v>
      </c>
      <c r="F1175" s="3">
        <v>2</v>
      </c>
      <c r="G1175" s="3">
        <v>4</v>
      </c>
      <c r="H1175" s="2">
        <v>2</v>
      </c>
      <c r="I1175" s="22">
        <f>Table43[[#This Row],[Item Cost]]*Table43[[#This Row],[In Stock]]</f>
        <v>2192</v>
      </c>
      <c r="J1175" s="12" t="s">
        <v>4941</v>
      </c>
      <c r="K1175" s="13" t="s">
        <v>4666</v>
      </c>
      <c r="L1175" s="13" t="s">
        <v>4753</v>
      </c>
      <c r="M1175" s="13" t="s">
        <v>4770</v>
      </c>
      <c r="N1175" s="12" t="s">
        <v>4672</v>
      </c>
      <c r="O1175" s="17" t="str">
        <f>IF(LEN(COUNTIFS($J$1:J1175,$J1175,$K$1:K1175,$K1175,$L$1:L1175,$L1175,$M$1:M1175,M1175,$N$1:N1175,N1175))=1,"00"&amp;COUNTIFS($J$1:J1175,$J1175,$K$1:K1175,$K1175,$L$1:L1175,$L1175,$M$1:M1175,M1175,$N$1:N1175,N1175),IF(LEN(COUNTIFS($J$1:J1175,$J1175,$K$1:K1175,$K1175,$L$1:L1175,$L1175,$M$1:M1175,M1175,$N$1:N1175,N1175))=2,"0"&amp;COUNTIFS($J$1:J1175,$J1175,$K$1:K1175,$K1175,$L$1:L1175,$L1175,$M$1:M1175,M1175,$N$1:N1175,N1175),COUNTIFS($J$1:J1175,$J1175,$K$1:K1175,$K1175,$L$1:L1175,$L1175,$M$1:M1175,M1175,$N$1:N1175,N1175)))</f>
        <v>015</v>
      </c>
      <c r="P117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MS-NS-023-04-00015-INV</v>
      </c>
      <c r="Q1175" s="59"/>
      <c r="R1175" s="34" t="s">
        <v>6862</v>
      </c>
      <c r="S1175" s="34" t="s">
        <v>3623</v>
      </c>
      <c r="T1175" s="34">
        <f>+IFERROR(_xlfn.XLOOKUP(Table43[[#This Row],[Column1]],#REF!,#REF!),0)</f>
        <v>0</v>
      </c>
      <c r="U1175" s="50">
        <f>IFERROR(_xlfn.XLOOKUP(Table43[[#This Row],[Column1]],#REF!,#REF!),0)</f>
        <v>0</v>
      </c>
      <c r="V1175" s="39"/>
    </row>
    <row r="1176" spans="1:22" x14ac:dyDescent="0.35">
      <c r="A1176" s="3" t="s">
        <v>5567</v>
      </c>
      <c r="B1176" s="3" t="s">
        <v>3625</v>
      </c>
      <c r="C1176" s="3" t="s">
        <v>15</v>
      </c>
      <c r="D1176" s="3">
        <v>0</v>
      </c>
      <c r="E1176" s="3" t="s">
        <v>10</v>
      </c>
      <c r="F1176" s="3">
        <v>2</v>
      </c>
      <c r="G1176" s="3">
        <v>4</v>
      </c>
      <c r="H1176" s="3">
        <v>0</v>
      </c>
      <c r="I1176" s="21">
        <f>Table43[[#This Row],[Item Cost]]*Table43[[#This Row],[In Stock]]</f>
        <v>0</v>
      </c>
      <c r="J1176" s="12" t="s">
        <v>4941</v>
      </c>
      <c r="K1176" s="13" t="s">
        <v>4666</v>
      </c>
      <c r="L1176" s="13" t="s">
        <v>4753</v>
      </c>
      <c r="M1176" s="13" t="s">
        <v>4859</v>
      </c>
      <c r="N1176" s="12" t="s">
        <v>4672</v>
      </c>
      <c r="O1176" s="17" t="str">
        <f>IF(LEN(COUNTIFS($J$1:J1176,$J1176,$K$1:K1176,$K1176,$L$1:L1176,$L1176,$M$1:M1176,M1176,$N$1:N1176,N1176))=1,"00"&amp;COUNTIFS($J$1:J1176,$J1176,$K$1:K1176,$K1176,$L$1:L1176,$L1176,$M$1:M1176,M1176,$N$1:N1176,N1176),IF(LEN(COUNTIFS($J$1:J1176,$J1176,$K$1:K1176,$K1176,$L$1:L1176,$L1176,$M$1:M1176,M1176,$N$1:N1176,N1176))=2,"0"&amp;COUNTIFS($J$1:J1176,$J1176,$K$1:K1176,$K1176,$L$1:L1176,$L1176,$M$1:M1176,M1176,$N$1:N1176,N1176),COUNTIFS($J$1:J1176,$J1176,$K$1:K1176,$K1176,$L$1:L1176,$L1176,$M$1:M1176,M1176,$N$1:N1176,N1176)))</f>
        <v>023</v>
      </c>
      <c r="P117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MS-NS-023-30-00023-INV</v>
      </c>
      <c r="Q1176" s="59"/>
      <c r="R1176" s="34" t="s">
        <v>6863</v>
      </c>
      <c r="S1176" s="34" t="s">
        <v>3625</v>
      </c>
      <c r="T1176" s="34">
        <f>+IFERROR(_xlfn.XLOOKUP(Table43[[#This Row],[Column1]],#REF!,#REF!),0)</f>
        <v>0</v>
      </c>
      <c r="U1176" s="50">
        <f>IFERROR(_xlfn.XLOOKUP(Table43[[#This Row],[Column1]],#REF!,#REF!),0)</f>
        <v>0</v>
      </c>
      <c r="V1176" s="39"/>
    </row>
    <row r="1177" spans="1:22" x14ac:dyDescent="0.35">
      <c r="A1177" s="3" t="s">
        <v>5568</v>
      </c>
      <c r="B1177" s="2" t="s">
        <v>3627</v>
      </c>
      <c r="C1177" s="2" t="s">
        <v>15</v>
      </c>
      <c r="D1177" s="4">
        <v>1286</v>
      </c>
      <c r="E1177" s="2" t="s">
        <v>10</v>
      </c>
      <c r="F1177" s="3">
        <v>2</v>
      </c>
      <c r="G1177" s="3">
        <v>4</v>
      </c>
      <c r="H1177" s="2">
        <v>0</v>
      </c>
      <c r="I1177" s="22">
        <f>Table43[[#This Row],[Item Cost]]*Table43[[#This Row],[In Stock]]</f>
        <v>0</v>
      </c>
      <c r="J1177" s="12" t="s">
        <v>4941</v>
      </c>
      <c r="K1177" s="13" t="s">
        <v>4666</v>
      </c>
      <c r="L1177" s="13" t="s">
        <v>4753</v>
      </c>
      <c r="M1177" s="13" t="s">
        <v>4859</v>
      </c>
      <c r="N1177" s="12" t="s">
        <v>4672</v>
      </c>
      <c r="O1177" s="17" t="str">
        <f>IF(LEN(COUNTIFS($J$1:J1177,$J1177,$K$1:K1177,$K1177,$L$1:L1177,$L1177,$M$1:M1177,M1177,$N$1:N1177,N1177))=1,"00"&amp;COUNTIFS($J$1:J1177,$J1177,$K$1:K1177,$K1177,$L$1:L1177,$L1177,$M$1:M1177,M1177,$N$1:N1177,N1177),IF(LEN(COUNTIFS($J$1:J1177,$J1177,$K$1:K1177,$K1177,$L$1:L1177,$L1177,$M$1:M1177,M1177,$N$1:N1177,N1177))=2,"0"&amp;COUNTIFS($J$1:J1177,$J1177,$K$1:K1177,$K1177,$L$1:L1177,$L1177,$M$1:M1177,M1177,$N$1:N1177,N1177),COUNTIFS($J$1:J1177,$J1177,$K$1:K1177,$K1177,$L$1:L1177,$L1177,$M$1:M1177,M1177,$N$1:N1177,N1177)))</f>
        <v>024</v>
      </c>
      <c r="P117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MS-NS-023-30-00024-INV</v>
      </c>
      <c r="Q1177" s="59" t="s">
        <v>7387</v>
      </c>
      <c r="R1177" s="34" t="s">
        <v>6864</v>
      </c>
      <c r="S1177" s="34" t="s">
        <v>3627</v>
      </c>
      <c r="T1177" s="34">
        <f>+IFERROR(_xlfn.XLOOKUP(Table43[[#This Row],[Column1]],#REF!,#REF!),0)</f>
        <v>0</v>
      </c>
      <c r="U1177" s="50">
        <f>IFERROR(_xlfn.XLOOKUP(Table43[[#This Row],[Column1]],#REF!,#REF!),0)</f>
        <v>0</v>
      </c>
      <c r="V1177" s="39"/>
    </row>
    <row r="1178" spans="1:22" x14ac:dyDescent="0.35">
      <c r="A1178" s="3" t="s">
        <v>5569</v>
      </c>
      <c r="B1178" s="3" t="s">
        <v>3629</v>
      </c>
      <c r="C1178" s="3" t="s">
        <v>15</v>
      </c>
      <c r="D1178" s="3">
        <v>250</v>
      </c>
      <c r="E1178" s="3" t="s">
        <v>10</v>
      </c>
      <c r="F1178" s="3">
        <v>2</v>
      </c>
      <c r="G1178" s="3">
        <v>4</v>
      </c>
      <c r="H1178" s="3">
        <v>1</v>
      </c>
      <c r="I1178" s="21">
        <f>Table43[[#This Row],[Item Cost]]*Table43[[#This Row],[In Stock]]</f>
        <v>250</v>
      </c>
      <c r="J1178" s="12" t="s">
        <v>4941</v>
      </c>
      <c r="K1178" s="13" t="s">
        <v>4666</v>
      </c>
      <c r="L1178" s="13" t="s">
        <v>4753</v>
      </c>
      <c r="M1178" s="13" t="s">
        <v>4770</v>
      </c>
      <c r="N1178" s="12" t="s">
        <v>4672</v>
      </c>
      <c r="O1178" s="17" t="str">
        <f>IF(LEN(COUNTIFS($J$1:J1178,$J1178,$K$1:K1178,$K1178,$L$1:L1178,$L1178,$M$1:M1178,M1178,$N$1:N1178,N1178))=1,"00"&amp;COUNTIFS($J$1:J1178,$J1178,$K$1:K1178,$K1178,$L$1:L1178,$L1178,$M$1:M1178,M1178,$N$1:N1178,N1178),IF(LEN(COUNTIFS($J$1:J1178,$J1178,$K$1:K1178,$K1178,$L$1:L1178,$L1178,$M$1:M1178,M1178,$N$1:N1178,N1178))=2,"0"&amp;COUNTIFS($J$1:J1178,$J1178,$K$1:K1178,$K1178,$L$1:L1178,$L1178,$M$1:M1178,M1178,$N$1:N1178,N1178),COUNTIFS($J$1:J1178,$J1178,$K$1:K1178,$K1178,$L$1:L1178,$L1178,$M$1:M1178,M1178,$N$1:N1178,N1178)))</f>
        <v>016</v>
      </c>
      <c r="P117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MS-NS-023-04-00016-INV</v>
      </c>
      <c r="Q1178" s="59"/>
      <c r="R1178" s="34" t="s">
        <v>6865</v>
      </c>
      <c r="S1178" s="34" t="s">
        <v>3629</v>
      </c>
      <c r="T1178" s="34">
        <f>+IFERROR(_xlfn.XLOOKUP(Table43[[#This Row],[Column1]],#REF!,#REF!),0)</f>
        <v>0</v>
      </c>
      <c r="U1178" s="50">
        <f>IFERROR(_xlfn.XLOOKUP(Table43[[#This Row],[Column1]],#REF!,#REF!),0)</f>
        <v>0</v>
      </c>
      <c r="V1178" s="39"/>
    </row>
    <row r="1179" spans="1:22" x14ac:dyDescent="0.35">
      <c r="A1179" s="3" t="s">
        <v>5570</v>
      </c>
      <c r="B1179" s="2" t="s">
        <v>3631</v>
      </c>
      <c r="C1179" s="2" t="s">
        <v>15</v>
      </c>
      <c r="D1179" s="2">
        <v>255</v>
      </c>
      <c r="E1179" s="2" t="s">
        <v>10</v>
      </c>
      <c r="F1179" s="3">
        <v>2</v>
      </c>
      <c r="G1179" s="3">
        <v>4</v>
      </c>
      <c r="H1179" s="2">
        <v>0</v>
      </c>
      <c r="I1179" s="22">
        <f>Table43[[#This Row],[Item Cost]]*Table43[[#This Row],[In Stock]]</f>
        <v>0</v>
      </c>
      <c r="J1179" s="12" t="s">
        <v>4941</v>
      </c>
      <c r="K1179" s="13" t="s">
        <v>4666</v>
      </c>
      <c r="L1179" s="13" t="s">
        <v>4753</v>
      </c>
      <c r="M1179" s="13" t="s">
        <v>4770</v>
      </c>
      <c r="N1179" s="12" t="s">
        <v>4672</v>
      </c>
      <c r="O1179" s="17" t="str">
        <f>IF(LEN(COUNTIFS($J$1:J1179,$J1179,$K$1:K1179,$K1179,$L$1:L1179,$L1179,$M$1:M1179,M1179,$N$1:N1179,N1179))=1,"00"&amp;COUNTIFS($J$1:J1179,$J1179,$K$1:K1179,$K1179,$L$1:L1179,$L1179,$M$1:M1179,M1179,$N$1:N1179,N1179),IF(LEN(COUNTIFS($J$1:J1179,$J1179,$K$1:K1179,$K1179,$L$1:L1179,$L1179,$M$1:M1179,M1179,$N$1:N1179,N1179))=2,"0"&amp;COUNTIFS($J$1:J1179,$J1179,$K$1:K1179,$K1179,$L$1:L1179,$L1179,$M$1:M1179,M1179,$N$1:N1179,N1179),COUNTIFS($J$1:J1179,$J1179,$K$1:K1179,$K1179,$L$1:L1179,$L1179,$M$1:M1179,M1179,$N$1:N1179,N1179)))</f>
        <v>017</v>
      </c>
      <c r="P117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MS-NS-023-04-00017-INV</v>
      </c>
      <c r="Q1179" s="59"/>
      <c r="R1179" s="34" t="s">
        <v>6866</v>
      </c>
      <c r="S1179" s="34" t="s">
        <v>3631</v>
      </c>
      <c r="T1179" s="34">
        <f>+IFERROR(_xlfn.XLOOKUP(Table43[[#This Row],[Column1]],#REF!,#REF!),0)</f>
        <v>0</v>
      </c>
      <c r="U1179" s="50">
        <f>IFERROR(_xlfn.XLOOKUP(Table43[[#This Row],[Column1]],#REF!,#REF!),0)</f>
        <v>0</v>
      </c>
      <c r="V1179" s="39"/>
    </row>
    <row r="1180" spans="1:22" x14ac:dyDescent="0.35">
      <c r="A1180" s="3" t="s">
        <v>5571</v>
      </c>
      <c r="B1180" s="3" t="s">
        <v>3633</v>
      </c>
      <c r="C1180" s="3" t="s">
        <v>15</v>
      </c>
      <c r="D1180" s="3">
        <v>250</v>
      </c>
      <c r="E1180" s="3" t="s">
        <v>10</v>
      </c>
      <c r="F1180" s="3">
        <v>2</v>
      </c>
      <c r="G1180" s="3">
        <v>4</v>
      </c>
      <c r="H1180" s="3">
        <v>0</v>
      </c>
      <c r="I1180" s="21">
        <f>Table43[[#This Row],[Item Cost]]*Table43[[#This Row],[In Stock]]</f>
        <v>0</v>
      </c>
      <c r="J1180" s="12" t="s">
        <v>4941</v>
      </c>
      <c r="K1180" s="13" t="s">
        <v>4666</v>
      </c>
      <c r="L1180" s="13" t="s">
        <v>4753</v>
      </c>
      <c r="M1180" s="13" t="s">
        <v>4770</v>
      </c>
      <c r="N1180" s="12" t="s">
        <v>4672</v>
      </c>
      <c r="O1180" s="17" t="str">
        <f>IF(LEN(COUNTIFS($J$1:J1180,$J1180,$K$1:K1180,$K1180,$L$1:L1180,$L1180,$M$1:M1180,M1180,$N$1:N1180,N1180))=1,"00"&amp;COUNTIFS($J$1:J1180,$J1180,$K$1:K1180,$K1180,$L$1:L1180,$L1180,$M$1:M1180,M1180,$N$1:N1180,N1180),IF(LEN(COUNTIFS($J$1:J1180,$J1180,$K$1:K1180,$K1180,$L$1:L1180,$L1180,$M$1:M1180,M1180,$N$1:N1180,N1180))=2,"0"&amp;COUNTIFS($J$1:J1180,$J1180,$K$1:K1180,$K1180,$L$1:L1180,$L1180,$M$1:M1180,M1180,$N$1:N1180,N1180),COUNTIFS($J$1:J1180,$J1180,$K$1:K1180,$K1180,$L$1:L1180,$L1180,$M$1:M1180,M1180,$N$1:N1180,N1180)))</f>
        <v>018</v>
      </c>
      <c r="P118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MS-NS-023-04-00018-INV</v>
      </c>
      <c r="Q1180" s="59"/>
      <c r="R1180" s="34" t="s">
        <v>6867</v>
      </c>
      <c r="S1180" s="34" t="s">
        <v>3633</v>
      </c>
      <c r="T1180" s="34">
        <f>+IFERROR(_xlfn.XLOOKUP(Table43[[#This Row],[Column1]],#REF!,#REF!),0)</f>
        <v>0</v>
      </c>
      <c r="U1180" s="50">
        <f>IFERROR(_xlfn.XLOOKUP(Table43[[#This Row],[Column1]],#REF!,#REF!),0)</f>
        <v>0</v>
      </c>
      <c r="V1180" s="39"/>
    </row>
    <row r="1181" spans="1:22" x14ac:dyDescent="0.35">
      <c r="A1181" s="3" t="s">
        <v>5572</v>
      </c>
      <c r="B1181" s="2" t="s">
        <v>3635</v>
      </c>
      <c r="C1181" s="2" t="s">
        <v>15</v>
      </c>
      <c r="D1181" s="4">
        <v>1500</v>
      </c>
      <c r="E1181" s="2" t="s">
        <v>10</v>
      </c>
      <c r="F1181" s="3">
        <v>2</v>
      </c>
      <c r="G1181" s="3">
        <v>4</v>
      </c>
      <c r="H1181" s="2">
        <v>0</v>
      </c>
      <c r="I1181" s="22">
        <f>Table43[[#This Row],[Item Cost]]*Table43[[#This Row],[In Stock]]</f>
        <v>0</v>
      </c>
      <c r="J1181" s="12" t="s">
        <v>4941</v>
      </c>
      <c r="K1181" s="13" t="s">
        <v>4666</v>
      </c>
      <c r="L1181" s="13" t="s">
        <v>4753</v>
      </c>
      <c r="M1181" s="13" t="s">
        <v>4859</v>
      </c>
      <c r="N1181" s="12" t="s">
        <v>4672</v>
      </c>
      <c r="O1181" s="17" t="str">
        <f>IF(LEN(COUNTIFS($J$1:J1181,$J1181,$K$1:K1181,$K1181,$L$1:L1181,$L1181,$M$1:M1181,M1181,$N$1:N1181,N1181))=1,"00"&amp;COUNTIFS($J$1:J1181,$J1181,$K$1:K1181,$K1181,$L$1:L1181,$L1181,$M$1:M1181,M1181,$N$1:N1181,N1181),IF(LEN(COUNTIFS($J$1:J1181,$J1181,$K$1:K1181,$K1181,$L$1:L1181,$L1181,$M$1:M1181,M1181,$N$1:N1181,N1181))=2,"0"&amp;COUNTIFS($J$1:J1181,$J1181,$K$1:K1181,$K1181,$L$1:L1181,$L1181,$M$1:M1181,M1181,$N$1:N1181,N1181),COUNTIFS($J$1:J1181,$J1181,$K$1:K1181,$K1181,$L$1:L1181,$L1181,$M$1:M1181,M1181,$N$1:N1181,N1181)))</f>
        <v>025</v>
      </c>
      <c r="P118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MS-NS-023-30-00025-INV</v>
      </c>
      <c r="Q1181" s="59"/>
      <c r="R1181" s="34" t="s">
        <v>6868</v>
      </c>
      <c r="S1181" s="34" t="s">
        <v>3635</v>
      </c>
      <c r="T1181" s="34">
        <f>+IFERROR(_xlfn.XLOOKUP(Table43[[#This Row],[Column1]],#REF!,#REF!),0)</f>
        <v>0</v>
      </c>
      <c r="U1181" s="50">
        <f>IFERROR(_xlfn.XLOOKUP(Table43[[#This Row],[Column1]],#REF!,#REF!),0)</f>
        <v>0</v>
      </c>
      <c r="V1181" s="39"/>
    </row>
    <row r="1182" spans="1:22" x14ac:dyDescent="0.35">
      <c r="A1182" s="3" t="s">
        <v>5573</v>
      </c>
      <c r="B1182" s="3" t="s">
        <v>3637</v>
      </c>
      <c r="C1182" s="3" t="s">
        <v>15</v>
      </c>
      <c r="D1182" s="3">
        <v>150</v>
      </c>
      <c r="E1182" s="3" t="s">
        <v>10</v>
      </c>
      <c r="F1182" s="3">
        <v>2</v>
      </c>
      <c r="G1182" s="3">
        <v>4</v>
      </c>
      <c r="H1182" s="3">
        <v>7</v>
      </c>
      <c r="I1182" s="21">
        <f>Table43[[#This Row],[Item Cost]]*Table43[[#This Row],[In Stock]]</f>
        <v>1050</v>
      </c>
      <c r="J1182" s="12" t="s">
        <v>4941</v>
      </c>
      <c r="K1182" s="13" t="s">
        <v>4666</v>
      </c>
      <c r="L1182" s="13" t="s">
        <v>4753</v>
      </c>
      <c r="M1182" s="13" t="s">
        <v>4827</v>
      </c>
      <c r="N1182" s="12" t="s">
        <v>4672</v>
      </c>
      <c r="O1182" s="17" t="str">
        <f>IF(LEN(COUNTIFS($J$1:J1182,$J1182,$K$1:K1182,$K1182,$L$1:L1182,$L1182,$M$1:M1182,M1182,$N$1:N1182,N1182))=1,"00"&amp;COUNTIFS($J$1:J1182,$J1182,$K$1:K1182,$K1182,$L$1:L1182,$L1182,$M$1:M1182,M1182,$N$1:N1182,N1182),IF(LEN(COUNTIFS($J$1:J1182,$J1182,$K$1:K1182,$K1182,$L$1:L1182,$L1182,$M$1:M1182,M1182,$N$1:N1182,N1182))=2,"0"&amp;COUNTIFS($J$1:J1182,$J1182,$K$1:K1182,$K1182,$L$1:L1182,$L1182,$M$1:M1182,M1182,$N$1:N1182,N1182),COUNTIFS($J$1:J1182,$J1182,$K$1:K1182,$K1182,$L$1:L1182,$L1182,$M$1:M1182,M1182,$N$1:N1182,N1182)))</f>
        <v>009</v>
      </c>
      <c r="P118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MS-NS-023-10-00009-INV</v>
      </c>
      <c r="Q1182" s="59"/>
      <c r="R1182" s="34" t="s">
        <v>6869</v>
      </c>
      <c r="S1182" s="34" t="s">
        <v>3637</v>
      </c>
      <c r="T1182" s="34">
        <f>+IFERROR(_xlfn.XLOOKUP(Table43[[#This Row],[Column1]],#REF!,#REF!),0)</f>
        <v>0</v>
      </c>
      <c r="U1182" s="50">
        <f>IFERROR(_xlfn.XLOOKUP(Table43[[#This Row],[Column1]],#REF!,#REF!),0)</f>
        <v>0</v>
      </c>
      <c r="V1182" s="39"/>
    </row>
    <row r="1183" spans="1:22" x14ac:dyDescent="0.35">
      <c r="A1183" s="3" t="s">
        <v>5574</v>
      </c>
      <c r="B1183" s="2" t="s">
        <v>3639</v>
      </c>
      <c r="C1183" s="2" t="s">
        <v>15</v>
      </c>
      <c r="D1183" s="2">
        <v>124.5</v>
      </c>
      <c r="E1183" s="2" t="s">
        <v>10</v>
      </c>
      <c r="F1183" s="3">
        <v>2</v>
      </c>
      <c r="G1183" s="3">
        <v>4</v>
      </c>
      <c r="H1183" s="2">
        <v>0</v>
      </c>
      <c r="I1183" s="22">
        <f>Table43[[#This Row],[Item Cost]]*Table43[[#This Row],[In Stock]]</f>
        <v>0</v>
      </c>
      <c r="J1183" s="12" t="s">
        <v>4941</v>
      </c>
      <c r="K1183" s="13" t="s">
        <v>4666</v>
      </c>
      <c r="L1183" s="13" t="s">
        <v>4753</v>
      </c>
      <c r="M1183" s="13" t="s">
        <v>4693</v>
      </c>
      <c r="N1183" s="12" t="s">
        <v>4672</v>
      </c>
      <c r="O1183" s="17" t="str">
        <f>IF(LEN(COUNTIFS($J$1:J1183,$J1183,$K$1:K1183,$K1183,$L$1:L1183,$L1183,$M$1:M1183,M1183,$N$1:N1183,N1183))=1,"00"&amp;COUNTIFS($J$1:J1183,$J1183,$K$1:K1183,$K1183,$L$1:L1183,$L1183,$M$1:M1183,M1183,$N$1:N1183,N1183),IF(LEN(COUNTIFS($J$1:J1183,$J1183,$K$1:K1183,$K1183,$L$1:L1183,$L1183,$M$1:M1183,M1183,$N$1:N1183,N1183))=2,"0"&amp;COUNTIFS($J$1:J1183,$J1183,$K$1:K1183,$K1183,$L$1:L1183,$L1183,$M$1:M1183,M1183,$N$1:N1183,N1183),COUNTIFS($J$1:J1183,$J1183,$K$1:K1183,$K1183,$L$1:L1183,$L1183,$M$1:M1183,M1183,$N$1:N1183,N1183)))</f>
        <v>001</v>
      </c>
      <c r="P118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MS-NS-023-23-00001-INV</v>
      </c>
      <c r="Q1183" s="59"/>
      <c r="R1183" s="34" t="s">
        <v>6870</v>
      </c>
      <c r="S1183" s="34" t="s">
        <v>3639</v>
      </c>
      <c r="T1183" s="34">
        <f>+IFERROR(_xlfn.XLOOKUP(Table43[[#This Row],[Column1]],#REF!,#REF!),0)</f>
        <v>0</v>
      </c>
      <c r="U1183" s="50">
        <f>IFERROR(_xlfn.XLOOKUP(Table43[[#This Row],[Column1]],#REF!,#REF!),0)</f>
        <v>0</v>
      </c>
      <c r="V1183" s="39"/>
    </row>
    <row r="1184" spans="1:22" x14ac:dyDescent="0.35">
      <c r="A1184" s="3" t="s">
        <v>5575</v>
      </c>
      <c r="B1184" s="3" t="s">
        <v>3641</v>
      </c>
      <c r="C1184" s="3" t="s">
        <v>15</v>
      </c>
      <c r="D1184" s="3">
        <v>100</v>
      </c>
      <c r="E1184" s="3" t="s">
        <v>10</v>
      </c>
      <c r="F1184" s="3">
        <v>2</v>
      </c>
      <c r="G1184" s="3">
        <v>4</v>
      </c>
      <c r="H1184" s="3">
        <v>0</v>
      </c>
      <c r="I1184" s="21">
        <f>Table43[[#This Row],[Item Cost]]*Table43[[#This Row],[In Stock]]</f>
        <v>0</v>
      </c>
      <c r="J1184" s="12" t="s">
        <v>4941</v>
      </c>
      <c r="K1184" s="13" t="s">
        <v>4666</v>
      </c>
      <c r="L1184" s="13" t="s">
        <v>4753</v>
      </c>
      <c r="M1184" s="13" t="s">
        <v>4827</v>
      </c>
      <c r="N1184" s="12" t="s">
        <v>4672</v>
      </c>
      <c r="O1184" s="17" t="str">
        <f>IF(LEN(COUNTIFS($J$1:J1184,$J1184,$K$1:K1184,$K1184,$L$1:L1184,$L1184,$M$1:M1184,M1184,$N$1:N1184,N1184))=1,"00"&amp;COUNTIFS($J$1:J1184,$J1184,$K$1:K1184,$K1184,$L$1:L1184,$L1184,$M$1:M1184,M1184,$N$1:N1184,N1184),IF(LEN(COUNTIFS($J$1:J1184,$J1184,$K$1:K1184,$K1184,$L$1:L1184,$L1184,$M$1:M1184,M1184,$N$1:N1184,N1184))=2,"0"&amp;COUNTIFS($J$1:J1184,$J1184,$K$1:K1184,$K1184,$L$1:L1184,$L1184,$M$1:M1184,M1184,$N$1:N1184,N1184),COUNTIFS($J$1:J1184,$J1184,$K$1:K1184,$K1184,$L$1:L1184,$L1184,$M$1:M1184,M1184,$N$1:N1184,N1184)))</f>
        <v>010</v>
      </c>
      <c r="P118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MS-NS-023-10-00010-INV</v>
      </c>
      <c r="Q1184" s="59"/>
      <c r="R1184" s="34" t="s">
        <v>6871</v>
      </c>
      <c r="S1184" s="34" t="s">
        <v>3641</v>
      </c>
      <c r="T1184" s="34">
        <f>+IFERROR(_xlfn.XLOOKUP(Table43[[#This Row],[Column1]],#REF!,#REF!),0)</f>
        <v>0</v>
      </c>
      <c r="U1184" s="50">
        <f>IFERROR(_xlfn.XLOOKUP(Table43[[#This Row],[Column1]],#REF!,#REF!),0)</f>
        <v>0</v>
      </c>
      <c r="V1184" s="39"/>
    </row>
    <row r="1185" spans="1:22" x14ac:dyDescent="0.35">
      <c r="A1185" s="3" t="s">
        <v>5576</v>
      </c>
      <c r="B1185" s="2" t="s">
        <v>3643</v>
      </c>
      <c r="C1185" s="2" t="s">
        <v>15</v>
      </c>
      <c r="D1185" s="2">
        <v>85</v>
      </c>
      <c r="E1185" s="2" t="s">
        <v>10</v>
      </c>
      <c r="F1185" s="3">
        <v>2</v>
      </c>
      <c r="G1185" s="3">
        <v>4</v>
      </c>
      <c r="H1185" s="2">
        <v>0</v>
      </c>
      <c r="I1185" s="22">
        <f>Table43[[#This Row],[Item Cost]]*Table43[[#This Row],[In Stock]]</f>
        <v>0</v>
      </c>
      <c r="J1185" s="12" t="s">
        <v>4941</v>
      </c>
      <c r="K1185" s="13" t="s">
        <v>4666</v>
      </c>
      <c r="L1185" s="13" t="s">
        <v>4753</v>
      </c>
      <c r="M1185" s="13" t="s">
        <v>4827</v>
      </c>
      <c r="N1185" s="12" t="s">
        <v>4672</v>
      </c>
      <c r="O1185" s="17" t="str">
        <f>IF(LEN(COUNTIFS($J$1:J1185,$J1185,$K$1:K1185,$K1185,$L$1:L1185,$L1185,$M$1:M1185,M1185,$N$1:N1185,N1185))=1,"00"&amp;COUNTIFS($J$1:J1185,$J1185,$K$1:K1185,$K1185,$L$1:L1185,$L1185,$M$1:M1185,M1185,$N$1:N1185,N1185),IF(LEN(COUNTIFS($J$1:J1185,$J1185,$K$1:K1185,$K1185,$L$1:L1185,$L1185,$M$1:M1185,M1185,$N$1:N1185,N1185))=2,"0"&amp;COUNTIFS($J$1:J1185,$J1185,$K$1:K1185,$K1185,$L$1:L1185,$L1185,$M$1:M1185,M1185,$N$1:N1185,N1185),COUNTIFS($J$1:J1185,$J1185,$K$1:K1185,$K1185,$L$1:L1185,$L1185,$M$1:M1185,M1185,$N$1:N1185,N1185)))</f>
        <v>011</v>
      </c>
      <c r="P118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MS-NS-023-10-00011-INV</v>
      </c>
      <c r="Q1185" s="59"/>
      <c r="R1185" s="34" t="s">
        <v>6872</v>
      </c>
      <c r="S1185" s="34" t="s">
        <v>3643</v>
      </c>
      <c r="T1185" s="34">
        <f>+IFERROR(_xlfn.XLOOKUP(Table43[[#This Row],[Column1]],#REF!,#REF!),0)</f>
        <v>0</v>
      </c>
      <c r="U1185" s="50">
        <f>IFERROR(_xlfn.XLOOKUP(Table43[[#This Row],[Column1]],#REF!,#REF!),0)</f>
        <v>0</v>
      </c>
      <c r="V1185" s="39"/>
    </row>
    <row r="1186" spans="1:22" x14ac:dyDescent="0.35">
      <c r="A1186" s="3" t="s">
        <v>5577</v>
      </c>
      <c r="B1186" s="3" t="s">
        <v>3645</v>
      </c>
      <c r="C1186" s="3" t="s">
        <v>15</v>
      </c>
      <c r="D1186" s="3">
        <v>35</v>
      </c>
      <c r="E1186" s="3" t="s">
        <v>10</v>
      </c>
      <c r="F1186" s="3">
        <v>2</v>
      </c>
      <c r="G1186" s="3">
        <v>4</v>
      </c>
      <c r="H1186" s="3">
        <v>0</v>
      </c>
      <c r="I1186" s="21">
        <f>Table43[[#This Row],[Item Cost]]*Table43[[#This Row],[In Stock]]</f>
        <v>0</v>
      </c>
      <c r="J1186" s="12" t="s">
        <v>4941</v>
      </c>
      <c r="K1186" s="13" t="s">
        <v>4666</v>
      </c>
      <c r="L1186" s="13" t="s">
        <v>4753</v>
      </c>
      <c r="M1186" s="13" t="s">
        <v>4859</v>
      </c>
      <c r="N1186" s="12" t="s">
        <v>4672</v>
      </c>
      <c r="O1186" s="17" t="str">
        <f>IF(LEN(COUNTIFS($J$1:J1186,$J1186,$K$1:K1186,$K1186,$L$1:L1186,$L1186,$M$1:M1186,M1186,$N$1:N1186,N1186))=1,"00"&amp;COUNTIFS($J$1:J1186,$J1186,$K$1:K1186,$K1186,$L$1:L1186,$L1186,$M$1:M1186,M1186,$N$1:N1186,N1186),IF(LEN(COUNTIFS($J$1:J1186,$J1186,$K$1:K1186,$K1186,$L$1:L1186,$L1186,$M$1:M1186,M1186,$N$1:N1186,N1186))=2,"0"&amp;COUNTIFS($J$1:J1186,$J1186,$K$1:K1186,$K1186,$L$1:L1186,$L1186,$M$1:M1186,M1186,$N$1:N1186,N1186),COUNTIFS($J$1:J1186,$J1186,$K$1:K1186,$K1186,$L$1:L1186,$L1186,$M$1:M1186,M1186,$N$1:N1186,N1186)))</f>
        <v>026</v>
      </c>
      <c r="P118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MS-NS-023-30-00026-INV</v>
      </c>
      <c r="Q1186" s="59"/>
      <c r="R1186" s="34" t="s">
        <v>6873</v>
      </c>
      <c r="S1186" s="34" t="s">
        <v>3645</v>
      </c>
      <c r="T1186" s="34">
        <f>+IFERROR(_xlfn.XLOOKUP(Table43[[#This Row],[Column1]],#REF!,#REF!),0)</f>
        <v>0</v>
      </c>
      <c r="U1186" s="50">
        <f>IFERROR(_xlfn.XLOOKUP(Table43[[#This Row],[Column1]],#REF!,#REF!),0)</f>
        <v>0</v>
      </c>
      <c r="V1186" s="39"/>
    </row>
    <row r="1187" spans="1:22" x14ac:dyDescent="0.35">
      <c r="A1187" s="3" t="s">
        <v>5578</v>
      </c>
      <c r="B1187" s="2" t="s">
        <v>3647</v>
      </c>
      <c r="C1187" s="2" t="s">
        <v>15</v>
      </c>
      <c r="D1187" s="2">
        <v>60</v>
      </c>
      <c r="E1187" s="2" t="s">
        <v>10</v>
      </c>
      <c r="F1187" s="3">
        <v>2</v>
      </c>
      <c r="G1187" s="3">
        <v>4</v>
      </c>
      <c r="H1187" s="2">
        <v>0</v>
      </c>
      <c r="I1187" s="22">
        <f>Table43[[#This Row],[Item Cost]]*Table43[[#This Row],[In Stock]]</f>
        <v>0</v>
      </c>
      <c r="J1187" s="12" t="s">
        <v>4941</v>
      </c>
      <c r="K1187" s="13" t="s">
        <v>4666</v>
      </c>
      <c r="L1187" s="13" t="s">
        <v>4753</v>
      </c>
      <c r="M1187" s="13" t="s">
        <v>4827</v>
      </c>
      <c r="N1187" s="12" t="s">
        <v>4672</v>
      </c>
      <c r="O1187" s="17" t="str">
        <f>IF(LEN(COUNTIFS($J$1:J1187,$J1187,$K$1:K1187,$K1187,$L$1:L1187,$L1187,$M$1:M1187,M1187,$N$1:N1187,N1187))=1,"00"&amp;COUNTIFS($J$1:J1187,$J1187,$K$1:K1187,$K1187,$L$1:L1187,$L1187,$M$1:M1187,M1187,$N$1:N1187,N1187),IF(LEN(COUNTIFS($J$1:J1187,$J1187,$K$1:K1187,$K1187,$L$1:L1187,$L1187,$M$1:M1187,M1187,$N$1:N1187,N1187))=2,"0"&amp;COUNTIFS($J$1:J1187,$J1187,$K$1:K1187,$K1187,$L$1:L1187,$L1187,$M$1:M1187,M1187,$N$1:N1187,N1187),COUNTIFS($J$1:J1187,$J1187,$K$1:K1187,$K1187,$L$1:L1187,$L1187,$M$1:M1187,M1187,$N$1:N1187,N1187)))</f>
        <v>012</v>
      </c>
      <c r="P118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MS-NS-023-10-00012-INV</v>
      </c>
      <c r="Q1187" s="59"/>
      <c r="R1187" s="34" t="s">
        <v>6874</v>
      </c>
      <c r="S1187" s="34" t="s">
        <v>3647</v>
      </c>
      <c r="T1187" s="34">
        <f>+IFERROR(_xlfn.XLOOKUP(Table43[[#This Row],[Column1]],#REF!,#REF!),0)</f>
        <v>0</v>
      </c>
      <c r="U1187" s="50">
        <f>IFERROR(_xlfn.XLOOKUP(Table43[[#This Row],[Column1]],#REF!,#REF!),0)</f>
        <v>0</v>
      </c>
      <c r="V1187" s="39"/>
    </row>
    <row r="1188" spans="1:22" x14ac:dyDescent="0.35">
      <c r="A1188" s="3" t="s">
        <v>5579</v>
      </c>
      <c r="B1188" s="3" t="s">
        <v>3649</v>
      </c>
      <c r="C1188" s="3" t="s">
        <v>15</v>
      </c>
      <c r="D1188" s="3">
        <v>35</v>
      </c>
      <c r="E1188" s="3" t="s">
        <v>10</v>
      </c>
      <c r="F1188" s="3">
        <v>2</v>
      </c>
      <c r="G1188" s="3">
        <v>4</v>
      </c>
      <c r="H1188" s="3">
        <v>0</v>
      </c>
      <c r="I1188" s="21">
        <f>Table43[[#This Row],[Item Cost]]*Table43[[#This Row],[In Stock]]</f>
        <v>0</v>
      </c>
      <c r="J1188" s="12" t="s">
        <v>4941</v>
      </c>
      <c r="K1188" s="13" t="s">
        <v>4666</v>
      </c>
      <c r="L1188" s="13" t="s">
        <v>4753</v>
      </c>
      <c r="M1188" s="13" t="s">
        <v>4827</v>
      </c>
      <c r="N1188" s="12" t="s">
        <v>4672</v>
      </c>
      <c r="O1188" s="17" t="str">
        <f>IF(LEN(COUNTIFS($J$1:J1188,$J1188,$K$1:K1188,$K1188,$L$1:L1188,$L1188,$M$1:M1188,M1188,$N$1:N1188,N1188))=1,"00"&amp;COUNTIFS($J$1:J1188,$J1188,$K$1:K1188,$K1188,$L$1:L1188,$L1188,$M$1:M1188,M1188,$N$1:N1188,N1188),IF(LEN(COUNTIFS($J$1:J1188,$J1188,$K$1:K1188,$K1188,$L$1:L1188,$L1188,$M$1:M1188,M1188,$N$1:N1188,N1188))=2,"0"&amp;COUNTIFS($J$1:J1188,$J1188,$K$1:K1188,$K1188,$L$1:L1188,$L1188,$M$1:M1188,M1188,$N$1:N1188,N1188),COUNTIFS($J$1:J1188,$J1188,$K$1:K1188,$K1188,$L$1:L1188,$L1188,$M$1:M1188,M1188,$N$1:N1188,N1188)))</f>
        <v>013</v>
      </c>
      <c r="P118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MS-NS-023-10-00013-INV</v>
      </c>
      <c r="Q1188" s="59"/>
      <c r="R1188" s="34" t="s">
        <v>6875</v>
      </c>
      <c r="S1188" s="34" t="s">
        <v>3649</v>
      </c>
      <c r="T1188" s="34">
        <f>+IFERROR(_xlfn.XLOOKUP(Table43[[#This Row],[Column1]],#REF!,#REF!),0)</f>
        <v>0</v>
      </c>
      <c r="U1188" s="50">
        <f>IFERROR(_xlfn.XLOOKUP(Table43[[#This Row],[Column1]],#REF!,#REF!),0)</f>
        <v>0</v>
      </c>
      <c r="V1188" s="39"/>
    </row>
    <row r="1189" spans="1:22" x14ac:dyDescent="0.35">
      <c r="A1189" s="3" t="s">
        <v>5580</v>
      </c>
      <c r="B1189" s="2" t="s">
        <v>3651</v>
      </c>
      <c r="C1189" s="2" t="s">
        <v>15</v>
      </c>
      <c r="D1189" s="2">
        <v>9</v>
      </c>
      <c r="E1189" s="2" t="s">
        <v>10</v>
      </c>
      <c r="F1189" s="3">
        <v>5</v>
      </c>
      <c r="G1189" s="3">
        <v>25</v>
      </c>
      <c r="H1189" s="2">
        <v>1</v>
      </c>
      <c r="I1189" s="22">
        <f>Table43[[#This Row],[Item Cost]]*Table43[[#This Row],[In Stock]]</f>
        <v>9</v>
      </c>
      <c r="J1189" s="12" t="s">
        <v>4941</v>
      </c>
      <c r="K1189" s="13" t="s">
        <v>4666</v>
      </c>
      <c r="L1189" s="13" t="s">
        <v>4753</v>
      </c>
      <c r="M1189" s="13" t="s">
        <v>4834</v>
      </c>
      <c r="N1189" s="12" t="s">
        <v>4672</v>
      </c>
      <c r="O1189" s="17" t="str">
        <f>IF(LEN(COUNTIFS($J$1:J1189,$J1189,$K$1:K1189,$K1189,$L$1:L1189,$L1189,$M$1:M1189,M1189,$N$1:N1189,N1189))=1,"00"&amp;COUNTIFS($J$1:J1189,$J1189,$K$1:K1189,$K1189,$L$1:L1189,$L1189,$M$1:M1189,M1189,$N$1:N1189,N1189),IF(LEN(COUNTIFS($J$1:J1189,$J1189,$K$1:K1189,$K1189,$L$1:L1189,$L1189,$M$1:M1189,M1189,$N$1:N1189,N1189))=2,"0"&amp;COUNTIFS($J$1:J1189,$J1189,$K$1:K1189,$K1189,$L$1:L1189,$L1189,$M$1:M1189,M1189,$N$1:N1189,N1189),COUNTIFS($J$1:J1189,$J1189,$K$1:K1189,$K1189,$L$1:L1189,$L1189,$M$1:M1189,M1189,$N$1:N1189,N1189)))</f>
        <v>052</v>
      </c>
      <c r="P118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MS-NS-023-17-00052-INV</v>
      </c>
      <c r="Q1189" s="59"/>
      <c r="R1189" s="34" t="s">
        <v>6876</v>
      </c>
      <c r="S1189" s="34" t="s">
        <v>3651</v>
      </c>
      <c r="T1189" s="34">
        <f>+IFERROR(_xlfn.XLOOKUP(Table43[[#This Row],[Column1]],#REF!,#REF!),0)</f>
        <v>0</v>
      </c>
      <c r="U1189" s="50">
        <f>IFERROR(_xlfn.XLOOKUP(Table43[[#This Row],[Column1]],#REF!,#REF!),0)</f>
        <v>0</v>
      </c>
      <c r="V1189" s="39"/>
    </row>
    <row r="1190" spans="1:22" x14ac:dyDescent="0.35">
      <c r="A1190" s="3" t="s">
        <v>5581</v>
      </c>
      <c r="B1190" s="3" t="s">
        <v>3653</v>
      </c>
      <c r="C1190" s="3" t="s">
        <v>15</v>
      </c>
      <c r="D1190" s="3">
        <v>5</v>
      </c>
      <c r="E1190" s="3" t="s">
        <v>10</v>
      </c>
      <c r="F1190" s="3">
        <v>5</v>
      </c>
      <c r="G1190" s="3">
        <v>25</v>
      </c>
      <c r="H1190" s="3">
        <v>0</v>
      </c>
      <c r="I1190" s="21">
        <f>Table43[[#This Row],[Item Cost]]*Table43[[#This Row],[In Stock]]</f>
        <v>0</v>
      </c>
      <c r="J1190" s="12" t="s">
        <v>4941</v>
      </c>
      <c r="K1190" s="13" t="s">
        <v>4666</v>
      </c>
      <c r="L1190" s="13" t="s">
        <v>4753</v>
      </c>
      <c r="M1190" s="13" t="s">
        <v>4834</v>
      </c>
      <c r="N1190" s="12" t="s">
        <v>4672</v>
      </c>
      <c r="O1190" s="17" t="str">
        <f>IF(LEN(COUNTIFS($J$1:J1190,$J1190,$K$1:K1190,$K1190,$L$1:L1190,$L1190,$M$1:M1190,M1190,$N$1:N1190,N1190))=1,"00"&amp;COUNTIFS($J$1:J1190,$J1190,$K$1:K1190,$K1190,$L$1:L1190,$L1190,$M$1:M1190,M1190,$N$1:N1190,N1190),IF(LEN(COUNTIFS($J$1:J1190,$J1190,$K$1:K1190,$K1190,$L$1:L1190,$L1190,$M$1:M1190,M1190,$N$1:N1190,N1190))=2,"0"&amp;COUNTIFS($J$1:J1190,$J1190,$K$1:K1190,$K1190,$L$1:L1190,$L1190,$M$1:M1190,M1190,$N$1:N1190,N1190),COUNTIFS($J$1:J1190,$J1190,$K$1:K1190,$K1190,$L$1:L1190,$L1190,$M$1:M1190,M1190,$N$1:N1190,N1190)))</f>
        <v>053</v>
      </c>
      <c r="P119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MS-NS-023-17-00053-INV</v>
      </c>
      <c r="Q1190" s="59"/>
      <c r="R1190" s="34" t="s">
        <v>6877</v>
      </c>
      <c r="S1190" s="34" t="s">
        <v>3653</v>
      </c>
      <c r="T1190" s="34">
        <f>+IFERROR(_xlfn.XLOOKUP(Table43[[#This Row],[Column1]],#REF!,#REF!),0)</f>
        <v>0</v>
      </c>
      <c r="U1190" s="50">
        <f>IFERROR(_xlfn.XLOOKUP(Table43[[#This Row],[Column1]],#REF!,#REF!),0)</f>
        <v>0</v>
      </c>
      <c r="V1190" s="39"/>
    </row>
    <row r="1191" spans="1:22" x14ac:dyDescent="0.35">
      <c r="A1191" s="3" t="s">
        <v>5582</v>
      </c>
      <c r="B1191" s="2" t="s">
        <v>3655</v>
      </c>
      <c r="C1191" s="2" t="s">
        <v>15</v>
      </c>
      <c r="D1191" s="2">
        <v>10</v>
      </c>
      <c r="E1191" s="2" t="s">
        <v>10</v>
      </c>
      <c r="F1191" s="3">
        <v>5</v>
      </c>
      <c r="G1191" s="3">
        <v>25</v>
      </c>
      <c r="H1191" s="2">
        <v>0</v>
      </c>
      <c r="I1191" s="22">
        <f>Table43[[#This Row],[Item Cost]]*Table43[[#This Row],[In Stock]]</f>
        <v>0</v>
      </c>
      <c r="J1191" s="12" t="s">
        <v>4941</v>
      </c>
      <c r="K1191" s="13" t="s">
        <v>4666</v>
      </c>
      <c r="L1191" s="13" t="s">
        <v>4753</v>
      </c>
      <c r="M1191" s="13" t="s">
        <v>4834</v>
      </c>
      <c r="N1191" s="12" t="s">
        <v>4672</v>
      </c>
      <c r="O1191" s="17" t="str">
        <f>IF(LEN(COUNTIFS($J$1:J1191,$J1191,$K$1:K1191,$K1191,$L$1:L1191,$L1191,$M$1:M1191,M1191,$N$1:N1191,N1191))=1,"00"&amp;COUNTIFS($J$1:J1191,$J1191,$K$1:K1191,$K1191,$L$1:L1191,$L1191,$M$1:M1191,M1191,$N$1:N1191,N1191),IF(LEN(COUNTIFS($J$1:J1191,$J1191,$K$1:K1191,$K1191,$L$1:L1191,$L1191,$M$1:M1191,M1191,$N$1:N1191,N1191))=2,"0"&amp;COUNTIFS($J$1:J1191,$J1191,$K$1:K1191,$K1191,$L$1:L1191,$L1191,$M$1:M1191,M1191,$N$1:N1191,N1191),COUNTIFS($J$1:J1191,$J1191,$K$1:K1191,$K1191,$L$1:L1191,$L1191,$M$1:M1191,M1191,$N$1:N1191,N1191)))</f>
        <v>054</v>
      </c>
      <c r="P119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MS-NS-023-17-00054-INV</v>
      </c>
      <c r="Q1191" s="59"/>
      <c r="R1191" s="34" t="s">
        <v>6878</v>
      </c>
      <c r="S1191" s="34" t="s">
        <v>3655</v>
      </c>
      <c r="T1191" s="34">
        <f>+IFERROR(_xlfn.XLOOKUP(Table43[[#This Row],[Column1]],#REF!,#REF!),0)</f>
        <v>0</v>
      </c>
      <c r="U1191" s="50">
        <f>IFERROR(_xlfn.XLOOKUP(Table43[[#This Row],[Column1]],#REF!,#REF!),0)</f>
        <v>0</v>
      </c>
      <c r="V1191" s="39"/>
    </row>
    <row r="1192" spans="1:22" x14ac:dyDescent="0.35">
      <c r="A1192" s="3" t="s">
        <v>5583</v>
      </c>
      <c r="B1192" s="3" t="s">
        <v>3657</v>
      </c>
      <c r="C1192" s="3" t="s">
        <v>15</v>
      </c>
      <c r="D1192" s="3">
        <v>70</v>
      </c>
      <c r="E1192" s="3" t="s">
        <v>10</v>
      </c>
      <c r="F1192" s="3">
        <v>5</v>
      </c>
      <c r="G1192" s="3">
        <v>25</v>
      </c>
      <c r="H1192" s="3">
        <v>0</v>
      </c>
      <c r="I1192" s="21">
        <f>Table43[[#This Row],[Item Cost]]*Table43[[#This Row],[In Stock]]</f>
        <v>0</v>
      </c>
      <c r="J1192" s="12" t="s">
        <v>4941</v>
      </c>
      <c r="K1192" s="13" t="s">
        <v>4666</v>
      </c>
      <c r="L1192" s="13" t="s">
        <v>4753</v>
      </c>
      <c r="M1192" s="13" t="s">
        <v>4859</v>
      </c>
      <c r="N1192" s="12" t="s">
        <v>4672</v>
      </c>
      <c r="O1192" s="17" t="str">
        <f>IF(LEN(COUNTIFS($J$1:J1192,$J1192,$K$1:K1192,$K1192,$L$1:L1192,$L1192,$M$1:M1192,M1192,$N$1:N1192,N1192))=1,"00"&amp;COUNTIFS($J$1:J1192,$J1192,$K$1:K1192,$K1192,$L$1:L1192,$L1192,$M$1:M1192,M1192,$N$1:N1192,N1192),IF(LEN(COUNTIFS($J$1:J1192,$J1192,$K$1:K1192,$K1192,$L$1:L1192,$L1192,$M$1:M1192,M1192,$N$1:N1192,N1192))=2,"0"&amp;COUNTIFS($J$1:J1192,$J1192,$K$1:K1192,$K1192,$L$1:L1192,$L1192,$M$1:M1192,M1192,$N$1:N1192,N1192),COUNTIFS($J$1:J1192,$J1192,$K$1:K1192,$K1192,$L$1:L1192,$L1192,$M$1:M1192,M1192,$N$1:N1192,N1192)))</f>
        <v>027</v>
      </c>
      <c r="P119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MS-NS-023-30-00027-INV</v>
      </c>
      <c r="Q1192" s="59"/>
      <c r="R1192" s="34"/>
      <c r="S1192" s="34">
        <v>0</v>
      </c>
      <c r="T1192" s="34">
        <f>+IFERROR(_xlfn.XLOOKUP(Table43[[#This Row],[Column1]],#REF!,#REF!),0)</f>
        <v>0</v>
      </c>
      <c r="U1192" s="50">
        <f>IFERROR(_xlfn.XLOOKUP(Table43[[#This Row],[Column1]],#REF!,#REF!),0)</f>
        <v>0</v>
      </c>
      <c r="V1192" s="39"/>
    </row>
    <row r="1193" spans="1:22" x14ac:dyDescent="0.35">
      <c r="A1193" s="3" t="s">
        <v>5584</v>
      </c>
      <c r="B1193" s="2" t="s">
        <v>3659</v>
      </c>
      <c r="C1193" s="2" t="s">
        <v>15</v>
      </c>
      <c r="D1193" s="2">
        <v>12</v>
      </c>
      <c r="E1193" s="2" t="s">
        <v>10</v>
      </c>
      <c r="F1193" s="3">
        <v>5</v>
      </c>
      <c r="G1193" s="3">
        <v>25</v>
      </c>
      <c r="H1193" s="2">
        <v>0</v>
      </c>
      <c r="I1193" s="22">
        <f>Table43[[#This Row],[Item Cost]]*Table43[[#This Row],[In Stock]]</f>
        <v>0</v>
      </c>
      <c r="J1193" s="12" t="s">
        <v>4941</v>
      </c>
      <c r="K1193" s="13" t="s">
        <v>4666</v>
      </c>
      <c r="L1193" s="13" t="s">
        <v>4753</v>
      </c>
      <c r="M1193" s="13" t="s">
        <v>4834</v>
      </c>
      <c r="N1193" s="12" t="s">
        <v>4672</v>
      </c>
      <c r="O1193" s="17" t="str">
        <f>IF(LEN(COUNTIFS($J$1:J1193,$J1193,$K$1:K1193,$K1193,$L$1:L1193,$L1193,$M$1:M1193,M1193,$N$1:N1193,N1193))=1,"00"&amp;COUNTIFS($J$1:J1193,$J1193,$K$1:K1193,$K1193,$L$1:L1193,$L1193,$M$1:M1193,M1193,$N$1:N1193,N1193),IF(LEN(COUNTIFS($J$1:J1193,$J1193,$K$1:K1193,$K1193,$L$1:L1193,$L1193,$M$1:M1193,M1193,$N$1:N1193,N1193))=2,"0"&amp;COUNTIFS($J$1:J1193,$J1193,$K$1:K1193,$K1193,$L$1:L1193,$L1193,$M$1:M1193,M1193,$N$1:N1193,N1193),COUNTIFS($J$1:J1193,$J1193,$K$1:K1193,$K1193,$L$1:L1193,$L1193,$M$1:M1193,M1193,$N$1:N1193,N1193)))</f>
        <v>055</v>
      </c>
      <c r="P119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MS-NS-023-17-00055-INV</v>
      </c>
      <c r="Q1193" s="59"/>
      <c r="R1193" s="34" t="s">
        <v>6879</v>
      </c>
      <c r="S1193" s="34" t="s">
        <v>3659</v>
      </c>
      <c r="T1193" s="34">
        <f>+IFERROR(_xlfn.XLOOKUP(Table43[[#This Row],[Column1]],#REF!,#REF!),0)</f>
        <v>0</v>
      </c>
      <c r="U1193" s="50">
        <f>IFERROR(_xlfn.XLOOKUP(Table43[[#This Row],[Column1]],#REF!,#REF!),0)</f>
        <v>0</v>
      </c>
      <c r="V1193" s="39"/>
    </row>
    <row r="1194" spans="1:22" x14ac:dyDescent="0.35">
      <c r="A1194" s="3" t="s">
        <v>5585</v>
      </c>
      <c r="B1194" s="2" t="s">
        <v>3663</v>
      </c>
      <c r="C1194" s="2" t="s">
        <v>15</v>
      </c>
      <c r="D1194" s="4">
        <v>3400</v>
      </c>
      <c r="E1194" s="2" t="s">
        <v>10</v>
      </c>
      <c r="F1194" s="2">
        <v>1</v>
      </c>
      <c r="G1194" s="2">
        <v>2</v>
      </c>
      <c r="H1194" s="2">
        <v>2</v>
      </c>
      <c r="I1194" s="22">
        <f>Table43[[#This Row],[Item Cost]]*Table43[[#This Row],[In Stock]]</f>
        <v>6800</v>
      </c>
      <c r="J1194" s="12" t="s">
        <v>4941</v>
      </c>
      <c r="K1194" s="13" t="s">
        <v>4666</v>
      </c>
      <c r="L1194" s="13" t="s">
        <v>4753</v>
      </c>
      <c r="M1194" s="13" t="s">
        <v>4774</v>
      </c>
      <c r="N1194" s="12" t="s">
        <v>4672</v>
      </c>
      <c r="O1194" s="17" t="str">
        <f>IF(LEN(COUNTIFS($J$1:J1194,$J1194,$K$1:K1194,$K1194,$L$1:L1194,$L1194,$M$1:M1194,M1194,$N$1:N1194,N1194))=1,"00"&amp;COUNTIFS($J$1:J1194,$J1194,$K$1:K1194,$K1194,$L$1:L1194,$L1194,$M$1:M1194,M1194,$N$1:N1194,N1194),IF(LEN(COUNTIFS($J$1:J1194,$J1194,$K$1:K1194,$K1194,$L$1:L1194,$L1194,$M$1:M1194,M1194,$N$1:N1194,N1194))=2,"0"&amp;COUNTIFS($J$1:J1194,$J1194,$K$1:K1194,$K1194,$L$1:L1194,$L1194,$M$1:M1194,M1194,$N$1:N1194,N1194),COUNTIFS($J$1:J1194,$J1194,$K$1:K1194,$K1194,$L$1:L1194,$L1194,$M$1:M1194,M1194,$N$1:N1194,N1194)))</f>
        <v>001</v>
      </c>
      <c r="P119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MS-NS-023-08-00001-INV</v>
      </c>
      <c r="Q1194" s="59"/>
      <c r="R1194" s="34" t="s">
        <v>6880</v>
      </c>
      <c r="S1194" s="34" t="s">
        <v>3663</v>
      </c>
      <c r="T1194" s="34">
        <f>+IFERROR(_xlfn.XLOOKUP(Table43[[#This Row],[Column1]],#REF!,#REF!),0)</f>
        <v>0</v>
      </c>
      <c r="U1194" s="50">
        <f>IFERROR(_xlfn.XLOOKUP(Table43[[#This Row],[Column1]],#REF!,#REF!),0)</f>
        <v>0</v>
      </c>
      <c r="V1194" s="39"/>
    </row>
    <row r="1195" spans="1:22" x14ac:dyDescent="0.35">
      <c r="A1195" s="3" t="s">
        <v>5586</v>
      </c>
      <c r="B1195" s="3" t="s">
        <v>3665</v>
      </c>
      <c r="C1195" s="3" t="s">
        <v>15</v>
      </c>
      <c r="D1195" s="3">
        <v>545.553</v>
      </c>
      <c r="E1195" s="3" t="s">
        <v>10</v>
      </c>
      <c r="F1195" s="3">
        <v>2</v>
      </c>
      <c r="G1195" s="3">
        <v>4</v>
      </c>
      <c r="H1195" s="3">
        <v>0</v>
      </c>
      <c r="I1195" s="21">
        <f>Table43[[#This Row],[Item Cost]]*Table43[[#This Row],[In Stock]]</f>
        <v>0</v>
      </c>
      <c r="J1195" s="12" t="s">
        <v>4941</v>
      </c>
      <c r="K1195" s="13" t="s">
        <v>4666</v>
      </c>
      <c r="L1195" s="13" t="s">
        <v>4753</v>
      </c>
      <c r="M1195" s="13" t="s">
        <v>4774</v>
      </c>
      <c r="N1195" s="12" t="s">
        <v>4672</v>
      </c>
      <c r="O1195" s="17" t="str">
        <f>IF(LEN(COUNTIFS($J$1:J1195,$J1195,$K$1:K1195,$K1195,$L$1:L1195,$L1195,$M$1:M1195,M1195,$N$1:N1195,N1195))=1,"00"&amp;COUNTIFS($J$1:J1195,$J1195,$K$1:K1195,$K1195,$L$1:L1195,$L1195,$M$1:M1195,M1195,$N$1:N1195,N1195),IF(LEN(COUNTIFS($J$1:J1195,$J1195,$K$1:K1195,$K1195,$L$1:L1195,$L1195,$M$1:M1195,M1195,$N$1:N1195,N1195))=2,"0"&amp;COUNTIFS($J$1:J1195,$J1195,$K$1:K1195,$K1195,$L$1:L1195,$L1195,$M$1:M1195,M1195,$N$1:N1195,N1195),COUNTIFS($J$1:J1195,$J1195,$K$1:K1195,$K1195,$L$1:L1195,$L1195,$M$1:M1195,M1195,$N$1:N1195,N1195)))</f>
        <v>002</v>
      </c>
      <c r="P119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MS-NS-023-08-00002-INV</v>
      </c>
      <c r="Q1195" s="59"/>
      <c r="R1195" s="34" t="s">
        <v>6881</v>
      </c>
      <c r="S1195" s="34" t="s">
        <v>3665</v>
      </c>
      <c r="T1195" s="34">
        <f>+IFERROR(_xlfn.XLOOKUP(Table43[[#This Row],[Column1]],#REF!,#REF!),0)</f>
        <v>0</v>
      </c>
      <c r="U1195" s="50">
        <f>IFERROR(_xlfn.XLOOKUP(Table43[[#This Row],[Column1]],#REF!,#REF!),0)</f>
        <v>0</v>
      </c>
      <c r="V1195" s="39"/>
    </row>
    <row r="1196" spans="1:22" x14ac:dyDescent="0.35">
      <c r="A1196" s="3" t="s">
        <v>5587</v>
      </c>
      <c r="B1196" s="2" t="s">
        <v>3667</v>
      </c>
      <c r="C1196" s="2" t="s">
        <v>15</v>
      </c>
      <c r="D1196" s="2">
        <v>248</v>
      </c>
      <c r="E1196" s="2" t="s">
        <v>10</v>
      </c>
      <c r="F1196" s="3">
        <v>2</v>
      </c>
      <c r="G1196" s="3">
        <v>4</v>
      </c>
      <c r="H1196" s="2">
        <v>2</v>
      </c>
      <c r="I1196" s="22">
        <f>Table43[[#This Row],[Item Cost]]*Table43[[#This Row],[In Stock]]</f>
        <v>496</v>
      </c>
      <c r="J1196" s="12" t="s">
        <v>4941</v>
      </c>
      <c r="K1196" s="13" t="s">
        <v>4666</v>
      </c>
      <c r="L1196" s="13" t="s">
        <v>4753</v>
      </c>
      <c r="M1196" s="13" t="s">
        <v>4770</v>
      </c>
      <c r="N1196" s="12" t="s">
        <v>4672</v>
      </c>
      <c r="O1196" s="17" t="str">
        <f>IF(LEN(COUNTIFS($J$1:J1196,$J1196,$K$1:K1196,$K1196,$L$1:L1196,$L1196,$M$1:M1196,M1196,$N$1:N1196,N1196))=1,"00"&amp;COUNTIFS($J$1:J1196,$J1196,$K$1:K1196,$K1196,$L$1:L1196,$L1196,$M$1:M1196,M1196,$N$1:N1196,N1196),IF(LEN(COUNTIFS($J$1:J1196,$J1196,$K$1:K1196,$K1196,$L$1:L1196,$L1196,$M$1:M1196,M1196,$N$1:N1196,N1196))=2,"0"&amp;COUNTIFS($J$1:J1196,$J1196,$K$1:K1196,$K1196,$L$1:L1196,$L1196,$M$1:M1196,M1196,$N$1:N1196,N1196),COUNTIFS($J$1:J1196,$J1196,$K$1:K1196,$K1196,$L$1:L1196,$L1196,$M$1:M1196,M1196,$N$1:N1196,N1196)))</f>
        <v>019</v>
      </c>
      <c r="P119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MS-NS-023-04-00019-INV</v>
      </c>
      <c r="Q1196" s="59"/>
      <c r="R1196" s="34" t="s">
        <v>6882</v>
      </c>
      <c r="S1196" s="34" t="s">
        <v>3667</v>
      </c>
      <c r="T1196" s="34">
        <f>+IFERROR(_xlfn.XLOOKUP(Table43[[#This Row],[Column1]],#REF!,#REF!),0)</f>
        <v>0</v>
      </c>
      <c r="U1196" s="50">
        <f>IFERROR(_xlfn.XLOOKUP(Table43[[#This Row],[Column1]],#REF!,#REF!),0)</f>
        <v>0</v>
      </c>
      <c r="V1196" s="39"/>
    </row>
    <row r="1197" spans="1:22" x14ac:dyDescent="0.35">
      <c r="A1197" s="3" t="s">
        <v>5588</v>
      </c>
      <c r="B1197" s="3" t="s">
        <v>3669</v>
      </c>
      <c r="C1197" s="3" t="s">
        <v>15</v>
      </c>
      <c r="D1197" s="3">
        <v>283.33300000000003</v>
      </c>
      <c r="E1197" s="3" t="s">
        <v>10</v>
      </c>
      <c r="F1197" s="3">
        <v>2</v>
      </c>
      <c r="G1197" s="3">
        <v>4</v>
      </c>
      <c r="H1197" s="3">
        <v>3</v>
      </c>
      <c r="I1197" s="21">
        <f>Table43[[#This Row],[Item Cost]]*Table43[[#This Row],[In Stock]]</f>
        <v>849.99900000000002</v>
      </c>
      <c r="J1197" s="12" t="s">
        <v>4941</v>
      </c>
      <c r="K1197" s="13" t="s">
        <v>4666</v>
      </c>
      <c r="L1197" s="13" t="s">
        <v>4753</v>
      </c>
      <c r="M1197" s="13" t="s">
        <v>4770</v>
      </c>
      <c r="N1197" s="12" t="s">
        <v>4672</v>
      </c>
      <c r="O1197" s="17" t="str">
        <f>IF(LEN(COUNTIFS($J$1:J1197,$J1197,$K$1:K1197,$K1197,$L$1:L1197,$L1197,$M$1:M1197,M1197,$N$1:N1197,N1197))=1,"00"&amp;COUNTIFS($J$1:J1197,$J1197,$K$1:K1197,$K1197,$L$1:L1197,$L1197,$M$1:M1197,M1197,$N$1:N1197,N1197),IF(LEN(COUNTIFS($J$1:J1197,$J1197,$K$1:K1197,$K1197,$L$1:L1197,$L1197,$M$1:M1197,M1197,$N$1:N1197,N1197))=2,"0"&amp;COUNTIFS($J$1:J1197,$J1197,$K$1:K1197,$K1197,$L$1:L1197,$L1197,$M$1:M1197,M1197,$N$1:N1197,N1197),COUNTIFS($J$1:J1197,$J1197,$K$1:K1197,$K1197,$L$1:L1197,$L1197,$M$1:M1197,M1197,$N$1:N1197,N1197)))</f>
        <v>020</v>
      </c>
      <c r="P119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MS-NS-023-04-00020-INV</v>
      </c>
      <c r="Q1197" s="59"/>
      <c r="R1197" s="34" t="s">
        <v>6883</v>
      </c>
      <c r="S1197" s="34" t="s">
        <v>3669</v>
      </c>
      <c r="T1197" s="34">
        <f>+IFERROR(_xlfn.XLOOKUP(Table43[[#This Row],[Column1]],#REF!,#REF!),0)</f>
        <v>0</v>
      </c>
      <c r="U1197" s="50">
        <f>IFERROR(_xlfn.XLOOKUP(Table43[[#This Row],[Column1]],#REF!,#REF!),0)</f>
        <v>0</v>
      </c>
      <c r="V1197" s="39"/>
    </row>
    <row r="1198" spans="1:22" x14ac:dyDescent="0.35">
      <c r="A1198" s="3" t="s">
        <v>5589</v>
      </c>
      <c r="B1198" s="2" t="s">
        <v>3671</v>
      </c>
      <c r="C1198" s="2" t="s">
        <v>15</v>
      </c>
      <c r="D1198" s="2">
        <v>985</v>
      </c>
      <c r="E1198" s="2" t="s">
        <v>10</v>
      </c>
      <c r="F1198" s="3">
        <v>2</v>
      </c>
      <c r="G1198" s="3">
        <v>4</v>
      </c>
      <c r="H1198" s="2">
        <v>0</v>
      </c>
      <c r="I1198" s="22">
        <f>Table43[[#This Row],[Item Cost]]*Table43[[#This Row],[In Stock]]</f>
        <v>0</v>
      </c>
      <c r="J1198" s="12" t="s">
        <v>4941</v>
      </c>
      <c r="K1198" s="13" t="s">
        <v>4666</v>
      </c>
      <c r="L1198" s="13" t="s">
        <v>4753</v>
      </c>
      <c r="M1198" s="13" t="s">
        <v>4859</v>
      </c>
      <c r="N1198" s="12" t="s">
        <v>4672</v>
      </c>
      <c r="O1198" s="17" t="str">
        <f>IF(LEN(COUNTIFS($J$1:J1198,$J1198,$K$1:K1198,$K1198,$L$1:L1198,$L1198,$M$1:M1198,M1198,$N$1:N1198,N1198))=1,"00"&amp;COUNTIFS($J$1:J1198,$J1198,$K$1:K1198,$K1198,$L$1:L1198,$L1198,$M$1:M1198,M1198,$N$1:N1198,N1198),IF(LEN(COUNTIFS($J$1:J1198,$J1198,$K$1:K1198,$K1198,$L$1:L1198,$L1198,$M$1:M1198,M1198,$N$1:N1198,N1198))=2,"0"&amp;COUNTIFS($J$1:J1198,$J1198,$K$1:K1198,$K1198,$L$1:L1198,$L1198,$M$1:M1198,M1198,$N$1:N1198,N1198),COUNTIFS($J$1:J1198,$J1198,$K$1:K1198,$K1198,$L$1:L1198,$L1198,$M$1:M1198,M1198,$N$1:N1198,N1198)))</f>
        <v>028</v>
      </c>
      <c r="P119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MS-NS-023-30-00028-INV</v>
      </c>
      <c r="Q1198" s="59"/>
      <c r="R1198" s="34" t="s">
        <v>6884</v>
      </c>
      <c r="S1198" s="34" t="s">
        <v>3671</v>
      </c>
      <c r="T1198" s="34">
        <f>+IFERROR(_xlfn.XLOOKUP(Table43[[#This Row],[Column1]],#REF!,#REF!),0)</f>
        <v>0</v>
      </c>
      <c r="U1198" s="50">
        <f>IFERROR(_xlfn.XLOOKUP(Table43[[#This Row],[Column1]],#REF!,#REF!),0)</f>
        <v>0</v>
      </c>
      <c r="V1198" s="39"/>
    </row>
    <row r="1199" spans="1:22" x14ac:dyDescent="0.35">
      <c r="A1199" s="3" t="s">
        <v>5590</v>
      </c>
      <c r="B1199" s="3" t="s">
        <v>3673</v>
      </c>
      <c r="C1199" s="3" t="s">
        <v>15</v>
      </c>
      <c r="D1199" s="5">
        <v>1250</v>
      </c>
      <c r="E1199" s="3" t="s">
        <v>10</v>
      </c>
      <c r="F1199" s="3">
        <v>2</v>
      </c>
      <c r="G1199" s="3">
        <v>4</v>
      </c>
      <c r="H1199" s="3">
        <v>1</v>
      </c>
      <c r="I1199" s="21">
        <f>Table43[[#This Row],[Item Cost]]*Table43[[#This Row],[In Stock]]</f>
        <v>1250</v>
      </c>
      <c r="J1199" s="12" t="s">
        <v>4941</v>
      </c>
      <c r="K1199" s="13" t="s">
        <v>4666</v>
      </c>
      <c r="L1199" s="13" t="s">
        <v>4753</v>
      </c>
      <c r="M1199" s="13" t="s">
        <v>4859</v>
      </c>
      <c r="N1199" s="12" t="s">
        <v>4672</v>
      </c>
      <c r="O1199" s="17" t="str">
        <f>IF(LEN(COUNTIFS($J$1:J1199,$J1199,$K$1:K1199,$K1199,$L$1:L1199,$L1199,$M$1:M1199,M1199,$N$1:N1199,N1199))=1,"00"&amp;COUNTIFS($J$1:J1199,$J1199,$K$1:K1199,$K1199,$L$1:L1199,$L1199,$M$1:M1199,M1199,$N$1:N1199,N1199),IF(LEN(COUNTIFS($J$1:J1199,$J1199,$K$1:K1199,$K1199,$L$1:L1199,$L1199,$M$1:M1199,M1199,$N$1:N1199,N1199))=2,"0"&amp;COUNTIFS($J$1:J1199,$J1199,$K$1:K1199,$K1199,$L$1:L1199,$L1199,$M$1:M1199,M1199,$N$1:N1199,N1199),COUNTIFS($J$1:J1199,$J1199,$K$1:K1199,$K1199,$L$1:L1199,$L1199,$M$1:M1199,M1199,$N$1:N1199,N1199)))</f>
        <v>029</v>
      </c>
      <c r="P119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MS-NS-023-30-00029-INV</v>
      </c>
      <c r="Q1199" s="59"/>
      <c r="R1199" s="34" t="s">
        <v>6885</v>
      </c>
      <c r="S1199" s="34" t="s">
        <v>3673</v>
      </c>
      <c r="T1199" s="34">
        <f>+IFERROR(_xlfn.XLOOKUP(Table43[[#This Row],[Column1]],#REF!,#REF!),0)</f>
        <v>0</v>
      </c>
      <c r="U1199" s="50">
        <f>IFERROR(_xlfn.XLOOKUP(Table43[[#This Row],[Column1]],#REF!,#REF!),0)</f>
        <v>0</v>
      </c>
      <c r="V1199" s="39"/>
    </row>
    <row r="1200" spans="1:22" x14ac:dyDescent="0.35">
      <c r="A1200" s="3" t="s">
        <v>5591</v>
      </c>
      <c r="B1200" s="3" t="s">
        <v>3679</v>
      </c>
      <c r="C1200" s="3" t="s">
        <v>15</v>
      </c>
      <c r="D1200" s="3">
        <v>36.104999999999997</v>
      </c>
      <c r="E1200" s="3" t="s">
        <v>10</v>
      </c>
      <c r="F1200" s="3">
        <v>5</v>
      </c>
      <c r="G1200" s="3">
        <v>25</v>
      </c>
      <c r="H1200" s="3">
        <v>0</v>
      </c>
      <c r="I1200" s="21">
        <f>Table43[[#This Row],[Item Cost]]*Table43[[#This Row],[In Stock]]</f>
        <v>0</v>
      </c>
      <c r="J1200" s="12" t="s">
        <v>4941</v>
      </c>
      <c r="K1200" s="13" t="s">
        <v>4666</v>
      </c>
      <c r="L1200" s="13" t="s">
        <v>4753</v>
      </c>
      <c r="M1200" s="13" t="s">
        <v>4834</v>
      </c>
      <c r="N1200" s="12" t="s">
        <v>4672</v>
      </c>
      <c r="O1200" s="17" t="str">
        <f>IF(LEN(COUNTIFS($J$1:J1200,$J1200,$K$1:K1200,$K1200,$L$1:L1200,$L1200,$M$1:M1200,M1200,$N$1:N1200,N1200))=1,"00"&amp;COUNTIFS($J$1:J1200,$J1200,$K$1:K1200,$K1200,$L$1:L1200,$L1200,$M$1:M1200,M1200,$N$1:N1200,N1200),IF(LEN(COUNTIFS($J$1:J1200,$J1200,$K$1:K1200,$K1200,$L$1:L1200,$L1200,$M$1:M1200,M1200,$N$1:N1200,N1200))=2,"0"&amp;COUNTIFS($J$1:J1200,$J1200,$K$1:K1200,$K1200,$L$1:L1200,$L1200,$M$1:M1200,M1200,$N$1:N1200,N1200),COUNTIFS($J$1:J1200,$J1200,$K$1:K1200,$K1200,$L$1:L1200,$L1200,$M$1:M1200,M1200,$N$1:N1200,N1200)))</f>
        <v>056</v>
      </c>
      <c r="P120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MS-NS-023-17-00056-INV</v>
      </c>
      <c r="Q1200" s="59"/>
      <c r="R1200" s="34" t="s">
        <v>6886</v>
      </c>
      <c r="S1200" s="34" t="s">
        <v>3679</v>
      </c>
      <c r="T1200" s="34">
        <f>+IFERROR(_xlfn.XLOOKUP(Table43[[#This Row],[Column1]],#REF!,#REF!),0)</f>
        <v>0</v>
      </c>
      <c r="U1200" s="50">
        <f>IFERROR(_xlfn.XLOOKUP(Table43[[#This Row],[Column1]],#REF!,#REF!),0)</f>
        <v>0</v>
      </c>
      <c r="V1200" s="39"/>
    </row>
    <row r="1201" spans="1:22" x14ac:dyDescent="0.35">
      <c r="A1201" s="3" t="s">
        <v>5592</v>
      </c>
      <c r="B1201" s="2" t="s">
        <v>3681</v>
      </c>
      <c r="C1201" s="2" t="s">
        <v>15</v>
      </c>
      <c r="D1201" s="2">
        <v>425</v>
      </c>
      <c r="E1201" s="2" t="s">
        <v>10</v>
      </c>
      <c r="F1201" s="3">
        <v>2</v>
      </c>
      <c r="G1201" s="3">
        <v>4</v>
      </c>
      <c r="H1201" s="2">
        <v>5</v>
      </c>
      <c r="I1201" s="22">
        <f>Table43[[#This Row],[Item Cost]]*Table43[[#This Row],[In Stock]]</f>
        <v>2125</v>
      </c>
      <c r="J1201" s="12" t="s">
        <v>4941</v>
      </c>
      <c r="K1201" s="13" t="s">
        <v>4666</v>
      </c>
      <c r="L1201" s="13" t="s">
        <v>4753</v>
      </c>
      <c r="M1201" s="13" t="s">
        <v>4770</v>
      </c>
      <c r="N1201" s="12" t="s">
        <v>4672</v>
      </c>
      <c r="O1201" s="17" t="str">
        <f>IF(LEN(COUNTIFS($J$1:J1201,$J1201,$K$1:K1201,$K1201,$L$1:L1201,$L1201,$M$1:M1201,M1201,$N$1:N1201,N1201))=1,"00"&amp;COUNTIFS($J$1:J1201,$J1201,$K$1:K1201,$K1201,$L$1:L1201,$L1201,$M$1:M1201,M1201,$N$1:N1201,N1201),IF(LEN(COUNTIFS($J$1:J1201,$J1201,$K$1:K1201,$K1201,$L$1:L1201,$L1201,$M$1:M1201,M1201,$N$1:N1201,N1201))=2,"0"&amp;COUNTIFS($J$1:J1201,$J1201,$K$1:K1201,$K1201,$L$1:L1201,$L1201,$M$1:M1201,M1201,$N$1:N1201,N1201),COUNTIFS($J$1:J1201,$J1201,$K$1:K1201,$K1201,$L$1:L1201,$L1201,$M$1:M1201,M1201,$N$1:N1201,N1201)))</f>
        <v>021</v>
      </c>
      <c r="P120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MS-NS-023-04-00021-INV</v>
      </c>
      <c r="Q1201" s="59"/>
      <c r="R1201" s="34" t="s">
        <v>6887</v>
      </c>
      <c r="S1201" s="34" t="s">
        <v>3681</v>
      </c>
      <c r="T1201" s="34">
        <f>+IFERROR(_xlfn.XLOOKUP(Table43[[#This Row],[Column1]],#REF!,#REF!),0)</f>
        <v>0</v>
      </c>
      <c r="U1201" s="50">
        <f>IFERROR(_xlfn.XLOOKUP(Table43[[#This Row],[Column1]],#REF!,#REF!),0)</f>
        <v>0</v>
      </c>
      <c r="V1201" s="39"/>
    </row>
    <row r="1202" spans="1:22" x14ac:dyDescent="0.35">
      <c r="A1202" s="3" t="s">
        <v>5593</v>
      </c>
      <c r="B1202" s="3" t="s">
        <v>3683</v>
      </c>
      <c r="C1202" s="3" t="s">
        <v>15</v>
      </c>
      <c r="D1202" s="3">
        <v>0</v>
      </c>
      <c r="E1202" s="3" t="s">
        <v>10</v>
      </c>
      <c r="F1202" s="3">
        <v>2</v>
      </c>
      <c r="G1202" s="3">
        <v>4</v>
      </c>
      <c r="H1202" s="3">
        <v>0</v>
      </c>
      <c r="I1202" s="21">
        <f>Table43[[#This Row],[Item Cost]]*Table43[[#This Row],[In Stock]]</f>
        <v>0</v>
      </c>
      <c r="J1202" s="12" t="s">
        <v>4941</v>
      </c>
      <c r="K1202" s="13" t="s">
        <v>4666</v>
      </c>
      <c r="L1202" s="13" t="s">
        <v>4753</v>
      </c>
      <c r="M1202" s="13" t="s">
        <v>4770</v>
      </c>
      <c r="N1202" s="12" t="s">
        <v>4672</v>
      </c>
      <c r="O1202" s="17" t="str">
        <f>IF(LEN(COUNTIFS($J$1:J1202,$J1202,$K$1:K1202,$K1202,$L$1:L1202,$L1202,$M$1:M1202,M1202,$N$1:N1202,N1202))=1,"00"&amp;COUNTIFS($J$1:J1202,$J1202,$K$1:K1202,$K1202,$L$1:L1202,$L1202,$M$1:M1202,M1202,$N$1:N1202,N1202),IF(LEN(COUNTIFS($J$1:J1202,$J1202,$K$1:K1202,$K1202,$L$1:L1202,$L1202,$M$1:M1202,M1202,$N$1:N1202,N1202))=2,"0"&amp;COUNTIFS($J$1:J1202,$J1202,$K$1:K1202,$K1202,$L$1:L1202,$L1202,$M$1:M1202,M1202,$N$1:N1202,N1202),COUNTIFS($J$1:J1202,$J1202,$K$1:K1202,$K1202,$L$1:L1202,$L1202,$M$1:M1202,M1202,$N$1:N1202,N1202)))</f>
        <v>022</v>
      </c>
      <c r="P120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MS-NS-023-04-00022-INV</v>
      </c>
      <c r="Q1202" s="59"/>
      <c r="R1202" s="34" t="s">
        <v>6888</v>
      </c>
      <c r="S1202" s="34" t="s">
        <v>3683</v>
      </c>
      <c r="T1202" s="34">
        <f>+IFERROR(_xlfn.XLOOKUP(Table43[[#This Row],[Column1]],#REF!,#REF!),0)</f>
        <v>0</v>
      </c>
      <c r="U1202" s="50">
        <f>IFERROR(_xlfn.XLOOKUP(Table43[[#This Row],[Column1]],#REF!,#REF!),0)</f>
        <v>0</v>
      </c>
      <c r="V1202" s="39"/>
    </row>
    <row r="1203" spans="1:22" x14ac:dyDescent="0.35">
      <c r="A1203" s="3" t="s">
        <v>5594</v>
      </c>
      <c r="B1203" s="3" t="s">
        <v>3687</v>
      </c>
      <c r="C1203" s="3" t="s">
        <v>15</v>
      </c>
      <c r="D1203" s="3">
        <v>370</v>
      </c>
      <c r="E1203" s="3" t="s">
        <v>10</v>
      </c>
      <c r="F1203" s="3">
        <v>5</v>
      </c>
      <c r="G1203" s="3">
        <v>25</v>
      </c>
      <c r="H1203" s="3">
        <v>0</v>
      </c>
      <c r="I1203" s="21">
        <f>Table43[[#This Row],[Item Cost]]*Table43[[#This Row],[In Stock]]</f>
        <v>0</v>
      </c>
      <c r="J1203" s="12" t="s">
        <v>4941</v>
      </c>
      <c r="K1203" s="13" t="s">
        <v>4666</v>
      </c>
      <c r="L1203" s="13" t="s">
        <v>4753</v>
      </c>
      <c r="M1203" s="13" t="s">
        <v>4859</v>
      </c>
      <c r="N1203" s="12" t="s">
        <v>4672</v>
      </c>
      <c r="O1203" s="17" t="str">
        <f>IF(LEN(COUNTIFS($J$1:J1203,$J1203,$K$1:K1203,$K1203,$L$1:L1203,$L1203,$M$1:M1203,M1203,$N$1:N1203,N1203))=1,"00"&amp;COUNTIFS($J$1:J1203,$J1203,$K$1:K1203,$K1203,$L$1:L1203,$L1203,$M$1:M1203,M1203,$N$1:N1203,N1203),IF(LEN(COUNTIFS($J$1:J1203,$J1203,$K$1:K1203,$K1203,$L$1:L1203,$L1203,$M$1:M1203,M1203,$N$1:N1203,N1203))=2,"0"&amp;COUNTIFS($J$1:J1203,$J1203,$K$1:K1203,$K1203,$L$1:L1203,$L1203,$M$1:M1203,M1203,$N$1:N1203,N1203),COUNTIFS($J$1:J1203,$J1203,$K$1:K1203,$K1203,$L$1:L1203,$L1203,$M$1:M1203,M1203,$N$1:N1203,N1203)))</f>
        <v>030</v>
      </c>
      <c r="P120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MS-NS-023-30-00030-INV</v>
      </c>
      <c r="Q1203" s="59"/>
      <c r="R1203" s="34" t="s">
        <v>6889</v>
      </c>
      <c r="S1203" s="34" t="s">
        <v>3687</v>
      </c>
      <c r="T1203" s="34">
        <f>+IFERROR(_xlfn.XLOOKUP(Table43[[#This Row],[Column1]],#REF!,#REF!),0)</f>
        <v>0</v>
      </c>
      <c r="U1203" s="50">
        <f>IFERROR(_xlfn.XLOOKUP(Table43[[#This Row],[Column1]],#REF!,#REF!),0)</f>
        <v>0</v>
      </c>
      <c r="V1203" s="39"/>
    </row>
    <row r="1204" spans="1:22" x14ac:dyDescent="0.35">
      <c r="A1204" s="3" t="s">
        <v>5595</v>
      </c>
      <c r="B1204" s="2" t="s">
        <v>3689</v>
      </c>
      <c r="C1204" s="2" t="s">
        <v>15</v>
      </c>
      <c r="D1204" s="2">
        <v>190</v>
      </c>
      <c r="E1204" s="2" t="s">
        <v>10</v>
      </c>
      <c r="F1204" s="3">
        <v>5</v>
      </c>
      <c r="G1204" s="3">
        <v>25</v>
      </c>
      <c r="H1204" s="2">
        <v>0</v>
      </c>
      <c r="I1204" s="22">
        <f>Table43[[#This Row],[Item Cost]]*Table43[[#This Row],[In Stock]]</f>
        <v>0</v>
      </c>
      <c r="J1204" s="12" t="s">
        <v>4941</v>
      </c>
      <c r="K1204" s="13" t="s">
        <v>4666</v>
      </c>
      <c r="L1204" s="13" t="s">
        <v>4753</v>
      </c>
      <c r="M1204" s="13" t="s">
        <v>4859</v>
      </c>
      <c r="N1204" s="12" t="s">
        <v>4672</v>
      </c>
      <c r="O1204" s="17" t="str">
        <f>IF(LEN(COUNTIFS($J$1:J1204,$J1204,$K$1:K1204,$K1204,$L$1:L1204,$L1204,$M$1:M1204,M1204,$N$1:N1204,N1204))=1,"00"&amp;COUNTIFS($J$1:J1204,$J1204,$K$1:K1204,$K1204,$L$1:L1204,$L1204,$M$1:M1204,M1204,$N$1:N1204,N1204),IF(LEN(COUNTIFS($J$1:J1204,$J1204,$K$1:K1204,$K1204,$L$1:L1204,$L1204,$M$1:M1204,M1204,$N$1:N1204,N1204))=2,"0"&amp;COUNTIFS($J$1:J1204,$J1204,$K$1:K1204,$K1204,$L$1:L1204,$L1204,$M$1:M1204,M1204,$N$1:N1204,N1204),COUNTIFS($J$1:J1204,$J1204,$K$1:K1204,$K1204,$L$1:L1204,$L1204,$M$1:M1204,M1204,$N$1:N1204,N1204)))</f>
        <v>031</v>
      </c>
      <c r="P120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MS-NS-023-30-00031-INV</v>
      </c>
      <c r="Q1204" s="59"/>
      <c r="R1204" s="34" t="s">
        <v>6890</v>
      </c>
      <c r="S1204" s="34" t="s">
        <v>3689</v>
      </c>
      <c r="T1204" s="34">
        <f>+IFERROR(_xlfn.XLOOKUP(Table43[[#This Row],[Column1]],#REF!,#REF!),0)</f>
        <v>0</v>
      </c>
      <c r="U1204" s="50">
        <f>IFERROR(_xlfn.XLOOKUP(Table43[[#This Row],[Column1]],#REF!,#REF!),0)</f>
        <v>0</v>
      </c>
      <c r="V1204" s="39"/>
    </row>
    <row r="1205" spans="1:22" x14ac:dyDescent="0.35">
      <c r="A1205" s="3" t="s">
        <v>5596</v>
      </c>
      <c r="B1205" s="3" t="s">
        <v>3691</v>
      </c>
      <c r="C1205" s="3" t="s">
        <v>15</v>
      </c>
      <c r="D1205" s="3">
        <v>60</v>
      </c>
      <c r="E1205" s="3" t="s">
        <v>10</v>
      </c>
      <c r="F1205" s="3">
        <v>5</v>
      </c>
      <c r="G1205" s="3">
        <v>25</v>
      </c>
      <c r="H1205" s="3">
        <v>0</v>
      </c>
      <c r="I1205" s="21">
        <f>Table43[[#This Row],[Item Cost]]*Table43[[#This Row],[In Stock]]</f>
        <v>0</v>
      </c>
      <c r="J1205" s="12" t="s">
        <v>4941</v>
      </c>
      <c r="K1205" s="13" t="s">
        <v>4666</v>
      </c>
      <c r="L1205" s="13" t="s">
        <v>4753</v>
      </c>
      <c r="M1205" s="13" t="s">
        <v>4859</v>
      </c>
      <c r="N1205" s="12" t="s">
        <v>4672</v>
      </c>
      <c r="O1205" s="17" t="str">
        <f>IF(LEN(COUNTIFS($J$1:J1205,$J1205,$K$1:K1205,$K1205,$L$1:L1205,$L1205,$M$1:M1205,M1205,$N$1:N1205,N1205))=1,"00"&amp;COUNTIFS($J$1:J1205,$J1205,$K$1:K1205,$K1205,$L$1:L1205,$L1205,$M$1:M1205,M1205,$N$1:N1205,N1205),IF(LEN(COUNTIFS($J$1:J1205,$J1205,$K$1:K1205,$K1205,$L$1:L1205,$L1205,$M$1:M1205,M1205,$N$1:N1205,N1205))=2,"0"&amp;COUNTIFS($J$1:J1205,$J1205,$K$1:K1205,$K1205,$L$1:L1205,$L1205,$M$1:M1205,M1205,$N$1:N1205,N1205),COUNTIFS($J$1:J1205,$J1205,$K$1:K1205,$K1205,$L$1:L1205,$L1205,$M$1:M1205,M1205,$N$1:N1205,N1205)))</f>
        <v>032</v>
      </c>
      <c r="P120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MS-NS-023-30-00032-INV</v>
      </c>
      <c r="Q1205" s="59"/>
      <c r="R1205" s="34" t="s">
        <v>6891</v>
      </c>
      <c r="S1205" s="34" t="s">
        <v>3691</v>
      </c>
      <c r="T1205" s="34">
        <f>+IFERROR(_xlfn.XLOOKUP(Table43[[#This Row],[Column1]],#REF!,#REF!),0)</f>
        <v>0</v>
      </c>
      <c r="U1205" s="50">
        <f>IFERROR(_xlfn.XLOOKUP(Table43[[#This Row],[Column1]],#REF!,#REF!),0)</f>
        <v>0</v>
      </c>
      <c r="V1205" s="39"/>
    </row>
    <row r="1206" spans="1:22" x14ac:dyDescent="0.35">
      <c r="A1206" s="3" t="s">
        <v>5597</v>
      </c>
      <c r="B1206" s="3" t="s">
        <v>3699</v>
      </c>
      <c r="C1206" s="3" t="s">
        <v>15</v>
      </c>
      <c r="D1206" s="3">
        <v>0</v>
      </c>
      <c r="E1206" s="3" t="s">
        <v>10</v>
      </c>
      <c r="F1206" s="3">
        <v>2</v>
      </c>
      <c r="G1206" s="3">
        <v>4</v>
      </c>
      <c r="H1206" s="3">
        <v>0</v>
      </c>
      <c r="I1206" s="21">
        <f>Table43[[#This Row],[Item Cost]]*Table43[[#This Row],[In Stock]]</f>
        <v>0</v>
      </c>
      <c r="J1206" s="12" t="s">
        <v>4941</v>
      </c>
      <c r="K1206" s="13" t="s">
        <v>4666</v>
      </c>
      <c r="L1206" s="13" t="s">
        <v>4753</v>
      </c>
      <c r="M1206" s="13" t="s">
        <v>4770</v>
      </c>
      <c r="N1206" s="12" t="s">
        <v>4672</v>
      </c>
      <c r="O1206" s="17" t="str">
        <f>IF(LEN(COUNTIFS($J$1:J1206,$J1206,$K$1:K1206,$K1206,$L$1:L1206,$L1206,$M$1:M1206,M1206,$N$1:N1206,N1206))=1,"00"&amp;COUNTIFS($J$1:J1206,$J1206,$K$1:K1206,$K1206,$L$1:L1206,$L1206,$M$1:M1206,M1206,$N$1:N1206,N1206),IF(LEN(COUNTIFS($J$1:J1206,$J1206,$K$1:K1206,$K1206,$L$1:L1206,$L1206,$M$1:M1206,M1206,$N$1:N1206,N1206))=2,"0"&amp;COUNTIFS($J$1:J1206,$J1206,$K$1:K1206,$K1206,$L$1:L1206,$L1206,$M$1:M1206,M1206,$N$1:N1206,N1206),COUNTIFS($J$1:J1206,$J1206,$K$1:K1206,$K1206,$L$1:L1206,$L1206,$M$1:M1206,M1206,$N$1:N1206,N1206)))</f>
        <v>023</v>
      </c>
      <c r="P120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MS-NS-023-04-00023-INV</v>
      </c>
      <c r="Q1206" s="59" t="s">
        <v>7386</v>
      </c>
      <c r="R1206" s="34" t="s">
        <v>6892</v>
      </c>
      <c r="S1206" s="34" t="s">
        <v>3699</v>
      </c>
      <c r="T1206" s="34">
        <f>+IFERROR(_xlfn.XLOOKUP(Table43[[#This Row],[Column1]],#REF!,#REF!),0)</f>
        <v>0</v>
      </c>
      <c r="U1206" s="50">
        <f>IFERROR(_xlfn.XLOOKUP(Table43[[#This Row],[Column1]],#REF!,#REF!),0)</f>
        <v>0</v>
      </c>
      <c r="V1206" s="39"/>
    </row>
    <row r="1207" spans="1:22" x14ac:dyDescent="0.35">
      <c r="A1207" s="3" t="s">
        <v>5598</v>
      </c>
      <c r="B1207" s="3" t="s">
        <v>3703</v>
      </c>
      <c r="C1207" s="3" t="s">
        <v>15</v>
      </c>
      <c r="D1207" s="3">
        <v>370</v>
      </c>
      <c r="E1207" s="3" t="s">
        <v>10</v>
      </c>
      <c r="F1207" s="3">
        <v>0</v>
      </c>
      <c r="G1207" s="3">
        <v>100</v>
      </c>
      <c r="H1207" s="3">
        <v>0</v>
      </c>
      <c r="I1207" s="21">
        <f>Table43[[#This Row],[Item Cost]]*Table43[[#This Row],[In Stock]]</f>
        <v>0</v>
      </c>
      <c r="J1207" s="12" t="s">
        <v>4941</v>
      </c>
      <c r="K1207" s="13" t="s">
        <v>4668</v>
      </c>
      <c r="L1207" s="13" t="s">
        <v>4753</v>
      </c>
      <c r="M1207" s="13" t="s">
        <v>4770</v>
      </c>
      <c r="N1207" s="12" t="s">
        <v>4672</v>
      </c>
      <c r="O1207" s="17" t="str">
        <f>IF(LEN(COUNTIFS($J$1:J1207,$J1207,$K$1:K1207,$K1207,$L$1:L1207,$L1207,$M$1:M1207,M1207,$N$1:N1207,N1207))=1,"00"&amp;COUNTIFS($J$1:J1207,$J1207,$K$1:K1207,$K1207,$L$1:L1207,$L1207,$M$1:M1207,M1207,$N$1:N1207,N1207),IF(LEN(COUNTIFS($J$1:J1207,$J1207,$K$1:K1207,$K1207,$L$1:L1207,$L1207,$M$1:M1207,M1207,$N$1:N1207,N1207))=2,"0"&amp;COUNTIFS($J$1:J1207,$J1207,$K$1:K1207,$K1207,$L$1:L1207,$L1207,$M$1:M1207,M1207,$N$1:N1207,N1207),COUNTIFS($J$1:J1207,$J1207,$K$1:K1207,$K1207,$L$1:L1207,$L1207,$M$1:M1207,M1207,$N$1:N1207,N1207)))</f>
        <v>001</v>
      </c>
      <c r="P1207" s="12" t="e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#N/A</v>
      </c>
      <c r="Q1207" s="59" t="s">
        <v>7386</v>
      </c>
      <c r="R1207" s="34"/>
      <c r="S1207" s="34">
        <v>0</v>
      </c>
      <c r="T1207" s="34">
        <f>+IFERROR(_xlfn.XLOOKUP(Table43[[#This Row],[Column1]],#REF!,#REF!),0)</f>
        <v>0</v>
      </c>
      <c r="U1207" s="50">
        <f>IFERROR(_xlfn.XLOOKUP(Table43[[#This Row],[Column1]],#REF!,#REF!),0)</f>
        <v>0</v>
      </c>
      <c r="V1207" s="39"/>
    </row>
    <row r="1208" spans="1:22" x14ac:dyDescent="0.35">
      <c r="A1208" s="3" t="s">
        <v>5599</v>
      </c>
      <c r="B1208" s="2" t="s">
        <v>3705</v>
      </c>
      <c r="C1208" s="2" t="s">
        <v>15</v>
      </c>
      <c r="D1208" s="2">
        <v>0</v>
      </c>
      <c r="E1208" s="2" t="s">
        <v>10</v>
      </c>
      <c r="F1208" s="3">
        <v>2</v>
      </c>
      <c r="G1208" s="3">
        <v>4</v>
      </c>
      <c r="H1208" s="2">
        <v>0</v>
      </c>
      <c r="I1208" s="22">
        <f>Table43[[#This Row],[Item Cost]]*Table43[[#This Row],[In Stock]]</f>
        <v>0</v>
      </c>
      <c r="J1208" s="12" t="s">
        <v>4941</v>
      </c>
      <c r="K1208" s="13" t="s">
        <v>4666</v>
      </c>
      <c r="L1208" s="13" t="s">
        <v>4753</v>
      </c>
      <c r="M1208" s="13" t="s">
        <v>4770</v>
      </c>
      <c r="N1208" s="12" t="s">
        <v>4672</v>
      </c>
      <c r="O1208" s="17" t="str">
        <f>IF(LEN(COUNTIFS($J$1:J1208,$J1208,$K$1:K1208,$K1208,$L$1:L1208,$L1208,$M$1:M1208,M1208,$N$1:N1208,N1208))=1,"00"&amp;COUNTIFS($J$1:J1208,$J1208,$K$1:K1208,$K1208,$L$1:L1208,$L1208,$M$1:M1208,M1208,$N$1:N1208,N1208),IF(LEN(COUNTIFS($J$1:J1208,$J1208,$K$1:K1208,$K1208,$L$1:L1208,$L1208,$M$1:M1208,M1208,$N$1:N1208,N1208))=2,"0"&amp;COUNTIFS($J$1:J1208,$J1208,$K$1:K1208,$K1208,$L$1:L1208,$L1208,$M$1:M1208,M1208,$N$1:N1208,N1208),COUNTIFS($J$1:J1208,$J1208,$K$1:K1208,$K1208,$L$1:L1208,$L1208,$M$1:M1208,M1208,$N$1:N1208,N1208)))</f>
        <v>024</v>
      </c>
      <c r="P120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MS-NS-023-04-00024-INV</v>
      </c>
      <c r="Q1208" s="59" t="s">
        <v>7386</v>
      </c>
      <c r="R1208" s="34" t="s">
        <v>6893</v>
      </c>
      <c r="S1208" s="34" t="s">
        <v>3705</v>
      </c>
      <c r="T1208" s="34">
        <f>+IFERROR(_xlfn.XLOOKUP(Table43[[#This Row],[Column1]],#REF!,#REF!),0)</f>
        <v>0</v>
      </c>
      <c r="U1208" s="50">
        <f>IFERROR(_xlfn.XLOOKUP(Table43[[#This Row],[Column1]],#REF!,#REF!),0)</f>
        <v>0</v>
      </c>
      <c r="V1208" s="39"/>
    </row>
    <row r="1209" spans="1:22" x14ac:dyDescent="0.35">
      <c r="A1209" s="3" t="s">
        <v>5600</v>
      </c>
      <c r="B1209" s="3" t="s">
        <v>3709</v>
      </c>
      <c r="C1209" s="3" t="s">
        <v>15</v>
      </c>
      <c r="D1209" s="3">
        <v>0</v>
      </c>
      <c r="E1209" s="3" t="s">
        <v>10</v>
      </c>
      <c r="F1209" s="3">
        <v>5</v>
      </c>
      <c r="G1209" s="3">
        <v>25</v>
      </c>
      <c r="H1209" s="3">
        <v>0</v>
      </c>
      <c r="I1209" s="21">
        <f>Table43[[#This Row],[Item Cost]]*Table43[[#This Row],[In Stock]]</f>
        <v>0</v>
      </c>
      <c r="J1209" s="12" t="s">
        <v>4941</v>
      </c>
      <c r="K1209" s="13" t="s">
        <v>4666</v>
      </c>
      <c r="L1209" s="13" t="s">
        <v>4753</v>
      </c>
      <c r="M1209" s="13" t="s">
        <v>4834</v>
      </c>
      <c r="N1209" s="12" t="s">
        <v>4672</v>
      </c>
      <c r="O1209" s="17" t="str">
        <f>IF(LEN(COUNTIFS($J$1:J1209,$J1209,$K$1:K1209,$K1209,$L$1:L1209,$L1209,$M$1:M1209,M1209,$N$1:N1209,N1209))=1,"00"&amp;COUNTIFS($J$1:J1209,$J1209,$K$1:K1209,$K1209,$L$1:L1209,$L1209,$M$1:M1209,M1209,$N$1:N1209,N1209),IF(LEN(COUNTIFS($J$1:J1209,$J1209,$K$1:K1209,$K1209,$L$1:L1209,$L1209,$M$1:M1209,M1209,$N$1:N1209,N1209))=2,"0"&amp;COUNTIFS($J$1:J1209,$J1209,$K$1:K1209,$K1209,$L$1:L1209,$L1209,$M$1:M1209,M1209,$N$1:N1209,N1209),COUNTIFS($J$1:J1209,$J1209,$K$1:K1209,$K1209,$L$1:L1209,$L1209,$M$1:M1209,M1209,$N$1:N1209,N1209)))</f>
        <v>057</v>
      </c>
      <c r="P120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MS-NS-023-17-00057-INV</v>
      </c>
      <c r="Q1209" s="59"/>
      <c r="R1209" s="34" t="s">
        <v>6894</v>
      </c>
      <c r="S1209" s="34" t="s">
        <v>3709</v>
      </c>
      <c r="T1209" s="34">
        <f>+IFERROR(_xlfn.XLOOKUP(Table43[[#This Row],[Column1]],#REF!,#REF!),0)</f>
        <v>0</v>
      </c>
      <c r="U1209" s="50">
        <f>IFERROR(_xlfn.XLOOKUP(Table43[[#This Row],[Column1]],#REF!,#REF!),0)</f>
        <v>0</v>
      </c>
      <c r="V1209" s="39"/>
    </row>
    <row r="1210" spans="1:22" x14ac:dyDescent="0.35">
      <c r="A1210" s="3" t="s">
        <v>5601</v>
      </c>
      <c r="B1210" s="2" t="s">
        <v>3711</v>
      </c>
      <c r="C1210" s="2" t="s">
        <v>15</v>
      </c>
      <c r="D1210" s="2">
        <v>0</v>
      </c>
      <c r="E1210" s="2" t="s">
        <v>10</v>
      </c>
      <c r="F1210" s="3">
        <v>5</v>
      </c>
      <c r="G1210" s="3">
        <v>25</v>
      </c>
      <c r="H1210" s="2">
        <v>0</v>
      </c>
      <c r="I1210" s="22">
        <f>Table43[[#This Row],[Item Cost]]*Table43[[#This Row],[In Stock]]</f>
        <v>0</v>
      </c>
      <c r="J1210" s="12" t="s">
        <v>4941</v>
      </c>
      <c r="K1210" s="13" t="s">
        <v>4666</v>
      </c>
      <c r="L1210" s="13" t="s">
        <v>4753</v>
      </c>
      <c r="M1210" s="13" t="s">
        <v>4834</v>
      </c>
      <c r="N1210" s="12" t="s">
        <v>4672</v>
      </c>
      <c r="O1210" s="17" t="str">
        <f>IF(LEN(COUNTIFS($J$1:J1210,$J1210,$K$1:K1210,$K1210,$L$1:L1210,$L1210,$M$1:M1210,M1210,$N$1:N1210,N1210))=1,"00"&amp;COUNTIFS($J$1:J1210,$J1210,$K$1:K1210,$K1210,$L$1:L1210,$L1210,$M$1:M1210,M1210,$N$1:N1210,N1210),IF(LEN(COUNTIFS($J$1:J1210,$J1210,$K$1:K1210,$K1210,$L$1:L1210,$L1210,$M$1:M1210,M1210,$N$1:N1210,N1210))=2,"0"&amp;COUNTIFS($J$1:J1210,$J1210,$K$1:K1210,$K1210,$L$1:L1210,$L1210,$M$1:M1210,M1210,$N$1:N1210,N1210),COUNTIFS($J$1:J1210,$J1210,$K$1:K1210,$K1210,$L$1:L1210,$L1210,$M$1:M1210,M1210,$N$1:N1210,N1210)))</f>
        <v>058</v>
      </c>
      <c r="P121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MS-NS-023-17-00058-INV</v>
      </c>
      <c r="Q1210" s="59"/>
      <c r="R1210" s="34" t="s">
        <v>6895</v>
      </c>
      <c r="S1210" s="34" t="s">
        <v>3711</v>
      </c>
      <c r="T1210" s="34">
        <f>+IFERROR(_xlfn.XLOOKUP(Table43[[#This Row],[Column1]],#REF!,#REF!),0)</f>
        <v>0</v>
      </c>
      <c r="U1210" s="50">
        <f>IFERROR(_xlfn.XLOOKUP(Table43[[#This Row],[Column1]],#REF!,#REF!),0)</f>
        <v>0</v>
      </c>
      <c r="V1210" s="39"/>
    </row>
    <row r="1211" spans="1:22" x14ac:dyDescent="0.35">
      <c r="A1211" s="3" t="s">
        <v>5602</v>
      </c>
      <c r="B1211" s="3" t="s">
        <v>3713</v>
      </c>
      <c r="C1211" s="3" t="s">
        <v>15</v>
      </c>
      <c r="D1211" s="3">
        <v>0</v>
      </c>
      <c r="E1211" s="3" t="s">
        <v>10</v>
      </c>
      <c r="F1211" s="3">
        <v>5</v>
      </c>
      <c r="G1211" s="3">
        <v>25</v>
      </c>
      <c r="H1211" s="3">
        <v>0</v>
      </c>
      <c r="I1211" s="21">
        <f>Table43[[#This Row],[Item Cost]]*Table43[[#This Row],[In Stock]]</f>
        <v>0</v>
      </c>
      <c r="J1211" s="12" t="s">
        <v>4941</v>
      </c>
      <c r="K1211" s="13" t="s">
        <v>4666</v>
      </c>
      <c r="L1211" s="13" t="s">
        <v>4753</v>
      </c>
      <c r="M1211" s="13" t="s">
        <v>4693</v>
      </c>
      <c r="N1211" s="12" t="s">
        <v>4672</v>
      </c>
      <c r="O1211" s="17" t="str">
        <f>IF(LEN(COUNTIFS($J$1:J1211,$J1211,$K$1:K1211,$K1211,$L$1:L1211,$L1211,$M$1:M1211,M1211,$N$1:N1211,N1211))=1,"00"&amp;COUNTIFS($J$1:J1211,$J1211,$K$1:K1211,$K1211,$L$1:L1211,$L1211,$M$1:M1211,M1211,$N$1:N1211,N1211),IF(LEN(COUNTIFS($J$1:J1211,$J1211,$K$1:K1211,$K1211,$L$1:L1211,$L1211,$M$1:M1211,M1211,$N$1:N1211,N1211))=2,"0"&amp;COUNTIFS($J$1:J1211,$J1211,$K$1:K1211,$K1211,$L$1:L1211,$L1211,$M$1:M1211,M1211,$N$1:N1211,N1211),COUNTIFS($J$1:J1211,$J1211,$K$1:K1211,$K1211,$L$1:L1211,$L1211,$M$1:M1211,M1211,$N$1:N1211,N1211)))</f>
        <v>002</v>
      </c>
      <c r="P121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MS-NS-023-23-00002-INV</v>
      </c>
      <c r="Q1211" s="59"/>
      <c r="R1211" s="34" t="s">
        <v>6896</v>
      </c>
      <c r="S1211" s="34" t="s">
        <v>3713</v>
      </c>
      <c r="T1211" s="34">
        <f>+IFERROR(_xlfn.XLOOKUP(Table43[[#This Row],[Column1]],#REF!,#REF!),0)</f>
        <v>0</v>
      </c>
      <c r="U1211" s="50">
        <f>IFERROR(_xlfn.XLOOKUP(Table43[[#This Row],[Column1]],#REF!,#REF!),0)</f>
        <v>0</v>
      </c>
      <c r="V1211" s="39"/>
    </row>
    <row r="1212" spans="1:22" x14ac:dyDescent="0.35">
      <c r="A1212" s="3" t="s">
        <v>5603</v>
      </c>
      <c r="B1212" s="2" t="s">
        <v>3715</v>
      </c>
      <c r="C1212" s="2" t="s">
        <v>15</v>
      </c>
      <c r="D1212" s="2">
        <v>0</v>
      </c>
      <c r="E1212" s="2" t="s">
        <v>10</v>
      </c>
      <c r="F1212" s="3">
        <v>5</v>
      </c>
      <c r="G1212" s="3">
        <v>25</v>
      </c>
      <c r="H1212" s="2">
        <v>0</v>
      </c>
      <c r="I1212" s="22">
        <f>Table43[[#This Row],[Item Cost]]*Table43[[#This Row],[In Stock]]</f>
        <v>0</v>
      </c>
      <c r="J1212" s="12" t="s">
        <v>4941</v>
      </c>
      <c r="K1212" s="13" t="s">
        <v>4666</v>
      </c>
      <c r="L1212" s="13" t="s">
        <v>4753</v>
      </c>
      <c r="M1212" s="13" t="s">
        <v>4859</v>
      </c>
      <c r="N1212" s="12" t="s">
        <v>4672</v>
      </c>
      <c r="O1212" s="17" t="str">
        <f>IF(LEN(COUNTIFS($J$1:J1212,$J1212,$K$1:K1212,$K1212,$L$1:L1212,$L1212,$M$1:M1212,M1212,$N$1:N1212,N1212))=1,"00"&amp;COUNTIFS($J$1:J1212,$J1212,$K$1:K1212,$K1212,$L$1:L1212,$L1212,$M$1:M1212,M1212,$N$1:N1212,N1212),IF(LEN(COUNTIFS($J$1:J1212,$J1212,$K$1:K1212,$K1212,$L$1:L1212,$L1212,$M$1:M1212,M1212,$N$1:N1212,N1212))=2,"0"&amp;COUNTIFS($J$1:J1212,$J1212,$K$1:K1212,$K1212,$L$1:L1212,$L1212,$M$1:M1212,M1212,$N$1:N1212,N1212),COUNTIFS($J$1:J1212,$J1212,$K$1:K1212,$K1212,$L$1:L1212,$L1212,$M$1:M1212,M1212,$N$1:N1212,N1212)))</f>
        <v>033</v>
      </c>
      <c r="P121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MS-NS-023-30-00033-INV</v>
      </c>
      <c r="Q1212" s="59"/>
      <c r="R1212" s="34" t="s">
        <v>6897</v>
      </c>
      <c r="S1212" s="34" t="s">
        <v>3715</v>
      </c>
      <c r="T1212" s="34">
        <f>+IFERROR(_xlfn.XLOOKUP(Table43[[#This Row],[Column1]],#REF!,#REF!),0)</f>
        <v>0</v>
      </c>
      <c r="U1212" s="50">
        <f>IFERROR(_xlfn.XLOOKUP(Table43[[#This Row],[Column1]],#REF!,#REF!),0)</f>
        <v>0</v>
      </c>
      <c r="V1212" s="39"/>
    </row>
    <row r="1213" spans="1:22" x14ac:dyDescent="0.35">
      <c r="A1213" s="3" t="s">
        <v>5604</v>
      </c>
      <c r="B1213" s="3" t="s">
        <v>3717</v>
      </c>
      <c r="C1213" s="3" t="s">
        <v>15</v>
      </c>
      <c r="D1213" s="3">
        <v>0</v>
      </c>
      <c r="E1213" s="3" t="s">
        <v>10</v>
      </c>
      <c r="F1213" s="3">
        <v>5</v>
      </c>
      <c r="G1213" s="3">
        <v>25</v>
      </c>
      <c r="H1213" s="3">
        <v>0</v>
      </c>
      <c r="I1213" s="21">
        <f>Table43[[#This Row],[Item Cost]]*Table43[[#This Row],[In Stock]]</f>
        <v>0</v>
      </c>
      <c r="J1213" s="12" t="s">
        <v>4941</v>
      </c>
      <c r="K1213" s="13" t="s">
        <v>4666</v>
      </c>
      <c r="L1213" s="13" t="s">
        <v>4753</v>
      </c>
      <c r="M1213" s="13" t="s">
        <v>4859</v>
      </c>
      <c r="N1213" s="12" t="s">
        <v>4672</v>
      </c>
      <c r="O1213" s="17" t="str">
        <f>IF(LEN(COUNTIFS($J$1:J1213,$J1213,$K$1:K1213,$K1213,$L$1:L1213,$L1213,$M$1:M1213,M1213,$N$1:N1213,N1213))=1,"00"&amp;COUNTIFS($J$1:J1213,$J1213,$K$1:K1213,$K1213,$L$1:L1213,$L1213,$M$1:M1213,M1213,$N$1:N1213,N1213),IF(LEN(COUNTIFS($J$1:J1213,$J1213,$K$1:K1213,$K1213,$L$1:L1213,$L1213,$M$1:M1213,M1213,$N$1:N1213,N1213))=2,"0"&amp;COUNTIFS($J$1:J1213,$J1213,$K$1:K1213,$K1213,$L$1:L1213,$L1213,$M$1:M1213,M1213,$N$1:N1213,N1213),COUNTIFS($J$1:J1213,$J1213,$K$1:K1213,$K1213,$L$1:L1213,$L1213,$M$1:M1213,M1213,$N$1:N1213,N1213)))</f>
        <v>034</v>
      </c>
      <c r="P121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MS-NS-023-30-00034-INV</v>
      </c>
      <c r="Q1213" s="59"/>
      <c r="R1213" s="34" t="s">
        <v>6898</v>
      </c>
      <c r="S1213" s="34" t="s">
        <v>3717</v>
      </c>
      <c r="T1213" s="34">
        <f>+IFERROR(_xlfn.XLOOKUP(Table43[[#This Row],[Column1]],#REF!,#REF!),0)</f>
        <v>0</v>
      </c>
      <c r="U1213" s="50">
        <f>IFERROR(_xlfn.XLOOKUP(Table43[[#This Row],[Column1]],#REF!,#REF!),0)</f>
        <v>0</v>
      </c>
      <c r="V1213" s="39"/>
    </row>
    <row r="1214" spans="1:22" x14ac:dyDescent="0.35">
      <c r="A1214" s="3" t="s">
        <v>5605</v>
      </c>
      <c r="B1214" s="2" t="s">
        <v>3719</v>
      </c>
      <c r="C1214" s="2" t="s">
        <v>15</v>
      </c>
      <c r="D1214" s="4">
        <v>1300</v>
      </c>
      <c r="E1214" s="2" t="s">
        <v>10</v>
      </c>
      <c r="F1214" s="2">
        <v>1</v>
      </c>
      <c r="G1214" s="2">
        <v>2</v>
      </c>
      <c r="H1214" s="2">
        <v>2</v>
      </c>
      <c r="I1214" s="22">
        <f>Table43[[#This Row],[Item Cost]]*Table43[[#This Row],[In Stock]]</f>
        <v>2600</v>
      </c>
      <c r="J1214" s="12" t="s">
        <v>4941</v>
      </c>
      <c r="K1214" s="13" t="s">
        <v>4666</v>
      </c>
      <c r="L1214" s="13" t="s">
        <v>4753</v>
      </c>
      <c r="M1214" s="13" t="s">
        <v>4770</v>
      </c>
      <c r="N1214" s="12" t="s">
        <v>4672</v>
      </c>
      <c r="O1214" s="17" t="str">
        <f>IF(LEN(COUNTIFS($J$1:J1214,$J1214,$K$1:K1214,$K1214,$L$1:L1214,$L1214,$M$1:M1214,M1214,$N$1:N1214,N1214))=1,"00"&amp;COUNTIFS($J$1:J1214,$J1214,$K$1:K1214,$K1214,$L$1:L1214,$L1214,$M$1:M1214,M1214,$N$1:N1214,N1214),IF(LEN(COUNTIFS($J$1:J1214,$J1214,$K$1:K1214,$K1214,$L$1:L1214,$L1214,$M$1:M1214,M1214,$N$1:N1214,N1214))=2,"0"&amp;COUNTIFS($J$1:J1214,$J1214,$K$1:K1214,$K1214,$L$1:L1214,$L1214,$M$1:M1214,M1214,$N$1:N1214,N1214),COUNTIFS($J$1:J1214,$J1214,$K$1:K1214,$K1214,$L$1:L1214,$L1214,$M$1:M1214,M1214,$N$1:N1214,N1214)))</f>
        <v>025</v>
      </c>
      <c r="P121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MS-NS-023-04-00025-INV</v>
      </c>
      <c r="Q1214" s="59"/>
      <c r="R1214" s="34" t="s">
        <v>6899</v>
      </c>
      <c r="S1214" s="34" t="s">
        <v>3719</v>
      </c>
      <c r="T1214" s="34">
        <f>+IFERROR(_xlfn.XLOOKUP(Table43[[#This Row],[Column1]],#REF!,#REF!),0)</f>
        <v>0</v>
      </c>
      <c r="U1214" s="50">
        <f>IFERROR(_xlfn.XLOOKUP(Table43[[#This Row],[Column1]],#REF!,#REF!),0)</f>
        <v>0</v>
      </c>
      <c r="V1214" s="39"/>
    </row>
    <row r="1215" spans="1:22" x14ac:dyDescent="0.35">
      <c r="A1215" s="3" t="s">
        <v>7280</v>
      </c>
      <c r="B1215" s="3" t="s">
        <v>7261</v>
      </c>
      <c r="C1215" s="2" t="s">
        <v>15</v>
      </c>
      <c r="D1215" s="3">
        <v>0</v>
      </c>
      <c r="E1215" s="3" t="s">
        <v>10</v>
      </c>
      <c r="F1215" s="3">
        <v>5</v>
      </c>
      <c r="G1215" s="3">
        <v>25</v>
      </c>
      <c r="H1215" s="3">
        <v>0</v>
      </c>
      <c r="I1215" s="21">
        <f>Table43[[#This Row],[Item Cost]]*Table43[[#This Row],[In Stock]]</f>
        <v>0</v>
      </c>
      <c r="J1215" s="12" t="s">
        <v>4941</v>
      </c>
      <c r="K1215" s="13" t="s">
        <v>4666</v>
      </c>
      <c r="L1215" s="13" t="s">
        <v>4753</v>
      </c>
      <c r="M1215" s="13" t="s">
        <v>4859</v>
      </c>
      <c r="N1215" s="12" t="s">
        <v>4672</v>
      </c>
      <c r="O1215" s="17" t="str">
        <f>IF(LEN(COUNTIFS($J$1:J1215,$J1215,$K$1:K1215,$K1215,$L$1:L1215,$L1215,$M$1:M1215,M1215,$N$1:N1215,N1215))=1,"00"&amp;COUNTIFS($J$1:J1215,$J1215,$K$1:K1215,$K1215,$L$1:L1215,$L1215,$M$1:M1215,M1215,$N$1:N1215,N1215),IF(LEN(COUNTIFS($J$1:J1215,$J1215,$K$1:K1215,$K1215,$L$1:L1215,$L1215,$M$1:M1215,M1215,$N$1:N1215,N1215))=2,"0"&amp;COUNTIFS($J$1:J1215,$J1215,$K$1:K1215,$K1215,$L$1:L1215,$L1215,$M$1:M1215,M1215,$N$1:N1215,N1215),COUNTIFS($J$1:J1215,$J1215,$K$1:K1215,$K1215,$L$1:L1215,$L1215,$M$1:M1215,M1215,$N$1:N1215,N1215)))</f>
        <v>035</v>
      </c>
      <c r="P121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MS-NS-023-30-00035-INV</v>
      </c>
      <c r="Q1215" s="59" t="s">
        <v>7388</v>
      </c>
      <c r="R1215" s="34"/>
      <c r="S1215" s="34"/>
      <c r="T1215" s="34">
        <f>+IFERROR(_xlfn.XLOOKUP(Table43[[#This Row],[Column1]],#REF!,#REF!),0)</f>
        <v>0</v>
      </c>
      <c r="U1215" s="51">
        <f>IFERROR(_xlfn.XLOOKUP(Table43[[#This Row],[Column1]],#REF!,#REF!),0)</f>
        <v>0</v>
      </c>
      <c r="V1215" s="39"/>
    </row>
    <row r="1216" spans="1:22" x14ac:dyDescent="0.35">
      <c r="A1216" s="3" t="s">
        <v>7289</v>
      </c>
      <c r="B1216" s="3" t="s">
        <v>7290</v>
      </c>
      <c r="C1216" s="2" t="s">
        <v>15</v>
      </c>
      <c r="D1216" s="3">
        <v>0</v>
      </c>
      <c r="E1216" s="3" t="s">
        <v>10</v>
      </c>
      <c r="F1216" s="3">
        <v>5</v>
      </c>
      <c r="G1216" s="3">
        <v>25</v>
      </c>
      <c r="H1216" s="3">
        <v>0</v>
      </c>
      <c r="I1216" s="21">
        <f>Table43[[#This Row],[Item Cost]]*Table43[[#This Row],[In Stock]]</f>
        <v>0</v>
      </c>
      <c r="J1216" s="12" t="s">
        <v>4941</v>
      </c>
      <c r="K1216" s="13" t="s">
        <v>4666</v>
      </c>
      <c r="L1216" s="13" t="s">
        <v>4753</v>
      </c>
      <c r="M1216" s="13" t="s">
        <v>4859</v>
      </c>
      <c r="N1216" s="12" t="s">
        <v>4672</v>
      </c>
      <c r="O1216" s="17" t="str">
        <f>IF(LEN(COUNTIFS($J$1:J1216,$J1216,$K$1:K1216,$K1216,$L$1:L1216,$L1216,$M$1:M1216,M1216,$N$1:N1216,N1216))=1,"00"&amp;COUNTIFS($J$1:J1216,$J1216,$K$1:K1216,$K1216,$L$1:L1216,$L1216,$M$1:M1216,M1216,$N$1:N1216,N1216),IF(LEN(COUNTIFS($J$1:J1216,$J1216,$K$1:K1216,$K1216,$L$1:L1216,$L1216,$M$1:M1216,M1216,$N$1:N1216,N1216))=2,"0"&amp;COUNTIFS($J$1:J1216,$J1216,$K$1:K1216,$K1216,$L$1:L1216,$L1216,$M$1:M1216,M1216,$N$1:N1216,N1216),COUNTIFS($J$1:J1216,$J1216,$K$1:K1216,$K1216,$L$1:L1216,$L1216,$M$1:M1216,M1216,$N$1:N1216,N1216)))</f>
        <v>036</v>
      </c>
      <c r="P121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MS-NS-023-30-00036-INV</v>
      </c>
      <c r="Q1216" s="59" t="s">
        <v>7386</v>
      </c>
      <c r="R1216" s="34"/>
      <c r="S1216" s="34"/>
      <c r="T1216" s="34">
        <f>+IFERROR(_xlfn.XLOOKUP(Table43[[#This Row],[Column1]],#REF!,#REF!),0)</f>
        <v>0</v>
      </c>
      <c r="U1216" s="51">
        <f>IFERROR(_xlfn.XLOOKUP(Table43[[#This Row],[Column1]],#REF!,#REF!),0)</f>
        <v>0</v>
      </c>
      <c r="V1216" s="39"/>
    </row>
    <row r="1217" spans="1:22" x14ac:dyDescent="0.35">
      <c r="A1217" s="3" t="s">
        <v>7309</v>
      </c>
      <c r="B1217" s="3" t="s">
        <v>238</v>
      </c>
      <c r="C1217" s="2" t="s">
        <v>15</v>
      </c>
      <c r="D1217" s="3">
        <v>0</v>
      </c>
      <c r="E1217" s="3" t="s">
        <v>10</v>
      </c>
      <c r="F1217" s="3">
        <v>5</v>
      </c>
      <c r="G1217" s="3">
        <v>25</v>
      </c>
      <c r="H1217" s="3">
        <v>0</v>
      </c>
      <c r="I1217" s="21">
        <f>Table43[[#This Row],[Item Cost]]*Table43[[#This Row],[In Stock]]</f>
        <v>0</v>
      </c>
      <c r="J1217" s="12" t="s">
        <v>4941</v>
      </c>
      <c r="K1217" s="13" t="s">
        <v>4666</v>
      </c>
      <c r="L1217" s="13" t="s">
        <v>4753</v>
      </c>
      <c r="M1217" s="13" t="s">
        <v>4859</v>
      </c>
      <c r="N1217" s="12" t="s">
        <v>4672</v>
      </c>
      <c r="O1217" s="17" t="str">
        <f>IF(LEN(COUNTIFS($J$1:J1217,$J1217,$K$1:K1217,$K1217,$L$1:L1217,$L1217,$M$1:M1217,M1217,$N$1:N1217,N1217))=1,"00"&amp;COUNTIFS($J$1:J1217,$J1217,$K$1:K1217,$K1217,$L$1:L1217,$L1217,$M$1:M1217,M1217,$N$1:N1217,N1217),IF(LEN(COUNTIFS($J$1:J1217,$J1217,$K$1:K1217,$K1217,$L$1:L1217,$L1217,$M$1:M1217,M1217,$N$1:N1217,N1217))=2,"0"&amp;COUNTIFS($J$1:J1217,$J1217,$K$1:K1217,$K1217,$L$1:L1217,$L1217,$M$1:M1217,M1217,$N$1:N1217,N1217),COUNTIFS($J$1:J1217,$J1217,$K$1:K1217,$K1217,$L$1:L1217,$L1217,$M$1:M1217,M1217,$N$1:N1217,N1217)))</f>
        <v>037</v>
      </c>
      <c r="P121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MS-NS-023-30-00037-INV</v>
      </c>
      <c r="Q1217" s="59"/>
      <c r="R1217" s="34"/>
      <c r="S1217" s="34"/>
      <c r="T1217" s="34">
        <f>+IFERROR(_xlfn.XLOOKUP(Table43[[#This Row],[Column1]],#REF!,#REF!),0)</f>
        <v>0</v>
      </c>
      <c r="U1217" s="51">
        <f>IFERROR(_xlfn.XLOOKUP(Table43[[#This Row],[Column1]],#REF!,#REF!),0)</f>
        <v>0</v>
      </c>
      <c r="V1217" s="39"/>
    </row>
    <row r="1218" spans="1:22" x14ac:dyDescent="0.35">
      <c r="A1218" s="3" t="s">
        <v>7310</v>
      </c>
      <c r="B1218" s="3" t="s">
        <v>240</v>
      </c>
      <c r="C1218" s="2" t="s">
        <v>15</v>
      </c>
      <c r="D1218" s="3">
        <v>0</v>
      </c>
      <c r="E1218" s="3" t="s">
        <v>10</v>
      </c>
      <c r="F1218" s="3">
        <v>5</v>
      </c>
      <c r="G1218" s="3">
        <v>25</v>
      </c>
      <c r="H1218" s="3">
        <v>0</v>
      </c>
      <c r="I1218" s="21">
        <f>Table43[[#This Row],[Item Cost]]*Table43[[#This Row],[In Stock]]</f>
        <v>0</v>
      </c>
      <c r="J1218" s="12" t="s">
        <v>4941</v>
      </c>
      <c r="K1218" s="13" t="s">
        <v>4666</v>
      </c>
      <c r="L1218" s="13" t="s">
        <v>4753</v>
      </c>
      <c r="M1218" s="13" t="s">
        <v>4859</v>
      </c>
      <c r="N1218" s="12" t="s">
        <v>4672</v>
      </c>
      <c r="O1218" s="17" t="str">
        <f>IF(LEN(COUNTIFS($J$1:J1218,$J1218,$K$1:K1218,$K1218,$L$1:L1218,$L1218,$M$1:M1218,M1218,$N$1:N1218,N1218))=1,"00"&amp;COUNTIFS($J$1:J1218,$J1218,$K$1:K1218,$K1218,$L$1:L1218,$L1218,$M$1:M1218,M1218,$N$1:N1218,N1218),IF(LEN(COUNTIFS($J$1:J1218,$J1218,$K$1:K1218,$K1218,$L$1:L1218,$L1218,$M$1:M1218,M1218,$N$1:N1218,N1218))=2,"0"&amp;COUNTIFS($J$1:J1218,$J1218,$K$1:K1218,$K1218,$L$1:L1218,$L1218,$M$1:M1218,M1218,$N$1:N1218,N1218),COUNTIFS($J$1:J1218,$J1218,$K$1:K1218,$K1218,$L$1:L1218,$L1218,$M$1:M1218,M1218,$N$1:N1218,N1218)))</f>
        <v>038</v>
      </c>
      <c r="P121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MS-NS-023-30-00038-INV</v>
      </c>
      <c r="Q1218" s="59"/>
      <c r="R1218" s="34"/>
      <c r="S1218" s="34"/>
      <c r="T1218" s="34">
        <f>+IFERROR(_xlfn.XLOOKUP(Table43[[#This Row],[Column1]],#REF!,#REF!),0)</f>
        <v>0</v>
      </c>
      <c r="U1218" s="51">
        <f>IFERROR(_xlfn.XLOOKUP(Table43[[#This Row],[Column1]],#REF!,#REF!),0)</f>
        <v>0</v>
      </c>
      <c r="V1218" s="39"/>
    </row>
    <row r="1219" spans="1:22" x14ac:dyDescent="0.35">
      <c r="A1219" s="3" t="s">
        <v>5134</v>
      </c>
      <c r="B1219" s="44" t="s">
        <v>5137</v>
      </c>
      <c r="C1219" s="3" t="s">
        <v>5606</v>
      </c>
      <c r="D1219" s="3"/>
      <c r="E1219" s="3" t="s">
        <v>10</v>
      </c>
      <c r="F1219" s="2">
        <v>5</v>
      </c>
      <c r="G1219" s="2">
        <v>25</v>
      </c>
      <c r="H1219" s="3"/>
      <c r="I1219" s="21">
        <f>Table43[[#This Row],[Item Cost]]*Table43[[#This Row],[In Stock]]</f>
        <v>0</v>
      </c>
      <c r="J1219" s="12" t="s">
        <v>4932</v>
      </c>
      <c r="K1219" s="13" t="s">
        <v>4664</v>
      </c>
      <c r="L1219" s="13" t="s">
        <v>4672</v>
      </c>
      <c r="M1219" s="13" t="s">
        <v>5152</v>
      </c>
      <c r="N1219" s="12" t="s">
        <v>4672</v>
      </c>
      <c r="O1219" s="17" t="str">
        <f>IF(LEN(COUNTIFS($J$1:J1219,$J1219,$K$1:K1219,$K1219,$L$1:L1219,$L1219,$M$1:M1219,M1219,$N$1:N1219,N1219))=1,"00"&amp;COUNTIFS($J$1:J1219,$J1219,$K$1:K1219,$K1219,$L$1:L1219,$L1219,$M$1:M1219,M1219,$N$1:N1219,N1219),IF(LEN(COUNTIFS($J$1:J1219,$J1219,$K$1:K1219,$K1219,$L$1:L1219,$L1219,$M$1:M1219,M1219,$N$1:N1219,N1219))=2,"0"&amp;COUNTIFS($J$1:J1219,$J1219,$K$1:K1219,$K1219,$L$1:L1219,$L1219,$M$1:M1219,M1219,$N$1:N1219,N1219),COUNTIFS($J$1:J1219,$J1219,$K$1:K1219,$K1219,$L$1:L1219,$L1219,$M$1:M1219,M1219,$N$1:N1219,N1219)))</f>
        <v>071</v>
      </c>
      <c r="P121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ES-CS-000-33-00071-INV</v>
      </c>
      <c r="Q1219" s="59" t="s">
        <v>7389</v>
      </c>
      <c r="R1219" s="34" t="s">
        <v>6900</v>
      </c>
      <c r="S1219" s="34" t="s">
        <v>5137</v>
      </c>
      <c r="T1219" s="34">
        <f>+IFERROR(_xlfn.XLOOKUP(Table43[[#This Row],[Column1]],#REF!,#REF!),0)</f>
        <v>0</v>
      </c>
      <c r="U1219" s="50">
        <f>IFERROR(_xlfn.XLOOKUP(Table43[[#This Row],[Column1]],#REF!,#REF!),0)</f>
        <v>0</v>
      </c>
      <c r="V1219" s="39"/>
    </row>
    <row r="1220" spans="1:22" x14ac:dyDescent="0.35">
      <c r="A1220" s="3" t="s">
        <v>5145</v>
      </c>
      <c r="B1220" s="44" t="s">
        <v>5138</v>
      </c>
      <c r="C1220" s="3" t="s">
        <v>5606</v>
      </c>
      <c r="D1220" s="3"/>
      <c r="E1220" s="3" t="s">
        <v>10</v>
      </c>
      <c r="F1220" s="2">
        <v>5</v>
      </c>
      <c r="G1220" s="2">
        <v>25</v>
      </c>
      <c r="H1220" s="3"/>
      <c r="I1220" s="21">
        <f>Table43[[#This Row],[Item Cost]]*Table43[[#This Row],[In Stock]]</f>
        <v>0</v>
      </c>
      <c r="J1220" s="12" t="s">
        <v>4932</v>
      </c>
      <c r="K1220" s="13" t="s">
        <v>4664</v>
      </c>
      <c r="L1220" s="13" t="s">
        <v>4679</v>
      </c>
      <c r="M1220" s="13" t="s">
        <v>5153</v>
      </c>
      <c r="N1220" s="12" t="s">
        <v>4672</v>
      </c>
      <c r="O1220" s="17" t="str">
        <f>IF(LEN(COUNTIFS($J$1:J1220,$J1220,$K$1:K1220,$K1220,$L$1:L1220,$L1220,$M$1:M1220,M1220,$N$1:N1220,N1220))=1,"00"&amp;COUNTIFS($J$1:J1220,$J1220,$K$1:K1220,$K1220,$L$1:L1220,$L1220,$M$1:M1220,M1220,$N$1:N1220,N1220),IF(LEN(COUNTIFS($J$1:J1220,$J1220,$K$1:K1220,$K1220,$L$1:L1220,$L1220,$M$1:M1220,M1220,$N$1:N1220,N1220))=2,"0"&amp;COUNTIFS($J$1:J1220,$J1220,$K$1:K1220,$K1220,$L$1:L1220,$L1220,$M$1:M1220,M1220,$N$1:N1220,N1220),COUNTIFS($J$1:J1220,$J1220,$K$1:K1220,$K1220,$L$1:L1220,$L1220,$M$1:M1220,M1220,$N$1:N1220,N1220)))</f>
        <v>001</v>
      </c>
      <c r="P122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ES-CS-005-34-00001-INV</v>
      </c>
      <c r="Q1220" s="59"/>
      <c r="R1220" s="34"/>
      <c r="S1220" s="34">
        <v>0</v>
      </c>
      <c r="T1220" s="34">
        <f>+IFERROR(_xlfn.XLOOKUP(Table43[[#This Row],[Column1]],#REF!,#REF!),0)</f>
        <v>0</v>
      </c>
      <c r="U1220" s="50">
        <f>IFERROR(_xlfn.XLOOKUP(Table43[[#This Row],[Column1]],#REF!,#REF!),0)</f>
        <v>0</v>
      </c>
      <c r="V1220" s="39"/>
    </row>
    <row r="1221" spans="1:22" x14ac:dyDescent="0.35">
      <c r="A1221" s="3" t="s">
        <v>5146</v>
      </c>
      <c r="B1221" s="44" t="s">
        <v>5139</v>
      </c>
      <c r="C1221" s="3" t="s">
        <v>5606</v>
      </c>
      <c r="D1221" s="3"/>
      <c r="E1221" s="3" t="s">
        <v>10</v>
      </c>
      <c r="F1221" s="2">
        <v>5</v>
      </c>
      <c r="G1221" s="2">
        <v>25</v>
      </c>
      <c r="H1221" s="3"/>
      <c r="I1221" s="21">
        <f>Table43[[#This Row],[Item Cost]]*Table43[[#This Row],[In Stock]]</f>
        <v>0</v>
      </c>
      <c r="J1221" s="12" t="s">
        <v>4932</v>
      </c>
      <c r="K1221" s="13" t="s">
        <v>4664</v>
      </c>
      <c r="L1221" s="13" t="s">
        <v>4679</v>
      </c>
      <c r="M1221" s="13" t="s">
        <v>5153</v>
      </c>
      <c r="N1221" s="12" t="s">
        <v>4672</v>
      </c>
      <c r="O1221" s="17" t="str">
        <f>IF(LEN(COUNTIFS($J$1:J1221,$J1221,$K$1:K1221,$K1221,$L$1:L1221,$L1221,$M$1:M1221,M1221,$N$1:N1221,N1221))=1,"00"&amp;COUNTIFS($J$1:J1221,$J1221,$K$1:K1221,$K1221,$L$1:L1221,$L1221,$M$1:M1221,M1221,$N$1:N1221,N1221),IF(LEN(COUNTIFS($J$1:J1221,$J1221,$K$1:K1221,$K1221,$L$1:L1221,$L1221,$M$1:M1221,M1221,$N$1:N1221,N1221))=2,"0"&amp;COUNTIFS($J$1:J1221,$J1221,$K$1:K1221,$K1221,$L$1:L1221,$L1221,$M$1:M1221,M1221,$N$1:N1221,N1221),COUNTIFS($J$1:J1221,$J1221,$K$1:K1221,$K1221,$L$1:L1221,$L1221,$M$1:M1221,M1221,$N$1:N1221,N1221)))</f>
        <v>002</v>
      </c>
      <c r="P122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ES-CS-005-34-00002-INV</v>
      </c>
      <c r="Q1221" s="59"/>
      <c r="R1221" s="34" t="s">
        <v>6901</v>
      </c>
      <c r="S1221" s="34" t="s">
        <v>5139</v>
      </c>
      <c r="T1221" s="34">
        <f>+IFERROR(_xlfn.XLOOKUP(Table43[[#This Row],[Column1]],#REF!,#REF!),0)</f>
        <v>0</v>
      </c>
      <c r="U1221" s="50">
        <f>IFERROR(_xlfn.XLOOKUP(Table43[[#This Row],[Column1]],#REF!,#REF!),0)</f>
        <v>0</v>
      </c>
      <c r="V1221" s="39"/>
    </row>
    <row r="1222" spans="1:22" x14ac:dyDescent="0.35">
      <c r="A1222" s="3" t="s">
        <v>5147</v>
      </c>
      <c r="B1222" s="44" t="s">
        <v>5140</v>
      </c>
      <c r="C1222" s="3" t="s">
        <v>5606</v>
      </c>
      <c r="D1222" s="3"/>
      <c r="E1222" s="3" t="s">
        <v>10</v>
      </c>
      <c r="F1222" s="2">
        <v>5</v>
      </c>
      <c r="G1222" s="2">
        <v>25</v>
      </c>
      <c r="H1222" s="3"/>
      <c r="I1222" s="21">
        <f>Table43[[#This Row],[Item Cost]]*Table43[[#This Row],[In Stock]]</f>
        <v>0</v>
      </c>
      <c r="J1222" s="12" t="s">
        <v>4932</v>
      </c>
      <c r="K1222" s="13" t="s">
        <v>4664</v>
      </c>
      <c r="L1222" s="13" t="s">
        <v>4679</v>
      </c>
      <c r="M1222" s="13" t="s">
        <v>5153</v>
      </c>
      <c r="N1222" s="12" t="s">
        <v>4672</v>
      </c>
      <c r="O1222" s="17" t="str">
        <f>IF(LEN(COUNTIFS($J$1:J1222,$J1222,$K$1:K1222,$K1222,$L$1:L1222,$L1222,$M$1:M1222,M1222,$N$1:N1222,N1222))=1,"00"&amp;COUNTIFS($J$1:J1222,$J1222,$K$1:K1222,$K1222,$L$1:L1222,$L1222,$M$1:M1222,M1222,$N$1:N1222,N1222),IF(LEN(COUNTIFS($J$1:J1222,$J1222,$K$1:K1222,$K1222,$L$1:L1222,$L1222,$M$1:M1222,M1222,$N$1:N1222,N1222))=2,"0"&amp;COUNTIFS($J$1:J1222,$J1222,$K$1:K1222,$K1222,$L$1:L1222,$L1222,$M$1:M1222,M1222,$N$1:N1222,N1222),COUNTIFS($J$1:J1222,$J1222,$K$1:K1222,$K1222,$L$1:L1222,$L1222,$M$1:M1222,M1222,$N$1:N1222,N1222)))</f>
        <v>003</v>
      </c>
      <c r="P122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ES-CS-005-34-00003-INV</v>
      </c>
      <c r="Q1222" s="59"/>
      <c r="R1222" s="34" t="s">
        <v>6902</v>
      </c>
      <c r="S1222" s="34" t="s">
        <v>5140</v>
      </c>
      <c r="T1222" s="34">
        <f>+IFERROR(_xlfn.XLOOKUP(Table43[[#This Row],[Column1]],#REF!,#REF!),0)</f>
        <v>0</v>
      </c>
      <c r="U1222" s="50">
        <f>IFERROR(_xlfn.XLOOKUP(Table43[[#This Row],[Column1]],#REF!,#REF!),0)</f>
        <v>0</v>
      </c>
      <c r="V1222" s="39"/>
    </row>
    <row r="1223" spans="1:22" x14ac:dyDescent="0.35">
      <c r="A1223" s="3" t="s">
        <v>5148</v>
      </c>
      <c r="B1223" s="44" t="s">
        <v>5141</v>
      </c>
      <c r="C1223" s="3" t="s">
        <v>5606</v>
      </c>
      <c r="D1223" s="3"/>
      <c r="E1223" s="3" t="s">
        <v>10</v>
      </c>
      <c r="F1223" s="2">
        <v>5</v>
      </c>
      <c r="G1223" s="2">
        <v>25</v>
      </c>
      <c r="H1223" s="3"/>
      <c r="I1223" s="21">
        <f>Table43[[#This Row],[Item Cost]]*Table43[[#This Row],[In Stock]]</f>
        <v>0</v>
      </c>
      <c r="J1223" s="12" t="s">
        <v>4932</v>
      </c>
      <c r="K1223" s="13" t="s">
        <v>4664</v>
      </c>
      <c r="L1223" s="13" t="s">
        <v>4679</v>
      </c>
      <c r="M1223" s="13" t="s">
        <v>5153</v>
      </c>
      <c r="N1223" s="12" t="s">
        <v>4672</v>
      </c>
      <c r="O1223" s="17" t="str">
        <f>IF(LEN(COUNTIFS($J$1:J1223,$J1223,$K$1:K1223,$K1223,$L$1:L1223,$L1223,$M$1:M1223,M1223,$N$1:N1223,N1223))=1,"00"&amp;COUNTIFS($J$1:J1223,$J1223,$K$1:K1223,$K1223,$L$1:L1223,$L1223,$M$1:M1223,M1223,$N$1:N1223,N1223),IF(LEN(COUNTIFS($J$1:J1223,$J1223,$K$1:K1223,$K1223,$L$1:L1223,$L1223,$M$1:M1223,M1223,$N$1:N1223,N1223))=2,"0"&amp;COUNTIFS($J$1:J1223,$J1223,$K$1:K1223,$K1223,$L$1:L1223,$L1223,$M$1:M1223,M1223,$N$1:N1223,N1223),COUNTIFS($J$1:J1223,$J1223,$K$1:K1223,$K1223,$L$1:L1223,$L1223,$M$1:M1223,M1223,$N$1:N1223,N1223)))</f>
        <v>004</v>
      </c>
      <c r="P122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ES-CS-005-34-00004-INV</v>
      </c>
      <c r="Q1223" s="59" t="s">
        <v>7389</v>
      </c>
      <c r="R1223" s="34"/>
      <c r="S1223" s="34">
        <v>0</v>
      </c>
      <c r="T1223" s="34">
        <f>+IFERROR(_xlfn.XLOOKUP(Table43[[#This Row],[Column1]],#REF!,#REF!),0)</f>
        <v>0</v>
      </c>
      <c r="U1223" s="50">
        <f>IFERROR(_xlfn.XLOOKUP(Table43[[#This Row],[Column1]],#REF!,#REF!),0)</f>
        <v>0</v>
      </c>
      <c r="V1223" s="39"/>
    </row>
    <row r="1224" spans="1:22" x14ac:dyDescent="0.35">
      <c r="A1224" s="3" t="s">
        <v>5149</v>
      </c>
      <c r="B1224" s="44" t="s">
        <v>5142</v>
      </c>
      <c r="C1224" s="3" t="s">
        <v>5606</v>
      </c>
      <c r="D1224" s="3"/>
      <c r="E1224" s="3" t="s">
        <v>10</v>
      </c>
      <c r="F1224" s="2">
        <v>5</v>
      </c>
      <c r="G1224" s="2">
        <v>25</v>
      </c>
      <c r="H1224" s="3"/>
      <c r="I1224" s="21">
        <f>Table43[[#This Row],[Item Cost]]*Table43[[#This Row],[In Stock]]</f>
        <v>0</v>
      </c>
      <c r="J1224" s="12" t="s">
        <v>4932</v>
      </c>
      <c r="K1224" s="13" t="s">
        <v>4664</v>
      </c>
      <c r="L1224" s="13" t="s">
        <v>4679</v>
      </c>
      <c r="M1224" s="13" t="s">
        <v>5153</v>
      </c>
      <c r="N1224" s="12" t="s">
        <v>4672</v>
      </c>
      <c r="O1224" s="17" t="str">
        <f>IF(LEN(COUNTIFS($J$1:J1224,$J1224,$K$1:K1224,$K1224,$L$1:L1224,$L1224,$M$1:M1224,M1224,$N$1:N1224,N1224))=1,"00"&amp;COUNTIFS($J$1:J1224,$J1224,$K$1:K1224,$K1224,$L$1:L1224,$L1224,$M$1:M1224,M1224,$N$1:N1224,N1224),IF(LEN(COUNTIFS($J$1:J1224,$J1224,$K$1:K1224,$K1224,$L$1:L1224,$L1224,$M$1:M1224,M1224,$N$1:N1224,N1224))=2,"0"&amp;COUNTIFS($J$1:J1224,$J1224,$K$1:K1224,$K1224,$L$1:L1224,$L1224,$M$1:M1224,M1224,$N$1:N1224,N1224),COUNTIFS($J$1:J1224,$J1224,$K$1:K1224,$K1224,$L$1:L1224,$L1224,$M$1:M1224,M1224,$N$1:N1224,N1224)))</f>
        <v>005</v>
      </c>
      <c r="P122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ES-CS-005-34-00005-INV</v>
      </c>
      <c r="Q1224" s="59"/>
      <c r="R1224" s="34" t="s">
        <v>6903</v>
      </c>
      <c r="S1224" s="34" t="s">
        <v>5142</v>
      </c>
      <c r="T1224" s="34">
        <f>+IFERROR(_xlfn.XLOOKUP(Table43[[#This Row],[Column1]],#REF!,#REF!),0)</f>
        <v>0</v>
      </c>
      <c r="U1224" s="50">
        <f>IFERROR(_xlfn.XLOOKUP(Table43[[#This Row],[Column1]],#REF!,#REF!),0)</f>
        <v>0</v>
      </c>
      <c r="V1224" s="39"/>
    </row>
    <row r="1225" spans="1:22" x14ac:dyDescent="0.35">
      <c r="A1225" s="3" t="s">
        <v>5150</v>
      </c>
      <c r="B1225" s="44" t="s">
        <v>5143</v>
      </c>
      <c r="C1225" s="3" t="s">
        <v>5606</v>
      </c>
      <c r="D1225" s="3"/>
      <c r="E1225" s="3" t="s">
        <v>10</v>
      </c>
      <c r="F1225" s="2">
        <v>5</v>
      </c>
      <c r="G1225" s="2">
        <v>25</v>
      </c>
      <c r="H1225" s="3"/>
      <c r="I1225" s="21">
        <f>Table43[[#This Row],[Item Cost]]*Table43[[#This Row],[In Stock]]</f>
        <v>0</v>
      </c>
      <c r="J1225" s="12" t="s">
        <v>4932</v>
      </c>
      <c r="K1225" s="13" t="s">
        <v>4664</v>
      </c>
      <c r="L1225" s="13" t="s">
        <v>4679</v>
      </c>
      <c r="M1225" s="13" t="s">
        <v>5153</v>
      </c>
      <c r="N1225" s="12" t="s">
        <v>4672</v>
      </c>
      <c r="O1225" s="17" t="str">
        <f>IF(LEN(COUNTIFS($J$1:J1225,$J1225,$K$1:K1225,$K1225,$L$1:L1225,$L1225,$M$1:M1225,M1225,$N$1:N1225,N1225))=1,"00"&amp;COUNTIFS($J$1:J1225,$J1225,$K$1:K1225,$K1225,$L$1:L1225,$L1225,$M$1:M1225,M1225,$N$1:N1225,N1225),IF(LEN(COUNTIFS($J$1:J1225,$J1225,$K$1:K1225,$K1225,$L$1:L1225,$L1225,$M$1:M1225,M1225,$N$1:N1225,N1225))=2,"0"&amp;COUNTIFS($J$1:J1225,$J1225,$K$1:K1225,$K1225,$L$1:L1225,$L1225,$M$1:M1225,M1225,$N$1:N1225,N1225),COUNTIFS($J$1:J1225,$J1225,$K$1:K1225,$K1225,$L$1:L1225,$L1225,$M$1:M1225,M1225,$N$1:N1225,N1225)))</f>
        <v>006</v>
      </c>
      <c r="P122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ES-CS-005-34-00006-INV</v>
      </c>
      <c r="Q1225" s="59"/>
      <c r="R1225" s="34"/>
      <c r="S1225" s="34">
        <v>0</v>
      </c>
      <c r="T1225" s="34">
        <f>+IFERROR(_xlfn.XLOOKUP(Table43[[#This Row],[Column1]],#REF!,#REF!),0)</f>
        <v>0</v>
      </c>
      <c r="U1225" s="50">
        <f>IFERROR(_xlfn.XLOOKUP(Table43[[#This Row],[Column1]],#REF!,#REF!),0)</f>
        <v>0</v>
      </c>
      <c r="V1225" s="39"/>
    </row>
    <row r="1226" spans="1:22" x14ac:dyDescent="0.35">
      <c r="A1226" s="3" t="s">
        <v>5151</v>
      </c>
      <c r="B1226" s="44" t="s">
        <v>5144</v>
      </c>
      <c r="C1226" s="3" t="s">
        <v>5606</v>
      </c>
      <c r="D1226" s="3"/>
      <c r="E1226" s="3" t="s">
        <v>10</v>
      </c>
      <c r="F1226" s="2">
        <v>5</v>
      </c>
      <c r="G1226" s="2">
        <v>25</v>
      </c>
      <c r="H1226" s="3"/>
      <c r="I1226" s="21">
        <f>Table43[[#This Row],[Item Cost]]*Table43[[#This Row],[In Stock]]</f>
        <v>0</v>
      </c>
      <c r="J1226" s="12" t="s">
        <v>4932</v>
      </c>
      <c r="K1226" s="13" t="s">
        <v>4664</v>
      </c>
      <c r="L1226" s="13" t="s">
        <v>4679</v>
      </c>
      <c r="M1226" s="13" t="s">
        <v>5153</v>
      </c>
      <c r="N1226" s="12" t="s">
        <v>4672</v>
      </c>
      <c r="O1226" s="17" t="str">
        <f>IF(LEN(COUNTIFS($J$1:J1347,$J1226,$K$1:K1347,$K1226,$L$1:L1347,$L1226,$M$1:M1347,M1226,$N$1:N1347,N1226))=1,"00"&amp;COUNTIFS($J$1:J1347,$J1226,$K$1:K1347,$K1226,$L$1:L1347,$L1226,$M$1:M1347,M1226,$N$1:N1347,N1226),IF(LEN(COUNTIFS($J$1:J1347,$J1226,$K$1:K1347,$K1226,$L$1:L1347,$L1226,$M$1:M1347,M1226,$N$1:N1347,N1226))=2,"0"&amp;COUNTIFS($J$1:J1347,$J1226,$K$1:K1347,$K1226,$L$1:L1347,$L1226,$M$1:M1347,M1226,$N$1:N1347,N1226),COUNTIFS($J$1:J1347,$J1226,$K$1:K1347,$K1226,$L$1:L1347,$L1226,$M$1:M1347,M1226,$N$1:N1347,N1226)))</f>
        <v>008</v>
      </c>
      <c r="P122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ES-CS-005-34-00008-INV</v>
      </c>
      <c r="Q1226" s="59"/>
      <c r="R1226" s="34" t="s">
        <v>6904</v>
      </c>
      <c r="S1226" s="34" t="s">
        <v>5144</v>
      </c>
      <c r="T1226" s="34">
        <f>+IFERROR(_xlfn.XLOOKUP(Table43[[#This Row],[Column1]],#REF!,#REF!),0)</f>
        <v>0</v>
      </c>
      <c r="U1226" s="50">
        <f>IFERROR(_xlfn.XLOOKUP(Table43[[#This Row],[Column1]],#REF!,#REF!),0)</f>
        <v>0</v>
      </c>
      <c r="V1226" s="39"/>
    </row>
    <row r="1227" spans="1:22" x14ac:dyDescent="0.35">
      <c r="A1227" s="3" t="s">
        <v>7304</v>
      </c>
      <c r="B1227" s="3" t="s">
        <v>7305</v>
      </c>
      <c r="C1227" s="3" t="s">
        <v>5606</v>
      </c>
      <c r="D1227" s="3"/>
      <c r="E1227" s="3" t="s">
        <v>10</v>
      </c>
      <c r="F1227" s="2">
        <v>5</v>
      </c>
      <c r="G1227" s="2">
        <v>25</v>
      </c>
      <c r="H1227" s="3"/>
      <c r="I1227" s="21">
        <f>Table43[[#This Row],[Item Cost]]*Table43[[#This Row],[In Stock]]</f>
        <v>0</v>
      </c>
      <c r="J1227" s="12" t="s">
        <v>4932</v>
      </c>
      <c r="K1227" s="13" t="s">
        <v>4664</v>
      </c>
      <c r="L1227" s="13" t="s">
        <v>4679</v>
      </c>
      <c r="M1227" s="13" t="s">
        <v>5153</v>
      </c>
      <c r="N1227" s="12" t="s">
        <v>4672</v>
      </c>
      <c r="O1227" s="17" t="str">
        <f>IF(LEN(COUNTIFS($J$1:J1227,$J1227,$K$1:K1227,$K1227,$L$1:L1227,$L1227,$M$1:M1227,M1227,$N$1:N1227,N1227))=1,"00"&amp;COUNTIFS($J$1:J1227,$J1227,$K$1:K1227,$K1227,$L$1:L1227,$L1227,$M$1:M1227,M1227,$N$1:N1227,N1227),IF(LEN(COUNTIFS($J$1:J1227,$J1227,$K$1:K1227,$K1227,$L$1:L1227,$L1227,$M$1:M1227,M1227,$N$1:N1227,N1227))=2,"0"&amp;COUNTIFS($J$1:J1227,$J1227,$K$1:K1227,$K1227,$L$1:L1227,$L1227,$M$1:M1227,M1227,$N$1:N1227,N1227),COUNTIFS($J$1:J1227,$J1227,$K$1:K1227,$K1227,$L$1:L1227,$L1227,$M$1:M1227,M1227,$N$1:N1227,N1227)))</f>
        <v>008</v>
      </c>
      <c r="P122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ES-CS-005-34-00008-INV</v>
      </c>
      <c r="Q1227" s="34"/>
      <c r="R1227" s="34"/>
      <c r="S1227" s="34"/>
      <c r="T1227" s="34">
        <f>+IFERROR(_xlfn.XLOOKUP(Table43[[#This Row],[Column1]],#REF!,#REF!),0)</f>
        <v>0</v>
      </c>
      <c r="U1227" s="51">
        <f>IFERROR(_xlfn.XLOOKUP(Table43[[#This Row],[Column1]],#REF!,#REF!),0)</f>
        <v>0</v>
      </c>
      <c r="V1227" s="39"/>
    </row>
    <row r="1228" spans="1:22" x14ac:dyDescent="0.35">
      <c r="A1228" s="3" t="s">
        <v>5607</v>
      </c>
      <c r="B1228" s="3" t="s">
        <v>4903</v>
      </c>
      <c r="C1228" s="3" t="s">
        <v>15</v>
      </c>
      <c r="D1228" s="3"/>
      <c r="E1228" s="3" t="s">
        <v>10</v>
      </c>
      <c r="F1228" s="2">
        <v>0</v>
      </c>
      <c r="G1228" s="2">
        <v>10</v>
      </c>
      <c r="H1228" s="3">
        <v>0</v>
      </c>
      <c r="I1228" s="21">
        <f>Table43[[#This Row],[Item Cost]]*Table43[[#This Row],[In Stock]]</f>
        <v>0</v>
      </c>
      <c r="J1228" s="12" t="s">
        <v>4941</v>
      </c>
      <c r="K1228" s="13" t="s">
        <v>4666</v>
      </c>
      <c r="L1228" s="13" t="s">
        <v>4672</v>
      </c>
      <c r="M1228" s="13" t="s">
        <v>4672</v>
      </c>
      <c r="N1228" s="12" t="s">
        <v>4672</v>
      </c>
      <c r="O1228" s="17" t="str">
        <f>IF(LEN(COUNTIFS($J$1:J1228,$J1228,$K$1:K1228,$K1228,$L$1:L1228,$L1228,$M$1:M1228,M1228,$N$1:N1228,N1228))=1,"00"&amp;COUNTIFS($J$1:J1228,$J1228,$K$1:K1228,$K1228,$L$1:L1228,$L1228,$M$1:M1228,M1228,$N$1:N1228,N1228),IF(LEN(COUNTIFS($J$1:J1228,$J1228,$K$1:K1228,$K1228,$L$1:L1228,$L1228,$M$1:M1228,M1228,$N$1:N1228,N1228))=2,"0"&amp;COUNTIFS($J$1:J1228,$J1228,$K$1:K1228,$K1228,$L$1:L1228,$L1228,$M$1:M1228,M1228,$N$1:N1228,N1228),COUNTIFS($J$1:J1228,$J1228,$K$1:K1228,$K1228,$L$1:L1228,$L1228,$M$1:M1228,M1228,$N$1:N1228,N1228)))</f>
        <v>003</v>
      </c>
      <c r="P122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MS-NS-000-00-00003-INV</v>
      </c>
      <c r="Q1228" s="34"/>
      <c r="R1228" s="34" t="s">
        <v>6905</v>
      </c>
      <c r="S1228" s="34" t="s">
        <v>4903</v>
      </c>
      <c r="T1228" s="34">
        <f>+IFERROR(_xlfn.XLOOKUP(Table43[[#This Row],[Column1]],#REF!,#REF!),0)</f>
        <v>0</v>
      </c>
      <c r="U1228" s="50">
        <f>IFERROR(_xlfn.XLOOKUP(Table43[[#This Row],[Column1]],#REF!,#REF!),0)</f>
        <v>0</v>
      </c>
      <c r="V1228" s="39"/>
    </row>
    <row r="1229" spans="1:22" x14ac:dyDescent="0.35">
      <c r="A1229" s="3" t="s">
        <v>4918</v>
      </c>
      <c r="B1229" s="3" t="s">
        <v>4904</v>
      </c>
      <c r="C1229" s="3" t="s">
        <v>15</v>
      </c>
      <c r="D1229" s="3"/>
      <c r="E1229" s="3" t="s">
        <v>10</v>
      </c>
      <c r="F1229" s="2">
        <v>0</v>
      </c>
      <c r="G1229" s="2">
        <v>10</v>
      </c>
      <c r="H1229" s="3">
        <v>0</v>
      </c>
      <c r="I1229" s="21">
        <f>Table43[[#This Row],[Item Cost]]*Table43[[#This Row],[In Stock]]</f>
        <v>0</v>
      </c>
      <c r="J1229" s="12" t="s">
        <v>4941</v>
      </c>
      <c r="K1229" s="13" t="s">
        <v>4666</v>
      </c>
      <c r="L1229" s="13" t="s">
        <v>4672</v>
      </c>
      <c r="M1229" s="13" t="s">
        <v>4672</v>
      </c>
      <c r="N1229" s="12" t="s">
        <v>4672</v>
      </c>
      <c r="O1229" s="17" t="str">
        <f>IF(LEN(COUNTIFS($J$1:J1229,$J1229,$K$1:K1229,$K1229,$L$1:L1229,$L1229,$M$1:M1229,M1229,$N$1:N1229,N1229))=1,"00"&amp;COUNTIFS($J$1:J1229,$J1229,$K$1:K1229,$K1229,$L$1:L1229,$L1229,$M$1:M1229,M1229,$N$1:N1229,N1229),IF(LEN(COUNTIFS($J$1:J1229,$J1229,$K$1:K1229,$K1229,$L$1:L1229,$L1229,$M$1:M1229,M1229,$N$1:N1229,N1229))=2,"0"&amp;COUNTIFS($J$1:J1229,$J1229,$K$1:K1229,$K1229,$L$1:L1229,$L1229,$M$1:M1229,M1229,$N$1:N1229,N1229),COUNTIFS($J$1:J1229,$J1229,$K$1:K1229,$K1229,$L$1:L1229,$L1229,$M$1:M1229,M1229,$N$1:N1229,N1229)))</f>
        <v>004</v>
      </c>
      <c r="P122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MS-NS-000-00-00004-INV</v>
      </c>
      <c r="Q1229" s="34"/>
      <c r="R1229" s="34" t="s">
        <v>6906</v>
      </c>
      <c r="S1229" s="34" t="s">
        <v>4904</v>
      </c>
      <c r="T1229" s="34">
        <f>+IFERROR(_xlfn.XLOOKUP(Table43[[#This Row],[Column1]],#REF!,#REF!),0)</f>
        <v>0</v>
      </c>
      <c r="U1229" s="50">
        <f>IFERROR(_xlfn.XLOOKUP(Table43[[#This Row],[Column1]],#REF!,#REF!),0)</f>
        <v>0</v>
      </c>
      <c r="V1229" s="39"/>
    </row>
    <row r="1230" spans="1:22" x14ac:dyDescent="0.35">
      <c r="A1230" s="3" t="s">
        <v>4919</v>
      </c>
      <c r="B1230" s="3" t="s">
        <v>4905</v>
      </c>
      <c r="C1230" s="3" t="s">
        <v>15</v>
      </c>
      <c r="D1230" s="3"/>
      <c r="E1230" s="3" t="s">
        <v>10</v>
      </c>
      <c r="F1230" s="2">
        <v>0</v>
      </c>
      <c r="G1230" s="2">
        <v>10</v>
      </c>
      <c r="H1230" s="3">
        <v>0</v>
      </c>
      <c r="I1230" s="21">
        <f>Table43[[#This Row],[Item Cost]]*Table43[[#This Row],[In Stock]]</f>
        <v>0</v>
      </c>
      <c r="J1230" s="12" t="s">
        <v>4941</v>
      </c>
      <c r="K1230" s="13" t="s">
        <v>4666</v>
      </c>
      <c r="L1230" s="13" t="s">
        <v>4672</v>
      </c>
      <c r="M1230" s="13" t="s">
        <v>4672</v>
      </c>
      <c r="N1230" s="12" t="s">
        <v>4672</v>
      </c>
      <c r="O1230" s="17" t="str">
        <f>IF(LEN(COUNTIFS($J$1:J1230,$J1230,$K$1:K1230,$K1230,$L$1:L1230,$L1230,$M$1:M1230,M1230,$N$1:N1230,N1230))=1,"00"&amp;COUNTIFS($J$1:J1230,$J1230,$K$1:K1230,$K1230,$L$1:L1230,$L1230,$M$1:M1230,M1230,$N$1:N1230,N1230),IF(LEN(COUNTIFS($J$1:J1230,$J1230,$K$1:K1230,$K1230,$L$1:L1230,$L1230,$M$1:M1230,M1230,$N$1:N1230,N1230))=2,"0"&amp;COUNTIFS($J$1:J1230,$J1230,$K$1:K1230,$K1230,$L$1:L1230,$L1230,$M$1:M1230,M1230,$N$1:N1230,N1230),COUNTIFS($J$1:J1230,$J1230,$K$1:K1230,$K1230,$L$1:L1230,$L1230,$M$1:M1230,M1230,$N$1:N1230,N1230)))</f>
        <v>005</v>
      </c>
      <c r="P123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MS-NS-000-00-00005-INV</v>
      </c>
      <c r="Q1230" s="34"/>
      <c r="R1230" s="34" t="s">
        <v>6907</v>
      </c>
      <c r="S1230" s="34" t="s">
        <v>4905</v>
      </c>
      <c r="T1230" s="34">
        <f>+IFERROR(_xlfn.XLOOKUP(Table43[[#This Row],[Column1]],#REF!,#REF!),0)</f>
        <v>0</v>
      </c>
      <c r="U1230" s="50">
        <f>IFERROR(_xlfn.XLOOKUP(Table43[[#This Row],[Column1]],#REF!,#REF!),0)</f>
        <v>0</v>
      </c>
      <c r="V1230" s="39"/>
    </row>
    <row r="1231" spans="1:22" x14ac:dyDescent="0.35">
      <c r="A1231" s="3" t="s">
        <v>4920</v>
      </c>
      <c r="B1231" s="3" t="s">
        <v>4906</v>
      </c>
      <c r="C1231" s="3" t="s">
        <v>15</v>
      </c>
      <c r="D1231" s="3"/>
      <c r="E1231" s="3" t="s">
        <v>10</v>
      </c>
      <c r="F1231" s="2">
        <v>0</v>
      </c>
      <c r="G1231" s="2">
        <v>10</v>
      </c>
      <c r="H1231" s="3">
        <v>0</v>
      </c>
      <c r="I1231" s="21">
        <f>Table43[[#This Row],[Item Cost]]*Table43[[#This Row],[In Stock]]</f>
        <v>0</v>
      </c>
      <c r="J1231" s="12" t="s">
        <v>4941</v>
      </c>
      <c r="K1231" s="13" t="s">
        <v>4666</v>
      </c>
      <c r="L1231" s="13" t="s">
        <v>4672</v>
      </c>
      <c r="M1231" s="13" t="s">
        <v>4672</v>
      </c>
      <c r="N1231" s="12" t="s">
        <v>4672</v>
      </c>
      <c r="O1231" s="17" t="str">
        <f>IF(LEN(COUNTIFS($J$1:J1231,$J1231,$K$1:K1231,$K1231,$L$1:L1231,$L1231,$M$1:M1231,M1231,$N$1:N1231,N1231))=1,"00"&amp;COUNTIFS($J$1:J1231,$J1231,$K$1:K1231,$K1231,$L$1:L1231,$L1231,$M$1:M1231,M1231,$N$1:N1231,N1231),IF(LEN(COUNTIFS($J$1:J1231,$J1231,$K$1:K1231,$K1231,$L$1:L1231,$L1231,$M$1:M1231,M1231,$N$1:N1231,N1231))=2,"0"&amp;COUNTIFS($J$1:J1231,$J1231,$K$1:K1231,$K1231,$L$1:L1231,$L1231,$M$1:M1231,M1231,$N$1:N1231,N1231),COUNTIFS($J$1:J1231,$J1231,$K$1:K1231,$K1231,$L$1:L1231,$L1231,$M$1:M1231,M1231,$N$1:N1231,N1231)))</f>
        <v>006</v>
      </c>
      <c r="P123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MS-NS-000-00-00006-INV</v>
      </c>
      <c r="Q1231" s="34"/>
      <c r="R1231" s="34" t="s">
        <v>6908</v>
      </c>
      <c r="S1231" s="34" t="s">
        <v>4906</v>
      </c>
      <c r="T1231" s="34">
        <f>+IFERROR(_xlfn.XLOOKUP(Table43[[#This Row],[Column1]],#REF!,#REF!),0)</f>
        <v>0</v>
      </c>
      <c r="U1231" s="50">
        <f>IFERROR(_xlfn.XLOOKUP(Table43[[#This Row],[Column1]],#REF!,#REF!),0)</f>
        <v>0</v>
      </c>
      <c r="V1231" s="39"/>
    </row>
    <row r="1232" spans="1:22" x14ac:dyDescent="0.35">
      <c r="A1232" s="3" t="s">
        <v>4921</v>
      </c>
      <c r="B1232" s="3" t="s">
        <v>4907</v>
      </c>
      <c r="C1232" s="3" t="s">
        <v>15</v>
      </c>
      <c r="D1232" s="3"/>
      <c r="E1232" s="3" t="s">
        <v>10</v>
      </c>
      <c r="F1232" s="2">
        <v>0</v>
      </c>
      <c r="G1232" s="2">
        <v>10</v>
      </c>
      <c r="H1232" s="3">
        <v>0</v>
      </c>
      <c r="I1232" s="21">
        <f>Table43[[#This Row],[Item Cost]]*Table43[[#This Row],[In Stock]]</f>
        <v>0</v>
      </c>
      <c r="J1232" s="12" t="s">
        <v>4941</v>
      </c>
      <c r="K1232" s="13" t="s">
        <v>4666</v>
      </c>
      <c r="L1232" s="13" t="s">
        <v>4672</v>
      </c>
      <c r="M1232" s="13" t="s">
        <v>4672</v>
      </c>
      <c r="N1232" s="12" t="s">
        <v>4672</v>
      </c>
      <c r="O1232" s="17" t="str">
        <f>IF(LEN(COUNTIFS($J$1:J1232,$J1232,$K$1:K1232,$K1232,$L$1:L1232,$L1232,$M$1:M1232,M1232,$N$1:N1232,N1232))=1,"00"&amp;COUNTIFS($J$1:J1232,$J1232,$K$1:K1232,$K1232,$L$1:L1232,$L1232,$M$1:M1232,M1232,$N$1:N1232,N1232),IF(LEN(COUNTIFS($J$1:J1232,$J1232,$K$1:K1232,$K1232,$L$1:L1232,$L1232,$M$1:M1232,M1232,$N$1:N1232,N1232))=2,"0"&amp;COUNTIFS($J$1:J1232,$J1232,$K$1:K1232,$K1232,$L$1:L1232,$L1232,$M$1:M1232,M1232,$N$1:N1232,N1232),COUNTIFS($J$1:J1232,$J1232,$K$1:K1232,$K1232,$L$1:L1232,$L1232,$M$1:M1232,M1232,$N$1:N1232,N1232)))</f>
        <v>007</v>
      </c>
      <c r="P123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MS-NS-000-00-00007-INV</v>
      </c>
      <c r="Q1232" s="34"/>
      <c r="R1232" s="34" t="s">
        <v>6909</v>
      </c>
      <c r="S1232" s="34" t="s">
        <v>4907</v>
      </c>
      <c r="T1232" s="34">
        <f>+IFERROR(_xlfn.XLOOKUP(Table43[[#This Row],[Column1]],#REF!,#REF!),0)</f>
        <v>0</v>
      </c>
      <c r="U1232" s="50">
        <f>IFERROR(_xlfn.XLOOKUP(Table43[[#This Row],[Column1]],#REF!,#REF!),0)</f>
        <v>0</v>
      </c>
      <c r="V1232" s="39"/>
    </row>
    <row r="1233" spans="1:22" x14ac:dyDescent="0.35">
      <c r="A1233" s="3" t="s">
        <v>4922</v>
      </c>
      <c r="B1233" s="3" t="s">
        <v>4908</v>
      </c>
      <c r="C1233" s="3" t="s">
        <v>15</v>
      </c>
      <c r="D1233" s="3"/>
      <c r="E1233" s="3" t="s">
        <v>10</v>
      </c>
      <c r="F1233" s="2">
        <v>0</v>
      </c>
      <c r="G1233" s="2">
        <v>10</v>
      </c>
      <c r="H1233" s="3">
        <v>0</v>
      </c>
      <c r="I1233" s="21">
        <f>Table43[[#This Row],[Item Cost]]*Table43[[#This Row],[In Stock]]</f>
        <v>0</v>
      </c>
      <c r="J1233" s="12" t="s">
        <v>4941</v>
      </c>
      <c r="K1233" s="13" t="s">
        <v>4666</v>
      </c>
      <c r="L1233" s="13" t="s">
        <v>4672</v>
      </c>
      <c r="M1233" s="13" t="s">
        <v>4672</v>
      </c>
      <c r="N1233" s="12" t="s">
        <v>4672</v>
      </c>
      <c r="O1233" s="17" t="str">
        <f>IF(LEN(COUNTIFS($J$1:J1233,$J1233,$K$1:K1233,$K1233,$L$1:L1233,$L1233,$M$1:M1233,M1233,$N$1:N1233,N1233))=1,"00"&amp;COUNTIFS($J$1:J1233,$J1233,$K$1:K1233,$K1233,$L$1:L1233,$L1233,$M$1:M1233,M1233,$N$1:N1233,N1233),IF(LEN(COUNTIFS($J$1:J1233,$J1233,$K$1:K1233,$K1233,$L$1:L1233,$L1233,$M$1:M1233,M1233,$N$1:N1233,N1233))=2,"0"&amp;COUNTIFS($J$1:J1233,$J1233,$K$1:K1233,$K1233,$L$1:L1233,$L1233,$M$1:M1233,M1233,$N$1:N1233,N1233),COUNTIFS($J$1:J1233,$J1233,$K$1:K1233,$K1233,$L$1:L1233,$L1233,$M$1:M1233,M1233,$N$1:N1233,N1233)))</f>
        <v>008</v>
      </c>
      <c r="P123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MS-NS-000-00-00008-INV</v>
      </c>
      <c r="Q1233" s="34"/>
      <c r="R1233" s="34" t="s">
        <v>6910</v>
      </c>
      <c r="S1233" s="34" t="s">
        <v>4908</v>
      </c>
      <c r="T1233" s="34">
        <f>+IFERROR(_xlfn.XLOOKUP(Table43[[#This Row],[Column1]],#REF!,#REF!),0)</f>
        <v>0</v>
      </c>
      <c r="U1233" s="50">
        <f>IFERROR(_xlfn.XLOOKUP(Table43[[#This Row],[Column1]],#REF!,#REF!),0)</f>
        <v>0</v>
      </c>
      <c r="V1233" s="39"/>
    </row>
    <row r="1234" spans="1:22" x14ac:dyDescent="0.35">
      <c r="A1234" s="3" t="s">
        <v>4923</v>
      </c>
      <c r="B1234" s="3" t="s">
        <v>4909</v>
      </c>
      <c r="C1234" s="3" t="s">
        <v>15</v>
      </c>
      <c r="D1234" s="3"/>
      <c r="E1234" s="3" t="s">
        <v>10</v>
      </c>
      <c r="F1234" s="2">
        <v>0</v>
      </c>
      <c r="G1234" s="2">
        <v>10</v>
      </c>
      <c r="H1234" s="3">
        <v>0</v>
      </c>
      <c r="I1234" s="21">
        <f>Table43[[#This Row],[Item Cost]]*Table43[[#This Row],[In Stock]]</f>
        <v>0</v>
      </c>
      <c r="J1234" s="12" t="s">
        <v>4941</v>
      </c>
      <c r="K1234" s="13" t="s">
        <v>4666</v>
      </c>
      <c r="L1234" s="13" t="s">
        <v>4672</v>
      </c>
      <c r="M1234" s="13" t="s">
        <v>4672</v>
      </c>
      <c r="N1234" s="12" t="s">
        <v>4672</v>
      </c>
      <c r="O1234" s="17" t="str">
        <f>IF(LEN(COUNTIFS($J$1:J1234,$J1234,$K$1:K1234,$K1234,$L$1:L1234,$L1234,$M$1:M1234,M1234,$N$1:N1234,N1234))=1,"00"&amp;COUNTIFS($J$1:J1234,$J1234,$K$1:K1234,$K1234,$L$1:L1234,$L1234,$M$1:M1234,M1234,$N$1:N1234,N1234),IF(LEN(COUNTIFS($J$1:J1234,$J1234,$K$1:K1234,$K1234,$L$1:L1234,$L1234,$M$1:M1234,M1234,$N$1:N1234,N1234))=2,"0"&amp;COUNTIFS($J$1:J1234,$J1234,$K$1:K1234,$K1234,$L$1:L1234,$L1234,$M$1:M1234,M1234,$N$1:N1234,N1234),COUNTIFS($J$1:J1234,$J1234,$K$1:K1234,$K1234,$L$1:L1234,$L1234,$M$1:M1234,M1234,$N$1:N1234,N1234)))</f>
        <v>009</v>
      </c>
      <c r="P123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MS-NS-000-00-00009-INV</v>
      </c>
      <c r="Q1234" s="34"/>
      <c r="R1234" s="34" t="s">
        <v>6911</v>
      </c>
      <c r="S1234" s="34" t="s">
        <v>4909</v>
      </c>
      <c r="T1234" s="34">
        <f>+IFERROR(_xlfn.XLOOKUP(Table43[[#This Row],[Column1]],#REF!,#REF!),0)</f>
        <v>0</v>
      </c>
      <c r="U1234" s="50">
        <f>IFERROR(_xlfn.XLOOKUP(Table43[[#This Row],[Column1]],#REF!,#REF!),0)</f>
        <v>0</v>
      </c>
      <c r="V1234" s="39"/>
    </row>
    <row r="1235" spans="1:22" x14ac:dyDescent="0.35">
      <c r="A1235" s="3" t="s">
        <v>4924</v>
      </c>
      <c r="B1235" s="3" t="s">
        <v>4910</v>
      </c>
      <c r="C1235" s="3" t="s">
        <v>15</v>
      </c>
      <c r="D1235" s="3"/>
      <c r="E1235" s="3" t="s">
        <v>10</v>
      </c>
      <c r="F1235" s="2">
        <v>0</v>
      </c>
      <c r="G1235" s="2">
        <v>10</v>
      </c>
      <c r="H1235" s="3">
        <v>0</v>
      </c>
      <c r="I1235" s="21">
        <f>Table43[[#This Row],[Item Cost]]*Table43[[#This Row],[In Stock]]</f>
        <v>0</v>
      </c>
      <c r="J1235" s="12" t="s">
        <v>4941</v>
      </c>
      <c r="K1235" s="13" t="s">
        <v>4666</v>
      </c>
      <c r="L1235" s="13" t="s">
        <v>4672</v>
      </c>
      <c r="M1235" s="13" t="s">
        <v>4672</v>
      </c>
      <c r="N1235" s="12" t="s">
        <v>4672</v>
      </c>
      <c r="O1235" s="17" t="str">
        <f>IF(LEN(COUNTIFS($J$1:J1235,$J1235,$K$1:K1235,$K1235,$L$1:L1235,$L1235,$M$1:M1235,M1235,$N$1:N1235,N1235))=1,"00"&amp;COUNTIFS($J$1:J1235,$J1235,$K$1:K1235,$K1235,$L$1:L1235,$L1235,$M$1:M1235,M1235,$N$1:N1235,N1235),IF(LEN(COUNTIFS($J$1:J1235,$J1235,$K$1:K1235,$K1235,$L$1:L1235,$L1235,$M$1:M1235,M1235,$N$1:N1235,N1235))=2,"0"&amp;COUNTIFS($J$1:J1235,$J1235,$K$1:K1235,$K1235,$L$1:L1235,$L1235,$M$1:M1235,M1235,$N$1:N1235,N1235),COUNTIFS($J$1:J1235,$J1235,$K$1:K1235,$K1235,$L$1:L1235,$L1235,$M$1:M1235,M1235,$N$1:N1235,N1235)))</f>
        <v>010</v>
      </c>
      <c r="P123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MS-NS-000-00-00010-INV</v>
      </c>
      <c r="Q1235" s="34"/>
      <c r="R1235" s="34" t="s">
        <v>6912</v>
      </c>
      <c r="S1235" s="34" t="s">
        <v>4910</v>
      </c>
      <c r="T1235" s="34">
        <f>+IFERROR(_xlfn.XLOOKUP(Table43[[#This Row],[Column1]],#REF!,#REF!),0)</f>
        <v>0</v>
      </c>
      <c r="U1235" s="50">
        <f>IFERROR(_xlfn.XLOOKUP(Table43[[#This Row],[Column1]],#REF!,#REF!),0)</f>
        <v>0</v>
      </c>
      <c r="V1235" s="39"/>
    </row>
    <row r="1236" spans="1:22" x14ac:dyDescent="0.35">
      <c r="A1236" s="3" t="s">
        <v>3731</v>
      </c>
      <c r="B1236" s="3" t="s">
        <v>3732</v>
      </c>
      <c r="C1236" s="3" t="s">
        <v>15</v>
      </c>
      <c r="D1236" s="5">
        <v>16000</v>
      </c>
      <c r="E1236" s="3" t="s">
        <v>10</v>
      </c>
      <c r="F1236" s="3">
        <v>0</v>
      </c>
      <c r="G1236" s="3">
        <v>100</v>
      </c>
      <c r="H1236" s="3">
        <v>0</v>
      </c>
      <c r="I1236" s="21">
        <f>Table43[[#This Row],[Item Cost]]*Table43[[#This Row],[In Stock]]</f>
        <v>0</v>
      </c>
      <c r="J1236" s="12" t="s">
        <v>4941</v>
      </c>
      <c r="K1236" s="13" t="s">
        <v>4666</v>
      </c>
      <c r="L1236" s="13" t="s">
        <v>4675</v>
      </c>
      <c r="M1236" s="13" t="s">
        <v>4734</v>
      </c>
      <c r="N1236" s="12" t="s">
        <v>4672</v>
      </c>
      <c r="O1236" s="17" t="str">
        <f>IF(LEN(COUNTIFS($J$1:J1236,$J1236,$K$1:K1236,$K1236,$L$1:L1236,$L1236,$M$1:M1236,M1236,$N$1:N1236,N1236))=1,"00"&amp;COUNTIFS($J$1:J1236,$J1236,$K$1:K1236,$K1236,$L$1:L1236,$L1236,$M$1:M1236,M1236,$N$1:N1236,N1236),IF(LEN(COUNTIFS($J$1:J1236,$J1236,$K$1:K1236,$K1236,$L$1:L1236,$L1236,$M$1:M1236,M1236,$N$1:N1236,N1236))=2,"0"&amp;COUNTIFS($J$1:J1236,$J1236,$K$1:K1236,$K1236,$L$1:L1236,$L1236,$M$1:M1236,M1236,$N$1:N1236,N1236),COUNTIFS($J$1:J1236,$J1236,$K$1:K1236,$K1236,$L$1:L1236,$L1236,$M$1:M1236,M1236,$N$1:N1236,N1236)))</f>
        <v>001</v>
      </c>
      <c r="P123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MS-NS-003-02-00001-INV</v>
      </c>
      <c r="Q1236" s="59"/>
      <c r="R1236" s="34"/>
      <c r="S1236" s="34">
        <v>0</v>
      </c>
      <c r="T1236" s="34">
        <f>+IFERROR(_xlfn.XLOOKUP(Table43[[#This Row],[Column1]],#REF!,#REF!),0)</f>
        <v>0</v>
      </c>
      <c r="U1236" s="50">
        <f>IFERROR(_xlfn.XLOOKUP(Table43[[#This Row],[Column1]],#REF!,#REF!),0)</f>
        <v>0</v>
      </c>
      <c r="V1236" s="39"/>
    </row>
    <row r="1237" spans="1:22" x14ac:dyDescent="0.35">
      <c r="A1237" s="2" t="s">
        <v>3733</v>
      </c>
      <c r="B1237" s="2" t="s">
        <v>3734</v>
      </c>
      <c r="C1237" s="2" t="s">
        <v>9</v>
      </c>
      <c r="D1237" s="2">
        <v>950</v>
      </c>
      <c r="E1237" s="2" t="s">
        <v>10</v>
      </c>
      <c r="F1237" s="2">
        <v>1</v>
      </c>
      <c r="G1237" s="3">
        <v>2</v>
      </c>
      <c r="H1237" s="2">
        <v>2</v>
      </c>
      <c r="I1237" s="22">
        <f>Table43[[#This Row],[Item Cost]]*Table43[[#This Row],[In Stock]]</f>
        <v>1900</v>
      </c>
      <c r="J1237" s="12" t="s">
        <v>4941</v>
      </c>
      <c r="K1237" s="13" t="s">
        <v>4664</v>
      </c>
      <c r="L1237" s="13" t="s">
        <v>4675</v>
      </c>
      <c r="M1237" s="13" t="s">
        <v>4693</v>
      </c>
      <c r="N1237" s="12" t="s">
        <v>4672</v>
      </c>
      <c r="O1237" s="17" t="str">
        <f>IF(LEN(COUNTIFS($J$1:J1237,$J1237,$K$1:K1237,$K1237,$L$1:L1237,$L1237,$M$1:M1237,M1237,$N$1:N1237,N1237))=1,"00"&amp;COUNTIFS($J$1:J1237,$J1237,$K$1:K1237,$K1237,$L$1:L1237,$L1237,$M$1:M1237,M1237,$N$1:N1237,N1237),IF(LEN(COUNTIFS($J$1:J1237,$J1237,$K$1:K1237,$K1237,$L$1:L1237,$L1237,$M$1:M1237,M1237,$N$1:N1237,N1237))=2,"0"&amp;COUNTIFS($J$1:J1237,$J1237,$K$1:K1237,$K1237,$L$1:L1237,$L1237,$M$1:M1237,M1237,$N$1:N1237,N1237),COUNTIFS($J$1:J1237,$J1237,$K$1:K1237,$K1237,$L$1:L1237,$L1237,$M$1:M1237,M1237,$N$1:N1237,N1237)))</f>
        <v>001</v>
      </c>
      <c r="P123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MS-CS-003-23-00001-INV</v>
      </c>
      <c r="Q1237" s="59"/>
      <c r="R1237" s="34" t="s">
        <v>6913</v>
      </c>
      <c r="S1237" s="34" t="s">
        <v>3734</v>
      </c>
      <c r="T1237" s="34">
        <f>+IFERROR(_xlfn.XLOOKUP(Table43[[#This Row],[Column1]],#REF!,#REF!),0)</f>
        <v>0</v>
      </c>
      <c r="U1237" s="50">
        <f>IFERROR(_xlfn.XLOOKUP(Table43[[#This Row],[Column1]],#REF!,#REF!),0)</f>
        <v>0</v>
      </c>
      <c r="V1237" s="39"/>
    </row>
    <row r="1238" spans="1:22" x14ac:dyDescent="0.35">
      <c r="A1238" s="3" t="s">
        <v>3735</v>
      </c>
      <c r="B1238" s="3" t="s">
        <v>3736</v>
      </c>
      <c r="C1238" s="3" t="s">
        <v>9</v>
      </c>
      <c r="D1238" s="5">
        <v>1250</v>
      </c>
      <c r="E1238" s="3" t="s">
        <v>10</v>
      </c>
      <c r="F1238" s="2">
        <v>1</v>
      </c>
      <c r="G1238" s="3">
        <v>2</v>
      </c>
      <c r="H1238" s="3">
        <v>5</v>
      </c>
      <c r="I1238" s="21">
        <f>Table43[[#This Row],[Item Cost]]*Table43[[#This Row],[In Stock]]</f>
        <v>6250</v>
      </c>
      <c r="J1238" s="12" t="s">
        <v>4941</v>
      </c>
      <c r="K1238" s="13" t="s">
        <v>4664</v>
      </c>
      <c r="L1238" s="13" t="s">
        <v>4675</v>
      </c>
      <c r="M1238" s="13" t="s">
        <v>4693</v>
      </c>
      <c r="N1238" s="12" t="s">
        <v>4672</v>
      </c>
      <c r="O1238" s="17" t="str">
        <f>IF(LEN(COUNTIFS($J$1:J1238,$J1238,$K$1:K1238,$K1238,$L$1:L1238,$L1238,$M$1:M1238,M1238,$N$1:N1238,N1238))=1,"00"&amp;COUNTIFS($J$1:J1238,$J1238,$K$1:K1238,$K1238,$L$1:L1238,$L1238,$M$1:M1238,M1238,$N$1:N1238,N1238),IF(LEN(COUNTIFS($J$1:J1238,$J1238,$K$1:K1238,$K1238,$L$1:L1238,$L1238,$M$1:M1238,M1238,$N$1:N1238,N1238))=2,"0"&amp;COUNTIFS($J$1:J1238,$J1238,$K$1:K1238,$K1238,$L$1:L1238,$L1238,$M$1:M1238,M1238,$N$1:N1238,N1238),COUNTIFS($J$1:J1238,$J1238,$K$1:K1238,$K1238,$L$1:L1238,$L1238,$M$1:M1238,M1238,$N$1:N1238,N1238)))</f>
        <v>002</v>
      </c>
      <c r="P123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MS-CS-003-23-00002-INV</v>
      </c>
      <c r="Q1238" s="59" t="s">
        <v>7350</v>
      </c>
      <c r="R1238" s="34" t="s">
        <v>6914</v>
      </c>
      <c r="S1238" s="34" t="s">
        <v>3736</v>
      </c>
      <c r="T1238" s="34">
        <f>+IFERROR(_xlfn.XLOOKUP(Table43[[#This Row],[Column1]],#REF!,#REF!),0)</f>
        <v>0</v>
      </c>
      <c r="U1238" s="50">
        <f>IFERROR(_xlfn.XLOOKUP(Table43[[#This Row],[Column1]],#REF!,#REF!),0)</f>
        <v>0</v>
      </c>
      <c r="V1238" s="39"/>
    </row>
    <row r="1239" spans="1:22" x14ac:dyDescent="0.35">
      <c r="A1239" s="2" t="s">
        <v>3737</v>
      </c>
      <c r="B1239" s="2" t="s">
        <v>3738</v>
      </c>
      <c r="C1239" s="2" t="s">
        <v>9</v>
      </c>
      <c r="D1239" s="4">
        <v>1250</v>
      </c>
      <c r="E1239" s="2" t="s">
        <v>10</v>
      </c>
      <c r="F1239" s="2">
        <v>1</v>
      </c>
      <c r="G1239" s="3">
        <v>2</v>
      </c>
      <c r="H1239" s="2">
        <v>5</v>
      </c>
      <c r="I1239" s="22">
        <f>Table43[[#This Row],[Item Cost]]*Table43[[#This Row],[In Stock]]</f>
        <v>6250</v>
      </c>
      <c r="J1239" s="12" t="s">
        <v>4941</v>
      </c>
      <c r="K1239" s="13" t="s">
        <v>4664</v>
      </c>
      <c r="L1239" s="13" t="s">
        <v>4675</v>
      </c>
      <c r="M1239" s="13" t="s">
        <v>4693</v>
      </c>
      <c r="N1239" s="12" t="s">
        <v>4672</v>
      </c>
      <c r="O1239" s="17" t="str">
        <f>IF(LEN(COUNTIFS($J$1:J1239,$J1239,$K$1:K1239,$K1239,$L$1:L1239,$L1239,$M$1:M1239,M1239,$N$1:N1239,N1239))=1,"00"&amp;COUNTIFS($J$1:J1239,$J1239,$K$1:K1239,$K1239,$L$1:L1239,$L1239,$M$1:M1239,M1239,$N$1:N1239,N1239),IF(LEN(COUNTIFS($J$1:J1239,$J1239,$K$1:K1239,$K1239,$L$1:L1239,$L1239,$M$1:M1239,M1239,$N$1:N1239,N1239))=2,"0"&amp;COUNTIFS($J$1:J1239,$J1239,$K$1:K1239,$K1239,$L$1:L1239,$L1239,$M$1:M1239,M1239,$N$1:N1239,N1239),COUNTIFS($J$1:J1239,$J1239,$K$1:K1239,$K1239,$L$1:L1239,$L1239,$M$1:M1239,M1239,$N$1:N1239,N1239)))</f>
        <v>003</v>
      </c>
      <c r="P123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MS-CS-003-23-00003-INV</v>
      </c>
      <c r="Q1239" s="59"/>
      <c r="R1239" s="34" t="s">
        <v>6915</v>
      </c>
      <c r="S1239" s="34" t="s">
        <v>3738</v>
      </c>
      <c r="T1239" s="34">
        <f>+IFERROR(_xlfn.XLOOKUP(Table43[[#This Row],[Column1]],#REF!,#REF!),0)</f>
        <v>0</v>
      </c>
      <c r="U1239" s="50">
        <f>IFERROR(_xlfn.XLOOKUP(Table43[[#This Row],[Column1]],#REF!,#REF!),0)</f>
        <v>0</v>
      </c>
      <c r="V1239" s="39"/>
    </row>
    <row r="1240" spans="1:22" x14ac:dyDescent="0.35">
      <c r="A1240" s="3" t="s">
        <v>3739</v>
      </c>
      <c r="B1240" s="3" t="s">
        <v>3740</v>
      </c>
      <c r="C1240" s="3" t="s">
        <v>15</v>
      </c>
      <c r="D1240" s="3">
        <v>0</v>
      </c>
      <c r="E1240" s="3" t="s">
        <v>10</v>
      </c>
      <c r="F1240" s="2">
        <v>1</v>
      </c>
      <c r="G1240" s="2">
        <v>2</v>
      </c>
      <c r="H1240" s="3">
        <v>0</v>
      </c>
      <c r="I1240" s="21">
        <f>Table43[[#This Row],[Item Cost]]*Table43[[#This Row],[In Stock]]</f>
        <v>0</v>
      </c>
      <c r="J1240" s="12" t="s">
        <v>4941</v>
      </c>
      <c r="K1240" s="13" t="s">
        <v>4666</v>
      </c>
      <c r="L1240" s="13" t="s">
        <v>4675</v>
      </c>
      <c r="M1240" s="13" t="s">
        <v>4693</v>
      </c>
      <c r="N1240" s="12" t="s">
        <v>4672</v>
      </c>
      <c r="O1240" s="17" t="str">
        <f>IF(LEN(COUNTIFS($J$1:J1240,$J1240,$K$1:K1240,$K1240,$L$1:L1240,$L1240,$M$1:M1240,M1240,$N$1:N1240,N1240))=1,"00"&amp;COUNTIFS($J$1:J1240,$J1240,$K$1:K1240,$K1240,$L$1:L1240,$L1240,$M$1:M1240,M1240,$N$1:N1240,N1240),IF(LEN(COUNTIFS($J$1:J1240,$J1240,$K$1:K1240,$K1240,$L$1:L1240,$L1240,$M$1:M1240,M1240,$N$1:N1240,N1240))=2,"0"&amp;COUNTIFS($J$1:J1240,$J1240,$K$1:K1240,$K1240,$L$1:L1240,$L1240,$M$1:M1240,M1240,$N$1:N1240,N1240),COUNTIFS($J$1:J1240,$J1240,$K$1:K1240,$K1240,$L$1:L1240,$L1240,$M$1:M1240,M1240,$N$1:N1240,N1240)))</f>
        <v>001</v>
      </c>
      <c r="P124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MS-NS-003-23-00001-INV</v>
      </c>
      <c r="Q1240" s="59"/>
      <c r="R1240" s="34" t="s">
        <v>6916</v>
      </c>
      <c r="S1240" s="34" t="s">
        <v>3740</v>
      </c>
      <c r="T1240" s="34">
        <f>+IFERROR(_xlfn.XLOOKUP(Table43[[#This Row],[Column1]],#REF!,#REF!),0)</f>
        <v>0</v>
      </c>
      <c r="U1240" s="50">
        <f>IFERROR(_xlfn.XLOOKUP(Table43[[#This Row],[Column1]],#REF!,#REF!),0)</f>
        <v>0</v>
      </c>
      <c r="V1240" s="39"/>
    </row>
    <row r="1241" spans="1:22" x14ac:dyDescent="0.35">
      <c r="A1241" s="2" t="s">
        <v>3741</v>
      </c>
      <c r="B1241" s="2" t="s">
        <v>3742</v>
      </c>
      <c r="C1241" s="2" t="s">
        <v>15</v>
      </c>
      <c r="D1241" s="2">
        <v>0</v>
      </c>
      <c r="E1241" s="2" t="s">
        <v>10</v>
      </c>
      <c r="F1241" s="2">
        <v>1</v>
      </c>
      <c r="G1241" s="2">
        <v>2</v>
      </c>
      <c r="H1241" s="2">
        <v>0</v>
      </c>
      <c r="I1241" s="22">
        <f>Table43[[#This Row],[Item Cost]]*Table43[[#This Row],[In Stock]]</f>
        <v>0</v>
      </c>
      <c r="J1241" s="12" t="s">
        <v>4941</v>
      </c>
      <c r="K1241" s="13" t="s">
        <v>4666</v>
      </c>
      <c r="L1241" s="13" t="s">
        <v>4675</v>
      </c>
      <c r="M1241" s="13" t="s">
        <v>4828</v>
      </c>
      <c r="N1241" s="12" t="s">
        <v>4672</v>
      </c>
      <c r="O1241" s="17" t="str">
        <f>IF(LEN(COUNTIFS($J$1:J1241,$J1241,$K$1:K1241,$K1241,$L$1:L1241,$L1241,$M$1:M1241,M1241,$N$1:N1241,N1241))=1,"00"&amp;COUNTIFS($J$1:J1241,$J1241,$K$1:K1241,$K1241,$L$1:L1241,$L1241,$M$1:M1241,M1241,$N$1:N1241,N1241),IF(LEN(COUNTIFS($J$1:J1241,$J1241,$K$1:K1241,$K1241,$L$1:L1241,$L1241,$M$1:M1241,M1241,$N$1:N1241,N1241))=2,"0"&amp;COUNTIFS($J$1:J1241,$J1241,$K$1:K1241,$K1241,$L$1:L1241,$L1241,$M$1:M1241,M1241,$N$1:N1241,N1241),COUNTIFS($J$1:J1241,$J1241,$K$1:K1241,$K1241,$L$1:L1241,$L1241,$M$1:M1241,M1241,$N$1:N1241,N1241)))</f>
        <v>001</v>
      </c>
      <c r="P124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MS-NS-003-13-00001-INV</v>
      </c>
      <c r="Q1241" s="59"/>
      <c r="R1241" s="34" t="s">
        <v>6917</v>
      </c>
      <c r="S1241" s="34" t="s">
        <v>3742</v>
      </c>
      <c r="T1241" s="34">
        <f>+IFERROR(_xlfn.XLOOKUP(Table43[[#This Row],[Column1]],#REF!,#REF!),0)</f>
        <v>0</v>
      </c>
      <c r="U1241" s="50">
        <f>IFERROR(_xlfn.XLOOKUP(Table43[[#This Row],[Column1]],#REF!,#REF!),0)</f>
        <v>0</v>
      </c>
      <c r="V1241" s="39"/>
    </row>
    <row r="1242" spans="1:22" x14ac:dyDescent="0.35">
      <c r="A1242" s="3" t="s">
        <v>3743</v>
      </c>
      <c r="B1242" s="3" t="s">
        <v>3744</v>
      </c>
      <c r="C1242" s="3" t="s">
        <v>15</v>
      </c>
      <c r="D1242" s="3">
        <v>0</v>
      </c>
      <c r="E1242" s="3" t="s">
        <v>10</v>
      </c>
      <c r="F1242" s="2">
        <v>1</v>
      </c>
      <c r="G1242" s="2">
        <v>2</v>
      </c>
      <c r="H1242" s="3">
        <v>0</v>
      </c>
      <c r="I1242" s="21">
        <f>Table43[[#This Row],[Item Cost]]*Table43[[#This Row],[In Stock]]</f>
        <v>0</v>
      </c>
      <c r="J1242" s="12" t="s">
        <v>4941</v>
      </c>
      <c r="K1242" s="13" t="s">
        <v>4666</v>
      </c>
      <c r="L1242" s="13" t="s">
        <v>4675</v>
      </c>
      <c r="M1242" s="13" t="s">
        <v>4795</v>
      </c>
      <c r="N1242" s="12" t="s">
        <v>4672</v>
      </c>
      <c r="O1242" s="17" t="str">
        <f>IF(LEN(COUNTIFS($J$1:J1242,$J1242,$K$1:K1242,$K1242,$L$1:L1242,$L1242,$M$1:M1242,M1242,$N$1:N1242,N1242))=1,"00"&amp;COUNTIFS($J$1:J1242,$J1242,$K$1:K1242,$K1242,$L$1:L1242,$L1242,$M$1:M1242,M1242,$N$1:N1242,N1242),IF(LEN(COUNTIFS($J$1:J1242,$J1242,$K$1:K1242,$K1242,$L$1:L1242,$L1242,$M$1:M1242,M1242,$N$1:N1242,N1242))=2,"0"&amp;COUNTIFS($J$1:J1242,$J1242,$K$1:K1242,$K1242,$L$1:L1242,$L1242,$M$1:M1242,M1242,$N$1:N1242,N1242),COUNTIFS($J$1:J1242,$J1242,$K$1:K1242,$K1242,$L$1:L1242,$L1242,$M$1:M1242,M1242,$N$1:N1242,N1242)))</f>
        <v>001</v>
      </c>
      <c r="P124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MS-NS-003-19-00001-INV</v>
      </c>
      <c r="Q1242" s="59"/>
      <c r="R1242" s="34" t="s">
        <v>6918</v>
      </c>
      <c r="S1242" s="34" t="s">
        <v>3744</v>
      </c>
      <c r="T1242" s="34">
        <f>+IFERROR(_xlfn.XLOOKUP(Table43[[#This Row],[Column1]],#REF!,#REF!),0)</f>
        <v>0</v>
      </c>
      <c r="U1242" s="50">
        <f>IFERROR(_xlfn.XLOOKUP(Table43[[#This Row],[Column1]],#REF!,#REF!),0)</f>
        <v>0</v>
      </c>
      <c r="V1242" s="39"/>
    </row>
    <row r="1243" spans="1:22" x14ac:dyDescent="0.35">
      <c r="A1243" s="2" t="s">
        <v>3745</v>
      </c>
      <c r="B1243" s="2" t="s">
        <v>1696</v>
      </c>
      <c r="C1243" s="2" t="s">
        <v>9</v>
      </c>
      <c r="D1243" s="4">
        <v>1500</v>
      </c>
      <c r="E1243" s="2" t="s">
        <v>10</v>
      </c>
      <c r="F1243" s="2">
        <v>1</v>
      </c>
      <c r="G1243" s="3">
        <v>2</v>
      </c>
      <c r="H1243" s="2">
        <v>2</v>
      </c>
      <c r="I1243" s="22">
        <f>Table43[[#This Row],[Item Cost]]*Table43[[#This Row],[In Stock]]</f>
        <v>3000</v>
      </c>
      <c r="J1243" s="12" t="s">
        <v>4941</v>
      </c>
      <c r="K1243" s="13" t="s">
        <v>4664</v>
      </c>
      <c r="L1243" s="13" t="s">
        <v>4675</v>
      </c>
      <c r="M1243" s="13" t="s">
        <v>4832</v>
      </c>
      <c r="N1243" s="12" t="s">
        <v>4672</v>
      </c>
      <c r="O1243" s="17" t="str">
        <f>IF(LEN(COUNTIFS($J$1:J1243,$J1243,$K$1:K1243,$K1243,$L$1:L1243,$L1243,$M$1:M1243,M1243,$N$1:N1243,N1243))=1,"00"&amp;COUNTIFS($J$1:J1243,$J1243,$K$1:K1243,$K1243,$L$1:L1243,$L1243,$M$1:M1243,M1243,$N$1:N1243,N1243),IF(LEN(COUNTIFS($J$1:J1243,$J1243,$K$1:K1243,$K1243,$L$1:L1243,$L1243,$M$1:M1243,M1243,$N$1:N1243,N1243))=2,"0"&amp;COUNTIFS($J$1:J1243,$J1243,$K$1:K1243,$K1243,$L$1:L1243,$L1243,$M$1:M1243,M1243,$N$1:N1243,N1243),COUNTIFS($J$1:J1243,$J1243,$K$1:K1243,$K1243,$L$1:L1243,$L1243,$M$1:M1243,M1243,$N$1:N1243,N1243)))</f>
        <v>001</v>
      </c>
      <c r="P124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MS-CS-003-07-00001-INV</v>
      </c>
      <c r="Q1243" s="59" t="s">
        <v>7390</v>
      </c>
      <c r="R1243" s="34" t="s">
        <v>6919</v>
      </c>
      <c r="S1243" s="34" t="s">
        <v>1696</v>
      </c>
      <c r="T1243" s="34">
        <f>+IFERROR(_xlfn.XLOOKUP(Table43[[#This Row],[Column1]],#REF!,#REF!),0)</f>
        <v>0</v>
      </c>
      <c r="U1243" s="50">
        <f>IFERROR(_xlfn.XLOOKUP(Table43[[#This Row],[Column1]],#REF!,#REF!),0)</f>
        <v>0</v>
      </c>
      <c r="V1243" s="39"/>
    </row>
    <row r="1244" spans="1:22" x14ac:dyDescent="0.35">
      <c r="A1244" s="3" t="s">
        <v>3746</v>
      </c>
      <c r="B1244" s="3" t="s">
        <v>1698</v>
      </c>
      <c r="C1244" s="3" t="s">
        <v>15</v>
      </c>
      <c r="D1244" s="3">
        <v>0</v>
      </c>
      <c r="E1244" s="3" t="s">
        <v>10</v>
      </c>
      <c r="F1244" s="2">
        <v>1</v>
      </c>
      <c r="G1244" s="2">
        <v>2</v>
      </c>
      <c r="H1244" s="3">
        <v>0</v>
      </c>
      <c r="I1244" s="21">
        <f>Table43[[#This Row],[Item Cost]]*Table43[[#This Row],[In Stock]]</f>
        <v>0</v>
      </c>
      <c r="J1244" s="12" t="s">
        <v>4941</v>
      </c>
      <c r="K1244" s="13" t="s">
        <v>4666</v>
      </c>
      <c r="L1244" s="13" t="s">
        <v>4675</v>
      </c>
      <c r="M1244" s="13" t="s">
        <v>4693</v>
      </c>
      <c r="N1244" s="12" t="s">
        <v>4672</v>
      </c>
      <c r="O1244" s="17" t="str">
        <f>IF(LEN(COUNTIFS($J$1:J1244,$J1244,$K$1:K1244,$K1244,$L$1:L1244,$L1244,$M$1:M1244,M1244,$N$1:N1244,N1244))=1,"00"&amp;COUNTIFS($J$1:J1244,$J1244,$K$1:K1244,$K1244,$L$1:L1244,$L1244,$M$1:M1244,M1244,$N$1:N1244,N1244),IF(LEN(COUNTIFS($J$1:J1244,$J1244,$K$1:K1244,$K1244,$L$1:L1244,$L1244,$M$1:M1244,M1244,$N$1:N1244,N1244))=2,"0"&amp;COUNTIFS($J$1:J1244,$J1244,$K$1:K1244,$K1244,$L$1:L1244,$L1244,$M$1:M1244,M1244,$N$1:N1244,N1244),COUNTIFS($J$1:J1244,$J1244,$K$1:K1244,$K1244,$L$1:L1244,$L1244,$M$1:M1244,M1244,$N$1:N1244,N1244)))</f>
        <v>002</v>
      </c>
      <c r="P124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MS-NS-003-23-00002-INV</v>
      </c>
      <c r="Q1244" s="59"/>
      <c r="R1244" s="34" t="s">
        <v>6920</v>
      </c>
      <c r="S1244" s="34" t="s">
        <v>1698</v>
      </c>
      <c r="T1244" s="34">
        <f>+IFERROR(_xlfn.XLOOKUP(Table43[[#This Row],[Column1]],#REF!,#REF!),0)</f>
        <v>0</v>
      </c>
      <c r="U1244" s="50">
        <f>IFERROR(_xlfn.XLOOKUP(Table43[[#This Row],[Column1]],#REF!,#REF!),0)</f>
        <v>0</v>
      </c>
      <c r="V1244" s="39"/>
    </row>
    <row r="1245" spans="1:22" x14ac:dyDescent="0.35">
      <c r="A1245" s="2" t="s">
        <v>3747</v>
      </c>
      <c r="B1245" s="2" t="s">
        <v>1700</v>
      </c>
      <c r="C1245" s="2" t="s">
        <v>9</v>
      </c>
      <c r="D1245" s="2">
        <v>700</v>
      </c>
      <c r="E1245" s="2" t="s">
        <v>10</v>
      </c>
      <c r="F1245" s="2">
        <v>1</v>
      </c>
      <c r="G1245" s="3">
        <v>2</v>
      </c>
      <c r="H1245" s="2">
        <v>3</v>
      </c>
      <c r="I1245" s="22">
        <f>Table43[[#This Row],[Item Cost]]*Table43[[#This Row],[In Stock]]</f>
        <v>2100</v>
      </c>
      <c r="J1245" s="12" t="s">
        <v>4941</v>
      </c>
      <c r="K1245" s="13" t="s">
        <v>4664</v>
      </c>
      <c r="L1245" s="13" t="s">
        <v>4675</v>
      </c>
      <c r="M1245" s="13" t="s">
        <v>4693</v>
      </c>
      <c r="N1245" s="12" t="s">
        <v>4672</v>
      </c>
      <c r="O1245" s="17" t="str">
        <f>IF(LEN(COUNTIFS($J$1:J1245,$J1245,$K$1:K1245,$K1245,$L$1:L1245,$L1245,$M$1:M1245,M1245,$N$1:N1245,N1245))=1,"00"&amp;COUNTIFS($J$1:J1245,$J1245,$K$1:K1245,$K1245,$L$1:L1245,$L1245,$M$1:M1245,M1245,$N$1:N1245,N1245),IF(LEN(COUNTIFS($J$1:J1245,$J1245,$K$1:K1245,$K1245,$L$1:L1245,$L1245,$M$1:M1245,M1245,$N$1:N1245,N1245))=2,"0"&amp;COUNTIFS($J$1:J1245,$J1245,$K$1:K1245,$K1245,$L$1:L1245,$L1245,$M$1:M1245,M1245,$N$1:N1245,N1245),COUNTIFS($J$1:J1245,$J1245,$K$1:K1245,$K1245,$L$1:L1245,$L1245,$M$1:M1245,M1245,$N$1:N1245,N1245)))</f>
        <v>004</v>
      </c>
      <c r="P124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MS-CS-003-23-00004-INV</v>
      </c>
      <c r="Q1245" s="59" t="s">
        <v>7358</v>
      </c>
      <c r="R1245" s="34" t="s">
        <v>6921</v>
      </c>
      <c r="S1245" s="34" t="s">
        <v>1700</v>
      </c>
      <c r="T1245" s="34">
        <f>+IFERROR(_xlfn.XLOOKUP(Table43[[#This Row],[Column1]],#REF!,#REF!),0)</f>
        <v>0</v>
      </c>
      <c r="U1245" s="50">
        <f>IFERROR(_xlfn.XLOOKUP(Table43[[#This Row],[Column1]],#REF!,#REF!),0)</f>
        <v>0</v>
      </c>
      <c r="V1245" s="39"/>
    </row>
    <row r="1246" spans="1:22" x14ac:dyDescent="0.35">
      <c r="A1246" s="3" t="s">
        <v>3748</v>
      </c>
      <c r="B1246" s="3" t="s">
        <v>1857</v>
      </c>
      <c r="C1246" s="3" t="s">
        <v>9</v>
      </c>
      <c r="D1246" s="3">
        <v>239.56</v>
      </c>
      <c r="E1246" s="3" t="s">
        <v>10</v>
      </c>
      <c r="F1246" s="2">
        <v>1</v>
      </c>
      <c r="G1246" s="3">
        <v>2</v>
      </c>
      <c r="H1246" s="3">
        <v>2</v>
      </c>
      <c r="I1246" s="21">
        <f>Table43[[#This Row],[Item Cost]]*Table43[[#This Row],[In Stock]]</f>
        <v>479.12</v>
      </c>
      <c r="J1246" s="12" t="s">
        <v>4941</v>
      </c>
      <c r="K1246" s="13" t="s">
        <v>4664</v>
      </c>
      <c r="L1246" s="13" t="s">
        <v>4675</v>
      </c>
      <c r="M1246" s="13" t="s">
        <v>4693</v>
      </c>
      <c r="N1246" s="12" t="s">
        <v>4672</v>
      </c>
      <c r="O1246" s="17" t="str">
        <f>IF(LEN(COUNTIFS($J$1:J1246,$J1246,$K$1:K1246,$K1246,$L$1:L1246,$L1246,$M$1:M1246,M1246,$N$1:N1246,N1246))=1,"00"&amp;COUNTIFS($J$1:J1246,$J1246,$K$1:K1246,$K1246,$L$1:L1246,$L1246,$M$1:M1246,M1246,$N$1:N1246,N1246),IF(LEN(COUNTIFS($J$1:J1246,$J1246,$K$1:K1246,$K1246,$L$1:L1246,$L1246,$M$1:M1246,M1246,$N$1:N1246,N1246))=2,"0"&amp;COUNTIFS($J$1:J1246,$J1246,$K$1:K1246,$K1246,$L$1:L1246,$L1246,$M$1:M1246,M1246,$N$1:N1246,N1246),COUNTIFS($J$1:J1246,$J1246,$K$1:K1246,$K1246,$L$1:L1246,$L1246,$M$1:M1246,M1246,$N$1:N1246,N1246)))</f>
        <v>005</v>
      </c>
      <c r="P124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MS-CS-003-23-00005-INV</v>
      </c>
      <c r="Q1246" s="59"/>
      <c r="R1246" s="34" t="s">
        <v>6922</v>
      </c>
      <c r="S1246" s="34" t="s">
        <v>1857</v>
      </c>
      <c r="T1246" s="34">
        <f>+IFERROR(_xlfn.XLOOKUP(Table43[[#This Row],[Column1]],#REF!,#REF!),0)</f>
        <v>0</v>
      </c>
      <c r="U1246" s="50">
        <f>IFERROR(_xlfn.XLOOKUP(Table43[[#This Row],[Column1]],#REF!,#REF!),0)</f>
        <v>0</v>
      </c>
      <c r="V1246" s="39"/>
    </row>
    <row r="1247" spans="1:22" x14ac:dyDescent="0.35">
      <c r="A1247" s="2" t="s">
        <v>3749</v>
      </c>
      <c r="B1247" s="2" t="s">
        <v>3750</v>
      </c>
      <c r="C1247" s="2" t="s">
        <v>15</v>
      </c>
      <c r="D1247" s="2">
        <v>0</v>
      </c>
      <c r="E1247" s="2" t="s">
        <v>10</v>
      </c>
      <c r="F1247" s="2">
        <v>1</v>
      </c>
      <c r="G1247" s="2">
        <v>2</v>
      </c>
      <c r="H1247" s="2">
        <v>0</v>
      </c>
      <c r="I1247" s="22">
        <f>Table43[[#This Row],[Item Cost]]*Table43[[#This Row],[In Stock]]</f>
        <v>0</v>
      </c>
      <c r="J1247" s="12" t="s">
        <v>4941</v>
      </c>
      <c r="K1247" s="13" t="s">
        <v>4666</v>
      </c>
      <c r="L1247" s="13" t="s">
        <v>4675</v>
      </c>
      <c r="M1247" s="13" t="s">
        <v>4859</v>
      </c>
      <c r="N1247" s="12" t="s">
        <v>4672</v>
      </c>
      <c r="O1247" s="17" t="str">
        <f>IF(LEN(COUNTIFS($J$1:J1247,$J1247,$K$1:K1247,$K1247,$L$1:L1247,$L1247,$M$1:M1247,M1247,$N$1:N1247,N1247))=1,"00"&amp;COUNTIFS($J$1:J1247,$J1247,$K$1:K1247,$K1247,$L$1:L1247,$L1247,$M$1:M1247,M1247,$N$1:N1247,N1247),IF(LEN(COUNTIFS($J$1:J1247,$J1247,$K$1:K1247,$K1247,$L$1:L1247,$L1247,$M$1:M1247,M1247,$N$1:N1247,N1247))=2,"0"&amp;COUNTIFS($J$1:J1247,$J1247,$K$1:K1247,$K1247,$L$1:L1247,$L1247,$M$1:M1247,M1247,$N$1:N1247,N1247),COUNTIFS($J$1:J1247,$J1247,$K$1:K1247,$K1247,$L$1:L1247,$L1247,$M$1:M1247,M1247,$N$1:N1247,N1247)))</f>
        <v>001</v>
      </c>
      <c r="P124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MS-NS-003-30-00001-INV</v>
      </c>
      <c r="Q1247" s="59"/>
      <c r="R1247" s="34" t="s">
        <v>6923</v>
      </c>
      <c r="S1247" s="34" t="s">
        <v>3750</v>
      </c>
      <c r="T1247" s="34">
        <f>+IFERROR(_xlfn.XLOOKUP(Table43[[#This Row],[Column1]],#REF!,#REF!),0)</f>
        <v>0</v>
      </c>
      <c r="U1247" s="50">
        <f>IFERROR(_xlfn.XLOOKUP(Table43[[#This Row],[Column1]],#REF!,#REF!),0)</f>
        <v>0</v>
      </c>
      <c r="V1247" s="39"/>
    </row>
    <row r="1248" spans="1:22" x14ac:dyDescent="0.35">
      <c r="A1248" s="3" t="s">
        <v>3751</v>
      </c>
      <c r="B1248" s="3" t="s">
        <v>3752</v>
      </c>
      <c r="C1248" s="3" t="s">
        <v>9</v>
      </c>
      <c r="D1248" s="5">
        <v>1800</v>
      </c>
      <c r="E1248" s="3" t="s">
        <v>10</v>
      </c>
      <c r="F1248" s="2">
        <v>1</v>
      </c>
      <c r="G1248" s="3">
        <v>2</v>
      </c>
      <c r="H1248" s="3">
        <v>1</v>
      </c>
      <c r="I1248" s="21">
        <f>Table43[[#This Row],[Item Cost]]*Table43[[#This Row],[In Stock]]</f>
        <v>1800</v>
      </c>
      <c r="J1248" s="12" t="s">
        <v>4941</v>
      </c>
      <c r="K1248" s="13" t="s">
        <v>4664</v>
      </c>
      <c r="L1248" s="13" t="s">
        <v>4675</v>
      </c>
      <c r="M1248" s="13" t="s">
        <v>4770</v>
      </c>
      <c r="N1248" s="12" t="s">
        <v>4672</v>
      </c>
      <c r="O1248" s="17" t="str">
        <f>IF(LEN(COUNTIFS($J$1:J1248,$J1248,$K$1:K1248,$K1248,$L$1:L1248,$L1248,$M$1:M1248,M1248,$N$1:N1248,N1248))=1,"00"&amp;COUNTIFS($J$1:J1248,$J1248,$K$1:K1248,$K1248,$L$1:L1248,$L1248,$M$1:M1248,M1248,$N$1:N1248,N1248),IF(LEN(COUNTIFS($J$1:J1248,$J1248,$K$1:K1248,$K1248,$L$1:L1248,$L1248,$M$1:M1248,M1248,$N$1:N1248,N1248))=2,"0"&amp;COUNTIFS($J$1:J1248,$J1248,$K$1:K1248,$K1248,$L$1:L1248,$L1248,$M$1:M1248,M1248,$N$1:N1248,N1248),COUNTIFS($J$1:J1248,$J1248,$K$1:K1248,$K1248,$L$1:L1248,$L1248,$M$1:M1248,M1248,$N$1:N1248,N1248)))</f>
        <v>001</v>
      </c>
      <c r="P124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MS-CS-003-04-00001-INV</v>
      </c>
      <c r="Q1248" s="59" t="s">
        <v>7350</v>
      </c>
      <c r="R1248" s="34" t="s">
        <v>6924</v>
      </c>
      <c r="S1248" s="34" t="s">
        <v>3752</v>
      </c>
      <c r="T1248" s="34">
        <f>+IFERROR(_xlfn.XLOOKUP(Table43[[#This Row],[Column1]],#REF!,#REF!),0)</f>
        <v>0</v>
      </c>
      <c r="U1248" s="50">
        <f>IFERROR(_xlfn.XLOOKUP(Table43[[#This Row],[Column1]],#REF!,#REF!),0)</f>
        <v>0</v>
      </c>
      <c r="V1248" s="39"/>
    </row>
    <row r="1249" spans="1:22" x14ac:dyDescent="0.35">
      <c r="A1249" s="2" t="s">
        <v>3753</v>
      </c>
      <c r="B1249" s="2" t="s">
        <v>3754</v>
      </c>
      <c r="C1249" s="2" t="s">
        <v>15</v>
      </c>
      <c r="D1249" s="2">
        <v>0</v>
      </c>
      <c r="E1249" s="2" t="s">
        <v>10</v>
      </c>
      <c r="F1249" s="2">
        <v>1</v>
      </c>
      <c r="G1249" s="2">
        <v>2</v>
      </c>
      <c r="H1249" s="2">
        <v>0</v>
      </c>
      <c r="I1249" s="22">
        <f>Table43[[#This Row],[Item Cost]]*Table43[[#This Row],[In Stock]]</f>
        <v>0</v>
      </c>
      <c r="J1249" s="12" t="s">
        <v>4941</v>
      </c>
      <c r="K1249" s="13" t="s">
        <v>4666</v>
      </c>
      <c r="L1249" s="13" t="s">
        <v>4675</v>
      </c>
      <c r="M1249" s="13" t="s">
        <v>4840</v>
      </c>
      <c r="N1249" s="12" t="s">
        <v>4672</v>
      </c>
      <c r="O1249" s="17" t="str">
        <f>IF(LEN(COUNTIFS($J$1:J1249,$J1249,$K$1:K1249,$K1249,$L$1:L1249,$L1249,$M$1:M1249,M1249,$N$1:N1249,N1249))=1,"00"&amp;COUNTIFS($J$1:J1249,$J1249,$K$1:K1249,$K1249,$L$1:L1249,$L1249,$M$1:M1249,M1249,$N$1:N1249,N1249),IF(LEN(COUNTIFS($J$1:J1249,$J1249,$K$1:K1249,$K1249,$L$1:L1249,$L1249,$M$1:M1249,M1249,$N$1:N1249,N1249))=2,"0"&amp;COUNTIFS($J$1:J1249,$J1249,$K$1:K1249,$K1249,$L$1:L1249,$L1249,$M$1:M1249,M1249,$N$1:N1249,N1249),COUNTIFS($J$1:J1249,$J1249,$K$1:K1249,$K1249,$L$1:L1249,$L1249,$M$1:M1249,M1249,$N$1:N1249,N1249)))</f>
        <v>001</v>
      </c>
      <c r="P124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MS-NS-003-15-00001-INV</v>
      </c>
      <c r="Q1249" s="59"/>
      <c r="R1249" s="34" t="s">
        <v>6925</v>
      </c>
      <c r="S1249" s="34" t="s">
        <v>3754</v>
      </c>
      <c r="T1249" s="34">
        <f>+IFERROR(_xlfn.XLOOKUP(Table43[[#This Row],[Column1]],#REF!,#REF!),0)</f>
        <v>0</v>
      </c>
      <c r="U1249" s="50">
        <f>IFERROR(_xlfn.XLOOKUP(Table43[[#This Row],[Column1]],#REF!,#REF!),0)</f>
        <v>0</v>
      </c>
      <c r="V1249" s="39"/>
    </row>
    <row r="1250" spans="1:22" x14ac:dyDescent="0.35">
      <c r="A1250" s="3" t="s">
        <v>3755</v>
      </c>
      <c r="B1250" s="3" t="s">
        <v>1728</v>
      </c>
      <c r="C1250" s="3" t="s">
        <v>15</v>
      </c>
      <c r="D1250" s="3">
        <v>0</v>
      </c>
      <c r="E1250" s="3" t="s">
        <v>10</v>
      </c>
      <c r="F1250" s="2">
        <v>1</v>
      </c>
      <c r="G1250" s="2">
        <v>2</v>
      </c>
      <c r="H1250" s="3">
        <v>0</v>
      </c>
      <c r="I1250" s="21">
        <f>Table43[[#This Row],[Item Cost]]*Table43[[#This Row],[In Stock]]</f>
        <v>0</v>
      </c>
      <c r="J1250" s="12" t="s">
        <v>4941</v>
      </c>
      <c r="K1250" s="13" t="s">
        <v>4666</v>
      </c>
      <c r="L1250" s="13" t="s">
        <v>4675</v>
      </c>
      <c r="M1250" s="13" t="s">
        <v>4837</v>
      </c>
      <c r="N1250" s="12" t="s">
        <v>4672</v>
      </c>
      <c r="O1250" s="17" t="str">
        <f>IF(LEN(COUNTIFS($J$1:J1250,$J1250,$K$1:K1250,$K1250,$L$1:L1250,$L1250,$M$1:M1250,M1250,$N$1:N1250,N1250))=1,"00"&amp;COUNTIFS($J$1:J1250,$J1250,$K$1:K1250,$K1250,$L$1:L1250,$L1250,$M$1:M1250,M1250,$N$1:N1250,N1250),IF(LEN(COUNTIFS($J$1:J1250,$J1250,$K$1:K1250,$K1250,$L$1:L1250,$L1250,$M$1:M1250,M1250,$N$1:N1250,N1250))=2,"0"&amp;COUNTIFS($J$1:J1250,$J1250,$K$1:K1250,$K1250,$L$1:L1250,$L1250,$M$1:M1250,M1250,$N$1:N1250,N1250),COUNTIFS($J$1:J1250,$J1250,$K$1:K1250,$K1250,$L$1:L1250,$L1250,$M$1:M1250,M1250,$N$1:N1250,N1250)))</f>
        <v>001</v>
      </c>
      <c r="P125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MS-NS-003-26-00001-INV</v>
      </c>
      <c r="Q1250" s="59"/>
      <c r="R1250" s="34" t="s">
        <v>6926</v>
      </c>
      <c r="S1250" s="34" t="s">
        <v>1728</v>
      </c>
      <c r="T1250" s="34">
        <f>+IFERROR(_xlfn.XLOOKUP(Table43[[#This Row],[Column1]],#REF!,#REF!),0)</f>
        <v>0</v>
      </c>
      <c r="U1250" s="50">
        <f>IFERROR(_xlfn.XLOOKUP(Table43[[#This Row],[Column1]],#REF!,#REF!),0)</f>
        <v>0</v>
      </c>
      <c r="V1250" s="39"/>
    </row>
    <row r="1251" spans="1:22" x14ac:dyDescent="0.35">
      <c r="A1251" s="2" t="s">
        <v>3756</v>
      </c>
      <c r="B1251" s="2" t="s">
        <v>3757</v>
      </c>
      <c r="C1251" s="2" t="s">
        <v>15</v>
      </c>
      <c r="D1251" s="2">
        <v>0</v>
      </c>
      <c r="E1251" s="2" t="s">
        <v>10</v>
      </c>
      <c r="F1251" s="2">
        <v>1</v>
      </c>
      <c r="G1251" s="2">
        <v>2</v>
      </c>
      <c r="H1251" s="2">
        <v>0</v>
      </c>
      <c r="I1251" s="22">
        <f>Table43[[#This Row],[Item Cost]]*Table43[[#This Row],[In Stock]]</f>
        <v>0</v>
      </c>
      <c r="J1251" s="12" t="s">
        <v>4941</v>
      </c>
      <c r="K1251" s="13" t="s">
        <v>4666</v>
      </c>
      <c r="L1251" s="13" t="s">
        <v>4675</v>
      </c>
      <c r="M1251" s="13" t="s">
        <v>3950</v>
      </c>
      <c r="N1251" s="12" t="s">
        <v>4672</v>
      </c>
      <c r="O1251" s="17" t="str">
        <f>IF(LEN(COUNTIFS($J$1:J1251,$J1251,$K$1:K1251,$K1251,$L$1:L1251,$L1251,$M$1:M1251,M1251,$N$1:N1251,N1251))=1,"00"&amp;COUNTIFS($J$1:J1251,$J1251,$K$1:K1251,$K1251,$L$1:L1251,$L1251,$M$1:M1251,M1251,$N$1:N1251,N1251),IF(LEN(COUNTIFS($J$1:J1251,$J1251,$K$1:K1251,$K1251,$L$1:L1251,$L1251,$M$1:M1251,M1251,$N$1:N1251,N1251))=2,"0"&amp;COUNTIFS($J$1:J1251,$J1251,$K$1:K1251,$K1251,$L$1:L1251,$L1251,$M$1:M1251,M1251,$N$1:N1251,N1251),COUNTIFS($J$1:J1251,$J1251,$K$1:K1251,$K1251,$L$1:L1251,$L1251,$M$1:M1251,M1251,$N$1:N1251,N1251)))</f>
        <v>001</v>
      </c>
      <c r="P125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MS-NS-003-22-00001-INV</v>
      </c>
      <c r="Q1251" s="59"/>
      <c r="R1251" s="34" t="s">
        <v>6927</v>
      </c>
      <c r="S1251" s="34" t="s">
        <v>3757</v>
      </c>
      <c r="T1251" s="34">
        <f>+IFERROR(_xlfn.XLOOKUP(Table43[[#This Row],[Column1]],#REF!,#REF!),0)</f>
        <v>0</v>
      </c>
      <c r="U1251" s="50">
        <f>IFERROR(_xlfn.XLOOKUP(Table43[[#This Row],[Column1]],#REF!,#REF!),0)</f>
        <v>0</v>
      </c>
      <c r="V1251" s="39"/>
    </row>
    <row r="1252" spans="1:22" x14ac:dyDescent="0.35">
      <c r="A1252" s="3" t="s">
        <v>3758</v>
      </c>
      <c r="B1252" s="3" t="s">
        <v>3759</v>
      </c>
      <c r="C1252" s="3" t="s">
        <v>15</v>
      </c>
      <c r="D1252" s="3">
        <v>0</v>
      </c>
      <c r="E1252" s="3" t="s">
        <v>10</v>
      </c>
      <c r="F1252" s="2">
        <v>1</v>
      </c>
      <c r="G1252" s="2">
        <v>2</v>
      </c>
      <c r="H1252" s="3">
        <v>0</v>
      </c>
      <c r="I1252" s="21">
        <f>Table43[[#This Row],[Item Cost]]*Table43[[#This Row],[In Stock]]</f>
        <v>0</v>
      </c>
      <c r="J1252" s="12" t="s">
        <v>4941</v>
      </c>
      <c r="K1252" s="13" t="s">
        <v>4666</v>
      </c>
      <c r="L1252" s="13" t="s">
        <v>4675</v>
      </c>
      <c r="M1252" s="13" t="s">
        <v>4693</v>
      </c>
      <c r="N1252" s="12" t="s">
        <v>4672</v>
      </c>
      <c r="O1252" s="17" t="str">
        <f>IF(LEN(COUNTIFS($J$1:J1252,$J1252,$K$1:K1252,$K1252,$L$1:L1252,$L1252,$M$1:M1252,M1252,$N$1:N1252,N1252))=1,"00"&amp;COUNTIFS($J$1:J1252,$J1252,$K$1:K1252,$K1252,$L$1:L1252,$L1252,$M$1:M1252,M1252,$N$1:N1252,N1252),IF(LEN(COUNTIFS($J$1:J1252,$J1252,$K$1:K1252,$K1252,$L$1:L1252,$L1252,$M$1:M1252,M1252,$N$1:N1252,N1252))=2,"0"&amp;COUNTIFS($J$1:J1252,$J1252,$K$1:K1252,$K1252,$L$1:L1252,$L1252,$M$1:M1252,M1252,$N$1:N1252,N1252),COUNTIFS($J$1:J1252,$J1252,$K$1:K1252,$K1252,$L$1:L1252,$L1252,$M$1:M1252,M1252,$N$1:N1252,N1252)))</f>
        <v>003</v>
      </c>
      <c r="P125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MS-NS-003-23-00003-INV</v>
      </c>
      <c r="Q1252" s="59"/>
      <c r="R1252" s="34" t="s">
        <v>6928</v>
      </c>
      <c r="S1252" s="34" t="s">
        <v>3759</v>
      </c>
      <c r="T1252" s="34">
        <f>+IFERROR(_xlfn.XLOOKUP(Table43[[#This Row],[Column1]],#REF!,#REF!),0)</f>
        <v>0</v>
      </c>
      <c r="U1252" s="50">
        <f>IFERROR(_xlfn.XLOOKUP(Table43[[#This Row],[Column1]],#REF!,#REF!),0)</f>
        <v>0</v>
      </c>
      <c r="V1252" s="39"/>
    </row>
    <row r="1253" spans="1:22" x14ac:dyDescent="0.35">
      <c r="A1253" s="2" t="s">
        <v>3760</v>
      </c>
      <c r="B1253" s="2" t="s">
        <v>3761</v>
      </c>
      <c r="C1253" s="2" t="s">
        <v>15</v>
      </c>
      <c r="D1253" s="2">
        <v>0</v>
      </c>
      <c r="E1253" s="2" t="s">
        <v>10</v>
      </c>
      <c r="F1253" s="2">
        <v>1</v>
      </c>
      <c r="G1253" s="2">
        <v>2</v>
      </c>
      <c r="H1253" s="2">
        <v>0</v>
      </c>
      <c r="I1253" s="22">
        <f>Table43[[#This Row],[Item Cost]]*Table43[[#This Row],[In Stock]]</f>
        <v>0</v>
      </c>
      <c r="J1253" s="12" t="s">
        <v>4941</v>
      </c>
      <c r="K1253" s="13" t="s">
        <v>4666</v>
      </c>
      <c r="L1253" s="13" t="s">
        <v>4675</v>
      </c>
      <c r="M1253" s="13" t="s">
        <v>4734</v>
      </c>
      <c r="N1253" s="12" t="s">
        <v>4672</v>
      </c>
      <c r="O1253" s="17" t="str">
        <f>IF(LEN(COUNTIFS($J$1:J1253,$J1253,$K$1:K1253,$K1253,$L$1:L1253,$L1253,$M$1:M1253,M1253,$N$1:N1253,N1253))=1,"00"&amp;COUNTIFS($J$1:J1253,$J1253,$K$1:K1253,$K1253,$L$1:L1253,$L1253,$M$1:M1253,M1253,$N$1:N1253,N1253),IF(LEN(COUNTIFS($J$1:J1253,$J1253,$K$1:K1253,$K1253,$L$1:L1253,$L1253,$M$1:M1253,M1253,$N$1:N1253,N1253))=2,"0"&amp;COUNTIFS($J$1:J1253,$J1253,$K$1:K1253,$K1253,$L$1:L1253,$L1253,$M$1:M1253,M1253,$N$1:N1253,N1253),COUNTIFS($J$1:J1253,$J1253,$K$1:K1253,$K1253,$L$1:L1253,$L1253,$M$1:M1253,M1253,$N$1:N1253,N1253)))</f>
        <v>002</v>
      </c>
      <c r="P125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MS-NS-003-02-00002-INV</v>
      </c>
      <c r="Q1253" s="59"/>
      <c r="R1253" s="34" t="s">
        <v>6929</v>
      </c>
      <c r="S1253" s="34" t="s">
        <v>3761</v>
      </c>
      <c r="T1253" s="34">
        <f>+IFERROR(_xlfn.XLOOKUP(Table43[[#This Row],[Column1]],#REF!,#REF!),0)</f>
        <v>0</v>
      </c>
      <c r="U1253" s="50">
        <f>IFERROR(_xlfn.XLOOKUP(Table43[[#This Row],[Column1]],#REF!,#REF!),0)</f>
        <v>0</v>
      </c>
      <c r="V1253" s="39"/>
    </row>
    <row r="1254" spans="1:22" x14ac:dyDescent="0.35">
      <c r="A1254" s="3" t="s">
        <v>3762</v>
      </c>
      <c r="B1254" s="3" t="s">
        <v>3763</v>
      </c>
      <c r="C1254" s="3" t="s">
        <v>9</v>
      </c>
      <c r="D1254" s="5">
        <v>15252</v>
      </c>
      <c r="E1254" s="3" t="s">
        <v>10</v>
      </c>
      <c r="F1254" s="2">
        <v>1</v>
      </c>
      <c r="G1254" s="3">
        <v>2</v>
      </c>
      <c r="H1254" s="3">
        <v>1</v>
      </c>
      <c r="I1254" s="21">
        <f>Table43[[#This Row],[Item Cost]]*Table43[[#This Row],[In Stock]]</f>
        <v>15252</v>
      </c>
      <c r="J1254" s="12" t="s">
        <v>4941</v>
      </c>
      <c r="K1254" s="13" t="s">
        <v>4664</v>
      </c>
      <c r="L1254" s="13" t="s">
        <v>4675</v>
      </c>
      <c r="M1254" s="13" t="s">
        <v>4733</v>
      </c>
      <c r="N1254" s="12" t="s">
        <v>4672</v>
      </c>
      <c r="O1254" s="17" t="str">
        <f>IF(LEN(COUNTIFS($J$1:J1254,$J1254,$K$1:K1254,$K1254,$L$1:L1254,$L1254,$M$1:M1254,M1254,$N$1:N1254,N1254))=1,"00"&amp;COUNTIFS($J$1:J1254,$J1254,$K$1:K1254,$K1254,$L$1:L1254,$L1254,$M$1:M1254,M1254,$N$1:N1254,N1254),IF(LEN(COUNTIFS($J$1:J1254,$J1254,$K$1:K1254,$K1254,$L$1:L1254,$L1254,$M$1:M1254,M1254,$N$1:N1254,N1254))=2,"0"&amp;COUNTIFS($J$1:J1254,$J1254,$K$1:K1254,$K1254,$L$1:L1254,$L1254,$M$1:M1254,M1254,$N$1:N1254,N1254),COUNTIFS($J$1:J1254,$J1254,$K$1:K1254,$K1254,$L$1:L1254,$L1254,$M$1:M1254,M1254,$N$1:N1254,N1254)))</f>
        <v>001</v>
      </c>
      <c r="P125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MS-CS-003-01-00001-INV</v>
      </c>
      <c r="Q1254" s="59" t="s">
        <v>7390</v>
      </c>
      <c r="R1254" s="34" t="s">
        <v>6930</v>
      </c>
      <c r="S1254" s="34" t="s">
        <v>3763</v>
      </c>
      <c r="T1254" s="34">
        <f>+IFERROR(_xlfn.XLOOKUP(Table43[[#This Row],[Column1]],#REF!,#REF!),0)</f>
        <v>0</v>
      </c>
      <c r="U1254" s="50">
        <f>IFERROR(_xlfn.XLOOKUP(Table43[[#This Row],[Column1]],#REF!,#REF!),0)</f>
        <v>0</v>
      </c>
      <c r="V1254" s="39"/>
    </row>
    <row r="1255" spans="1:22" x14ac:dyDescent="0.35">
      <c r="A1255" s="2" t="s">
        <v>3764</v>
      </c>
      <c r="B1255" s="2" t="s">
        <v>3765</v>
      </c>
      <c r="C1255" s="2" t="s">
        <v>15</v>
      </c>
      <c r="D1255" s="2">
        <v>0</v>
      </c>
      <c r="E1255" s="2" t="s">
        <v>10</v>
      </c>
      <c r="F1255" s="2">
        <v>1</v>
      </c>
      <c r="G1255" s="2">
        <v>2</v>
      </c>
      <c r="H1255" s="2">
        <v>0</v>
      </c>
      <c r="I1255" s="22">
        <f>Table43[[#This Row],[Item Cost]]*Table43[[#This Row],[In Stock]]</f>
        <v>0</v>
      </c>
      <c r="J1255" s="12" t="s">
        <v>4941</v>
      </c>
      <c r="K1255" s="13" t="s">
        <v>4666</v>
      </c>
      <c r="L1255" s="13" t="s">
        <v>4675</v>
      </c>
      <c r="M1255" s="13" t="s">
        <v>4733</v>
      </c>
      <c r="N1255" s="12" t="s">
        <v>4672</v>
      </c>
      <c r="O1255" s="17" t="str">
        <f>IF(LEN(COUNTIFS($J$1:J1255,$J1255,$K$1:K1255,$K1255,$L$1:L1255,$L1255,$M$1:M1255,M1255,$N$1:N1255,N1255))=1,"00"&amp;COUNTIFS($J$1:J1255,$J1255,$K$1:K1255,$K1255,$L$1:L1255,$L1255,$M$1:M1255,M1255,$N$1:N1255,N1255),IF(LEN(COUNTIFS($J$1:J1255,$J1255,$K$1:K1255,$K1255,$L$1:L1255,$L1255,$M$1:M1255,M1255,$N$1:N1255,N1255))=2,"0"&amp;COUNTIFS($J$1:J1255,$J1255,$K$1:K1255,$K1255,$L$1:L1255,$L1255,$M$1:M1255,M1255,$N$1:N1255,N1255),COUNTIFS($J$1:J1255,$J1255,$K$1:K1255,$K1255,$L$1:L1255,$L1255,$M$1:M1255,M1255,$N$1:N1255,N1255)))</f>
        <v>001</v>
      </c>
      <c r="P125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MS-NS-003-01-00001-INV</v>
      </c>
      <c r="Q1255" s="59"/>
      <c r="R1255" s="34" t="s">
        <v>6931</v>
      </c>
      <c r="S1255" s="34" t="s">
        <v>3765</v>
      </c>
      <c r="T1255" s="34">
        <f>+IFERROR(_xlfn.XLOOKUP(Table43[[#This Row],[Column1]],#REF!,#REF!),0)</f>
        <v>0</v>
      </c>
      <c r="U1255" s="50">
        <f>IFERROR(_xlfn.XLOOKUP(Table43[[#This Row],[Column1]],#REF!,#REF!),0)</f>
        <v>0</v>
      </c>
      <c r="V1255" s="39"/>
    </row>
    <row r="1256" spans="1:22" x14ac:dyDescent="0.35">
      <c r="A1256" s="3" t="s">
        <v>3766</v>
      </c>
      <c r="B1256" s="3" t="s">
        <v>3767</v>
      </c>
      <c r="C1256" s="3" t="s">
        <v>15</v>
      </c>
      <c r="D1256" s="3">
        <v>0</v>
      </c>
      <c r="E1256" s="3" t="s">
        <v>10</v>
      </c>
      <c r="F1256" s="2">
        <v>1</v>
      </c>
      <c r="G1256" s="2">
        <v>2</v>
      </c>
      <c r="H1256" s="3">
        <v>0</v>
      </c>
      <c r="I1256" s="21">
        <f>Table43[[#This Row],[Item Cost]]*Table43[[#This Row],[In Stock]]</f>
        <v>0</v>
      </c>
      <c r="J1256" s="12" t="s">
        <v>4941</v>
      </c>
      <c r="K1256" s="13" t="s">
        <v>4666</v>
      </c>
      <c r="L1256" s="13" t="s">
        <v>4675</v>
      </c>
      <c r="M1256" s="13" t="s">
        <v>4840</v>
      </c>
      <c r="N1256" s="12" t="s">
        <v>4672</v>
      </c>
      <c r="O1256" s="17" t="str">
        <f>IF(LEN(COUNTIFS($J$1:J1256,$J1256,$K$1:K1256,$K1256,$L$1:L1256,$L1256,$M$1:M1256,M1256,$N$1:N1256,N1256))=1,"00"&amp;COUNTIFS($J$1:J1256,$J1256,$K$1:K1256,$K1256,$L$1:L1256,$L1256,$M$1:M1256,M1256,$N$1:N1256,N1256),IF(LEN(COUNTIFS($J$1:J1256,$J1256,$K$1:K1256,$K1256,$L$1:L1256,$L1256,$M$1:M1256,M1256,$N$1:N1256,N1256))=2,"0"&amp;COUNTIFS($J$1:J1256,$J1256,$K$1:K1256,$K1256,$L$1:L1256,$L1256,$M$1:M1256,M1256,$N$1:N1256,N1256),COUNTIFS($J$1:J1256,$J1256,$K$1:K1256,$K1256,$L$1:L1256,$L1256,$M$1:M1256,M1256,$N$1:N1256,N1256)))</f>
        <v>002</v>
      </c>
      <c r="P125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MS-NS-003-15-00002-INV</v>
      </c>
      <c r="Q1256" s="59"/>
      <c r="R1256" s="34" t="s">
        <v>6932</v>
      </c>
      <c r="S1256" s="34" t="s">
        <v>3767</v>
      </c>
      <c r="T1256" s="34">
        <f>+IFERROR(_xlfn.XLOOKUP(Table43[[#This Row],[Column1]],#REF!,#REF!),0)</f>
        <v>0</v>
      </c>
      <c r="U1256" s="50">
        <f>IFERROR(_xlfn.XLOOKUP(Table43[[#This Row],[Column1]],#REF!,#REF!),0)</f>
        <v>0</v>
      </c>
      <c r="V1256" s="39"/>
    </row>
    <row r="1257" spans="1:22" x14ac:dyDescent="0.35">
      <c r="A1257" s="2" t="s">
        <v>3768</v>
      </c>
      <c r="B1257" s="2" t="s">
        <v>3769</v>
      </c>
      <c r="C1257" s="2" t="s">
        <v>15</v>
      </c>
      <c r="D1257" s="2">
        <v>0</v>
      </c>
      <c r="E1257" s="2" t="s">
        <v>10</v>
      </c>
      <c r="F1257" s="2">
        <v>1</v>
      </c>
      <c r="G1257" s="2">
        <v>2</v>
      </c>
      <c r="H1257" s="2">
        <v>0</v>
      </c>
      <c r="I1257" s="22">
        <f>Table43[[#This Row],[Item Cost]]*Table43[[#This Row],[In Stock]]</f>
        <v>0</v>
      </c>
      <c r="J1257" s="12" t="s">
        <v>4941</v>
      </c>
      <c r="K1257" s="13" t="s">
        <v>4666</v>
      </c>
      <c r="L1257" s="13" t="s">
        <v>4675</v>
      </c>
      <c r="M1257" s="13" t="s">
        <v>4832</v>
      </c>
      <c r="N1257" s="12" t="s">
        <v>4672</v>
      </c>
      <c r="O1257" s="17" t="str">
        <f>IF(LEN(COUNTIFS($J$1:J1257,$J1257,$K$1:K1257,$K1257,$L$1:L1257,$L1257,$M$1:M1257,M1257,$N$1:N1257,N1257))=1,"00"&amp;COUNTIFS($J$1:J1257,$J1257,$K$1:K1257,$K1257,$L$1:L1257,$L1257,$M$1:M1257,M1257,$N$1:N1257,N1257),IF(LEN(COUNTIFS($J$1:J1257,$J1257,$K$1:K1257,$K1257,$L$1:L1257,$L1257,$M$1:M1257,M1257,$N$1:N1257,N1257))=2,"0"&amp;COUNTIFS($J$1:J1257,$J1257,$K$1:K1257,$K1257,$L$1:L1257,$L1257,$M$1:M1257,M1257,$N$1:N1257,N1257),COUNTIFS($J$1:J1257,$J1257,$K$1:K1257,$K1257,$L$1:L1257,$L1257,$M$1:M1257,M1257,$N$1:N1257,N1257)))</f>
        <v>001</v>
      </c>
      <c r="P125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MS-NS-003-07-00001-INV</v>
      </c>
      <c r="Q1257" s="59"/>
      <c r="R1257" s="34" t="s">
        <v>6933</v>
      </c>
      <c r="S1257" s="34" t="s">
        <v>3769</v>
      </c>
      <c r="T1257" s="34">
        <f>+IFERROR(_xlfn.XLOOKUP(Table43[[#This Row],[Column1]],#REF!,#REF!),0)</f>
        <v>0</v>
      </c>
      <c r="U1257" s="50">
        <f>IFERROR(_xlfn.XLOOKUP(Table43[[#This Row],[Column1]],#REF!,#REF!),0)</f>
        <v>0</v>
      </c>
      <c r="V1257" s="39"/>
    </row>
    <row r="1258" spans="1:22" x14ac:dyDescent="0.35">
      <c r="A1258" s="3" t="s">
        <v>3770</v>
      </c>
      <c r="B1258" s="3" t="s">
        <v>3771</v>
      </c>
      <c r="C1258" s="3" t="s">
        <v>15</v>
      </c>
      <c r="D1258" s="3">
        <v>0</v>
      </c>
      <c r="E1258" s="3" t="s">
        <v>10</v>
      </c>
      <c r="F1258" s="2">
        <v>1</v>
      </c>
      <c r="G1258" s="2">
        <v>2</v>
      </c>
      <c r="H1258" s="3">
        <v>0</v>
      </c>
      <c r="I1258" s="21">
        <f>Table43[[#This Row],[Item Cost]]*Table43[[#This Row],[In Stock]]</f>
        <v>0</v>
      </c>
      <c r="J1258" s="12" t="s">
        <v>4941</v>
      </c>
      <c r="K1258" s="13" t="s">
        <v>4666</v>
      </c>
      <c r="L1258" s="13" t="s">
        <v>4675</v>
      </c>
      <c r="M1258" s="13" t="s">
        <v>4837</v>
      </c>
      <c r="N1258" s="12" t="s">
        <v>4672</v>
      </c>
      <c r="O1258" s="17" t="str">
        <f>IF(LEN(COUNTIFS($J$1:J1258,$J1258,$K$1:K1258,$K1258,$L$1:L1258,$L1258,$M$1:M1258,M1258,$N$1:N1258,N1258))=1,"00"&amp;COUNTIFS($J$1:J1258,$J1258,$K$1:K1258,$K1258,$L$1:L1258,$L1258,$M$1:M1258,M1258,$N$1:N1258,N1258),IF(LEN(COUNTIFS($J$1:J1258,$J1258,$K$1:K1258,$K1258,$L$1:L1258,$L1258,$M$1:M1258,M1258,$N$1:N1258,N1258))=2,"0"&amp;COUNTIFS($J$1:J1258,$J1258,$K$1:K1258,$K1258,$L$1:L1258,$L1258,$M$1:M1258,M1258,$N$1:N1258,N1258),COUNTIFS($J$1:J1258,$J1258,$K$1:K1258,$K1258,$L$1:L1258,$L1258,$M$1:M1258,M1258,$N$1:N1258,N1258)))</f>
        <v>002</v>
      </c>
      <c r="P125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MS-NS-003-26-00002-INV</v>
      </c>
      <c r="Q1258" s="59" t="s">
        <v>7350</v>
      </c>
      <c r="R1258" s="34" t="s">
        <v>6934</v>
      </c>
      <c r="S1258" s="34" t="s">
        <v>3771</v>
      </c>
      <c r="T1258" s="34">
        <f>+IFERROR(_xlfn.XLOOKUP(Table43[[#This Row],[Column1]],#REF!,#REF!),0)</f>
        <v>0</v>
      </c>
      <c r="U1258" s="50">
        <f>IFERROR(_xlfn.XLOOKUP(Table43[[#This Row],[Column1]],#REF!,#REF!),0)</f>
        <v>0</v>
      </c>
      <c r="V1258" s="39"/>
    </row>
    <row r="1259" spans="1:22" x14ac:dyDescent="0.35">
      <c r="A1259" s="2" t="s">
        <v>3772</v>
      </c>
      <c r="B1259" s="2" t="s">
        <v>3773</v>
      </c>
      <c r="C1259" s="2" t="s">
        <v>15</v>
      </c>
      <c r="D1259" s="2">
        <v>0</v>
      </c>
      <c r="E1259" s="2" t="s">
        <v>10</v>
      </c>
      <c r="F1259" s="2">
        <v>1</v>
      </c>
      <c r="G1259" s="2">
        <v>2</v>
      </c>
      <c r="H1259" s="2">
        <v>0</v>
      </c>
      <c r="I1259" s="22">
        <f>Table43[[#This Row],[Item Cost]]*Table43[[#This Row],[In Stock]]</f>
        <v>0</v>
      </c>
      <c r="J1259" s="12" t="s">
        <v>4941</v>
      </c>
      <c r="K1259" s="13" t="s">
        <v>4666</v>
      </c>
      <c r="L1259" s="13" t="s">
        <v>4675</v>
      </c>
      <c r="M1259" s="13" t="s">
        <v>4837</v>
      </c>
      <c r="N1259" s="12" t="s">
        <v>4672</v>
      </c>
      <c r="O1259" s="17" t="str">
        <f>IF(LEN(COUNTIFS($J$1:J1259,$J1259,$K$1:K1259,$K1259,$L$1:L1259,$L1259,$M$1:M1259,M1259,$N$1:N1259,N1259))=1,"00"&amp;COUNTIFS($J$1:J1259,$J1259,$K$1:K1259,$K1259,$L$1:L1259,$L1259,$M$1:M1259,M1259,$N$1:N1259,N1259),IF(LEN(COUNTIFS($J$1:J1259,$J1259,$K$1:K1259,$K1259,$L$1:L1259,$L1259,$M$1:M1259,M1259,$N$1:N1259,N1259))=2,"0"&amp;COUNTIFS($J$1:J1259,$J1259,$K$1:K1259,$K1259,$L$1:L1259,$L1259,$M$1:M1259,M1259,$N$1:N1259,N1259),COUNTIFS($J$1:J1259,$J1259,$K$1:K1259,$K1259,$L$1:L1259,$L1259,$M$1:M1259,M1259,$N$1:N1259,N1259)))</f>
        <v>003</v>
      </c>
      <c r="P125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MS-NS-003-26-00003-INV</v>
      </c>
      <c r="Q1259" s="59" t="s">
        <v>7350</v>
      </c>
      <c r="R1259" s="34" t="s">
        <v>6935</v>
      </c>
      <c r="S1259" s="34" t="s">
        <v>3773</v>
      </c>
      <c r="T1259" s="34">
        <f>+IFERROR(_xlfn.XLOOKUP(Table43[[#This Row],[Column1]],#REF!,#REF!),0)</f>
        <v>0</v>
      </c>
      <c r="U1259" s="50">
        <f>IFERROR(_xlfn.XLOOKUP(Table43[[#This Row],[Column1]],#REF!,#REF!),0)</f>
        <v>0</v>
      </c>
      <c r="V1259" s="39"/>
    </row>
    <row r="1260" spans="1:22" x14ac:dyDescent="0.35">
      <c r="A1260" s="3" t="s">
        <v>3774</v>
      </c>
      <c r="B1260" s="3" t="s">
        <v>3775</v>
      </c>
      <c r="C1260" s="3" t="s">
        <v>15</v>
      </c>
      <c r="D1260" s="3">
        <v>0</v>
      </c>
      <c r="E1260" s="3" t="s">
        <v>10</v>
      </c>
      <c r="F1260" s="2">
        <v>1</v>
      </c>
      <c r="G1260" s="2">
        <v>2</v>
      </c>
      <c r="H1260" s="3">
        <v>0</v>
      </c>
      <c r="I1260" s="21">
        <f>Table43[[#This Row],[Item Cost]]*Table43[[#This Row],[In Stock]]</f>
        <v>0</v>
      </c>
      <c r="J1260" s="12" t="s">
        <v>4941</v>
      </c>
      <c r="K1260" s="13" t="s">
        <v>4666</v>
      </c>
      <c r="L1260" s="13" t="s">
        <v>4675</v>
      </c>
      <c r="M1260" s="13" t="s">
        <v>4837</v>
      </c>
      <c r="N1260" s="12" t="s">
        <v>4672</v>
      </c>
      <c r="O1260" s="17" t="str">
        <f>IF(LEN(COUNTIFS($J$1:J1260,$J1260,$K$1:K1260,$K1260,$L$1:L1260,$L1260,$M$1:M1260,M1260,$N$1:N1260,N1260))=1,"00"&amp;COUNTIFS($J$1:J1260,$J1260,$K$1:K1260,$K1260,$L$1:L1260,$L1260,$M$1:M1260,M1260,$N$1:N1260,N1260),IF(LEN(COUNTIFS($J$1:J1260,$J1260,$K$1:K1260,$K1260,$L$1:L1260,$L1260,$M$1:M1260,M1260,$N$1:N1260,N1260))=2,"0"&amp;COUNTIFS($J$1:J1260,$J1260,$K$1:K1260,$K1260,$L$1:L1260,$L1260,$M$1:M1260,M1260,$N$1:N1260,N1260),COUNTIFS($J$1:J1260,$J1260,$K$1:K1260,$K1260,$L$1:L1260,$L1260,$M$1:M1260,M1260,$N$1:N1260,N1260)))</f>
        <v>004</v>
      </c>
      <c r="P126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MS-NS-003-26-00004-INV</v>
      </c>
      <c r="Q1260" s="59" t="s">
        <v>7350</v>
      </c>
      <c r="R1260" s="34" t="s">
        <v>6936</v>
      </c>
      <c r="S1260" s="34" t="s">
        <v>3775</v>
      </c>
      <c r="T1260" s="34">
        <f>+IFERROR(_xlfn.XLOOKUP(Table43[[#This Row],[Column1]],#REF!,#REF!),0)</f>
        <v>0</v>
      </c>
      <c r="U1260" s="50">
        <f>IFERROR(_xlfn.XLOOKUP(Table43[[#This Row],[Column1]],#REF!,#REF!),0)</f>
        <v>0</v>
      </c>
      <c r="V1260" s="39"/>
    </row>
    <row r="1261" spans="1:22" x14ac:dyDescent="0.35">
      <c r="A1261" s="2" t="s">
        <v>3776</v>
      </c>
      <c r="B1261" s="2" t="s">
        <v>3777</v>
      </c>
      <c r="C1261" s="2" t="s">
        <v>15</v>
      </c>
      <c r="D1261" s="2">
        <v>0</v>
      </c>
      <c r="E1261" s="2" t="s">
        <v>10</v>
      </c>
      <c r="F1261" s="2">
        <v>1</v>
      </c>
      <c r="G1261" s="2">
        <v>2</v>
      </c>
      <c r="H1261" s="2">
        <v>0</v>
      </c>
      <c r="I1261" s="22">
        <f>Table43[[#This Row],[Item Cost]]*Table43[[#This Row],[In Stock]]</f>
        <v>0</v>
      </c>
      <c r="J1261" s="12" t="s">
        <v>4941</v>
      </c>
      <c r="K1261" s="13" t="s">
        <v>4666</v>
      </c>
      <c r="L1261" s="13" t="s">
        <v>4675</v>
      </c>
      <c r="M1261" s="13" t="s">
        <v>4837</v>
      </c>
      <c r="N1261" s="12" t="s">
        <v>4672</v>
      </c>
      <c r="O1261" s="17" t="str">
        <f>IF(LEN(COUNTIFS($J$1:J1261,$J1261,$K$1:K1261,$K1261,$L$1:L1261,$L1261,$M$1:M1261,M1261,$N$1:N1261,N1261))=1,"00"&amp;COUNTIFS($J$1:J1261,$J1261,$K$1:K1261,$K1261,$L$1:L1261,$L1261,$M$1:M1261,M1261,$N$1:N1261,N1261),IF(LEN(COUNTIFS($J$1:J1261,$J1261,$K$1:K1261,$K1261,$L$1:L1261,$L1261,$M$1:M1261,M1261,$N$1:N1261,N1261))=2,"0"&amp;COUNTIFS($J$1:J1261,$J1261,$K$1:K1261,$K1261,$L$1:L1261,$L1261,$M$1:M1261,M1261,$N$1:N1261,N1261),COUNTIFS($J$1:J1261,$J1261,$K$1:K1261,$K1261,$L$1:L1261,$L1261,$M$1:M1261,M1261,$N$1:N1261,N1261)))</f>
        <v>005</v>
      </c>
      <c r="P126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MS-NS-003-26-00005-INV</v>
      </c>
      <c r="Q1261" s="59" t="s">
        <v>7391</v>
      </c>
      <c r="R1261" s="34" t="s">
        <v>6937</v>
      </c>
      <c r="S1261" s="34" t="s">
        <v>3777</v>
      </c>
      <c r="T1261" s="34">
        <f>+IFERROR(_xlfn.XLOOKUP(Table43[[#This Row],[Column1]],#REF!,#REF!),0)</f>
        <v>0</v>
      </c>
      <c r="U1261" s="50">
        <f>IFERROR(_xlfn.XLOOKUP(Table43[[#This Row],[Column1]],#REF!,#REF!),0)</f>
        <v>0</v>
      </c>
      <c r="V1261" s="39"/>
    </row>
    <row r="1262" spans="1:22" x14ac:dyDescent="0.35">
      <c r="A1262" s="3" t="s">
        <v>3778</v>
      </c>
      <c r="B1262" s="3" t="s">
        <v>3779</v>
      </c>
      <c r="C1262" s="3" t="s">
        <v>15</v>
      </c>
      <c r="D1262" s="3">
        <v>0</v>
      </c>
      <c r="E1262" s="3" t="s">
        <v>10</v>
      </c>
      <c r="F1262" s="2">
        <v>1</v>
      </c>
      <c r="G1262" s="2">
        <v>2</v>
      </c>
      <c r="H1262" s="3">
        <v>0</v>
      </c>
      <c r="I1262" s="21">
        <f>Table43[[#This Row],[Item Cost]]*Table43[[#This Row],[In Stock]]</f>
        <v>0</v>
      </c>
      <c r="J1262" s="12" t="s">
        <v>4941</v>
      </c>
      <c r="K1262" s="13" t="s">
        <v>4666</v>
      </c>
      <c r="L1262" s="13" t="s">
        <v>4675</v>
      </c>
      <c r="M1262" s="13" t="s">
        <v>3950</v>
      </c>
      <c r="N1262" s="12" t="s">
        <v>4672</v>
      </c>
      <c r="O1262" s="17" t="str">
        <f>IF(LEN(COUNTIFS($J$1:J1262,$J1262,$K$1:K1262,$K1262,$L$1:L1262,$L1262,$M$1:M1262,M1262,$N$1:N1262,N1262))=1,"00"&amp;COUNTIFS($J$1:J1262,$J1262,$K$1:K1262,$K1262,$L$1:L1262,$L1262,$M$1:M1262,M1262,$N$1:N1262,N1262),IF(LEN(COUNTIFS($J$1:J1262,$J1262,$K$1:K1262,$K1262,$L$1:L1262,$L1262,$M$1:M1262,M1262,$N$1:N1262,N1262))=2,"0"&amp;COUNTIFS($J$1:J1262,$J1262,$K$1:K1262,$K1262,$L$1:L1262,$L1262,$M$1:M1262,M1262,$N$1:N1262,N1262),COUNTIFS($J$1:J1262,$J1262,$K$1:K1262,$K1262,$L$1:L1262,$L1262,$M$1:M1262,M1262,$N$1:N1262,N1262)))</f>
        <v>002</v>
      </c>
      <c r="P126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MS-NS-003-22-00002-INV</v>
      </c>
      <c r="Q1262" s="59"/>
      <c r="R1262" s="34" t="s">
        <v>6938</v>
      </c>
      <c r="S1262" s="34" t="s">
        <v>3779</v>
      </c>
      <c r="T1262" s="34">
        <f>+IFERROR(_xlfn.XLOOKUP(Table43[[#This Row],[Column1]],#REF!,#REF!),0)</f>
        <v>0</v>
      </c>
      <c r="U1262" s="50">
        <f>IFERROR(_xlfn.XLOOKUP(Table43[[#This Row],[Column1]],#REF!,#REF!),0)</f>
        <v>0</v>
      </c>
      <c r="V1262" s="39"/>
    </row>
    <row r="1263" spans="1:22" x14ac:dyDescent="0.35">
      <c r="A1263" s="2" t="s">
        <v>3780</v>
      </c>
      <c r="B1263" s="2" t="s">
        <v>3781</v>
      </c>
      <c r="C1263" s="2" t="s">
        <v>15</v>
      </c>
      <c r="D1263" s="2">
        <v>0</v>
      </c>
      <c r="E1263" s="2" t="s">
        <v>10</v>
      </c>
      <c r="F1263" s="2">
        <v>1</v>
      </c>
      <c r="G1263" s="2">
        <v>2</v>
      </c>
      <c r="H1263" s="2">
        <v>0</v>
      </c>
      <c r="I1263" s="22">
        <f>Table43[[#This Row],[Item Cost]]*Table43[[#This Row],[In Stock]]</f>
        <v>0</v>
      </c>
      <c r="J1263" s="12" t="s">
        <v>4941</v>
      </c>
      <c r="K1263" s="13" t="s">
        <v>4666</v>
      </c>
      <c r="L1263" s="13" t="s">
        <v>4675</v>
      </c>
      <c r="M1263" s="13" t="s">
        <v>3950</v>
      </c>
      <c r="N1263" s="12" t="s">
        <v>4672</v>
      </c>
      <c r="O1263" s="17" t="str">
        <f>IF(LEN(COUNTIFS($J$1:J1263,$J1263,$K$1:K1263,$K1263,$L$1:L1263,$L1263,$M$1:M1263,M1263,$N$1:N1263,N1263))=1,"00"&amp;COUNTIFS($J$1:J1263,$J1263,$K$1:K1263,$K1263,$L$1:L1263,$L1263,$M$1:M1263,M1263,$N$1:N1263,N1263),IF(LEN(COUNTIFS($J$1:J1263,$J1263,$K$1:K1263,$K1263,$L$1:L1263,$L1263,$M$1:M1263,M1263,$N$1:N1263,N1263))=2,"0"&amp;COUNTIFS($J$1:J1263,$J1263,$K$1:K1263,$K1263,$L$1:L1263,$L1263,$M$1:M1263,M1263,$N$1:N1263,N1263),COUNTIFS($J$1:J1263,$J1263,$K$1:K1263,$K1263,$L$1:L1263,$L1263,$M$1:M1263,M1263,$N$1:N1263,N1263)))</f>
        <v>003</v>
      </c>
      <c r="P126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MS-NS-003-22-00003-INV</v>
      </c>
      <c r="Q1263" s="59"/>
      <c r="R1263" s="34" t="s">
        <v>6939</v>
      </c>
      <c r="S1263" s="34" t="s">
        <v>3781</v>
      </c>
      <c r="T1263" s="34">
        <f>+IFERROR(_xlfn.XLOOKUP(Table43[[#This Row],[Column1]],#REF!,#REF!),0)</f>
        <v>0</v>
      </c>
      <c r="U1263" s="50">
        <f>IFERROR(_xlfn.XLOOKUP(Table43[[#This Row],[Column1]],#REF!,#REF!),0)</f>
        <v>0</v>
      </c>
      <c r="V1263" s="39"/>
    </row>
    <row r="1264" spans="1:22" x14ac:dyDescent="0.35">
      <c r="A1264" s="3" t="s">
        <v>3782</v>
      </c>
      <c r="B1264" s="3" t="s">
        <v>3783</v>
      </c>
      <c r="C1264" s="3" t="s">
        <v>15</v>
      </c>
      <c r="D1264" s="3">
        <v>0</v>
      </c>
      <c r="E1264" s="3" t="s">
        <v>10</v>
      </c>
      <c r="F1264" s="2">
        <v>1</v>
      </c>
      <c r="G1264" s="2">
        <v>2</v>
      </c>
      <c r="H1264" s="3">
        <v>0</v>
      </c>
      <c r="I1264" s="21">
        <f>Table43[[#This Row],[Item Cost]]*Table43[[#This Row],[In Stock]]</f>
        <v>0</v>
      </c>
      <c r="J1264" s="12" t="s">
        <v>4941</v>
      </c>
      <c r="K1264" s="13" t="s">
        <v>4666</v>
      </c>
      <c r="L1264" s="13" t="s">
        <v>4675</v>
      </c>
      <c r="M1264" s="13" t="s">
        <v>4837</v>
      </c>
      <c r="N1264" s="12" t="s">
        <v>4672</v>
      </c>
      <c r="O1264" s="17" t="str">
        <f>IF(LEN(COUNTIFS($J$1:J1264,$J1264,$K$1:K1264,$K1264,$L$1:L1264,$L1264,$M$1:M1264,M1264,$N$1:N1264,N1264))=1,"00"&amp;COUNTIFS($J$1:J1264,$J1264,$K$1:K1264,$K1264,$L$1:L1264,$L1264,$M$1:M1264,M1264,$N$1:N1264,N1264),IF(LEN(COUNTIFS($J$1:J1264,$J1264,$K$1:K1264,$K1264,$L$1:L1264,$L1264,$M$1:M1264,M1264,$N$1:N1264,N1264))=2,"0"&amp;COUNTIFS($J$1:J1264,$J1264,$K$1:K1264,$K1264,$L$1:L1264,$L1264,$M$1:M1264,M1264,$N$1:N1264,N1264),COUNTIFS($J$1:J1264,$J1264,$K$1:K1264,$K1264,$L$1:L1264,$L1264,$M$1:M1264,M1264,$N$1:N1264,N1264)))</f>
        <v>006</v>
      </c>
      <c r="P126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MS-NS-003-26-00006-INV</v>
      </c>
      <c r="Q1264" s="59"/>
      <c r="R1264" s="34" t="s">
        <v>6940</v>
      </c>
      <c r="S1264" s="34" t="s">
        <v>3783</v>
      </c>
      <c r="T1264" s="34">
        <f>+IFERROR(_xlfn.XLOOKUP(Table43[[#This Row],[Column1]],#REF!,#REF!),0)</f>
        <v>0</v>
      </c>
      <c r="U1264" s="50">
        <f>IFERROR(_xlfn.XLOOKUP(Table43[[#This Row],[Column1]],#REF!,#REF!),0)</f>
        <v>0</v>
      </c>
      <c r="V1264" s="39"/>
    </row>
    <row r="1265" spans="1:22" x14ac:dyDescent="0.35">
      <c r="A1265" s="2" t="s">
        <v>3784</v>
      </c>
      <c r="B1265" s="2" t="s">
        <v>3785</v>
      </c>
      <c r="C1265" s="2" t="s">
        <v>9</v>
      </c>
      <c r="D1265" s="4">
        <v>2750</v>
      </c>
      <c r="E1265" s="2" t="s">
        <v>10</v>
      </c>
      <c r="F1265" s="2">
        <v>1</v>
      </c>
      <c r="G1265" s="3">
        <v>2</v>
      </c>
      <c r="H1265" s="2">
        <v>1</v>
      </c>
      <c r="I1265" s="22">
        <f>Table43[[#This Row],[Item Cost]]*Table43[[#This Row],[In Stock]]</f>
        <v>2750</v>
      </c>
      <c r="J1265" s="12" t="s">
        <v>4941</v>
      </c>
      <c r="K1265" s="13" t="s">
        <v>4664</v>
      </c>
      <c r="L1265" s="13" t="s">
        <v>4675</v>
      </c>
      <c r="M1265" s="13" t="s">
        <v>3950</v>
      </c>
      <c r="N1265" s="12" t="s">
        <v>4672</v>
      </c>
      <c r="O1265" s="17" t="str">
        <f>IF(LEN(COUNTIFS($J$1:J1265,$J1265,$K$1:K1265,$K1265,$L$1:L1265,$L1265,$M$1:M1265,M1265,$N$1:N1265,N1265))=1,"00"&amp;COUNTIFS($J$1:J1265,$J1265,$K$1:K1265,$K1265,$L$1:L1265,$L1265,$M$1:M1265,M1265,$N$1:N1265,N1265),IF(LEN(COUNTIFS($J$1:J1265,$J1265,$K$1:K1265,$K1265,$L$1:L1265,$L1265,$M$1:M1265,M1265,$N$1:N1265,N1265))=2,"0"&amp;COUNTIFS($J$1:J1265,$J1265,$K$1:K1265,$K1265,$L$1:L1265,$L1265,$M$1:M1265,M1265,$N$1:N1265,N1265),COUNTIFS($J$1:J1265,$J1265,$K$1:K1265,$K1265,$L$1:L1265,$L1265,$M$1:M1265,M1265,$N$1:N1265,N1265)))</f>
        <v>001</v>
      </c>
      <c r="P126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MS-CS-003-22-00001-INV</v>
      </c>
      <c r="Q1265" s="59"/>
      <c r="R1265" s="34" t="s">
        <v>6941</v>
      </c>
      <c r="S1265" s="34" t="s">
        <v>3785</v>
      </c>
      <c r="T1265" s="34">
        <f>+IFERROR(_xlfn.XLOOKUP(Table43[[#This Row],[Column1]],#REF!,#REF!),0)</f>
        <v>0</v>
      </c>
      <c r="U1265" s="50">
        <f>IFERROR(_xlfn.XLOOKUP(Table43[[#This Row],[Column1]],#REF!,#REF!),0)</f>
        <v>0</v>
      </c>
      <c r="V1265" s="39"/>
    </row>
    <row r="1266" spans="1:22" x14ac:dyDescent="0.35">
      <c r="A1266" s="3" t="s">
        <v>3786</v>
      </c>
      <c r="B1266" s="3" t="s">
        <v>3787</v>
      </c>
      <c r="C1266" s="3" t="s">
        <v>15</v>
      </c>
      <c r="D1266" s="3">
        <v>0</v>
      </c>
      <c r="E1266" s="3" t="s">
        <v>10</v>
      </c>
      <c r="F1266" s="2">
        <v>1</v>
      </c>
      <c r="G1266" s="2">
        <v>2</v>
      </c>
      <c r="H1266" s="3">
        <v>0</v>
      </c>
      <c r="I1266" s="21">
        <f>Table43[[#This Row],[Item Cost]]*Table43[[#This Row],[In Stock]]</f>
        <v>0</v>
      </c>
      <c r="J1266" s="12" t="s">
        <v>4941</v>
      </c>
      <c r="K1266" s="13" t="s">
        <v>4666</v>
      </c>
      <c r="L1266" s="13" t="s">
        <v>4675</v>
      </c>
      <c r="M1266" s="13" t="s">
        <v>4837</v>
      </c>
      <c r="N1266" s="12" t="s">
        <v>4672</v>
      </c>
      <c r="O1266" s="17" t="str">
        <f>IF(LEN(COUNTIFS($J$1:J1266,$J1266,$K$1:K1266,$K1266,$L$1:L1266,$L1266,$M$1:M1266,M1266,$N$1:N1266,N1266))=1,"00"&amp;COUNTIFS($J$1:J1266,$J1266,$K$1:K1266,$K1266,$L$1:L1266,$L1266,$M$1:M1266,M1266,$N$1:N1266,N1266),IF(LEN(COUNTIFS($J$1:J1266,$J1266,$K$1:K1266,$K1266,$L$1:L1266,$L1266,$M$1:M1266,M1266,$N$1:N1266,N1266))=2,"0"&amp;COUNTIFS($J$1:J1266,$J1266,$K$1:K1266,$K1266,$L$1:L1266,$L1266,$M$1:M1266,M1266,$N$1:N1266,N1266),COUNTIFS($J$1:J1266,$J1266,$K$1:K1266,$K1266,$L$1:L1266,$L1266,$M$1:M1266,M1266,$N$1:N1266,N1266)))</f>
        <v>007</v>
      </c>
      <c r="P126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MS-NS-003-26-00007-INV</v>
      </c>
      <c r="Q1266" s="59"/>
      <c r="R1266" s="34" t="s">
        <v>6942</v>
      </c>
      <c r="S1266" s="34" t="s">
        <v>3787</v>
      </c>
      <c r="T1266" s="34">
        <f>+IFERROR(_xlfn.XLOOKUP(Table43[[#This Row],[Column1]],#REF!,#REF!),0)</f>
        <v>0</v>
      </c>
      <c r="U1266" s="50">
        <f>IFERROR(_xlfn.XLOOKUP(Table43[[#This Row],[Column1]],#REF!,#REF!),0)</f>
        <v>0</v>
      </c>
      <c r="V1266" s="39"/>
    </row>
    <row r="1267" spans="1:22" x14ac:dyDescent="0.35">
      <c r="A1267" s="2" t="s">
        <v>3788</v>
      </c>
      <c r="B1267" s="2" t="s">
        <v>3789</v>
      </c>
      <c r="C1267" s="2" t="s">
        <v>15</v>
      </c>
      <c r="D1267" s="2">
        <v>0</v>
      </c>
      <c r="E1267" s="2" t="s">
        <v>10</v>
      </c>
      <c r="F1267" s="2">
        <v>1</v>
      </c>
      <c r="G1267" s="2">
        <v>2</v>
      </c>
      <c r="H1267" s="2">
        <v>0</v>
      </c>
      <c r="I1267" s="22">
        <f>Table43[[#This Row],[Item Cost]]*Table43[[#This Row],[In Stock]]</f>
        <v>0</v>
      </c>
      <c r="J1267" s="12" t="s">
        <v>4941</v>
      </c>
      <c r="K1267" s="13" t="s">
        <v>4666</v>
      </c>
      <c r="L1267" s="13" t="s">
        <v>4675</v>
      </c>
      <c r="M1267" s="13" t="s">
        <v>4837</v>
      </c>
      <c r="N1267" s="12" t="s">
        <v>4672</v>
      </c>
      <c r="O1267" s="17" t="str">
        <f>IF(LEN(COUNTIFS($J$1:J1267,$J1267,$K$1:K1267,$K1267,$L$1:L1267,$L1267,$M$1:M1267,M1267,$N$1:N1267,N1267))=1,"00"&amp;COUNTIFS($J$1:J1267,$J1267,$K$1:K1267,$K1267,$L$1:L1267,$L1267,$M$1:M1267,M1267,$N$1:N1267,N1267),IF(LEN(COUNTIFS($J$1:J1267,$J1267,$K$1:K1267,$K1267,$L$1:L1267,$L1267,$M$1:M1267,M1267,$N$1:N1267,N1267))=2,"0"&amp;COUNTIFS($J$1:J1267,$J1267,$K$1:K1267,$K1267,$L$1:L1267,$L1267,$M$1:M1267,M1267,$N$1:N1267,N1267),COUNTIFS($J$1:J1267,$J1267,$K$1:K1267,$K1267,$L$1:L1267,$L1267,$M$1:M1267,M1267,$N$1:N1267,N1267)))</f>
        <v>008</v>
      </c>
      <c r="P126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MS-NS-003-26-00008-INV</v>
      </c>
      <c r="Q1267" s="59"/>
      <c r="R1267" s="34" t="s">
        <v>6943</v>
      </c>
      <c r="S1267" s="34" t="s">
        <v>3789</v>
      </c>
      <c r="T1267" s="34">
        <f>+IFERROR(_xlfn.XLOOKUP(Table43[[#This Row],[Column1]],#REF!,#REF!),0)</f>
        <v>0</v>
      </c>
      <c r="U1267" s="50">
        <f>IFERROR(_xlfn.XLOOKUP(Table43[[#This Row],[Column1]],#REF!,#REF!),0)</f>
        <v>0</v>
      </c>
      <c r="V1267" s="39"/>
    </row>
    <row r="1268" spans="1:22" x14ac:dyDescent="0.35">
      <c r="A1268" s="3" t="s">
        <v>3790</v>
      </c>
      <c r="B1268" s="3" t="s">
        <v>3791</v>
      </c>
      <c r="C1268" s="3" t="s">
        <v>15</v>
      </c>
      <c r="D1268" s="3">
        <v>0</v>
      </c>
      <c r="E1268" s="3" t="s">
        <v>10</v>
      </c>
      <c r="F1268" s="2">
        <v>1</v>
      </c>
      <c r="G1268" s="2">
        <v>2</v>
      </c>
      <c r="H1268" s="3">
        <v>0</v>
      </c>
      <c r="I1268" s="21">
        <f>Table43[[#This Row],[Item Cost]]*Table43[[#This Row],[In Stock]]</f>
        <v>0</v>
      </c>
      <c r="J1268" s="12" t="s">
        <v>4941</v>
      </c>
      <c r="K1268" s="13" t="s">
        <v>4666</v>
      </c>
      <c r="L1268" s="13" t="s">
        <v>4675</v>
      </c>
      <c r="M1268" s="13" t="s">
        <v>4837</v>
      </c>
      <c r="N1268" s="12" t="s">
        <v>4672</v>
      </c>
      <c r="O1268" s="17" t="str">
        <f>IF(LEN(COUNTIFS($J$1:J1268,$J1268,$K$1:K1268,$K1268,$L$1:L1268,$L1268,$M$1:M1268,M1268,$N$1:N1268,N1268))=1,"00"&amp;COUNTIFS($J$1:J1268,$J1268,$K$1:K1268,$K1268,$L$1:L1268,$L1268,$M$1:M1268,M1268,$N$1:N1268,N1268),IF(LEN(COUNTIFS($J$1:J1268,$J1268,$K$1:K1268,$K1268,$L$1:L1268,$L1268,$M$1:M1268,M1268,$N$1:N1268,N1268))=2,"0"&amp;COUNTIFS($J$1:J1268,$J1268,$K$1:K1268,$K1268,$L$1:L1268,$L1268,$M$1:M1268,M1268,$N$1:N1268,N1268),COUNTIFS($J$1:J1268,$J1268,$K$1:K1268,$K1268,$L$1:L1268,$L1268,$M$1:M1268,M1268,$N$1:N1268,N1268)))</f>
        <v>009</v>
      </c>
      <c r="P126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MS-NS-003-26-00009-INV</v>
      </c>
      <c r="Q1268" s="59"/>
      <c r="R1268" s="34" t="s">
        <v>6944</v>
      </c>
      <c r="S1268" s="34" t="s">
        <v>3791</v>
      </c>
      <c r="T1268" s="34">
        <f>+IFERROR(_xlfn.XLOOKUP(Table43[[#This Row],[Column1]],#REF!,#REF!),0)</f>
        <v>0</v>
      </c>
      <c r="U1268" s="50">
        <f>IFERROR(_xlfn.XLOOKUP(Table43[[#This Row],[Column1]],#REF!,#REF!),0)</f>
        <v>0</v>
      </c>
      <c r="V1268" s="39"/>
    </row>
    <row r="1269" spans="1:22" x14ac:dyDescent="0.35">
      <c r="A1269" s="2" t="s">
        <v>3792</v>
      </c>
      <c r="B1269" s="2" t="s">
        <v>3793</v>
      </c>
      <c r="C1269" s="2" t="s">
        <v>15</v>
      </c>
      <c r="D1269" s="2">
        <v>0</v>
      </c>
      <c r="E1269" s="2" t="s">
        <v>10</v>
      </c>
      <c r="F1269" s="2">
        <v>1</v>
      </c>
      <c r="G1269" s="2">
        <v>2</v>
      </c>
      <c r="H1269" s="2">
        <v>0</v>
      </c>
      <c r="I1269" s="22">
        <f>Table43[[#This Row],[Item Cost]]*Table43[[#This Row],[In Stock]]</f>
        <v>0</v>
      </c>
      <c r="J1269" s="12" t="s">
        <v>4941</v>
      </c>
      <c r="K1269" s="13" t="s">
        <v>4666</v>
      </c>
      <c r="L1269" s="13" t="s">
        <v>4675</v>
      </c>
      <c r="M1269" s="13" t="s">
        <v>4837</v>
      </c>
      <c r="N1269" s="12" t="s">
        <v>4672</v>
      </c>
      <c r="O1269" s="17" t="str">
        <f>IF(LEN(COUNTIFS($J$1:J1269,$J1269,$K$1:K1269,$K1269,$L$1:L1269,$L1269,$M$1:M1269,M1269,$N$1:N1269,N1269))=1,"00"&amp;COUNTIFS($J$1:J1269,$J1269,$K$1:K1269,$K1269,$L$1:L1269,$L1269,$M$1:M1269,M1269,$N$1:N1269,N1269),IF(LEN(COUNTIFS($J$1:J1269,$J1269,$K$1:K1269,$K1269,$L$1:L1269,$L1269,$M$1:M1269,M1269,$N$1:N1269,N1269))=2,"0"&amp;COUNTIFS($J$1:J1269,$J1269,$K$1:K1269,$K1269,$L$1:L1269,$L1269,$M$1:M1269,M1269,$N$1:N1269,N1269),COUNTIFS($J$1:J1269,$J1269,$K$1:K1269,$K1269,$L$1:L1269,$L1269,$M$1:M1269,M1269,$N$1:N1269,N1269)))</f>
        <v>010</v>
      </c>
      <c r="P126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MS-NS-003-26-00010-INV</v>
      </c>
      <c r="Q1269" s="59"/>
      <c r="R1269" s="34" t="s">
        <v>6945</v>
      </c>
      <c r="S1269" s="34" t="s">
        <v>3793</v>
      </c>
      <c r="T1269" s="34">
        <f>+IFERROR(_xlfn.XLOOKUP(Table43[[#This Row],[Column1]],#REF!,#REF!),0)</f>
        <v>0</v>
      </c>
      <c r="U1269" s="50">
        <f>IFERROR(_xlfn.XLOOKUP(Table43[[#This Row],[Column1]],#REF!,#REF!),0)</f>
        <v>0</v>
      </c>
      <c r="V1269" s="39"/>
    </row>
    <row r="1270" spans="1:22" x14ac:dyDescent="0.35">
      <c r="A1270" s="3" t="s">
        <v>3794</v>
      </c>
      <c r="B1270" s="3" t="s">
        <v>3795</v>
      </c>
      <c r="C1270" s="3" t="s">
        <v>15</v>
      </c>
      <c r="D1270" s="3">
        <v>0</v>
      </c>
      <c r="E1270" s="3" t="s">
        <v>10</v>
      </c>
      <c r="F1270" s="2">
        <v>1</v>
      </c>
      <c r="G1270" s="2">
        <v>2</v>
      </c>
      <c r="H1270" s="3">
        <v>0</v>
      </c>
      <c r="I1270" s="21">
        <f>Table43[[#This Row],[Item Cost]]*Table43[[#This Row],[In Stock]]</f>
        <v>0</v>
      </c>
      <c r="J1270" s="12" t="s">
        <v>4941</v>
      </c>
      <c r="K1270" s="13" t="s">
        <v>4666</v>
      </c>
      <c r="L1270" s="13" t="s">
        <v>4675</v>
      </c>
      <c r="M1270" s="13" t="s">
        <v>4837</v>
      </c>
      <c r="N1270" s="12" t="s">
        <v>4672</v>
      </c>
      <c r="O1270" s="17" t="str">
        <f>IF(LEN(COUNTIFS($J$1:J1270,$J1270,$K$1:K1270,$K1270,$L$1:L1270,$L1270,$M$1:M1270,M1270,$N$1:N1270,N1270))=1,"00"&amp;COUNTIFS($J$1:J1270,$J1270,$K$1:K1270,$K1270,$L$1:L1270,$L1270,$M$1:M1270,M1270,$N$1:N1270,N1270),IF(LEN(COUNTIFS($J$1:J1270,$J1270,$K$1:K1270,$K1270,$L$1:L1270,$L1270,$M$1:M1270,M1270,$N$1:N1270,N1270))=2,"0"&amp;COUNTIFS($J$1:J1270,$J1270,$K$1:K1270,$K1270,$L$1:L1270,$L1270,$M$1:M1270,M1270,$N$1:N1270,N1270),COUNTIFS($J$1:J1270,$J1270,$K$1:K1270,$K1270,$L$1:L1270,$L1270,$M$1:M1270,M1270,$N$1:N1270,N1270)))</f>
        <v>011</v>
      </c>
      <c r="P127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MS-NS-003-26-00011-INV</v>
      </c>
      <c r="Q1270" s="59"/>
      <c r="R1270" s="34" t="s">
        <v>6946</v>
      </c>
      <c r="S1270" s="34" t="s">
        <v>3795</v>
      </c>
      <c r="T1270" s="34">
        <f>+IFERROR(_xlfn.XLOOKUP(Table43[[#This Row],[Column1]],#REF!,#REF!),0)</f>
        <v>0</v>
      </c>
      <c r="U1270" s="50">
        <f>IFERROR(_xlfn.XLOOKUP(Table43[[#This Row],[Column1]],#REF!,#REF!),0)</f>
        <v>0</v>
      </c>
      <c r="V1270" s="39"/>
    </row>
    <row r="1271" spans="1:22" x14ac:dyDescent="0.35">
      <c r="A1271" s="2" t="s">
        <v>3796</v>
      </c>
      <c r="B1271" s="2" t="s">
        <v>3797</v>
      </c>
      <c r="C1271" s="2" t="s">
        <v>15</v>
      </c>
      <c r="D1271" s="2">
        <v>0</v>
      </c>
      <c r="E1271" s="2" t="s">
        <v>10</v>
      </c>
      <c r="F1271" s="2">
        <v>1</v>
      </c>
      <c r="G1271" s="2">
        <v>2</v>
      </c>
      <c r="H1271" s="2">
        <v>0</v>
      </c>
      <c r="I1271" s="22">
        <f>Table43[[#This Row],[Item Cost]]*Table43[[#This Row],[In Stock]]</f>
        <v>0</v>
      </c>
      <c r="J1271" s="12" t="s">
        <v>4941</v>
      </c>
      <c r="K1271" s="13" t="s">
        <v>4666</v>
      </c>
      <c r="L1271" s="13" t="s">
        <v>4675</v>
      </c>
      <c r="M1271" s="13" t="s">
        <v>4772</v>
      </c>
      <c r="N1271" s="12" t="s">
        <v>4672</v>
      </c>
      <c r="O1271" s="17" t="str">
        <f>IF(LEN(COUNTIFS($J$1:J1271,$J1271,$K$1:K1271,$K1271,$L$1:L1271,$L1271,$M$1:M1271,M1271,$N$1:N1271,N1271))=1,"00"&amp;COUNTIFS($J$1:J1271,$J1271,$K$1:K1271,$K1271,$L$1:L1271,$L1271,$M$1:M1271,M1271,$N$1:N1271,N1271),IF(LEN(COUNTIFS($J$1:J1271,$J1271,$K$1:K1271,$K1271,$L$1:L1271,$L1271,$M$1:M1271,M1271,$N$1:N1271,N1271))=2,"0"&amp;COUNTIFS($J$1:J1271,$J1271,$K$1:K1271,$K1271,$L$1:L1271,$L1271,$M$1:M1271,M1271,$N$1:N1271,N1271),COUNTIFS($J$1:J1271,$J1271,$K$1:K1271,$K1271,$L$1:L1271,$L1271,$M$1:M1271,M1271,$N$1:N1271,N1271)))</f>
        <v>001</v>
      </c>
      <c r="P127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MS-NS-003-06-00001-INV</v>
      </c>
      <c r="Q1271" s="59"/>
      <c r="R1271" s="34" t="s">
        <v>6947</v>
      </c>
      <c r="S1271" s="34" t="s">
        <v>3797</v>
      </c>
      <c r="T1271" s="34">
        <f>+IFERROR(_xlfn.XLOOKUP(Table43[[#This Row],[Column1]],#REF!,#REF!),0)</f>
        <v>0</v>
      </c>
      <c r="U1271" s="50">
        <f>IFERROR(_xlfn.XLOOKUP(Table43[[#This Row],[Column1]],#REF!,#REF!),0)</f>
        <v>0</v>
      </c>
      <c r="V1271" s="39"/>
    </row>
    <row r="1272" spans="1:22" x14ac:dyDescent="0.35">
      <c r="A1272" s="3" t="s">
        <v>3798</v>
      </c>
      <c r="B1272" s="3" t="s">
        <v>3799</v>
      </c>
      <c r="C1272" s="3" t="s">
        <v>15</v>
      </c>
      <c r="D1272" s="3">
        <v>0</v>
      </c>
      <c r="E1272" s="3" t="s">
        <v>10</v>
      </c>
      <c r="F1272" s="2">
        <v>1</v>
      </c>
      <c r="G1272" s="2">
        <v>2</v>
      </c>
      <c r="H1272" s="3">
        <v>0</v>
      </c>
      <c r="I1272" s="21">
        <f>Table43[[#This Row],[Item Cost]]*Table43[[#This Row],[In Stock]]</f>
        <v>0</v>
      </c>
      <c r="J1272" s="12" t="s">
        <v>4941</v>
      </c>
      <c r="K1272" s="13" t="s">
        <v>4666</v>
      </c>
      <c r="L1272" s="13" t="s">
        <v>4675</v>
      </c>
      <c r="M1272" s="13" t="s">
        <v>4795</v>
      </c>
      <c r="N1272" s="12" t="s">
        <v>4672</v>
      </c>
      <c r="O1272" s="17" t="str">
        <f>IF(LEN(COUNTIFS($J$1:J1272,$J1272,$K$1:K1272,$K1272,$L$1:L1272,$L1272,$M$1:M1272,M1272,$N$1:N1272,N1272))=1,"00"&amp;COUNTIFS($J$1:J1272,$J1272,$K$1:K1272,$K1272,$L$1:L1272,$L1272,$M$1:M1272,M1272,$N$1:N1272,N1272),IF(LEN(COUNTIFS($J$1:J1272,$J1272,$K$1:K1272,$K1272,$L$1:L1272,$L1272,$M$1:M1272,M1272,$N$1:N1272,N1272))=2,"0"&amp;COUNTIFS($J$1:J1272,$J1272,$K$1:K1272,$K1272,$L$1:L1272,$L1272,$M$1:M1272,M1272,$N$1:N1272,N1272),COUNTIFS($J$1:J1272,$J1272,$K$1:K1272,$K1272,$L$1:L1272,$L1272,$M$1:M1272,M1272,$N$1:N1272,N1272)))</f>
        <v>002</v>
      </c>
      <c r="P127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MS-NS-003-19-00002-INV</v>
      </c>
      <c r="Q1272" s="59"/>
      <c r="R1272" s="34" t="s">
        <v>6948</v>
      </c>
      <c r="S1272" s="34" t="s">
        <v>3799</v>
      </c>
      <c r="T1272" s="34">
        <f>+IFERROR(_xlfn.XLOOKUP(Table43[[#This Row],[Column1]],#REF!,#REF!),0)</f>
        <v>0</v>
      </c>
      <c r="U1272" s="50">
        <f>IFERROR(_xlfn.XLOOKUP(Table43[[#This Row],[Column1]],#REF!,#REF!),0)</f>
        <v>0</v>
      </c>
      <c r="V1272" s="39"/>
    </row>
    <row r="1273" spans="1:22" x14ac:dyDescent="0.35">
      <c r="A1273" s="2" t="s">
        <v>3800</v>
      </c>
      <c r="B1273" s="2" t="s">
        <v>3801</v>
      </c>
      <c r="C1273" s="2" t="s">
        <v>15</v>
      </c>
      <c r="D1273" s="2">
        <v>0</v>
      </c>
      <c r="E1273" s="2" t="s">
        <v>10</v>
      </c>
      <c r="F1273" s="2">
        <v>1</v>
      </c>
      <c r="G1273" s="2">
        <v>2</v>
      </c>
      <c r="H1273" s="2">
        <v>0</v>
      </c>
      <c r="I1273" s="22">
        <f>Table43[[#This Row],[Item Cost]]*Table43[[#This Row],[In Stock]]</f>
        <v>0</v>
      </c>
      <c r="J1273" s="12" t="s">
        <v>4941</v>
      </c>
      <c r="K1273" s="13" t="s">
        <v>4666</v>
      </c>
      <c r="L1273" s="13" t="s">
        <v>4675</v>
      </c>
      <c r="M1273" s="13" t="s">
        <v>4771</v>
      </c>
      <c r="N1273" s="12" t="s">
        <v>4672</v>
      </c>
      <c r="O1273" s="17" t="str">
        <f>IF(LEN(COUNTIFS($J$1:J1273,$J1273,$K$1:K1273,$K1273,$L$1:L1273,$L1273,$M$1:M1273,M1273,$N$1:N1273,N1273))=1,"00"&amp;COUNTIFS($J$1:J1273,$J1273,$K$1:K1273,$K1273,$L$1:L1273,$L1273,$M$1:M1273,M1273,$N$1:N1273,N1273),IF(LEN(COUNTIFS($J$1:J1273,$J1273,$K$1:K1273,$K1273,$L$1:L1273,$L1273,$M$1:M1273,M1273,$N$1:N1273,N1273))=2,"0"&amp;COUNTIFS($J$1:J1273,$J1273,$K$1:K1273,$K1273,$L$1:L1273,$L1273,$M$1:M1273,M1273,$N$1:N1273,N1273),COUNTIFS($J$1:J1273,$J1273,$K$1:K1273,$K1273,$L$1:L1273,$L1273,$M$1:M1273,M1273,$N$1:N1273,N1273)))</f>
        <v>001</v>
      </c>
      <c r="P127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MS-NS-003-05-00001-INV</v>
      </c>
      <c r="Q1273" s="59"/>
      <c r="R1273" s="34" t="s">
        <v>6949</v>
      </c>
      <c r="S1273" s="34" t="s">
        <v>3801</v>
      </c>
      <c r="T1273" s="34">
        <f>+IFERROR(_xlfn.XLOOKUP(Table43[[#This Row],[Column1]],#REF!,#REF!),0)</f>
        <v>0</v>
      </c>
      <c r="U1273" s="50">
        <f>IFERROR(_xlfn.XLOOKUP(Table43[[#This Row],[Column1]],#REF!,#REF!),0)</f>
        <v>0</v>
      </c>
      <c r="V1273" s="39"/>
    </row>
    <row r="1274" spans="1:22" x14ac:dyDescent="0.35">
      <c r="A1274" s="3" t="s">
        <v>3802</v>
      </c>
      <c r="B1274" s="3" t="s">
        <v>3803</v>
      </c>
      <c r="C1274" s="3" t="s">
        <v>15</v>
      </c>
      <c r="D1274" s="3">
        <v>0</v>
      </c>
      <c r="E1274" s="3" t="s">
        <v>10</v>
      </c>
      <c r="F1274" s="2">
        <v>1</v>
      </c>
      <c r="G1274" s="2">
        <v>2</v>
      </c>
      <c r="H1274" s="3">
        <v>0</v>
      </c>
      <c r="I1274" s="21">
        <f>Table43[[#This Row],[Item Cost]]*Table43[[#This Row],[In Stock]]</f>
        <v>0</v>
      </c>
      <c r="J1274" s="12" t="s">
        <v>4941</v>
      </c>
      <c r="K1274" s="13" t="s">
        <v>4666</v>
      </c>
      <c r="L1274" s="13" t="s">
        <v>4675</v>
      </c>
      <c r="M1274" s="13" t="s">
        <v>4837</v>
      </c>
      <c r="N1274" s="12" t="s">
        <v>4672</v>
      </c>
      <c r="O1274" s="17" t="str">
        <f>IF(LEN(COUNTIFS($J$1:J1274,$J1274,$K$1:K1274,$K1274,$L$1:L1274,$L1274,$M$1:M1274,M1274,$N$1:N1274,N1274))=1,"00"&amp;COUNTIFS($J$1:J1274,$J1274,$K$1:K1274,$K1274,$L$1:L1274,$L1274,$M$1:M1274,M1274,$N$1:N1274,N1274),IF(LEN(COUNTIFS($J$1:J1274,$J1274,$K$1:K1274,$K1274,$L$1:L1274,$L1274,$M$1:M1274,M1274,$N$1:N1274,N1274))=2,"0"&amp;COUNTIFS($J$1:J1274,$J1274,$K$1:K1274,$K1274,$L$1:L1274,$L1274,$M$1:M1274,M1274,$N$1:N1274,N1274),COUNTIFS($J$1:J1274,$J1274,$K$1:K1274,$K1274,$L$1:L1274,$L1274,$M$1:M1274,M1274,$N$1:N1274,N1274)))</f>
        <v>012</v>
      </c>
      <c r="P127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MS-NS-003-26-00012-INV</v>
      </c>
      <c r="Q1274" s="59"/>
      <c r="R1274" s="34" t="s">
        <v>6950</v>
      </c>
      <c r="S1274" s="34" t="s">
        <v>3803</v>
      </c>
      <c r="T1274" s="34">
        <f>+IFERROR(_xlfn.XLOOKUP(Table43[[#This Row],[Column1]],#REF!,#REF!),0)</f>
        <v>0</v>
      </c>
      <c r="U1274" s="50">
        <f>IFERROR(_xlfn.XLOOKUP(Table43[[#This Row],[Column1]],#REF!,#REF!),0)</f>
        <v>0</v>
      </c>
      <c r="V1274" s="39"/>
    </row>
    <row r="1275" spans="1:22" x14ac:dyDescent="0.35">
      <c r="A1275" s="2" t="s">
        <v>3804</v>
      </c>
      <c r="B1275" s="2" t="s">
        <v>3805</v>
      </c>
      <c r="C1275" s="2" t="s">
        <v>15</v>
      </c>
      <c r="D1275" s="2">
        <v>0</v>
      </c>
      <c r="E1275" s="2" t="s">
        <v>10</v>
      </c>
      <c r="F1275" s="2">
        <v>1</v>
      </c>
      <c r="G1275" s="2">
        <v>2</v>
      </c>
      <c r="H1275" s="2">
        <v>0</v>
      </c>
      <c r="I1275" s="22">
        <f>Table43[[#This Row],[Item Cost]]*Table43[[#This Row],[In Stock]]</f>
        <v>0</v>
      </c>
      <c r="J1275" s="12" t="s">
        <v>4941</v>
      </c>
      <c r="K1275" s="13" t="s">
        <v>4666</v>
      </c>
      <c r="L1275" s="13" t="s">
        <v>4675</v>
      </c>
      <c r="M1275" s="13" t="s">
        <v>4837</v>
      </c>
      <c r="N1275" s="12" t="s">
        <v>4672</v>
      </c>
      <c r="O1275" s="17" t="str">
        <f>IF(LEN(COUNTIFS($J$1:J1275,$J1275,$K$1:K1275,$K1275,$L$1:L1275,$L1275,$M$1:M1275,M1275,$N$1:N1275,N1275))=1,"00"&amp;COUNTIFS($J$1:J1275,$J1275,$K$1:K1275,$K1275,$L$1:L1275,$L1275,$M$1:M1275,M1275,$N$1:N1275,N1275),IF(LEN(COUNTIFS($J$1:J1275,$J1275,$K$1:K1275,$K1275,$L$1:L1275,$L1275,$M$1:M1275,M1275,$N$1:N1275,N1275))=2,"0"&amp;COUNTIFS($J$1:J1275,$J1275,$K$1:K1275,$K1275,$L$1:L1275,$L1275,$M$1:M1275,M1275,$N$1:N1275,N1275),COUNTIFS($J$1:J1275,$J1275,$K$1:K1275,$K1275,$L$1:L1275,$L1275,$M$1:M1275,M1275,$N$1:N1275,N1275)))</f>
        <v>013</v>
      </c>
      <c r="P127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MS-NS-003-26-00013-INV</v>
      </c>
      <c r="Q1275" s="59"/>
      <c r="R1275" s="34" t="s">
        <v>6951</v>
      </c>
      <c r="S1275" s="34" t="s">
        <v>3805</v>
      </c>
      <c r="T1275" s="34">
        <f>+IFERROR(_xlfn.XLOOKUP(Table43[[#This Row],[Column1]],#REF!,#REF!),0)</f>
        <v>0</v>
      </c>
      <c r="U1275" s="50">
        <f>IFERROR(_xlfn.XLOOKUP(Table43[[#This Row],[Column1]],#REF!,#REF!),0)</f>
        <v>0</v>
      </c>
      <c r="V1275" s="39"/>
    </row>
    <row r="1276" spans="1:22" x14ac:dyDescent="0.35">
      <c r="A1276" s="3" t="s">
        <v>3806</v>
      </c>
      <c r="B1276" s="3" t="s">
        <v>3807</v>
      </c>
      <c r="C1276" s="3" t="s">
        <v>9</v>
      </c>
      <c r="D1276" s="5">
        <v>1098.9000000000001</v>
      </c>
      <c r="E1276" s="3" t="s">
        <v>10</v>
      </c>
      <c r="F1276" s="2">
        <v>1</v>
      </c>
      <c r="G1276" s="3">
        <v>2</v>
      </c>
      <c r="H1276" s="3">
        <v>1</v>
      </c>
      <c r="I1276" s="21">
        <f>Table43[[#This Row],[Item Cost]]*Table43[[#This Row],[In Stock]]</f>
        <v>1098.9000000000001</v>
      </c>
      <c r="J1276" s="12" t="s">
        <v>4941</v>
      </c>
      <c r="K1276" s="13" t="s">
        <v>4664</v>
      </c>
      <c r="L1276" s="13" t="s">
        <v>4675</v>
      </c>
      <c r="M1276" s="13" t="s">
        <v>4772</v>
      </c>
      <c r="N1276" s="12" t="s">
        <v>4672</v>
      </c>
      <c r="O1276" s="17" t="str">
        <f>IF(LEN(COUNTIFS($J$1:J1276,$J1276,$K$1:K1276,$K1276,$L$1:L1276,$L1276,$M$1:M1276,M1276,$N$1:N1276,N1276))=1,"00"&amp;COUNTIFS($J$1:J1276,$J1276,$K$1:K1276,$K1276,$L$1:L1276,$L1276,$M$1:M1276,M1276,$N$1:N1276,N1276),IF(LEN(COUNTIFS($J$1:J1276,$J1276,$K$1:K1276,$K1276,$L$1:L1276,$L1276,$M$1:M1276,M1276,$N$1:N1276,N1276))=2,"0"&amp;COUNTIFS($J$1:J1276,$J1276,$K$1:K1276,$K1276,$L$1:L1276,$L1276,$M$1:M1276,M1276,$N$1:N1276,N1276),COUNTIFS($J$1:J1276,$J1276,$K$1:K1276,$K1276,$L$1:L1276,$L1276,$M$1:M1276,M1276,$N$1:N1276,N1276)))</f>
        <v>001</v>
      </c>
      <c r="P127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MS-CS-003-06-00001-INV</v>
      </c>
      <c r="Q1276" s="59"/>
      <c r="R1276" s="34" t="s">
        <v>6952</v>
      </c>
      <c r="S1276" s="34" t="s">
        <v>3807</v>
      </c>
      <c r="T1276" s="34">
        <f>+IFERROR(_xlfn.XLOOKUP(Table43[[#This Row],[Column1]],#REF!,#REF!),0)</f>
        <v>0</v>
      </c>
      <c r="U1276" s="50">
        <f>IFERROR(_xlfn.XLOOKUP(Table43[[#This Row],[Column1]],#REF!,#REF!),0)</f>
        <v>0</v>
      </c>
      <c r="V1276" s="39"/>
    </row>
    <row r="1277" spans="1:22" x14ac:dyDescent="0.35">
      <c r="A1277" s="2" t="s">
        <v>3808</v>
      </c>
      <c r="B1277" s="2" t="s">
        <v>3809</v>
      </c>
      <c r="C1277" s="2" t="s">
        <v>9</v>
      </c>
      <c r="D1277" s="2">
        <v>372.7</v>
      </c>
      <c r="E1277" s="2" t="s">
        <v>10</v>
      </c>
      <c r="F1277" s="2">
        <v>1</v>
      </c>
      <c r="G1277" s="3">
        <v>2</v>
      </c>
      <c r="H1277" s="2">
        <v>1</v>
      </c>
      <c r="I1277" s="22">
        <f>Table43[[#This Row],[Item Cost]]*Table43[[#This Row],[In Stock]]</f>
        <v>372.7</v>
      </c>
      <c r="J1277" s="12" t="s">
        <v>4941</v>
      </c>
      <c r="K1277" s="13" t="s">
        <v>4664</v>
      </c>
      <c r="L1277" s="13" t="s">
        <v>4675</v>
      </c>
      <c r="M1277" s="13" t="s">
        <v>4795</v>
      </c>
      <c r="N1277" s="12" t="s">
        <v>4672</v>
      </c>
      <c r="O1277" s="17" t="str">
        <f>IF(LEN(COUNTIFS($J$1:J1277,$J1277,$K$1:K1277,$K1277,$L$1:L1277,$L1277,$M$1:M1277,M1277,$N$1:N1277,N1277))=1,"00"&amp;COUNTIFS($J$1:J1277,$J1277,$K$1:K1277,$K1277,$L$1:L1277,$L1277,$M$1:M1277,M1277,$N$1:N1277,N1277),IF(LEN(COUNTIFS($J$1:J1277,$J1277,$K$1:K1277,$K1277,$L$1:L1277,$L1277,$M$1:M1277,M1277,$N$1:N1277,N1277))=2,"0"&amp;COUNTIFS($J$1:J1277,$J1277,$K$1:K1277,$K1277,$L$1:L1277,$L1277,$M$1:M1277,M1277,$N$1:N1277,N1277),COUNTIFS($J$1:J1277,$J1277,$K$1:K1277,$K1277,$L$1:L1277,$L1277,$M$1:M1277,M1277,$N$1:N1277,N1277)))</f>
        <v>001</v>
      </c>
      <c r="P127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MS-CS-003-19-00001-INV</v>
      </c>
      <c r="Q1277" s="59"/>
      <c r="R1277" s="34" t="s">
        <v>6953</v>
      </c>
      <c r="S1277" s="34" t="s">
        <v>3809</v>
      </c>
      <c r="T1277" s="34">
        <f>+IFERROR(_xlfn.XLOOKUP(Table43[[#This Row],[Column1]],#REF!,#REF!),0)</f>
        <v>0</v>
      </c>
      <c r="U1277" s="50">
        <f>IFERROR(_xlfn.XLOOKUP(Table43[[#This Row],[Column1]],#REF!,#REF!),0)</f>
        <v>0</v>
      </c>
      <c r="V1277" s="39"/>
    </row>
    <row r="1278" spans="1:22" x14ac:dyDescent="0.35">
      <c r="A1278" s="3" t="s">
        <v>3810</v>
      </c>
      <c r="B1278" s="3" t="s">
        <v>3811</v>
      </c>
      <c r="C1278" s="3" t="s">
        <v>9</v>
      </c>
      <c r="D1278" s="3">
        <v>219.01</v>
      </c>
      <c r="E1278" s="3" t="s">
        <v>10</v>
      </c>
      <c r="F1278" s="2">
        <v>1</v>
      </c>
      <c r="G1278" s="3">
        <v>2</v>
      </c>
      <c r="H1278" s="3">
        <v>1</v>
      </c>
      <c r="I1278" s="21">
        <f>Table43[[#This Row],[Item Cost]]*Table43[[#This Row],[In Stock]]</f>
        <v>219.01</v>
      </c>
      <c r="J1278" s="12" t="s">
        <v>4941</v>
      </c>
      <c r="K1278" s="13" t="s">
        <v>4664</v>
      </c>
      <c r="L1278" s="13" t="s">
        <v>4675</v>
      </c>
      <c r="M1278" s="13" t="s">
        <v>4771</v>
      </c>
      <c r="N1278" s="12" t="s">
        <v>4672</v>
      </c>
      <c r="O1278" s="17" t="str">
        <f>IF(LEN(COUNTIFS($J$1:J1278,$J1278,$K$1:K1278,$K1278,$L$1:L1278,$L1278,$M$1:M1278,M1278,$N$1:N1278,N1278))=1,"00"&amp;COUNTIFS($J$1:J1278,$J1278,$K$1:K1278,$K1278,$L$1:L1278,$L1278,$M$1:M1278,M1278,$N$1:N1278,N1278),IF(LEN(COUNTIFS($J$1:J1278,$J1278,$K$1:K1278,$K1278,$L$1:L1278,$L1278,$M$1:M1278,M1278,$N$1:N1278,N1278))=2,"0"&amp;COUNTIFS($J$1:J1278,$J1278,$K$1:K1278,$K1278,$L$1:L1278,$L1278,$M$1:M1278,M1278,$N$1:N1278,N1278),COUNTIFS($J$1:J1278,$J1278,$K$1:K1278,$K1278,$L$1:L1278,$L1278,$M$1:M1278,M1278,$N$1:N1278,N1278)))</f>
        <v>001</v>
      </c>
      <c r="P127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MS-CS-003-05-00001-INV</v>
      </c>
      <c r="Q1278" s="59"/>
      <c r="R1278" s="34" t="s">
        <v>6954</v>
      </c>
      <c r="S1278" s="34" t="s">
        <v>3811</v>
      </c>
      <c r="T1278" s="34">
        <f>+IFERROR(_xlfn.XLOOKUP(Table43[[#This Row],[Column1]],#REF!,#REF!),0)</f>
        <v>0</v>
      </c>
      <c r="U1278" s="50">
        <f>IFERROR(_xlfn.XLOOKUP(Table43[[#This Row],[Column1]],#REF!,#REF!),0)</f>
        <v>0</v>
      </c>
      <c r="V1278" s="39"/>
    </row>
    <row r="1279" spans="1:22" x14ac:dyDescent="0.35">
      <c r="A1279" s="2" t="s">
        <v>3812</v>
      </c>
      <c r="B1279" s="2" t="s">
        <v>3813</v>
      </c>
      <c r="C1279" s="2" t="s">
        <v>15</v>
      </c>
      <c r="D1279" s="2">
        <v>0</v>
      </c>
      <c r="E1279" s="2" t="s">
        <v>10</v>
      </c>
      <c r="F1279" s="2">
        <v>1</v>
      </c>
      <c r="G1279" s="2">
        <v>2</v>
      </c>
      <c r="H1279" s="2">
        <v>0</v>
      </c>
      <c r="I1279" s="22">
        <f>Table43[[#This Row],[Item Cost]]*Table43[[#This Row],[In Stock]]</f>
        <v>0</v>
      </c>
      <c r="J1279" s="12" t="s">
        <v>4941</v>
      </c>
      <c r="K1279" s="13" t="s">
        <v>4666</v>
      </c>
      <c r="L1279" s="13" t="s">
        <v>4675</v>
      </c>
      <c r="M1279" s="13" t="s">
        <v>4837</v>
      </c>
      <c r="N1279" s="12" t="s">
        <v>4672</v>
      </c>
      <c r="O1279" s="17" t="str">
        <f>IF(LEN(COUNTIFS($J$1:J1279,$J1279,$K$1:K1279,$K1279,$L$1:L1279,$L1279,$M$1:M1279,M1279,$N$1:N1279,N1279))=1,"00"&amp;COUNTIFS($J$1:J1279,$J1279,$K$1:K1279,$K1279,$L$1:L1279,$L1279,$M$1:M1279,M1279,$N$1:N1279,N1279),IF(LEN(COUNTIFS($J$1:J1279,$J1279,$K$1:K1279,$K1279,$L$1:L1279,$L1279,$M$1:M1279,M1279,$N$1:N1279,N1279))=2,"0"&amp;COUNTIFS($J$1:J1279,$J1279,$K$1:K1279,$K1279,$L$1:L1279,$L1279,$M$1:M1279,M1279,$N$1:N1279,N1279),COUNTIFS($J$1:J1279,$J1279,$K$1:K1279,$K1279,$L$1:L1279,$L1279,$M$1:M1279,M1279,$N$1:N1279,N1279)))</f>
        <v>014</v>
      </c>
      <c r="P127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MS-NS-003-26-00014-INV</v>
      </c>
      <c r="Q1279" s="59"/>
      <c r="R1279" s="34" t="s">
        <v>6955</v>
      </c>
      <c r="S1279" s="34" t="s">
        <v>3813</v>
      </c>
      <c r="T1279" s="34">
        <f>+IFERROR(_xlfn.XLOOKUP(Table43[[#This Row],[Column1]],#REF!,#REF!),0)</f>
        <v>0</v>
      </c>
      <c r="U1279" s="50">
        <f>IFERROR(_xlfn.XLOOKUP(Table43[[#This Row],[Column1]],#REF!,#REF!),0)</f>
        <v>0</v>
      </c>
      <c r="V1279" s="39"/>
    </row>
    <row r="1280" spans="1:22" x14ac:dyDescent="0.35">
      <c r="A1280" s="3" t="s">
        <v>3814</v>
      </c>
      <c r="B1280" s="3" t="s">
        <v>3815</v>
      </c>
      <c r="C1280" s="3" t="s">
        <v>15</v>
      </c>
      <c r="D1280" s="3">
        <v>0</v>
      </c>
      <c r="E1280" s="3" t="s">
        <v>10</v>
      </c>
      <c r="F1280" s="2">
        <v>1</v>
      </c>
      <c r="G1280" s="2">
        <v>2</v>
      </c>
      <c r="H1280" s="3">
        <v>0</v>
      </c>
      <c r="I1280" s="21">
        <f>Table43[[#This Row],[Item Cost]]*Table43[[#This Row],[In Stock]]</f>
        <v>0</v>
      </c>
      <c r="J1280" s="12" t="s">
        <v>4941</v>
      </c>
      <c r="K1280" s="13" t="s">
        <v>4666</v>
      </c>
      <c r="L1280" s="13" t="s">
        <v>4675</v>
      </c>
      <c r="M1280" s="13" t="s">
        <v>4827</v>
      </c>
      <c r="N1280" s="12" t="s">
        <v>4672</v>
      </c>
      <c r="O1280" s="17" t="str">
        <f>IF(LEN(COUNTIFS($J$1:J1280,$J1280,$K$1:K1280,$K1280,$L$1:L1280,$L1280,$M$1:M1280,M1280,$N$1:N1280,N1280))=1,"00"&amp;COUNTIFS($J$1:J1280,$J1280,$K$1:K1280,$K1280,$L$1:L1280,$L1280,$M$1:M1280,M1280,$N$1:N1280,N1280),IF(LEN(COUNTIFS($J$1:J1280,$J1280,$K$1:K1280,$K1280,$L$1:L1280,$L1280,$M$1:M1280,M1280,$N$1:N1280,N1280))=2,"0"&amp;COUNTIFS($J$1:J1280,$J1280,$K$1:K1280,$K1280,$L$1:L1280,$L1280,$M$1:M1280,M1280,$N$1:N1280,N1280),COUNTIFS($J$1:J1280,$J1280,$K$1:K1280,$K1280,$L$1:L1280,$L1280,$M$1:M1280,M1280,$N$1:N1280,N1280)))</f>
        <v>001</v>
      </c>
      <c r="P128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MS-NS-003-10-00001-INV</v>
      </c>
      <c r="Q1280" s="59"/>
      <c r="R1280" s="34" t="s">
        <v>6956</v>
      </c>
      <c r="S1280" s="34" t="s">
        <v>3815</v>
      </c>
      <c r="T1280" s="34">
        <f>+IFERROR(_xlfn.XLOOKUP(Table43[[#This Row],[Column1]],#REF!,#REF!),0)</f>
        <v>0</v>
      </c>
      <c r="U1280" s="50">
        <f>IFERROR(_xlfn.XLOOKUP(Table43[[#This Row],[Column1]],#REF!,#REF!),0)</f>
        <v>0</v>
      </c>
      <c r="V1280" s="39"/>
    </row>
    <row r="1281" spans="1:22" x14ac:dyDescent="0.35">
      <c r="A1281" s="2" t="s">
        <v>3816</v>
      </c>
      <c r="B1281" s="2" t="s">
        <v>3817</v>
      </c>
      <c r="C1281" s="2" t="s">
        <v>15</v>
      </c>
      <c r="D1281" s="2">
        <v>0</v>
      </c>
      <c r="E1281" s="2" t="s">
        <v>10</v>
      </c>
      <c r="F1281" s="2">
        <v>1</v>
      </c>
      <c r="G1281" s="2">
        <v>2</v>
      </c>
      <c r="H1281" s="2">
        <v>0</v>
      </c>
      <c r="I1281" s="22">
        <f>Table43[[#This Row],[Item Cost]]*Table43[[#This Row],[In Stock]]</f>
        <v>0</v>
      </c>
      <c r="J1281" s="12" t="s">
        <v>4941</v>
      </c>
      <c r="K1281" s="13" t="s">
        <v>4666</v>
      </c>
      <c r="L1281" s="13" t="s">
        <v>4675</v>
      </c>
      <c r="M1281" s="13" t="s">
        <v>4827</v>
      </c>
      <c r="N1281" s="12" t="s">
        <v>4672</v>
      </c>
      <c r="O1281" s="17" t="str">
        <f>IF(LEN(COUNTIFS($J$1:J1281,$J1281,$K$1:K1281,$K1281,$L$1:L1281,$L1281,$M$1:M1281,M1281,$N$1:N1281,N1281))=1,"00"&amp;COUNTIFS($J$1:J1281,$J1281,$K$1:K1281,$K1281,$L$1:L1281,$L1281,$M$1:M1281,M1281,$N$1:N1281,N1281),IF(LEN(COUNTIFS($J$1:J1281,$J1281,$K$1:K1281,$K1281,$L$1:L1281,$L1281,$M$1:M1281,M1281,$N$1:N1281,N1281))=2,"0"&amp;COUNTIFS($J$1:J1281,$J1281,$K$1:K1281,$K1281,$L$1:L1281,$L1281,$M$1:M1281,M1281,$N$1:N1281,N1281),COUNTIFS($J$1:J1281,$J1281,$K$1:K1281,$K1281,$L$1:L1281,$L1281,$M$1:M1281,M1281,$N$1:N1281,N1281)))</f>
        <v>002</v>
      </c>
      <c r="P128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MS-NS-003-10-00002-INV</v>
      </c>
      <c r="Q1281" s="59"/>
      <c r="R1281" s="34" t="s">
        <v>6957</v>
      </c>
      <c r="S1281" s="34" t="s">
        <v>3817</v>
      </c>
      <c r="T1281" s="34">
        <f>+IFERROR(_xlfn.XLOOKUP(Table43[[#This Row],[Column1]],#REF!,#REF!),0)</f>
        <v>0</v>
      </c>
      <c r="U1281" s="50">
        <f>IFERROR(_xlfn.XLOOKUP(Table43[[#This Row],[Column1]],#REF!,#REF!),0)</f>
        <v>0</v>
      </c>
      <c r="V1281" s="39"/>
    </row>
    <row r="1282" spans="1:22" x14ac:dyDescent="0.35">
      <c r="A1282" s="3" t="s">
        <v>3818</v>
      </c>
      <c r="B1282" s="3" t="s">
        <v>3819</v>
      </c>
      <c r="C1282" s="3" t="s">
        <v>9</v>
      </c>
      <c r="D1282" s="5">
        <v>1065</v>
      </c>
      <c r="E1282" s="3" t="s">
        <v>10</v>
      </c>
      <c r="F1282" s="2">
        <v>1</v>
      </c>
      <c r="G1282" s="3">
        <v>2</v>
      </c>
      <c r="H1282" s="3">
        <v>2</v>
      </c>
      <c r="I1282" s="21">
        <f>Table43[[#This Row],[Item Cost]]*Table43[[#This Row],[In Stock]]</f>
        <v>2130</v>
      </c>
      <c r="J1282" s="12" t="s">
        <v>4941</v>
      </c>
      <c r="K1282" s="13" t="s">
        <v>4664</v>
      </c>
      <c r="L1282" s="13" t="s">
        <v>4675</v>
      </c>
      <c r="M1282" s="13" t="s">
        <v>4832</v>
      </c>
      <c r="N1282" s="12" t="s">
        <v>4672</v>
      </c>
      <c r="O1282" s="17" t="str">
        <f>IF(LEN(COUNTIFS($J$1:J1282,$J1282,$K$1:K1282,$K1282,$L$1:L1282,$L1282,$M$1:M1282,M1282,$N$1:N1282,N1282))=1,"00"&amp;COUNTIFS($J$1:J1282,$J1282,$K$1:K1282,$K1282,$L$1:L1282,$L1282,$M$1:M1282,M1282,$N$1:N1282,N1282),IF(LEN(COUNTIFS($J$1:J1282,$J1282,$K$1:K1282,$K1282,$L$1:L1282,$L1282,$M$1:M1282,M1282,$N$1:N1282,N1282))=2,"0"&amp;COUNTIFS($J$1:J1282,$J1282,$K$1:K1282,$K1282,$L$1:L1282,$L1282,$M$1:M1282,M1282,$N$1:N1282,N1282),COUNTIFS($J$1:J1282,$J1282,$K$1:K1282,$K1282,$L$1:L1282,$L1282,$M$1:M1282,M1282,$N$1:N1282,N1282)))</f>
        <v>002</v>
      </c>
      <c r="P128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MS-CS-003-07-00002-INV</v>
      </c>
      <c r="Q1282" s="59"/>
      <c r="R1282" s="34" t="s">
        <v>6958</v>
      </c>
      <c r="S1282" s="34" t="s">
        <v>3819</v>
      </c>
      <c r="T1282" s="34">
        <f>+IFERROR(_xlfn.XLOOKUP(Table43[[#This Row],[Column1]],#REF!,#REF!),0)</f>
        <v>0</v>
      </c>
      <c r="U1282" s="50">
        <f>IFERROR(_xlfn.XLOOKUP(Table43[[#This Row],[Column1]],#REF!,#REF!),0)</f>
        <v>0</v>
      </c>
      <c r="V1282" s="39"/>
    </row>
    <row r="1283" spans="1:22" x14ac:dyDescent="0.35">
      <c r="A1283" s="2" t="s">
        <v>3820</v>
      </c>
      <c r="B1283" s="2" t="s">
        <v>3821</v>
      </c>
      <c r="C1283" s="2" t="s">
        <v>9</v>
      </c>
      <c r="D1283" s="4">
        <v>1200</v>
      </c>
      <c r="E1283" s="2" t="s">
        <v>10</v>
      </c>
      <c r="F1283" s="2">
        <v>1</v>
      </c>
      <c r="G1283" s="3">
        <v>2</v>
      </c>
      <c r="H1283" s="2">
        <v>4</v>
      </c>
      <c r="I1283" s="22">
        <f>Table43[[#This Row],[Item Cost]]*Table43[[#This Row],[In Stock]]</f>
        <v>4800</v>
      </c>
      <c r="J1283" s="12" t="s">
        <v>4941</v>
      </c>
      <c r="K1283" s="13" t="s">
        <v>4664</v>
      </c>
      <c r="L1283" s="13" t="s">
        <v>4675</v>
      </c>
      <c r="M1283" s="13" t="s">
        <v>4837</v>
      </c>
      <c r="N1283" s="12" t="s">
        <v>4672</v>
      </c>
      <c r="O1283" s="17" t="str">
        <f>IF(LEN(COUNTIFS($J$1:J1283,$J1283,$K$1:K1283,$K1283,$L$1:L1283,$L1283,$M$1:M1283,M1283,$N$1:N1283,N1283))=1,"00"&amp;COUNTIFS($J$1:J1283,$J1283,$K$1:K1283,$K1283,$L$1:L1283,$L1283,$M$1:M1283,M1283,$N$1:N1283,N1283),IF(LEN(COUNTIFS($J$1:J1283,$J1283,$K$1:K1283,$K1283,$L$1:L1283,$L1283,$M$1:M1283,M1283,$N$1:N1283,N1283))=2,"0"&amp;COUNTIFS($J$1:J1283,$J1283,$K$1:K1283,$K1283,$L$1:L1283,$L1283,$M$1:M1283,M1283,$N$1:N1283,N1283),COUNTIFS($J$1:J1283,$J1283,$K$1:K1283,$K1283,$L$1:L1283,$L1283,$M$1:M1283,M1283,$N$1:N1283,N1283)))</f>
        <v>001</v>
      </c>
      <c r="P128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MS-CS-003-26-00001-INV</v>
      </c>
      <c r="Q1283" s="59" t="s">
        <v>7350</v>
      </c>
      <c r="R1283" s="34" t="s">
        <v>6959</v>
      </c>
      <c r="S1283" s="34" t="s">
        <v>3821</v>
      </c>
      <c r="T1283" s="34">
        <f>+IFERROR(_xlfn.XLOOKUP(Table43[[#This Row],[Column1]],#REF!,#REF!),0)</f>
        <v>0</v>
      </c>
      <c r="U1283" s="50">
        <f>IFERROR(_xlfn.XLOOKUP(Table43[[#This Row],[Column1]],#REF!,#REF!),0)</f>
        <v>0</v>
      </c>
      <c r="V1283" s="39"/>
    </row>
    <row r="1284" spans="1:22" x14ac:dyDescent="0.35">
      <c r="A1284" s="3" t="s">
        <v>3822</v>
      </c>
      <c r="B1284" s="3" t="s">
        <v>3823</v>
      </c>
      <c r="C1284" s="3" t="s">
        <v>9</v>
      </c>
      <c r="D1284" s="5">
        <v>1250</v>
      </c>
      <c r="E1284" s="3" t="s">
        <v>10</v>
      </c>
      <c r="F1284" s="2">
        <v>1</v>
      </c>
      <c r="G1284" s="3">
        <v>2</v>
      </c>
      <c r="H1284" s="3">
        <v>3</v>
      </c>
      <c r="I1284" s="21">
        <f>Table43[[#This Row],[Item Cost]]*Table43[[#This Row],[In Stock]]</f>
        <v>3750</v>
      </c>
      <c r="J1284" s="12" t="s">
        <v>4941</v>
      </c>
      <c r="K1284" s="13" t="s">
        <v>4664</v>
      </c>
      <c r="L1284" s="13" t="s">
        <v>4675</v>
      </c>
      <c r="M1284" s="13" t="s">
        <v>4837</v>
      </c>
      <c r="N1284" s="12" t="s">
        <v>4672</v>
      </c>
      <c r="O1284" s="17" t="str">
        <f>IF(LEN(COUNTIFS($J$1:J1284,$J1284,$K$1:K1284,$K1284,$L$1:L1284,$L1284,$M$1:M1284,M1284,$N$1:N1284,N1284))=1,"00"&amp;COUNTIFS($J$1:J1284,$J1284,$K$1:K1284,$K1284,$L$1:L1284,$L1284,$M$1:M1284,M1284,$N$1:N1284,N1284),IF(LEN(COUNTIFS($J$1:J1284,$J1284,$K$1:K1284,$K1284,$L$1:L1284,$L1284,$M$1:M1284,M1284,$N$1:N1284,N1284))=2,"0"&amp;COUNTIFS($J$1:J1284,$J1284,$K$1:K1284,$K1284,$L$1:L1284,$L1284,$M$1:M1284,M1284,$N$1:N1284,N1284),COUNTIFS($J$1:J1284,$J1284,$K$1:K1284,$K1284,$L$1:L1284,$L1284,$M$1:M1284,M1284,$N$1:N1284,N1284)))</f>
        <v>002</v>
      </c>
      <c r="P128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MS-CS-003-26-00002-INV</v>
      </c>
      <c r="Q1284" s="59" t="s">
        <v>7391</v>
      </c>
      <c r="R1284" s="34" t="s">
        <v>6960</v>
      </c>
      <c r="S1284" s="34" t="s">
        <v>3823</v>
      </c>
      <c r="T1284" s="34">
        <f>+IFERROR(_xlfn.XLOOKUP(Table43[[#This Row],[Column1]],#REF!,#REF!),0)</f>
        <v>0</v>
      </c>
      <c r="U1284" s="50">
        <f>IFERROR(_xlfn.XLOOKUP(Table43[[#This Row],[Column1]],#REF!,#REF!),0)</f>
        <v>0</v>
      </c>
      <c r="V1284" s="39"/>
    </row>
    <row r="1285" spans="1:22" x14ac:dyDescent="0.35">
      <c r="A1285" s="2" t="s">
        <v>3824</v>
      </c>
      <c r="B1285" s="2" t="s">
        <v>3825</v>
      </c>
      <c r="C1285" s="2" t="s">
        <v>9</v>
      </c>
      <c r="D1285" s="2">
        <v>850</v>
      </c>
      <c r="E1285" s="2" t="s">
        <v>10</v>
      </c>
      <c r="F1285" s="2">
        <v>1</v>
      </c>
      <c r="G1285" s="3">
        <v>2</v>
      </c>
      <c r="H1285" s="2">
        <v>1</v>
      </c>
      <c r="I1285" s="22">
        <f>Table43[[#This Row],[Item Cost]]*Table43[[#This Row],[In Stock]]</f>
        <v>850</v>
      </c>
      <c r="J1285" s="12" t="s">
        <v>4941</v>
      </c>
      <c r="K1285" s="13" t="s">
        <v>4664</v>
      </c>
      <c r="L1285" s="13" t="s">
        <v>4675</v>
      </c>
      <c r="M1285" s="13" t="s">
        <v>4837</v>
      </c>
      <c r="N1285" s="12" t="s">
        <v>4672</v>
      </c>
      <c r="O1285" s="17" t="str">
        <f>IF(LEN(COUNTIFS($J$1:J1285,$J1285,$K$1:K1285,$K1285,$L$1:L1285,$L1285,$M$1:M1285,M1285,$N$1:N1285,N1285))=1,"00"&amp;COUNTIFS($J$1:J1285,$J1285,$K$1:K1285,$K1285,$L$1:L1285,$L1285,$M$1:M1285,M1285,$N$1:N1285,N1285),IF(LEN(COUNTIFS($J$1:J1285,$J1285,$K$1:K1285,$K1285,$L$1:L1285,$L1285,$M$1:M1285,M1285,$N$1:N1285,N1285))=2,"0"&amp;COUNTIFS($J$1:J1285,$J1285,$K$1:K1285,$K1285,$L$1:L1285,$L1285,$M$1:M1285,M1285,$N$1:N1285,N1285),COUNTIFS($J$1:J1285,$J1285,$K$1:K1285,$K1285,$L$1:L1285,$L1285,$M$1:M1285,M1285,$N$1:N1285,N1285)))</f>
        <v>003</v>
      </c>
      <c r="P128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MS-CS-003-26-00003-INV</v>
      </c>
      <c r="Q1285" s="59"/>
      <c r="R1285" s="34" t="s">
        <v>6961</v>
      </c>
      <c r="S1285" s="34" t="s">
        <v>3825</v>
      </c>
      <c r="T1285" s="34">
        <f>+IFERROR(_xlfn.XLOOKUP(Table43[[#This Row],[Column1]],#REF!,#REF!),0)</f>
        <v>0</v>
      </c>
      <c r="U1285" s="50">
        <f>IFERROR(_xlfn.XLOOKUP(Table43[[#This Row],[Column1]],#REF!,#REF!),0)</f>
        <v>0</v>
      </c>
      <c r="V1285" s="39"/>
    </row>
    <row r="1286" spans="1:22" x14ac:dyDescent="0.35">
      <c r="A1286" s="3" t="s">
        <v>3826</v>
      </c>
      <c r="B1286" s="3" t="s">
        <v>3827</v>
      </c>
      <c r="C1286" s="3" t="s">
        <v>9</v>
      </c>
      <c r="D1286" s="3">
        <v>150</v>
      </c>
      <c r="E1286" s="3" t="s">
        <v>10</v>
      </c>
      <c r="F1286" s="2">
        <v>1</v>
      </c>
      <c r="G1286" s="3">
        <v>2</v>
      </c>
      <c r="H1286" s="3">
        <v>34</v>
      </c>
      <c r="I1286" s="21">
        <f>Table43[[#This Row],[Item Cost]]*Table43[[#This Row],[In Stock]]</f>
        <v>5100</v>
      </c>
      <c r="J1286" s="12" t="s">
        <v>4941</v>
      </c>
      <c r="K1286" s="13" t="s">
        <v>4664</v>
      </c>
      <c r="L1286" s="13" t="s">
        <v>4675</v>
      </c>
      <c r="M1286" s="13" t="s">
        <v>4837</v>
      </c>
      <c r="N1286" s="12" t="s">
        <v>4672</v>
      </c>
      <c r="O1286" s="17" t="str">
        <f>IF(LEN(COUNTIFS($J$1:J1286,$J1286,$K$1:K1286,$K1286,$L$1:L1286,$L1286,$M$1:M1286,M1286,$N$1:N1286,N1286))=1,"00"&amp;COUNTIFS($J$1:J1286,$J1286,$K$1:K1286,$K1286,$L$1:L1286,$L1286,$M$1:M1286,M1286,$N$1:N1286,N1286),IF(LEN(COUNTIFS($J$1:J1286,$J1286,$K$1:K1286,$K1286,$L$1:L1286,$L1286,$M$1:M1286,M1286,$N$1:N1286,N1286))=2,"0"&amp;COUNTIFS($J$1:J1286,$J1286,$K$1:K1286,$K1286,$L$1:L1286,$L1286,$M$1:M1286,M1286,$N$1:N1286,N1286),COUNTIFS($J$1:J1286,$J1286,$K$1:K1286,$K1286,$L$1:L1286,$L1286,$M$1:M1286,M1286,$N$1:N1286,N1286)))</f>
        <v>004</v>
      </c>
      <c r="P128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MS-CS-003-26-00004-INV</v>
      </c>
      <c r="Q1286" s="59"/>
      <c r="R1286" s="34" t="s">
        <v>6962</v>
      </c>
      <c r="S1286" s="34" t="s">
        <v>3827</v>
      </c>
      <c r="T1286" s="34">
        <f>+IFERROR(_xlfn.XLOOKUP(Table43[[#This Row],[Column1]],#REF!,#REF!),0)</f>
        <v>0</v>
      </c>
      <c r="U1286" s="50">
        <f>IFERROR(_xlfn.XLOOKUP(Table43[[#This Row],[Column1]],#REF!,#REF!),0)</f>
        <v>0</v>
      </c>
      <c r="V1286" s="39"/>
    </row>
    <row r="1287" spans="1:22" x14ac:dyDescent="0.35">
      <c r="A1287" s="2" t="s">
        <v>3828</v>
      </c>
      <c r="B1287" s="2" t="s">
        <v>3829</v>
      </c>
      <c r="C1287" s="2" t="s">
        <v>9</v>
      </c>
      <c r="D1287" s="4">
        <v>12000</v>
      </c>
      <c r="E1287" s="2" t="s">
        <v>10</v>
      </c>
      <c r="F1287" s="2">
        <v>1</v>
      </c>
      <c r="G1287" s="3">
        <v>2</v>
      </c>
      <c r="H1287" s="2">
        <v>1</v>
      </c>
      <c r="I1287" s="22">
        <f>Table43[[#This Row],[Item Cost]]*Table43[[#This Row],[In Stock]]</f>
        <v>12000</v>
      </c>
      <c r="J1287" s="12" t="s">
        <v>4941</v>
      </c>
      <c r="K1287" s="13" t="s">
        <v>4664</v>
      </c>
      <c r="L1287" s="13" t="s">
        <v>4675</v>
      </c>
      <c r="M1287" s="13" t="s">
        <v>4837</v>
      </c>
      <c r="N1287" s="12" t="s">
        <v>4672</v>
      </c>
      <c r="O1287" s="17" t="str">
        <f>IF(LEN(COUNTIFS($J$1:J1287,$J1287,$K$1:K1287,$K1287,$L$1:L1287,$L1287,$M$1:M1287,M1287,$N$1:N1287,N1287))=1,"00"&amp;COUNTIFS($J$1:J1287,$J1287,$K$1:K1287,$K1287,$L$1:L1287,$L1287,$M$1:M1287,M1287,$N$1:N1287,N1287),IF(LEN(COUNTIFS($J$1:J1287,$J1287,$K$1:K1287,$K1287,$L$1:L1287,$L1287,$M$1:M1287,M1287,$N$1:N1287,N1287))=2,"0"&amp;COUNTIFS($J$1:J1287,$J1287,$K$1:K1287,$K1287,$L$1:L1287,$L1287,$M$1:M1287,M1287,$N$1:N1287,N1287),COUNTIFS($J$1:J1287,$J1287,$K$1:K1287,$K1287,$L$1:L1287,$L1287,$M$1:M1287,M1287,$N$1:N1287,N1287)))</f>
        <v>005</v>
      </c>
      <c r="P128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MS-CS-003-26-00005-INV</v>
      </c>
      <c r="Q1287" s="59"/>
      <c r="R1287" s="34" t="s">
        <v>6963</v>
      </c>
      <c r="S1287" s="34" t="s">
        <v>3829</v>
      </c>
      <c r="T1287" s="34">
        <f>+IFERROR(_xlfn.XLOOKUP(Table43[[#This Row],[Column1]],#REF!,#REF!),0)</f>
        <v>0</v>
      </c>
      <c r="U1287" s="50">
        <f>IFERROR(_xlfn.XLOOKUP(Table43[[#This Row],[Column1]],#REF!,#REF!),0)</f>
        <v>0</v>
      </c>
      <c r="V1287" s="39"/>
    </row>
    <row r="1288" spans="1:22" x14ac:dyDescent="0.35">
      <c r="A1288" s="3" t="s">
        <v>3830</v>
      </c>
      <c r="B1288" s="3" t="s">
        <v>3831</v>
      </c>
      <c r="C1288" s="3" t="s">
        <v>9</v>
      </c>
      <c r="D1288" s="5">
        <v>8000</v>
      </c>
      <c r="E1288" s="3" t="s">
        <v>10</v>
      </c>
      <c r="F1288" s="2">
        <v>1</v>
      </c>
      <c r="G1288" s="3">
        <v>2</v>
      </c>
      <c r="H1288" s="3">
        <v>2</v>
      </c>
      <c r="I1288" s="21">
        <f>Table43[[#This Row],[Item Cost]]*Table43[[#This Row],[In Stock]]</f>
        <v>16000</v>
      </c>
      <c r="J1288" s="12" t="s">
        <v>4941</v>
      </c>
      <c r="K1288" s="13" t="s">
        <v>4664</v>
      </c>
      <c r="L1288" s="13" t="s">
        <v>4675</v>
      </c>
      <c r="M1288" s="13" t="s">
        <v>4772</v>
      </c>
      <c r="N1288" s="12" t="s">
        <v>4672</v>
      </c>
      <c r="O1288" s="17" t="str">
        <f>IF(LEN(COUNTIFS($J$1:J1288,$J1288,$K$1:K1288,$K1288,$L$1:L1288,$L1288,$M$1:M1288,M1288,$N$1:N1288,N1288))=1,"00"&amp;COUNTIFS($J$1:J1288,$J1288,$K$1:K1288,$K1288,$L$1:L1288,$L1288,$M$1:M1288,M1288,$N$1:N1288,N1288),IF(LEN(COUNTIFS($J$1:J1288,$J1288,$K$1:K1288,$K1288,$L$1:L1288,$L1288,$M$1:M1288,M1288,$N$1:N1288,N1288))=2,"0"&amp;COUNTIFS($J$1:J1288,$J1288,$K$1:K1288,$K1288,$L$1:L1288,$L1288,$M$1:M1288,M1288,$N$1:N1288,N1288),COUNTIFS($J$1:J1288,$J1288,$K$1:K1288,$K1288,$L$1:L1288,$L1288,$M$1:M1288,M1288,$N$1:N1288,N1288)))</f>
        <v>002</v>
      </c>
      <c r="P128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MS-CS-003-06-00002-INV</v>
      </c>
      <c r="Q1288" s="59"/>
      <c r="R1288" s="34" t="s">
        <v>6964</v>
      </c>
      <c r="S1288" s="34" t="s">
        <v>3831</v>
      </c>
      <c r="T1288" s="34">
        <f>+IFERROR(_xlfn.XLOOKUP(Table43[[#This Row],[Column1]],#REF!,#REF!),0)</f>
        <v>0</v>
      </c>
      <c r="U1288" s="50">
        <f>IFERROR(_xlfn.XLOOKUP(Table43[[#This Row],[Column1]],#REF!,#REF!),0)</f>
        <v>0</v>
      </c>
      <c r="V1288" s="39"/>
    </row>
    <row r="1289" spans="1:22" x14ac:dyDescent="0.35">
      <c r="A1289" s="2" t="s">
        <v>3832</v>
      </c>
      <c r="B1289" s="2" t="s">
        <v>3833</v>
      </c>
      <c r="C1289" s="2" t="s">
        <v>9</v>
      </c>
      <c r="D1289" s="4">
        <v>1000</v>
      </c>
      <c r="E1289" s="2" t="s">
        <v>10</v>
      </c>
      <c r="F1289" s="2">
        <v>1</v>
      </c>
      <c r="G1289" s="3">
        <v>2</v>
      </c>
      <c r="H1289" s="2">
        <v>3</v>
      </c>
      <c r="I1289" s="22">
        <f>Table43[[#This Row],[Item Cost]]*Table43[[#This Row],[In Stock]]</f>
        <v>3000</v>
      </c>
      <c r="J1289" s="12" t="s">
        <v>4941</v>
      </c>
      <c r="K1289" s="13" t="s">
        <v>4664</v>
      </c>
      <c r="L1289" s="13" t="s">
        <v>4675</v>
      </c>
      <c r="M1289" s="13" t="s">
        <v>4693</v>
      </c>
      <c r="N1289" s="12" t="s">
        <v>4672</v>
      </c>
      <c r="O1289" s="17" t="str">
        <f>IF(LEN(COUNTIFS($J$1:J1289,$J1289,$K$1:K1289,$K1289,$L$1:L1289,$L1289,$M$1:M1289,M1289,$N$1:N1289,N1289))=1,"00"&amp;COUNTIFS($J$1:J1289,$J1289,$K$1:K1289,$K1289,$L$1:L1289,$L1289,$M$1:M1289,M1289,$N$1:N1289,N1289),IF(LEN(COUNTIFS($J$1:J1289,$J1289,$K$1:K1289,$K1289,$L$1:L1289,$L1289,$M$1:M1289,M1289,$N$1:N1289,N1289))=2,"0"&amp;COUNTIFS($J$1:J1289,$J1289,$K$1:K1289,$K1289,$L$1:L1289,$L1289,$M$1:M1289,M1289,$N$1:N1289,N1289),COUNTIFS($J$1:J1289,$J1289,$K$1:K1289,$K1289,$L$1:L1289,$L1289,$M$1:M1289,M1289,$N$1:N1289,N1289)))</f>
        <v>006</v>
      </c>
      <c r="P128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MS-CS-003-23-00006-INV</v>
      </c>
      <c r="Q1289" s="59"/>
      <c r="R1289" s="34" t="s">
        <v>6965</v>
      </c>
      <c r="S1289" s="34" t="s">
        <v>3833</v>
      </c>
      <c r="T1289" s="34">
        <f>+IFERROR(_xlfn.XLOOKUP(Table43[[#This Row],[Column1]],#REF!,#REF!),0)</f>
        <v>0</v>
      </c>
      <c r="U1289" s="50">
        <f>IFERROR(_xlfn.XLOOKUP(Table43[[#This Row],[Column1]],#REF!,#REF!),0)</f>
        <v>0</v>
      </c>
      <c r="V1289" s="39"/>
    </row>
    <row r="1290" spans="1:22" x14ac:dyDescent="0.35">
      <c r="A1290" s="3" t="s">
        <v>3834</v>
      </c>
      <c r="B1290" s="3" t="s">
        <v>3835</v>
      </c>
      <c r="C1290" s="3" t="s">
        <v>9</v>
      </c>
      <c r="D1290" s="5">
        <v>1500</v>
      </c>
      <c r="E1290" s="3" t="s">
        <v>10</v>
      </c>
      <c r="F1290" s="2">
        <v>1</v>
      </c>
      <c r="G1290" s="3">
        <v>2</v>
      </c>
      <c r="H1290" s="3">
        <v>6</v>
      </c>
      <c r="I1290" s="21">
        <f>Table43[[#This Row],[Item Cost]]*Table43[[#This Row],[In Stock]]</f>
        <v>9000</v>
      </c>
      <c r="J1290" s="12" t="s">
        <v>4941</v>
      </c>
      <c r="K1290" s="13" t="s">
        <v>4664</v>
      </c>
      <c r="L1290" s="13" t="s">
        <v>4675</v>
      </c>
      <c r="M1290" s="13" t="s">
        <v>4770</v>
      </c>
      <c r="N1290" s="12" t="s">
        <v>4672</v>
      </c>
      <c r="O1290" s="17" t="str">
        <f>IF(LEN(COUNTIFS($J$1:J1290,$J1290,$K$1:K1290,$K1290,$L$1:L1290,$L1290,$M$1:M1290,M1290,$N$1:N1290,N1290))=1,"00"&amp;COUNTIFS($J$1:J1290,$J1290,$K$1:K1290,$K1290,$L$1:L1290,$L1290,$M$1:M1290,M1290,$N$1:N1290,N1290),IF(LEN(COUNTIFS($J$1:J1290,$J1290,$K$1:K1290,$K1290,$L$1:L1290,$L1290,$M$1:M1290,M1290,$N$1:N1290,N1290))=2,"0"&amp;COUNTIFS($J$1:J1290,$J1290,$K$1:K1290,$K1290,$L$1:L1290,$L1290,$M$1:M1290,M1290,$N$1:N1290,N1290),COUNTIFS($J$1:J1290,$J1290,$K$1:K1290,$K1290,$L$1:L1290,$L1290,$M$1:M1290,M1290,$N$1:N1290,N1290)))</f>
        <v>002</v>
      </c>
      <c r="P129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MS-CS-003-04-00002-INV</v>
      </c>
      <c r="Q1290" s="59"/>
      <c r="R1290" s="34" t="s">
        <v>6966</v>
      </c>
      <c r="S1290" s="34" t="s">
        <v>3835</v>
      </c>
      <c r="T1290" s="34">
        <f>+IFERROR(_xlfn.XLOOKUP(Table43[[#This Row],[Column1]],#REF!,#REF!),0)</f>
        <v>0</v>
      </c>
      <c r="U1290" s="50">
        <f>IFERROR(_xlfn.XLOOKUP(Table43[[#This Row],[Column1]],#REF!,#REF!),0)</f>
        <v>0</v>
      </c>
      <c r="V1290" s="39"/>
    </row>
    <row r="1291" spans="1:22" x14ac:dyDescent="0.35">
      <c r="A1291" s="2" t="s">
        <v>3836</v>
      </c>
      <c r="B1291" s="2" t="s">
        <v>3837</v>
      </c>
      <c r="C1291" s="2" t="s">
        <v>9</v>
      </c>
      <c r="D1291" s="2">
        <v>600</v>
      </c>
      <c r="E1291" s="2" t="s">
        <v>10</v>
      </c>
      <c r="F1291" s="2">
        <v>1</v>
      </c>
      <c r="G1291" s="3">
        <v>2</v>
      </c>
      <c r="H1291" s="2">
        <v>2</v>
      </c>
      <c r="I1291" s="22">
        <f>Table43[[#This Row],[Item Cost]]*Table43[[#This Row],[In Stock]]</f>
        <v>1200</v>
      </c>
      <c r="J1291" s="12" t="s">
        <v>4941</v>
      </c>
      <c r="K1291" s="13" t="s">
        <v>4664</v>
      </c>
      <c r="L1291" s="13" t="s">
        <v>4675</v>
      </c>
      <c r="M1291" s="13" t="s">
        <v>4859</v>
      </c>
      <c r="N1291" s="12" t="s">
        <v>4672</v>
      </c>
      <c r="O1291" s="17" t="str">
        <f>IF(LEN(COUNTIFS($J$1:J1291,$J1291,$K$1:K1291,$K1291,$L$1:L1291,$L1291,$M$1:M1291,M1291,$N$1:N1291,N1291))=1,"00"&amp;COUNTIFS($J$1:J1291,$J1291,$K$1:K1291,$K1291,$L$1:L1291,$L1291,$M$1:M1291,M1291,$N$1:N1291,N1291),IF(LEN(COUNTIFS($J$1:J1291,$J1291,$K$1:K1291,$K1291,$L$1:L1291,$L1291,$M$1:M1291,M1291,$N$1:N1291,N1291))=2,"0"&amp;COUNTIFS($J$1:J1291,$J1291,$K$1:K1291,$K1291,$L$1:L1291,$L1291,$M$1:M1291,M1291,$N$1:N1291,N1291),COUNTIFS($J$1:J1291,$J1291,$K$1:K1291,$K1291,$L$1:L1291,$L1291,$M$1:M1291,M1291,$N$1:N1291,N1291)))</f>
        <v>001</v>
      </c>
      <c r="P129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MS-CS-003-30-00001-INV</v>
      </c>
      <c r="Q1291" s="59" t="s">
        <v>7392</v>
      </c>
      <c r="R1291" s="34" t="s">
        <v>6967</v>
      </c>
      <c r="S1291" s="34" t="s">
        <v>3837</v>
      </c>
      <c r="T1291" s="34">
        <f>+IFERROR(_xlfn.XLOOKUP(Table43[[#This Row],[Column1]],#REF!,#REF!),0)</f>
        <v>0</v>
      </c>
      <c r="U1291" s="50">
        <f>IFERROR(_xlfn.XLOOKUP(Table43[[#This Row],[Column1]],#REF!,#REF!),0)</f>
        <v>0</v>
      </c>
      <c r="V1291" s="39"/>
    </row>
    <row r="1292" spans="1:22" x14ac:dyDescent="0.35">
      <c r="A1292" s="3" t="s">
        <v>3838</v>
      </c>
      <c r="B1292" s="3" t="s">
        <v>3839</v>
      </c>
      <c r="C1292" s="3" t="s">
        <v>9</v>
      </c>
      <c r="D1292" s="3">
        <v>587.87</v>
      </c>
      <c r="E1292" s="3" t="s">
        <v>10</v>
      </c>
      <c r="F1292" s="2">
        <v>1</v>
      </c>
      <c r="G1292" s="3">
        <v>2</v>
      </c>
      <c r="H1292" s="3">
        <v>2</v>
      </c>
      <c r="I1292" s="21">
        <f>Table43[[#This Row],[Item Cost]]*Table43[[#This Row],[In Stock]]</f>
        <v>1175.74</v>
      </c>
      <c r="J1292" s="12" t="s">
        <v>4941</v>
      </c>
      <c r="K1292" s="13" t="s">
        <v>4664</v>
      </c>
      <c r="L1292" s="13" t="s">
        <v>4675</v>
      </c>
      <c r="M1292" s="13" t="s">
        <v>4837</v>
      </c>
      <c r="N1292" s="12" t="s">
        <v>4672</v>
      </c>
      <c r="O1292" s="17" t="str">
        <f>IF(LEN(COUNTIFS($J$1:J1292,$J1292,$K$1:K1292,$K1292,$L$1:L1292,$L1292,$M$1:M1292,M1292,$N$1:N1292,N1292))=1,"00"&amp;COUNTIFS($J$1:J1292,$J1292,$K$1:K1292,$K1292,$L$1:L1292,$L1292,$M$1:M1292,M1292,$N$1:N1292,N1292),IF(LEN(COUNTIFS($J$1:J1292,$J1292,$K$1:K1292,$K1292,$L$1:L1292,$L1292,$M$1:M1292,M1292,$N$1:N1292,N1292))=2,"0"&amp;COUNTIFS($J$1:J1292,$J1292,$K$1:K1292,$K1292,$L$1:L1292,$L1292,$M$1:M1292,M1292,$N$1:N1292,N1292),COUNTIFS($J$1:J1292,$J1292,$K$1:K1292,$K1292,$L$1:L1292,$L1292,$M$1:M1292,M1292,$N$1:N1292,N1292)))</f>
        <v>006</v>
      </c>
      <c r="P129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MS-CS-003-26-00006-INV</v>
      </c>
      <c r="Q1292" s="59"/>
      <c r="R1292" s="34" t="s">
        <v>6968</v>
      </c>
      <c r="S1292" s="34" t="s">
        <v>3839</v>
      </c>
      <c r="T1292" s="34">
        <f>+IFERROR(_xlfn.XLOOKUP(Table43[[#This Row],[Column1]],#REF!,#REF!),0)</f>
        <v>0</v>
      </c>
      <c r="U1292" s="50">
        <f>IFERROR(_xlfn.XLOOKUP(Table43[[#This Row],[Column1]],#REF!,#REF!),0)</f>
        <v>0</v>
      </c>
      <c r="V1292" s="39"/>
    </row>
    <row r="1293" spans="1:22" x14ac:dyDescent="0.35">
      <c r="A1293" s="2" t="s">
        <v>3840</v>
      </c>
      <c r="B1293" s="2" t="s">
        <v>3841</v>
      </c>
      <c r="C1293" s="2" t="s">
        <v>9</v>
      </c>
      <c r="D1293" s="2">
        <v>511.03</v>
      </c>
      <c r="E1293" s="2" t="s">
        <v>10</v>
      </c>
      <c r="F1293" s="2">
        <v>1</v>
      </c>
      <c r="G1293" s="3">
        <v>2</v>
      </c>
      <c r="H1293" s="2">
        <v>1</v>
      </c>
      <c r="I1293" s="22">
        <f>Table43[[#This Row],[Item Cost]]*Table43[[#This Row],[In Stock]]</f>
        <v>511.03</v>
      </c>
      <c r="J1293" s="12" t="s">
        <v>4941</v>
      </c>
      <c r="K1293" s="13" t="s">
        <v>4664</v>
      </c>
      <c r="L1293" s="13" t="s">
        <v>4675</v>
      </c>
      <c r="M1293" s="13" t="s">
        <v>4837</v>
      </c>
      <c r="N1293" s="12" t="s">
        <v>4672</v>
      </c>
      <c r="O1293" s="17" t="str">
        <f>IF(LEN(COUNTIFS($J$1:J1293,$J1293,$K$1:K1293,$K1293,$L$1:L1293,$L1293,$M$1:M1293,M1293,$N$1:N1293,N1293))=1,"00"&amp;COUNTIFS($J$1:J1293,$J1293,$K$1:K1293,$K1293,$L$1:L1293,$L1293,$M$1:M1293,M1293,$N$1:N1293,N1293),IF(LEN(COUNTIFS($J$1:J1293,$J1293,$K$1:K1293,$K1293,$L$1:L1293,$L1293,$M$1:M1293,M1293,$N$1:N1293,N1293))=2,"0"&amp;COUNTIFS($J$1:J1293,$J1293,$K$1:K1293,$K1293,$L$1:L1293,$L1293,$M$1:M1293,M1293,$N$1:N1293,N1293),COUNTIFS($J$1:J1293,$J1293,$K$1:K1293,$K1293,$L$1:L1293,$L1293,$M$1:M1293,M1293,$N$1:N1293,N1293)))</f>
        <v>007</v>
      </c>
      <c r="P129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MS-CS-003-26-00007-INV</v>
      </c>
      <c r="Q1293" s="59"/>
      <c r="R1293" s="34" t="s">
        <v>6969</v>
      </c>
      <c r="S1293" s="34" t="s">
        <v>3841</v>
      </c>
      <c r="T1293" s="34">
        <f>+IFERROR(_xlfn.XLOOKUP(Table43[[#This Row],[Column1]],#REF!,#REF!),0)</f>
        <v>0</v>
      </c>
      <c r="U1293" s="50">
        <f>IFERROR(_xlfn.XLOOKUP(Table43[[#This Row],[Column1]],#REF!,#REF!),0)</f>
        <v>0</v>
      </c>
      <c r="V1293" s="39"/>
    </row>
    <row r="1294" spans="1:22" x14ac:dyDescent="0.35">
      <c r="A1294" s="3" t="s">
        <v>3842</v>
      </c>
      <c r="B1294" s="3" t="s">
        <v>3843</v>
      </c>
      <c r="C1294" s="3" t="s">
        <v>9</v>
      </c>
      <c r="D1294" s="5">
        <v>2447.5500000000002</v>
      </c>
      <c r="E1294" s="3" t="s">
        <v>10</v>
      </c>
      <c r="F1294" s="2">
        <v>1</v>
      </c>
      <c r="G1294" s="3">
        <v>2</v>
      </c>
      <c r="H1294" s="3">
        <v>1</v>
      </c>
      <c r="I1294" s="21">
        <f>Table43[[#This Row],[Item Cost]]*Table43[[#This Row],[In Stock]]</f>
        <v>2447.5500000000002</v>
      </c>
      <c r="J1294" s="12" t="s">
        <v>4941</v>
      </c>
      <c r="K1294" s="13" t="s">
        <v>4664</v>
      </c>
      <c r="L1294" s="13" t="s">
        <v>4675</v>
      </c>
      <c r="M1294" s="13" t="s">
        <v>4837</v>
      </c>
      <c r="N1294" s="12" t="s">
        <v>4672</v>
      </c>
      <c r="O1294" s="17" t="str">
        <f>IF(LEN(COUNTIFS($J$1:J1294,$J1294,$K$1:K1294,$K1294,$L$1:L1294,$L1294,$M$1:M1294,M1294,$N$1:N1294,N1294))=1,"00"&amp;COUNTIFS($J$1:J1294,$J1294,$K$1:K1294,$K1294,$L$1:L1294,$L1294,$M$1:M1294,M1294,$N$1:N1294,N1294),IF(LEN(COUNTIFS($J$1:J1294,$J1294,$K$1:K1294,$K1294,$L$1:L1294,$L1294,$M$1:M1294,M1294,$N$1:N1294,N1294))=2,"0"&amp;COUNTIFS($J$1:J1294,$J1294,$K$1:K1294,$K1294,$L$1:L1294,$L1294,$M$1:M1294,M1294,$N$1:N1294,N1294),COUNTIFS($J$1:J1294,$J1294,$K$1:K1294,$K1294,$L$1:L1294,$L1294,$M$1:M1294,M1294,$N$1:N1294,N1294)))</f>
        <v>008</v>
      </c>
      <c r="P129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MS-CS-003-26-00008-INV</v>
      </c>
      <c r="Q1294" s="59"/>
      <c r="R1294" s="34" t="s">
        <v>6970</v>
      </c>
      <c r="S1294" s="34" t="s">
        <v>3843</v>
      </c>
      <c r="T1294" s="34">
        <f>+IFERROR(_xlfn.XLOOKUP(Table43[[#This Row],[Column1]],#REF!,#REF!),0)</f>
        <v>0</v>
      </c>
      <c r="U1294" s="50">
        <f>IFERROR(_xlfn.XLOOKUP(Table43[[#This Row],[Column1]],#REF!,#REF!),0)</f>
        <v>0</v>
      </c>
      <c r="V1294" s="39"/>
    </row>
    <row r="1295" spans="1:22" x14ac:dyDescent="0.35">
      <c r="A1295" s="2" t="s">
        <v>3844</v>
      </c>
      <c r="B1295" s="2" t="s">
        <v>3845</v>
      </c>
      <c r="C1295" s="2" t="s">
        <v>9</v>
      </c>
      <c r="D1295" s="4">
        <v>7626.97</v>
      </c>
      <c r="E1295" s="2" t="s">
        <v>10</v>
      </c>
      <c r="F1295" s="2">
        <v>1</v>
      </c>
      <c r="G1295" s="3">
        <v>2</v>
      </c>
      <c r="H1295" s="2">
        <v>1</v>
      </c>
      <c r="I1295" s="22">
        <f>Table43[[#This Row],[Item Cost]]*Table43[[#This Row],[In Stock]]</f>
        <v>7626.97</v>
      </c>
      <c r="J1295" s="12" t="s">
        <v>4941</v>
      </c>
      <c r="K1295" s="13" t="s">
        <v>4664</v>
      </c>
      <c r="L1295" s="13" t="s">
        <v>4675</v>
      </c>
      <c r="M1295" s="13" t="s">
        <v>4837</v>
      </c>
      <c r="N1295" s="12" t="s">
        <v>4672</v>
      </c>
      <c r="O1295" s="17" t="str">
        <f>IF(LEN(COUNTIFS($J$1:J1295,$J1295,$K$1:K1295,$K1295,$L$1:L1295,$L1295,$M$1:M1295,M1295,$N$1:N1295,N1295))=1,"00"&amp;COUNTIFS($J$1:J1295,$J1295,$K$1:K1295,$K1295,$L$1:L1295,$L1295,$M$1:M1295,M1295,$N$1:N1295,N1295),IF(LEN(COUNTIFS($J$1:J1295,$J1295,$K$1:K1295,$K1295,$L$1:L1295,$L1295,$M$1:M1295,M1295,$N$1:N1295,N1295))=2,"0"&amp;COUNTIFS($J$1:J1295,$J1295,$K$1:K1295,$K1295,$L$1:L1295,$L1295,$M$1:M1295,M1295,$N$1:N1295,N1295),COUNTIFS($J$1:J1295,$J1295,$K$1:K1295,$K1295,$L$1:L1295,$L1295,$M$1:M1295,M1295,$N$1:N1295,N1295)))</f>
        <v>009</v>
      </c>
      <c r="P129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MS-CS-003-26-00009-INV</v>
      </c>
      <c r="Q1295" s="59"/>
      <c r="R1295" s="34" t="s">
        <v>6971</v>
      </c>
      <c r="S1295" s="34" t="s">
        <v>3845</v>
      </c>
      <c r="T1295" s="34">
        <f>+IFERROR(_xlfn.XLOOKUP(Table43[[#This Row],[Column1]],#REF!,#REF!),0)</f>
        <v>0</v>
      </c>
      <c r="U1295" s="50">
        <f>IFERROR(_xlfn.XLOOKUP(Table43[[#This Row],[Column1]],#REF!,#REF!),0)</f>
        <v>0</v>
      </c>
      <c r="V1295" s="39"/>
    </row>
    <row r="1296" spans="1:22" x14ac:dyDescent="0.35">
      <c r="A1296" s="3" t="s">
        <v>3846</v>
      </c>
      <c r="B1296" s="3" t="s">
        <v>3847</v>
      </c>
      <c r="C1296" s="3" t="s">
        <v>9</v>
      </c>
      <c r="D1296" s="5">
        <v>1352.49</v>
      </c>
      <c r="E1296" s="3" t="s">
        <v>10</v>
      </c>
      <c r="F1296" s="2">
        <v>1</v>
      </c>
      <c r="G1296" s="3">
        <v>2</v>
      </c>
      <c r="H1296" s="3">
        <v>1</v>
      </c>
      <c r="I1296" s="21">
        <f>Table43[[#This Row],[Item Cost]]*Table43[[#This Row],[In Stock]]</f>
        <v>1352.49</v>
      </c>
      <c r="J1296" s="12" t="s">
        <v>4941</v>
      </c>
      <c r="K1296" s="13" t="s">
        <v>4664</v>
      </c>
      <c r="L1296" s="13" t="s">
        <v>4675</v>
      </c>
      <c r="M1296" s="13" t="s">
        <v>4837</v>
      </c>
      <c r="N1296" s="12" t="s">
        <v>4672</v>
      </c>
      <c r="O1296" s="17" t="str">
        <f>IF(LEN(COUNTIFS($J$1:J1296,$J1296,$K$1:K1296,$K1296,$L$1:L1296,$L1296,$M$1:M1296,M1296,$N$1:N1296,N1296))=1,"00"&amp;COUNTIFS($J$1:J1296,$J1296,$K$1:K1296,$K1296,$L$1:L1296,$L1296,$M$1:M1296,M1296,$N$1:N1296,N1296),IF(LEN(COUNTIFS($J$1:J1296,$J1296,$K$1:K1296,$K1296,$L$1:L1296,$L1296,$M$1:M1296,M1296,$N$1:N1296,N1296))=2,"0"&amp;COUNTIFS($J$1:J1296,$J1296,$K$1:K1296,$K1296,$L$1:L1296,$L1296,$M$1:M1296,M1296,$N$1:N1296,N1296),COUNTIFS($J$1:J1296,$J1296,$K$1:K1296,$K1296,$L$1:L1296,$L1296,$M$1:M1296,M1296,$N$1:N1296,N1296)))</f>
        <v>010</v>
      </c>
      <c r="P129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MS-CS-003-26-00010-INV</v>
      </c>
      <c r="Q1296" s="59"/>
      <c r="R1296" s="34" t="s">
        <v>6972</v>
      </c>
      <c r="S1296" s="34" t="s">
        <v>3847</v>
      </c>
      <c r="T1296" s="34">
        <f>+IFERROR(_xlfn.XLOOKUP(Table43[[#This Row],[Column1]],#REF!,#REF!),0)</f>
        <v>0</v>
      </c>
      <c r="U1296" s="50">
        <f>IFERROR(_xlfn.XLOOKUP(Table43[[#This Row],[Column1]],#REF!,#REF!),0)</f>
        <v>0</v>
      </c>
      <c r="V1296" s="39"/>
    </row>
    <row r="1297" spans="1:22" x14ac:dyDescent="0.35">
      <c r="A1297" s="2" t="s">
        <v>3848</v>
      </c>
      <c r="B1297" s="2" t="s">
        <v>3849</v>
      </c>
      <c r="C1297" s="2" t="s">
        <v>9</v>
      </c>
      <c r="D1297" s="4">
        <v>1098.9000000000001</v>
      </c>
      <c r="E1297" s="2" t="s">
        <v>10</v>
      </c>
      <c r="F1297" s="2">
        <v>1</v>
      </c>
      <c r="G1297" s="3">
        <v>2</v>
      </c>
      <c r="H1297" s="2">
        <v>1</v>
      </c>
      <c r="I1297" s="22">
        <f>Table43[[#This Row],[Item Cost]]*Table43[[#This Row],[In Stock]]</f>
        <v>1098.9000000000001</v>
      </c>
      <c r="J1297" s="12" t="s">
        <v>4941</v>
      </c>
      <c r="K1297" s="13" t="s">
        <v>4664</v>
      </c>
      <c r="L1297" s="13" t="s">
        <v>4675</v>
      </c>
      <c r="M1297" s="13" t="s">
        <v>4772</v>
      </c>
      <c r="N1297" s="12" t="s">
        <v>4672</v>
      </c>
      <c r="O1297" s="17" t="str">
        <f>IF(LEN(COUNTIFS($J$1:J1297,$J1297,$K$1:K1297,$K1297,$L$1:L1297,$L1297,$M$1:M1297,M1297,$N$1:N1297,N1297))=1,"00"&amp;COUNTIFS($J$1:J1297,$J1297,$K$1:K1297,$K1297,$L$1:L1297,$L1297,$M$1:M1297,M1297,$N$1:N1297,N1297),IF(LEN(COUNTIFS($J$1:J1297,$J1297,$K$1:K1297,$K1297,$L$1:L1297,$L1297,$M$1:M1297,M1297,$N$1:N1297,N1297))=2,"0"&amp;COUNTIFS($J$1:J1297,$J1297,$K$1:K1297,$K1297,$L$1:L1297,$L1297,$M$1:M1297,M1297,$N$1:N1297,N1297),COUNTIFS($J$1:J1297,$J1297,$K$1:K1297,$K1297,$L$1:L1297,$L1297,$M$1:M1297,M1297,$N$1:N1297,N1297)))</f>
        <v>003</v>
      </c>
      <c r="P129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MS-CS-003-06-00003-INV</v>
      </c>
      <c r="Q1297" s="59"/>
      <c r="R1297" s="34" t="s">
        <v>6973</v>
      </c>
      <c r="S1297" s="34" t="s">
        <v>3849</v>
      </c>
      <c r="T1297" s="34">
        <f>+IFERROR(_xlfn.XLOOKUP(Table43[[#This Row],[Column1]],#REF!,#REF!),0)</f>
        <v>0</v>
      </c>
      <c r="U1297" s="50">
        <f>IFERROR(_xlfn.XLOOKUP(Table43[[#This Row],[Column1]],#REF!,#REF!),0)</f>
        <v>0</v>
      </c>
      <c r="V1297" s="39"/>
    </row>
    <row r="1298" spans="1:22" x14ac:dyDescent="0.35">
      <c r="A1298" s="3" t="s">
        <v>3850</v>
      </c>
      <c r="B1298" s="3" t="s">
        <v>3851</v>
      </c>
      <c r="C1298" s="3" t="s">
        <v>9</v>
      </c>
      <c r="D1298" s="3">
        <v>372.7</v>
      </c>
      <c r="E1298" s="3" t="s">
        <v>10</v>
      </c>
      <c r="F1298" s="2">
        <v>1</v>
      </c>
      <c r="G1298" s="3">
        <v>2</v>
      </c>
      <c r="H1298" s="3">
        <v>1</v>
      </c>
      <c r="I1298" s="21">
        <f>Table43[[#This Row],[Item Cost]]*Table43[[#This Row],[In Stock]]</f>
        <v>372.7</v>
      </c>
      <c r="J1298" s="12" t="s">
        <v>4941</v>
      </c>
      <c r="K1298" s="13" t="s">
        <v>4664</v>
      </c>
      <c r="L1298" s="13" t="s">
        <v>4675</v>
      </c>
      <c r="M1298" s="13" t="s">
        <v>4795</v>
      </c>
      <c r="N1298" s="12" t="s">
        <v>4672</v>
      </c>
      <c r="O1298" s="17" t="str">
        <f>IF(LEN(COUNTIFS($J$1:J1298,$J1298,$K$1:K1298,$K1298,$L$1:L1298,$L1298,$M$1:M1298,M1298,$N$1:N1298,N1298))=1,"00"&amp;COUNTIFS($J$1:J1298,$J1298,$K$1:K1298,$K1298,$L$1:L1298,$L1298,$M$1:M1298,M1298,$N$1:N1298,N1298),IF(LEN(COUNTIFS($J$1:J1298,$J1298,$K$1:K1298,$K1298,$L$1:L1298,$L1298,$M$1:M1298,M1298,$N$1:N1298,N1298))=2,"0"&amp;COUNTIFS($J$1:J1298,$J1298,$K$1:K1298,$K1298,$L$1:L1298,$L1298,$M$1:M1298,M1298,$N$1:N1298,N1298),COUNTIFS($J$1:J1298,$J1298,$K$1:K1298,$K1298,$L$1:L1298,$L1298,$M$1:M1298,M1298,$N$1:N1298,N1298)))</f>
        <v>002</v>
      </c>
      <c r="P129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MS-CS-003-19-00002-INV</v>
      </c>
      <c r="Q1298" s="59"/>
      <c r="R1298" s="34" t="s">
        <v>6974</v>
      </c>
      <c r="S1298" s="34" t="s">
        <v>3851</v>
      </c>
      <c r="T1298" s="34">
        <f>+IFERROR(_xlfn.XLOOKUP(Table43[[#This Row],[Column1]],#REF!,#REF!),0)</f>
        <v>0</v>
      </c>
      <c r="U1298" s="50">
        <f>IFERROR(_xlfn.XLOOKUP(Table43[[#This Row],[Column1]],#REF!,#REF!),0)</f>
        <v>0</v>
      </c>
      <c r="V1298" s="39"/>
    </row>
    <row r="1299" spans="1:22" x14ac:dyDescent="0.35">
      <c r="A1299" s="2" t="s">
        <v>3852</v>
      </c>
      <c r="B1299" s="2" t="s">
        <v>3853</v>
      </c>
      <c r="C1299" s="2" t="s">
        <v>9</v>
      </c>
      <c r="D1299" s="2">
        <v>219.01</v>
      </c>
      <c r="E1299" s="2" t="s">
        <v>10</v>
      </c>
      <c r="F1299" s="2">
        <v>1</v>
      </c>
      <c r="G1299" s="3">
        <v>2</v>
      </c>
      <c r="H1299" s="2">
        <v>1</v>
      </c>
      <c r="I1299" s="22">
        <f>Table43[[#This Row],[Item Cost]]*Table43[[#This Row],[In Stock]]</f>
        <v>219.01</v>
      </c>
      <c r="J1299" s="12" t="s">
        <v>4941</v>
      </c>
      <c r="K1299" s="13" t="s">
        <v>4664</v>
      </c>
      <c r="L1299" s="13" t="s">
        <v>4675</v>
      </c>
      <c r="M1299" s="13" t="s">
        <v>4771</v>
      </c>
      <c r="N1299" s="12" t="s">
        <v>4672</v>
      </c>
      <c r="O1299" s="17" t="str">
        <f>IF(LEN(COUNTIFS($J$1:J1299,$J1299,$K$1:K1299,$K1299,$L$1:L1299,$L1299,$M$1:M1299,M1299,$N$1:N1299,N1299))=1,"00"&amp;COUNTIFS($J$1:J1299,$J1299,$K$1:K1299,$K1299,$L$1:L1299,$L1299,$M$1:M1299,M1299,$N$1:N1299,N1299),IF(LEN(COUNTIFS($J$1:J1299,$J1299,$K$1:K1299,$K1299,$L$1:L1299,$L1299,$M$1:M1299,M1299,$N$1:N1299,N1299))=2,"0"&amp;COUNTIFS($J$1:J1299,$J1299,$K$1:K1299,$K1299,$L$1:L1299,$L1299,$M$1:M1299,M1299,$N$1:N1299,N1299),COUNTIFS($J$1:J1299,$J1299,$K$1:K1299,$K1299,$L$1:L1299,$L1299,$M$1:M1299,M1299,$N$1:N1299,N1299)))</f>
        <v>002</v>
      </c>
      <c r="P129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MS-CS-003-05-00002-INV</v>
      </c>
      <c r="Q1299" s="59"/>
      <c r="R1299" s="34" t="s">
        <v>6975</v>
      </c>
      <c r="S1299" s="34" t="s">
        <v>3853</v>
      </c>
      <c r="T1299" s="34">
        <f>+IFERROR(_xlfn.XLOOKUP(Table43[[#This Row],[Column1]],#REF!,#REF!),0)</f>
        <v>0</v>
      </c>
      <c r="U1299" s="50">
        <f>IFERROR(_xlfn.XLOOKUP(Table43[[#This Row],[Column1]],#REF!,#REF!),0)</f>
        <v>0</v>
      </c>
      <c r="V1299" s="39"/>
    </row>
    <row r="1300" spans="1:22" x14ac:dyDescent="0.35">
      <c r="A1300" s="3" t="s">
        <v>3854</v>
      </c>
      <c r="B1300" s="3" t="s">
        <v>3855</v>
      </c>
      <c r="C1300" s="3" t="s">
        <v>9</v>
      </c>
      <c r="D1300" s="3">
        <v>564.82000000000005</v>
      </c>
      <c r="E1300" s="3" t="s">
        <v>10</v>
      </c>
      <c r="F1300" s="2">
        <v>1</v>
      </c>
      <c r="G1300" s="3">
        <v>2</v>
      </c>
      <c r="H1300" s="3">
        <v>1</v>
      </c>
      <c r="I1300" s="21">
        <f>Table43[[#This Row],[Item Cost]]*Table43[[#This Row],[In Stock]]</f>
        <v>564.82000000000005</v>
      </c>
      <c r="J1300" s="12" t="s">
        <v>4941</v>
      </c>
      <c r="K1300" s="13" t="s">
        <v>4664</v>
      </c>
      <c r="L1300" s="13" t="s">
        <v>4675</v>
      </c>
      <c r="M1300" s="13" t="s">
        <v>4837</v>
      </c>
      <c r="N1300" s="12" t="s">
        <v>4672</v>
      </c>
      <c r="O1300" s="17" t="str">
        <f>IF(LEN(COUNTIFS($J$1:J1300,$J1300,$K$1:K1300,$K1300,$L$1:L1300,$L1300,$M$1:M1300,M1300,$N$1:N1300,N1300))=1,"00"&amp;COUNTIFS($J$1:J1300,$J1300,$K$1:K1300,$K1300,$L$1:L1300,$L1300,$M$1:M1300,M1300,$N$1:N1300,N1300),IF(LEN(COUNTIFS($J$1:J1300,$J1300,$K$1:K1300,$K1300,$L$1:L1300,$L1300,$M$1:M1300,M1300,$N$1:N1300,N1300))=2,"0"&amp;COUNTIFS($J$1:J1300,$J1300,$K$1:K1300,$K1300,$L$1:L1300,$L1300,$M$1:M1300,M1300,$N$1:N1300,N1300),COUNTIFS($J$1:J1300,$J1300,$K$1:K1300,$K1300,$L$1:L1300,$L1300,$M$1:M1300,M1300,$N$1:N1300,N1300)))</f>
        <v>011</v>
      </c>
      <c r="P130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MS-CS-003-26-00011-INV</v>
      </c>
      <c r="Q1300" s="59"/>
      <c r="R1300" s="34" t="s">
        <v>6976</v>
      </c>
      <c r="S1300" s="34" t="s">
        <v>3855</v>
      </c>
      <c r="T1300" s="34">
        <f>+IFERROR(_xlfn.XLOOKUP(Table43[[#This Row],[Column1]],#REF!,#REF!),0)</f>
        <v>0</v>
      </c>
      <c r="U1300" s="50">
        <f>IFERROR(_xlfn.XLOOKUP(Table43[[#This Row],[Column1]],#REF!,#REF!),0)</f>
        <v>0</v>
      </c>
      <c r="V1300" s="39"/>
    </row>
    <row r="1301" spans="1:22" x14ac:dyDescent="0.35">
      <c r="A1301" s="2" t="s">
        <v>3856</v>
      </c>
      <c r="B1301" s="2" t="s">
        <v>3857</v>
      </c>
      <c r="C1301" s="2" t="s">
        <v>9</v>
      </c>
      <c r="D1301" s="4">
        <v>1675.24</v>
      </c>
      <c r="E1301" s="2" t="s">
        <v>10</v>
      </c>
      <c r="F1301" s="2">
        <v>1</v>
      </c>
      <c r="G1301" s="3">
        <v>2</v>
      </c>
      <c r="H1301" s="2">
        <v>1</v>
      </c>
      <c r="I1301" s="22">
        <f>Table43[[#This Row],[Item Cost]]*Table43[[#This Row],[In Stock]]</f>
        <v>1675.24</v>
      </c>
      <c r="J1301" s="12" t="s">
        <v>4941</v>
      </c>
      <c r="K1301" s="13" t="s">
        <v>4664</v>
      </c>
      <c r="L1301" s="13" t="s">
        <v>4675</v>
      </c>
      <c r="M1301" s="13" t="s">
        <v>4837</v>
      </c>
      <c r="N1301" s="12" t="s">
        <v>4672</v>
      </c>
      <c r="O1301" s="17" t="str">
        <f>IF(LEN(COUNTIFS($J$1:J1301,$J1301,$K$1:K1301,$K1301,$L$1:L1301,$L1301,$M$1:M1301,M1301,$N$1:N1301,N1301))=1,"00"&amp;COUNTIFS($J$1:J1301,$J1301,$K$1:K1301,$K1301,$L$1:L1301,$L1301,$M$1:M1301,M1301,$N$1:N1301,N1301),IF(LEN(COUNTIFS($J$1:J1301,$J1301,$K$1:K1301,$K1301,$L$1:L1301,$L1301,$M$1:M1301,M1301,$N$1:N1301,N1301))=2,"0"&amp;COUNTIFS($J$1:J1301,$J1301,$K$1:K1301,$K1301,$L$1:L1301,$L1301,$M$1:M1301,M1301,$N$1:N1301,N1301),COUNTIFS($J$1:J1301,$J1301,$K$1:K1301,$K1301,$L$1:L1301,$L1301,$M$1:M1301,M1301,$N$1:N1301,N1301)))</f>
        <v>012</v>
      </c>
      <c r="P130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MS-CS-003-26-00012-INV</v>
      </c>
      <c r="Q1301" s="59"/>
      <c r="R1301" s="34" t="s">
        <v>6977</v>
      </c>
      <c r="S1301" s="34" t="s">
        <v>3857</v>
      </c>
      <c r="T1301" s="34">
        <f>+IFERROR(_xlfn.XLOOKUP(Table43[[#This Row],[Column1]],#REF!,#REF!),0)</f>
        <v>0</v>
      </c>
      <c r="U1301" s="50">
        <f>IFERROR(_xlfn.XLOOKUP(Table43[[#This Row],[Column1]],#REF!,#REF!),0)</f>
        <v>0</v>
      </c>
      <c r="V1301" s="39"/>
    </row>
    <row r="1302" spans="1:22" x14ac:dyDescent="0.35">
      <c r="A1302" s="3" t="s">
        <v>3858</v>
      </c>
      <c r="B1302" s="3" t="s">
        <v>3859</v>
      </c>
      <c r="C1302" s="3" t="s">
        <v>9</v>
      </c>
      <c r="D1302" s="3">
        <v>49.95</v>
      </c>
      <c r="E1302" s="3" t="s">
        <v>10</v>
      </c>
      <c r="F1302" s="2">
        <v>1</v>
      </c>
      <c r="G1302" s="3">
        <v>2</v>
      </c>
      <c r="H1302" s="3">
        <v>1</v>
      </c>
      <c r="I1302" s="21">
        <f>Table43[[#This Row],[Item Cost]]*Table43[[#This Row],[In Stock]]</f>
        <v>49.95</v>
      </c>
      <c r="J1302" s="12" t="s">
        <v>4941</v>
      </c>
      <c r="K1302" s="13" t="s">
        <v>4664</v>
      </c>
      <c r="L1302" s="13" t="s">
        <v>4675</v>
      </c>
      <c r="M1302" s="13" t="s">
        <v>3950</v>
      </c>
      <c r="N1302" s="12" t="s">
        <v>4672</v>
      </c>
      <c r="O1302" s="17" t="str">
        <f>IF(LEN(COUNTIFS($J$1:J1302,$J1302,$K$1:K1302,$K1302,$L$1:L1302,$L1302,$M$1:M1302,M1302,$N$1:N1302,N1302))=1,"00"&amp;COUNTIFS($J$1:J1302,$J1302,$K$1:K1302,$K1302,$L$1:L1302,$L1302,$M$1:M1302,M1302,$N$1:N1302,N1302),IF(LEN(COUNTIFS($J$1:J1302,$J1302,$K$1:K1302,$K1302,$L$1:L1302,$L1302,$M$1:M1302,M1302,$N$1:N1302,N1302))=2,"0"&amp;COUNTIFS($J$1:J1302,$J1302,$K$1:K1302,$K1302,$L$1:L1302,$L1302,$M$1:M1302,M1302,$N$1:N1302,N1302),COUNTIFS($J$1:J1302,$J1302,$K$1:K1302,$K1302,$L$1:L1302,$L1302,$M$1:M1302,M1302,$N$1:N1302,N1302)))</f>
        <v>002</v>
      </c>
      <c r="P130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MS-CS-003-22-00002-INV</v>
      </c>
      <c r="Q1302" s="59"/>
      <c r="R1302" s="34" t="s">
        <v>6978</v>
      </c>
      <c r="S1302" s="34" t="s">
        <v>3859</v>
      </c>
      <c r="T1302" s="34">
        <f>+IFERROR(_xlfn.XLOOKUP(Table43[[#This Row],[Column1]],#REF!,#REF!),0)</f>
        <v>0</v>
      </c>
      <c r="U1302" s="50">
        <f>IFERROR(_xlfn.XLOOKUP(Table43[[#This Row],[Column1]],#REF!,#REF!),0)</f>
        <v>0</v>
      </c>
      <c r="V1302" s="39"/>
    </row>
    <row r="1303" spans="1:22" x14ac:dyDescent="0.35">
      <c r="A1303" s="2" t="s">
        <v>3860</v>
      </c>
      <c r="B1303" s="2" t="s">
        <v>3861</v>
      </c>
      <c r="C1303" s="2" t="s">
        <v>9</v>
      </c>
      <c r="D1303" s="4">
        <v>1352.49</v>
      </c>
      <c r="E1303" s="2" t="s">
        <v>10</v>
      </c>
      <c r="F1303" s="2">
        <v>1</v>
      </c>
      <c r="G1303" s="3">
        <v>2</v>
      </c>
      <c r="H1303" s="2">
        <v>1</v>
      </c>
      <c r="I1303" s="22">
        <f>Table43[[#This Row],[Item Cost]]*Table43[[#This Row],[In Stock]]</f>
        <v>1352.49</v>
      </c>
      <c r="J1303" s="12" t="s">
        <v>4941</v>
      </c>
      <c r="K1303" s="13" t="s">
        <v>4664</v>
      </c>
      <c r="L1303" s="13" t="s">
        <v>4675</v>
      </c>
      <c r="M1303" s="13" t="s">
        <v>4837</v>
      </c>
      <c r="N1303" s="12" t="s">
        <v>4672</v>
      </c>
      <c r="O1303" s="17" t="str">
        <f>IF(LEN(COUNTIFS($J$1:J1303,$J1303,$K$1:K1303,$K1303,$L$1:L1303,$L1303,$M$1:M1303,M1303,$N$1:N1303,N1303))=1,"00"&amp;COUNTIFS($J$1:J1303,$J1303,$K$1:K1303,$K1303,$L$1:L1303,$L1303,$M$1:M1303,M1303,$N$1:N1303,N1303),IF(LEN(COUNTIFS($J$1:J1303,$J1303,$K$1:K1303,$K1303,$L$1:L1303,$L1303,$M$1:M1303,M1303,$N$1:N1303,N1303))=2,"0"&amp;COUNTIFS($J$1:J1303,$J1303,$K$1:K1303,$K1303,$L$1:L1303,$L1303,$M$1:M1303,M1303,$N$1:N1303,N1303),COUNTIFS($J$1:J1303,$J1303,$K$1:K1303,$K1303,$L$1:L1303,$L1303,$M$1:M1303,M1303,$N$1:N1303,N1303)))</f>
        <v>013</v>
      </c>
      <c r="P130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MS-CS-003-26-00013-INV</v>
      </c>
      <c r="Q1303" s="59"/>
      <c r="R1303" s="34" t="s">
        <v>6979</v>
      </c>
      <c r="S1303" s="34" t="s">
        <v>3861</v>
      </c>
      <c r="T1303" s="34">
        <f>+IFERROR(_xlfn.XLOOKUP(Table43[[#This Row],[Column1]],#REF!,#REF!),0)</f>
        <v>0</v>
      </c>
      <c r="U1303" s="50">
        <f>IFERROR(_xlfn.XLOOKUP(Table43[[#This Row],[Column1]],#REF!,#REF!),0)</f>
        <v>0</v>
      </c>
      <c r="V1303" s="39"/>
    </row>
    <row r="1304" spans="1:22" x14ac:dyDescent="0.35">
      <c r="A1304" s="3" t="s">
        <v>3862</v>
      </c>
      <c r="B1304" s="3" t="s">
        <v>3863</v>
      </c>
      <c r="C1304" s="3" t="s">
        <v>9</v>
      </c>
      <c r="D1304" s="3">
        <v>322.75</v>
      </c>
      <c r="E1304" s="3" t="s">
        <v>10</v>
      </c>
      <c r="F1304" s="2">
        <v>1</v>
      </c>
      <c r="G1304" s="3">
        <v>2</v>
      </c>
      <c r="H1304" s="3">
        <v>1</v>
      </c>
      <c r="I1304" s="21">
        <f>Table43[[#This Row],[Item Cost]]*Table43[[#This Row],[In Stock]]</f>
        <v>322.75</v>
      </c>
      <c r="J1304" s="12" t="s">
        <v>4941</v>
      </c>
      <c r="K1304" s="13" t="s">
        <v>4664</v>
      </c>
      <c r="L1304" s="13" t="s">
        <v>4675</v>
      </c>
      <c r="M1304" s="13" t="s">
        <v>4837</v>
      </c>
      <c r="N1304" s="12" t="s">
        <v>4672</v>
      </c>
      <c r="O1304" s="17" t="str">
        <f>IF(LEN(COUNTIFS($J$1:J1304,$J1304,$K$1:K1304,$K1304,$L$1:L1304,$L1304,$M$1:M1304,M1304,$N$1:N1304,N1304))=1,"00"&amp;COUNTIFS($J$1:J1304,$J1304,$K$1:K1304,$K1304,$L$1:L1304,$L1304,$M$1:M1304,M1304,$N$1:N1304,N1304),IF(LEN(COUNTIFS($J$1:J1304,$J1304,$K$1:K1304,$K1304,$L$1:L1304,$L1304,$M$1:M1304,M1304,$N$1:N1304,N1304))=2,"0"&amp;COUNTIFS($J$1:J1304,$J1304,$K$1:K1304,$K1304,$L$1:L1304,$L1304,$M$1:M1304,M1304,$N$1:N1304,N1304),COUNTIFS($J$1:J1304,$J1304,$K$1:K1304,$K1304,$L$1:L1304,$L1304,$M$1:M1304,M1304,$N$1:N1304,N1304)))</f>
        <v>014</v>
      </c>
      <c r="P130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MS-CS-003-26-00014-INV</v>
      </c>
      <c r="Q1304" s="59"/>
      <c r="R1304" s="34" t="s">
        <v>6980</v>
      </c>
      <c r="S1304" s="34" t="s">
        <v>3863</v>
      </c>
      <c r="T1304" s="34">
        <f>+IFERROR(_xlfn.XLOOKUP(Table43[[#This Row],[Column1]],#REF!,#REF!),0)</f>
        <v>0</v>
      </c>
      <c r="U1304" s="50">
        <f>IFERROR(_xlfn.XLOOKUP(Table43[[#This Row],[Column1]],#REF!,#REF!),0)</f>
        <v>0</v>
      </c>
      <c r="V1304" s="39"/>
    </row>
    <row r="1305" spans="1:22" x14ac:dyDescent="0.35">
      <c r="A1305" s="2" t="s">
        <v>3864</v>
      </c>
      <c r="B1305" s="2" t="s">
        <v>3865</v>
      </c>
      <c r="C1305" s="2" t="s">
        <v>9</v>
      </c>
      <c r="D1305" s="4">
        <v>6908.46</v>
      </c>
      <c r="E1305" s="2" t="s">
        <v>10</v>
      </c>
      <c r="F1305" s="2">
        <v>1</v>
      </c>
      <c r="G1305" s="3">
        <v>2</v>
      </c>
      <c r="H1305" s="2">
        <v>1</v>
      </c>
      <c r="I1305" s="22">
        <f>Table43[[#This Row],[Item Cost]]*Table43[[#This Row],[In Stock]]</f>
        <v>6908.46</v>
      </c>
      <c r="J1305" s="12" t="s">
        <v>4941</v>
      </c>
      <c r="K1305" s="13" t="s">
        <v>4664</v>
      </c>
      <c r="L1305" s="13" t="s">
        <v>4675</v>
      </c>
      <c r="M1305" s="13" t="s">
        <v>4837</v>
      </c>
      <c r="N1305" s="12" t="s">
        <v>4672</v>
      </c>
      <c r="O1305" s="17" t="str">
        <f>IF(LEN(COUNTIFS($J$1:J1305,$J1305,$K$1:K1305,$K1305,$L$1:L1305,$L1305,$M$1:M1305,M1305,$N$1:N1305,N1305))=1,"00"&amp;COUNTIFS($J$1:J1305,$J1305,$K$1:K1305,$K1305,$L$1:L1305,$L1305,$M$1:M1305,M1305,$N$1:N1305,N1305),IF(LEN(COUNTIFS($J$1:J1305,$J1305,$K$1:K1305,$K1305,$L$1:L1305,$L1305,$M$1:M1305,M1305,$N$1:N1305,N1305))=2,"0"&amp;COUNTIFS($J$1:J1305,$J1305,$K$1:K1305,$K1305,$L$1:L1305,$L1305,$M$1:M1305,M1305,$N$1:N1305,N1305),COUNTIFS($J$1:J1305,$J1305,$K$1:K1305,$K1305,$L$1:L1305,$L1305,$M$1:M1305,M1305,$N$1:N1305,N1305)))</f>
        <v>015</v>
      </c>
      <c r="P130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MS-CS-003-26-00015-INV</v>
      </c>
      <c r="Q1305" s="59"/>
      <c r="R1305" s="34" t="s">
        <v>6981</v>
      </c>
      <c r="S1305" s="34" t="s">
        <v>3865</v>
      </c>
      <c r="T1305" s="34">
        <f>+IFERROR(_xlfn.XLOOKUP(Table43[[#This Row],[Column1]],#REF!,#REF!),0)</f>
        <v>0</v>
      </c>
      <c r="U1305" s="50">
        <f>IFERROR(_xlfn.XLOOKUP(Table43[[#This Row],[Column1]],#REF!,#REF!),0)</f>
        <v>0</v>
      </c>
      <c r="V1305" s="39"/>
    </row>
    <row r="1306" spans="1:22" x14ac:dyDescent="0.35">
      <c r="A1306" s="3" t="s">
        <v>3866</v>
      </c>
      <c r="B1306" s="3" t="s">
        <v>3867</v>
      </c>
      <c r="C1306" s="3" t="s">
        <v>9</v>
      </c>
      <c r="D1306" s="3">
        <v>595.55999999999995</v>
      </c>
      <c r="E1306" s="3" t="s">
        <v>10</v>
      </c>
      <c r="F1306" s="2">
        <v>1</v>
      </c>
      <c r="G1306" s="3">
        <v>2</v>
      </c>
      <c r="H1306" s="3">
        <v>1</v>
      </c>
      <c r="I1306" s="21">
        <f>Table43[[#This Row],[Item Cost]]*Table43[[#This Row],[In Stock]]</f>
        <v>595.55999999999995</v>
      </c>
      <c r="J1306" s="12" t="s">
        <v>4941</v>
      </c>
      <c r="K1306" s="13" t="s">
        <v>4664</v>
      </c>
      <c r="L1306" s="13" t="s">
        <v>4675</v>
      </c>
      <c r="M1306" s="13" t="s">
        <v>4837</v>
      </c>
      <c r="N1306" s="12" t="s">
        <v>4672</v>
      </c>
      <c r="O1306" s="17" t="str">
        <f>IF(LEN(COUNTIFS($J$1:J1306,$J1306,$K$1:K1306,$K1306,$L$1:L1306,$L1306,$M$1:M1306,M1306,$N$1:N1306,N1306))=1,"00"&amp;COUNTIFS($J$1:J1306,$J1306,$K$1:K1306,$K1306,$L$1:L1306,$L1306,$M$1:M1306,M1306,$N$1:N1306,N1306),IF(LEN(COUNTIFS($J$1:J1306,$J1306,$K$1:K1306,$K1306,$L$1:L1306,$L1306,$M$1:M1306,M1306,$N$1:N1306,N1306))=2,"0"&amp;COUNTIFS($J$1:J1306,$J1306,$K$1:K1306,$K1306,$L$1:L1306,$L1306,$M$1:M1306,M1306,$N$1:N1306,N1306),COUNTIFS($J$1:J1306,$J1306,$K$1:K1306,$K1306,$L$1:L1306,$L1306,$M$1:M1306,M1306,$N$1:N1306,N1306)))</f>
        <v>016</v>
      </c>
      <c r="P130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MS-CS-003-26-00016-INV</v>
      </c>
      <c r="Q1306" s="59"/>
      <c r="R1306" s="34" t="s">
        <v>6982</v>
      </c>
      <c r="S1306" s="34" t="s">
        <v>3867</v>
      </c>
      <c r="T1306" s="34">
        <f>+IFERROR(_xlfn.XLOOKUP(Table43[[#This Row],[Column1]],#REF!,#REF!),0)</f>
        <v>0</v>
      </c>
      <c r="U1306" s="50">
        <f>IFERROR(_xlfn.XLOOKUP(Table43[[#This Row],[Column1]],#REF!,#REF!),0)</f>
        <v>0</v>
      </c>
      <c r="V1306" s="39"/>
    </row>
    <row r="1307" spans="1:22" x14ac:dyDescent="0.35">
      <c r="A1307" s="2" t="s">
        <v>3868</v>
      </c>
      <c r="B1307" s="2" t="s">
        <v>3869</v>
      </c>
      <c r="C1307" s="2" t="s">
        <v>9</v>
      </c>
      <c r="D1307" s="2">
        <v>472.6</v>
      </c>
      <c r="E1307" s="2" t="s">
        <v>10</v>
      </c>
      <c r="F1307" s="2">
        <v>1</v>
      </c>
      <c r="G1307" s="3">
        <v>2</v>
      </c>
      <c r="H1307" s="2">
        <v>1</v>
      </c>
      <c r="I1307" s="22">
        <f>Table43[[#This Row],[Item Cost]]*Table43[[#This Row],[In Stock]]</f>
        <v>472.6</v>
      </c>
      <c r="J1307" s="12" t="s">
        <v>4941</v>
      </c>
      <c r="K1307" s="13" t="s">
        <v>4664</v>
      </c>
      <c r="L1307" s="13" t="s">
        <v>4675</v>
      </c>
      <c r="M1307" s="13" t="s">
        <v>4693</v>
      </c>
      <c r="N1307" s="12" t="s">
        <v>4672</v>
      </c>
      <c r="O1307" s="17" t="str">
        <f>IF(LEN(COUNTIFS($J$1:J1307,$J1307,$K$1:K1307,$K1307,$L$1:L1307,$L1307,$M$1:M1307,M1307,$N$1:N1307,N1307))=1,"00"&amp;COUNTIFS($J$1:J1307,$J1307,$K$1:K1307,$K1307,$L$1:L1307,$L1307,$M$1:M1307,M1307,$N$1:N1307,N1307),IF(LEN(COUNTIFS($J$1:J1307,$J1307,$K$1:K1307,$K1307,$L$1:L1307,$L1307,$M$1:M1307,M1307,$N$1:N1307,N1307))=2,"0"&amp;COUNTIFS($J$1:J1307,$J1307,$K$1:K1307,$K1307,$L$1:L1307,$L1307,$M$1:M1307,M1307,$N$1:N1307,N1307),COUNTIFS($J$1:J1307,$J1307,$K$1:K1307,$K1307,$L$1:L1307,$L1307,$M$1:M1307,M1307,$N$1:N1307,N1307)))</f>
        <v>007</v>
      </c>
      <c r="P130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MS-CS-003-23-00007-INV</v>
      </c>
      <c r="Q1307" s="59"/>
      <c r="R1307" s="34" t="s">
        <v>6983</v>
      </c>
      <c r="S1307" s="34" t="s">
        <v>3869</v>
      </c>
      <c r="T1307" s="34">
        <f>+IFERROR(_xlfn.XLOOKUP(Table43[[#This Row],[Column1]],#REF!,#REF!),0)</f>
        <v>0</v>
      </c>
      <c r="U1307" s="50">
        <f>IFERROR(_xlfn.XLOOKUP(Table43[[#This Row],[Column1]],#REF!,#REF!),0)</f>
        <v>0</v>
      </c>
      <c r="V1307" s="39"/>
    </row>
    <row r="1308" spans="1:22" x14ac:dyDescent="0.35">
      <c r="A1308" s="3" t="s">
        <v>3870</v>
      </c>
      <c r="B1308" s="3" t="s">
        <v>3871</v>
      </c>
      <c r="C1308" s="3" t="s">
        <v>9</v>
      </c>
      <c r="D1308" s="3">
        <v>438.02</v>
      </c>
      <c r="E1308" s="3" t="s">
        <v>10</v>
      </c>
      <c r="F1308" s="2">
        <v>1</v>
      </c>
      <c r="G1308" s="3">
        <v>2</v>
      </c>
      <c r="H1308" s="3">
        <v>1</v>
      </c>
      <c r="I1308" s="21">
        <f>Table43[[#This Row],[Item Cost]]*Table43[[#This Row],[In Stock]]</f>
        <v>438.02</v>
      </c>
      <c r="J1308" s="12" t="s">
        <v>4941</v>
      </c>
      <c r="K1308" s="13" t="s">
        <v>4664</v>
      </c>
      <c r="L1308" s="13" t="s">
        <v>4675</v>
      </c>
      <c r="M1308" s="13" t="s">
        <v>4827</v>
      </c>
      <c r="N1308" s="12" t="s">
        <v>4672</v>
      </c>
      <c r="O1308" s="17" t="str">
        <f>IF(LEN(COUNTIFS($J$1:J1308,$J1308,$K$1:K1308,$K1308,$L$1:L1308,$L1308,$M$1:M1308,M1308,$N$1:N1308,N1308))=1,"00"&amp;COUNTIFS($J$1:J1308,$J1308,$K$1:K1308,$K1308,$L$1:L1308,$L1308,$M$1:M1308,M1308,$N$1:N1308,N1308),IF(LEN(COUNTIFS($J$1:J1308,$J1308,$K$1:K1308,$K1308,$L$1:L1308,$L1308,$M$1:M1308,M1308,$N$1:N1308,N1308))=2,"0"&amp;COUNTIFS($J$1:J1308,$J1308,$K$1:K1308,$K1308,$L$1:L1308,$L1308,$M$1:M1308,M1308,$N$1:N1308,N1308),COUNTIFS($J$1:J1308,$J1308,$K$1:K1308,$K1308,$L$1:L1308,$L1308,$M$1:M1308,M1308,$N$1:N1308,N1308)))</f>
        <v>001</v>
      </c>
      <c r="P130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MS-CS-003-10-00001-INV</v>
      </c>
      <c r="Q1308" s="59"/>
      <c r="R1308" s="34" t="s">
        <v>6984</v>
      </c>
      <c r="S1308" s="34" t="s">
        <v>3871</v>
      </c>
      <c r="T1308" s="34">
        <f>+IFERROR(_xlfn.XLOOKUP(Table43[[#This Row],[Column1]],#REF!,#REF!),0)</f>
        <v>0</v>
      </c>
      <c r="U1308" s="50">
        <f>IFERROR(_xlfn.XLOOKUP(Table43[[#This Row],[Column1]],#REF!,#REF!),0)</f>
        <v>0</v>
      </c>
      <c r="V1308" s="39"/>
    </row>
    <row r="1309" spans="1:22" x14ac:dyDescent="0.35">
      <c r="A1309" s="2" t="s">
        <v>3872</v>
      </c>
      <c r="B1309" s="2" t="s">
        <v>3873</v>
      </c>
      <c r="C1309" s="2" t="s">
        <v>9</v>
      </c>
      <c r="D1309" s="2">
        <v>484.13</v>
      </c>
      <c r="E1309" s="2" t="s">
        <v>10</v>
      </c>
      <c r="F1309" s="2">
        <v>1</v>
      </c>
      <c r="G1309" s="3">
        <v>2</v>
      </c>
      <c r="H1309" s="2">
        <v>1</v>
      </c>
      <c r="I1309" s="22">
        <f>Table43[[#This Row],[Item Cost]]*Table43[[#This Row],[In Stock]]</f>
        <v>484.13</v>
      </c>
      <c r="J1309" s="12" t="s">
        <v>4941</v>
      </c>
      <c r="K1309" s="13" t="s">
        <v>4664</v>
      </c>
      <c r="L1309" s="13" t="s">
        <v>4675</v>
      </c>
      <c r="M1309" s="13" t="s">
        <v>4827</v>
      </c>
      <c r="N1309" s="12" t="s">
        <v>4672</v>
      </c>
      <c r="O1309" s="17" t="str">
        <f>IF(LEN(COUNTIFS($J$1:J1309,$J1309,$K$1:K1309,$K1309,$L$1:L1309,$L1309,$M$1:M1309,M1309,$N$1:N1309,N1309))=1,"00"&amp;COUNTIFS($J$1:J1309,$J1309,$K$1:K1309,$K1309,$L$1:L1309,$L1309,$M$1:M1309,M1309,$N$1:N1309,N1309),IF(LEN(COUNTIFS($J$1:J1309,$J1309,$K$1:K1309,$K1309,$L$1:L1309,$L1309,$M$1:M1309,M1309,$N$1:N1309,N1309))=2,"0"&amp;COUNTIFS($J$1:J1309,$J1309,$K$1:K1309,$K1309,$L$1:L1309,$L1309,$M$1:M1309,M1309,$N$1:N1309,N1309),COUNTIFS($J$1:J1309,$J1309,$K$1:K1309,$K1309,$L$1:L1309,$L1309,$M$1:M1309,M1309,$N$1:N1309,N1309)))</f>
        <v>002</v>
      </c>
      <c r="P130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MS-CS-003-10-00002-INV</v>
      </c>
      <c r="Q1309" s="59"/>
      <c r="R1309" s="34" t="s">
        <v>6985</v>
      </c>
      <c r="S1309" s="34" t="s">
        <v>3873</v>
      </c>
      <c r="T1309" s="34">
        <f>+IFERROR(_xlfn.XLOOKUP(Table43[[#This Row],[Column1]],#REF!,#REF!),0)</f>
        <v>0</v>
      </c>
      <c r="U1309" s="50">
        <f>IFERROR(_xlfn.XLOOKUP(Table43[[#This Row],[Column1]],#REF!,#REF!),0)</f>
        <v>0</v>
      </c>
      <c r="V1309" s="39"/>
    </row>
    <row r="1310" spans="1:22" x14ac:dyDescent="0.35">
      <c r="A1310" s="3" t="s">
        <v>3874</v>
      </c>
      <c r="B1310" s="3" t="s">
        <v>3875</v>
      </c>
      <c r="C1310" s="3" t="s">
        <v>9</v>
      </c>
      <c r="D1310" s="3">
        <v>499.5</v>
      </c>
      <c r="E1310" s="3" t="s">
        <v>10</v>
      </c>
      <c r="F1310" s="2">
        <v>1</v>
      </c>
      <c r="G1310" s="3">
        <v>2</v>
      </c>
      <c r="H1310" s="3">
        <v>1</v>
      </c>
      <c r="I1310" s="21">
        <f>Table43[[#This Row],[Item Cost]]*Table43[[#This Row],[In Stock]]</f>
        <v>499.5</v>
      </c>
      <c r="J1310" s="12" t="s">
        <v>4941</v>
      </c>
      <c r="K1310" s="13" t="s">
        <v>4664</v>
      </c>
      <c r="L1310" s="13" t="s">
        <v>4675</v>
      </c>
      <c r="M1310" s="13" t="s">
        <v>4827</v>
      </c>
      <c r="N1310" s="12" t="s">
        <v>4672</v>
      </c>
      <c r="O1310" s="17" t="str">
        <f>IF(LEN(COUNTIFS($J$1:J1310,$J1310,$K$1:K1310,$K1310,$L$1:L1310,$L1310,$M$1:M1310,M1310,$N$1:N1310,N1310))=1,"00"&amp;COUNTIFS($J$1:J1310,$J1310,$K$1:K1310,$K1310,$L$1:L1310,$L1310,$M$1:M1310,M1310,$N$1:N1310,N1310),IF(LEN(COUNTIFS($J$1:J1310,$J1310,$K$1:K1310,$K1310,$L$1:L1310,$L1310,$M$1:M1310,M1310,$N$1:N1310,N1310))=2,"0"&amp;COUNTIFS($J$1:J1310,$J1310,$K$1:K1310,$K1310,$L$1:L1310,$L1310,$M$1:M1310,M1310,$N$1:N1310,N1310),COUNTIFS($J$1:J1310,$J1310,$K$1:K1310,$K1310,$L$1:L1310,$L1310,$M$1:M1310,M1310,$N$1:N1310,N1310)))</f>
        <v>003</v>
      </c>
      <c r="P131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MS-CS-003-10-00003-INV</v>
      </c>
      <c r="Q1310" s="59"/>
      <c r="R1310" s="34" t="s">
        <v>6986</v>
      </c>
      <c r="S1310" s="34" t="s">
        <v>3875</v>
      </c>
      <c r="T1310" s="34">
        <f>+IFERROR(_xlfn.XLOOKUP(Table43[[#This Row],[Column1]],#REF!,#REF!),0)</f>
        <v>0</v>
      </c>
      <c r="U1310" s="50">
        <f>IFERROR(_xlfn.XLOOKUP(Table43[[#This Row],[Column1]],#REF!,#REF!),0)</f>
        <v>0</v>
      </c>
      <c r="V1310" s="39"/>
    </row>
    <row r="1311" spans="1:22" x14ac:dyDescent="0.35">
      <c r="A1311" s="2" t="s">
        <v>3876</v>
      </c>
      <c r="B1311" s="2" t="s">
        <v>3877</v>
      </c>
      <c r="C1311" s="2" t="s">
        <v>9</v>
      </c>
      <c r="D1311" s="2">
        <v>499.5</v>
      </c>
      <c r="E1311" s="2" t="s">
        <v>10</v>
      </c>
      <c r="F1311" s="2">
        <v>1</v>
      </c>
      <c r="G1311" s="3">
        <v>2</v>
      </c>
      <c r="H1311" s="2">
        <v>1</v>
      </c>
      <c r="I1311" s="22">
        <f>Table43[[#This Row],[Item Cost]]*Table43[[#This Row],[In Stock]]</f>
        <v>499.5</v>
      </c>
      <c r="J1311" s="12" t="s">
        <v>4941</v>
      </c>
      <c r="K1311" s="13" t="s">
        <v>4664</v>
      </c>
      <c r="L1311" s="13" t="s">
        <v>4675</v>
      </c>
      <c r="M1311" s="13" t="s">
        <v>4827</v>
      </c>
      <c r="N1311" s="12" t="s">
        <v>4672</v>
      </c>
      <c r="O1311" s="17" t="str">
        <f>IF(LEN(COUNTIFS($J$1:J1311,$J1311,$K$1:K1311,$K1311,$L$1:L1311,$L1311,$M$1:M1311,M1311,$N$1:N1311,N1311))=1,"00"&amp;COUNTIFS($J$1:J1311,$J1311,$K$1:K1311,$K1311,$L$1:L1311,$L1311,$M$1:M1311,M1311,$N$1:N1311,N1311),IF(LEN(COUNTIFS($J$1:J1311,$J1311,$K$1:K1311,$K1311,$L$1:L1311,$L1311,$M$1:M1311,M1311,$N$1:N1311,N1311))=2,"0"&amp;COUNTIFS($J$1:J1311,$J1311,$K$1:K1311,$K1311,$L$1:L1311,$L1311,$M$1:M1311,M1311,$N$1:N1311,N1311),COUNTIFS($J$1:J1311,$J1311,$K$1:K1311,$K1311,$L$1:L1311,$L1311,$M$1:M1311,M1311,$N$1:N1311,N1311)))</f>
        <v>004</v>
      </c>
      <c r="P131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MS-CS-003-10-00004-INV</v>
      </c>
      <c r="Q1311" s="59"/>
      <c r="R1311" s="34" t="s">
        <v>6987</v>
      </c>
      <c r="S1311" s="34" t="s">
        <v>3877</v>
      </c>
      <c r="T1311" s="34">
        <f>+IFERROR(_xlfn.XLOOKUP(Table43[[#This Row],[Column1]],#REF!,#REF!),0)</f>
        <v>0</v>
      </c>
      <c r="U1311" s="50">
        <f>IFERROR(_xlfn.XLOOKUP(Table43[[#This Row],[Column1]],#REF!,#REF!),0)</f>
        <v>0</v>
      </c>
      <c r="V1311" s="39"/>
    </row>
    <row r="1312" spans="1:22" x14ac:dyDescent="0.35">
      <c r="A1312" s="3" t="s">
        <v>3878</v>
      </c>
      <c r="B1312" s="3" t="s">
        <v>3879</v>
      </c>
      <c r="C1312" s="3" t="s">
        <v>9</v>
      </c>
      <c r="D1312" s="3">
        <v>45</v>
      </c>
      <c r="E1312" s="3" t="s">
        <v>10</v>
      </c>
      <c r="F1312" s="2">
        <v>1</v>
      </c>
      <c r="G1312" s="3">
        <v>2</v>
      </c>
      <c r="H1312" s="3">
        <v>10</v>
      </c>
      <c r="I1312" s="21">
        <f>Table43[[#This Row],[Item Cost]]*Table43[[#This Row],[In Stock]]</f>
        <v>450</v>
      </c>
      <c r="J1312" s="12" t="s">
        <v>4941</v>
      </c>
      <c r="K1312" s="13" t="s">
        <v>4664</v>
      </c>
      <c r="L1312" s="13" t="s">
        <v>4675</v>
      </c>
      <c r="M1312" s="13" t="s">
        <v>4693</v>
      </c>
      <c r="N1312" s="12" t="s">
        <v>4672</v>
      </c>
      <c r="O1312" s="17" t="str">
        <f>IF(LEN(COUNTIFS($J$1:J1312,$J1312,$K$1:K1312,$K1312,$L$1:L1312,$L1312,$M$1:M1312,M1312,$N$1:N1312,N1312))=1,"00"&amp;COUNTIFS($J$1:J1312,$J1312,$K$1:K1312,$K1312,$L$1:L1312,$L1312,$M$1:M1312,M1312,$N$1:N1312,N1312),IF(LEN(COUNTIFS($J$1:J1312,$J1312,$K$1:K1312,$K1312,$L$1:L1312,$L1312,$M$1:M1312,M1312,$N$1:N1312,N1312))=2,"0"&amp;COUNTIFS($J$1:J1312,$J1312,$K$1:K1312,$K1312,$L$1:L1312,$L1312,$M$1:M1312,M1312,$N$1:N1312,N1312),COUNTIFS($J$1:J1312,$J1312,$K$1:K1312,$K1312,$L$1:L1312,$L1312,$M$1:M1312,M1312,$N$1:N1312,N1312)))</f>
        <v>008</v>
      </c>
      <c r="P131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MS-CS-003-23-00008-INV</v>
      </c>
      <c r="Q1312" s="59"/>
      <c r="R1312" s="34" t="s">
        <v>6988</v>
      </c>
      <c r="S1312" s="34" t="s">
        <v>3879</v>
      </c>
      <c r="T1312" s="34">
        <f>+IFERROR(_xlfn.XLOOKUP(Table43[[#This Row],[Column1]],#REF!,#REF!),0)</f>
        <v>0</v>
      </c>
      <c r="U1312" s="50">
        <f>IFERROR(_xlfn.XLOOKUP(Table43[[#This Row],[Column1]],#REF!,#REF!),0)</f>
        <v>0</v>
      </c>
      <c r="V1312" s="39"/>
    </row>
    <row r="1313" spans="1:22" x14ac:dyDescent="0.35">
      <c r="A1313" s="2" t="s">
        <v>3880</v>
      </c>
      <c r="B1313" s="2" t="s">
        <v>3881</v>
      </c>
      <c r="C1313" s="2" t="s">
        <v>9</v>
      </c>
      <c r="D1313" s="4">
        <v>3950</v>
      </c>
      <c r="E1313" s="2" t="s">
        <v>10</v>
      </c>
      <c r="F1313" s="2">
        <v>1</v>
      </c>
      <c r="G1313" s="3">
        <v>2</v>
      </c>
      <c r="H1313" s="2">
        <v>1</v>
      </c>
      <c r="I1313" s="22">
        <f>Table43[[#This Row],[Item Cost]]*Table43[[#This Row],[In Stock]]</f>
        <v>3950</v>
      </c>
      <c r="J1313" s="12" t="s">
        <v>4941</v>
      </c>
      <c r="K1313" s="13" t="s">
        <v>4664</v>
      </c>
      <c r="L1313" s="13" t="s">
        <v>4675</v>
      </c>
      <c r="M1313" s="13" t="s">
        <v>4772</v>
      </c>
      <c r="N1313" s="12" t="s">
        <v>4672</v>
      </c>
      <c r="O1313" s="17" t="str">
        <f>IF(LEN(COUNTIFS($J$1:J1313,$J1313,$K$1:K1313,$K1313,$L$1:L1313,$L1313,$M$1:M1313,M1313,$N$1:N1313,N1313))=1,"00"&amp;COUNTIFS($J$1:J1313,$J1313,$K$1:K1313,$K1313,$L$1:L1313,$L1313,$M$1:M1313,M1313,$N$1:N1313,N1313),IF(LEN(COUNTIFS($J$1:J1313,$J1313,$K$1:K1313,$K1313,$L$1:L1313,$L1313,$M$1:M1313,M1313,$N$1:N1313,N1313))=2,"0"&amp;COUNTIFS($J$1:J1313,$J1313,$K$1:K1313,$K1313,$L$1:L1313,$L1313,$M$1:M1313,M1313,$N$1:N1313,N1313),COUNTIFS($J$1:J1313,$J1313,$K$1:K1313,$K1313,$L$1:L1313,$L1313,$M$1:M1313,M1313,$N$1:N1313,N1313)))</f>
        <v>004</v>
      </c>
      <c r="P131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MS-CS-003-06-00004-INV</v>
      </c>
      <c r="Q1313" s="59" t="s">
        <v>7350</v>
      </c>
      <c r="R1313" s="34" t="s">
        <v>6989</v>
      </c>
      <c r="S1313" s="34" t="s">
        <v>3881</v>
      </c>
      <c r="T1313" s="34">
        <f>+IFERROR(_xlfn.XLOOKUP(Table43[[#This Row],[Column1]],#REF!,#REF!),0)</f>
        <v>0</v>
      </c>
      <c r="U1313" s="50">
        <f>IFERROR(_xlfn.XLOOKUP(Table43[[#This Row],[Column1]],#REF!,#REF!),0)</f>
        <v>0</v>
      </c>
      <c r="V1313" s="39"/>
    </row>
    <row r="1314" spans="1:22" x14ac:dyDescent="0.35">
      <c r="A1314" s="3" t="s">
        <v>3882</v>
      </c>
      <c r="B1314" s="3" t="s">
        <v>3883</v>
      </c>
      <c r="C1314" s="3" t="s">
        <v>9</v>
      </c>
      <c r="D1314" s="5">
        <v>41034.42</v>
      </c>
      <c r="E1314" s="3" t="s">
        <v>10</v>
      </c>
      <c r="F1314" s="2">
        <v>1</v>
      </c>
      <c r="G1314" s="3">
        <v>2</v>
      </c>
      <c r="H1314" s="3">
        <v>1</v>
      </c>
      <c r="I1314" s="21">
        <f>Table43[[#This Row],[Item Cost]]*Table43[[#This Row],[In Stock]]</f>
        <v>41034.42</v>
      </c>
      <c r="J1314" s="12" t="s">
        <v>4941</v>
      </c>
      <c r="K1314" s="13" t="s">
        <v>4664</v>
      </c>
      <c r="L1314" s="13" t="s">
        <v>4675</v>
      </c>
      <c r="M1314" s="13" t="s">
        <v>4837</v>
      </c>
      <c r="N1314" s="12" t="s">
        <v>4672</v>
      </c>
      <c r="O1314" s="17" t="str">
        <f>IF(LEN(COUNTIFS($J$1:J1314,$J1314,$K$1:K1314,$K1314,$L$1:L1314,$L1314,$M$1:M1314,M1314,$N$1:N1314,N1314))=1,"00"&amp;COUNTIFS($J$1:J1314,$J1314,$K$1:K1314,$K1314,$L$1:L1314,$L1314,$M$1:M1314,M1314,$N$1:N1314,N1314),IF(LEN(COUNTIFS($J$1:J1314,$J1314,$K$1:K1314,$K1314,$L$1:L1314,$L1314,$M$1:M1314,M1314,$N$1:N1314,N1314))=2,"0"&amp;COUNTIFS($J$1:J1314,$J1314,$K$1:K1314,$K1314,$L$1:L1314,$L1314,$M$1:M1314,M1314,$N$1:N1314,N1314),COUNTIFS($J$1:J1314,$J1314,$K$1:K1314,$K1314,$L$1:L1314,$L1314,$M$1:M1314,M1314,$N$1:N1314,N1314)))</f>
        <v>017</v>
      </c>
      <c r="P131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MS-CS-003-26-00017-INV</v>
      </c>
      <c r="Q1314" s="59" t="s">
        <v>7350</v>
      </c>
      <c r="R1314" s="34" t="s">
        <v>6990</v>
      </c>
      <c r="S1314" s="34" t="s">
        <v>3883</v>
      </c>
      <c r="T1314" s="34">
        <f>+IFERROR(_xlfn.XLOOKUP(Table43[[#This Row],[Column1]],#REF!,#REF!),0)</f>
        <v>0</v>
      </c>
      <c r="U1314" s="50">
        <f>IFERROR(_xlfn.XLOOKUP(Table43[[#This Row],[Column1]],#REF!,#REF!),0)</f>
        <v>0</v>
      </c>
      <c r="V1314" s="39"/>
    </row>
    <row r="1315" spans="1:22" x14ac:dyDescent="0.35">
      <c r="A1315" s="2" t="s">
        <v>3884</v>
      </c>
      <c r="B1315" s="2" t="s">
        <v>3885</v>
      </c>
      <c r="C1315" s="2" t="s">
        <v>9</v>
      </c>
      <c r="D1315" s="4">
        <v>19870.36</v>
      </c>
      <c r="E1315" s="2" t="s">
        <v>10</v>
      </c>
      <c r="F1315" s="2">
        <v>1</v>
      </c>
      <c r="G1315" s="3">
        <v>2</v>
      </c>
      <c r="H1315" s="2">
        <v>1</v>
      </c>
      <c r="I1315" s="22">
        <f>Table43[[#This Row],[Item Cost]]*Table43[[#This Row],[In Stock]]</f>
        <v>19870.36</v>
      </c>
      <c r="J1315" s="12" t="s">
        <v>4941</v>
      </c>
      <c r="K1315" s="13" t="s">
        <v>4664</v>
      </c>
      <c r="L1315" s="13" t="s">
        <v>4675</v>
      </c>
      <c r="M1315" s="13" t="s">
        <v>4837</v>
      </c>
      <c r="N1315" s="12" t="s">
        <v>4672</v>
      </c>
      <c r="O1315" s="17" t="str">
        <f>IF(LEN(COUNTIFS($J$1:J1315,$J1315,$K$1:K1315,$K1315,$L$1:L1315,$L1315,$M$1:M1315,M1315,$N$1:N1315,N1315))=1,"00"&amp;COUNTIFS($J$1:J1315,$J1315,$K$1:K1315,$K1315,$L$1:L1315,$L1315,$M$1:M1315,M1315,$N$1:N1315,N1315),IF(LEN(COUNTIFS($J$1:J1315,$J1315,$K$1:K1315,$K1315,$L$1:L1315,$L1315,$M$1:M1315,M1315,$N$1:N1315,N1315))=2,"0"&amp;COUNTIFS($J$1:J1315,$J1315,$K$1:K1315,$K1315,$L$1:L1315,$L1315,$M$1:M1315,M1315,$N$1:N1315,N1315),COUNTIFS($J$1:J1315,$J1315,$K$1:K1315,$K1315,$L$1:L1315,$L1315,$M$1:M1315,M1315,$N$1:N1315,N1315)))</f>
        <v>018</v>
      </c>
      <c r="P131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MS-CS-003-26-00018-INV</v>
      </c>
      <c r="Q1315" s="59"/>
      <c r="R1315" s="34" t="s">
        <v>6991</v>
      </c>
      <c r="S1315" s="34" t="s">
        <v>3885</v>
      </c>
      <c r="T1315" s="34">
        <f>+IFERROR(_xlfn.XLOOKUP(Table43[[#This Row],[Column1]],#REF!,#REF!),0)</f>
        <v>0</v>
      </c>
      <c r="U1315" s="50">
        <f>IFERROR(_xlfn.XLOOKUP(Table43[[#This Row],[Column1]],#REF!,#REF!),0)</f>
        <v>0</v>
      </c>
      <c r="V1315" s="39"/>
    </row>
    <row r="1316" spans="1:22" x14ac:dyDescent="0.35">
      <c r="A1316" s="3" t="s">
        <v>3886</v>
      </c>
      <c r="B1316" s="3" t="s">
        <v>3887</v>
      </c>
      <c r="C1316" s="3" t="s">
        <v>9</v>
      </c>
      <c r="D1316" s="3">
        <v>565.99199999999996</v>
      </c>
      <c r="E1316" s="3" t="s">
        <v>10</v>
      </c>
      <c r="F1316" s="2">
        <v>1</v>
      </c>
      <c r="G1316" s="3">
        <v>5</v>
      </c>
      <c r="H1316" s="3">
        <v>10</v>
      </c>
      <c r="I1316" s="21">
        <f>Table43[[#This Row],[Item Cost]]*Table43[[#This Row],[In Stock]]</f>
        <v>5659.92</v>
      </c>
      <c r="J1316" s="12" t="s">
        <v>4941</v>
      </c>
      <c r="K1316" s="13" t="s">
        <v>4664</v>
      </c>
      <c r="L1316" s="13" t="s">
        <v>4675</v>
      </c>
      <c r="M1316" s="13" t="s">
        <v>4837</v>
      </c>
      <c r="N1316" s="12" t="s">
        <v>4672</v>
      </c>
      <c r="O1316" s="17" t="str">
        <f>IF(LEN(COUNTIFS($J$1:J1316,$J1316,$K$1:K1316,$K1316,$L$1:L1316,$L1316,$M$1:M1316,M1316,$N$1:N1316,N1316))=1,"00"&amp;COUNTIFS($J$1:J1316,$J1316,$K$1:K1316,$K1316,$L$1:L1316,$L1316,$M$1:M1316,M1316,$N$1:N1316,N1316),IF(LEN(COUNTIFS($J$1:J1316,$J1316,$K$1:K1316,$K1316,$L$1:L1316,$L1316,$M$1:M1316,M1316,$N$1:N1316,N1316))=2,"0"&amp;COUNTIFS($J$1:J1316,$J1316,$K$1:K1316,$K1316,$L$1:L1316,$L1316,$M$1:M1316,M1316,$N$1:N1316,N1316),COUNTIFS($J$1:J1316,$J1316,$K$1:K1316,$K1316,$L$1:L1316,$L1316,$M$1:M1316,M1316,$N$1:N1316,N1316)))</f>
        <v>019</v>
      </c>
      <c r="P131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MS-CS-003-26-00019-INV</v>
      </c>
      <c r="Q1316" s="59"/>
      <c r="R1316" s="34" t="s">
        <v>6992</v>
      </c>
      <c r="S1316" s="34" t="s">
        <v>3887</v>
      </c>
      <c r="T1316" s="34">
        <f>+IFERROR(_xlfn.XLOOKUP(Table43[[#This Row],[Column1]],#REF!,#REF!),0)</f>
        <v>0</v>
      </c>
      <c r="U1316" s="50">
        <f>IFERROR(_xlfn.XLOOKUP(Table43[[#This Row],[Column1]],#REF!,#REF!),0)</f>
        <v>0</v>
      </c>
      <c r="V1316" s="39"/>
    </row>
    <row r="1317" spans="1:22" x14ac:dyDescent="0.35">
      <c r="A1317" s="2" t="s">
        <v>3888</v>
      </c>
      <c r="B1317" s="2" t="s">
        <v>3889</v>
      </c>
      <c r="C1317" s="2" t="s">
        <v>9</v>
      </c>
      <c r="D1317" s="4">
        <v>12128.4</v>
      </c>
      <c r="E1317" s="2" t="s">
        <v>10</v>
      </c>
      <c r="F1317" s="2">
        <v>1</v>
      </c>
      <c r="G1317" s="3">
        <v>2</v>
      </c>
      <c r="H1317" s="2">
        <v>1</v>
      </c>
      <c r="I1317" s="22">
        <f>Table43[[#This Row],[Item Cost]]*Table43[[#This Row],[In Stock]]</f>
        <v>12128.4</v>
      </c>
      <c r="J1317" s="12" t="s">
        <v>4941</v>
      </c>
      <c r="K1317" s="13" t="s">
        <v>4664</v>
      </c>
      <c r="L1317" s="13" t="s">
        <v>4675</v>
      </c>
      <c r="M1317" s="13" t="s">
        <v>4837</v>
      </c>
      <c r="N1317" s="12" t="s">
        <v>4672</v>
      </c>
      <c r="O1317" s="17" t="str">
        <f>IF(LEN(COUNTIFS($J$1:J1317,$J1317,$K$1:K1317,$K1317,$L$1:L1317,$L1317,$M$1:M1317,M1317,$N$1:N1317,N1317))=1,"00"&amp;COUNTIFS($J$1:J1317,$J1317,$K$1:K1317,$K1317,$L$1:L1317,$L1317,$M$1:M1317,M1317,$N$1:N1317,N1317),IF(LEN(COUNTIFS($J$1:J1317,$J1317,$K$1:K1317,$K1317,$L$1:L1317,$L1317,$M$1:M1317,M1317,$N$1:N1317,N1317))=2,"0"&amp;COUNTIFS($J$1:J1317,$J1317,$K$1:K1317,$K1317,$L$1:L1317,$L1317,$M$1:M1317,M1317,$N$1:N1317,N1317),COUNTIFS($J$1:J1317,$J1317,$K$1:K1317,$K1317,$L$1:L1317,$L1317,$M$1:M1317,M1317,$N$1:N1317,N1317)))</f>
        <v>020</v>
      </c>
      <c r="P131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MS-CS-003-26-00020-INV</v>
      </c>
      <c r="Q1317" s="59"/>
      <c r="R1317" s="34" t="s">
        <v>6993</v>
      </c>
      <c r="S1317" s="34" t="s">
        <v>3889</v>
      </c>
      <c r="T1317" s="34">
        <f>+IFERROR(_xlfn.XLOOKUP(Table43[[#This Row],[Column1]],#REF!,#REF!),0)</f>
        <v>0</v>
      </c>
      <c r="U1317" s="50">
        <f>IFERROR(_xlfn.XLOOKUP(Table43[[#This Row],[Column1]],#REF!,#REF!),0)</f>
        <v>0</v>
      </c>
      <c r="V1317" s="39"/>
    </row>
    <row r="1318" spans="1:22" x14ac:dyDescent="0.35">
      <c r="A1318" s="3" t="s">
        <v>3890</v>
      </c>
      <c r="B1318" s="3" t="s">
        <v>3891</v>
      </c>
      <c r="C1318" s="3" t="s">
        <v>9</v>
      </c>
      <c r="D1318" s="5">
        <v>1495.835</v>
      </c>
      <c r="E1318" s="3" t="s">
        <v>10</v>
      </c>
      <c r="F1318" s="2">
        <v>1</v>
      </c>
      <c r="G1318" s="3">
        <v>2</v>
      </c>
      <c r="H1318" s="3">
        <v>2</v>
      </c>
      <c r="I1318" s="21">
        <f>Table43[[#This Row],[Item Cost]]*Table43[[#This Row],[In Stock]]</f>
        <v>2991.67</v>
      </c>
      <c r="J1318" s="12" t="s">
        <v>4941</v>
      </c>
      <c r="K1318" s="13" t="s">
        <v>4664</v>
      </c>
      <c r="L1318" s="13" t="s">
        <v>4675</v>
      </c>
      <c r="M1318" s="13" t="s">
        <v>4837</v>
      </c>
      <c r="N1318" s="12" t="s">
        <v>4672</v>
      </c>
      <c r="O1318" s="17" t="str">
        <f>IF(LEN(COUNTIFS($J$1:J1318,$J1318,$K$1:K1318,$K1318,$L$1:L1318,$L1318,$M$1:M1318,M1318,$N$1:N1318,N1318))=1,"00"&amp;COUNTIFS($J$1:J1318,$J1318,$K$1:K1318,$K1318,$L$1:L1318,$L1318,$M$1:M1318,M1318,$N$1:N1318,N1318),IF(LEN(COUNTIFS($J$1:J1318,$J1318,$K$1:K1318,$K1318,$L$1:L1318,$L1318,$M$1:M1318,M1318,$N$1:N1318,N1318))=2,"0"&amp;COUNTIFS($J$1:J1318,$J1318,$K$1:K1318,$K1318,$L$1:L1318,$L1318,$M$1:M1318,M1318,$N$1:N1318,N1318),COUNTIFS($J$1:J1318,$J1318,$K$1:K1318,$K1318,$L$1:L1318,$L1318,$M$1:M1318,M1318,$N$1:N1318,N1318)))</f>
        <v>021</v>
      </c>
      <c r="P131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MS-CS-003-26-00021-INV</v>
      </c>
      <c r="Q1318" s="59"/>
      <c r="R1318" s="34" t="s">
        <v>6994</v>
      </c>
      <c r="S1318" s="34" t="s">
        <v>3891</v>
      </c>
      <c r="T1318" s="34">
        <f>+IFERROR(_xlfn.XLOOKUP(Table43[[#This Row],[Column1]],#REF!,#REF!),0)</f>
        <v>0</v>
      </c>
      <c r="U1318" s="50">
        <f>IFERROR(_xlfn.XLOOKUP(Table43[[#This Row],[Column1]],#REF!,#REF!),0)</f>
        <v>0</v>
      </c>
      <c r="V1318" s="39"/>
    </row>
    <row r="1319" spans="1:22" x14ac:dyDescent="0.35">
      <c r="A1319" s="2" t="s">
        <v>3892</v>
      </c>
      <c r="B1319" s="2" t="s">
        <v>3893</v>
      </c>
      <c r="C1319" s="2" t="s">
        <v>9</v>
      </c>
      <c r="D1319" s="2">
        <v>808.56</v>
      </c>
      <c r="E1319" s="2" t="s">
        <v>10</v>
      </c>
      <c r="F1319" s="2">
        <v>1</v>
      </c>
      <c r="G1319" s="3">
        <v>2</v>
      </c>
      <c r="H1319" s="2">
        <v>2</v>
      </c>
      <c r="I1319" s="22">
        <f>Table43[[#This Row],[Item Cost]]*Table43[[#This Row],[In Stock]]</f>
        <v>1617.12</v>
      </c>
      <c r="J1319" s="12" t="s">
        <v>4941</v>
      </c>
      <c r="K1319" s="13" t="s">
        <v>4664</v>
      </c>
      <c r="L1319" s="13" t="s">
        <v>4675</v>
      </c>
      <c r="M1319" s="13" t="s">
        <v>4837</v>
      </c>
      <c r="N1319" s="12" t="s">
        <v>4672</v>
      </c>
      <c r="O1319" s="17" t="str">
        <f>IF(LEN(COUNTIFS($J$1:J1319,$J1319,$K$1:K1319,$K1319,$L$1:L1319,$L1319,$M$1:M1319,M1319,$N$1:N1319,N1319))=1,"00"&amp;COUNTIFS($J$1:J1319,$J1319,$K$1:K1319,$K1319,$L$1:L1319,$L1319,$M$1:M1319,M1319,$N$1:N1319,N1319),IF(LEN(COUNTIFS($J$1:J1319,$J1319,$K$1:K1319,$K1319,$L$1:L1319,$L1319,$M$1:M1319,M1319,$N$1:N1319,N1319))=2,"0"&amp;COUNTIFS($J$1:J1319,$J1319,$K$1:K1319,$K1319,$L$1:L1319,$L1319,$M$1:M1319,M1319,$N$1:N1319,N1319),COUNTIFS($J$1:J1319,$J1319,$K$1:K1319,$K1319,$L$1:L1319,$L1319,$M$1:M1319,M1319,$N$1:N1319,N1319)))</f>
        <v>022</v>
      </c>
      <c r="P131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MS-CS-003-26-00022-INV</v>
      </c>
      <c r="Q1319" s="59"/>
      <c r="R1319" s="34" t="s">
        <v>6995</v>
      </c>
      <c r="S1319" s="34" t="s">
        <v>3893</v>
      </c>
      <c r="T1319" s="34">
        <f>+IFERROR(_xlfn.XLOOKUP(Table43[[#This Row],[Column1]],#REF!,#REF!),0)</f>
        <v>0</v>
      </c>
      <c r="U1319" s="50">
        <f>IFERROR(_xlfn.XLOOKUP(Table43[[#This Row],[Column1]],#REF!,#REF!),0)</f>
        <v>0</v>
      </c>
      <c r="V1319" s="39"/>
    </row>
    <row r="1320" spans="1:22" x14ac:dyDescent="0.35">
      <c r="A1320" s="3" t="s">
        <v>3894</v>
      </c>
      <c r="B1320" s="3" t="s">
        <v>3895</v>
      </c>
      <c r="C1320" s="3" t="s">
        <v>9</v>
      </c>
      <c r="D1320" s="3">
        <v>52.555</v>
      </c>
      <c r="E1320" s="3" t="s">
        <v>10</v>
      </c>
      <c r="F1320" s="2">
        <v>1</v>
      </c>
      <c r="G1320" s="3">
        <v>2</v>
      </c>
      <c r="H1320" s="3">
        <v>2</v>
      </c>
      <c r="I1320" s="21">
        <f>Table43[[#This Row],[Item Cost]]*Table43[[#This Row],[In Stock]]</f>
        <v>105.11</v>
      </c>
      <c r="J1320" s="12" t="s">
        <v>4941</v>
      </c>
      <c r="K1320" s="13" t="s">
        <v>4664</v>
      </c>
      <c r="L1320" s="13" t="s">
        <v>4675</v>
      </c>
      <c r="M1320" s="13" t="s">
        <v>4835</v>
      </c>
      <c r="N1320" s="12" t="s">
        <v>4672</v>
      </c>
      <c r="O1320" s="17" t="str">
        <f>IF(LEN(COUNTIFS($J$1:J1320,$J1320,$K$1:K1320,$K1320,$L$1:L1320,$L1320,$M$1:M1320,M1320,$N$1:N1320,N1320))=1,"00"&amp;COUNTIFS($J$1:J1320,$J1320,$K$1:K1320,$K1320,$L$1:L1320,$L1320,$M$1:M1320,M1320,$N$1:N1320,N1320),IF(LEN(COUNTIFS($J$1:J1320,$J1320,$K$1:K1320,$K1320,$L$1:L1320,$L1320,$M$1:M1320,M1320,$N$1:N1320,N1320))=2,"0"&amp;COUNTIFS($J$1:J1320,$J1320,$K$1:K1320,$K1320,$L$1:L1320,$L1320,$M$1:M1320,M1320,$N$1:N1320,N1320),COUNTIFS($J$1:J1320,$J1320,$K$1:K1320,$K1320,$L$1:L1320,$L1320,$M$1:M1320,M1320,$N$1:N1320,N1320)))</f>
        <v>001</v>
      </c>
      <c r="P132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MS-CS-003-24-00001-INV</v>
      </c>
      <c r="Q1320" s="59"/>
      <c r="R1320" s="34" t="s">
        <v>6996</v>
      </c>
      <c r="S1320" s="34" t="s">
        <v>3895</v>
      </c>
      <c r="T1320" s="34">
        <f>+IFERROR(_xlfn.XLOOKUP(Table43[[#This Row],[Column1]],#REF!,#REF!),0)</f>
        <v>0</v>
      </c>
      <c r="U1320" s="50">
        <f>IFERROR(_xlfn.XLOOKUP(Table43[[#This Row],[Column1]],#REF!,#REF!),0)</f>
        <v>0</v>
      </c>
      <c r="V1320" s="39"/>
    </row>
    <row r="1321" spans="1:22" x14ac:dyDescent="0.35">
      <c r="A1321" s="2" t="s">
        <v>3896</v>
      </c>
      <c r="B1321" s="2" t="s">
        <v>3897</v>
      </c>
      <c r="C1321" s="2" t="s">
        <v>9</v>
      </c>
      <c r="D1321" s="2">
        <v>80.855000000000004</v>
      </c>
      <c r="E1321" s="2" t="s">
        <v>10</v>
      </c>
      <c r="F1321" s="2">
        <v>1</v>
      </c>
      <c r="G1321" s="3">
        <v>2</v>
      </c>
      <c r="H1321" s="2">
        <v>2</v>
      </c>
      <c r="I1321" s="22">
        <f>Table43[[#This Row],[Item Cost]]*Table43[[#This Row],[In Stock]]</f>
        <v>161.71</v>
      </c>
      <c r="J1321" s="12" t="s">
        <v>4941</v>
      </c>
      <c r="K1321" s="13" t="s">
        <v>4664</v>
      </c>
      <c r="L1321" s="13" t="s">
        <v>4675</v>
      </c>
      <c r="M1321" s="13" t="s">
        <v>4835</v>
      </c>
      <c r="N1321" s="12" t="s">
        <v>4672</v>
      </c>
      <c r="O1321" s="17" t="str">
        <f>IF(LEN(COUNTIFS($J$1:J1321,$J1321,$K$1:K1321,$K1321,$L$1:L1321,$L1321,$M$1:M1321,M1321,$N$1:N1321,N1321))=1,"00"&amp;COUNTIFS($J$1:J1321,$J1321,$K$1:K1321,$K1321,$L$1:L1321,$L1321,$M$1:M1321,M1321,$N$1:N1321,N1321),IF(LEN(COUNTIFS($J$1:J1321,$J1321,$K$1:K1321,$K1321,$L$1:L1321,$L1321,$M$1:M1321,M1321,$N$1:N1321,N1321))=2,"0"&amp;COUNTIFS($J$1:J1321,$J1321,$K$1:K1321,$K1321,$L$1:L1321,$L1321,$M$1:M1321,M1321,$N$1:N1321,N1321),COUNTIFS($J$1:J1321,$J1321,$K$1:K1321,$K1321,$L$1:L1321,$L1321,$M$1:M1321,M1321,$N$1:N1321,N1321)))</f>
        <v>002</v>
      </c>
      <c r="P132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MS-CS-003-24-00002-INV</v>
      </c>
      <c r="Q1321" s="59"/>
      <c r="R1321" s="34" t="s">
        <v>6997</v>
      </c>
      <c r="S1321" s="34" t="s">
        <v>3897</v>
      </c>
      <c r="T1321" s="34">
        <f>+IFERROR(_xlfn.XLOOKUP(Table43[[#This Row],[Column1]],#REF!,#REF!),0)</f>
        <v>0</v>
      </c>
      <c r="U1321" s="50">
        <f>IFERROR(_xlfn.XLOOKUP(Table43[[#This Row],[Column1]],#REF!,#REF!),0)</f>
        <v>0</v>
      </c>
      <c r="V1321" s="39"/>
    </row>
    <row r="1322" spans="1:22" x14ac:dyDescent="0.35">
      <c r="A1322" s="3" t="s">
        <v>3898</v>
      </c>
      <c r="B1322" s="3" t="s">
        <v>3899</v>
      </c>
      <c r="C1322" s="3" t="s">
        <v>9</v>
      </c>
      <c r="D1322" s="3">
        <v>84.9</v>
      </c>
      <c r="E1322" s="3" t="s">
        <v>10</v>
      </c>
      <c r="F1322" s="2">
        <v>1</v>
      </c>
      <c r="G1322" s="3">
        <v>2</v>
      </c>
      <c r="H1322" s="3">
        <v>2</v>
      </c>
      <c r="I1322" s="21">
        <f>Table43[[#This Row],[Item Cost]]*Table43[[#This Row],[In Stock]]</f>
        <v>169.8</v>
      </c>
      <c r="J1322" s="12" t="s">
        <v>4941</v>
      </c>
      <c r="K1322" s="13" t="s">
        <v>4664</v>
      </c>
      <c r="L1322" s="13" t="s">
        <v>4675</v>
      </c>
      <c r="M1322" s="13" t="s">
        <v>4837</v>
      </c>
      <c r="N1322" s="12" t="s">
        <v>4672</v>
      </c>
      <c r="O1322" s="17" t="str">
        <f>IF(LEN(COUNTIFS($J$1:J1322,$J1322,$K$1:K1322,$K1322,$L$1:L1322,$L1322,$M$1:M1322,M1322,$N$1:N1322,N1322))=1,"00"&amp;COUNTIFS($J$1:J1322,$J1322,$K$1:K1322,$K1322,$L$1:L1322,$L1322,$M$1:M1322,M1322,$N$1:N1322,N1322),IF(LEN(COUNTIFS($J$1:J1322,$J1322,$K$1:K1322,$K1322,$L$1:L1322,$L1322,$M$1:M1322,M1322,$N$1:N1322,N1322))=2,"0"&amp;COUNTIFS($J$1:J1322,$J1322,$K$1:K1322,$K1322,$L$1:L1322,$L1322,$M$1:M1322,M1322,$N$1:N1322,N1322),COUNTIFS($J$1:J1322,$J1322,$K$1:K1322,$K1322,$L$1:L1322,$L1322,$M$1:M1322,M1322,$N$1:N1322,N1322)))</f>
        <v>023</v>
      </c>
      <c r="P132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MS-CS-003-26-00023-INV</v>
      </c>
      <c r="Q1322" s="59"/>
      <c r="R1322" s="34" t="s">
        <v>6998</v>
      </c>
      <c r="S1322" s="34" t="s">
        <v>3899</v>
      </c>
      <c r="T1322" s="34">
        <f>+IFERROR(_xlfn.XLOOKUP(Table43[[#This Row],[Column1]],#REF!,#REF!),0)</f>
        <v>0</v>
      </c>
      <c r="U1322" s="50">
        <f>IFERROR(_xlfn.XLOOKUP(Table43[[#This Row],[Column1]],#REF!,#REF!),0)</f>
        <v>0</v>
      </c>
      <c r="V1322" s="39"/>
    </row>
    <row r="1323" spans="1:22" x14ac:dyDescent="0.35">
      <c r="A1323" s="2" t="s">
        <v>3900</v>
      </c>
      <c r="B1323" s="2" t="s">
        <v>3901</v>
      </c>
      <c r="C1323" s="2" t="s">
        <v>9</v>
      </c>
      <c r="D1323" s="2">
        <v>52.555</v>
      </c>
      <c r="E1323" s="2" t="s">
        <v>10</v>
      </c>
      <c r="F1323" s="2">
        <v>1</v>
      </c>
      <c r="G1323" s="3">
        <v>2</v>
      </c>
      <c r="H1323" s="2">
        <v>2</v>
      </c>
      <c r="I1323" s="22">
        <f>Table43[[#This Row],[Item Cost]]*Table43[[#This Row],[In Stock]]</f>
        <v>105.11</v>
      </c>
      <c r="J1323" s="12" t="s">
        <v>4941</v>
      </c>
      <c r="K1323" s="13" t="s">
        <v>4664</v>
      </c>
      <c r="L1323" s="13" t="s">
        <v>4675</v>
      </c>
      <c r="M1323" s="13" t="s">
        <v>4837</v>
      </c>
      <c r="N1323" s="12" t="s">
        <v>4672</v>
      </c>
      <c r="O1323" s="17" t="str">
        <f>IF(LEN(COUNTIFS($J$1:J1323,$J1323,$K$1:K1323,$K1323,$L$1:L1323,$L1323,$M$1:M1323,M1323,$N$1:N1323,N1323))=1,"00"&amp;COUNTIFS($J$1:J1323,$J1323,$K$1:K1323,$K1323,$L$1:L1323,$L1323,$M$1:M1323,M1323,$N$1:N1323,N1323),IF(LEN(COUNTIFS($J$1:J1323,$J1323,$K$1:K1323,$K1323,$L$1:L1323,$L1323,$M$1:M1323,M1323,$N$1:N1323,N1323))=2,"0"&amp;COUNTIFS($J$1:J1323,$J1323,$K$1:K1323,$K1323,$L$1:L1323,$L1323,$M$1:M1323,M1323,$N$1:N1323,N1323),COUNTIFS($J$1:J1323,$J1323,$K$1:K1323,$K1323,$L$1:L1323,$L1323,$M$1:M1323,M1323,$N$1:N1323,N1323)))</f>
        <v>024</v>
      </c>
      <c r="P132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MS-CS-003-26-00024-INV</v>
      </c>
      <c r="Q1323" s="59"/>
      <c r="R1323" s="34" t="s">
        <v>6999</v>
      </c>
      <c r="S1323" s="34" t="s">
        <v>3901</v>
      </c>
      <c r="T1323" s="34">
        <f>+IFERROR(_xlfn.XLOOKUP(Table43[[#This Row],[Column1]],#REF!,#REF!),0)</f>
        <v>0</v>
      </c>
      <c r="U1323" s="50">
        <f>IFERROR(_xlfn.XLOOKUP(Table43[[#This Row],[Column1]],#REF!,#REF!),0)</f>
        <v>0</v>
      </c>
      <c r="V1323" s="39"/>
    </row>
    <row r="1324" spans="1:22" x14ac:dyDescent="0.35">
      <c r="A1324" s="3" t="s">
        <v>3902</v>
      </c>
      <c r="B1324" s="3" t="s">
        <v>3903</v>
      </c>
      <c r="C1324" s="3" t="s">
        <v>9</v>
      </c>
      <c r="D1324" s="3">
        <v>509.39</v>
      </c>
      <c r="E1324" s="3" t="s">
        <v>10</v>
      </c>
      <c r="F1324" s="2">
        <v>1</v>
      </c>
      <c r="G1324" s="3">
        <v>2</v>
      </c>
      <c r="H1324" s="3">
        <v>1</v>
      </c>
      <c r="I1324" s="21">
        <f>Table43[[#This Row],[Item Cost]]*Table43[[#This Row],[In Stock]]</f>
        <v>509.39</v>
      </c>
      <c r="J1324" s="12" t="s">
        <v>4941</v>
      </c>
      <c r="K1324" s="13" t="s">
        <v>4664</v>
      </c>
      <c r="L1324" s="13" t="s">
        <v>4675</v>
      </c>
      <c r="M1324" s="13" t="s">
        <v>4837</v>
      </c>
      <c r="N1324" s="12" t="s">
        <v>4672</v>
      </c>
      <c r="O1324" s="17" t="str">
        <f>IF(LEN(COUNTIFS($J$1:J1324,$J1324,$K$1:K1324,$K1324,$L$1:L1324,$L1324,$M$1:M1324,M1324,$N$1:N1324,N1324))=1,"00"&amp;COUNTIFS($J$1:J1324,$J1324,$K$1:K1324,$K1324,$L$1:L1324,$L1324,$M$1:M1324,M1324,$N$1:N1324,N1324),IF(LEN(COUNTIFS($J$1:J1324,$J1324,$K$1:K1324,$K1324,$L$1:L1324,$L1324,$M$1:M1324,M1324,$N$1:N1324,N1324))=2,"0"&amp;COUNTIFS($J$1:J1324,$J1324,$K$1:K1324,$K1324,$L$1:L1324,$L1324,$M$1:M1324,M1324,$N$1:N1324,N1324),COUNTIFS($J$1:J1324,$J1324,$K$1:K1324,$K1324,$L$1:L1324,$L1324,$M$1:M1324,M1324,$N$1:N1324,N1324)))</f>
        <v>025</v>
      </c>
      <c r="P132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MS-CS-003-26-00025-INV</v>
      </c>
      <c r="Q1324" s="59"/>
      <c r="R1324" s="34" t="s">
        <v>7000</v>
      </c>
      <c r="S1324" s="34" t="s">
        <v>3903</v>
      </c>
      <c r="T1324" s="34">
        <f>+IFERROR(_xlfn.XLOOKUP(Table43[[#This Row],[Column1]],#REF!,#REF!),0)</f>
        <v>0</v>
      </c>
      <c r="U1324" s="50">
        <f>IFERROR(_xlfn.XLOOKUP(Table43[[#This Row],[Column1]],#REF!,#REF!),0)</f>
        <v>0</v>
      </c>
      <c r="V1324" s="39"/>
    </row>
    <row r="1325" spans="1:22" x14ac:dyDescent="0.35">
      <c r="A1325" s="2" t="s">
        <v>3904</v>
      </c>
      <c r="B1325" s="2" t="s">
        <v>3905</v>
      </c>
      <c r="C1325" s="2" t="s">
        <v>9</v>
      </c>
      <c r="D1325" s="2">
        <v>485.13499999999999</v>
      </c>
      <c r="E1325" s="2" t="s">
        <v>10</v>
      </c>
      <c r="F1325" s="2">
        <v>1</v>
      </c>
      <c r="G1325" s="3">
        <v>2</v>
      </c>
      <c r="H1325" s="2">
        <v>2</v>
      </c>
      <c r="I1325" s="22">
        <f>Table43[[#This Row],[Item Cost]]*Table43[[#This Row],[In Stock]]</f>
        <v>970.27</v>
      </c>
      <c r="J1325" s="12" t="s">
        <v>4941</v>
      </c>
      <c r="K1325" s="13" t="s">
        <v>4664</v>
      </c>
      <c r="L1325" s="13" t="s">
        <v>4675</v>
      </c>
      <c r="M1325" s="13" t="s">
        <v>4837</v>
      </c>
      <c r="N1325" s="12" t="s">
        <v>4672</v>
      </c>
      <c r="O1325" s="17" t="str">
        <f>IF(LEN(COUNTIFS($J$1:J1325,$J1325,$K$1:K1325,$K1325,$L$1:L1325,$L1325,$M$1:M1325,M1325,$N$1:N1325,N1325))=1,"00"&amp;COUNTIFS($J$1:J1325,$J1325,$K$1:K1325,$K1325,$L$1:L1325,$L1325,$M$1:M1325,M1325,$N$1:N1325,N1325),IF(LEN(COUNTIFS($J$1:J1325,$J1325,$K$1:K1325,$K1325,$L$1:L1325,$L1325,$M$1:M1325,M1325,$N$1:N1325,N1325))=2,"0"&amp;COUNTIFS($J$1:J1325,$J1325,$K$1:K1325,$K1325,$L$1:L1325,$L1325,$M$1:M1325,M1325,$N$1:N1325,N1325),COUNTIFS($J$1:J1325,$J1325,$K$1:K1325,$K1325,$L$1:L1325,$L1325,$M$1:M1325,M1325,$N$1:N1325,N1325)))</f>
        <v>026</v>
      </c>
      <c r="P132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MS-CS-003-26-00026-INV</v>
      </c>
      <c r="Q1325" s="59"/>
      <c r="R1325" s="34" t="s">
        <v>7001</v>
      </c>
      <c r="S1325" s="34" t="s">
        <v>3905</v>
      </c>
      <c r="T1325" s="34">
        <f>+IFERROR(_xlfn.XLOOKUP(Table43[[#This Row],[Column1]],#REF!,#REF!),0)</f>
        <v>0</v>
      </c>
      <c r="U1325" s="50">
        <f>IFERROR(_xlfn.XLOOKUP(Table43[[#This Row],[Column1]],#REF!,#REF!),0)</f>
        <v>0</v>
      </c>
      <c r="V1325" s="39"/>
    </row>
    <row r="1326" spans="1:22" x14ac:dyDescent="0.35">
      <c r="A1326" s="3" t="s">
        <v>5608</v>
      </c>
      <c r="B1326" s="3" t="s">
        <v>3907</v>
      </c>
      <c r="C1326" s="3" t="s">
        <v>15</v>
      </c>
      <c r="D1326" s="5">
        <v>1147.5</v>
      </c>
      <c r="E1326" s="3" t="s">
        <v>10</v>
      </c>
      <c r="F1326" s="3">
        <v>2</v>
      </c>
      <c r="G1326" s="3">
        <v>4</v>
      </c>
      <c r="H1326" s="3">
        <v>3</v>
      </c>
      <c r="I1326" s="21">
        <f>Table43[[#This Row],[Item Cost]]*Table43[[#This Row],[In Stock]]</f>
        <v>3442.5</v>
      </c>
      <c r="J1326" s="12" t="s">
        <v>4941</v>
      </c>
      <c r="K1326" s="13" t="s">
        <v>4666</v>
      </c>
      <c r="L1326" s="13" t="s">
        <v>4675</v>
      </c>
      <c r="M1326" s="13" t="s">
        <v>3950</v>
      </c>
      <c r="N1326" s="12" t="s">
        <v>4672</v>
      </c>
      <c r="O1326" s="17" t="str">
        <f>IF(LEN(COUNTIFS($J$1:J1326,$J1326,$K$1:K1326,$K1326,$L$1:L1326,$L1326,$M$1:M1326,M1326,$N$1:N1326,N1326))=1,"00"&amp;COUNTIFS($J$1:J1326,$J1326,$K$1:K1326,$K1326,$L$1:L1326,$L1326,$M$1:M1326,M1326,$N$1:N1326,N1326),IF(LEN(COUNTIFS($J$1:J1326,$J1326,$K$1:K1326,$K1326,$L$1:L1326,$L1326,$M$1:M1326,M1326,$N$1:N1326,N1326))=2,"0"&amp;COUNTIFS($J$1:J1326,$J1326,$K$1:K1326,$K1326,$L$1:L1326,$L1326,$M$1:M1326,M1326,$N$1:N1326,N1326),COUNTIFS($J$1:J1326,$J1326,$K$1:K1326,$K1326,$L$1:L1326,$L1326,$M$1:M1326,M1326,$N$1:N1326,N1326)))</f>
        <v>004</v>
      </c>
      <c r="P132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MS-NS-003-22-00004-INV</v>
      </c>
      <c r="Q1326" s="59"/>
      <c r="R1326" s="34" t="s">
        <v>7002</v>
      </c>
      <c r="S1326" s="34" t="s">
        <v>3907</v>
      </c>
      <c r="T1326" s="34">
        <f>+IFERROR(_xlfn.XLOOKUP(Table43[[#This Row],[Column1]],#REF!,#REF!),0)</f>
        <v>0</v>
      </c>
      <c r="U1326" s="50">
        <f>IFERROR(_xlfn.XLOOKUP(Table43[[#This Row],[Column1]],#REF!,#REF!),0)</f>
        <v>0</v>
      </c>
      <c r="V1326" s="39"/>
    </row>
    <row r="1327" spans="1:22" x14ac:dyDescent="0.35">
      <c r="A1327" s="2" t="s">
        <v>5609</v>
      </c>
      <c r="B1327" s="2" t="s">
        <v>1861</v>
      </c>
      <c r="C1327" s="2" t="s">
        <v>15</v>
      </c>
      <c r="D1327" s="2">
        <v>750</v>
      </c>
      <c r="E1327" s="2" t="s">
        <v>10</v>
      </c>
      <c r="F1327" s="2">
        <v>1</v>
      </c>
      <c r="G1327" s="2">
        <v>2</v>
      </c>
      <c r="H1327" s="2">
        <v>2</v>
      </c>
      <c r="I1327" s="22">
        <f>Table43[[#This Row],[Item Cost]]*Table43[[#This Row],[In Stock]]</f>
        <v>1500</v>
      </c>
      <c r="J1327" s="12" t="s">
        <v>4941</v>
      </c>
      <c r="K1327" s="13" t="s">
        <v>4666</v>
      </c>
      <c r="L1327" s="13" t="s">
        <v>4675</v>
      </c>
      <c r="M1327" s="13" t="s">
        <v>4839</v>
      </c>
      <c r="N1327" s="12" t="s">
        <v>4672</v>
      </c>
      <c r="O1327" s="17" t="str">
        <f>IF(LEN(COUNTIFS($J$1:J1327,$J1327,$K$1:K1327,$K1327,$L$1:L1327,$L1327,$M$1:M1327,M1327,$N$1:N1327,N1327))=1,"00"&amp;COUNTIFS($J$1:J1327,$J1327,$K$1:K1327,$K1327,$L$1:L1327,$L1327,$M$1:M1327,M1327,$N$1:N1327,N1327),IF(LEN(COUNTIFS($J$1:J1327,$J1327,$K$1:K1327,$K1327,$L$1:L1327,$L1327,$M$1:M1327,M1327,$N$1:N1327,N1327))=2,"0"&amp;COUNTIFS($J$1:J1327,$J1327,$K$1:K1327,$K1327,$L$1:L1327,$L1327,$M$1:M1327,M1327,$N$1:N1327,N1327),COUNTIFS($J$1:J1327,$J1327,$K$1:K1327,$K1327,$L$1:L1327,$L1327,$M$1:M1327,M1327,$N$1:N1327,N1327)))</f>
        <v>001</v>
      </c>
      <c r="P132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MS-NS-003-27-00001-INV</v>
      </c>
      <c r="Q1327" s="59"/>
      <c r="R1327" s="34" t="s">
        <v>7003</v>
      </c>
      <c r="S1327" s="34" t="s">
        <v>1861</v>
      </c>
      <c r="T1327" s="34">
        <f>+IFERROR(_xlfn.XLOOKUP(Table43[[#This Row],[Column1]],#REF!,#REF!),0)</f>
        <v>0</v>
      </c>
      <c r="U1327" s="50">
        <f>IFERROR(_xlfn.XLOOKUP(Table43[[#This Row],[Column1]],#REF!,#REF!),0)</f>
        <v>0</v>
      </c>
      <c r="V1327" s="39"/>
    </row>
    <row r="1328" spans="1:22" x14ac:dyDescent="0.35">
      <c r="A1328" s="3" t="s">
        <v>5610</v>
      </c>
      <c r="B1328" s="3" t="s">
        <v>1867</v>
      </c>
      <c r="C1328" s="3" t="s">
        <v>15</v>
      </c>
      <c r="D1328" s="3">
        <v>0</v>
      </c>
      <c r="E1328" s="3" t="s">
        <v>10</v>
      </c>
      <c r="F1328" s="2">
        <v>1</v>
      </c>
      <c r="G1328" s="2">
        <v>2</v>
      </c>
      <c r="H1328" s="3">
        <v>0</v>
      </c>
      <c r="I1328" s="21">
        <f>Table43[[#This Row],[Item Cost]]*Table43[[#This Row],[In Stock]]</f>
        <v>0</v>
      </c>
      <c r="J1328" s="12" t="s">
        <v>4941</v>
      </c>
      <c r="K1328" s="13" t="s">
        <v>4666</v>
      </c>
      <c r="L1328" s="13" t="s">
        <v>4675</v>
      </c>
      <c r="M1328" s="13" t="s">
        <v>4693</v>
      </c>
      <c r="N1328" s="12" t="s">
        <v>4672</v>
      </c>
      <c r="O1328" s="17" t="str">
        <f>IF(LEN(COUNTIFS($J$1:J1328,$J1328,$K$1:K1328,$K1328,$L$1:L1328,$L1328,$M$1:M1328,M1328,$N$1:N1328,N1328))=1,"00"&amp;COUNTIFS($J$1:J1328,$J1328,$K$1:K1328,$K1328,$L$1:L1328,$L1328,$M$1:M1328,M1328,$N$1:N1328,N1328),IF(LEN(COUNTIFS($J$1:J1328,$J1328,$K$1:K1328,$K1328,$L$1:L1328,$L1328,$M$1:M1328,M1328,$N$1:N1328,N1328))=2,"0"&amp;COUNTIFS($J$1:J1328,$J1328,$K$1:K1328,$K1328,$L$1:L1328,$L1328,$M$1:M1328,M1328,$N$1:N1328,N1328),COUNTIFS($J$1:J1328,$J1328,$K$1:K1328,$K1328,$L$1:L1328,$L1328,$M$1:M1328,M1328,$N$1:N1328,N1328)))</f>
        <v>004</v>
      </c>
      <c r="P132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MS-NS-003-23-00004-INV</v>
      </c>
      <c r="Q1328" s="59"/>
      <c r="R1328" s="34" t="s">
        <v>7004</v>
      </c>
      <c r="S1328" s="34" t="s">
        <v>1867</v>
      </c>
      <c r="T1328" s="34">
        <f>+IFERROR(_xlfn.XLOOKUP(Table43[[#This Row],[Column1]],#REF!,#REF!),0)</f>
        <v>0</v>
      </c>
      <c r="U1328" s="50">
        <f>IFERROR(_xlfn.XLOOKUP(Table43[[#This Row],[Column1]],#REF!,#REF!),0)</f>
        <v>0</v>
      </c>
      <c r="V1328" s="39"/>
    </row>
    <row r="1329" spans="1:22" x14ac:dyDescent="0.35">
      <c r="A1329" s="2" t="s">
        <v>5611</v>
      </c>
      <c r="B1329" s="2" t="s">
        <v>3911</v>
      </c>
      <c r="C1329" s="2" t="s">
        <v>15</v>
      </c>
      <c r="D1329" s="2">
        <v>213.23</v>
      </c>
      <c r="E1329" s="2" t="s">
        <v>10</v>
      </c>
      <c r="F1329" s="2">
        <v>1</v>
      </c>
      <c r="G1329" s="2">
        <v>2</v>
      </c>
      <c r="H1329" s="2">
        <v>1</v>
      </c>
      <c r="I1329" s="22">
        <f>Table43[[#This Row],[Item Cost]]*Table43[[#This Row],[In Stock]]</f>
        <v>213.23</v>
      </c>
      <c r="J1329" s="12" t="s">
        <v>4941</v>
      </c>
      <c r="K1329" s="13" t="s">
        <v>4666</v>
      </c>
      <c r="L1329" s="13" t="s">
        <v>4675</v>
      </c>
      <c r="M1329" s="13" t="s">
        <v>4734</v>
      </c>
      <c r="N1329" s="12" t="s">
        <v>4672</v>
      </c>
      <c r="O1329" s="17" t="str">
        <f>IF(LEN(COUNTIFS($J$1:J1329,$J1329,$K$1:K1329,$K1329,$L$1:L1329,$L1329,$M$1:M1329,M1329,$N$1:N1329,N1329))=1,"00"&amp;COUNTIFS($J$1:J1329,$J1329,$K$1:K1329,$K1329,$L$1:L1329,$L1329,$M$1:M1329,M1329,$N$1:N1329,N1329),IF(LEN(COUNTIFS($J$1:J1329,$J1329,$K$1:K1329,$K1329,$L$1:L1329,$L1329,$M$1:M1329,M1329,$N$1:N1329,N1329))=2,"0"&amp;COUNTIFS($J$1:J1329,$J1329,$K$1:K1329,$K1329,$L$1:L1329,$L1329,$M$1:M1329,M1329,$N$1:N1329,N1329),COUNTIFS($J$1:J1329,$J1329,$K$1:K1329,$K1329,$L$1:L1329,$L1329,$M$1:M1329,M1329,$N$1:N1329,N1329)))</f>
        <v>003</v>
      </c>
      <c r="P132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MS-NS-003-02-00003-INV</v>
      </c>
      <c r="Q1329" s="59"/>
      <c r="R1329" s="34" t="s">
        <v>7005</v>
      </c>
      <c r="S1329" s="34" t="s">
        <v>3911</v>
      </c>
      <c r="T1329" s="34">
        <f>+IFERROR(_xlfn.XLOOKUP(Table43[[#This Row],[Column1]],#REF!,#REF!),0)</f>
        <v>0</v>
      </c>
      <c r="U1329" s="50">
        <f>IFERROR(_xlfn.XLOOKUP(Table43[[#This Row],[Column1]],#REF!,#REF!),0)</f>
        <v>0</v>
      </c>
      <c r="V1329" s="39"/>
    </row>
    <row r="1330" spans="1:22" x14ac:dyDescent="0.35">
      <c r="A1330" s="3" t="s">
        <v>5612</v>
      </c>
      <c r="B1330" s="3" t="s">
        <v>3913</v>
      </c>
      <c r="C1330" s="3" t="s">
        <v>15</v>
      </c>
      <c r="D1330" s="3">
        <v>0</v>
      </c>
      <c r="E1330" s="3" t="s">
        <v>10</v>
      </c>
      <c r="F1330" s="2">
        <v>1</v>
      </c>
      <c r="G1330" s="2">
        <v>2</v>
      </c>
      <c r="H1330" s="3">
        <v>0</v>
      </c>
      <c r="I1330" s="21">
        <f>Table43[[#This Row],[Item Cost]]*Table43[[#This Row],[In Stock]]</f>
        <v>0</v>
      </c>
      <c r="J1330" s="12" t="s">
        <v>4941</v>
      </c>
      <c r="K1330" s="13" t="s">
        <v>4666</v>
      </c>
      <c r="L1330" s="13" t="s">
        <v>4675</v>
      </c>
      <c r="M1330" s="13" t="s">
        <v>4837</v>
      </c>
      <c r="N1330" s="12" t="s">
        <v>4672</v>
      </c>
      <c r="O1330" s="17" t="str">
        <f>IF(LEN(COUNTIFS($J$1:J1330,$J1330,$K$1:K1330,$K1330,$L$1:L1330,$L1330,$M$1:M1330,M1330,$N$1:N1330,N1330))=1,"00"&amp;COUNTIFS($J$1:J1330,$J1330,$K$1:K1330,$K1330,$L$1:L1330,$L1330,$M$1:M1330,M1330,$N$1:N1330,N1330),IF(LEN(COUNTIFS($J$1:J1330,$J1330,$K$1:K1330,$K1330,$L$1:L1330,$L1330,$M$1:M1330,M1330,$N$1:N1330,N1330))=2,"0"&amp;COUNTIFS($J$1:J1330,$J1330,$K$1:K1330,$K1330,$L$1:L1330,$L1330,$M$1:M1330,M1330,$N$1:N1330,N1330),COUNTIFS($J$1:J1330,$J1330,$K$1:K1330,$K1330,$L$1:L1330,$L1330,$M$1:M1330,M1330,$N$1:N1330,N1330)))</f>
        <v>015</v>
      </c>
      <c r="P133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MS-NS-003-26-00015-INV</v>
      </c>
      <c r="Q1330" s="59"/>
      <c r="R1330" s="34" t="s">
        <v>7006</v>
      </c>
      <c r="S1330" s="34" t="s">
        <v>3913</v>
      </c>
      <c r="T1330" s="34">
        <f>+IFERROR(_xlfn.XLOOKUP(Table43[[#This Row],[Column1]],#REF!,#REF!),0)</f>
        <v>0</v>
      </c>
      <c r="U1330" s="50">
        <f>IFERROR(_xlfn.XLOOKUP(Table43[[#This Row],[Column1]],#REF!,#REF!),0)</f>
        <v>0</v>
      </c>
      <c r="V1330" s="39"/>
    </row>
    <row r="1331" spans="1:22" x14ac:dyDescent="0.35">
      <c r="A1331" s="2" t="s">
        <v>5613</v>
      </c>
      <c r="B1331" s="2" t="s">
        <v>3915</v>
      </c>
      <c r="C1331" s="2" t="s">
        <v>15</v>
      </c>
      <c r="D1331" s="2">
        <v>250</v>
      </c>
      <c r="E1331" s="2" t="s">
        <v>10</v>
      </c>
      <c r="F1331" s="2">
        <v>1</v>
      </c>
      <c r="G1331" s="2">
        <v>2</v>
      </c>
      <c r="H1331" s="2">
        <v>2</v>
      </c>
      <c r="I1331" s="22">
        <f>Table43[[#This Row],[Item Cost]]*Table43[[#This Row],[In Stock]]</f>
        <v>500</v>
      </c>
      <c r="J1331" s="12" t="s">
        <v>4941</v>
      </c>
      <c r="K1331" s="13" t="s">
        <v>4666</v>
      </c>
      <c r="L1331" s="13" t="s">
        <v>4675</v>
      </c>
      <c r="M1331" s="13" t="s">
        <v>4841</v>
      </c>
      <c r="N1331" s="12" t="s">
        <v>4672</v>
      </c>
      <c r="O1331" s="17" t="str">
        <f>IF(LEN(COUNTIFS($J$1:J1331,$J1331,$K$1:K1331,$K1331,$L$1:L1331,$L1331,$M$1:M1331,M1331,$N$1:N1331,N1331))=1,"00"&amp;COUNTIFS($J$1:J1331,$J1331,$K$1:K1331,$K1331,$L$1:L1331,$L1331,$M$1:M1331,M1331,$N$1:N1331,N1331),IF(LEN(COUNTIFS($J$1:J1331,$J1331,$K$1:K1331,$K1331,$L$1:L1331,$L1331,$M$1:M1331,M1331,$N$1:N1331,N1331))=2,"0"&amp;COUNTIFS($J$1:J1331,$J1331,$K$1:K1331,$K1331,$L$1:L1331,$L1331,$M$1:M1331,M1331,$N$1:N1331,N1331),COUNTIFS($J$1:J1331,$J1331,$K$1:K1331,$K1331,$L$1:L1331,$L1331,$M$1:M1331,M1331,$N$1:N1331,N1331)))</f>
        <v>001</v>
      </c>
      <c r="P133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MS-NS-003-28-00001-INV</v>
      </c>
      <c r="Q1331" s="59"/>
      <c r="R1331" s="34" t="s">
        <v>7007</v>
      </c>
      <c r="S1331" s="34" t="s">
        <v>3915</v>
      </c>
      <c r="T1331" s="34">
        <f>+IFERROR(_xlfn.XLOOKUP(Table43[[#This Row],[Column1]],#REF!,#REF!),0)</f>
        <v>0</v>
      </c>
      <c r="U1331" s="50">
        <f>IFERROR(_xlfn.XLOOKUP(Table43[[#This Row],[Column1]],#REF!,#REF!),0)</f>
        <v>0</v>
      </c>
      <c r="V1331" s="39"/>
    </row>
    <row r="1332" spans="1:22" x14ac:dyDescent="0.35">
      <c r="A1332" s="3" t="s">
        <v>5614</v>
      </c>
      <c r="B1332" s="3" t="s">
        <v>3917</v>
      </c>
      <c r="C1332" s="3" t="s">
        <v>15</v>
      </c>
      <c r="D1332" s="3">
        <v>350</v>
      </c>
      <c r="E1332" s="3" t="s">
        <v>10</v>
      </c>
      <c r="F1332" s="2">
        <v>1</v>
      </c>
      <c r="G1332" s="2">
        <v>2</v>
      </c>
      <c r="H1332" s="3">
        <v>1</v>
      </c>
      <c r="I1332" s="21">
        <f>Table43[[#This Row],[Item Cost]]*Table43[[#This Row],[In Stock]]</f>
        <v>350</v>
      </c>
      <c r="J1332" s="12" t="s">
        <v>4941</v>
      </c>
      <c r="K1332" s="13" t="s">
        <v>4666</v>
      </c>
      <c r="L1332" s="13" t="s">
        <v>4675</v>
      </c>
      <c r="M1332" s="13" t="s">
        <v>3950</v>
      </c>
      <c r="N1332" s="12" t="s">
        <v>4672</v>
      </c>
      <c r="O1332" s="17" t="str">
        <f>IF(LEN(COUNTIFS($J$1:J1332,$J1332,$K$1:K1332,$K1332,$L$1:L1332,$L1332,$M$1:M1332,M1332,$N$1:N1332,N1332))=1,"00"&amp;COUNTIFS($J$1:J1332,$J1332,$K$1:K1332,$K1332,$L$1:L1332,$L1332,$M$1:M1332,M1332,$N$1:N1332,N1332),IF(LEN(COUNTIFS($J$1:J1332,$J1332,$K$1:K1332,$K1332,$L$1:L1332,$L1332,$M$1:M1332,M1332,$N$1:N1332,N1332))=2,"0"&amp;COUNTIFS($J$1:J1332,$J1332,$K$1:K1332,$K1332,$L$1:L1332,$L1332,$M$1:M1332,M1332,$N$1:N1332,N1332),COUNTIFS($J$1:J1332,$J1332,$K$1:K1332,$K1332,$L$1:L1332,$L1332,$M$1:M1332,M1332,$N$1:N1332,N1332)))</f>
        <v>005</v>
      </c>
      <c r="P133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MS-NS-003-22-00005-INV</v>
      </c>
      <c r="Q1332" s="59"/>
      <c r="R1332" s="34" t="s">
        <v>7008</v>
      </c>
      <c r="S1332" s="34" t="s">
        <v>3917</v>
      </c>
      <c r="T1332" s="34">
        <f>+IFERROR(_xlfn.XLOOKUP(Table43[[#This Row],[Column1]],#REF!,#REF!),0)</f>
        <v>0</v>
      </c>
      <c r="U1332" s="50">
        <f>IFERROR(_xlfn.XLOOKUP(Table43[[#This Row],[Column1]],#REF!,#REF!),0)</f>
        <v>0</v>
      </c>
      <c r="V1332" s="39"/>
    </row>
    <row r="1333" spans="1:22" x14ac:dyDescent="0.35">
      <c r="A1333" s="2" t="s">
        <v>5615</v>
      </c>
      <c r="B1333" s="36">
        <v>6706049</v>
      </c>
      <c r="C1333" s="2" t="s">
        <v>15</v>
      </c>
      <c r="D1333" s="2">
        <v>350</v>
      </c>
      <c r="E1333" s="2" t="s">
        <v>10</v>
      </c>
      <c r="F1333" s="2">
        <v>1</v>
      </c>
      <c r="G1333" s="2">
        <v>2</v>
      </c>
      <c r="H1333" s="2">
        <v>1</v>
      </c>
      <c r="I1333" s="22">
        <f>Table43[[#This Row],[Item Cost]]*Table43[[#This Row],[In Stock]]</f>
        <v>350</v>
      </c>
      <c r="J1333" s="12" t="s">
        <v>4941</v>
      </c>
      <c r="K1333" s="13" t="s">
        <v>4666</v>
      </c>
      <c r="L1333" s="13" t="s">
        <v>4675</v>
      </c>
      <c r="M1333" s="13" t="s">
        <v>4837</v>
      </c>
      <c r="N1333" s="12" t="s">
        <v>4672</v>
      </c>
      <c r="O1333" s="17" t="str">
        <f>IF(LEN(COUNTIFS($J$1:J1333,$J1333,$K$1:K1333,$K1333,$L$1:L1333,$L1333,$M$1:M1333,M1333,$N$1:N1333,N1333))=1,"00"&amp;COUNTIFS($J$1:J1333,$J1333,$K$1:K1333,$K1333,$L$1:L1333,$L1333,$M$1:M1333,M1333,$N$1:N1333,N1333),IF(LEN(COUNTIFS($J$1:J1333,$J1333,$K$1:K1333,$K1333,$L$1:L1333,$L1333,$M$1:M1333,M1333,$N$1:N1333,N1333))=2,"0"&amp;COUNTIFS($J$1:J1333,$J1333,$K$1:K1333,$K1333,$L$1:L1333,$L1333,$M$1:M1333,M1333,$N$1:N1333,N1333),COUNTIFS($J$1:J1333,$J1333,$K$1:K1333,$K1333,$L$1:L1333,$L1333,$M$1:M1333,M1333,$N$1:N1333,N1333)))</f>
        <v>016</v>
      </c>
      <c r="P1333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MS-NS-003-26-00016-INV</v>
      </c>
      <c r="Q1333" s="59"/>
      <c r="R1333" s="34"/>
      <c r="S1333" s="34">
        <v>0</v>
      </c>
      <c r="T1333" s="34">
        <f>+IFERROR(_xlfn.XLOOKUP(Table43[[#This Row],[Column1]],#REF!,#REF!),0)</f>
        <v>0</v>
      </c>
      <c r="U1333" s="50">
        <f>IFERROR(_xlfn.XLOOKUP(Table43[[#This Row],[Column1]],#REF!,#REF!),0)</f>
        <v>0</v>
      </c>
      <c r="V1333" s="39"/>
    </row>
    <row r="1334" spans="1:22" x14ac:dyDescent="0.35">
      <c r="A1334" s="3" t="s">
        <v>5616</v>
      </c>
      <c r="B1334" s="3" t="s">
        <v>3920</v>
      </c>
      <c r="C1334" s="3" t="s">
        <v>15</v>
      </c>
      <c r="D1334" s="3">
        <v>260</v>
      </c>
      <c r="E1334" s="3" t="s">
        <v>10</v>
      </c>
      <c r="F1334" s="2">
        <v>1</v>
      </c>
      <c r="G1334" s="2">
        <v>2</v>
      </c>
      <c r="H1334" s="3">
        <v>1</v>
      </c>
      <c r="I1334" s="21">
        <f>Table43[[#This Row],[Item Cost]]*Table43[[#This Row],[In Stock]]</f>
        <v>260</v>
      </c>
      <c r="J1334" s="12" t="s">
        <v>4941</v>
      </c>
      <c r="K1334" s="13" t="s">
        <v>4666</v>
      </c>
      <c r="L1334" s="13" t="s">
        <v>4675</v>
      </c>
      <c r="M1334" s="13" t="s">
        <v>4837</v>
      </c>
      <c r="N1334" s="12" t="s">
        <v>4672</v>
      </c>
      <c r="O1334" s="17" t="str">
        <f>IF(LEN(COUNTIFS($J$1:J1334,$J1334,$K$1:K1334,$K1334,$L$1:L1334,$L1334,$M$1:M1334,M1334,$N$1:N1334,N1334))=1,"00"&amp;COUNTIFS($J$1:J1334,$J1334,$K$1:K1334,$K1334,$L$1:L1334,$L1334,$M$1:M1334,M1334,$N$1:N1334,N1334),IF(LEN(COUNTIFS($J$1:J1334,$J1334,$K$1:K1334,$K1334,$L$1:L1334,$L1334,$M$1:M1334,M1334,$N$1:N1334,N1334))=2,"0"&amp;COUNTIFS($J$1:J1334,$J1334,$K$1:K1334,$K1334,$L$1:L1334,$L1334,$M$1:M1334,M1334,$N$1:N1334,N1334),COUNTIFS($J$1:J1334,$J1334,$K$1:K1334,$K1334,$L$1:L1334,$L1334,$M$1:M1334,M1334,$N$1:N1334,N1334)))</f>
        <v>017</v>
      </c>
      <c r="P1334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MS-NS-003-26-00017-INV</v>
      </c>
      <c r="Q1334" s="59"/>
      <c r="R1334" s="34" t="s">
        <v>7009</v>
      </c>
      <c r="S1334" s="34" t="s">
        <v>3920</v>
      </c>
      <c r="T1334" s="34">
        <f>+IFERROR(_xlfn.XLOOKUP(Table43[[#This Row],[Column1]],#REF!,#REF!),0)</f>
        <v>0</v>
      </c>
      <c r="U1334" s="50">
        <f>IFERROR(_xlfn.XLOOKUP(Table43[[#This Row],[Column1]],#REF!,#REF!),0)</f>
        <v>0</v>
      </c>
      <c r="V1334" s="39"/>
    </row>
    <row r="1335" spans="1:22" x14ac:dyDescent="0.35">
      <c r="A1335" s="2" t="s">
        <v>5617</v>
      </c>
      <c r="B1335" s="2" t="s">
        <v>3922</v>
      </c>
      <c r="C1335" s="2" t="s">
        <v>15</v>
      </c>
      <c r="D1335" s="2">
        <v>150</v>
      </c>
      <c r="E1335" s="2" t="s">
        <v>10</v>
      </c>
      <c r="F1335" s="2">
        <v>2</v>
      </c>
      <c r="G1335" s="2">
        <v>4</v>
      </c>
      <c r="H1335" s="2">
        <v>19</v>
      </c>
      <c r="I1335" s="22">
        <f>Table43[[#This Row],[Item Cost]]*Table43[[#This Row],[In Stock]]</f>
        <v>2850</v>
      </c>
      <c r="J1335" s="12" t="s">
        <v>4941</v>
      </c>
      <c r="K1335" s="13" t="s">
        <v>4666</v>
      </c>
      <c r="L1335" s="13" t="s">
        <v>4675</v>
      </c>
      <c r="M1335" s="13" t="s">
        <v>4837</v>
      </c>
      <c r="N1335" s="12" t="s">
        <v>4672</v>
      </c>
      <c r="O1335" s="17" t="str">
        <f>IF(LEN(COUNTIFS($J$1:J1335,$J1335,$K$1:K1335,$K1335,$L$1:L1335,$L1335,$M$1:M1335,M1335,$N$1:N1335,N1335))=1,"00"&amp;COUNTIFS($J$1:J1335,$J1335,$K$1:K1335,$K1335,$L$1:L1335,$L1335,$M$1:M1335,M1335,$N$1:N1335,N1335),IF(LEN(COUNTIFS($J$1:J1335,$J1335,$K$1:K1335,$K1335,$L$1:L1335,$L1335,$M$1:M1335,M1335,$N$1:N1335,N1335))=2,"0"&amp;COUNTIFS($J$1:J1335,$J1335,$K$1:K1335,$K1335,$L$1:L1335,$L1335,$M$1:M1335,M1335,$N$1:N1335,N1335),COUNTIFS($J$1:J1335,$J1335,$K$1:K1335,$K1335,$L$1:L1335,$L1335,$M$1:M1335,M1335,$N$1:N1335,N1335)))</f>
        <v>018</v>
      </c>
      <c r="P1335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MS-NS-003-26-00018-INV</v>
      </c>
      <c r="Q1335" s="59" t="s">
        <v>7350</v>
      </c>
      <c r="R1335" s="34" t="s">
        <v>7010</v>
      </c>
      <c r="S1335" s="34" t="s">
        <v>3922</v>
      </c>
      <c r="T1335" s="34">
        <f>+IFERROR(_xlfn.XLOOKUP(Table43[[#This Row],[Column1]],#REF!,#REF!),0)</f>
        <v>0</v>
      </c>
      <c r="U1335" s="50">
        <f>IFERROR(_xlfn.XLOOKUP(Table43[[#This Row],[Column1]],#REF!,#REF!),0)</f>
        <v>0</v>
      </c>
      <c r="V1335" s="39"/>
    </row>
    <row r="1336" spans="1:22" x14ac:dyDescent="0.35">
      <c r="A1336" s="3" t="s">
        <v>5618</v>
      </c>
      <c r="B1336" s="3" t="s">
        <v>3924</v>
      </c>
      <c r="C1336" s="3" t="s">
        <v>15</v>
      </c>
      <c r="D1336" s="5">
        <v>1200</v>
      </c>
      <c r="E1336" s="3" t="s">
        <v>10</v>
      </c>
      <c r="F1336" s="2">
        <v>1</v>
      </c>
      <c r="G1336" s="2">
        <v>2</v>
      </c>
      <c r="H1336" s="3">
        <v>8</v>
      </c>
      <c r="I1336" s="21">
        <f>Table43[[#This Row],[Item Cost]]*Table43[[#This Row],[In Stock]]</f>
        <v>9600</v>
      </c>
      <c r="J1336" s="12" t="s">
        <v>4941</v>
      </c>
      <c r="K1336" s="13" t="s">
        <v>4666</v>
      </c>
      <c r="L1336" s="13" t="s">
        <v>4675</v>
      </c>
      <c r="M1336" s="13" t="s">
        <v>4841</v>
      </c>
      <c r="N1336" s="12" t="s">
        <v>4672</v>
      </c>
      <c r="O1336" s="17" t="str">
        <f>IF(LEN(COUNTIFS($J$1:J1336,$J1336,$K$1:K1336,$K1336,$L$1:L1336,$L1336,$M$1:M1336,M1336,$N$1:N1336,N1336))=1,"00"&amp;COUNTIFS($J$1:J1336,$J1336,$K$1:K1336,$K1336,$L$1:L1336,$L1336,$M$1:M1336,M1336,$N$1:N1336,N1336),IF(LEN(COUNTIFS($J$1:J1336,$J1336,$K$1:K1336,$K1336,$L$1:L1336,$L1336,$M$1:M1336,M1336,$N$1:N1336,N1336))=2,"0"&amp;COUNTIFS($J$1:J1336,$J1336,$K$1:K1336,$K1336,$L$1:L1336,$L1336,$M$1:M1336,M1336,$N$1:N1336,N1336),COUNTIFS($J$1:J1336,$J1336,$K$1:K1336,$K1336,$L$1:L1336,$L1336,$M$1:M1336,M1336,$N$1:N1336,N1336)))</f>
        <v>002</v>
      </c>
      <c r="P1336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MS-NS-003-28-00002-INV</v>
      </c>
      <c r="Q1336" s="59" t="s">
        <v>7390</v>
      </c>
      <c r="R1336" s="34" t="s">
        <v>7011</v>
      </c>
      <c r="S1336" s="34" t="s">
        <v>3924</v>
      </c>
      <c r="T1336" s="34">
        <f>+IFERROR(_xlfn.XLOOKUP(Table43[[#This Row],[Column1]],#REF!,#REF!),0)</f>
        <v>0</v>
      </c>
      <c r="U1336" s="50">
        <f>IFERROR(_xlfn.XLOOKUP(Table43[[#This Row],[Column1]],#REF!,#REF!),0)</f>
        <v>0</v>
      </c>
      <c r="V1336" s="39"/>
    </row>
    <row r="1337" spans="1:22" x14ac:dyDescent="0.35">
      <c r="A1337" s="2" t="s">
        <v>5619</v>
      </c>
      <c r="B1337" s="2" t="s">
        <v>3926</v>
      </c>
      <c r="C1337" s="2" t="s">
        <v>9</v>
      </c>
      <c r="D1337" s="4">
        <v>20000</v>
      </c>
      <c r="E1337" s="2" t="s">
        <v>10</v>
      </c>
      <c r="F1337" s="2">
        <v>1</v>
      </c>
      <c r="G1337" s="3">
        <v>2</v>
      </c>
      <c r="H1337" s="2">
        <v>1</v>
      </c>
      <c r="I1337" s="22">
        <f>Table43[[#This Row],[Item Cost]]*Table43[[#This Row],[In Stock]]</f>
        <v>20000</v>
      </c>
      <c r="J1337" s="12" t="s">
        <v>4941</v>
      </c>
      <c r="K1337" s="13" t="s">
        <v>4664</v>
      </c>
      <c r="L1337" s="13" t="s">
        <v>4675</v>
      </c>
      <c r="M1337" s="13" t="s">
        <v>4734</v>
      </c>
      <c r="N1337" s="12" t="s">
        <v>4672</v>
      </c>
      <c r="O1337" s="17" t="str">
        <f>IF(LEN(COUNTIFS($J$1:J1337,$J1337,$K$1:K1337,$K1337,$L$1:L1337,$L1337,$M$1:M1337,M1337,$N$1:N1337,N1337))=1,"00"&amp;COUNTIFS($J$1:J1337,$J1337,$K$1:K1337,$K1337,$L$1:L1337,$L1337,$M$1:M1337,M1337,$N$1:N1337,N1337),IF(LEN(COUNTIFS($J$1:J1337,$J1337,$K$1:K1337,$K1337,$L$1:L1337,$L1337,$M$1:M1337,M1337,$N$1:N1337,N1337))=2,"0"&amp;COUNTIFS($J$1:J1337,$J1337,$K$1:K1337,$K1337,$L$1:L1337,$L1337,$M$1:M1337,M1337,$N$1:N1337,N1337),COUNTIFS($J$1:J1337,$J1337,$K$1:K1337,$K1337,$L$1:L1337,$L1337,$M$1:M1337,M1337,$N$1:N1337,N1337)))</f>
        <v>001</v>
      </c>
      <c r="P1337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MS-CS-003-02-00001-INV</v>
      </c>
      <c r="Q1337" s="59" t="s">
        <v>7350</v>
      </c>
      <c r="R1337" s="34" t="s">
        <v>7012</v>
      </c>
      <c r="S1337" s="34" t="s">
        <v>3926</v>
      </c>
      <c r="T1337" s="34">
        <f>+IFERROR(_xlfn.XLOOKUP(Table43[[#This Row],[Column1]],#REF!,#REF!),0)</f>
        <v>0</v>
      </c>
      <c r="U1337" s="50">
        <f>IFERROR(_xlfn.XLOOKUP(Table43[[#This Row],[Column1]],#REF!,#REF!),0)</f>
        <v>0</v>
      </c>
      <c r="V1337" s="39"/>
    </row>
    <row r="1338" spans="1:22" x14ac:dyDescent="0.35">
      <c r="A1338" s="3" t="s">
        <v>5620</v>
      </c>
      <c r="B1338" s="3" t="s">
        <v>3928</v>
      </c>
      <c r="C1338" s="3" t="s">
        <v>15</v>
      </c>
      <c r="D1338" s="5">
        <v>5250</v>
      </c>
      <c r="E1338" s="3" t="s">
        <v>10</v>
      </c>
      <c r="F1338" s="2">
        <v>1</v>
      </c>
      <c r="G1338" s="2">
        <v>2</v>
      </c>
      <c r="H1338" s="3">
        <v>0</v>
      </c>
      <c r="I1338" s="21">
        <f>Table43[[#This Row],[Item Cost]]*Table43[[#This Row],[In Stock]]</f>
        <v>0</v>
      </c>
      <c r="J1338" s="12" t="s">
        <v>4941</v>
      </c>
      <c r="K1338" s="13" t="s">
        <v>4666</v>
      </c>
      <c r="L1338" s="13" t="s">
        <v>4675</v>
      </c>
      <c r="M1338" s="13" t="s">
        <v>4734</v>
      </c>
      <c r="N1338" s="12" t="s">
        <v>4672</v>
      </c>
      <c r="O1338" s="17" t="str">
        <f>IF(LEN(COUNTIFS($J$1:J1338,$J1338,$K$1:K1338,$K1338,$L$1:L1338,$L1338,$M$1:M1338,M1338,$N$1:N1338,N1338))=1,"00"&amp;COUNTIFS($J$1:J1338,$J1338,$K$1:K1338,$K1338,$L$1:L1338,$L1338,$M$1:M1338,M1338,$N$1:N1338,N1338),IF(LEN(COUNTIFS($J$1:J1338,$J1338,$K$1:K1338,$K1338,$L$1:L1338,$L1338,$M$1:M1338,M1338,$N$1:N1338,N1338))=2,"0"&amp;COUNTIFS($J$1:J1338,$J1338,$K$1:K1338,$K1338,$L$1:L1338,$L1338,$M$1:M1338,M1338,$N$1:N1338,N1338),COUNTIFS($J$1:J1338,$J1338,$K$1:K1338,$K1338,$L$1:L1338,$L1338,$M$1:M1338,M1338,$N$1:N1338,N1338)))</f>
        <v>004</v>
      </c>
      <c r="P1338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MS-NS-003-02-00004-INV</v>
      </c>
      <c r="Q1338" s="59"/>
      <c r="R1338" s="34" t="s">
        <v>7013</v>
      </c>
      <c r="S1338" s="34" t="s">
        <v>3928</v>
      </c>
      <c r="T1338" s="34">
        <f>+IFERROR(_xlfn.XLOOKUP(Table43[[#This Row],[Column1]],#REF!,#REF!),0)</f>
        <v>0</v>
      </c>
      <c r="U1338" s="50">
        <f>IFERROR(_xlfn.XLOOKUP(Table43[[#This Row],[Column1]],#REF!,#REF!),0)</f>
        <v>0</v>
      </c>
      <c r="V1338" s="39"/>
    </row>
    <row r="1339" spans="1:22" x14ac:dyDescent="0.35">
      <c r="A1339" s="2" t="s">
        <v>5621</v>
      </c>
      <c r="B1339" s="2" t="s">
        <v>3930</v>
      </c>
      <c r="C1339" s="2" t="s">
        <v>9</v>
      </c>
      <c r="D1339" s="4">
        <v>1400</v>
      </c>
      <c r="E1339" s="2" t="s">
        <v>10</v>
      </c>
      <c r="F1339" s="2">
        <v>1</v>
      </c>
      <c r="G1339" s="3">
        <v>2</v>
      </c>
      <c r="H1339" s="2">
        <v>2</v>
      </c>
      <c r="I1339" s="22">
        <f>Table43[[#This Row],[Item Cost]]*Table43[[#This Row],[In Stock]]</f>
        <v>2800</v>
      </c>
      <c r="J1339" s="12" t="s">
        <v>4941</v>
      </c>
      <c r="K1339" s="13" t="s">
        <v>4664</v>
      </c>
      <c r="L1339" s="13" t="s">
        <v>4675</v>
      </c>
      <c r="M1339" s="13" t="s">
        <v>4772</v>
      </c>
      <c r="N1339" s="12" t="s">
        <v>4672</v>
      </c>
      <c r="O1339" s="17" t="str">
        <f>IF(LEN(COUNTIFS($J$1:J1339,$J1339,$K$1:K1339,$K1339,$L$1:L1339,$L1339,$M$1:M1339,M1339,$N$1:N1339,N1339))=1,"00"&amp;COUNTIFS($J$1:J1339,$J1339,$K$1:K1339,$K1339,$L$1:L1339,$L1339,$M$1:M1339,M1339,$N$1:N1339,N1339),IF(LEN(COUNTIFS($J$1:J1339,$J1339,$K$1:K1339,$K1339,$L$1:L1339,$L1339,$M$1:M1339,M1339,$N$1:N1339,N1339))=2,"0"&amp;COUNTIFS($J$1:J1339,$J1339,$K$1:K1339,$K1339,$L$1:L1339,$L1339,$M$1:M1339,M1339,$N$1:N1339,N1339),COUNTIFS($J$1:J1339,$J1339,$K$1:K1339,$K1339,$L$1:L1339,$L1339,$M$1:M1339,M1339,$N$1:N1339,N1339)))</f>
        <v>005</v>
      </c>
      <c r="P1339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MS-CS-003-06-00005-INV</v>
      </c>
      <c r="Q1339" s="59"/>
      <c r="R1339" s="34" t="s">
        <v>7014</v>
      </c>
      <c r="S1339" s="34" t="s">
        <v>3930</v>
      </c>
      <c r="T1339" s="34">
        <f>+IFERROR(_xlfn.XLOOKUP(Table43[[#This Row],[Column1]],#REF!,#REF!),0)</f>
        <v>0</v>
      </c>
      <c r="U1339" s="50">
        <f>IFERROR(_xlfn.XLOOKUP(Table43[[#This Row],[Column1]],#REF!,#REF!),0)</f>
        <v>0</v>
      </c>
      <c r="V1339" s="39"/>
    </row>
    <row r="1340" spans="1:22" x14ac:dyDescent="0.35">
      <c r="A1340" s="3" t="s">
        <v>5622</v>
      </c>
      <c r="B1340" s="3" t="s">
        <v>3932</v>
      </c>
      <c r="C1340" s="3" t="s">
        <v>15</v>
      </c>
      <c r="D1340" s="3">
        <v>340</v>
      </c>
      <c r="E1340" s="3" t="s">
        <v>10</v>
      </c>
      <c r="F1340" s="2">
        <v>1</v>
      </c>
      <c r="G1340" s="2">
        <v>2</v>
      </c>
      <c r="H1340" s="3">
        <v>4</v>
      </c>
      <c r="I1340" s="21">
        <f>Table43[[#This Row],[Item Cost]]*Table43[[#This Row],[In Stock]]</f>
        <v>1360</v>
      </c>
      <c r="J1340" s="12" t="s">
        <v>4941</v>
      </c>
      <c r="K1340" s="13" t="s">
        <v>4666</v>
      </c>
      <c r="L1340" s="13" t="s">
        <v>4675</v>
      </c>
      <c r="M1340" s="13" t="s">
        <v>4693</v>
      </c>
      <c r="N1340" s="12" t="s">
        <v>4672</v>
      </c>
      <c r="O1340" s="17" t="str">
        <f>IF(LEN(COUNTIFS($J$1:J1340,$J1340,$K$1:K1340,$K1340,$L$1:L1340,$L1340,$M$1:M1340,M1340,$N$1:N1340,N1340))=1,"00"&amp;COUNTIFS($J$1:J1340,$J1340,$K$1:K1340,$K1340,$L$1:L1340,$L1340,$M$1:M1340,M1340,$N$1:N1340,N1340),IF(LEN(COUNTIFS($J$1:J1340,$J1340,$K$1:K1340,$K1340,$L$1:L1340,$L1340,$M$1:M1340,M1340,$N$1:N1340,N1340))=2,"0"&amp;COUNTIFS($J$1:J1340,$J1340,$K$1:K1340,$K1340,$L$1:L1340,$L1340,$M$1:M1340,M1340,$N$1:N1340,N1340),COUNTIFS($J$1:J1340,$J1340,$K$1:K1340,$K1340,$L$1:L1340,$L1340,$M$1:M1340,M1340,$N$1:N1340,N1340)))</f>
        <v>005</v>
      </c>
      <c r="P1340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MS-NS-003-23-00005-INV</v>
      </c>
      <c r="Q1340" s="59"/>
      <c r="R1340" s="34" t="s">
        <v>7015</v>
      </c>
      <c r="S1340" s="34" t="s">
        <v>3932</v>
      </c>
      <c r="T1340" s="34">
        <f>+IFERROR(_xlfn.XLOOKUP(Table43[[#This Row],[Column1]],#REF!,#REF!),0)</f>
        <v>0</v>
      </c>
      <c r="U1340" s="50">
        <f>IFERROR(_xlfn.XLOOKUP(Table43[[#This Row],[Column1]],#REF!,#REF!),0)</f>
        <v>0</v>
      </c>
      <c r="V1340" s="39"/>
    </row>
    <row r="1341" spans="1:22" x14ac:dyDescent="0.35">
      <c r="A1341" s="2" t="s">
        <v>3933</v>
      </c>
      <c r="B1341" s="2" t="s">
        <v>3934</v>
      </c>
      <c r="C1341" s="2" t="s">
        <v>15</v>
      </c>
      <c r="D1341" s="2">
        <v>0</v>
      </c>
      <c r="E1341" s="2" t="s">
        <v>10</v>
      </c>
      <c r="F1341" s="2">
        <v>1</v>
      </c>
      <c r="G1341" s="2">
        <v>2</v>
      </c>
      <c r="H1341" s="2">
        <v>0</v>
      </c>
      <c r="I1341" s="22">
        <f>Table43[[#This Row],[Item Cost]]*Table43[[#This Row],[In Stock]]</f>
        <v>0</v>
      </c>
      <c r="J1341" s="12" t="s">
        <v>4941</v>
      </c>
      <c r="K1341" s="13" t="s">
        <v>4666</v>
      </c>
      <c r="L1341" s="13" t="s">
        <v>4679</v>
      </c>
      <c r="M1341" s="13" t="s">
        <v>4770</v>
      </c>
      <c r="N1341" s="12" t="s">
        <v>4672</v>
      </c>
      <c r="O1341" s="17" t="str">
        <f>IF(LEN(COUNTIFS($J$1:J1341,$J1341,$K$1:K1341,$K1341,$L$1:L1341,$L1341,$M$1:M1341,M1341,$N$1:N1341,N1341))=1,"00"&amp;COUNTIFS($J$1:J1341,$J1341,$K$1:K1341,$K1341,$L$1:L1341,$L1341,$M$1:M1341,M1341,$N$1:N1341,N1341),IF(LEN(COUNTIFS($J$1:J1341,$J1341,$K$1:K1341,$K1341,$L$1:L1341,$L1341,$M$1:M1341,M1341,$N$1:N1341,N1341))=2,"0"&amp;COUNTIFS($J$1:J1341,$J1341,$K$1:K1341,$K1341,$L$1:L1341,$L1341,$M$1:M1341,M1341,$N$1:N1341,N1341),COUNTIFS($J$1:J1341,$J1341,$K$1:K1341,$K1341,$L$1:L1341,$L1341,$M$1:M1341,M1341,$N$1:N1341,N1341)))</f>
        <v>001</v>
      </c>
      <c r="P1341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MS-NS-005-04-00001-INV</v>
      </c>
      <c r="Q1341" s="59"/>
      <c r="R1341" s="34" t="s">
        <v>7016</v>
      </c>
      <c r="S1341" s="34" t="s">
        <v>3934</v>
      </c>
      <c r="T1341" s="34">
        <f>+IFERROR(_xlfn.XLOOKUP(Table43[[#This Row],[Column1]],#REF!,#REF!),0)</f>
        <v>0</v>
      </c>
      <c r="U1341" s="50">
        <f>IFERROR(_xlfn.XLOOKUP(Table43[[#This Row],[Column1]],#REF!,#REF!),0)</f>
        <v>0</v>
      </c>
      <c r="V1341" s="39"/>
    </row>
    <row r="1342" spans="1:22" x14ac:dyDescent="0.35">
      <c r="A1342" s="3" t="s">
        <v>3935</v>
      </c>
      <c r="B1342" s="6" t="s">
        <v>3936</v>
      </c>
      <c r="C1342" s="6" t="s">
        <v>15</v>
      </c>
      <c r="D1342" s="6">
        <v>0</v>
      </c>
      <c r="E1342" s="3" t="s">
        <v>10</v>
      </c>
      <c r="F1342" s="2">
        <v>1</v>
      </c>
      <c r="G1342" s="2">
        <v>2</v>
      </c>
      <c r="H1342" s="6">
        <v>0</v>
      </c>
      <c r="I1342" s="25">
        <f>Table43[[#This Row],[Item Cost]]*Table43[[#This Row],[In Stock]]</f>
        <v>0</v>
      </c>
      <c r="J1342" s="12" t="s">
        <v>4941</v>
      </c>
      <c r="K1342" s="13" t="s">
        <v>4666</v>
      </c>
      <c r="L1342" s="13" t="s">
        <v>4679</v>
      </c>
      <c r="M1342" s="13" t="s">
        <v>4770</v>
      </c>
      <c r="N1342" s="12" t="s">
        <v>4672</v>
      </c>
      <c r="O1342" s="17" t="str">
        <f>IF(LEN(COUNTIFS($J$1:J1342,$J1342,$K$1:K1342,$K1342,$L$1:L1342,$L1342,$M$1:M1342,M1342,$N$1:N1342,N1342))=1,"00"&amp;COUNTIFS($J$1:J1342,$J1342,$K$1:K1342,$K1342,$L$1:L1342,$L1342,$M$1:M1342,M1342,$N$1:N1342,N1342),IF(LEN(COUNTIFS($J$1:J1342,$J1342,$K$1:K1342,$K1342,$L$1:L1342,$L1342,$M$1:M1342,M1342,$N$1:N1342,N1342))=2,"0"&amp;COUNTIFS($J$1:J1342,$J1342,$K$1:K1342,$K1342,$L$1:L1342,$L1342,$M$1:M1342,M1342,$N$1:N1342,N1342),COUNTIFS($J$1:J1342,$J1342,$K$1:K1342,$K1342,$L$1:L1342,$L1342,$M$1:M1342,M1342,$N$1:N1342,N1342)))</f>
        <v>002</v>
      </c>
      <c r="P1342" s="12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MS-NS-005-04-00002-INV</v>
      </c>
      <c r="Q1342" s="59"/>
      <c r="R1342" s="34" t="s">
        <v>7017</v>
      </c>
      <c r="S1342" s="34" t="s">
        <v>3936</v>
      </c>
      <c r="T1342" s="34">
        <f>+IFERROR(_xlfn.XLOOKUP(Table43[[#This Row],[Column1]],#REF!,#REF!),0)</f>
        <v>0</v>
      </c>
      <c r="U1342" s="50">
        <f>IFERROR(_xlfn.XLOOKUP(Table43[[#This Row],[Column1]],#REF!,#REF!),0)</f>
        <v>0</v>
      </c>
      <c r="V1342" s="39"/>
    </row>
    <row r="1343" spans="1:22" x14ac:dyDescent="0.35">
      <c r="A1343" s="2" t="s">
        <v>3937</v>
      </c>
      <c r="B1343" s="6" t="s">
        <v>918</v>
      </c>
      <c r="C1343" s="6" t="s">
        <v>15</v>
      </c>
      <c r="D1343" s="6">
        <v>0</v>
      </c>
      <c r="E1343" s="3" t="s">
        <v>10</v>
      </c>
      <c r="F1343" s="2">
        <v>1</v>
      </c>
      <c r="G1343" s="2">
        <v>2</v>
      </c>
      <c r="H1343" s="6">
        <v>0</v>
      </c>
      <c r="I1343" s="25">
        <f>Table43[[#This Row],[Item Cost]]*Table43[[#This Row],[In Stock]]</f>
        <v>0</v>
      </c>
      <c r="J1343" s="12" t="s">
        <v>4941</v>
      </c>
      <c r="K1343" s="14" t="s">
        <v>4666</v>
      </c>
      <c r="L1343" s="14" t="s">
        <v>4679</v>
      </c>
      <c r="M1343" s="13" t="s">
        <v>4834</v>
      </c>
      <c r="N1343" s="12" t="s">
        <v>4672</v>
      </c>
      <c r="O1343" s="17" t="str">
        <f>IF(LEN(COUNTIFS($J$1:J1343,$J1343,$K$1:K1343,$K1343,$L$1:L1343,$L1343,$M$1:M1343,M1343,$N$1:N1343,N1343))=1,"00"&amp;COUNTIFS($J$1:J1343,$J1343,$K$1:K1343,$K1343,$L$1:L1343,$L1343,$M$1:M1343,M1343,$N$1:N1343,N1343),IF(LEN(COUNTIFS($J$1:J1343,$J1343,$K$1:K1343,$K1343,$L$1:L1343,$L1343,$M$1:M1343,M1343,$N$1:N1343,N1343))=2,"0"&amp;COUNTIFS($J$1:J1343,$J1343,$K$1:K1343,$K1343,$L$1:L1343,$L1343,$M$1:M1343,M1343,$N$1:N1343,N1343),COUNTIFS($J$1:J1343,$J1343,$K$1:K1343,$K1343,$L$1:L1343,$L1343,$M$1:M1343,M1343,$N$1:N1343,N1343)))</f>
        <v>001</v>
      </c>
      <c r="P1343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MS-NS-005-17-00001-INV</v>
      </c>
      <c r="Q1343" s="59"/>
      <c r="R1343" s="34" t="s">
        <v>7018</v>
      </c>
      <c r="S1343" s="34" t="s">
        <v>918</v>
      </c>
      <c r="T1343" s="34">
        <f>+IFERROR(_xlfn.XLOOKUP(Table43[[#This Row],[Column1]],#REF!,#REF!),0)</f>
        <v>0</v>
      </c>
      <c r="U1343" s="50">
        <f>IFERROR(_xlfn.XLOOKUP(Table43[[#This Row],[Column1]],#REF!,#REF!),0)</f>
        <v>0</v>
      </c>
      <c r="V1343" s="39"/>
    </row>
    <row r="1344" spans="1:22" x14ac:dyDescent="0.35">
      <c r="A1344" s="3" t="s">
        <v>3939</v>
      </c>
      <c r="B1344" s="2" t="s">
        <v>3228</v>
      </c>
      <c r="C1344" s="2" t="s">
        <v>9</v>
      </c>
      <c r="D1344" s="2">
        <v>78.858000000000004</v>
      </c>
      <c r="E1344" s="2" t="s">
        <v>10</v>
      </c>
      <c r="F1344" s="2">
        <v>1</v>
      </c>
      <c r="G1344" s="3">
        <v>2</v>
      </c>
      <c r="H1344" s="2">
        <v>5</v>
      </c>
      <c r="I1344" s="22">
        <f>Table43[[#This Row],[Item Cost]]*Table43[[#This Row],[In Stock]]</f>
        <v>394.29</v>
      </c>
      <c r="J1344" s="12" t="s">
        <v>4941</v>
      </c>
      <c r="K1344" s="14" t="s">
        <v>4664</v>
      </c>
      <c r="L1344" s="14" t="s">
        <v>4679</v>
      </c>
      <c r="M1344" s="13" t="s">
        <v>4834</v>
      </c>
      <c r="N1344" s="12" t="s">
        <v>4672</v>
      </c>
      <c r="O1344" s="17" t="str">
        <f>IF(LEN(COUNTIFS($J$1:J1344,$J1344,$K$1:K1344,$K1344,$L$1:L1344,$L1344,$M$1:M1344,M1344,$N$1:N1344,N1344))=1,"00"&amp;COUNTIFS($J$1:J1344,$J1344,$K$1:K1344,$K1344,$L$1:L1344,$L1344,$M$1:M1344,M1344,$N$1:N1344,N1344),IF(LEN(COUNTIFS($J$1:J1344,$J1344,$K$1:K1344,$K1344,$L$1:L1344,$L1344,$M$1:M1344,M1344,$N$1:N1344,N1344))=2,"0"&amp;COUNTIFS($J$1:J1344,$J1344,$K$1:K1344,$K1344,$L$1:L1344,$L1344,$M$1:M1344,M1344,$N$1:N1344,N1344),COUNTIFS($J$1:J1344,$J1344,$K$1:K1344,$K1344,$L$1:L1344,$L1344,$M$1:M1344,M1344,$N$1:N1344,N1344)))</f>
        <v>001</v>
      </c>
      <c r="P1344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MS-CS-005-17-00001-INV</v>
      </c>
      <c r="Q1344" s="59"/>
      <c r="R1344" s="34" t="s">
        <v>7019</v>
      </c>
      <c r="S1344" s="34" t="s">
        <v>3228</v>
      </c>
      <c r="T1344" s="34">
        <f>+IFERROR(_xlfn.XLOOKUP(Table43[[#This Row],[Column1]],#REF!,#REF!),0)</f>
        <v>0</v>
      </c>
      <c r="U1344" s="50">
        <f>IFERROR(_xlfn.XLOOKUP(Table43[[#This Row],[Column1]],#REF!,#REF!),0)</f>
        <v>0</v>
      </c>
      <c r="V1344" s="39"/>
    </row>
    <row r="1345" spans="1:22" x14ac:dyDescent="0.35">
      <c r="A1345" s="2" t="s">
        <v>3941</v>
      </c>
      <c r="B1345" s="6" t="s">
        <v>3945</v>
      </c>
      <c r="C1345" s="6" t="s">
        <v>9</v>
      </c>
      <c r="D1345" s="6">
        <v>6000</v>
      </c>
      <c r="E1345" s="6" t="s">
        <v>10</v>
      </c>
      <c r="F1345" s="2">
        <v>1</v>
      </c>
      <c r="G1345" s="3">
        <v>2</v>
      </c>
      <c r="H1345" s="6">
        <v>2</v>
      </c>
      <c r="I1345" s="25">
        <f>Table43[[#This Row],[Item Cost]]*Table43[[#This Row],[In Stock]]</f>
        <v>12000</v>
      </c>
      <c r="J1345" s="12" t="s">
        <v>4941</v>
      </c>
      <c r="K1345" s="14" t="s">
        <v>4664</v>
      </c>
      <c r="L1345" s="14" t="s">
        <v>4679</v>
      </c>
      <c r="M1345" s="13" t="s">
        <v>4772</v>
      </c>
      <c r="N1345" s="12" t="s">
        <v>4672</v>
      </c>
      <c r="O1345" s="17" t="str">
        <f>IF(LEN(COUNTIFS($J$1:J1345,$J1345,$K$1:K1345,$K1345,$L$1:L1345,$L1345,$M$1:M1345,M1345,$N$1:N1345,N1345))=1,"00"&amp;COUNTIFS($J$1:J1345,$J1345,$K$1:K1345,$K1345,$L$1:L1345,$L1345,$M$1:M1345,M1345,$N$1:N1345,N1345),IF(LEN(COUNTIFS($J$1:J1345,$J1345,$K$1:K1345,$K1345,$L$1:L1345,$L1345,$M$1:M1345,M1345,$N$1:N1345,N1345))=2,"0"&amp;COUNTIFS($J$1:J1345,$J1345,$K$1:K1345,$K1345,$L$1:L1345,$L1345,$M$1:M1345,M1345,$N$1:N1345,N1345),COUNTIFS($J$1:J1345,$J1345,$K$1:K1345,$K1345,$L$1:L1345,$L1345,$M$1:M1345,M1345,$N$1:N1345,N1345)))</f>
        <v>001</v>
      </c>
      <c r="P1345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MS-CS-005-06-00001-INV</v>
      </c>
      <c r="Q1345" s="59" t="s">
        <v>7393</v>
      </c>
      <c r="R1345" s="34" t="s">
        <v>7020</v>
      </c>
      <c r="S1345" s="34" t="s">
        <v>3945</v>
      </c>
      <c r="T1345" s="34">
        <f>+IFERROR(_xlfn.XLOOKUP(Table43[[#This Row],[Column1]],#REF!,#REF!),0)</f>
        <v>0</v>
      </c>
      <c r="U1345" s="50">
        <f>IFERROR(_xlfn.XLOOKUP(Table43[[#This Row],[Column1]],#REF!,#REF!),0)</f>
        <v>0</v>
      </c>
      <c r="V1345" s="39"/>
    </row>
    <row r="1346" spans="1:22" x14ac:dyDescent="0.35">
      <c r="A1346" s="3" t="s">
        <v>3942</v>
      </c>
      <c r="B1346" s="2" t="s">
        <v>3947</v>
      </c>
      <c r="C1346" s="2" t="s">
        <v>15</v>
      </c>
      <c r="D1346" s="2">
        <v>0</v>
      </c>
      <c r="E1346" s="2" t="s">
        <v>10</v>
      </c>
      <c r="F1346" s="2">
        <v>1</v>
      </c>
      <c r="G1346" s="2">
        <v>2</v>
      </c>
      <c r="H1346" s="2">
        <v>0</v>
      </c>
      <c r="I1346" s="22">
        <f>Table43[[#This Row],[Item Cost]]*Table43[[#This Row],[In Stock]]</f>
        <v>0</v>
      </c>
      <c r="J1346" s="12" t="s">
        <v>4941</v>
      </c>
      <c r="K1346" s="14" t="s">
        <v>4666</v>
      </c>
      <c r="L1346" s="14" t="s">
        <v>4679</v>
      </c>
      <c r="M1346" s="13" t="s">
        <v>4837</v>
      </c>
      <c r="N1346" s="12" t="s">
        <v>4672</v>
      </c>
      <c r="O1346" s="17" t="str">
        <f>IF(LEN(COUNTIFS($J$1:J1346,$J1346,$K$1:K1346,$K1346,$L$1:L1346,$L1346,$M$1:M1346,M1346,$N$1:N1346,N1346))=1,"00"&amp;COUNTIFS($J$1:J1346,$J1346,$K$1:K1346,$K1346,$L$1:L1346,$L1346,$M$1:M1346,M1346,$N$1:N1346,N1346),IF(LEN(COUNTIFS($J$1:J1346,$J1346,$K$1:K1346,$K1346,$L$1:L1346,$L1346,$M$1:M1346,M1346,$N$1:N1346,N1346))=2,"0"&amp;COUNTIFS($J$1:J1346,$J1346,$K$1:K1346,$K1346,$L$1:L1346,$L1346,$M$1:M1346,M1346,$N$1:N1346,N1346),COUNTIFS($J$1:J1346,$J1346,$K$1:K1346,$K1346,$L$1:L1346,$L1346,$M$1:M1346,M1346,$N$1:N1346,N1346)))</f>
        <v>001</v>
      </c>
      <c r="P1346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MS-NS-005-26-00001-INV</v>
      </c>
      <c r="Q1346" s="59"/>
      <c r="R1346" s="34" t="s">
        <v>7021</v>
      </c>
      <c r="S1346" s="34" t="s">
        <v>3947</v>
      </c>
      <c r="T1346" s="34">
        <f>+IFERROR(_xlfn.XLOOKUP(Table43[[#This Row],[Column1]],#REF!,#REF!),0)</f>
        <v>0</v>
      </c>
      <c r="U1346" s="50">
        <f>IFERROR(_xlfn.XLOOKUP(Table43[[#This Row],[Column1]],#REF!,#REF!),0)</f>
        <v>0</v>
      </c>
      <c r="V1346" s="39"/>
    </row>
    <row r="1347" spans="1:22" x14ac:dyDescent="0.35">
      <c r="A1347" s="2" t="s">
        <v>3943</v>
      </c>
      <c r="B1347" s="3" t="s">
        <v>3221</v>
      </c>
      <c r="C1347" s="3" t="s">
        <v>15</v>
      </c>
      <c r="D1347" s="3">
        <v>0</v>
      </c>
      <c r="E1347" s="3" t="s">
        <v>10</v>
      </c>
      <c r="F1347" s="2">
        <v>1</v>
      </c>
      <c r="G1347" s="2">
        <v>2</v>
      </c>
      <c r="H1347" s="3">
        <v>0</v>
      </c>
      <c r="I1347" s="21">
        <f>Table43[[#This Row],[Item Cost]]*Table43[[#This Row],[In Stock]]</f>
        <v>0</v>
      </c>
      <c r="J1347" s="12" t="s">
        <v>4941</v>
      </c>
      <c r="K1347" s="14" t="s">
        <v>4666</v>
      </c>
      <c r="L1347" s="14" t="s">
        <v>4679</v>
      </c>
      <c r="M1347" s="13" t="s">
        <v>4837</v>
      </c>
      <c r="N1347" s="12" t="s">
        <v>4672</v>
      </c>
      <c r="O1347" s="17" t="str">
        <f>IF(LEN(COUNTIFS($J$1:J1347,$J1347,$K$1:K1347,$K1347,$L$1:L1347,$L1347,$M$1:M1347,M1347,$N$1:N1347,N1347))=1,"00"&amp;COUNTIFS($J$1:J1347,$J1347,$K$1:K1347,$K1347,$L$1:L1347,$L1347,$M$1:M1347,M1347,$N$1:N1347,N1347),IF(LEN(COUNTIFS($J$1:J1347,$J1347,$K$1:K1347,$K1347,$L$1:L1347,$L1347,$M$1:M1347,M1347,$N$1:N1347,N1347))=2,"0"&amp;COUNTIFS($J$1:J1347,$J1347,$K$1:K1347,$K1347,$L$1:L1347,$L1347,$M$1:M1347,M1347,$N$1:N1347,N1347),COUNTIFS($J$1:J1347,$J1347,$K$1:K1347,$K1347,$L$1:L1347,$L1347,$M$1:M1347,M1347,$N$1:N1347,N1347)))</f>
        <v>002</v>
      </c>
      <c r="P1347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MS-NS-005-26-00002-INV</v>
      </c>
      <c r="Q1347" s="59"/>
      <c r="R1347" s="34" t="s">
        <v>7022</v>
      </c>
      <c r="S1347" s="34" t="s">
        <v>3221</v>
      </c>
      <c r="T1347" s="34">
        <f>+IFERROR(_xlfn.XLOOKUP(Table43[[#This Row],[Column1]],#REF!,#REF!),0)</f>
        <v>0</v>
      </c>
      <c r="U1347" s="50">
        <f>IFERROR(_xlfn.XLOOKUP(Table43[[#This Row],[Column1]],#REF!,#REF!),0)</f>
        <v>0</v>
      </c>
      <c r="V1347" s="39"/>
    </row>
    <row r="1348" spans="1:22" x14ac:dyDescent="0.35">
      <c r="A1348" s="3" t="s">
        <v>3944</v>
      </c>
      <c r="B1348" s="26" t="s">
        <v>3950</v>
      </c>
      <c r="C1348" s="26" t="s">
        <v>15</v>
      </c>
      <c r="D1348" s="41">
        <v>0</v>
      </c>
      <c r="E1348" s="26" t="s">
        <v>10</v>
      </c>
      <c r="F1348" s="2">
        <v>1</v>
      </c>
      <c r="G1348" s="2">
        <v>2</v>
      </c>
      <c r="H1348" s="26">
        <v>0</v>
      </c>
      <c r="I1348" s="28">
        <f>Table43[[#This Row],[Item Cost]]*Table43[[#This Row],[In Stock]]</f>
        <v>0</v>
      </c>
      <c r="J1348" s="12" t="s">
        <v>4941</v>
      </c>
      <c r="K1348" s="14" t="s">
        <v>4666</v>
      </c>
      <c r="L1348" s="14" t="s">
        <v>4679</v>
      </c>
      <c r="M1348" s="13" t="s">
        <v>3950</v>
      </c>
      <c r="N1348" s="12" t="s">
        <v>4672</v>
      </c>
      <c r="O1348" s="17" t="str">
        <f>IF(LEN(COUNTIFS($J$1:J1348,$J1348,$K$1:K1348,$K1348,$L$1:L1348,$L1348,$M$1:M1348,M1348,$N$1:N1348,N1348))=1,"00"&amp;COUNTIFS($J$1:J1348,$J1348,$K$1:K1348,$K1348,$L$1:L1348,$L1348,$M$1:M1348,M1348,$N$1:N1348,N1348),IF(LEN(COUNTIFS($J$1:J1348,$J1348,$K$1:K1348,$K1348,$L$1:L1348,$L1348,$M$1:M1348,M1348,$N$1:N1348,N1348))=2,"0"&amp;COUNTIFS($J$1:J1348,$J1348,$K$1:K1348,$K1348,$L$1:L1348,$L1348,$M$1:M1348,M1348,$N$1:N1348,N1348),COUNTIFS($J$1:J1348,$J1348,$K$1:K1348,$K1348,$L$1:L1348,$L1348,$M$1:M1348,M1348,$N$1:N1348,N1348)))</f>
        <v>001</v>
      </c>
      <c r="P1348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MS-NS-005-22-00001-INV</v>
      </c>
      <c r="Q1348" s="59"/>
      <c r="R1348" s="34" t="s">
        <v>7023</v>
      </c>
      <c r="S1348" s="34" t="s">
        <v>3950</v>
      </c>
      <c r="T1348" s="34">
        <f>+IFERROR(_xlfn.XLOOKUP(Table43[[#This Row],[Column1]],#REF!,#REF!),0)</f>
        <v>0</v>
      </c>
      <c r="U1348" s="50">
        <f>IFERROR(_xlfn.XLOOKUP(Table43[[#This Row],[Column1]],#REF!,#REF!),0)</f>
        <v>0</v>
      </c>
      <c r="V1348" s="39"/>
    </row>
    <row r="1349" spans="1:22" x14ac:dyDescent="0.35">
      <c r="A1349" s="2" t="s">
        <v>3946</v>
      </c>
      <c r="B1349" s="6" t="s">
        <v>3952</v>
      </c>
      <c r="C1349" s="6" t="s">
        <v>15</v>
      </c>
      <c r="D1349" s="6">
        <v>0</v>
      </c>
      <c r="E1349" s="6" t="s">
        <v>10</v>
      </c>
      <c r="F1349" s="2">
        <v>1</v>
      </c>
      <c r="G1349" s="2">
        <v>2</v>
      </c>
      <c r="H1349" s="6">
        <v>0</v>
      </c>
      <c r="I1349" s="25">
        <f>Table43[[#This Row],[Item Cost]]*Table43[[#This Row],[In Stock]]</f>
        <v>0</v>
      </c>
      <c r="J1349" s="12" t="s">
        <v>4941</v>
      </c>
      <c r="K1349" s="14" t="s">
        <v>4666</v>
      </c>
      <c r="L1349" s="14" t="s">
        <v>4679</v>
      </c>
      <c r="M1349" s="14" t="s">
        <v>4837</v>
      </c>
      <c r="N1349" s="6" t="s">
        <v>4672</v>
      </c>
      <c r="O1349" s="32" t="str">
        <f>IF(LEN(COUNTIFS($J$1:J1349,$J1349,$K$1:K1349,$K1349,$L$1:L1349,$L1349,$M$1:M1349,M1349,$N$1:N1349,N1349))=1,"00"&amp;COUNTIFS($J$1:J1349,$J1349,$K$1:K1349,$K1349,$L$1:L1349,$L1349,$M$1:M1349,M1349,$N$1:N1349,N1349),IF(LEN(COUNTIFS($J$1:J1349,$J1349,$K$1:K1349,$K1349,$L$1:L1349,$L1349,$M$1:M1349,M1349,$N$1:N1349,N1349))=2,"0"&amp;COUNTIFS($J$1:J1349,$J1349,$K$1:K1349,$K1349,$L$1:L1349,$L1349,$M$1:M1349,M1349,$N$1:N1349,N1349),COUNTIFS($J$1:J1349,$J1349,$K$1:K1349,$K1349,$L$1:L1349,$L1349,$M$1:M1349,M1349,$N$1:N1349,N1349)))</f>
        <v>003</v>
      </c>
      <c r="P1349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MS-NS-005-26-00003-INV</v>
      </c>
      <c r="Q1349" s="59"/>
      <c r="R1349" s="34" t="s">
        <v>7024</v>
      </c>
      <c r="S1349" s="34" t="s">
        <v>3952</v>
      </c>
      <c r="T1349" s="34">
        <f>+IFERROR(_xlfn.XLOOKUP(Table43[[#This Row],[Column1]],#REF!,#REF!),0)</f>
        <v>0</v>
      </c>
      <c r="U1349" s="50">
        <f>IFERROR(_xlfn.XLOOKUP(Table43[[#This Row],[Column1]],#REF!,#REF!),0)</f>
        <v>0</v>
      </c>
      <c r="V1349" s="39"/>
    </row>
    <row r="1350" spans="1:22" x14ac:dyDescent="0.35">
      <c r="A1350" s="3" t="s">
        <v>3948</v>
      </c>
      <c r="B1350" s="26" t="s">
        <v>3954</v>
      </c>
      <c r="C1350" s="2" t="s">
        <v>15</v>
      </c>
      <c r="D1350" s="26">
        <v>0</v>
      </c>
      <c r="E1350" s="2" t="s">
        <v>10</v>
      </c>
      <c r="F1350" s="2">
        <v>1</v>
      </c>
      <c r="G1350" s="2">
        <v>2</v>
      </c>
      <c r="H1350" s="2">
        <v>0</v>
      </c>
      <c r="I1350" s="28">
        <f>Table43[[#This Row],[Item Cost]]*Table43[[#This Row],[In Stock]]</f>
        <v>0</v>
      </c>
      <c r="J1350" s="12" t="s">
        <v>4941</v>
      </c>
      <c r="K1350" s="14" t="s">
        <v>4666</v>
      </c>
      <c r="L1350" s="13" t="s">
        <v>4679</v>
      </c>
      <c r="M1350" s="13" t="s">
        <v>3950</v>
      </c>
      <c r="N1350" s="12" t="s">
        <v>4672</v>
      </c>
      <c r="O1350" s="17" t="str">
        <f>IF(LEN(COUNTIFS($J$1:J1350,$J1350,$K$1:K1350,$K1350,$L$1:L1350,$L1350,$M$1:M1350,M1350,$N$1:N1350,N1350))=1,"00"&amp;COUNTIFS($J$1:J1350,$J1350,$K$1:K1350,$K1350,$L$1:L1350,$L1350,$M$1:M1350,M1350,$N$1:N1350,N1350),IF(LEN(COUNTIFS($J$1:J1350,$J1350,$K$1:K1350,$K1350,$L$1:L1350,$L1350,$M$1:M1350,M1350,$N$1:N1350,N1350))=2,"0"&amp;COUNTIFS($J$1:J1350,$J1350,$K$1:K1350,$K1350,$L$1:L1350,$L1350,$M$1:M1350,M1350,$N$1:N1350,N1350),COUNTIFS($J$1:J1350,$J1350,$K$1:K1350,$K1350,$L$1:L1350,$L1350,$M$1:M1350,M1350,$N$1:N1350,N1350)))</f>
        <v>002</v>
      </c>
      <c r="P1350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MS-NS-005-22-00002-INV</v>
      </c>
      <c r="Q1350" s="59"/>
      <c r="R1350" s="34" t="s">
        <v>7025</v>
      </c>
      <c r="S1350" s="34" t="s">
        <v>3954</v>
      </c>
      <c r="T1350" s="34">
        <f>+IFERROR(_xlfn.XLOOKUP(Table43[[#This Row],[Column1]],#REF!,#REF!),0)</f>
        <v>0</v>
      </c>
      <c r="U1350" s="50">
        <f>IFERROR(_xlfn.XLOOKUP(Table43[[#This Row],[Column1]],#REF!,#REF!),0)</f>
        <v>0</v>
      </c>
      <c r="V1350" s="39"/>
    </row>
    <row r="1351" spans="1:22" x14ac:dyDescent="0.35">
      <c r="A1351" s="2" t="s">
        <v>3949</v>
      </c>
      <c r="B1351" s="6" t="s">
        <v>3956</v>
      </c>
      <c r="C1351" s="3" t="s">
        <v>9</v>
      </c>
      <c r="D1351" s="6">
        <v>90</v>
      </c>
      <c r="E1351" s="3" t="s">
        <v>10</v>
      </c>
      <c r="F1351" s="2">
        <v>1</v>
      </c>
      <c r="G1351" s="3">
        <v>2</v>
      </c>
      <c r="H1351" s="3">
        <v>4</v>
      </c>
      <c r="I1351" s="25">
        <f>Table43[[#This Row],[Item Cost]]*Table43[[#This Row],[In Stock]]</f>
        <v>360</v>
      </c>
      <c r="J1351" s="12" t="s">
        <v>4941</v>
      </c>
      <c r="K1351" s="14" t="s">
        <v>4664</v>
      </c>
      <c r="L1351" s="13" t="s">
        <v>4679</v>
      </c>
      <c r="M1351" s="13" t="s">
        <v>4771</v>
      </c>
      <c r="N1351" s="12" t="s">
        <v>4672</v>
      </c>
      <c r="O1351" s="17" t="str">
        <f>IF(LEN(COUNTIFS($J$1:J1351,$J1351,$K$1:K1351,$K1351,$L$1:L1351,$L1351,$M$1:M1351,M1351,$N$1:N1351,N1351))=1,"00"&amp;COUNTIFS($J$1:J1351,$J1351,$K$1:K1351,$K1351,$L$1:L1351,$L1351,$M$1:M1351,M1351,$N$1:N1351,N1351),IF(LEN(COUNTIFS($J$1:J1351,$J1351,$K$1:K1351,$K1351,$L$1:L1351,$L1351,$M$1:M1351,M1351,$N$1:N1351,N1351))=2,"0"&amp;COUNTIFS($J$1:J1351,$J1351,$K$1:K1351,$K1351,$L$1:L1351,$L1351,$M$1:M1351,M1351,$N$1:N1351,N1351),COUNTIFS($J$1:J1351,$J1351,$K$1:K1351,$K1351,$L$1:L1351,$L1351,$M$1:M1351,M1351,$N$1:N1351,N1351)))</f>
        <v>001</v>
      </c>
      <c r="P1351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MS-CS-005-05-00001-INV</v>
      </c>
      <c r="Q1351" s="59" t="s">
        <v>7393</v>
      </c>
      <c r="R1351" s="34" t="s">
        <v>7026</v>
      </c>
      <c r="S1351" s="34" t="s">
        <v>3956</v>
      </c>
      <c r="T1351" s="34">
        <f>+IFERROR(_xlfn.XLOOKUP(Table43[[#This Row],[Column1]],#REF!,#REF!),0)</f>
        <v>0</v>
      </c>
      <c r="U1351" s="50">
        <f>IFERROR(_xlfn.XLOOKUP(Table43[[#This Row],[Column1]],#REF!,#REF!),0)</f>
        <v>0</v>
      </c>
      <c r="V1351" s="39"/>
    </row>
    <row r="1352" spans="1:22" x14ac:dyDescent="0.35">
      <c r="A1352" s="3" t="s">
        <v>3951</v>
      </c>
      <c r="B1352" s="26" t="s">
        <v>3958</v>
      </c>
      <c r="C1352" s="2" t="s">
        <v>9</v>
      </c>
      <c r="D1352" s="26">
        <v>675</v>
      </c>
      <c r="E1352" s="2" t="s">
        <v>10</v>
      </c>
      <c r="F1352" s="2">
        <v>1</v>
      </c>
      <c r="G1352" s="3">
        <v>2</v>
      </c>
      <c r="H1352" s="2">
        <v>2</v>
      </c>
      <c r="I1352" s="28">
        <f>Table43[[#This Row],[Item Cost]]*Table43[[#This Row],[In Stock]]</f>
        <v>1350</v>
      </c>
      <c r="J1352" s="12" t="s">
        <v>4941</v>
      </c>
      <c r="K1352" s="14" t="s">
        <v>4664</v>
      </c>
      <c r="L1352" s="13" t="s">
        <v>4679</v>
      </c>
      <c r="M1352" s="13" t="s">
        <v>4795</v>
      </c>
      <c r="N1352" s="12" t="s">
        <v>4672</v>
      </c>
      <c r="O1352" s="17" t="str">
        <f>IF(LEN(COUNTIFS($J$1:J1352,$J1352,$K$1:K1352,$K1352,$L$1:L1352,$L1352,$M$1:M1352,M1352,$N$1:N1352,N1352))=1,"00"&amp;COUNTIFS($J$1:J1352,$J1352,$K$1:K1352,$K1352,$L$1:L1352,$L1352,$M$1:M1352,M1352,$N$1:N1352,N1352),IF(LEN(COUNTIFS($J$1:J1352,$J1352,$K$1:K1352,$K1352,$L$1:L1352,$L1352,$M$1:M1352,M1352,$N$1:N1352,N1352))=2,"0"&amp;COUNTIFS($J$1:J1352,$J1352,$K$1:K1352,$K1352,$L$1:L1352,$L1352,$M$1:M1352,M1352,$N$1:N1352,N1352),COUNTIFS($J$1:J1352,$J1352,$K$1:K1352,$K1352,$L$1:L1352,$L1352,$M$1:M1352,M1352,$N$1:N1352,N1352)))</f>
        <v>001</v>
      </c>
      <c r="P1352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MS-CS-005-19-00001-INV</v>
      </c>
      <c r="Q1352" s="59"/>
      <c r="R1352" s="34" t="s">
        <v>7027</v>
      </c>
      <c r="S1352" s="34" t="s">
        <v>3958</v>
      </c>
      <c r="T1352" s="34">
        <f>+IFERROR(_xlfn.XLOOKUP(Table43[[#This Row],[Column1]],#REF!,#REF!),0)</f>
        <v>0</v>
      </c>
      <c r="U1352" s="50">
        <f>IFERROR(_xlfn.XLOOKUP(Table43[[#This Row],[Column1]],#REF!,#REF!),0)</f>
        <v>0</v>
      </c>
      <c r="V1352" s="39"/>
    </row>
    <row r="1353" spans="1:22" x14ac:dyDescent="0.35">
      <c r="A1353" s="2" t="s">
        <v>3953</v>
      </c>
      <c r="B1353" s="6" t="s">
        <v>908</v>
      </c>
      <c r="C1353" s="3" t="s">
        <v>15</v>
      </c>
      <c r="D1353" s="6">
        <v>154</v>
      </c>
      <c r="E1353" s="3" t="s">
        <v>10</v>
      </c>
      <c r="F1353" s="2">
        <v>1</v>
      </c>
      <c r="G1353" s="2">
        <v>2</v>
      </c>
      <c r="H1353" s="3">
        <v>9</v>
      </c>
      <c r="I1353" s="25">
        <f>Table43[[#This Row],[Item Cost]]*Table43[[#This Row],[In Stock]]</f>
        <v>1386</v>
      </c>
      <c r="J1353" s="12" t="s">
        <v>4941</v>
      </c>
      <c r="K1353" s="14" t="s">
        <v>4666</v>
      </c>
      <c r="L1353" s="13" t="s">
        <v>4679</v>
      </c>
      <c r="M1353" s="13" t="s">
        <v>4693</v>
      </c>
      <c r="N1353" s="12" t="s">
        <v>4672</v>
      </c>
      <c r="O1353" s="17" t="str">
        <f>IF(LEN(COUNTIFS($J$1:J1353,$J1353,$K$1:K1353,$K1353,$L$1:L1353,$L1353,$M$1:M1353,M1353,$N$1:N1353,N1353))=1,"00"&amp;COUNTIFS($J$1:J1353,$J1353,$K$1:K1353,$K1353,$L$1:L1353,$L1353,$M$1:M1353,M1353,$N$1:N1353,N1353),IF(LEN(COUNTIFS($J$1:J1353,$J1353,$K$1:K1353,$K1353,$L$1:L1353,$L1353,$M$1:M1353,M1353,$N$1:N1353,N1353))=2,"0"&amp;COUNTIFS($J$1:J1353,$J1353,$K$1:K1353,$K1353,$L$1:L1353,$L1353,$M$1:M1353,M1353,$N$1:N1353,N1353),COUNTIFS($J$1:J1353,$J1353,$K$1:K1353,$K1353,$L$1:L1353,$L1353,$M$1:M1353,M1353,$N$1:N1353,N1353)))</f>
        <v>001</v>
      </c>
      <c r="P1353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MS-NS-005-23-00001-INV</v>
      </c>
      <c r="Q1353" s="59"/>
      <c r="R1353" s="34" t="s">
        <v>7028</v>
      </c>
      <c r="S1353" s="34" t="s">
        <v>908</v>
      </c>
      <c r="T1353" s="34">
        <f>+IFERROR(_xlfn.XLOOKUP(Table43[[#This Row],[Column1]],#REF!,#REF!),0)</f>
        <v>0</v>
      </c>
      <c r="U1353" s="50">
        <f>IFERROR(_xlfn.XLOOKUP(Table43[[#This Row],[Column1]],#REF!,#REF!),0)</f>
        <v>0</v>
      </c>
      <c r="V1353" s="39"/>
    </row>
    <row r="1354" spans="1:22" x14ac:dyDescent="0.35">
      <c r="A1354" s="3" t="s">
        <v>3955</v>
      </c>
      <c r="B1354" s="26" t="s">
        <v>3961</v>
      </c>
      <c r="C1354" s="2" t="s">
        <v>9</v>
      </c>
      <c r="D1354" s="26">
        <v>884.54499999999996</v>
      </c>
      <c r="E1354" s="2" t="s">
        <v>10</v>
      </c>
      <c r="F1354" s="2">
        <v>1</v>
      </c>
      <c r="G1354" s="2">
        <v>3</v>
      </c>
      <c r="H1354" s="26">
        <v>11</v>
      </c>
      <c r="I1354" s="28">
        <f>Table43[[#This Row],[Item Cost]]*Table43[[#This Row],[In Stock]]</f>
        <v>9729.994999999999</v>
      </c>
      <c r="J1354" s="12" t="s">
        <v>4941</v>
      </c>
      <c r="K1354" s="14" t="s">
        <v>4664</v>
      </c>
      <c r="L1354" s="13" t="s">
        <v>4679</v>
      </c>
      <c r="M1354" s="13" t="s">
        <v>4837</v>
      </c>
      <c r="N1354" s="12" t="s">
        <v>4672</v>
      </c>
      <c r="O1354" s="17" t="str">
        <f>IF(LEN(COUNTIFS($J$1:J1354,$J1354,$K$1:K1354,$K1354,$L$1:L1354,$L1354,$M$1:M1354,M1354,$N$1:N1354,N1354))=1,"00"&amp;COUNTIFS($J$1:J1354,$J1354,$K$1:K1354,$K1354,$L$1:L1354,$L1354,$M$1:M1354,M1354,$N$1:N1354,N1354),IF(LEN(COUNTIFS($J$1:J1354,$J1354,$K$1:K1354,$K1354,$L$1:L1354,$L1354,$M$1:M1354,M1354,$N$1:N1354,N1354))=2,"0"&amp;COUNTIFS($J$1:J1354,$J1354,$K$1:K1354,$K1354,$L$1:L1354,$L1354,$M$1:M1354,M1354,$N$1:N1354,N1354),COUNTIFS($J$1:J1354,$J1354,$K$1:K1354,$K1354,$L$1:L1354,$L1354,$M$1:M1354,M1354,$N$1:N1354,N1354)))</f>
        <v>001</v>
      </c>
      <c r="P1354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MS-CS-005-26-00001-INV</v>
      </c>
      <c r="Q1354" s="59"/>
      <c r="R1354" s="34" t="s">
        <v>7029</v>
      </c>
      <c r="S1354" s="34" t="s">
        <v>3961</v>
      </c>
      <c r="T1354" s="34">
        <f>+IFERROR(_xlfn.XLOOKUP(Table43[[#This Row],[Column1]],#REF!,#REF!),0)</f>
        <v>0</v>
      </c>
      <c r="U1354" s="50">
        <f>IFERROR(_xlfn.XLOOKUP(Table43[[#This Row],[Column1]],#REF!,#REF!),0)</f>
        <v>0</v>
      </c>
      <c r="V1354" s="39"/>
    </row>
    <row r="1355" spans="1:22" x14ac:dyDescent="0.35">
      <c r="A1355" s="2" t="s">
        <v>3957</v>
      </c>
      <c r="B1355" s="6" t="s">
        <v>3963</v>
      </c>
      <c r="C1355" s="3" t="s">
        <v>15</v>
      </c>
      <c r="D1355" s="6">
        <v>500</v>
      </c>
      <c r="E1355" s="3" t="s">
        <v>10</v>
      </c>
      <c r="F1355" s="2">
        <v>1</v>
      </c>
      <c r="G1355" s="2">
        <v>2</v>
      </c>
      <c r="H1355" s="6">
        <v>0</v>
      </c>
      <c r="I1355" s="25">
        <f>Table43[[#This Row],[Item Cost]]*Table43[[#This Row],[In Stock]]</f>
        <v>0</v>
      </c>
      <c r="J1355" s="12" t="s">
        <v>4941</v>
      </c>
      <c r="K1355" s="14" t="s">
        <v>4666</v>
      </c>
      <c r="L1355" s="13" t="s">
        <v>4679</v>
      </c>
      <c r="M1355" s="13" t="s">
        <v>4837</v>
      </c>
      <c r="N1355" s="12" t="s">
        <v>4672</v>
      </c>
      <c r="O1355" s="17" t="str">
        <f>IF(LEN(COUNTIFS($J$1:J1355,$J1355,$K$1:K1355,$K1355,$L$1:L1355,$L1355,$M$1:M1355,M1355,$N$1:N1355,N1355))=1,"00"&amp;COUNTIFS($J$1:J1355,$J1355,$K$1:K1355,$K1355,$L$1:L1355,$L1355,$M$1:M1355,M1355,$N$1:N1355,N1355),IF(LEN(COUNTIFS($J$1:J1355,$J1355,$K$1:K1355,$K1355,$L$1:L1355,$L1355,$M$1:M1355,M1355,$N$1:N1355,N1355))=2,"0"&amp;COUNTIFS($J$1:J1355,$J1355,$K$1:K1355,$K1355,$L$1:L1355,$L1355,$M$1:M1355,M1355,$N$1:N1355,N1355),COUNTIFS($J$1:J1355,$J1355,$K$1:K1355,$K1355,$L$1:L1355,$L1355,$M$1:M1355,M1355,$N$1:N1355,N1355)))</f>
        <v>004</v>
      </c>
      <c r="P1355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MS-NS-005-26-00004-INV</v>
      </c>
      <c r="Q1355" s="59"/>
      <c r="R1355" s="34" t="s">
        <v>7030</v>
      </c>
      <c r="S1355" s="34" t="s">
        <v>3963</v>
      </c>
      <c r="T1355" s="34">
        <f>+IFERROR(_xlfn.XLOOKUP(Table43[[#This Row],[Column1]],#REF!,#REF!),0)</f>
        <v>0</v>
      </c>
      <c r="U1355" s="50">
        <f>IFERROR(_xlfn.XLOOKUP(Table43[[#This Row],[Column1]],#REF!,#REF!),0)</f>
        <v>0</v>
      </c>
      <c r="V1355" s="39"/>
    </row>
    <row r="1356" spans="1:22" x14ac:dyDescent="0.35">
      <c r="A1356" s="3" t="s">
        <v>3959</v>
      </c>
      <c r="B1356" s="2" t="s">
        <v>3965</v>
      </c>
      <c r="C1356" s="26" t="s">
        <v>9</v>
      </c>
      <c r="D1356" s="2">
        <v>502.72699999999998</v>
      </c>
      <c r="E1356" s="26" t="s">
        <v>10</v>
      </c>
      <c r="F1356" s="2">
        <v>1</v>
      </c>
      <c r="G1356" s="2">
        <v>3</v>
      </c>
      <c r="H1356" s="26">
        <v>11</v>
      </c>
      <c r="I1356" s="22">
        <f>Table43[[#This Row],[Item Cost]]*Table43[[#This Row],[In Stock]]</f>
        <v>5529.9969999999994</v>
      </c>
      <c r="J1356" s="12" t="s">
        <v>4941</v>
      </c>
      <c r="K1356" s="14" t="s">
        <v>4664</v>
      </c>
      <c r="L1356" s="14" t="s">
        <v>4679</v>
      </c>
      <c r="M1356" s="14" t="s">
        <v>4837</v>
      </c>
      <c r="N1356" s="12" t="s">
        <v>4672</v>
      </c>
      <c r="O1356" s="32" t="str">
        <f>IF(LEN(COUNTIFS($J$1:J1356,$J1356,$K$1:K1356,$K1356,$L$1:L1356,$L1356,$M$1:M1356,M1356,$N$1:N1356,N1356))=1,"00"&amp;COUNTIFS($J$1:J1356,$J1356,$K$1:K1356,$K1356,$L$1:L1356,$L1356,$M$1:M1356,M1356,$N$1:N1356,N1356),IF(LEN(COUNTIFS($J$1:J1356,$J1356,$K$1:K1356,$K1356,$L$1:L1356,$L1356,$M$1:M1356,M1356,$N$1:N1356,N1356))=2,"0"&amp;COUNTIFS($J$1:J1356,$J1356,$K$1:K1356,$K1356,$L$1:L1356,$L1356,$M$1:M1356,M1356,$N$1:N1356,N1356),COUNTIFS($J$1:J1356,$J1356,$K$1:K1356,$K1356,$L$1:L1356,$L1356,$M$1:M1356,M1356,$N$1:N1356,N1356)))</f>
        <v>002</v>
      </c>
      <c r="P1356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MS-CS-005-26-00002-INV</v>
      </c>
      <c r="Q1356" s="59"/>
      <c r="R1356" s="34" t="s">
        <v>7031</v>
      </c>
      <c r="S1356" s="34" t="s">
        <v>3965</v>
      </c>
      <c r="T1356" s="34">
        <f>+IFERROR(_xlfn.XLOOKUP(Table43[[#This Row],[Column1]],#REF!,#REF!),0)</f>
        <v>0</v>
      </c>
      <c r="U1356" s="50">
        <f>IFERROR(_xlfn.XLOOKUP(Table43[[#This Row],[Column1]],#REF!,#REF!),0)</f>
        <v>0</v>
      </c>
      <c r="V1356" s="39"/>
    </row>
    <row r="1357" spans="1:22" x14ac:dyDescent="0.35">
      <c r="A1357" s="2" t="s">
        <v>3960</v>
      </c>
      <c r="B1357" s="3" t="s">
        <v>3967</v>
      </c>
      <c r="C1357" s="6" t="s">
        <v>9</v>
      </c>
      <c r="D1357" s="3">
        <v>450</v>
      </c>
      <c r="E1357" s="6" t="s">
        <v>10</v>
      </c>
      <c r="F1357" s="2">
        <v>1</v>
      </c>
      <c r="G1357" s="3">
        <v>3</v>
      </c>
      <c r="H1357" s="6">
        <v>8</v>
      </c>
      <c r="I1357" s="21">
        <f>Table43[[#This Row],[Item Cost]]*Table43[[#This Row],[In Stock]]</f>
        <v>3600</v>
      </c>
      <c r="J1357" s="12" t="s">
        <v>4941</v>
      </c>
      <c r="K1357" s="14" t="s">
        <v>4664</v>
      </c>
      <c r="L1357" s="14" t="s">
        <v>4679</v>
      </c>
      <c r="M1357" s="14" t="s">
        <v>4837</v>
      </c>
      <c r="N1357" s="12" t="s">
        <v>4672</v>
      </c>
      <c r="O1357" s="32" t="str">
        <f>IF(LEN(COUNTIFS($J$1:J1357,$J1357,$K$1:K1357,$K1357,$L$1:L1357,$L1357,$M$1:M1357,M1357,$N$1:N1357,N1357))=1,"00"&amp;COUNTIFS($J$1:J1357,$J1357,$K$1:K1357,$K1357,$L$1:L1357,$L1357,$M$1:M1357,M1357,$N$1:N1357,N1357),IF(LEN(COUNTIFS($J$1:J1357,$J1357,$K$1:K1357,$K1357,$L$1:L1357,$L1357,$M$1:M1357,M1357,$N$1:N1357,N1357))=2,"0"&amp;COUNTIFS($J$1:J1357,$J1357,$K$1:K1357,$K1357,$L$1:L1357,$L1357,$M$1:M1357,M1357,$N$1:N1357,N1357),COUNTIFS($J$1:J1357,$J1357,$K$1:K1357,$K1357,$L$1:L1357,$L1357,$M$1:M1357,M1357,$N$1:N1357,N1357)))</f>
        <v>003</v>
      </c>
      <c r="P1357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MS-CS-005-26-00003-INV</v>
      </c>
      <c r="Q1357" s="59" t="s">
        <v>7389</v>
      </c>
      <c r="R1357" s="34" t="s">
        <v>7032</v>
      </c>
      <c r="S1357" s="34" t="s">
        <v>3967</v>
      </c>
      <c r="T1357" s="34">
        <f>+IFERROR(_xlfn.XLOOKUP(Table43[[#This Row],[Column1]],#REF!,#REF!),0)</f>
        <v>0</v>
      </c>
      <c r="U1357" s="50">
        <f>IFERROR(_xlfn.XLOOKUP(Table43[[#This Row],[Column1]],#REF!,#REF!),0)</f>
        <v>0</v>
      </c>
      <c r="V1357" s="39"/>
    </row>
    <row r="1358" spans="1:22" x14ac:dyDescent="0.35">
      <c r="A1358" s="3" t="s">
        <v>3962</v>
      </c>
      <c r="B1358" s="2" t="s">
        <v>3969</v>
      </c>
      <c r="C1358" s="26" t="s">
        <v>9</v>
      </c>
      <c r="D1358" s="2">
        <v>726.66700000000003</v>
      </c>
      <c r="E1358" s="26" t="s">
        <v>10</v>
      </c>
      <c r="F1358" s="2">
        <v>1</v>
      </c>
      <c r="G1358" s="2">
        <v>3</v>
      </c>
      <c r="H1358" s="26">
        <v>24</v>
      </c>
      <c r="I1358" s="22">
        <f>Table43[[#This Row],[Item Cost]]*Table43[[#This Row],[In Stock]]</f>
        <v>17440.008000000002</v>
      </c>
      <c r="J1358" s="12" t="s">
        <v>4941</v>
      </c>
      <c r="K1358" s="14" t="s">
        <v>4664</v>
      </c>
      <c r="L1358" s="14" t="s">
        <v>4679</v>
      </c>
      <c r="M1358" s="14" t="s">
        <v>4837</v>
      </c>
      <c r="N1358" s="12" t="s">
        <v>4672</v>
      </c>
      <c r="O1358" s="32" t="str">
        <f>IF(LEN(COUNTIFS($J$1:J1358,$J1358,$K$1:K1358,$K1358,$L$1:L1358,$L1358,$M$1:M1358,M1358,$N$1:N1358,N1358))=1,"00"&amp;COUNTIFS($J$1:J1358,$J1358,$K$1:K1358,$K1358,$L$1:L1358,$L1358,$M$1:M1358,M1358,$N$1:N1358,N1358),IF(LEN(COUNTIFS($J$1:J1358,$J1358,$K$1:K1358,$K1358,$L$1:L1358,$L1358,$M$1:M1358,M1358,$N$1:N1358,N1358))=2,"0"&amp;COUNTIFS($J$1:J1358,$J1358,$K$1:K1358,$K1358,$L$1:L1358,$L1358,$M$1:M1358,M1358,$N$1:N1358,N1358),COUNTIFS($J$1:J1358,$J1358,$K$1:K1358,$K1358,$L$1:L1358,$L1358,$M$1:M1358,M1358,$N$1:N1358,N1358)))</f>
        <v>004</v>
      </c>
      <c r="P1358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MS-CS-005-26-00004-INV</v>
      </c>
      <c r="Q1358" s="59"/>
      <c r="R1358" s="34" t="s">
        <v>7033</v>
      </c>
      <c r="S1358" s="34" t="s">
        <v>3969</v>
      </c>
      <c r="T1358" s="34">
        <f>+IFERROR(_xlfn.XLOOKUP(Table43[[#This Row],[Column1]],#REF!,#REF!),0)</f>
        <v>0</v>
      </c>
      <c r="U1358" s="50">
        <f>IFERROR(_xlfn.XLOOKUP(Table43[[#This Row],[Column1]],#REF!,#REF!),0)</f>
        <v>0</v>
      </c>
      <c r="V1358" s="39"/>
    </row>
    <row r="1359" spans="1:22" x14ac:dyDescent="0.35">
      <c r="A1359" s="2" t="s">
        <v>3964</v>
      </c>
      <c r="B1359" s="3" t="s">
        <v>3971</v>
      </c>
      <c r="C1359" s="6" t="s">
        <v>15</v>
      </c>
      <c r="D1359" s="3">
        <v>0</v>
      </c>
      <c r="E1359" s="6" t="s">
        <v>10</v>
      </c>
      <c r="F1359" s="2">
        <v>1</v>
      </c>
      <c r="G1359" s="2">
        <v>2</v>
      </c>
      <c r="H1359" s="6">
        <v>0</v>
      </c>
      <c r="I1359" s="21">
        <f>Table43[[#This Row],[Item Cost]]*Table43[[#This Row],[In Stock]]</f>
        <v>0</v>
      </c>
      <c r="J1359" s="12" t="s">
        <v>4941</v>
      </c>
      <c r="K1359" s="14" t="s">
        <v>4666</v>
      </c>
      <c r="L1359" s="14" t="s">
        <v>4679</v>
      </c>
      <c r="M1359" s="14" t="s">
        <v>4837</v>
      </c>
      <c r="N1359" s="12" t="s">
        <v>4672</v>
      </c>
      <c r="O1359" s="32" t="str">
        <f>IF(LEN(COUNTIFS($J$1:J1359,$J1359,$K$1:K1359,$K1359,$L$1:L1359,$L1359,$M$1:M1359,M1359,$N$1:N1359,N1359))=1,"00"&amp;COUNTIFS($J$1:J1359,$J1359,$K$1:K1359,$K1359,$L$1:L1359,$L1359,$M$1:M1359,M1359,$N$1:N1359,N1359),IF(LEN(COUNTIFS($J$1:J1359,$J1359,$K$1:K1359,$K1359,$L$1:L1359,$L1359,$M$1:M1359,M1359,$N$1:N1359,N1359))=2,"0"&amp;COUNTIFS($J$1:J1359,$J1359,$K$1:K1359,$K1359,$L$1:L1359,$L1359,$M$1:M1359,M1359,$N$1:N1359,N1359),COUNTIFS($J$1:J1359,$J1359,$K$1:K1359,$K1359,$L$1:L1359,$L1359,$M$1:M1359,M1359,$N$1:N1359,N1359)))</f>
        <v>005</v>
      </c>
      <c r="P1359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MS-NS-005-26-00005-INV</v>
      </c>
      <c r="Q1359" s="59" t="s">
        <v>7393</v>
      </c>
      <c r="R1359" s="34" t="s">
        <v>7034</v>
      </c>
      <c r="S1359" s="34" t="s">
        <v>3971</v>
      </c>
      <c r="T1359" s="34">
        <f>+IFERROR(_xlfn.XLOOKUP(Table43[[#This Row],[Column1]],#REF!,#REF!),0)</f>
        <v>0</v>
      </c>
      <c r="U1359" s="50">
        <f>IFERROR(_xlfn.XLOOKUP(Table43[[#This Row],[Column1]],#REF!,#REF!),0)</f>
        <v>0</v>
      </c>
      <c r="V1359" s="39"/>
    </row>
    <row r="1360" spans="1:22" x14ac:dyDescent="0.35">
      <c r="A1360" s="3" t="s">
        <v>3966</v>
      </c>
      <c r="B1360" s="2" t="s">
        <v>3973</v>
      </c>
      <c r="C1360" s="26" t="s">
        <v>15</v>
      </c>
      <c r="D1360" s="2">
        <v>0</v>
      </c>
      <c r="E1360" s="26" t="s">
        <v>10</v>
      </c>
      <c r="F1360" s="2">
        <v>1</v>
      </c>
      <c r="G1360" s="2">
        <v>2</v>
      </c>
      <c r="H1360" s="26">
        <v>0</v>
      </c>
      <c r="I1360" s="22">
        <f>Table43[[#This Row],[Item Cost]]*Table43[[#This Row],[In Stock]]</f>
        <v>0</v>
      </c>
      <c r="J1360" s="12" t="s">
        <v>4941</v>
      </c>
      <c r="K1360" s="14" t="s">
        <v>4666</v>
      </c>
      <c r="L1360" s="14" t="s">
        <v>4679</v>
      </c>
      <c r="M1360" s="14" t="s">
        <v>4837</v>
      </c>
      <c r="N1360" s="12" t="s">
        <v>4672</v>
      </c>
      <c r="O1360" s="32" t="str">
        <f>IF(LEN(COUNTIFS($J$1:J1360,$J1360,$K$1:K1360,$K1360,$L$1:L1360,$L1360,$M$1:M1360,M1360,$N$1:N1360,N1360))=1,"00"&amp;COUNTIFS($J$1:J1360,$J1360,$K$1:K1360,$K1360,$L$1:L1360,$L1360,$M$1:M1360,M1360,$N$1:N1360,N1360),IF(LEN(COUNTIFS($J$1:J1360,$J1360,$K$1:K1360,$K1360,$L$1:L1360,$L1360,$M$1:M1360,M1360,$N$1:N1360,N1360))=2,"0"&amp;COUNTIFS($J$1:J1360,$J1360,$K$1:K1360,$K1360,$L$1:L1360,$L1360,$M$1:M1360,M1360,$N$1:N1360,N1360),COUNTIFS($J$1:J1360,$J1360,$K$1:K1360,$K1360,$L$1:L1360,$L1360,$M$1:M1360,M1360,$N$1:N1360,N1360)))</f>
        <v>006</v>
      </c>
      <c r="P1360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MS-NS-005-26-00006-INV</v>
      </c>
      <c r="Q1360" s="59"/>
      <c r="R1360" s="34" t="s">
        <v>7035</v>
      </c>
      <c r="S1360" s="34" t="s">
        <v>3973</v>
      </c>
      <c r="T1360" s="34">
        <f>+IFERROR(_xlfn.XLOOKUP(Table43[[#This Row],[Column1]],#REF!,#REF!),0)</f>
        <v>0</v>
      </c>
      <c r="U1360" s="50">
        <f>IFERROR(_xlfn.XLOOKUP(Table43[[#This Row],[Column1]],#REF!,#REF!),0)</f>
        <v>0</v>
      </c>
      <c r="V1360" s="39"/>
    </row>
    <row r="1361" spans="1:22" x14ac:dyDescent="0.35">
      <c r="A1361" s="2" t="s">
        <v>3968</v>
      </c>
      <c r="B1361" s="3" t="s">
        <v>3975</v>
      </c>
      <c r="C1361" s="3" t="s">
        <v>15</v>
      </c>
      <c r="D1361" s="3">
        <v>0</v>
      </c>
      <c r="E1361" s="3" t="s">
        <v>10</v>
      </c>
      <c r="F1361" s="2">
        <v>1</v>
      </c>
      <c r="G1361" s="2">
        <v>2</v>
      </c>
      <c r="H1361" s="6">
        <v>0</v>
      </c>
      <c r="I1361" s="21">
        <f>Table43[[#This Row],[Item Cost]]*Table43[[#This Row],[In Stock]]</f>
        <v>0</v>
      </c>
      <c r="J1361" s="12" t="s">
        <v>4941</v>
      </c>
      <c r="K1361" s="14" t="s">
        <v>4666</v>
      </c>
      <c r="L1361" s="13" t="s">
        <v>4679</v>
      </c>
      <c r="M1361" s="13" t="s">
        <v>4837</v>
      </c>
      <c r="N1361" s="12" t="s">
        <v>4672</v>
      </c>
      <c r="O1361" s="32" t="str">
        <f>IF(LEN(COUNTIFS($J$1:J1361,$J1361,$K$1:K1361,$K1361,$L$1:L1361,$L1361,$M$1:M1361,M1361,$N$1:N1361,N1361))=1,"00"&amp;COUNTIFS($J$1:J1361,$J1361,$K$1:K1361,$K1361,$L$1:L1361,$L1361,$M$1:M1361,M1361,$N$1:N1361,N1361),IF(LEN(COUNTIFS($J$1:J1361,$J1361,$K$1:K1361,$K1361,$L$1:L1361,$L1361,$M$1:M1361,M1361,$N$1:N1361,N1361))=2,"0"&amp;COUNTIFS($J$1:J1361,$J1361,$K$1:K1361,$K1361,$L$1:L1361,$L1361,$M$1:M1361,M1361,$N$1:N1361,N1361),COUNTIFS($J$1:J1361,$J1361,$K$1:K1361,$K1361,$L$1:L1361,$L1361,$M$1:M1361,M1361,$N$1:N1361,N1361)))</f>
        <v>007</v>
      </c>
      <c r="P1361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MS-NS-005-26-00007-INV</v>
      </c>
      <c r="Q1361" s="59"/>
      <c r="R1361" s="34" t="s">
        <v>7036</v>
      </c>
      <c r="S1361" s="34" t="s">
        <v>3975</v>
      </c>
      <c r="T1361" s="34">
        <f>+IFERROR(_xlfn.XLOOKUP(Table43[[#This Row],[Column1]],#REF!,#REF!),0)</f>
        <v>0</v>
      </c>
      <c r="U1361" s="50">
        <f>IFERROR(_xlfn.XLOOKUP(Table43[[#This Row],[Column1]],#REF!,#REF!),0)</f>
        <v>0</v>
      </c>
      <c r="V1361" s="39"/>
    </row>
    <row r="1362" spans="1:22" x14ac:dyDescent="0.35">
      <c r="A1362" s="3" t="s">
        <v>3970</v>
      </c>
      <c r="B1362" s="2" t="s">
        <v>3977</v>
      </c>
      <c r="C1362" s="2" t="s">
        <v>15</v>
      </c>
      <c r="D1362" s="2">
        <v>0</v>
      </c>
      <c r="E1362" s="2" t="s">
        <v>10</v>
      </c>
      <c r="F1362" s="2">
        <v>1</v>
      </c>
      <c r="G1362" s="2">
        <v>2</v>
      </c>
      <c r="H1362" s="26">
        <v>0</v>
      </c>
      <c r="I1362" s="22">
        <f>Table43[[#This Row],[Item Cost]]*Table43[[#This Row],[In Stock]]</f>
        <v>0</v>
      </c>
      <c r="J1362" s="12" t="s">
        <v>4941</v>
      </c>
      <c r="K1362" s="14" t="s">
        <v>4666</v>
      </c>
      <c r="L1362" s="13" t="s">
        <v>4679</v>
      </c>
      <c r="M1362" s="13" t="s">
        <v>4795</v>
      </c>
      <c r="N1362" s="12" t="s">
        <v>4672</v>
      </c>
      <c r="O1362" s="32" t="str">
        <f>IF(LEN(COUNTIFS($J$1:J1362,$J1362,$K$1:K1362,$K1362,$L$1:L1362,$L1362,$M$1:M1362,M1362,$N$1:N1362,N1362))=1,"00"&amp;COUNTIFS($J$1:J1362,$J1362,$K$1:K1362,$K1362,$L$1:L1362,$L1362,$M$1:M1362,M1362,$N$1:N1362,N1362),IF(LEN(COUNTIFS($J$1:J1362,$J1362,$K$1:K1362,$K1362,$L$1:L1362,$L1362,$M$1:M1362,M1362,$N$1:N1362,N1362))=2,"0"&amp;COUNTIFS($J$1:J1362,$J1362,$K$1:K1362,$K1362,$L$1:L1362,$L1362,$M$1:M1362,M1362,$N$1:N1362,N1362),COUNTIFS($J$1:J1362,$J1362,$K$1:K1362,$K1362,$L$1:L1362,$L1362,$M$1:M1362,M1362,$N$1:N1362,N1362)))</f>
        <v>001</v>
      </c>
      <c r="P1362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MS-NS-005-19-00001-INV</v>
      </c>
      <c r="Q1362" s="59"/>
      <c r="R1362" s="34" t="s">
        <v>7037</v>
      </c>
      <c r="S1362" s="34" t="s">
        <v>3977</v>
      </c>
      <c r="T1362" s="34">
        <f>+IFERROR(_xlfn.XLOOKUP(Table43[[#This Row],[Column1]],#REF!,#REF!),0)</f>
        <v>0</v>
      </c>
      <c r="U1362" s="50">
        <f>IFERROR(_xlfn.XLOOKUP(Table43[[#This Row],[Column1]],#REF!,#REF!),0)</f>
        <v>0</v>
      </c>
      <c r="V1362" s="39"/>
    </row>
    <row r="1363" spans="1:22" x14ac:dyDescent="0.35">
      <c r="A1363" s="2" t="s">
        <v>3972</v>
      </c>
      <c r="B1363" s="3" t="s">
        <v>3979</v>
      </c>
      <c r="C1363" s="3" t="s">
        <v>15</v>
      </c>
      <c r="D1363" s="3">
        <v>0</v>
      </c>
      <c r="E1363" s="3" t="s">
        <v>10</v>
      </c>
      <c r="F1363" s="2">
        <v>1</v>
      </c>
      <c r="G1363" s="2">
        <v>2</v>
      </c>
      <c r="H1363" s="6">
        <v>0</v>
      </c>
      <c r="I1363" s="21">
        <f>Table43[[#This Row],[Item Cost]]*Table43[[#This Row],[In Stock]]</f>
        <v>0</v>
      </c>
      <c r="J1363" s="12" t="s">
        <v>4941</v>
      </c>
      <c r="K1363" s="14" t="s">
        <v>4666</v>
      </c>
      <c r="L1363" s="13" t="s">
        <v>4679</v>
      </c>
      <c r="M1363" s="13" t="s">
        <v>4837</v>
      </c>
      <c r="N1363" s="12" t="s">
        <v>4672</v>
      </c>
      <c r="O1363" s="32" t="str">
        <f>IF(LEN(COUNTIFS($J$1:J1363,$J1363,$K$1:K1363,$K1363,$L$1:L1363,$L1363,$M$1:M1363,M1363,$N$1:N1363,N1363))=1,"00"&amp;COUNTIFS($J$1:J1363,$J1363,$K$1:K1363,$K1363,$L$1:L1363,$L1363,$M$1:M1363,M1363,$N$1:N1363,N1363),IF(LEN(COUNTIFS($J$1:J1363,$J1363,$K$1:K1363,$K1363,$L$1:L1363,$L1363,$M$1:M1363,M1363,$N$1:N1363,N1363))=2,"0"&amp;COUNTIFS($J$1:J1363,$J1363,$K$1:K1363,$K1363,$L$1:L1363,$L1363,$M$1:M1363,M1363,$N$1:N1363,N1363),COUNTIFS($J$1:J1363,$J1363,$K$1:K1363,$K1363,$L$1:L1363,$L1363,$M$1:M1363,M1363,$N$1:N1363,N1363)))</f>
        <v>008</v>
      </c>
      <c r="P1363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MS-NS-005-26-00008-INV</v>
      </c>
      <c r="Q1363" s="59"/>
      <c r="R1363" s="34" t="s">
        <v>7038</v>
      </c>
      <c r="S1363" s="34" t="s">
        <v>3979</v>
      </c>
      <c r="T1363" s="34">
        <f>+IFERROR(_xlfn.XLOOKUP(Table43[[#This Row],[Column1]],#REF!,#REF!),0)</f>
        <v>0</v>
      </c>
      <c r="U1363" s="50">
        <f>IFERROR(_xlfn.XLOOKUP(Table43[[#This Row],[Column1]],#REF!,#REF!),0)</f>
        <v>0</v>
      </c>
      <c r="V1363" s="39"/>
    </row>
    <row r="1364" spans="1:22" x14ac:dyDescent="0.35">
      <c r="A1364" s="3" t="s">
        <v>3974</v>
      </c>
      <c r="B1364" s="2" t="s">
        <v>3981</v>
      </c>
      <c r="C1364" s="2" t="s">
        <v>15</v>
      </c>
      <c r="D1364" s="2">
        <v>0</v>
      </c>
      <c r="E1364" s="2" t="s">
        <v>10</v>
      </c>
      <c r="F1364" s="2">
        <v>1</v>
      </c>
      <c r="G1364" s="2">
        <v>2</v>
      </c>
      <c r="H1364" s="26">
        <v>0</v>
      </c>
      <c r="I1364" s="22">
        <f>Table43[[#This Row],[Item Cost]]*Table43[[#This Row],[In Stock]]</f>
        <v>0</v>
      </c>
      <c r="J1364" s="12" t="s">
        <v>4941</v>
      </c>
      <c r="K1364" s="14" t="s">
        <v>4666</v>
      </c>
      <c r="L1364" s="13" t="s">
        <v>4679</v>
      </c>
      <c r="M1364" s="13" t="s">
        <v>4837</v>
      </c>
      <c r="N1364" s="12" t="s">
        <v>4672</v>
      </c>
      <c r="O1364" s="32" t="str">
        <f>IF(LEN(COUNTIFS($J$1:J1364,$J1364,$K$1:K1364,$K1364,$L$1:L1364,$L1364,$M$1:M1364,M1364,$N$1:N1364,N1364))=1,"00"&amp;COUNTIFS($J$1:J1364,$J1364,$K$1:K1364,$K1364,$L$1:L1364,$L1364,$M$1:M1364,M1364,$N$1:N1364,N1364),IF(LEN(COUNTIFS($J$1:J1364,$J1364,$K$1:K1364,$K1364,$L$1:L1364,$L1364,$M$1:M1364,M1364,$N$1:N1364,N1364))=2,"0"&amp;COUNTIFS($J$1:J1364,$J1364,$K$1:K1364,$K1364,$L$1:L1364,$L1364,$M$1:M1364,M1364,$N$1:N1364,N1364),COUNTIFS($J$1:J1364,$J1364,$K$1:K1364,$K1364,$L$1:L1364,$L1364,$M$1:M1364,M1364,$N$1:N1364,N1364)))</f>
        <v>009</v>
      </c>
      <c r="P1364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MS-NS-005-26-00009-INV</v>
      </c>
      <c r="Q1364" s="59"/>
      <c r="R1364" s="34" t="s">
        <v>7039</v>
      </c>
      <c r="S1364" s="34" t="s">
        <v>3981</v>
      </c>
      <c r="T1364" s="34">
        <f>+IFERROR(_xlfn.XLOOKUP(Table43[[#This Row],[Column1]],#REF!,#REF!),0)</f>
        <v>0</v>
      </c>
      <c r="U1364" s="50">
        <f>IFERROR(_xlfn.XLOOKUP(Table43[[#This Row],[Column1]],#REF!,#REF!),0)</f>
        <v>0</v>
      </c>
      <c r="V1364" s="39"/>
    </row>
    <row r="1365" spans="1:22" x14ac:dyDescent="0.35">
      <c r="A1365" s="2" t="s">
        <v>3976</v>
      </c>
      <c r="B1365" s="3" t="s">
        <v>3983</v>
      </c>
      <c r="C1365" s="3" t="s">
        <v>15</v>
      </c>
      <c r="D1365" s="3">
        <v>0</v>
      </c>
      <c r="E1365" s="3" t="s">
        <v>10</v>
      </c>
      <c r="F1365" s="2">
        <v>1</v>
      </c>
      <c r="G1365" s="2">
        <v>2</v>
      </c>
      <c r="H1365" s="6">
        <v>0</v>
      </c>
      <c r="I1365" s="21">
        <f>Table43[[#This Row],[Item Cost]]*Table43[[#This Row],[In Stock]]</f>
        <v>0</v>
      </c>
      <c r="J1365" s="12" t="s">
        <v>4941</v>
      </c>
      <c r="K1365" s="14" t="s">
        <v>4666</v>
      </c>
      <c r="L1365" s="13" t="s">
        <v>4679</v>
      </c>
      <c r="M1365" s="14" t="s">
        <v>4837</v>
      </c>
      <c r="N1365" s="3" t="s">
        <v>4672</v>
      </c>
      <c r="O1365" s="32" t="str">
        <f>IF(LEN(COUNTIFS($J$1:J1365,$J1365,$K$1:K1365,$K1365,$L$1:L1365,$L1365,$M$1:M1365,M1365,$N$1:N1365,N1365))=1,"00"&amp;COUNTIFS($J$1:J1365,$J1365,$K$1:K1365,$K1365,$L$1:L1365,$L1365,$M$1:M1365,M1365,$N$1:N1365,N1365),IF(LEN(COUNTIFS($J$1:J1365,$J1365,$K$1:K1365,$K1365,$L$1:L1365,$L1365,$M$1:M1365,M1365,$N$1:N1365,N1365))=2,"0"&amp;COUNTIFS($J$1:J1365,$J1365,$K$1:K1365,$K1365,$L$1:L1365,$L1365,$M$1:M1365,M1365,$N$1:N1365,N1365),COUNTIFS($J$1:J1365,$J1365,$K$1:K1365,$K1365,$L$1:L1365,$L1365,$M$1:M1365,M1365,$N$1:N1365,N1365)))</f>
        <v>010</v>
      </c>
      <c r="P1365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MS-NS-005-26-00010-INV</v>
      </c>
      <c r="Q1365" s="59" t="s">
        <v>7393</v>
      </c>
      <c r="R1365" s="34" t="s">
        <v>7040</v>
      </c>
      <c r="S1365" s="34" t="s">
        <v>3983</v>
      </c>
      <c r="T1365" s="34">
        <f>+IFERROR(_xlfn.XLOOKUP(Table43[[#This Row],[Column1]],#REF!,#REF!),0)</f>
        <v>0</v>
      </c>
      <c r="U1365" s="50">
        <f>IFERROR(_xlfn.XLOOKUP(Table43[[#This Row],[Column1]],#REF!,#REF!),0)</f>
        <v>0</v>
      </c>
      <c r="V1365" s="39"/>
    </row>
    <row r="1366" spans="1:22" x14ac:dyDescent="0.35">
      <c r="A1366" s="3" t="s">
        <v>3978</v>
      </c>
      <c r="B1366" s="2" t="s">
        <v>3985</v>
      </c>
      <c r="C1366" s="2" t="s">
        <v>15</v>
      </c>
      <c r="D1366" s="2">
        <v>0</v>
      </c>
      <c r="E1366" s="2" t="s">
        <v>10</v>
      </c>
      <c r="F1366" s="2">
        <v>1</v>
      </c>
      <c r="G1366" s="2">
        <v>2</v>
      </c>
      <c r="H1366" s="26">
        <v>0</v>
      </c>
      <c r="I1366" s="22">
        <f>Table43[[#This Row],[Item Cost]]*Table43[[#This Row],[In Stock]]</f>
        <v>0</v>
      </c>
      <c r="J1366" s="12" t="s">
        <v>4941</v>
      </c>
      <c r="K1366" s="14" t="s">
        <v>4666</v>
      </c>
      <c r="L1366" s="13" t="s">
        <v>4679</v>
      </c>
      <c r="M1366" s="14" t="s">
        <v>4837</v>
      </c>
      <c r="N1366" s="3" t="s">
        <v>4672</v>
      </c>
      <c r="O1366" s="32" t="str">
        <f>IF(LEN(COUNTIFS($J$1:J1366,$J1366,$K$1:K1366,$K1366,$L$1:L1366,$L1366,$M$1:M1366,M1366,$N$1:N1366,N1366))=1,"00"&amp;COUNTIFS($J$1:J1366,$J1366,$K$1:K1366,$K1366,$L$1:L1366,$L1366,$M$1:M1366,M1366,$N$1:N1366,N1366),IF(LEN(COUNTIFS($J$1:J1366,$J1366,$K$1:K1366,$K1366,$L$1:L1366,$L1366,$M$1:M1366,M1366,$N$1:N1366,N1366))=2,"0"&amp;COUNTIFS($J$1:J1366,$J1366,$K$1:K1366,$K1366,$L$1:L1366,$L1366,$M$1:M1366,M1366,$N$1:N1366,N1366),COUNTIFS($J$1:J1366,$J1366,$K$1:K1366,$K1366,$L$1:L1366,$L1366,$M$1:M1366,M1366,$N$1:N1366,N1366)))</f>
        <v>011</v>
      </c>
      <c r="P1366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MS-NS-005-26-00011-INV</v>
      </c>
      <c r="Q1366" s="59" t="s">
        <v>7393</v>
      </c>
      <c r="R1366" s="34" t="s">
        <v>7041</v>
      </c>
      <c r="S1366" s="34" t="s">
        <v>3985</v>
      </c>
      <c r="T1366" s="34">
        <f>+IFERROR(_xlfn.XLOOKUP(Table43[[#This Row],[Column1]],#REF!,#REF!),0)</f>
        <v>0</v>
      </c>
      <c r="U1366" s="50">
        <f>IFERROR(_xlfn.XLOOKUP(Table43[[#This Row],[Column1]],#REF!,#REF!),0)</f>
        <v>0</v>
      </c>
      <c r="V1366" s="39"/>
    </row>
    <row r="1367" spans="1:22" x14ac:dyDescent="0.35">
      <c r="A1367" s="2" t="s">
        <v>3980</v>
      </c>
      <c r="B1367" s="3" t="s">
        <v>3987</v>
      </c>
      <c r="C1367" s="3" t="s">
        <v>15</v>
      </c>
      <c r="D1367" s="3">
        <v>0</v>
      </c>
      <c r="E1367" s="3" t="s">
        <v>10</v>
      </c>
      <c r="F1367" s="2">
        <v>1</v>
      </c>
      <c r="G1367" s="2">
        <v>2</v>
      </c>
      <c r="H1367" s="6">
        <v>0</v>
      </c>
      <c r="I1367" s="21">
        <f>Table43[[#This Row],[Item Cost]]*Table43[[#This Row],[In Stock]]</f>
        <v>0</v>
      </c>
      <c r="J1367" s="12" t="s">
        <v>4941</v>
      </c>
      <c r="K1367" s="14" t="s">
        <v>4666</v>
      </c>
      <c r="L1367" s="13" t="s">
        <v>4679</v>
      </c>
      <c r="M1367" s="14" t="s">
        <v>4770</v>
      </c>
      <c r="N1367" s="3" t="s">
        <v>4672</v>
      </c>
      <c r="O1367" s="32" t="str">
        <f>IF(LEN(COUNTIFS($J$1:J1367,$J1367,$K$1:K1367,$K1367,$L$1:L1367,$L1367,$M$1:M1367,M1367,$N$1:N1367,N1367))=1,"00"&amp;COUNTIFS($J$1:J1367,$J1367,$K$1:K1367,$K1367,$L$1:L1367,$L1367,$M$1:M1367,M1367,$N$1:N1367,N1367),IF(LEN(COUNTIFS($J$1:J1367,$J1367,$K$1:K1367,$K1367,$L$1:L1367,$L1367,$M$1:M1367,M1367,$N$1:N1367,N1367))=2,"0"&amp;COUNTIFS($J$1:J1367,$J1367,$K$1:K1367,$K1367,$L$1:L1367,$L1367,$M$1:M1367,M1367,$N$1:N1367,N1367),COUNTIFS($J$1:J1367,$J1367,$K$1:K1367,$K1367,$L$1:L1367,$L1367,$M$1:M1367,M1367,$N$1:N1367,N1367)))</f>
        <v>003</v>
      </c>
      <c r="P1367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MS-NS-005-04-00003-INV</v>
      </c>
      <c r="Q1367" s="59"/>
      <c r="R1367" s="34" t="s">
        <v>7042</v>
      </c>
      <c r="S1367" s="34" t="s">
        <v>3987</v>
      </c>
      <c r="T1367" s="34">
        <f>+IFERROR(_xlfn.XLOOKUP(Table43[[#This Row],[Column1]],#REF!,#REF!),0)</f>
        <v>0</v>
      </c>
      <c r="U1367" s="50">
        <f>IFERROR(_xlfn.XLOOKUP(Table43[[#This Row],[Column1]],#REF!,#REF!),0)</f>
        <v>0</v>
      </c>
      <c r="V1367" s="39"/>
    </row>
    <row r="1368" spans="1:22" x14ac:dyDescent="0.35">
      <c r="A1368" s="3" t="s">
        <v>3982</v>
      </c>
      <c r="B1368" s="2" t="s">
        <v>3989</v>
      </c>
      <c r="C1368" s="2" t="s">
        <v>9</v>
      </c>
      <c r="D1368" s="2">
        <v>39.935000000000002</v>
      </c>
      <c r="E1368" s="2" t="s">
        <v>10</v>
      </c>
      <c r="F1368" s="2">
        <v>1</v>
      </c>
      <c r="G1368" s="2">
        <v>5</v>
      </c>
      <c r="H1368" s="26">
        <v>31</v>
      </c>
      <c r="I1368" s="22">
        <f>Table43[[#This Row],[Item Cost]]*Table43[[#This Row],[In Stock]]</f>
        <v>1237.9850000000001</v>
      </c>
      <c r="J1368" s="12" t="s">
        <v>4941</v>
      </c>
      <c r="K1368" s="14" t="s">
        <v>4664</v>
      </c>
      <c r="L1368" s="13" t="s">
        <v>4679</v>
      </c>
      <c r="M1368" s="13" t="s">
        <v>4774</v>
      </c>
      <c r="N1368" s="12" t="s">
        <v>4672</v>
      </c>
      <c r="O1368" s="32" t="str">
        <f>IF(LEN(COUNTIFS($J$1:J1368,$J1368,$K$1:K1368,$K1368,$L$1:L1368,$L1368,$M$1:M1368,M1368,$N$1:N1368,N1368))=1,"00"&amp;COUNTIFS($J$1:J1368,$J1368,$K$1:K1368,$K1368,$L$1:L1368,$L1368,$M$1:M1368,M1368,$N$1:N1368,N1368),IF(LEN(COUNTIFS($J$1:J1368,$J1368,$K$1:K1368,$K1368,$L$1:L1368,$L1368,$M$1:M1368,M1368,$N$1:N1368,N1368))=2,"0"&amp;COUNTIFS($J$1:J1368,$J1368,$K$1:K1368,$K1368,$L$1:L1368,$L1368,$M$1:M1368,M1368,$N$1:N1368,N1368),COUNTIFS($J$1:J1368,$J1368,$K$1:K1368,$K1368,$L$1:L1368,$L1368,$M$1:M1368,M1368,$N$1:N1368,N1368)))</f>
        <v>001</v>
      </c>
      <c r="P1368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MS-CS-005-08-00001-INV</v>
      </c>
      <c r="Q1368" s="59"/>
      <c r="R1368" s="34" t="s">
        <v>7043</v>
      </c>
      <c r="S1368" s="34" t="s">
        <v>3989</v>
      </c>
      <c r="T1368" s="34">
        <f>+IFERROR(_xlfn.XLOOKUP(Table43[[#This Row],[Column1]],#REF!,#REF!),0)</f>
        <v>0</v>
      </c>
      <c r="U1368" s="50">
        <f>IFERROR(_xlfn.XLOOKUP(Table43[[#This Row],[Column1]],#REF!,#REF!),0)</f>
        <v>0</v>
      </c>
      <c r="V1368" s="39"/>
    </row>
    <row r="1369" spans="1:22" x14ac:dyDescent="0.35">
      <c r="A1369" s="2" t="s">
        <v>3984</v>
      </c>
      <c r="B1369" s="3" t="s">
        <v>3991</v>
      </c>
      <c r="C1369" s="3" t="s">
        <v>15</v>
      </c>
      <c r="D1369" s="3">
        <v>38</v>
      </c>
      <c r="E1369" s="3" t="s">
        <v>10</v>
      </c>
      <c r="F1369" s="2">
        <v>1</v>
      </c>
      <c r="G1369" s="2">
        <v>2</v>
      </c>
      <c r="H1369" s="6">
        <v>30</v>
      </c>
      <c r="I1369" s="21">
        <f>Table43[[#This Row],[Item Cost]]*Table43[[#This Row],[In Stock]]</f>
        <v>1140</v>
      </c>
      <c r="J1369" s="12" t="s">
        <v>4941</v>
      </c>
      <c r="K1369" s="14" t="s">
        <v>4666</v>
      </c>
      <c r="L1369" s="13" t="s">
        <v>4679</v>
      </c>
      <c r="M1369" s="13" t="s">
        <v>4774</v>
      </c>
      <c r="N1369" s="12" t="s">
        <v>4672</v>
      </c>
      <c r="O1369" s="32" t="str">
        <f>IF(LEN(COUNTIFS($J$1:J1369,$J1369,$K$1:K1369,$K1369,$L$1:L1369,$L1369,$M$1:M1369,M1369,$N$1:N1369,N1369))=1,"00"&amp;COUNTIFS($J$1:J1369,$J1369,$K$1:K1369,$K1369,$L$1:L1369,$L1369,$M$1:M1369,M1369,$N$1:N1369,N1369),IF(LEN(COUNTIFS($J$1:J1369,$J1369,$K$1:K1369,$K1369,$L$1:L1369,$L1369,$M$1:M1369,M1369,$N$1:N1369,N1369))=2,"0"&amp;COUNTIFS($J$1:J1369,$J1369,$K$1:K1369,$K1369,$L$1:L1369,$L1369,$M$1:M1369,M1369,$N$1:N1369,N1369),COUNTIFS($J$1:J1369,$J1369,$K$1:K1369,$K1369,$L$1:L1369,$L1369,$M$1:M1369,M1369,$N$1:N1369,N1369)))</f>
        <v>001</v>
      </c>
      <c r="P1369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MS-NS-005-08-00001-INV</v>
      </c>
      <c r="Q1369" s="59"/>
      <c r="R1369" s="34" t="s">
        <v>7044</v>
      </c>
      <c r="S1369" s="34" t="s">
        <v>3991</v>
      </c>
      <c r="T1369" s="34">
        <f>+IFERROR(_xlfn.XLOOKUP(Table43[[#This Row],[Column1]],#REF!,#REF!),0)</f>
        <v>0</v>
      </c>
      <c r="U1369" s="50">
        <f>IFERROR(_xlfn.XLOOKUP(Table43[[#This Row],[Column1]],#REF!,#REF!),0)</f>
        <v>0</v>
      </c>
      <c r="V1369" s="39"/>
    </row>
    <row r="1370" spans="1:22" x14ac:dyDescent="0.35">
      <c r="A1370" s="3" t="s">
        <v>3986</v>
      </c>
      <c r="B1370" s="2" t="s">
        <v>3993</v>
      </c>
      <c r="C1370" s="2" t="s">
        <v>9</v>
      </c>
      <c r="D1370" s="2">
        <v>20</v>
      </c>
      <c r="E1370" s="2" t="s">
        <v>10</v>
      </c>
      <c r="F1370" s="2">
        <v>1</v>
      </c>
      <c r="G1370" s="3">
        <v>2</v>
      </c>
      <c r="H1370" s="26">
        <v>8</v>
      </c>
      <c r="I1370" s="22">
        <f>Table43[[#This Row],[Item Cost]]*Table43[[#This Row],[In Stock]]</f>
        <v>160</v>
      </c>
      <c r="J1370" s="12" t="s">
        <v>4941</v>
      </c>
      <c r="K1370" s="14" t="s">
        <v>4664</v>
      </c>
      <c r="L1370" s="13" t="s">
        <v>4679</v>
      </c>
      <c r="M1370" s="13" t="s">
        <v>4771</v>
      </c>
      <c r="N1370" s="12" t="s">
        <v>4672</v>
      </c>
      <c r="O1370" s="32" t="str">
        <f>IF(LEN(COUNTIFS($J$1:J1370,$J1370,$K$1:K1370,$K1370,$L$1:L1370,$L1370,$M$1:M1370,M1370,$N$1:N1370,N1370))=1,"00"&amp;COUNTIFS($J$1:J1370,$J1370,$K$1:K1370,$K1370,$L$1:L1370,$L1370,$M$1:M1370,M1370,$N$1:N1370,N1370),IF(LEN(COUNTIFS($J$1:J1370,$J1370,$K$1:K1370,$K1370,$L$1:L1370,$L1370,$M$1:M1370,M1370,$N$1:N1370,N1370))=2,"0"&amp;COUNTIFS($J$1:J1370,$J1370,$K$1:K1370,$K1370,$L$1:L1370,$L1370,$M$1:M1370,M1370,$N$1:N1370,N1370),COUNTIFS($J$1:J1370,$J1370,$K$1:K1370,$K1370,$L$1:L1370,$L1370,$M$1:M1370,M1370,$N$1:N1370,N1370)))</f>
        <v>002</v>
      </c>
      <c r="P1370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MS-CS-005-05-00002-INV</v>
      </c>
      <c r="Q1370" s="59" t="s">
        <v>7394</v>
      </c>
      <c r="R1370" s="34" t="s">
        <v>7045</v>
      </c>
      <c r="S1370" s="34" t="s">
        <v>3993</v>
      </c>
      <c r="T1370" s="34">
        <f>+IFERROR(_xlfn.XLOOKUP(Table43[[#This Row],[Column1]],#REF!,#REF!),0)</f>
        <v>0</v>
      </c>
      <c r="U1370" s="50">
        <f>IFERROR(_xlfn.XLOOKUP(Table43[[#This Row],[Column1]],#REF!,#REF!),0)</f>
        <v>0</v>
      </c>
      <c r="V1370" s="39"/>
    </row>
    <row r="1371" spans="1:22" x14ac:dyDescent="0.35">
      <c r="A1371" s="2" t="s">
        <v>3988</v>
      </c>
      <c r="B1371" s="3" t="s">
        <v>3995</v>
      </c>
      <c r="C1371" s="3" t="s">
        <v>9</v>
      </c>
      <c r="D1371" s="3">
        <v>20</v>
      </c>
      <c r="E1371" s="3" t="s">
        <v>10</v>
      </c>
      <c r="F1371" s="2">
        <v>1</v>
      </c>
      <c r="G1371" s="3">
        <v>2</v>
      </c>
      <c r="H1371" s="6">
        <v>7</v>
      </c>
      <c r="I1371" s="21">
        <f>Table43[[#This Row],[Item Cost]]*Table43[[#This Row],[In Stock]]</f>
        <v>140</v>
      </c>
      <c r="J1371" s="12" t="s">
        <v>4941</v>
      </c>
      <c r="K1371" s="14" t="s">
        <v>4664</v>
      </c>
      <c r="L1371" s="13" t="s">
        <v>4679</v>
      </c>
      <c r="M1371" s="14" t="s">
        <v>4771</v>
      </c>
      <c r="N1371" s="3" t="s">
        <v>4672</v>
      </c>
      <c r="O1371" s="32" t="str">
        <f>IF(LEN(COUNTIFS($J$1:J1371,$J1371,$K$1:K1371,$K1371,$L$1:L1371,$L1371,$M$1:M1371,M1371,$N$1:N1371,N1371))=1,"00"&amp;COUNTIFS($J$1:J1371,$J1371,$K$1:K1371,$K1371,$L$1:L1371,$L1371,$M$1:M1371,M1371,$N$1:N1371,N1371),IF(LEN(COUNTIFS($J$1:J1371,$J1371,$K$1:K1371,$K1371,$L$1:L1371,$L1371,$M$1:M1371,M1371,$N$1:N1371,N1371))=2,"0"&amp;COUNTIFS($J$1:J1371,$J1371,$K$1:K1371,$K1371,$L$1:L1371,$L1371,$M$1:M1371,M1371,$N$1:N1371,N1371),COUNTIFS($J$1:J1371,$J1371,$K$1:K1371,$K1371,$L$1:L1371,$L1371,$M$1:M1371,M1371,$N$1:N1371,N1371)))</f>
        <v>003</v>
      </c>
      <c r="P1371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MS-CS-005-05-00003-INV</v>
      </c>
      <c r="Q1371" s="59" t="s">
        <v>7341</v>
      </c>
      <c r="R1371" s="34" t="s">
        <v>7046</v>
      </c>
      <c r="S1371" s="34" t="s">
        <v>3995</v>
      </c>
      <c r="T1371" s="34">
        <f>+IFERROR(_xlfn.XLOOKUP(Table43[[#This Row],[Column1]],#REF!,#REF!),0)</f>
        <v>0</v>
      </c>
      <c r="U1371" s="50">
        <f>IFERROR(_xlfn.XLOOKUP(Table43[[#This Row],[Column1]],#REF!,#REF!),0)</f>
        <v>0</v>
      </c>
      <c r="V1371" s="39"/>
    </row>
    <row r="1372" spans="1:22" x14ac:dyDescent="0.35">
      <c r="A1372" s="3" t="s">
        <v>3990</v>
      </c>
      <c r="B1372" s="2" t="s">
        <v>3997</v>
      </c>
      <c r="C1372" s="2" t="s">
        <v>9</v>
      </c>
      <c r="D1372" s="2">
        <v>15</v>
      </c>
      <c r="E1372" s="2" t="s">
        <v>10</v>
      </c>
      <c r="F1372" s="2">
        <v>1</v>
      </c>
      <c r="G1372" s="3">
        <v>2</v>
      </c>
      <c r="H1372" s="26">
        <v>5</v>
      </c>
      <c r="I1372" s="22">
        <f>Table43[[#This Row],[Item Cost]]*Table43[[#This Row],[In Stock]]</f>
        <v>75</v>
      </c>
      <c r="J1372" s="12" t="s">
        <v>4941</v>
      </c>
      <c r="K1372" s="14" t="s">
        <v>4664</v>
      </c>
      <c r="L1372" s="13" t="s">
        <v>4679</v>
      </c>
      <c r="M1372" s="14" t="s">
        <v>4771</v>
      </c>
      <c r="N1372" s="3" t="s">
        <v>4672</v>
      </c>
      <c r="O1372" s="32" t="str">
        <f>IF(LEN(COUNTIFS($J$1:J1372,$J1372,$K$1:K1372,$K1372,$L$1:L1372,$L1372,$M$1:M1372,M1372,$N$1:N1372,N1372))=1,"00"&amp;COUNTIFS($J$1:J1372,$J1372,$K$1:K1372,$K1372,$L$1:L1372,$L1372,$M$1:M1372,M1372,$N$1:N1372,N1372),IF(LEN(COUNTIFS($J$1:J1372,$J1372,$K$1:K1372,$K1372,$L$1:L1372,$L1372,$M$1:M1372,M1372,$N$1:N1372,N1372))=2,"0"&amp;COUNTIFS($J$1:J1372,$J1372,$K$1:K1372,$K1372,$L$1:L1372,$L1372,$M$1:M1372,M1372,$N$1:N1372,N1372),COUNTIFS($J$1:J1372,$J1372,$K$1:K1372,$K1372,$L$1:L1372,$L1372,$M$1:M1372,M1372,$N$1:N1372,N1372)))</f>
        <v>004</v>
      </c>
      <c r="P1372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MS-CS-005-05-00004-INV</v>
      </c>
      <c r="Q1372" s="59" t="s">
        <v>7341</v>
      </c>
      <c r="R1372" s="34" t="s">
        <v>7047</v>
      </c>
      <c r="S1372" s="34" t="s">
        <v>3997</v>
      </c>
      <c r="T1372" s="34">
        <f>+IFERROR(_xlfn.XLOOKUP(Table43[[#This Row],[Column1]],#REF!,#REF!),0)</f>
        <v>0</v>
      </c>
      <c r="U1372" s="50">
        <f>IFERROR(_xlfn.XLOOKUP(Table43[[#This Row],[Column1]],#REF!,#REF!),0)</f>
        <v>0</v>
      </c>
      <c r="V1372" s="39"/>
    </row>
    <row r="1373" spans="1:22" x14ac:dyDescent="0.35">
      <c r="A1373" s="2" t="s">
        <v>3992</v>
      </c>
      <c r="B1373" s="3" t="s">
        <v>3999</v>
      </c>
      <c r="C1373" s="3" t="s">
        <v>9</v>
      </c>
      <c r="D1373" s="3">
        <v>120</v>
      </c>
      <c r="E1373" s="3" t="s">
        <v>10</v>
      </c>
      <c r="F1373" s="2">
        <v>1</v>
      </c>
      <c r="G1373" s="3">
        <v>2</v>
      </c>
      <c r="H1373" s="6">
        <v>5</v>
      </c>
      <c r="I1373" s="21">
        <f>Table43[[#This Row],[Item Cost]]*Table43[[#This Row],[In Stock]]</f>
        <v>600</v>
      </c>
      <c r="J1373" s="12" t="s">
        <v>4941</v>
      </c>
      <c r="K1373" s="14" t="s">
        <v>4664</v>
      </c>
      <c r="L1373" s="13" t="s">
        <v>4679</v>
      </c>
      <c r="M1373" s="14" t="s">
        <v>4771</v>
      </c>
      <c r="N1373" s="3" t="s">
        <v>4672</v>
      </c>
      <c r="O1373" s="32" t="str">
        <f>IF(LEN(COUNTIFS($J$1:J1373,$J1373,$K$1:K1373,$K1373,$L$1:L1373,$L1373,$M$1:M1373,M1373,$N$1:N1373,N1373))=1,"00"&amp;COUNTIFS($J$1:J1373,$J1373,$K$1:K1373,$K1373,$L$1:L1373,$L1373,$M$1:M1373,M1373,$N$1:N1373,N1373),IF(LEN(COUNTIFS($J$1:J1373,$J1373,$K$1:K1373,$K1373,$L$1:L1373,$L1373,$M$1:M1373,M1373,$N$1:N1373,N1373))=2,"0"&amp;COUNTIFS($J$1:J1373,$J1373,$K$1:K1373,$K1373,$L$1:L1373,$L1373,$M$1:M1373,M1373,$N$1:N1373,N1373),COUNTIFS($J$1:J1373,$J1373,$K$1:K1373,$K1373,$L$1:L1373,$L1373,$M$1:M1373,M1373,$N$1:N1373,N1373)))</f>
        <v>005</v>
      </c>
      <c r="P1373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MS-CS-005-05-00005-INV</v>
      </c>
      <c r="Q1373" s="59" t="s">
        <v>7341</v>
      </c>
      <c r="R1373" s="34" t="s">
        <v>7048</v>
      </c>
      <c r="S1373" s="34" t="s">
        <v>3999</v>
      </c>
      <c r="T1373" s="34">
        <f>+IFERROR(_xlfn.XLOOKUP(Table43[[#This Row],[Column1]],#REF!,#REF!),0)</f>
        <v>0</v>
      </c>
      <c r="U1373" s="50">
        <f>IFERROR(_xlfn.XLOOKUP(Table43[[#This Row],[Column1]],#REF!,#REF!),0)</f>
        <v>0</v>
      </c>
      <c r="V1373" s="39"/>
    </row>
    <row r="1374" spans="1:22" x14ac:dyDescent="0.35">
      <c r="A1374" s="3" t="s">
        <v>3994</v>
      </c>
      <c r="B1374" s="2" t="s">
        <v>4001</v>
      </c>
      <c r="C1374" s="26" t="s">
        <v>9</v>
      </c>
      <c r="D1374" s="2">
        <v>1011.2</v>
      </c>
      <c r="E1374" s="26" t="s">
        <v>10</v>
      </c>
      <c r="F1374" s="2">
        <v>1</v>
      </c>
      <c r="G1374" s="3">
        <v>2</v>
      </c>
      <c r="H1374" s="26">
        <v>15</v>
      </c>
      <c r="I1374" s="22">
        <f>Table43[[#This Row],[Item Cost]]*Table43[[#This Row],[In Stock]]</f>
        <v>15168</v>
      </c>
      <c r="J1374" s="12" t="s">
        <v>4941</v>
      </c>
      <c r="K1374" s="14" t="s">
        <v>4664</v>
      </c>
      <c r="L1374" s="14" t="s">
        <v>4679</v>
      </c>
      <c r="M1374" s="13" t="s">
        <v>4837</v>
      </c>
      <c r="N1374" s="12" t="s">
        <v>4672</v>
      </c>
      <c r="O1374" s="32" t="str">
        <f>IF(LEN(COUNTIFS($J$1:J1374,$J1374,$K$1:K1374,$K1374,$L$1:L1374,$L1374,$M$1:M1374,M1374,$N$1:N1374,N1374))=1,"00"&amp;COUNTIFS($J$1:J1374,$J1374,$K$1:K1374,$K1374,$L$1:L1374,$L1374,$M$1:M1374,M1374,$N$1:N1374,N1374),IF(LEN(COUNTIFS($J$1:J1374,$J1374,$K$1:K1374,$K1374,$L$1:L1374,$L1374,$M$1:M1374,M1374,$N$1:N1374,N1374))=2,"0"&amp;COUNTIFS($J$1:J1374,$J1374,$K$1:K1374,$K1374,$L$1:L1374,$L1374,$M$1:M1374,M1374,$N$1:N1374,N1374),COUNTIFS($J$1:J1374,$J1374,$K$1:K1374,$K1374,$L$1:L1374,$L1374,$M$1:M1374,M1374,$N$1:N1374,N1374)))</f>
        <v>005</v>
      </c>
      <c r="P1374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MS-CS-005-26-00005-INV</v>
      </c>
      <c r="Q1374" s="59" t="s">
        <v>7389</v>
      </c>
      <c r="R1374" s="34" t="s">
        <v>7049</v>
      </c>
      <c r="S1374" s="34" t="s">
        <v>4001</v>
      </c>
      <c r="T1374" s="34">
        <f>+IFERROR(_xlfn.XLOOKUP(Table43[[#This Row],[Column1]],#REF!,#REF!),0)</f>
        <v>0</v>
      </c>
      <c r="U1374" s="50">
        <f>IFERROR(_xlfn.XLOOKUP(Table43[[#This Row],[Column1]],#REF!,#REF!),0)</f>
        <v>0</v>
      </c>
      <c r="V1374" s="39"/>
    </row>
    <row r="1375" spans="1:22" x14ac:dyDescent="0.35">
      <c r="A1375" s="2" t="s">
        <v>3996</v>
      </c>
      <c r="B1375" s="3" t="s">
        <v>4003</v>
      </c>
      <c r="C1375" s="6" t="s">
        <v>9</v>
      </c>
      <c r="D1375" s="3">
        <v>250</v>
      </c>
      <c r="E1375" s="6" t="s">
        <v>10</v>
      </c>
      <c r="F1375" s="2">
        <v>1</v>
      </c>
      <c r="G1375" s="3">
        <v>2</v>
      </c>
      <c r="H1375" s="6">
        <v>1</v>
      </c>
      <c r="I1375" s="21">
        <f>Table43[[#This Row],[Item Cost]]*Table43[[#This Row],[In Stock]]</f>
        <v>250</v>
      </c>
      <c r="J1375" s="12" t="s">
        <v>4941</v>
      </c>
      <c r="K1375" s="14" t="s">
        <v>4664</v>
      </c>
      <c r="L1375" s="14" t="s">
        <v>4679</v>
      </c>
      <c r="M1375" s="14" t="s">
        <v>3950</v>
      </c>
      <c r="N1375" s="12" t="s">
        <v>4672</v>
      </c>
      <c r="O1375" s="32" t="str">
        <f>IF(LEN(COUNTIFS($J$1:J1375,$J1375,$K$1:K1375,$K1375,$L$1:L1375,$L1375,$M$1:M1375,M1375,$N$1:N1375,N1375))=1,"00"&amp;COUNTIFS($J$1:J1375,$J1375,$K$1:K1375,$K1375,$L$1:L1375,$L1375,$M$1:M1375,M1375,$N$1:N1375,N1375),IF(LEN(COUNTIFS($J$1:J1375,$J1375,$K$1:K1375,$K1375,$L$1:L1375,$L1375,$M$1:M1375,M1375,$N$1:N1375,N1375))=2,"0"&amp;COUNTIFS($J$1:J1375,$J1375,$K$1:K1375,$K1375,$L$1:L1375,$L1375,$M$1:M1375,M1375,$N$1:N1375,N1375),COUNTIFS($J$1:J1375,$J1375,$K$1:K1375,$K1375,$L$1:L1375,$L1375,$M$1:M1375,M1375,$N$1:N1375,N1375)))</f>
        <v>001</v>
      </c>
      <c r="P1375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MS-CS-005-22-00001-INV</v>
      </c>
      <c r="Q1375" s="59"/>
      <c r="R1375" s="34" t="s">
        <v>7050</v>
      </c>
      <c r="S1375" s="34" t="s">
        <v>4003</v>
      </c>
      <c r="T1375" s="34">
        <f>+IFERROR(_xlfn.XLOOKUP(Table43[[#This Row],[Column1]],#REF!,#REF!),0)</f>
        <v>0</v>
      </c>
      <c r="U1375" s="50">
        <f>IFERROR(_xlfn.XLOOKUP(Table43[[#This Row],[Column1]],#REF!,#REF!),0)</f>
        <v>0</v>
      </c>
      <c r="V1375" s="39"/>
    </row>
    <row r="1376" spans="1:22" x14ac:dyDescent="0.35">
      <c r="A1376" s="3" t="s">
        <v>3998</v>
      </c>
      <c r="B1376" s="2" t="s">
        <v>4005</v>
      </c>
      <c r="C1376" s="26" t="s">
        <v>9</v>
      </c>
      <c r="D1376" s="2">
        <v>50</v>
      </c>
      <c r="E1376" s="26" t="s">
        <v>10</v>
      </c>
      <c r="F1376" s="2">
        <v>1</v>
      </c>
      <c r="G1376" s="3">
        <v>2</v>
      </c>
      <c r="H1376" s="26">
        <v>2</v>
      </c>
      <c r="I1376" s="22">
        <f>Table43[[#This Row],[Item Cost]]*Table43[[#This Row],[In Stock]]</f>
        <v>100</v>
      </c>
      <c r="J1376" s="12" t="s">
        <v>4941</v>
      </c>
      <c r="K1376" s="14" t="s">
        <v>4664</v>
      </c>
      <c r="L1376" s="14" t="s">
        <v>4679</v>
      </c>
      <c r="M1376" s="13" t="s">
        <v>4827</v>
      </c>
      <c r="N1376" s="12" t="s">
        <v>4672</v>
      </c>
      <c r="O1376" s="32" t="str">
        <f>IF(LEN(COUNTIFS($J$1:J1376,$J1376,$K$1:K1376,$K1376,$L$1:L1376,$L1376,$M$1:M1376,M1376,$N$1:N1376,N1376))=1,"00"&amp;COUNTIFS($J$1:J1376,$J1376,$K$1:K1376,$K1376,$L$1:L1376,$L1376,$M$1:M1376,M1376,$N$1:N1376,N1376),IF(LEN(COUNTIFS($J$1:J1376,$J1376,$K$1:K1376,$K1376,$L$1:L1376,$L1376,$M$1:M1376,M1376,$N$1:N1376,N1376))=2,"0"&amp;COUNTIFS($J$1:J1376,$J1376,$K$1:K1376,$K1376,$L$1:L1376,$L1376,$M$1:M1376,M1376,$N$1:N1376,N1376),COUNTIFS($J$1:J1376,$J1376,$K$1:K1376,$K1376,$L$1:L1376,$L1376,$M$1:M1376,M1376,$N$1:N1376,N1376)))</f>
        <v>001</v>
      </c>
      <c r="P1376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MS-CS-005-10-00001-INV</v>
      </c>
      <c r="Q1376" s="59" t="s">
        <v>7393</v>
      </c>
      <c r="R1376" s="34" t="s">
        <v>7051</v>
      </c>
      <c r="S1376" s="34" t="s">
        <v>4005</v>
      </c>
      <c r="T1376" s="34">
        <f>+IFERROR(_xlfn.XLOOKUP(Table43[[#This Row],[Column1]],#REF!,#REF!),0)</f>
        <v>0</v>
      </c>
      <c r="U1376" s="50">
        <f>IFERROR(_xlfn.XLOOKUP(Table43[[#This Row],[Column1]],#REF!,#REF!),0)</f>
        <v>0</v>
      </c>
      <c r="V1376" s="39"/>
    </row>
    <row r="1377" spans="1:22" x14ac:dyDescent="0.35">
      <c r="A1377" s="2" t="s">
        <v>4000</v>
      </c>
      <c r="B1377" s="3" t="s">
        <v>4007</v>
      </c>
      <c r="C1377" s="6" t="s">
        <v>9</v>
      </c>
      <c r="D1377" s="5">
        <v>5000</v>
      </c>
      <c r="E1377" s="6" t="s">
        <v>10</v>
      </c>
      <c r="F1377" s="2">
        <v>1</v>
      </c>
      <c r="G1377" s="3">
        <v>2</v>
      </c>
      <c r="H1377" s="6">
        <v>1</v>
      </c>
      <c r="I1377" s="21">
        <f>Table43[[#This Row],[Item Cost]]*Table43[[#This Row],[In Stock]]</f>
        <v>5000</v>
      </c>
      <c r="J1377" s="12" t="s">
        <v>4941</v>
      </c>
      <c r="K1377" s="14" t="s">
        <v>4664</v>
      </c>
      <c r="L1377" s="14" t="s">
        <v>4679</v>
      </c>
      <c r="M1377" s="13" t="s">
        <v>4840</v>
      </c>
      <c r="N1377" s="12" t="s">
        <v>4672</v>
      </c>
      <c r="O1377" s="32" t="str">
        <f>IF(LEN(COUNTIFS($J$1:J1377,$J1377,$K$1:K1377,$K1377,$L$1:L1377,$L1377,$M$1:M1377,M1377,$N$1:N1377,N1377))=1,"00"&amp;COUNTIFS($J$1:J1377,$J1377,$K$1:K1377,$K1377,$L$1:L1377,$L1377,$M$1:M1377,M1377,$N$1:N1377,N1377),IF(LEN(COUNTIFS($J$1:J1377,$J1377,$K$1:K1377,$K1377,$L$1:L1377,$L1377,$M$1:M1377,M1377,$N$1:N1377,N1377))=2,"0"&amp;COUNTIFS($J$1:J1377,$J1377,$K$1:K1377,$K1377,$L$1:L1377,$L1377,$M$1:M1377,M1377,$N$1:N1377,N1377),COUNTIFS($J$1:J1377,$J1377,$K$1:K1377,$K1377,$L$1:L1377,$L1377,$M$1:M1377,M1377,$N$1:N1377,N1377)))</f>
        <v>001</v>
      </c>
      <c r="P1377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MS-CS-005-15-00001-INV</v>
      </c>
      <c r="Q1377" s="59" t="s">
        <v>7337</v>
      </c>
      <c r="R1377" s="34" t="s">
        <v>7052</v>
      </c>
      <c r="S1377" s="34" t="s">
        <v>4007</v>
      </c>
      <c r="T1377" s="34">
        <f>+IFERROR(_xlfn.XLOOKUP(Table43[[#This Row],[Column1]],#REF!,#REF!),0)</f>
        <v>0</v>
      </c>
      <c r="U1377" s="50">
        <f>IFERROR(_xlfn.XLOOKUP(Table43[[#This Row],[Column1]],#REF!,#REF!),0)</f>
        <v>0</v>
      </c>
      <c r="V1377" s="39"/>
    </row>
    <row r="1378" spans="1:22" x14ac:dyDescent="0.35">
      <c r="A1378" s="3" t="s">
        <v>4002</v>
      </c>
      <c r="B1378" s="2" t="s">
        <v>4009</v>
      </c>
      <c r="C1378" s="2" t="s">
        <v>9</v>
      </c>
      <c r="D1378" s="2">
        <v>5500</v>
      </c>
      <c r="E1378" s="2" t="s">
        <v>10</v>
      </c>
      <c r="F1378" s="2">
        <v>1</v>
      </c>
      <c r="G1378" s="3">
        <v>2</v>
      </c>
      <c r="H1378" s="26">
        <v>1</v>
      </c>
      <c r="I1378" s="22">
        <f>Table43[[#This Row],[Item Cost]]*Table43[[#This Row],[In Stock]]</f>
        <v>5500</v>
      </c>
      <c r="J1378" s="12" t="s">
        <v>4941</v>
      </c>
      <c r="K1378" s="14" t="s">
        <v>4664</v>
      </c>
      <c r="L1378" s="13" t="s">
        <v>4679</v>
      </c>
      <c r="M1378" s="14" t="s">
        <v>4693</v>
      </c>
      <c r="N1378" s="3" t="s">
        <v>4672</v>
      </c>
      <c r="O1378" s="32" t="str">
        <f>IF(LEN(COUNTIFS($J$1:J1378,$J1378,$K$1:K1378,$K1378,$L$1:L1378,$L1378,$M$1:M1378,M1378,$N$1:N1378,N1378))=1,"00"&amp;COUNTIFS($J$1:J1378,$J1378,$K$1:K1378,$K1378,$L$1:L1378,$L1378,$M$1:M1378,M1378,$N$1:N1378,N1378),IF(LEN(COUNTIFS($J$1:J1378,$J1378,$K$1:K1378,$K1378,$L$1:L1378,$L1378,$M$1:M1378,M1378,$N$1:N1378,N1378))=2,"0"&amp;COUNTIFS($J$1:J1378,$J1378,$K$1:K1378,$K1378,$L$1:L1378,$L1378,$M$1:M1378,M1378,$N$1:N1378,N1378),COUNTIFS($J$1:J1378,$J1378,$K$1:K1378,$K1378,$L$1:L1378,$L1378,$M$1:M1378,M1378,$N$1:N1378,N1378)))</f>
        <v>001</v>
      </c>
      <c r="P1378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MS-CS-005-23-00001-INV</v>
      </c>
      <c r="Q1378" s="59" t="s">
        <v>7393</v>
      </c>
      <c r="R1378" s="49" t="s">
        <v>5698</v>
      </c>
      <c r="S1378" s="34" t="s">
        <v>5739</v>
      </c>
      <c r="T1378" s="34">
        <f>+IFERROR(_xlfn.XLOOKUP(Table43[[#This Row],[Column1]],#REF!,#REF!),0)</f>
        <v>0</v>
      </c>
      <c r="U1378" s="50">
        <f>IFERROR(_xlfn.XLOOKUP(Table43[[#This Row],[Column1]],#REF!,#REF!),0)</f>
        <v>0</v>
      </c>
      <c r="V1378" s="39"/>
    </row>
    <row r="1379" spans="1:22" x14ac:dyDescent="0.35">
      <c r="A1379" s="2" t="s">
        <v>4004</v>
      </c>
      <c r="B1379" s="2" t="s">
        <v>4013</v>
      </c>
      <c r="C1379" s="26" t="s">
        <v>9</v>
      </c>
      <c r="D1379" s="4">
        <v>312.16000000000003</v>
      </c>
      <c r="E1379" s="26" t="s">
        <v>10</v>
      </c>
      <c r="F1379" s="2">
        <v>1</v>
      </c>
      <c r="G1379" s="3">
        <v>2</v>
      </c>
      <c r="H1379" s="26">
        <v>1</v>
      </c>
      <c r="I1379" s="22">
        <f>Table43[[#This Row],[Item Cost]]*Table43[[#This Row],[In Stock]]</f>
        <v>312.16000000000003</v>
      </c>
      <c r="J1379" s="12" t="s">
        <v>4941</v>
      </c>
      <c r="K1379" s="14" t="s">
        <v>4664</v>
      </c>
      <c r="L1379" s="14" t="s">
        <v>4679</v>
      </c>
      <c r="M1379" s="14" t="s">
        <v>3950</v>
      </c>
      <c r="N1379" s="3" t="s">
        <v>4672</v>
      </c>
      <c r="O1379" s="32" t="str">
        <f>IF(LEN(COUNTIFS($J$1:J1379,$J1379,$K$1:K1379,$K1379,$L$1:L1379,$L1379,$M$1:M1379,M1379,$N$1:N1379,N1379))=1,"00"&amp;COUNTIFS($J$1:J1379,$J1379,$K$1:K1379,$K1379,$L$1:L1379,$L1379,$M$1:M1379,M1379,$N$1:N1379,N1379),IF(LEN(COUNTIFS($J$1:J1379,$J1379,$K$1:K1379,$K1379,$L$1:L1379,$L1379,$M$1:M1379,M1379,$N$1:N1379,N1379))=2,"0"&amp;COUNTIFS($J$1:J1379,$J1379,$K$1:K1379,$K1379,$L$1:L1379,$L1379,$M$1:M1379,M1379,$N$1:N1379,N1379),COUNTIFS($J$1:J1379,$J1379,$K$1:K1379,$K1379,$L$1:L1379,$L1379,$M$1:M1379,M1379,$N$1:N1379,N1379)))</f>
        <v>002</v>
      </c>
      <c r="P1379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MS-CS-005-22-00002-INV</v>
      </c>
      <c r="Q1379" s="59"/>
      <c r="R1379" s="34" t="s">
        <v>7053</v>
      </c>
      <c r="S1379" s="34" t="s">
        <v>4013</v>
      </c>
      <c r="T1379" s="34">
        <f>+IFERROR(_xlfn.XLOOKUP(Table43[[#This Row],[Column1]],#REF!,#REF!),0)</f>
        <v>0</v>
      </c>
      <c r="U1379" s="50">
        <f>IFERROR(_xlfn.XLOOKUP(Table43[[#This Row],[Column1]],#REF!,#REF!),0)</f>
        <v>0</v>
      </c>
      <c r="V1379" s="39"/>
    </row>
    <row r="1380" spans="1:22" x14ac:dyDescent="0.35">
      <c r="A1380" s="3" t="s">
        <v>4006</v>
      </c>
      <c r="B1380" s="2" t="s">
        <v>4017</v>
      </c>
      <c r="C1380" s="2" t="s">
        <v>9</v>
      </c>
      <c r="D1380" s="2">
        <v>36.725000000000001</v>
      </c>
      <c r="E1380" s="2" t="s">
        <v>10</v>
      </c>
      <c r="F1380" s="2">
        <v>1</v>
      </c>
      <c r="G1380" s="3">
        <v>2</v>
      </c>
      <c r="H1380" s="26">
        <v>2</v>
      </c>
      <c r="I1380" s="22">
        <f>Table43[[#This Row],[Item Cost]]*Table43[[#This Row],[In Stock]]</f>
        <v>73.45</v>
      </c>
      <c r="J1380" s="12" t="s">
        <v>4941</v>
      </c>
      <c r="K1380" s="14" t="s">
        <v>4664</v>
      </c>
      <c r="L1380" s="13" t="s">
        <v>4679</v>
      </c>
      <c r="M1380" s="13" t="s">
        <v>3950</v>
      </c>
      <c r="N1380" s="12" t="s">
        <v>4672</v>
      </c>
      <c r="O1380" s="32" t="str">
        <f>IF(LEN(COUNTIFS($J$1:J1380,$J1380,$K$1:K1380,$K1380,$L$1:L1380,$L1380,$M$1:M1380,M1380,$N$1:N1380,N1380))=1,"00"&amp;COUNTIFS($J$1:J1380,$J1380,$K$1:K1380,$K1380,$L$1:L1380,$L1380,$M$1:M1380,M1380,$N$1:N1380,N1380),IF(LEN(COUNTIFS($J$1:J1380,$J1380,$K$1:K1380,$K1380,$L$1:L1380,$L1380,$M$1:M1380,M1380,$N$1:N1380,N1380))=2,"0"&amp;COUNTIFS($J$1:J1380,$J1380,$K$1:K1380,$K1380,$L$1:L1380,$L1380,$M$1:M1380,M1380,$N$1:N1380,N1380),COUNTIFS($J$1:J1380,$J1380,$K$1:K1380,$K1380,$L$1:L1380,$L1380,$M$1:M1380,M1380,$N$1:N1380,N1380)))</f>
        <v>003</v>
      </c>
      <c r="P1380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MS-CS-005-22-00003-INV</v>
      </c>
      <c r="Q1380" s="59"/>
      <c r="R1380" s="34" t="s">
        <v>7054</v>
      </c>
      <c r="S1380" s="34" t="s">
        <v>4017</v>
      </c>
      <c r="T1380" s="34">
        <f>+IFERROR(_xlfn.XLOOKUP(Table43[[#This Row],[Column1]],#REF!,#REF!),0)</f>
        <v>0</v>
      </c>
      <c r="U1380" s="50">
        <f>IFERROR(_xlfn.XLOOKUP(Table43[[#This Row],[Column1]],#REF!,#REF!),0)</f>
        <v>0</v>
      </c>
      <c r="V1380" s="39"/>
    </row>
    <row r="1381" spans="1:22" x14ac:dyDescent="0.35">
      <c r="A1381" s="2" t="s">
        <v>4008</v>
      </c>
      <c r="B1381" s="3" t="s">
        <v>4019</v>
      </c>
      <c r="C1381" s="3" t="s">
        <v>9</v>
      </c>
      <c r="D1381" s="3">
        <v>1469</v>
      </c>
      <c r="E1381" s="3" t="s">
        <v>10</v>
      </c>
      <c r="F1381" s="2">
        <v>1</v>
      </c>
      <c r="G1381" s="3">
        <v>2</v>
      </c>
      <c r="H1381" s="6">
        <v>2</v>
      </c>
      <c r="I1381" s="21">
        <f>Table43[[#This Row],[Item Cost]]*Table43[[#This Row],[In Stock]]</f>
        <v>2938</v>
      </c>
      <c r="J1381" s="12" t="s">
        <v>4941</v>
      </c>
      <c r="K1381" s="14" t="s">
        <v>4664</v>
      </c>
      <c r="L1381" s="13" t="s">
        <v>4679</v>
      </c>
      <c r="M1381" s="13" t="s">
        <v>4770</v>
      </c>
      <c r="N1381" s="12" t="s">
        <v>4672</v>
      </c>
      <c r="O1381" s="32" t="str">
        <f>IF(LEN(COUNTIFS($J$1:J1381,$J1381,$K$1:K1381,$K1381,$L$1:L1381,$L1381,$M$1:M1381,M1381,$N$1:N1381,N1381))=1,"00"&amp;COUNTIFS($J$1:J1381,$J1381,$K$1:K1381,$K1381,$L$1:L1381,$L1381,$M$1:M1381,M1381,$N$1:N1381,N1381),IF(LEN(COUNTIFS($J$1:J1381,$J1381,$K$1:K1381,$K1381,$L$1:L1381,$L1381,$M$1:M1381,M1381,$N$1:N1381,N1381))=2,"0"&amp;COUNTIFS($J$1:J1381,$J1381,$K$1:K1381,$K1381,$L$1:L1381,$L1381,$M$1:M1381,M1381,$N$1:N1381,N1381),COUNTIFS($J$1:J1381,$J1381,$K$1:K1381,$K1381,$L$1:L1381,$L1381,$M$1:M1381,M1381,$N$1:N1381,N1381)))</f>
        <v>001</v>
      </c>
      <c r="P1381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MS-CS-005-04-00001-INV</v>
      </c>
      <c r="Q1381" s="59"/>
      <c r="R1381" s="34" t="s">
        <v>7055</v>
      </c>
      <c r="S1381" s="34" t="s">
        <v>4019</v>
      </c>
      <c r="T1381" s="34">
        <f>+IFERROR(_xlfn.XLOOKUP(Table43[[#This Row],[Column1]],#REF!,#REF!),0)</f>
        <v>0</v>
      </c>
      <c r="U1381" s="50">
        <f>IFERROR(_xlfn.XLOOKUP(Table43[[#This Row],[Column1]],#REF!,#REF!),0)</f>
        <v>0</v>
      </c>
      <c r="V1381" s="39"/>
    </row>
    <row r="1382" spans="1:22" x14ac:dyDescent="0.35">
      <c r="A1382" s="3" t="s">
        <v>4010</v>
      </c>
      <c r="B1382" s="2" t="s">
        <v>4021</v>
      </c>
      <c r="C1382" s="26" t="s">
        <v>9</v>
      </c>
      <c r="D1382" s="2">
        <v>25.71</v>
      </c>
      <c r="E1382" s="26" t="s">
        <v>10</v>
      </c>
      <c r="F1382" s="2">
        <v>1</v>
      </c>
      <c r="G1382" s="3">
        <v>2</v>
      </c>
      <c r="H1382" s="26">
        <v>2</v>
      </c>
      <c r="I1382" s="22">
        <f>Table43[[#This Row],[Item Cost]]*Table43[[#This Row],[In Stock]]</f>
        <v>51.42</v>
      </c>
      <c r="J1382" s="12" t="s">
        <v>4941</v>
      </c>
      <c r="K1382" s="14" t="s">
        <v>4664</v>
      </c>
      <c r="L1382" s="14" t="s">
        <v>4679</v>
      </c>
      <c r="M1382" s="13" t="s">
        <v>4838</v>
      </c>
      <c r="N1382" s="12" t="s">
        <v>4672</v>
      </c>
      <c r="O1382" s="32" t="str">
        <f>IF(LEN(COUNTIFS($J$1:J1382,$J1382,$K$1:K1382,$K1382,$L$1:L1382,$L1382,$M$1:M1382,M1382,$N$1:N1382,N1382))=1,"00"&amp;COUNTIFS($J$1:J1382,$J1382,$K$1:K1382,$K1382,$L$1:L1382,$L1382,$M$1:M1382,M1382,$N$1:N1382,N1382),IF(LEN(COUNTIFS($J$1:J1382,$J1382,$K$1:K1382,$K1382,$L$1:L1382,$L1382,$M$1:M1382,M1382,$N$1:N1382,N1382))=2,"0"&amp;COUNTIFS($J$1:J1382,$J1382,$K$1:K1382,$K1382,$L$1:L1382,$L1382,$M$1:M1382,M1382,$N$1:N1382,N1382),COUNTIFS($J$1:J1382,$J1382,$K$1:K1382,$K1382,$L$1:L1382,$L1382,$M$1:M1382,M1382,$N$1:N1382,N1382)))</f>
        <v>001</v>
      </c>
      <c r="P1382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MS-CS-005-18-00001-INV</v>
      </c>
      <c r="Q1382" s="59"/>
      <c r="R1382" s="34" t="s">
        <v>7056</v>
      </c>
      <c r="S1382" s="34" t="s">
        <v>4021</v>
      </c>
      <c r="T1382" s="34">
        <f>+IFERROR(_xlfn.XLOOKUP(Table43[[#This Row],[Column1]],#REF!,#REF!),0)</f>
        <v>0</v>
      </c>
      <c r="U1382" s="50">
        <f>IFERROR(_xlfn.XLOOKUP(Table43[[#This Row],[Column1]],#REF!,#REF!),0)</f>
        <v>0</v>
      </c>
      <c r="V1382" s="39"/>
    </row>
    <row r="1383" spans="1:22" x14ac:dyDescent="0.35">
      <c r="A1383" s="2" t="s">
        <v>4012</v>
      </c>
      <c r="B1383" s="3" t="s">
        <v>4023</v>
      </c>
      <c r="C1383" s="3" t="s">
        <v>9</v>
      </c>
      <c r="D1383" s="3">
        <v>183.625</v>
      </c>
      <c r="E1383" s="3" t="s">
        <v>10</v>
      </c>
      <c r="F1383" s="2">
        <v>1</v>
      </c>
      <c r="G1383" s="3">
        <v>2</v>
      </c>
      <c r="H1383" s="6">
        <v>2</v>
      </c>
      <c r="I1383" s="21">
        <f>Table43[[#This Row],[Item Cost]]*Table43[[#This Row],[In Stock]]</f>
        <v>367.25</v>
      </c>
      <c r="J1383" s="12" t="s">
        <v>4941</v>
      </c>
      <c r="K1383" s="14" t="s">
        <v>4664</v>
      </c>
      <c r="L1383" s="13" t="s">
        <v>4679</v>
      </c>
      <c r="M1383" s="14" t="s">
        <v>4836</v>
      </c>
      <c r="N1383" s="3" t="s">
        <v>4672</v>
      </c>
      <c r="O1383" s="32" t="str">
        <f>IF(LEN(COUNTIFS($J$1:J1383,$J1383,$K$1:K1383,$K1383,$L$1:L1383,$L1383,$M$1:M1383,M1383,$N$1:N1383,N1383))=1,"00"&amp;COUNTIFS($J$1:J1383,$J1383,$K$1:K1383,$K1383,$L$1:L1383,$L1383,$M$1:M1383,M1383,$N$1:N1383,N1383),IF(LEN(COUNTIFS($J$1:J1383,$J1383,$K$1:K1383,$K1383,$L$1:L1383,$L1383,$M$1:M1383,M1383,$N$1:N1383,N1383))=2,"0"&amp;COUNTIFS($J$1:J1383,$J1383,$K$1:K1383,$K1383,$L$1:L1383,$L1383,$M$1:M1383,M1383,$N$1:N1383,N1383),COUNTIFS($J$1:J1383,$J1383,$K$1:K1383,$K1383,$L$1:L1383,$L1383,$M$1:M1383,M1383,$N$1:N1383,N1383)))</f>
        <v>001</v>
      </c>
      <c r="P1383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MS-CS-005-25-00001-INV</v>
      </c>
      <c r="Q1383" s="59"/>
      <c r="R1383" s="34" t="s">
        <v>7057</v>
      </c>
      <c r="S1383" s="34" t="s">
        <v>4023</v>
      </c>
      <c r="T1383" s="34">
        <f>+IFERROR(_xlfn.XLOOKUP(Table43[[#This Row],[Column1]],#REF!,#REF!),0)</f>
        <v>0</v>
      </c>
      <c r="U1383" s="50">
        <f>IFERROR(_xlfn.XLOOKUP(Table43[[#This Row],[Column1]],#REF!,#REF!),0)</f>
        <v>0</v>
      </c>
      <c r="V1383" s="39"/>
    </row>
    <row r="1384" spans="1:22" x14ac:dyDescent="0.35">
      <c r="A1384" s="3" t="s">
        <v>4014</v>
      </c>
      <c r="B1384" s="2" t="s">
        <v>4025</v>
      </c>
      <c r="C1384" s="26" t="s">
        <v>9</v>
      </c>
      <c r="D1384" s="4">
        <v>1285.3800000000001</v>
      </c>
      <c r="E1384" s="26" t="s">
        <v>10</v>
      </c>
      <c r="F1384" s="2">
        <v>1</v>
      </c>
      <c r="G1384" s="3">
        <v>2</v>
      </c>
      <c r="H1384" s="26">
        <v>1</v>
      </c>
      <c r="I1384" s="22">
        <f>Table43[[#This Row],[Item Cost]]*Table43[[#This Row],[In Stock]]</f>
        <v>1285.3800000000001</v>
      </c>
      <c r="J1384" s="3" t="s">
        <v>4941</v>
      </c>
      <c r="K1384" s="13" t="s">
        <v>4664</v>
      </c>
      <c r="L1384" s="13" t="s">
        <v>4679</v>
      </c>
      <c r="M1384" s="13" t="s">
        <v>4770</v>
      </c>
      <c r="N1384" s="3" t="s">
        <v>4672</v>
      </c>
      <c r="O1384" s="17" t="str">
        <f>IF(LEN(COUNTIFS($J$1:J1384,$J1384,$K$1:K1384,$K1384,$L$1:L1384,$L1384,$M$1:M1384,M1384,$N$1:N1384,N1384))=1,"00"&amp;COUNTIFS($J$1:J1384,$J1384,$K$1:K1384,$K1384,$L$1:L1384,$L1384,$M$1:M1384,M1384,$N$1:N1384,N1384),IF(LEN(COUNTIFS($J$1:J1384,$J1384,$K$1:K1384,$K1384,$L$1:L1384,$L1384,$M$1:M1384,M1384,$N$1:N1384,N1384))=2,"0"&amp;COUNTIFS($J$1:J1384,$J1384,$K$1:K1384,$K1384,$L$1:L1384,$L1384,$M$1:M1384,M1384,$N$1:N1384,N1384),COUNTIFS($J$1:J1384,$J1384,$K$1:K1384,$K1384,$L$1:L1384,$L1384,$M$1:M1384,M1384,$N$1:N1384,N1384)))</f>
        <v>002</v>
      </c>
      <c r="P1384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MS-CS-005-04-00002-INV</v>
      </c>
      <c r="Q1384" s="59"/>
      <c r="R1384" s="34" t="s">
        <v>7058</v>
      </c>
      <c r="S1384" s="34" t="s">
        <v>4025</v>
      </c>
      <c r="T1384" s="34">
        <f>+IFERROR(_xlfn.XLOOKUP(Table43[[#This Row],[Column1]],#REF!,#REF!),0)</f>
        <v>0</v>
      </c>
      <c r="U1384" s="50">
        <f>IFERROR(_xlfn.XLOOKUP(Table43[[#This Row],[Column1]],#REF!,#REF!),0)</f>
        <v>0</v>
      </c>
      <c r="V1384" s="39"/>
    </row>
    <row r="1385" spans="1:22" x14ac:dyDescent="0.35">
      <c r="A1385" s="2" t="s">
        <v>4016</v>
      </c>
      <c r="B1385" s="3" t="s">
        <v>4027</v>
      </c>
      <c r="C1385" s="3" t="s">
        <v>9</v>
      </c>
      <c r="D1385" s="3">
        <v>1285.3800000000001</v>
      </c>
      <c r="E1385" s="3" t="s">
        <v>10</v>
      </c>
      <c r="F1385" s="2">
        <v>1</v>
      </c>
      <c r="G1385" s="3">
        <v>2</v>
      </c>
      <c r="H1385" s="6">
        <v>1</v>
      </c>
      <c r="I1385" s="21">
        <f>Table43[[#This Row],[Item Cost]]*Table43[[#This Row],[In Stock]]</f>
        <v>1285.3800000000001</v>
      </c>
      <c r="J1385" s="12" t="s">
        <v>4941</v>
      </c>
      <c r="K1385" s="14" t="s">
        <v>4664</v>
      </c>
      <c r="L1385" s="13" t="s">
        <v>4679</v>
      </c>
      <c r="M1385" s="14" t="s">
        <v>4770</v>
      </c>
      <c r="N1385" s="3" t="s">
        <v>4672</v>
      </c>
      <c r="O1385" s="32" t="str">
        <f>IF(LEN(COUNTIFS($J$1:J1385,$J1385,$K$1:K1385,$K1385,$L$1:L1385,$L1385,$M$1:M1385,M1385,$N$1:N1385,N1385))=1,"00"&amp;COUNTIFS($J$1:J1385,$J1385,$K$1:K1385,$K1385,$L$1:L1385,$L1385,$M$1:M1385,M1385,$N$1:N1385,N1385),IF(LEN(COUNTIFS($J$1:J1385,$J1385,$K$1:K1385,$K1385,$L$1:L1385,$L1385,$M$1:M1385,M1385,$N$1:N1385,N1385))=2,"0"&amp;COUNTIFS($J$1:J1385,$J1385,$K$1:K1385,$K1385,$L$1:L1385,$L1385,$M$1:M1385,M1385,$N$1:N1385,N1385),COUNTIFS($J$1:J1385,$J1385,$K$1:K1385,$K1385,$L$1:L1385,$L1385,$M$1:M1385,M1385,$N$1:N1385,N1385)))</f>
        <v>003</v>
      </c>
      <c r="P1385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MS-CS-005-04-00003-INV</v>
      </c>
      <c r="Q1385" s="59" t="s">
        <v>7393</v>
      </c>
      <c r="R1385" s="34" t="s">
        <v>7059</v>
      </c>
      <c r="S1385" s="34" t="s">
        <v>4027</v>
      </c>
      <c r="T1385" s="34">
        <f>+IFERROR(_xlfn.XLOOKUP(Table43[[#This Row],[Column1]],#REF!,#REF!),0)</f>
        <v>0</v>
      </c>
      <c r="U1385" s="50">
        <f>IFERROR(_xlfn.XLOOKUP(Table43[[#This Row],[Column1]],#REF!,#REF!),0)</f>
        <v>0</v>
      </c>
      <c r="V1385" s="39"/>
    </row>
    <row r="1386" spans="1:22" x14ac:dyDescent="0.35">
      <c r="A1386" s="3" t="s">
        <v>4018</v>
      </c>
      <c r="B1386" s="2" t="s">
        <v>4029</v>
      </c>
      <c r="C1386" s="26" t="s">
        <v>9</v>
      </c>
      <c r="D1386" s="2">
        <v>14.69</v>
      </c>
      <c r="E1386" s="26" t="s">
        <v>10</v>
      </c>
      <c r="F1386" s="2">
        <v>1</v>
      </c>
      <c r="G1386" s="3">
        <v>2</v>
      </c>
      <c r="H1386" s="26">
        <v>4</v>
      </c>
      <c r="I1386" s="22">
        <f>Table43[[#This Row],[Item Cost]]*Table43[[#This Row],[In Stock]]</f>
        <v>58.76</v>
      </c>
      <c r="J1386" s="12" t="s">
        <v>4941</v>
      </c>
      <c r="K1386" s="14" t="s">
        <v>4664</v>
      </c>
      <c r="L1386" s="14" t="s">
        <v>4679</v>
      </c>
      <c r="M1386" s="14" t="s">
        <v>4835</v>
      </c>
      <c r="N1386" s="12" t="s">
        <v>4672</v>
      </c>
      <c r="O1386" s="32" t="str">
        <f>IF(LEN(COUNTIFS($J$1:J1386,$J1386,$K$1:K1386,$K1386,$L$1:L1386,$L1386,$M$1:M1386,M1386,$N$1:N1386,N1386))=1,"00"&amp;COUNTIFS($J$1:J1386,$J1386,$K$1:K1386,$K1386,$L$1:L1386,$L1386,$M$1:M1386,M1386,$N$1:N1386,N1386),IF(LEN(COUNTIFS($J$1:J1386,$J1386,$K$1:K1386,$K1386,$L$1:L1386,$L1386,$M$1:M1386,M1386,$N$1:N1386,N1386))=2,"0"&amp;COUNTIFS($J$1:J1386,$J1386,$K$1:K1386,$K1386,$L$1:L1386,$L1386,$M$1:M1386,M1386,$N$1:N1386,N1386),COUNTIFS($J$1:J1386,$J1386,$K$1:K1386,$K1386,$L$1:L1386,$L1386,$M$1:M1386,M1386,$N$1:N1386,N1386)))</f>
        <v>001</v>
      </c>
      <c r="P1386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MS-CS-005-24-00001-INV</v>
      </c>
      <c r="Q1386" s="59"/>
      <c r="R1386" s="34" t="s">
        <v>7060</v>
      </c>
      <c r="S1386" s="34" t="s">
        <v>4029</v>
      </c>
      <c r="T1386" s="34">
        <f>+IFERROR(_xlfn.XLOOKUP(Table43[[#This Row],[Column1]],#REF!,#REF!),0)</f>
        <v>0</v>
      </c>
      <c r="U1386" s="50">
        <f>IFERROR(_xlfn.XLOOKUP(Table43[[#This Row],[Column1]],#REF!,#REF!),0)</f>
        <v>0</v>
      </c>
      <c r="V1386" s="39"/>
    </row>
    <row r="1387" spans="1:22" x14ac:dyDescent="0.35">
      <c r="A1387" s="2" t="s">
        <v>4020</v>
      </c>
      <c r="B1387" s="3" t="s">
        <v>4031</v>
      </c>
      <c r="C1387" s="6" t="s">
        <v>9</v>
      </c>
      <c r="D1387" s="5">
        <v>220.35</v>
      </c>
      <c r="E1387" s="6" t="s">
        <v>10</v>
      </c>
      <c r="F1387" s="2">
        <v>1</v>
      </c>
      <c r="G1387" s="3">
        <v>2</v>
      </c>
      <c r="H1387" s="6">
        <v>4</v>
      </c>
      <c r="I1387" s="21">
        <f>Table43[[#This Row],[Item Cost]]*Table43[[#This Row],[In Stock]]</f>
        <v>881.4</v>
      </c>
      <c r="J1387" s="12" t="s">
        <v>4941</v>
      </c>
      <c r="K1387" s="14" t="s">
        <v>4664</v>
      </c>
      <c r="L1387" s="14" t="s">
        <v>4679</v>
      </c>
      <c r="M1387" s="14" t="s">
        <v>3950</v>
      </c>
      <c r="N1387" s="12" t="s">
        <v>4672</v>
      </c>
      <c r="O1387" s="32" t="str">
        <f>IF(LEN(COUNTIFS($J$1:J1387,$J1387,$K$1:K1387,$K1387,$L$1:L1387,$L1387,$M$1:M1387,M1387,$N$1:N1387,N1387))=1,"00"&amp;COUNTIFS($J$1:J1387,$J1387,$K$1:K1387,$K1387,$L$1:L1387,$L1387,$M$1:M1387,M1387,$N$1:N1387,N1387),IF(LEN(COUNTIFS($J$1:J1387,$J1387,$K$1:K1387,$K1387,$L$1:L1387,$L1387,$M$1:M1387,M1387,$N$1:N1387,N1387))=2,"0"&amp;COUNTIFS($J$1:J1387,$J1387,$K$1:K1387,$K1387,$L$1:L1387,$L1387,$M$1:M1387,M1387,$N$1:N1387,N1387),COUNTIFS($J$1:J1387,$J1387,$K$1:K1387,$K1387,$L$1:L1387,$L1387,$M$1:M1387,M1387,$N$1:N1387,N1387)))</f>
        <v>004</v>
      </c>
      <c r="P1387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MS-CS-005-22-00004-INV</v>
      </c>
      <c r="Q1387" s="59"/>
      <c r="R1387" s="34" t="s">
        <v>7061</v>
      </c>
      <c r="S1387" s="34" t="s">
        <v>4031</v>
      </c>
      <c r="T1387" s="34">
        <f>+IFERROR(_xlfn.XLOOKUP(Table43[[#This Row],[Column1]],#REF!,#REF!),0)</f>
        <v>0</v>
      </c>
      <c r="U1387" s="50">
        <f>IFERROR(_xlfn.XLOOKUP(Table43[[#This Row],[Column1]],#REF!,#REF!),0)</f>
        <v>0</v>
      </c>
      <c r="V1387" s="39"/>
    </row>
    <row r="1388" spans="1:22" x14ac:dyDescent="0.35">
      <c r="A1388" s="3" t="s">
        <v>4022</v>
      </c>
      <c r="B1388" s="2" t="s">
        <v>4033</v>
      </c>
      <c r="C1388" s="26" t="s">
        <v>9</v>
      </c>
      <c r="D1388" s="4">
        <v>4774.25</v>
      </c>
      <c r="E1388" s="26" t="s">
        <v>10</v>
      </c>
      <c r="F1388" s="2">
        <v>1</v>
      </c>
      <c r="G1388" s="3">
        <v>2</v>
      </c>
      <c r="H1388" s="26">
        <v>1</v>
      </c>
      <c r="I1388" s="22">
        <f>Table43[[#This Row],[Item Cost]]*Table43[[#This Row],[In Stock]]</f>
        <v>4774.25</v>
      </c>
      <c r="J1388" s="12" t="s">
        <v>4941</v>
      </c>
      <c r="K1388" s="14" t="s">
        <v>4664</v>
      </c>
      <c r="L1388" s="14" t="s">
        <v>4679</v>
      </c>
      <c r="M1388" s="14" t="s">
        <v>4772</v>
      </c>
      <c r="N1388" s="12" t="s">
        <v>4672</v>
      </c>
      <c r="O1388" s="32" t="str">
        <f>IF(LEN(COUNTIFS($J$1:J1388,$J1388,$K$1:K1388,$K1388,$L$1:L1388,$L1388,$M$1:M1388,M1388,$N$1:N1388,N1388))=1,"00"&amp;COUNTIFS($J$1:J1388,$J1388,$K$1:K1388,$K1388,$L$1:L1388,$L1388,$M$1:M1388,M1388,$N$1:N1388,N1388),IF(LEN(COUNTIFS($J$1:J1388,$J1388,$K$1:K1388,$K1388,$L$1:L1388,$L1388,$M$1:M1388,M1388,$N$1:N1388,N1388))=2,"0"&amp;COUNTIFS($J$1:J1388,$J1388,$K$1:K1388,$K1388,$L$1:L1388,$L1388,$M$1:M1388,M1388,$N$1:N1388,N1388),COUNTIFS($J$1:J1388,$J1388,$K$1:K1388,$K1388,$L$1:L1388,$L1388,$M$1:M1388,M1388,$N$1:N1388,N1388)))</f>
        <v>002</v>
      </c>
      <c r="P1388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MS-CS-005-06-00002-INV</v>
      </c>
      <c r="Q1388" s="59" t="s">
        <v>7338</v>
      </c>
      <c r="R1388" s="34" t="s">
        <v>7062</v>
      </c>
      <c r="S1388" s="34" t="s">
        <v>4033</v>
      </c>
      <c r="T1388" s="34">
        <f>+IFERROR(_xlfn.XLOOKUP(Table43[[#This Row],[Column1]],#REF!,#REF!),0)</f>
        <v>0</v>
      </c>
      <c r="U1388" s="50">
        <f>IFERROR(_xlfn.XLOOKUP(Table43[[#This Row],[Column1]],#REF!,#REF!),0)</f>
        <v>0</v>
      </c>
      <c r="V1388" s="39"/>
    </row>
    <row r="1389" spans="1:22" x14ac:dyDescent="0.35">
      <c r="A1389" s="2" t="s">
        <v>4024</v>
      </c>
      <c r="B1389" s="3" t="s">
        <v>4035</v>
      </c>
      <c r="C1389" s="6" t="s">
        <v>9</v>
      </c>
      <c r="D1389" s="3">
        <v>5141.5</v>
      </c>
      <c r="E1389" s="6" t="s">
        <v>10</v>
      </c>
      <c r="F1389" s="2">
        <v>1</v>
      </c>
      <c r="G1389" s="3">
        <v>2</v>
      </c>
      <c r="H1389" s="6">
        <v>1</v>
      </c>
      <c r="I1389" s="21">
        <f>Table43[[#This Row],[Item Cost]]*Table43[[#This Row],[In Stock]]</f>
        <v>5141.5</v>
      </c>
      <c r="J1389" s="12" t="s">
        <v>4941</v>
      </c>
      <c r="K1389" s="14" t="s">
        <v>4664</v>
      </c>
      <c r="L1389" s="14" t="s">
        <v>4679</v>
      </c>
      <c r="M1389" s="14" t="s">
        <v>3950</v>
      </c>
      <c r="N1389" s="12" t="s">
        <v>4672</v>
      </c>
      <c r="O1389" s="32" t="str">
        <f>IF(LEN(COUNTIFS($J$1:J1389,$J1389,$K$1:K1389,$K1389,$L$1:L1389,$L1389,$M$1:M1389,M1389,$N$1:N1389,N1389))=1,"00"&amp;COUNTIFS($J$1:J1389,$J1389,$K$1:K1389,$K1389,$L$1:L1389,$L1389,$M$1:M1389,M1389,$N$1:N1389,N1389),IF(LEN(COUNTIFS($J$1:J1389,$J1389,$K$1:K1389,$K1389,$L$1:L1389,$L1389,$M$1:M1389,M1389,$N$1:N1389,N1389))=2,"0"&amp;COUNTIFS($J$1:J1389,$J1389,$K$1:K1389,$K1389,$L$1:L1389,$L1389,$M$1:M1389,M1389,$N$1:N1389,N1389),COUNTIFS($J$1:J1389,$J1389,$K$1:K1389,$K1389,$L$1:L1389,$L1389,$M$1:M1389,M1389,$N$1:N1389,N1389)))</f>
        <v>005</v>
      </c>
      <c r="P1389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MS-CS-005-22-00005-INV</v>
      </c>
      <c r="Q1389" s="59"/>
      <c r="R1389" s="34" t="s">
        <v>7063</v>
      </c>
      <c r="S1389" s="34" t="s">
        <v>4035</v>
      </c>
      <c r="T1389" s="34">
        <f>+IFERROR(_xlfn.XLOOKUP(Table43[[#This Row],[Column1]],#REF!,#REF!),0)</f>
        <v>0</v>
      </c>
      <c r="U1389" s="50">
        <f>IFERROR(_xlfn.XLOOKUP(Table43[[#This Row],[Column1]],#REF!,#REF!),0)</f>
        <v>0</v>
      </c>
      <c r="V1389" s="39"/>
    </row>
    <row r="1390" spans="1:22" x14ac:dyDescent="0.35">
      <c r="A1390" s="3" t="s">
        <v>4026</v>
      </c>
      <c r="B1390" s="2" t="s">
        <v>4037</v>
      </c>
      <c r="C1390" s="26" t="s">
        <v>9</v>
      </c>
      <c r="D1390" s="2">
        <v>440.7</v>
      </c>
      <c r="E1390" s="26" t="s">
        <v>10</v>
      </c>
      <c r="F1390" s="2">
        <v>1</v>
      </c>
      <c r="G1390" s="3">
        <v>2</v>
      </c>
      <c r="H1390" s="26">
        <v>1</v>
      </c>
      <c r="I1390" s="22">
        <f>Table43[[#This Row],[Item Cost]]*Table43[[#This Row],[In Stock]]</f>
        <v>440.7</v>
      </c>
      <c r="J1390" s="12" t="s">
        <v>4941</v>
      </c>
      <c r="K1390" s="14" t="s">
        <v>4664</v>
      </c>
      <c r="L1390" s="14" t="s">
        <v>4679</v>
      </c>
      <c r="M1390" s="14" t="s">
        <v>4837</v>
      </c>
      <c r="N1390" s="12" t="s">
        <v>4672</v>
      </c>
      <c r="O1390" s="32" t="str">
        <f>IF(LEN(COUNTIFS($J$1:J1390,$J1390,$K$1:K1390,$K1390,$L$1:L1390,$L1390,$M$1:M1390,M1390,$N$1:N1390,N1390))=1,"00"&amp;COUNTIFS($J$1:J1390,$J1390,$K$1:K1390,$K1390,$L$1:L1390,$L1390,$M$1:M1390,M1390,$N$1:N1390,N1390),IF(LEN(COUNTIFS($J$1:J1390,$J1390,$K$1:K1390,$K1390,$L$1:L1390,$L1390,$M$1:M1390,M1390,$N$1:N1390,N1390))=2,"0"&amp;COUNTIFS($J$1:J1390,$J1390,$K$1:K1390,$K1390,$L$1:L1390,$L1390,$M$1:M1390,M1390,$N$1:N1390,N1390),COUNTIFS($J$1:J1390,$J1390,$K$1:K1390,$K1390,$L$1:L1390,$L1390,$M$1:M1390,M1390,$N$1:N1390,N1390)))</f>
        <v>006</v>
      </c>
      <c r="P1390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MS-CS-005-26-00006-INV</v>
      </c>
      <c r="Q1390" s="59"/>
      <c r="R1390" s="34" t="s">
        <v>7064</v>
      </c>
      <c r="S1390" s="34" t="s">
        <v>4037</v>
      </c>
      <c r="T1390" s="34">
        <f>+IFERROR(_xlfn.XLOOKUP(Table43[[#This Row],[Column1]],#REF!,#REF!),0)</f>
        <v>0</v>
      </c>
      <c r="U1390" s="50">
        <f>IFERROR(_xlfn.XLOOKUP(Table43[[#This Row],[Column1]],#REF!,#REF!),0)</f>
        <v>0</v>
      </c>
      <c r="V1390" s="39"/>
    </row>
    <row r="1391" spans="1:22" x14ac:dyDescent="0.35">
      <c r="A1391" s="2" t="s">
        <v>4028</v>
      </c>
      <c r="B1391" s="3" t="s">
        <v>4039</v>
      </c>
      <c r="C1391" s="6" t="s">
        <v>9</v>
      </c>
      <c r="D1391" s="5">
        <v>367.25</v>
      </c>
      <c r="E1391" s="6" t="s">
        <v>10</v>
      </c>
      <c r="F1391" s="2">
        <v>1</v>
      </c>
      <c r="G1391" s="3">
        <v>2</v>
      </c>
      <c r="H1391" s="6">
        <v>1</v>
      </c>
      <c r="I1391" s="21">
        <f>Table43[[#This Row],[Item Cost]]*Table43[[#This Row],[In Stock]]</f>
        <v>367.25</v>
      </c>
      <c r="J1391" s="12" t="s">
        <v>4941</v>
      </c>
      <c r="K1391" s="14" t="s">
        <v>4664</v>
      </c>
      <c r="L1391" s="14" t="s">
        <v>4679</v>
      </c>
      <c r="M1391" s="14" t="s">
        <v>4837</v>
      </c>
      <c r="N1391" s="12" t="s">
        <v>4672</v>
      </c>
      <c r="O1391" s="32" t="str">
        <f>IF(LEN(COUNTIFS($J$1:J1391,$J1391,$K$1:K1391,$K1391,$L$1:L1391,$L1391,$M$1:M1391,M1391,$N$1:N1391,N1391))=1,"00"&amp;COUNTIFS($J$1:J1391,$J1391,$K$1:K1391,$K1391,$L$1:L1391,$L1391,$M$1:M1391,M1391,$N$1:N1391,N1391),IF(LEN(COUNTIFS($J$1:J1391,$J1391,$K$1:K1391,$K1391,$L$1:L1391,$L1391,$M$1:M1391,M1391,$N$1:N1391,N1391))=2,"0"&amp;COUNTIFS($J$1:J1391,$J1391,$K$1:K1391,$K1391,$L$1:L1391,$L1391,$M$1:M1391,M1391,$N$1:N1391,N1391),COUNTIFS($J$1:J1391,$J1391,$K$1:K1391,$K1391,$L$1:L1391,$L1391,$M$1:M1391,M1391,$N$1:N1391,N1391)))</f>
        <v>007</v>
      </c>
      <c r="P1391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MS-CS-005-26-00007-INV</v>
      </c>
      <c r="Q1391" s="59"/>
      <c r="R1391" s="34" t="s">
        <v>7065</v>
      </c>
      <c r="S1391" s="34" t="s">
        <v>4039</v>
      </c>
      <c r="T1391" s="34">
        <f>+IFERROR(_xlfn.XLOOKUP(Table43[[#This Row],[Column1]],#REF!,#REF!),0)</f>
        <v>0</v>
      </c>
      <c r="U1391" s="50">
        <f>IFERROR(_xlfn.XLOOKUP(Table43[[#This Row],[Column1]],#REF!,#REF!),0)</f>
        <v>0</v>
      </c>
      <c r="V1391" s="39"/>
    </row>
    <row r="1392" spans="1:22" x14ac:dyDescent="0.35">
      <c r="A1392" s="3" t="s">
        <v>4030</v>
      </c>
      <c r="B1392" s="2" t="s">
        <v>4041</v>
      </c>
      <c r="C1392" s="26" t="s">
        <v>9</v>
      </c>
      <c r="D1392" s="4">
        <v>110.18</v>
      </c>
      <c r="E1392" s="26" t="s">
        <v>10</v>
      </c>
      <c r="F1392" s="2">
        <v>1</v>
      </c>
      <c r="G1392" s="3">
        <v>2</v>
      </c>
      <c r="H1392" s="26">
        <v>1</v>
      </c>
      <c r="I1392" s="22">
        <f>Table43[[#This Row],[Item Cost]]*Table43[[#This Row],[In Stock]]</f>
        <v>110.18</v>
      </c>
      <c r="J1392" s="12" t="s">
        <v>4941</v>
      </c>
      <c r="K1392" s="14" t="s">
        <v>4664</v>
      </c>
      <c r="L1392" s="14" t="s">
        <v>4679</v>
      </c>
      <c r="M1392" s="14" t="s">
        <v>3950</v>
      </c>
      <c r="N1392" s="12" t="s">
        <v>4672</v>
      </c>
      <c r="O1392" s="32" t="str">
        <f>IF(LEN(COUNTIFS($J$1:J1392,$J1392,$K$1:K1392,$K1392,$L$1:L1392,$L1392,$M$1:M1392,M1392,$N$1:N1392,N1392))=1,"00"&amp;COUNTIFS($J$1:J1392,$J1392,$K$1:K1392,$K1392,$L$1:L1392,$L1392,$M$1:M1392,M1392,$N$1:N1392,N1392),IF(LEN(COUNTIFS($J$1:J1392,$J1392,$K$1:K1392,$K1392,$L$1:L1392,$L1392,$M$1:M1392,M1392,$N$1:N1392,N1392))=2,"0"&amp;COUNTIFS($J$1:J1392,$J1392,$K$1:K1392,$K1392,$L$1:L1392,$L1392,$M$1:M1392,M1392,$N$1:N1392,N1392),COUNTIFS($J$1:J1392,$J1392,$K$1:K1392,$K1392,$L$1:L1392,$L1392,$M$1:M1392,M1392,$N$1:N1392,N1392)))</f>
        <v>006</v>
      </c>
      <c r="P1392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MS-CS-005-22-00006-INV</v>
      </c>
      <c r="Q1392" s="59"/>
      <c r="R1392" s="34" t="s">
        <v>7066</v>
      </c>
      <c r="S1392" s="34" t="s">
        <v>4041</v>
      </c>
      <c r="T1392" s="34">
        <f>+IFERROR(_xlfn.XLOOKUP(Table43[[#This Row],[Column1]],#REF!,#REF!),0)</f>
        <v>0</v>
      </c>
      <c r="U1392" s="50">
        <f>IFERROR(_xlfn.XLOOKUP(Table43[[#This Row],[Column1]],#REF!,#REF!),0)</f>
        <v>0</v>
      </c>
      <c r="V1392" s="39"/>
    </row>
    <row r="1393" spans="1:22" x14ac:dyDescent="0.35">
      <c r="A1393" s="2" t="s">
        <v>4032</v>
      </c>
      <c r="B1393" s="3" t="s">
        <v>4043</v>
      </c>
      <c r="C1393" s="6" t="s">
        <v>9</v>
      </c>
      <c r="D1393" s="3">
        <v>2423.85</v>
      </c>
      <c r="E1393" s="6" t="s">
        <v>10</v>
      </c>
      <c r="F1393" s="2">
        <v>1</v>
      </c>
      <c r="G1393" s="3">
        <v>2</v>
      </c>
      <c r="H1393" s="6">
        <v>1</v>
      </c>
      <c r="I1393" s="21">
        <f>Table43[[#This Row],[Item Cost]]*Table43[[#This Row],[In Stock]]</f>
        <v>2423.85</v>
      </c>
      <c r="J1393" s="12" t="s">
        <v>4941</v>
      </c>
      <c r="K1393" s="14" t="s">
        <v>4664</v>
      </c>
      <c r="L1393" s="14" t="s">
        <v>4679</v>
      </c>
      <c r="M1393" s="14" t="s">
        <v>4734</v>
      </c>
      <c r="N1393" s="12" t="s">
        <v>4672</v>
      </c>
      <c r="O1393" s="32" t="str">
        <f>IF(LEN(COUNTIFS($J$1:J1393,$J1393,$K$1:K1393,$K1393,$L$1:L1393,$L1393,$M$1:M1393,M1393,$N$1:N1393,N1393))=1,"00"&amp;COUNTIFS($J$1:J1393,$J1393,$K$1:K1393,$K1393,$L$1:L1393,$L1393,$M$1:M1393,M1393,$N$1:N1393,N1393),IF(LEN(COUNTIFS($J$1:J1393,$J1393,$K$1:K1393,$K1393,$L$1:L1393,$L1393,$M$1:M1393,M1393,$N$1:N1393,N1393))=2,"0"&amp;COUNTIFS($J$1:J1393,$J1393,$K$1:K1393,$K1393,$L$1:L1393,$L1393,$M$1:M1393,M1393,$N$1:N1393,N1393),COUNTIFS($J$1:J1393,$J1393,$K$1:K1393,$K1393,$L$1:L1393,$L1393,$M$1:M1393,M1393,$N$1:N1393,N1393)))</f>
        <v>001</v>
      </c>
      <c r="P1393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MS-CS-005-02-00001-INV</v>
      </c>
      <c r="Q1393" s="59"/>
      <c r="R1393" s="34" t="s">
        <v>7067</v>
      </c>
      <c r="S1393" s="34" t="s">
        <v>4043</v>
      </c>
      <c r="T1393" s="34">
        <f>+IFERROR(_xlfn.XLOOKUP(Table43[[#This Row],[Column1]],#REF!,#REF!),0)</f>
        <v>0</v>
      </c>
      <c r="U1393" s="50">
        <f>IFERROR(_xlfn.XLOOKUP(Table43[[#This Row],[Column1]],#REF!,#REF!),0)</f>
        <v>0</v>
      </c>
      <c r="V1393" s="39"/>
    </row>
    <row r="1394" spans="1:22" x14ac:dyDescent="0.35">
      <c r="A1394" s="3" t="s">
        <v>4034</v>
      </c>
      <c r="B1394" s="2" t="s">
        <v>4045</v>
      </c>
      <c r="C1394" s="26" t="s">
        <v>9</v>
      </c>
      <c r="D1394" s="2">
        <v>11.02</v>
      </c>
      <c r="E1394" s="26" t="s">
        <v>10</v>
      </c>
      <c r="F1394" s="2">
        <v>1</v>
      </c>
      <c r="G1394" s="3">
        <v>2</v>
      </c>
      <c r="H1394" s="26">
        <v>1</v>
      </c>
      <c r="I1394" s="22">
        <f>Table43[[#This Row],[Item Cost]]*Table43[[#This Row],[In Stock]]</f>
        <v>11.02</v>
      </c>
      <c r="J1394" s="12" t="s">
        <v>4941</v>
      </c>
      <c r="K1394" s="14" t="s">
        <v>4664</v>
      </c>
      <c r="L1394" s="14" t="s">
        <v>4679</v>
      </c>
      <c r="M1394" s="14" t="s">
        <v>4837</v>
      </c>
      <c r="N1394" s="12" t="s">
        <v>4672</v>
      </c>
      <c r="O1394" s="32" t="str">
        <f>IF(LEN(COUNTIFS($J$1:J1394,$J1394,$K$1:K1394,$K1394,$L$1:L1394,$L1394,$M$1:M1394,M1394,$N$1:N1394,N1394))=1,"00"&amp;COUNTIFS($J$1:J1394,$J1394,$K$1:K1394,$K1394,$L$1:L1394,$L1394,$M$1:M1394,M1394,$N$1:N1394,N1394),IF(LEN(COUNTIFS($J$1:J1394,$J1394,$K$1:K1394,$K1394,$L$1:L1394,$L1394,$M$1:M1394,M1394,$N$1:N1394,N1394))=2,"0"&amp;COUNTIFS($J$1:J1394,$J1394,$K$1:K1394,$K1394,$L$1:L1394,$L1394,$M$1:M1394,M1394,$N$1:N1394,N1394),COUNTIFS($J$1:J1394,$J1394,$K$1:K1394,$K1394,$L$1:L1394,$L1394,$M$1:M1394,M1394,$N$1:N1394,N1394)))</f>
        <v>008</v>
      </c>
      <c r="P1394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MS-CS-005-26-00008-INV</v>
      </c>
      <c r="Q1394" s="59"/>
      <c r="R1394" s="34" t="s">
        <v>7068</v>
      </c>
      <c r="S1394" s="34" t="s">
        <v>4045</v>
      </c>
      <c r="T1394" s="34">
        <f>+IFERROR(_xlfn.XLOOKUP(Table43[[#This Row],[Column1]],#REF!,#REF!),0)</f>
        <v>0</v>
      </c>
      <c r="U1394" s="50">
        <f>IFERROR(_xlfn.XLOOKUP(Table43[[#This Row],[Column1]],#REF!,#REF!),0)</f>
        <v>0</v>
      </c>
      <c r="V1394" s="39"/>
    </row>
    <row r="1395" spans="1:22" x14ac:dyDescent="0.35">
      <c r="A1395" s="2" t="s">
        <v>4036</v>
      </c>
      <c r="B1395" s="3" t="s">
        <v>4047</v>
      </c>
      <c r="C1395" s="3" t="s">
        <v>9</v>
      </c>
      <c r="D1395" s="3">
        <v>330.52499999999998</v>
      </c>
      <c r="E1395" s="3" t="s">
        <v>10</v>
      </c>
      <c r="F1395" s="2">
        <v>1</v>
      </c>
      <c r="G1395" s="3">
        <v>2</v>
      </c>
      <c r="H1395" s="6">
        <v>2</v>
      </c>
      <c r="I1395" s="21">
        <f>Table43[[#This Row],[Item Cost]]*Table43[[#This Row],[In Stock]]</f>
        <v>661.05</v>
      </c>
      <c r="J1395" s="12" t="s">
        <v>4941</v>
      </c>
      <c r="K1395" s="14" t="s">
        <v>4664</v>
      </c>
      <c r="L1395" s="13" t="s">
        <v>4679</v>
      </c>
      <c r="M1395" s="14" t="s">
        <v>3950</v>
      </c>
      <c r="N1395" s="3" t="s">
        <v>4672</v>
      </c>
      <c r="O1395" s="32" t="str">
        <f>IF(LEN(COUNTIFS($J$1:J1395,$J1395,$K$1:K1395,$K1395,$L$1:L1395,$L1395,$M$1:M1395,M1395,$N$1:N1395,N1395))=1,"00"&amp;COUNTIFS($J$1:J1395,$J1395,$K$1:K1395,$K1395,$L$1:L1395,$L1395,$M$1:M1395,M1395,$N$1:N1395,N1395),IF(LEN(COUNTIFS($J$1:J1395,$J1395,$K$1:K1395,$K1395,$L$1:L1395,$L1395,$M$1:M1395,M1395,$N$1:N1395,N1395))=2,"0"&amp;COUNTIFS($J$1:J1395,$J1395,$K$1:K1395,$K1395,$L$1:L1395,$L1395,$M$1:M1395,M1395,$N$1:N1395,N1395),COUNTIFS($J$1:J1395,$J1395,$K$1:K1395,$K1395,$L$1:L1395,$L1395,$M$1:M1395,M1395,$N$1:N1395,N1395)))</f>
        <v>007</v>
      </c>
      <c r="P1395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MS-CS-005-22-00007-INV</v>
      </c>
      <c r="Q1395" s="59"/>
      <c r="R1395" s="34" t="s">
        <v>7069</v>
      </c>
      <c r="S1395" s="34" t="s">
        <v>4047</v>
      </c>
      <c r="T1395" s="34">
        <f>+IFERROR(_xlfn.XLOOKUP(Table43[[#This Row],[Column1]],#REF!,#REF!),0)</f>
        <v>0</v>
      </c>
      <c r="U1395" s="50">
        <f>IFERROR(_xlfn.XLOOKUP(Table43[[#This Row],[Column1]],#REF!,#REF!),0)</f>
        <v>0</v>
      </c>
      <c r="V1395" s="39"/>
    </row>
    <row r="1396" spans="1:22" x14ac:dyDescent="0.35">
      <c r="A1396" s="3" t="s">
        <v>4038</v>
      </c>
      <c r="B1396" s="2" t="s">
        <v>4049</v>
      </c>
      <c r="C1396" s="2" t="s">
        <v>9</v>
      </c>
      <c r="D1396" s="4">
        <v>55.09</v>
      </c>
      <c r="E1396" s="2" t="s">
        <v>10</v>
      </c>
      <c r="F1396" s="2">
        <v>1</v>
      </c>
      <c r="G1396" s="3">
        <v>2</v>
      </c>
      <c r="H1396" s="26">
        <v>2</v>
      </c>
      <c r="I1396" s="22">
        <f>Table43[[#This Row],[Item Cost]]*Table43[[#This Row],[In Stock]]</f>
        <v>110.18</v>
      </c>
      <c r="J1396" s="12" t="s">
        <v>4941</v>
      </c>
      <c r="K1396" s="14" t="s">
        <v>4664</v>
      </c>
      <c r="L1396" s="13" t="s">
        <v>4679</v>
      </c>
      <c r="M1396" s="14" t="s">
        <v>3950</v>
      </c>
      <c r="N1396" s="3" t="s">
        <v>4672</v>
      </c>
      <c r="O1396" s="32" t="str">
        <f>IF(LEN(COUNTIFS($J$1:J1396,$J1396,$K$1:K1396,$K1396,$L$1:L1396,$L1396,$M$1:M1396,M1396,$N$1:N1396,N1396))=1,"00"&amp;COUNTIFS($J$1:J1396,$J1396,$K$1:K1396,$K1396,$L$1:L1396,$L1396,$M$1:M1396,M1396,$N$1:N1396,N1396),IF(LEN(COUNTIFS($J$1:J1396,$J1396,$K$1:K1396,$K1396,$L$1:L1396,$L1396,$M$1:M1396,M1396,$N$1:N1396,N1396))=2,"0"&amp;COUNTIFS($J$1:J1396,$J1396,$K$1:K1396,$K1396,$L$1:L1396,$L1396,$M$1:M1396,M1396,$N$1:N1396,N1396),COUNTIFS($J$1:J1396,$J1396,$K$1:K1396,$K1396,$L$1:L1396,$L1396,$M$1:M1396,M1396,$N$1:N1396,N1396)))</f>
        <v>008</v>
      </c>
      <c r="P1396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MS-CS-005-22-00008-INV</v>
      </c>
      <c r="Q1396" s="59"/>
      <c r="R1396" s="34" t="s">
        <v>7070</v>
      </c>
      <c r="S1396" s="34" t="s">
        <v>4049</v>
      </c>
      <c r="T1396" s="34">
        <f>+IFERROR(_xlfn.XLOOKUP(Table43[[#This Row],[Column1]],#REF!,#REF!),0)</f>
        <v>0</v>
      </c>
      <c r="U1396" s="50">
        <f>IFERROR(_xlfn.XLOOKUP(Table43[[#This Row],[Column1]],#REF!,#REF!),0)</f>
        <v>0</v>
      </c>
      <c r="V1396" s="39"/>
    </row>
    <row r="1397" spans="1:22" x14ac:dyDescent="0.35">
      <c r="A1397" s="2" t="s">
        <v>4040</v>
      </c>
      <c r="B1397" s="3" t="s">
        <v>4051</v>
      </c>
      <c r="C1397" s="3" t="s">
        <v>9</v>
      </c>
      <c r="D1397" s="3">
        <v>459.06</v>
      </c>
      <c r="E1397" s="3" t="s">
        <v>10</v>
      </c>
      <c r="F1397" s="2">
        <v>1</v>
      </c>
      <c r="G1397" s="3">
        <v>2</v>
      </c>
      <c r="H1397" s="6">
        <v>1</v>
      </c>
      <c r="I1397" s="21">
        <f>Table43[[#This Row],[Item Cost]]*Table43[[#This Row],[In Stock]]</f>
        <v>459.06</v>
      </c>
      <c r="J1397" s="12" t="s">
        <v>4941</v>
      </c>
      <c r="K1397" s="14" t="s">
        <v>4664</v>
      </c>
      <c r="L1397" s="13" t="s">
        <v>4679</v>
      </c>
      <c r="M1397" s="14" t="s">
        <v>4795</v>
      </c>
      <c r="N1397" s="3" t="s">
        <v>4672</v>
      </c>
      <c r="O1397" s="32" t="str">
        <f>IF(LEN(COUNTIFS($J$1:J1397,$J1397,$K$1:K1397,$K1397,$L$1:L1397,$L1397,$M$1:M1397,M1397,$N$1:N1397,N1397))=1,"00"&amp;COUNTIFS($J$1:J1397,$J1397,$K$1:K1397,$K1397,$L$1:L1397,$L1397,$M$1:M1397,M1397,$N$1:N1397,N1397),IF(LEN(COUNTIFS($J$1:J1397,$J1397,$K$1:K1397,$K1397,$L$1:L1397,$L1397,$M$1:M1397,M1397,$N$1:N1397,N1397))=2,"0"&amp;COUNTIFS($J$1:J1397,$J1397,$K$1:K1397,$K1397,$L$1:L1397,$L1397,$M$1:M1397,M1397,$N$1:N1397,N1397),COUNTIFS($J$1:J1397,$J1397,$K$1:K1397,$K1397,$L$1:L1397,$L1397,$M$1:M1397,M1397,$N$1:N1397,N1397)))</f>
        <v>002</v>
      </c>
      <c r="P1397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MS-CS-005-19-00002-INV</v>
      </c>
      <c r="Q1397" s="59" t="s">
        <v>7338</v>
      </c>
      <c r="R1397" s="34" t="s">
        <v>7071</v>
      </c>
      <c r="S1397" s="34" t="s">
        <v>4051</v>
      </c>
      <c r="T1397" s="34">
        <f>+IFERROR(_xlfn.XLOOKUP(Table43[[#This Row],[Column1]],#REF!,#REF!),0)</f>
        <v>0</v>
      </c>
      <c r="U1397" s="50">
        <f>IFERROR(_xlfn.XLOOKUP(Table43[[#This Row],[Column1]],#REF!,#REF!),0)</f>
        <v>0</v>
      </c>
      <c r="V1397" s="39"/>
    </row>
    <row r="1398" spans="1:22" x14ac:dyDescent="0.35">
      <c r="A1398" s="3" t="s">
        <v>4042</v>
      </c>
      <c r="B1398" s="2" t="s">
        <v>4053</v>
      </c>
      <c r="C1398" s="26" t="s">
        <v>9</v>
      </c>
      <c r="D1398" s="2">
        <v>6059.63</v>
      </c>
      <c r="E1398" s="26" t="s">
        <v>10</v>
      </c>
      <c r="F1398" s="2">
        <v>1</v>
      </c>
      <c r="G1398" s="3">
        <v>2</v>
      </c>
      <c r="H1398" s="26">
        <v>1</v>
      </c>
      <c r="I1398" s="22">
        <f>Table43[[#This Row],[Item Cost]]*Table43[[#This Row],[In Stock]]</f>
        <v>6059.63</v>
      </c>
      <c r="J1398" s="12" t="s">
        <v>4941</v>
      </c>
      <c r="K1398" s="14" t="s">
        <v>4664</v>
      </c>
      <c r="L1398" s="14" t="s">
        <v>4679</v>
      </c>
      <c r="M1398" s="14" t="s">
        <v>4772</v>
      </c>
      <c r="N1398" s="3" t="s">
        <v>4672</v>
      </c>
      <c r="O1398" s="32" t="str">
        <f>IF(LEN(COUNTIFS($J$1:J1398,$J1398,$K$1:K1398,$K1398,$L$1:L1398,$L1398,$M$1:M1398,M1398,$N$1:N1398,N1398))=1,"00"&amp;COUNTIFS($J$1:J1398,$J1398,$K$1:K1398,$K1398,$L$1:L1398,$L1398,$M$1:M1398,M1398,$N$1:N1398,N1398),IF(LEN(COUNTIFS($J$1:J1398,$J1398,$K$1:K1398,$K1398,$L$1:L1398,$L1398,$M$1:M1398,M1398,$N$1:N1398,N1398))=2,"0"&amp;COUNTIFS($J$1:J1398,$J1398,$K$1:K1398,$K1398,$L$1:L1398,$L1398,$M$1:M1398,M1398,$N$1:N1398,N1398),COUNTIFS($J$1:J1398,$J1398,$K$1:K1398,$K1398,$L$1:L1398,$L1398,$M$1:M1398,M1398,$N$1:N1398,N1398)))</f>
        <v>003</v>
      </c>
      <c r="P1398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MS-CS-005-06-00003-INV</v>
      </c>
      <c r="Q1398" s="59" t="s">
        <v>7395</v>
      </c>
      <c r="R1398" s="34" t="s">
        <v>7072</v>
      </c>
      <c r="S1398" s="34" t="s">
        <v>4053</v>
      </c>
      <c r="T1398" s="34">
        <f>+IFERROR(_xlfn.XLOOKUP(Table43[[#This Row],[Column1]],#REF!,#REF!),0)</f>
        <v>0</v>
      </c>
      <c r="U1398" s="50">
        <f>IFERROR(_xlfn.XLOOKUP(Table43[[#This Row],[Column1]],#REF!,#REF!),0)</f>
        <v>0</v>
      </c>
      <c r="V1398" s="39"/>
    </row>
    <row r="1399" spans="1:22" x14ac:dyDescent="0.35">
      <c r="A1399" s="2" t="s">
        <v>4044</v>
      </c>
      <c r="B1399" s="3" t="s">
        <v>4015</v>
      </c>
      <c r="C1399" s="6" t="s">
        <v>9</v>
      </c>
      <c r="D1399" s="3">
        <v>11.02</v>
      </c>
      <c r="E1399" s="6" t="s">
        <v>10</v>
      </c>
      <c r="F1399" s="2">
        <v>1</v>
      </c>
      <c r="G1399" s="3">
        <v>2</v>
      </c>
      <c r="H1399" s="6">
        <v>1</v>
      </c>
      <c r="I1399" s="21">
        <f>Table43[[#This Row],[Item Cost]]*Table43[[#This Row],[In Stock]]</f>
        <v>11.02</v>
      </c>
      <c r="J1399" s="12" t="s">
        <v>4941</v>
      </c>
      <c r="K1399" s="14" t="s">
        <v>4664</v>
      </c>
      <c r="L1399" s="14" t="s">
        <v>4679</v>
      </c>
      <c r="M1399" s="14" t="s">
        <v>4837</v>
      </c>
      <c r="N1399" s="3" t="s">
        <v>4672</v>
      </c>
      <c r="O1399" s="32" t="str">
        <f>IF(LEN(COUNTIFS($J$1:J1399,$J1399,$K$1:K1399,$K1399,$L$1:L1399,$L1399,$M$1:M1399,M1399,$N$1:N1399,N1399))=1,"00"&amp;COUNTIFS($J$1:J1399,$J1399,$K$1:K1399,$K1399,$L$1:L1399,$L1399,$M$1:M1399,M1399,$N$1:N1399,N1399),IF(LEN(COUNTIFS($J$1:J1399,$J1399,$K$1:K1399,$K1399,$L$1:L1399,$L1399,$M$1:M1399,M1399,$N$1:N1399,N1399))=2,"0"&amp;COUNTIFS($J$1:J1399,$J1399,$K$1:K1399,$K1399,$L$1:L1399,$L1399,$M$1:M1399,M1399,$N$1:N1399,N1399),COUNTIFS($J$1:J1399,$J1399,$K$1:K1399,$K1399,$L$1:L1399,$L1399,$M$1:M1399,M1399,$N$1:N1399,N1399)))</f>
        <v>009</v>
      </c>
      <c r="P1399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MS-CS-005-26-00009-INV</v>
      </c>
      <c r="Q1399" s="59"/>
      <c r="R1399" s="34" t="s">
        <v>7073</v>
      </c>
      <c r="S1399" s="34" t="s">
        <v>4015</v>
      </c>
      <c r="T1399" s="34">
        <f>+IFERROR(_xlfn.XLOOKUP(Table43[[#This Row],[Column1]],#REF!,#REF!),0)</f>
        <v>0</v>
      </c>
      <c r="U1399" s="50">
        <f>IFERROR(_xlfn.XLOOKUP(Table43[[#This Row],[Column1]],#REF!,#REF!),0)</f>
        <v>0</v>
      </c>
      <c r="V1399" s="39"/>
    </row>
    <row r="1400" spans="1:22" x14ac:dyDescent="0.35">
      <c r="A1400" s="3" t="s">
        <v>4046</v>
      </c>
      <c r="B1400" s="2" t="s">
        <v>4056</v>
      </c>
      <c r="C1400" s="26" t="s">
        <v>9</v>
      </c>
      <c r="D1400" s="2">
        <v>1358.83</v>
      </c>
      <c r="E1400" s="26" t="s">
        <v>10</v>
      </c>
      <c r="F1400" s="2">
        <v>1</v>
      </c>
      <c r="G1400" s="3">
        <v>2</v>
      </c>
      <c r="H1400" s="26">
        <v>1</v>
      </c>
      <c r="I1400" s="22">
        <f>Table43[[#This Row],[Item Cost]]*Table43[[#This Row],[In Stock]]</f>
        <v>1358.83</v>
      </c>
      <c r="J1400" s="12" t="s">
        <v>4941</v>
      </c>
      <c r="K1400" s="14" t="s">
        <v>4664</v>
      </c>
      <c r="L1400" s="14" t="s">
        <v>4679</v>
      </c>
      <c r="M1400" s="14" t="s">
        <v>4795</v>
      </c>
      <c r="N1400" s="3" t="s">
        <v>4672</v>
      </c>
      <c r="O1400" s="32" t="str">
        <f>IF(LEN(COUNTIFS($J$1:J1400,$J1400,$K$1:K1400,$K1400,$L$1:L1400,$L1400,$M$1:M1400,M1400,$N$1:N1400,N1400))=1,"00"&amp;COUNTIFS($J$1:J1400,$J1400,$K$1:K1400,$K1400,$L$1:L1400,$L1400,$M$1:M1400,M1400,$N$1:N1400,N1400),IF(LEN(COUNTIFS($J$1:J1400,$J1400,$K$1:K1400,$K1400,$L$1:L1400,$L1400,$M$1:M1400,M1400,$N$1:N1400,N1400))=2,"0"&amp;COUNTIFS($J$1:J1400,$J1400,$K$1:K1400,$K1400,$L$1:L1400,$L1400,$M$1:M1400,M1400,$N$1:N1400,N1400),COUNTIFS($J$1:J1400,$J1400,$K$1:K1400,$K1400,$L$1:L1400,$L1400,$M$1:M1400,M1400,$N$1:N1400,N1400)))</f>
        <v>003</v>
      </c>
      <c r="P1400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MS-CS-005-19-00003-INV</v>
      </c>
      <c r="Q1400" s="59" t="s">
        <v>7393</v>
      </c>
      <c r="R1400" s="34" t="s">
        <v>7074</v>
      </c>
      <c r="S1400" s="34" t="s">
        <v>4056</v>
      </c>
      <c r="T1400" s="34">
        <f>+IFERROR(_xlfn.XLOOKUP(Table43[[#This Row],[Column1]],#REF!,#REF!),0)</f>
        <v>0</v>
      </c>
      <c r="U1400" s="50">
        <f>IFERROR(_xlfn.XLOOKUP(Table43[[#This Row],[Column1]],#REF!,#REF!),0)</f>
        <v>0</v>
      </c>
      <c r="V1400" s="39"/>
    </row>
    <row r="1401" spans="1:22" x14ac:dyDescent="0.35">
      <c r="A1401" s="2" t="s">
        <v>4048</v>
      </c>
      <c r="B1401" s="3" t="s">
        <v>4058</v>
      </c>
      <c r="C1401" s="6" t="s">
        <v>9</v>
      </c>
      <c r="D1401" s="5">
        <v>291.38299999999998</v>
      </c>
      <c r="E1401" s="6" t="s">
        <v>10</v>
      </c>
      <c r="F1401" s="2">
        <v>1</v>
      </c>
      <c r="G1401" s="3">
        <v>2</v>
      </c>
      <c r="H1401" s="6">
        <v>3</v>
      </c>
      <c r="I1401" s="21">
        <f>Table43[[#This Row],[Item Cost]]*Table43[[#This Row],[In Stock]]</f>
        <v>874.14899999999989</v>
      </c>
      <c r="J1401" s="12" t="s">
        <v>4941</v>
      </c>
      <c r="K1401" s="14" t="s">
        <v>4664</v>
      </c>
      <c r="L1401" s="14" t="s">
        <v>4679</v>
      </c>
      <c r="M1401" s="14" t="s">
        <v>4832</v>
      </c>
      <c r="N1401" s="3" t="s">
        <v>4672</v>
      </c>
      <c r="O1401" s="32" t="str">
        <f>IF(LEN(COUNTIFS($J$1:J1401,$J1401,$K$1:K1401,$K1401,$L$1:L1401,$L1401,$M$1:M1401,M1401,$N$1:N1401,N1401))=1,"00"&amp;COUNTIFS($J$1:J1401,$J1401,$K$1:K1401,$K1401,$L$1:L1401,$L1401,$M$1:M1401,M1401,$N$1:N1401,N1401),IF(LEN(COUNTIFS($J$1:J1401,$J1401,$K$1:K1401,$K1401,$L$1:L1401,$L1401,$M$1:M1401,M1401,$N$1:N1401,N1401))=2,"0"&amp;COUNTIFS($J$1:J1401,$J1401,$K$1:K1401,$K1401,$L$1:L1401,$L1401,$M$1:M1401,M1401,$N$1:N1401,N1401),COUNTIFS($J$1:J1401,$J1401,$K$1:K1401,$K1401,$L$1:L1401,$L1401,$M$1:M1401,M1401,$N$1:N1401,N1401)))</f>
        <v>001</v>
      </c>
      <c r="P1401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MS-CS-005-07-00001-INV</v>
      </c>
      <c r="Q1401" s="59"/>
      <c r="R1401" s="34" t="s">
        <v>7075</v>
      </c>
      <c r="S1401" s="34" t="s">
        <v>4058</v>
      </c>
      <c r="T1401" s="34">
        <f>+IFERROR(_xlfn.XLOOKUP(Table43[[#This Row],[Column1]],#REF!,#REF!),0)</f>
        <v>0</v>
      </c>
      <c r="U1401" s="50">
        <f>IFERROR(_xlfn.XLOOKUP(Table43[[#This Row],[Column1]],#REF!,#REF!),0)</f>
        <v>0</v>
      </c>
      <c r="V1401" s="39"/>
    </row>
    <row r="1402" spans="1:22" x14ac:dyDescent="0.35">
      <c r="A1402" s="3" t="s">
        <v>4050</v>
      </c>
      <c r="B1402" s="2" t="s">
        <v>4060</v>
      </c>
      <c r="C1402" s="26" t="s">
        <v>9</v>
      </c>
      <c r="D1402" s="2">
        <v>2570.75</v>
      </c>
      <c r="E1402" s="26" t="s">
        <v>10</v>
      </c>
      <c r="F1402" s="2">
        <v>1</v>
      </c>
      <c r="G1402" s="3">
        <v>2</v>
      </c>
      <c r="H1402" s="26">
        <v>1</v>
      </c>
      <c r="I1402" s="22">
        <f>Table43[[#This Row],[Item Cost]]*Table43[[#This Row],[In Stock]]</f>
        <v>2570.75</v>
      </c>
      <c r="J1402" s="12" t="s">
        <v>4941</v>
      </c>
      <c r="K1402" s="14" t="s">
        <v>4664</v>
      </c>
      <c r="L1402" s="14" t="s">
        <v>4679</v>
      </c>
      <c r="M1402" s="14" t="s">
        <v>4770</v>
      </c>
      <c r="N1402" s="3" t="s">
        <v>4672</v>
      </c>
      <c r="O1402" s="32" t="str">
        <f>IF(LEN(COUNTIFS($J$1:J1402,$J1402,$K$1:K1402,$K1402,$L$1:L1402,$L1402,$M$1:M1402,M1402,$N$1:N1402,N1402))=1,"00"&amp;COUNTIFS($J$1:J1402,$J1402,$K$1:K1402,$K1402,$L$1:L1402,$L1402,$M$1:M1402,M1402,$N$1:N1402,N1402),IF(LEN(COUNTIFS($J$1:J1402,$J1402,$K$1:K1402,$K1402,$L$1:L1402,$L1402,$M$1:M1402,M1402,$N$1:N1402,N1402))=2,"0"&amp;COUNTIFS($J$1:J1402,$J1402,$K$1:K1402,$K1402,$L$1:L1402,$L1402,$M$1:M1402,M1402,$N$1:N1402,N1402),COUNTIFS($J$1:J1402,$J1402,$K$1:K1402,$K1402,$L$1:L1402,$L1402,$M$1:M1402,M1402,$N$1:N1402,N1402)))</f>
        <v>004</v>
      </c>
      <c r="P1402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MS-CS-005-04-00004-INV</v>
      </c>
      <c r="Q1402" s="59"/>
      <c r="R1402" s="34" t="s">
        <v>7076</v>
      </c>
      <c r="S1402" s="34" t="s">
        <v>4060</v>
      </c>
      <c r="T1402" s="34">
        <f>+IFERROR(_xlfn.XLOOKUP(Table43[[#This Row],[Column1]],#REF!,#REF!),0)</f>
        <v>0</v>
      </c>
      <c r="U1402" s="50">
        <f>IFERROR(_xlfn.XLOOKUP(Table43[[#This Row],[Column1]],#REF!,#REF!),0)</f>
        <v>0</v>
      </c>
      <c r="V1402" s="39"/>
    </row>
    <row r="1403" spans="1:22" x14ac:dyDescent="0.35">
      <c r="A1403" s="2" t="s">
        <v>4052</v>
      </c>
      <c r="B1403" s="3" t="s">
        <v>4062</v>
      </c>
      <c r="C1403" s="6" t="s">
        <v>9</v>
      </c>
      <c r="D1403" s="5">
        <v>367.25</v>
      </c>
      <c r="E1403" s="6" t="s">
        <v>10</v>
      </c>
      <c r="F1403" s="2">
        <v>1</v>
      </c>
      <c r="G1403" s="3">
        <v>2</v>
      </c>
      <c r="H1403" s="6">
        <v>1</v>
      </c>
      <c r="I1403" s="21">
        <f>Table43[[#This Row],[Item Cost]]*Table43[[#This Row],[In Stock]]</f>
        <v>367.25</v>
      </c>
      <c r="J1403" s="12" t="s">
        <v>4941</v>
      </c>
      <c r="K1403" s="14" t="s">
        <v>4664</v>
      </c>
      <c r="L1403" s="14" t="s">
        <v>4679</v>
      </c>
      <c r="M1403" s="14" t="s">
        <v>4836</v>
      </c>
      <c r="N1403" s="3" t="s">
        <v>4672</v>
      </c>
      <c r="O1403" s="32" t="str">
        <f>IF(LEN(COUNTIFS($J$1:J1403,$J1403,$K$1:K1403,$K1403,$L$1:L1403,$L1403,$M$1:M1403,M1403,$N$1:N1403,N1403))=1,"00"&amp;COUNTIFS($J$1:J1403,$J1403,$K$1:K1403,$K1403,$L$1:L1403,$L1403,$M$1:M1403,M1403,$N$1:N1403,N1403),IF(LEN(COUNTIFS($J$1:J1403,$J1403,$K$1:K1403,$K1403,$L$1:L1403,$L1403,$M$1:M1403,M1403,$N$1:N1403,N1403))=2,"0"&amp;COUNTIFS($J$1:J1403,$J1403,$K$1:K1403,$K1403,$L$1:L1403,$L1403,$M$1:M1403,M1403,$N$1:N1403,N1403),COUNTIFS($J$1:J1403,$J1403,$K$1:K1403,$K1403,$L$1:L1403,$L1403,$M$1:M1403,M1403,$N$1:N1403,N1403)))</f>
        <v>002</v>
      </c>
      <c r="P1403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MS-CS-005-25-00002-INV</v>
      </c>
      <c r="Q1403" s="59"/>
      <c r="R1403" s="34" t="s">
        <v>7077</v>
      </c>
      <c r="S1403" s="34" t="s">
        <v>4062</v>
      </c>
      <c r="T1403" s="34">
        <f>+IFERROR(_xlfn.XLOOKUP(Table43[[#This Row],[Column1]],#REF!,#REF!),0)</f>
        <v>0</v>
      </c>
      <c r="U1403" s="50">
        <f>IFERROR(_xlfn.XLOOKUP(Table43[[#This Row],[Column1]],#REF!,#REF!),0)</f>
        <v>0</v>
      </c>
      <c r="V1403" s="39"/>
    </row>
    <row r="1404" spans="1:22" x14ac:dyDescent="0.35">
      <c r="A1404" s="3" t="s">
        <v>4054</v>
      </c>
      <c r="B1404" s="2" t="s">
        <v>4064</v>
      </c>
      <c r="C1404" s="26" t="s">
        <v>9</v>
      </c>
      <c r="D1404" s="2">
        <v>330.53</v>
      </c>
      <c r="E1404" s="26" t="s">
        <v>10</v>
      </c>
      <c r="F1404" s="2">
        <v>1</v>
      </c>
      <c r="G1404" s="3">
        <v>2</v>
      </c>
      <c r="H1404" s="26">
        <v>1</v>
      </c>
      <c r="I1404" s="22">
        <f>Table43[[#This Row],[Item Cost]]*Table43[[#This Row],[In Stock]]</f>
        <v>330.53</v>
      </c>
      <c r="J1404" s="12" t="s">
        <v>4941</v>
      </c>
      <c r="K1404" s="14" t="s">
        <v>4664</v>
      </c>
      <c r="L1404" s="14" t="s">
        <v>4679</v>
      </c>
      <c r="M1404" s="14" t="s">
        <v>4838</v>
      </c>
      <c r="N1404" s="3" t="s">
        <v>4672</v>
      </c>
      <c r="O1404" s="32" t="str">
        <f>IF(LEN(COUNTIFS($J$1:J1404,$J1404,$K$1:K1404,$K1404,$L$1:L1404,$L1404,$M$1:M1404,M1404,$N$1:N1404,N1404))=1,"00"&amp;COUNTIFS($J$1:J1404,$J1404,$K$1:K1404,$K1404,$L$1:L1404,$L1404,$M$1:M1404,M1404,$N$1:N1404,N1404),IF(LEN(COUNTIFS($J$1:J1404,$J1404,$K$1:K1404,$K1404,$L$1:L1404,$L1404,$M$1:M1404,M1404,$N$1:N1404,N1404))=2,"0"&amp;COUNTIFS($J$1:J1404,$J1404,$K$1:K1404,$K1404,$L$1:L1404,$L1404,$M$1:M1404,M1404,$N$1:N1404,N1404),COUNTIFS($J$1:J1404,$J1404,$K$1:K1404,$K1404,$L$1:L1404,$L1404,$M$1:M1404,M1404,$N$1:N1404,N1404)))</f>
        <v>002</v>
      </c>
      <c r="P1404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MS-CS-005-18-00002-INV</v>
      </c>
      <c r="Q1404" s="59"/>
      <c r="R1404" s="34" t="s">
        <v>7078</v>
      </c>
      <c r="S1404" s="34" t="s">
        <v>4064</v>
      </c>
      <c r="T1404" s="34">
        <f>+IFERROR(_xlfn.XLOOKUP(Table43[[#This Row],[Column1]],#REF!,#REF!),0)</f>
        <v>0</v>
      </c>
      <c r="U1404" s="50">
        <f>IFERROR(_xlfn.XLOOKUP(Table43[[#This Row],[Column1]],#REF!,#REF!),0)</f>
        <v>0</v>
      </c>
      <c r="V1404" s="39"/>
    </row>
    <row r="1405" spans="1:22" x14ac:dyDescent="0.35">
      <c r="A1405" s="2" t="s">
        <v>4055</v>
      </c>
      <c r="B1405" s="3" t="s">
        <v>4066</v>
      </c>
      <c r="C1405" s="6" t="s">
        <v>9</v>
      </c>
      <c r="D1405" s="5">
        <v>422.34</v>
      </c>
      <c r="E1405" s="6" t="s">
        <v>10</v>
      </c>
      <c r="F1405" s="2">
        <v>1</v>
      </c>
      <c r="G1405" s="3">
        <v>2</v>
      </c>
      <c r="H1405" s="6">
        <v>1</v>
      </c>
      <c r="I1405" s="21">
        <f>Table43[[#This Row],[Item Cost]]*Table43[[#This Row],[In Stock]]</f>
        <v>422.34</v>
      </c>
      <c r="J1405" s="12" t="s">
        <v>4941</v>
      </c>
      <c r="K1405" s="14" t="s">
        <v>4664</v>
      </c>
      <c r="L1405" s="14" t="s">
        <v>4679</v>
      </c>
      <c r="M1405" s="14" t="s">
        <v>4836</v>
      </c>
      <c r="N1405" s="3" t="s">
        <v>4672</v>
      </c>
      <c r="O1405" s="32" t="str">
        <f>IF(LEN(COUNTIFS($J$1:J1405,$J1405,$K$1:K1405,$K1405,$L$1:L1405,$L1405,$M$1:M1405,M1405,$N$1:N1405,N1405))=1,"00"&amp;COUNTIFS($J$1:J1405,$J1405,$K$1:K1405,$K1405,$L$1:L1405,$L1405,$M$1:M1405,M1405,$N$1:N1405,N1405),IF(LEN(COUNTIFS($J$1:J1405,$J1405,$K$1:K1405,$K1405,$L$1:L1405,$L1405,$M$1:M1405,M1405,$N$1:N1405,N1405))=2,"0"&amp;COUNTIFS($J$1:J1405,$J1405,$K$1:K1405,$K1405,$L$1:L1405,$L1405,$M$1:M1405,M1405,$N$1:N1405,N1405),COUNTIFS($J$1:J1405,$J1405,$K$1:K1405,$K1405,$L$1:L1405,$L1405,$M$1:M1405,M1405,$N$1:N1405,N1405)))</f>
        <v>003</v>
      </c>
      <c r="P1405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MS-CS-005-25-00003-INV</v>
      </c>
      <c r="Q1405" s="59"/>
      <c r="R1405" s="34" t="s">
        <v>7079</v>
      </c>
      <c r="S1405" s="34" t="s">
        <v>4066</v>
      </c>
      <c r="T1405" s="34">
        <f>+IFERROR(_xlfn.XLOOKUP(Table43[[#This Row],[Column1]],#REF!,#REF!),0)</f>
        <v>0</v>
      </c>
      <c r="U1405" s="50">
        <f>IFERROR(_xlfn.XLOOKUP(Table43[[#This Row],[Column1]],#REF!,#REF!),0)</f>
        <v>0</v>
      </c>
      <c r="V1405" s="39"/>
    </row>
    <row r="1406" spans="1:22" x14ac:dyDescent="0.35">
      <c r="A1406" s="3" t="s">
        <v>4120</v>
      </c>
      <c r="B1406" s="3" t="s">
        <v>3938</v>
      </c>
      <c r="C1406" s="6" t="s">
        <v>15</v>
      </c>
      <c r="D1406" s="3">
        <v>0</v>
      </c>
      <c r="E1406" s="6" t="s">
        <v>10</v>
      </c>
      <c r="F1406" s="2">
        <v>1</v>
      </c>
      <c r="G1406" s="2">
        <v>2</v>
      </c>
      <c r="H1406" s="6">
        <v>0</v>
      </c>
      <c r="I1406" s="21">
        <f>Table43[[#This Row],[Item Cost]]*Table43[[#This Row],[In Stock]]</f>
        <v>0</v>
      </c>
      <c r="J1406" s="12" t="s">
        <v>4941</v>
      </c>
      <c r="K1406" s="14" t="s">
        <v>4666</v>
      </c>
      <c r="L1406" s="14" t="s">
        <v>4721</v>
      </c>
      <c r="M1406" s="14" t="s">
        <v>4827</v>
      </c>
      <c r="N1406" s="3" t="s">
        <v>4672</v>
      </c>
      <c r="O1406" s="32" t="str">
        <f>IF(LEN(COUNTIFS($J$1:J1406,$J1406,$K$1:K1406,$K1406,$L$1:L1406,$L1406,$M$1:M1406,M1406,$N$1:N1406,N1406))=1,"00"&amp;COUNTIFS($J$1:J1406,$J1406,$K$1:K1406,$K1406,$L$1:L1406,$L1406,$M$1:M1406,M1406,$N$1:N1406,N1406),IF(LEN(COUNTIFS($J$1:J1406,$J1406,$K$1:K1406,$K1406,$L$1:L1406,$L1406,$M$1:M1406,M1406,$N$1:N1406,N1406))=2,"0"&amp;COUNTIFS($J$1:J1406,$J1406,$K$1:K1406,$K1406,$L$1:L1406,$L1406,$M$1:M1406,M1406,$N$1:N1406,N1406),COUNTIFS($J$1:J1406,$J1406,$K$1:K1406,$K1406,$L$1:L1406,$L1406,$M$1:M1406,M1406,$N$1:N1406,N1406)))</f>
        <v>001</v>
      </c>
      <c r="P1406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MS-NS-025-10-00001-INV</v>
      </c>
      <c r="Q1406" s="59"/>
      <c r="R1406" s="34" t="s">
        <v>7080</v>
      </c>
      <c r="S1406" s="34" t="s">
        <v>3938</v>
      </c>
      <c r="T1406" s="34">
        <f>+IFERROR(_xlfn.XLOOKUP(Table43[[#This Row],[Column1]],#REF!,#REF!),0)</f>
        <v>0</v>
      </c>
      <c r="U1406" s="50">
        <f>IFERROR(_xlfn.XLOOKUP(Table43[[#This Row],[Column1]],#REF!,#REF!),0)</f>
        <v>0</v>
      </c>
      <c r="V1406" s="39"/>
    </row>
    <row r="1407" spans="1:22" x14ac:dyDescent="0.35">
      <c r="A1407" s="2" t="s">
        <v>4121</v>
      </c>
      <c r="B1407" s="2" t="s">
        <v>3940</v>
      </c>
      <c r="C1407" s="26" t="s">
        <v>15</v>
      </c>
      <c r="D1407" s="2">
        <v>0</v>
      </c>
      <c r="E1407" s="26" t="s">
        <v>10</v>
      </c>
      <c r="F1407" s="2">
        <v>1</v>
      </c>
      <c r="G1407" s="2">
        <v>2</v>
      </c>
      <c r="H1407" s="26">
        <v>0</v>
      </c>
      <c r="I1407" s="22">
        <f>Table43[[#This Row],[Item Cost]]*Table43[[#This Row],[In Stock]]</f>
        <v>0</v>
      </c>
      <c r="J1407" s="12" t="s">
        <v>4941</v>
      </c>
      <c r="K1407" s="14" t="s">
        <v>4666</v>
      </c>
      <c r="L1407" s="13" t="s">
        <v>4721</v>
      </c>
      <c r="M1407" s="13" t="s">
        <v>4827</v>
      </c>
      <c r="N1407" s="12" t="s">
        <v>4672</v>
      </c>
      <c r="O1407" s="32" t="str">
        <f>IF(LEN(COUNTIFS($J$1:J1407,$J1407,$K$1:K1407,$K1407,$L$1:L1407,$L1407,$M$1:M1407,M1407,$N$1:N1407,N1407))=1,"00"&amp;COUNTIFS($J$1:J1407,$J1407,$K$1:K1407,$K1407,$L$1:L1407,$L1407,$M$1:M1407,M1407,$N$1:N1407,N1407),IF(LEN(COUNTIFS($J$1:J1407,$J1407,$K$1:K1407,$K1407,$L$1:L1407,$L1407,$M$1:M1407,M1407,$N$1:N1407,N1407))=2,"0"&amp;COUNTIFS($J$1:J1407,$J1407,$K$1:K1407,$K1407,$L$1:L1407,$L1407,$M$1:M1407,M1407,$N$1:N1407,N1407),COUNTIFS($J$1:J1407,$J1407,$K$1:K1407,$K1407,$L$1:L1407,$L1407,$M$1:M1407,M1407,$N$1:N1407,N1407)))</f>
        <v>002</v>
      </c>
      <c r="P1407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MS-NS-025-10-00002-INV</v>
      </c>
      <c r="Q1407" s="59"/>
      <c r="R1407" s="34" t="s">
        <v>7081</v>
      </c>
      <c r="S1407" s="34" t="s">
        <v>3940</v>
      </c>
      <c r="T1407" s="34">
        <f>+IFERROR(_xlfn.XLOOKUP(Table43[[#This Row],[Column1]],#REF!,#REF!),0)</f>
        <v>0</v>
      </c>
      <c r="U1407" s="50">
        <f>IFERROR(_xlfn.XLOOKUP(Table43[[#This Row],[Column1]],#REF!,#REF!),0)</f>
        <v>0</v>
      </c>
      <c r="V1407" s="39"/>
    </row>
    <row r="1408" spans="1:22" x14ac:dyDescent="0.35">
      <c r="A1408" s="3" t="s">
        <v>4122</v>
      </c>
      <c r="B1408" s="3" t="s">
        <v>916</v>
      </c>
      <c r="C1408" s="6" t="s">
        <v>15</v>
      </c>
      <c r="D1408" s="3">
        <v>25</v>
      </c>
      <c r="E1408" s="6" t="s">
        <v>10</v>
      </c>
      <c r="F1408" s="2">
        <v>1</v>
      </c>
      <c r="G1408" s="2">
        <v>2</v>
      </c>
      <c r="H1408" s="6">
        <v>100</v>
      </c>
      <c r="I1408" s="21">
        <f>Table43[[#This Row],[Item Cost]]*Table43[[#This Row],[In Stock]]</f>
        <v>2500</v>
      </c>
      <c r="J1408" s="12" t="s">
        <v>4941</v>
      </c>
      <c r="K1408" s="14" t="s">
        <v>4666</v>
      </c>
      <c r="L1408" s="13" t="s">
        <v>4717</v>
      </c>
      <c r="M1408" s="13" t="s">
        <v>4834</v>
      </c>
      <c r="N1408" s="12" t="s">
        <v>4672</v>
      </c>
      <c r="O1408" s="32" t="str">
        <f>IF(LEN(COUNTIFS($J$1:J1408,$J1408,$K$1:K1408,$K1408,$L$1:L1408,$L1408,$M$1:M1408,M1408,$N$1:N1408,N1408))=1,"00"&amp;COUNTIFS($J$1:J1408,$J1408,$K$1:K1408,$K1408,$L$1:L1408,$L1408,$M$1:M1408,M1408,$N$1:N1408,N1408),IF(LEN(COUNTIFS($J$1:J1408,$J1408,$K$1:K1408,$K1408,$L$1:L1408,$L1408,$M$1:M1408,M1408,$N$1:N1408,N1408))=2,"0"&amp;COUNTIFS($J$1:J1408,$J1408,$K$1:K1408,$K1408,$L$1:L1408,$L1408,$M$1:M1408,M1408,$N$1:N1408,N1408),COUNTIFS($J$1:J1408,$J1408,$K$1:K1408,$K1408,$L$1:L1408,$L1408,$M$1:M1408,M1408,$N$1:N1408,N1408)))</f>
        <v>059</v>
      </c>
      <c r="P1408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MS-NS-023-17-00059-INV</v>
      </c>
      <c r="Q1408" s="59"/>
      <c r="R1408" s="34" t="s">
        <v>7082</v>
      </c>
      <c r="S1408" s="34" t="s">
        <v>916</v>
      </c>
      <c r="T1408" s="34">
        <f>+IFERROR(_xlfn.XLOOKUP(Table43[[#This Row],[Column1]],#REF!,#REF!),0)</f>
        <v>0</v>
      </c>
      <c r="U1408" s="50">
        <f>IFERROR(_xlfn.XLOOKUP(Table43[[#This Row],[Column1]],#REF!,#REF!),0)</f>
        <v>0</v>
      </c>
      <c r="V1408" s="39"/>
    </row>
    <row r="1409" spans="1:22" x14ac:dyDescent="0.35">
      <c r="A1409" s="2" t="s">
        <v>4123</v>
      </c>
      <c r="B1409" s="2" t="s">
        <v>3226</v>
      </c>
      <c r="C1409" s="26" t="s">
        <v>9</v>
      </c>
      <c r="D1409" s="2">
        <v>19.5</v>
      </c>
      <c r="E1409" s="26" t="s">
        <v>10</v>
      </c>
      <c r="F1409" s="2">
        <v>1</v>
      </c>
      <c r="G1409" s="3">
        <v>2</v>
      </c>
      <c r="H1409" s="26">
        <v>40</v>
      </c>
      <c r="I1409" s="22">
        <f>Table43[[#This Row],[Item Cost]]*Table43[[#This Row],[In Stock]]</f>
        <v>780</v>
      </c>
      <c r="J1409" s="12" t="s">
        <v>4941</v>
      </c>
      <c r="K1409" s="14" t="s">
        <v>4664</v>
      </c>
      <c r="L1409" s="14" t="s">
        <v>4717</v>
      </c>
      <c r="M1409" s="14" t="s">
        <v>4834</v>
      </c>
      <c r="N1409" s="3" t="s">
        <v>4672</v>
      </c>
      <c r="O1409" s="32" t="str">
        <f>IF(LEN(COUNTIFS($J$1:J1409,$J1409,$K$1:K1409,$K1409,$L$1:L1409,$L1409,$M$1:M1409,M1409,$N$1:N1409,N1409))=1,"00"&amp;COUNTIFS($J$1:J1409,$J1409,$K$1:K1409,$K1409,$L$1:L1409,$L1409,$M$1:M1409,M1409,$N$1:N1409,N1409),IF(LEN(COUNTIFS($J$1:J1409,$J1409,$K$1:K1409,$K1409,$L$1:L1409,$L1409,$M$1:M1409,M1409,$N$1:N1409,N1409))=2,"0"&amp;COUNTIFS($J$1:J1409,$J1409,$K$1:K1409,$K1409,$L$1:L1409,$L1409,$M$1:M1409,M1409,$N$1:N1409,N1409),COUNTIFS($J$1:J1409,$J1409,$K$1:K1409,$K1409,$L$1:L1409,$L1409,$M$1:M1409,M1409,$N$1:N1409,N1409)))</f>
        <v>001</v>
      </c>
      <c r="P1409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MS-CS-023-17-00001-INV</v>
      </c>
      <c r="Q1409" s="59"/>
      <c r="R1409" s="34" t="s">
        <v>7083</v>
      </c>
      <c r="S1409" s="34" t="s">
        <v>3226</v>
      </c>
      <c r="T1409" s="34">
        <f>+IFERROR(_xlfn.XLOOKUP(Table43[[#This Row],[Column1]],#REF!,#REF!),0)</f>
        <v>0</v>
      </c>
      <c r="U1409" s="50">
        <f>IFERROR(_xlfn.XLOOKUP(Table43[[#This Row],[Column1]],#REF!,#REF!),0)</f>
        <v>0</v>
      </c>
      <c r="V1409" s="39"/>
    </row>
    <row r="1410" spans="1:22" x14ac:dyDescent="0.35">
      <c r="A1410" s="3" t="s">
        <v>4124</v>
      </c>
      <c r="B1410" s="6" t="s">
        <v>4125</v>
      </c>
      <c r="C1410" s="6" t="s">
        <v>15</v>
      </c>
      <c r="D1410" s="6">
        <v>175</v>
      </c>
      <c r="E1410" s="6" t="s">
        <v>10</v>
      </c>
      <c r="F1410" s="2">
        <v>1</v>
      </c>
      <c r="G1410" s="2">
        <v>2</v>
      </c>
      <c r="H1410" s="6">
        <v>0</v>
      </c>
      <c r="I1410" s="25">
        <f>Table43[[#This Row],[Item Cost]]*Table43[[#This Row],[In Stock]]</f>
        <v>0</v>
      </c>
      <c r="J1410" s="12" t="s">
        <v>4941</v>
      </c>
      <c r="K1410" s="14" t="s">
        <v>4666</v>
      </c>
      <c r="L1410" s="14" t="s">
        <v>4721</v>
      </c>
      <c r="M1410" s="14" t="s">
        <v>4693</v>
      </c>
      <c r="N1410" s="3" t="s">
        <v>4672</v>
      </c>
      <c r="O1410" s="32" t="str">
        <f>IF(LEN(COUNTIFS($J$1:J1410,$J1410,$K$1:K1410,$K1410,$L$1:L1410,$L1410,$M$1:M1410,M1410,$N$1:N1410,N1410))=1,"00"&amp;COUNTIFS($J$1:J1410,$J1410,$K$1:K1410,$K1410,$L$1:L1410,$L1410,$M$1:M1410,M1410,$N$1:N1410,N1410),IF(LEN(COUNTIFS($J$1:J1410,$J1410,$K$1:K1410,$K1410,$L$1:L1410,$L1410,$M$1:M1410,M1410,$N$1:N1410,N1410))=2,"0"&amp;COUNTIFS($J$1:J1410,$J1410,$K$1:K1410,$K1410,$L$1:L1410,$L1410,$M$1:M1410,M1410,$N$1:N1410,N1410),COUNTIFS($J$1:J1410,$J1410,$K$1:K1410,$K1410,$L$1:L1410,$L1410,$M$1:M1410,M1410,$N$1:N1410,N1410)))</f>
        <v>001</v>
      </c>
      <c r="P1410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MS-NS-025-23-00001-INV</v>
      </c>
      <c r="Q1410" s="59"/>
      <c r="R1410" s="34" t="s">
        <v>7084</v>
      </c>
      <c r="S1410" s="34" t="s">
        <v>4125</v>
      </c>
      <c r="T1410" s="34">
        <f>+IFERROR(_xlfn.XLOOKUP(Table43[[#This Row],[Column1]],#REF!,#REF!),0)</f>
        <v>0</v>
      </c>
      <c r="U1410" s="50">
        <f>IFERROR(_xlfn.XLOOKUP(Table43[[#This Row],[Column1]],#REF!,#REF!),0)</f>
        <v>0</v>
      </c>
      <c r="V1410" s="39"/>
    </row>
    <row r="1411" spans="1:22" x14ac:dyDescent="0.35">
      <c r="A1411" s="2" t="s">
        <v>4126</v>
      </c>
      <c r="B1411" s="2" t="s">
        <v>4127</v>
      </c>
      <c r="C1411" s="2" t="s">
        <v>15</v>
      </c>
      <c r="D1411" s="2">
        <v>175</v>
      </c>
      <c r="E1411" s="2" t="s">
        <v>10</v>
      </c>
      <c r="F1411" s="2">
        <v>1</v>
      </c>
      <c r="G1411" s="2">
        <v>2</v>
      </c>
      <c r="H1411" s="26">
        <v>0</v>
      </c>
      <c r="I1411" s="22">
        <f>Table43[[#This Row],[Item Cost]]*Table43[[#This Row],[In Stock]]</f>
        <v>0</v>
      </c>
      <c r="J1411" s="12" t="s">
        <v>4941</v>
      </c>
      <c r="K1411" s="14" t="s">
        <v>4666</v>
      </c>
      <c r="L1411" s="13" t="s">
        <v>4721</v>
      </c>
      <c r="M1411" s="14" t="s">
        <v>4693</v>
      </c>
      <c r="N1411" s="3" t="s">
        <v>4672</v>
      </c>
      <c r="O1411" s="32" t="str">
        <f>IF(LEN(COUNTIFS($J$1:J1411,$J1411,$K$1:K1411,$K1411,$L$1:L1411,$L1411,$M$1:M1411,M1411,$N$1:N1411,N1411))=1,"00"&amp;COUNTIFS($J$1:J1411,$J1411,$K$1:K1411,$K1411,$L$1:L1411,$L1411,$M$1:M1411,M1411,$N$1:N1411,N1411),IF(LEN(COUNTIFS($J$1:J1411,$J1411,$K$1:K1411,$K1411,$L$1:L1411,$L1411,$M$1:M1411,M1411,$N$1:N1411,N1411))=2,"0"&amp;COUNTIFS($J$1:J1411,$J1411,$K$1:K1411,$K1411,$L$1:L1411,$L1411,$M$1:M1411,M1411,$N$1:N1411,N1411),COUNTIFS($J$1:J1411,$J1411,$K$1:K1411,$K1411,$L$1:L1411,$L1411,$M$1:M1411,M1411,$N$1:N1411,N1411)))</f>
        <v>002</v>
      </c>
      <c r="P1411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MS-NS-025-23-00002-INV</v>
      </c>
      <c r="Q1411" s="59"/>
      <c r="R1411" s="34" t="s">
        <v>7085</v>
      </c>
      <c r="S1411" s="34" t="s">
        <v>4127</v>
      </c>
      <c r="T1411" s="34">
        <f>+IFERROR(_xlfn.XLOOKUP(Table43[[#This Row],[Column1]],#REF!,#REF!),0)</f>
        <v>0</v>
      </c>
      <c r="U1411" s="50">
        <f>IFERROR(_xlfn.XLOOKUP(Table43[[#This Row],[Column1]],#REF!,#REF!),0)</f>
        <v>0</v>
      </c>
      <c r="V1411" s="39"/>
    </row>
    <row r="1412" spans="1:22" x14ac:dyDescent="0.35">
      <c r="A1412" s="3" t="s">
        <v>4128</v>
      </c>
      <c r="B1412" s="3" t="s">
        <v>4129</v>
      </c>
      <c r="C1412" s="3" t="s">
        <v>9</v>
      </c>
      <c r="D1412" s="3">
        <v>30</v>
      </c>
      <c r="E1412" s="3" t="s">
        <v>10</v>
      </c>
      <c r="F1412" s="2">
        <v>1</v>
      </c>
      <c r="G1412" s="3">
        <v>2</v>
      </c>
      <c r="H1412" s="6">
        <v>10</v>
      </c>
      <c r="I1412" s="21">
        <f>Table43[[#This Row],[Item Cost]]*Table43[[#This Row],[In Stock]]</f>
        <v>300</v>
      </c>
      <c r="J1412" s="12" t="s">
        <v>4941</v>
      </c>
      <c r="K1412" s="14" t="s">
        <v>4664</v>
      </c>
      <c r="L1412" s="13" t="s">
        <v>4721</v>
      </c>
      <c r="M1412" s="13" t="s">
        <v>4828</v>
      </c>
      <c r="N1412" s="12" t="s">
        <v>4672</v>
      </c>
      <c r="O1412" s="32" t="str">
        <f>IF(LEN(COUNTIFS($J$1:J1412,$J1412,$K$1:K1412,$K1412,$L$1:L1412,$L1412,$M$1:M1412,M1412,$N$1:N1412,N1412))=1,"00"&amp;COUNTIFS($J$1:J1412,$J1412,$K$1:K1412,$K1412,$L$1:L1412,$L1412,$M$1:M1412,M1412,$N$1:N1412,N1412),IF(LEN(COUNTIFS($J$1:J1412,$J1412,$K$1:K1412,$K1412,$L$1:L1412,$L1412,$M$1:M1412,M1412,$N$1:N1412,N1412))=2,"0"&amp;COUNTIFS($J$1:J1412,$J1412,$K$1:K1412,$K1412,$L$1:L1412,$L1412,$M$1:M1412,M1412,$N$1:N1412,N1412),COUNTIFS($J$1:J1412,$J1412,$K$1:K1412,$K1412,$L$1:L1412,$L1412,$M$1:M1412,M1412,$N$1:N1412,N1412)))</f>
        <v>001</v>
      </c>
      <c r="P1412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MS-CS-025-13-00001-INV</v>
      </c>
      <c r="Q1412" s="59" t="s">
        <v>7346</v>
      </c>
      <c r="R1412" s="34" t="s">
        <v>7086</v>
      </c>
      <c r="S1412" s="34" t="s">
        <v>4129</v>
      </c>
      <c r="T1412" s="34">
        <f>+IFERROR(_xlfn.XLOOKUP(Table43[[#This Row],[Column1]],#REF!,#REF!),0)</f>
        <v>0</v>
      </c>
      <c r="U1412" s="50">
        <f>IFERROR(_xlfn.XLOOKUP(Table43[[#This Row],[Column1]],#REF!,#REF!),0)</f>
        <v>0</v>
      </c>
      <c r="V1412" s="39"/>
    </row>
    <row r="1413" spans="1:22" x14ac:dyDescent="0.35">
      <c r="A1413" s="2" t="s">
        <v>4130</v>
      </c>
      <c r="B1413" s="2" t="s">
        <v>4131</v>
      </c>
      <c r="C1413" s="2" t="s">
        <v>15</v>
      </c>
      <c r="D1413" s="2">
        <v>0</v>
      </c>
      <c r="E1413" s="2" t="s">
        <v>10</v>
      </c>
      <c r="F1413" s="2">
        <v>1</v>
      </c>
      <c r="G1413" s="2">
        <v>2</v>
      </c>
      <c r="H1413" s="26">
        <v>0</v>
      </c>
      <c r="I1413" s="22">
        <f>Table43[[#This Row],[Item Cost]]*Table43[[#This Row],[In Stock]]</f>
        <v>0</v>
      </c>
      <c r="J1413" s="12" t="s">
        <v>4941</v>
      </c>
      <c r="K1413" s="14" t="s">
        <v>4666</v>
      </c>
      <c r="L1413" s="13" t="s">
        <v>4717</v>
      </c>
      <c r="M1413" s="13" t="s">
        <v>4859</v>
      </c>
      <c r="N1413" s="12" t="s">
        <v>4672</v>
      </c>
      <c r="O1413" s="32" t="str">
        <f>IF(LEN(COUNTIFS($J$1:J1413,$J1413,$K$1:K1413,$K1413,$L$1:L1413,$L1413,$M$1:M1413,M1413,$N$1:N1413,N1413))=1,"00"&amp;COUNTIFS($J$1:J1413,$J1413,$K$1:K1413,$K1413,$L$1:L1413,$L1413,$M$1:M1413,M1413,$N$1:N1413,N1413),IF(LEN(COUNTIFS($J$1:J1413,$J1413,$K$1:K1413,$K1413,$L$1:L1413,$L1413,$M$1:M1413,M1413,$N$1:N1413,N1413))=2,"0"&amp;COUNTIFS($J$1:J1413,$J1413,$K$1:K1413,$K1413,$L$1:L1413,$L1413,$M$1:M1413,M1413,$N$1:N1413,N1413),COUNTIFS($J$1:J1413,$J1413,$K$1:K1413,$K1413,$L$1:L1413,$L1413,$M$1:M1413,M1413,$N$1:N1413,N1413)))</f>
        <v>039</v>
      </c>
      <c r="P1413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MS-NS-023-30-00039-INV</v>
      </c>
      <c r="Q1413" s="59"/>
      <c r="R1413" s="34" t="s">
        <v>7087</v>
      </c>
      <c r="S1413" s="34" t="s">
        <v>4131</v>
      </c>
      <c r="T1413" s="34">
        <f>+IFERROR(_xlfn.XLOOKUP(Table43[[#This Row],[Column1]],#REF!,#REF!),0)</f>
        <v>0</v>
      </c>
      <c r="U1413" s="50">
        <f>IFERROR(_xlfn.XLOOKUP(Table43[[#This Row],[Column1]],#REF!,#REF!),0)</f>
        <v>0</v>
      </c>
      <c r="V1413" s="39"/>
    </row>
    <row r="1414" spans="1:22" x14ac:dyDescent="0.35">
      <c r="A1414" s="3" t="s">
        <v>4132</v>
      </c>
      <c r="B1414" s="3" t="s">
        <v>4133</v>
      </c>
      <c r="C1414" s="3" t="s">
        <v>15</v>
      </c>
      <c r="D1414" s="3">
        <v>0</v>
      </c>
      <c r="E1414" s="3" t="s">
        <v>10</v>
      </c>
      <c r="F1414" s="2">
        <v>1</v>
      </c>
      <c r="G1414" s="2">
        <v>2</v>
      </c>
      <c r="H1414" s="6">
        <v>0</v>
      </c>
      <c r="I1414" s="21">
        <f>Table43[[#This Row],[Item Cost]]*Table43[[#This Row],[In Stock]]</f>
        <v>0</v>
      </c>
      <c r="J1414" s="12" t="s">
        <v>4941</v>
      </c>
      <c r="K1414" s="14" t="s">
        <v>4666</v>
      </c>
      <c r="L1414" s="13" t="s">
        <v>4717</v>
      </c>
      <c r="M1414" s="13" t="s">
        <v>4859</v>
      </c>
      <c r="N1414" s="12" t="s">
        <v>4672</v>
      </c>
      <c r="O1414" s="32" t="str">
        <f>IF(LEN(COUNTIFS($J$1:J1414,$J1414,$K$1:K1414,$K1414,$L$1:L1414,$L1414,$M$1:M1414,M1414,$N$1:N1414,N1414))=1,"00"&amp;COUNTIFS($J$1:J1414,$J1414,$K$1:K1414,$K1414,$L$1:L1414,$L1414,$M$1:M1414,M1414,$N$1:N1414,N1414),IF(LEN(COUNTIFS($J$1:J1414,$J1414,$K$1:K1414,$K1414,$L$1:L1414,$L1414,$M$1:M1414,M1414,$N$1:N1414,N1414))=2,"0"&amp;COUNTIFS($J$1:J1414,$J1414,$K$1:K1414,$K1414,$L$1:L1414,$L1414,$M$1:M1414,M1414,$N$1:N1414,N1414),COUNTIFS($J$1:J1414,$J1414,$K$1:K1414,$K1414,$L$1:L1414,$L1414,$M$1:M1414,M1414,$N$1:N1414,N1414)))</f>
        <v>040</v>
      </c>
      <c r="P1414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MS-NS-023-30-00040-INV</v>
      </c>
      <c r="Q1414" s="59"/>
      <c r="R1414" s="34" t="s">
        <v>7088</v>
      </c>
      <c r="S1414" s="34" t="s">
        <v>4133</v>
      </c>
      <c r="T1414" s="34">
        <f>+IFERROR(_xlfn.XLOOKUP(Table43[[#This Row],[Column1]],#REF!,#REF!),0)</f>
        <v>0</v>
      </c>
      <c r="U1414" s="50">
        <f>IFERROR(_xlfn.XLOOKUP(Table43[[#This Row],[Column1]],#REF!,#REF!),0)</f>
        <v>0</v>
      </c>
      <c r="V1414" s="39"/>
    </row>
    <row r="1415" spans="1:22" x14ac:dyDescent="0.35">
      <c r="A1415" s="2" t="s">
        <v>4134</v>
      </c>
      <c r="B1415" s="2" t="s">
        <v>1863</v>
      </c>
      <c r="C1415" s="2" t="s">
        <v>9</v>
      </c>
      <c r="D1415" s="2">
        <v>698</v>
      </c>
      <c r="E1415" s="2" t="s">
        <v>10</v>
      </c>
      <c r="F1415" s="2">
        <v>1</v>
      </c>
      <c r="G1415" s="3">
        <v>2</v>
      </c>
      <c r="H1415" s="26">
        <v>5</v>
      </c>
      <c r="I1415" s="22">
        <f>Table43[[#This Row],[Item Cost]]*Table43[[#This Row],[In Stock]]</f>
        <v>3490</v>
      </c>
      <c r="J1415" s="12" t="s">
        <v>4941</v>
      </c>
      <c r="K1415" s="14" t="s">
        <v>4664</v>
      </c>
      <c r="L1415" s="13" t="s">
        <v>4721</v>
      </c>
      <c r="M1415" s="13" t="s">
        <v>4859</v>
      </c>
      <c r="N1415" s="12" t="s">
        <v>4672</v>
      </c>
      <c r="O1415" s="32" t="str">
        <f>IF(LEN(COUNTIFS($J$1:J1415,$J1415,$K$1:K1415,$K1415,$L$1:L1415,$L1415,$M$1:M1415,M1415,$N$1:N1415,N1415))=1,"00"&amp;COUNTIFS($J$1:J1415,$J1415,$K$1:K1415,$K1415,$L$1:L1415,$L1415,$M$1:M1415,M1415,$N$1:N1415,N1415),IF(LEN(COUNTIFS($J$1:J1415,$J1415,$K$1:K1415,$K1415,$L$1:L1415,$L1415,$M$1:M1415,M1415,$N$1:N1415,N1415))=2,"0"&amp;COUNTIFS($J$1:J1415,$J1415,$K$1:K1415,$K1415,$L$1:L1415,$L1415,$M$1:M1415,M1415,$N$1:N1415,N1415),COUNTIFS($J$1:J1415,$J1415,$K$1:K1415,$K1415,$L$1:L1415,$L1415,$M$1:M1415,M1415,$N$1:N1415,N1415)))</f>
        <v>001</v>
      </c>
      <c r="P1415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MS-CS-025-30-00001-INV</v>
      </c>
      <c r="Q1415" s="59"/>
      <c r="R1415" s="34" t="s">
        <v>7089</v>
      </c>
      <c r="S1415" s="34" t="s">
        <v>1863</v>
      </c>
      <c r="T1415" s="34">
        <f>+IFERROR(_xlfn.XLOOKUP(Table43[[#This Row],[Column1]],#REF!,#REF!),0)</f>
        <v>0</v>
      </c>
      <c r="U1415" s="50">
        <f>IFERROR(_xlfn.XLOOKUP(Table43[[#This Row],[Column1]],#REF!,#REF!),0)</f>
        <v>0</v>
      </c>
      <c r="V1415" s="39"/>
    </row>
    <row r="1416" spans="1:22" x14ac:dyDescent="0.35">
      <c r="A1416" s="3" t="s">
        <v>4135</v>
      </c>
      <c r="B1416" s="3" t="s">
        <v>4136</v>
      </c>
      <c r="C1416" s="3" t="s">
        <v>9</v>
      </c>
      <c r="D1416" s="3">
        <v>2400</v>
      </c>
      <c r="E1416" s="3" t="s">
        <v>10</v>
      </c>
      <c r="F1416" s="2">
        <v>1</v>
      </c>
      <c r="G1416" s="3">
        <v>2</v>
      </c>
      <c r="H1416" s="6">
        <v>1</v>
      </c>
      <c r="I1416" s="21">
        <f>Table43[[#This Row],[Item Cost]]*Table43[[#This Row],[In Stock]]</f>
        <v>2400</v>
      </c>
      <c r="J1416" s="12" t="s">
        <v>4941</v>
      </c>
      <c r="K1416" s="14" t="s">
        <v>4664</v>
      </c>
      <c r="L1416" s="13" t="s">
        <v>4721</v>
      </c>
      <c r="M1416" s="13" t="s">
        <v>4772</v>
      </c>
      <c r="N1416" s="12" t="s">
        <v>4672</v>
      </c>
      <c r="O1416" s="32" t="str">
        <f>IF(LEN(COUNTIFS($J$1:J1416,$J1416,$K$1:K1416,$K1416,$L$1:L1416,$L1416,$M$1:M1416,M1416,$N$1:N1416,N1416))=1,"00"&amp;COUNTIFS($J$1:J1416,$J1416,$K$1:K1416,$K1416,$L$1:L1416,$L1416,$M$1:M1416,M1416,$N$1:N1416,N1416),IF(LEN(COUNTIFS($J$1:J1416,$J1416,$K$1:K1416,$K1416,$L$1:L1416,$L1416,$M$1:M1416,M1416,$N$1:N1416,N1416))=2,"0"&amp;COUNTIFS($J$1:J1416,$J1416,$K$1:K1416,$K1416,$L$1:L1416,$L1416,$M$1:M1416,M1416,$N$1:N1416,N1416),COUNTIFS($J$1:J1416,$J1416,$K$1:K1416,$K1416,$L$1:L1416,$L1416,$M$1:M1416,M1416,$N$1:N1416,N1416)))</f>
        <v>001</v>
      </c>
      <c r="P1416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MS-CS-025-06-00001-INV</v>
      </c>
      <c r="Q1416" s="59"/>
      <c r="R1416" s="34" t="s">
        <v>7090</v>
      </c>
      <c r="S1416" s="34" t="s">
        <v>4136</v>
      </c>
      <c r="T1416" s="34">
        <f>+IFERROR(_xlfn.XLOOKUP(Table43[[#This Row],[Column1]],#REF!,#REF!),0)</f>
        <v>0</v>
      </c>
      <c r="U1416" s="50">
        <f>IFERROR(_xlfn.XLOOKUP(Table43[[#This Row],[Column1]],#REF!,#REF!),0)</f>
        <v>0</v>
      </c>
      <c r="V1416" s="39"/>
    </row>
    <row r="1417" spans="1:22" x14ac:dyDescent="0.35">
      <c r="A1417" s="2" t="s">
        <v>4137</v>
      </c>
      <c r="B1417" s="2" t="s">
        <v>4138</v>
      </c>
      <c r="C1417" s="2" t="s">
        <v>15</v>
      </c>
      <c r="D1417" s="2">
        <v>0</v>
      </c>
      <c r="E1417" s="2" t="s">
        <v>10</v>
      </c>
      <c r="F1417" s="2">
        <v>1</v>
      </c>
      <c r="G1417" s="2">
        <v>2</v>
      </c>
      <c r="H1417" s="26">
        <v>0</v>
      </c>
      <c r="I1417" s="22">
        <f>Table43[[#This Row],[Item Cost]]*Table43[[#This Row],[In Stock]]</f>
        <v>0</v>
      </c>
      <c r="J1417" s="12" t="s">
        <v>4941</v>
      </c>
      <c r="K1417" s="14" t="s">
        <v>4666</v>
      </c>
      <c r="L1417" s="13" t="s">
        <v>4721</v>
      </c>
      <c r="M1417" s="13" t="s">
        <v>4838</v>
      </c>
      <c r="N1417" s="12" t="s">
        <v>4672</v>
      </c>
      <c r="O1417" s="32" t="str">
        <f>IF(LEN(COUNTIFS($J$1:J1417,$J1417,$K$1:K1417,$K1417,$L$1:L1417,$L1417,$M$1:M1417,M1417,$N$1:N1417,N1417))=1,"00"&amp;COUNTIFS($J$1:J1417,$J1417,$K$1:K1417,$K1417,$L$1:L1417,$L1417,$M$1:M1417,M1417,$N$1:N1417,N1417),IF(LEN(COUNTIFS($J$1:J1417,$J1417,$K$1:K1417,$K1417,$L$1:L1417,$L1417,$M$1:M1417,M1417,$N$1:N1417,N1417))=2,"0"&amp;COUNTIFS($J$1:J1417,$J1417,$K$1:K1417,$K1417,$L$1:L1417,$L1417,$M$1:M1417,M1417,$N$1:N1417,N1417),COUNTIFS($J$1:J1417,$J1417,$K$1:K1417,$K1417,$L$1:L1417,$L1417,$M$1:M1417,M1417,$N$1:N1417,N1417)))</f>
        <v>001</v>
      </c>
      <c r="P1417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MS-NS-025-18-00001-INV</v>
      </c>
      <c r="Q1417" s="59"/>
      <c r="R1417" s="34" t="s">
        <v>7091</v>
      </c>
      <c r="S1417" s="34" t="s">
        <v>4138</v>
      </c>
      <c r="T1417" s="34">
        <f>+IFERROR(_xlfn.XLOOKUP(Table43[[#This Row],[Column1]],#REF!,#REF!),0)</f>
        <v>0</v>
      </c>
      <c r="U1417" s="50">
        <f>IFERROR(_xlfn.XLOOKUP(Table43[[#This Row],[Column1]],#REF!,#REF!),0)</f>
        <v>0</v>
      </c>
      <c r="V1417" s="39"/>
    </row>
    <row r="1418" spans="1:22" x14ac:dyDescent="0.35">
      <c r="A1418" s="3" t="s">
        <v>5623</v>
      </c>
      <c r="B1418" s="3" t="s">
        <v>4140</v>
      </c>
      <c r="C1418" s="3" t="s">
        <v>9</v>
      </c>
      <c r="D1418" s="3">
        <v>320</v>
      </c>
      <c r="E1418" s="3" t="s">
        <v>10</v>
      </c>
      <c r="F1418" s="2">
        <v>1</v>
      </c>
      <c r="G1418" s="3">
        <v>2</v>
      </c>
      <c r="H1418" s="6">
        <v>1</v>
      </c>
      <c r="I1418" s="21">
        <f>Table43[[#This Row],[Item Cost]]*Table43[[#This Row],[In Stock]]</f>
        <v>320</v>
      </c>
      <c r="J1418" s="12" t="s">
        <v>4941</v>
      </c>
      <c r="K1418" s="14" t="s">
        <v>4664</v>
      </c>
      <c r="L1418" s="13" t="s">
        <v>4721</v>
      </c>
      <c r="M1418" s="13" t="s">
        <v>4770</v>
      </c>
      <c r="N1418" s="12" t="s">
        <v>4849</v>
      </c>
      <c r="O1418" s="32" t="str">
        <f>IF(LEN(COUNTIFS($J$1:J1418,$J1418,$K$1:K1418,$K1418,$L$1:L1418,$L1418,$M$1:M1418,M1418,$N$1:N1418,N1418))=1,"00"&amp;COUNTIFS($J$1:J1418,$J1418,$K$1:K1418,$K1418,$L$1:L1418,$L1418,$M$1:M1418,M1418,$N$1:N1418,N1418),IF(LEN(COUNTIFS($J$1:J1418,$J1418,$K$1:K1418,$K1418,$L$1:L1418,$L1418,$M$1:M1418,M1418,$N$1:N1418,N1418))=2,"0"&amp;COUNTIFS($J$1:J1418,$J1418,$K$1:K1418,$K1418,$L$1:L1418,$L1418,$M$1:M1418,M1418,$N$1:N1418,N1418),COUNTIFS($J$1:J1418,$J1418,$K$1:K1418,$K1418,$L$1:L1418,$L1418,$M$1:M1418,M1418,$N$1:N1418,N1418)))</f>
        <v>001</v>
      </c>
      <c r="P1418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MS-CS-025-04-05001-INV</v>
      </c>
      <c r="Q1418" s="59"/>
      <c r="R1418" s="34" t="s">
        <v>7092</v>
      </c>
      <c r="S1418" s="34" t="s">
        <v>4140</v>
      </c>
      <c r="T1418" s="34">
        <f>+IFERROR(_xlfn.XLOOKUP(Table43[[#This Row],[Column1]],#REF!,#REF!),0)</f>
        <v>0</v>
      </c>
      <c r="U1418" s="50">
        <f>IFERROR(_xlfn.XLOOKUP(Table43[[#This Row],[Column1]],#REF!,#REF!),0)</f>
        <v>0</v>
      </c>
      <c r="V1418" s="39"/>
    </row>
    <row r="1419" spans="1:22" x14ac:dyDescent="0.35">
      <c r="A1419" s="2" t="s">
        <v>4139</v>
      </c>
      <c r="B1419" s="3" t="s">
        <v>4144</v>
      </c>
      <c r="C1419" s="3" t="s">
        <v>9</v>
      </c>
      <c r="D1419" s="3">
        <v>570</v>
      </c>
      <c r="E1419" s="3" t="s">
        <v>10</v>
      </c>
      <c r="F1419" s="2">
        <v>1</v>
      </c>
      <c r="G1419" s="3">
        <v>2</v>
      </c>
      <c r="H1419" s="6">
        <v>3</v>
      </c>
      <c r="I1419" s="21">
        <f>Table43[[#This Row],[Item Cost]]*Table43[[#This Row],[In Stock]]</f>
        <v>1710</v>
      </c>
      <c r="J1419" s="12" t="s">
        <v>4941</v>
      </c>
      <c r="K1419" s="14" t="s">
        <v>4664</v>
      </c>
      <c r="L1419" s="13" t="s">
        <v>4721</v>
      </c>
      <c r="M1419" s="13" t="s">
        <v>4837</v>
      </c>
      <c r="N1419" s="12" t="s">
        <v>4856</v>
      </c>
      <c r="O1419" s="32" t="str">
        <f>IF(LEN(COUNTIFS($J$1:J1419,$J1419,$K$1:K1419,$K1419,$L$1:L1419,$L1419,$M$1:M1419,M1419,$N$1:N1419,N1419))=1,"00"&amp;COUNTIFS($J$1:J1419,$J1419,$K$1:K1419,$K1419,$L$1:L1419,$L1419,$M$1:M1419,M1419,$N$1:N1419,N1419),IF(LEN(COUNTIFS($J$1:J1419,$J1419,$K$1:K1419,$K1419,$L$1:L1419,$L1419,$M$1:M1419,M1419,$N$1:N1419,N1419))=2,"0"&amp;COUNTIFS($J$1:J1419,$J1419,$K$1:K1419,$K1419,$L$1:L1419,$L1419,$M$1:M1419,M1419,$N$1:N1419,N1419),COUNTIFS($J$1:J1419,$J1419,$K$1:K1419,$K1419,$L$1:L1419,$L1419,$M$1:M1419,M1419,$N$1:N1419,N1419)))</f>
        <v>001</v>
      </c>
      <c r="P1419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MS-CS-025-26-13001-INV</v>
      </c>
      <c r="Q1419" s="59"/>
      <c r="R1419" s="34" t="s">
        <v>7093</v>
      </c>
      <c r="S1419" s="34" t="s">
        <v>4144</v>
      </c>
      <c r="T1419" s="34">
        <f>+IFERROR(_xlfn.XLOOKUP(Table43[[#This Row],[Column1]],#REF!,#REF!),0)</f>
        <v>0</v>
      </c>
      <c r="U1419" s="50">
        <f>IFERROR(_xlfn.XLOOKUP(Table43[[#This Row],[Column1]],#REF!,#REF!),0)</f>
        <v>0</v>
      </c>
      <c r="V1419" s="39"/>
    </row>
    <row r="1420" spans="1:22" x14ac:dyDescent="0.35">
      <c r="A1420" s="3" t="s">
        <v>4141</v>
      </c>
      <c r="B1420" s="2" t="s">
        <v>4146</v>
      </c>
      <c r="C1420" s="26" t="s">
        <v>15</v>
      </c>
      <c r="D1420" s="2">
        <v>0</v>
      </c>
      <c r="E1420" s="26" t="s">
        <v>10</v>
      </c>
      <c r="F1420" s="2">
        <v>1</v>
      </c>
      <c r="G1420" s="2">
        <v>2</v>
      </c>
      <c r="H1420" s="26">
        <v>0</v>
      </c>
      <c r="I1420" s="22">
        <f>Table43[[#This Row],[Item Cost]]*Table43[[#This Row],[In Stock]]</f>
        <v>0</v>
      </c>
      <c r="J1420" s="12" t="s">
        <v>4941</v>
      </c>
      <c r="K1420" s="14" t="s">
        <v>4666</v>
      </c>
      <c r="L1420" s="13" t="s">
        <v>4721</v>
      </c>
      <c r="M1420" s="13" t="s">
        <v>4837</v>
      </c>
      <c r="N1420" s="12" t="s">
        <v>4850</v>
      </c>
      <c r="O1420" s="32" t="str">
        <f>IF(LEN(COUNTIFS($J$1:J1420,$J1420,$K$1:K1420,$K1420,$L$1:L1420,$L1420,$M$1:M1420,M1420,$N$1:N1420,N1420))=1,"00"&amp;COUNTIFS($J$1:J1420,$J1420,$K$1:K1420,$K1420,$L$1:L1420,$L1420,$M$1:M1420,M1420,$N$1:N1420,N1420),IF(LEN(COUNTIFS($J$1:J1420,$J1420,$K$1:K1420,$K1420,$L$1:L1420,$L1420,$M$1:M1420,M1420,$N$1:N1420,N1420))=2,"0"&amp;COUNTIFS($J$1:J1420,$J1420,$K$1:K1420,$K1420,$L$1:L1420,$L1420,$M$1:M1420,M1420,$N$1:N1420,N1420),COUNTIFS($J$1:J1420,$J1420,$K$1:K1420,$K1420,$L$1:L1420,$L1420,$M$1:M1420,M1420,$N$1:N1420,N1420)))</f>
        <v>001</v>
      </c>
      <c r="P1420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MS-NS-025-26-06001-INV</v>
      </c>
      <c r="Q1420" s="59"/>
      <c r="R1420" s="34" t="s">
        <v>7094</v>
      </c>
      <c r="S1420" s="34" t="s">
        <v>4146</v>
      </c>
      <c r="T1420" s="34">
        <f>+IFERROR(_xlfn.XLOOKUP(Table43[[#This Row],[Column1]],#REF!,#REF!),0)</f>
        <v>0</v>
      </c>
      <c r="U1420" s="50">
        <f>IFERROR(_xlfn.XLOOKUP(Table43[[#This Row],[Column1]],#REF!,#REF!),0)</f>
        <v>0</v>
      </c>
      <c r="V1420" s="39"/>
    </row>
    <row r="1421" spans="1:22" x14ac:dyDescent="0.35">
      <c r="A1421" s="2" t="s">
        <v>4143</v>
      </c>
      <c r="B1421" s="3" t="s">
        <v>4148</v>
      </c>
      <c r="C1421" s="6" t="s">
        <v>15</v>
      </c>
      <c r="D1421" s="3">
        <v>0</v>
      </c>
      <c r="E1421" s="6" t="s">
        <v>10</v>
      </c>
      <c r="F1421" s="2">
        <v>1</v>
      </c>
      <c r="G1421" s="2">
        <v>2</v>
      </c>
      <c r="H1421" s="6">
        <v>0</v>
      </c>
      <c r="I1421" s="21">
        <f>Table43[[#This Row],[Item Cost]]*Table43[[#This Row],[In Stock]]</f>
        <v>0</v>
      </c>
      <c r="J1421" s="12" t="s">
        <v>4941</v>
      </c>
      <c r="K1421" s="14" t="s">
        <v>4666</v>
      </c>
      <c r="L1421" s="55" t="s">
        <v>4824</v>
      </c>
      <c r="M1421" s="13" t="s">
        <v>4837</v>
      </c>
      <c r="N1421" s="12" t="s">
        <v>4852</v>
      </c>
      <c r="O1421" s="32" t="str">
        <f>IF(LEN(COUNTIFS($J$1:J1421,$J1421,$K$1:K1421,$K1421,$L$1:L1421,$L1421,$M$1:M1421,M1421,$N$1:N1421,N1421))=1,"00"&amp;COUNTIFS($J$1:J1421,$J1421,$K$1:K1421,$K1421,$L$1:L1421,$L1421,$M$1:M1421,M1421,$N$1:N1421,N1421),IF(LEN(COUNTIFS($J$1:J1421,$J1421,$K$1:K1421,$K1421,$L$1:L1421,$L1421,$M$1:M1421,M1421,$N$1:N1421,N1421))=2,"0"&amp;COUNTIFS($J$1:J1421,$J1421,$K$1:K1421,$K1421,$L$1:L1421,$L1421,$M$1:M1421,M1421,$N$1:N1421,N1421),COUNTIFS($J$1:J1421,$J1421,$K$1:K1421,$K1421,$L$1:L1421,$L1421,$M$1:M1421,M1421,$N$1:N1421,N1421)))</f>
        <v>001</v>
      </c>
      <c r="P1421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MS-NS-031-26-08001-INV</v>
      </c>
      <c r="Q1421" s="59"/>
      <c r="R1421" s="34" t="s">
        <v>7095</v>
      </c>
      <c r="S1421" s="34" t="s">
        <v>4148</v>
      </c>
      <c r="T1421" s="34">
        <f>+IFERROR(_xlfn.XLOOKUP(Table43[[#This Row],[Column1]],#REF!,#REF!),0)</f>
        <v>0</v>
      </c>
      <c r="U1421" s="50">
        <f>IFERROR(_xlfn.XLOOKUP(Table43[[#This Row],[Column1]],#REF!,#REF!),0)</f>
        <v>0</v>
      </c>
      <c r="V1421" s="39"/>
    </row>
    <row r="1422" spans="1:22" x14ac:dyDescent="0.35">
      <c r="A1422" s="3" t="s">
        <v>4145</v>
      </c>
      <c r="B1422" s="2" t="s">
        <v>4150</v>
      </c>
      <c r="C1422" s="2" t="s">
        <v>15</v>
      </c>
      <c r="D1422" s="2">
        <v>0</v>
      </c>
      <c r="E1422" s="2" t="s">
        <v>10</v>
      </c>
      <c r="F1422" s="2">
        <v>1</v>
      </c>
      <c r="G1422" s="2">
        <v>2</v>
      </c>
      <c r="H1422" s="26">
        <v>0</v>
      </c>
      <c r="I1422" s="22">
        <f>Table43[[#This Row],[Item Cost]]*Table43[[#This Row],[In Stock]]</f>
        <v>0</v>
      </c>
      <c r="J1422" s="12" t="s">
        <v>4941</v>
      </c>
      <c r="K1422" s="14" t="s">
        <v>4666</v>
      </c>
      <c r="L1422" s="13" t="s">
        <v>4703</v>
      </c>
      <c r="M1422" s="14" t="s">
        <v>4837</v>
      </c>
      <c r="N1422" s="3" t="s">
        <v>4855</v>
      </c>
      <c r="O1422" s="32" t="str">
        <f>IF(LEN(COUNTIFS($J$1:J1422,$J1422,$K$1:K1422,$K1422,$L$1:L1422,$L1422,$M$1:M1422,M1422,$N$1:N1422,N1422))=1,"00"&amp;COUNTIFS($J$1:J1422,$J1422,$K$1:K1422,$K1422,$L$1:L1422,$L1422,$M$1:M1422,M1422,$N$1:N1422,N1422),IF(LEN(COUNTIFS($J$1:J1422,$J1422,$K$1:K1422,$K1422,$L$1:L1422,$L1422,$M$1:M1422,M1422,$N$1:N1422,N1422))=2,"0"&amp;COUNTIFS($J$1:J1422,$J1422,$K$1:K1422,$K1422,$L$1:L1422,$L1422,$M$1:M1422,M1422,$N$1:N1422,N1422),COUNTIFS($J$1:J1422,$J1422,$K$1:K1422,$K1422,$L$1:L1422,$L1422,$M$1:M1422,M1422,$N$1:N1422,N1422)))</f>
        <v>001</v>
      </c>
      <c r="P1422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MS-NS-016-26-12001-INV</v>
      </c>
      <c r="Q1422" s="59"/>
      <c r="R1422" s="34" t="s">
        <v>7096</v>
      </c>
      <c r="S1422" s="34" t="s">
        <v>4150</v>
      </c>
      <c r="T1422" s="34">
        <f>+IFERROR(_xlfn.XLOOKUP(Table43[[#This Row],[Column1]],#REF!,#REF!),0)</f>
        <v>0</v>
      </c>
      <c r="U1422" s="50">
        <f>IFERROR(_xlfn.XLOOKUP(Table43[[#This Row],[Column1]],#REF!,#REF!),0)</f>
        <v>0</v>
      </c>
      <c r="V1422" s="39"/>
    </row>
    <row r="1423" spans="1:22" x14ac:dyDescent="0.35">
      <c r="A1423" s="2" t="s">
        <v>4147</v>
      </c>
      <c r="B1423" s="2" t="s">
        <v>4154</v>
      </c>
      <c r="C1423" s="2" t="s">
        <v>15</v>
      </c>
      <c r="D1423" s="2">
        <v>0</v>
      </c>
      <c r="E1423" s="2" t="s">
        <v>10</v>
      </c>
      <c r="F1423" s="2">
        <v>1</v>
      </c>
      <c r="G1423" s="2">
        <v>2</v>
      </c>
      <c r="H1423" s="26">
        <v>0</v>
      </c>
      <c r="I1423" s="22">
        <f>Table43[[#This Row],[Item Cost]]*Table43[[#This Row],[In Stock]]</f>
        <v>0</v>
      </c>
      <c r="J1423" s="12" t="s">
        <v>4941</v>
      </c>
      <c r="K1423" s="14" t="s">
        <v>4666</v>
      </c>
      <c r="L1423" s="13" t="s">
        <v>4721</v>
      </c>
      <c r="M1423" s="14" t="s">
        <v>4837</v>
      </c>
      <c r="N1423" s="3" t="s">
        <v>4856</v>
      </c>
      <c r="O1423" s="32" t="str">
        <f>IF(LEN(COUNTIFS($J$1:J1423,$J1423,$K$1:K1423,$K1423,$L$1:L1423,$L1423,$M$1:M1423,M1423,$N$1:N1423,N1423))=1,"00"&amp;COUNTIFS($J$1:J1423,$J1423,$K$1:K1423,$K1423,$L$1:L1423,$L1423,$M$1:M1423,M1423,$N$1:N1423,N1423),IF(LEN(COUNTIFS($J$1:J1423,$J1423,$K$1:K1423,$K1423,$L$1:L1423,$L1423,$M$1:M1423,M1423,$N$1:N1423,N1423))=2,"0"&amp;COUNTIFS($J$1:J1423,$J1423,$K$1:K1423,$K1423,$L$1:L1423,$L1423,$M$1:M1423,M1423,$N$1:N1423,N1423),COUNTIFS($J$1:J1423,$J1423,$K$1:K1423,$K1423,$L$1:L1423,$L1423,$M$1:M1423,M1423,$N$1:N1423,N1423)))</f>
        <v>001</v>
      </c>
      <c r="P1423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MS-NS-025-26-13001-INV</v>
      </c>
      <c r="Q1423" s="59"/>
      <c r="R1423" s="34" t="s">
        <v>7097</v>
      </c>
      <c r="S1423" s="34" t="s">
        <v>4154</v>
      </c>
      <c r="T1423" s="34">
        <f>+IFERROR(_xlfn.XLOOKUP(Table43[[#This Row],[Column1]],#REF!,#REF!),0)</f>
        <v>0</v>
      </c>
      <c r="U1423" s="50">
        <f>IFERROR(_xlfn.XLOOKUP(Table43[[#This Row],[Column1]],#REF!,#REF!),0)</f>
        <v>0</v>
      </c>
      <c r="V1423" s="39"/>
    </row>
    <row r="1424" spans="1:22" x14ac:dyDescent="0.35">
      <c r="A1424" s="3" t="s">
        <v>4149</v>
      </c>
      <c r="B1424" s="3" t="s">
        <v>4156</v>
      </c>
      <c r="C1424" s="3" t="s">
        <v>15</v>
      </c>
      <c r="D1424" s="3">
        <v>333.69499999999999</v>
      </c>
      <c r="E1424" s="3" t="s">
        <v>10</v>
      </c>
      <c r="F1424" s="2">
        <v>1</v>
      </c>
      <c r="G1424" s="2">
        <v>2</v>
      </c>
      <c r="H1424" s="6">
        <v>2</v>
      </c>
      <c r="I1424" s="21">
        <f>Table43[[#This Row],[Item Cost]]*Table43[[#This Row],[In Stock]]</f>
        <v>667.39</v>
      </c>
      <c r="J1424" s="12" t="s">
        <v>4941</v>
      </c>
      <c r="K1424" s="14" t="s">
        <v>4666</v>
      </c>
      <c r="L1424" s="13" t="s">
        <v>4715</v>
      </c>
      <c r="M1424" s="14" t="s">
        <v>4837</v>
      </c>
      <c r="N1424" s="3" t="s">
        <v>4672</v>
      </c>
      <c r="O1424" s="32" t="str">
        <f>IF(LEN(COUNTIFS($J$1:J1424,$J1424,$K$1:K1424,$K1424,$L$1:L1424,$L1424,$M$1:M1424,M1424,$N$1:N1424,N1424))=1,"00"&amp;COUNTIFS($J$1:J1424,$J1424,$K$1:K1424,$K1424,$L$1:L1424,$L1424,$M$1:M1424,M1424,$N$1:N1424,N1424),IF(LEN(COUNTIFS($J$1:J1424,$J1424,$K$1:K1424,$K1424,$L$1:L1424,$L1424,$M$1:M1424,M1424,$N$1:N1424,N1424))=2,"0"&amp;COUNTIFS($J$1:J1424,$J1424,$K$1:K1424,$K1424,$L$1:L1424,$L1424,$M$1:M1424,M1424,$N$1:N1424,N1424),COUNTIFS($J$1:J1424,$J1424,$K$1:K1424,$K1424,$L$1:L1424,$L1424,$M$1:M1424,M1424,$N$1:N1424,N1424)))</f>
        <v>002</v>
      </c>
      <c r="P1424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MS-NS-022-26-00002-INV</v>
      </c>
      <c r="Q1424" s="59"/>
      <c r="R1424" s="34" t="s">
        <v>7098</v>
      </c>
      <c r="S1424" s="34" t="s">
        <v>4156</v>
      </c>
      <c r="T1424" s="34">
        <f>+IFERROR(_xlfn.XLOOKUP(Table43[[#This Row],[Column1]],#REF!,#REF!),0)</f>
        <v>0</v>
      </c>
      <c r="U1424" s="50">
        <f>IFERROR(_xlfn.XLOOKUP(Table43[[#This Row],[Column1]],#REF!,#REF!),0)</f>
        <v>0</v>
      </c>
      <c r="V1424" s="39"/>
    </row>
    <row r="1425" spans="1:22" x14ac:dyDescent="0.35">
      <c r="A1425" s="2" t="s">
        <v>4151</v>
      </c>
      <c r="B1425" s="2" t="s">
        <v>4158</v>
      </c>
      <c r="C1425" s="2" t="s">
        <v>15</v>
      </c>
      <c r="D1425" s="2">
        <v>364.38499999999999</v>
      </c>
      <c r="E1425" s="2" t="s">
        <v>10</v>
      </c>
      <c r="F1425" s="2">
        <v>1</v>
      </c>
      <c r="G1425" s="2">
        <v>2</v>
      </c>
      <c r="H1425" s="26">
        <v>2</v>
      </c>
      <c r="I1425" s="22">
        <f>Table43[[#This Row],[Item Cost]]*Table43[[#This Row],[In Stock]]</f>
        <v>728.77</v>
      </c>
      <c r="J1425" s="12" t="s">
        <v>4941</v>
      </c>
      <c r="K1425" s="14" t="s">
        <v>4666</v>
      </c>
      <c r="L1425" s="13" t="s">
        <v>4715</v>
      </c>
      <c r="M1425" s="14" t="s">
        <v>4837</v>
      </c>
      <c r="N1425" s="3" t="s">
        <v>4672</v>
      </c>
      <c r="O1425" s="32" t="str">
        <f>IF(LEN(COUNTIFS($J$1:J1425,$J1425,$K$1:K1425,$K1425,$L$1:L1425,$L1425,$M$1:M1425,M1425,$N$1:N1425,N1425))=1,"00"&amp;COUNTIFS($J$1:J1425,$J1425,$K$1:K1425,$K1425,$L$1:L1425,$L1425,$M$1:M1425,M1425,$N$1:N1425,N1425),IF(LEN(COUNTIFS($J$1:J1425,$J1425,$K$1:K1425,$K1425,$L$1:L1425,$L1425,$M$1:M1425,M1425,$N$1:N1425,N1425))=2,"0"&amp;COUNTIFS($J$1:J1425,$J1425,$K$1:K1425,$K1425,$L$1:L1425,$L1425,$M$1:M1425,M1425,$N$1:N1425,N1425),COUNTIFS($J$1:J1425,$J1425,$K$1:K1425,$K1425,$L$1:L1425,$L1425,$M$1:M1425,M1425,$N$1:N1425,N1425)))</f>
        <v>003</v>
      </c>
      <c r="P1425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MS-NS-022-26-00003-INV</v>
      </c>
      <c r="Q1425" s="59"/>
      <c r="R1425" s="34" t="s">
        <v>7099</v>
      </c>
      <c r="S1425" s="34" t="s">
        <v>4158</v>
      </c>
      <c r="T1425" s="34">
        <f>+IFERROR(_xlfn.XLOOKUP(Table43[[#This Row],[Column1]],#REF!,#REF!),0)</f>
        <v>0</v>
      </c>
      <c r="U1425" s="50">
        <f>IFERROR(_xlfn.XLOOKUP(Table43[[#This Row],[Column1]],#REF!,#REF!),0)</f>
        <v>0</v>
      </c>
      <c r="V1425" s="39"/>
    </row>
    <row r="1426" spans="1:22" x14ac:dyDescent="0.35">
      <c r="A1426" s="3" t="s">
        <v>4153</v>
      </c>
      <c r="B1426" s="3" t="s">
        <v>4160</v>
      </c>
      <c r="C1426" s="3" t="s">
        <v>15</v>
      </c>
      <c r="D1426" s="3">
        <v>4928.87</v>
      </c>
      <c r="E1426" s="3" t="s">
        <v>10</v>
      </c>
      <c r="F1426" s="2">
        <v>1</v>
      </c>
      <c r="G1426" s="2">
        <v>2</v>
      </c>
      <c r="H1426" s="6">
        <v>2</v>
      </c>
      <c r="I1426" s="21">
        <f>Table43[[#This Row],[Item Cost]]*Table43[[#This Row],[In Stock]]</f>
        <v>9857.74</v>
      </c>
      <c r="J1426" s="12" t="s">
        <v>4941</v>
      </c>
      <c r="K1426" s="14" t="s">
        <v>4666</v>
      </c>
      <c r="L1426" s="13" t="s">
        <v>4715</v>
      </c>
      <c r="M1426" s="14" t="s">
        <v>4859</v>
      </c>
      <c r="N1426" s="3" t="s">
        <v>4672</v>
      </c>
      <c r="O1426" s="32" t="str">
        <f>IF(LEN(COUNTIFS($J$1:J1426,$J1426,$K$1:K1426,$K1426,$L$1:L1426,$L1426,$M$1:M1426,M1426,$N$1:N1426,N1426))=1,"00"&amp;COUNTIFS($J$1:J1426,$J1426,$K$1:K1426,$K1426,$L$1:L1426,$L1426,$M$1:M1426,M1426,$N$1:N1426,N1426),IF(LEN(COUNTIFS($J$1:J1426,$J1426,$K$1:K1426,$K1426,$L$1:L1426,$L1426,$M$1:M1426,M1426,$N$1:N1426,N1426))=2,"0"&amp;COUNTIFS($J$1:J1426,$J1426,$K$1:K1426,$K1426,$L$1:L1426,$L1426,$M$1:M1426,M1426,$N$1:N1426,N1426),COUNTIFS($J$1:J1426,$J1426,$K$1:K1426,$K1426,$L$1:L1426,$L1426,$M$1:M1426,M1426,$N$1:N1426,N1426)))</f>
        <v>001</v>
      </c>
      <c r="P1426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MS-NS-022-30-00001-INV</v>
      </c>
      <c r="Q1426" s="59" t="s">
        <v>7387</v>
      </c>
      <c r="R1426" s="34" t="s">
        <v>7100</v>
      </c>
      <c r="S1426" s="34" t="s">
        <v>4160</v>
      </c>
      <c r="T1426" s="34">
        <f>+IFERROR(_xlfn.XLOOKUP(Table43[[#This Row],[Column1]],#REF!,#REF!),0)</f>
        <v>0</v>
      </c>
      <c r="U1426" s="50">
        <f>IFERROR(_xlfn.XLOOKUP(Table43[[#This Row],[Column1]],#REF!,#REF!),0)</f>
        <v>0</v>
      </c>
      <c r="V1426" s="39"/>
    </row>
    <row r="1427" spans="1:22" x14ac:dyDescent="0.35">
      <c r="A1427" s="2" t="s">
        <v>4155</v>
      </c>
      <c r="B1427" s="2" t="s">
        <v>4162</v>
      </c>
      <c r="C1427" s="2" t="s">
        <v>15</v>
      </c>
      <c r="D1427" s="2">
        <v>95.875</v>
      </c>
      <c r="E1427" s="2" t="s">
        <v>10</v>
      </c>
      <c r="F1427" s="2">
        <v>1</v>
      </c>
      <c r="G1427" s="2">
        <v>2</v>
      </c>
      <c r="H1427" s="26">
        <v>2</v>
      </c>
      <c r="I1427" s="22">
        <f>Table43[[#This Row],[Item Cost]]*Table43[[#This Row],[In Stock]]</f>
        <v>191.75</v>
      </c>
      <c r="J1427" s="12" t="s">
        <v>4941</v>
      </c>
      <c r="K1427" s="14" t="s">
        <v>4666</v>
      </c>
      <c r="L1427" s="13" t="s">
        <v>4715</v>
      </c>
      <c r="M1427" s="14" t="s">
        <v>4837</v>
      </c>
      <c r="N1427" s="3" t="s">
        <v>4672</v>
      </c>
      <c r="O1427" s="32" t="str">
        <f>IF(LEN(COUNTIFS($J$1:J1427,$J1427,$K$1:K1427,$K1427,$L$1:L1427,$L1427,$M$1:M1427,M1427,$N$1:N1427,N1427))=1,"00"&amp;COUNTIFS($J$1:J1427,$J1427,$K$1:K1427,$K1427,$L$1:L1427,$L1427,$M$1:M1427,M1427,$N$1:N1427,N1427),IF(LEN(COUNTIFS($J$1:J1427,$J1427,$K$1:K1427,$K1427,$L$1:L1427,$L1427,$M$1:M1427,M1427,$N$1:N1427,N1427))=2,"0"&amp;COUNTIFS($J$1:J1427,$J1427,$K$1:K1427,$K1427,$L$1:L1427,$L1427,$M$1:M1427,M1427,$N$1:N1427,N1427),COUNTIFS($J$1:J1427,$J1427,$K$1:K1427,$K1427,$L$1:L1427,$L1427,$M$1:M1427,M1427,$N$1:N1427,N1427)))</f>
        <v>004</v>
      </c>
      <c r="P1427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MS-NS-022-26-00004-INV</v>
      </c>
      <c r="Q1427" s="59" t="s">
        <v>7387</v>
      </c>
      <c r="R1427" s="34" t="s">
        <v>7101</v>
      </c>
      <c r="S1427" s="34" t="s">
        <v>4162</v>
      </c>
      <c r="T1427" s="34">
        <f>+IFERROR(_xlfn.XLOOKUP(Table43[[#This Row],[Column1]],#REF!,#REF!),0)</f>
        <v>0</v>
      </c>
      <c r="U1427" s="50">
        <f>IFERROR(_xlfn.XLOOKUP(Table43[[#This Row],[Column1]],#REF!,#REF!),0)</f>
        <v>0</v>
      </c>
      <c r="V1427" s="39"/>
    </row>
    <row r="1428" spans="1:22" x14ac:dyDescent="0.35">
      <c r="A1428" s="3" t="s">
        <v>4157</v>
      </c>
      <c r="B1428" s="3" t="s">
        <v>4164</v>
      </c>
      <c r="C1428" s="3" t="s">
        <v>15</v>
      </c>
      <c r="D1428" s="3">
        <v>3.8250000000000002</v>
      </c>
      <c r="E1428" s="3" t="s">
        <v>10</v>
      </c>
      <c r="F1428" s="2">
        <v>1</v>
      </c>
      <c r="G1428" s="2">
        <v>2</v>
      </c>
      <c r="H1428" s="6">
        <v>2</v>
      </c>
      <c r="I1428" s="21">
        <f>Table43[[#This Row],[Item Cost]]*Table43[[#This Row],[In Stock]]</f>
        <v>7.65</v>
      </c>
      <c r="J1428" s="12" t="s">
        <v>4941</v>
      </c>
      <c r="K1428" s="14" t="s">
        <v>4666</v>
      </c>
      <c r="L1428" s="13" t="s">
        <v>4715</v>
      </c>
      <c r="M1428" s="13" t="s">
        <v>4837</v>
      </c>
      <c r="N1428" s="12" t="s">
        <v>4672</v>
      </c>
      <c r="O1428" s="32" t="str">
        <f>IF(LEN(COUNTIFS($J$1:J1428,$J1428,$K$1:K1428,$K1428,$L$1:L1428,$L1428,$M$1:M1428,M1428,$N$1:N1428,N1428))=1,"00"&amp;COUNTIFS($J$1:J1428,$J1428,$K$1:K1428,$K1428,$L$1:L1428,$L1428,$M$1:M1428,M1428,$N$1:N1428,N1428),IF(LEN(COUNTIFS($J$1:J1428,$J1428,$K$1:K1428,$K1428,$L$1:L1428,$L1428,$M$1:M1428,M1428,$N$1:N1428,N1428))=2,"0"&amp;COUNTIFS($J$1:J1428,$J1428,$K$1:K1428,$K1428,$L$1:L1428,$L1428,$M$1:M1428,M1428,$N$1:N1428,N1428),COUNTIFS($J$1:J1428,$J1428,$K$1:K1428,$K1428,$L$1:L1428,$L1428,$M$1:M1428,M1428,$N$1:N1428,N1428)))</f>
        <v>005</v>
      </c>
      <c r="P1428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MS-NS-022-26-00005-INV</v>
      </c>
      <c r="Q1428" s="59"/>
      <c r="R1428" s="34" t="s">
        <v>7102</v>
      </c>
      <c r="S1428" s="34" t="s">
        <v>4164</v>
      </c>
      <c r="T1428" s="34">
        <f>+IFERROR(_xlfn.XLOOKUP(Table43[[#This Row],[Column1]],#REF!,#REF!),0)</f>
        <v>0</v>
      </c>
      <c r="U1428" s="50">
        <f>IFERROR(_xlfn.XLOOKUP(Table43[[#This Row],[Column1]],#REF!,#REF!),0)</f>
        <v>0</v>
      </c>
      <c r="V1428" s="39"/>
    </row>
    <row r="1429" spans="1:22" x14ac:dyDescent="0.35">
      <c r="A1429" s="2" t="s">
        <v>4159</v>
      </c>
      <c r="B1429" s="2" t="s">
        <v>4166</v>
      </c>
      <c r="C1429" s="2" t="s">
        <v>15</v>
      </c>
      <c r="D1429" s="4">
        <v>3.8250000000000002</v>
      </c>
      <c r="E1429" s="2" t="s">
        <v>10</v>
      </c>
      <c r="F1429" s="2">
        <v>1</v>
      </c>
      <c r="G1429" s="2">
        <v>2</v>
      </c>
      <c r="H1429" s="26">
        <v>2</v>
      </c>
      <c r="I1429" s="22">
        <f>Table43[[#This Row],[Item Cost]]*Table43[[#This Row],[In Stock]]</f>
        <v>7.65</v>
      </c>
      <c r="J1429" s="12" t="s">
        <v>4941</v>
      </c>
      <c r="K1429" s="14" t="s">
        <v>4666</v>
      </c>
      <c r="L1429" s="13" t="s">
        <v>4715</v>
      </c>
      <c r="M1429" s="13" t="s">
        <v>4837</v>
      </c>
      <c r="N1429" s="12" t="s">
        <v>4672</v>
      </c>
      <c r="O1429" s="32" t="str">
        <f>IF(LEN(COUNTIFS($J$1:J1429,$J1429,$K$1:K1429,$K1429,$L$1:L1429,$L1429,$M$1:M1429,M1429,$N$1:N1429,N1429))=1,"00"&amp;COUNTIFS($J$1:J1429,$J1429,$K$1:K1429,$K1429,$L$1:L1429,$L1429,$M$1:M1429,M1429,$N$1:N1429,N1429),IF(LEN(COUNTIFS($J$1:J1429,$J1429,$K$1:K1429,$K1429,$L$1:L1429,$L1429,$M$1:M1429,M1429,$N$1:N1429,N1429))=2,"0"&amp;COUNTIFS($J$1:J1429,$J1429,$K$1:K1429,$K1429,$L$1:L1429,$L1429,$M$1:M1429,M1429,$N$1:N1429,N1429),COUNTIFS($J$1:J1429,$J1429,$K$1:K1429,$K1429,$L$1:L1429,$L1429,$M$1:M1429,M1429,$N$1:N1429,N1429)))</f>
        <v>006</v>
      </c>
      <c r="P1429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MS-NS-022-26-00006-INV</v>
      </c>
      <c r="Q1429" s="59"/>
      <c r="R1429" s="34" t="s">
        <v>7103</v>
      </c>
      <c r="S1429" s="34" t="s">
        <v>4166</v>
      </c>
      <c r="T1429" s="34">
        <f>+IFERROR(_xlfn.XLOOKUP(Table43[[#This Row],[Column1]],#REF!,#REF!),0)</f>
        <v>0</v>
      </c>
      <c r="U1429" s="50">
        <f>IFERROR(_xlfn.XLOOKUP(Table43[[#This Row],[Column1]],#REF!,#REF!),0)</f>
        <v>0</v>
      </c>
      <c r="V1429" s="39"/>
    </row>
    <row r="1430" spans="1:22" x14ac:dyDescent="0.35">
      <c r="A1430" s="3" t="s">
        <v>4161</v>
      </c>
      <c r="B1430" s="3" t="s">
        <v>4168</v>
      </c>
      <c r="C1430" s="3" t="s">
        <v>15</v>
      </c>
      <c r="D1430" s="3">
        <v>3.8250000000000002</v>
      </c>
      <c r="E1430" s="3" t="s">
        <v>10</v>
      </c>
      <c r="F1430" s="2">
        <v>1</v>
      </c>
      <c r="G1430" s="2">
        <v>2</v>
      </c>
      <c r="H1430" s="6">
        <v>2</v>
      </c>
      <c r="I1430" s="21">
        <f>Table43[[#This Row],[Item Cost]]*Table43[[#This Row],[In Stock]]</f>
        <v>7.65</v>
      </c>
      <c r="J1430" s="12" t="s">
        <v>4941</v>
      </c>
      <c r="K1430" s="14" t="s">
        <v>4666</v>
      </c>
      <c r="L1430" s="13" t="s">
        <v>4715</v>
      </c>
      <c r="M1430" s="14" t="s">
        <v>4837</v>
      </c>
      <c r="N1430" s="3" t="s">
        <v>4672</v>
      </c>
      <c r="O1430" s="32" t="str">
        <f>IF(LEN(COUNTIFS($J$1:J1430,$J1430,$K$1:K1430,$K1430,$L$1:L1430,$L1430,$M$1:M1430,M1430,$N$1:N1430,N1430))=1,"00"&amp;COUNTIFS($J$1:J1430,$J1430,$K$1:K1430,$K1430,$L$1:L1430,$L1430,$M$1:M1430,M1430,$N$1:N1430,N1430),IF(LEN(COUNTIFS($J$1:J1430,$J1430,$K$1:K1430,$K1430,$L$1:L1430,$L1430,$M$1:M1430,M1430,$N$1:N1430,N1430))=2,"0"&amp;COUNTIFS($J$1:J1430,$J1430,$K$1:K1430,$K1430,$L$1:L1430,$L1430,$M$1:M1430,M1430,$N$1:N1430,N1430),COUNTIFS($J$1:J1430,$J1430,$K$1:K1430,$K1430,$L$1:L1430,$L1430,$M$1:M1430,M1430,$N$1:N1430,N1430)))</f>
        <v>007</v>
      </c>
      <c r="P1430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MS-NS-022-26-00007-INV</v>
      </c>
      <c r="Q1430" s="59" t="s">
        <v>7336</v>
      </c>
      <c r="R1430" s="34" t="s">
        <v>7104</v>
      </c>
      <c r="S1430" s="34" t="s">
        <v>4168</v>
      </c>
      <c r="T1430" s="34">
        <f>+IFERROR(_xlfn.XLOOKUP(Table43[[#This Row],[Column1]],#REF!,#REF!),0)</f>
        <v>0</v>
      </c>
      <c r="U1430" s="50">
        <f>IFERROR(_xlfn.XLOOKUP(Table43[[#This Row],[Column1]],#REF!,#REF!),0)</f>
        <v>0</v>
      </c>
      <c r="V1430" s="39"/>
    </row>
    <row r="1431" spans="1:22" x14ac:dyDescent="0.35">
      <c r="A1431" s="2" t="s">
        <v>4163</v>
      </c>
      <c r="B1431" s="2" t="s">
        <v>4170</v>
      </c>
      <c r="C1431" s="2" t="s">
        <v>15</v>
      </c>
      <c r="D1431" s="2">
        <v>3003.335</v>
      </c>
      <c r="E1431" s="2" t="s">
        <v>10</v>
      </c>
      <c r="F1431" s="2">
        <v>1</v>
      </c>
      <c r="G1431" s="2">
        <v>2</v>
      </c>
      <c r="H1431" s="26">
        <v>2</v>
      </c>
      <c r="I1431" s="22">
        <f>Table43[[#This Row],[Item Cost]]*Table43[[#This Row],[In Stock]]</f>
        <v>6006.67</v>
      </c>
      <c r="J1431" s="12" t="s">
        <v>4941</v>
      </c>
      <c r="K1431" s="14" t="s">
        <v>4666</v>
      </c>
      <c r="L1431" s="13" t="s">
        <v>4715</v>
      </c>
      <c r="M1431" s="14" t="s">
        <v>4837</v>
      </c>
      <c r="N1431" s="3" t="s">
        <v>4672</v>
      </c>
      <c r="O1431" s="32" t="str">
        <f>IF(LEN(COUNTIFS($J$1:J1431,$J1431,$K$1:K1431,$K1431,$L$1:L1431,$L1431,$M$1:M1431,M1431,$N$1:N1431,N1431))=1,"00"&amp;COUNTIFS($J$1:J1431,$J1431,$K$1:K1431,$K1431,$L$1:L1431,$L1431,$M$1:M1431,M1431,$N$1:N1431,N1431),IF(LEN(COUNTIFS($J$1:J1431,$J1431,$K$1:K1431,$K1431,$L$1:L1431,$L1431,$M$1:M1431,M1431,$N$1:N1431,N1431))=2,"0"&amp;COUNTIFS($J$1:J1431,$J1431,$K$1:K1431,$K1431,$L$1:L1431,$L1431,$M$1:M1431,M1431,$N$1:N1431,N1431),COUNTIFS($J$1:J1431,$J1431,$K$1:K1431,$K1431,$L$1:L1431,$L1431,$M$1:M1431,M1431,$N$1:N1431,N1431)))</f>
        <v>008</v>
      </c>
      <c r="P1431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MS-NS-022-26-00008-INV</v>
      </c>
      <c r="Q1431" s="59"/>
      <c r="R1431" s="34" t="s">
        <v>7105</v>
      </c>
      <c r="S1431" s="34" t="s">
        <v>4170</v>
      </c>
      <c r="T1431" s="34">
        <f>+IFERROR(_xlfn.XLOOKUP(Table43[[#This Row],[Column1]],#REF!,#REF!),0)</f>
        <v>0</v>
      </c>
      <c r="U1431" s="50">
        <f>IFERROR(_xlfn.XLOOKUP(Table43[[#This Row],[Column1]],#REF!,#REF!),0)</f>
        <v>0</v>
      </c>
      <c r="V1431" s="39"/>
    </row>
    <row r="1432" spans="1:22" x14ac:dyDescent="0.35">
      <c r="A1432" s="3" t="s">
        <v>4165</v>
      </c>
      <c r="B1432" s="3" t="s">
        <v>4172</v>
      </c>
      <c r="C1432" s="3" t="s">
        <v>15</v>
      </c>
      <c r="D1432" s="3">
        <v>2009.88</v>
      </c>
      <c r="E1432" s="3" t="s">
        <v>10</v>
      </c>
      <c r="F1432" s="2">
        <v>1</v>
      </c>
      <c r="G1432" s="2">
        <v>2</v>
      </c>
      <c r="H1432" s="6">
        <v>1</v>
      </c>
      <c r="I1432" s="21">
        <f>Table43[[#This Row],[Item Cost]]*Table43[[#This Row],[In Stock]]</f>
        <v>2009.88</v>
      </c>
      <c r="J1432" s="12" t="s">
        <v>4941</v>
      </c>
      <c r="K1432" s="14" t="s">
        <v>4666</v>
      </c>
      <c r="L1432" s="13" t="s">
        <v>4715</v>
      </c>
      <c r="M1432" s="14" t="s">
        <v>4837</v>
      </c>
      <c r="N1432" s="3" t="s">
        <v>4672</v>
      </c>
      <c r="O1432" s="32" t="str">
        <f>IF(LEN(COUNTIFS($J$1:J1432,$J1432,$K$1:K1432,$K1432,$L$1:L1432,$L1432,$M$1:M1432,M1432,$N$1:N1432,N1432))=1,"00"&amp;COUNTIFS($J$1:J1432,$J1432,$K$1:K1432,$K1432,$L$1:L1432,$L1432,$M$1:M1432,M1432,$N$1:N1432,N1432),IF(LEN(COUNTIFS($J$1:J1432,$J1432,$K$1:K1432,$K1432,$L$1:L1432,$L1432,$M$1:M1432,M1432,$N$1:N1432,N1432))=2,"0"&amp;COUNTIFS($J$1:J1432,$J1432,$K$1:K1432,$K1432,$L$1:L1432,$L1432,$M$1:M1432,M1432,$N$1:N1432,N1432),COUNTIFS($J$1:J1432,$J1432,$K$1:K1432,$K1432,$L$1:L1432,$L1432,$M$1:M1432,M1432,$N$1:N1432,N1432)))</f>
        <v>009</v>
      </c>
      <c r="P1432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MS-NS-022-26-00009-INV</v>
      </c>
      <c r="Q1432" s="59" t="s">
        <v>7336</v>
      </c>
      <c r="R1432" s="34" t="s">
        <v>7106</v>
      </c>
      <c r="S1432" s="34" t="s">
        <v>4172</v>
      </c>
      <c r="T1432" s="34">
        <f>+IFERROR(_xlfn.XLOOKUP(Table43[[#This Row],[Column1]],#REF!,#REF!),0)</f>
        <v>0</v>
      </c>
      <c r="U1432" s="50">
        <f>IFERROR(_xlfn.XLOOKUP(Table43[[#This Row],[Column1]],#REF!,#REF!),0)</f>
        <v>0</v>
      </c>
      <c r="V1432" s="39"/>
    </row>
    <row r="1433" spans="1:22" x14ac:dyDescent="0.35">
      <c r="A1433" s="2" t="s">
        <v>4167</v>
      </c>
      <c r="B1433" s="2" t="s">
        <v>4174</v>
      </c>
      <c r="C1433" s="2" t="s">
        <v>15</v>
      </c>
      <c r="D1433" s="2">
        <v>0</v>
      </c>
      <c r="E1433" s="2" t="s">
        <v>10</v>
      </c>
      <c r="F1433" s="2">
        <v>1</v>
      </c>
      <c r="G1433" s="2">
        <v>2</v>
      </c>
      <c r="H1433" s="26">
        <v>0</v>
      </c>
      <c r="I1433" s="22">
        <f>Table43[[#This Row],[Item Cost]]*Table43[[#This Row],[In Stock]]</f>
        <v>0</v>
      </c>
      <c r="J1433" s="12" t="s">
        <v>4941</v>
      </c>
      <c r="K1433" s="14" t="s">
        <v>4666</v>
      </c>
      <c r="L1433" s="13" t="s">
        <v>4715</v>
      </c>
      <c r="M1433" s="14" t="s">
        <v>4859</v>
      </c>
      <c r="N1433" s="3" t="s">
        <v>4672</v>
      </c>
      <c r="O1433" s="32" t="str">
        <f>IF(LEN(COUNTIFS($J$1:J1433,$J1433,$K$1:K1433,$K1433,$L$1:L1433,$L1433,$M$1:M1433,M1433,$N$1:N1433,N1433))=1,"00"&amp;COUNTIFS($J$1:J1433,$J1433,$K$1:K1433,$K1433,$L$1:L1433,$L1433,$M$1:M1433,M1433,$N$1:N1433,N1433),IF(LEN(COUNTIFS($J$1:J1433,$J1433,$K$1:K1433,$K1433,$L$1:L1433,$L1433,$M$1:M1433,M1433,$N$1:N1433,N1433))=2,"0"&amp;COUNTIFS($J$1:J1433,$J1433,$K$1:K1433,$K1433,$L$1:L1433,$L1433,$M$1:M1433,M1433,$N$1:N1433,N1433),COUNTIFS($J$1:J1433,$J1433,$K$1:K1433,$K1433,$L$1:L1433,$L1433,$M$1:M1433,M1433,$N$1:N1433,N1433)))</f>
        <v>002</v>
      </c>
      <c r="P1433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MS-NS-022-30-00002-INV</v>
      </c>
      <c r="Q1433" s="59"/>
      <c r="R1433" s="34" t="s">
        <v>7107</v>
      </c>
      <c r="S1433" s="34" t="s">
        <v>4174</v>
      </c>
      <c r="T1433" s="34">
        <f>+IFERROR(_xlfn.XLOOKUP(Table43[[#This Row],[Column1]],#REF!,#REF!),0)</f>
        <v>0</v>
      </c>
      <c r="U1433" s="50">
        <f>IFERROR(_xlfn.XLOOKUP(Table43[[#This Row],[Column1]],#REF!,#REF!),0)</f>
        <v>0</v>
      </c>
      <c r="V1433" s="39"/>
    </row>
    <row r="1434" spans="1:22" x14ac:dyDescent="0.35">
      <c r="A1434" s="3" t="s">
        <v>4169</v>
      </c>
      <c r="B1434" s="3" t="s">
        <v>4176</v>
      </c>
      <c r="C1434" s="3" t="s">
        <v>15</v>
      </c>
      <c r="D1434" s="5">
        <v>0</v>
      </c>
      <c r="E1434" s="3" t="s">
        <v>10</v>
      </c>
      <c r="F1434" s="2">
        <v>1</v>
      </c>
      <c r="G1434" s="2">
        <v>2</v>
      </c>
      <c r="H1434" s="6">
        <v>0</v>
      </c>
      <c r="I1434" s="21">
        <f>Table43[[#This Row],[Item Cost]]*Table43[[#This Row],[In Stock]]</f>
        <v>0</v>
      </c>
      <c r="J1434" s="12" t="s">
        <v>4941</v>
      </c>
      <c r="K1434" s="14" t="s">
        <v>4666</v>
      </c>
      <c r="L1434" s="13" t="s">
        <v>4721</v>
      </c>
      <c r="M1434" s="14" t="s">
        <v>4837</v>
      </c>
      <c r="N1434" s="3" t="s">
        <v>4850</v>
      </c>
      <c r="O1434" s="32" t="str">
        <f>IF(LEN(COUNTIFS($J$1:J1434,$J1434,$K$1:K1434,$K1434,$L$1:L1434,$L1434,$M$1:M1434,M1434,$N$1:N1434,N1434))=1,"00"&amp;COUNTIFS($J$1:J1434,$J1434,$K$1:K1434,$K1434,$L$1:L1434,$L1434,$M$1:M1434,M1434,$N$1:N1434,N1434),IF(LEN(COUNTIFS($J$1:J1434,$J1434,$K$1:K1434,$K1434,$L$1:L1434,$L1434,$M$1:M1434,M1434,$N$1:N1434,N1434))=2,"0"&amp;COUNTIFS($J$1:J1434,$J1434,$K$1:K1434,$K1434,$L$1:L1434,$L1434,$M$1:M1434,M1434,$N$1:N1434,N1434),COUNTIFS($J$1:J1434,$J1434,$K$1:K1434,$K1434,$L$1:L1434,$L1434,$M$1:M1434,M1434,$N$1:N1434,N1434)))</f>
        <v>002</v>
      </c>
      <c r="P1434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MS-NS-025-26-06002-INV</v>
      </c>
      <c r="Q1434" s="59"/>
      <c r="R1434" s="34" t="s">
        <v>7108</v>
      </c>
      <c r="S1434" s="34" t="s">
        <v>4176</v>
      </c>
      <c r="T1434" s="34">
        <f>+IFERROR(_xlfn.XLOOKUP(Table43[[#This Row],[Column1]],#REF!,#REF!),0)</f>
        <v>0</v>
      </c>
      <c r="U1434" s="50">
        <f>IFERROR(_xlfn.XLOOKUP(Table43[[#This Row],[Column1]],#REF!,#REF!),0)</f>
        <v>0</v>
      </c>
      <c r="V1434" s="39"/>
    </row>
    <row r="1435" spans="1:22" x14ac:dyDescent="0.35">
      <c r="A1435" s="2" t="s">
        <v>4171</v>
      </c>
      <c r="B1435" s="2" t="s">
        <v>4178</v>
      </c>
      <c r="C1435" s="2" t="s">
        <v>15</v>
      </c>
      <c r="D1435" s="4">
        <v>0</v>
      </c>
      <c r="E1435" s="2" t="s">
        <v>10</v>
      </c>
      <c r="F1435" s="2">
        <v>1</v>
      </c>
      <c r="G1435" s="2">
        <v>2</v>
      </c>
      <c r="H1435" s="26">
        <v>0</v>
      </c>
      <c r="I1435" s="22">
        <f>Table43[[#This Row],[Item Cost]]*Table43[[#This Row],[In Stock]]</f>
        <v>0</v>
      </c>
      <c r="J1435" s="12" t="s">
        <v>4941</v>
      </c>
      <c r="K1435" s="14" t="s">
        <v>4666</v>
      </c>
      <c r="L1435" s="13" t="s">
        <v>4721</v>
      </c>
      <c r="M1435" s="14" t="s">
        <v>4837</v>
      </c>
      <c r="N1435" s="3" t="s">
        <v>4850</v>
      </c>
      <c r="O1435" s="32" t="str">
        <f>IF(LEN(COUNTIFS($J$1:J1435,$J1435,$K$1:K1435,$K1435,$L$1:L1435,$L1435,$M$1:M1435,M1435,$N$1:N1435,N1435))=1,"00"&amp;COUNTIFS($J$1:J1435,$J1435,$K$1:K1435,$K1435,$L$1:L1435,$L1435,$M$1:M1435,M1435,$N$1:N1435,N1435),IF(LEN(COUNTIFS($J$1:J1435,$J1435,$K$1:K1435,$K1435,$L$1:L1435,$L1435,$M$1:M1435,M1435,$N$1:N1435,N1435))=2,"0"&amp;COUNTIFS($J$1:J1435,$J1435,$K$1:K1435,$K1435,$L$1:L1435,$L1435,$M$1:M1435,M1435,$N$1:N1435,N1435),COUNTIFS($J$1:J1435,$J1435,$K$1:K1435,$K1435,$L$1:L1435,$L1435,$M$1:M1435,M1435,$N$1:N1435,N1435)))</f>
        <v>003</v>
      </c>
      <c r="P1435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MS-NS-025-26-06003-INV</v>
      </c>
      <c r="Q1435" s="59"/>
      <c r="R1435" s="34" t="s">
        <v>7109</v>
      </c>
      <c r="S1435" s="34" t="s">
        <v>4178</v>
      </c>
      <c r="T1435" s="34">
        <f>+IFERROR(_xlfn.XLOOKUP(Table43[[#This Row],[Column1]],#REF!,#REF!),0)</f>
        <v>0</v>
      </c>
      <c r="U1435" s="50">
        <f>IFERROR(_xlfn.XLOOKUP(Table43[[#This Row],[Column1]],#REF!,#REF!),0)</f>
        <v>0</v>
      </c>
      <c r="V1435" s="39"/>
    </row>
    <row r="1436" spans="1:22" x14ac:dyDescent="0.35">
      <c r="A1436" s="3" t="s">
        <v>4173</v>
      </c>
      <c r="B1436" s="3" t="s">
        <v>4180</v>
      </c>
      <c r="C1436" s="3" t="s">
        <v>15</v>
      </c>
      <c r="D1436" s="3">
        <v>1100</v>
      </c>
      <c r="E1436" s="3" t="s">
        <v>10</v>
      </c>
      <c r="F1436" s="2">
        <v>1</v>
      </c>
      <c r="G1436" s="2">
        <v>2</v>
      </c>
      <c r="H1436" s="6">
        <v>2</v>
      </c>
      <c r="I1436" s="21">
        <f>Table43[[#This Row],[Item Cost]]*Table43[[#This Row],[In Stock]]</f>
        <v>2200</v>
      </c>
      <c r="J1436" s="12" t="s">
        <v>4941</v>
      </c>
      <c r="K1436" s="14" t="s">
        <v>4666</v>
      </c>
      <c r="L1436" s="13" t="s">
        <v>4823</v>
      </c>
      <c r="M1436" s="14" t="s">
        <v>4837</v>
      </c>
      <c r="N1436" s="3" t="s">
        <v>4853</v>
      </c>
      <c r="O1436" s="32" t="str">
        <f>IF(LEN(COUNTIFS($J$1:J1436,$J1436,$K$1:K1436,$K1436,$L$1:L1436,$L1436,$M$1:M1436,M1436,$N$1:N1436,N1436))=1,"00"&amp;COUNTIFS($J$1:J1436,$J1436,$K$1:K1436,$K1436,$L$1:L1436,$L1436,$M$1:M1436,M1436,$N$1:N1436,N1436),IF(LEN(COUNTIFS($J$1:J1436,$J1436,$K$1:K1436,$K1436,$L$1:L1436,$L1436,$M$1:M1436,M1436,$N$1:N1436,N1436))=2,"0"&amp;COUNTIFS($J$1:J1436,$J1436,$K$1:K1436,$K1436,$L$1:L1436,$L1436,$M$1:M1436,M1436,$N$1:N1436,N1436),COUNTIFS($J$1:J1436,$J1436,$K$1:K1436,$K1436,$L$1:L1436,$L1436,$M$1:M1436,M1436,$N$1:N1436,N1436)))</f>
        <v>001</v>
      </c>
      <c r="P1436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MS-NS-030-26-09001-INV</v>
      </c>
      <c r="Q1436" s="59"/>
      <c r="R1436" s="34" t="s">
        <v>7110</v>
      </c>
      <c r="S1436" s="34" t="s">
        <v>4180</v>
      </c>
      <c r="T1436" s="34">
        <f>+IFERROR(_xlfn.XLOOKUP(Table43[[#This Row],[Column1]],#REF!,#REF!),0)</f>
        <v>0</v>
      </c>
      <c r="U1436" s="50">
        <f>IFERROR(_xlfn.XLOOKUP(Table43[[#This Row],[Column1]],#REF!,#REF!),0)</f>
        <v>0</v>
      </c>
      <c r="V1436" s="39"/>
    </row>
    <row r="1437" spans="1:22" x14ac:dyDescent="0.35">
      <c r="A1437" s="2" t="s">
        <v>4175</v>
      </c>
      <c r="B1437" s="2" t="s">
        <v>4182</v>
      </c>
      <c r="C1437" s="26" t="s">
        <v>15</v>
      </c>
      <c r="D1437" s="2">
        <v>1106.67</v>
      </c>
      <c r="E1437" s="26" t="s">
        <v>10</v>
      </c>
      <c r="F1437" s="2">
        <v>1</v>
      </c>
      <c r="G1437" s="2">
        <v>2</v>
      </c>
      <c r="H1437" s="26">
        <v>1</v>
      </c>
      <c r="I1437" s="22">
        <f>Table43[[#This Row],[Item Cost]]*Table43[[#This Row],[In Stock]]</f>
        <v>1106.67</v>
      </c>
      <c r="J1437" s="12" t="s">
        <v>4941</v>
      </c>
      <c r="K1437" s="14" t="s">
        <v>4666</v>
      </c>
      <c r="L1437" s="14" t="s">
        <v>4823</v>
      </c>
      <c r="M1437" s="14" t="s">
        <v>4837</v>
      </c>
      <c r="N1437" s="3" t="s">
        <v>4853</v>
      </c>
      <c r="O1437" s="32" t="str">
        <f>IF(LEN(COUNTIFS($J$1:J1437,$J1437,$K$1:K1437,$K1437,$L$1:L1437,$L1437,$M$1:M1437,M1437,$N$1:N1437,N1437))=1,"00"&amp;COUNTIFS($J$1:J1437,$J1437,$K$1:K1437,$K1437,$L$1:L1437,$L1437,$M$1:M1437,M1437,$N$1:N1437,N1437),IF(LEN(COUNTIFS($J$1:J1437,$J1437,$K$1:K1437,$K1437,$L$1:L1437,$L1437,$M$1:M1437,M1437,$N$1:N1437,N1437))=2,"0"&amp;COUNTIFS($J$1:J1437,$J1437,$K$1:K1437,$K1437,$L$1:L1437,$L1437,$M$1:M1437,M1437,$N$1:N1437,N1437),COUNTIFS($J$1:J1437,$J1437,$K$1:K1437,$K1437,$L$1:L1437,$L1437,$M$1:M1437,M1437,$N$1:N1437,N1437)))</f>
        <v>002</v>
      </c>
      <c r="P1437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MS-NS-030-26-09002-INV</v>
      </c>
      <c r="Q1437" s="59"/>
      <c r="R1437" s="34" t="s">
        <v>7111</v>
      </c>
      <c r="S1437" s="34" t="s">
        <v>4182</v>
      </c>
      <c r="T1437" s="34">
        <f>+IFERROR(_xlfn.XLOOKUP(Table43[[#This Row],[Column1]],#REF!,#REF!),0)</f>
        <v>0</v>
      </c>
      <c r="U1437" s="50">
        <f>IFERROR(_xlfn.XLOOKUP(Table43[[#This Row],[Column1]],#REF!,#REF!),0)</f>
        <v>0</v>
      </c>
      <c r="V1437" s="39"/>
    </row>
    <row r="1438" spans="1:22" x14ac:dyDescent="0.35">
      <c r="A1438" s="3" t="s">
        <v>4177</v>
      </c>
      <c r="B1438" s="3" t="s">
        <v>4184</v>
      </c>
      <c r="C1438" s="3" t="s">
        <v>15</v>
      </c>
      <c r="D1438" s="3">
        <v>1106.67</v>
      </c>
      <c r="E1438" s="3" t="s">
        <v>10</v>
      </c>
      <c r="F1438" s="2">
        <v>1</v>
      </c>
      <c r="G1438" s="2">
        <v>2</v>
      </c>
      <c r="H1438" s="6">
        <v>1</v>
      </c>
      <c r="I1438" s="21">
        <f>Table43[[#This Row],[Item Cost]]*Table43[[#This Row],[In Stock]]</f>
        <v>1106.67</v>
      </c>
      <c r="J1438" s="12" t="s">
        <v>4941</v>
      </c>
      <c r="K1438" s="14" t="s">
        <v>4666</v>
      </c>
      <c r="L1438" s="13" t="s">
        <v>4823</v>
      </c>
      <c r="M1438" s="14" t="s">
        <v>4837</v>
      </c>
      <c r="N1438" s="3" t="s">
        <v>4853</v>
      </c>
      <c r="O1438" s="32" t="str">
        <f>IF(LEN(COUNTIFS($J$1:J1438,$J1438,$K$1:K1438,$K1438,$L$1:L1438,$L1438,$M$1:M1438,M1438,$N$1:N1438,N1438))=1,"00"&amp;COUNTIFS($J$1:J1438,$J1438,$K$1:K1438,$K1438,$L$1:L1438,$L1438,$M$1:M1438,M1438,$N$1:N1438,N1438),IF(LEN(COUNTIFS($J$1:J1438,$J1438,$K$1:K1438,$K1438,$L$1:L1438,$L1438,$M$1:M1438,M1438,$N$1:N1438,N1438))=2,"0"&amp;COUNTIFS($J$1:J1438,$J1438,$K$1:K1438,$K1438,$L$1:L1438,$L1438,$M$1:M1438,M1438,$N$1:N1438,N1438),COUNTIFS($J$1:J1438,$J1438,$K$1:K1438,$K1438,$L$1:L1438,$L1438,$M$1:M1438,M1438,$N$1:N1438,N1438)))</f>
        <v>003</v>
      </c>
      <c r="P1438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MS-NS-030-26-09003-INV</v>
      </c>
      <c r="Q1438" s="59"/>
      <c r="R1438" s="34" t="s">
        <v>7112</v>
      </c>
      <c r="S1438" s="34" t="s">
        <v>4184</v>
      </c>
      <c r="T1438" s="34">
        <f>+IFERROR(_xlfn.XLOOKUP(Table43[[#This Row],[Column1]],#REF!,#REF!),0)</f>
        <v>0</v>
      </c>
      <c r="U1438" s="50">
        <f>IFERROR(_xlfn.XLOOKUP(Table43[[#This Row],[Column1]],#REF!,#REF!),0)</f>
        <v>0</v>
      </c>
      <c r="V1438" s="39"/>
    </row>
    <row r="1439" spans="1:22" x14ac:dyDescent="0.35">
      <c r="A1439" s="2" t="s">
        <v>4179</v>
      </c>
      <c r="B1439" s="2" t="s">
        <v>4186</v>
      </c>
      <c r="C1439" s="2" t="s">
        <v>15</v>
      </c>
      <c r="D1439" s="4">
        <v>1106.6600000000001</v>
      </c>
      <c r="E1439" s="2" t="s">
        <v>10</v>
      </c>
      <c r="F1439" s="2">
        <v>1</v>
      </c>
      <c r="G1439" s="2">
        <v>2</v>
      </c>
      <c r="H1439" s="26">
        <v>1</v>
      </c>
      <c r="I1439" s="22">
        <f>Table43[[#This Row],[Item Cost]]*Table43[[#This Row],[In Stock]]</f>
        <v>1106.6600000000001</v>
      </c>
      <c r="J1439" s="12" t="s">
        <v>4941</v>
      </c>
      <c r="K1439" s="14" t="s">
        <v>4666</v>
      </c>
      <c r="L1439" s="13" t="s">
        <v>4823</v>
      </c>
      <c r="M1439" s="14" t="s">
        <v>4837</v>
      </c>
      <c r="N1439" s="3" t="s">
        <v>4853</v>
      </c>
      <c r="O1439" s="32" t="str">
        <f>IF(LEN(COUNTIFS($J$1:J1439,$J1439,$K$1:K1439,$K1439,$L$1:L1439,$L1439,$M$1:M1439,M1439,$N$1:N1439,N1439))=1,"00"&amp;COUNTIFS($J$1:J1439,$J1439,$K$1:K1439,$K1439,$L$1:L1439,$L1439,$M$1:M1439,M1439,$N$1:N1439,N1439),IF(LEN(COUNTIFS($J$1:J1439,$J1439,$K$1:K1439,$K1439,$L$1:L1439,$L1439,$M$1:M1439,M1439,$N$1:N1439,N1439))=2,"0"&amp;COUNTIFS($J$1:J1439,$J1439,$K$1:K1439,$K1439,$L$1:L1439,$L1439,$M$1:M1439,M1439,$N$1:N1439,N1439),COUNTIFS($J$1:J1439,$J1439,$K$1:K1439,$K1439,$L$1:L1439,$L1439,$M$1:M1439,M1439,$N$1:N1439,N1439)))</f>
        <v>004</v>
      </c>
      <c r="P1439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MS-NS-030-26-09004-INV</v>
      </c>
      <c r="Q1439" s="59"/>
      <c r="R1439" s="34" t="s">
        <v>7113</v>
      </c>
      <c r="S1439" s="34" t="s">
        <v>4186</v>
      </c>
      <c r="T1439" s="34">
        <f>+IFERROR(_xlfn.XLOOKUP(Table43[[#This Row],[Column1]],#REF!,#REF!),0)</f>
        <v>0</v>
      </c>
      <c r="U1439" s="50">
        <f>IFERROR(_xlfn.XLOOKUP(Table43[[#This Row],[Column1]],#REF!,#REF!),0)</f>
        <v>0</v>
      </c>
      <c r="V1439" s="39"/>
    </row>
    <row r="1440" spans="1:22" x14ac:dyDescent="0.35">
      <c r="A1440" s="3" t="s">
        <v>4181</v>
      </c>
      <c r="B1440" s="3" t="s">
        <v>4816</v>
      </c>
      <c r="C1440" s="2" t="s">
        <v>15</v>
      </c>
      <c r="D1440" s="4">
        <v>1106.6600000000001</v>
      </c>
      <c r="E1440" s="2" t="s">
        <v>10</v>
      </c>
      <c r="F1440" s="2">
        <v>1</v>
      </c>
      <c r="G1440" s="2">
        <v>2</v>
      </c>
      <c r="H1440" s="26">
        <v>1</v>
      </c>
      <c r="I1440" s="22">
        <f>Table43[[#This Row],[Item Cost]]*Table43[[#This Row],[In Stock]]</f>
        <v>1106.6600000000001</v>
      </c>
      <c r="J1440" s="12" t="s">
        <v>4941</v>
      </c>
      <c r="K1440" s="14" t="s">
        <v>4666</v>
      </c>
      <c r="L1440" s="13" t="s">
        <v>4715</v>
      </c>
      <c r="M1440" s="14" t="s">
        <v>4837</v>
      </c>
      <c r="N1440" s="3" t="s">
        <v>4672</v>
      </c>
      <c r="O1440" s="32" t="str">
        <f>IF(LEN(COUNTIFS($J$1:J1440,$J1440,$K$1:K1440,$K1440,$L$1:L1440,$L1440,$M$1:M1440,M1440,$N$1:N1440,N1440))=1,"00"&amp;COUNTIFS($J$1:J1440,$J1440,$K$1:K1440,$K1440,$L$1:L1440,$L1440,$M$1:M1440,M1440,$N$1:N1440,N1440),IF(LEN(COUNTIFS($J$1:J1440,$J1440,$K$1:K1440,$K1440,$L$1:L1440,$L1440,$M$1:M1440,M1440,$N$1:N1440,N1440))=2,"0"&amp;COUNTIFS($J$1:J1440,$J1440,$K$1:K1440,$K1440,$L$1:L1440,$L1440,$M$1:M1440,M1440,$N$1:N1440,N1440),COUNTIFS($J$1:J1440,$J1440,$K$1:K1440,$K1440,$L$1:L1440,$L1440,$M$1:M1440,M1440,$N$1:N1440,N1440)))</f>
        <v>010</v>
      </c>
      <c r="P1440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MS-NS-022-26-00010-INV</v>
      </c>
      <c r="Q1440" s="59"/>
      <c r="R1440" s="34" t="s">
        <v>7114</v>
      </c>
      <c r="S1440" s="34" t="s">
        <v>4816</v>
      </c>
      <c r="T1440" s="34">
        <f>+IFERROR(_xlfn.XLOOKUP(Table43[[#This Row],[Column1]],#REF!,#REF!),0)</f>
        <v>0</v>
      </c>
      <c r="U1440" s="50">
        <f>IFERROR(_xlfn.XLOOKUP(Table43[[#This Row],[Column1]],#REF!,#REF!),0)</f>
        <v>0</v>
      </c>
      <c r="V1440" s="39"/>
    </row>
    <row r="1441" spans="1:22" x14ac:dyDescent="0.35">
      <c r="A1441" s="2" t="s">
        <v>4183</v>
      </c>
      <c r="B1441" s="3" t="s">
        <v>4818</v>
      </c>
      <c r="C1441" s="2" t="s">
        <v>15</v>
      </c>
      <c r="D1441" s="4">
        <v>1106.6600000000001</v>
      </c>
      <c r="E1441" s="2" t="s">
        <v>10</v>
      </c>
      <c r="F1441" s="2">
        <v>1</v>
      </c>
      <c r="G1441" s="2">
        <v>2</v>
      </c>
      <c r="H1441" s="26">
        <v>1</v>
      </c>
      <c r="I1441" s="22">
        <f>Table43[[#This Row],[Item Cost]]*Table43[[#This Row],[In Stock]]</f>
        <v>1106.6600000000001</v>
      </c>
      <c r="J1441" s="12" t="s">
        <v>4941</v>
      </c>
      <c r="K1441" s="14" t="s">
        <v>4666</v>
      </c>
      <c r="L1441" s="13" t="s">
        <v>4715</v>
      </c>
      <c r="M1441" s="14" t="s">
        <v>4837</v>
      </c>
      <c r="N1441" s="3" t="s">
        <v>4672</v>
      </c>
      <c r="O1441" s="32" t="str">
        <f>IF(LEN(COUNTIFS($J$1:J1441,$J1441,$K$1:K1441,$K1441,$L$1:L1441,$L1441,$M$1:M1441,M1441,$N$1:N1441,N1441))=1,"00"&amp;COUNTIFS($J$1:J1441,$J1441,$K$1:K1441,$K1441,$L$1:L1441,$L1441,$M$1:M1441,M1441,$N$1:N1441,N1441),IF(LEN(COUNTIFS($J$1:J1441,$J1441,$K$1:K1441,$K1441,$L$1:L1441,$L1441,$M$1:M1441,M1441,$N$1:N1441,N1441))=2,"0"&amp;COUNTIFS($J$1:J1441,$J1441,$K$1:K1441,$K1441,$L$1:L1441,$L1441,$M$1:M1441,M1441,$N$1:N1441,N1441),COUNTIFS($J$1:J1441,$J1441,$K$1:K1441,$K1441,$L$1:L1441,$L1441,$M$1:M1441,M1441,$N$1:N1441,N1441)))</f>
        <v>011</v>
      </c>
      <c r="P1441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MS-NS-022-26-00011-INV</v>
      </c>
      <c r="Q1441" s="59"/>
      <c r="R1441" s="34" t="s">
        <v>7115</v>
      </c>
      <c r="S1441" s="34" t="s">
        <v>4818</v>
      </c>
      <c r="T1441" s="34">
        <f>+IFERROR(_xlfn.XLOOKUP(Table43[[#This Row],[Column1]],#REF!,#REF!),0)</f>
        <v>0</v>
      </c>
      <c r="U1441" s="50">
        <f>IFERROR(_xlfn.XLOOKUP(Table43[[#This Row],[Column1]],#REF!,#REF!),0)</f>
        <v>0</v>
      </c>
      <c r="V1441" s="39"/>
    </row>
    <row r="1442" spans="1:22" x14ac:dyDescent="0.35">
      <c r="A1442" s="3" t="s">
        <v>4185</v>
      </c>
      <c r="B1442" s="3" t="s">
        <v>4820</v>
      </c>
      <c r="C1442" s="2" t="s">
        <v>15</v>
      </c>
      <c r="D1442" s="4">
        <v>1106.6600000000001</v>
      </c>
      <c r="E1442" s="2" t="s">
        <v>10</v>
      </c>
      <c r="F1442" s="2">
        <v>1</v>
      </c>
      <c r="G1442" s="2">
        <v>2</v>
      </c>
      <c r="H1442" s="26">
        <v>1</v>
      </c>
      <c r="I1442" s="22">
        <f>Table43[[#This Row],[Item Cost]]*Table43[[#This Row],[In Stock]]</f>
        <v>1106.6600000000001</v>
      </c>
      <c r="J1442" s="12" t="s">
        <v>4941</v>
      </c>
      <c r="K1442" s="14" t="s">
        <v>4666</v>
      </c>
      <c r="L1442" s="13" t="s">
        <v>4715</v>
      </c>
      <c r="M1442" s="14" t="s">
        <v>4837</v>
      </c>
      <c r="N1442" s="3" t="s">
        <v>4853</v>
      </c>
      <c r="O1442" s="32" t="str">
        <f>IF(LEN(COUNTIFS($J$1:J1442,$J1442,$K$1:K1442,$K1442,$L$1:L1442,$L1442,$M$1:M1442,M1442,$N$1:N1442,N1442))=1,"00"&amp;COUNTIFS($J$1:J1442,$J1442,$K$1:K1442,$K1442,$L$1:L1442,$L1442,$M$1:M1442,M1442,$N$1:N1442,N1442),IF(LEN(COUNTIFS($J$1:J1442,$J1442,$K$1:K1442,$K1442,$L$1:L1442,$L1442,$M$1:M1442,M1442,$N$1:N1442,N1442))=2,"0"&amp;COUNTIFS($J$1:J1442,$J1442,$K$1:K1442,$K1442,$L$1:L1442,$L1442,$M$1:M1442,M1442,$N$1:N1442,N1442),COUNTIFS($J$1:J1442,$J1442,$K$1:K1442,$K1442,$L$1:L1442,$L1442,$M$1:M1442,M1442,$N$1:N1442,N1442)))</f>
        <v>001</v>
      </c>
      <c r="P1442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MS-NS-022-26-09001-INV</v>
      </c>
      <c r="Q1442" s="59"/>
      <c r="R1442" s="34" t="s">
        <v>7116</v>
      </c>
      <c r="S1442" s="34" t="s">
        <v>4820</v>
      </c>
      <c r="T1442" s="34">
        <f>+IFERROR(_xlfn.XLOOKUP(Table43[[#This Row],[Column1]],#REF!,#REF!),0)</f>
        <v>0</v>
      </c>
      <c r="U1442" s="50">
        <f>IFERROR(_xlfn.XLOOKUP(Table43[[#This Row],[Column1]],#REF!,#REF!),0)</f>
        <v>0</v>
      </c>
      <c r="V1442" s="39"/>
    </row>
    <row r="1443" spans="1:22" x14ac:dyDescent="0.35">
      <c r="A1443" s="2" t="s">
        <v>4815</v>
      </c>
      <c r="B1443" s="3" t="s">
        <v>4188</v>
      </c>
      <c r="C1443" s="6" t="s">
        <v>15</v>
      </c>
      <c r="D1443" s="5">
        <v>550</v>
      </c>
      <c r="E1443" s="6" t="s">
        <v>10</v>
      </c>
      <c r="F1443" s="2">
        <v>1</v>
      </c>
      <c r="G1443" s="2">
        <v>2</v>
      </c>
      <c r="H1443" s="6">
        <v>1</v>
      </c>
      <c r="I1443" s="21">
        <f>Table43[[#This Row],[Item Cost]]*Table43[[#This Row],[In Stock]]</f>
        <v>550</v>
      </c>
      <c r="J1443" s="12" t="s">
        <v>4941</v>
      </c>
      <c r="K1443" s="14" t="s">
        <v>4666</v>
      </c>
      <c r="L1443" s="13" t="s">
        <v>4721</v>
      </c>
      <c r="M1443" s="14" t="s">
        <v>4837</v>
      </c>
      <c r="N1443" s="3" t="s">
        <v>4672</v>
      </c>
      <c r="O1443" s="32" t="str">
        <f>IF(LEN(COUNTIFS($J$1:J1443,$J1443,$K$1:K1443,$K1443,$L$1:L1443,$L1443,$M$1:M1443,M1443,$N$1:N1443,N1443))=1,"00"&amp;COUNTIFS($J$1:J1443,$J1443,$K$1:K1443,$K1443,$L$1:L1443,$L1443,$M$1:M1443,M1443,$N$1:N1443,N1443),IF(LEN(COUNTIFS($J$1:J1443,$J1443,$K$1:K1443,$K1443,$L$1:L1443,$L1443,$M$1:M1443,M1443,$N$1:N1443,N1443))=2,"0"&amp;COUNTIFS($J$1:J1443,$J1443,$K$1:K1443,$K1443,$L$1:L1443,$L1443,$M$1:M1443,M1443,$N$1:N1443,N1443),COUNTIFS($J$1:J1443,$J1443,$K$1:K1443,$K1443,$L$1:L1443,$L1443,$M$1:M1443,M1443,$N$1:N1443,N1443)))</f>
        <v>001</v>
      </c>
      <c r="P1443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MS-NS-025-26-00001-INV</v>
      </c>
      <c r="Q1443" s="59"/>
      <c r="R1443" s="34" t="s">
        <v>7117</v>
      </c>
      <c r="S1443" s="34" t="s">
        <v>4188</v>
      </c>
      <c r="T1443" s="34">
        <f>+IFERROR(_xlfn.XLOOKUP(Table43[[#This Row],[Column1]],#REF!,#REF!),0)</f>
        <v>0</v>
      </c>
      <c r="U1443" s="50">
        <f>IFERROR(_xlfn.XLOOKUP(Table43[[#This Row],[Column1]],#REF!,#REF!),0)</f>
        <v>0</v>
      </c>
      <c r="V1443" s="39"/>
    </row>
    <row r="1444" spans="1:22" x14ac:dyDescent="0.35">
      <c r="A1444" s="3" t="s">
        <v>4817</v>
      </c>
      <c r="B1444" s="3" t="s">
        <v>4885</v>
      </c>
      <c r="C1444" s="3" t="s">
        <v>15</v>
      </c>
      <c r="D1444" s="3"/>
      <c r="E1444" s="3" t="s">
        <v>10</v>
      </c>
      <c r="F1444" s="3">
        <v>0</v>
      </c>
      <c r="G1444" s="3">
        <v>4</v>
      </c>
      <c r="H1444" s="6">
        <v>0</v>
      </c>
      <c r="I1444" s="21">
        <f>Table43[[#This Row],[Item Cost]]*Table43[[#This Row],[In Stock]]</f>
        <v>0</v>
      </c>
      <c r="J1444" s="12" t="s">
        <v>4941</v>
      </c>
      <c r="K1444" s="14" t="s">
        <v>4666</v>
      </c>
      <c r="L1444" s="13" t="s">
        <v>4719</v>
      </c>
      <c r="M1444" s="14" t="s">
        <v>4672</v>
      </c>
      <c r="N1444" s="3" t="s">
        <v>4672</v>
      </c>
      <c r="O1444" s="32" t="str">
        <f>IF(LEN(COUNTIFS($J$1:J1444,$J1444,$K$1:K1444,$K1444,$L$1:L1444,$L1444,$M$1:M1444,M1444,$N$1:N1444,N1444))=1,"00"&amp;COUNTIFS($J$1:J1444,$J1444,$K$1:K1444,$K1444,$L$1:L1444,$L1444,$M$1:M1444,M1444,$N$1:N1444,N1444),IF(LEN(COUNTIFS($J$1:J1444,$J1444,$K$1:K1444,$K1444,$L$1:L1444,$L1444,$M$1:M1444,M1444,$N$1:N1444,N1444))=2,"0"&amp;COUNTIFS($J$1:J1444,$J1444,$K$1:K1444,$K1444,$L$1:L1444,$L1444,$M$1:M1444,M1444,$N$1:N1444,N1444),COUNTIFS($J$1:J1444,$J1444,$K$1:K1444,$K1444,$L$1:L1444,$L1444,$M$1:M1444,M1444,$N$1:N1444,N1444)))</f>
        <v>001</v>
      </c>
      <c r="P1444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MS-NS-024-00-00001-INV</v>
      </c>
      <c r="Q1444" s="59"/>
      <c r="R1444" s="34" t="s">
        <v>7118</v>
      </c>
      <c r="S1444" s="34" t="s">
        <v>4885</v>
      </c>
      <c r="T1444" s="34">
        <f>+IFERROR(_xlfn.XLOOKUP(Table43[[#This Row],[Column1]],#REF!,#REF!),0)</f>
        <v>0</v>
      </c>
      <c r="U1444" s="50">
        <f>IFERROR(_xlfn.XLOOKUP(Table43[[#This Row],[Column1]],#REF!,#REF!),0)</f>
        <v>0</v>
      </c>
      <c r="V1444" s="39"/>
    </row>
    <row r="1445" spans="1:22" x14ac:dyDescent="0.35">
      <c r="A1445" s="2" t="s">
        <v>4819</v>
      </c>
      <c r="B1445" s="33" t="s">
        <v>4917</v>
      </c>
      <c r="C1445" s="3" t="s">
        <v>15</v>
      </c>
      <c r="D1445" s="3"/>
      <c r="E1445" s="3" t="s">
        <v>10</v>
      </c>
      <c r="F1445" s="2">
        <v>0</v>
      </c>
      <c r="G1445" s="2">
        <v>2</v>
      </c>
      <c r="H1445" s="6">
        <v>0</v>
      </c>
      <c r="I1445" s="21">
        <f>Table43[[#This Row],[Item Cost]]*Table43[[#This Row],[In Stock]]</f>
        <v>0</v>
      </c>
      <c r="J1445" s="12" t="s">
        <v>4941</v>
      </c>
      <c r="K1445" s="14" t="s">
        <v>4666</v>
      </c>
      <c r="L1445" s="13" t="s">
        <v>4719</v>
      </c>
      <c r="M1445" s="14" t="s">
        <v>4672</v>
      </c>
      <c r="N1445" s="3" t="s">
        <v>4672</v>
      </c>
      <c r="O1445" s="32" t="str">
        <f>IF(LEN(COUNTIFS($J$1:J1445,$J1445,$K$1:K1445,$K1445,$L$1:L1445,$L1445,$M$1:M1445,M1445,$N$1:N1445,N1445))=1,"00"&amp;COUNTIFS($J$1:J1445,$J1445,$K$1:K1445,$K1445,$L$1:L1445,$L1445,$M$1:M1445,M1445,$N$1:N1445,N1445),IF(LEN(COUNTIFS($J$1:J1445,$J1445,$K$1:K1445,$K1445,$L$1:L1445,$L1445,$M$1:M1445,M1445,$N$1:N1445,N1445))=2,"0"&amp;COUNTIFS($J$1:J1445,$J1445,$K$1:K1445,$K1445,$L$1:L1445,$L1445,$M$1:M1445,M1445,$N$1:N1445,N1445),COUNTIFS($J$1:J1445,$J1445,$K$1:K1445,$K1445,$L$1:L1445,$L1445,$M$1:M1445,M1445,$N$1:N1445,N1445)))</f>
        <v>002</v>
      </c>
      <c r="P1445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MS-NS-024-00-00002-INV</v>
      </c>
      <c r="Q1445" s="59"/>
      <c r="R1445" s="34" t="s">
        <v>7119</v>
      </c>
      <c r="S1445" s="34" t="s">
        <v>4917</v>
      </c>
      <c r="T1445" s="34">
        <f>+IFERROR(_xlfn.XLOOKUP(Table43[[#This Row],[Column1]],#REF!,#REF!),0)</f>
        <v>0</v>
      </c>
      <c r="U1445" s="50">
        <f>IFERROR(_xlfn.XLOOKUP(Table43[[#This Row],[Column1]],#REF!,#REF!),0)</f>
        <v>0</v>
      </c>
      <c r="V1445" s="39"/>
    </row>
    <row r="1446" spans="1:22" x14ac:dyDescent="0.35">
      <c r="A1446" s="3" t="s">
        <v>5624</v>
      </c>
      <c r="B1446" s="3" t="s">
        <v>4889</v>
      </c>
      <c r="C1446" s="3" t="s">
        <v>15</v>
      </c>
      <c r="D1446" s="3"/>
      <c r="E1446" s="3" t="s">
        <v>10</v>
      </c>
      <c r="F1446" s="3">
        <v>0</v>
      </c>
      <c r="G1446" s="3">
        <v>4</v>
      </c>
      <c r="H1446" s="6">
        <v>0</v>
      </c>
      <c r="I1446" s="21">
        <f>Table43[[#This Row],[Item Cost]]*Table43[[#This Row],[In Stock]]</f>
        <v>0</v>
      </c>
      <c r="J1446" s="12" t="s">
        <v>4941</v>
      </c>
      <c r="K1446" s="14" t="s">
        <v>4666</v>
      </c>
      <c r="L1446" s="13" t="s">
        <v>4719</v>
      </c>
      <c r="M1446" s="14" t="s">
        <v>4672</v>
      </c>
      <c r="N1446" s="3" t="s">
        <v>4672</v>
      </c>
      <c r="O1446" s="32" t="str">
        <f>IF(LEN(COUNTIFS($J$1:J1446,$J1446,$K$1:K1446,$K1446,$L$1:L1446,$L1446,$M$1:M1446,M1446,$N$1:N1446,N1446))=1,"00"&amp;COUNTIFS($J$1:J1446,$J1446,$K$1:K1446,$K1446,$L$1:L1446,$L1446,$M$1:M1446,M1446,$N$1:N1446,N1446),IF(LEN(COUNTIFS($J$1:J1446,$J1446,$K$1:K1446,$K1446,$L$1:L1446,$L1446,$M$1:M1446,M1446,$N$1:N1446,N1446))=2,"0"&amp;COUNTIFS($J$1:J1446,$J1446,$K$1:K1446,$K1446,$L$1:L1446,$L1446,$M$1:M1446,M1446,$N$1:N1446,N1446),COUNTIFS($J$1:J1446,$J1446,$K$1:K1446,$K1446,$L$1:L1446,$L1446,$M$1:M1446,M1446,$N$1:N1446,N1446)))</f>
        <v>003</v>
      </c>
      <c r="P1446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MS-NS-024-00-00003-INV</v>
      </c>
      <c r="Q1446" s="59"/>
      <c r="R1446" s="34" t="s">
        <v>7120</v>
      </c>
      <c r="S1446" s="34" t="s">
        <v>4889</v>
      </c>
      <c r="T1446" s="34">
        <f>+IFERROR(_xlfn.XLOOKUP(Table43[[#This Row],[Column1]],#REF!,#REF!),0)</f>
        <v>0</v>
      </c>
      <c r="U1446" s="50">
        <f>IFERROR(_xlfn.XLOOKUP(Table43[[#This Row],[Column1]],#REF!,#REF!),0)</f>
        <v>0</v>
      </c>
      <c r="V1446" s="39"/>
    </row>
    <row r="1447" spans="1:22" x14ac:dyDescent="0.35">
      <c r="A1447" s="3" t="s">
        <v>7318</v>
      </c>
      <c r="B1447" s="6" t="s">
        <v>7319</v>
      </c>
      <c r="C1447" s="3" t="s">
        <v>15</v>
      </c>
      <c r="D1447" s="6"/>
      <c r="E1447" s="3" t="s">
        <v>10</v>
      </c>
      <c r="F1447" s="3">
        <v>0</v>
      </c>
      <c r="G1447" s="3">
        <v>4</v>
      </c>
      <c r="H1447" s="6">
        <v>0</v>
      </c>
      <c r="I1447" s="25">
        <f>Table43[[#This Row],[Item Cost]]*Table43[[#This Row],[In Stock]]</f>
        <v>0</v>
      </c>
      <c r="J1447" s="12" t="s">
        <v>4941</v>
      </c>
      <c r="K1447" s="14" t="s">
        <v>4666</v>
      </c>
      <c r="L1447" s="13" t="s">
        <v>4719</v>
      </c>
      <c r="M1447" s="14" t="s">
        <v>4827</v>
      </c>
      <c r="N1447" s="3" t="s">
        <v>4856</v>
      </c>
      <c r="O1447" s="32" t="str">
        <f>IF(LEN(COUNTIFS($J$1:J1448,$J1447,$K$1:K1448,$K1447,$L$1:L1448,$L1447,$M$1:M1448,M1447,$N$1:N1448,N1447))=1,"00"&amp;COUNTIFS($J$1:J1448,$J1447,$K$1:K1448,$K1447,$L$1:L1448,$L1447,$M$1:M1448,M1447,$N$1:N1448,N1447),IF(LEN(COUNTIFS($J$1:J1448,$J1447,$K$1:K1448,$K1447,$L$1:L1448,$L1447,$M$1:M1448,M1447,$N$1:N1448,N1447))=2,"0"&amp;COUNTIFS($J$1:J1448,$J1447,$K$1:K1448,$K1447,$L$1:L1448,$L1447,$M$1:M1448,M1447,$N$1:N1448,N1447),COUNTIFS($J$1:J1448,$J1447,$K$1:K1448,$K1447,$L$1:L1448,$L1447,$M$1:M1448,M1447,$N$1:N1448,N1447)))</f>
        <v>001</v>
      </c>
      <c r="P1447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MS-NS-024-10-13001-INV</v>
      </c>
      <c r="Q1447" s="34"/>
      <c r="R1447" s="34"/>
      <c r="S1447" s="34"/>
      <c r="T1447" s="34">
        <f>+IFERROR(_xlfn.XLOOKUP(Table43[[#This Row],[Column1]],#REF!,#REF!),0)</f>
        <v>0</v>
      </c>
      <c r="U1447" s="51">
        <f>IFERROR(_xlfn.XLOOKUP(Table43[[#This Row],[Column1]],#REF!,#REF!),0)</f>
        <v>0</v>
      </c>
      <c r="V1447" s="39"/>
    </row>
    <row r="1448" spans="1:22" x14ac:dyDescent="0.35">
      <c r="A1448" s="2" t="s">
        <v>4189</v>
      </c>
      <c r="B1448" s="26" t="s">
        <v>4190</v>
      </c>
      <c r="C1448" s="2" t="s">
        <v>15</v>
      </c>
      <c r="D1448" s="26">
        <v>0</v>
      </c>
      <c r="E1448" s="2" t="s">
        <v>10</v>
      </c>
      <c r="F1448" s="2">
        <v>1</v>
      </c>
      <c r="G1448" s="2">
        <v>2</v>
      </c>
      <c r="H1448" s="26">
        <v>0</v>
      </c>
      <c r="I1448" s="28">
        <f>Table43[[#This Row],[Item Cost]]*Table43[[#This Row],[In Stock]]</f>
        <v>0</v>
      </c>
      <c r="J1448" s="12" t="s">
        <v>4941</v>
      </c>
      <c r="K1448" s="14" t="s">
        <v>4666</v>
      </c>
      <c r="L1448" s="13" t="s">
        <v>4754</v>
      </c>
      <c r="M1448" s="14" t="s">
        <v>4693</v>
      </c>
      <c r="N1448" s="3" t="s">
        <v>4845</v>
      </c>
      <c r="O1448" s="32" t="str">
        <f>IF(LEN(COUNTIFS($J$1:J1448,$J1448,$K$1:K1448,$K1448,$L$1:L1448,$L1448,$M$1:M1448,M1448,$N$1:N1448,N1448))=1,"00"&amp;COUNTIFS($J$1:J1448,$J1448,$K$1:K1448,$K1448,$L$1:L1448,$L1448,$M$1:M1448,M1448,$N$1:N1448,N1448),IF(LEN(COUNTIFS($J$1:J1448,$J1448,$K$1:K1448,$K1448,$L$1:L1448,$L1448,$M$1:M1448,M1448,$N$1:N1448,N1448))=2,"0"&amp;COUNTIFS($J$1:J1448,$J1448,$K$1:K1448,$K1448,$L$1:L1448,$L1448,$M$1:M1448,M1448,$N$1:N1448,N1448),COUNTIFS($J$1:J1448,$J1448,$K$1:K1448,$K1448,$L$1:L1448,$L1448,$M$1:M1448,M1448,$N$1:N1448,N1448)))</f>
        <v>001</v>
      </c>
      <c r="P1448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MS-NS-018-23-01001-INV</v>
      </c>
      <c r="Q1448" s="59" t="s">
        <v>7336</v>
      </c>
      <c r="R1448" s="34" t="s">
        <v>7121</v>
      </c>
      <c r="S1448" s="34" t="s">
        <v>4190</v>
      </c>
      <c r="T1448" s="34">
        <f>+IFERROR(_xlfn.XLOOKUP(Table43[[#This Row],[Column1]],#REF!,#REF!),0)</f>
        <v>0</v>
      </c>
      <c r="U1448" s="50">
        <f>IFERROR(_xlfn.XLOOKUP(Table43[[#This Row],[Column1]],#REF!,#REF!),0)</f>
        <v>0</v>
      </c>
      <c r="V1448" s="39"/>
    </row>
    <row r="1449" spans="1:22" x14ac:dyDescent="0.35">
      <c r="A1449" s="3" t="s">
        <v>4191</v>
      </c>
      <c r="B1449" s="6" t="s">
        <v>4192</v>
      </c>
      <c r="C1449" s="3" t="s">
        <v>15</v>
      </c>
      <c r="D1449" s="6">
        <v>0</v>
      </c>
      <c r="E1449" s="3" t="s">
        <v>10</v>
      </c>
      <c r="F1449" s="2">
        <v>1</v>
      </c>
      <c r="G1449" s="2">
        <v>2</v>
      </c>
      <c r="H1449" s="6">
        <v>0</v>
      </c>
      <c r="I1449" s="25">
        <f>Table43[[#This Row],[Item Cost]]*Table43[[#This Row],[In Stock]]</f>
        <v>0</v>
      </c>
      <c r="J1449" s="12" t="s">
        <v>4941</v>
      </c>
      <c r="K1449" s="14" t="s">
        <v>4666</v>
      </c>
      <c r="L1449" s="13" t="s">
        <v>4754</v>
      </c>
      <c r="M1449" s="14" t="s">
        <v>4693</v>
      </c>
      <c r="N1449" s="3" t="s">
        <v>4845</v>
      </c>
      <c r="O1449" s="32" t="str">
        <f>IF(LEN(COUNTIFS($J$1:J1449,$J1449,$K$1:K1449,$K1449,$L$1:L1449,$L1449,$M$1:M1449,M1449,$N$1:N1449,N1449))=1,"00"&amp;COUNTIFS($J$1:J1449,$J1449,$K$1:K1449,$K1449,$L$1:L1449,$L1449,$M$1:M1449,M1449,$N$1:N1449,N1449),IF(LEN(COUNTIFS($J$1:J1449,$J1449,$K$1:K1449,$K1449,$L$1:L1449,$L1449,$M$1:M1449,M1449,$N$1:N1449,N1449))=2,"0"&amp;COUNTIFS($J$1:J1449,$J1449,$K$1:K1449,$K1449,$L$1:L1449,$L1449,$M$1:M1449,M1449,$N$1:N1449,N1449),COUNTIFS($J$1:J1449,$J1449,$K$1:K1449,$K1449,$L$1:L1449,$L1449,$M$1:M1449,M1449,$N$1:N1449,N1449)))</f>
        <v>002</v>
      </c>
      <c r="P1449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MS-NS-018-23-01002-INV</v>
      </c>
      <c r="Q1449" s="59"/>
      <c r="R1449" s="34" t="s">
        <v>7122</v>
      </c>
      <c r="S1449" s="34" t="s">
        <v>4192</v>
      </c>
      <c r="T1449" s="34">
        <f>+IFERROR(_xlfn.XLOOKUP(Table43[[#This Row],[Column1]],#REF!,#REF!),0)</f>
        <v>0</v>
      </c>
      <c r="U1449" s="50">
        <f>IFERROR(_xlfn.XLOOKUP(Table43[[#This Row],[Column1]],#REF!,#REF!),0)</f>
        <v>0</v>
      </c>
      <c r="V1449" s="39"/>
    </row>
    <row r="1450" spans="1:22" x14ac:dyDescent="0.35">
      <c r="A1450" s="2" t="s">
        <v>4193</v>
      </c>
      <c r="B1450" s="26" t="s">
        <v>4194</v>
      </c>
      <c r="C1450" s="2" t="s">
        <v>15</v>
      </c>
      <c r="D1450" s="26">
        <v>0</v>
      </c>
      <c r="E1450" s="2" t="s">
        <v>10</v>
      </c>
      <c r="F1450" s="2">
        <v>1</v>
      </c>
      <c r="G1450" s="2">
        <v>2</v>
      </c>
      <c r="H1450" s="26">
        <v>0</v>
      </c>
      <c r="I1450" s="28">
        <f>Table43[[#This Row],[Item Cost]]*Table43[[#This Row],[In Stock]]</f>
        <v>0</v>
      </c>
      <c r="J1450" s="12" t="s">
        <v>4941</v>
      </c>
      <c r="K1450" s="14" t="s">
        <v>4666</v>
      </c>
      <c r="L1450" s="13" t="s">
        <v>4754</v>
      </c>
      <c r="M1450" s="14" t="s">
        <v>4839</v>
      </c>
      <c r="N1450" s="3" t="s">
        <v>4845</v>
      </c>
      <c r="O1450" s="32" t="str">
        <f>IF(LEN(COUNTIFS($J$1:J1450,$J1450,$K$1:K1450,$K1450,$L$1:L1450,$L1450,$M$1:M1450,M1450,$N$1:N1450,N1450))=1,"00"&amp;COUNTIFS($J$1:J1450,$J1450,$K$1:K1450,$K1450,$L$1:L1450,$L1450,$M$1:M1450,M1450,$N$1:N1450,N1450),IF(LEN(COUNTIFS($J$1:J1450,$J1450,$K$1:K1450,$K1450,$L$1:L1450,$L1450,$M$1:M1450,M1450,$N$1:N1450,N1450))=2,"0"&amp;COUNTIFS($J$1:J1450,$J1450,$K$1:K1450,$K1450,$L$1:L1450,$L1450,$M$1:M1450,M1450,$N$1:N1450,N1450),COUNTIFS($J$1:J1450,$J1450,$K$1:K1450,$K1450,$L$1:L1450,$L1450,$M$1:M1450,M1450,$N$1:N1450,N1450)))</f>
        <v>001</v>
      </c>
      <c r="P1450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MS-NS-018-27-01001-INV</v>
      </c>
      <c r="Q1450" s="59"/>
      <c r="R1450" s="34" t="s">
        <v>7123</v>
      </c>
      <c r="S1450" s="34" t="s">
        <v>4194</v>
      </c>
      <c r="T1450" s="34">
        <f>+IFERROR(_xlfn.XLOOKUP(Table43[[#This Row],[Column1]],#REF!,#REF!),0)</f>
        <v>0</v>
      </c>
      <c r="U1450" s="50">
        <f>IFERROR(_xlfn.XLOOKUP(Table43[[#This Row],[Column1]],#REF!,#REF!),0)</f>
        <v>0</v>
      </c>
      <c r="V1450" s="39"/>
    </row>
    <row r="1451" spans="1:22" x14ac:dyDescent="0.35">
      <c r="A1451" s="2" t="s">
        <v>4195</v>
      </c>
      <c r="B1451" s="6" t="s">
        <v>4196</v>
      </c>
      <c r="C1451" s="3" t="s">
        <v>9</v>
      </c>
      <c r="D1451" s="6">
        <v>24</v>
      </c>
      <c r="E1451" s="3" t="s">
        <v>10</v>
      </c>
      <c r="F1451" s="2">
        <v>1</v>
      </c>
      <c r="G1451" s="3">
        <v>2</v>
      </c>
      <c r="H1451" s="6">
        <v>2</v>
      </c>
      <c r="I1451" s="25">
        <f>Table43[[#This Row],[Item Cost]]*Table43[[#This Row],[In Stock]]</f>
        <v>48</v>
      </c>
      <c r="J1451" s="12" t="s">
        <v>4941</v>
      </c>
      <c r="K1451" s="14" t="s">
        <v>4664</v>
      </c>
      <c r="L1451" s="13" t="s">
        <v>4754</v>
      </c>
      <c r="M1451" s="14" t="s">
        <v>4693</v>
      </c>
      <c r="N1451" s="3" t="s">
        <v>4845</v>
      </c>
      <c r="O1451" s="32" t="str">
        <f>IF(LEN(COUNTIFS($J$1:J1451,$J1451,$K$1:K1451,$K1451,$L$1:L1451,$L1451,$M$1:M1451,M1451,$N$1:N1451,N1451))=1,"00"&amp;COUNTIFS($J$1:J1451,$J1451,$K$1:K1451,$K1451,$L$1:L1451,$L1451,$M$1:M1451,M1451,$N$1:N1451,N1451),IF(LEN(COUNTIFS($J$1:J1451,$J1451,$K$1:K1451,$K1451,$L$1:L1451,$L1451,$M$1:M1451,M1451,$N$1:N1451,N1451))=2,"0"&amp;COUNTIFS($J$1:J1451,$J1451,$K$1:K1451,$K1451,$L$1:L1451,$L1451,$M$1:M1451,M1451,$N$1:N1451,N1451),COUNTIFS($J$1:J1451,$J1451,$K$1:K1451,$K1451,$L$1:L1451,$L1451,$M$1:M1451,M1451,$N$1:N1451,N1451)))</f>
        <v>001</v>
      </c>
      <c r="P1451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MS-CS-018-23-01001-INV</v>
      </c>
      <c r="Q1451" s="59" t="s">
        <v>7336</v>
      </c>
      <c r="R1451" s="34" t="s">
        <v>7124</v>
      </c>
      <c r="S1451" s="34" t="s">
        <v>4196</v>
      </c>
      <c r="T1451" s="34">
        <f>+IFERROR(_xlfn.XLOOKUP(Table43[[#This Row],[Column1]],#REF!,#REF!),0)</f>
        <v>0</v>
      </c>
      <c r="U1451" s="50">
        <f>IFERROR(_xlfn.XLOOKUP(Table43[[#This Row],[Column1]],#REF!,#REF!),0)</f>
        <v>0</v>
      </c>
      <c r="V1451" s="39"/>
    </row>
    <row r="1452" spans="1:22" x14ac:dyDescent="0.35">
      <c r="A1452" s="3" t="s">
        <v>4197</v>
      </c>
      <c r="B1452" s="26" t="s">
        <v>4198</v>
      </c>
      <c r="C1452" s="2" t="s">
        <v>9</v>
      </c>
      <c r="D1452" s="26">
        <v>24</v>
      </c>
      <c r="E1452" s="2" t="s">
        <v>10</v>
      </c>
      <c r="F1452" s="2">
        <v>1</v>
      </c>
      <c r="G1452" s="3">
        <v>2</v>
      </c>
      <c r="H1452" s="26">
        <v>5</v>
      </c>
      <c r="I1452" s="28">
        <f>Table43[[#This Row],[Item Cost]]*Table43[[#This Row],[In Stock]]</f>
        <v>120</v>
      </c>
      <c r="J1452" s="12" t="s">
        <v>4941</v>
      </c>
      <c r="K1452" s="14" t="s">
        <v>4664</v>
      </c>
      <c r="L1452" s="13" t="s">
        <v>4754</v>
      </c>
      <c r="M1452" s="14" t="s">
        <v>4693</v>
      </c>
      <c r="N1452" s="3" t="s">
        <v>4845</v>
      </c>
      <c r="O1452" s="32" t="str">
        <f>IF(LEN(COUNTIFS($J$1:J1452,$J1452,$K$1:K1452,$K1452,$L$1:L1452,$L1452,$M$1:M1452,M1452,$N$1:N1452,N1452))=1,"00"&amp;COUNTIFS($J$1:J1452,$J1452,$K$1:K1452,$K1452,$L$1:L1452,$L1452,$M$1:M1452,M1452,$N$1:N1452,N1452),IF(LEN(COUNTIFS($J$1:J1452,$J1452,$K$1:K1452,$K1452,$L$1:L1452,$L1452,$M$1:M1452,M1452,$N$1:N1452,N1452))=2,"0"&amp;COUNTIFS($J$1:J1452,$J1452,$K$1:K1452,$K1452,$L$1:L1452,$L1452,$M$1:M1452,M1452,$N$1:N1452,N1452),COUNTIFS($J$1:J1452,$J1452,$K$1:K1452,$K1452,$L$1:L1452,$L1452,$M$1:M1452,M1452,$N$1:N1452,N1452)))</f>
        <v>002</v>
      </c>
      <c r="P1452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MS-CS-018-23-01002-INV</v>
      </c>
      <c r="Q1452" s="59" t="s">
        <v>7396</v>
      </c>
      <c r="R1452" s="34" t="s">
        <v>7125</v>
      </c>
      <c r="S1452" s="34" t="s">
        <v>4198</v>
      </c>
      <c r="T1452" s="34">
        <f>+IFERROR(_xlfn.XLOOKUP(Table43[[#This Row],[Column1]],#REF!,#REF!),0)</f>
        <v>0</v>
      </c>
      <c r="U1452" s="50">
        <f>IFERROR(_xlfn.XLOOKUP(Table43[[#This Row],[Column1]],#REF!,#REF!),0)</f>
        <v>0</v>
      </c>
      <c r="V1452" s="39"/>
    </row>
    <row r="1453" spans="1:22" x14ac:dyDescent="0.35">
      <c r="A1453" s="2" t="s">
        <v>4199</v>
      </c>
      <c r="B1453" s="6" t="s">
        <v>4200</v>
      </c>
      <c r="C1453" s="3" t="s">
        <v>15</v>
      </c>
      <c r="D1453" s="6">
        <v>0</v>
      </c>
      <c r="E1453" s="6" t="s">
        <v>10</v>
      </c>
      <c r="F1453" s="26">
        <v>1</v>
      </c>
      <c r="G1453" s="26">
        <v>2</v>
      </c>
      <c r="H1453" s="6">
        <v>0</v>
      </c>
      <c r="I1453" s="25">
        <f>Table43[[#This Row],[Item Cost]]*Table43[[#This Row],[In Stock]]</f>
        <v>0</v>
      </c>
      <c r="J1453" s="12" t="s">
        <v>4941</v>
      </c>
      <c r="K1453" s="14" t="s">
        <v>4666</v>
      </c>
      <c r="L1453" s="14" t="s">
        <v>4754</v>
      </c>
      <c r="M1453" s="14" t="s">
        <v>4775</v>
      </c>
      <c r="N1453" s="6" t="s">
        <v>4845</v>
      </c>
      <c r="O1453" s="32" t="str">
        <f>IF(LEN(COUNTIFS($J$1:J1453,$J1453,$K$1:K1453,$K1453,$L$1:L1453,$L1453,$M$1:M1453,M1453,$N$1:N1453,N1453))=1,"00"&amp;COUNTIFS($J$1:J1453,$J1453,$K$1:K1453,$K1453,$L$1:L1453,$L1453,$M$1:M1453,M1453,$N$1:N1453,N1453),IF(LEN(COUNTIFS($J$1:J1453,$J1453,$K$1:K1453,$K1453,$L$1:L1453,$L1453,$M$1:M1453,M1453,$N$1:N1453,N1453))=2,"0"&amp;COUNTIFS($J$1:J1453,$J1453,$K$1:K1453,$K1453,$L$1:L1453,$L1453,$M$1:M1453,M1453,$N$1:N1453,N1453),COUNTIFS($J$1:J1453,$J1453,$K$1:K1453,$K1453,$L$1:L1453,$L1453,$M$1:M1453,M1453,$N$1:N1453,N1453)))</f>
        <v>001</v>
      </c>
      <c r="P1453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MS-NS-018-09-01001-INV</v>
      </c>
      <c r="Q1453" s="59"/>
      <c r="R1453" s="34" t="s">
        <v>7126</v>
      </c>
      <c r="S1453" s="34" t="s">
        <v>4200</v>
      </c>
      <c r="T1453" s="34">
        <f>+IFERROR(_xlfn.XLOOKUP(Table43[[#This Row],[Column1]],#REF!,#REF!),0)</f>
        <v>0</v>
      </c>
      <c r="U1453" s="50">
        <f>IFERROR(_xlfn.XLOOKUP(Table43[[#This Row],[Column1]],#REF!,#REF!),0)</f>
        <v>0</v>
      </c>
      <c r="V1453" s="39"/>
    </row>
    <row r="1454" spans="1:22" x14ac:dyDescent="0.35">
      <c r="A1454" s="2" t="s">
        <v>4201</v>
      </c>
      <c r="B1454" s="2" t="s">
        <v>4202</v>
      </c>
      <c r="C1454" s="2" t="s">
        <v>15</v>
      </c>
      <c r="D1454" s="2">
        <v>0</v>
      </c>
      <c r="E1454" s="26" t="s">
        <v>10</v>
      </c>
      <c r="F1454" s="2">
        <v>1</v>
      </c>
      <c r="G1454" s="2">
        <v>2</v>
      </c>
      <c r="H1454" s="2">
        <v>0</v>
      </c>
      <c r="I1454" s="22">
        <f>Table43[[#This Row],[Item Cost]]*Table43[[#This Row],[In Stock]]</f>
        <v>0</v>
      </c>
      <c r="J1454" s="3" t="s">
        <v>4941</v>
      </c>
      <c r="K1454" s="14" t="s">
        <v>4666</v>
      </c>
      <c r="L1454" s="14" t="s">
        <v>4754</v>
      </c>
      <c r="M1454" s="14" t="s">
        <v>4693</v>
      </c>
      <c r="N1454" s="3" t="s">
        <v>4845</v>
      </c>
      <c r="O1454" s="32" t="str">
        <f>IF(LEN(COUNTIFS($J$1:J1454,$J1454,$K$1:K1454,$K1454,$L$1:L1454,$L1454,$M$1:M1454,M1454,$N$1:N1454,N1454))=1,"00"&amp;COUNTIFS($J$1:J1454,$J1454,$K$1:K1454,$K1454,$L$1:L1454,$L1454,$M$1:M1454,M1454,$N$1:N1454,N1454),IF(LEN(COUNTIFS($J$1:J1454,$J1454,$K$1:K1454,$K1454,$L$1:L1454,$L1454,$M$1:M1454,M1454,$N$1:N1454,N1454))=2,"0"&amp;COUNTIFS($J$1:J1454,$J1454,$K$1:K1454,$K1454,$L$1:L1454,$L1454,$M$1:M1454,M1454,$N$1:N1454,N1454),COUNTIFS($J$1:J1454,$J1454,$K$1:K1454,$K1454,$L$1:L1454,$L1454,$M$1:M1454,M1454,$N$1:N1454,N1454)))</f>
        <v>003</v>
      </c>
      <c r="P1454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MS-NS-018-23-01003-INV</v>
      </c>
      <c r="Q1454" s="59"/>
      <c r="R1454" s="34" t="s">
        <v>7127</v>
      </c>
      <c r="S1454" s="34" t="s">
        <v>4202</v>
      </c>
      <c r="T1454" s="34">
        <f>+IFERROR(_xlfn.XLOOKUP(Table43[[#This Row],[Column1]],#REF!,#REF!),0)</f>
        <v>0</v>
      </c>
      <c r="U1454" s="50">
        <f>IFERROR(_xlfn.XLOOKUP(Table43[[#This Row],[Column1]],#REF!,#REF!),0)</f>
        <v>0</v>
      </c>
      <c r="V1454" s="39"/>
    </row>
    <row r="1455" spans="1:22" x14ac:dyDescent="0.35">
      <c r="A1455" s="3" t="s">
        <v>4203</v>
      </c>
      <c r="B1455" s="3" t="s">
        <v>4204</v>
      </c>
      <c r="C1455" s="3" t="s">
        <v>15</v>
      </c>
      <c r="D1455" s="3">
        <v>0</v>
      </c>
      <c r="E1455" s="6" t="s">
        <v>10</v>
      </c>
      <c r="F1455" s="2">
        <v>1</v>
      </c>
      <c r="G1455" s="2">
        <v>2</v>
      </c>
      <c r="H1455" s="3">
        <v>0</v>
      </c>
      <c r="I1455" s="21">
        <f>Table43[[#This Row],[Item Cost]]*Table43[[#This Row],[In Stock]]</f>
        <v>0</v>
      </c>
      <c r="J1455" s="3" t="s">
        <v>4941</v>
      </c>
      <c r="K1455" s="14" t="s">
        <v>4666</v>
      </c>
      <c r="L1455" s="14" t="s">
        <v>4754</v>
      </c>
      <c r="M1455" s="14" t="s">
        <v>4693</v>
      </c>
      <c r="N1455" s="3" t="s">
        <v>4845</v>
      </c>
      <c r="O1455" s="32" t="str">
        <f>IF(LEN(COUNTIFS($J$1:J1455,$J1455,$K$1:K1455,$K1455,$L$1:L1455,$L1455,$M$1:M1455,M1455,$N$1:N1455,N1455))=1,"00"&amp;COUNTIFS($J$1:J1455,$J1455,$K$1:K1455,$K1455,$L$1:L1455,$L1455,$M$1:M1455,M1455,$N$1:N1455,N1455),IF(LEN(COUNTIFS($J$1:J1455,$J1455,$K$1:K1455,$K1455,$L$1:L1455,$L1455,$M$1:M1455,M1455,$N$1:N1455,N1455))=2,"0"&amp;COUNTIFS($J$1:J1455,$J1455,$K$1:K1455,$K1455,$L$1:L1455,$L1455,$M$1:M1455,M1455,$N$1:N1455,N1455),COUNTIFS($J$1:J1455,$J1455,$K$1:K1455,$K1455,$L$1:L1455,$L1455,$M$1:M1455,M1455,$N$1:N1455,N1455)))</f>
        <v>004</v>
      </c>
      <c r="P1455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MS-NS-018-23-01004-INV</v>
      </c>
      <c r="Q1455" s="59"/>
      <c r="R1455" s="34" t="s">
        <v>7128</v>
      </c>
      <c r="S1455" s="34" t="s">
        <v>4204</v>
      </c>
      <c r="T1455" s="34">
        <f>+IFERROR(_xlfn.XLOOKUP(Table43[[#This Row],[Column1]],#REF!,#REF!),0)</f>
        <v>0</v>
      </c>
      <c r="U1455" s="50">
        <f>IFERROR(_xlfn.XLOOKUP(Table43[[#This Row],[Column1]],#REF!,#REF!),0)</f>
        <v>0</v>
      </c>
      <c r="V1455" s="39"/>
    </row>
    <row r="1456" spans="1:22" x14ac:dyDescent="0.35">
      <c r="A1456" s="2" t="s">
        <v>4205</v>
      </c>
      <c r="B1456" s="2" t="s">
        <v>4206</v>
      </c>
      <c r="C1456" s="2" t="s">
        <v>15</v>
      </c>
      <c r="D1456" s="2">
        <v>0</v>
      </c>
      <c r="E1456" s="26" t="s">
        <v>10</v>
      </c>
      <c r="F1456" s="2">
        <v>1</v>
      </c>
      <c r="G1456" s="2">
        <v>2</v>
      </c>
      <c r="H1456" s="2">
        <v>0</v>
      </c>
      <c r="I1456" s="22">
        <f>Table43[[#This Row],[Item Cost]]*Table43[[#This Row],[In Stock]]</f>
        <v>0</v>
      </c>
      <c r="J1456" s="3" t="s">
        <v>4941</v>
      </c>
      <c r="K1456" s="14" t="s">
        <v>4666</v>
      </c>
      <c r="L1456" s="14" t="s">
        <v>4754</v>
      </c>
      <c r="M1456" s="14" t="s">
        <v>4693</v>
      </c>
      <c r="N1456" s="3" t="s">
        <v>4845</v>
      </c>
      <c r="O1456" s="32" t="str">
        <f>IF(LEN(COUNTIFS($J$1:J1456,$J1456,$K$1:K1456,$K1456,$L$1:L1456,$L1456,$M$1:M1456,M1456,$N$1:N1456,N1456))=1,"00"&amp;COUNTIFS($J$1:J1456,$J1456,$K$1:K1456,$K1456,$L$1:L1456,$L1456,$M$1:M1456,M1456,$N$1:N1456,N1456),IF(LEN(COUNTIFS($J$1:J1456,$J1456,$K$1:K1456,$K1456,$L$1:L1456,$L1456,$M$1:M1456,M1456,$N$1:N1456,N1456))=2,"0"&amp;COUNTIFS($J$1:J1456,$J1456,$K$1:K1456,$K1456,$L$1:L1456,$L1456,$M$1:M1456,M1456,$N$1:N1456,N1456),COUNTIFS($J$1:J1456,$J1456,$K$1:K1456,$K1456,$L$1:L1456,$L1456,$M$1:M1456,M1456,$N$1:N1456,N1456)))</f>
        <v>005</v>
      </c>
      <c r="P1456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MS-NS-018-23-01005-INV</v>
      </c>
      <c r="Q1456" s="59"/>
      <c r="R1456" s="34" t="s">
        <v>7129</v>
      </c>
      <c r="S1456" s="34" t="s">
        <v>4206</v>
      </c>
      <c r="T1456" s="34">
        <f>+IFERROR(_xlfn.XLOOKUP(Table43[[#This Row],[Column1]],#REF!,#REF!),0)</f>
        <v>0</v>
      </c>
      <c r="U1456" s="50">
        <f>IFERROR(_xlfn.XLOOKUP(Table43[[#This Row],[Column1]],#REF!,#REF!),0)</f>
        <v>0</v>
      </c>
      <c r="V1456" s="39"/>
    </row>
    <row r="1457" spans="1:22" x14ac:dyDescent="0.35">
      <c r="A1457" s="2" t="s">
        <v>4207</v>
      </c>
      <c r="B1457" s="3" t="s">
        <v>4208</v>
      </c>
      <c r="C1457" s="3" t="s">
        <v>15</v>
      </c>
      <c r="D1457" s="3">
        <v>0</v>
      </c>
      <c r="E1457" s="6" t="s">
        <v>10</v>
      </c>
      <c r="F1457" s="2">
        <v>1</v>
      </c>
      <c r="G1457" s="2">
        <v>2</v>
      </c>
      <c r="H1457" s="3">
        <v>0</v>
      </c>
      <c r="I1457" s="21">
        <f>Table43[[#This Row],[Item Cost]]*Table43[[#This Row],[In Stock]]</f>
        <v>0</v>
      </c>
      <c r="J1457" s="3" t="s">
        <v>4941</v>
      </c>
      <c r="K1457" s="14" t="s">
        <v>4666</v>
      </c>
      <c r="L1457" s="14" t="s">
        <v>4754</v>
      </c>
      <c r="M1457" s="14" t="s">
        <v>4859</v>
      </c>
      <c r="N1457" s="3" t="s">
        <v>4845</v>
      </c>
      <c r="O1457" s="32" t="str">
        <f>IF(LEN(COUNTIFS($J$1:J1457,$J1457,$K$1:K1457,$K1457,$L$1:L1457,$L1457,$M$1:M1457,M1457,$N$1:N1457,N1457))=1,"00"&amp;COUNTIFS($J$1:J1457,$J1457,$K$1:K1457,$K1457,$L$1:L1457,$L1457,$M$1:M1457,M1457,$N$1:N1457,N1457),IF(LEN(COUNTIFS($J$1:J1457,$J1457,$K$1:K1457,$K1457,$L$1:L1457,$L1457,$M$1:M1457,M1457,$N$1:N1457,N1457))=2,"0"&amp;COUNTIFS($J$1:J1457,$J1457,$K$1:K1457,$K1457,$L$1:L1457,$L1457,$M$1:M1457,M1457,$N$1:N1457,N1457),COUNTIFS($J$1:J1457,$J1457,$K$1:K1457,$K1457,$L$1:L1457,$L1457,$M$1:M1457,M1457,$N$1:N1457,N1457)))</f>
        <v>001</v>
      </c>
      <c r="P1457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MS-NS-018-30-01001-INV</v>
      </c>
      <c r="Q1457" s="59"/>
      <c r="R1457" s="34" t="s">
        <v>7130</v>
      </c>
      <c r="S1457" s="34" t="s">
        <v>4208</v>
      </c>
      <c r="T1457" s="34">
        <f>+IFERROR(_xlfn.XLOOKUP(Table43[[#This Row],[Column1]],#REF!,#REF!),0)</f>
        <v>0</v>
      </c>
      <c r="U1457" s="50">
        <f>IFERROR(_xlfn.XLOOKUP(Table43[[#This Row],[Column1]],#REF!,#REF!),0)</f>
        <v>0</v>
      </c>
      <c r="V1457" s="39"/>
    </row>
    <row r="1458" spans="1:22" x14ac:dyDescent="0.35">
      <c r="A1458" s="3" t="s">
        <v>4209</v>
      </c>
      <c r="B1458" s="2" t="s">
        <v>4210</v>
      </c>
      <c r="C1458" s="2" t="s">
        <v>15</v>
      </c>
      <c r="D1458" s="2">
        <v>0</v>
      </c>
      <c r="E1458" s="26" t="s">
        <v>10</v>
      </c>
      <c r="F1458" s="2">
        <v>1</v>
      </c>
      <c r="G1458" s="2">
        <v>2</v>
      </c>
      <c r="H1458" s="2">
        <v>0</v>
      </c>
      <c r="I1458" s="22">
        <f>Table43[[#This Row],[Item Cost]]*Table43[[#This Row],[In Stock]]</f>
        <v>0</v>
      </c>
      <c r="J1458" s="3" t="s">
        <v>4941</v>
      </c>
      <c r="K1458" s="14" t="s">
        <v>4666</v>
      </c>
      <c r="L1458" s="14" t="s">
        <v>4754</v>
      </c>
      <c r="M1458" s="14" t="s">
        <v>4770</v>
      </c>
      <c r="N1458" s="3" t="s">
        <v>4845</v>
      </c>
      <c r="O1458" s="32" t="str">
        <f>IF(LEN(COUNTIFS($J$1:J1458,$J1458,$K$1:K1458,$K1458,$L$1:L1458,$L1458,$M$1:M1458,M1458,$N$1:N1458,N1458))=1,"00"&amp;COUNTIFS($J$1:J1458,$J1458,$K$1:K1458,$K1458,$L$1:L1458,$L1458,$M$1:M1458,M1458,$N$1:N1458,N1458),IF(LEN(COUNTIFS($J$1:J1458,$J1458,$K$1:K1458,$K1458,$L$1:L1458,$L1458,$M$1:M1458,M1458,$N$1:N1458,N1458))=2,"0"&amp;COUNTIFS($J$1:J1458,$J1458,$K$1:K1458,$K1458,$L$1:L1458,$L1458,$M$1:M1458,M1458,$N$1:N1458,N1458),COUNTIFS($J$1:J1458,$J1458,$K$1:K1458,$K1458,$L$1:L1458,$L1458,$M$1:M1458,M1458,$N$1:N1458,N1458)))</f>
        <v>001</v>
      </c>
      <c r="P1458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MS-NS-018-04-01001-INV</v>
      </c>
      <c r="Q1458" s="59"/>
      <c r="R1458" s="34" t="s">
        <v>7131</v>
      </c>
      <c r="S1458" s="34" t="s">
        <v>4210</v>
      </c>
      <c r="T1458" s="34">
        <f>+IFERROR(_xlfn.XLOOKUP(Table43[[#This Row],[Column1]],#REF!,#REF!),0)</f>
        <v>0</v>
      </c>
      <c r="U1458" s="50">
        <f>IFERROR(_xlfn.XLOOKUP(Table43[[#This Row],[Column1]],#REF!,#REF!),0)</f>
        <v>0</v>
      </c>
      <c r="V1458" s="39"/>
    </row>
    <row r="1459" spans="1:22" x14ac:dyDescent="0.35">
      <c r="A1459" s="2" t="s">
        <v>4211</v>
      </c>
      <c r="B1459" s="3" t="s">
        <v>4212</v>
      </c>
      <c r="C1459" s="3" t="s">
        <v>15</v>
      </c>
      <c r="D1459" s="3">
        <v>0</v>
      </c>
      <c r="E1459" s="6" t="s">
        <v>10</v>
      </c>
      <c r="F1459" s="2">
        <v>1</v>
      </c>
      <c r="G1459" s="2">
        <v>2</v>
      </c>
      <c r="H1459" s="3">
        <v>0</v>
      </c>
      <c r="I1459" s="21">
        <f>Table43[[#This Row],[Item Cost]]*Table43[[#This Row],[In Stock]]</f>
        <v>0</v>
      </c>
      <c r="J1459" s="3" t="s">
        <v>4941</v>
      </c>
      <c r="K1459" s="14" t="s">
        <v>4666</v>
      </c>
      <c r="L1459" s="14" t="s">
        <v>4754</v>
      </c>
      <c r="M1459" s="14" t="s">
        <v>4859</v>
      </c>
      <c r="N1459" s="3" t="s">
        <v>4845</v>
      </c>
      <c r="O1459" s="32" t="str">
        <f>IF(LEN(COUNTIFS($J$1:J1459,$J1459,$K$1:K1459,$K1459,$L$1:L1459,$L1459,$M$1:M1459,M1459,$N$1:N1459,N1459))=1,"00"&amp;COUNTIFS($J$1:J1459,$J1459,$K$1:K1459,$K1459,$L$1:L1459,$L1459,$M$1:M1459,M1459,$N$1:N1459,N1459),IF(LEN(COUNTIFS($J$1:J1459,$J1459,$K$1:K1459,$K1459,$L$1:L1459,$L1459,$M$1:M1459,M1459,$N$1:N1459,N1459))=2,"0"&amp;COUNTIFS($J$1:J1459,$J1459,$K$1:K1459,$K1459,$L$1:L1459,$L1459,$M$1:M1459,M1459,$N$1:N1459,N1459),COUNTIFS($J$1:J1459,$J1459,$K$1:K1459,$K1459,$L$1:L1459,$L1459,$M$1:M1459,M1459,$N$1:N1459,N1459)))</f>
        <v>002</v>
      </c>
      <c r="P1459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MS-NS-018-30-01002-INV</v>
      </c>
      <c r="Q1459" s="59"/>
      <c r="R1459" s="34" t="s">
        <v>7132</v>
      </c>
      <c r="S1459" s="34" t="s">
        <v>4212</v>
      </c>
      <c r="T1459" s="34">
        <f>+IFERROR(_xlfn.XLOOKUP(Table43[[#This Row],[Column1]],#REF!,#REF!),0)</f>
        <v>0</v>
      </c>
      <c r="U1459" s="50">
        <f>IFERROR(_xlfn.XLOOKUP(Table43[[#This Row],[Column1]],#REF!,#REF!),0)</f>
        <v>0</v>
      </c>
      <c r="V1459" s="39"/>
    </row>
    <row r="1460" spans="1:22" x14ac:dyDescent="0.35">
      <c r="A1460" s="2" t="s">
        <v>4213</v>
      </c>
      <c r="B1460" s="2" t="s">
        <v>4214</v>
      </c>
      <c r="C1460" s="2" t="s">
        <v>15</v>
      </c>
      <c r="D1460" s="2">
        <v>0</v>
      </c>
      <c r="E1460" s="26" t="s">
        <v>10</v>
      </c>
      <c r="F1460" s="2">
        <v>1</v>
      </c>
      <c r="G1460" s="2">
        <v>2</v>
      </c>
      <c r="H1460" s="2">
        <v>0</v>
      </c>
      <c r="I1460" s="22">
        <f>Table43[[#This Row],[Item Cost]]*Table43[[#This Row],[In Stock]]</f>
        <v>0</v>
      </c>
      <c r="J1460" s="3" t="s">
        <v>4941</v>
      </c>
      <c r="K1460" s="14" t="s">
        <v>4666</v>
      </c>
      <c r="L1460" s="14" t="s">
        <v>4754</v>
      </c>
      <c r="M1460" s="14" t="s">
        <v>4859</v>
      </c>
      <c r="N1460" s="3" t="s">
        <v>4845</v>
      </c>
      <c r="O1460" s="32" t="str">
        <f>IF(LEN(COUNTIFS($J$1:J1460,$J1460,$K$1:K1460,$K1460,$L$1:L1460,$L1460,$M$1:M1460,M1460,$N$1:N1460,N1460))=1,"00"&amp;COUNTIFS($J$1:J1460,$J1460,$K$1:K1460,$K1460,$L$1:L1460,$L1460,$M$1:M1460,M1460,$N$1:N1460,N1460),IF(LEN(COUNTIFS($J$1:J1460,$J1460,$K$1:K1460,$K1460,$L$1:L1460,$L1460,$M$1:M1460,M1460,$N$1:N1460,N1460))=2,"0"&amp;COUNTIFS($J$1:J1460,$J1460,$K$1:K1460,$K1460,$L$1:L1460,$L1460,$M$1:M1460,M1460,$N$1:N1460,N1460),COUNTIFS($J$1:J1460,$J1460,$K$1:K1460,$K1460,$L$1:L1460,$L1460,$M$1:M1460,M1460,$N$1:N1460,N1460)))</f>
        <v>003</v>
      </c>
      <c r="P1460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MS-NS-018-30-01003-INV</v>
      </c>
      <c r="Q1460" s="59" t="s">
        <v>7336</v>
      </c>
      <c r="R1460" s="34" t="s">
        <v>7133</v>
      </c>
      <c r="S1460" s="34" t="s">
        <v>4214</v>
      </c>
      <c r="T1460" s="34">
        <f>+IFERROR(_xlfn.XLOOKUP(Table43[[#This Row],[Column1]],#REF!,#REF!),0)</f>
        <v>0</v>
      </c>
      <c r="U1460" s="50">
        <f>IFERROR(_xlfn.XLOOKUP(Table43[[#This Row],[Column1]],#REF!,#REF!),0)</f>
        <v>0</v>
      </c>
      <c r="V1460" s="39"/>
    </row>
    <row r="1461" spans="1:22" x14ac:dyDescent="0.35">
      <c r="A1461" s="3" t="s">
        <v>4215</v>
      </c>
      <c r="B1461" s="3" t="s">
        <v>4216</v>
      </c>
      <c r="C1461" s="3" t="s">
        <v>15</v>
      </c>
      <c r="D1461" s="3">
        <v>0</v>
      </c>
      <c r="E1461" s="6" t="s">
        <v>10</v>
      </c>
      <c r="F1461" s="2">
        <v>1</v>
      </c>
      <c r="G1461" s="2">
        <v>2</v>
      </c>
      <c r="H1461" s="3">
        <v>0</v>
      </c>
      <c r="I1461" s="21">
        <f>Table43[[#This Row],[Item Cost]]*Table43[[#This Row],[In Stock]]</f>
        <v>0</v>
      </c>
      <c r="J1461" s="3" t="s">
        <v>4941</v>
      </c>
      <c r="K1461" s="14" t="s">
        <v>4666</v>
      </c>
      <c r="L1461" s="14" t="s">
        <v>4754</v>
      </c>
      <c r="M1461" s="14" t="s">
        <v>4770</v>
      </c>
      <c r="N1461" s="3" t="s">
        <v>4845</v>
      </c>
      <c r="O1461" s="32" t="str">
        <f>IF(LEN(COUNTIFS($J$1:J1461,$J1461,$K$1:K1461,$K1461,$L$1:L1461,$L1461,$M$1:M1461,M1461,$N$1:N1461,N1461))=1,"00"&amp;COUNTIFS($J$1:J1461,$J1461,$K$1:K1461,$K1461,$L$1:L1461,$L1461,$M$1:M1461,M1461,$N$1:N1461,N1461),IF(LEN(COUNTIFS($J$1:J1461,$J1461,$K$1:K1461,$K1461,$L$1:L1461,$L1461,$M$1:M1461,M1461,$N$1:N1461,N1461))=2,"0"&amp;COUNTIFS($J$1:J1461,$J1461,$K$1:K1461,$K1461,$L$1:L1461,$L1461,$M$1:M1461,M1461,$N$1:N1461,N1461),COUNTIFS($J$1:J1461,$J1461,$K$1:K1461,$K1461,$L$1:L1461,$L1461,$M$1:M1461,M1461,$N$1:N1461,N1461)))</f>
        <v>002</v>
      </c>
      <c r="P1461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MS-NS-018-04-01002-INV</v>
      </c>
      <c r="Q1461" s="59"/>
      <c r="R1461" s="34" t="s">
        <v>7134</v>
      </c>
      <c r="S1461" s="34" t="s">
        <v>4216</v>
      </c>
      <c r="T1461" s="34">
        <f>+IFERROR(_xlfn.XLOOKUP(Table43[[#This Row],[Column1]],#REF!,#REF!),0)</f>
        <v>0</v>
      </c>
      <c r="U1461" s="50">
        <f>IFERROR(_xlfn.XLOOKUP(Table43[[#This Row],[Column1]],#REF!,#REF!),0)</f>
        <v>0</v>
      </c>
      <c r="V1461" s="39"/>
    </row>
    <row r="1462" spans="1:22" x14ac:dyDescent="0.35">
      <c r="A1462" s="2" t="s">
        <v>4217</v>
      </c>
      <c r="B1462" s="2" t="s">
        <v>4218</v>
      </c>
      <c r="C1462" s="2" t="s">
        <v>15</v>
      </c>
      <c r="D1462" s="2">
        <v>0</v>
      </c>
      <c r="E1462" s="26" t="s">
        <v>10</v>
      </c>
      <c r="F1462" s="2">
        <v>1</v>
      </c>
      <c r="G1462" s="2">
        <v>2</v>
      </c>
      <c r="H1462" s="2">
        <v>0</v>
      </c>
      <c r="I1462" s="22">
        <f>Table43[[#This Row],[Item Cost]]*Table43[[#This Row],[In Stock]]</f>
        <v>0</v>
      </c>
      <c r="J1462" s="3" t="s">
        <v>4941</v>
      </c>
      <c r="K1462" s="14" t="s">
        <v>4666</v>
      </c>
      <c r="L1462" s="14" t="s">
        <v>4754</v>
      </c>
      <c r="M1462" s="14" t="s">
        <v>4770</v>
      </c>
      <c r="N1462" s="3" t="s">
        <v>4845</v>
      </c>
      <c r="O1462" s="32" t="str">
        <f>IF(LEN(COUNTIFS($J$1:J1462,$J1462,$K$1:K1462,$K1462,$L$1:L1462,$L1462,$M$1:M1462,M1462,$N$1:N1462,N1462))=1,"00"&amp;COUNTIFS($J$1:J1462,$J1462,$K$1:K1462,$K1462,$L$1:L1462,$L1462,$M$1:M1462,M1462,$N$1:N1462,N1462),IF(LEN(COUNTIFS($J$1:J1462,$J1462,$K$1:K1462,$K1462,$L$1:L1462,$L1462,$M$1:M1462,M1462,$N$1:N1462,N1462))=2,"0"&amp;COUNTIFS($J$1:J1462,$J1462,$K$1:K1462,$K1462,$L$1:L1462,$L1462,$M$1:M1462,M1462,$N$1:N1462,N1462),COUNTIFS($J$1:J1462,$J1462,$K$1:K1462,$K1462,$L$1:L1462,$L1462,$M$1:M1462,M1462,$N$1:N1462,N1462)))</f>
        <v>003</v>
      </c>
      <c r="P1462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MS-NS-018-04-01003-INV</v>
      </c>
      <c r="Q1462" s="59"/>
      <c r="R1462" s="34" t="s">
        <v>7135</v>
      </c>
      <c r="S1462" s="34" t="s">
        <v>4218</v>
      </c>
      <c r="T1462" s="34">
        <f>+IFERROR(_xlfn.XLOOKUP(Table43[[#This Row],[Column1]],#REF!,#REF!),0)</f>
        <v>0</v>
      </c>
      <c r="U1462" s="50">
        <f>IFERROR(_xlfn.XLOOKUP(Table43[[#This Row],[Column1]],#REF!,#REF!),0)</f>
        <v>0</v>
      </c>
      <c r="V1462" s="39"/>
    </row>
    <row r="1463" spans="1:22" x14ac:dyDescent="0.35">
      <c r="A1463" s="2" t="s">
        <v>4219</v>
      </c>
      <c r="B1463" s="3" t="s">
        <v>4220</v>
      </c>
      <c r="C1463" s="3" t="s">
        <v>15</v>
      </c>
      <c r="D1463" s="3">
        <v>0</v>
      </c>
      <c r="E1463" s="6" t="s">
        <v>10</v>
      </c>
      <c r="F1463" s="2">
        <v>1</v>
      </c>
      <c r="G1463" s="2">
        <v>2</v>
      </c>
      <c r="H1463" s="3">
        <v>0</v>
      </c>
      <c r="I1463" s="21">
        <f>Table43[[#This Row],[Item Cost]]*Table43[[#This Row],[In Stock]]</f>
        <v>0</v>
      </c>
      <c r="J1463" s="3" t="s">
        <v>4941</v>
      </c>
      <c r="K1463" s="14" t="s">
        <v>4666</v>
      </c>
      <c r="L1463" s="14" t="s">
        <v>4754</v>
      </c>
      <c r="M1463" s="14" t="s">
        <v>4770</v>
      </c>
      <c r="N1463" s="3" t="s">
        <v>4845</v>
      </c>
      <c r="O1463" s="32" t="str">
        <f>IF(LEN(COUNTIFS($J$1:J1463,$J1463,$K$1:K1463,$K1463,$L$1:L1463,$L1463,$M$1:M1463,M1463,$N$1:N1463,N1463))=1,"00"&amp;COUNTIFS($J$1:J1463,$J1463,$K$1:K1463,$K1463,$L$1:L1463,$L1463,$M$1:M1463,M1463,$N$1:N1463,N1463),IF(LEN(COUNTIFS($J$1:J1463,$J1463,$K$1:K1463,$K1463,$L$1:L1463,$L1463,$M$1:M1463,M1463,$N$1:N1463,N1463))=2,"0"&amp;COUNTIFS($J$1:J1463,$J1463,$K$1:K1463,$K1463,$L$1:L1463,$L1463,$M$1:M1463,M1463,$N$1:N1463,N1463),COUNTIFS($J$1:J1463,$J1463,$K$1:K1463,$K1463,$L$1:L1463,$L1463,$M$1:M1463,M1463,$N$1:N1463,N1463)))</f>
        <v>004</v>
      </c>
      <c r="P1463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MS-NS-018-04-01004-INV</v>
      </c>
      <c r="Q1463" s="59"/>
      <c r="R1463" s="34" t="s">
        <v>7136</v>
      </c>
      <c r="S1463" s="34" t="s">
        <v>4220</v>
      </c>
      <c r="T1463" s="34">
        <f>+IFERROR(_xlfn.XLOOKUP(Table43[[#This Row],[Column1]],#REF!,#REF!),0)</f>
        <v>0</v>
      </c>
      <c r="U1463" s="50">
        <f>IFERROR(_xlfn.XLOOKUP(Table43[[#This Row],[Column1]],#REF!,#REF!),0)</f>
        <v>0</v>
      </c>
      <c r="V1463" s="39"/>
    </row>
    <row r="1464" spans="1:22" x14ac:dyDescent="0.35">
      <c r="A1464" s="3" t="s">
        <v>4221</v>
      </c>
      <c r="B1464" s="2" t="s">
        <v>4222</v>
      </c>
      <c r="C1464" s="2" t="s">
        <v>15</v>
      </c>
      <c r="D1464" s="2">
        <v>0</v>
      </c>
      <c r="E1464" s="26" t="s">
        <v>10</v>
      </c>
      <c r="F1464" s="2">
        <v>1</v>
      </c>
      <c r="G1464" s="2">
        <v>2</v>
      </c>
      <c r="H1464" s="2">
        <v>0</v>
      </c>
      <c r="I1464" s="22">
        <f>Table43[[#This Row],[Item Cost]]*Table43[[#This Row],[In Stock]]</f>
        <v>0</v>
      </c>
      <c r="J1464" s="3" t="s">
        <v>4941</v>
      </c>
      <c r="K1464" s="14" t="s">
        <v>4666</v>
      </c>
      <c r="L1464" s="14" t="s">
        <v>4754</v>
      </c>
      <c r="M1464" s="14" t="s">
        <v>4837</v>
      </c>
      <c r="N1464" s="3" t="s">
        <v>4845</v>
      </c>
      <c r="O1464" s="32" t="str">
        <f>IF(LEN(COUNTIFS($J$1:J1464,$J1464,$K$1:K1464,$K1464,$L$1:L1464,$L1464,$M$1:M1464,M1464,$N$1:N1464,N1464))=1,"00"&amp;COUNTIFS($J$1:J1464,$J1464,$K$1:K1464,$K1464,$L$1:L1464,$L1464,$M$1:M1464,M1464,$N$1:N1464,N1464),IF(LEN(COUNTIFS($J$1:J1464,$J1464,$K$1:K1464,$K1464,$L$1:L1464,$L1464,$M$1:M1464,M1464,$N$1:N1464,N1464))=2,"0"&amp;COUNTIFS($J$1:J1464,$J1464,$K$1:K1464,$K1464,$L$1:L1464,$L1464,$M$1:M1464,M1464,$N$1:N1464,N1464),COUNTIFS($J$1:J1464,$J1464,$K$1:K1464,$K1464,$L$1:L1464,$L1464,$M$1:M1464,M1464,$N$1:N1464,N1464)))</f>
        <v>001</v>
      </c>
      <c r="P1464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MS-NS-018-26-01001-INV</v>
      </c>
      <c r="Q1464" s="59"/>
      <c r="R1464" s="34" t="s">
        <v>7137</v>
      </c>
      <c r="S1464" s="34" t="s">
        <v>4222</v>
      </c>
      <c r="T1464" s="34">
        <f>+IFERROR(_xlfn.XLOOKUP(Table43[[#This Row],[Column1]],#REF!,#REF!),0)</f>
        <v>0</v>
      </c>
      <c r="U1464" s="50">
        <f>IFERROR(_xlfn.XLOOKUP(Table43[[#This Row],[Column1]],#REF!,#REF!),0)</f>
        <v>0</v>
      </c>
      <c r="V1464" s="39"/>
    </row>
    <row r="1465" spans="1:22" x14ac:dyDescent="0.35">
      <c r="A1465" s="2" t="s">
        <v>4223</v>
      </c>
      <c r="B1465" s="3" t="s">
        <v>4224</v>
      </c>
      <c r="C1465" s="3" t="s">
        <v>9</v>
      </c>
      <c r="D1465" s="3">
        <v>22</v>
      </c>
      <c r="E1465" s="6" t="s">
        <v>10</v>
      </c>
      <c r="F1465" s="2">
        <v>1</v>
      </c>
      <c r="G1465" s="3">
        <v>2</v>
      </c>
      <c r="H1465" s="3">
        <v>5</v>
      </c>
      <c r="I1465" s="21">
        <f>Table43[[#This Row],[Item Cost]]*Table43[[#This Row],[In Stock]]</f>
        <v>110</v>
      </c>
      <c r="J1465" s="3" t="s">
        <v>4941</v>
      </c>
      <c r="K1465" s="14" t="s">
        <v>4664</v>
      </c>
      <c r="L1465" s="14" t="s">
        <v>4754</v>
      </c>
      <c r="M1465" s="14" t="s">
        <v>4859</v>
      </c>
      <c r="N1465" s="3" t="s">
        <v>4845</v>
      </c>
      <c r="O1465" s="32" t="str">
        <f>IF(LEN(COUNTIFS($J$1:J1465,$J1465,$K$1:K1465,$K1465,$L$1:L1465,$L1465,$M$1:M1465,M1465,$N$1:N1465,N1465))=1,"00"&amp;COUNTIFS($J$1:J1465,$J1465,$K$1:K1465,$K1465,$L$1:L1465,$L1465,$M$1:M1465,M1465,$N$1:N1465,N1465),IF(LEN(COUNTIFS($J$1:J1465,$J1465,$K$1:K1465,$K1465,$L$1:L1465,$L1465,$M$1:M1465,M1465,$N$1:N1465,N1465))=2,"0"&amp;COUNTIFS($J$1:J1465,$J1465,$K$1:K1465,$K1465,$L$1:L1465,$L1465,$M$1:M1465,M1465,$N$1:N1465,N1465),COUNTIFS($J$1:J1465,$J1465,$K$1:K1465,$K1465,$L$1:L1465,$L1465,$M$1:M1465,M1465,$N$1:N1465,N1465)))</f>
        <v>001</v>
      </c>
      <c r="P1465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MS-CS-018-30-01001-INV</v>
      </c>
      <c r="Q1465" s="59"/>
      <c r="R1465" s="34" t="s">
        <v>7138</v>
      </c>
      <c r="S1465" s="34" t="s">
        <v>4224</v>
      </c>
      <c r="T1465" s="34">
        <f>+IFERROR(_xlfn.XLOOKUP(Table43[[#This Row],[Column1]],#REF!,#REF!),0)</f>
        <v>0</v>
      </c>
      <c r="U1465" s="50">
        <f>IFERROR(_xlfn.XLOOKUP(Table43[[#This Row],[Column1]],#REF!,#REF!),0)</f>
        <v>0</v>
      </c>
      <c r="V1465" s="39"/>
    </row>
    <row r="1466" spans="1:22" x14ac:dyDescent="0.35">
      <c r="A1466" s="2" t="s">
        <v>4225</v>
      </c>
      <c r="B1466" s="2" t="s">
        <v>4226</v>
      </c>
      <c r="C1466" s="2" t="s">
        <v>15</v>
      </c>
      <c r="D1466" s="2">
        <v>0</v>
      </c>
      <c r="E1466" s="26" t="s">
        <v>10</v>
      </c>
      <c r="F1466" s="2">
        <v>1</v>
      </c>
      <c r="G1466" s="2">
        <v>2</v>
      </c>
      <c r="H1466" s="2">
        <v>0</v>
      </c>
      <c r="I1466" s="22">
        <f>Table43[[#This Row],[Item Cost]]*Table43[[#This Row],[In Stock]]</f>
        <v>0</v>
      </c>
      <c r="J1466" s="3" t="s">
        <v>4941</v>
      </c>
      <c r="K1466" s="14" t="s">
        <v>4666</v>
      </c>
      <c r="L1466" s="14" t="s">
        <v>4754</v>
      </c>
      <c r="M1466" s="14" t="s">
        <v>4693</v>
      </c>
      <c r="N1466" s="3" t="s">
        <v>4845</v>
      </c>
      <c r="O1466" s="32" t="str">
        <f>IF(LEN(COUNTIFS($J$1:J1466,$J1466,$K$1:K1466,$K1466,$L$1:L1466,$L1466,$M$1:M1466,M1466,$N$1:N1466,N1466))=1,"00"&amp;COUNTIFS($J$1:J1466,$J1466,$K$1:K1466,$K1466,$L$1:L1466,$L1466,$M$1:M1466,M1466,$N$1:N1466,N1466),IF(LEN(COUNTIFS($J$1:J1466,$J1466,$K$1:K1466,$K1466,$L$1:L1466,$L1466,$M$1:M1466,M1466,$N$1:N1466,N1466))=2,"0"&amp;COUNTIFS($J$1:J1466,$J1466,$K$1:K1466,$K1466,$L$1:L1466,$L1466,$M$1:M1466,M1466,$N$1:N1466,N1466),COUNTIFS($J$1:J1466,$J1466,$K$1:K1466,$K1466,$L$1:L1466,$L1466,$M$1:M1466,M1466,$N$1:N1466,N1466)))</f>
        <v>006</v>
      </c>
      <c r="P1466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MS-NS-018-23-01006-INV</v>
      </c>
      <c r="Q1466" s="59" t="s">
        <v>7337</v>
      </c>
      <c r="R1466" s="34" t="s">
        <v>7139</v>
      </c>
      <c r="S1466" s="34" t="s">
        <v>4226</v>
      </c>
      <c r="T1466" s="34">
        <f>+IFERROR(_xlfn.XLOOKUP(Table43[[#This Row],[Column1]],#REF!,#REF!),0)</f>
        <v>0</v>
      </c>
      <c r="U1466" s="50">
        <f>IFERROR(_xlfn.XLOOKUP(Table43[[#This Row],[Column1]],#REF!,#REF!),0)</f>
        <v>0</v>
      </c>
      <c r="V1466" s="39"/>
    </row>
    <row r="1467" spans="1:22" x14ac:dyDescent="0.35">
      <c r="A1467" s="3" t="s">
        <v>4227</v>
      </c>
      <c r="B1467" s="3" t="s">
        <v>4228</v>
      </c>
      <c r="C1467" s="3" t="s">
        <v>15</v>
      </c>
      <c r="D1467" s="3">
        <v>0</v>
      </c>
      <c r="E1467" s="6" t="s">
        <v>10</v>
      </c>
      <c r="F1467" s="2">
        <v>1</v>
      </c>
      <c r="G1467" s="2">
        <v>2</v>
      </c>
      <c r="H1467" s="3">
        <v>0</v>
      </c>
      <c r="I1467" s="21">
        <f>Table43[[#This Row],[Item Cost]]*Table43[[#This Row],[In Stock]]</f>
        <v>0</v>
      </c>
      <c r="J1467" s="3" t="s">
        <v>4941</v>
      </c>
      <c r="K1467" s="14" t="s">
        <v>4666</v>
      </c>
      <c r="L1467" s="14" t="s">
        <v>4754</v>
      </c>
      <c r="M1467" s="14" t="s">
        <v>4693</v>
      </c>
      <c r="N1467" s="3" t="s">
        <v>4845</v>
      </c>
      <c r="O1467" s="32" t="str">
        <f>IF(LEN(COUNTIFS($J$1:J1467,$J1467,$K$1:K1467,$K1467,$L$1:L1467,$L1467,$M$1:M1467,M1467,$N$1:N1467,N1467))=1,"00"&amp;COUNTIFS($J$1:J1467,$J1467,$K$1:K1467,$K1467,$L$1:L1467,$L1467,$M$1:M1467,M1467,$N$1:N1467,N1467),IF(LEN(COUNTIFS($J$1:J1467,$J1467,$K$1:K1467,$K1467,$L$1:L1467,$L1467,$M$1:M1467,M1467,$N$1:N1467,N1467))=2,"0"&amp;COUNTIFS($J$1:J1467,$J1467,$K$1:K1467,$K1467,$L$1:L1467,$L1467,$M$1:M1467,M1467,$N$1:N1467,N1467),COUNTIFS($J$1:J1467,$J1467,$K$1:K1467,$K1467,$L$1:L1467,$L1467,$M$1:M1467,M1467,$N$1:N1467,N1467)))</f>
        <v>007</v>
      </c>
      <c r="P1467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MS-NS-018-23-01007-INV</v>
      </c>
      <c r="Q1467" s="59" t="s">
        <v>7337</v>
      </c>
      <c r="R1467" s="34" t="s">
        <v>7140</v>
      </c>
      <c r="S1467" s="34" t="s">
        <v>4228</v>
      </c>
      <c r="T1467" s="34">
        <f>+IFERROR(_xlfn.XLOOKUP(Table43[[#This Row],[Column1]],#REF!,#REF!),0)</f>
        <v>0</v>
      </c>
      <c r="U1467" s="50">
        <f>IFERROR(_xlfn.XLOOKUP(Table43[[#This Row],[Column1]],#REF!,#REF!),0)</f>
        <v>0</v>
      </c>
      <c r="V1467" s="39"/>
    </row>
    <row r="1468" spans="1:22" x14ac:dyDescent="0.35">
      <c r="A1468" s="2" t="s">
        <v>4229</v>
      </c>
      <c r="B1468" s="2" t="s">
        <v>4230</v>
      </c>
      <c r="C1468" s="2" t="s">
        <v>15</v>
      </c>
      <c r="D1468" s="2">
        <v>0</v>
      </c>
      <c r="E1468" s="26" t="s">
        <v>10</v>
      </c>
      <c r="F1468" s="2">
        <v>1</v>
      </c>
      <c r="G1468" s="2">
        <v>2</v>
      </c>
      <c r="H1468" s="2">
        <v>0</v>
      </c>
      <c r="I1468" s="22">
        <f>Table43[[#This Row],[Item Cost]]*Table43[[#This Row],[In Stock]]</f>
        <v>0</v>
      </c>
      <c r="J1468" s="3" t="s">
        <v>4941</v>
      </c>
      <c r="K1468" s="14" t="s">
        <v>4666</v>
      </c>
      <c r="L1468" s="14" t="s">
        <v>4754</v>
      </c>
      <c r="M1468" s="14" t="s">
        <v>4693</v>
      </c>
      <c r="N1468" s="3" t="s">
        <v>4845</v>
      </c>
      <c r="O1468" s="32" t="str">
        <f>IF(LEN(COUNTIFS($J$1:J1468,$J1468,$K$1:K1468,$K1468,$L$1:L1468,$L1468,$M$1:M1468,M1468,$N$1:N1468,N1468))=1,"00"&amp;COUNTIFS($J$1:J1468,$J1468,$K$1:K1468,$K1468,$L$1:L1468,$L1468,$M$1:M1468,M1468,$N$1:N1468,N1468),IF(LEN(COUNTIFS($J$1:J1468,$J1468,$K$1:K1468,$K1468,$L$1:L1468,$L1468,$M$1:M1468,M1468,$N$1:N1468,N1468))=2,"0"&amp;COUNTIFS($J$1:J1468,$J1468,$K$1:K1468,$K1468,$L$1:L1468,$L1468,$M$1:M1468,M1468,$N$1:N1468,N1468),COUNTIFS($J$1:J1468,$J1468,$K$1:K1468,$K1468,$L$1:L1468,$L1468,$M$1:M1468,M1468,$N$1:N1468,N1468)))</f>
        <v>008</v>
      </c>
      <c r="P1468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MS-NS-018-23-01008-INV</v>
      </c>
      <c r="Q1468" s="59" t="s">
        <v>7337</v>
      </c>
      <c r="R1468" s="34" t="s">
        <v>7141</v>
      </c>
      <c r="S1468" s="34" t="s">
        <v>4230</v>
      </c>
      <c r="T1468" s="34">
        <f>+IFERROR(_xlfn.XLOOKUP(Table43[[#This Row],[Column1]],#REF!,#REF!),0)</f>
        <v>0</v>
      </c>
      <c r="U1468" s="50">
        <f>IFERROR(_xlfn.XLOOKUP(Table43[[#This Row],[Column1]],#REF!,#REF!),0)</f>
        <v>0</v>
      </c>
      <c r="V1468" s="39"/>
    </row>
    <row r="1469" spans="1:22" x14ac:dyDescent="0.35">
      <c r="A1469" s="2" t="s">
        <v>4231</v>
      </c>
      <c r="B1469" s="3" t="s">
        <v>4232</v>
      </c>
      <c r="C1469" s="3" t="s">
        <v>15</v>
      </c>
      <c r="D1469" s="3">
        <v>0</v>
      </c>
      <c r="E1469" s="6" t="s">
        <v>10</v>
      </c>
      <c r="F1469" s="2">
        <v>1</v>
      </c>
      <c r="G1469" s="2">
        <v>2</v>
      </c>
      <c r="H1469" s="3">
        <v>0</v>
      </c>
      <c r="I1469" s="21">
        <f>Table43[[#This Row],[Item Cost]]*Table43[[#This Row],[In Stock]]</f>
        <v>0</v>
      </c>
      <c r="J1469" s="3" t="s">
        <v>4941</v>
      </c>
      <c r="K1469" s="14" t="s">
        <v>4666</v>
      </c>
      <c r="L1469" s="14" t="s">
        <v>4754</v>
      </c>
      <c r="M1469" s="14" t="s">
        <v>4693</v>
      </c>
      <c r="N1469" s="3" t="s">
        <v>4845</v>
      </c>
      <c r="O1469" s="32" t="str">
        <f>IF(LEN(COUNTIFS($J$1:J1469,$J1469,$K$1:K1469,$K1469,$L$1:L1469,$L1469,$M$1:M1469,M1469,$N$1:N1469,N1469))=1,"00"&amp;COUNTIFS($J$1:J1469,$J1469,$K$1:K1469,$K1469,$L$1:L1469,$L1469,$M$1:M1469,M1469,$N$1:N1469,N1469),IF(LEN(COUNTIFS($J$1:J1469,$J1469,$K$1:K1469,$K1469,$L$1:L1469,$L1469,$M$1:M1469,M1469,$N$1:N1469,N1469))=2,"0"&amp;COUNTIFS($J$1:J1469,$J1469,$K$1:K1469,$K1469,$L$1:L1469,$L1469,$M$1:M1469,M1469,$N$1:N1469,N1469),COUNTIFS($J$1:J1469,$J1469,$K$1:K1469,$K1469,$L$1:L1469,$L1469,$M$1:M1469,M1469,$N$1:N1469,N1469)))</f>
        <v>009</v>
      </c>
      <c r="P1469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MS-NS-018-23-01009-INV</v>
      </c>
      <c r="Q1469" s="59"/>
      <c r="R1469" s="34" t="s">
        <v>7142</v>
      </c>
      <c r="S1469" s="34" t="s">
        <v>4232</v>
      </c>
      <c r="T1469" s="34">
        <f>+IFERROR(_xlfn.XLOOKUP(Table43[[#This Row],[Column1]],#REF!,#REF!),0)</f>
        <v>0</v>
      </c>
      <c r="U1469" s="50">
        <f>IFERROR(_xlfn.XLOOKUP(Table43[[#This Row],[Column1]],#REF!,#REF!),0)</f>
        <v>0</v>
      </c>
      <c r="V1469" s="39"/>
    </row>
    <row r="1470" spans="1:22" x14ac:dyDescent="0.35">
      <c r="A1470" s="3" t="s">
        <v>4233</v>
      </c>
      <c r="B1470" s="2" t="s">
        <v>4234</v>
      </c>
      <c r="C1470" s="2" t="s">
        <v>15</v>
      </c>
      <c r="D1470" s="2">
        <v>0</v>
      </c>
      <c r="E1470" s="26" t="s">
        <v>10</v>
      </c>
      <c r="F1470" s="2">
        <v>1</v>
      </c>
      <c r="G1470" s="2">
        <v>2</v>
      </c>
      <c r="H1470" s="2">
        <v>0</v>
      </c>
      <c r="I1470" s="22">
        <f>Table43[[#This Row],[Item Cost]]*Table43[[#This Row],[In Stock]]</f>
        <v>0</v>
      </c>
      <c r="J1470" s="3" t="s">
        <v>4941</v>
      </c>
      <c r="K1470" s="14" t="s">
        <v>4666</v>
      </c>
      <c r="L1470" s="14" t="s">
        <v>4754</v>
      </c>
      <c r="M1470" s="14" t="s">
        <v>3950</v>
      </c>
      <c r="N1470" s="3" t="s">
        <v>4845</v>
      </c>
      <c r="O1470" s="32" t="str">
        <f>IF(LEN(COUNTIFS($J$1:J1470,$J1470,$K$1:K1470,$K1470,$L$1:L1470,$L1470,$M$1:M1470,M1470,$N$1:N1470,N1470))=1,"00"&amp;COUNTIFS($J$1:J1470,$J1470,$K$1:K1470,$K1470,$L$1:L1470,$L1470,$M$1:M1470,M1470,$N$1:N1470,N1470),IF(LEN(COUNTIFS($J$1:J1470,$J1470,$K$1:K1470,$K1470,$L$1:L1470,$L1470,$M$1:M1470,M1470,$N$1:N1470,N1470))=2,"0"&amp;COUNTIFS($J$1:J1470,$J1470,$K$1:K1470,$K1470,$L$1:L1470,$L1470,$M$1:M1470,M1470,$N$1:N1470,N1470),COUNTIFS($J$1:J1470,$J1470,$K$1:K1470,$K1470,$L$1:L1470,$L1470,$M$1:M1470,M1470,$N$1:N1470,N1470)))</f>
        <v>001</v>
      </c>
      <c r="P1470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MS-NS-018-22-01001-INV</v>
      </c>
      <c r="Q1470" s="59"/>
      <c r="R1470" s="34" t="s">
        <v>7143</v>
      </c>
      <c r="S1470" s="34" t="s">
        <v>4234</v>
      </c>
      <c r="T1470" s="34">
        <f>+IFERROR(_xlfn.XLOOKUP(Table43[[#This Row],[Column1]],#REF!,#REF!),0)</f>
        <v>0</v>
      </c>
      <c r="U1470" s="50">
        <f>IFERROR(_xlfn.XLOOKUP(Table43[[#This Row],[Column1]],#REF!,#REF!),0)</f>
        <v>0</v>
      </c>
      <c r="V1470" s="39"/>
    </row>
    <row r="1471" spans="1:22" x14ac:dyDescent="0.35">
      <c r="A1471" s="2" t="s">
        <v>4235</v>
      </c>
      <c r="B1471" s="3" t="s">
        <v>4236</v>
      </c>
      <c r="C1471" s="3" t="s">
        <v>15</v>
      </c>
      <c r="D1471" s="3">
        <v>0</v>
      </c>
      <c r="E1471" s="6" t="s">
        <v>10</v>
      </c>
      <c r="F1471" s="2">
        <v>1</v>
      </c>
      <c r="G1471" s="2">
        <v>2</v>
      </c>
      <c r="H1471" s="3">
        <v>0</v>
      </c>
      <c r="I1471" s="21">
        <f>Table43[[#This Row],[Item Cost]]*Table43[[#This Row],[In Stock]]</f>
        <v>0</v>
      </c>
      <c r="J1471" s="3" t="s">
        <v>4941</v>
      </c>
      <c r="K1471" s="14" t="s">
        <v>4666</v>
      </c>
      <c r="L1471" s="14" t="s">
        <v>4754</v>
      </c>
      <c r="M1471" s="14" t="s">
        <v>4837</v>
      </c>
      <c r="N1471" s="3" t="s">
        <v>4845</v>
      </c>
      <c r="O1471" s="32" t="str">
        <f>IF(LEN(COUNTIFS($J$1:J1471,$J1471,$K$1:K1471,$K1471,$L$1:L1471,$L1471,$M$1:M1471,M1471,$N$1:N1471,N1471))=1,"00"&amp;COUNTIFS($J$1:J1471,$J1471,$K$1:K1471,$K1471,$L$1:L1471,$L1471,$M$1:M1471,M1471,$N$1:N1471,N1471),IF(LEN(COUNTIFS($J$1:J1471,$J1471,$K$1:K1471,$K1471,$L$1:L1471,$L1471,$M$1:M1471,M1471,$N$1:N1471,N1471))=2,"0"&amp;COUNTIFS($J$1:J1471,$J1471,$K$1:K1471,$K1471,$L$1:L1471,$L1471,$M$1:M1471,M1471,$N$1:N1471,N1471),COUNTIFS($J$1:J1471,$J1471,$K$1:K1471,$K1471,$L$1:L1471,$L1471,$M$1:M1471,M1471,$N$1:N1471,N1471)))</f>
        <v>002</v>
      </c>
      <c r="P1471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MS-NS-018-26-01002-INV</v>
      </c>
      <c r="Q1471" s="59"/>
      <c r="R1471" s="34" t="s">
        <v>7144</v>
      </c>
      <c r="S1471" s="34" t="s">
        <v>4236</v>
      </c>
      <c r="T1471" s="34">
        <f>+IFERROR(_xlfn.XLOOKUP(Table43[[#This Row],[Column1]],#REF!,#REF!),0)</f>
        <v>0</v>
      </c>
      <c r="U1471" s="50">
        <f>IFERROR(_xlfn.XLOOKUP(Table43[[#This Row],[Column1]],#REF!,#REF!),0)</f>
        <v>0</v>
      </c>
      <c r="V1471" s="39"/>
    </row>
    <row r="1472" spans="1:22" x14ac:dyDescent="0.35">
      <c r="A1472" s="2" t="s">
        <v>4237</v>
      </c>
      <c r="B1472" s="2" t="s">
        <v>4238</v>
      </c>
      <c r="C1472" s="2" t="s">
        <v>15</v>
      </c>
      <c r="D1472" s="2">
        <v>65</v>
      </c>
      <c r="E1472" s="26" t="s">
        <v>10</v>
      </c>
      <c r="F1472" s="2">
        <v>1</v>
      </c>
      <c r="G1472" s="2">
        <v>2</v>
      </c>
      <c r="H1472" s="2">
        <v>1</v>
      </c>
      <c r="I1472" s="22">
        <f>Table43[[#This Row],[Item Cost]]*Table43[[#This Row],[In Stock]]</f>
        <v>65</v>
      </c>
      <c r="J1472" s="3" t="s">
        <v>4941</v>
      </c>
      <c r="K1472" s="14" t="s">
        <v>4666</v>
      </c>
      <c r="L1472" s="14" t="s">
        <v>4754</v>
      </c>
      <c r="M1472" s="14" t="s">
        <v>4693</v>
      </c>
      <c r="N1472" s="3" t="s">
        <v>4845</v>
      </c>
      <c r="O1472" s="32" t="str">
        <f>IF(LEN(COUNTIFS($J$1:J1472,$J1472,$K$1:K1472,$K1472,$L$1:L1472,$L1472,$M$1:M1472,M1472,$N$1:N1472,N1472))=1,"00"&amp;COUNTIFS($J$1:J1472,$J1472,$K$1:K1472,$K1472,$L$1:L1472,$L1472,$M$1:M1472,M1472,$N$1:N1472,N1472),IF(LEN(COUNTIFS($J$1:J1472,$J1472,$K$1:K1472,$K1472,$L$1:L1472,$L1472,$M$1:M1472,M1472,$N$1:N1472,N1472))=2,"0"&amp;COUNTIFS($J$1:J1472,$J1472,$K$1:K1472,$K1472,$L$1:L1472,$L1472,$M$1:M1472,M1472,$N$1:N1472,N1472),COUNTIFS($J$1:J1472,$J1472,$K$1:K1472,$K1472,$L$1:L1472,$L1472,$M$1:M1472,M1472,$N$1:N1472,N1472)))</f>
        <v>010</v>
      </c>
      <c r="P1472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MS-NS-018-23-01010-INV</v>
      </c>
      <c r="Q1472" s="59"/>
      <c r="R1472" s="34" t="s">
        <v>7145</v>
      </c>
      <c r="S1472" s="34" t="s">
        <v>4238</v>
      </c>
      <c r="T1472" s="34">
        <f>+IFERROR(_xlfn.XLOOKUP(Table43[[#This Row],[Column1]],#REF!,#REF!),0)</f>
        <v>0</v>
      </c>
      <c r="U1472" s="50">
        <f>IFERROR(_xlfn.XLOOKUP(Table43[[#This Row],[Column1]],#REF!,#REF!),0)</f>
        <v>0</v>
      </c>
      <c r="V1472" s="39"/>
    </row>
    <row r="1473" spans="1:22" x14ac:dyDescent="0.35">
      <c r="A1473" s="3" t="s">
        <v>4239</v>
      </c>
      <c r="B1473" s="3" t="s">
        <v>4240</v>
      </c>
      <c r="C1473" s="3" t="s">
        <v>15</v>
      </c>
      <c r="D1473" s="3">
        <v>0</v>
      </c>
      <c r="E1473" s="6" t="s">
        <v>10</v>
      </c>
      <c r="F1473" s="2">
        <v>1</v>
      </c>
      <c r="G1473" s="2">
        <v>2</v>
      </c>
      <c r="H1473" s="3">
        <v>0</v>
      </c>
      <c r="I1473" s="21">
        <f>Table43[[#This Row],[Item Cost]]*Table43[[#This Row],[In Stock]]</f>
        <v>0</v>
      </c>
      <c r="J1473" s="3" t="s">
        <v>4941</v>
      </c>
      <c r="K1473" s="14" t="s">
        <v>4666</v>
      </c>
      <c r="L1473" s="14" t="s">
        <v>4754</v>
      </c>
      <c r="M1473" s="14" t="s">
        <v>4693</v>
      </c>
      <c r="N1473" s="3" t="s">
        <v>4845</v>
      </c>
      <c r="O1473" s="32" t="str">
        <f>IF(LEN(COUNTIFS($J$1:J1473,$J1473,$K$1:K1473,$K1473,$L$1:L1473,$L1473,$M$1:M1473,M1473,$N$1:N1473,N1473))=1,"00"&amp;COUNTIFS($J$1:J1473,$J1473,$K$1:K1473,$K1473,$L$1:L1473,$L1473,$M$1:M1473,M1473,$N$1:N1473,N1473),IF(LEN(COUNTIFS($J$1:J1473,$J1473,$K$1:K1473,$K1473,$L$1:L1473,$L1473,$M$1:M1473,M1473,$N$1:N1473,N1473))=2,"0"&amp;COUNTIFS($J$1:J1473,$J1473,$K$1:K1473,$K1473,$L$1:L1473,$L1473,$M$1:M1473,M1473,$N$1:N1473,N1473),COUNTIFS($J$1:J1473,$J1473,$K$1:K1473,$K1473,$L$1:L1473,$L1473,$M$1:M1473,M1473,$N$1:N1473,N1473)))</f>
        <v>011</v>
      </c>
      <c r="P1473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MS-NS-018-23-01011-INV</v>
      </c>
      <c r="Q1473" s="59"/>
      <c r="R1473" s="34" t="s">
        <v>7146</v>
      </c>
      <c r="S1473" s="34" t="s">
        <v>4240</v>
      </c>
      <c r="T1473" s="34">
        <f>+IFERROR(_xlfn.XLOOKUP(Table43[[#This Row],[Column1]],#REF!,#REF!),0)</f>
        <v>0</v>
      </c>
      <c r="U1473" s="50">
        <f>IFERROR(_xlfn.XLOOKUP(Table43[[#This Row],[Column1]],#REF!,#REF!),0)</f>
        <v>0</v>
      </c>
      <c r="V1473" s="39"/>
    </row>
    <row r="1474" spans="1:22" x14ac:dyDescent="0.35">
      <c r="A1474" s="2" t="s">
        <v>4241</v>
      </c>
      <c r="B1474" s="2" t="s">
        <v>4242</v>
      </c>
      <c r="C1474" s="2" t="s">
        <v>9</v>
      </c>
      <c r="D1474" s="2">
        <v>36</v>
      </c>
      <c r="E1474" s="26" t="s">
        <v>10</v>
      </c>
      <c r="F1474" s="2">
        <v>1</v>
      </c>
      <c r="G1474" s="3">
        <v>2</v>
      </c>
      <c r="H1474" s="2">
        <v>1</v>
      </c>
      <c r="I1474" s="22">
        <f>Table43[[#This Row],[Item Cost]]*Table43[[#This Row],[In Stock]]</f>
        <v>36</v>
      </c>
      <c r="J1474" s="3" t="s">
        <v>4941</v>
      </c>
      <c r="K1474" s="14" t="s">
        <v>4664</v>
      </c>
      <c r="L1474" s="14" t="s">
        <v>4754</v>
      </c>
      <c r="M1474" s="14" t="s">
        <v>4693</v>
      </c>
      <c r="N1474" s="3" t="s">
        <v>4845</v>
      </c>
      <c r="O1474" s="32" t="str">
        <f>IF(LEN(COUNTIFS($J$1:J1474,$J1474,$K$1:K1474,$K1474,$L$1:L1474,$L1474,$M$1:M1474,M1474,$N$1:N1474,N1474))=1,"00"&amp;COUNTIFS($J$1:J1474,$J1474,$K$1:K1474,$K1474,$L$1:L1474,$L1474,$M$1:M1474,M1474,$N$1:N1474,N1474),IF(LEN(COUNTIFS($J$1:J1474,$J1474,$K$1:K1474,$K1474,$L$1:L1474,$L1474,$M$1:M1474,M1474,$N$1:N1474,N1474))=2,"0"&amp;COUNTIFS($J$1:J1474,$J1474,$K$1:K1474,$K1474,$L$1:L1474,$L1474,$M$1:M1474,M1474,$N$1:N1474,N1474),COUNTIFS($J$1:J1474,$J1474,$K$1:K1474,$K1474,$L$1:L1474,$L1474,$M$1:M1474,M1474,$N$1:N1474,N1474)))</f>
        <v>003</v>
      </c>
      <c r="P1474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MS-CS-018-23-01003-INV</v>
      </c>
      <c r="Q1474" s="59" t="s">
        <v>7346</v>
      </c>
      <c r="R1474" s="34" t="s">
        <v>7147</v>
      </c>
      <c r="S1474" s="34" t="s">
        <v>4242</v>
      </c>
      <c r="T1474" s="34">
        <f>+IFERROR(_xlfn.XLOOKUP(Table43[[#This Row],[Column1]],#REF!,#REF!),0)</f>
        <v>0</v>
      </c>
      <c r="U1474" s="50">
        <f>IFERROR(_xlfn.XLOOKUP(Table43[[#This Row],[Column1]],#REF!,#REF!),0)</f>
        <v>0</v>
      </c>
      <c r="V1474" s="39"/>
    </row>
    <row r="1475" spans="1:22" x14ac:dyDescent="0.35">
      <c r="A1475" s="2" t="s">
        <v>4243</v>
      </c>
      <c r="B1475" s="3" t="s">
        <v>4244</v>
      </c>
      <c r="C1475" s="3" t="s">
        <v>9</v>
      </c>
      <c r="D1475" s="3">
        <v>100</v>
      </c>
      <c r="E1475" s="6" t="s">
        <v>10</v>
      </c>
      <c r="F1475" s="2">
        <v>1</v>
      </c>
      <c r="G1475" s="3">
        <v>2</v>
      </c>
      <c r="H1475" s="3">
        <v>1</v>
      </c>
      <c r="I1475" s="21">
        <f>Table43[[#This Row],[Item Cost]]*Table43[[#This Row],[In Stock]]</f>
        <v>100</v>
      </c>
      <c r="J1475" s="3" t="s">
        <v>4941</v>
      </c>
      <c r="K1475" s="14" t="s">
        <v>4664</v>
      </c>
      <c r="L1475" s="14" t="s">
        <v>4754</v>
      </c>
      <c r="M1475" s="14" t="s">
        <v>4693</v>
      </c>
      <c r="N1475" s="3" t="s">
        <v>4845</v>
      </c>
      <c r="O1475" s="32" t="str">
        <f>IF(LEN(COUNTIFS($J$1:J1475,$J1475,$K$1:K1475,$K1475,$L$1:L1475,$L1475,$M$1:M1475,M1475,$N$1:N1475,N1475))=1,"00"&amp;COUNTIFS($J$1:J1475,$J1475,$K$1:K1475,$K1475,$L$1:L1475,$L1475,$M$1:M1475,M1475,$N$1:N1475,N1475),IF(LEN(COUNTIFS($J$1:J1475,$J1475,$K$1:K1475,$K1475,$L$1:L1475,$L1475,$M$1:M1475,M1475,$N$1:N1475,N1475))=2,"0"&amp;COUNTIFS($J$1:J1475,$J1475,$K$1:K1475,$K1475,$L$1:L1475,$L1475,$M$1:M1475,M1475,$N$1:N1475,N1475),COUNTIFS($J$1:J1475,$J1475,$K$1:K1475,$K1475,$L$1:L1475,$L1475,$M$1:M1475,M1475,$N$1:N1475,N1475)))</f>
        <v>004</v>
      </c>
      <c r="P1475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MS-CS-018-23-01004-INV</v>
      </c>
      <c r="Q1475" s="59"/>
      <c r="R1475" s="34" t="s">
        <v>7148</v>
      </c>
      <c r="S1475" s="34" t="s">
        <v>4244</v>
      </c>
      <c r="T1475" s="34">
        <f>+IFERROR(_xlfn.XLOOKUP(Table43[[#This Row],[Column1]],#REF!,#REF!),0)</f>
        <v>0</v>
      </c>
      <c r="U1475" s="50">
        <f>IFERROR(_xlfn.XLOOKUP(Table43[[#This Row],[Column1]],#REF!,#REF!),0)</f>
        <v>0</v>
      </c>
      <c r="V1475" s="39"/>
    </row>
    <row r="1476" spans="1:22" x14ac:dyDescent="0.35">
      <c r="A1476" s="3" t="s">
        <v>4245</v>
      </c>
      <c r="B1476" s="2" t="s">
        <v>4246</v>
      </c>
      <c r="C1476" s="2" t="s">
        <v>15</v>
      </c>
      <c r="D1476" s="2">
        <v>0</v>
      </c>
      <c r="E1476" s="26" t="s">
        <v>10</v>
      </c>
      <c r="F1476" s="2">
        <v>1</v>
      </c>
      <c r="G1476" s="2">
        <v>2</v>
      </c>
      <c r="H1476" s="2">
        <v>0</v>
      </c>
      <c r="I1476" s="22">
        <f>Table43[[#This Row],[Item Cost]]*Table43[[#This Row],[In Stock]]</f>
        <v>0</v>
      </c>
      <c r="J1476" s="3" t="s">
        <v>4941</v>
      </c>
      <c r="K1476" s="14" t="s">
        <v>4666</v>
      </c>
      <c r="L1476" s="14" t="s">
        <v>4754</v>
      </c>
      <c r="M1476" s="14" t="s">
        <v>4828</v>
      </c>
      <c r="N1476" s="3" t="s">
        <v>4845</v>
      </c>
      <c r="O1476" s="32" t="str">
        <f>IF(LEN(COUNTIFS($J$1:J1476,$J1476,$K$1:K1476,$K1476,$L$1:L1476,$L1476,$M$1:M1476,M1476,$N$1:N1476,N1476))=1,"00"&amp;COUNTIFS($J$1:J1476,$J1476,$K$1:K1476,$K1476,$L$1:L1476,$L1476,$M$1:M1476,M1476,$N$1:N1476,N1476),IF(LEN(COUNTIFS($J$1:J1476,$J1476,$K$1:K1476,$K1476,$L$1:L1476,$L1476,$M$1:M1476,M1476,$N$1:N1476,N1476))=2,"0"&amp;COUNTIFS($J$1:J1476,$J1476,$K$1:K1476,$K1476,$L$1:L1476,$L1476,$M$1:M1476,M1476,$N$1:N1476,N1476),COUNTIFS($J$1:J1476,$J1476,$K$1:K1476,$K1476,$L$1:L1476,$L1476,$M$1:M1476,M1476,$N$1:N1476,N1476)))</f>
        <v>001</v>
      </c>
      <c r="P1476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MS-NS-018-13-01001-INV</v>
      </c>
      <c r="Q1476" s="59"/>
      <c r="R1476" s="34" t="s">
        <v>7149</v>
      </c>
      <c r="S1476" s="34" t="s">
        <v>4246</v>
      </c>
      <c r="T1476" s="34">
        <f>+IFERROR(_xlfn.XLOOKUP(Table43[[#This Row],[Column1]],#REF!,#REF!),0)</f>
        <v>0</v>
      </c>
      <c r="U1476" s="50">
        <f>IFERROR(_xlfn.XLOOKUP(Table43[[#This Row],[Column1]],#REF!,#REF!),0)</f>
        <v>0</v>
      </c>
      <c r="V1476" s="39"/>
    </row>
    <row r="1477" spans="1:22" x14ac:dyDescent="0.35">
      <c r="A1477" s="2" t="s">
        <v>4247</v>
      </c>
      <c r="B1477" s="3" t="s">
        <v>4248</v>
      </c>
      <c r="C1477" s="3" t="s">
        <v>9</v>
      </c>
      <c r="D1477" s="3">
        <v>2300</v>
      </c>
      <c r="E1477" s="6" t="s">
        <v>10</v>
      </c>
      <c r="F1477" s="2">
        <v>1</v>
      </c>
      <c r="G1477" s="3">
        <v>2</v>
      </c>
      <c r="H1477" s="3">
        <v>1</v>
      </c>
      <c r="I1477" s="21">
        <f>Table43[[#This Row],[Item Cost]]*Table43[[#This Row],[In Stock]]</f>
        <v>2300</v>
      </c>
      <c r="J1477" s="3" t="s">
        <v>4941</v>
      </c>
      <c r="K1477" s="14" t="s">
        <v>4664</v>
      </c>
      <c r="L1477" s="14" t="s">
        <v>4754</v>
      </c>
      <c r="M1477" s="14" t="s">
        <v>4693</v>
      </c>
      <c r="N1477" s="3" t="s">
        <v>4845</v>
      </c>
      <c r="O1477" s="32" t="str">
        <f>IF(LEN(COUNTIFS($J$1:J1477,$J1477,$K$1:K1477,$K1477,$L$1:L1477,$L1477,$M$1:M1477,M1477,$N$1:N1477,N1477))=1,"00"&amp;COUNTIFS($J$1:J1477,$J1477,$K$1:K1477,$K1477,$L$1:L1477,$L1477,$M$1:M1477,M1477,$N$1:N1477,N1477),IF(LEN(COUNTIFS($J$1:J1477,$J1477,$K$1:K1477,$K1477,$L$1:L1477,$L1477,$M$1:M1477,M1477,$N$1:N1477,N1477))=2,"0"&amp;COUNTIFS($J$1:J1477,$J1477,$K$1:K1477,$K1477,$L$1:L1477,$L1477,$M$1:M1477,M1477,$N$1:N1477,N1477),COUNTIFS($J$1:J1477,$J1477,$K$1:K1477,$K1477,$L$1:L1477,$L1477,$M$1:M1477,M1477,$N$1:N1477,N1477)))</f>
        <v>005</v>
      </c>
      <c r="P1477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MS-CS-018-23-01005-INV</v>
      </c>
      <c r="Q1477" s="59" t="s">
        <v>7346</v>
      </c>
      <c r="R1477" s="34" t="s">
        <v>7150</v>
      </c>
      <c r="S1477" s="34" t="s">
        <v>4248</v>
      </c>
      <c r="T1477" s="34">
        <f>+IFERROR(_xlfn.XLOOKUP(Table43[[#This Row],[Column1]],#REF!,#REF!),0)</f>
        <v>0</v>
      </c>
      <c r="U1477" s="50">
        <f>IFERROR(_xlfn.XLOOKUP(Table43[[#This Row],[Column1]],#REF!,#REF!),0)</f>
        <v>0</v>
      </c>
      <c r="V1477" s="39"/>
    </row>
    <row r="1478" spans="1:22" x14ac:dyDescent="0.35">
      <c r="A1478" s="2" t="s">
        <v>4249</v>
      </c>
      <c r="B1478" s="2" t="s">
        <v>4250</v>
      </c>
      <c r="C1478" s="2" t="s">
        <v>9</v>
      </c>
      <c r="D1478" s="2">
        <v>1000</v>
      </c>
      <c r="E1478" s="26" t="s">
        <v>10</v>
      </c>
      <c r="F1478" s="2">
        <v>1</v>
      </c>
      <c r="G1478" s="3">
        <v>2</v>
      </c>
      <c r="H1478" s="2">
        <v>1</v>
      </c>
      <c r="I1478" s="22">
        <f>Table43[[#This Row],[Item Cost]]*Table43[[#This Row],[In Stock]]</f>
        <v>1000</v>
      </c>
      <c r="J1478" s="3" t="s">
        <v>4941</v>
      </c>
      <c r="K1478" s="14" t="s">
        <v>4664</v>
      </c>
      <c r="L1478" s="14" t="s">
        <v>4754</v>
      </c>
      <c r="M1478" s="14" t="s">
        <v>4693</v>
      </c>
      <c r="N1478" s="3" t="s">
        <v>4845</v>
      </c>
      <c r="O1478" s="32" t="str">
        <f>IF(LEN(COUNTIFS($J$1:J1478,$J1478,$K$1:K1478,$K1478,$L$1:L1478,$L1478,$M$1:M1478,M1478,$N$1:N1478,N1478))=1,"00"&amp;COUNTIFS($J$1:J1478,$J1478,$K$1:K1478,$K1478,$L$1:L1478,$L1478,$M$1:M1478,M1478,$N$1:N1478,N1478),IF(LEN(COUNTIFS($J$1:J1478,$J1478,$K$1:K1478,$K1478,$L$1:L1478,$L1478,$M$1:M1478,M1478,$N$1:N1478,N1478))=2,"0"&amp;COUNTIFS($J$1:J1478,$J1478,$K$1:K1478,$K1478,$L$1:L1478,$L1478,$M$1:M1478,M1478,$N$1:N1478,N1478),COUNTIFS($J$1:J1478,$J1478,$K$1:K1478,$K1478,$L$1:L1478,$L1478,$M$1:M1478,M1478,$N$1:N1478,N1478)))</f>
        <v>006</v>
      </c>
      <c r="P1478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MS-CS-018-23-01006-INV</v>
      </c>
      <c r="Q1478" s="59" t="s">
        <v>7346</v>
      </c>
      <c r="R1478" s="34" t="s">
        <v>7151</v>
      </c>
      <c r="S1478" s="34" t="s">
        <v>4250</v>
      </c>
      <c r="T1478" s="34">
        <f>+IFERROR(_xlfn.XLOOKUP(Table43[[#This Row],[Column1]],#REF!,#REF!),0)</f>
        <v>0</v>
      </c>
      <c r="U1478" s="50">
        <f>IFERROR(_xlfn.XLOOKUP(Table43[[#This Row],[Column1]],#REF!,#REF!),0)</f>
        <v>0</v>
      </c>
      <c r="V1478" s="39"/>
    </row>
    <row r="1479" spans="1:22" x14ac:dyDescent="0.35">
      <c r="A1479" s="3" t="s">
        <v>4251</v>
      </c>
      <c r="B1479" s="3" t="s">
        <v>4252</v>
      </c>
      <c r="C1479" s="3" t="s">
        <v>9</v>
      </c>
      <c r="D1479" s="3">
        <v>2200</v>
      </c>
      <c r="E1479" s="6" t="s">
        <v>10</v>
      </c>
      <c r="F1479" s="2">
        <v>1</v>
      </c>
      <c r="G1479" s="3">
        <v>2</v>
      </c>
      <c r="H1479" s="3">
        <v>1</v>
      </c>
      <c r="I1479" s="21">
        <f>Table43[[#This Row],[Item Cost]]*Table43[[#This Row],[In Stock]]</f>
        <v>2200</v>
      </c>
      <c r="J1479" s="3" t="s">
        <v>4941</v>
      </c>
      <c r="K1479" s="14" t="s">
        <v>4664</v>
      </c>
      <c r="L1479" s="14" t="s">
        <v>4754</v>
      </c>
      <c r="M1479" s="14" t="s">
        <v>4693</v>
      </c>
      <c r="N1479" s="3" t="s">
        <v>4845</v>
      </c>
      <c r="O1479" s="32" t="str">
        <f>IF(LEN(COUNTIFS($J$1:J1479,$J1479,$K$1:K1479,$K1479,$L$1:L1479,$L1479,$M$1:M1479,M1479,$N$1:N1479,N1479))=1,"00"&amp;COUNTIFS($J$1:J1479,$J1479,$K$1:K1479,$K1479,$L$1:L1479,$L1479,$M$1:M1479,M1479,$N$1:N1479,N1479),IF(LEN(COUNTIFS($J$1:J1479,$J1479,$K$1:K1479,$K1479,$L$1:L1479,$L1479,$M$1:M1479,M1479,$N$1:N1479,N1479))=2,"0"&amp;COUNTIFS($J$1:J1479,$J1479,$K$1:K1479,$K1479,$L$1:L1479,$L1479,$M$1:M1479,M1479,$N$1:N1479,N1479),COUNTIFS($J$1:J1479,$J1479,$K$1:K1479,$K1479,$L$1:L1479,$L1479,$M$1:M1479,M1479,$N$1:N1479,N1479)))</f>
        <v>007</v>
      </c>
      <c r="P1479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MS-CS-018-23-01007-INV</v>
      </c>
      <c r="Q1479" s="59" t="s">
        <v>7346</v>
      </c>
      <c r="R1479" s="34" t="s">
        <v>7152</v>
      </c>
      <c r="S1479" s="34" t="s">
        <v>4252</v>
      </c>
      <c r="T1479" s="34">
        <f>+IFERROR(_xlfn.XLOOKUP(Table43[[#This Row],[Column1]],#REF!,#REF!),0)</f>
        <v>0</v>
      </c>
      <c r="U1479" s="50">
        <f>IFERROR(_xlfn.XLOOKUP(Table43[[#This Row],[Column1]],#REF!,#REF!),0)</f>
        <v>0</v>
      </c>
      <c r="V1479" s="39"/>
    </row>
    <row r="1480" spans="1:22" x14ac:dyDescent="0.35">
      <c r="A1480" s="2" t="s">
        <v>4253</v>
      </c>
      <c r="B1480" s="2" t="s">
        <v>4254</v>
      </c>
      <c r="C1480" s="2" t="s">
        <v>15</v>
      </c>
      <c r="D1480" s="4">
        <v>0</v>
      </c>
      <c r="E1480" s="26" t="s">
        <v>10</v>
      </c>
      <c r="F1480" s="2">
        <v>1</v>
      </c>
      <c r="G1480" s="2">
        <v>2</v>
      </c>
      <c r="H1480" s="2">
        <v>0</v>
      </c>
      <c r="I1480" s="22">
        <f>Table43[[#This Row],[Item Cost]]*Table43[[#This Row],[In Stock]]</f>
        <v>0</v>
      </c>
      <c r="J1480" s="3" t="s">
        <v>4941</v>
      </c>
      <c r="K1480" s="14" t="s">
        <v>4666</v>
      </c>
      <c r="L1480" s="14" t="s">
        <v>4754</v>
      </c>
      <c r="M1480" s="14" t="s">
        <v>4837</v>
      </c>
      <c r="N1480" s="3" t="s">
        <v>4845</v>
      </c>
      <c r="O1480" s="32" t="str">
        <f>IF(LEN(COUNTIFS($J$1:J1480,$J1480,$K$1:K1480,$K1480,$L$1:L1480,$L1480,$M$1:M1480,M1480,$N$1:N1480,N1480))=1,"00"&amp;COUNTIFS($J$1:J1480,$J1480,$K$1:K1480,$K1480,$L$1:L1480,$L1480,$M$1:M1480,M1480,$N$1:N1480,N1480),IF(LEN(COUNTIFS($J$1:J1480,$J1480,$K$1:K1480,$K1480,$L$1:L1480,$L1480,$M$1:M1480,M1480,$N$1:N1480,N1480))=2,"0"&amp;COUNTIFS($J$1:J1480,$J1480,$K$1:K1480,$K1480,$L$1:L1480,$L1480,$M$1:M1480,M1480,$N$1:N1480,N1480),COUNTIFS($J$1:J1480,$J1480,$K$1:K1480,$K1480,$L$1:L1480,$L1480,$M$1:M1480,M1480,$N$1:N1480,N1480)))</f>
        <v>003</v>
      </c>
      <c r="P1480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MS-NS-018-26-01003-INV</v>
      </c>
      <c r="Q1480" s="59"/>
      <c r="R1480" s="34" t="s">
        <v>7153</v>
      </c>
      <c r="S1480" s="34" t="s">
        <v>4254</v>
      </c>
      <c r="T1480" s="34">
        <f>+IFERROR(_xlfn.XLOOKUP(Table43[[#This Row],[Column1]],#REF!,#REF!),0)</f>
        <v>0</v>
      </c>
      <c r="U1480" s="50">
        <f>IFERROR(_xlfn.XLOOKUP(Table43[[#This Row],[Column1]],#REF!,#REF!),0)</f>
        <v>0</v>
      </c>
      <c r="V1480" s="39"/>
    </row>
    <row r="1481" spans="1:22" x14ac:dyDescent="0.35">
      <c r="A1481" s="2" t="s">
        <v>4255</v>
      </c>
      <c r="B1481" s="3" t="s">
        <v>4256</v>
      </c>
      <c r="C1481" s="3" t="s">
        <v>15</v>
      </c>
      <c r="D1481" s="5">
        <v>0</v>
      </c>
      <c r="E1481" s="6" t="s">
        <v>10</v>
      </c>
      <c r="F1481" s="2">
        <v>1</v>
      </c>
      <c r="G1481" s="2">
        <v>2</v>
      </c>
      <c r="H1481" s="3">
        <v>0</v>
      </c>
      <c r="I1481" s="21">
        <f>Table43[[#This Row],[Item Cost]]*Table43[[#This Row],[In Stock]]</f>
        <v>0</v>
      </c>
      <c r="J1481" s="3" t="s">
        <v>4941</v>
      </c>
      <c r="K1481" s="14" t="s">
        <v>4666</v>
      </c>
      <c r="L1481" s="14" t="s">
        <v>4754</v>
      </c>
      <c r="M1481" s="14" t="s">
        <v>4837</v>
      </c>
      <c r="N1481" s="3" t="s">
        <v>4845</v>
      </c>
      <c r="O1481" s="32" t="str">
        <f>IF(LEN(COUNTIFS($J$1:J1481,$J1481,$K$1:K1481,$K1481,$L$1:L1481,$L1481,$M$1:M1481,M1481,$N$1:N1481,N1481))=1,"00"&amp;COUNTIFS($J$1:J1481,$J1481,$K$1:K1481,$K1481,$L$1:L1481,$L1481,$M$1:M1481,M1481,$N$1:N1481,N1481),IF(LEN(COUNTIFS($J$1:J1481,$J1481,$K$1:K1481,$K1481,$L$1:L1481,$L1481,$M$1:M1481,M1481,$N$1:N1481,N1481))=2,"0"&amp;COUNTIFS($J$1:J1481,$J1481,$K$1:K1481,$K1481,$L$1:L1481,$L1481,$M$1:M1481,M1481,$N$1:N1481,N1481),COUNTIFS($J$1:J1481,$J1481,$K$1:K1481,$K1481,$L$1:L1481,$L1481,$M$1:M1481,M1481,$N$1:N1481,N1481)))</f>
        <v>004</v>
      </c>
      <c r="P1481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MS-NS-018-26-01004-INV</v>
      </c>
      <c r="Q1481" s="59"/>
      <c r="R1481" s="34" t="s">
        <v>7154</v>
      </c>
      <c r="S1481" s="34" t="s">
        <v>4256</v>
      </c>
      <c r="T1481" s="34">
        <f>+IFERROR(_xlfn.XLOOKUP(Table43[[#This Row],[Column1]],#REF!,#REF!),0)</f>
        <v>0</v>
      </c>
      <c r="U1481" s="50">
        <f>IFERROR(_xlfn.XLOOKUP(Table43[[#This Row],[Column1]],#REF!,#REF!),0)</f>
        <v>0</v>
      </c>
      <c r="V1481" s="39"/>
    </row>
    <row r="1482" spans="1:22" x14ac:dyDescent="0.35">
      <c r="A1482" s="3" t="s">
        <v>4257</v>
      </c>
      <c r="B1482" s="2" t="s">
        <v>4258</v>
      </c>
      <c r="C1482" s="2" t="s">
        <v>15</v>
      </c>
      <c r="D1482" s="4">
        <v>0</v>
      </c>
      <c r="E1482" s="26" t="s">
        <v>10</v>
      </c>
      <c r="F1482" s="2">
        <v>1</v>
      </c>
      <c r="G1482" s="2">
        <v>2</v>
      </c>
      <c r="H1482" s="2">
        <v>0</v>
      </c>
      <c r="I1482" s="22">
        <f>Table43[[#This Row],[Item Cost]]*Table43[[#This Row],[In Stock]]</f>
        <v>0</v>
      </c>
      <c r="J1482" s="3" t="s">
        <v>4941</v>
      </c>
      <c r="K1482" s="14" t="s">
        <v>4666</v>
      </c>
      <c r="L1482" s="14" t="s">
        <v>4754</v>
      </c>
      <c r="M1482" s="14" t="s">
        <v>4837</v>
      </c>
      <c r="N1482" s="3" t="s">
        <v>4845</v>
      </c>
      <c r="O1482" s="32" t="str">
        <f>IF(LEN(COUNTIFS($J$1:J1482,$J1482,$K$1:K1482,$K1482,$L$1:L1482,$L1482,$M$1:M1482,M1482,$N$1:N1482,N1482))=1,"00"&amp;COUNTIFS($J$1:J1482,$J1482,$K$1:K1482,$K1482,$L$1:L1482,$L1482,$M$1:M1482,M1482,$N$1:N1482,N1482),IF(LEN(COUNTIFS($J$1:J1482,$J1482,$K$1:K1482,$K1482,$L$1:L1482,$L1482,$M$1:M1482,M1482,$N$1:N1482,N1482))=2,"0"&amp;COUNTIFS($J$1:J1482,$J1482,$K$1:K1482,$K1482,$L$1:L1482,$L1482,$M$1:M1482,M1482,$N$1:N1482,N1482),COUNTIFS($J$1:J1482,$J1482,$K$1:K1482,$K1482,$L$1:L1482,$L1482,$M$1:M1482,M1482,$N$1:N1482,N1482)))</f>
        <v>005</v>
      </c>
      <c r="P1482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MS-NS-018-26-01005-INV</v>
      </c>
      <c r="Q1482" s="59"/>
      <c r="R1482" s="34" t="s">
        <v>7155</v>
      </c>
      <c r="S1482" s="34" t="s">
        <v>4258</v>
      </c>
      <c r="T1482" s="34">
        <f>+IFERROR(_xlfn.XLOOKUP(Table43[[#This Row],[Column1]],#REF!,#REF!),0)</f>
        <v>0</v>
      </c>
      <c r="U1482" s="50">
        <f>IFERROR(_xlfn.XLOOKUP(Table43[[#This Row],[Column1]],#REF!,#REF!),0)</f>
        <v>0</v>
      </c>
      <c r="V1482" s="39"/>
    </row>
    <row r="1483" spans="1:22" x14ac:dyDescent="0.35">
      <c r="A1483" s="2" t="s">
        <v>4259</v>
      </c>
      <c r="B1483" s="3" t="s">
        <v>4260</v>
      </c>
      <c r="C1483" s="3" t="s">
        <v>15</v>
      </c>
      <c r="D1483" s="3">
        <v>8000</v>
      </c>
      <c r="E1483" s="6" t="s">
        <v>10</v>
      </c>
      <c r="F1483" s="2">
        <v>1</v>
      </c>
      <c r="G1483" s="2">
        <v>2</v>
      </c>
      <c r="H1483" s="3">
        <v>0</v>
      </c>
      <c r="I1483" s="21">
        <f>Table43[[#This Row],[Item Cost]]*Table43[[#This Row],[In Stock]]</f>
        <v>0</v>
      </c>
      <c r="J1483" s="3" t="s">
        <v>4941</v>
      </c>
      <c r="K1483" s="14" t="s">
        <v>4666</v>
      </c>
      <c r="L1483" s="14" t="s">
        <v>4754</v>
      </c>
      <c r="M1483" s="14" t="s">
        <v>4837</v>
      </c>
      <c r="N1483" s="3" t="s">
        <v>4845</v>
      </c>
      <c r="O1483" s="32" t="str">
        <f>IF(LEN(COUNTIFS($J$1:J1483,$J1483,$K$1:K1483,$K1483,$L$1:L1483,$L1483,$M$1:M1483,M1483,$N$1:N1483,N1483))=1,"00"&amp;COUNTIFS($J$1:J1483,$J1483,$K$1:K1483,$K1483,$L$1:L1483,$L1483,$M$1:M1483,M1483,$N$1:N1483,N1483),IF(LEN(COUNTIFS($J$1:J1483,$J1483,$K$1:K1483,$K1483,$L$1:L1483,$L1483,$M$1:M1483,M1483,$N$1:N1483,N1483))=2,"0"&amp;COUNTIFS($J$1:J1483,$J1483,$K$1:K1483,$K1483,$L$1:L1483,$L1483,$M$1:M1483,M1483,$N$1:N1483,N1483),COUNTIFS($J$1:J1483,$J1483,$K$1:K1483,$K1483,$L$1:L1483,$L1483,$M$1:M1483,M1483,$N$1:N1483,N1483)))</f>
        <v>006</v>
      </c>
      <c r="P1483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MS-NS-018-26-01006-INV</v>
      </c>
      <c r="Q1483" s="59"/>
      <c r="R1483" s="34" t="s">
        <v>7156</v>
      </c>
      <c r="S1483" s="34" t="s">
        <v>4260</v>
      </c>
      <c r="T1483" s="34">
        <f>+IFERROR(_xlfn.XLOOKUP(Table43[[#This Row],[Column1]],#REF!,#REF!),0)</f>
        <v>0</v>
      </c>
      <c r="U1483" s="50">
        <f>IFERROR(_xlfn.XLOOKUP(Table43[[#This Row],[Column1]],#REF!,#REF!),0)</f>
        <v>0</v>
      </c>
      <c r="V1483" s="39"/>
    </row>
    <row r="1484" spans="1:22" x14ac:dyDescent="0.35">
      <c r="A1484" s="2" t="s">
        <v>4261</v>
      </c>
      <c r="B1484" s="2" t="s">
        <v>4262</v>
      </c>
      <c r="C1484" s="2" t="s">
        <v>9</v>
      </c>
      <c r="D1484" s="2">
        <v>15000</v>
      </c>
      <c r="E1484" s="26" t="s">
        <v>10</v>
      </c>
      <c r="F1484" s="2">
        <v>1</v>
      </c>
      <c r="G1484" s="3">
        <v>2</v>
      </c>
      <c r="H1484" s="2">
        <v>1</v>
      </c>
      <c r="I1484" s="22">
        <f>Table43[[#This Row],[Item Cost]]*Table43[[#This Row],[In Stock]]</f>
        <v>15000</v>
      </c>
      <c r="J1484" s="3" t="s">
        <v>4941</v>
      </c>
      <c r="K1484" s="14" t="s">
        <v>4664</v>
      </c>
      <c r="L1484" s="14" t="s">
        <v>4754</v>
      </c>
      <c r="M1484" s="14" t="s">
        <v>4693</v>
      </c>
      <c r="N1484" s="3" t="s">
        <v>4845</v>
      </c>
      <c r="O1484" s="32" t="str">
        <f>IF(LEN(COUNTIFS($J$1:J1484,$J1484,$K$1:K1484,$K1484,$L$1:L1484,$L1484,$M$1:M1484,M1484,$N$1:N1484,N1484))=1,"00"&amp;COUNTIFS($J$1:J1484,$J1484,$K$1:K1484,$K1484,$L$1:L1484,$L1484,$M$1:M1484,M1484,$N$1:N1484,N1484),IF(LEN(COUNTIFS($J$1:J1484,$J1484,$K$1:K1484,$K1484,$L$1:L1484,$L1484,$M$1:M1484,M1484,$N$1:N1484,N1484))=2,"0"&amp;COUNTIFS($J$1:J1484,$J1484,$K$1:K1484,$K1484,$L$1:L1484,$L1484,$M$1:M1484,M1484,$N$1:N1484,N1484),COUNTIFS($J$1:J1484,$J1484,$K$1:K1484,$K1484,$L$1:L1484,$L1484,$M$1:M1484,M1484,$N$1:N1484,N1484)))</f>
        <v>008</v>
      </c>
      <c r="P1484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MS-CS-018-23-01008-INV</v>
      </c>
      <c r="Q1484" s="59" t="s">
        <v>7336</v>
      </c>
      <c r="R1484" s="34" t="s">
        <v>7157</v>
      </c>
      <c r="S1484" s="34" t="s">
        <v>4262</v>
      </c>
      <c r="T1484" s="34">
        <f>+IFERROR(_xlfn.XLOOKUP(Table43[[#This Row],[Column1]],#REF!,#REF!),0)</f>
        <v>0</v>
      </c>
      <c r="U1484" s="50">
        <f>IFERROR(_xlfn.XLOOKUP(Table43[[#This Row],[Column1]],#REF!,#REF!),0)</f>
        <v>0</v>
      </c>
      <c r="V1484" s="39"/>
    </row>
    <row r="1485" spans="1:22" x14ac:dyDescent="0.35">
      <c r="A1485" s="3" t="s">
        <v>4263</v>
      </c>
      <c r="B1485" s="3" t="s">
        <v>4264</v>
      </c>
      <c r="C1485" s="3" t="s">
        <v>9</v>
      </c>
      <c r="D1485" s="3">
        <v>3990</v>
      </c>
      <c r="E1485" s="6" t="s">
        <v>10</v>
      </c>
      <c r="F1485" s="2">
        <v>1</v>
      </c>
      <c r="G1485" s="3">
        <v>2</v>
      </c>
      <c r="H1485" s="3">
        <v>1</v>
      </c>
      <c r="I1485" s="21">
        <f>Table43[[#This Row],[Item Cost]]*Table43[[#This Row],[In Stock]]</f>
        <v>3990</v>
      </c>
      <c r="J1485" s="3" t="s">
        <v>4941</v>
      </c>
      <c r="K1485" s="14" t="s">
        <v>4664</v>
      </c>
      <c r="L1485" s="14" t="s">
        <v>4754</v>
      </c>
      <c r="M1485" s="14" t="s">
        <v>4837</v>
      </c>
      <c r="N1485" s="3" t="s">
        <v>4845</v>
      </c>
      <c r="O1485" s="32" t="str">
        <f>IF(LEN(COUNTIFS($J$1:J1485,$J1485,$K$1:K1485,$K1485,$L$1:L1485,$L1485,$M$1:M1485,M1485,$N$1:N1485,N1485))=1,"00"&amp;COUNTIFS($J$1:J1485,$J1485,$K$1:K1485,$K1485,$L$1:L1485,$L1485,$M$1:M1485,M1485,$N$1:N1485,N1485),IF(LEN(COUNTIFS($J$1:J1485,$J1485,$K$1:K1485,$K1485,$L$1:L1485,$L1485,$M$1:M1485,M1485,$N$1:N1485,N1485))=2,"0"&amp;COUNTIFS($J$1:J1485,$J1485,$K$1:K1485,$K1485,$L$1:L1485,$L1485,$M$1:M1485,M1485,$N$1:N1485,N1485),COUNTIFS($J$1:J1485,$J1485,$K$1:K1485,$K1485,$L$1:L1485,$L1485,$M$1:M1485,M1485,$N$1:N1485,N1485)))</f>
        <v>001</v>
      </c>
      <c r="P1485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MS-CS-018-26-01001-INV</v>
      </c>
      <c r="Q1485" s="59"/>
      <c r="R1485" s="34" t="s">
        <v>7158</v>
      </c>
      <c r="S1485" s="34" t="s">
        <v>4264</v>
      </c>
      <c r="T1485" s="34">
        <f>+IFERROR(_xlfn.XLOOKUP(Table43[[#This Row],[Column1]],#REF!,#REF!),0)</f>
        <v>0</v>
      </c>
      <c r="U1485" s="50">
        <f>IFERROR(_xlfn.XLOOKUP(Table43[[#This Row],[Column1]],#REF!,#REF!),0)</f>
        <v>0</v>
      </c>
      <c r="V1485" s="39"/>
    </row>
    <row r="1486" spans="1:22" x14ac:dyDescent="0.35">
      <c r="A1486" s="2" t="s">
        <v>4265</v>
      </c>
      <c r="B1486" s="2" t="s">
        <v>4266</v>
      </c>
      <c r="C1486" s="2" t="s">
        <v>15</v>
      </c>
      <c r="D1486" s="4">
        <v>0</v>
      </c>
      <c r="E1486" s="26" t="s">
        <v>10</v>
      </c>
      <c r="F1486" s="2">
        <v>1</v>
      </c>
      <c r="G1486" s="2">
        <v>2</v>
      </c>
      <c r="H1486" s="2">
        <v>0</v>
      </c>
      <c r="I1486" s="22">
        <f>Table43[[#This Row],[Item Cost]]*Table43[[#This Row],[In Stock]]</f>
        <v>0</v>
      </c>
      <c r="J1486" s="3" t="s">
        <v>4941</v>
      </c>
      <c r="K1486" s="14" t="s">
        <v>4666</v>
      </c>
      <c r="L1486" s="14" t="s">
        <v>4754</v>
      </c>
      <c r="M1486" s="14" t="s">
        <v>4829</v>
      </c>
      <c r="N1486" s="3" t="s">
        <v>4845</v>
      </c>
      <c r="O1486" s="32" t="str">
        <f>IF(LEN(COUNTIFS($J$1:J1486,$J1486,$K$1:K1486,$K1486,$L$1:L1486,$L1486,$M$1:M1486,M1486,$N$1:N1486,N1486))=1,"00"&amp;COUNTIFS($J$1:J1486,$J1486,$K$1:K1486,$K1486,$L$1:L1486,$L1486,$M$1:M1486,M1486,$N$1:N1486,N1486),IF(LEN(COUNTIFS($J$1:J1486,$J1486,$K$1:K1486,$K1486,$L$1:L1486,$L1486,$M$1:M1486,M1486,$N$1:N1486,N1486))=2,"0"&amp;COUNTIFS($J$1:J1486,$J1486,$K$1:K1486,$K1486,$L$1:L1486,$L1486,$M$1:M1486,M1486,$N$1:N1486,N1486),COUNTIFS($J$1:J1486,$J1486,$K$1:K1486,$K1486,$L$1:L1486,$L1486,$M$1:M1486,M1486,$N$1:N1486,N1486)))</f>
        <v>001</v>
      </c>
      <c r="P1486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MS-NS-018-21-01001-INV</v>
      </c>
      <c r="Q1486" s="59"/>
      <c r="R1486" s="34" t="s">
        <v>7159</v>
      </c>
      <c r="S1486" s="34" t="s">
        <v>4266</v>
      </c>
      <c r="T1486" s="34">
        <f>+IFERROR(_xlfn.XLOOKUP(Table43[[#This Row],[Column1]],#REF!,#REF!),0)</f>
        <v>0</v>
      </c>
      <c r="U1486" s="50">
        <f>IFERROR(_xlfn.XLOOKUP(Table43[[#This Row],[Column1]],#REF!,#REF!),0)</f>
        <v>0</v>
      </c>
      <c r="V1486" s="39"/>
    </row>
    <row r="1487" spans="1:22" x14ac:dyDescent="0.35">
      <c r="A1487" s="2" t="s">
        <v>5625</v>
      </c>
      <c r="B1487" s="2" t="s">
        <v>4268</v>
      </c>
      <c r="C1487" s="2" t="s">
        <v>9</v>
      </c>
      <c r="D1487" s="2">
        <v>11</v>
      </c>
      <c r="E1487" s="26" t="s">
        <v>10</v>
      </c>
      <c r="F1487" s="2">
        <v>1</v>
      </c>
      <c r="G1487" s="3">
        <v>2</v>
      </c>
      <c r="H1487" s="2">
        <v>10</v>
      </c>
      <c r="I1487" s="22">
        <f>Table43[[#This Row],[Item Cost]]*Table43[[#This Row],[In Stock]]</f>
        <v>110</v>
      </c>
      <c r="J1487" s="3" t="s">
        <v>4941</v>
      </c>
      <c r="K1487" s="14" t="s">
        <v>4664</v>
      </c>
      <c r="L1487" s="14" t="s">
        <v>4754</v>
      </c>
      <c r="M1487" s="14" t="s">
        <v>4835</v>
      </c>
      <c r="N1487" s="3" t="s">
        <v>4845</v>
      </c>
      <c r="O1487" s="32" t="str">
        <f>IF(LEN(COUNTIFS($J$1:J1487,$J1487,$K$1:K1487,$K1487,$L$1:L1487,$L1487,$M$1:M1487,M1487,$N$1:N1487,N1487))=1,"00"&amp;COUNTIFS($J$1:J1487,$J1487,$K$1:K1487,$K1487,$L$1:L1487,$L1487,$M$1:M1487,M1487,$N$1:N1487,N1487),IF(LEN(COUNTIFS($J$1:J1487,$J1487,$K$1:K1487,$K1487,$L$1:L1487,$L1487,$M$1:M1487,M1487,$N$1:N1487,N1487))=2,"0"&amp;COUNTIFS($J$1:J1487,$J1487,$K$1:K1487,$K1487,$L$1:L1487,$L1487,$M$1:M1487,M1487,$N$1:N1487,N1487),COUNTIFS($J$1:J1487,$J1487,$K$1:K1487,$K1487,$L$1:L1487,$L1487,$M$1:M1487,M1487,$N$1:N1487,N1487)))</f>
        <v>001</v>
      </c>
      <c r="P1487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MS-CS-018-24-01001-INV</v>
      </c>
      <c r="Q1487" s="59"/>
      <c r="R1487" s="34" t="s">
        <v>7160</v>
      </c>
      <c r="S1487" s="34" t="s">
        <v>4268</v>
      </c>
      <c r="T1487" s="34">
        <f>+IFERROR(_xlfn.XLOOKUP(Table43[[#This Row],[Column1]],#REF!,#REF!),0)</f>
        <v>0</v>
      </c>
      <c r="U1487" s="50">
        <f>IFERROR(_xlfn.XLOOKUP(Table43[[#This Row],[Column1]],#REF!,#REF!),0)</f>
        <v>0</v>
      </c>
      <c r="V1487" s="39"/>
    </row>
    <row r="1488" spans="1:22" x14ac:dyDescent="0.35">
      <c r="A1488" s="3" t="s">
        <v>5626</v>
      </c>
      <c r="B1488" s="3" t="s">
        <v>4270</v>
      </c>
      <c r="C1488" s="3" t="s">
        <v>9</v>
      </c>
      <c r="D1488" s="3">
        <v>2.5</v>
      </c>
      <c r="E1488" s="6" t="s">
        <v>10</v>
      </c>
      <c r="F1488" s="2">
        <v>1</v>
      </c>
      <c r="G1488" s="3">
        <v>2</v>
      </c>
      <c r="H1488" s="3">
        <v>10</v>
      </c>
      <c r="I1488" s="21">
        <f>Table43[[#This Row],[Item Cost]]*Table43[[#This Row],[In Stock]]</f>
        <v>25</v>
      </c>
      <c r="J1488" s="3" t="s">
        <v>4941</v>
      </c>
      <c r="K1488" s="14" t="s">
        <v>4664</v>
      </c>
      <c r="L1488" s="14" t="s">
        <v>4754</v>
      </c>
      <c r="M1488" s="14" t="s">
        <v>4835</v>
      </c>
      <c r="N1488" s="3" t="s">
        <v>4845</v>
      </c>
      <c r="O1488" s="32" t="str">
        <f>IF(LEN(COUNTIFS($J$1:J1488,$J1488,$K$1:K1488,$K1488,$L$1:L1488,$L1488,$M$1:M1488,M1488,$N$1:N1488,N1488))=1,"00"&amp;COUNTIFS($J$1:J1488,$J1488,$K$1:K1488,$K1488,$L$1:L1488,$L1488,$M$1:M1488,M1488,$N$1:N1488,N1488),IF(LEN(COUNTIFS($J$1:J1488,$J1488,$K$1:K1488,$K1488,$L$1:L1488,$L1488,$M$1:M1488,M1488,$N$1:N1488,N1488))=2,"0"&amp;COUNTIFS($J$1:J1488,$J1488,$K$1:K1488,$K1488,$L$1:L1488,$L1488,$M$1:M1488,M1488,$N$1:N1488,N1488),COUNTIFS($J$1:J1488,$J1488,$K$1:K1488,$K1488,$L$1:L1488,$L1488,$M$1:M1488,M1488,$N$1:N1488,N1488)))</f>
        <v>002</v>
      </c>
      <c r="P1488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MS-CS-018-24-01002-INV</v>
      </c>
      <c r="Q1488" s="59"/>
      <c r="R1488" s="34" t="s">
        <v>7161</v>
      </c>
      <c r="S1488" s="34" t="s">
        <v>4270</v>
      </c>
      <c r="T1488" s="34">
        <f>+IFERROR(_xlfn.XLOOKUP(Table43[[#This Row],[Column1]],#REF!,#REF!),0)</f>
        <v>0</v>
      </c>
      <c r="U1488" s="50">
        <f>IFERROR(_xlfn.XLOOKUP(Table43[[#This Row],[Column1]],#REF!,#REF!),0)</f>
        <v>0</v>
      </c>
      <c r="V1488" s="39"/>
    </row>
    <row r="1489" spans="1:22" x14ac:dyDescent="0.35">
      <c r="A1489" s="2" t="s">
        <v>5627</v>
      </c>
      <c r="B1489" s="2" t="s">
        <v>4272</v>
      </c>
      <c r="C1489" s="2" t="s">
        <v>15</v>
      </c>
      <c r="D1489" s="2">
        <v>0</v>
      </c>
      <c r="E1489" s="26" t="s">
        <v>10</v>
      </c>
      <c r="F1489" s="2">
        <v>1</v>
      </c>
      <c r="G1489" s="2">
        <v>2</v>
      </c>
      <c r="H1489" s="2">
        <v>0</v>
      </c>
      <c r="I1489" s="22">
        <f>Table43[[#This Row],[Item Cost]]*Table43[[#This Row],[In Stock]]</f>
        <v>0</v>
      </c>
      <c r="J1489" s="3" t="s">
        <v>4941</v>
      </c>
      <c r="K1489" s="14" t="s">
        <v>4666</v>
      </c>
      <c r="L1489" s="14" t="s">
        <v>4754</v>
      </c>
      <c r="M1489" s="14" t="s">
        <v>4837</v>
      </c>
      <c r="N1489" s="3" t="s">
        <v>4845</v>
      </c>
      <c r="O1489" s="32" t="str">
        <f>IF(LEN(COUNTIFS($J$1:J1489,$J1489,$K$1:K1489,$K1489,$L$1:L1489,$L1489,$M$1:M1489,M1489,$N$1:N1489,N1489))=1,"00"&amp;COUNTIFS($J$1:J1489,$J1489,$K$1:K1489,$K1489,$L$1:L1489,$L1489,$M$1:M1489,M1489,$N$1:N1489,N1489),IF(LEN(COUNTIFS($J$1:J1489,$J1489,$K$1:K1489,$K1489,$L$1:L1489,$L1489,$M$1:M1489,M1489,$N$1:N1489,N1489))=2,"0"&amp;COUNTIFS($J$1:J1489,$J1489,$K$1:K1489,$K1489,$L$1:L1489,$L1489,$M$1:M1489,M1489,$N$1:N1489,N1489),COUNTIFS($J$1:J1489,$J1489,$K$1:K1489,$K1489,$L$1:L1489,$L1489,$M$1:M1489,M1489,$N$1:N1489,N1489)))</f>
        <v>007</v>
      </c>
      <c r="P1489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MS-NS-018-26-01007-INV</v>
      </c>
      <c r="Q1489" s="59"/>
      <c r="R1489" s="34" t="s">
        <v>7162</v>
      </c>
      <c r="S1489" s="34" t="s">
        <v>4272</v>
      </c>
      <c r="T1489" s="34">
        <f>+IFERROR(_xlfn.XLOOKUP(Table43[[#This Row],[Column1]],#REF!,#REF!),0)</f>
        <v>0</v>
      </c>
      <c r="U1489" s="50">
        <f>IFERROR(_xlfn.XLOOKUP(Table43[[#This Row],[Column1]],#REF!,#REF!),0)</f>
        <v>0</v>
      </c>
      <c r="V1489" s="39"/>
    </row>
    <row r="1490" spans="1:22" x14ac:dyDescent="0.35">
      <c r="A1490" s="2" t="s">
        <v>5628</v>
      </c>
      <c r="B1490" s="3" t="s">
        <v>4274</v>
      </c>
      <c r="C1490" s="3" t="s">
        <v>9</v>
      </c>
      <c r="D1490" s="3">
        <v>6100</v>
      </c>
      <c r="E1490" s="6" t="s">
        <v>10</v>
      </c>
      <c r="F1490" s="2">
        <v>1</v>
      </c>
      <c r="G1490" s="3">
        <v>2</v>
      </c>
      <c r="H1490" s="3">
        <v>4</v>
      </c>
      <c r="I1490" s="21">
        <f>Table43[[#This Row],[Item Cost]]*Table43[[#This Row],[In Stock]]</f>
        <v>24400</v>
      </c>
      <c r="J1490" s="3" t="s">
        <v>4941</v>
      </c>
      <c r="K1490" s="14" t="s">
        <v>4664</v>
      </c>
      <c r="L1490" s="14" t="s">
        <v>4754</v>
      </c>
      <c r="M1490" s="14" t="s">
        <v>4837</v>
      </c>
      <c r="N1490" s="3" t="s">
        <v>4845</v>
      </c>
      <c r="O1490" s="32" t="str">
        <f>IF(LEN(COUNTIFS($J$1:J1490,$J1490,$K$1:K1490,$K1490,$L$1:L1490,$L1490,$M$1:M1490,M1490,$N$1:N1490,N1490))=1,"00"&amp;COUNTIFS($J$1:J1490,$J1490,$K$1:K1490,$K1490,$L$1:L1490,$L1490,$M$1:M1490,M1490,$N$1:N1490,N1490),IF(LEN(COUNTIFS($J$1:J1490,$J1490,$K$1:K1490,$K1490,$L$1:L1490,$L1490,$M$1:M1490,M1490,$N$1:N1490,N1490))=2,"0"&amp;COUNTIFS($J$1:J1490,$J1490,$K$1:K1490,$K1490,$L$1:L1490,$L1490,$M$1:M1490,M1490,$N$1:N1490,N1490),COUNTIFS($J$1:J1490,$J1490,$K$1:K1490,$K1490,$L$1:L1490,$L1490,$M$1:M1490,M1490,$N$1:N1490,N1490)))</f>
        <v>002</v>
      </c>
      <c r="P1490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MS-CS-018-26-01002-INV</v>
      </c>
      <c r="Q1490" s="59" t="s">
        <v>7346</v>
      </c>
      <c r="R1490" s="34" t="s">
        <v>7163</v>
      </c>
      <c r="S1490" s="34" t="s">
        <v>4274</v>
      </c>
      <c r="T1490" s="34">
        <f>+IFERROR(_xlfn.XLOOKUP(Table43[[#This Row],[Column1]],#REF!,#REF!),0)</f>
        <v>0</v>
      </c>
      <c r="U1490" s="50">
        <f>IFERROR(_xlfn.XLOOKUP(Table43[[#This Row],[Column1]],#REF!,#REF!),0)</f>
        <v>0</v>
      </c>
      <c r="V1490" s="39"/>
    </row>
    <row r="1491" spans="1:22" x14ac:dyDescent="0.35">
      <c r="A1491" s="3" t="s">
        <v>5629</v>
      </c>
      <c r="B1491" s="2" t="s">
        <v>4276</v>
      </c>
      <c r="C1491" s="2" t="s">
        <v>15</v>
      </c>
      <c r="D1491" s="2">
        <v>76.36</v>
      </c>
      <c r="E1491" s="26" t="s">
        <v>10</v>
      </c>
      <c r="F1491" s="2">
        <v>1</v>
      </c>
      <c r="G1491" s="2">
        <v>2</v>
      </c>
      <c r="H1491" s="2">
        <v>10</v>
      </c>
      <c r="I1491" s="22">
        <f>Table43[[#This Row],[Item Cost]]*Table43[[#This Row],[In Stock]]</f>
        <v>763.6</v>
      </c>
      <c r="J1491" s="3" t="s">
        <v>4941</v>
      </c>
      <c r="K1491" s="14" t="s">
        <v>4666</v>
      </c>
      <c r="L1491" s="14" t="s">
        <v>4754</v>
      </c>
      <c r="M1491" s="14" t="s">
        <v>4837</v>
      </c>
      <c r="N1491" s="3" t="s">
        <v>4845</v>
      </c>
      <c r="O1491" s="32" t="str">
        <f>IF(LEN(COUNTIFS($J$1:J1491,$J1491,$K$1:K1491,$K1491,$L$1:L1491,$L1491,$M$1:M1491,M1491,$N$1:N1491,N1491))=1,"00"&amp;COUNTIFS($J$1:J1491,$J1491,$K$1:K1491,$K1491,$L$1:L1491,$L1491,$M$1:M1491,M1491,$N$1:N1491,N1491),IF(LEN(COUNTIFS($J$1:J1491,$J1491,$K$1:K1491,$K1491,$L$1:L1491,$L1491,$M$1:M1491,M1491,$N$1:N1491,N1491))=2,"0"&amp;COUNTIFS($J$1:J1491,$J1491,$K$1:K1491,$K1491,$L$1:L1491,$L1491,$M$1:M1491,M1491,$N$1:N1491,N1491),COUNTIFS($J$1:J1491,$J1491,$K$1:K1491,$K1491,$L$1:L1491,$L1491,$M$1:M1491,M1491,$N$1:N1491,N1491)))</f>
        <v>008</v>
      </c>
      <c r="P1491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MS-NS-018-26-01008-INV</v>
      </c>
      <c r="Q1491" s="59"/>
      <c r="R1491" s="34" t="s">
        <v>7164</v>
      </c>
      <c r="S1491" s="34" t="s">
        <v>4276</v>
      </c>
      <c r="T1491" s="34">
        <f>+IFERROR(_xlfn.XLOOKUP(Table43[[#This Row],[Column1]],#REF!,#REF!),0)</f>
        <v>0</v>
      </c>
      <c r="U1491" s="50">
        <f>IFERROR(_xlfn.XLOOKUP(Table43[[#This Row],[Column1]],#REF!,#REF!),0)</f>
        <v>0</v>
      </c>
      <c r="V1491" s="39"/>
    </row>
    <row r="1492" spans="1:22" x14ac:dyDescent="0.35">
      <c r="A1492" s="3" t="s">
        <v>4277</v>
      </c>
      <c r="B1492" s="3" t="s">
        <v>4278</v>
      </c>
      <c r="C1492" s="3" t="s">
        <v>15</v>
      </c>
      <c r="D1492" s="3">
        <v>0</v>
      </c>
      <c r="E1492" s="6" t="s">
        <v>10</v>
      </c>
      <c r="F1492" s="2">
        <v>1</v>
      </c>
      <c r="G1492" s="2">
        <v>2</v>
      </c>
      <c r="H1492" s="3">
        <v>0</v>
      </c>
      <c r="I1492" s="21">
        <f>Table43[[#This Row],[Item Cost]]*Table43[[#This Row],[In Stock]]</f>
        <v>0</v>
      </c>
      <c r="J1492" s="3" t="s">
        <v>4941</v>
      </c>
      <c r="K1492" s="14" t="s">
        <v>4666</v>
      </c>
      <c r="L1492" s="14" t="s">
        <v>4725</v>
      </c>
      <c r="M1492" s="14" t="s">
        <v>4772</v>
      </c>
      <c r="N1492" s="3" t="s">
        <v>4845</v>
      </c>
      <c r="O1492" s="32" t="str">
        <f>IF(LEN(COUNTIFS($J$1:J1492,$J1492,$K$1:K1492,$K1492,$L$1:L1492,$L1492,$M$1:M1492,M1492,$N$1:N1492,N1492))=1,"00"&amp;COUNTIFS($J$1:J1492,$J1492,$K$1:K1492,$K1492,$L$1:L1492,$L1492,$M$1:M1492,M1492,$N$1:N1492,N1492),IF(LEN(COUNTIFS($J$1:J1492,$J1492,$K$1:K1492,$K1492,$L$1:L1492,$L1492,$M$1:M1492,M1492,$N$1:N1492,N1492))=2,"0"&amp;COUNTIFS($J$1:J1492,$J1492,$K$1:K1492,$K1492,$L$1:L1492,$L1492,$M$1:M1492,M1492,$N$1:N1492,N1492),COUNTIFS($J$1:J1492,$J1492,$K$1:K1492,$K1492,$L$1:L1492,$L1492,$M$1:M1492,M1492,$N$1:N1492,N1492)))</f>
        <v>001</v>
      </c>
      <c r="P1492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MS-NS-026-06-01001-INV</v>
      </c>
      <c r="Q1492" s="59"/>
      <c r="R1492" s="34" t="s">
        <v>7165</v>
      </c>
      <c r="S1492" s="34" t="s">
        <v>4278</v>
      </c>
      <c r="T1492" s="34">
        <f>+IFERROR(_xlfn.XLOOKUP(Table43[[#This Row],[Column1]],#REF!,#REF!),0)</f>
        <v>0</v>
      </c>
      <c r="U1492" s="50">
        <f>IFERROR(_xlfn.XLOOKUP(Table43[[#This Row],[Column1]],#REF!,#REF!),0)</f>
        <v>0</v>
      </c>
      <c r="V1492" s="39"/>
    </row>
    <row r="1493" spans="1:22" x14ac:dyDescent="0.35">
      <c r="A1493" s="3" t="s">
        <v>4279</v>
      </c>
      <c r="B1493" s="2" t="s">
        <v>4280</v>
      </c>
      <c r="C1493" s="2" t="s">
        <v>15</v>
      </c>
      <c r="D1493" s="4">
        <v>0</v>
      </c>
      <c r="E1493" s="26" t="s">
        <v>10</v>
      </c>
      <c r="F1493" s="2">
        <v>1</v>
      </c>
      <c r="G1493" s="2">
        <v>2</v>
      </c>
      <c r="H1493" s="2">
        <v>0</v>
      </c>
      <c r="I1493" s="22">
        <f>Table43[[#This Row],[Item Cost]]*Table43[[#This Row],[In Stock]]</f>
        <v>0</v>
      </c>
      <c r="J1493" s="3" t="s">
        <v>4941</v>
      </c>
      <c r="K1493" s="14" t="s">
        <v>4666</v>
      </c>
      <c r="L1493" s="14" t="s">
        <v>4725</v>
      </c>
      <c r="M1493" s="14" t="s">
        <v>4772</v>
      </c>
      <c r="N1493" s="3" t="s">
        <v>4845</v>
      </c>
      <c r="O1493" s="32" t="str">
        <f>IF(LEN(COUNTIFS($J$1:J1493,$J1493,$K$1:K1493,$K1493,$L$1:L1493,$L1493,$M$1:M1493,M1493,$N$1:N1493,N1493))=1,"00"&amp;COUNTIFS($J$1:J1493,$J1493,$K$1:K1493,$K1493,$L$1:L1493,$L1493,$M$1:M1493,M1493,$N$1:N1493,N1493),IF(LEN(COUNTIFS($J$1:J1493,$J1493,$K$1:K1493,$K1493,$L$1:L1493,$L1493,$M$1:M1493,M1493,$N$1:N1493,N1493))=2,"0"&amp;COUNTIFS($J$1:J1493,$J1493,$K$1:K1493,$K1493,$L$1:L1493,$L1493,$M$1:M1493,M1493,$N$1:N1493,N1493),COUNTIFS($J$1:J1493,$J1493,$K$1:K1493,$K1493,$L$1:L1493,$L1493,$M$1:M1493,M1493,$N$1:N1493,N1493)))</f>
        <v>002</v>
      </c>
      <c r="P1493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MS-NS-026-06-01002-INV</v>
      </c>
      <c r="Q1493" s="59"/>
      <c r="R1493" s="34" t="s">
        <v>7166</v>
      </c>
      <c r="S1493" s="34" t="s">
        <v>4280</v>
      </c>
      <c r="T1493" s="34">
        <f>+IFERROR(_xlfn.XLOOKUP(Table43[[#This Row],[Column1]],#REF!,#REF!),0)</f>
        <v>0</v>
      </c>
      <c r="U1493" s="50">
        <f>IFERROR(_xlfn.XLOOKUP(Table43[[#This Row],[Column1]],#REF!,#REF!),0)</f>
        <v>0</v>
      </c>
      <c r="V1493" s="39"/>
    </row>
    <row r="1494" spans="1:22" x14ac:dyDescent="0.35">
      <c r="A1494" s="3" t="s">
        <v>5630</v>
      </c>
      <c r="B1494" s="3" t="s">
        <v>4282</v>
      </c>
      <c r="C1494" s="3" t="s">
        <v>15</v>
      </c>
      <c r="D1494" s="3">
        <v>0</v>
      </c>
      <c r="E1494" s="6" t="s">
        <v>10</v>
      </c>
      <c r="F1494" s="2">
        <v>1</v>
      </c>
      <c r="G1494" s="2">
        <v>2</v>
      </c>
      <c r="H1494" s="3">
        <v>0</v>
      </c>
      <c r="I1494" s="21">
        <f>Table43[[#This Row],[Item Cost]]*Table43[[#This Row],[In Stock]]</f>
        <v>0</v>
      </c>
      <c r="J1494" s="3" t="s">
        <v>4941</v>
      </c>
      <c r="K1494" s="14" t="s">
        <v>4666</v>
      </c>
      <c r="L1494" s="14" t="s">
        <v>4725</v>
      </c>
      <c r="M1494" s="14" t="s">
        <v>4772</v>
      </c>
      <c r="N1494" s="3" t="s">
        <v>4845</v>
      </c>
      <c r="O1494" s="32" t="str">
        <f>IF(LEN(COUNTIFS($J$1:J1494,$J1494,$K$1:K1494,$K1494,$L$1:L1494,$L1494,$M$1:M1494,M1494,$N$1:N1494,N1494))=1,"00"&amp;COUNTIFS($J$1:J1494,$J1494,$K$1:K1494,$K1494,$L$1:L1494,$L1494,$M$1:M1494,M1494,$N$1:N1494,N1494),IF(LEN(COUNTIFS($J$1:J1494,$J1494,$K$1:K1494,$K1494,$L$1:L1494,$L1494,$M$1:M1494,M1494,$N$1:N1494,N1494))=2,"0"&amp;COUNTIFS($J$1:J1494,$J1494,$K$1:K1494,$K1494,$L$1:L1494,$L1494,$M$1:M1494,M1494,$N$1:N1494,N1494),COUNTIFS($J$1:J1494,$J1494,$K$1:K1494,$K1494,$L$1:L1494,$L1494,$M$1:M1494,M1494,$N$1:N1494,N1494)))</f>
        <v>003</v>
      </c>
      <c r="P1494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MS-NS-026-06-01003-INV</v>
      </c>
      <c r="Q1494" s="59"/>
      <c r="R1494" s="34"/>
      <c r="S1494" s="34">
        <v>0</v>
      </c>
      <c r="T1494" s="34">
        <f>+IFERROR(_xlfn.XLOOKUP(Table43[[#This Row],[Column1]],#REF!,#REF!),0)</f>
        <v>0</v>
      </c>
      <c r="U1494" s="50">
        <f>IFERROR(_xlfn.XLOOKUP(Table43[[#This Row],[Column1]],#REF!,#REF!),0)</f>
        <v>0</v>
      </c>
      <c r="V1494" s="39"/>
    </row>
    <row r="1495" spans="1:22" x14ac:dyDescent="0.35">
      <c r="A1495" s="3" t="s">
        <v>4281</v>
      </c>
      <c r="B1495" s="2" t="s">
        <v>4284</v>
      </c>
      <c r="C1495" s="2" t="s">
        <v>15</v>
      </c>
      <c r="D1495" s="2">
        <v>0</v>
      </c>
      <c r="E1495" s="26" t="s">
        <v>10</v>
      </c>
      <c r="F1495" s="2">
        <v>1</v>
      </c>
      <c r="G1495" s="2">
        <v>2</v>
      </c>
      <c r="H1495" s="2">
        <v>0</v>
      </c>
      <c r="I1495" s="22">
        <f>Table43[[#This Row],[Item Cost]]*Table43[[#This Row],[In Stock]]</f>
        <v>0</v>
      </c>
      <c r="J1495" s="3" t="s">
        <v>4941</v>
      </c>
      <c r="K1495" s="14" t="s">
        <v>4666</v>
      </c>
      <c r="L1495" s="14" t="s">
        <v>4725</v>
      </c>
      <c r="M1495" s="14" t="s">
        <v>4770</v>
      </c>
      <c r="N1495" s="3" t="s">
        <v>4845</v>
      </c>
      <c r="O1495" s="32" t="str">
        <f>IF(LEN(COUNTIFS($J$1:J1495,$J1495,$K$1:K1495,$K1495,$L$1:L1495,$L1495,$M$1:M1495,M1495,$N$1:N1495,N1495))=1,"00"&amp;COUNTIFS($J$1:J1495,$J1495,$K$1:K1495,$K1495,$L$1:L1495,$L1495,$M$1:M1495,M1495,$N$1:N1495,N1495),IF(LEN(COUNTIFS($J$1:J1495,$J1495,$K$1:K1495,$K1495,$L$1:L1495,$L1495,$M$1:M1495,M1495,$N$1:N1495,N1495))=2,"0"&amp;COUNTIFS($J$1:J1495,$J1495,$K$1:K1495,$K1495,$L$1:L1495,$L1495,$M$1:M1495,M1495,$N$1:N1495,N1495),COUNTIFS($J$1:J1495,$J1495,$K$1:K1495,$K1495,$L$1:L1495,$L1495,$M$1:M1495,M1495,$N$1:N1495,N1495)))</f>
        <v>001</v>
      </c>
      <c r="P1495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MS-NS-026-04-01001-INV</v>
      </c>
      <c r="Q1495" s="59"/>
      <c r="R1495" s="49" t="s">
        <v>5699</v>
      </c>
      <c r="S1495" s="34" t="s">
        <v>5740</v>
      </c>
      <c r="T1495" s="34">
        <f>+IFERROR(_xlfn.XLOOKUP(Table43[[#This Row],[Column1]],#REF!,#REF!),0)</f>
        <v>0</v>
      </c>
      <c r="U1495" s="50">
        <f>IFERROR(_xlfn.XLOOKUP(Table43[[#This Row],[Column1]],#REF!,#REF!),0)</f>
        <v>0</v>
      </c>
      <c r="V1495" s="39"/>
    </row>
    <row r="1496" spans="1:22" x14ac:dyDescent="0.35">
      <c r="A1496" s="3" t="s">
        <v>4283</v>
      </c>
      <c r="B1496" s="3" t="s">
        <v>4286</v>
      </c>
      <c r="C1496" s="3" t="s">
        <v>15</v>
      </c>
      <c r="D1496" s="3">
        <v>0</v>
      </c>
      <c r="E1496" s="6" t="s">
        <v>10</v>
      </c>
      <c r="F1496" s="2">
        <v>1</v>
      </c>
      <c r="G1496" s="2">
        <v>2</v>
      </c>
      <c r="H1496" s="3">
        <v>0</v>
      </c>
      <c r="I1496" s="21">
        <f>Table43[[#This Row],[Item Cost]]*Table43[[#This Row],[In Stock]]</f>
        <v>0</v>
      </c>
      <c r="J1496" s="3" t="s">
        <v>4941</v>
      </c>
      <c r="K1496" s="14" t="s">
        <v>4666</v>
      </c>
      <c r="L1496" s="14" t="s">
        <v>4725</v>
      </c>
      <c r="M1496" s="14" t="s">
        <v>3950</v>
      </c>
      <c r="N1496" s="3" t="s">
        <v>4845</v>
      </c>
      <c r="O1496" s="32" t="str">
        <f>IF(LEN(COUNTIFS($J$1:J1496,$J1496,$K$1:K1496,$K1496,$L$1:L1496,$L1496,$M$1:M1496,M1496,$N$1:N1496,N1496))=1,"00"&amp;COUNTIFS($J$1:J1496,$J1496,$K$1:K1496,$K1496,$L$1:L1496,$L1496,$M$1:M1496,M1496,$N$1:N1496,N1496),IF(LEN(COUNTIFS($J$1:J1496,$J1496,$K$1:K1496,$K1496,$L$1:L1496,$L1496,$M$1:M1496,M1496,$N$1:N1496,N1496))=2,"0"&amp;COUNTIFS($J$1:J1496,$J1496,$K$1:K1496,$K1496,$L$1:L1496,$L1496,$M$1:M1496,M1496,$N$1:N1496,N1496),COUNTIFS($J$1:J1496,$J1496,$K$1:K1496,$K1496,$L$1:L1496,$L1496,$M$1:M1496,M1496,$N$1:N1496,N1496)))</f>
        <v>001</v>
      </c>
      <c r="P1496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MS-NS-026-22-01001-INV</v>
      </c>
      <c r="Q1496" s="59" t="s">
        <v>7397</v>
      </c>
      <c r="R1496" s="49" t="s">
        <v>5700</v>
      </c>
      <c r="S1496" s="34" t="s">
        <v>5741</v>
      </c>
      <c r="T1496" s="34">
        <f>+IFERROR(_xlfn.XLOOKUP(Table43[[#This Row],[Column1]],#REF!,#REF!),0)</f>
        <v>0</v>
      </c>
      <c r="U1496" s="50">
        <f>IFERROR(_xlfn.XLOOKUP(Table43[[#This Row],[Column1]],#REF!,#REF!),0)</f>
        <v>0</v>
      </c>
      <c r="V1496" s="39"/>
    </row>
    <row r="1497" spans="1:22" x14ac:dyDescent="0.35">
      <c r="A1497" s="3" t="s">
        <v>4285</v>
      </c>
      <c r="B1497" s="2" t="s">
        <v>4288</v>
      </c>
      <c r="C1497" s="2" t="s">
        <v>15</v>
      </c>
      <c r="D1497" s="2">
        <v>0</v>
      </c>
      <c r="E1497" s="26" t="s">
        <v>10</v>
      </c>
      <c r="F1497" s="2">
        <v>1</v>
      </c>
      <c r="G1497" s="2">
        <v>2</v>
      </c>
      <c r="H1497" s="2">
        <v>0</v>
      </c>
      <c r="I1497" s="22">
        <f>Table43[[#This Row],[Item Cost]]*Table43[[#This Row],[In Stock]]</f>
        <v>0</v>
      </c>
      <c r="J1497" s="3" t="s">
        <v>4941</v>
      </c>
      <c r="K1497" s="14" t="s">
        <v>4666</v>
      </c>
      <c r="L1497" s="14" t="s">
        <v>4725</v>
      </c>
      <c r="M1497" s="14" t="s">
        <v>4770</v>
      </c>
      <c r="N1497" s="3" t="s">
        <v>4845</v>
      </c>
      <c r="O1497" s="32" t="str">
        <f>IF(LEN(COUNTIFS($J$1:J1497,$J1497,$K$1:K1497,$K1497,$L$1:L1497,$L1497,$M$1:M1497,M1497,$N$1:N1497,N1497))=1,"00"&amp;COUNTIFS($J$1:J1497,$J1497,$K$1:K1497,$K1497,$L$1:L1497,$L1497,$M$1:M1497,M1497,$N$1:N1497,N1497),IF(LEN(COUNTIFS($J$1:J1497,$J1497,$K$1:K1497,$K1497,$L$1:L1497,$L1497,$M$1:M1497,M1497,$N$1:N1497,N1497))=2,"0"&amp;COUNTIFS($J$1:J1497,$J1497,$K$1:K1497,$K1497,$L$1:L1497,$L1497,$M$1:M1497,M1497,$N$1:N1497,N1497),COUNTIFS($J$1:J1497,$J1497,$K$1:K1497,$K1497,$L$1:L1497,$L1497,$M$1:M1497,M1497,$N$1:N1497,N1497)))</f>
        <v>002</v>
      </c>
      <c r="P1497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MS-NS-026-04-01002-INV</v>
      </c>
      <c r="Q1497" s="59"/>
      <c r="R1497" s="34" t="s">
        <v>7167</v>
      </c>
      <c r="S1497" s="34" t="s">
        <v>4288</v>
      </c>
      <c r="T1497" s="34">
        <f>+IFERROR(_xlfn.XLOOKUP(Table43[[#This Row],[Column1]],#REF!,#REF!),0)</f>
        <v>0</v>
      </c>
      <c r="U1497" s="50">
        <f>IFERROR(_xlfn.XLOOKUP(Table43[[#This Row],[Column1]],#REF!,#REF!),0)</f>
        <v>0</v>
      </c>
      <c r="V1497" s="39"/>
    </row>
    <row r="1498" spans="1:22" x14ac:dyDescent="0.35">
      <c r="A1498" s="3" t="s">
        <v>4287</v>
      </c>
      <c r="B1498" s="3" t="s">
        <v>4290</v>
      </c>
      <c r="C1498" s="3" t="s">
        <v>15</v>
      </c>
      <c r="D1498" s="3">
        <v>0</v>
      </c>
      <c r="E1498" s="6" t="s">
        <v>10</v>
      </c>
      <c r="F1498" s="2">
        <v>1</v>
      </c>
      <c r="G1498" s="2">
        <v>2</v>
      </c>
      <c r="H1498" s="3">
        <v>0</v>
      </c>
      <c r="I1498" s="21">
        <f>Table43[[#This Row],[Item Cost]]*Table43[[#This Row],[In Stock]]</f>
        <v>0</v>
      </c>
      <c r="J1498" s="3" t="s">
        <v>4941</v>
      </c>
      <c r="K1498" s="14" t="s">
        <v>4666</v>
      </c>
      <c r="L1498" s="14" t="s">
        <v>4725</v>
      </c>
      <c r="M1498" s="14" t="s">
        <v>4770</v>
      </c>
      <c r="N1498" s="3" t="s">
        <v>4845</v>
      </c>
      <c r="O1498" s="32" t="str">
        <f>IF(LEN(COUNTIFS($J$1:J1498,$J1498,$K$1:K1498,$K1498,$L$1:L1498,$L1498,$M$1:M1498,M1498,$N$1:N1498,N1498))=1,"00"&amp;COUNTIFS($J$1:J1498,$J1498,$K$1:K1498,$K1498,$L$1:L1498,$L1498,$M$1:M1498,M1498,$N$1:N1498,N1498),IF(LEN(COUNTIFS($J$1:J1498,$J1498,$K$1:K1498,$K1498,$L$1:L1498,$L1498,$M$1:M1498,M1498,$N$1:N1498,N1498))=2,"0"&amp;COUNTIFS($J$1:J1498,$J1498,$K$1:K1498,$K1498,$L$1:L1498,$L1498,$M$1:M1498,M1498,$N$1:N1498,N1498),COUNTIFS($J$1:J1498,$J1498,$K$1:K1498,$K1498,$L$1:L1498,$L1498,$M$1:M1498,M1498,$N$1:N1498,N1498)))</f>
        <v>003</v>
      </c>
      <c r="P1498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MS-NS-026-04-01003-INV</v>
      </c>
      <c r="Q1498" s="59"/>
      <c r="R1498" s="49" t="s">
        <v>5708</v>
      </c>
      <c r="S1498" s="34" t="s">
        <v>5742</v>
      </c>
      <c r="T1498" s="34">
        <f>+IFERROR(_xlfn.XLOOKUP(Table43[[#This Row],[Column1]],#REF!,#REF!),0)</f>
        <v>0</v>
      </c>
      <c r="U1498" s="50">
        <f>IFERROR(_xlfn.XLOOKUP(Table43[[#This Row],[Column1]],#REF!,#REF!),0)</f>
        <v>0</v>
      </c>
      <c r="V1498" s="39"/>
    </row>
    <row r="1499" spans="1:22" x14ac:dyDescent="0.35">
      <c r="A1499" s="3" t="s">
        <v>4289</v>
      </c>
      <c r="B1499" s="2" t="s">
        <v>4292</v>
      </c>
      <c r="C1499" s="2" t="s">
        <v>15</v>
      </c>
      <c r="D1499" s="2">
        <v>0</v>
      </c>
      <c r="E1499" s="26" t="s">
        <v>10</v>
      </c>
      <c r="F1499" s="2">
        <v>1</v>
      </c>
      <c r="G1499" s="2">
        <v>2</v>
      </c>
      <c r="H1499" s="2">
        <v>0</v>
      </c>
      <c r="I1499" s="22">
        <f>Table43[[#This Row],[Item Cost]]*Table43[[#This Row],[In Stock]]</f>
        <v>0</v>
      </c>
      <c r="J1499" s="3" t="s">
        <v>4941</v>
      </c>
      <c r="K1499" s="14" t="s">
        <v>4666</v>
      </c>
      <c r="L1499" s="14" t="s">
        <v>4725</v>
      </c>
      <c r="M1499" s="14" t="s">
        <v>4770</v>
      </c>
      <c r="N1499" s="3" t="s">
        <v>4845</v>
      </c>
      <c r="O1499" s="32" t="str">
        <f>IF(LEN(COUNTIFS($J$1:J1499,$J1499,$K$1:K1499,$K1499,$L$1:L1499,$L1499,$M$1:M1499,M1499,$N$1:N1499,N1499))=1,"00"&amp;COUNTIFS($J$1:J1499,$J1499,$K$1:K1499,$K1499,$L$1:L1499,$L1499,$M$1:M1499,M1499,$N$1:N1499,N1499),IF(LEN(COUNTIFS($J$1:J1499,$J1499,$K$1:K1499,$K1499,$L$1:L1499,$L1499,$M$1:M1499,M1499,$N$1:N1499,N1499))=2,"0"&amp;COUNTIFS($J$1:J1499,$J1499,$K$1:K1499,$K1499,$L$1:L1499,$L1499,$M$1:M1499,M1499,$N$1:N1499,N1499),COUNTIFS($J$1:J1499,$J1499,$K$1:K1499,$K1499,$L$1:L1499,$L1499,$M$1:M1499,M1499,$N$1:N1499,N1499)))</f>
        <v>004</v>
      </c>
      <c r="P1499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MS-NS-026-04-01004-INV</v>
      </c>
      <c r="Q1499" s="59"/>
      <c r="R1499" s="49" t="s">
        <v>5709</v>
      </c>
      <c r="S1499" s="34" t="s">
        <v>5743</v>
      </c>
      <c r="T1499" s="34">
        <f>+IFERROR(_xlfn.XLOOKUP(Table43[[#This Row],[Column1]],#REF!,#REF!),0)</f>
        <v>0</v>
      </c>
      <c r="U1499" s="50">
        <f>IFERROR(_xlfn.XLOOKUP(Table43[[#This Row],[Column1]],#REF!,#REF!),0)</f>
        <v>0</v>
      </c>
      <c r="V1499" s="39"/>
    </row>
    <row r="1500" spans="1:22" x14ac:dyDescent="0.35">
      <c r="A1500" s="3" t="s">
        <v>4291</v>
      </c>
      <c r="B1500" s="3" t="s">
        <v>4294</v>
      </c>
      <c r="C1500" s="3" t="s">
        <v>15</v>
      </c>
      <c r="D1500" s="3">
        <v>0</v>
      </c>
      <c r="E1500" s="6" t="s">
        <v>10</v>
      </c>
      <c r="F1500" s="2">
        <v>1</v>
      </c>
      <c r="G1500" s="2">
        <v>2</v>
      </c>
      <c r="H1500" s="3">
        <v>0</v>
      </c>
      <c r="I1500" s="21">
        <f>Table43[[#This Row],[Item Cost]]*Table43[[#This Row],[In Stock]]</f>
        <v>0</v>
      </c>
      <c r="J1500" s="3" t="s">
        <v>4941</v>
      </c>
      <c r="K1500" s="14" t="s">
        <v>4666</v>
      </c>
      <c r="L1500" s="14" t="s">
        <v>4725</v>
      </c>
      <c r="M1500" s="14" t="s">
        <v>4837</v>
      </c>
      <c r="N1500" s="3" t="s">
        <v>4845</v>
      </c>
      <c r="O1500" s="32" t="str">
        <f>IF(LEN(COUNTIFS($J$1:J1500,$J1500,$K$1:K1500,$K1500,$L$1:L1500,$L1500,$M$1:M1500,M1500,$N$1:N1500,N1500))=1,"00"&amp;COUNTIFS($J$1:J1500,$J1500,$K$1:K1500,$K1500,$L$1:L1500,$L1500,$M$1:M1500,M1500,$N$1:N1500,N1500),IF(LEN(COUNTIFS($J$1:J1500,$J1500,$K$1:K1500,$K1500,$L$1:L1500,$L1500,$M$1:M1500,M1500,$N$1:N1500,N1500))=2,"0"&amp;COUNTIFS($J$1:J1500,$J1500,$K$1:K1500,$K1500,$L$1:L1500,$L1500,$M$1:M1500,M1500,$N$1:N1500,N1500),COUNTIFS($J$1:J1500,$J1500,$K$1:K1500,$K1500,$L$1:L1500,$L1500,$M$1:M1500,M1500,$N$1:N1500,N1500)))</f>
        <v>001</v>
      </c>
      <c r="P1500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MS-NS-026-26-01001-INV</v>
      </c>
      <c r="Q1500" s="59"/>
      <c r="R1500" s="34" t="s">
        <v>7168</v>
      </c>
      <c r="S1500" s="34" t="s">
        <v>4294</v>
      </c>
      <c r="T1500" s="34">
        <f>+IFERROR(_xlfn.XLOOKUP(Table43[[#This Row],[Column1]],#REF!,#REF!),0)</f>
        <v>0</v>
      </c>
      <c r="U1500" s="50">
        <f>IFERROR(_xlfn.XLOOKUP(Table43[[#This Row],[Column1]],#REF!,#REF!),0)</f>
        <v>0</v>
      </c>
      <c r="V1500" s="39"/>
    </row>
    <row r="1501" spans="1:22" x14ac:dyDescent="0.35">
      <c r="A1501" s="3" t="s">
        <v>4293</v>
      </c>
      <c r="B1501" s="2" t="s">
        <v>4296</v>
      </c>
      <c r="C1501" s="2" t="s">
        <v>15</v>
      </c>
      <c r="D1501" s="2">
        <v>0</v>
      </c>
      <c r="E1501" s="26" t="s">
        <v>10</v>
      </c>
      <c r="F1501" s="2">
        <v>1</v>
      </c>
      <c r="G1501" s="2">
        <v>2</v>
      </c>
      <c r="H1501" s="2">
        <v>0</v>
      </c>
      <c r="I1501" s="22">
        <f>Table43[[#This Row],[Item Cost]]*Table43[[#This Row],[In Stock]]</f>
        <v>0</v>
      </c>
      <c r="J1501" s="3" t="s">
        <v>4941</v>
      </c>
      <c r="K1501" s="14" t="s">
        <v>4666</v>
      </c>
      <c r="L1501" s="14" t="s">
        <v>4725</v>
      </c>
      <c r="M1501" s="14" t="s">
        <v>4837</v>
      </c>
      <c r="N1501" s="3" t="s">
        <v>4845</v>
      </c>
      <c r="O1501" s="32" t="str">
        <f>IF(LEN(COUNTIFS($J$1:J1501,$J1501,$K$1:K1501,$K1501,$L$1:L1501,$L1501,$M$1:M1501,M1501,$N$1:N1501,N1501))=1,"00"&amp;COUNTIFS($J$1:J1501,$J1501,$K$1:K1501,$K1501,$L$1:L1501,$L1501,$M$1:M1501,M1501,$N$1:N1501,N1501),IF(LEN(COUNTIFS($J$1:J1501,$J1501,$K$1:K1501,$K1501,$L$1:L1501,$L1501,$M$1:M1501,M1501,$N$1:N1501,N1501))=2,"0"&amp;COUNTIFS($J$1:J1501,$J1501,$K$1:K1501,$K1501,$L$1:L1501,$L1501,$M$1:M1501,M1501,$N$1:N1501,N1501),COUNTIFS($J$1:J1501,$J1501,$K$1:K1501,$K1501,$L$1:L1501,$L1501,$M$1:M1501,M1501,$N$1:N1501,N1501)))</f>
        <v>002</v>
      </c>
      <c r="P1501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MS-NS-026-26-01002-INV</v>
      </c>
      <c r="Q1501" s="59"/>
      <c r="R1501" s="34" t="s">
        <v>7169</v>
      </c>
      <c r="S1501" s="34" t="s">
        <v>4296</v>
      </c>
      <c r="T1501" s="34">
        <f>+IFERROR(_xlfn.XLOOKUP(Table43[[#This Row],[Column1]],#REF!,#REF!),0)</f>
        <v>0</v>
      </c>
      <c r="U1501" s="50">
        <f>IFERROR(_xlfn.XLOOKUP(Table43[[#This Row],[Column1]],#REF!,#REF!),0)</f>
        <v>0</v>
      </c>
      <c r="V1501" s="39"/>
    </row>
    <row r="1502" spans="1:22" x14ac:dyDescent="0.35">
      <c r="A1502" s="3" t="s">
        <v>4295</v>
      </c>
      <c r="B1502" s="3" t="s">
        <v>4298</v>
      </c>
      <c r="C1502" s="3" t="s">
        <v>15</v>
      </c>
      <c r="D1502" s="3">
        <v>0</v>
      </c>
      <c r="E1502" s="6" t="s">
        <v>10</v>
      </c>
      <c r="F1502" s="2">
        <v>1</v>
      </c>
      <c r="G1502" s="2">
        <v>2</v>
      </c>
      <c r="H1502" s="3">
        <v>0</v>
      </c>
      <c r="I1502" s="21">
        <f>Table43[[#This Row],[Item Cost]]*Table43[[#This Row],[In Stock]]</f>
        <v>0</v>
      </c>
      <c r="J1502" s="3" t="s">
        <v>4941</v>
      </c>
      <c r="K1502" s="14" t="s">
        <v>4666</v>
      </c>
      <c r="L1502" s="14" t="s">
        <v>4725</v>
      </c>
      <c r="M1502" s="14" t="s">
        <v>4837</v>
      </c>
      <c r="N1502" s="3" t="s">
        <v>4845</v>
      </c>
      <c r="O1502" s="32" t="str">
        <f>IF(LEN(COUNTIFS($J$1:J1502,$J1502,$K$1:K1502,$K1502,$L$1:L1502,$L1502,$M$1:M1502,M1502,$N$1:N1502,N1502))=1,"00"&amp;COUNTIFS($J$1:J1502,$J1502,$K$1:K1502,$K1502,$L$1:L1502,$L1502,$M$1:M1502,M1502,$N$1:N1502,N1502),IF(LEN(COUNTIFS($J$1:J1502,$J1502,$K$1:K1502,$K1502,$L$1:L1502,$L1502,$M$1:M1502,M1502,$N$1:N1502,N1502))=2,"0"&amp;COUNTIFS($J$1:J1502,$J1502,$K$1:K1502,$K1502,$L$1:L1502,$L1502,$M$1:M1502,M1502,$N$1:N1502,N1502),COUNTIFS($J$1:J1502,$J1502,$K$1:K1502,$K1502,$L$1:L1502,$L1502,$M$1:M1502,M1502,$N$1:N1502,N1502)))</f>
        <v>003</v>
      </c>
      <c r="P1502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MS-NS-026-26-01003-INV</v>
      </c>
      <c r="Q1502" s="59"/>
      <c r="R1502" s="34" t="s">
        <v>7170</v>
      </c>
      <c r="S1502" s="34" t="s">
        <v>4298</v>
      </c>
      <c r="T1502" s="34">
        <f>+IFERROR(_xlfn.XLOOKUP(Table43[[#This Row],[Column1]],#REF!,#REF!),0)</f>
        <v>0</v>
      </c>
      <c r="U1502" s="50">
        <f>IFERROR(_xlfn.XLOOKUP(Table43[[#This Row],[Column1]],#REF!,#REF!),0)</f>
        <v>0</v>
      </c>
      <c r="V1502" s="39"/>
    </row>
    <row r="1503" spans="1:22" x14ac:dyDescent="0.35">
      <c r="A1503" s="3" t="s">
        <v>4297</v>
      </c>
      <c r="B1503" s="2" t="s">
        <v>4300</v>
      </c>
      <c r="C1503" s="2" t="s">
        <v>15</v>
      </c>
      <c r="D1503" s="2">
        <v>0</v>
      </c>
      <c r="E1503" s="26" t="s">
        <v>10</v>
      </c>
      <c r="F1503" s="2">
        <v>1</v>
      </c>
      <c r="G1503" s="2">
        <v>2</v>
      </c>
      <c r="H1503" s="2">
        <v>0</v>
      </c>
      <c r="I1503" s="22">
        <f>Table43[[#This Row],[Item Cost]]*Table43[[#This Row],[In Stock]]</f>
        <v>0</v>
      </c>
      <c r="J1503" s="3" t="s">
        <v>4941</v>
      </c>
      <c r="K1503" s="14" t="s">
        <v>4666</v>
      </c>
      <c r="L1503" s="14" t="s">
        <v>4725</v>
      </c>
      <c r="M1503" s="14" t="s">
        <v>4837</v>
      </c>
      <c r="N1503" s="3" t="s">
        <v>4845</v>
      </c>
      <c r="O1503" s="32" t="str">
        <f>IF(LEN(COUNTIFS($J$1:J1503,$J1503,$K$1:K1503,$K1503,$L$1:L1503,$L1503,$M$1:M1503,M1503,$N$1:N1503,N1503))=1,"00"&amp;COUNTIFS($J$1:J1503,$J1503,$K$1:K1503,$K1503,$L$1:L1503,$L1503,$M$1:M1503,M1503,$N$1:N1503,N1503),IF(LEN(COUNTIFS($J$1:J1503,$J1503,$K$1:K1503,$K1503,$L$1:L1503,$L1503,$M$1:M1503,M1503,$N$1:N1503,N1503))=2,"0"&amp;COUNTIFS($J$1:J1503,$J1503,$K$1:K1503,$K1503,$L$1:L1503,$L1503,$M$1:M1503,M1503,$N$1:N1503,N1503),COUNTIFS($J$1:J1503,$J1503,$K$1:K1503,$K1503,$L$1:L1503,$L1503,$M$1:M1503,M1503,$N$1:N1503,N1503)))</f>
        <v>004</v>
      </c>
      <c r="P1503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MS-NS-026-26-01004-INV</v>
      </c>
      <c r="Q1503" s="59"/>
      <c r="R1503" s="34" t="s">
        <v>7171</v>
      </c>
      <c r="S1503" s="34" t="s">
        <v>4300</v>
      </c>
      <c r="T1503" s="34">
        <f>+IFERROR(_xlfn.XLOOKUP(Table43[[#This Row],[Column1]],#REF!,#REF!),0)</f>
        <v>0</v>
      </c>
      <c r="U1503" s="50">
        <f>IFERROR(_xlfn.XLOOKUP(Table43[[#This Row],[Column1]],#REF!,#REF!),0)</f>
        <v>0</v>
      </c>
      <c r="V1503" s="39"/>
    </row>
    <row r="1504" spans="1:22" x14ac:dyDescent="0.35">
      <c r="A1504" s="3" t="s">
        <v>4299</v>
      </c>
      <c r="B1504" s="3" t="s">
        <v>4302</v>
      </c>
      <c r="C1504" s="3" t="s">
        <v>15</v>
      </c>
      <c r="D1504" s="3">
        <v>0</v>
      </c>
      <c r="E1504" s="6" t="s">
        <v>10</v>
      </c>
      <c r="F1504" s="2">
        <v>1</v>
      </c>
      <c r="G1504" s="2">
        <v>2</v>
      </c>
      <c r="H1504" s="3">
        <v>0</v>
      </c>
      <c r="I1504" s="21">
        <f>Table43[[#This Row],[Item Cost]]*Table43[[#This Row],[In Stock]]</f>
        <v>0</v>
      </c>
      <c r="J1504" s="3" t="s">
        <v>4941</v>
      </c>
      <c r="K1504" s="14" t="s">
        <v>4666</v>
      </c>
      <c r="L1504" s="14" t="s">
        <v>4725</v>
      </c>
      <c r="M1504" s="14" t="s">
        <v>4837</v>
      </c>
      <c r="N1504" s="3" t="s">
        <v>4845</v>
      </c>
      <c r="O1504" s="32" t="str">
        <f>IF(LEN(COUNTIFS($J$1:J1504,$J1504,$K$1:K1504,$K1504,$L$1:L1504,$L1504,$M$1:M1504,M1504,$N$1:N1504,N1504))=1,"00"&amp;COUNTIFS($J$1:J1504,$J1504,$K$1:K1504,$K1504,$L$1:L1504,$L1504,$M$1:M1504,M1504,$N$1:N1504,N1504),IF(LEN(COUNTIFS($J$1:J1504,$J1504,$K$1:K1504,$K1504,$L$1:L1504,$L1504,$M$1:M1504,M1504,$N$1:N1504,N1504))=2,"0"&amp;COUNTIFS($J$1:J1504,$J1504,$K$1:K1504,$K1504,$L$1:L1504,$L1504,$M$1:M1504,M1504,$N$1:N1504,N1504),COUNTIFS($J$1:J1504,$J1504,$K$1:K1504,$K1504,$L$1:L1504,$L1504,$M$1:M1504,M1504,$N$1:N1504,N1504)))</f>
        <v>005</v>
      </c>
      <c r="P1504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MS-NS-026-26-01005-INV</v>
      </c>
      <c r="Q1504" s="59"/>
      <c r="R1504" s="34" t="s">
        <v>7172</v>
      </c>
      <c r="S1504" s="34" t="s">
        <v>4302</v>
      </c>
      <c r="T1504" s="34">
        <f>+IFERROR(_xlfn.XLOOKUP(Table43[[#This Row],[Column1]],#REF!,#REF!),0)</f>
        <v>0</v>
      </c>
      <c r="U1504" s="50">
        <f>IFERROR(_xlfn.XLOOKUP(Table43[[#This Row],[Column1]],#REF!,#REF!),0)</f>
        <v>0</v>
      </c>
      <c r="V1504" s="39"/>
    </row>
    <row r="1505" spans="1:22" x14ac:dyDescent="0.35">
      <c r="A1505" s="3" t="s">
        <v>4301</v>
      </c>
      <c r="B1505" s="2" t="s">
        <v>4304</v>
      </c>
      <c r="C1505" s="2" t="s">
        <v>15</v>
      </c>
      <c r="D1505" s="2">
        <v>0</v>
      </c>
      <c r="E1505" s="26" t="s">
        <v>10</v>
      </c>
      <c r="F1505" s="2">
        <v>1</v>
      </c>
      <c r="G1505" s="2">
        <v>2</v>
      </c>
      <c r="H1505" s="2">
        <v>0</v>
      </c>
      <c r="I1505" s="22">
        <f>Table43[[#This Row],[Item Cost]]*Table43[[#This Row],[In Stock]]</f>
        <v>0</v>
      </c>
      <c r="J1505" s="3" t="s">
        <v>4941</v>
      </c>
      <c r="K1505" s="14" t="s">
        <v>4666</v>
      </c>
      <c r="L1505" s="14" t="s">
        <v>4725</v>
      </c>
      <c r="M1505" s="14" t="s">
        <v>4837</v>
      </c>
      <c r="N1505" s="3" t="s">
        <v>4845</v>
      </c>
      <c r="O1505" s="32" t="str">
        <f>IF(LEN(COUNTIFS($J$1:J1505,$J1505,$K$1:K1505,$K1505,$L$1:L1505,$L1505,$M$1:M1505,M1505,$N$1:N1505,N1505))=1,"00"&amp;COUNTIFS($J$1:J1505,$J1505,$K$1:K1505,$K1505,$L$1:L1505,$L1505,$M$1:M1505,M1505,$N$1:N1505,N1505),IF(LEN(COUNTIFS($J$1:J1505,$J1505,$K$1:K1505,$K1505,$L$1:L1505,$L1505,$M$1:M1505,M1505,$N$1:N1505,N1505))=2,"0"&amp;COUNTIFS($J$1:J1505,$J1505,$K$1:K1505,$K1505,$L$1:L1505,$L1505,$M$1:M1505,M1505,$N$1:N1505,N1505),COUNTIFS($J$1:J1505,$J1505,$K$1:K1505,$K1505,$L$1:L1505,$L1505,$M$1:M1505,M1505,$N$1:N1505,N1505)))</f>
        <v>006</v>
      </c>
      <c r="P1505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MS-NS-026-26-01006-INV</v>
      </c>
      <c r="Q1505" s="59"/>
      <c r="R1505" s="34" t="s">
        <v>7173</v>
      </c>
      <c r="S1505" s="34" t="s">
        <v>4304</v>
      </c>
      <c r="T1505" s="34">
        <f>+IFERROR(_xlfn.XLOOKUP(Table43[[#This Row],[Column1]],#REF!,#REF!),0)</f>
        <v>0</v>
      </c>
      <c r="U1505" s="50">
        <f>IFERROR(_xlfn.XLOOKUP(Table43[[#This Row],[Column1]],#REF!,#REF!),0)</f>
        <v>0</v>
      </c>
      <c r="V1505" s="39"/>
    </row>
    <row r="1506" spans="1:22" x14ac:dyDescent="0.35">
      <c r="A1506" s="3" t="s">
        <v>4303</v>
      </c>
      <c r="B1506" s="3" t="s">
        <v>4306</v>
      </c>
      <c r="C1506" s="3" t="s">
        <v>15</v>
      </c>
      <c r="D1506" s="3">
        <v>0</v>
      </c>
      <c r="E1506" s="6" t="s">
        <v>10</v>
      </c>
      <c r="F1506" s="2">
        <v>1</v>
      </c>
      <c r="G1506" s="2">
        <v>2</v>
      </c>
      <c r="H1506" s="3">
        <v>0</v>
      </c>
      <c r="I1506" s="21">
        <f>Table43[[#This Row],[Item Cost]]*Table43[[#This Row],[In Stock]]</f>
        <v>0</v>
      </c>
      <c r="J1506" s="3" t="s">
        <v>4941</v>
      </c>
      <c r="K1506" s="14" t="s">
        <v>4666</v>
      </c>
      <c r="L1506" s="14" t="s">
        <v>4725</v>
      </c>
      <c r="M1506" s="14" t="s">
        <v>3950</v>
      </c>
      <c r="N1506" s="3" t="s">
        <v>4845</v>
      </c>
      <c r="O1506" s="32" t="str">
        <f>IF(LEN(COUNTIFS($J$1:J1506,$J1506,$K$1:K1506,$K1506,$L$1:L1506,$L1506,$M$1:M1506,M1506,$N$1:N1506,N1506))=1,"00"&amp;COUNTIFS($J$1:J1506,$J1506,$K$1:K1506,$K1506,$L$1:L1506,$L1506,$M$1:M1506,M1506,$N$1:N1506,N1506),IF(LEN(COUNTIFS($J$1:J1506,$J1506,$K$1:K1506,$K1506,$L$1:L1506,$L1506,$M$1:M1506,M1506,$N$1:N1506,N1506))=2,"0"&amp;COUNTIFS($J$1:J1506,$J1506,$K$1:K1506,$K1506,$L$1:L1506,$L1506,$M$1:M1506,M1506,$N$1:N1506,N1506),COUNTIFS($J$1:J1506,$J1506,$K$1:K1506,$K1506,$L$1:L1506,$L1506,$M$1:M1506,M1506,$N$1:N1506,N1506)))</f>
        <v>002</v>
      </c>
      <c r="P1506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MS-NS-026-22-01002-INV</v>
      </c>
      <c r="Q1506" s="59"/>
      <c r="R1506" s="34" t="s">
        <v>7174</v>
      </c>
      <c r="S1506" s="34" t="s">
        <v>4306</v>
      </c>
      <c r="T1506" s="34">
        <f>+IFERROR(_xlfn.XLOOKUP(Table43[[#This Row],[Column1]],#REF!,#REF!),0)</f>
        <v>0</v>
      </c>
      <c r="U1506" s="50">
        <f>IFERROR(_xlfn.XLOOKUP(Table43[[#This Row],[Column1]],#REF!,#REF!),0)</f>
        <v>0</v>
      </c>
      <c r="V1506" s="39"/>
    </row>
    <row r="1507" spans="1:22" x14ac:dyDescent="0.35">
      <c r="A1507" s="3" t="s">
        <v>4305</v>
      </c>
      <c r="B1507" s="2" t="s">
        <v>4308</v>
      </c>
      <c r="C1507" s="2" t="s">
        <v>15</v>
      </c>
      <c r="D1507" s="2">
        <v>0</v>
      </c>
      <c r="E1507" s="26" t="s">
        <v>10</v>
      </c>
      <c r="F1507" s="2">
        <v>1</v>
      </c>
      <c r="G1507" s="2">
        <v>2</v>
      </c>
      <c r="H1507" s="2">
        <v>0</v>
      </c>
      <c r="I1507" s="22">
        <f>Table43[[#This Row],[Item Cost]]*Table43[[#This Row],[In Stock]]</f>
        <v>0</v>
      </c>
      <c r="J1507" s="3" t="s">
        <v>4941</v>
      </c>
      <c r="K1507" s="14" t="s">
        <v>4666</v>
      </c>
      <c r="L1507" s="14" t="s">
        <v>4725</v>
      </c>
      <c r="M1507" s="14" t="s">
        <v>3950</v>
      </c>
      <c r="N1507" s="3" t="s">
        <v>4845</v>
      </c>
      <c r="O1507" s="32" t="str">
        <f>IF(LEN(COUNTIFS($J$1:J1507,$J1507,$K$1:K1507,$K1507,$L$1:L1507,$L1507,$M$1:M1507,M1507,$N$1:N1507,N1507))=1,"00"&amp;COUNTIFS($J$1:J1507,$J1507,$K$1:K1507,$K1507,$L$1:L1507,$L1507,$M$1:M1507,M1507,$N$1:N1507,N1507),IF(LEN(COUNTIFS($J$1:J1507,$J1507,$K$1:K1507,$K1507,$L$1:L1507,$L1507,$M$1:M1507,M1507,$N$1:N1507,N1507))=2,"0"&amp;COUNTIFS($J$1:J1507,$J1507,$K$1:K1507,$K1507,$L$1:L1507,$L1507,$M$1:M1507,M1507,$N$1:N1507,N1507),COUNTIFS($J$1:J1507,$J1507,$K$1:K1507,$K1507,$L$1:L1507,$L1507,$M$1:M1507,M1507,$N$1:N1507,N1507)))</f>
        <v>003</v>
      </c>
      <c r="P1507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MS-NS-026-22-01003-INV</v>
      </c>
      <c r="Q1507" s="59"/>
      <c r="R1507" s="34" t="s">
        <v>7175</v>
      </c>
      <c r="S1507" s="34" t="s">
        <v>4308</v>
      </c>
      <c r="T1507" s="34">
        <f>+IFERROR(_xlfn.XLOOKUP(Table43[[#This Row],[Column1]],#REF!,#REF!),0)</f>
        <v>0</v>
      </c>
      <c r="U1507" s="50">
        <f>IFERROR(_xlfn.XLOOKUP(Table43[[#This Row],[Column1]],#REF!,#REF!),0)</f>
        <v>0</v>
      </c>
      <c r="V1507" s="39"/>
    </row>
    <row r="1508" spans="1:22" x14ac:dyDescent="0.35">
      <c r="A1508" s="3" t="s">
        <v>4307</v>
      </c>
      <c r="B1508" s="3" t="s">
        <v>4310</v>
      </c>
      <c r="C1508" s="3" t="s">
        <v>15</v>
      </c>
      <c r="D1508" s="3">
        <v>0</v>
      </c>
      <c r="E1508" s="6" t="s">
        <v>10</v>
      </c>
      <c r="F1508" s="2">
        <v>1</v>
      </c>
      <c r="G1508" s="2">
        <v>2</v>
      </c>
      <c r="H1508" s="3">
        <v>0</v>
      </c>
      <c r="I1508" s="21">
        <f>Table43[[#This Row],[Item Cost]]*Table43[[#This Row],[In Stock]]</f>
        <v>0</v>
      </c>
      <c r="J1508" s="3" t="s">
        <v>4941</v>
      </c>
      <c r="K1508" s="14" t="s">
        <v>4666</v>
      </c>
      <c r="L1508" s="14" t="s">
        <v>4725</v>
      </c>
      <c r="M1508" s="14" t="s">
        <v>4837</v>
      </c>
      <c r="N1508" s="3" t="s">
        <v>4845</v>
      </c>
      <c r="O1508" s="32" t="str">
        <f>IF(LEN(COUNTIFS($J$1:J1508,$J1508,$K$1:K1508,$K1508,$L$1:L1508,$L1508,$M$1:M1508,M1508,$N$1:N1508,N1508))=1,"00"&amp;COUNTIFS($J$1:J1508,$J1508,$K$1:K1508,$K1508,$L$1:L1508,$L1508,$M$1:M1508,M1508,$N$1:N1508,N1508),IF(LEN(COUNTIFS($J$1:J1508,$J1508,$K$1:K1508,$K1508,$L$1:L1508,$L1508,$M$1:M1508,M1508,$N$1:N1508,N1508))=2,"0"&amp;COUNTIFS($J$1:J1508,$J1508,$K$1:K1508,$K1508,$L$1:L1508,$L1508,$M$1:M1508,M1508,$N$1:N1508,N1508),COUNTIFS($J$1:J1508,$J1508,$K$1:K1508,$K1508,$L$1:L1508,$L1508,$M$1:M1508,M1508,$N$1:N1508,N1508)))</f>
        <v>007</v>
      </c>
      <c r="P1508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MS-NS-026-26-01007-INV</v>
      </c>
      <c r="Q1508" s="59"/>
      <c r="R1508" s="34" t="s">
        <v>7176</v>
      </c>
      <c r="S1508" s="34" t="s">
        <v>4310</v>
      </c>
      <c r="T1508" s="34">
        <f>+IFERROR(_xlfn.XLOOKUP(Table43[[#This Row],[Column1]],#REF!,#REF!),0)</f>
        <v>0</v>
      </c>
      <c r="U1508" s="50">
        <f>IFERROR(_xlfn.XLOOKUP(Table43[[#This Row],[Column1]],#REF!,#REF!),0)</f>
        <v>0</v>
      </c>
      <c r="V1508" s="39"/>
    </row>
    <row r="1509" spans="1:22" x14ac:dyDescent="0.35">
      <c r="A1509" s="3" t="s">
        <v>4309</v>
      </c>
      <c r="B1509" s="2" t="s">
        <v>4312</v>
      </c>
      <c r="C1509" s="2" t="s">
        <v>15</v>
      </c>
      <c r="D1509" s="2">
        <v>0</v>
      </c>
      <c r="E1509" s="26" t="s">
        <v>10</v>
      </c>
      <c r="F1509" s="2">
        <v>1</v>
      </c>
      <c r="G1509" s="2">
        <v>2</v>
      </c>
      <c r="H1509" s="2">
        <v>0</v>
      </c>
      <c r="I1509" s="22">
        <f>Table43[[#This Row],[Item Cost]]*Table43[[#This Row],[In Stock]]</f>
        <v>0</v>
      </c>
      <c r="J1509" s="3" t="s">
        <v>4941</v>
      </c>
      <c r="K1509" s="14" t="s">
        <v>4666</v>
      </c>
      <c r="L1509" s="14" t="s">
        <v>4725</v>
      </c>
      <c r="M1509" s="14" t="s">
        <v>4837</v>
      </c>
      <c r="N1509" s="3" t="s">
        <v>4845</v>
      </c>
      <c r="O1509" s="32" t="str">
        <f>IF(LEN(COUNTIFS($J$1:J1509,$J1509,$K$1:K1509,$K1509,$L$1:L1509,$L1509,$M$1:M1509,M1509,$N$1:N1509,N1509))=1,"00"&amp;COUNTIFS($J$1:J1509,$J1509,$K$1:K1509,$K1509,$L$1:L1509,$L1509,$M$1:M1509,M1509,$N$1:N1509,N1509),IF(LEN(COUNTIFS($J$1:J1509,$J1509,$K$1:K1509,$K1509,$L$1:L1509,$L1509,$M$1:M1509,M1509,$N$1:N1509,N1509))=2,"0"&amp;COUNTIFS($J$1:J1509,$J1509,$K$1:K1509,$K1509,$L$1:L1509,$L1509,$M$1:M1509,M1509,$N$1:N1509,N1509),COUNTIFS($J$1:J1509,$J1509,$K$1:K1509,$K1509,$L$1:L1509,$L1509,$M$1:M1509,M1509,$N$1:N1509,N1509)))</f>
        <v>008</v>
      </c>
      <c r="P1509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MS-NS-026-26-01008-INV</v>
      </c>
      <c r="Q1509" s="59"/>
      <c r="R1509" s="34" t="s">
        <v>7177</v>
      </c>
      <c r="S1509" s="34" t="s">
        <v>4312</v>
      </c>
      <c r="T1509" s="34">
        <f>+IFERROR(_xlfn.XLOOKUP(Table43[[#This Row],[Column1]],#REF!,#REF!),0)</f>
        <v>0</v>
      </c>
      <c r="U1509" s="50">
        <f>IFERROR(_xlfn.XLOOKUP(Table43[[#This Row],[Column1]],#REF!,#REF!),0)</f>
        <v>0</v>
      </c>
      <c r="V1509" s="39"/>
    </row>
    <row r="1510" spans="1:22" x14ac:dyDescent="0.35">
      <c r="A1510" s="3" t="s">
        <v>4311</v>
      </c>
      <c r="B1510" s="3" t="s">
        <v>4314</v>
      </c>
      <c r="C1510" s="3" t="s">
        <v>15</v>
      </c>
      <c r="D1510" s="3">
        <v>55</v>
      </c>
      <c r="E1510" s="6" t="s">
        <v>10</v>
      </c>
      <c r="F1510" s="3">
        <v>2</v>
      </c>
      <c r="G1510" s="3">
        <v>4</v>
      </c>
      <c r="H1510" s="3">
        <v>4</v>
      </c>
      <c r="I1510" s="21">
        <f>Table43[[#This Row],[Item Cost]]*Table43[[#This Row],[In Stock]]</f>
        <v>220</v>
      </c>
      <c r="J1510" s="3" t="s">
        <v>4941</v>
      </c>
      <c r="K1510" s="14" t="s">
        <v>4666</v>
      </c>
      <c r="L1510" s="14" t="s">
        <v>4725</v>
      </c>
      <c r="M1510" s="14" t="s">
        <v>3950</v>
      </c>
      <c r="N1510" s="3" t="s">
        <v>4845</v>
      </c>
      <c r="O1510" s="32" t="str">
        <f>IF(LEN(COUNTIFS($J$1:J1510,$J1510,$K$1:K1510,$K1510,$L$1:L1510,$L1510,$M$1:M1510,M1510,$N$1:N1510,N1510))=1,"00"&amp;COUNTIFS($J$1:J1510,$J1510,$K$1:K1510,$K1510,$L$1:L1510,$L1510,$M$1:M1510,M1510,$N$1:N1510,N1510),IF(LEN(COUNTIFS($J$1:J1510,$J1510,$K$1:K1510,$K1510,$L$1:L1510,$L1510,$M$1:M1510,M1510,$N$1:N1510,N1510))=2,"0"&amp;COUNTIFS($J$1:J1510,$J1510,$K$1:K1510,$K1510,$L$1:L1510,$L1510,$M$1:M1510,M1510,$N$1:N1510,N1510),COUNTIFS($J$1:J1510,$J1510,$K$1:K1510,$K1510,$L$1:L1510,$L1510,$M$1:M1510,M1510,$N$1:N1510,N1510)))</f>
        <v>004</v>
      </c>
      <c r="P1510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MS-NS-026-22-01004-INV</v>
      </c>
      <c r="Q1510" s="59"/>
      <c r="R1510" s="49" t="s">
        <v>5701</v>
      </c>
      <c r="S1510" s="34" t="s">
        <v>5744</v>
      </c>
      <c r="T1510" s="34">
        <f>+IFERROR(_xlfn.XLOOKUP(Table43[[#This Row],[Column1]],#REF!,#REF!),0)</f>
        <v>0</v>
      </c>
      <c r="U1510" s="50">
        <f>IFERROR(_xlfn.XLOOKUP(Table43[[#This Row],[Column1]],#REF!,#REF!),0)</f>
        <v>0</v>
      </c>
      <c r="V1510" s="39"/>
    </row>
    <row r="1511" spans="1:22" x14ac:dyDescent="0.35">
      <c r="A1511" s="3" t="s">
        <v>4313</v>
      </c>
      <c r="B1511" s="2" t="s">
        <v>4316</v>
      </c>
      <c r="C1511" s="2" t="s">
        <v>15</v>
      </c>
      <c r="D1511" s="2">
        <v>0</v>
      </c>
      <c r="E1511" s="26" t="s">
        <v>10</v>
      </c>
      <c r="F1511" s="2">
        <v>1</v>
      </c>
      <c r="G1511" s="2">
        <v>2</v>
      </c>
      <c r="H1511" s="2">
        <v>0</v>
      </c>
      <c r="I1511" s="22">
        <f>Table43[[#This Row],[Item Cost]]*Table43[[#This Row],[In Stock]]</f>
        <v>0</v>
      </c>
      <c r="J1511" s="3" t="s">
        <v>4941</v>
      </c>
      <c r="K1511" s="14" t="s">
        <v>4666</v>
      </c>
      <c r="L1511" s="14" t="s">
        <v>4725</v>
      </c>
      <c r="M1511" s="14" t="s">
        <v>4829</v>
      </c>
      <c r="N1511" s="3" t="s">
        <v>4845</v>
      </c>
      <c r="O1511" s="32" t="str">
        <f>IF(LEN(COUNTIFS($J$1:J1511,$J1511,$K$1:K1511,$K1511,$L$1:L1511,$L1511,$M$1:M1511,M1511,$N$1:N1511,N1511))=1,"00"&amp;COUNTIFS($J$1:J1511,$J1511,$K$1:K1511,$K1511,$L$1:L1511,$L1511,$M$1:M1511,M1511,$N$1:N1511,N1511),IF(LEN(COUNTIFS($J$1:J1511,$J1511,$K$1:K1511,$K1511,$L$1:L1511,$L1511,$M$1:M1511,M1511,$N$1:N1511,N1511))=2,"0"&amp;COUNTIFS($J$1:J1511,$J1511,$K$1:K1511,$K1511,$L$1:L1511,$L1511,$M$1:M1511,M1511,$N$1:N1511,N1511),COUNTIFS($J$1:J1511,$J1511,$K$1:K1511,$K1511,$L$1:L1511,$L1511,$M$1:M1511,M1511,$N$1:N1511,N1511)))</f>
        <v>001</v>
      </c>
      <c r="P1511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MS-NS-026-21-01001-INV</v>
      </c>
      <c r="Q1511" s="59"/>
      <c r="R1511" s="34" t="s">
        <v>5755</v>
      </c>
      <c r="S1511" s="34" t="s">
        <v>4316</v>
      </c>
      <c r="T1511" s="34">
        <f>+IFERROR(_xlfn.XLOOKUP(Table43[[#This Row],[Column1]],#REF!,#REF!),0)</f>
        <v>0</v>
      </c>
      <c r="U1511" s="50">
        <f>IFERROR(_xlfn.XLOOKUP(Table43[[#This Row],[Column1]],#REF!,#REF!),0)</f>
        <v>0</v>
      </c>
      <c r="V1511" s="39"/>
    </row>
    <row r="1512" spans="1:22" x14ac:dyDescent="0.35">
      <c r="A1512" s="3" t="s">
        <v>4315</v>
      </c>
      <c r="B1512" s="3" t="s">
        <v>4318</v>
      </c>
      <c r="C1512" s="3" t="s">
        <v>15</v>
      </c>
      <c r="D1512" s="3">
        <v>0</v>
      </c>
      <c r="E1512" s="6" t="s">
        <v>10</v>
      </c>
      <c r="F1512" s="2">
        <v>1</v>
      </c>
      <c r="G1512" s="2">
        <v>2</v>
      </c>
      <c r="H1512" s="3">
        <v>0</v>
      </c>
      <c r="I1512" s="21">
        <f>Table43[[#This Row],[Item Cost]]*Table43[[#This Row],[In Stock]]</f>
        <v>0</v>
      </c>
      <c r="J1512" s="3" t="s">
        <v>4941</v>
      </c>
      <c r="K1512" s="14" t="s">
        <v>4666</v>
      </c>
      <c r="L1512" s="14" t="s">
        <v>4725</v>
      </c>
      <c r="M1512" s="14" t="s">
        <v>4835</v>
      </c>
      <c r="N1512" s="3" t="s">
        <v>4845</v>
      </c>
      <c r="O1512" s="32" t="str">
        <f>IF(LEN(COUNTIFS($J$1:J1512,$J1512,$K$1:K1512,$K1512,$L$1:L1512,$L1512,$M$1:M1512,M1512,$N$1:N1512,N1512))=1,"00"&amp;COUNTIFS($J$1:J1512,$J1512,$K$1:K1512,$K1512,$L$1:L1512,$L1512,$M$1:M1512,M1512,$N$1:N1512,N1512),IF(LEN(COUNTIFS($J$1:J1512,$J1512,$K$1:K1512,$K1512,$L$1:L1512,$L1512,$M$1:M1512,M1512,$N$1:N1512,N1512))=2,"0"&amp;COUNTIFS($J$1:J1512,$J1512,$K$1:K1512,$K1512,$L$1:L1512,$L1512,$M$1:M1512,M1512,$N$1:N1512,N1512),COUNTIFS($J$1:J1512,$J1512,$K$1:K1512,$K1512,$L$1:L1512,$L1512,$M$1:M1512,M1512,$N$1:N1512,N1512)))</f>
        <v>001</v>
      </c>
      <c r="P1512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MS-NS-026-24-01001-INV</v>
      </c>
      <c r="Q1512" s="59"/>
      <c r="R1512" s="34" t="s">
        <v>5756</v>
      </c>
      <c r="S1512" s="34" t="s">
        <v>4318</v>
      </c>
      <c r="T1512" s="34">
        <f>+IFERROR(_xlfn.XLOOKUP(Table43[[#This Row],[Column1]],#REF!,#REF!),0)</f>
        <v>0</v>
      </c>
      <c r="U1512" s="50">
        <f>IFERROR(_xlfn.XLOOKUP(Table43[[#This Row],[Column1]],#REF!,#REF!),0)</f>
        <v>0</v>
      </c>
      <c r="V1512" s="39"/>
    </row>
    <row r="1513" spans="1:22" x14ac:dyDescent="0.35">
      <c r="A1513" s="3" t="s">
        <v>4317</v>
      </c>
      <c r="B1513" s="26" t="s">
        <v>4320</v>
      </c>
      <c r="C1513" s="2" t="s">
        <v>15</v>
      </c>
      <c r="D1513" s="26">
        <v>0</v>
      </c>
      <c r="E1513" s="26" t="s">
        <v>10</v>
      </c>
      <c r="F1513" s="2">
        <v>1</v>
      </c>
      <c r="G1513" s="2">
        <v>2</v>
      </c>
      <c r="H1513" s="26">
        <v>0</v>
      </c>
      <c r="I1513" s="28">
        <f>Table43[[#This Row],[Item Cost]]*Table43[[#This Row],[In Stock]]</f>
        <v>0</v>
      </c>
      <c r="J1513" s="3" t="s">
        <v>4941</v>
      </c>
      <c r="K1513" s="14" t="s">
        <v>4666</v>
      </c>
      <c r="L1513" s="14" t="s">
        <v>4725</v>
      </c>
      <c r="M1513" s="14" t="s">
        <v>4829</v>
      </c>
      <c r="N1513" s="3" t="s">
        <v>4845</v>
      </c>
      <c r="O1513" s="32" t="str">
        <f>IF(LEN(COUNTIFS($J$1:J1513,$J1513,$K$1:K1513,$K1513,$L$1:L1513,$L1513,$M$1:M1513,M1513,$N$1:N1513,N1513))=1,"00"&amp;COUNTIFS($J$1:J1513,$J1513,$K$1:K1513,$K1513,$L$1:L1513,$L1513,$M$1:M1513,M1513,$N$1:N1513,N1513),IF(LEN(COUNTIFS($J$1:J1513,$J1513,$K$1:K1513,$K1513,$L$1:L1513,$L1513,$M$1:M1513,M1513,$N$1:N1513,N1513))=2,"0"&amp;COUNTIFS($J$1:J1513,$J1513,$K$1:K1513,$K1513,$L$1:L1513,$L1513,$M$1:M1513,M1513,$N$1:N1513,N1513),COUNTIFS($J$1:J1513,$J1513,$K$1:K1513,$K1513,$L$1:L1513,$L1513,$M$1:M1513,M1513,$N$1:N1513,N1513)))</f>
        <v>002</v>
      </c>
      <c r="P1513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MS-NS-026-21-01002-INV</v>
      </c>
      <c r="Q1513" s="59"/>
      <c r="R1513" s="34" t="s">
        <v>5757</v>
      </c>
      <c r="S1513" s="34" t="s">
        <v>4320</v>
      </c>
      <c r="T1513" s="34">
        <f>+IFERROR(_xlfn.XLOOKUP(Table43[[#This Row],[Column1]],#REF!,#REF!),0)</f>
        <v>0</v>
      </c>
      <c r="U1513" s="50">
        <f>IFERROR(_xlfn.XLOOKUP(Table43[[#This Row],[Column1]],#REF!,#REF!),0)</f>
        <v>0</v>
      </c>
      <c r="V1513" s="39"/>
    </row>
    <row r="1514" spans="1:22" x14ac:dyDescent="0.35">
      <c r="A1514" s="6" t="s">
        <v>4319</v>
      </c>
      <c r="B1514" s="15" t="s">
        <v>4322</v>
      </c>
      <c r="C1514" s="3" t="s">
        <v>15</v>
      </c>
      <c r="D1514" s="3">
        <v>0</v>
      </c>
      <c r="E1514" s="6" t="s">
        <v>10</v>
      </c>
      <c r="F1514" s="2">
        <v>1</v>
      </c>
      <c r="G1514" s="2">
        <v>2</v>
      </c>
      <c r="H1514" s="3">
        <v>0</v>
      </c>
      <c r="I1514" s="21">
        <f>Table43[[#This Row],[Item Cost]]*Table43[[#This Row],[In Stock]]</f>
        <v>0</v>
      </c>
      <c r="J1514" s="3" t="s">
        <v>4941</v>
      </c>
      <c r="K1514" s="14" t="s">
        <v>4666</v>
      </c>
      <c r="L1514" s="14" t="s">
        <v>4725</v>
      </c>
      <c r="M1514" s="14" t="s">
        <v>4837</v>
      </c>
      <c r="N1514" s="3" t="s">
        <v>4845</v>
      </c>
      <c r="O1514" s="32" t="str">
        <f>IF(LEN(COUNTIFS($J$1:J1514,$J1514,$K$1:K1514,$K1514,$L$1:L1514,$L1514,$M$1:M1514,M1514,$N$1:N1514,N1514))=1,"00"&amp;COUNTIFS($J$1:J1514,$J1514,$K$1:K1514,$K1514,$L$1:L1514,$L1514,$M$1:M1514,M1514,$N$1:N1514,N1514),IF(LEN(COUNTIFS($J$1:J1514,$J1514,$K$1:K1514,$K1514,$L$1:L1514,$L1514,$M$1:M1514,M1514,$N$1:N1514,N1514))=2,"0"&amp;COUNTIFS($J$1:J1514,$J1514,$K$1:K1514,$K1514,$L$1:L1514,$L1514,$M$1:M1514,M1514,$N$1:N1514,N1514),COUNTIFS($J$1:J1514,$J1514,$K$1:K1514,$K1514,$L$1:L1514,$L1514,$M$1:M1514,M1514,$N$1:N1514,N1514)))</f>
        <v>009</v>
      </c>
      <c r="P1514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MS-NS-026-26-01009-INV</v>
      </c>
      <c r="Q1514" s="59"/>
      <c r="R1514" s="34" t="s">
        <v>5758</v>
      </c>
      <c r="S1514" s="34" t="s">
        <v>4322</v>
      </c>
      <c r="T1514" s="34">
        <f>+IFERROR(_xlfn.XLOOKUP(Table43[[#This Row],[Column1]],#REF!,#REF!),0)</f>
        <v>0</v>
      </c>
      <c r="U1514" s="50">
        <f>IFERROR(_xlfn.XLOOKUP(Table43[[#This Row],[Column1]],#REF!,#REF!),0)</f>
        <v>0</v>
      </c>
      <c r="V1514" s="39"/>
    </row>
    <row r="1515" spans="1:22" x14ac:dyDescent="0.35">
      <c r="A1515" s="6" t="s">
        <v>4321</v>
      </c>
      <c r="B1515" s="14" t="s">
        <v>4324</v>
      </c>
      <c r="C1515" s="2" t="s">
        <v>15</v>
      </c>
      <c r="D1515" s="2">
        <v>0</v>
      </c>
      <c r="E1515" s="26" t="s">
        <v>10</v>
      </c>
      <c r="F1515" s="2">
        <v>1</v>
      </c>
      <c r="G1515" s="2">
        <v>2</v>
      </c>
      <c r="H1515" s="2">
        <v>0</v>
      </c>
      <c r="I1515" s="22">
        <f>Table43[[#This Row],[Item Cost]]*Table43[[#This Row],[In Stock]]</f>
        <v>0</v>
      </c>
      <c r="J1515" s="3" t="s">
        <v>4941</v>
      </c>
      <c r="K1515" s="14" t="s">
        <v>4666</v>
      </c>
      <c r="L1515" s="14" t="s">
        <v>4725</v>
      </c>
      <c r="M1515" s="14" t="s">
        <v>4837</v>
      </c>
      <c r="N1515" s="3" t="s">
        <v>4845</v>
      </c>
      <c r="O1515" s="32" t="str">
        <f>IF(LEN(COUNTIFS($J$1:J1515,$J1515,$K$1:K1515,$K1515,$L$1:L1515,$L1515,$M$1:M1515,M1515,$N$1:N1515,N1515))=1,"00"&amp;COUNTIFS($J$1:J1515,$J1515,$K$1:K1515,$K1515,$L$1:L1515,$L1515,$M$1:M1515,M1515,$N$1:N1515,N1515),IF(LEN(COUNTIFS($J$1:J1515,$J1515,$K$1:K1515,$K1515,$L$1:L1515,$L1515,$M$1:M1515,M1515,$N$1:N1515,N1515))=2,"0"&amp;COUNTIFS($J$1:J1515,$J1515,$K$1:K1515,$K1515,$L$1:L1515,$L1515,$M$1:M1515,M1515,$N$1:N1515,N1515),COUNTIFS($J$1:J1515,$J1515,$K$1:K1515,$K1515,$L$1:L1515,$L1515,$M$1:M1515,M1515,$N$1:N1515,N1515)))</f>
        <v>010</v>
      </c>
      <c r="P1515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MS-NS-026-26-01010-INV</v>
      </c>
      <c r="Q1515" s="59"/>
      <c r="R1515" s="34" t="s">
        <v>5759</v>
      </c>
      <c r="S1515" s="34" t="s">
        <v>4324</v>
      </c>
      <c r="T1515" s="34">
        <f>+IFERROR(_xlfn.XLOOKUP(Table43[[#This Row],[Column1]],#REF!,#REF!),0)</f>
        <v>0</v>
      </c>
      <c r="U1515" s="50">
        <f>IFERROR(_xlfn.XLOOKUP(Table43[[#This Row],[Column1]],#REF!,#REF!),0)</f>
        <v>0</v>
      </c>
      <c r="V1515" s="39"/>
    </row>
    <row r="1516" spans="1:22" x14ac:dyDescent="0.35">
      <c r="A1516" s="6" t="s">
        <v>4323</v>
      </c>
      <c r="B1516" s="15" t="s">
        <v>4326</v>
      </c>
      <c r="C1516" s="3" t="s">
        <v>15</v>
      </c>
      <c r="D1516" s="3">
        <v>0</v>
      </c>
      <c r="E1516" s="6" t="s">
        <v>10</v>
      </c>
      <c r="F1516" s="2">
        <v>1</v>
      </c>
      <c r="G1516" s="2">
        <v>2</v>
      </c>
      <c r="H1516" s="3">
        <v>0</v>
      </c>
      <c r="I1516" s="21">
        <f>Table43[[#This Row],[Item Cost]]*Table43[[#This Row],[In Stock]]</f>
        <v>0</v>
      </c>
      <c r="J1516" s="3" t="s">
        <v>4941</v>
      </c>
      <c r="K1516" s="14" t="s">
        <v>4666</v>
      </c>
      <c r="L1516" s="14" t="s">
        <v>4725</v>
      </c>
      <c r="M1516" s="14" t="s">
        <v>4795</v>
      </c>
      <c r="N1516" s="3" t="s">
        <v>4845</v>
      </c>
      <c r="O1516" s="32" t="str">
        <f>IF(LEN(COUNTIFS($J$1:J1516,$J1516,$K$1:K1516,$K1516,$L$1:L1516,$L1516,$M$1:M1516,M1516,$N$1:N1516,N1516))=1,"00"&amp;COUNTIFS($J$1:J1516,$J1516,$K$1:K1516,$K1516,$L$1:L1516,$L1516,$M$1:M1516,M1516,$N$1:N1516,N1516),IF(LEN(COUNTIFS($J$1:J1516,$J1516,$K$1:K1516,$K1516,$L$1:L1516,$L1516,$M$1:M1516,M1516,$N$1:N1516,N1516))=2,"0"&amp;COUNTIFS($J$1:J1516,$J1516,$K$1:K1516,$K1516,$L$1:L1516,$L1516,$M$1:M1516,M1516,$N$1:N1516,N1516),COUNTIFS($J$1:J1516,$J1516,$K$1:K1516,$K1516,$L$1:L1516,$L1516,$M$1:M1516,M1516,$N$1:N1516,N1516)))</f>
        <v>001</v>
      </c>
      <c r="P1516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MS-NS-026-19-01001-INV</v>
      </c>
      <c r="Q1516" s="59"/>
      <c r="R1516" s="34" t="s">
        <v>5760</v>
      </c>
      <c r="S1516" s="34" t="s">
        <v>4326</v>
      </c>
      <c r="T1516" s="34">
        <f>+IFERROR(_xlfn.XLOOKUP(Table43[[#This Row],[Column1]],#REF!,#REF!),0)</f>
        <v>0</v>
      </c>
      <c r="U1516" s="50">
        <f>IFERROR(_xlfn.XLOOKUP(Table43[[#This Row],[Column1]],#REF!,#REF!),0)</f>
        <v>0</v>
      </c>
      <c r="V1516" s="39"/>
    </row>
    <row r="1517" spans="1:22" x14ac:dyDescent="0.35">
      <c r="A1517" s="6" t="s">
        <v>4325</v>
      </c>
      <c r="B1517" s="14" t="s">
        <v>4328</v>
      </c>
      <c r="C1517" s="2" t="s">
        <v>15</v>
      </c>
      <c r="D1517" s="2">
        <v>0</v>
      </c>
      <c r="E1517" s="26" t="s">
        <v>10</v>
      </c>
      <c r="F1517" s="2">
        <v>1</v>
      </c>
      <c r="G1517" s="2">
        <v>2</v>
      </c>
      <c r="H1517" s="2">
        <v>0</v>
      </c>
      <c r="I1517" s="22">
        <f>Table43[[#This Row],[Item Cost]]*Table43[[#This Row],[In Stock]]</f>
        <v>0</v>
      </c>
      <c r="J1517" s="3" t="s">
        <v>4941</v>
      </c>
      <c r="K1517" s="14" t="s">
        <v>4666</v>
      </c>
      <c r="L1517" s="14" t="s">
        <v>4725</v>
      </c>
      <c r="M1517" s="14" t="s">
        <v>4795</v>
      </c>
      <c r="N1517" s="3" t="s">
        <v>4845</v>
      </c>
      <c r="O1517" s="32" t="str">
        <f>IF(LEN(COUNTIFS($J$1:J1517,$J1517,$K$1:K1517,$K1517,$L$1:L1517,$L1517,$M$1:M1517,M1517,$N$1:N1517,N1517))=1,"00"&amp;COUNTIFS($J$1:J1517,$J1517,$K$1:K1517,$K1517,$L$1:L1517,$L1517,$M$1:M1517,M1517,$N$1:N1517,N1517),IF(LEN(COUNTIFS($J$1:J1517,$J1517,$K$1:K1517,$K1517,$L$1:L1517,$L1517,$M$1:M1517,M1517,$N$1:N1517,N1517))=2,"0"&amp;COUNTIFS($J$1:J1517,$J1517,$K$1:K1517,$K1517,$L$1:L1517,$L1517,$M$1:M1517,M1517,$N$1:N1517,N1517),COUNTIFS($J$1:J1517,$J1517,$K$1:K1517,$K1517,$L$1:L1517,$L1517,$M$1:M1517,M1517,$N$1:N1517,N1517)))</f>
        <v>002</v>
      </c>
      <c r="P1517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MS-NS-026-19-01002-INV</v>
      </c>
      <c r="Q1517" s="59"/>
      <c r="R1517" s="34" t="s">
        <v>5761</v>
      </c>
      <c r="S1517" s="34" t="s">
        <v>4328</v>
      </c>
      <c r="T1517" s="34">
        <f>+IFERROR(_xlfn.XLOOKUP(Table43[[#This Row],[Column1]],#REF!,#REF!),0)</f>
        <v>0</v>
      </c>
      <c r="U1517" s="50">
        <f>IFERROR(_xlfn.XLOOKUP(Table43[[#This Row],[Column1]],#REF!,#REF!),0)</f>
        <v>0</v>
      </c>
      <c r="V1517" s="39"/>
    </row>
    <row r="1518" spans="1:22" x14ac:dyDescent="0.35">
      <c r="A1518" s="6" t="s">
        <v>4327</v>
      </c>
      <c r="B1518" s="15" t="s">
        <v>4330</v>
      </c>
      <c r="C1518" s="3" t="s">
        <v>15</v>
      </c>
      <c r="D1518" s="3">
        <v>0</v>
      </c>
      <c r="E1518" s="6" t="s">
        <v>10</v>
      </c>
      <c r="F1518" s="2">
        <v>1</v>
      </c>
      <c r="G1518" s="2">
        <v>2</v>
      </c>
      <c r="H1518" s="3">
        <v>0</v>
      </c>
      <c r="I1518" s="21">
        <f>Table43[[#This Row],[Item Cost]]*Table43[[#This Row],[In Stock]]</f>
        <v>0</v>
      </c>
      <c r="J1518" s="3" t="s">
        <v>4941</v>
      </c>
      <c r="K1518" s="14" t="s">
        <v>4666</v>
      </c>
      <c r="L1518" s="14" t="s">
        <v>4725</v>
      </c>
      <c r="M1518" s="14" t="s">
        <v>4795</v>
      </c>
      <c r="N1518" s="3" t="s">
        <v>4845</v>
      </c>
      <c r="O1518" s="32" t="str">
        <f>IF(LEN(COUNTIFS($J$1:J1518,$J1518,$K$1:K1518,$K1518,$L$1:L1518,$L1518,$M$1:M1518,M1518,$N$1:N1518,N1518))=1,"00"&amp;COUNTIFS($J$1:J1518,$J1518,$K$1:K1518,$K1518,$L$1:L1518,$L1518,$M$1:M1518,M1518,$N$1:N1518,N1518),IF(LEN(COUNTIFS($J$1:J1518,$J1518,$K$1:K1518,$K1518,$L$1:L1518,$L1518,$M$1:M1518,M1518,$N$1:N1518,N1518))=2,"0"&amp;COUNTIFS($J$1:J1518,$J1518,$K$1:K1518,$K1518,$L$1:L1518,$L1518,$M$1:M1518,M1518,$N$1:N1518,N1518),COUNTIFS($J$1:J1518,$J1518,$K$1:K1518,$K1518,$L$1:L1518,$L1518,$M$1:M1518,M1518,$N$1:N1518,N1518)))</f>
        <v>003</v>
      </c>
      <c r="P1518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MS-NS-026-19-01003-INV</v>
      </c>
      <c r="Q1518" s="59"/>
      <c r="R1518" s="34" t="s">
        <v>5762</v>
      </c>
      <c r="S1518" s="34" t="s">
        <v>4330</v>
      </c>
      <c r="T1518" s="34">
        <f>+IFERROR(_xlfn.XLOOKUP(Table43[[#This Row],[Column1]],#REF!,#REF!),0)</f>
        <v>0</v>
      </c>
      <c r="U1518" s="50">
        <f>IFERROR(_xlfn.XLOOKUP(Table43[[#This Row],[Column1]],#REF!,#REF!),0)</f>
        <v>0</v>
      </c>
      <c r="V1518" s="39"/>
    </row>
    <row r="1519" spans="1:22" x14ac:dyDescent="0.35">
      <c r="A1519" s="6" t="s">
        <v>4329</v>
      </c>
      <c r="B1519" s="14" t="s">
        <v>4332</v>
      </c>
      <c r="C1519" s="2" t="s">
        <v>9</v>
      </c>
      <c r="D1519" s="2">
        <v>78</v>
      </c>
      <c r="E1519" s="26" t="s">
        <v>10</v>
      </c>
      <c r="F1519" s="2">
        <v>1</v>
      </c>
      <c r="G1519" s="3">
        <v>2</v>
      </c>
      <c r="H1519" s="2">
        <v>8</v>
      </c>
      <c r="I1519" s="22">
        <f>Table43[[#This Row],[Item Cost]]*Table43[[#This Row],[In Stock]]</f>
        <v>624</v>
      </c>
      <c r="J1519" s="3" t="s">
        <v>4941</v>
      </c>
      <c r="K1519" s="14" t="s">
        <v>4664</v>
      </c>
      <c r="L1519" s="14" t="s">
        <v>4725</v>
      </c>
      <c r="M1519" s="14" t="s">
        <v>4771</v>
      </c>
      <c r="N1519" s="3" t="s">
        <v>4845</v>
      </c>
      <c r="O1519" s="32" t="str">
        <f>IF(LEN(COUNTIFS($J$1:J1519,$J1519,$K$1:K1519,$K1519,$L$1:L1519,$L1519,$M$1:M1519,M1519,$N$1:N1519,N1519))=1,"00"&amp;COUNTIFS($J$1:J1519,$J1519,$K$1:K1519,$K1519,$L$1:L1519,$L1519,$M$1:M1519,M1519,$N$1:N1519,N1519),IF(LEN(COUNTIFS($J$1:J1519,$J1519,$K$1:K1519,$K1519,$L$1:L1519,$L1519,$M$1:M1519,M1519,$N$1:N1519,N1519))=2,"0"&amp;COUNTIFS($J$1:J1519,$J1519,$K$1:K1519,$K1519,$L$1:L1519,$L1519,$M$1:M1519,M1519,$N$1:N1519,N1519),COUNTIFS($J$1:J1519,$J1519,$K$1:K1519,$K1519,$L$1:L1519,$L1519,$M$1:M1519,M1519,$N$1:N1519,N1519)))</f>
        <v>001</v>
      </c>
      <c r="P1519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MS-CS-026-05-01001-INV</v>
      </c>
      <c r="Q1519" s="59" t="s">
        <v>7341</v>
      </c>
      <c r="R1519" s="34" t="s">
        <v>5763</v>
      </c>
      <c r="S1519" s="34" t="s">
        <v>4332</v>
      </c>
      <c r="T1519" s="34">
        <f>+IFERROR(_xlfn.XLOOKUP(Table43[[#This Row],[Column1]],#REF!,#REF!),0)</f>
        <v>0</v>
      </c>
      <c r="U1519" s="50">
        <f>IFERROR(_xlfn.XLOOKUP(Table43[[#This Row],[Column1]],#REF!,#REF!),0)</f>
        <v>0</v>
      </c>
      <c r="V1519" s="39"/>
    </row>
    <row r="1520" spans="1:22" x14ac:dyDescent="0.35">
      <c r="A1520" s="6" t="s">
        <v>4331</v>
      </c>
      <c r="B1520" s="15" t="s">
        <v>4334</v>
      </c>
      <c r="C1520" s="3" t="s">
        <v>15</v>
      </c>
      <c r="D1520" s="3">
        <v>0</v>
      </c>
      <c r="E1520" s="6" t="s">
        <v>10</v>
      </c>
      <c r="F1520" s="2">
        <v>1</v>
      </c>
      <c r="G1520" s="2">
        <v>2</v>
      </c>
      <c r="H1520" s="3">
        <v>0</v>
      </c>
      <c r="I1520" s="21">
        <f>Table43[[#This Row],[Item Cost]]*Table43[[#This Row],[In Stock]]</f>
        <v>0</v>
      </c>
      <c r="J1520" s="3" t="s">
        <v>4941</v>
      </c>
      <c r="K1520" s="14" t="s">
        <v>4666</v>
      </c>
      <c r="L1520" s="14" t="s">
        <v>4725</v>
      </c>
      <c r="M1520" s="14" t="s">
        <v>4837</v>
      </c>
      <c r="N1520" s="3" t="s">
        <v>4845</v>
      </c>
      <c r="O1520" s="17" t="str">
        <f>IF(LEN(COUNTIFS($J$1:J1520,$J1520,$K$1:K1520,$K1520,$L$1:L1520,$L1520,$M$1:M1520,M1520,$N$1:N1520,N1520))=1,"00"&amp;COUNTIFS($J$1:J1520,$J1520,$K$1:K1520,$K1520,$L$1:L1520,$L1520,$M$1:M1520,M1520,$N$1:N1520,N1520),IF(LEN(COUNTIFS($J$1:J1520,$J1520,$K$1:K1520,$K1520,$L$1:L1520,$L1520,$M$1:M1520,M1520,$N$1:N1520,N1520))=2,"0"&amp;COUNTIFS($J$1:J1520,$J1520,$K$1:K1520,$K1520,$L$1:L1520,$L1520,$M$1:M1520,M1520,$N$1:N1520,N1520),COUNTIFS($J$1:J1520,$J1520,$K$1:K1520,$K1520,$L$1:L1520,$L1520,$M$1:M1520,M1520,$N$1:N1520,N1520)))</f>
        <v>011</v>
      </c>
      <c r="P1520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MS-NS-026-26-01011-INV</v>
      </c>
      <c r="Q1520" s="59"/>
      <c r="R1520" s="34" t="s">
        <v>5764</v>
      </c>
      <c r="S1520" s="34" t="s">
        <v>4334</v>
      </c>
      <c r="T1520" s="34">
        <f>+IFERROR(_xlfn.XLOOKUP(Table43[[#This Row],[Column1]],#REF!,#REF!),0)</f>
        <v>0</v>
      </c>
      <c r="U1520" s="50">
        <f>IFERROR(_xlfn.XLOOKUP(Table43[[#This Row],[Column1]],#REF!,#REF!),0)</f>
        <v>0</v>
      </c>
      <c r="V1520" s="39"/>
    </row>
    <row r="1521" spans="1:22" x14ac:dyDescent="0.35">
      <c r="A1521" s="6" t="s">
        <v>4333</v>
      </c>
      <c r="B1521" s="2" t="s">
        <v>4336</v>
      </c>
      <c r="C1521" s="2" t="s">
        <v>15</v>
      </c>
      <c r="D1521" s="2">
        <v>0</v>
      </c>
      <c r="E1521" s="2" t="s">
        <v>10</v>
      </c>
      <c r="F1521" s="2">
        <v>1</v>
      </c>
      <c r="G1521" s="2">
        <v>2</v>
      </c>
      <c r="H1521" s="2">
        <v>0</v>
      </c>
      <c r="I1521" s="22">
        <f>Table43[[#This Row],[Item Cost]]*Table43[[#This Row],[In Stock]]</f>
        <v>0</v>
      </c>
      <c r="J1521" s="3" t="s">
        <v>4941</v>
      </c>
      <c r="K1521" s="14" t="s">
        <v>4666</v>
      </c>
      <c r="L1521" s="14" t="s">
        <v>4725</v>
      </c>
      <c r="M1521" s="14" t="s">
        <v>4837</v>
      </c>
      <c r="N1521" s="3" t="s">
        <v>4845</v>
      </c>
      <c r="O1521" s="32" t="str">
        <f>IF(LEN(COUNTIFS($J$1:J1521,$J1521,$K$1:K1521,$K1521,$L$1:L1521,$L1521,$M$1:M1521,M1521,$N$1:N1521,N1521))=1,"00"&amp;COUNTIFS($J$1:J1521,$J1521,$K$1:K1521,$K1521,$L$1:L1521,$L1521,$M$1:M1521,M1521,$N$1:N1521,N1521),IF(LEN(COUNTIFS($J$1:J1521,$J1521,$K$1:K1521,$K1521,$L$1:L1521,$L1521,$M$1:M1521,M1521,$N$1:N1521,N1521))=2,"0"&amp;COUNTIFS($J$1:J1521,$J1521,$K$1:K1521,$K1521,$L$1:L1521,$L1521,$M$1:M1521,M1521,$N$1:N1521,N1521),COUNTIFS($J$1:J1521,$J1521,$K$1:K1521,$K1521,$L$1:L1521,$L1521,$M$1:M1521,M1521,$N$1:N1521,N1521)))</f>
        <v>012</v>
      </c>
      <c r="P1521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MS-NS-026-26-01012-INV</v>
      </c>
      <c r="Q1521" s="59"/>
      <c r="R1521" s="34" t="s">
        <v>5765</v>
      </c>
      <c r="S1521" s="34" t="s">
        <v>4336</v>
      </c>
      <c r="T1521" s="34">
        <f>+IFERROR(_xlfn.XLOOKUP(Table43[[#This Row],[Column1]],#REF!,#REF!),0)</f>
        <v>0</v>
      </c>
      <c r="U1521" s="50">
        <f>IFERROR(_xlfn.XLOOKUP(Table43[[#This Row],[Column1]],#REF!,#REF!),0)</f>
        <v>0</v>
      </c>
      <c r="V1521" s="39"/>
    </row>
    <row r="1522" spans="1:22" x14ac:dyDescent="0.35">
      <c r="A1522" s="6" t="s">
        <v>4335</v>
      </c>
      <c r="B1522" s="3" t="s">
        <v>4338</v>
      </c>
      <c r="C1522" s="3" t="s">
        <v>15</v>
      </c>
      <c r="D1522" s="3">
        <v>0</v>
      </c>
      <c r="E1522" s="3" t="s">
        <v>10</v>
      </c>
      <c r="F1522" s="2">
        <v>1</v>
      </c>
      <c r="G1522" s="2">
        <v>2</v>
      </c>
      <c r="H1522" s="3">
        <v>0</v>
      </c>
      <c r="I1522" s="21">
        <f>Table43[[#This Row],[Item Cost]]*Table43[[#This Row],[In Stock]]</f>
        <v>0</v>
      </c>
      <c r="J1522" s="3" t="s">
        <v>4941</v>
      </c>
      <c r="K1522" s="14" t="s">
        <v>4666</v>
      </c>
      <c r="L1522" s="14" t="s">
        <v>4725</v>
      </c>
      <c r="M1522" s="14" t="s">
        <v>4693</v>
      </c>
      <c r="N1522" s="3" t="s">
        <v>4845</v>
      </c>
      <c r="O1522" s="32" t="str">
        <f>IF(LEN(COUNTIFS($J$1:J1522,$J1522,$K$1:K1522,$K1522,$L$1:L1522,$L1522,$M$1:M1522,M1522,$N$1:N1522,N1522))=1,"00"&amp;COUNTIFS($J$1:J1522,$J1522,$K$1:K1522,$K1522,$L$1:L1522,$L1522,$M$1:M1522,M1522,$N$1:N1522,N1522),IF(LEN(COUNTIFS($J$1:J1522,$J1522,$K$1:K1522,$K1522,$L$1:L1522,$L1522,$M$1:M1522,M1522,$N$1:N1522,N1522))=2,"0"&amp;COUNTIFS($J$1:J1522,$J1522,$K$1:K1522,$K1522,$L$1:L1522,$L1522,$M$1:M1522,M1522,$N$1:N1522,N1522),COUNTIFS($J$1:J1522,$J1522,$K$1:K1522,$K1522,$L$1:L1522,$L1522,$M$1:M1522,M1522,$N$1:N1522,N1522)))</f>
        <v>001</v>
      </c>
      <c r="P1522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MS-NS-026-23-01001-INV</v>
      </c>
      <c r="Q1522" s="59" t="s">
        <v>7338</v>
      </c>
      <c r="R1522" s="34" t="s">
        <v>5766</v>
      </c>
      <c r="S1522" s="34" t="s">
        <v>4338</v>
      </c>
      <c r="T1522" s="34">
        <f>+IFERROR(_xlfn.XLOOKUP(Table43[[#This Row],[Column1]],#REF!,#REF!),0)</f>
        <v>0</v>
      </c>
      <c r="U1522" s="50">
        <f>IFERROR(_xlfn.XLOOKUP(Table43[[#This Row],[Column1]],#REF!,#REF!),0)</f>
        <v>0</v>
      </c>
      <c r="V1522" s="39"/>
    </row>
    <row r="1523" spans="1:22" x14ac:dyDescent="0.35">
      <c r="A1523" s="6" t="s">
        <v>4337</v>
      </c>
      <c r="B1523" s="2" t="s">
        <v>4340</v>
      </c>
      <c r="C1523" s="2" t="s">
        <v>9</v>
      </c>
      <c r="D1523" s="2">
        <v>1500</v>
      </c>
      <c r="E1523" s="2" t="s">
        <v>10</v>
      </c>
      <c r="F1523" s="2">
        <v>1</v>
      </c>
      <c r="G1523" s="3">
        <v>2</v>
      </c>
      <c r="H1523" s="2">
        <v>1</v>
      </c>
      <c r="I1523" s="22">
        <f>Table43[[#This Row],[Item Cost]]*Table43[[#This Row],[In Stock]]</f>
        <v>1500</v>
      </c>
      <c r="J1523" s="3" t="s">
        <v>4941</v>
      </c>
      <c r="K1523" s="14" t="s">
        <v>4664</v>
      </c>
      <c r="L1523" s="14" t="s">
        <v>4725</v>
      </c>
      <c r="M1523" s="14" t="s">
        <v>4733</v>
      </c>
      <c r="N1523" s="3" t="s">
        <v>4845</v>
      </c>
      <c r="O1523" s="32" t="str">
        <f>IF(LEN(COUNTIFS($J$1:J1523,$J1523,$K$1:K1523,$K1523,$L$1:L1523,$L1523,$M$1:M1523,M1523,$N$1:N1523,N1523))=1,"00"&amp;COUNTIFS($J$1:J1523,$J1523,$K$1:K1523,$K1523,$L$1:L1523,$L1523,$M$1:M1523,M1523,$N$1:N1523,N1523),IF(LEN(COUNTIFS($J$1:J1523,$J1523,$K$1:K1523,$K1523,$L$1:L1523,$L1523,$M$1:M1523,M1523,$N$1:N1523,N1523))=2,"0"&amp;COUNTIFS($J$1:J1523,$J1523,$K$1:K1523,$K1523,$L$1:L1523,$L1523,$M$1:M1523,M1523,$N$1:N1523,N1523),COUNTIFS($J$1:J1523,$J1523,$K$1:K1523,$K1523,$L$1:L1523,$L1523,$M$1:M1523,M1523,$N$1:N1523,N1523)))</f>
        <v>001</v>
      </c>
      <c r="P1523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MS-CS-026-01-01001-INV</v>
      </c>
      <c r="Q1523" s="59" t="s">
        <v>7398</v>
      </c>
      <c r="R1523" s="34" t="s">
        <v>5767</v>
      </c>
      <c r="S1523" s="34" t="s">
        <v>4340</v>
      </c>
      <c r="T1523" s="34">
        <f>+IFERROR(_xlfn.XLOOKUP(Table43[[#This Row],[Column1]],#REF!,#REF!),0)</f>
        <v>0</v>
      </c>
      <c r="U1523" s="50">
        <f>IFERROR(_xlfn.XLOOKUP(Table43[[#This Row],[Column1]],#REF!,#REF!),0)</f>
        <v>0</v>
      </c>
      <c r="V1523" s="39"/>
    </row>
    <row r="1524" spans="1:22" x14ac:dyDescent="0.35">
      <c r="A1524" s="6" t="s">
        <v>4339</v>
      </c>
      <c r="B1524" s="3" t="s">
        <v>4342</v>
      </c>
      <c r="C1524" s="3" t="s">
        <v>15</v>
      </c>
      <c r="D1524" s="3">
        <v>68</v>
      </c>
      <c r="E1524" s="3" t="s">
        <v>10</v>
      </c>
      <c r="F1524" s="3">
        <v>2</v>
      </c>
      <c r="G1524" s="3">
        <v>4</v>
      </c>
      <c r="H1524" s="3">
        <v>0</v>
      </c>
      <c r="I1524" s="21">
        <f>Table43[[#This Row],[Item Cost]]*Table43[[#This Row],[In Stock]]</f>
        <v>0</v>
      </c>
      <c r="J1524" s="3" t="s">
        <v>4941</v>
      </c>
      <c r="K1524" s="14" t="s">
        <v>4666</v>
      </c>
      <c r="L1524" s="14" t="s">
        <v>4725</v>
      </c>
      <c r="M1524" s="14" t="s">
        <v>4771</v>
      </c>
      <c r="N1524" s="3" t="s">
        <v>4845</v>
      </c>
      <c r="O1524" s="32" t="str">
        <f>IF(LEN(COUNTIFS($J$1:J1524,$J1524,$K$1:K1524,$K1524,$L$1:L1524,$L1524,$M$1:M1524,M1524,$N$1:N1524,N1524))=1,"00"&amp;COUNTIFS($J$1:J1524,$J1524,$K$1:K1524,$K1524,$L$1:L1524,$L1524,$M$1:M1524,M1524,$N$1:N1524,N1524),IF(LEN(COUNTIFS($J$1:J1524,$J1524,$K$1:K1524,$K1524,$L$1:L1524,$L1524,$M$1:M1524,M1524,$N$1:N1524,N1524))=2,"0"&amp;COUNTIFS($J$1:J1524,$J1524,$K$1:K1524,$K1524,$L$1:L1524,$L1524,$M$1:M1524,M1524,$N$1:N1524,N1524),COUNTIFS($J$1:J1524,$J1524,$K$1:K1524,$K1524,$L$1:L1524,$L1524,$M$1:M1524,M1524,$N$1:N1524,N1524)))</f>
        <v>001</v>
      </c>
      <c r="P1524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MS-NS-026-05-01001-INV</v>
      </c>
      <c r="Q1524" s="59"/>
      <c r="R1524" s="34" t="s">
        <v>5768</v>
      </c>
      <c r="S1524" s="34" t="s">
        <v>4342</v>
      </c>
      <c r="T1524" s="34">
        <f>+IFERROR(_xlfn.XLOOKUP(Table43[[#This Row],[Column1]],#REF!,#REF!),0)</f>
        <v>0</v>
      </c>
      <c r="U1524" s="50">
        <f>IFERROR(_xlfn.XLOOKUP(Table43[[#This Row],[Column1]],#REF!,#REF!),0)</f>
        <v>0</v>
      </c>
      <c r="V1524" s="39"/>
    </row>
    <row r="1525" spans="1:22" x14ac:dyDescent="0.35">
      <c r="A1525" s="3" t="s">
        <v>4341</v>
      </c>
      <c r="B1525" s="2" t="s">
        <v>4344</v>
      </c>
      <c r="C1525" s="2" t="s">
        <v>15</v>
      </c>
      <c r="D1525" s="2">
        <v>68</v>
      </c>
      <c r="E1525" s="2" t="s">
        <v>10</v>
      </c>
      <c r="F1525" s="3">
        <v>2</v>
      </c>
      <c r="G1525" s="3">
        <v>4</v>
      </c>
      <c r="H1525" s="2">
        <v>8</v>
      </c>
      <c r="I1525" s="22">
        <f>Table43[[#This Row],[Item Cost]]*Table43[[#This Row],[In Stock]]</f>
        <v>544</v>
      </c>
      <c r="J1525" s="3" t="s">
        <v>4941</v>
      </c>
      <c r="K1525" s="14" t="s">
        <v>4666</v>
      </c>
      <c r="L1525" s="14" t="s">
        <v>4725</v>
      </c>
      <c r="M1525" s="14" t="s">
        <v>4771</v>
      </c>
      <c r="N1525" s="3" t="s">
        <v>4845</v>
      </c>
      <c r="O1525" s="32" t="str">
        <f>IF(LEN(COUNTIFS($J$1:J1525,$J1525,$K$1:K1525,$K1525,$L$1:L1525,$L1525,$M$1:M1525,M1525,$N$1:N1525,N1525))=1,"00"&amp;COUNTIFS($J$1:J1525,$J1525,$K$1:K1525,$K1525,$L$1:L1525,$L1525,$M$1:M1525,M1525,$N$1:N1525,N1525),IF(LEN(COUNTIFS($J$1:J1525,$J1525,$K$1:K1525,$K1525,$L$1:L1525,$L1525,$M$1:M1525,M1525,$N$1:N1525,N1525))=2,"0"&amp;COUNTIFS($J$1:J1525,$J1525,$K$1:K1525,$K1525,$L$1:L1525,$L1525,$M$1:M1525,M1525,$N$1:N1525,N1525),COUNTIFS($J$1:J1525,$J1525,$K$1:K1525,$K1525,$L$1:L1525,$L1525,$M$1:M1525,M1525,$N$1:N1525,N1525)))</f>
        <v>002</v>
      </c>
      <c r="P1525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MS-NS-026-05-01002-INV</v>
      </c>
      <c r="Q1525" s="59" t="s">
        <v>7341</v>
      </c>
      <c r="R1525" s="34" t="s">
        <v>5769</v>
      </c>
      <c r="S1525" s="34" t="s">
        <v>4344</v>
      </c>
      <c r="T1525" s="34">
        <f>+IFERROR(_xlfn.XLOOKUP(Table43[[#This Row],[Column1]],#REF!,#REF!),0)</f>
        <v>0</v>
      </c>
      <c r="U1525" s="50">
        <f>IFERROR(_xlfn.XLOOKUP(Table43[[#This Row],[Column1]],#REF!,#REF!),0)</f>
        <v>0</v>
      </c>
      <c r="V1525" s="39"/>
    </row>
    <row r="1526" spans="1:22" x14ac:dyDescent="0.35">
      <c r="A1526" s="3" t="s">
        <v>4343</v>
      </c>
      <c r="B1526" s="3" t="s">
        <v>4346</v>
      </c>
      <c r="C1526" s="3" t="s">
        <v>9</v>
      </c>
      <c r="D1526" s="5">
        <v>1050</v>
      </c>
      <c r="E1526" s="3" t="s">
        <v>10</v>
      </c>
      <c r="F1526" s="2">
        <v>1</v>
      </c>
      <c r="G1526" s="3">
        <v>2</v>
      </c>
      <c r="H1526" s="3">
        <v>1</v>
      </c>
      <c r="I1526" s="21">
        <f>Table43[[#This Row],[Item Cost]]*Table43[[#This Row],[In Stock]]</f>
        <v>1050</v>
      </c>
      <c r="J1526" s="3" t="s">
        <v>4941</v>
      </c>
      <c r="K1526" s="14" t="s">
        <v>4664</v>
      </c>
      <c r="L1526" s="14" t="s">
        <v>4725</v>
      </c>
      <c r="M1526" s="14" t="s">
        <v>4772</v>
      </c>
      <c r="N1526" s="3" t="s">
        <v>4845</v>
      </c>
      <c r="O1526" s="32" t="str">
        <f>IF(LEN(COUNTIFS($J$1:J1526,$J1526,$K$1:K1526,$K1526,$L$1:L1526,$L1526,$M$1:M1526,M1526,$N$1:N1526,N1526))=1,"00"&amp;COUNTIFS($J$1:J1526,$J1526,$K$1:K1526,$K1526,$L$1:L1526,$L1526,$M$1:M1526,M1526,$N$1:N1526,N1526),IF(LEN(COUNTIFS($J$1:J1526,$J1526,$K$1:K1526,$K1526,$L$1:L1526,$L1526,$M$1:M1526,M1526,$N$1:N1526,N1526))=2,"0"&amp;COUNTIFS($J$1:J1526,$J1526,$K$1:K1526,$K1526,$L$1:L1526,$L1526,$M$1:M1526,M1526,$N$1:N1526,N1526),COUNTIFS($J$1:J1526,$J1526,$K$1:K1526,$K1526,$L$1:L1526,$L1526,$M$1:M1526,M1526,$N$1:N1526,N1526)))</f>
        <v>001</v>
      </c>
      <c r="P1526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MS-CS-026-06-01001-INV</v>
      </c>
      <c r="Q1526" s="59"/>
      <c r="R1526" s="34" t="s">
        <v>5770</v>
      </c>
      <c r="S1526" s="34" t="s">
        <v>4346</v>
      </c>
      <c r="T1526" s="34">
        <f>+IFERROR(_xlfn.XLOOKUP(Table43[[#This Row],[Column1]],#REF!,#REF!),0)</f>
        <v>0</v>
      </c>
      <c r="U1526" s="50">
        <f>IFERROR(_xlfn.XLOOKUP(Table43[[#This Row],[Column1]],#REF!,#REF!),0)</f>
        <v>0</v>
      </c>
      <c r="V1526" s="39"/>
    </row>
    <row r="1527" spans="1:22" x14ac:dyDescent="0.35">
      <c r="A1527" s="3" t="s">
        <v>4345</v>
      </c>
      <c r="B1527" s="2" t="s">
        <v>4348</v>
      </c>
      <c r="C1527" s="2" t="s">
        <v>9</v>
      </c>
      <c r="D1527" s="2">
        <v>4450</v>
      </c>
      <c r="E1527" s="2" t="s">
        <v>10</v>
      </c>
      <c r="F1527" s="2">
        <v>1</v>
      </c>
      <c r="G1527" s="3">
        <v>2</v>
      </c>
      <c r="H1527" s="2">
        <v>1</v>
      </c>
      <c r="I1527" s="22">
        <f>Table43[[#This Row],[Item Cost]]*Table43[[#This Row],[In Stock]]</f>
        <v>4450</v>
      </c>
      <c r="J1527" s="3" t="s">
        <v>4941</v>
      </c>
      <c r="K1527" s="14" t="s">
        <v>4664</v>
      </c>
      <c r="L1527" s="14" t="s">
        <v>4725</v>
      </c>
      <c r="M1527" s="14" t="s">
        <v>4772</v>
      </c>
      <c r="N1527" s="3" t="s">
        <v>4845</v>
      </c>
      <c r="O1527" s="32" t="str">
        <f>IF(LEN(COUNTIFS($J$1:J1527,$J1527,$K$1:K1527,$K1527,$L$1:L1527,$L1527,$M$1:M1527,M1527,$N$1:N1527,N1527))=1,"00"&amp;COUNTIFS($J$1:J1527,$J1527,$K$1:K1527,$K1527,$L$1:L1527,$L1527,$M$1:M1527,M1527,$N$1:N1527,N1527),IF(LEN(COUNTIFS($J$1:J1527,$J1527,$K$1:K1527,$K1527,$L$1:L1527,$L1527,$M$1:M1527,M1527,$N$1:N1527,N1527))=2,"0"&amp;COUNTIFS($J$1:J1527,$J1527,$K$1:K1527,$K1527,$L$1:L1527,$L1527,$M$1:M1527,M1527,$N$1:N1527,N1527),COUNTIFS($J$1:J1527,$J1527,$K$1:K1527,$K1527,$L$1:L1527,$L1527,$M$1:M1527,M1527,$N$1:N1527,N1527)))</f>
        <v>002</v>
      </c>
      <c r="P1527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MS-CS-026-06-01002-INV</v>
      </c>
      <c r="Q1527" s="59"/>
      <c r="R1527" s="34" t="s">
        <v>5771</v>
      </c>
      <c r="S1527" s="34" t="s">
        <v>4348</v>
      </c>
      <c r="T1527" s="34">
        <f>+IFERROR(_xlfn.XLOOKUP(Table43[[#This Row],[Column1]],#REF!,#REF!),0)</f>
        <v>0</v>
      </c>
      <c r="U1527" s="50">
        <f>IFERROR(_xlfn.XLOOKUP(Table43[[#This Row],[Column1]],#REF!,#REF!),0)</f>
        <v>0</v>
      </c>
      <c r="V1527" s="39"/>
    </row>
    <row r="1528" spans="1:22" x14ac:dyDescent="0.35">
      <c r="A1528" s="3" t="s">
        <v>4347</v>
      </c>
      <c r="B1528" s="3" t="s">
        <v>4350</v>
      </c>
      <c r="C1528" s="3" t="s">
        <v>9</v>
      </c>
      <c r="D1528" s="3">
        <v>850</v>
      </c>
      <c r="E1528" s="3" t="s">
        <v>10</v>
      </c>
      <c r="F1528" s="2">
        <v>1</v>
      </c>
      <c r="G1528" s="3">
        <v>2</v>
      </c>
      <c r="H1528" s="3">
        <v>2</v>
      </c>
      <c r="I1528" s="21">
        <f>Table43[[#This Row],[Item Cost]]*Table43[[#This Row],[In Stock]]</f>
        <v>1700</v>
      </c>
      <c r="J1528" s="3" t="s">
        <v>4941</v>
      </c>
      <c r="K1528" s="14" t="s">
        <v>4664</v>
      </c>
      <c r="L1528" s="14" t="s">
        <v>4725</v>
      </c>
      <c r="M1528" s="14" t="s">
        <v>4837</v>
      </c>
      <c r="N1528" s="3" t="s">
        <v>4845</v>
      </c>
      <c r="O1528" s="32" t="str">
        <f>IF(LEN(COUNTIFS($J$1:J1528,$J1528,$K$1:K1528,$K1528,$L$1:L1528,$L1528,$M$1:M1528,M1528,$N$1:N1528,N1528))=1,"00"&amp;COUNTIFS($J$1:J1528,$J1528,$K$1:K1528,$K1528,$L$1:L1528,$L1528,$M$1:M1528,M1528,$N$1:N1528,N1528),IF(LEN(COUNTIFS($J$1:J1528,$J1528,$K$1:K1528,$K1528,$L$1:L1528,$L1528,$M$1:M1528,M1528,$N$1:N1528,N1528))=2,"0"&amp;COUNTIFS($J$1:J1528,$J1528,$K$1:K1528,$K1528,$L$1:L1528,$L1528,$M$1:M1528,M1528,$N$1:N1528,N1528),COUNTIFS($J$1:J1528,$J1528,$K$1:K1528,$K1528,$L$1:L1528,$L1528,$M$1:M1528,M1528,$N$1:N1528,N1528)))</f>
        <v>001</v>
      </c>
      <c r="P1528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MS-CS-026-26-01001-INV</v>
      </c>
      <c r="Q1528" s="59"/>
      <c r="R1528" s="34" t="s">
        <v>5772</v>
      </c>
      <c r="S1528" s="34" t="s">
        <v>4350</v>
      </c>
      <c r="T1528" s="34">
        <f>+IFERROR(_xlfn.XLOOKUP(Table43[[#This Row],[Column1]],#REF!,#REF!),0)</f>
        <v>0</v>
      </c>
      <c r="U1528" s="50">
        <f>IFERROR(_xlfn.XLOOKUP(Table43[[#This Row],[Column1]],#REF!,#REF!),0)</f>
        <v>0</v>
      </c>
      <c r="V1528" s="39"/>
    </row>
    <row r="1529" spans="1:22" x14ac:dyDescent="0.35">
      <c r="A1529" s="3" t="s">
        <v>4349</v>
      </c>
      <c r="B1529" s="2" t="s">
        <v>4352</v>
      </c>
      <c r="C1529" s="2" t="s">
        <v>9</v>
      </c>
      <c r="D1529" s="4">
        <v>650</v>
      </c>
      <c r="E1529" s="2" t="s">
        <v>10</v>
      </c>
      <c r="F1529" s="2">
        <v>1</v>
      </c>
      <c r="G1529" s="3">
        <v>2</v>
      </c>
      <c r="H1529" s="2">
        <v>2</v>
      </c>
      <c r="I1529" s="22">
        <f>Table43[[#This Row],[Item Cost]]*Table43[[#This Row],[In Stock]]</f>
        <v>1300</v>
      </c>
      <c r="J1529" s="3" t="s">
        <v>4941</v>
      </c>
      <c r="K1529" s="14" t="s">
        <v>4664</v>
      </c>
      <c r="L1529" s="14" t="s">
        <v>4725</v>
      </c>
      <c r="M1529" s="14" t="s">
        <v>4837</v>
      </c>
      <c r="N1529" s="3" t="s">
        <v>4845</v>
      </c>
      <c r="O1529" s="32" t="str">
        <f>IF(LEN(COUNTIFS($J$1:J1529,$J1529,$K$1:K1529,$K1529,$L$1:L1529,$L1529,$M$1:M1529,M1529,$N$1:N1529,N1529))=1,"00"&amp;COUNTIFS($J$1:J1529,$J1529,$K$1:K1529,$K1529,$L$1:L1529,$L1529,$M$1:M1529,M1529,$N$1:N1529,N1529),IF(LEN(COUNTIFS($J$1:J1529,$J1529,$K$1:K1529,$K1529,$L$1:L1529,$L1529,$M$1:M1529,M1529,$N$1:N1529,N1529))=2,"0"&amp;COUNTIFS($J$1:J1529,$J1529,$K$1:K1529,$K1529,$L$1:L1529,$L1529,$M$1:M1529,M1529,$N$1:N1529,N1529),COUNTIFS($J$1:J1529,$J1529,$K$1:K1529,$K1529,$L$1:L1529,$L1529,$M$1:M1529,M1529,$N$1:N1529,N1529)))</f>
        <v>002</v>
      </c>
      <c r="P1529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MS-CS-026-26-01002-INV</v>
      </c>
      <c r="Q1529" s="59"/>
      <c r="R1529" s="34" t="s">
        <v>5773</v>
      </c>
      <c r="S1529" s="34" t="s">
        <v>4352</v>
      </c>
      <c r="T1529" s="34">
        <f>+IFERROR(_xlfn.XLOOKUP(Table43[[#This Row],[Column1]],#REF!,#REF!),0)</f>
        <v>0</v>
      </c>
      <c r="U1529" s="50">
        <f>IFERROR(_xlfn.XLOOKUP(Table43[[#This Row],[Column1]],#REF!,#REF!),0)</f>
        <v>0</v>
      </c>
      <c r="V1529" s="39"/>
    </row>
    <row r="1530" spans="1:22" x14ac:dyDescent="0.35">
      <c r="A1530" s="3" t="s">
        <v>4351</v>
      </c>
      <c r="B1530" s="3" t="s">
        <v>4354</v>
      </c>
      <c r="C1530" s="3" t="s">
        <v>15</v>
      </c>
      <c r="D1530" s="5">
        <v>0</v>
      </c>
      <c r="E1530" s="3" t="s">
        <v>10</v>
      </c>
      <c r="F1530" s="2">
        <v>1</v>
      </c>
      <c r="G1530" s="2">
        <v>2</v>
      </c>
      <c r="H1530" s="3">
        <v>0</v>
      </c>
      <c r="I1530" s="21">
        <f>Table43[[#This Row],[Item Cost]]*Table43[[#This Row],[In Stock]]</f>
        <v>0</v>
      </c>
      <c r="J1530" s="3" t="s">
        <v>4941</v>
      </c>
      <c r="K1530" s="14" t="s">
        <v>4666</v>
      </c>
      <c r="L1530" s="14" t="s">
        <v>4725</v>
      </c>
      <c r="M1530" s="14" t="s">
        <v>4837</v>
      </c>
      <c r="N1530" s="3" t="s">
        <v>4845</v>
      </c>
      <c r="O1530" s="32" t="str">
        <f>IF(LEN(COUNTIFS($J$1:J1530,$J1530,$K$1:K1530,$K1530,$L$1:L1530,$L1530,$M$1:M1530,M1530,$N$1:N1530,N1530))=1,"00"&amp;COUNTIFS($J$1:J1530,$J1530,$K$1:K1530,$K1530,$L$1:L1530,$L1530,$M$1:M1530,M1530,$N$1:N1530,N1530),IF(LEN(COUNTIFS($J$1:J1530,$J1530,$K$1:K1530,$K1530,$L$1:L1530,$L1530,$M$1:M1530,M1530,$N$1:N1530,N1530))=2,"0"&amp;COUNTIFS($J$1:J1530,$J1530,$K$1:K1530,$K1530,$L$1:L1530,$L1530,$M$1:M1530,M1530,$N$1:N1530,N1530),COUNTIFS($J$1:J1530,$J1530,$K$1:K1530,$K1530,$L$1:L1530,$L1530,$M$1:M1530,M1530,$N$1:N1530,N1530)))</f>
        <v>013</v>
      </c>
      <c r="P1530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MS-NS-026-26-01013-INV</v>
      </c>
      <c r="Q1530" s="59"/>
      <c r="R1530" s="34" t="s">
        <v>5774</v>
      </c>
      <c r="S1530" s="34" t="s">
        <v>4354</v>
      </c>
      <c r="T1530" s="34">
        <f>+IFERROR(_xlfn.XLOOKUP(Table43[[#This Row],[Column1]],#REF!,#REF!),0)</f>
        <v>0</v>
      </c>
      <c r="U1530" s="50">
        <f>IFERROR(_xlfn.XLOOKUP(Table43[[#This Row],[Column1]],#REF!,#REF!),0)</f>
        <v>0</v>
      </c>
      <c r="V1530" s="39"/>
    </row>
    <row r="1531" spans="1:22" x14ac:dyDescent="0.35">
      <c r="A1531" s="3" t="s">
        <v>4369</v>
      </c>
      <c r="B1531" s="3" t="s">
        <v>4370</v>
      </c>
      <c r="C1531" s="3" t="s">
        <v>9</v>
      </c>
      <c r="D1531" s="3">
        <v>1740.2139999999999</v>
      </c>
      <c r="E1531" s="3" t="s">
        <v>10</v>
      </c>
      <c r="F1531" s="2">
        <v>1</v>
      </c>
      <c r="G1531" s="3">
        <v>2</v>
      </c>
      <c r="H1531" s="3">
        <v>40</v>
      </c>
      <c r="I1531" s="21">
        <f>Table43[[#This Row],[Item Cost]]*Table43[[#This Row],[In Stock]]</f>
        <v>69608.56</v>
      </c>
      <c r="J1531" s="3" t="s">
        <v>4941</v>
      </c>
      <c r="K1531" s="14" t="s">
        <v>4664</v>
      </c>
      <c r="L1531" s="14" t="s">
        <v>4727</v>
      </c>
      <c r="M1531" s="14" t="s">
        <v>4693</v>
      </c>
      <c r="N1531" s="3" t="s">
        <v>4846</v>
      </c>
      <c r="O1531" s="32" t="str">
        <f>IF(LEN(COUNTIFS($J$1:J1531,$J1531,$K$1:K1531,$K1531,$L$1:L1531,$L1531,$M$1:M1531,M1531,$N$1:N1531,N1531))=1,"00"&amp;COUNTIFS($J$1:J1531,$J1531,$K$1:K1531,$K1531,$L$1:L1531,$L1531,$M$1:M1531,M1531,$N$1:N1531,N1531),IF(LEN(COUNTIFS($J$1:J1531,$J1531,$K$1:K1531,$K1531,$L$1:L1531,$L1531,$M$1:M1531,M1531,$N$1:N1531,N1531))=2,"0"&amp;COUNTIFS($J$1:J1531,$J1531,$K$1:K1531,$K1531,$L$1:L1531,$L1531,$M$1:M1531,M1531,$N$1:N1531,N1531),COUNTIFS($J$1:J1531,$J1531,$K$1:K1531,$K1531,$L$1:L1531,$L1531,$M$1:M1531,M1531,$N$1:N1531,N1531)))</f>
        <v>001</v>
      </c>
      <c r="P1531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MS-CS-027-23-02001-INV</v>
      </c>
      <c r="Q1531" s="59" t="s">
        <v>7346</v>
      </c>
      <c r="R1531" s="34" t="s">
        <v>5775</v>
      </c>
      <c r="S1531" s="34" t="s">
        <v>4370</v>
      </c>
      <c r="T1531" s="34">
        <f>+IFERROR(_xlfn.XLOOKUP(Table43[[#This Row],[Column1]],#REF!,#REF!),0)</f>
        <v>0</v>
      </c>
      <c r="U1531" s="50">
        <f>IFERROR(_xlfn.XLOOKUP(Table43[[#This Row],[Column1]],#REF!,#REF!),0)</f>
        <v>0</v>
      </c>
      <c r="V1531" s="39"/>
    </row>
    <row r="1532" spans="1:22" x14ac:dyDescent="0.35">
      <c r="A1532" s="2" t="s">
        <v>4371</v>
      </c>
      <c r="B1532" s="2" t="s">
        <v>4372</v>
      </c>
      <c r="C1532" s="2" t="s">
        <v>9</v>
      </c>
      <c r="D1532" s="2">
        <v>558.22</v>
      </c>
      <c r="E1532" s="2" t="s">
        <v>10</v>
      </c>
      <c r="F1532" s="2">
        <v>1</v>
      </c>
      <c r="G1532" s="3">
        <v>2</v>
      </c>
      <c r="H1532" s="2">
        <v>5</v>
      </c>
      <c r="I1532" s="22">
        <f>Table43[[#This Row],[Item Cost]]*Table43[[#This Row],[In Stock]]</f>
        <v>2791.1000000000004</v>
      </c>
      <c r="J1532" s="3" t="s">
        <v>4941</v>
      </c>
      <c r="K1532" s="14" t="s">
        <v>4664</v>
      </c>
      <c r="L1532" s="14" t="s">
        <v>4727</v>
      </c>
      <c r="M1532" s="14" t="s">
        <v>4837</v>
      </c>
      <c r="N1532" s="3" t="s">
        <v>4846</v>
      </c>
      <c r="O1532" s="32" t="str">
        <f>IF(LEN(COUNTIFS($J$1:J1532,$J1532,$K$1:K1532,$K1532,$L$1:L1532,$L1532,$M$1:M1532,M1532,$N$1:N1532,N1532))=1,"00"&amp;COUNTIFS($J$1:J1532,$J1532,$K$1:K1532,$K1532,$L$1:L1532,$L1532,$M$1:M1532,M1532,$N$1:N1532,N1532),IF(LEN(COUNTIFS($J$1:J1532,$J1532,$K$1:K1532,$K1532,$L$1:L1532,$L1532,$M$1:M1532,M1532,$N$1:N1532,N1532))=2,"0"&amp;COUNTIFS($J$1:J1532,$J1532,$K$1:K1532,$K1532,$L$1:L1532,$L1532,$M$1:M1532,M1532,$N$1:N1532,N1532),COUNTIFS($J$1:J1532,$J1532,$K$1:K1532,$K1532,$L$1:L1532,$L1532,$M$1:M1532,M1532,$N$1:N1532,N1532)))</f>
        <v>001</v>
      </c>
      <c r="P1532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MS-CS-027-26-02001-INV</v>
      </c>
      <c r="Q1532" s="59" t="s">
        <v>7346</v>
      </c>
      <c r="R1532" s="34" t="s">
        <v>5776</v>
      </c>
      <c r="S1532" s="34" t="s">
        <v>4372</v>
      </c>
      <c r="T1532" s="34">
        <f>+IFERROR(_xlfn.XLOOKUP(Table43[[#This Row],[Column1]],#REF!,#REF!),0)</f>
        <v>0</v>
      </c>
      <c r="U1532" s="50">
        <f>IFERROR(_xlfn.XLOOKUP(Table43[[#This Row],[Column1]],#REF!,#REF!),0)</f>
        <v>0</v>
      </c>
      <c r="V1532" s="39"/>
    </row>
    <row r="1533" spans="1:22" x14ac:dyDescent="0.35">
      <c r="A1533" s="3" t="s">
        <v>4373</v>
      </c>
      <c r="B1533" s="3" t="s">
        <v>4374</v>
      </c>
      <c r="C1533" s="3" t="s">
        <v>9</v>
      </c>
      <c r="D1533" s="3">
        <v>4825.6670000000004</v>
      </c>
      <c r="E1533" s="3" t="s">
        <v>10</v>
      </c>
      <c r="F1533" s="2">
        <v>1</v>
      </c>
      <c r="G1533" s="3">
        <v>2</v>
      </c>
      <c r="H1533" s="3">
        <v>3</v>
      </c>
      <c r="I1533" s="21">
        <f>Table43[[#This Row],[Item Cost]]*Table43[[#This Row],[In Stock]]</f>
        <v>14477.001</v>
      </c>
      <c r="J1533" s="3" t="s">
        <v>4941</v>
      </c>
      <c r="K1533" s="14" t="s">
        <v>4664</v>
      </c>
      <c r="L1533" s="14" t="s">
        <v>4727</v>
      </c>
      <c r="M1533" s="14" t="s">
        <v>4693</v>
      </c>
      <c r="N1533" s="3" t="s">
        <v>4846</v>
      </c>
      <c r="O1533" s="32" t="str">
        <f>IF(LEN(COUNTIFS($J$1:J1533,$J1533,$K$1:K1533,$K1533,$L$1:L1533,$L1533,$M$1:M1533,M1533,$N$1:N1533,N1533))=1,"00"&amp;COUNTIFS($J$1:J1533,$J1533,$K$1:K1533,$K1533,$L$1:L1533,$L1533,$M$1:M1533,M1533,$N$1:N1533,N1533),IF(LEN(COUNTIFS($J$1:J1533,$J1533,$K$1:K1533,$K1533,$L$1:L1533,$L1533,$M$1:M1533,M1533,$N$1:N1533,N1533))=2,"0"&amp;COUNTIFS($J$1:J1533,$J1533,$K$1:K1533,$K1533,$L$1:L1533,$L1533,$M$1:M1533,M1533,$N$1:N1533,N1533),COUNTIFS($J$1:J1533,$J1533,$K$1:K1533,$K1533,$L$1:L1533,$L1533,$M$1:M1533,M1533,$N$1:N1533,N1533)))</f>
        <v>002</v>
      </c>
      <c r="P1533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MS-CS-027-23-02002-INV</v>
      </c>
      <c r="Q1533" s="59" t="s">
        <v>7346</v>
      </c>
      <c r="R1533" s="34" t="s">
        <v>5777</v>
      </c>
      <c r="S1533" s="34" t="s">
        <v>4374</v>
      </c>
      <c r="T1533" s="34">
        <f>+IFERROR(_xlfn.XLOOKUP(Table43[[#This Row],[Column1]],#REF!,#REF!),0)</f>
        <v>0</v>
      </c>
      <c r="U1533" s="50">
        <f>IFERROR(_xlfn.XLOOKUP(Table43[[#This Row],[Column1]],#REF!,#REF!),0)</f>
        <v>0</v>
      </c>
      <c r="V1533" s="39"/>
    </row>
    <row r="1534" spans="1:22" x14ac:dyDescent="0.35">
      <c r="A1534" s="3" t="s">
        <v>4375</v>
      </c>
      <c r="B1534" s="2" t="s">
        <v>4376</v>
      </c>
      <c r="C1534" s="2" t="s">
        <v>9</v>
      </c>
      <c r="D1534" s="4">
        <v>985</v>
      </c>
      <c r="E1534" s="2" t="s">
        <v>10</v>
      </c>
      <c r="F1534" s="2">
        <v>1</v>
      </c>
      <c r="G1534" s="3">
        <v>2</v>
      </c>
      <c r="H1534" s="2">
        <v>1</v>
      </c>
      <c r="I1534" s="22">
        <f>Table43[[#This Row],[Item Cost]]*Table43[[#This Row],[In Stock]]</f>
        <v>985</v>
      </c>
      <c r="J1534" s="3" t="s">
        <v>4941</v>
      </c>
      <c r="K1534" s="14" t="s">
        <v>4664</v>
      </c>
      <c r="L1534" s="14" t="s">
        <v>4727</v>
      </c>
      <c r="M1534" s="14" t="s">
        <v>4693</v>
      </c>
      <c r="N1534" s="3" t="s">
        <v>4846</v>
      </c>
      <c r="O1534" s="32" t="str">
        <f>IF(LEN(COUNTIFS($J$1:J1534,$J1534,$K$1:K1534,$K1534,$L$1:L1534,$L1534,$M$1:M1534,M1534,$N$1:N1534,N1534))=1,"00"&amp;COUNTIFS($J$1:J1534,$J1534,$K$1:K1534,$K1534,$L$1:L1534,$L1534,$M$1:M1534,M1534,$N$1:N1534,N1534),IF(LEN(COUNTIFS($J$1:J1534,$J1534,$K$1:K1534,$K1534,$L$1:L1534,$L1534,$M$1:M1534,M1534,$N$1:N1534,N1534))=2,"0"&amp;COUNTIFS($J$1:J1534,$J1534,$K$1:K1534,$K1534,$L$1:L1534,$L1534,$M$1:M1534,M1534,$N$1:N1534,N1534),COUNTIFS($J$1:J1534,$J1534,$K$1:K1534,$K1534,$L$1:L1534,$L1534,$M$1:M1534,M1534,$N$1:N1534,N1534)))</f>
        <v>003</v>
      </c>
      <c r="P1534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MS-CS-027-23-02003-INV</v>
      </c>
      <c r="Q1534" s="59" t="s">
        <v>7336</v>
      </c>
      <c r="R1534" s="34" t="s">
        <v>5778</v>
      </c>
      <c r="S1534" s="34" t="s">
        <v>4376</v>
      </c>
      <c r="T1534" s="34">
        <f>+IFERROR(_xlfn.XLOOKUP(Table43[[#This Row],[Column1]],#REF!,#REF!),0)</f>
        <v>0</v>
      </c>
      <c r="U1534" s="50">
        <f>IFERROR(_xlfn.XLOOKUP(Table43[[#This Row],[Column1]],#REF!,#REF!),0)</f>
        <v>0</v>
      </c>
      <c r="V1534" s="39"/>
    </row>
    <row r="1535" spans="1:22" x14ac:dyDescent="0.35">
      <c r="A1535" s="2" t="s">
        <v>4377</v>
      </c>
      <c r="B1535" s="3" t="s">
        <v>4378</v>
      </c>
      <c r="C1535" s="3" t="s">
        <v>15</v>
      </c>
      <c r="D1535" s="3">
        <v>34.817999999999998</v>
      </c>
      <c r="E1535" s="3" t="s">
        <v>10</v>
      </c>
      <c r="F1535" s="2">
        <v>1</v>
      </c>
      <c r="G1535" s="2">
        <v>2</v>
      </c>
      <c r="H1535" s="3">
        <v>0</v>
      </c>
      <c r="I1535" s="21">
        <f>Table43[[#This Row],[Item Cost]]*Table43[[#This Row],[In Stock]]</f>
        <v>0</v>
      </c>
      <c r="J1535" s="3" t="s">
        <v>4941</v>
      </c>
      <c r="K1535" s="14" t="s">
        <v>4666</v>
      </c>
      <c r="L1535" s="14" t="s">
        <v>4727</v>
      </c>
      <c r="M1535" s="14" t="s">
        <v>4828</v>
      </c>
      <c r="N1535" s="3" t="s">
        <v>4846</v>
      </c>
      <c r="O1535" s="32" t="str">
        <f>IF(LEN(COUNTIFS($J$1:J1535,$J1535,$K$1:K1535,$K1535,$L$1:L1535,$L1535,$M$1:M1535,M1535,$N$1:N1535,N1535))=1,"00"&amp;COUNTIFS($J$1:J1535,$J1535,$K$1:K1535,$K1535,$L$1:L1535,$L1535,$M$1:M1535,M1535,$N$1:N1535,N1535),IF(LEN(COUNTIFS($J$1:J1535,$J1535,$K$1:K1535,$K1535,$L$1:L1535,$L1535,$M$1:M1535,M1535,$N$1:N1535,N1535))=2,"0"&amp;COUNTIFS($J$1:J1535,$J1535,$K$1:K1535,$K1535,$L$1:L1535,$L1535,$M$1:M1535,M1535,$N$1:N1535,N1535),COUNTIFS($J$1:J1535,$J1535,$K$1:K1535,$K1535,$L$1:L1535,$L1535,$M$1:M1535,M1535,$N$1:N1535,N1535)))</f>
        <v>001</v>
      </c>
      <c r="P1535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MS-NS-027-13-02001-INV</v>
      </c>
      <c r="Q1535" s="59"/>
      <c r="R1535" s="34" t="s">
        <v>5779</v>
      </c>
      <c r="S1535" s="34" t="s">
        <v>4378</v>
      </c>
      <c r="T1535" s="34">
        <f>+IFERROR(_xlfn.XLOOKUP(Table43[[#This Row],[Column1]],#REF!,#REF!),0)</f>
        <v>0</v>
      </c>
      <c r="U1535" s="50">
        <f>IFERROR(_xlfn.XLOOKUP(Table43[[#This Row],[Column1]],#REF!,#REF!),0)</f>
        <v>0</v>
      </c>
      <c r="V1535" s="39"/>
    </row>
    <row r="1536" spans="1:22" x14ac:dyDescent="0.35">
      <c r="A1536" s="3" t="s">
        <v>4379</v>
      </c>
      <c r="B1536" s="2" t="s">
        <v>4380</v>
      </c>
      <c r="C1536" s="2" t="s">
        <v>9</v>
      </c>
      <c r="D1536" s="4">
        <v>1290</v>
      </c>
      <c r="E1536" s="2" t="s">
        <v>10</v>
      </c>
      <c r="F1536" s="2">
        <v>1</v>
      </c>
      <c r="G1536" s="3">
        <v>2</v>
      </c>
      <c r="H1536" s="2">
        <v>1</v>
      </c>
      <c r="I1536" s="22">
        <f>Table43[[#This Row],[Item Cost]]*Table43[[#This Row],[In Stock]]</f>
        <v>1290</v>
      </c>
      <c r="J1536" s="3" t="s">
        <v>4941</v>
      </c>
      <c r="K1536" s="14" t="s">
        <v>4664</v>
      </c>
      <c r="L1536" s="14" t="s">
        <v>4727</v>
      </c>
      <c r="M1536" s="14" t="s">
        <v>4693</v>
      </c>
      <c r="N1536" s="3" t="s">
        <v>4846</v>
      </c>
      <c r="O1536" s="32" t="str">
        <f>IF(LEN(COUNTIFS($J$1:J1536,$J1536,$K$1:K1536,$K1536,$L$1:L1536,$L1536,$M$1:M1536,M1536,$N$1:N1536,N1536))=1,"00"&amp;COUNTIFS($J$1:J1536,$J1536,$K$1:K1536,$K1536,$L$1:L1536,$L1536,$M$1:M1536,M1536,$N$1:N1536,N1536),IF(LEN(COUNTIFS($J$1:J1536,$J1536,$K$1:K1536,$K1536,$L$1:L1536,$L1536,$M$1:M1536,M1536,$N$1:N1536,N1536))=2,"0"&amp;COUNTIFS($J$1:J1536,$J1536,$K$1:K1536,$K1536,$L$1:L1536,$L1536,$M$1:M1536,M1536,$N$1:N1536,N1536),COUNTIFS($J$1:J1536,$J1536,$K$1:K1536,$K1536,$L$1:L1536,$L1536,$M$1:M1536,M1536,$N$1:N1536,N1536)))</f>
        <v>004</v>
      </c>
      <c r="P1536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MS-CS-027-23-02004-INV</v>
      </c>
      <c r="Q1536" s="59" t="s">
        <v>7336</v>
      </c>
      <c r="R1536" s="34" t="s">
        <v>5780</v>
      </c>
      <c r="S1536" s="34" t="s">
        <v>4380</v>
      </c>
      <c r="T1536" s="34">
        <f>+IFERROR(_xlfn.XLOOKUP(Table43[[#This Row],[Column1]],#REF!,#REF!),0)</f>
        <v>0</v>
      </c>
      <c r="U1536" s="50">
        <f>IFERROR(_xlfn.XLOOKUP(Table43[[#This Row],[Column1]],#REF!,#REF!),0)</f>
        <v>0</v>
      </c>
      <c r="V1536" s="39"/>
    </row>
    <row r="1537" spans="1:22" x14ac:dyDescent="0.35">
      <c r="A1537" s="3" t="s">
        <v>4381</v>
      </c>
      <c r="B1537" s="3" t="s">
        <v>4382</v>
      </c>
      <c r="C1537" s="3" t="s">
        <v>15</v>
      </c>
      <c r="D1537" s="3">
        <v>30.181999999999999</v>
      </c>
      <c r="E1537" s="3" t="s">
        <v>10</v>
      </c>
      <c r="F1537" s="2">
        <v>1</v>
      </c>
      <c r="G1537" s="2">
        <v>2</v>
      </c>
      <c r="H1537" s="3">
        <v>0</v>
      </c>
      <c r="I1537" s="21">
        <f>Table43[[#This Row],[Item Cost]]*Table43[[#This Row],[In Stock]]</f>
        <v>0</v>
      </c>
      <c r="J1537" s="3" t="s">
        <v>4941</v>
      </c>
      <c r="K1537" s="14" t="s">
        <v>4666</v>
      </c>
      <c r="L1537" s="14" t="s">
        <v>4727</v>
      </c>
      <c r="M1537" s="14" t="s">
        <v>4828</v>
      </c>
      <c r="N1537" s="3" t="s">
        <v>4846</v>
      </c>
      <c r="O1537" s="32" t="str">
        <f>IF(LEN(COUNTIFS($J$1:J1537,$J1537,$K$1:K1537,$K1537,$L$1:L1537,$L1537,$M$1:M1537,M1537,$N$1:N1537,N1537))=1,"00"&amp;COUNTIFS($J$1:J1537,$J1537,$K$1:K1537,$K1537,$L$1:L1537,$L1537,$M$1:M1537,M1537,$N$1:N1537,N1537),IF(LEN(COUNTIFS($J$1:J1537,$J1537,$K$1:K1537,$K1537,$L$1:L1537,$L1537,$M$1:M1537,M1537,$N$1:N1537,N1537))=2,"0"&amp;COUNTIFS($J$1:J1537,$J1537,$K$1:K1537,$K1537,$L$1:L1537,$L1537,$M$1:M1537,M1537,$N$1:N1537,N1537),COUNTIFS($J$1:J1537,$J1537,$K$1:K1537,$K1537,$L$1:L1537,$L1537,$M$1:M1537,M1537,$N$1:N1537,N1537)))</f>
        <v>002</v>
      </c>
      <c r="P1537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MS-NS-027-13-02002-INV</v>
      </c>
      <c r="Q1537" s="59"/>
      <c r="R1537" s="34" t="s">
        <v>5781</v>
      </c>
      <c r="S1537" s="34" t="s">
        <v>4382</v>
      </c>
      <c r="T1537" s="34">
        <f>+IFERROR(_xlfn.XLOOKUP(Table43[[#This Row],[Column1]],#REF!,#REF!),0)</f>
        <v>0</v>
      </c>
      <c r="U1537" s="50">
        <f>IFERROR(_xlfn.XLOOKUP(Table43[[#This Row],[Column1]],#REF!,#REF!),0)</f>
        <v>0</v>
      </c>
      <c r="V1537" s="39"/>
    </row>
    <row r="1538" spans="1:22" x14ac:dyDescent="0.35">
      <c r="A1538" s="2" t="s">
        <v>4383</v>
      </c>
      <c r="B1538" s="2" t="s">
        <v>4384</v>
      </c>
      <c r="C1538" s="2" t="s">
        <v>9</v>
      </c>
      <c r="D1538" s="2">
        <v>210</v>
      </c>
      <c r="E1538" s="2" t="s">
        <v>10</v>
      </c>
      <c r="F1538" s="2">
        <v>1</v>
      </c>
      <c r="G1538" s="3">
        <v>2</v>
      </c>
      <c r="H1538" s="2">
        <v>3</v>
      </c>
      <c r="I1538" s="22">
        <f>Table43[[#This Row],[Item Cost]]*Table43[[#This Row],[In Stock]]</f>
        <v>630</v>
      </c>
      <c r="J1538" s="3" t="s">
        <v>4941</v>
      </c>
      <c r="K1538" s="14" t="s">
        <v>4664</v>
      </c>
      <c r="L1538" s="14" t="s">
        <v>4727</v>
      </c>
      <c r="M1538" s="14" t="s">
        <v>4827</v>
      </c>
      <c r="N1538" s="3" t="s">
        <v>4846</v>
      </c>
      <c r="O1538" s="32" t="str">
        <f>IF(LEN(COUNTIFS($J$1:J1538,$J1538,$K$1:K1538,$K1538,$L$1:L1538,$L1538,$M$1:M1538,M1538,$N$1:N1538,N1538))=1,"00"&amp;COUNTIFS($J$1:J1538,$J1538,$K$1:K1538,$K1538,$L$1:L1538,$L1538,$M$1:M1538,M1538,$N$1:N1538,N1538),IF(LEN(COUNTIFS($J$1:J1538,$J1538,$K$1:K1538,$K1538,$L$1:L1538,$L1538,$M$1:M1538,M1538,$N$1:N1538,N1538))=2,"0"&amp;COUNTIFS($J$1:J1538,$J1538,$K$1:K1538,$K1538,$L$1:L1538,$L1538,$M$1:M1538,M1538,$N$1:N1538,N1538),COUNTIFS($J$1:J1538,$J1538,$K$1:K1538,$K1538,$L$1:L1538,$L1538,$M$1:M1538,M1538,$N$1:N1538,N1538)))</f>
        <v>001</v>
      </c>
      <c r="P1538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MS-CS-027-10-02001-INV</v>
      </c>
      <c r="Q1538" s="59"/>
      <c r="R1538" s="34" t="s">
        <v>5782</v>
      </c>
      <c r="S1538" s="34" t="s">
        <v>4384</v>
      </c>
      <c r="T1538" s="34">
        <f>+IFERROR(_xlfn.XLOOKUP(Table43[[#This Row],[Column1]],#REF!,#REF!),0)</f>
        <v>0</v>
      </c>
      <c r="U1538" s="50">
        <f>IFERROR(_xlfn.XLOOKUP(Table43[[#This Row],[Column1]],#REF!,#REF!),0)</f>
        <v>0</v>
      </c>
      <c r="V1538" s="39"/>
    </row>
    <row r="1539" spans="1:22" x14ac:dyDescent="0.35">
      <c r="A1539" s="3" t="s">
        <v>4385</v>
      </c>
      <c r="B1539" s="3" t="s">
        <v>4386</v>
      </c>
      <c r="C1539" s="3" t="s">
        <v>9</v>
      </c>
      <c r="D1539" s="5">
        <v>285</v>
      </c>
      <c r="E1539" s="3" t="s">
        <v>10</v>
      </c>
      <c r="F1539" s="2">
        <v>1</v>
      </c>
      <c r="G1539" s="3">
        <v>2</v>
      </c>
      <c r="H1539" s="3">
        <v>3</v>
      </c>
      <c r="I1539" s="21">
        <f>Table43[[#This Row],[Item Cost]]*Table43[[#This Row],[In Stock]]</f>
        <v>855</v>
      </c>
      <c r="J1539" s="3" t="s">
        <v>4941</v>
      </c>
      <c r="K1539" s="14" t="s">
        <v>4664</v>
      </c>
      <c r="L1539" s="14" t="s">
        <v>4727</v>
      </c>
      <c r="M1539" s="14" t="s">
        <v>4827</v>
      </c>
      <c r="N1539" s="3" t="s">
        <v>4846</v>
      </c>
      <c r="O1539" s="32" t="str">
        <f>IF(LEN(COUNTIFS($J$1:J1539,$J1539,$K$1:K1539,$K1539,$L$1:L1539,$L1539,$M$1:M1539,M1539,$N$1:N1539,N1539))=1,"00"&amp;COUNTIFS($J$1:J1539,$J1539,$K$1:K1539,$K1539,$L$1:L1539,$L1539,$M$1:M1539,M1539,$N$1:N1539,N1539),IF(LEN(COUNTIFS($J$1:J1539,$J1539,$K$1:K1539,$K1539,$L$1:L1539,$L1539,$M$1:M1539,M1539,$N$1:N1539,N1539))=2,"0"&amp;COUNTIFS($J$1:J1539,$J1539,$K$1:K1539,$K1539,$L$1:L1539,$L1539,$M$1:M1539,M1539,$N$1:N1539,N1539),COUNTIFS($J$1:J1539,$J1539,$K$1:K1539,$K1539,$L$1:L1539,$L1539,$M$1:M1539,M1539,$N$1:N1539,N1539)))</f>
        <v>002</v>
      </c>
      <c r="P1539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MS-CS-027-10-02002-INV</v>
      </c>
      <c r="Q1539" s="59"/>
      <c r="R1539" s="34" t="s">
        <v>5783</v>
      </c>
      <c r="S1539" s="34" t="s">
        <v>4386</v>
      </c>
      <c r="T1539" s="34">
        <f>+IFERROR(_xlfn.XLOOKUP(Table43[[#This Row],[Column1]],#REF!,#REF!),0)</f>
        <v>0</v>
      </c>
      <c r="U1539" s="50">
        <f>IFERROR(_xlfn.XLOOKUP(Table43[[#This Row],[Column1]],#REF!,#REF!),0)</f>
        <v>0</v>
      </c>
      <c r="V1539" s="39"/>
    </row>
    <row r="1540" spans="1:22" x14ac:dyDescent="0.35">
      <c r="A1540" s="3" t="s">
        <v>4387</v>
      </c>
      <c r="B1540" s="2" t="s">
        <v>4388</v>
      </c>
      <c r="C1540" s="2" t="s">
        <v>9</v>
      </c>
      <c r="D1540" s="2">
        <v>35</v>
      </c>
      <c r="E1540" s="2" t="s">
        <v>10</v>
      </c>
      <c r="F1540" s="2">
        <v>1</v>
      </c>
      <c r="G1540" s="3">
        <v>2</v>
      </c>
      <c r="H1540" s="2">
        <v>10</v>
      </c>
      <c r="I1540" s="22">
        <f>Table43[[#This Row],[Item Cost]]*Table43[[#This Row],[In Stock]]</f>
        <v>350</v>
      </c>
      <c r="J1540" s="3" t="s">
        <v>4941</v>
      </c>
      <c r="K1540" s="14" t="s">
        <v>4664</v>
      </c>
      <c r="L1540" s="14" t="s">
        <v>4727</v>
      </c>
      <c r="M1540" s="14" t="s">
        <v>4827</v>
      </c>
      <c r="N1540" s="3" t="s">
        <v>4846</v>
      </c>
      <c r="O1540" s="32" t="str">
        <f>IF(LEN(COUNTIFS($J$1:J1540,$J1540,$K$1:K1540,$K1540,$L$1:L1540,$L1540,$M$1:M1540,M1540,$N$1:N1540,N1540))=1,"00"&amp;COUNTIFS($J$1:J1540,$J1540,$K$1:K1540,$K1540,$L$1:L1540,$L1540,$M$1:M1540,M1540,$N$1:N1540,N1540),IF(LEN(COUNTIFS($J$1:J1540,$J1540,$K$1:K1540,$K1540,$L$1:L1540,$L1540,$M$1:M1540,M1540,$N$1:N1540,N1540))=2,"0"&amp;COUNTIFS($J$1:J1540,$J1540,$K$1:K1540,$K1540,$L$1:L1540,$L1540,$M$1:M1540,M1540,$N$1:N1540,N1540),COUNTIFS($J$1:J1540,$J1540,$K$1:K1540,$K1540,$L$1:L1540,$L1540,$M$1:M1540,M1540,$N$1:N1540,N1540)))</f>
        <v>003</v>
      </c>
      <c r="P1540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MS-CS-027-10-02003-INV</v>
      </c>
      <c r="Q1540" s="59"/>
      <c r="R1540" s="34" t="s">
        <v>5784</v>
      </c>
      <c r="S1540" s="34" t="s">
        <v>4388</v>
      </c>
      <c r="T1540" s="34">
        <f>+IFERROR(_xlfn.XLOOKUP(Table43[[#This Row],[Column1]],#REF!,#REF!),0)</f>
        <v>0</v>
      </c>
      <c r="U1540" s="50">
        <f>IFERROR(_xlfn.XLOOKUP(Table43[[#This Row],[Column1]],#REF!,#REF!),0)</f>
        <v>0</v>
      </c>
      <c r="V1540" s="39"/>
    </row>
    <row r="1541" spans="1:22" x14ac:dyDescent="0.35">
      <c r="A1541" s="2" t="s">
        <v>4389</v>
      </c>
      <c r="B1541" s="3" t="s">
        <v>4390</v>
      </c>
      <c r="C1541" s="3" t="s">
        <v>9</v>
      </c>
      <c r="D1541" s="3">
        <v>50</v>
      </c>
      <c r="E1541" s="3" t="s">
        <v>10</v>
      </c>
      <c r="F1541" s="2">
        <v>1</v>
      </c>
      <c r="G1541" s="3">
        <v>2</v>
      </c>
      <c r="H1541" s="3">
        <v>10</v>
      </c>
      <c r="I1541" s="21">
        <f>Table43[[#This Row],[Item Cost]]*Table43[[#This Row],[In Stock]]</f>
        <v>500</v>
      </c>
      <c r="J1541" s="3" t="s">
        <v>4941</v>
      </c>
      <c r="K1541" s="14" t="s">
        <v>4664</v>
      </c>
      <c r="L1541" s="14" t="s">
        <v>4727</v>
      </c>
      <c r="M1541" s="14" t="s">
        <v>4827</v>
      </c>
      <c r="N1541" s="3" t="s">
        <v>4846</v>
      </c>
      <c r="O1541" s="32" t="str">
        <f>IF(LEN(COUNTIFS($J$1:J1541,$J1541,$K$1:K1541,$K1541,$L$1:L1541,$L1541,$M$1:M1541,M1541,$N$1:N1541,N1541))=1,"00"&amp;COUNTIFS($J$1:J1541,$J1541,$K$1:K1541,$K1541,$L$1:L1541,$L1541,$M$1:M1541,M1541,$N$1:N1541,N1541),IF(LEN(COUNTIFS($J$1:J1541,$J1541,$K$1:K1541,$K1541,$L$1:L1541,$L1541,$M$1:M1541,M1541,$N$1:N1541,N1541))=2,"0"&amp;COUNTIFS($J$1:J1541,$J1541,$K$1:K1541,$K1541,$L$1:L1541,$L1541,$M$1:M1541,M1541,$N$1:N1541,N1541),COUNTIFS($J$1:J1541,$J1541,$K$1:K1541,$K1541,$L$1:L1541,$L1541,$M$1:M1541,M1541,$N$1:N1541,N1541)))</f>
        <v>004</v>
      </c>
      <c r="P1541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MS-CS-027-10-02004-INV</v>
      </c>
      <c r="Q1541" s="59"/>
      <c r="R1541" s="34" t="s">
        <v>5785</v>
      </c>
      <c r="S1541" s="34" t="s">
        <v>4390</v>
      </c>
      <c r="T1541" s="34">
        <f>+IFERROR(_xlfn.XLOOKUP(Table43[[#This Row],[Column1]],#REF!,#REF!),0)</f>
        <v>0</v>
      </c>
      <c r="U1541" s="50">
        <f>IFERROR(_xlfn.XLOOKUP(Table43[[#This Row],[Column1]],#REF!,#REF!),0)</f>
        <v>0</v>
      </c>
      <c r="V1541" s="39"/>
    </row>
    <row r="1542" spans="1:22" x14ac:dyDescent="0.35">
      <c r="A1542" s="3" t="s">
        <v>4391</v>
      </c>
      <c r="B1542" s="2" t="s">
        <v>4392</v>
      </c>
      <c r="C1542" s="2" t="s">
        <v>9</v>
      </c>
      <c r="D1542" s="2">
        <v>128</v>
      </c>
      <c r="E1542" s="2" t="s">
        <v>10</v>
      </c>
      <c r="F1542" s="2">
        <v>1</v>
      </c>
      <c r="G1542" s="3">
        <v>2</v>
      </c>
      <c r="H1542" s="2">
        <v>5</v>
      </c>
      <c r="I1542" s="22">
        <f>Table43[[#This Row],[Item Cost]]*Table43[[#This Row],[In Stock]]</f>
        <v>640</v>
      </c>
      <c r="J1542" s="3" t="s">
        <v>4941</v>
      </c>
      <c r="K1542" s="14" t="s">
        <v>4664</v>
      </c>
      <c r="L1542" s="14" t="s">
        <v>4727</v>
      </c>
      <c r="M1542" s="14" t="s">
        <v>4693</v>
      </c>
      <c r="N1542" s="3" t="s">
        <v>4846</v>
      </c>
      <c r="O1542" s="32" t="str">
        <f>IF(LEN(COUNTIFS($J$1:J1542,$J1542,$K$1:K1542,$K1542,$L$1:L1542,$L1542,$M$1:M1542,M1542,$N$1:N1542,N1542))=1,"00"&amp;COUNTIFS($J$1:J1542,$J1542,$K$1:K1542,$K1542,$L$1:L1542,$L1542,$M$1:M1542,M1542,$N$1:N1542,N1542),IF(LEN(COUNTIFS($J$1:J1542,$J1542,$K$1:K1542,$K1542,$L$1:L1542,$L1542,$M$1:M1542,M1542,$N$1:N1542,N1542))=2,"0"&amp;COUNTIFS($J$1:J1542,$J1542,$K$1:K1542,$K1542,$L$1:L1542,$L1542,$M$1:M1542,M1542,$N$1:N1542,N1542),COUNTIFS($J$1:J1542,$J1542,$K$1:K1542,$K1542,$L$1:L1542,$L1542,$M$1:M1542,M1542,$N$1:N1542,N1542)))</f>
        <v>005</v>
      </c>
      <c r="P1542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MS-CS-027-23-02005-INV</v>
      </c>
      <c r="Q1542" s="59"/>
      <c r="R1542" s="34" t="s">
        <v>5786</v>
      </c>
      <c r="S1542" s="34" t="s">
        <v>4392</v>
      </c>
      <c r="T1542" s="34">
        <f>+IFERROR(_xlfn.XLOOKUP(Table43[[#This Row],[Column1]],#REF!,#REF!),0)</f>
        <v>0</v>
      </c>
      <c r="U1542" s="50">
        <f>IFERROR(_xlfn.XLOOKUP(Table43[[#This Row],[Column1]],#REF!,#REF!),0)</f>
        <v>0</v>
      </c>
      <c r="V1542" s="39"/>
    </row>
    <row r="1543" spans="1:22" x14ac:dyDescent="0.35">
      <c r="A1543" s="3" t="s">
        <v>4393</v>
      </c>
      <c r="B1543" s="3" t="s">
        <v>4394</v>
      </c>
      <c r="C1543" s="3" t="s">
        <v>9</v>
      </c>
      <c r="D1543" s="3">
        <v>950</v>
      </c>
      <c r="E1543" s="3" t="s">
        <v>10</v>
      </c>
      <c r="F1543" s="2">
        <v>1</v>
      </c>
      <c r="G1543" s="3">
        <v>2</v>
      </c>
      <c r="H1543" s="3">
        <v>1</v>
      </c>
      <c r="I1543" s="21">
        <f>Table43[[#This Row],[Item Cost]]*Table43[[#This Row],[In Stock]]</f>
        <v>950</v>
      </c>
      <c r="J1543" s="3" t="s">
        <v>4941</v>
      </c>
      <c r="K1543" s="14" t="s">
        <v>4664</v>
      </c>
      <c r="L1543" s="14" t="s">
        <v>4727</v>
      </c>
      <c r="M1543" s="14" t="s">
        <v>4693</v>
      </c>
      <c r="N1543" s="3" t="s">
        <v>4846</v>
      </c>
      <c r="O1543" s="32" t="str">
        <f>IF(LEN(COUNTIFS($J$1:J1543,$J1543,$K$1:K1543,$K1543,$L$1:L1543,$L1543,$M$1:M1543,M1543,$N$1:N1543,N1543))=1,"00"&amp;COUNTIFS($J$1:J1543,$J1543,$K$1:K1543,$K1543,$L$1:L1543,$L1543,$M$1:M1543,M1543,$N$1:N1543,N1543),IF(LEN(COUNTIFS($J$1:J1543,$J1543,$K$1:K1543,$K1543,$L$1:L1543,$L1543,$M$1:M1543,M1543,$N$1:N1543,N1543))=2,"0"&amp;COUNTIFS($J$1:J1543,$J1543,$K$1:K1543,$K1543,$L$1:L1543,$L1543,$M$1:M1543,M1543,$N$1:N1543,N1543),COUNTIFS($J$1:J1543,$J1543,$K$1:K1543,$K1543,$L$1:L1543,$L1543,$M$1:M1543,M1543,$N$1:N1543,N1543)))</f>
        <v>006</v>
      </c>
      <c r="P1543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MS-CS-027-23-02006-INV</v>
      </c>
      <c r="Q1543" s="59"/>
      <c r="R1543" s="34" t="s">
        <v>5787</v>
      </c>
      <c r="S1543" s="34" t="s">
        <v>4394</v>
      </c>
      <c r="T1543" s="34">
        <f>+IFERROR(_xlfn.XLOOKUP(Table43[[#This Row],[Column1]],#REF!,#REF!),0)</f>
        <v>0</v>
      </c>
      <c r="U1543" s="50">
        <f>IFERROR(_xlfn.XLOOKUP(Table43[[#This Row],[Column1]],#REF!,#REF!),0)</f>
        <v>0</v>
      </c>
      <c r="V1543" s="39"/>
    </row>
    <row r="1544" spans="1:22" x14ac:dyDescent="0.35">
      <c r="A1544" s="2" t="s">
        <v>4395</v>
      </c>
      <c r="B1544" s="2" t="s">
        <v>4396</v>
      </c>
      <c r="C1544" s="2" t="s">
        <v>9</v>
      </c>
      <c r="D1544" s="2">
        <v>1475</v>
      </c>
      <c r="E1544" s="2" t="s">
        <v>10</v>
      </c>
      <c r="F1544" s="2">
        <v>1</v>
      </c>
      <c r="G1544" s="3">
        <v>2</v>
      </c>
      <c r="H1544" s="2">
        <v>1</v>
      </c>
      <c r="I1544" s="22">
        <f>Table43[[#This Row],[Item Cost]]*Table43[[#This Row],[In Stock]]</f>
        <v>1475</v>
      </c>
      <c r="J1544" s="3" t="s">
        <v>4941</v>
      </c>
      <c r="K1544" s="14" t="s">
        <v>4664</v>
      </c>
      <c r="L1544" s="14" t="s">
        <v>4727</v>
      </c>
      <c r="M1544" s="14" t="s">
        <v>4775</v>
      </c>
      <c r="N1544" s="3" t="s">
        <v>4846</v>
      </c>
      <c r="O1544" s="32" t="str">
        <f>IF(LEN(COUNTIFS($J$1:J1544,$J1544,$K$1:K1544,$K1544,$L$1:L1544,$L1544,$M$1:M1544,M1544,$N$1:N1544,N1544))=1,"00"&amp;COUNTIFS($J$1:J1544,$J1544,$K$1:K1544,$K1544,$L$1:L1544,$L1544,$M$1:M1544,M1544,$N$1:N1544,N1544),IF(LEN(COUNTIFS($J$1:J1544,$J1544,$K$1:K1544,$K1544,$L$1:L1544,$L1544,$M$1:M1544,M1544,$N$1:N1544,N1544))=2,"0"&amp;COUNTIFS($J$1:J1544,$J1544,$K$1:K1544,$K1544,$L$1:L1544,$L1544,$M$1:M1544,M1544,$N$1:N1544,N1544),COUNTIFS($J$1:J1544,$J1544,$K$1:K1544,$K1544,$L$1:L1544,$L1544,$M$1:M1544,M1544,$N$1:N1544,N1544)))</f>
        <v>001</v>
      </c>
      <c r="P1544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MS-CS-027-09-02001-INV</v>
      </c>
      <c r="Q1544" s="59" t="s">
        <v>7346</v>
      </c>
      <c r="R1544" s="34" t="s">
        <v>5788</v>
      </c>
      <c r="S1544" s="34" t="s">
        <v>4396</v>
      </c>
      <c r="T1544" s="34">
        <f>+IFERROR(_xlfn.XLOOKUP(Table43[[#This Row],[Column1]],#REF!,#REF!),0)</f>
        <v>0</v>
      </c>
      <c r="U1544" s="50">
        <f>IFERROR(_xlfn.XLOOKUP(Table43[[#This Row],[Column1]],#REF!,#REF!),0)</f>
        <v>0</v>
      </c>
      <c r="V1544" s="39"/>
    </row>
    <row r="1545" spans="1:22" x14ac:dyDescent="0.35">
      <c r="A1545" s="3" t="s">
        <v>4397</v>
      </c>
      <c r="B1545" s="3" t="s">
        <v>4398</v>
      </c>
      <c r="C1545" s="3" t="s">
        <v>9</v>
      </c>
      <c r="D1545" s="3">
        <v>742.06</v>
      </c>
      <c r="E1545" s="3" t="s">
        <v>10</v>
      </c>
      <c r="F1545" s="2">
        <v>1</v>
      </c>
      <c r="G1545" s="3">
        <v>2</v>
      </c>
      <c r="H1545" s="3">
        <v>12</v>
      </c>
      <c r="I1545" s="21">
        <f>Table43[[#This Row],[Item Cost]]*Table43[[#This Row],[In Stock]]</f>
        <v>8904.7199999999993</v>
      </c>
      <c r="J1545" s="3" t="s">
        <v>4941</v>
      </c>
      <c r="K1545" s="14" t="s">
        <v>4664</v>
      </c>
      <c r="L1545" s="14" t="s">
        <v>4727</v>
      </c>
      <c r="M1545" s="14" t="s">
        <v>4770</v>
      </c>
      <c r="N1545" s="3" t="s">
        <v>4846</v>
      </c>
      <c r="O1545" s="32" t="str">
        <f>IF(LEN(COUNTIFS($J$1:J1545,$J1545,$K$1:K1545,$K1545,$L$1:L1545,$L1545,$M$1:M1545,M1545,$N$1:N1545,N1545))=1,"00"&amp;COUNTIFS($J$1:J1545,$J1545,$K$1:K1545,$K1545,$L$1:L1545,$L1545,$M$1:M1545,M1545,$N$1:N1545,N1545),IF(LEN(COUNTIFS($J$1:J1545,$J1545,$K$1:K1545,$K1545,$L$1:L1545,$L1545,$M$1:M1545,M1545,$N$1:N1545,N1545))=2,"0"&amp;COUNTIFS($J$1:J1545,$J1545,$K$1:K1545,$K1545,$L$1:L1545,$L1545,$M$1:M1545,M1545,$N$1:N1545,N1545),COUNTIFS($J$1:J1545,$J1545,$K$1:K1545,$K1545,$L$1:L1545,$L1545,$M$1:M1545,M1545,$N$1:N1545,N1545)))</f>
        <v>001</v>
      </c>
      <c r="P1545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MS-CS-027-04-02001-INV</v>
      </c>
      <c r="Q1545" s="59" t="s">
        <v>7336</v>
      </c>
      <c r="R1545" s="34" t="s">
        <v>5789</v>
      </c>
      <c r="S1545" s="34" t="s">
        <v>4398</v>
      </c>
      <c r="T1545" s="34">
        <f>+IFERROR(_xlfn.XLOOKUP(Table43[[#This Row],[Column1]],#REF!,#REF!),0)</f>
        <v>0</v>
      </c>
      <c r="U1545" s="50">
        <f>IFERROR(_xlfn.XLOOKUP(Table43[[#This Row],[Column1]],#REF!,#REF!),0)</f>
        <v>0</v>
      </c>
      <c r="V1545" s="39"/>
    </row>
    <row r="1546" spans="1:22" x14ac:dyDescent="0.35">
      <c r="A1546" s="3" t="s">
        <v>4401</v>
      </c>
      <c r="B1546" s="3" t="s">
        <v>4402</v>
      </c>
      <c r="C1546" s="3" t="s">
        <v>15</v>
      </c>
      <c r="D1546" s="5">
        <v>13250</v>
      </c>
      <c r="E1546" s="3" t="s">
        <v>10</v>
      </c>
      <c r="F1546" s="2">
        <v>0</v>
      </c>
      <c r="G1546" s="2">
        <v>2</v>
      </c>
      <c r="H1546" s="3">
        <v>0</v>
      </c>
      <c r="I1546" s="21">
        <f>Table43[[#This Row],[Item Cost]]*Table43[[#This Row],[In Stock]]</f>
        <v>0</v>
      </c>
      <c r="J1546" s="3" t="s">
        <v>4941</v>
      </c>
      <c r="K1546" s="14" t="s">
        <v>4666</v>
      </c>
      <c r="L1546" s="14" t="s">
        <v>4693</v>
      </c>
      <c r="M1546" s="14" t="s">
        <v>4837</v>
      </c>
      <c r="N1546" s="3" t="s">
        <v>4672</v>
      </c>
      <c r="O1546" s="32" t="str">
        <f>IF(LEN(COUNTIFS($J$1:J1546,$J1546,$K$1:K1546,$K1546,$L$1:L1546,$L1546,$M$1:M1546,M1546,$N$1:N1546,N1546))=1,"00"&amp;COUNTIFS($J$1:J1546,$J1546,$K$1:K1546,$K1546,$L$1:L1546,$L1546,$M$1:M1546,M1546,$N$1:N1546,N1546),IF(LEN(COUNTIFS($J$1:J1546,$J1546,$K$1:K1546,$K1546,$L$1:L1546,$L1546,$M$1:M1546,M1546,$N$1:N1546,N1546))=2,"0"&amp;COUNTIFS($J$1:J1546,$J1546,$K$1:K1546,$K1546,$L$1:L1546,$L1546,$M$1:M1546,M1546,$N$1:N1546,N1546),COUNTIFS($J$1:J1546,$J1546,$K$1:K1546,$K1546,$L$1:L1546,$L1546,$M$1:M1546,M1546,$N$1:N1546,N1546)))</f>
        <v>001</v>
      </c>
      <c r="P1546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MS-NS-012-26-00001-INV</v>
      </c>
      <c r="Q1546" s="59"/>
      <c r="R1546" s="34" t="s">
        <v>5790</v>
      </c>
      <c r="S1546" s="34" t="s">
        <v>4402</v>
      </c>
      <c r="T1546" s="34">
        <f>+IFERROR(_xlfn.XLOOKUP(Table43[[#This Row],[Column1]],#REF!,#REF!),0)</f>
        <v>0</v>
      </c>
      <c r="U1546" s="50">
        <f>IFERROR(_xlfn.XLOOKUP(Table43[[#This Row],[Column1]],#REF!,#REF!),0)</f>
        <v>0</v>
      </c>
      <c r="V1546" s="39"/>
    </row>
    <row r="1547" spans="1:22" x14ac:dyDescent="0.35">
      <c r="A1547" s="2" t="s">
        <v>4403</v>
      </c>
      <c r="B1547" s="2" t="s">
        <v>4404</v>
      </c>
      <c r="C1547" s="2" t="s">
        <v>15</v>
      </c>
      <c r="D1547" s="2">
        <v>0</v>
      </c>
      <c r="E1547" s="2" t="s">
        <v>10</v>
      </c>
      <c r="F1547" s="3">
        <v>0</v>
      </c>
      <c r="G1547" s="3">
        <v>4</v>
      </c>
      <c r="H1547" s="2">
        <v>0</v>
      </c>
      <c r="I1547" s="22">
        <f>Table43[[#This Row],[Item Cost]]*Table43[[#This Row],[In Stock]]</f>
        <v>0</v>
      </c>
      <c r="J1547" s="3" t="s">
        <v>4941</v>
      </c>
      <c r="K1547" s="14" t="s">
        <v>4666</v>
      </c>
      <c r="L1547" s="14" t="s">
        <v>4693</v>
      </c>
      <c r="M1547" s="14" t="s">
        <v>4771</v>
      </c>
      <c r="N1547" s="3" t="s">
        <v>4672</v>
      </c>
      <c r="O1547" s="32" t="str">
        <f>IF(LEN(COUNTIFS($J$1:J1547,$J1547,$K$1:K1547,$K1547,$L$1:L1547,$L1547,$M$1:M1547,M1547,$N$1:N1547,N1547))=1,"00"&amp;COUNTIFS($J$1:J1547,$J1547,$K$1:K1547,$K1547,$L$1:L1547,$L1547,$M$1:M1547,M1547,$N$1:N1547,N1547),IF(LEN(COUNTIFS($J$1:J1547,$J1547,$K$1:K1547,$K1547,$L$1:L1547,$L1547,$M$1:M1547,M1547,$N$1:N1547,N1547))=2,"0"&amp;COUNTIFS($J$1:J1547,$J1547,$K$1:K1547,$K1547,$L$1:L1547,$L1547,$M$1:M1547,M1547,$N$1:N1547,N1547),COUNTIFS($J$1:J1547,$J1547,$K$1:K1547,$K1547,$L$1:L1547,$L1547,$M$1:M1547,M1547,$N$1:N1547,N1547)))</f>
        <v>001</v>
      </c>
      <c r="P1547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MS-NS-012-05-00001-INV</v>
      </c>
      <c r="Q1547" s="59"/>
      <c r="R1547" s="34" t="s">
        <v>5791</v>
      </c>
      <c r="S1547" s="34" t="s">
        <v>4404</v>
      </c>
      <c r="T1547" s="34">
        <f>+IFERROR(_xlfn.XLOOKUP(Table43[[#This Row],[Column1]],#REF!,#REF!),0)</f>
        <v>0</v>
      </c>
      <c r="U1547" s="50">
        <f>IFERROR(_xlfn.XLOOKUP(Table43[[#This Row],[Column1]],#REF!,#REF!),0)</f>
        <v>0</v>
      </c>
      <c r="V1547" s="39"/>
    </row>
    <row r="1548" spans="1:22" x14ac:dyDescent="0.35">
      <c r="A1548" s="3" t="s">
        <v>4405</v>
      </c>
      <c r="B1548" s="3" t="s">
        <v>4406</v>
      </c>
      <c r="C1548" s="3" t="s">
        <v>15</v>
      </c>
      <c r="D1548" s="3">
        <v>0</v>
      </c>
      <c r="E1548" s="3" t="s">
        <v>10</v>
      </c>
      <c r="F1548" s="3">
        <v>0</v>
      </c>
      <c r="G1548" s="3">
        <v>4</v>
      </c>
      <c r="H1548" s="3">
        <v>0</v>
      </c>
      <c r="I1548" s="21">
        <f>Table43[[#This Row],[Item Cost]]*Table43[[#This Row],[In Stock]]</f>
        <v>0</v>
      </c>
      <c r="J1548" s="3" t="s">
        <v>4941</v>
      </c>
      <c r="K1548" s="14" t="s">
        <v>4666</v>
      </c>
      <c r="L1548" s="14" t="s">
        <v>4693</v>
      </c>
      <c r="M1548" s="14" t="s">
        <v>4771</v>
      </c>
      <c r="N1548" s="3" t="s">
        <v>4672</v>
      </c>
      <c r="O1548" s="32" t="str">
        <f>IF(LEN(COUNTIFS($J$1:J1548,$J1548,$K$1:K1548,$K1548,$L$1:L1548,$L1548,$M$1:M1548,M1548,$N$1:N1548,N1548))=1,"00"&amp;COUNTIFS($J$1:J1548,$J1548,$K$1:K1548,$K1548,$L$1:L1548,$L1548,$M$1:M1548,M1548,$N$1:N1548,N1548),IF(LEN(COUNTIFS($J$1:J1548,$J1548,$K$1:K1548,$K1548,$L$1:L1548,$L1548,$M$1:M1548,M1548,$N$1:N1548,N1548))=2,"0"&amp;COUNTIFS($J$1:J1548,$J1548,$K$1:K1548,$K1548,$L$1:L1548,$L1548,$M$1:M1548,M1548,$N$1:N1548,N1548),COUNTIFS($J$1:J1548,$J1548,$K$1:K1548,$K1548,$L$1:L1548,$L1548,$M$1:M1548,M1548,$N$1:N1548,N1548)))</f>
        <v>002</v>
      </c>
      <c r="P1548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MS-NS-012-05-00002-INV</v>
      </c>
      <c r="Q1548" s="59"/>
      <c r="R1548" s="34" t="s">
        <v>5792</v>
      </c>
      <c r="S1548" s="34" t="s">
        <v>4406</v>
      </c>
      <c r="T1548" s="34">
        <f>+IFERROR(_xlfn.XLOOKUP(Table43[[#This Row],[Column1]],#REF!,#REF!),0)</f>
        <v>0</v>
      </c>
      <c r="U1548" s="50">
        <f>IFERROR(_xlfn.XLOOKUP(Table43[[#This Row],[Column1]],#REF!,#REF!),0)</f>
        <v>0</v>
      </c>
      <c r="V1548" s="39"/>
    </row>
    <row r="1549" spans="1:22" x14ac:dyDescent="0.35">
      <c r="A1549" s="2" t="s">
        <v>4407</v>
      </c>
      <c r="B1549" s="2" t="s">
        <v>4408</v>
      </c>
      <c r="C1549" s="2" t="s">
        <v>15</v>
      </c>
      <c r="D1549" s="4">
        <v>35</v>
      </c>
      <c r="E1549" s="2" t="s">
        <v>10</v>
      </c>
      <c r="F1549" s="2">
        <v>0</v>
      </c>
      <c r="G1549" s="2">
        <v>2</v>
      </c>
      <c r="H1549" s="2">
        <v>2</v>
      </c>
      <c r="I1549" s="22">
        <f>Table43[[#This Row],[Item Cost]]*Table43[[#This Row],[In Stock]]</f>
        <v>70</v>
      </c>
      <c r="J1549" s="3" t="s">
        <v>4941</v>
      </c>
      <c r="K1549" s="14" t="s">
        <v>4666</v>
      </c>
      <c r="L1549" s="14" t="s">
        <v>4693</v>
      </c>
      <c r="M1549" s="14" t="s">
        <v>4771</v>
      </c>
      <c r="N1549" s="3" t="s">
        <v>4672</v>
      </c>
      <c r="O1549" s="32" t="str">
        <f>IF(LEN(COUNTIFS($J$1:J1549,$J1549,$K$1:K1549,$K1549,$L$1:L1549,$L1549,$M$1:M1549,M1549,$N$1:N1549,N1549))=1,"00"&amp;COUNTIFS($J$1:J1549,$J1549,$K$1:K1549,$K1549,$L$1:L1549,$L1549,$M$1:M1549,M1549,$N$1:N1549,N1549),IF(LEN(COUNTIFS($J$1:J1549,$J1549,$K$1:K1549,$K1549,$L$1:L1549,$L1549,$M$1:M1549,M1549,$N$1:N1549,N1549))=2,"0"&amp;COUNTIFS($J$1:J1549,$J1549,$K$1:K1549,$K1549,$L$1:L1549,$L1549,$M$1:M1549,M1549,$N$1:N1549,N1549),COUNTIFS($J$1:J1549,$J1549,$K$1:K1549,$K1549,$L$1:L1549,$L1549,$M$1:M1549,M1549,$N$1:N1549,N1549)))</f>
        <v>003</v>
      </c>
      <c r="P1549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MS-NS-012-05-00003-INV</v>
      </c>
      <c r="Q1549" s="59"/>
      <c r="R1549" s="34" t="s">
        <v>5793</v>
      </c>
      <c r="S1549" s="34" t="s">
        <v>4408</v>
      </c>
      <c r="T1549" s="34">
        <f>+IFERROR(_xlfn.XLOOKUP(Table43[[#This Row],[Column1]],#REF!,#REF!),0)</f>
        <v>0</v>
      </c>
      <c r="U1549" s="50">
        <f>IFERROR(_xlfn.XLOOKUP(Table43[[#This Row],[Column1]],#REF!,#REF!),0)</f>
        <v>0</v>
      </c>
      <c r="V1549" s="39"/>
    </row>
    <row r="1550" spans="1:22" x14ac:dyDescent="0.35">
      <c r="A1550" s="3" t="s">
        <v>4409</v>
      </c>
      <c r="B1550" s="3" t="s">
        <v>4410</v>
      </c>
      <c r="C1550" s="3" t="s">
        <v>15</v>
      </c>
      <c r="D1550" s="3">
        <v>850</v>
      </c>
      <c r="E1550" s="3" t="s">
        <v>10</v>
      </c>
      <c r="F1550" s="2">
        <v>0</v>
      </c>
      <c r="G1550" s="2">
        <v>2</v>
      </c>
      <c r="H1550" s="3">
        <v>2</v>
      </c>
      <c r="I1550" s="21">
        <f>Table43[[#This Row],[Item Cost]]*Table43[[#This Row],[In Stock]]</f>
        <v>1700</v>
      </c>
      <c r="J1550" s="3" t="s">
        <v>4941</v>
      </c>
      <c r="K1550" s="14" t="s">
        <v>4666</v>
      </c>
      <c r="L1550" s="14" t="s">
        <v>4693</v>
      </c>
      <c r="M1550" s="14" t="s">
        <v>4772</v>
      </c>
      <c r="N1550" s="3" t="s">
        <v>4672</v>
      </c>
      <c r="O1550" s="32" t="str">
        <f>IF(LEN(COUNTIFS($J$1:J1550,$J1550,$K$1:K1550,$K1550,$L$1:L1550,$L1550,$M$1:M1550,M1550,$N$1:N1550,N1550))=1,"00"&amp;COUNTIFS($J$1:J1550,$J1550,$K$1:K1550,$K1550,$L$1:L1550,$L1550,$M$1:M1550,M1550,$N$1:N1550,N1550),IF(LEN(COUNTIFS($J$1:J1550,$J1550,$K$1:K1550,$K1550,$L$1:L1550,$L1550,$M$1:M1550,M1550,$N$1:N1550,N1550))=2,"0"&amp;COUNTIFS($J$1:J1550,$J1550,$K$1:K1550,$K1550,$L$1:L1550,$L1550,$M$1:M1550,M1550,$N$1:N1550,N1550),COUNTIFS($J$1:J1550,$J1550,$K$1:K1550,$K1550,$L$1:L1550,$L1550,$M$1:M1550,M1550,$N$1:N1550,N1550)))</f>
        <v>002</v>
      </c>
      <c r="P1550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MS-NS-012-06-00002-INV</v>
      </c>
      <c r="Q1550" s="59"/>
      <c r="R1550" s="34" t="s">
        <v>5794</v>
      </c>
      <c r="S1550" s="34" t="s">
        <v>4410</v>
      </c>
      <c r="T1550" s="34">
        <f>+IFERROR(_xlfn.XLOOKUP(Table43[[#This Row],[Column1]],#REF!,#REF!),0)</f>
        <v>0</v>
      </c>
      <c r="U1550" s="50">
        <f>IFERROR(_xlfn.XLOOKUP(Table43[[#This Row],[Column1]],#REF!,#REF!),0)</f>
        <v>0</v>
      </c>
      <c r="V1550" s="39"/>
    </row>
    <row r="1551" spans="1:22" x14ac:dyDescent="0.35">
      <c r="A1551" s="2" t="s">
        <v>4411</v>
      </c>
      <c r="B1551" s="2" t="s">
        <v>4412</v>
      </c>
      <c r="C1551" s="2" t="s">
        <v>15</v>
      </c>
      <c r="D1551" s="2">
        <v>0</v>
      </c>
      <c r="E1551" s="2" t="s">
        <v>10</v>
      </c>
      <c r="F1551" s="2">
        <v>0</v>
      </c>
      <c r="G1551" s="2">
        <v>2</v>
      </c>
      <c r="H1551" s="2">
        <v>0</v>
      </c>
      <c r="I1551" s="22">
        <f>Table43[[#This Row],[Item Cost]]*Table43[[#This Row],[In Stock]]</f>
        <v>0</v>
      </c>
      <c r="J1551" s="3" t="s">
        <v>4941</v>
      </c>
      <c r="K1551" s="14" t="s">
        <v>4666</v>
      </c>
      <c r="L1551" s="14" t="s">
        <v>4693</v>
      </c>
      <c r="M1551" s="14" t="s">
        <v>4837</v>
      </c>
      <c r="N1551" s="3" t="s">
        <v>4672</v>
      </c>
      <c r="O1551" s="32" t="str">
        <f>IF(LEN(COUNTIFS($J$1:J1551,$J1551,$K$1:K1551,$K1551,$L$1:L1551,$L1551,$M$1:M1551,M1551,$N$1:N1551,N1551))=1,"00"&amp;COUNTIFS($J$1:J1551,$J1551,$K$1:K1551,$K1551,$L$1:L1551,$L1551,$M$1:M1551,M1551,$N$1:N1551,N1551),IF(LEN(COUNTIFS($J$1:J1551,$J1551,$K$1:K1551,$K1551,$L$1:L1551,$L1551,$M$1:M1551,M1551,$N$1:N1551,N1551))=2,"0"&amp;COUNTIFS($J$1:J1551,$J1551,$K$1:K1551,$K1551,$L$1:L1551,$L1551,$M$1:M1551,M1551,$N$1:N1551,N1551),COUNTIFS($J$1:J1551,$J1551,$K$1:K1551,$K1551,$L$1:L1551,$L1551,$M$1:M1551,M1551,$N$1:N1551,N1551)))</f>
        <v>002</v>
      </c>
      <c r="P1551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MS-NS-012-26-00002-INV</v>
      </c>
      <c r="Q1551" s="59"/>
      <c r="R1551" s="34" t="s">
        <v>5795</v>
      </c>
      <c r="S1551" s="34" t="s">
        <v>4412</v>
      </c>
      <c r="T1551" s="34">
        <f>+IFERROR(_xlfn.XLOOKUP(Table43[[#This Row],[Column1]],#REF!,#REF!),0)</f>
        <v>0</v>
      </c>
      <c r="U1551" s="50">
        <f>IFERROR(_xlfn.XLOOKUP(Table43[[#This Row],[Column1]],#REF!,#REF!),0)</f>
        <v>0</v>
      </c>
      <c r="V1551" s="39"/>
    </row>
    <row r="1552" spans="1:22" x14ac:dyDescent="0.35">
      <c r="A1552" s="3" t="s">
        <v>4413</v>
      </c>
      <c r="B1552" s="3" t="s">
        <v>4414</v>
      </c>
      <c r="C1552" s="3" t="s">
        <v>15</v>
      </c>
      <c r="D1552" s="3">
        <v>350</v>
      </c>
      <c r="E1552" s="3" t="s">
        <v>10</v>
      </c>
      <c r="F1552" s="2">
        <v>0</v>
      </c>
      <c r="G1552" s="2">
        <v>2</v>
      </c>
      <c r="H1552" s="3">
        <v>0</v>
      </c>
      <c r="I1552" s="21">
        <f>Table43[[#This Row],[Item Cost]]*Table43[[#This Row],[In Stock]]</f>
        <v>0</v>
      </c>
      <c r="J1552" s="3" t="s">
        <v>4941</v>
      </c>
      <c r="K1552" s="14" t="s">
        <v>4666</v>
      </c>
      <c r="L1552" s="14" t="s">
        <v>4693</v>
      </c>
      <c r="M1552" s="14" t="s">
        <v>4837</v>
      </c>
      <c r="N1552" s="3" t="s">
        <v>4672</v>
      </c>
      <c r="O1552" s="32" t="str">
        <f>IF(LEN(COUNTIFS($J$1:J1552,$J1552,$K$1:K1552,$K1552,$L$1:L1552,$L1552,$M$1:M1552,M1552,$N$1:N1552,N1552))=1,"00"&amp;COUNTIFS($J$1:J1552,$J1552,$K$1:K1552,$K1552,$L$1:L1552,$L1552,$M$1:M1552,M1552,$N$1:N1552,N1552),IF(LEN(COUNTIFS($J$1:J1552,$J1552,$K$1:K1552,$K1552,$L$1:L1552,$L1552,$M$1:M1552,M1552,$N$1:N1552,N1552))=2,"0"&amp;COUNTIFS($J$1:J1552,$J1552,$K$1:K1552,$K1552,$L$1:L1552,$L1552,$M$1:M1552,M1552,$N$1:N1552,N1552),COUNTIFS($J$1:J1552,$J1552,$K$1:K1552,$K1552,$L$1:L1552,$L1552,$M$1:M1552,M1552,$N$1:N1552,N1552)))</f>
        <v>003</v>
      </c>
      <c r="P1552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MS-NS-012-26-00003-INV</v>
      </c>
      <c r="Q1552" s="59"/>
      <c r="R1552" s="34" t="s">
        <v>5796</v>
      </c>
      <c r="S1552" s="34" t="s">
        <v>4414</v>
      </c>
      <c r="T1552" s="34">
        <f>+IFERROR(_xlfn.XLOOKUP(Table43[[#This Row],[Column1]],#REF!,#REF!),0)</f>
        <v>0</v>
      </c>
      <c r="U1552" s="50">
        <f>IFERROR(_xlfn.XLOOKUP(Table43[[#This Row],[Column1]],#REF!,#REF!),0)</f>
        <v>0</v>
      </c>
      <c r="V1552" s="39"/>
    </row>
    <row r="1553" spans="1:22" x14ac:dyDescent="0.35">
      <c r="A1553" s="2" t="s">
        <v>4415</v>
      </c>
      <c r="B1553" s="26" t="s">
        <v>4416</v>
      </c>
      <c r="C1553" s="2" t="s">
        <v>15</v>
      </c>
      <c r="D1553" s="26">
        <v>5000</v>
      </c>
      <c r="E1553" s="2" t="s">
        <v>10</v>
      </c>
      <c r="F1553" s="2">
        <v>0</v>
      </c>
      <c r="G1553" s="2">
        <v>2</v>
      </c>
      <c r="H1553" s="26">
        <v>0</v>
      </c>
      <c r="I1553" s="28">
        <f>Table43[[#This Row],[Item Cost]]*Table43[[#This Row],[In Stock]]</f>
        <v>0</v>
      </c>
      <c r="J1553" s="3" t="s">
        <v>4941</v>
      </c>
      <c r="K1553" s="14" t="s">
        <v>4666</v>
      </c>
      <c r="L1553" s="14" t="s">
        <v>4693</v>
      </c>
      <c r="M1553" s="14" t="s">
        <v>4693</v>
      </c>
      <c r="N1553" s="3" t="s">
        <v>4672</v>
      </c>
      <c r="O1553" s="32" t="str">
        <f>IF(LEN(COUNTIFS($J$1:J1553,$J1553,$K$1:K1553,$K1553,$L$1:L1553,$L1553,$M$1:M1553,M1553,$N$1:N1553,N1553))=1,"00"&amp;COUNTIFS($J$1:J1553,$J1553,$K$1:K1553,$K1553,$L$1:L1553,$L1553,$M$1:M1553,M1553,$N$1:N1553,N1553),IF(LEN(COUNTIFS($J$1:J1553,$J1553,$K$1:K1553,$K1553,$L$1:L1553,$L1553,$M$1:M1553,M1553,$N$1:N1553,N1553))=2,"0"&amp;COUNTIFS($J$1:J1553,$J1553,$K$1:K1553,$K1553,$L$1:L1553,$L1553,$M$1:M1553,M1553,$N$1:N1553,N1553),COUNTIFS($J$1:J1553,$J1553,$K$1:K1553,$K1553,$L$1:L1553,$L1553,$M$1:M1553,M1553,$N$1:N1553,N1553)))</f>
        <v>065</v>
      </c>
      <c r="P1553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MS-NS-012-23-00065-INV</v>
      </c>
      <c r="Q1553" s="59" t="s">
        <v>7346</v>
      </c>
      <c r="R1553" s="34" t="s">
        <v>5797</v>
      </c>
      <c r="S1553" s="34" t="s">
        <v>4416</v>
      </c>
      <c r="T1553" s="34">
        <f>+IFERROR(_xlfn.XLOOKUP(Table43[[#This Row],[Column1]],#REF!,#REF!),0)</f>
        <v>0</v>
      </c>
      <c r="U1553" s="50">
        <f>IFERROR(_xlfn.XLOOKUP(Table43[[#This Row],[Column1]],#REF!,#REF!),0)</f>
        <v>0</v>
      </c>
      <c r="V1553" s="39"/>
    </row>
    <row r="1554" spans="1:22" x14ac:dyDescent="0.35">
      <c r="A1554" s="3" t="s">
        <v>4417</v>
      </c>
      <c r="B1554" s="3" t="s">
        <v>4418</v>
      </c>
      <c r="C1554" s="3" t="s">
        <v>15</v>
      </c>
      <c r="D1554" s="3">
        <v>1500</v>
      </c>
      <c r="E1554" s="3" t="s">
        <v>10</v>
      </c>
      <c r="F1554" s="2">
        <v>0</v>
      </c>
      <c r="G1554" s="2">
        <v>2</v>
      </c>
      <c r="H1554" s="3">
        <v>3</v>
      </c>
      <c r="I1554" s="21">
        <f>Table43[[#This Row],[Item Cost]]*Table43[[#This Row],[In Stock]]</f>
        <v>4500</v>
      </c>
      <c r="J1554" s="3" t="s">
        <v>4941</v>
      </c>
      <c r="K1554" s="14" t="s">
        <v>4666</v>
      </c>
      <c r="L1554" s="14" t="s">
        <v>4693</v>
      </c>
      <c r="M1554" s="14" t="s">
        <v>4837</v>
      </c>
      <c r="N1554" s="3" t="s">
        <v>4672</v>
      </c>
      <c r="O1554" s="32" t="str">
        <f>IF(LEN(COUNTIFS($J$1:J1554,$J1554,$K$1:K1554,$K1554,$L$1:L1554,$L1554,$M$1:M1554,M1554,$N$1:N1554,N1554))=1,"00"&amp;COUNTIFS($J$1:J1554,$J1554,$K$1:K1554,$K1554,$L$1:L1554,$L1554,$M$1:M1554,M1554,$N$1:N1554,N1554),IF(LEN(COUNTIFS($J$1:J1554,$J1554,$K$1:K1554,$K1554,$L$1:L1554,$L1554,$M$1:M1554,M1554,$N$1:N1554,N1554))=2,"0"&amp;COUNTIFS($J$1:J1554,$J1554,$K$1:K1554,$K1554,$L$1:L1554,$L1554,$M$1:M1554,M1554,$N$1:N1554,N1554),COUNTIFS($J$1:J1554,$J1554,$K$1:K1554,$K1554,$L$1:L1554,$L1554,$M$1:M1554,M1554,$N$1:N1554,N1554)))</f>
        <v>004</v>
      </c>
      <c r="P1554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MS-NS-012-26-00004-INV</v>
      </c>
      <c r="Q1554" s="59" t="s">
        <v>7398</v>
      </c>
      <c r="R1554" s="34" t="s">
        <v>5798</v>
      </c>
      <c r="S1554" s="34" t="s">
        <v>4418</v>
      </c>
      <c r="T1554" s="34">
        <f>+IFERROR(_xlfn.XLOOKUP(Table43[[#This Row],[Column1]],#REF!,#REF!),0)</f>
        <v>0</v>
      </c>
      <c r="U1554" s="50">
        <f>IFERROR(_xlfn.XLOOKUP(Table43[[#This Row],[Column1]],#REF!,#REF!),0)</f>
        <v>0</v>
      </c>
      <c r="V1554" s="39"/>
    </row>
    <row r="1555" spans="1:22" x14ac:dyDescent="0.35">
      <c r="A1555" s="2" t="s">
        <v>4419</v>
      </c>
      <c r="B1555" s="2" t="s">
        <v>4420</v>
      </c>
      <c r="C1555" s="2" t="s">
        <v>15</v>
      </c>
      <c r="D1555" s="2">
        <v>960</v>
      </c>
      <c r="E1555" s="2" t="s">
        <v>10</v>
      </c>
      <c r="F1555" s="2">
        <v>0</v>
      </c>
      <c r="G1555" s="2">
        <v>2</v>
      </c>
      <c r="H1555" s="2">
        <v>2</v>
      </c>
      <c r="I1555" s="22">
        <f>Table43[[#This Row],[Item Cost]]*Table43[[#This Row],[In Stock]]</f>
        <v>1920</v>
      </c>
      <c r="J1555" s="3" t="s">
        <v>4941</v>
      </c>
      <c r="K1555" s="14" t="s">
        <v>4666</v>
      </c>
      <c r="L1555" s="14" t="s">
        <v>4693</v>
      </c>
      <c r="M1555" s="14" t="s">
        <v>4827</v>
      </c>
      <c r="N1555" s="3" t="s">
        <v>4672</v>
      </c>
      <c r="O1555" s="32" t="str">
        <f>IF(LEN(COUNTIFS($J$1:J1555,$J1555,$K$1:K1555,$K1555,$L$1:L1555,$L1555,$M$1:M1555,M1555,$N$1:N1555,N1555))=1,"00"&amp;COUNTIFS($J$1:J1555,$J1555,$K$1:K1555,$K1555,$L$1:L1555,$L1555,$M$1:M1555,M1555,$N$1:N1555,N1555),IF(LEN(COUNTIFS($J$1:J1555,$J1555,$K$1:K1555,$K1555,$L$1:L1555,$L1555,$M$1:M1555,M1555,$N$1:N1555,N1555))=2,"0"&amp;COUNTIFS($J$1:J1555,$J1555,$K$1:K1555,$K1555,$L$1:L1555,$L1555,$M$1:M1555,M1555,$N$1:N1555,N1555),COUNTIFS($J$1:J1555,$J1555,$K$1:K1555,$K1555,$L$1:L1555,$L1555,$M$1:M1555,M1555,$N$1:N1555,N1555)))</f>
        <v>001</v>
      </c>
      <c r="P1555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MS-NS-012-10-00001-INV</v>
      </c>
      <c r="Q1555" s="59"/>
      <c r="R1555" s="34" t="s">
        <v>5799</v>
      </c>
      <c r="S1555" s="34" t="s">
        <v>4420</v>
      </c>
      <c r="T1555" s="34">
        <f>+IFERROR(_xlfn.XLOOKUP(Table43[[#This Row],[Column1]],#REF!,#REF!),0)</f>
        <v>0</v>
      </c>
      <c r="U1555" s="50">
        <f>IFERROR(_xlfn.XLOOKUP(Table43[[#This Row],[Column1]],#REF!,#REF!),0)</f>
        <v>0</v>
      </c>
      <c r="V1555" s="39"/>
    </row>
    <row r="1556" spans="1:22" x14ac:dyDescent="0.35">
      <c r="A1556" s="3" t="s">
        <v>4421</v>
      </c>
      <c r="B1556" s="3" t="s">
        <v>4422</v>
      </c>
      <c r="C1556" s="3" t="s">
        <v>15</v>
      </c>
      <c r="D1556" s="5">
        <v>0</v>
      </c>
      <c r="E1556" s="3" t="s">
        <v>10</v>
      </c>
      <c r="F1556" s="2">
        <v>0</v>
      </c>
      <c r="G1556" s="2">
        <v>2</v>
      </c>
      <c r="H1556" s="3">
        <v>0</v>
      </c>
      <c r="I1556" s="21">
        <f>Table43[[#This Row],[Item Cost]]*Table43[[#This Row],[In Stock]]</f>
        <v>0</v>
      </c>
      <c r="J1556" s="3" t="s">
        <v>4941</v>
      </c>
      <c r="K1556" s="14" t="s">
        <v>4666</v>
      </c>
      <c r="L1556" s="14" t="s">
        <v>4693</v>
      </c>
      <c r="M1556" s="14" t="s">
        <v>4837</v>
      </c>
      <c r="N1556" s="3" t="s">
        <v>4672</v>
      </c>
      <c r="O1556" s="32" t="str">
        <f>IF(LEN(COUNTIFS($J$1:J1556,$J1556,$K$1:K1556,$K1556,$L$1:L1556,$L1556,$M$1:M1556,M1556,$N$1:N1556,N1556))=1,"00"&amp;COUNTIFS($J$1:J1556,$J1556,$K$1:K1556,$K1556,$L$1:L1556,$L1556,$M$1:M1556,M1556,$N$1:N1556,N1556),IF(LEN(COUNTIFS($J$1:J1556,$J1556,$K$1:K1556,$K1556,$L$1:L1556,$L1556,$M$1:M1556,M1556,$N$1:N1556,N1556))=2,"0"&amp;COUNTIFS($J$1:J1556,$J1556,$K$1:K1556,$K1556,$L$1:L1556,$L1556,$M$1:M1556,M1556,$N$1:N1556,N1556),COUNTIFS($J$1:J1556,$J1556,$K$1:K1556,$K1556,$L$1:L1556,$L1556,$M$1:M1556,M1556,$N$1:N1556,N1556)))</f>
        <v>005</v>
      </c>
      <c r="P1556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MS-NS-012-26-00005-INV</v>
      </c>
      <c r="Q1556" s="59"/>
      <c r="R1556" s="34" t="s">
        <v>5800</v>
      </c>
      <c r="S1556" s="34" t="s">
        <v>4422</v>
      </c>
      <c r="T1556" s="34">
        <f>+IFERROR(_xlfn.XLOOKUP(Table43[[#This Row],[Column1]],#REF!,#REF!),0)</f>
        <v>0</v>
      </c>
      <c r="U1556" s="50">
        <f>IFERROR(_xlfn.XLOOKUP(Table43[[#This Row],[Column1]],#REF!,#REF!),0)</f>
        <v>0</v>
      </c>
      <c r="V1556" s="39"/>
    </row>
    <row r="1557" spans="1:22" x14ac:dyDescent="0.35">
      <c r="A1557" s="2" t="s">
        <v>4423</v>
      </c>
      <c r="B1557" s="2" t="s">
        <v>4424</v>
      </c>
      <c r="C1557" s="2" t="s">
        <v>9</v>
      </c>
      <c r="D1557" s="4">
        <v>18000</v>
      </c>
      <c r="E1557" s="2" t="s">
        <v>10</v>
      </c>
      <c r="F1557" s="2">
        <v>1</v>
      </c>
      <c r="G1557" s="3">
        <v>2</v>
      </c>
      <c r="H1557" s="2">
        <v>1</v>
      </c>
      <c r="I1557" s="22">
        <f>Table43[[#This Row],[Item Cost]]*Table43[[#This Row],[In Stock]]</f>
        <v>18000</v>
      </c>
      <c r="J1557" s="3" t="s">
        <v>4941</v>
      </c>
      <c r="K1557" s="14" t="s">
        <v>4664</v>
      </c>
      <c r="L1557" s="14" t="s">
        <v>4725</v>
      </c>
      <c r="M1557" s="14" t="s">
        <v>4693</v>
      </c>
      <c r="N1557" s="3" t="s">
        <v>4853</v>
      </c>
      <c r="O1557" s="32" t="str">
        <f>IF(LEN(COUNTIFS($J$1:J1557,$J1557,$K$1:K1557,$K1557,$L$1:L1557,$L1557,$M$1:M1557,M1557,$N$1:N1557,N1557))=1,"00"&amp;COUNTIFS($J$1:J1557,$J1557,$K$1:K1557,$K1557,$L$1:L1557,$L1557,$M$1:M1557,M1557,$N$1:N1557,N1557),IF(LEN(COUNTIFS($J$1:J1557,$J1557,$K$1:K1557,$K1557,$L$1:L1557,$L1557,$M$1:M1557,M1557,$N$1:N1557,N1557))=2,"0"&amp;COUNTIFS($J$1:J1557,$J1557,$K$1:K1557,$K1557,$L$1:L1557,$L1557,$M$1:M1557,M1557,$N$1:N1557,N1557),COUNTIFS($J$1:J1557,$J1557,$K$1:K1557,$K1557,$L$1:L1557,$L1557,$M$1:M1557,M1557,$N$1:N1557,N1557)))</f>
        <v>001</v>
      </c>
      <c r="P1557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MS-CS-026-23-09001-INV</v>
      </c>
      <c r="Q1557" s="59"/>
      <c r="R1557" s="34" t="s">
        <v>5801</v>
      </c>
      <c r="S1557" s="34" t="s">
        <v>4424</v>
      </c>
      <c r="T1557" s="34">
        <f>+IFERROR(_xlfn.XLOOKUP(Table43[[#This Row],[Column1]],#REF!,#REF!),0)</f>
        <v>0</v>
      </c>
      <c r="U1557" s="50">
        <f>IFERROR(_xlfn.XLOOKUP(Table43[[#This Row],[Column1]],#REF!,#REF!),0)</f>
        <v>0</v>
      </c>
      <c r="V1557" s="39"/>
    </row>
    <row r="1558" spans="1:22" x14ac:dyDescent="0.35">
      <c r="A1558" s="3" t="s">
        <v>4425</v>
      </c>
      <c r="B1558" s="3" t="s">
        <v>4426</v>
      </c>
      <c r="C1558" s="3" t="s">
        <v>9</v>
      </c>
      <c r="D1558" s="3">
        <v>5035</v>
      </c>
      <c r="E1558" s="3" t="s">
        <v>10</v>
      </c>
      <c r="F1558" s="2">
        <v>1</v>
      </c>
      <c r="G1558" s="3">
        <v>2</v>
      </c>
      <c r="H1558" s="3">
        <v>2</v>
      </c>
      <c r="I1558" s="21">
        <f>Table43[[#This Row],[Item Cost]]*Table43[[#This Row],[In Stock]]</f>
        <v>10070</v>
      </c>
      <c r="J1558" s="3" t="s">
        <v>4941</v>
      </c>
      <c r="K1558" s="14" t="s">
        <v>4664</v>
      </c>
      <c r="L1558" s="14" t="s">
        <v>4693</v>
      </c>
      <c r="M1558" s="14" t="s">
        <v>4693</v>
      </c>
      <c r="N1558" s="3" t="s">
        <v>4845</v>
      </c>
      <c r="O1558" s="32" t="str">
        <f>IF(LEN(COUNTIFS($J$1:J1558,$J1558,$K$1:K1558,$K1558,$L$1:L1558,$L1558,$M$1:M1558,M1558,$N$1:N1558,N1558))=1,"00"&amp;COUNTIFS($J$1:J1558,$J1558,$K$1:K1558,$K1558,$L$1:L1558,$L1558,$M$1:M1558,M1558,$N$1:N1558,N1558),IF(LEN(COUNTIFS($J$1:J1558,$J1558,$K$1:K1558,$K1558,$L$1:L1558,$L1558,$M$1:M1558,M1558,$N$1:N1558,N1558))=2,"0"&amp;COUNTIFS($J$1:J1558,$J1558,$K$1:K1558,$K1558,$L$1:L1558,$L1558,$M$1:M1558,M1558,$N$1:N1558,N1558),COUNTIFS($J$1:J1558,$J1558,$K$1:K1558,$K1558,$L$1:L1558,$L1558,$M$1:M1558,M1558,$N$1:N1558,N1558)))</f>
        <v>001</v>
      </c>
      <c r="P1558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MS-CS-012-23-01001-INV</v>
      </c>
      <c r="Q1558" s="59"/>
      <c r="R1558" s="34" t="s">
        <v>5802</v>
      </c>
      <c r="S1558" s="34" t="s">
        <v>4426</v>
      </c>
      <c r="T1558" s="34">
        <f>+IFERROR(_xlfn.XLOOKUP(Table43[[#This Row],[Column1]],#REF!,#REF!),0)</f>
        <v>0</v>
      </c>
      <c r="U1558" s="50">
        <f>IFERROR(_xlfn.XLOOKUP(Table43[[#This Row],[Column1]],#REF!,#REF!),0)</f>
        <v>0</v>
      </c>
      <c r="V1558" s="39"/>
    </row>
    <row r="1559" spans="1:22" x14ac:dyDescent="0.35">
      <c r="A1559" s="3" t="s">
        <v>5631</v>
      </c>
      <c r="B1559" s="3" t="s">
        <v>4428</v>
      </c>
      <c r="C1559" s="3" t="s">
        <v>15</v>
      </c>
      <c r="D1559" s="3">
        <v>0</v>
      </c>
      <c r="E1559" s="3" t="s">
        <v>10</v>
      </c>
      <c r="F1559" s="3">
        <v>1</v>
      </c>
      <c r="G1559" s="3">
        <v>2</v>
      </c>
      <c r="H1559" s="3">
        <v>0</v>
      </c>
      <c r="I1559" s="21">
        <f>Table43[[#This Row],[Item Cost]]*Table43[[#This Row],[In Stock]]</f>
        <v>0</v>
      </c>
      <c r="J1559" s="3" t="s">
        <v>4941</v>
      </c>
      <c r="K1559" s="14" t="s">
        <v>4666</v>
      </c>
      <c r="L1559" s="14" t="s">
        <v>4693</v>
      </c>
      <c r="M1559" s="14" t="s">
        <v>4693</v>
      </c>
      <c r="N1559" s="3" t="s">
        <v>4845</v>
      </c>
      <c r="O1559" s="32" t="str">
        <f>IF(LEN(COUNTIFS($J$1:J1559,$J1559,$K$1:K1559,$K1559,$L$1:L1559,$L1559,$M$1:M1559,M1559,$N$1:N1559,N1559))=1,"00"&amp;COUNTIFS($J$1:J1559,$J1559,$K$1:K1559,$K1559,$L$1:L1559,$L1559,$M$1:M1559,M1559,$N$1:N1559,N1559),IF(LEN(COUNTIFS($J$1:J1559,$J1559,$K$1:K1559,$K1559,$L$1:L1559,$L1559,$M$1:M1559,M1559,$N$1:N1559,N1559))=2,"0"&amp;COUNTIFS($J$1:J1559,$J1559,$K$1:K1559,$K1559,$L$1:L1559,$L1559,$M$1:M1559,M1559,$N$1:N1559,N1559),COUNTIFS($J$1:J1559,$J1559,$K$1:K1559,$K1559,$L$1:L1559,$L1559,$M$1:M1559,M1559,$N$1:N1559,N1559)))</f>
        <v>001</v>
      </c>
      <c r="P1559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MS-NS-012-23-01001-INV</v>
      </c>
      <c r="Q1559" s="59" t="s">
        <v>7393</v>
      </c>
      <c r="R1559" s="34" t="s">
        <v>5803</v>
      </c>
      <c r="S1559" s="34" t="s">
        <v>4428</v>
      </c>
      <c r="T1559" s="34">
        <f>+IFERROR(_xlfn.XLOOKUP(Table43[[#This Row],[Column1]],#REF!,#REF!),0)</f>
        <v>0</v>
      </c>
      <c r="U1559" s="50">
        <f>IFERROR(_xlfn.XLOOKUP(Table43[[#This Row],[Column1]],#REF!,#REF!),0)</f>
        <v>0</v>
      </c>
      <c r="V1559" s="39"/>
    </row>
    <row r="1560" spans="1:22" x14ac:dyDescent="0.35">
      <c r="A1560" s="3" t="s">
        <v>4427</v>
      </c>
      <c r="B1560" s="2" t="s">
        <v>4430</v>
      </c>
      <c r="C1560" s="2" t="s">
        <v>15</v>
      </c>
      <c r="D1560" s="4">
        <v>0</v>
      </c>
      <c r="E1560" s="2" t="s">
        <v>10</v>
      </c>
      <c r="F1560" s="3">
        <v>1</v>
      </c>
      <c r="G1560" s="3">
        <v>2</v>
      </c>
      <c r="H1560" s="2">
        <v>0</v>
      </c>
      <c r="I1560" s="22">
        <f>Table43[[#This Row],[Item Cost]]*Table43[[#This Row],[In Stock]]</f>
        <v>0</v>
      </c>
      <c r="J1560" s="3" t="s">
        <v>4941</v>
      </c>
      <c r="K1560" s="14" t="s">
        <v>4666</v>
      </c>
      <c r="L1560" s="14" t="s">
        <v>4693</v>
      </c>
      <c r="M1560" s="14" t="s">
        <v>4827</v>
      </c>
      <c r="N1560" s="3" t="s">
        <v>4845</v>
      </c>
      <c r="O1560" s="32" t="str">
        <f>IF(LEN(COUNTIFS($J$1:J1560,$J1560,$K$1:K1560,$K1560,$L$1:L1560,$L1560,$M$1:M1560,M1560,$N$1:N1560,N1560))=1,"00"&amp;COUNTIFS($J$1:J1560,$J1560,$K$1:K1560,$K1560,$L$1:L1560,$L1560,$M$1:M1560,M1560,$N$1:N1560,N1560),IF(LEN(COUNTIFS($J$1:J1560,$J1560,$K$1:K1560,$K1560,$L$1:L1560,$L1560,$M$1:M1560,M1560,$N$1:N1560,N1560))=2,"0"&amp;COUNTIFS($J$1:J1560,$J1560,$K$1:K1560,$K1560,$L$1:L1560,$L1560,$M$1:M1560,M1560,$N$1:N1560,N1560),COUNTIFS($J$1:J1560,$J1560,$K$1:K1560,$K1560,$L$1:L1560,$L1560,$M$1:M1560,M1560,$N$1:N1560,N1560)))</f>
        <v>001</v>
      </c>
      <c r="P1560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MS-NS-012-10-01001-INV</v>
      </c>
      <c r="Q1560" s="59" t="s">
        <v>7393</v>
      </c>
      <c r="R1560" s="34" t="s">
        <v>5804</v>
      </c>
      <c r="S1560" s="34" t="s">
        <v>4430</v>
      </c>
      <c r="T1560" s="34">
        <f>+IFERROR(_xlfn.XLOOKUP(Table43[[#This Row],[Column1]],#REF!,#REF!),0)</f>
        <v>0</v>
      </c>
      <c r="U1560" s="50">
        <f>IFERROR(_xlfn.XLOOKUP(Table43[[#This Row],[Column1]],#REF!,#REF!),0)</f>
        <v>0</v>
      </c>
      <c r="V1560" s="39"/>
    </row>
    <row r="1561" spans="1:22" x14ac:dyDescent="0.35">
      <c r="A1561" s="3" t="s">
        <v>4429</v>
      </c>
      <c r="B1561" s="3" t="s">
        <v>4432</v>
      </c>
      <c r="C1561" s="3" t="s">
        <v>9</v>
      </c>
      <c r="D1561" s="3">
        <v>23423</v>
      </c>
      <c r="E1561" s="3" t="s">
        <v>10</v>
      </c>
      <c r="F1561" s="2">
        <v>1</v>
      </c>
      <c r="G1561" s="3">
        <v>2</v>
      </c>
      <c r="H1561" s="3">
        <v>1</v>
      </c>
      <c r="I1561" s="21">
        <f>Table43[[#This Row],[Item Cost]]*Table43[[#This Row],[In Stock]]</f>
        <v>23423</v>
      </c>
      <c r="J1561" s="3" t="s">
        <v>4941</v>
      </c>
      <c r="K1561" s="14" t="s">
        <v>4664</v>
      </c>
      <c r="L1561" s="14" t="s">
        <v>4693</v>
      </c>
      <c r="M1561" s="14" t="s">
        <v>4733</v>
      </c>
      <c r="N1561" s="3" t="s">
        <v>4845</v>
      </c>
      <c r="O1561" s="32" t="str">
        <f>IF(LEN(COUNTIFS($J$1:J1561,$J1561,$K$1:K1561,$K1561,$L$1:L1561,$L1561,$M$1:M1561,M1561,$N$1:N1561,N1561))=1,"00"&amp;COUNTIFS($J$1:J1561,$J1561,$K$1:K1561,$K1561,$L$1:L1561,$L1561,$M$1:M1561,M1561,$N$1:N1561,N1561),IF(LEN(COUNTIFS($J$1:J1561,$J1561,$K$1:K1561,$K1561,$L$1:L1561,$L1561,$M$1:M1561,M1561,$N$1:N1561,N1561))=2,"0"&amp;COUNTIFS($J$1:J1561,$J1561,$K$1:K1561,$K1561,$L$1:L1561,$L1561,$M$1:M1561,M1561,$N$1:N1561,N1561),COUNTIFS($J$1:J1561,$J1561,$K$1:K1561,$K1561,$L$1:L1561,$L1561,$M$1:M1561,M1561,$N$1:N1561,N1561)))</f>
        <v>001</v>
      </c>
      <c r="P1561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MS-CS-012-01-01001-INV</v>
      </c>
      <c r="Q1561" s="59"/>
      <c r="R1561" s="34" t="s">
        <v>5805</v>
      </c>
      <c r="S1561" s="34" t="s">
        <v>4432</v>
      </c>
      <c r="T1561" s="34">
        <f>+IFERROR(_xlfn.XLOOKUP(Table43[[#This Row],[Column1]],#REF!,#REF!),0)</f>
        <v>0</v>
      </c>
      <c r="U1561" s="50">
        <f>IFERROR(_xlfn.XLOOKUP(Table43[[#This Row],[Column1]],#REF!,#REF!),0)</f>
        <v>0</v>
      </c>
      <c r="V1561" s="39"/>
    </row>
    <row r="1562" spans="1:22" x14ac:dyDescent="0.35">
      <c r="A1562" s="3" t="s">
        <v>4431</v>
      </c>
      <c r="B1562" s="2" t="s">
        <v>4434</v>
      </c>
      <c r="C1562" s="2" t="s">
        <v>15</v>
      </c>
      <c r="D1562" s="2">
        <v>2280</v>
      </c>
      <c r="E1562" s="2" t="s">
        <v>10</v>
      </c>
      <c r="F1562" s="3">
        <v>1</v>
      </c>
      <c r="G1562" s="3">
        <v>2</v>
      </c>
      <c r="H1562" s="2">
        <v>0</v>
      </c>
      <c r="I1562" s="22">
        <f>Table43[[#This Row],[Item Cost]]*Table43[[#This Row],[In Stock]]</f>
        <v>0</v>
      </c>
      <c r="J1562" s="3" t="s">
        <v>4941</v>
      </c>
      <c r="K1562" s="14" t="s">
        <v>4666</v>
      </c>
      <c r="L1562" s="14" t="s">
        <v>4693</v>
      </c>
      <c r="M1562" s="14" t="s">
        <v>4733</v>
      </c>
      <c r="N1562" s="3" t="s">
        <v>4845</v>
      </c>
      <c r="O1562" s="32" t="str">
        <f>IF(LEN(COUNTIFS($J$1:J1562,$J1562,$K$1:K1562,$K1562,$L$1:L1562,$L1562,$M$1:M1562,M1562,$N$1:N1562,N1562))=1,"00"&amp;COUNTIFS($J$1:J1562,$J1562,$K$1:K1562,$K1562,$L$1:L1562,$L1562,$M$1:M1562,M1562,$N$1:N1562,N1562),IF(LEN(COUNTIFS($J$1:J1562,$J1562,$K$1:K1562,$K1562,$L$1:L1562,$L1562,$M$1:M1562,M1562,$N$1:N1562,N1562))=2,"0"&amp;COUNTIFS($J$1:J1562,$J1562,$K$1:K1562,$K1562,$L$1:L1562,$L1562,$M$1:M1562,M1562,$N$1:N1562,N1562),COUNTIFS($J$1:J1562,$J1562,$K$1:K1562,$K1562,$L$1:L1562,$L1562,$M$1:M1562,M1562,$N$1:N1562,N1562)))</f>
        <v>001</v>
      </c>
      <c r="P1562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MS-NS-012-01-01001-INV</v>
      </c>
      <c r="Q1562" s="59" t="s">
        <v>7393</v>
      </c>
      <c r="R1562" s="34" t="s">
        <v>5806</v>
      </c>
      <c r="S1562" s="34" t="s">
        <v>4434</v>
      </c>
      <c r="T1562" s="34">
        <f>+IFERROR(_xlfn.XLOOKUP(Table43[[#This Row],[Column1]],#REF!,#REF!),0)</f>
        <v>0</v>
      </c>
      <c r="U1562" s="50">
        <f>IFERROR(_xlfn.XLOOKUP(Table43[[#This Row],[Column1]],#REF!,#REF!),0)</f>
        <v>0</v>
      </c>
      <c r="V1562" s="39"/>
    </row>
    <row r="1563" spans="1:22" x14ac:dyDescent="0.35">
      <c r="A1563" s="3" t="s">
        <v>4433</v>
      </c>
      <c r="B1563" s="3" t="s">
        <v>4436</v>
      </c>
      <c r="C1563" s="3" t="s">
        <v>15</v>
      </c>
      <c r="D1563" s="3">
        <v>143.67699999999999</v>
      </c>
      <c r="E1563" s="3" t="s">
        <v>10</v>
      </c>
      <c r="F1563" s="3">
        <v>1</v>
      </c>
      <c r="G1563" s="3">
        <v>2</v>
      </c>
      <c r="H1563" s="3">
        <v>0</v>
      </c>
      <c r="I1563" s="21">
        <f>Table43[[#This Row],[Item Cost]]*Table43[[#This Row],[In Stock]]</f>
        <v>0</v>
      </c>
      <c r="J1563" s="3" t="s">
        <v>4941</v>
      </c>
      <c r="K1563" s="14" t="s">
        <v>4666</v>
      </c>
      <c r="L1563" s="14" t="s">
        <v>4693</v>
      </c>
      <c r="M1563" s="14" t="s">
        <v>4693</v>
      </c>
      <c r="N1563" s="3" t="s">
        <v>4845</v>
      </c>
      <c r="O1563" s="32" t="str">
        <f>IF(LEN(COUNTIFS($J$1:J1563,$J1563,$K$1:K1563,$K1563,$L$1:L1563,$L1563,$M$1:M1563,M1563,$N$1:N1563,N1563))=1,"00"&amp;COUNTIFS($J$1:J1563,$J1563,$K$1:K1563,$K1563,$L$1:L1563,$L1563,$M$1:M1563,M1563,$N$1:N1563,N1563),IF(LEN(COUNTIFS($J$1:J1563,$J1563,$K$1:K1563,$K1563,$L$1:L1563,$L1563,$M$1:M1563,M1563,$N$1:N1563,N1563))=2,"0"&amp;COUNTIFS($J$1:J1563,$J1563,$K$1:K1563,$K1563,$L$1:L1563,$L1563,$M$1:M1563,M1563,$N$1:N1563,N1563),COUNTIFS($J$1:J1563,$J1563,$K$1:K1563,$K1563,$L$1:L1563,$L1563,$M$1:M1563,M1563,$N$1:N1563,N1563)))</f>
        <v>002</v>
      </c>
      <c r="P1563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MS-NS-012-23-01002-INV</v>
      </c>
      <c r="Q1563" s="59" t="s">
        <v>7393</v>
      </c>
      <c r="R1563" s="34"/>
      <c r="S1563" s="34">
        <v>0</v>
      </c>
      <c r="T1563" s="34">
        <f>+IFERROR(_xlfn.XLOOKUP(Table43[[#This Row],[Column1]],#REF!,#REF!),0)</f>
        <v>0</v>
      </c>
      <c r="U1563" s="50">
        <f>IFERROR(_xlfn.XLOOKUP(Table43[[#This Row],[Column1]],#REF!,#REF!),0)</f>
        <v>0</v>
      </c>
      <c r="V1563" s="39"/>
    </row>
    <row r="1564" spans="1:22" x14ac:dyDescent="0.35">
      <c r="A1564" s="3" t="s">
        <v>4435</v>
      </c>
      <c r="B1564" s="2" t="s">
        <v>4438</v>
      </c>
      <c r="C1564" s="2" t="s">
        <v>9</v>
      </c>
      <c r="D1564" s="4">
        <v>141</v>
      </c>
      <c r="E1564" s="2" t="s">
        <v>10</v>
      </c>
      <c r="F1564" s="2">
        <v>1</v>
      </c>
      <c r="G1564" s="2">
        <v>4</v>
      </c>
      <c r="H1564" s="2">
        <v>4</v>
      </c>
      <c r="I1564" s="22">
        <f>Table43[[#This Row],[Item Cost]]*Table43[[#This Row],[In Stock]]</f>
        <v>564</v>
      </c>
      <c r="J1564" s="3" t="s">
        <v>4941</v>
      </c>
      <c r="K1564" s="14" t="s">
        <v>4664</v>
      </c>
      <c r="L1564" s="14" t="s">
        <v>4693</v>
      </c>
      <c r="M1564" s="14" t="s">
        <v>4837</v>
      </c>
      <c r="N1564" s="3" t="s">
        <v>4845</v>
      </c>
      <c r="O1564" s="32" t="str">
        <f>IF(LEN(COUNTIFS($J$1:J1564,$J1564,$K$1:K1564,$K1564,$L$1:L1564,$L1564,$M$1:M1564,M1564,$N$1:N1564,N1564))=1,"00"&amp;COUNTIFS($J$1:J1564,$J1564,$K$1:K1564,$K1564,$L$1:L1564,$L1564,$M$1:M1564,M1564,$N$1:N1564,N1564),IF(LEN(COUNTIFS($J$1:J1564,$J1564,$K$1:K1564,$K1564,$L$1:L1564,$L1564,$M$1:M1564,M1564,$N$1:N1564,N1564))=2,"0"&amp;COUNTIFS($J$1:J1564,$J1564,$K$1:K1564,$K1564,$L$1:L1564,$L1564,$M$1:M1564,M1564,$N$1:N1564,N1564),COUNTIFS($J$1:J1564,$J1564,$K$1:K1564,$K1564,$L$1:L1564,$L1564,$M$1:M1564,M1564,$N$1:N1564,N1564)))</f>
        <v>001</v>
      </c>
      <c r="P1564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MS-CS-012-26-01001-INV</v>
      </c>
      <c r="Q1564" s="59" t="s">
        <v>7393</v>
      </c>
      <c r="R1564" s="34" t="s">
        <v>7178</v>
      </c>
      <c r="S1564" s="34" t="s">
        <v>4438</v>
      </c>
      <c r="T1564" s="34">
        <f>+IFERROR(_xlfn.XLOOKUP(Table43[[#This Row],[Column1]],#REF!,#REF!),0)</f>
        <v>0</v>
      </c>
      <c r="U1564" s="50">
        <f>IFERROR(_xlfn.XLOOKUP(Table43[[#This Row],[Column1]],#REF!,#REF!),0)</f>
        <v>0</v>
      </c>
      <c r="V1564" s="39"/>
    </row>
    <row r="1565" spans="1:22" x14ac:dyDescent="0.35">
      <c r="A1565" s="3" t="s">
        <v>4437</v>
      </c>
      <c r="B1565" s="3" t="s">
        <v>4440</v>
      </c>
      <c r="C1565" s="3" t="s">
        <v>9</v>
      </c>
      <c r="D1565" s="5">
        <v>39.332999999999998</v>
      </c>
      <c r="E1565" s="3" t="s">
        <v>10</v>
      </c>
      <c r="F1565" s="2">
        <v>1</v>
      </c>
      <c r="G1565" s="3">
        <v>5</v>
      </c>
      <c r="H1565" s="3">
        <v>6</v>
      </c>
      <c r="I1565" s="21">
        <f>Table43[[#This Row],[Item Cost]]*Table43[[#This Row],[In Stock]]</f>
        <v>235.99799999999999</v>
      </c>
      <c r="J1565" s="3" t="s">
        <v>4941</v>
      </c>
      <c r="K1565" s="14" t="s">
        <v>4664</v>
      </c>
      <c r="L1565" s="14" t="s">
        <v>4693</v>
      </c>
      <c r="M1565" s="14" t="s">
        <v>4837</v>
      </c>
      <c r="N1565" s="3" t="s">
        <v>4845</v>
      </c>
      <c r="O1565" s="32" t="str">
        <f>IF(LEN(COUNTIFS($J$1:J1565,$J1565,$K$1:K1565,$K1565,$L$1:L1565,$L1565,$M$1:M1565,M1565,$N$1:N1565,N1565))=1,"00"&amp;COUNTIFS($J$1:J1565,$J1565,$K$1:K1565,$K1565,$L$1:L1565,$L1565,$M$1:M1565,M1565,$N$1:N1565,N1565),IF(LEN(COUNTIFS($J$1:J1565,$J1565,$K$1:K1565,$K1565,$L$1:L1565,$L1565,$M$1:M1565,M1565,$N$1:N1565,N1565))=2,"0"&amp;COUNTIFS($J$1:J1565,$J1565,$K$1:K1565,$K1565,$L$1:L1565,$L1565,$M$1:M1565,M1565,$N$1:N1565,N1565),COUNTIFS($J$1:J1565,$J1565,$K$1:K1565,$K1565,$L$1:L1565,$L1565,$M$1:M1565,M1565,$N$1:N1565,N1565)))</f>
        <v>002</v>
      </c>
      <c r="P1565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MS-CS-012-26-01002-INV</v>
      </c>
      <c r="Q1565" s="59"/>
      <c r="R1565" s="34" t="s">
        <v>7179</v>
      </c>
      <c r="S1565" s="34" t="s">
        <v>4440</v>
      </c>
      <c r="T1565" s="34">
        <f>+IFERROR(_xlfn.XLOOKUP(Table43[[#This Row],[Column1]],#REF!,#REF!),0)</f>
        <v>0</v>
      </c>
      <c r="U1565" s="50">
        <f>IFERROR(_xlfn.XLOOKUP(Table43[[#This Row],[Column1]],#REF!,#REF!),0)</f>
        <v>0</v>
      </c>
      <c r="V1565" s="39"/>
    </row>
    <row r="1566" spans="1:22" x14ac:dyDescent="0.35">
      <c r="A1566" s="3" t="s">
        <v>4439</v>
      </c>
      <c r="B1566" s="2" t="s">
        <v>4442</v>
      </c>
      <c r="C1566" s="2" t="s">
        <v>9</v>
      </c>
      <c r="D1566" s="2">
        <v>79.444000000000003</v>
      </c>
      <c r="E1566" s="2" t="s">
        <v>10</v>
      </c>
      <c r="F1566" s="2">
        <v>1</v>
      </c>
      <c r="G1566" s="2">
        <v>4</v>
      </c>
      <c r="H1566" s="2">
        <v>10</v>
      </c>
      <c r="I1566" s="22">
        <f>Table43[[#This Row],[Item Cost]]*Table43[[#This Row],[In Stock]]</f>
        <v>794.44</v>
      </c>
      <c r="J1566" s="3" t="s">
        <v>4941</v>
      </c>
      <c r="K1566" s="14" t="s">
        <v>4664</v>
      </c>
      <c r="L1566" s="14" t="s">
        <v>4693</v>
      </c>
      <c r="M1566" s="14" t="s">
        <v>4837</v>
      </c>
      <c r="N1566" s="3" t="s">
        <v>4845</v>
      </c>
      <c r="O1566" s="32" t="str">
        <f>IF(LEN(COUNTIFS($J$1:J1566,$J1566,$K$1:K1566,$K1566,$L$1:L1566,$L1566,$M$1:M1566,M1566,$N$1:N1566,N1566))=1,"00"&amp;COUNTIFS($J$1:J1566,$J1566,$K$1:K1566,$K1566,$L$1:L1566,$L1566,$M$1:M1566,M1566,$N$1:N1566,N1566),IF(LEN(COUNTIFS($J$1:J1566,$J1566,$K$1:K1566,$K1566,$L$1:L1566,$L1566,$M$1:M1566,M1566,$N$1:N1566,N1566))=2,"0"&amp;COUNTIFS($J$1:J1566,$J1566,$K$1:K1566,$K1566,$L$1:L1566,$L1566,$M$1:M1566,M1566,$N$1:N1566,N1566),COUNTIFS($J$1:J1566,$J1566,$K$1:K1566,$K1566,$L$1:L1566,$L1566,$M$1:M1566,M1566,$N$1:N1566,N1566)))</f>
        <v>003</v>
      </c>
      <c r="P1566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MS-CS-012-26-01003-INV</v>
      </c>
      <c r="Q1566" s="59" t="s">
        <v>7328</v>
      </c>
      <c r="R1566" s="34" t="s">
        <v>7180</v>
      </c>
      <c r="S1566" s="34" t="s">
        <v>4442</v>
      </c>
      <c r="T1566" s="34">
        <f>+IFERROR(_xlfn.XLOOKUP(Table43[[#This Row],[Column1]],#REF!,#REF!),0)</f>
        <v>0</v>
      </c>
      <c r="U1566" s="50">
        <f>IFERROR(_xlfn.XLOOKUP(Table43[[#This Row],[Column1]],#REF!,#REF!),0)</f>
        <v>0</v>
      </c>
      <c r="V1566" s="39"/>
    </row>
    <row r="1567" spans="1:22" x14ac:dyDescent="0.35">
      <c r="A1567" s="3" t="s">
        <v>4441</v>
      </c>
      <c r="B1567" s="3" t="s">
        <v>4444</v>
      </c>
      <c r="C1567" s="3" t="s">
        <v>9</v>
      </c>
      <c r="D1567" s="3">
        <v>107.846</v>
      </c>
      <c r="E1567" s="3" t="s">
        <v>10</v>
      </c>
      <c r="F1567" s="2">
        <v>1</v>
      </c>
      <c r="G1567" s="3">
        <v>4</v>
      </c>
      <c r="H1567" s="3">
        <v>13</v>
      </c>
      <c r="I1567" s="21">
        <f>Table43[[#This Row],[Item Cost]]*Table43[[#This Row],[In Stock]]</f>
        <v>1401.998</v>
      </c>
      <c r="J1567" s="3" t="s">
        <v>4941</v>
      </c>
      <c r="K1567" s="14" t="s">
        <v>4664</v>
      </c>
      <c r="L1567" s="14" t="s">
        <v>4693</v>
      </c>
      <c r="M1567" s="14" t="s">
        <v>4837</v>
      </c>
      <c r="N1567" s="3" t="s">
        <v>4845</v>
      </c>
      <c r="O1567" s="32" t="str">
        <f>IF(LEN(COUNTIFS($J$1:J1567,$J1567,$K$1:K1567,$K1567,$L$1:L1567,$L1567,$M$1:M1567,M1567,$N$1:N1567,N1567))=1,"00"&amp;COUNTIFS($J$1:J1567,$J1567,$K$1:K1567,$K1567,$L$1:L1567,$L1567,$M$1:M1567,M1567,$N$1:N1567,N1567),IF(LEN(COUNTIFS($J$1:J1567,$J1567,$K$1:K1567,$K1567,$L$1:L1567,$L1567,$M$1:M1567,M1567,$N$1:N1567,N1567))=2,"0"&amp;COUNTIFS($J$1:J1567,$J1567,$K$1:K1567,$K1567,$L$1:L1567,$L1567,$M$1:M1567,M1567,$N$1:N1567,N1567),COUNTIFS($J$1:J1567,$J1567,$K$1:K1567,$K1567,$L$1:L1567,$L1567,$M$1:M1567,M1567,$N$1:N1567,N1567)))</f>
        <v>004</v>
      </c>
      <c r="P1567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MS-CS-012-26-01004-INV</v>
      </c>
      <c r="Q1567" s="59"/>
      <c r="R1567" s="34" t="s">
        <v>7181</v>
      </c>
      <c r="S1567" s="34" t="s">
        <v>4444</v>
      </c>
      <c r="T1567" s="34">
        <f>+IFERROR(_xlfn.XLOOKUP(Table43[[#This Row],[Column1]],#REF!,#REF!),0)</f>
        <v>0</v>
      </c>
      <c r="U1567" s="50">
        <f>IFERROR(_xlfn.XLOOKUP(Table43[[#This Row],[Column1]],#REF!,#REF!),0)</f>
        <v>0</v>
      </c>
      <c r="V1567" s="39"/>
    </row>
    <row r="1568" spans="1:22" x14ac:dyDescent="0.35">
      <c r="A1568" s="3" t="s">
        <v>4443</v>
      </c>
      <c r="B1568" s="2" t="s">
        <v>4446</v>
      </c>
      <c r="C1568" s="2" t="s">
        <v>9</v>
      </c>
      <c r="D1568" s="2">
        <v>131</v>
      </c>
      <c r="E1568" s="2" t="s">
        <v>10</v>
      </c>
      <c r="F1568" s="2">
        <v>1</v>
      </c>
      <c r="G1568" s="2">
        <v>4</v>
      </c>
      <c r="H1568" s="2">
        <v>0</v>
      </c>
      <c r="I1568" s="22">
        <f>Table43[[#This Row],[Item Cost]]*Table43[[#This Row],[In Stock]]</f>
        <v>0</v>
      </c>
      <c r="J1568" s="3" t="s">
        <v>4941</v>
      </c>
      <c r="K1568" s="14" t="s">
        <v>4664</v>
      </c>
      <c r="L1568" s="14" t="s">
        <v>4693</v>
      </c>
      <c r="M1568" s="14" t="s">
        <v>4837</v>
      </c>
      <c r="N1568" s="3" t="s">
        <v>4845</v>
      </c>
      <c r="O1568" s="32" t="str">
        <f>IF(LEN(COUNTIFS($J$1:J1568,$J1568,$K$1:K1568,$K1568,$L$1:L1568,$L1568,$M$1:M1568,M1568,$N$1:N1568,N1568))=1,"00"&amp;COUNTIFS($J$1:J1568,$J1568,$K$1:K1568,$K1568,$L$1:L1568,$L1568,$M$1:M1568,M1568,$N$1:N1568,N1568),IF(LEN(COUNTIFS($J$1:J1568,$J1568,$K$1:K1568,$K1568,$L$1:L1568,$L1568,$M$1:M1568,M1568,$N$1:N1568,N1568))=2,"0"&amp;COUNTIFS($J$1:J1568,$J1568,$K$1:K1568,$K1568,$L$1:L1568,$L1568,$M$1:M1568,M1568,$N$1:N1568,N1568),COUNTIFS($J$1:J1568,$J1568,$K$1:K1568,$K1568,$L$1:L1568,$L1568,$M$1:M1568,M1568,$N$1:N1568,N1568)))</f>
        <v>005</v>
      </c>
      <c r="P1568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MS-CS-012-26-01005-INV</v>
      </c>
      <c r="Q1568" s="59" t="s">
        <v>7337</v>
      </c>
      <c r="R1568" s="34" t="s">
        <v>7182</v>
      </c>
      <c r="S1568" s="34" t="s">
        <v>4446</v>
      </c>
      <c r="T1568" s="34">
        <f>+IFERROR(_xlfn.XLOOKUP(Table43[[#This Row],[Column1]],#REF!,#REF!),0)</f>
        <v>0</v>
      </c>
      <c r="U1568" s="50">
        <f>IFERROR(_xlfn.XLOOKUP(Table43[[#This Row],[Column1]],#REF!,#REF!),0)</f>
        <v>0</v>
      </c>
      <c r="V1568" s="39"/>
    </row>
    <row r="1569" spans="1:22" x14ac:dyDescent="0.35">
      <c r="A1569" s="3" t="s">
        <v>4445</v>
      </c>
      <c r="B1569" s="3" t="s">
        <v>4448</v>
      </c>
      <c r="C1569" s="3" t="s">
        <v>15</v>
      </c>
      <c r="D1569" s="3">
        <v>65</v>
      </c>
      <c r="E1569" s="3" t="s">
        <v>10</v>
      </c>
      <c r="F1569" s="3">
        <v>1</v>
      </c>
      <c r="G1569" s="3">
        <v>2</v>
      </c>
      <c r="H1569" s="3">
        <v>9</v>
      </c>
      <c r="I1569" s="21">
        <f>Table43[[#This Row],[Item Cost]]*Table43[[#This Row],[In Stock]]</f>
        <v>585</v>
      </c>
      <c r="J1569" s="3" t="s">
        <v>4941</v>
      </c>
      <c r="K1569" s="14" t="s">
        <v>4666</v>
      </c>
      <c r="L1569" s="14" t="s">
        <v>4693</v>
      </c>
      <c r="M1569" s="14" t="s">
        <v>4777</v>
      </c>
      <c r="N1569" s="3" t="s">
        <v>4845</v>
      </c>
      <c r="O1569" s="32" t="str">
        <f>IF(LEN(COUNTIFS($J$1:J1569,$J1569,$K$1:K1569,$K1569,$L$1:L1569,$L1569,$M$1:M1569,M1569,$N$1:N1569,N1569))=1,"00"&amp;COUNTIFS($J$1:J1569,$J1569,$K$1:K1569,$K1569,$L$1:L1569,$L1569,$M$1:M1569,M1569,$N$1:N1569,N1569),IF(LEN(COUNTIFS($J$1:J1569,$J1569,$K$1:K1569,$K1569,$L$1:L1569,$L1569,$M$1:M1569,M1569,$N$1:N1569,N1569))=2,"0"&amp;COUNTIFS($J$1:J1569,$J1569,$K$1:K1569,$K1569,$L$1:L1569,$L1569,$M$1:M1569,M1569,$N$1:N1569,N1569),COUNTIFS($J$1:J1569,$J1569,$K$1:K1569,$K1569,$L$1:L1569,$L1569,$M$1:M1569,M1569,$N$1:N1569,N1569)))</f>
        <v>001</v>
      </c>
      <c r="P1569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MS-NS-012-11-01001-INV</v>
      </c>
      <c r="Q1569" s="60" t="s">
        <v>7393</v>
      </c>
      <c r="R1569" s="34" t="s">
        <v>7183</v>
      </c>
      <c r="S1569" s="34" t="s">
        <v>4448</v>
      </c>
      <c r="T1569" s="34">
        <f>+IFERROR(_xlfn.XLOOKUP(Table43[[#This Row],[Column1]],#REF!,#REF!),0)</f>
        <v>0</v>
      </c>
      <c r="U1569" s="50">
        <f>IFERROR(_xlfn.XLOOKUP(Table43[[#This Row],[Column1]],#REF!,#REF!),0)</f>
        <v>0</v>
      </c>
      <c r="V1569" s="39"/>
    </row>
    <row r="1570" spans="1:22" x14ac:dyDescent="0.35">
      <c r="A1570" s="3" t="s">
        <v>4447</v>
      </c>
      <c r="B1570" s="2" t="s">
        <v>4450</v>
      </c>
      <c r="C1570" s="2" t="s">
        <v>15</v>
      </c>
      <c r="D1570" s="2">
        <v>90</v>
      </c>
      <c r="E1570" s="2" t="s">
        <v>10</v>
      </c>
      <c r="F1570" s="3">
        <v>1</v>
      </c>
      <c r="G1570" s="3">
        <v>2</v>
      </c>
      <c r="H1570" s="2">
        <v>1</v>
      </c>
      <c r="I1570" s="22">
        <f>Table43[[#This Row],[Item Cost]]*Table43[[#This Row],[In Stock]]</f>
        <v>90</v>
      </c>
      <c r="J1570" s="3" t="s">
        <v>4941</v>
      </c>
      <c r="K1570" s="14" t="s">
        <v>4666</v>
      </c>
      <c r="L1570" s="14" t="s">
        <v>4693</v>
      </c>
      <c r="M1570" s="14" t="s">
        <v>4777</v>
      </c>
      <c r="N1570" s="3" t="s">
        <v>4845</v>
      </c>
      <c r="O1570" s="32" t="str">
        <f>IF(LEN(COUNTIFS($J$1:J1570,$J1570,$K$1:K1570,$K1570,$L$1:L1570,$L1570,$M$1:M1570,M1570,$N$1:N1570,N1570))=1,"00"&amp;COUNTIFS($J$1:J1570,$J1570,$K$1:K1570,$K1570,$L$1:L1570,$L1570,$M$1:M1570,M1570,$N$1:N1570,N1570),IF(LEN(COUNTIFS($J$1:J1570,$J1570,$K$1:K1570,$K1570,$L$1:L1570,$L1570,$M$1:M1570,M1570,$N$1:N1570,N1570))=2,"0"&amp;COUNTIFS($J$1:J1570,$J1570,$K$1:K1570,$K1570,$L$1:L1570,$L1570,$M$1:M1570,M1570,$N$1:N1570,N1570),COUNTIFS($J$1:J1570,$J1570,$K$1:K1570,$K1570,$L$1:L1570,$L1570,$M$1:M1570,M1570,$N$1:N1570,N1570)))</f>
        <v>002</v>
      </c>
      <c r="P1570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MS-NS-012-11-01002-INV</v>
      </c>
      <c r="Q1570" s="59" t="s">
        <v>7393</v>
      </c>
      <c r="R1570" s="34" t="s">
        <v>7184</v>
      </c>
      <c r="S1570" s="34" t="s">
        <v>4450</v>
      </c>
      <c r="T1570" s="34">
        <f>+IFERROR(_xlfn.XLOOKUP(Table43[[#This Row],[Column1]],#REF!,#REF!),0)</f>
        <v>0</v>
      </c>
      <c r="U1570" s="50">
        <f>IFERROR(_xlfn.XLOOKUP(Table43[[#This Row],[Column1]],#REF!,#REF!),0)</f>
        <v>0</v>
      </c>
      <c r="V1570" s="39"/>
    </row>
    <row r="1571" spans="1:22" x14ac:dyDescent="0.35">
      <c r="A1571" s="3" t="s">
        <v>4449</v>
      </c>
      <c r="B1571" s="3" t="s">
        <v>4452</v>
      </c>
      <c r="C1571" s="3" t="s">
        <v>15</v>
      </c>
      <c r="D1571" s="3">
        <v>230</v>
      </c>
      <c r="E1571" s="3" t="s">
        <v>10</v>
      </c>
      <c r="F1571" s="3">
        <v>1</v>
      </c>
      <c r="G1571" s="3">
        <v>2</v>
      </c>
      <c r="H1571" s="3">
        <v>1</v>
      </c>
      <c r="I1571" s="21">
        <f>Table43[[#This Row],[Item Cost]]*Table43[[#This Row],[In Stock]]</f>
        <v>230</v>
      </c>
      <c r="J1571" s="3" t="s">
        <v>4941</v>
      </c>
      <c r="K1571" s="14" t="s">
        <v>4666</v>
      </c>
      <c r="L1571" s="14" t="s">
        <v>4693</v>
      </c>
      <c r="M1571" s="14" t="s">
        <v>4693</v>
      </c>
      <c r="N1571" s="3" t="s">
        <v>4845</v>
      </c>
      <c r="O1571" s="32" t="str">
        <f>IF(LEN(COUNTIFS($J$1:J1571,$J1571,$K$1:K1571,$K1571,$L$1:L1571,$L1571,$M$1:M1571,M1571,$N$1:N1571,N1571))=1,"00"&amp;COUNTIFS($J$1:J1571,$J1571,$K$1:K1571,$K1571,$L$1:L1571,$L1571,$M$1:M1571,M1571,$N$1:N1571,N1571),IF(LEN(COUNTIFS($J$1:J1571,$J1571,$K$1:K1571,$K1571,$L$1:L1571,$L1571,$M$1:M1571,M1571,$N$1:N1571,N1571))=2,"0"&amp;COUNTIFS($J$1:J1571,$J1571,$K$1:K1571,$K1571,$L$1:L1571,$L1571,$M$1:M1571,M1571,$N$1:N1571,N1571),COUNTIFS($J$1:J1571,$J1571,$K$1:K1571,$K1571,$L$1:L1571,$L1571,$M$1:M1571,M1571,$N$1:N1571,N1571)))</f>
        <v>003</v>
      </c>
      <c r="P1571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MS-NS-012-23-01003-INV</v>
      </c>
      <c r="Q1571" s="59"/>
      <c r="R1571" s="49" t="s">
        <v>5702</v>
      </c>
      <c r="S1571" s="34" t="s">
        <v>5745</v>
      </c>
      <c r="T1571" s="34">
        <f>+IFERROR(_xlfn.XLOOKUP(Table43[[#This Row],[Column1]],#REF!,#REF!),0)</f>
        <v>0</v>
      </c>
      <c r="U1571" s="50">
        <f>IFERROR(_xlfn.XLOOKUP(Table43[[#This Row],[Column1]],#REF!,#REF!),0)</f>
        <v>0</v>
      </c>
      <c r="V1571" s="39"/>
    </row>
    <row r="1572" spans="1:22" x14ac:dyDescent="0.35">
      <c r="A1572" s="3" t="s">
        <v>4451</v>
      </c>
      <c r="B1572" s="2" t="s">
        <v>4454</v>
      </c>
      <c r="C1572" s="2" t="s">
        <v>15</v>
      </c>
      <c r="D1572" s="2">
        <v>645</v>
      </c>
      <c r="E1572" s="2" t="s">
        <v>10</v>
      </c>
      <c r="F1572" s="3">
        <v>1</v>
      </c>
      <c r="G1572" s="3">
        <v>2</v>
      </c>
      <c r="H1572" s="2">
        <v>1</v>
      </c>
      <c r="I1572" s="22">
        <f>Table43[[#This Row],[Item Cost]]*Table43[[#This Row],[In Stock]]</f>
        <v>645</v>
      </c>
      <c r="J1572" s="3" t="s">
        <v>4941</v>
      </c>
      <c r="K1572" s="14" t="s">
        <v>4666</v>
      </c>
      <c r="L1572" s="14" t="s">
        <v>4693</v>
      </c>
      <c r="M1572" s="14" t="s">
        <v>4839</v>
      </c>
      <c r="N1572" s="3" t="s">
        <v>4845</v>
      </c>
      <c r="O1572" s="32" t="str">
        <f>IF(LEN(COUNTIFS($J$1:J1572,$J1572,$K$1:K1572,$K1572,$L$1:L1572,$L1572,$M$1:M1572,M1572,$N$1:N1572,N1572))=1,"00"&amp;COUNTIFS($J$1:J1572,$J1572,$K$1:K1572,$K1572,$L$1:L1572,$L1572,$M$1:M1572,M1572,$N$1:N1572,N1572),IF(LEN(COUNTIFS($J$1:J1572,$J1572,$K$1:K1572,$K1572,$L$1:L1572,$L1572,$M$1:M1572,M1572,$N$1:N1572,N1572))=2,"0"&amp;COUNTIFS($J$1:J1572,$J1572,$K$1:K1572,$K1572,$L$1:L1572,$L1572,$M$1:M1572,M1572,$N$1:N1572,N1572),COUNTIFS($J$1:J1572,$J1572,$K$1:K1572,$K1572,$L$1:L1572,$L1572,$M$1:M1572,M1572,$N$1:N1572,N1572)))</f>
        <v>001</v>
      </c>
      <c r="P1572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MS-NS-012-27-01001-INV</v>
      </c>
      <c r="Q1572" s="59"/>
      <c r="R1572" s="34" t="s">
        <v>5812</v>
      </c>
      <c r="S1572" s="34" t="s">
        <v>4454</v>
      </c>
      <c r="T1572" s="34">
        <f>+IFERROR(_xlfn.XLOOKUP(Table43[[#This Row],[Column1]],#REF!,#REF!),0)</f>
        <v>0</v>
      </c>
      <c r="U1572" s="50">
        <f>IFERROR(_xlfn.XLOOKUP(Table43[[#This Row],[Column1]],#REF!,#REF!),0)</f>
        <v>0</v>
      </c>
      <c r="V1572" s="39"/>
    </row>
    <row r="1573" spans="1:22" x14ac:dyDescent="0.35">
      <c r="A1573" s="3" t="s">
        <v>4453</v>
      </c>
      <c r="B1573" s="3" t="s">
        <v>4456</v>
      </c>
      <c r="C1573" s="3" t="s">
        <v>15</v>
      </c>
      <c r="D1573" s="3">
        <v>765</v>
      </c>
      <c r="E1573" s="3" t="s">
        <v>10</v>
      </c>
      <c r="F1573" s="3">
        <v>1</v>
      </c>
      <c r="G1573" s="3">
        <v>2</v>
      </c>
      <c r="H1573" s="3">
        <v>2</v>
      </c>
      <c r="I1573" s="21">
        <f>Table43[[#This Row],[Item Cost]]*Table43[[#This Row],[In Stock]]</f>
        <v>1530</v>
      </c>
      <c r="J1573" s="3" t="s">
        <v>4941</v>
      </c>
      <c r="K1573" s="14" t="s">
        <v>4666</v>
      </c>
      <c r="L1573" s="14" t="s">
        <v>4693</v>
      </c>
      <c r="M1573" s="14" t="s">
        <v>4770</v>
      </c>
      <c r="N1573" s="3" t="s">
        <v>4845</v>
      </c>
      <c r="O1573" s="32" t="str">
        <f>IF(LEN(COUNTIFS($J$1:J1573,$J1573,$K$1:K1573,$K1573,$L$1:L1573,$L1573,$M$1:M1573,M1573,$N$1:N1573,N1573))=1,"00"&amp;COUNTIFS($J$1:J1573,$J1573,$K$1:K1573,$K1573,$L$1:L1573,$L1573,$M$1:M1573,M1573,$N$1:N1573,N1573),IF(LEN(COUNTIFS($J$1:J1573,$J1573,$K$1:K1573,$K1573,$L$1:L1573,$L1573,$M$1:M1573,M1573,$N$1:N1573,N1573))=2,"0"&amp;COUNTIFS($J$1:J1573,$J1573,$K$1:K1573,$K1573,$L$1:L1573,$L1573,$M$1:M1573,M1573,$N$1:N1573,N1573),COUNTIFS($J$1:J1573,$J1573,$K$1:K1573,$K1573,$L$1:L1573,$L1573,$M$1:M1573,M1573,$N$1:N1573,N1573)))</f>
        <v>001</v>
      </c>
      <c r="P1573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MS-NS-012-04-01001-INV</v>
      </c>
      <c r="Q1573" s="59"/>
      <c r="R1573" s="34" t="s">
        <v>5813</v>
      </c>
      <c r="S1573" s="34" t="s">
        <v>4456</v>
      </c>
      <c r="T1573" s="34">
        <f>+IFERROR(_xlfn.XLOOKUP(Table43[[#This Row],[Column1]],#REF!,#REF!),0)</f>
        <v>0</v>
      </c>
      <c r="U1573" s="50">
        <f>IFERROR(_xlfn.XLOOKUP(Table43[[#This Row],[Column1]],#REF!,#REF!),0)</f>
        <v>0</v>
      </c>
      <c r="V1573" s="39"/>
    </row>
    <row r="1574" spans="1:22" x14ac:dyDescent="0.35">
      <c r="A1574" s="3" t="s">
        <v>4455</v>
      </c>
      <c r="B1574" s="2" t="s">
        <v>4458</v>
      </c>
      <c r="C1574" s="2" t="s">
        <v>15</v>
      </c>
      <c r="D1574" s="2">
        <v>765</v>
      </c>
      <c r="E1574" s="2" t="s">
        <v>10</v>
      </c>
      <c r="F1574" s="3">
        <v>1</v>
      </c>
      <c r="G1574" s="3">
        <v>2</v>
      </c>
      <c r="H1574" s="2">
        <v>2</v>
      </c>
      <c r="I1574" s="22">
        <f>Table43[[#This Row],[Item Cost]]*Table43[[#This Row],[In Stock]]</f>
        <v>1530</v>
      </c>
      <c r="J1574" s="3" t="s">
        <v>4941</v>
      </c>
      <c r="K1574" s="14" t="s">
        <v>4666</v>
      </c>
      <c r="L1574" s="14" t="s">
        <v>4693</v>
      </c>
      <c r="M1574" s="14" t="s">
        <v>4770</v>
      </c>
      <c r="N1574" s="3" t="s">
        <v>4845</v>
      </c>
      <c r="O1574" s="32" t="str">
        <f>IF(LEN(COUNTIFS($J$1:J1574,$J1574,$K$1:K1574,$K1574,$L$1:L1574,$L1574,$M$1:M1574,M1574,$N$1:N1574,N1574))=1,"00"&amp;COUNTIFS($J$1:J1574,$J1574,$K$1:K1574,$K1574,$L$1:L1574,$L1574,$M$1:M1574,M1574,$N$1:N1574,N1574),IF(LEN(COUNTIFS($J$1:J1574,$J1574,$K$1:K1574,$K1574,$L$1:L1574,$L1574,$M$1:M1574,M1574,$N$1:N1574,N1574))=2,"0"&amp;COUNTIFS($J$1:J1574,$J1574,$K$1:K1574,$K1574,$L$1:L1574,$L1574,$M$1:M1574,M1574,$N$1:N1574,N1574),COUNTIFS($J$1:J1574,$J1574,$K$1:K1574,$K1574,$L$1:L1574,$L1574,$M$1:M1574,M1574,$N$1:N1574,N1574)))</f>
        <v>002</v>
      </c>
      <c r="P1574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MS-NS-012-04-01002-INV</v>
      </c>
      <c r="Q1574" s="59"/>
      <c r="R1574" s="34" t="s">
        <v>5814</v>
      </c>
      <c r="S1574" s="34" t="s">
        <v>4458</v>
      </c>
      <c r="T1574" s="34">
        <f>+IFERROR(_xlfn.XLOOKUP(Table43[[#This Row],[Column1]],#REF!,#REF!),0)</f>
        <v>0</v>
      </c>
      <c r="U1574" s="50">
        <f>IFERROR(_xlfn.XLOOKUP(Table43[[#This Row],[Column1]],#REF!,#REF!),0)</f>
        <v>0</v>
      </c>
      <c r="V1574" s="39"/>
    </row>
    <row r="1575" spans="1:22" x14ac:dyDescent="0.35">
      <c r="A1575" s="3" t="s">
        <v>4457</v>
      </c>
      <c r="B1575" s="3" t="s">
        <v>4460</v>
      </c>
      <c r="C1575" s="3" t="s">
        <v>15</v>
      </c>
      <c r="D1575" s="3">
        <v>200</v>
      </c>
      <c r="E1575" s="3" t="s">
        <v>10</v>
      </c>
      <c r="F1575" s="3">
        <v>1</v>
      </c>
      <c r="G1575" s="3">
        <v>2</v>
      </c>
      <c r="H1575" s="3">
        <v>4</v>
      </c>
      <c r="I1575" s="21">
        <f>Table43[[#This Row],[Item Cost]]*Table43[[#This Row],[In Stock]]</f>
        <v>800</v>
      </c>
      <c r="J1575" s="3" t="s">
        <v>4941</v>
      </c>
      <c r="K1575" s="14" t="s">
        <v>4666</v>
      </c>
      <c r="L1575" s="14" t="s">
        <v>4693</v>
      </c>
      <c r="M1575" s="14" t="s">
        <v>4770</v>
      </c>
      <c r="N1575" s="3" t="s">
        <v>4845</v>
      </c>
      <c r="O1575" s="32" t="str">
        <f>IF(LEN(COUNTIFS($J$1:J1575,$J1575,$K$1:K1575,$K1575,$L$1:L1575,$L1575,$M$1:M1575,M1575,$N$1:N1575,N1575))=1,"00"&amp;COUNTIFS($J$1:J1575,$J1575,$K$1:K1575,$K1575,$L$1:L1575,$L1575,$M$1:M1575,M1575,$N$1:N1575,N1575),IF(LEN(COUNTIFS($J$1:J1575,$J1575,$K$1:K1575,$K1575,$L$1:L1575,$L1575,$M$1:M1575,M1575,$N$1:N1575,N1575))=2,"0"&amp;COUNTIFS($J$1:J1575,$J1575,$K$1:K1575,$K1575,$L$1:L1575,$L1575,$M$1:M1575,M1575,$N$1:N1575,N1575),COUNTIFS($J$1:J1575,$J1575,$K$1:K1575,$K1575,$L$1:L1575,$L1575,$M$1:M1575,M1575,$N$1:N1575,N1575)))</f>
        <v>003</v>
      </c>
      <c r="P1575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MS-NS-012-04-01003-INV</v>
      </c>
      <c r="Q1575" s="59"/>
      <c r="R1575" s="34" t="s">
        <v>5815</v>
      </c>
      <c r="S1575" s="34" t="s">
        <v>4460</v>
      </c>
      <c r="T1575" s="34">
        <f>+IFERROR(_xlfn.XLOOKUP(Table43[[#This Row],[Column1]],#REF!,#REF!),0)</f>
        <v>0</v>
      </c>
      <c r="U1575" s="50">
        <f>IFERROR(_xlfn.XLOOKUP(Table43[[#This Row],[Column1]],#REF!,#REF!),0)</f>
        <v>0</v>
      </c>
      <c r="V1575" s="39"/>
    </row>
    <row r="1576" spans="1:22" x14ac:dyDescent="0.35">
      <c r="A1576" s="3" t="s">
        <v>4459</v>
      </c>
      <c r="B1576" s="2" t="s">
        <v>4462</v>
      </c>
      <c r="C1576" s="2" t="s">
        <v>15</v>
      </c>
      <c r="D1576" s="2">
        <v>60</v>
      </c>
      <c r="E1576" s="2" t="s">
        <v>10</v>
      </c>
      <c r="F1576" s="3">
        <v>1</v>
      </c>
      <c r="G1576" s="3">
        <v>2</v>
      </c>
      <c r="H1576" s="2">
        <v>1</v>
      </c>
      <c r="I1576" s="22">
        <f>Table43[[#This Row],[Item Cost]]*Table43[[#This Row],[In Stock]]</f>
        <v>60</v>
      </c>
      <c r="J1576" s="3" t="s">
        <v>4941</v>
      </c>
      <c r="K1576" s="14" t="s">
        <v>4666</v>
      </c>
      <c r="L1576" s="14" t="s">
        <v>4693</v>
      </c>
      <c r="M1576" s="14" t="s">
        <v>4839</v>
      </c>
      <c r="N1576" s="3" t="s">
        <v>4845</v>
      </c>
      <c r="O1576" s="32" t="str">
        <f>IF(LEN(COUNTIFS($J$1:J1576,$J1576,$K$1:K1576,$K1576,$L$1:L1576,$L1576,$M$1:M1576,M1576,$N$1:N1576,N1576))=1,"00"&amp;COUNTIFS($J$1:J1576,$J1576,$K$1:K1576,$K1576,$L$1:L1576,$L1576,$M$1:M1576,M1576,$N$1:N1576,N1576),IF(LEN(COUNTIFS($J$1:J1576,$J1576,$K$1:K1576,$K1576,$L$1:L1576,$L1576,$M$1:M1576,M1576,$N$1:N1576,N1576))=2,"0"&amp;COUNTIFS($J$1:J1576,$J1576,$K$1:K1576,$K1576,$L$1:L1576,$L1576,$M$1:M1576,M1576,$N$1:N1576,N1576),COUNTIFS($J$1:J1576,$J1576,$K$1:K1576,$K1576,$L$1:L1576,$L1576,$M$1:M1576,M1576,$N$1:N1576,N1576)))</f>
        <v>002</v>
      </c>
      <c r="P1576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MS-NS-012-27-01002-INV</v>
      </c>
      <c r="Q1576" s="59" t="s">
        <v>7393</v>
      </c>
      <c r="R1576" s="34" t="s">
        <v>5816</v>
      </c>
      <c r="S1576" s="34" t="s">
        <v>4462</v>
      </c>
      <c r="T1576" s="34">
        <f>+IFERROR(_xlfn.XLOOKUP(Table43[[#This Row],[Column1]],#REF!,#REF!),0)</f>
        <v>0</v>
      </c>
      <c r="U1576" s="50">
        <f>IFERROR(_xlfn.XLOOKUP(Table43[[#This Row],[Column1]],#REF!,#REF!),0)</f>
        <v>0</v>
      </c>
      <c r="V1576" s="39"/>
    </row>
    <row r="1577" spans="1:22" x14ac:dyDescent="0.35">
      <c r="A1577" s="3" t="s">
        <v>4461</v>
      </c>
      <c r="B1577" s="3" t="s">
        <v>4464</v>
      </c>
      <c r="C1577" s="3" t="s">
        <v>9</v>
      </c>
      <c r="D1577" s="3">
        <v>1689</v>
      </c>
      <c r="E1577" s="3" t="s">
        <v>10</v>
      </c>
      <c r="F1577" s="2">
        <v>1</v>
      </c>
      <c r="G1577" s="3">
        <v>2</v>
      </c>
      <c r="H1577" s="3">
        <v>1</v>
      </c>
      <c r="I1577" s="21">
        <f>Table43[[#This Row],[Item Cost]]*Table43[[#This Row],[In Stock]]</f>
        <v>1689</v>
      </c>
      <c r="J1577" s="3" t="s">
        <v>4941</v>
      </c>
      <c r="K1577" s="14" t="s">
        <v>4664</v>
      </c>
      <c r="L1577" s="14" t="s">
        <v>4693</v>
      </c>
      <c r="M1577" s="14" t="s">
        <v>4733</v>
      </c>
      <c r="N1577" s="3" t="s">
        <v>4845</v>
      </c>
      <c r="O1577" s="32" t="str">
        <f>IF(LEN(COUNTIFS($J$1:J1577,$J1577,$K$1:K1577,$K1577,$L$1:L1577,$L1577,$M$1:M1577,M1577,$N$1:N1577,N1577))=1,"00"&amp;COUNTIFS($J$1:J1577,$J1577,$K$1:K1577,$K1577,$L$1:L1577,$L1577,$M$1:M1577,M1577,$N$1:N1577,N1577),IF(LEN(COUNTIFS($J$1:J1577,$J1577,$K$1:K1577,$K1577,$L$1:L1577,$L1577,$M$1:M1577,M1577,$N$1:N1577,N1577))=2,"0"&amp;COUNTIFS($J$1:J1577,$J1577,$K$1:K1577,$K1577,$L$1:L1577,$L1577,$M$1:M1577,M1577,$N$1:N1577,N1577),COUNTIFS($J$1:J1577,$J1577,$K$1:K1577,$K1577,$L$1:L1577,$L1577,$M$1:M1577,M1577,$N$1:N1577,N1577)))</f>
        <v>002</v>
      </c>
      <c r="P1577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MS-CS-012-01-01002-INV</v>
      </c>
      <c r="Q1577" s="59" t="s">
        <v>7356</v>
      </c>
      <c r="R1577" s="34" t="s">
        <v>5817</v>
      </c>
      <c r="S1577" s="34" t="s">
        <v>4464</v>
      </c>
      <c r="T1577" s="34">
        <f>+IFERROR(_xlfn.XLOOKUP(Table43[[#This Row],[Column1]],#REF!,#REF!),0)</f>
        <v>0</v>
      </c>
      <c r="U1577" s="50">
        <f>IFERROR(_xlfn.XLOOKUP(Table43[[#This Row],[Column1]],#REF!,#REF!),0)</f>
        <v>0</v>
      </c>
      <c r="V1577" s="39"/>
    </row>
    <row r="1578" spans="1:22" x14ac:dyDescent="0.35">
      <c r="A1578" s="3" t="s">
        <v>4463</v>
      </c>
      <c r="B1578" s="2" t="s">
        <v>4466</v>
      </c>
      <c r="C1578" s="2" t="s">
        <v>15</v>
      </c>
      <c r="D1578" s="2">
        <v>78</v>
      </c>
      <c r="E1578" s="2" t="s">
        <v>10</v>
      </c>
      <c r="F1578" s="3">
        <v>1</v>
      </c>
      <c r="G1578" s="3">
        <v>2</v>
      </c>
      <c r="H1578" s="2">
        <v>0</v>
      </c>
      <c r="I1578" s="22">
        <f>Table43[[#This Row],[Item Cost]]*Table43[[#This Row],[In Stock]]</f>
        <v>0</v>
      </c>
      <c r="J1578" s="3" t="s">
        <v>4941</v>
      </c>
      <c r="K1578" s="14" t="s">
        <v>4666</v>
      </c>
      <c r="L1578" s="14" t="s">
        <v>4693</v>
      </c>
      <c r="M1578" s="14" t="s">
        <v>4837</v>
      </c>
      <c r="N1578" s="3" t="s">
        <v>4845</v>
      </c>
      <c r="O1578" s="32" t="str">
        <f>IF(LEN(COUNTIFS($J$1:J1578,$J1578,$K$1:K1578,$K1578,$L$1:L1578,$L1578,$M$1:M1578,M1578,$N$1:N1578,N1578))=1,"00"&amp;COUNTIFS($J$1:J1578,$J1578,$K$1:K1578,$K1578,$L$1:L1578,$L1578,$M$1:M1578,M1578,$N$1:N1578,N1578),IF(LEN(COUNTIFS($J$1:J1578,$J1578,$K$1:K1578,$K1578,$L$1:L1578,$L1578,$M$1:M1578,M1578,$N$1:N1578,N1578))=2,"0"&amp;COUNTIFS($J$1:J1578,$J1578,$K$1:K1578,$K1578,$L$1:L1578,$L1578,$M$1:M1578,M1578,$N$1:N1578,N1578),COUNTIFS($J$1:J1578,$J1578,$K$1:K1578,$K1578,$L$1:L1578,$L1578,$M$1:M1578,M1578,$N$1:N1578,N1578)))</f>
        <v>001</v>
      </c>
      <c r="P1578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MS-NS-012-26-01001-INV</v>
      </c>
      <c r="Q1578" s="59"/>
      <c r="R1578" s="34" t="s">
        <v>5818</v>
      </c>
      <c r="S1578" s="34" t="s">
        <v>4466</v>
      </c>
      <c r="T1578" s="34">
        <f>+IFERROR(_xlfn.XLOOKUP(Table43[[#This Row],[Column1]],#REF!,#REF!),0)</f>
        <v>0</v>
      </c>
      <c r="U1578" s="50">
        <f>IFERROR(_xlfn.XLOOKUP(Table43[[#This Row],[Column1]],#REF!,#REF!),0)</f>
        <v>0</v>
      </c>
      <c r="V1578" s="39"/>
    </row>
    <row r="1579" spans="1:22" x14ac:dyDescent="0.35">
      <c r="A1579" s="3" t="s">
        <v>4465</v>
      </c>
      <c r="B1579" s="3" t="s">
        <v>4468</v>
      </c>
      <c r="C1579" s="3" t="s">
        <v>9</v>
      </c>
      <c r="D1579" s="3">
        <v>125</v>
      </c>
      <c r="E1579" s="3" t="s">
        <v>10</v>
      </c>
      <c r="F1579" s="2">
        <v>1</v>
      </c>
      <c r="G1579" s="3">
        <v>4</v>
      </c>
      <c r="H1579" s="3">
        <v>10</v>
      </c>
      <c r="I1579" s="21">
        <f>Table43[[#This Row],[Item Cost]]*Table43[[#This Row],[In Stock]]</f>
        <v>1250</v>
      </c>
      <c r="J1579" s="3" t="s">
        <v>4941</v>
      </c>
      <c r="K1579" s="14" t="s">
        <v>4664</v>
      </c>
      <c r="L1579" s="14" t="s">
        <v>4693</v>
      </c>
      <c r="M1579" s="14" t="s">
        <v>4837</v>
      </c>
      <c r="N1579" s="3" t="s">
        <v>4845</v>
      </c>
      <c r="O1579" s="32" t="str">
        <f>IF(LEN(COUNTIFS($J$1:J1579,$J1579,$K$1:K1579,$K1579,$L$1:L1579,$L1579,$M$1:M1579,M1579,$N$1:N1579,N1579))=1,"00"&amp;COUNTIFS($J$1:J1579,$J1579,$K$1:K1579,$K1579,$L$1:L1579,$L1579,$M$1:M1579,M1579,$N$1:N1579,N1579),IF(LEN(COUNTIFS($J$1:J1579,$J1579,$K$1:K1579,$K1579,$L$1:L1579,$L1579,$M$1:M1579,M1579,$N$1:N1579,N1579))=2,"0"&amp;COUNTIFS($J$1:J1579,$J1579,$K$1:K1579,$K1579,$L$1:L1579,$L1579,$M$1:M1579,M1579,$N$1:N1579,N1579),COUNTIFS($J$1:J1579,$J1579,$K$1:K1579,$K1579,$L$1:L1579,$L1579,$M$1:M1579,M1579,$N$1:N1579,N1579)))</f>
        <v>006</v>
      </c>
      <c r="P1579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MS-CS-012-26-01006-INV</v>
      </c>
      <c r="Q1579" s="59"/>
      <c r="R1579" s="34" t="s">
        <v>5819</v>
      </c>
      <c r="S1579" s="34" t="s">
        <v>4468</v>
      </c>
      <c r="T1579" s="34">
        <f>+IFERROR(_xlfn.XLOOKUP(Table43[[#This Row],[Column1]],#REF!,#REF!),0)</f>
        <v>0</v>
      </c>
      <c r="U1579" s="50">
        <f>IFERROR(_xlfn.XLOOKUP(Table43[[#This Row],[Column1]],#REF!,#REF!),0)</f>
        <v>0</v>
      </c>
      <c r="V1579" s="39"/>
    </row>
    <row r="1580" spans="1:22" x14ac:dyDescent="0.35">
      <c r="A1580" s="3" t="s">
        <v>4467</v>
      </c>
      <c r="B1580" s="2" t="s">
        <v>4470</v>
      </c>
      <c r="C1580" s="2" t="s">
        <v>9</v>
      </c>
      <c r="D1580" s="4">
        <v>81.86</v>
      </c>
      <c r="E1580" s="2" t="s">
        <v>10</v>
      </c>
      <c r="F1580" s="2">
        <v>1</v>
      </c>
      <c r="G1580" s="2">
        <v>4</v>
      </c>
      <c r="H1580" s="2">
        <v>1</v>
      </c>
      <c r="I1580" s="22">
        <f>Table43[[#This Row],[Item Cost]]*Table43[[#This Row],[In Stock]]</f>
        <v>81.86</v>
      </c>
      <c r="J1580" s="3" t="s">
        <v>4941</v>
      </c>
      <c r="K1580" s="14" t="s">
        <v>4664</v>
      </c>
      <c r="L1580" s="14" t="s">
        <v>4693</v>
      </c>
      <c r="M1580" s="14" t="s">
        <v>4837</v>
      </c>
      <c r="N1580" s="3" t="s">
        <v>4845</v>
      </c>
      <c r="O1580" s="32" t="str">
        <f>IF(LEN(COUNTIFS($J$1:J1580,$J1580,$K$1:K1580,$K1580,$L$1:L1580,$L1580,$M$1:M1580,M1580,$N$1:N1580,N1580))=1,"00"&amp;COUNTIFS($J$1:J1580,$J1580,$K$1:K1580,$K1580,$L$1:L1580,$L1580,$M$1:M1580,M1580,$N$1:N1580,N1580),IF(LEN(COUNTIFS($J$1:J1580,$J1580,$K$1:K1580,$K1580,$L$1:L1580,$L1580,$M$1:M1580,M1580,$N$1:N1580,N1580))=2,"0"&amp;COUNTIFS($J$1:J1580,$J1580,$K$1:K1580,$K1580,$L$1:L1580,$L1580,$M$1:M1580,M1580,$N$1:N1580,N1580),COUNTIFS($J$1:J1580,$J1580,$K$1:K1580,$K1580,$L$1:L1580,$L1580,$M$1:M1580,M1580,$N$1:N1580,N1580)))</f>
        <v>007</v>
      </c>
      <c r="P1580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MS-CS-012-26-01007-INV</v>
      </c>
      <c r="Q1580" s="59" t="s">
        <v>7356</v>
      </c>
      <c r="R1580" s="34" t="s">
        <v>5820</v>
      </c>
      <c r="S1580" s="34" t="s">
        <v>4470</v>
      </c>
      <c r="T1580" s="34">
        <f>+IFERROR(_xlfn.XLOOKUP(Table43[[#This Row],[Column1]],#REF!,#REF!),0)</f>
        <v>0</v>
      </c>
      <c r="U1580" s="50">
        <f>IFERROR(_xlfn.XLOOKUP(Table43[[#This Row],[Column1]],#REF!,#REF!),0)</f>
        <v>0</v>
      </c>
      <c r="V1580" s="39"/>
    </row>
    <row r="1581" spans="1:22" x14ac:dyDescent="0.35">
      <c r="A1581" s="3" t="s">
        <v>4469</v>
      </c>
      <c r="B1581" s="3" t="s">
        <v>4472</v>
      </c>
      <c r="C1581" s="3" t="s">
        <v>9</v>
      </c>
      <c r="D1581" s="3">
        <v>122</v>
      </c>
      <c r="E1581" s="3" t="s">
        <v>10</v>
      </c>
      <c r="F1581" s="2">
        <v>1</v>
      </c>
      <c r="G1581" s="3">
        <v>4</v>
      </c>
      <c r="H1581" s="3">
        <v>3</v>
      </c>
      <c r="I1581" s="21">
        <f>Table43[[#This Row],[Item Cost]]*Table43[[#This Row],[In Stock]]</f>
        <v>366</v>
      </c>
      <c r="J1581" s="3" t="s">
        <v>4941</v>
      </c>
      <c r="K1581" s="14" t="s">
        <v>4664</v>
      </c>
      <c r="L1581" s="14" t="s">
        <v>4693</v>
      </c>
      <c r="M1581" s="14" t="s">
        <v>4837</v>
      </c>
      <c r="N1581" s="3" t="s">
        <v>4845</v>
      </c>
      <c r="O1581" s="32" t="str">
        <f>IF(LEN(COUNTIFS($J$1:J1581,$J1581,$K$1:K1581,$K1581,$L$1:L1581,$L1581,$M$1:M1581,M1581,$N$1:N1581,N1581))=1,"00"&amp;COUNTIFS($J$1:J1581,$J1581,$K$1:K1581,$K1581,$L$1:L1581,$L1581,$M$1:M1581,M1581,$N$1:N1581,N1581),IF(LEN(COUNTIFS($J$1:J1581,$J1581,$K$1:K1581,$K1581,$L$1:L1581,$L1581,$M$1:M1581,M1581,$N$1:N1581,N1581))=2,"0"&amp;COUNTIFS($J$1:J1581,$J1581,$K$1:K1581,$K1581,$L$1:L1581,$L1581,$M$1:M1581,M1581,$N$1:N1581,N1581),COUNTIFS($J$1:J1581,$J1581,$K$1:K1581,$K1581,$L$1:L1581,$L1581,$M$1:M1581,M1581,$N$1:N1581,N1581)))</f>
        <v>008</v>
      </c>
      <c r="P1581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MS-CS-012-26-01008-INV</v>
      </c>
      <c r="Q1581" s="59" t="s">
        <v>7356</v>
      </c>
      <c r="R1581" s="34" t="s">
        <v>5821</v>
      </c>
      <c r="S1581" s="34" t="s">
        <v>4472</v>
      </c>
      <c r="T1581" s="34">
        <f>+IFERROR(_xlfn.XLOOKUP(Table43[[#This Row],[Column1]],#REF!,#REF!),0)</f>
        <v>0</v>
      </c>
      <c r="U1581" s="50">
        <f>IFERROR(_xlfn.XLOOKUP(Table43[[#This Row],[Column1]],#REF!,#REF!),0)</f>
        <v>0</v>
      </c>
      <c r="V1581" s="39"/>
    </row>
    <row r="1582" spans="1:22" x14ac:dyDescent="0.35">
      <c r="A1582" s="3" t="s">
        <v>4471</v>
      </c>
      <c r="B1582" s="2" t="s">
        <v>4474</v>
      </c>
      <c r="C1582" s="2" t="s">
        <v>9</v>
      </c>
      <c r="D1582" s="2">
        <v>36.819000000000003</v>
      </c>
      <c r="E1582" s="2" t="s">
        <v>10</v>
      </c>
      <c r="F1582" s="2">
        <v>1</v>
      </c>
      <c r="G1582" s="2">
        <v>4</v>
      </c>
      <c r="H1582" s="2">
        <v>8</v>
      </c>
      <c r="I1582" s="22">
        <f>Table43[[#This Row],[Item Cost]]*Table43[[#This Row],[In Stock]]</f>
        <v>294.55200000000002</v>
      </c>
      <c r="J1582" s="3" t="s">
        <v>4941</v>
      </c>
      <c r="K1582" s="14" t="s">
        <v>4664</v>
      </c>
      <c r="L1582" s="14" t="s">
        <v>4693</v>
      </c>
      <c r="M1582" s="14" t="s">
        <v>4837</v>
      </c>
      <c r="N1582" s="3" t="s">
        <v>4845</v>
      </c>
      <c r="O1582" s="32" t="str">
        <f>IF(LEN(COUNTIFS($J$1:J1582,$J1582,$K$1:K1582,$K1582,$L$1:L1582,$L1582,$M$1:M1582,M1582,$N$1:N1582,N1582))=1,"00"&amp;COUNTIFS($J$1:J1582,$J1582,$K$1:K1582,$K1582,$L$1:L1582,$L1582,$M$1:M1582,M1582,$N$1:N1582,N1582),IF(LEN(COUNTIFS($J$1:J1582,$J1582,$K$1:K1582,$K1582,$L$1:L1582,$L1582,$M$1:M1582,M1582,$N$1:N1582,N1582))=2,"0"&amp;COUNTIFS($J$1:J1582,$J1582,$K$1:K1582,$K1582,$L$1:L1582,$L1582,$M$1:M1582,M1582,$N$1:N1582,N1582),COUNTIFS($J$1:J1582,$J1582,$K$1:K1582,$K1582,$L$1:L1582,$L1582,$M$1:M1582,M1582,$N$1:N1582,N1582)))</f>
        <v>009</v>
      </c>
      <c r="P1582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MS-CS-012-26-01009-INV</v>
      </c>
      <c r="Q1582" s="59" t="s">
        <v>7399</v>
      </c>
      <c r="R1582" s="34" t="s">
        <v>5822</v>
      </c>
      <c r="S1582" s="34" t="s">
        <v>4474</v>
      </c>
      <c r="T1582" s="34">
        <f>+IFERROR(_xlfn.XLOOKUP(Table43[[#This Row],[Column1]],#REF!,#REF!),0)</f>
        <v>0</v>
      </c>
      <c r="U1582" s="50">
        <f>IFERROR(_xlfn.XLOOKUP(Table43[[#This Row],[Column1]],#REF!,#REF!),0)</f>
        <v>0</v>
      </c>
      <c r="V1582" s="39"/>
    </row>
    <row r="1583" spans="1:22" x14ac:dyDescent="0.35">
      <c r="A1583" s="3" t="s">
        <v>4473</v>
      </c>
      <c r="B1583" s="3" t="s">
        <v>4476</v>
      </c>
      <c r="C1583" s="3" t="s">
        <v>9</v>
      </c>
      <c r="D1583" s="3">
        <v>13</v>
      </c>
      <c r="E1583" s="3" t="s">
        <v>10</v>
      </c>
      <c r="F1583" s="2">
        <v>1</v>
      </c>
      <c r="G1583" s="3">
        <v>4</v>
      </c>
      <c r="H1583" s="3">
        <v>5</v>
      </c>
      <c r="I1583" s="21">
        <f>Table43[[#This Row],[Item Cost]]*Table43[[#This Row],[In Stock]]</f>
        <v>65</v>
      </c>
      <c r="J1583" s="3" t="s">
        <v>4941</v>
      </c>
      <c r="K1583" s="14" t="s">
        <v>4664</v>
      </c>
      <c r="L1583" s="14" t="s">
        <v>4693</v>
      </c>
      <c r="M1583" s="14" t="s">
        <v>4837</v>
      </c>
      <c r="N1583" s="3" t="s">
        <v>4845</v>
      </c>
      <c r="O1583" s="32" t="str">
        <f>IF(LEN(COUNTIFS($J$1:J1583,$J1583,$K$1:K1583,$K1583,$L$1:L1583,$L1583,$M$1:M1583,M1583,$N$1:N1583,N1583))=1,"00"&amp;COUNTIFS($J$1:J1583,$J1583,$K$1:K1583,$K1583,$L$1:L1583,$L1583,$M$1:M1583,M1583,$N$1:N1583,N1583),IF(LEN(COUNTIFS($J$1:J1583,$J1583,$K$1:K1583,$K1583,$L$1:L1583,$L1583,$M$1:M1583,M1583,$N$1:N1583,N1583))=2,"0"&amp;COUNTIFS($J$1:J1583,$J1583,$K$1:K1583,$K1583,$L$1:L1583,$L1583,$M$1:M1583,M1583,$N$1:N1583,N1583),COUNTIFS($J$1:J1583,$J1583,$K$1:K1583,$K1583,$L$1:L1583,$L1583,$M$1:M1583,M1583,$N$1:N1583,N1583)))</f>
        <v>010</v>
      </c>
      <c r="P1583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MS-CS-012-26-01010-INV</v>
      </c>
      <c r="Q1583" s="59"/>
      <c r="R1583" s="34" t="s">
        <v>5823</v>
      </c>
      <c r="S1583" s="34" t="s">
        <v>4476</v>
      </c>
      <c r="T1583" s="34">
        <f>+IFERROR(_xlfn.XLOOKUP(Table43[[#This Row],[Column1]],#REF!,#REF!),0)</f>
        <v>0</v>
      </c>
      <c r="U1583" s="50">
        <f>IFERROR(_xlfn.XLOOKUP(Table43[[#This Row],[Column1]],#REF!,#REF!),0)</f>
        <v>0</v>
      </c>
      <c r="V1583" s="39"/>
    </row>
    <row r="1584" spans="1:22" x14ac:dyDescent="0.35">
      <c r="A1584" s="3" t="s">
        <v>4475</v>
      </c>
      <c r="B1584" s="3" t="s">
        <v>4822</v>
      </c>
      <c r="C1584" s="3" t="s">
        <v>9</v>
      </c>
      <c r="D1584" s="3">
        <v>13</v>
      </c>
      <c r="E1584" s="3" t="s">
        <v>10</v>
      </c>
      <c r="F1584" s="2">
        <v>1</v>
      </c>
      <c r="G1584" s="3">
        <v>4</v>
      </c>
      <c r="H1584" s="3">
        <v>5</v>
      </c>
      <c r="I1584" s="21">
        <f>Table43[[#This Row],[Item Cost]]*Table43[[#This Row],[In Stock]]</f>
        <v>65</v>
      </c>
      <c r="J1584" s="3" t="s">
        <v>4941</v>
      </c>
      <c r="K1584" s="14" t="s">
        <v>4664</v>
      </c>
      <c r="L1584" s="14" t="s">
        <v>4693</v>
      </c>
      <c r="M1584" s="14" t="s">
        <v>4827</v>
      </c>
      <c r="N1584" s="3" t="s">
        <v>4845</v>
      </c>
      <c r="O1584" s="32" t="str">
        <f>IF(LEN(COUNTIFS($J$1:J1584,$J1584,$K$1:K1584,$K1584,$L$1:L1584,$L1584,$M$1:M1584,M1584,$N$1:N1584,N1584))=1,"00"&amp;COUNTIFS($J$1:J1584,$J1584,$K$1:K1584,$K1584,$L$1:L1584,$L1584,$M$1:M1584,M1584,$N$1:N1584,N1584),IF(LEN(COUNTIFS($J$1:J1584,$J1584,$K$1:K1584,$K1584,$L$1:L1584,$L1584,$M$1:M1584,M1584,$N$1:N1584,N1584))=2,"0"&amp;COUNTIFS($J$1:J1584,$J1584,$K$1:K1584,$K1584,$L$1:L1584,$L1584,$M$1:M1584,M1584,$N$1:N1584,N1584),COUNTIFS($J$1:J1584,$J1584,$K$1:K1584,$K1584,$L$1:L1584,$L1584,$M$1:M1584,M1584,$N$1:N1584,N1584)))</f>
        <v>001</v>
      </c>
      <c r="P1584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MS-CS-012-10-01001-INV</v>
      </c>
      <c r="Q1584" s="59" t="s">
        <v>7356</v>
      </c>
      <c r="R1584" s="34" t="s">
        <v>5824</v>
      </c>
      <c r="S1584" s="34" t="s">
        <v>4822</v>
      </c>
      <c r="T1584" s="34">
        <f>+IFERROR(_xlfn.XLOOKUP(Table43[[#This Row],[Column1]],#REF!,#REF!),0)</f>
        <v>0</v>
      </c>
      <c r="U1584" s="50">
        <f>IFERROR(_xlfn.XLOOKUP(Table43[[#This Row],[Column1]],#REF!,#REF!),0)</f>
        <v>0</v>
      </c>
      <c r="V1584" s="39"/>
    </row>
    <row r="1585" spans="1:22" x14ac:dyDescent="0.35">
      <c r="A1585" s="3" t="s">
        <v>5632</v>
      </c>
      <c r="B1585" s="2" t="s">
        <v>4478</v>
      </c>
      <c r="C1585" s="2" t="s">
        <v>9</v>
      </c>
      <c r="D1585" s="2">
        <v>437</v>
      </c>
      <c r="E1585" s="2" t="s">
        <v>10</v>
      </c>
      <c r="F1585" s="2">
        <v>1</v>
      </c>
      <c r="G1585" s="2">
        <v>2</v>
      </c>
      <c r="H1585" s="2">
        <v>2</v>
      </c>
      <c r="I1585" s="22">
        <f>Table43[[#This Row],[Item Cost]]*Table43[[#This Row],[In Stock]]</f>
        <v>874</v>
      </c>
      <c r="J1585" s="3" t="s">
        <v>4941</v>
      </c>
      <c r="K1585" s="14" t="s">
        <v>4664</v>
      </c>
      <c r="L1585" s="14" t="s">
        <v>4693</v>
      </c>
      <c r="M1585" s="14" t="s">
        <v>4827</v>
      </c>
      <c r="N1585" s="3" t="s">
        <v>4845</v>
      </c>
      <c r="O1585" s="32" t="str">
        <f>IF(LEN(COUNTIFS($J$1:J1585,$J1585,$K$1:K1585,$K1585,$L$1:L1585,$L1585,$M$1:M1585,M1585,$N$1:N1585,N1585))=1,"00"&amp;COUNTIFS($J$1:J1585,$J1585,$K$1:K1585,$K1585,$L$1:L1585,$L1585,$M$1:M1585,M1585,$N$1:N1585,N1585),IF(LEN(COUNTIFS($J$1:J1585,$J1585,$K$1:K1585,$K1585,$L$1:L1585,$L1585,$M$1:M1585,M1585,$N$1:N1585,N1585))=2,"0"&amp;COUNTIFS($J$1:J1585,$J1585,$K$1:K1585,$K1585,$L$1:L1585,$L1585,$M$1:M1585,M1585,$N$1:N1585,N1585),COUNTIFS($J$1:J1585,$J1585,$K$1:K1585,$K1585,$L$1:L1585,$L1585,$M$1:M1585,M1585,$N$1:N1585,N1585)))</f>
        <v>002</v>
      </c>
      <c r="P1585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MS-CS-012-10-01002-INV</v>
      </c>
      <c r="Q1585" s="59" t="s">
        <v>7356</v>
      </c>
      <c r="R1585" s="34" t="s">
        <v>5825</v>
      </c>
      <c r="S1585" s="34" t="s">
        <v>4478</v>
      </c>
      <c r="T1585" s="34">
        <f>+IFERROR(_xlfn.XLOOKUP(Table43[[#This Row],[Column1]],#REF!,#REF!),0)</f>
        <v>0</v>
      </c>
      <c r="U1585" s="50">
        <f>IFERROR(_xlfn.XLOOKUP(Table43[[#This Row],[Column1]],#REF!,#REF!),0)</f>
        <v>0</v>
      </c>
      <c r="V1585" s="39"/>
    </row>
    <row r="1586" spans="1:22" x14ac:dyDescent="0.35">
      <c r="A1586" s="3" t="s">
        <v>4821</v>
      </c>
      <c r="B1586" s="3" t="s">
        <v>4480</v>
      </c>
      <c r="C1586" s="3" t="s">
        <v>15</v>
      </c>
      <c r="D1586" s="5">
        <v>928</v>
      </c>
      <c r="E1586" s="3" t="s">
        <v>10</v>
      </c>
      <c r="F1586" s="3">
        <v>1</v>
      </c>
      <c r="G1586" s="3">
        <v>2</v>
      </c>
      <c r="H1586" s="3">
        <v>0</v>
      </c>
      <c r="I1586" s="21">
        <f>Table43[[#This Row],[Item Cost]]*Table43[[#This Row],[In Stock]]</f>
        <v>0</v>
      </c>
      <c r="J1586" s="3" t="s">
        <v>4941</v>
      </c>
      <c r="K1586" s="14" t="s">
        <v>4666</v>
      </c>
      <c r="L1586" s="14" t="s">
        <v>4693</v>
      </c>
      <c r="M1586" s="14" t="s">
        <v>4837</v>
      </c>
      <c r="N1586" s="3" t="s">
        <v>4845</v>
      </c>
      <c r="O1586" s="32" t="str">
        <f>IF(LEN(COUNTIFS($J$1:J1586,$J1586,$K$1:K1586,$K1586,$L$1:L1586,$L1586,$M$1:M1586,M1586,$N$1:N1586,N1586))=1,"00"&amp;COUNTIFS($J$1:J1586,$J1586,$K$1:K1586,$K1586,$L$1:L1586,$L1586,$M$1:M1586,M1586,$N$1:N1586,N1586),IF(LEN(COUNTIFS($J$1:J1586,$J1586,$K$1:K1586,$K1586,$L$1:L1586,$L1586,$M$1:M1586,M1586,$N$1:N1586,N1586))=2,"0"&amp;COUNTIFS($J$1:J1586,$J1586,$K$1:K1586,$K1586,$L$1:L1586,$L1586,$M$1:M1586,M1586,$N$1:N1586,N1586),COUNTIFS($J$1:J1586,$J1586,$K$1:K1586,$K1586,$L$1:L1586,$L1586,$M$1:M1586,M1586,$N$1:N1586,N1586)))</f>
        <v>002</v>
      </c>
      <c r="P1586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MS-NS-012-26-01002-INV</v>
      </c>
      <c r="Q1586" s="59" t="s">
        <v>7367</v>
      </c>
      <c r="R1586" s="34" t="s">
        <v>5826</v>
      </c>
      <c r="S1586" s="34" t="s">
        <v>4480</v>
      </c>
      <c r="T1586" s="34">
        <f>+IFERROR(_xlfn.XLOOKUP(Table43[[#This Row],[Column1]],#REF!,#REF!),0)</f>
        <v>0</v>
      </c>
      <c r="U1586" s="50">
        <f>IFERROR(_xlfn.XLOOKUP(Table43[[#This Row],[Column1]],#REF!,#REF!),0)</f>
        <v>0</v>
      </c>
      <c r="V1586" s="39"/>
    </row>
    <row r="1587" spans="1:22" x14ac:dyDescent="0.35">
      <c r="A1587" s="3" t="s">
        <v>4477</v>
      </c>
      <c r="B1587" s="2" t="s">
        <v>4482</v>
      </c>
      <c r="C1587" s="2" t="s">
        <v>15</v>
      </c>
      <c r="D1587" s="4">
        <v>13464.54</v>
      </c>
      <c r="E1587" s="2" t="s">
        <v>10</v>
      </c>
      <c r="F1587" s="3">
        <v>1</v>
      </c>
      <c r="G1587" s="3">
        <v>2</v>
      </c>
      <c r="H1587" s="2">
        <v>0</v>
      </c>
      <c r="I1587" s="22">
        <f>Table43[[#This Row],[Item Cost]]*Table43[[#This Row],[In Stock]]</f>
        <v>0</v>
      </c>
      <c r="J1587" s="3" t="s">
        <v>4941</v>
      </c>
      <c r="K1587" s="14" t="s">
        <v>4666</v>
      </c>
      <c r="L1587" s="14" t="s">
        <v>4693</v>
      </c>
      <c r="M1587" s="14" t="s">
        <v>4837</v>
      </c>
      <c r="N1587" s="3" t="s">
        <v>4845</v>
      </c>
      <c r="O1587" s="32" t="str">
        <f>IF(LEN(COUNTIFS($J$1:J1587,$J1587,$K$1:K1587,$K1587,$L$1:L1587,$L1587,$M$1:M1587,M1587,$N$1:N1587,N1587))=1,"00"&amp;COUNTIFS($J$1:J1587,$J1587,$K$1:K1587,$K1587,$L$1:L1587,$L1587,$M$1:M1587,M1587,$N$1:N1587,N1587),IF(LEN(COUNTIFS($J$1:J1587,$J1587,$K$1:K1587,$K1587,$L$1:L1587,$L1587,$M$1:M1587,M1587,$N$1:N1587,N1587))=2,"0"&amp;COUNTIFS($J$1:J1587,$J1587,$K$1:K1587,$K1587,$L$1:L1587,$L1587,$M$1:M1587,M1587,$N$1:N1587,N1587),COUNTIFS($J$1:J1587,$J1587,$K$1:K1587,$K1587,$L$1:L1587,$L1587,$M$1:M1587,M1587,$N$1:N1587,N1587)))</f>
        <v>003</v>
      </c>
      <c r="P1587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MS-NS-012-26-01003-INV</v>
      </c>
      <c r="Q1587" s="59" t="s">
        <v>7356</v>
      </c>
      <c r="R1587" s="34" t="s">
        <v>5827</v>
      </c>
      <c r="S1587" s="34" t="s">
        <v>4482</v>
      </c>
      <c r="T1587" s="34">
        <f>+IFERROR(_xlfn.XLOOKUP(Table43[[#This Row],[Column1]],#REF!,#REF!),0)</f>
        <v>0</v>
      </c>
      <c r="U1587" s="50">
        <f>IFERROR(_xlfn.XLOOKUP(Table43[[#This Row],[Column1]],#REF!,#REF!),0)</f>
        <v>0</v>
      </c>
      <c r="V1587" s="39"/>
    </row>
    <row r="1588" spans="1:22" x14ac:dyDescent="0.35">
      <c r="A1588" s="3" t="s">
        <v>4479</v>
      </c>
      <c r="B1588" s="3" t="s">
        <v>4484</v>
      </c>
      <c r="C1588" s="3" t="s">
        <v>9</v>
      </c>
      <c r="D1588" s="3">
        <v>3420</v>
      </c>
      <c r="E1588" s="3" t="s">
        <v>10</v>
      </c>
      <c r="F1588" s="2">
        <v>1</v>
      </c>
      <c r="G1588" s="3">
        <v>2</v>
      </c>
      <c r="H1588" s="3">
        <v>1</v>
      </c>
      <c r="I1588" s="21">
        <f>Table43[[#This Row],[Item Cost]]*Table43[[#This Row],[In Stock]]</f>
        <v>3420</v>
      </c>
      <c r="J1588" s="3" t="s">
        <v>4941</v>
      </c>
      <c r="K1588" s="14" t="s">
        <v>4664</v>
      </c>
      <c r="L1588" s="14" t="s">
        <v>4693</v>
      </c>
      <c r="M1588" s="14" t="s">
        <v>4837</v>
      </c>
      <c r="N1588" s="3" t="s">
        <v>4845</v>
      </c>
      <c r="O1588" s="32" t="str">
        <f>IF(LEN(COUNTIFS($J$1:J1588,$J1588,$K$1:K1588,$K1588,$L$1:L1588,$L1588,$M$1:M1588,M1588,$N$1:N1588,N1588))=1,"00"&amp;COUNTIFS($J$1:J1588,$J1588,$K$1:K1588,$K1588,$L$1:L1588,$L1588,$M$1:M1588,M1588,$N$1:N1588,N1588),IF(LEN(COUNTIFS($J$1:J1588,$J1588,$K$1:K1588,$K1588,$L$1:L1588,$L1588,$M$1:M1588,M1588,$N$1:N1588,N1588))=2,"0"&amp;COUNTIFS($J$1:J1588,$J1588,$K$1:K1588,$K1588,$L$1:L1588,$L1588,$M$1:M1588,M1588,$N$1:N1588,N1588),COUNTIFS($J$1:J1588,$J1588,$K$1:K1588,$K1588,$L$1:L1588,$L1588,$M$1:M1588,M1588,$N$1:N1588,N1588)))</f>
        <v>011</v>
      </c>
      <c r="P1588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MS-CS-012-26-01011-INV</v>
      </c>
      <c r="Q1588" s="59" t="s">
        <v>7356</v>
      </c>
      <c r="R1588" s="34" t="s">
        <v>5828</v>
      </c>
      <c r="S1588" s="34" t="s">
        <v>4484</v>
      </c>
      <c r="T1588" s="34">
        <f>+IFERROR(_xlfn.XLOOKUP(Table43[[#This Row],[Column1]],#REF!,#REF!),0)</f>
        <v>0</v>
      </c>
      <c r="U1588" s="50">
        <f>IFERROR(_xlfn.XLOOKUP(Table43[[#This Row],[Column1]],#REF!,#REF!),0)</f>
        <v>0</v>
      </c>
      <c r="V1588" s="39"/>
    </row>
    <row r="1589" spans="1:22" x14ac:dyDescent="0.35">
      <c r="A1589" s="3" t="s">
        <v>4481</v>
      </c>
      <c r="B1589" s="2" t="s">
        <v>4486</v>
      </c>
      <c r="C1589" s="2" t="s">
        <v>9</v>
      </c>
      <c r="D1589" s="2">
        <v>201</v>
      </c>
      <c r="E1589" s="2" t="s">
        <v>10</v>
      </c>
      <c r="F1589" s="2">
        <v>1</v>
      </c>
      <c r="G1589" s="2">
        <v>2</v>
      </c>
      <c r="H1589" s="2">
        <v>2</v>
      </c>
      <c r="I1589" s="22">
        <f>Table43[[#This Row],[Item Cost]]*Table43[[#This Row],[In Stock]]</f>
        <v>402</v>
      </c>
      <c r="J1589" s="3" t="s">
        <v>4941</v>
      </c>
      <c r="K1589" s="14" t="s">
        <v>4664</v>
      </c>
      <c r="L1589" s="14" t="s">
        <v>4693</v>
      </c>
      <c r="M1589" s="14" t="s">
        <v>4837</v>
      </c>
      <c r="N1589" s="3" t="s">
        <v>4845</v>
      </c>
      <c r="O1589" s="32" t="str">
        <f>IF(LEN(COUNTIFS($J$1:J1589,$J1589,$K$1:K1589,$K1589,$L$1:L1589,$L1589,$M$1:M1589,M1589,$N$1:N1589,N1589))=1,"00"&amp;COUNTIFS($J$1:J1589,$J1589,$K$1:K1589,$K1589,$L$1:L1589,$L1589,$M$1:M1589,M1589,$N$1:N1589,N1589),IF(LEN(COUNTIFS($J$1:J1589,$J1589,$K$1:K1589,$K1589,$L$1:L1589,$L1589,$M$1:M1589,M1589,$N$1:N1589,N1589))=2,"0"&amp;COUNTIFS($J$1:J1589,$J1589,$K$1:K1589,$K1589,$L$1:L1589,$L1589,$M$1:M1589,M1589,$N$1:N1589,N1589),COUNTIFS($J$1:J1589,$J1589,$K$1:K1589,$K1589,$L$1:L1589,$L1589,$M$1:M1589,M1589,$N$1:N1589,N1589)))</f>
        <v>012</v>
      </c>
      <c r="P1589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MS-CS-012-26-01012-INV</v>
      </c>
      <c r="Q1589" s="59"/>
      <c r="R1589" s="34" t="s">
        <v>5829</v>
      </c>
      <c r="S1589" s="34" t="s">
        <v>4486</v>
      </c>
      <c r="T1589" s="34">
        <f>+IFERROR(_xlfn.XLOOKUP(Table43[[#This Row],[Column1]],#REF!,#REF!),0)</f>
        <v>0</v>
      </c>
      <c r="U1589" s="50">
        <f>IFERROR(_xlfn.XLOOKUP(Table43[[#This Row],[Column1]],#REF!,#REF!),0)</f>
        <v>0</v>
      </c>
      <c r="V1589" s="39"/>
    </row>
    <row r="1590" spans="1:22" x14ac:dyDescent="0.35">
      <c r="A1590" s="3" t="s">
        <v>4483</v>
      </c>
      <c r="B1590" s="2" t="s">
        <v>4490</v>
      </c>
      <c r="C1590" s="2" t="s">
        <v>15</v>
      </c>
      <c r="D1590" s="4">
        <v>201</v>
      </c>
      <c r="E1590" s="2" t="s">
        <v>10</v>
      </c>
      <c r="F1590" s="3">
        <v>1</v>
      </c>
      <c r="G1590" s="3">
        <v>2</v>
      </c>
      <c r="H1590" s="2">
        <v>0</v>
      </c>
      <c r="I1590" s="22">
        <f>Table43[[#This Row],[Item Cost]]*Table43[[#This Row],[In Stock]]</f>
        <v>0</v>
      </c>
      <c r="J1590" s="3" t="s">
        <v>4941</v>
      </c>
      <c r="K1590" s="14" t="s">
        <v>4666</v>
      </c>
      <c r="L1590" s="14" t="s">
        <v>4693</v>
      </c>
      <c r="M1590" s="14" t="s">
        <v>4837</v>
      </c>
      <c r="N1590" s="3" t="s">
        <v>4845</v>
      </c>
      <c r="O1590" s="32" t="str">
        <f>IF(LEN(COUNTIFS($J$1:J1590,$J1590,$K$1:K1590,$K1590,$L$1:L1590,$L1590,$M$1:M1590,M1590,$N$1:N1590,N1590))=1,"00"&amp;COUNTIFS($J$1:J1590,$J1590,$K$1:K1590,$K1590,$L$1:L1590,$L1590,$M$1:M1590,M1590,$N$1:N1590,N1590),IF(LEN(COUNTIFS($J$1:J1590,$J1590,$K$1:K1590,$K1590,$L$1:L1590,$L1590,$M$1:M1590,M1590,$N$1:N1590,N1590))=2,"0"&amp;COUNTIFS($J$1:J1590,$J1590,$K$1:K1590,$K1590,$L$1:L1590,$L1590,$M$1:M1590,M1590,$N$1:N1590,N1590),COUNTIFS($J$1:J1590,$J1590,$K$1:K1590,$K1590,$L$1:L1590,$L1590,$M$1:M1590,M1590,$N$1:N1590,N1590)))</f>
        <v>004</v>
      </c>
      <c r="P1590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MS-NS-012-26-01004-INV</v>
      </c>
      <c r="Q1590" s="59"/>
      <c r="R1590" s="49" t="s">
        <v>5703</v>
      </c>
      <c r="S1590" s="34" t="s">
        <v>5746</v>
      </c>
      <c r="T1590" s="34">
        <f>+IFERROR(_xlfn.XLOOKUP(Table43[[#This Row],[Column1]],#REF!,#REF!),0)</f>
        <v>0</v>
      </c>
      <c r="U1590" s="50">
        <f>IFERROR(_xlfn.XLOOKUP(Table43[[#This Row],[Column1]],#REF!,#REF!),0)</f>
        <v>0</v>
      </c>
      <c r="V1590" s="39"/>
    </row>
    <row r="1591" spans="1:22" x14ac:dyDescent="0.35">
      <c r="A1591" s="3" t="s">
        <v>4485</v>
      </c>
      <c r="B1591" s="3" t="s">
        <v>4492</v>
      </c>
      <c r="C1591" s="3" t="s">
        <v>9</v>
      </c>
      <c r="D1591" s="3">
        <v>15</v>
      </c>
      <c r="E1591" s="3" t="s">
        <v>10</v>
      </c>
      <c r="F1591" s="2">
        <v>1</v>
      </c>
      <c r="G1591" s="3">
        <v>2</v>
      </c>
      <c r="H1591" s="3">
        <v>20</v>
      </c>
      <c r="I1591" s="21">
        <f>Table43[[#This Row],[Item Cost]]*Table43[[#This Row],[In Stock]]</f>
        <v>300</v>
      </c>
      <c r="J1591" s="3" t="s">
        <v>4941</v>
      </c>
      <c r="K1591" s="14" t="s">
        <v>4664</v>
      </c>
      <c r="L1591" s="14" t="s">
        <v>4693</v>
      </c>
      <c r="M1591" s="14" t="s">
        <v>4837</v>
      </c>
      <c r="N1591" s="3" t="s">
        <v>4845</v>
      </c>
      <c r="O1591" s="32" t="str">
        <f>IF(LEN(COUNTIFS($J$1:J1591,$J1591,$K$1:K1591,$K1591,$L$1:L1591,$L1591,$M$1:M1591,M1591,$N$1:N1591,N1591))=1,"00"&amp;COUNTIFS($J$1:J1591,$J1591,$K$1:K1591,$K1591,$L$1:L1591,$L1591,$M$1:M1591,M1591,$N$1:N1591,N1591),IF(LEN(COUNTIFS($J$1:J1591,$J1591,$K$1:K1591,$K1591,$L$1:L1591,$L1591,$M$1:M1591,M1591,$N$1:N1591,N1591))=2,"0"&amp;COUNTIFS($J$1:J1591,$J1591,$K$1:K1591,$K1591,$L$1:L1591,$L1591,$M$1:M1591,M1591,$N$1:N1591,N1591),COUNTIFS($J$1:J1591,$J1591,$K$1:K1591,$K1591,$L$1:L1591,$L1591,$M$1:M1591,M1591,$N$1:N1591,N1591)))</f>
        <v>013</v>
      </c>
      <c r="P1591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MS-CS-012-26-01013-INV</v>
      </c>
      <c r="Q1591" s="59"/>
      <c r="R1591" s="34"/>
      <c r="S1591" s="34">
        <v>0</v>
      </c>
      <c r="T1591" s="34">
        <f>+IFERROR(_xlfn.XLOOKUP(Table43[[#This Row],[Column1]],#REF!,#REF!),0)</f>
        <v>0</v>
      </c>
      <c r="U1591" s="50">
        <f>IFERROR(_xlfn.XLOOKUP(Table43[[#This Row],[Column1]],#REF!,#REF!),0)</f>
        <v>0</v>
      </c>
      <c r="V1591" s="39"/>
    </row>
    <row r="1592" spans="1:22" x14ac:dyDescent="0.35">
      <c r="A1592" s="3" t="s">
        <v>4487</v>
      </c>
      <c r="B1592" s="2" t="s">
        <v>4494</v>
      </c>
      <c r="C1592" s="2" t="s">
        <v>15</v>
      </c>
      <c r="D1592" s="2">
        <v>913</v>
      </c>
      <c r="E1592" s="2" t="s">
        <v>10</v>
      </c>
      <c r="F1592" s="3">
        <v>1</v>
      </c>
      <c r="G1592" s="3">
        <v>2</v>
      </c>
      <c r="H1592" s="2">
        <v>0</v>
      </c>
      <c r="I1592" s="22">
        <f>Table43[[#This Row],[Item Cost]]*Table43[[#This Row],[In Stock]]</f>
        <v>0</v>
      </c>
      <c r="J1592" s="3" t="s">
        <v>4941</v>
      </c>
      <c r="K1592" s="14" t="s">
        <v>4666</v>
      </c>
      <c r="L1592" s="14" t="s">
        <v>4693</v>
      </c>
      <c r="M1592" s="14" t="s">
        <v>4837</v>
      </c>
      <c r="N1592" s="3" t="s">
        <v>4845</v>
      </c>
      <c r="O1592" s="32" t="str">
        <f>IF(LEN(COUNTIFS($J$1:J1592,$J1592,$K$1:K1592,$K1592,$L$1:L1592,$L1592,$M$1:M1592,M1592,$N$1:N1592,N1592))=1,"00"&amp;COUNTIFS($J$1:J1592,$J1592,$K$1:K1592,$K1592,$L$1:L1592,$L1592,$M$1:M1592,M1592,$N$1:N1592,N1592),IF(LEN(COUNTIFS($J$1:J1592,$J1592,$K$1:K1592,$K1592,$L$1:L1592,$L1592,$M$1:M1592,M1592,$N$1:N1592,N1592))=2,"0"&amp;COUNTIFS($J$1:J1592,$J1592,$K$1:K1592,$K1592,$L$1:L1592,$L1592,$M$1:M1592,M1592,$N$1:N1592,N1592),COUNTIFS($J$1:J1592,$J1592,$K$1:K1592,$K1592,$L$1:L1592,$L1592,$M$1:M1592,M1592,$N$1:N1592,N1592)))</f>
        <v>005</v>
      </c>
      <c r="P1592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MS-NS-012-26-01005-INV</v>
      </c>
      <c r="Q1592" s="59"/>
      <c r="R1592" s="49" t="s">
        <v>5704</v>
      </c>
      <c r="S1592" s="34" t="s">
        <v>5747</v>
      </c>
      <c r="T1592" s="34">
        <f>+IFERROR(_xlfn.XLOOKUP(Table43[[#This Row],[Column1]],#REF!,#REF!),0)</f>
        <v>0</v>
      </c>
      <c r="U1592" s="50">
        <f>IFERROR(_xlfn.XLOOKUP(Table43[[#This Row],[Column1]],#REF!,#REF!),0)</f>
        <v>0</v>
      </c>
      <c r="V1592" s="39"/>
    </row>
    <row r="1593" spans="1:22" x14ac:dyDescent="0.35">
      <c r="A1593" s="3" t="s">
        <v>4489</v>
      </c>
      <c r="B1593" s="3" t="s">
        <v>4496</v>
      </c>
      <c r="C1593" s="3" t="s">
        <v>15</v>
      </c>
      <c r="D1593" s="3">
        <v>922.45500000000004</v>
      </c>
      <c r="E1593" s="3" t="s">
        <v>10</v>
      </c>
      <c r="F1593" s="3">
        <v>1</v>
      </c>
      <c r="G1593" s="3">
        <v>2</v>
      </c>
      <c r="H1593" s="3">
        <v>0</v>
      </c>
      <c r="I1593" s="21">
        <f>Table43[[#This Row],[Item Cost]]*Table43[[#This Row],[In Stock]]</f>
        <v>0</v>
      </c>
      <c r="J1593" s="3" t="s">
        <v>4941</v>
      </c>
      <c r="K1593" s="14" t="s">
        <v>4666</v>
      </c>
      <c r="L1593" s="14" t="s">
        <v>4693</v>
      </c>
      <c r="M1593" s="14" t="s">
        <v>4837</v>
      </c>
      <c r="N1593" s="3" t="s">
        <v>4845</v>
      </c>
      <c r="O1593" s="32" t="str">
        <f>IF(LEN(COUNTIFS($J$1:J1593,$J1593,$K$1:K1593,$K1593,$L$1:L1593,$L1593,$M$1:M1593,M1593,$N$1:N1593,N1593))=1,"00"&amp;COUNTIFS($J$1:J1593,$J1593,$K$1:K1593,$K1593,$L$1:L1593,$L1593,$M$1:M1593,M1593,$N$1:N1593,N1593),IF(LEN(COUNTIFS($J$1:J1593,$J1593,$K$1:K1593,$K1593,$L$1:L1593,$L1593,$M$1:M1593,M1593,$N$1:N1593,N1593))=2,"0"&amp;COUNTIFS($J$1:J1593,$J1593,$K$1:K1593,$K1593,$L$1:L1593,$L1593,$M$1:M1593,M1593,$N$1:N1593,N1593),COUNTIFS($J$1:J1593,$J1593,$K$1:K1593,$K1593,$L$1:L1593,$L1593,$M$1:M1593,M1593,$N$1:N1593,N1593)))</f>
        <v>006</v>
      </c>
      <c r="P1593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MS-NS-012-26-01006-INV</v>
      </c>
      <c r="Q1593" s="59"/>
      <c r="R1593" s="34" t="s">
        <v>7185</v>
      </c>
      <c r="S1593" s="34" t="s">
        <v>4496</v>
      </c>
      <c r="T1593" s="34">
        <f>+IFERROR(_xlfn.XLOOKUP(Table43[[#This Row],[Column1]],#REF!,#REF!),0)</f>
        <v>0</v>
      </c>
      <c r="U1593" s="50">
        <f>IFERROR(_xlfn.XLOOKUP(Table43[[#This Row],[Column1]],#REF!,#REF!),0)</f>
        <v>0</v>
      </c>
      <c r="V1593" s="39"/>
    </row>
    <row r="1594" spans="1:22" x14ac:dyDescent="0.35">
      <c r="A1594" s="3" t="s">
        <v>4491</v>
      </c>
      <c r="B1594" s="2" t="s">
        <v>4498</v>
      </c>
      <c r="C1594" s="2" t="s">
        <v>15</v>
      </c>
      <c r="D1594" s="2">
        <v>94</v>
      </c>
      <c r="E1594" s="2" t="s">
        <v>10</v>
      </c>
      <c r="F1594" s="3">
        <v>1</v>
      </c>
      <c r="G1594" s="3">
        <v>2</v>
      </c>
      <c r="H1594" s="2">
        <v>0</v>
      </c>
      <c r="I1594" s="22">
        <f>Table43[[#This Row],[Item Cost]]*Table43[[#This Row],[In Stock]]</f>
        <v>0</v>
      </c>
      <c r="J1594" s="3" t="s">
        <v>4941</v>
      </c>
      <c r="K1594" s="14" t="s">
        <v>4666</v>
      </c>
      <c r="L1594" s="14" t="s">
        <v>4693</v>
      </c>
      <c r="M1594" s="14" t="s">
        <v>4837</v>
      </c>
      <c r="N1594" s="3" t="s">
        <v>4845</v>
      </c>
      <c r="O1594" s="32" t="str">
        <f>IF(LEN(COUNTIFS($J$1:J1594,$J1594,$K$1:K1594,$K1594,$L$1:L1594,$L1594,$M$1:M1594,M1594,$N$1:N1594,N1594))=1,"00"&amp;COUNTIFS($J$1:J1594,$J1594,$K$1:K1594,$K1594,$L$1:L1594,$L1594,$M$1:M1594,M1594,$N$1:N1594,N1594),IF(LEN(COUNTIFS($J$1:J1594,$J1594,$K$1:K1594,$K1594,$L$1:L1594,$L1594,$M$1:M1594,M1594,$N$1:N1594,N1594))=2,"0"&amp;COUNTIFS($J$1:J1594,$J1594,$K$1:K1594,$K1594,$L$1:L1594,$L1594,$M$1:M1594,M1594,$N$1:N1594,N1594),COUNTIFS($J$1:J1594,$J1594,$K$1:K1594,$K1594,$L$1:L1594,$L1594,$M$1:M1594,M1594,$N$1:N1594,N1594)))</f>
        <v>007</v>
      </c>
      <c r="P1594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MS-NS-012-26-01007-INV</v>
      </c>
      <c r="Q1594" s="59"/>
      <c r="R1594" s="49" t="s">
        <v>5705</v>
      </c>
      <c r="S1594" s="34" t="s">
        <v>5748</v>
      </c>
      <c r="T1594" s="34">
        <f>+IFERROR(_xlfn.XLOOKUP(Table43[[#This Row],[Column1]],#REF!,#REF!),0)</f>
        <v>0</v>
      </c>
      <c r="U1594" s="50">
        <f>IFERROR(_xlfn.XLOOKUP(Table43[[#This Row],[Column1]],#REF!,#REF!),0)</f>
        <v>0</v>
      </c>
      <c r="V1594" s="39"/>
    </row>
    <row r="1595" spans="1:22" x14ac:dyDescent="0.35">
      <c r="A1595" s="3" t="s">
        <v>5633</v>
      </c>
      <c r="B1595" s="3" t="s">
        <v>4500</v>
      </c>
      <c r="C1595" s="3" t="s">
        <v>15</v>
      </c>
      <c r="D1595" s="3">
        <v>18</v>
      </c>
      <c r="E1595" s="3" t="s">
        <v>10</v>
      </c>
      <c r="F1595" s="3">
        <v>2</v>
      </c>
      <c r="G1595" s="3">
        <v>10</v>
      </c>
      <c r="H1595" s="3">
        <v>7</v>
      </c>
      <c r="I1595" s="21">
        <f>Table43[[#This Row],[Item Cost]]*Table43[[#This Row],[In Stock]]</f>
        <v>126</v>
      </c>
      <c r="J1595" s="3" t="s">
        <v>4941</v>
      </c>
      <c r="K1595" s="14" t="s">
        <v>4666</v>
      </c>
      <c r="L1595" s="14" t="s">
        <v>4693</v>
      </c>
      <c r="M1595" s="14" t="s">
        <v>4837</v>
      </c>
      <c r="N1595" s="3" t="s">
        <v>4845</v>
      </c>
      <c r="O1595" s="32" t="str">
        <f>IF(LEN(COUNTIFS($J$1:J1595,$J1595,$K$1:K1595,$K1595,$L$1:L1595,$L1595,$M$1:M1595,M1595,$N$1:N1595,N1595))=1,"00"&amp;COUNTIFS($J$1:J1595,$J1595,$K$1:K1595,$K1595,$L$1:L1595,$L1595,$M$1:M1595,M1595,$N$1:N1595,N1595),IF(LEN(COUNTIFS($J$1:J1595,$J1595,$K$1:K1595,$K1595,$L$1:L1595,$L1595,$M$1:M1595,M1595,$N$1:N1595,N1595))=2,"0"&amp;COUNTIFS($J$1:J1595,$J1595,$K$1:K1595,$K1595,$L$1:L1595,$L1595,$M$1:M1595,M1595,$N$1:N1595,N1595),COUNTIFS($J$1:J1595,$J1595,$K$1:K1595,$K1595,$L$1:L1595,$L1595,$M$1:M1595,M1595,$N$1:N1595,N1595)))</f>
        <v>008</v>
      </c>
      <c r="P1595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MS-NS-012-26-01008-INV</v>
      </c>
      <c r="Q1595" s="59"/>
      <c r="R1595" s="34" t="s">
        <v>7186</v>
      </c>
      <c r="S1595" s="34" t="s">
        <v>4500</v>
      </c>
      <c r="T1595" s="34">
        <f>+IFERROR(_xlfn.XLOOKUP(Table43[[#This Row],[Column1]],#REF!,#REF!),0)</f>
        <v>0</v>
      </c>
      <c r="U1595" s="50">
        <f>IFERROR(_xlfn.XLOOKUP(Table43[[#This Row],[Column1]],#REF!,#REF!),0)</f>
        <v>0</v>
      </c>
      <c r="V1595" s="39"/>
    </row>
    <row r="1596" spans="1:22" x14ac:dyDescent="0.35">
      <c r="A1596" s="3" t="s">
        <v>5634</v>
      </c>
      <c r="B1596" s="2" t="s">
        <v>4502</v>
      </c>
      <c r="C1596" s="2" t="s">
        <v>15</v>
      </c>
      <c r="D1596" s="2">
        <v>83</v>
      </c>
      <c r="E1596" s="2" t="s">
        <v>10</v>
      </c>
      <c r="F1596" s="3">
        <v>5</v>
      </c>
      <c r="G1596" s="3">
        <v>20</v>
      </c>
      <c r="H1596" s="2">
        <v>15</v>
      </c>
      <c r="I1596" s="22">
        <f>Table43[[#This Row],[Item Cost]]*Table43[[#This Row],[In Stock]]</f>
        <v>1245</v>
      </c>
      <c r="J1596" s="3" t="s">
        <v>4941</v>
      </c>
      <c r="K1596" s="14" t="s">
        <v>4666</v>
      </c>
      <c r="L1596" s="14" t="s">
        <v>4693</v>
      </c>
      <c r="M1596" s="14" t="s">
        <v>4837</v>
      </c>
      <c r="N1596" s="3" t="s">
        <v>4845</v>
      </c>
      <c r="O1596" s="32" t="str">
        <f>IF(LEN(COUNTIFS($J$1:J1596,$J1596,$K$1:K1596,$K1596,$L$1:L1596,$L1596,$M$1:M1596,M1596,$N$1:N1596,N1596))=1,"00"&amp;COUNTIFS($J$1:J1596,$J1596,$K$1:K1596,$K1596,$L$1:L1596,$L1596,$M$1:M1596,M1596,$N$1:N1596,N1596),IF(LEN(COUNTIFS($J$1:J1596,$J1596,$K$1:K1596,$K1596,$L$1:L1596,$L1596,$M$1:M1596,M1596,$N$1:N1596,N1596))=2,"0"&amp;COUNTIFS($J$1:J1596,$J1596,$K$1:K1596,$K1596,$L$1:L1596,$L1596,$M$1:M1596,M1596,$N$1:N1596,N1596),COUNTIFS($J$1:J1596,$J1596,$K$1:K1596,$K1596,$L$1:L1596,$L1596,$M$1:M1596,M1596,$N$1:N1596,N1596)))</f>
        <v>009</v>
      </c>
      <c r="P1596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MS-NS-012-26-01009-INV</v>
      </c>
      <c r="Q1596" s="59"/>
      <c r="R1596" s="34"/>
      <c r="S1596" s="34">
        <v>0</v>
      </c>
      <c r="T1596" s="34">
        <f>+IFERROR(_xlfn.XLOOKUP(Table43[[#This Row],[Column1]],#REF!,#REF!),0)</f>
        <v>0</v>
      </c>
      <c r="U1596" s="50">
        <f>IFERROR(_xlfn.XLOOKUP(Table43[[#This Row],[Column1]],#REF!,#REF!),0)</f>
        <v>0</v>
      </c>
      <c r="V1596" s="39"/>
    </row>
    <row r="1597" spans="1:22" x14ac:dyDescent="0.35">
      <c r="A1597" s="3" t="s">
        <v>5635</v>
      </c>
      <c r="B1597" s="3" t="s">
        <v>4504</v>
      </c>
      <c r="C1597" s="3" t="s">
        <v>15</v>
      </c>
      <c r="D1597" s="3">
        <v>130</v>
      </c>
      <c r="E1597" s="3" t="s">
        <v>10</v>
      </c>
      <c r="F1597" s="3">
        <v>1</v>
      </c>
      <c r="G1597" s="3">
        <v>2</v>
      </c>
      <c r="H1597" s="3">
        <v>3</v>
      </c>
      <c r="I1597" s="21">
        <f>Table43[[#This Row],[Item Cost]]*Table43[[#This Row],[In Stock]]</f>
        <v>390</v>
      </c>
      <c r="J1597" s="3" t="s">
        <v>4941</v>
      </c>
      <c r="K1597" s="14" t="s">
        <v>4666</v>
      </c>
      <c r="L1597" s="14" t="s">
        <v>4693</v>
      </c>
      <c r="M1597" s="14" t="s">
        <v>4837</v>
      </c>
      <c r="N1597" s="3" t="s">
        <v>4845</v>
      </c>
      <c r="O1597" s="32" t="str">
        <f>IF(LEN(COUNTIFS($J$1:J1597,$J1597,$K$1:K1597,$K1597,$L$1:L1597,$L1597,$M$1:M1597,M1597,$N$1:N1597,N1597))=1,"00"&amp;COUNTIFS($J$1:J1597,$J1597,$K$1:K1597,$K1597,$L$1:L1597,$L1597,$M$1:M1597,M1597,$N$1:N1597,N1597),IF(LEN(COUNTIFS($J$1:J1597,$J1597,$K$1:K1597,$K1597,$L$1:L1597,$L1597,$M$1:M1597,M1597,$N$1:N1597,N1597))=2,"0"&amp;COUNTIFS($J$1:J1597,$J1597,$K$1:K1597,$K1597,$L$1:L1597,$L1597,$M$1:M1597,M1597,$N$1:N1597,N1597),COUNTIFS($J$1:J1597,$J1597,$K$1:K1597,$K1597,$L$1:L1597,$L1597,$M$1:M1597,M1597,$N$1:N1597,N1597)))</f>
        <v>010</v>
      </c>
      <c r="P1597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MS-NS-012-26-01010-INV</v>
      </c>
      <c r="Q1597" s="59"/>
      <c r="R1597" s="34"/>
      <c r="S1597" s="34">
        <v>0</v>
      </c>
      <c r="T1597" s="34">
        <f>+IFERROR(_xlfn.XLOOKUP(Table43[[#This Row],[Column1]],#REF!,#REF!),0)</f>
        <v>0</v>
      </c>
      <c r="U1597" s="50">
        <f>IFERROR(_xlfn.XLOOKUP(Table43[[#This Row],[Column1]],#REF!,#REF!),0)</f>
        <v>0</v>
      </c>
      <c r="V1597" s="39"/>
    </row>
    <row r="1598" spans="1:22" x14ac:dyDescent="0.35">
      <c r="A1598" s="3" t="s">
        <v>5636</v>
      </c>
      <c r="B1598" s="2" t="s">
        <v>4506</v>
      </c>
      <c r="C1598" s="2" t="s">
        <v>15</v>
      </c>
      <c r="D1598" s="2">
        <v>175</v>
      </c>
      <c r="E1598" s="2" t="s">
        <v>10</v>
      </c>
      <c r="F1598" s="3">
        <v>2</v>
      </c>
      <c r="G1598" s="3">
        <v>5</v>
      </c>
      <c r="H1598" s="2">
        <v>5</v>
      </c>
      <c r="I1598" s="22">
        <f>Table43[[#This Row],[Item Cost]]*Table43[[#This Row],[In Stock]]</f>
        <v>875</v>
      </c>
      <c r="J1598" s="3" t="s">
        <v>4941</v>
      </c>
      <c r="K1598" s="14" t="s">
        <v>4666</v>
      </c>
      <c r="L1598" s="14" t="s">
        <v>4693</v>
      </c>
      <c r="M1598" s="14" t="s">
        <v>4837</v>
      </c>
      <c r="N1598" s="3" t="s">
        <v>4845</v>
      </c>
      <c r="O1598" s="32" t="str">
        <f>IF(LEN(COUNTIFS($J$1:J1598,$J1598,$K$1:K1598,$K1598,$L$1:L1598,$L1598,$M$1:M1598,M1598,$N$1:N1598,N1598))=1,"00"&amp;COUNTIFS($J$1:J1598,$J1598,$K$1:K1598,$K1598,$L$1:L1598,$L1598,$M$1:M1598,M1598,$N$1:N1598,N1598),IF(LEN(COUNTIFS($J$1:J1598,$J1598,$K$1:K1598,$K1598,$L$1:L1598,$L1598,$M$1:M1598,M1598,$N$1:N1598,N1598))=2,"0"&amp;COUNTIFS($J$1:J1598,$J1598,$K$1:K1598,$K1598,$L$1:L1598,$L1598,$M$1:M1598,M1598,$N$1:N1598,N1598),COUNTIFS($J$1:J1598,$J1598,$K$1:K1598,$K1598,$L$1:L1598,$L1598,$M$1:M1598,M1598,$N$1:N1598,N1598)))</f>
        <v>011</v>
      </c>
      <c r="P1598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MS-NS-012-26-01011-INV</v>
      </c>
      <c r="Q1598" s="59"/>
      <c r="R1598" s="34"/>
      <c r="S1598" s="34">
        <v>0</v>
      </c>
      <c r="T1598" s="34">
        <f>+IFERROR(_xlfn.XLOOKUP(Table43[[#This Row],[Column1]],#REF!,#REF!),0)</f>
        <v>0</v>
      </c>
      <c r="U1598" s="50">
        <f>IFERROR(_xlfn.XLOOKUP(Table43[[#This Row],[Column1]],#REF!,#REF!),0)</f>
        <v>0</v>
      </c>
      <c r="V1598" s="39"/>
    </row>
    <row r="1599" spans="1:22" x14ac:dyDescent="0.35">
      <c r="A1599" s="3" t="s">
        <v>5637</v>
      </c>
      <c r="B1599" s="3" t="s">
        <v>4508</v>
      </c>
      <c r="C1599" s="3" t="s">
        <v>15</v>
      </c>
      <c r="D1599" s="3">
        <v>173</v>
      </c>
      <c r="E1599" s="3" t="s">
        <v>10</v>
      </c>
      <c r="F1599" s="3">
        <v>5</v>
      </c>
      <c r="G1599" s="3">
        <v>15</v>
      </c>
      <c r="H1599" s="3">
        <v>12</v>
      </c>
      <c r="I1599" s="21">
        <f>Table43[[#This Row],[Item Cost]]*Table43[[#This Row],[In Stock]]</f>
        <v>2076</v>
      </c>
      <c r="J1599" s="3" t="s">
        <v>4941</v>
      </c>
      <c r="K1599" s="14" t="s">
        <v>4666</v>
      </c>
      <c r="L1599" s="14" t="s">
        <v>4693</v>
      </c>
      <c r="M1599" s="14" t="s">
        <v>4837</v>
      </c>
      <c r="N1599" s="3" t="s">
        <v>4845</v>
      </c>
      <c r="O1599" s="32" t="str">
        <f>IF(LEN(COUNTIFS($J$1:J1599,$J1599,$K$1:K1599,$K1599,$L$1:L1599,$L1599,$M$1:M1599,M1599,$N$1:N1599,N1599))=1,"00"&amp;COUNTIFS($J$1:J1599,$J1599,$K$1:K1599,$K1599,$L$1:L1599,$L1599,$M$1:M1599,M1599,$N$1:N1599,N1599),IF(LEN(COUNTIFS($J$1:J1599,$J1599,$K$1:K1599,$K1599,$L$1:L1599,$L1599,$M$1:M1599,M1599,$N$1:N1599,N1599))=2,"0"&amp;COUNTIFS($J$1:J1599,$J1599,$K$1:K1599,$K1599,$L$1:L1599,$L1599,$M$1:M1599,M1599,$N$1:N1599,N1599),COUNTIFS($J$1:J1599,$J1599,$K$1:K1599,$K1599,$L$1:L1599,$L1599,$M$1:M1599,M1599,$N$1:N1599,N1599)))</f>
        <v>012</v>
      </c>
      <c r="P1599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MS-NS-012-26-01012-INV</v>
      </c>
      <c r="Q1599" s="59"/>
      <c r="R1599" s="34"/>
      <c r="S1599" s="34">
        <v>0</v>
      </c>
      <c r="T1599" s="34">
        <f>+IFERROR(_xlfn.XLOOKUP(Table43[[#This Row],[Column1]],#REF!,#REF!),0)</f>
        <v>0</v>
      </c>
      <c r="U1599" s="50">
        <f>IFERROR(_xlfn.XLOOKUP(Table43[[#This Row],[Column1]],#REF!,#REF!),0)</f>
        <v>0</v>
      </c>
      <c r="V1599" s="39"/>
    </row>
    <row r="1600" spans="1:22" x14ac:dyDescent="0.35">
      <c r="A1600" s="3" t="s">
        <v>5638</v>
      </c>
      <c r="B1600" s="2" t="s">
        <v>4510</v>
      </c>
      <c r="C1600" s="2" t="s">
        <v>15</v>
      </c>
      <c r="D1600" s="2">
        <v>63.5</v>
      </c>
      <c r="E1600" s="2" t="s">
        <v>10</v>
      </c>
      <c r="F1600" s="3">
        <v>2</v>
      </c>
      <c r="G1600" s="3">
        <v>4</v>
      </c>
      <c r="H1600" s="2">
        <v>7</v>
      </c>
      <c r="I1600" s="22">
        <f>Table43[[#This Row],[Item Cost]]*Table43[[#This Row],[In Stock]]</f>
        <v>444.5</v>
      </c>
      <c r="J1600" s="3" t="s">
        <v>4941</v>
      </c>
      <c r="K1600" s="14" t="s">
        <v>4666</v>
      </c>
      <c r="L1600" s="14" t="s">
        <v>4693</v>
      </c>
      <c r="M1600" s="14" t="s">
        <v>4837</v>
      </c>
      <c r="N1600" s="3" t="s">
        <v>4845</v>
      </c>
      <c r="O1600" s="32" t="str">
        <f>IF(LEN(COUNTIFS($J$1:J1600,$J1600,$K$1:K1600,$K1600,$L$1:L1600,$L1600,$M$1:M1600,M1600,$N$1:N1600,N1600))=1,"00"&amp;COUNTIFS($J$1:J1600,$J1600,$K$1:K1600,$K1600,$L$1:L1600,$L1600,$M$1:M1600,M1600,$N$1:N1600,N1600),IF(LEN(COUNTIFS($J$1:J1600,$J1600,$K$1:K1600,$K1600,$L$1:L1600,$L1600,$M$1:M1600,M1600,$N$1:N1600,N1600))=2,"0"&amp;COUNTIFS($J$1:J1600,$J1600,$K$1:K1600,$K1600,$L$1:L1600,$L1600,$M$1:M1600,M1600,$N$1:N1600,N1600),COUNTIFS($J$1:J1600,$J1600,$K$1:K1600,$K1600,$L$1:L1600,$L1600,$M$1:M1600,M1600,$N$1:N1600,N1600)))</f>
        <v>013</v>
      </c>
      <c r="P1600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MS-NS-012-26-01013-INV</v>
      </c>
      <c r="Q1600" s="59"/>
      <c r="R1600" s="34"/>
      <c r="S1600" s="34">
        <v>0</v>
      </c>
      <c r="T1600" s="34">
        <f>+IFERROR(_xlfn.XLOOKUP(Table43[[#This Row],[Column1]],#REF!,#REF!),0)</f>
        <v>0</v>
      </c>
      <c r="U1600" s="50">
        <f>IFERROR(_xlfn.XLOOKUP(Table43[[#This Row],[Column1]],#REF!,#REF!),0)</f>
        <v>0</v>
      </c>
      <c r="V1600" s="39"/>
    </row>
    <row r="1601" spans="1:22" x14ac:dyDescent="0.35">
      <c r="A1601" s="3" t="s">
        <v>5639</v>
      </c>
      <c r="B1601" s="3" t="s">
        <v>4512</v>
      </c>
      <c r="C1601" s="3" t="s">
        <v>15</v>
      </c>
      <c r="D1601" s="3">
        <v>0</v>
      </c>
      <c r="E1601" s="3" t="s">
        <v>10</v>
      </c>
      <c r="F1601" s="3">
        <v>1</v>
      </c>
      <c r="G1601" s="3">
        <v>2</v>
      </c>
      <c r="H1601" s="3">
        <v>0</v>
      </c>
      <c r="I1601" s="21">
        <f>Table43[[#This Row],[Item Cost]]*Table43[[#This Row],[In Stock]]</f>
        <v>0</v>
      </c>
      <c r="J1601" s="3" t="s">
        <v>4941</v>
      </c>
      <c r="K1601" s="14" t="s">
        <v>4666</v>
      </c>
      <c r="L1601" s="14" t="s">
        <v>4693</v>
      </c>
      <c r="M1601" s="14" t="s">
        <v>4837</v>
      </c>
      <c r="N1601" s="3" t="s">
        <v>4845</v>
      </c>
      <c r="O1601" s="32" t="str">
        <f>IF(LEN(COUNTIFS($J$1:J1601,$J1601,$K$1:K1601,$K1601,$L$1:L1601,$L1601,$M$1:M1601,M1601,$N$1:N1601,N1601))=1,"00"&amp;COUNTIFS($J$1:J1601,$J1601,$K$1:K1601,$K1601,$L$1:L1601,$L1601,$M$1:M1601,M1601,$N$1:N1601,N1601),IF(LEN(COUNTIFS($J$1:J1601,$J1601,$K$1:K1601,$K1601,$L$1:L1601,$L1601,$M$1:M1601,M1601,$N$1:N1601,N1601))=2,"0"&amp;COUNTIFS($J$1:J1601,$J1601,$K$1:K1601,$K1601,$L$1:L1601,$L1601,$M$1:M1601,M1601,$N$1:N1601,N1601),COUNTIFS($J$1:J1601,$J1601,$K$1:K1601,$K1601,$L$1:L1601,$L1601,$M$1:M1601,M1601,$N$1:N1601,N1601)))</f>
        <v>014</v>
      </c>
      <c r="P1601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MS-NS-012-26-01014-INV</v>
      </c>
      <c r="Q1601" s="59"/>
      <c r="R1601" s="34" t="s">
        <v>7187</v>
      </c>
      <c r="S1601" s="34" t="s">
        <v>4512</v>
      </c>
      <c r="T1601" s="34">
        <f>+IFERROR(_xlfn.XLOOKUP(Table43[[#This Row],[Column1]],#REF!,#REF!),0)</f>
        <v>0</v>
      </c>
      <c r="U1601" s="50">
        <f>IFERROR(_xlfn.XLOOKUP(Table43[[#This Row],[Column1]],#REF!,#REF!),0)</f>
        <v>0</v>
      </c>
      <c r="V1601" s="39"/>
    </row>
    <row r="1602" spans="1:22" x14ac:dyDescent="0.35">
      <c r="A1602" s="3" t="s">
        <v>5640</v>
      </c>
      <c r="B1602" s="2" t="s">
        <v>5192</v>
      </c>
      <c r="C1602" s="3" t="s">
        <v>15</v>
      </c>
      <c r="D1602" s="3">
        <v>0</v>
      </c>
      <c r="E1602" s="3" t="s">
        <v>10</v>
      </c>
      <c r="F1602" s="3">
        <v>1</v>
      </c>
      <c r="G1602" s="3">
        <v>2</v>
      </c>
      <c r="H1602" s="3">
        <v>0</v>
      </c>
      <c r="I1602" s="22">
        <f>Table43[[#This Row],[Item Cost]]*Table43[[#This Row],[In Stock]]</f>
        <v>0</v>
      </c>
      <c r="J1602" s="3" t="s">
        <v>4941</v>
      </c>
      <c r="K1602" s="14" t="s">
        <v>4666</v>
      </c>
      <c r="L1602" s="14" t="s">
        <v>4693</v>
      </c>
      <c r="M1602" s="14" t="s">
        <v>4827</v>
      </c>
      <c r="N1602" s="3" t="s">
        <v>4672</v>
      </c>
      <c r="O1602" s="32" t="str">
        <f>IF(LEN(COUNTIFS($J$1:J1602,$J1602,$K$1:K1602,$K1602,$L$1:L1602,$L1602,$M$1:M1602,M1602,$N$1:N1602,N1602))=1,"00"&amp;COUNTIFS($J$1:J1602,$J1602,$K$1:K1602,$K1602,$L$1:L1602,$L1602,$M$1:M1602,M1602,$N$1:N1602,N1602),IF(LEN(COUNTIFS($J$1:J1602,$J1602,$K$1:K1602,$K1602,$L$1:L1602,$L1602,$M$1:M1602,M1602,$N$1:N1602,N1602))=2,"0"&amp;COUNTIFS($J$1:J1602,$J1602,$K$1:K1602,$K1602,$L$1:L1602,$L1602,$M$1:M1602,M1602,$N$1:N1602,N1602),COUNTIFS($J$1:J1602,$J1602,$K$1:K1602,$K1602,$L$1:L1602,$L1602,$M$1:M1602,M1602,$N$1:N1602,N1602)))</f>
        <v>002</v>
      </c>
      <c r="P1602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MS-NS-012-10-00002-INV</v>
      </c>
      <c r="Q1602" s="59"/>
      <c r="R1602" s="34"/>
      <c r="S1602" s="34">
        <v>0</v>
      </c>
      <c r="T1602" s="34">
        <f>+IFERROR(_xlfn.XLOOKUP(Table43[[#This Row],[Column1]],#REF!,#REF!),0)</f>
        <v>0</v>
      </c>
      <c r="U1602" s="50">
        <f>IFERROR(_xlfn.XLOOKUP(Table43[[#This Row],[Column1]],#REF!,#REF!),0)</f>
        <v>0</v>
      </c>
      <c r="V1602" s="39"/>
    </row>
    <row r="1603" spans="1:22" x14ac:dyDescent="0.35">
      <c r="A1603" s="3" t="s">
        <v>4515</v>
      </c>
      <c r="B1603" s="3" t="s">
        <v>4516</v>
      </c>
      <c r="C1603" s="3" t="s">
        <v>9</v>
      </c>
      <c r="D1603" s="3">
        <v>289.08499999999998</v>
      </c>
      <c r="E1603" s="3" t="s">
        <v>10</v>
      </c>
      <c r="F1603" s="2">
        <v>1</v>
      </c>
      <c r="G1603" s="2">
        <v>2</v>
      </c>
      <c r="H1603" s="3">
        <v>2</v>
      </c>
      <c r="I1603" s="21">
        <f>Table43[[#This Row],[Item Cost]]*Table43[[#This Row],[In Stock]]</f>
        <v>578.16999999999996</v>
      </c>
      <c r="J1603" s="3" t="s">
        <v>4941</v>
      </c>
      <c r="K1603" s="14" t="s">
        <v>4664</v>
      </c>
      <c r="L1603" s="14" t="s">
        <v>4729</v>
      </c>
      <c r="M1603" s="14" t="s">
        <v>3950</v>
      </c>
      <c r="N1603" s="3" t="s">
        <v>4848</v>
      </c>
      <c r="O1603" s="32" t="str">
        <f>IF(LEN(COUNTIFS($J$1:J1603,$J1603,$K$1:K1603,$K1603,$L$1:L1603,$L1603,$M$1:M1603,M1603,$N$1:N1603,N1603))=1,"00"&amp;COUNTIFS($J$1:J1603,$J1603,$K$1:K1603,$K1603,$L$1:L1603,$L1603,$M$1:M1603,M1603,$N$1:N1603,N1603),IF(LEN(COUNTIFS($J$1:J1603,$J1603,$K$1:K1603,$K1603,$L$1:L1603,$L1603,$M$1:M1603,M1603,$N$1:N1603,N1603))=2,"0"&amp;COUNTIFS($J$1:J1603,$J1603,$K$1:K1603,$K1603,$L$1:L1603,$L1603,$M$1:M1603,M1603,$N$1:N1603,N1603),COUNTIFS($J$1:J1603,$J1603,$K$1:K1603,$K1603,$L$1:L1603,$L1603,$M$1:M1603,M1603,$N$1:N1603,N1603)))</f>
        <v>001</v>
      </c>
      <c r="P1603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MS-CS-028-22-04001-INV</v>
      </c>
      <c r="Q1603" s="34"/>
      <c r="R1603" s="34" t="s">
        <v>7188</v>
      </c>
      <c r="S1603" s="34" t="s">
        <v>4516</v>
      </c>
      <c r="T1603" s="34">
        <f>+IFERROR(_xlfn.XLOOKUP(Table43[[#This Row],[Column1]],#REF!,#REF!),0)</f>
        <v>0</v>
      </c>
      <c r="U1603" s="50">
        <f>IFERROR(_xlfn.XLOOKUP(Table43[[#This Row],[Column1]],#REF!,#REF!),0)</f>
        <v>0</v>
      </c>
      <c r="V1603" s="39"/>
    </row>
    <row r="1604" spans="1:22" x14ac:dyDescent="0.35">
      <c r="A1604" s="2" t="s">
        <v>4517</v>
      </c>
      <c r="B1604" s="2" t="s">
        <v>4518</v>
      </c>
      <c r="C1604" s="2" t="s">
        <v>9</v>
      </c>
      <c r="D1604" s="2">
        <v>3052.875</v>
      </c>
      <c r="E1604" s="2" t="s">
        <v>10</v>
      </c>
      <c r="F1604" s="2">
        <v>1</v>
      </c>
      <c r="G1604" s="2">
        <v>2</v>
      </c>
      <c r="H1604" s="2">
        <v>2</v>
      </c>
      <c r="I1604" s="22">
        <f>Table43[[#This Row],[Item Cost]]*Table43[[#This Row],[In Stock]]</f>
        <v>6105.75</v>
      </c>
      <c r="J1604" s="3" t="s">
        <v>4941</v>
      </c>
      <c r="K1604" s="14" t="s">
        <v>4664</v>
      </c>
      <c r="L1604" s="14" t="s">
        <v>4729</v>
      </c>
      <c r="M1604" s="14" t="s">
        <v>3950</v>
      </c>
      <c r="N1604" s="3" t="s">
        <v>4848</v>
      </c>
      <c r="O1604" s="32" t="str">
        <f>IF(LEN(COUNTIFS($J$1:J1604,$J1604,$K$1:K1604,$K1604,$L$1:L1604,$L1604,$M$1:M1604,M1604,$N$1:N1604,N1604))=1,"00"&amp;COUNTIFS($J$1:J1604,$J1604,$K$1:K1604,$K1604,$L$1:L1604,$L1604,$M$1:M1604,M1604,$N$1:N1604,N1604),IF(LEN(COUNTIFS($J$1:J1604,$J1604,$K$1:K1604,$K1604,$L$1:L1604,$L1604,$M$1:M1604,M1604,$N$1:N1604,N1604))=2,"0"&amp;COUNTIFS($J$1:J1604,$J1604,$K$1:K1604,$K1604,$L$1:L1604,$L1604,$M$1:M1604,M1604,$N$1:N1604,N1604),COUNTIFS($J$1:J1604,$J1604,$K$1:K1604,$K1604,$L$1:L1604,$L1604,$M$1:M1604,M1604,$N$1:N1604,N1604)))</f>
        <v>002</v>
      </c>
      <c r="P1604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MS-CS-028-22-04002-INV</v>
      </c>
      <c r="Q1604" s="34"/>
      <c r="R1604" s="34" t="s">
        <v>7189</v>
      </c>
      <c r="S1604" s="34" t="s">
        <v>4518</v>
      </c>
      <c r="T1604" s="34">
        <f>+IFERROR(_xlfn.XLOOKUP(Table43[[#This Row],[Column1]],#REF!,#REF!),0)</f>
        <v>0</v>
      </c>
      <c r="U1604" s="50">
        <f>IFERROR(_xlfn.XLOOKUP(Table43[[#This Row],[Column1]],#REF!,#REF!),0)</f>
        <v>0</v>
      </c>
      <c r="V1604" s="39"/>
    </row>
    <row r="1605" spans="1:22" x14ac:dyDescent="0.35">
      <c r="A1605" s="3" t="s">
        <v>4519</v>
      </c>
      <c r="B1605" s="6" t="s">
        <v>4520</v>
      </c>
      <c r="C1605" s="3" t="s">
        <v>9</v>
      </c>
      <c r="D1605" s="6">
        <v>415.90499999999997</v>
      </c>
      <c r="E1605" s="3" t="s">
        <v>10</v>
      </c>
      <c r="F1605" s="2">
        <v>1</v>
      </c>
      <c r="G1605" s="2">
        <v>2</v>
      </c>
      <c r="H1605" s="6">
        <v>2</v>
      </c>
      <c r="I1605" s="25">
        <f>Table43[[#This Row],[Item Cost]]*Table43[[#This Row],[In Stock]]</f>
        <v>831.81</v>
      </c>
      <c r="J1605" s="3" t="s">
        <v>4941</v>
      </c>
      <c r="K1605" s="14" t="s">
        <v>4664</v>
      </c>
      <c r="L1605" s="14" t="s">
        <v>4729</v>
      </c>
      <c r="M1605" s="14" t="s">
        <v>4835</v>
      </c>
      <c r="N1605" s="3" t="s">
        <v>4848</v>
      </c>
      <c r="O1605" s="32" t="str">
        <f>IF(LEN(COUNTIFS($J$1:J1605,$J1605,$K$1:K1605,$K1605,$L$1:L1605,$L1605,$M$1:M1605,M1605,$N$1:N1605,N1605))=1,"00"&amp;COUNTIFS($J$1:J1605,$J1605,$K$1:K1605,$K1605,$L$1:L1605,$L1605,$M$1:M1605,M1605,$N$1:N1605,N1605),IF(LEN(COUNTIFS($J$1:J1605,$J1605,$K$1:K1605,$K1605,$L$1:L1605,$L1605,$M$1:M1605,M1605,$N$1:N1605,N1605))=2,"0"&amp;COUNTIFS($J$1:J1605,$J1605,$K$1:K1605,$K1605,$L$1:L1605,$L1605,$M$1:M1605,M1605,$N$1:N1605,N1605),COUNTIFS($J$1:J1605,$J1605,$K$1:K1605,$K1605,$L$1:L1605,$L1605,$M$1:M1605,M1605,$N$1:N1605,N1605)))</f>
        <v>001</v>
      </c>
      <c r="P1605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MS-CS-028-24-04001-INV</v>
      </c>
      <c r="Q1605" s="34"/>
      <c r="R1605" s="34" t="s">
        <v>7190</v>
      </c>
      <c r="S1605" s="34" t="s">
        <v>4520</v>
      </c>
      <c r="T1605" s="34">
        <f>+IFERROR(_xlfn.XLOOKUP(Table43[[#This Row],[Column1]],#REF!,#REF!),0)</f>
        <v>0</v>
      </c>
      <c r="U1605" s="50">
        <f>IFERROR(_xlfn.XLOOKUP(Table43[[#This Row],[Column1]],#REF!,#REF!),0)</f>
        <v>0</v>
      </c>
      <c r="V1605" s="39"/>
    </row>
    <row r="1606" spans="1:22" x14ac:dyDescent="0.35">
      <c r="A1606" s="3" t="s">
        <v>4521</v>
      </c>
      <c r="B1606" s="2" t="s">
        <v>4522</v>
      </c>
      <c r="C1606" s="2" t="s">
        <v>9</v>
      </c>
      <c r="D1606" s="2">
        <v>355.255</v>
      </c>
      <c r="E1606" s="2" t="s">
        <v>10</v>
      </c>
      <c r="F1606" s="2">
        <v>1</v>
      </c>
      <c r="G1606" s="2">
        <v>2</v>
      </c>
      <c r="H1606" s="2">
        <v>2</v>
      </c>
      <c r="I1606" s="22">
        <f>Table43[[#This Row],[Item Cost]]*Table43[[#This Row],[In Stock]]</f>
        <v>710.51</v>
      </c>
      <c r="J1606" s="3" t="s">
        <v>4941</v>
      </c>
      <c r="K1606" s="14" t="s">
        <v>4664</v>
      </c>
      <c r="L1606" s="14" t="s">
        <v>4729</v>
      </c>
      <c r="M1606" s="14" t="s">
        <v>4837</v>
      </c>
      <c r="N1606" s="3" t="s">
        <v>4848</v>
      </c>
      <c r="O1606" s="32" t="str">
        <f>IF(LEN(COUNTIFS($J$1:J1606,$J1606,$K$1:K1606,$K1606,$L$1:L1606,$L1606,$M$1:M1606,M1606,$N$1:N1606,N1606))=1,"00"&amp;COUNTIFS($J$1:J1606,$J1606,$K$1:K1606,$K1606,$L$1:L1606,$L1606,$M$1:M1606,M1606,$N$1:N1606,N1606),IF(LEN(COUNTIFS($J$1:J1606,$J1606,$K$1:K1606,$K1606,$L$1:L1606,$L1606,$M$1:M1606,M1606,$N$1:N1606,N1606))=2,"0"&amp;COUNTIFS($J$1:J1606,$J1606,$K$1:K1606,$K1606,$L$1:L1606,$L1606,$M$1:M1606,M1606,$N$1:N1606,N1606),COUNTIFS($J$1:J1606,$J1606,$K$1:K1606,$K1606,$L$1:L1606,$L1606,$M$1:M1606,M1606,$N$1:N1606,N1606)))</f>
        <v>001</v>
      </c>
      <c r="P1606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MS-CS-028-26-04001-INV</v>
      </c>
      <c r="Q1606" s="34"/>
      <c r="R1606" s="34" t="s">
        <v>7191</v>
      </c>
      <c r="S1606" s="34" t="s">
        <v>4522</v>
      </c>
      <c r="T1606" s="34">
        <f>+IFERROR(_xlfn.XLOOKUP(Table43[[#This Row],[Column1]],#REF!,#REF!),0)</f>
        <v>0</v>
      </c>
      <c r="U1606" s="50">
        <f>IFERROR(_xlfn.XLOOKUP(Table43[[#This Row],[Column1]],#REF!,#REF!),0)</f>
        <v>0</v>
      </c>
      <c r="V1606" s="39"/>
    </row>
    <row r="1607" spans="1:22" x14ac:dyDescent="0.35">
      <c r="A1607" s="2" t="s">
        <v>4523</v>
      </c>
      <c r="B1607" s="3" t="s">
        <v>4524</v>
      </c>
      <c r="C1607" s="3" t="s">
        <v>9</v>
      </c>
      <c r="D1607" s="5">
        <v>781.26499999999999</v>
      </c>
      <c r="E1607" s="3" t="s">
        <v>10</v>
      </c>
      <c r="F1607" s="2">
        <v>1</v>
      </c>
      <c r="G1607" s="2">
        <v>2</v>
      </c>
      <c r="H1607" s="3">
        <v>2</v>
      </c>
      <c r="I1607" s="21">
        <f>Table43[[#This Row],[Item Cost]]*Table43[[#This Row],[In Stock]]</f>
        <v>1562.53</v>
      </c>
      <c r="J1607" s="3" t="s">
        <v>4941</v>
      </c>
      <c r="K1607" s="14" t="s">
        <v>4664</v>
      </c>
      <c r="L1607" s="14" t="s">
        <v>4729</v>
      </c>
      <c r="M1607" s="14" t="s">
        <v>4837</v>
      </c>
      <c r="N1607" s="3" t="s">
        <v>4848</v>
      </c>
      <c r="O1607" s="32" t="str">
        <f>IF(LEN(COUNTIFS($J$1:J1607,$J1607,$K$1:K1607,$K1607,$L$1:L1607,$L1607,$M$1:M1607,M1607,$N$1:N1607,N1607))=1,"00"&amp;COUNTIFS($J$1:J1607,$J1607,$K$1:K1607,$K1607,$L$1:L1607,$L1607,$M$1:M1607,M1607,$N$1:N1607,N1607),IF(LEN(COUNTIFS($J$1:J1607,$J1607,$K$1:K1607,$K1607,$L$1:L1607,$L1607,$M$1:M1607,M1607,$N$1:N1607,N1607))=2,"0"&amp;COUNTIFS($J$1:J1607,$J1607,$K$1:K1607,$K1607,$L$1:L1607,$L1607,$M$1:M1607,M1607,$N$1:N1607,N1607),COUNTIFS($J$1:J1607,$J1607,$K$1:K1607,$K1607,$L$1:L1607,$L1607,$M$1:M1607,M1607,$N$1:N1607,N1607)))</f>
        <v>002</v>
      </c>
      <c r="P1607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MS-CS-028-26-04002-INV</v>
      </c>
      <c r="Q1607" s="34"/>
      <c r="R1607" s="34" t="s">
        <v>7192</v>
      </c>
      <c r="S1607" s="34" t="s">
        <v>4524</v>
      </c>
      <c r="T1607" s="34">
        <f>+IFERROR(_xlfn.XLOOKUP(Table43[[#This Row],[Column1]],#REF!,#REF!),0)</f>
        <v>0</v>
      </c>
      <c r="U1607" s="50">
        <f>IFERROR(_xlfn.XLOOKUP(Table43[[#This Row],[Column1]],#REF!,#REF!),0)</f>
        <v>0</v>
      </c>
      <c r="V1607" s="39"/>
    </row>
    <row r="1608" spans="1:22" x14ac:dyDescent="0.35">
      <c r="A1608" s="3" t="s">
        <v>4525</v>
      </c>
      <c r="B1608" s="2" t="s">
        <v>4526</v>
      </c>
      <c r="C1608" s="2" t="s">
        <v>9</v>
      </c>
      <c r="D1608" s="2">
        <v>561.35500000000002</v>
      </c>
      <c r="E1608" s="2" t="s">
        <v>10</v>
      </c>
      <c r="F1608" s="2">
        <v>1</v>
      </c>
      <c r="G1608" s="2">
        <v>2</v>
      </c>
      <c r="H1608" s="2">
        <v>2</v>
      </c>
      <c r="I1608" s="22">
        <f>Table43[[#This Row],[Item Cost]]*Table43[[#This Row],[In Stock]]</f>
        <v>1122.71</v>
      </c>
      <c r="J1608" s="3" t="s">
        <v>4941</v>
      </c>
      <c r="K1608" s="14" t="s">
        <v>4664</v>
      </c>
      <c r="L1608" s="14" t="s">
        <v>4729</v>
      </c>
      <c r="M1608" s="14" t="s">
        <v>4837</v>
      </c>
      <c r="N1608" s="3" t="s">
        <v>4848</v>
      </c>
      <c r="O1608" s="32" t="str">
        <f>IF(LEN(COUNTIFS($J$1:J1608,$J1608,$K$1:K1608,$K1608,$L$1:L1608,$L1608,$M$1:M1608,M1608,$N$1:N1608,N1608))=1,"00"&amp;COUNTIFS($J$1:J1608,$J1608,$K$1:K1608,$K1608,$L$1:L1608,$L1608,$M$1:M1608,M1608,$N$1:N1608,N1608),IF(LEN(COUNTIFS($J$1:J1608,$J1608,$K$1:K1608,$K1608,$L$1:L1608,$L1608,$M$1:M1608,M1608,$N$1:N1608,N1608))=2,"0"&amp;COUNTIFS($J$1:J1608,$J1608,$K$1:K1608,$K1608,$L$1:L1608,$L1608,$M$1:M1608,M1608,$N$1:N1608,N1608),COUNTIFS($J$1:J1608,$J1608,$K$1:K1608,$K1608,$L$1:L1608,$L1608,$M$1:M1608,M1608,$N$1:N1608,N1608)))</f>
        <v>003</v>
      </c>
      <c r="P1608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MS-CS-028-26-04003-INV</v>
      </c>
      <c r="Q1608" s="34"/>
      <c r="R1608" s="34" t="s">
        <v>7193</v>
      </c>
      <c r="S1608" s="34" t="s">
        <v>4526</v>
      </c>
      <c r="T1608" s="34">
        <f>+IFERROR(_xlfn.XLOOKUP(Table43[[#This Row],[Column1]],#REF!,#REF!),0)</f>
        <v>0</v>
      </c>
      <c r="U1608" s="50">
        <f>IFERROR(_xlfn.XLOOKUP(Table43[[#This Row],[Column1]],#REF!,#REF!),0)</f>
        <v>0</v>
      </c>
      <c r="V1608" s="39"/>
    </row>
    <row r="1609" spans="1:22" x14ac:dyDescent="0.35">
      <c r="A1609" s="3" t="s">
        <v>4527</v>
      </c>
      <c r="B1609" s="3" t="s">
        <v>4528</v>
      </c>
      <c r="C1609" s="3" t="s">
        <v>9</v>
      </c>
      <c r="D1609" s="3">
        <v>1255.81</v>
      </c>
      <c r="E1609" s="3" t="s">
        <v>10</v>
      </c>
      <c r="F1609" s="2">
        <v>1</v>
      </c>
      <c r="G1609" s="2">
        <v>2</v>
      </c>
      <c r="H1609" s="3">
        <v>2</v>
      </c>
      <c r="I1609" s="21">
        <f>Table43[[#This Row],[Item Cost]]*Table43[[#This Row],[In Stock]]</f>
        <v>2511.62</v>
      </c>
      <c r="J1609" s="3" t="s">
        <v>4941</v>
      </c>
      <c r="K1609" s="14" t="s">
        <v>4664</v>
      </c>
      <c r="L1609" s="14" t="s">
        <v>4729</v>
      </c>
      <c r="M1609" s="14" t="s">
        <v>4837</v>
      </c>
      <c r="N1609" s="3" t="s">
        <v>4848</v>
      </c>
      <c r="O1609" s="32" t="str">
        <f>IF(LEN(COUNTIFS($J$1:J1609,$J1609,$K$1:K1609,$K1609,$L$1:L1609,$L1609,$M$1:M1609,M1609,$N$1:N1609,N1609))=1,"00"&amp;COUNTIFS($J$1:J1609,$J1609,$K$1:K1609,$K1609,$L$1:L1609,$L1609,$M$1:M1609,M1609,$N$1:N1609,N1609),IF(LEN(COUNTIFS($J$1:J1609,$J1609,$K$1:K1609,$K1609,$L$1:L1609,$L1609,$M$1:M1609,M1609,$N$1:N1609,N1609))=2,"0"&amp;COUNTIFS($J$1:J1609,$J1609,$K$1:K1609,$K1609,$L$1:L1609,$L1609,$M$1:M1609,M1609,$N$1:N1609,N1609),COUNTIFS($J$1:J1609,$J1609,$K$1:K1609,$K1609,$L$1:L1609,$L1609,$M$1:M1609,M1609,$N$1:N1609,N1609)))</f>
        <v>004</v>
      </c>
      <c r="P1609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MS-CS-028-26-04004-INV</v>
      </c>
      <c r="Q1609" s="34"/>
      <c r="R1609" s="34" t="s">
        <v>7194</v>
      </c>
      <c r="S1609" s="34" t="s">
        <v>4528</v>
      </c>
      <c r="T1609" s="34">
        <f>+IFERROR(_xlfn.XLOOKUP(Table43[[#This Row],[Column1]],#REF!,#REF!),0)</f>
        <v>0</v>
      </c>
      <c r="U1609" s="50">
        <f>IFERROR(_xlfn.XLOOKUP(Table43[[#This Row],[Column1]],#REF!,#REF!),0)</f>
        <v>0</v>
      </c>
      <c r="V1609" s="39"/>
    </row>
    <row r="1610" spans="1:22" x14ac:dyDescent="0.35">
      <c r="A1610" s="2" t="s">
        <v>4529</v>
      </c>
      <c r="B1610" s="2" t="s">
        <v>4530</v>
      </c>
      <c r="C1610" s="2" t="s">
        <v>9</v>
      </c>
      <c r="D1610" s="2">
        <v>530.48800000000006</v>
      </c>
      <c r="E1610" s="2" t="s">
        <v>10</v>
      </c>
      <c r="F1610" s="2">
        <v>1</v>
      </c>
      <c r="G1610" s="2">
        <v>2</v>
      </c>
      <c r="H1610" s="2">
        <v>0</v>
      </c>
      <c r="I1610" s="22">
        <f>Table43[[#This Row],[Item Cost]]*Table43[[#This Row],[In Stock]]</f>
        <v>0</v>
      </c>
      <c r="J1610" s="3" t="s">
        <v>4941</v>
      </c>
      <c r="K1610" s="14" t="s">
        <v>4664</v>
      </c>
      <c r="L1610" s="14" t="s">
        <v>4729</v>
      </c>
      <c r="M1610" s="14" t="s">
        <v>4837</v>
      </c>
      <c r="N1610" s="3" t="s">
        <v>4848</v>
      </c>
      <c r="O1610" s="32" t="str">
        <f>IF(LEN(COUNTIFS($J$1:J1610,$J1610,$K$1:K1610,$K1610,$L$1:L1610,$L1610,$M$1:M1610,M1610,$N$1:N1610,N1610))=1,"00"&amp;COUNTIFS($J$1:J1610,$J1610,$K$1:K1610,$K1610,$L$1:L1610,$L1610,$M$1:M1610,M1610,$N$1:N1610,N1610),IF(LEN(COUNTIFS($J$1:J1610,$J1610,$K$1:K1610,$K1610,$L$1:L1610,$L1610,$M$1:M1610,M1610,$N$1:N1610,N1610))=2,"0"&amp;COUNTIFS($J$1:J1610,$J1610,$K$1:K1610,$K1610,$L$1:L1610,$L1610,$M$1:M1610,M1610,$N$1:N1610,N1610),COUNTIFS($J$1:J1610,$J1610,$K$1:K1610,$K1610,$L$1:L1610,$L1610,$M$1:M1610,M1610,$N$1:N1610,N1610)))</f>
        <v>005</v>
      </c>
      <c r="P1610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MS-CS-028-26-04005-INV</v>
      </c>
      <c r="Q1610" s="34"/>
      <c r="R1610" s="34" t="s">
        <v>7195</v>
      </c>
      <c r="S1610" s="34" t="s">
        <v>4530</v>
      </c>
      <c r="T1610" s="34">
        <f>+IFERROR(_xlfn.XLOOKUP(Table43[[#This Row],[Column1]],#REF!,#REF!),0)</f>
        <v>0</v>
      </c>
      <c r="U1610" s="50">
        <f>IFERROR(_xlfn.XLOOKUP(Table43[[#This Row],[Column1]],#REF!,#REF!),0)</f>
        <v>0</v>
      </c>
      <c r="V1610" s="39"/>
    </row>
    <row r="1611" spans="1:22" x14ac:dyDescent="0.35">
      <c r="A1611" s="3" t="s">
        <v>4531</v>
      </c>
      <c r="B1611" s="3" t="s">
        <v>4532</v>
      </c>
      <c r="C1611" s="3" t="s">
        <v>9</v>
      </c>
      <c r="D1611" s="3">
        <v>810.2</v>
      </c>
      <c r="E1611" s="3" t="s">
        <v>10</v>
      </c>
      <c r="F1611" s="2">
        <v>1</v>
      </c>
      <c r="G1611" s="2">
        <v>2</v>
      </c>
      <c r="H1611" s="3">
        <v>2</v>
      </c>
      <c r="I1611" s="21">
        <f>Table43[[#This Row],[Item Cost]]*Table43[[#This Row],[In Stock]]</f>
        <v>1620.4</v>
      </c>
      <c r="J1611" s="3" t="s">
        <v>4941</v>
      </c>
      <c r="K1611" s="14" t="s">
        <v>4664</v>
      </c>
      <c r="L1611" s="14" t="s">
        <v>4729</v>
      </c>
      <c r="M1611" s="14" t="s">
        <v>4837</v>
      </c>
      <c r="N1611" s="3" t="s">
        <v>4848</v>
      </c>
      <c r="O1611" s="32" t="str">
        <f>IF(LEN(COUNTIFS($J$1:J1611,$J1611,$K$1:K1611,$K1611,$L$1:L1611,$L1611,$M$1:M1611,M1611,$N$1:N1611,N1611))=1,"00"&amp;COUNTIFS($J$1:J1611,$J1611,$K$1:K1611,$K1611,$L$1:L1611,$L1611,$M$1:M1611,M1611,$N$1:N1611,N1611),IF(LEN(COUNTIFS($J$1:J1611,$J1611,$K$1:K1611,$K1611,$L$1:L1611,$L1611,$M$1:M1611,M1611,$N$1:N1611,N1611))=2,"0"&amp;COUNTIFS($J$1:J1611,$J1611,$K$1:K1611,$K1611,$L$1:L1611,$L1611,$M$1:M1611,M1611,$N$1:N1611,N1611),COUNTIFS($J$1:J1611,$J1611,$K$1:K1611,$K1611,$L$1:L1611,$L1611,$M$1:M1611,M1611,$N$1:N1611,N1611)))</f>
        <v>006</v>
      </c>
      <c r="P1611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MS-CS-028-26-04006-INV</v>
      </c>
      <c r="Q1611" s="34"/>
      <c r="R1611" s="34" t="s">
        <v>7196</v>
      </c>
      <c r="S1611" s="34" t="s">
        <v>4532</v>
      </c>
      <c r="T1611" s="34">
        <f>+IFERROR(_xlfn.XLOOKUP(Table43[[#This Row],[Column1]],#REF!,#REF!),0)</f>
        <v>0</v>
      </c>
      <c r="U1611" s="50">
        <f>IFERROR(_xlfn.XLOOKUP(Table43[[#This Row],[Column1]],#REF!,#REF!),0)</f>
        <v>0</v>
      </c>
      <c r="V1611" s="39"/>
    </row>
    <row r="1612" spans="1:22" x14ac:dyDescent="0.35">
      <c r="A1612" s="3" t="s">
        <v>4533</v>
      </c>
      <c r="B1612" s="2" t="s">
        <v>4534</v>
      </c>
      <c r="C1612" s="2" t="s">
        <v>9</v>
      </c>
      <c r="D1612" s="4">
        <v>1356.617</v>
      </c>
      <c r="E1612" s="2" t="s">
        <v>10</v>
      </c>
      <c r="F1612" s="2">
        <v>1</v>
      </c>
      <c r="G1612" s="2">
        <v>10</v>
      </c>
      <c r="H1612" s="2">
        <v>16</v>
      </c>
      <c r="I1612" s="22">
        <f>Table43[[#This Row],[Item Cost]]*Table43[[#This Row],[In Stock]]</f>
        <v>21705.871999999999</v>
      </c>
      <c r="J1612" s="3" t="s">
        <v>4941</v>
      </c>
      <c r="K1612" s="14" t="s">
        <v>4664</v>
      </c>
      <c r="L1612" s="14" t="s">
        <v>4729</v>
      </c>
      <c r="M1612" s="14" t="s">
        <v>4837</v>
      </c>
      <c r="N1612" s="3" t="s">
        <v>4848</v>
      </c>
      <c r="O1612" s="32" t="str">
        <f>IF(LEN(COUNTIFS($J$1:J1612,$J1612,$K$1:K1612,$K1612,$L$1:L1612,$L1612,$M$1:M1612,M1612,$N$1:N1612,N1612))=1,"00"&amp;COUNTIFS($J$1:J1612,$J1612,$K$1:K1612,$K1612,$L$1:L1612,$L1612,$M$1:M1612,M1612,$N$1:N1612,N1612),IF(LEN(COUNTIFS($J$1:J1612,$J1612,$K$1:K1612,$K1612,$L$1:L1612,$L1612,$M$1:M1612,M1612,$N$1:N1612,N1612))=2,"0"&amp;COUNTIFS($J$1:J1612,$J1612,$K$1:K1612,$K1612,$L$1:L1612,$L1612,$M$1:M1612,M1612,$N$1:N1612,N1612),COUNTIFS($J$1:J1612,$J1612,$K$1:K1612,$K1612,$L$1:L1612,$L1612,$M$1:M1612,M1612,$N$1:N1612,N1612)))</f>
        <v>007</v>
      </c>
      <c r="P1612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MS-CS-028-26-04007-INV</v>
      </c>
      <c r="Q1612" s="34"/>
      <c r="R1612" s="34" t="s">
        <v>7197</v>
      </c>
      <c r="S1612" s="34" t="s">
        <v>4534</v>
      </c>
      <c r="T1612" s="34">
        <f>+IFERROR(_xlfn.XLOOKUP(Table43[[#This Row],[Column1]],#REF!,#REF!),0)</f>
        <v>0</v>
      </c>
      <c r="U1612" s="50">
        <f>IFERROR(_xlfn.XLOOKUP(Table43[[#This Row],[Column1]],#REF!,#REF!),0)</f>
        <v>0</v>
      </c>
      <c r="V1612" s="39"/>
    </row>
    <row r="1613" spans="1:22" x14ac:dyDescent="0.35">
      <c r="A1613" s="2" t="s">
        <v>4535</v>
      </c>
      <c r="B1613" s="3" t="s">
        <v>4536</v>
      </c>
      <c r="C1613" s="3" t="s">
        <v>9</v>
      </c>
      <c r="D1613" s="3">
        <v>2064.105</v>
      </c>
      <c r="E1613" s="3" t="s">
        <v>10</v>
      </c>
      <c r="F1613" s="2">
        <v>1</v>
      </c>
      <c r="G1613" s="2">
        <v>2</v>
      </c>
      <c r="H1613" s="3">
        <v>4</v>
      </c>
      <c r="I1613" s="21">
        <f>Table43[[#This Row],[Item Cost]]*Table43[[#This Row],[In Stock]]</f>
        <v>8256.42</v>
      </c>
      <c r="J1613" s="3" t="s">
        <v>4941</v>
      </c>
      <c r="K1613" s="14" t="s">
        <v>4664</v>
      </c>
      <c r="L1613" s="14" t="s">
        <v>4729</v>
      </c>
      <c r="M1613" s="14" t="s">
        <v>4837</v>
      </c>
      <c r="N1613" s="3" t="s">
        <v>4848</v>
      </c>
      <c r="O1613" s="32" t="str">
        <f>IF(LEN(COUNTIFS($J$1:J1613,$J1613,$K$1:K1613,$K1613,$L$1:L1613,$L1613,$M$1:M1613,M1613,$N$1:N1613,N1613))=1,"00"&amp;COUNTIFS($J$1:J1613,$J1613,$K$1:K1613,$K1613,$L$1:L1613,$L1613,$M$1:M1613,M1613,$N$1:N1613,N1613),IF(LEN(COUNTIFS($J$1:J1613,$J1613,$K$1:K1613,$K1613,$L$1:L1613,$L1613,$M$1:M1613,M1613,$N$1:N1613,N1613))=2,"0"&amp;COUNTIFS($J$1:J1613,$J1613,$K$1:K1613,$K1613,$L$1:L1613,$L1613,$M$1:M1613,M1613,$N$1:N1613,N1613),COUNTIFS($J$1:J1613,$J1613,$K$1:K1613,$K1613,$L$1:L1613,$L1613,$M$1:M1613,M1613,$N$1:N1613,N1613)))</f>
        <v>008</v>
      </c>
      <c r="P1613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MS-CS-028-26-04008-INV</v>
      </c>
      <c r="Q1613" s="34"/>
      <c r="R1613" s="34" t="s">
        <v>7198</v>
      </c>
      <c r="S1613" s="34" t="s">
        <v>4536</v>
      </c>
      <c r="T1613" s="34">
        <f>+IFERROR(_xlfn.XLOOKUP(Table43[[#This Row],[Column1]],#REF!,#REF!),0)</f>
        <v>0</v>
      </c>
      <c r="U1613" s="50">
        <f>IFERROR(_xlfn.XLOOKUP(Table43[[#This Row],[Column1]],#REF!,#REF!),0)</f>
        <v>0</v>
      </c>
      <c r="V1613" s="39"/>
    </row>
    <row r="1614" spans="1:22" x14ac:dyDescent="0.35">
      <c r="A1614" s="3" t="s">
        <v>4537</v>
      </c>
      <c r="B1614" s="2" t="s">
        <v>4538</v>
      </c>
      <c r="C1614" s="2" t="s">
        <v>9</v>
      </c>
      <c r="D1614" s="2">
        <v>4672.93</v>
      </c>
      <c r="E1614" s="2" t="s">
        <v>10</v>
      </c>
      <c r="F1614" s="2">
        <v>1</v>
      </c>
      <c r="G1614" s="2">
        <v>2</v>
      </c>
      <c r="H1614" s="2">
        <v>1</v>
      </c>
      <c r="I1614" s="22">
        <f>Table43[[#This Row],[Item Cost]]*Table43[[#This Row],[In Stock]]</f>
        <v>4672.93</v>
      </c>
      <c r="J1614" s="3" t="s">
        <v>4941</v>
      </c>
      <c r="K1614" s="14" t="s">
        <v>4664</v>
      </c>
      <c r="L1614" s="14" t="s">
        <v>4729</v>
      </c>
      <c r="M1614" s="14" t="s">
        <v>4837</v>
      </c>
      <c r="N1614" s="3" t="s">
        <v>4848</v>
      </c>
      <c r="O1614" s="32" t="str">
        <f>IF(LEN(COUNTIFS($J$1:J1614,$J1614,$K$1:K1614,$K1614,$L$1:L1614,$L1614,$M$1:M1614,M1614,$N$1:N1614,N1614))=1,"00"&amp;COUNTIFS($J$1:J1614,$J1614,$K$1:K1614,$K1614,$L$1:L1614,$L1614,$M$1:M1614,M1614,$N$1:N1614,N1614),IF(LEN(COUNTIFS($J$1:J1614,$J1614,$K$1:K1614,$K1614,$L$1:L1614,$L1614,$M$1:M1614,M1614,$N$1:N1614,N1614))=2,"0"&amp;COUNTIFS($J$1:J1614,$J1614,$K$1:K1614,$K1614,$L$1:L1614,$L1614,$M$1:M1614,M1614,$N$1:N1614,N1614),COUNTIFS($J$1:J1614,$J1614,$K$1:K1614,$K1614,$L$1:L1614,$L1614,$M$1:M1614,M1614,$N$1:N1614,N1614)))</f>
        <v>009</v>
      </c>
      <c r="P1614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MS-CS-028-26-04009-INV</v>
      </c>
      <c r="Q1614" s="34"/>
      <c r="R1614" s="34" t="s">
        <v>7252</v>
      </c>
      <c r="S1614" s="34" t="s">
        <v>5749</v>
      </c>
      <c r="T1614" s="34">
        <f>+IFERROR(_xlfn.XLOOKUP(Table43[[#This Row],[Column1]],#REF!,#REF!),0)</f>
        <v>0</v>
      </c>
      <c r="U1614" s="50">
        <f>IFERROR(_xlfn.XLOOKUP(Table43[[#This Row],[Column1]],#REF!,#REF!),0)</f>
        <v>0</v>
      </c>
      <c r="V1614" s="39"/>
    </row>
    <row r="1615" spans="1:22" x14ac:dyDescent="0.35">
      <c r="A1615" s="3" t="s">
        <v>4539</v>
      </c>
      <c r="B1615" s="3" t="s">
        <v>4540</v>
      </c>
      <c r="C1615" s="3" t="s">
        <v>9</v>
      </c>
      <c r="D1615" s="5">
        <v>502.32499999999999</v>
      </c>
      <c r="E1615" s="3" t="s">
        <v>10</v>
      </c>
      <c r="F1615" s="2">
        <v>1</v>
      </c>
      <c r="G1615" s="2">
        <v>2</v>
      </c>
      <c r="H1615" s="3">
        <v>2</v>
      </c>
      <c r="I1615" s="21">
        <f>Table43[[#This Row],[Item Cost]]*Table43[[#This Row],[In Stock]]</f>
        <v>1004.65</v>
      </c>
      <c r="J1615" s="3" t="s">
        <v>4941</v>
      </c>
      <c r="K1615" s="14" t="s">
        <v>4664</v>
      </c>
      <c r="L1615" s="14" t="s">
        <v>4729</v>
      </c>
      <c r="M1615" s="14" t="s">
        <v>4693</v>
      </c>
      <c r="N1615" s="3" t="s">
        <v>4848</v>
      </c>
      <c r="O1615" s="32" t="str">
        <f>IF(LEN(COUNTIFS($J$1:J1615,$J1615,$K$1:K1615,$K1615,$L$1:L1615,$L1615,$M$1:M1615,M1615,$N$1:N1615,N1615))=1,"00"&amp;COUNTIFS($J$1:J1615,$J1615,$K$1:K1615,$K1615,$L$1:L1615,$L1615,$M$1:M1615,M1615,$N$1:N1615,N1615),IF(LEN(COUNTIFS($J$1:J1615,$J1615,$K$1:K1615,$K1615,$L$1:L1615,$L1615,$M$1:M1615,M1615,$N$1:N1615,N1615))=2,"0"&amp;COUNTIFS($J$1:J1615,$J1615,$K$1:K1615,$K1615,$L$1:L1615,$L1615,$M$1:M1615,M1615,$N$1:N1615,N1615),COUNTIFS($J$1:J1615,$J1615,$K$1:K1615,$K1615,$L$1:L1615,$L1615,$M$1:M1615,M1615,$N$1:N1615,N1615)))</f>
        <v>001</v>
      </c>
      <c r="P1615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MS-CS-028-23-04001-INV</v>
      </c>
      <c r="Q1615" s="34"/>
      <c r="R1615" s="34" t="s">
        <v>7199</v>
      </c>
      <c r="S1615" s="34" t="s">
        <v>4540</v>
      </c>
      <c r="T1615" s="34">
        <f>+IFERROR(_xlfn.XLOOKUP(Table43[[#This Row],[Column1]],#REF!,#REF!),0)</f>
        <v>0</v>
      </c>
      <c r="U1615" s="50">
        <f>IFERROR(_xlfn.XLOOKUP(Table43[[#This Row],[Column1]],#REF!,#REF!),0)</f>
        <v>0</v>
      </c>
      <c r="V1615" s="39"/>
    </row>
    <row r="1616" spans="1:22" x14ac:dyDescent="0.35">
      <c r="A1616" s="2" t="s">
        <v>4541</v>
      </c>
      <c r="B1616" s="2" t="s">
        <v>4542</v>
      </c>
      <c r="C1616" s="2" t="s">
        <v>9</v>
      </c>
      <c r="D1616" s="4">
        <v>1085.67</v>
      </c>
      <c r="E1616" s="2" t="s">
        <v>10</v>
      </c>
      <c r="F1616" s="2">
        <v>1</v>
      </c>
      <c r="G1616" s="2">
        <v>2</v>
      </c>
      <c r="H1616" s="2">
        <v>1</v>
      </c>
      <c r="I1616" s="22">
        <f>Table43[[#This Row],[Item Cost]]*Table43[[#This Row],[In Stock]]</f>
        <v>1085.67</v>
      </c>
      <c r="J1616" s="3" t="s">
        <v>4941</v>
      </c>
      <c r="K1616" s="14" t="s">
        <v>4664</v>
      </c>
      <c r="L1616" s="14" t="s">
        <v>4729</v>
      </c>
      <c r="M1616" s="14" t="s">
        <v>4733</v>
      </c>
      <c r="N1616" s="3" t="s">
        <v>4848</v>
      </c>
      <c r="O1616" s="32" t="str">
        <f>IF(LEN(COUNTIFS($J$1:J1616,$J1616,$K$1:K1616,$K1616,$L$1:L1616,$L1616,$M$1:M1616,M1616,$N$1:N1616,N1616))=1,"00"&amp;COUNTIFS($J$1:J1616,$J1616,$K$1:K1616,$K1616,$L$1:L1616,$L1616,$M$1:M1616,M1616,$N$1:N1616,N1616),IF(LEN(COUNTIFS($J$1:J1616,$J1616,$K$1:K1616,$K1616,$L$1:L1616,$L1616,$M$1:M1616,M1616,$N$1:N1616,N1616))=2,"0"&amp;COUNTIFS($J$1:J1616,$J1616,$K$1:K1616,$K1616,$L$1:L1616,$L1616,$M$1:M1616,M1616,$N$1:N1616,N1616),COUNTIFS($J$1:J1616,$J1616,$K$1:K1616,$K1616,$L$1:L1616,$L1616,$M$1:M1616,M1616,$N$1:N1616,N1616)))</f>
        <v>001</v>
      </c>
      <c r="P1616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MS-CS-028-01-04001-INV</v>
      </c>
      <c r="Q1616" s="34"/>
      <c r="R1616" s="34" t="s">
        <v>7200</v>
      </c>
      <c r="S1616" s="34" t="s">
        <v>4542</v>
      </c>
      <c r="T1616" s="34">
        <f>+IFERROR(_xlfn.XLOOKUP(Table43[[#This Row],[Column1]],#REF!,#REF!),0)</f>
        <v>0</v>
      </c>
      <c r="U1616" s="50">
        <f>IFERROR(_xlfn.XLOOKUP(Table43[[#This Row],[Column1]],#REF!,#REF!),0)</f>
        <v>0</v>
      </c>
      <c r="V1616" s="39"/>
    </row>
    <row r="1617" spans="1:22" x14ac:dyDescent="0.35">
      <c r="A1617" s="3" t="s">
        <v>4543</v>
      </c>
      <c r="B1617" s="3" t="s">
        <v>4544</v>
      </c>
      <c r="C1617" s="3" t="s">
        <v>9</v>
      </c>
      <c r="D1617" s="5">
        <v>999.25</v>
      </c>
      <c r="E1617" s="3" t="s">
        <v>10</v>
      </c>
      <c r="F1617" s="2">
        <v>1</v>
      </c>
      <c r="G1617" s="2">
        <v>2</v>
      </c>
      <c r="H1617" s="3">
        <v>1</v>
      </c>
      <c r="I1617" s="21">
        <f>Table43[[#This Row],[Item Cost]]*Table43[[#This Row],[In Stock]]</f>
        <v>999.25</v>
      </c>
      <c r="J1617" s="3" t="s">
        <v>4941</v>
      </c>
      <c r="K1617" s="14" t="s">
        <v>4664</v>
      </c>
      <c r="L1617" s="14" t="s">
        <v>4729</v>
      </c>
      <c r="M1617" s="14" t="s">
        <v>4693</v>
      </c>
      <c r="N1617" s="3" t="s">
        <v>4848</v>
      </c>
      <c r="O1617" s="32" t="str">
        <f>IF(LEN(COUNTIFS($J$1:J1617,$J1617,$K$1:K1617,$K1617,$L$1:L1617,$L1617,$M$1:M1617,M1617,$N$1:N1617,N1617))=1,"00"&amp;COUNTIFS($J$1:J1617,$J1617,$K$1:K1617,$K1617,$L$1:L1617,$L1617,$M$1:M1617,M1617,$N$1:N1617,N1617),IF(LEN(COUNTIFS($J$1:J1617,$J1617,$K$1:K1617,$K1617,$L$1:L1617,$L1617,$M$1:M1617,M1617,$N$1:N1617,N1617))=2,"0"&amp;COUNTIFS($J$1:J1617,$J1617,$K$1:K1617,$K1617,$L$1:L1617,$L1617,$M$1:M1617,M1617,$N$1:N1617,N1617),COUNTIFS($J$1:J1617,$J1617,$K$1:K1617,$K1617,$L$1:L1617,$L1617,$M$1:M1617,M1617,$N$1:N1617,N1617)))</f>
        <v>002</v>
      </c>
      <c r="P1617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MS-CS-028-23-04002-INV</v>
      </c>
      <c r="Q1617" s="34"/>
      <c r="R1617" s="34" t="s">
        <v>7201</v>
      </c>
      <c r="S1617" s="34" t="s">
        <v>4544</v>
      </c>
      <c r="T1617" s="34">
        <f>+IFERROR(_xlfn.XLOOKUP(Table43[[#This Row],[Column1]],#REF!,#REF!),0)</f>
        <v>0</v>
      </c>
      <c r="U1617" s="50">
        <f>IFERROR(_xlfn.XLOOKUP(Table43[[#This Row],[Column1]],#REF!,#REF!),0)</f>
        <v>0</v>
      </c>
      <c r="V1617" s="39"/>
    </row>
    <row r="1618" spans="1:22" x14ac:dyDescent="0.35">
      <c r="A1618" s="3" t="s">
        <v>4545</v>
      </c>
      <c r="B1618" s="2" t="s">
        <v>4546</v>
      </c>
      <c r="C1618" s="2" t="s">
        <v>9</v>
      </c>
      <c r="D1618" s="2">
        <v>761.59</v>
      </c>
      <c r="E1618" s="2" t="s">
        <v>10</v>
      </c>
      <c r="F1618" s="2">
        <v>1</v>
      </c>
      <c r="G1618" s="2">
        <v>2</v>
      </c>
      <c r="H1618" s="2">
        <v>1</v>
      </c>
      <c r="I1618" s="22">
        <f>Table43[[#This Row],[Item Cost]]*Table43[[#This Row],[In Stock]]</f>
        <v>761.59</v>
      </c>
      <c r="J1618" s="3" t="s">
        <v>4941</v>
      </c>
      <c r="K1618" s="14" t="s">
        <v>4664</v>
      </c>
      <c r="L1618" s="14" t="s">
        <v>4729</v>
      </c>
      <c r="M1618" s="14" t="s">
        <v>4828</v>
      </c>
      <c r="N1618" s="3" t="s">
        <v>4848</v>
      </c>
      <c r="O1618" s="32" t="str">
        <f>IF(LEN(COUNTIFS($J$1:J1618,$J1618,$K$1:K1618,$K1618,$L$1:L1618,$L1618,$M$1:M1618,M1618,$N$1:N1618,N1618))=1,"00"&amp;COUNTIFS($J$1:J1618,$J1618,$K$1:K1618,$K1618,$L$1:L1618,$L1618,$M$1:M1618,M1618,$N$1:N1618,N1618),IF(LEN(COUNTIFS($J$1:J1618,$J1618,$K$1:K1618,$K1618,$L$1:L1618,$L1618,$M$1:M1618,M1618,$N$1:N1618,N1618))=2,"0"&amp;COUNTIFS($J$1:J1618,$J1618,$K$1:K1618,$K1618,$L$1:L1618,$L1618,$M$1:M1618,M1618,$N$1:N1618,N1618),COUNTIFS($J$1:J1618,$J1618,$K$1:K1618,$K1618,$L$1:L1618,$L1618,$M$1:M1618,M1618,$N$1:N1618,N1618)))</f>
        <v>001</v>
      </c>
      <c r="P1618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MS-CS-028-13-04001-INV</v>
      </c>
      <c r="Q1618" s="34"/>
      <c r="R1618" s="34" t="s">
        <v>7202</v>
      </c>
      <c r="S1618" s="34" t="s">
        <v>4546</v>
      </c>
      <c r="T1618" s="34">
        <f>+IFERROR(_xlfn.XLOOKUP(Table43[[#This Row],[Column1]],#REF!,#REF!),0)</f>
        <v>0</v>
      </c>
      <c r="U1618" s="50">
        <f>IFERROR(_xlfn.XLOOKUP(Table43[[#This Row],[Column1]],#REF!,#REF!),0)</f>
        <v>0</v>
      </c>
      <c r="V1618" s="39"/>
    </row>
    <row r="1619" spans="1:22" x14ac:dyDescent="0.35">
      <c r="A1619" s="2" t="s">
        <v>4547</v>
      </c>
      <c r="B1619" s="6" t="s">
        <v>4548</v>
      </c>
      <c r="C1619" s="3" t="s">
        <v>9</v>
      </c>
      <c r="D1619" s="27">
        <v>98.781000000000006</v>
      </c>
      <c r="E1619" s="3" t="s">
        <v>10</v>
      </c>
      <c r="F1619" s="2">
        <v>1</v>
      </c>
      <c r="G1619" s="3">
        <v>5</v>
      </c>
      <c r="H1619" s="6">
        <v>17</v>
      </c>
      <c r="I1619" s="25">
        <f>Table43[[#This Row],[Item Cost]]*Table43[[#This Row],[In Stock]]</f>
        <v>1679.277</v>
      </c>
      <c r="J1619" s="3" t="s">
        <v>4941</v>
      </c>
      <c r="K1619" s="14" t="s">
        <v>4664</v>
      </c>
      <c r="L1619" s="14" t="s">
        <v>4729</v>
      </c>
      <c r="M1619" s="14" t="s">
        <v>4693</v>
      </c>
      <c r="N1619" s="3" t="s">
        <v>4848</v>
      </c>
      <c r="O1619" s="32" t="str">
        <f>IF(LEN(COUNTIFS($J$1:J1619,$J1619,$K$1:K1619,$K1619,$L$1:L1619,$L1619,$M$1:M1619,M1619,$N$1:N1619,N1619))=1,"00"&amp;COUNTIFS($J$1:J1619,$J1619,$K$1:K1619,$K1619,$L$1:L1619,$L1619,$M$1:M1619,M1619,$N$1:N1619,N1619),IF(LEN(COUNTIFS($J$1:J1619,$J1619,$K$1:K1619,$K1619,$L$1:L1619,$L1619,$M$1:M1619,M1619,$N$1:N1619,N1619))=2,"0"&amp;COUNTIFS($J$1:J1619,$J1619,$K$1:K1619,$K1619,$L$1:L1619,$L1619,$M$1:M1619,M1619,$N$1:N1619,N1619),COUNTIFS($J$1:J1619,$J1619,$K$1:K1619,$K1619,$L$1:L1619,$L1619,$M$1:M1619,M1619,$N$1:N1619,N1619)))</f>
        <v>003</v>
      </c>
      <c r="P1619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MS-CS-028-23-04003-INV</v>
      </c>
      <c r="Q1619" s="34"/>
      <c r="R1619" s="34" t="s">
        <v>7203</v>
      </c>
      <c r="S1619" s="34" t="s">
        <v>4548</v>
      </c>
      <c r="T1619" s="34">
        <f>+IFERROR(_xlfn.XLOOKUP(Table43[[#This Row],[Column1]],#REF!,#REF!),0)</f>
        <v>0</v>
      </c>
      <c r="U1619" s="50">
        <f>IFERROR(_xlfn.XLOOKUP(Table43[[#This Row],[Column1]],#REF!,#REF!),0)</f>
        <v>0</v>
      </c>
      <c r="V1619" s="39"/>
    </row>
    <row r="1620" spans="1:22" x14ac:dyDescent="0.35">
      <c r="A1620" s="3" t="s">
        <v>4549</v>
      </c>
      <c r="B1620" s="2" t="s">
        <v>4550</v>
      </c>
      <c r="C1620" s="2" t="s">
        <v>9</v>
      </c>
      <c r="D1620" s="2">
        <v>114.40300000000001</v>
      </c>
      <c r="E1620" s="2" t="s">
        <v>10</v>
      </c>
      <c r="F1620" s="2">
        <v>1</v>
      </c>
      <c r="G1620" s="2">
        <v>5</v>
      </c>
      <c r="H1620" s="2">
        <v>9</v>
      </c>
      <c r="I1620" s="22">
        <f>Table43[[#This Row],[Item Cost]]*Table43[[#This Row],[In Stock]]</f>
        <v>1029.627</v>
      </c>
      <c r="J1620" s="3" t="s">
        <v>4941</v>
      </c>
      <c r="K1620" s="14" t="s">
        <v>4664</v>
      </c>
      <c r="L1620" s="14" t="s">
        <v>4729</v>
      </c>
      <c r="M1620" s="14" t="s">
        <v>4693</v>
      </c>
      <c r="N1620" s="3" t="s">
        <v>4848</v>
      </c>
      <c r="O1620" s="32" t="str">
        <f>IF(LEN(COUNTIFS($J$1:J1620,$J1620,$K$1:K1620,$K1620,$L$1:L1620,$L1620,$M$1:M1620,M1620,$N$1:N1620,N1620))=1,"00"&amp;COUNTIFS($J$1:J1620,$J1620,$K$1:K1620,$K1620,$L$1:L1620,$L1620,$M$1:M1620,M1620,$N$1:N1620,N1620),IF(LEN(COUNTIFS($J$1:J1620,$J1620,$K$1:K1620,$K1620,$L$1:L1620,$L1620,$M$1:M1620,M1620,$N$1:N1620,N1620))=2,"0"&amp;COUNTIFS($J$1:J1620,$J1620,$K$1:K1620,$K1620,$L$1:L1620,$L1620,$M$1:M1620,M1620,$N$1:N1620,N1620),COUNTIFS($J$1:J1620,$J1620,$K$1:K1620,$K1620,$L$1:L1620,$L1620,$M$1:M1620,M1620,$N$1:N1620,N1620)))</f>
        <v>004</v>
      </c>
      <c r="P1620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MS-CS-028-23-04004-INV</v>
      </c>
      <c r="Q1620" s="34"/>
      <c r="R1620" s="34" t="s">
        <v>7204</v>
      </c>
      <c r="S1620" s="34" t="s">
        <v>4550</v>
      </c>
      <c r="T1620" s="34">
        <f>+IFERROR(_xlfn.XLOOKUP(Table43[[#This Row],[Column1]],#REF!,#REF!),0)</f>
        <v>0</v>
      </c>
      <c r="U1620" s="50">
        <f>IFERROR(_xlfn.XLOOKUP(Table43[[#This Row],[Column1]],#REF!,#REF!),0)</f>
        <v>0</v>
      </c>
      <c r="V1620" s="39"/>
    </row>
    <row r="1621" spans="1:22" x14ac:dyDescent="0.35">
      <c r="A1621" s="3" t="s">
        <v>4551</v>
      </c>
      <c r="B1621" s="3" t="s">
        <v>4552</v>
      </c>
      <c r="C1621" s="3" t="s">
        <v>9</v>
      </c>
      <c r="D1621" s="3">
        <v>121.002</v>
      </c>
      <c r="E1621" s="3" t="s">
        <v>10</v>
      </c>
      <c r="F1621" s="2">
        <v>1</v>
      </c>
      <c r="G1621" s="3">
        <v>5</v>
      </c>
      <c r="H1621" s="3">
        <v>9</v>
      </c>
      <c r="I1621" s="21">
        <f>Table43[[#This Row],[Item Cost]]*Table43[[#This Row],[In Stock]]</f>
        <v>1089.018</v>
      </c>
      <c r="J1621" s="3" t="s">
        <v>4941</v>
      </c>
      <c r="K1621" s="14" t="s">
        <v>4664</v>
      </c>
      <c r="L1621" s="14" t="s">
        <v>4729</v>
      </c>
      <c r="M1621" s="14" t="s">
        <v>4693</v>
      </c>
      <c r="N1621" s="3" t="s">
        <v>4848</v>
      </c>
      <c r="O1621" s="32" t="str">
        <f>IF(LEN(COUNTIFS($J$1:J1621,$J1621,$K$1:K1621,$K1621,$L$1:L1621,$L1621,$M$1:M1621,M1621,$N$1:N1621,N1621))=1,"00"&amp;COUNTIFS($J$1:J1621,$J1621,$K$1:K1621,$K1621,$L$1:L1621,$L1621,$M$1:M1621,M1621,$N$1:N1621,N1621),IF(LEN(COUNTIFS($J$1:J1621,$J1621,$K$1:K1621,$K1621,$L$1:L1621,$L1621,$M$1:M1621,M1621,$N$1:N1621,N1621))=2,"0"&amp;COUNTIFS($J$1:J1621,$J1621,$K$1:K1621,$K1621,$L$1:L1621,$L1621,$M$1:M1621,M1621,$N$1:N1621,N1621),COUNTIFS($J$1:J1621,$J1621,$K$1:K1621,$K1621,$L$1:L1621,$L1621,$M$1:M1621,M1621,$N$1:N1621,N1621)))</f>
        <v>005</v>
      </c>
      <c r="P1621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MS-CS-028-23-04005-INV</v>
      </c>
      <c r="Q1621" s="34"/>
      <c r="R1621" s="34" t="s">
        <v>7205</v>
      </c>
      <c r="S1621" s="34" t="s">
        <v>4552</v>
      </c>
      <c r="T1621" s="34">
        <f>+IFERROR(_xlfn.XLOOKUP(Table43[[#This Row],[Column1]],#REF!,#REF!),0)</f>
        <v>0</v>
      </c>
      <c r="U1621" s="50">
        <f>IFERROR(_xlfn.XLOOKUP(Table43[[#This Row],[Column1]],#REF!,#REF!),0)</f>
        <v>0</v>
      </c>
      <c r="V1621" s="39"/>
    </row>
    <row r="1622" spans="1:22" x14ac:dyDescent="0.35">
      <c r="A1622" s="2" t="s">
        <v>4553</v>
      </c>
      <c r="B1622" s="2" t="s">
        <v>4554</v>
      </c>
      <c r="C1622" s="2" t="s">
        <v>9</v>
      </c>
      <c r="D1622" s="2">
        <v>1250.0250000000001</v>
      </c>
      <c r="E1622" s="2" t="s">
        <v>10</v>
      </c>
      <c r="F1622" s="2">
        <v>1</v>
      </c>
      <c r="G1622" s="2">
        <v>2</v>
      </c>
      <c r="H1622" s="2">
        <v>2</v>
      </c>
      <c r="I1622" s="22">
        <f>Table43[[#This Row],[Item Cost]]*Table43[[#This Row],[In Stock]]</f>
        <v>2500.0500000000002</v>
      </c>
      <c r="J1622" s="3" t="s">
        <v>4941</v>
      </c>
      <c r="K1622" s="14" t="s">
        <v>4664</v>
      </c>
      <c r="L1622" s="14" t="s">
        <v>4729</v>
      </c>
      <c r="M1622" s="14" t="s">
        <v>4835</v>
      </c>
      <c r="N1622" s="3" t="s">
        <v>4848</v>
      </c>
      <c r="O1622" s="32" t="str">
        <f>IF(LEN(COUNTIFS($J$1:J1622,$J1622,$K$1:K1622,$K1622,$L$1:L1622,$L1622,$M$1:M1622,M1622,$N$1:N1622,N1622))=1,"00"&amp;COUNTIFS($J$1:J1622,$J1622,$K$1:K1622,$K1622,$L$1:L1622,$L1622,$M$1:M1622,M1622,$N$1:N1622,N1622),IF(LEN(COUNTIFS($J$1:J1622,$J1622,$K$1:K1622,$K1622,$L$1:L1622,$L1622,$M$1:M1622,M1622,$N$1:N1622,N1622))=2,"0"&amp;COUNTIFS($J$1:J1622,$J1622,$K$1:K1622,$K1622,$L$1:L1622,$L1622,$M$1:M1622,M1622,$N$1:N1622,N1622),COUNTIFS($J$1:J1622,$J1622,$K$1:K1622,$K1622,$L$1:L1622,$L1622,$M$1:M1622,M1622,$N$1:N1622,N1622)))</f>
        <v>002</v>
      </c>
      <c r="P1622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MS-CS-028-24-04002-INV</v>
      </c>
      <c r="Q1622" s="34"/>
      <c r="R1622" s="34" t="s">
        <v>7206</v>
      </c>
      <c r="S1622" s="34" t="s">
        <v>4554</v>
      </c>
      <c r="T1622" s="34">
        <f>+IFERROR(_xlfn.XLOOKUP(Table43[[#This Row],[Column1]],#REF!,#REF!),0)</f>
        <v>0</v>
      </c>
      <c r="U1622" s="50">
        <f>IFERROR(_xlfn.XLOOKUP(Table43[[#This Row],[Column1]],#REF!,#REF!),0)</f>
        <v>0</v>
      </c>
      <c r="V1622" s="39"/>
    </row>
    <row r="1623" spans="1:22" x14ac:dyDescent="0.35">
      <c r="A1623" s="3" t="s">
        <v>4555</v>
      </c>
      <c r="B1623" s="3" t="s">
        <v>4556</v>
      </c>
      <c r="C1623" s="3" t="s">
        <v>9</v>
      </c>
      <c r="D1623" s="3">
        <v>9307.67</v>
      </c>
      <c r="E1623" s="3" t="s">
        <v>10</v>
      </c>
      <c r="F1623" s="2">
        <v>1</v>
      </c>
      <c r="G1623" s="2">
        <v>2</v>
      </c>
      <c r="H1623" s="3">
        <v>1</v>
      </c>
      <c r="I1623" s="21">
        <f>Table43[[#This Row],[Item Cost]]*Table43[[#This Row],[In Stock]]</f>
        <v>9307.67</v>
      </c>
      <c r="J1623" s="3" t="s">
        <v>4941</v>
      </c>
      <c r="K1623" s="14" t="s">
        <v>4664</v>
      </c>
      <c r="L1623" s="14" t="s">
        <v>4729</v>
      </c>
      <c r="M1623" s="14" t="s">
        <v>4770</v>
      </c>
      <c r="N1623" s="3" t="s">
        <v>4848</v>
      </c>
      <c r="O1623" s="32" t="str">
        <f>IF(LEN(COUNTIFS($J$1:J1623,$J1623,$K$1:K1623,$K1623,$L$1:L1623,$L1623,$M$1:M1623,M1623,$N$1:N1623,N1623))=1,"00"&amp;COUNTIFS($J$1:J1623,$J1623,$K$1:K1623,$K1623,$L$1:L1623,$L1623,$M$1:M1623,M1623,$N$1:N1623,N1623),IF(LEN(COUNTIFS($J$1:J1623,$J1623,$K$1:K1623,$K1623,$L$1:L1623,$L1623,$M$1:M1623,M1623,$N$1:N1623,N1623))=2,"0"&amp;COUNTIFS($J$1:J1623,$J1623,$K$1:K1623,$K1623,$L$1:L1623,$L1623,$M$1:M1623,M1623,$N$1:N1623,N1623),COUNTIFS($J$1:J1623,$J1623,$K$1:K1623,$K1623,$L$1:L1623,$L1623,$M$1:M1623,M1623,$N$1:N1623,N1623)))</f>
        <v>001</v>
      </c>
      <c r="P1623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MS-CS-028-04-04001-INV</v>
      </c>
      <c r="Q1623" s="34"/>
      <c r="R1623" s="34" t="s">
        <v>7253</v>
      </c>
      <c r="S1623" s="34" t="s">
        <v>5750</v>
      </c>
      <c r="T1623" s="34">
        <f>+IFERROR(_xlfn.XLOOKUP(Table43[[#This Row],[Column1]],#REF!,#REF!),0)</f>
        <v>0</v>
      </c>
      <c r="U1623" s="50">
        <f>IFERROR(_xlfn.XLOOKUP(Table43[[#This Row],[Column1]],#REF!,#REF!),0)</f>
        <v>0</v>
      </c>
      <c r="V1623" s="39"/>
    </row>
    <row r="1624" spans="1:22" x14ac:dyDescent="0.35">
      <c r="A1624" s="3" t="s">
        <v>4557</v>
      </c>
      <c r="B1624" s="2" t="s">
        <v>4558</v>
      </c>
      <c r="C1624" s="2" t="s">
        <v>9</v>
      </c>
      <c r="D1624" s="2">
        <v>140.435</v>
      </c>
      <c r="E1624" s="2" t="s">
        <v>10</v>
      </c>
      <c r="F1624" s="2">
        <v>1</v>
      </c>
      <c r="G1624" s="2">
        <v>2</v>
      </c>
      <c r="H1624" s="2">
        <v>2</v>
      </c>
      <c r="I1624" s="22">
        <f>Table43[[#This Row],[Item Cost]]*Table43[[#This Row],[In Stock]]</f>
        <v>280.87</v>
      </c>
      <c r="J1624" s="3" t="s">
        <v>4941</v>
      </c>
      <c r="K1624" s="14" t="s">
        <v>4664</v>
      </c>
      <c r="L1624" s="14" t="s">
        <v>4729</v>
      </c>
      <c r="M1624" s="14" t="s">
        <v>4835</v>
      </c>
      <c r="N1624" s="3" t="s">
        <v>4848</v>
      </c>
      <c r="O1624" s="32" t="str">
        <f>IF(LEN(COUNTIFS($J$1:J1624,$J1624,$K$1:K1624,$K1624,$L$1:L1624,$L1624,$M$1:M1624,M1624,$N$1:N1624,N1624))=1,"00"&amp;COUNTIFS($J$1:J1624,$J1624,$K$1:K1624,$K1624,$L$1:L1624,$L1624,$M$1:M1624,M1624,$N$1:N1624,N1624),IF(LEN(COUNTIFS($J$1:J1624,$J1624,$K$1:K1624,$K1624,$L$1:L1624,$L1624,$M$1:M1624,M1624,$N$1:N1624,N1624))=2,"0"&amp;COUNTIFS($J$1:J1624,$J1624,$K$1:K1624,$K1624,$L$1:L1624,$L1624,$M$1:M1624,M1624,$N$1:N1624,N1624),COUNTIFS($J$1:J1624,$J1624,$K$1:K1624,$K1624,$L$1:L1624,$L1624,$M$1:M1624,M1624,$N$1:N1624,N1624)))</f>
        <v>003</v>
      </c>
      <c r="P1624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MS-CS-028-24-04003-INV</v>
      </c>
      <c r="Q1624" s="34"/>
      <c r="R1624" s="34" t="s">
        <v>7207</v>
      </c>
      <c r="S1624" s="34" t="s">
        <v>4558</v>
      </c>
      <c r="T1624" s="34">
        <f>+IFERROR(_xlfn.XLOOKUP(Table43[[#This Row],[Column1]],#REF!,#REF!),0)</f>
        <v>0</v>
      </c>
      <c r="U1624" s="50">
        <f>IFERROR(_xlfn.XLOOKUP(Table43[[#This Row],[Column1]],#REF!,#REF!),0)</f>
        <v>0</v>
      </c>
      <c r="V1624" s="39"/>
    </row>
    <row r="1625" spans="1:22" x14ac:dyDescent="0.35">
      <c r="A1625" s="2" t="s">
        <v>4559</v>
      </c>
      <c r="B1625" s="3" t="s">
        <v>4560</v>
      </c>
      <c r="C1625" s="3" t="s">
        <v>9</v>
      </c>
      <c r="D1625" s="5">
        <v>340.28500000000003</v>
      </c>
      <c r="E1625" s="3" t="s">
        <v>10</v>
      </c>
      <c r="F1625" s="2">
        <v>1</v>
      </c>
      <c r="G1625" s="2">
        <v>2</v>
      </c>
      <c r="H1625" s="3">
        <v>2</v>
      </c>
      <c r="I1625" s="21">
        <f>Table43[[#This Row],[Item Cost]]*Table43[[#This Row],[In Stock]]</f>
        <v>680.57</v>
      </c>
      <c r="J1625" s="3" t="s">
        <v>4941</v>
      </c>
      <c r="K1625" s="14" t="s">
        <v>4664</v>
      </c>
      <c r="L1625" s="14" t="s">
        <v>4729</v>
      </c>
      <c r="M1625" s="14" t="s">
        <v>4835</v>
      </c>
      <c r="N1625" s="3" t="s">
        <v>4848</v>
      </c>
      <c r="O1625" s="32" t="str">
        <f>IF(LEN(COUNTIFS($J$1:J1625,$J1625,$K$1:K1625,$K1625,$L$1:L1625,$L1625,$M$1:M1625,M1625,$N$1:N1625,N1625))=1,"00"&amp;COUNTIFS($J$1:J1625,$J1625,$K$1:K1625,$K1625,$L$1:L1625,$L1625,$M$1:M1625,M1625,$N$1:N1625,N1625),IF(LEN(COUNTIFS($J$1:J1625,$J1625,$K$1:K1625,$K1625,$L$1:L1625,$L1625,$M$1:M1625,M1625,$N$1:N1625,N1625))=2,"0"&amp;COUNTIFS($J$1:J1625,$J1625,$K$1:K1625,$K1625,$L$1:L1625,$L1625,$M$1:M1625,M1625,$N$1:N1625,N1625),COUNTIFS($J$1:J1625,$J1625,$K$1:K1625,$K1625,$L$1:L1625,$L1625,$M$1:M1625,M1625,$N$1:N1625,N1625)))</f>
        <v>004</v>
      </c>
      <c r="P1625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MS-CS-028-24-04004-INV</v>
      </c>
      <c r="Q1625" s="34"/>
      <c r="R1625" s="34" t="s">
        <v>7208</v>
      </c>
      <c r="S1625" s="34" t="s">
        <v>4560</v>
      </c>
      <c r="T1625" s="34">
        <f>+IFERROR(_xlfn.XLOOKUP(Table43[[#This Row],[Column1]],#REF!,#REF!),0)</f>
        <v>0</v>
      </c>
      <c r="U1625" s="50">
        <f>IFERROR(_xlfn.XLOOKUP(Table43[[#This Row],[Column1]],#REF!,#REF!),0)</f>
        <v>0</v>
      </c>
      <c r="V1625" s="39"/>
    </row>
    <row r="1626" spans="1:22" x14ac:dyDescent="0.35">
      <c r="A1626" s="3" t="s">
        <v>4561</v>
      </c>
      <c r="B1626" s="2" t="s">
        <v>4562</v>
      </c>
      <c r="C1626" s="2" t="s">
        <v>9</v>
      </c>
      <c r="D1626" s="4">
        <v>253.86</v>
      </c>
      <c r="E1626" s="2" t="s">
        <v>10</v>
      </c>
      <c r="F1626" s="2">
        <v>1</v>
      </c>
      <c r="G1626" s="2">
        <v>2</v>
      </c>
      <c r="H1626" s="2">
        <v>1</v>
      </c>
      <c r="I1626" s="22">
        <f>Table43[[#This Row],[Item Cost]]*Table43[[#This Row],[In Stock]]</f>
        <v>253.86</v>
      </c>
      <c r="J1626" s="3" t="s">
        <v>4941</v>
      </c>
      <c r="K1626" s="14" t="s">
        <v>4664</v>
      </c>
      <c r="L1626" s="14" t="s">
        <v>4729</v>
      </c>
      <c r="M1626" s="14" t="s">
        <v>4837</v>
      </c>
      <c r="N1626" s="3" t="s">
        <v>4848</v>
      </c>
      <c r="O1626" s="32" t="str">
        <f>IF(LEN(COUNTIFS($J$1:J1626,$J1626,$K$1:K1626,$K1626,$L$1:L1626,$L1626,$M$1:M1626,M1626,$N$1:N1626,N1626))=1,"00"&amp;COUNTIFS($J$1:J1626,$J1626,$K$1:K1626,$K1626,$L$1:L1626,$L1626,$M$1:M1626,M1626,$N$1:N1626,N1626),IF(LEN(COUNTIFS($J$1:J1626,$J1626,$K$1:K1626,$K1626,$L$1:L1626,$L1626,$M$1:M1626,M1626,$N$1:N1626,N1626))=2,"0"&amp;COUNTIFS($J$1:J1626,$J1626,$K$1:K1626,$K1626,$L$1:L1626,$L1626,$M$1:M1626,M1626,$N$1:N1626,N1626),COUNTIFS($J$1:J1626,$J1626,$K$1:K1626,$K1626,$L$1:L1626,$L1626,$M$1:M1626,M1626,$N$1:N1626,N1626)))</f>
        <v>010</v>
      </c>
      <c r="P1626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MS-CS-028-26-04010-INV</v>
      </c>
      <c r="Q1626" s="34"/>
      <c r="R1626" s="34" t="s">
        <v>7209</v>
      </c>
      <c r="S1626" s="34" t="s">
        <v>4562</v>
      </c>
      <c r="T1626" s="34">
        <f>+IFERROR(_xlfn.XLOOKUP(Table43[[#This Row],[Column1]],#REF!,#REF!),0)</f>
        <v>0</v>
      </c>
      <c r="U1626" s="50">
        <f>IFERROR(_xlfn.XLOOKUP(Table43[[#This Row],[Column1]],#REF!,#REF!),0)</f>
        <v>0</v>
      </c>
      <c r="V1626" s="39"/>
    </row>
    <row r="1627" spans="1:22" x14ac:dyDescent="0.35">
      <c r="A1627" s="3" t="s">
        <v>4563</v>
      </c>
      <c r="B1627" s="3" t="s">
        <v>4564</v>
      </c>
      <c r="C1627" s="3" t="s">
        <v>9</v>
      </c>
      <c r="D1627" s="3">
        <v>215.28</v>
      </c>
      <c r="E1627" s="3" t="s">
        <v>10</v>
      </c>
      <c r="F1627" s="2">
        <v>1</v>
      </c>
      <c r="G1627" s="2">
        <v>2</v>
      </c>
      <c r="H1627" s="3">
        <v>1</v>
      </c>
      <c r="I1627" s="21">
        <f>Table43[[#This Row],[Item Cost]]*Table43[[#This Row],[In Stock]]</f>
        <v>215.28</v>
      </c>
      <c r="J1627" s="3" t="s">
        <v>4941</v>
      </c>
      <c r="K1627" s="14" t="s">
        <v>4664</v>
      </c>
      <c r="L1627" s="14" t="s">
        <v>4729</v>
      </c>
      <c r="M1627" s="14" t="s">
        <v>4837</v>
      </c>
      <c r="N1627" s="3" t="s">
        <v>4848</v>
      </c>
      <c r="O1627" s="32" t="str">
        <f>IF(LEN(COUNTIFS($J$1:J1627,$J1627,$K$1:K1627,$K1627,$L$1:L1627,$L1627,$M$1:M1627,M1627,$N$1:N1627,N1627))=1,"00"&amp;COUNTIFS($J$1:J1627,$J1627,$K$1:K1627,$K1627,$L$1:L1627,$L1627,$M$1:M1627,M1627,$N$1:N1627,N1627),IF(LEN(COUNTIFS($J$1:J1627,$J1627,$K$1:K1627,$K1627,$L$1:L1627,$L1627,$M$1:M1627,M1627,$N$1:N1627,N1627))=2,"0"&amp;COUNTIFS($J$1:J1627,$J1627,$K$1:K1627,$K1627,$L$1:L1627,$L1627,$M$1:M1627,M1627,$N$1:N1627,N1627),COUNTIFS($J$1:J1627,$J1627,$K$1:K1627,$K1627,$L$1:L1627,$L1627,$M$1:M1627,M1627,$N$1:N1627,N1627)))</f>
        <v>011</v>
      </c>
      <c r="P1627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MS-CS-028-26-04011-INV</v>
      </c>
      <c r="Q1627" s="34"/>
      <c r="R1627" s="34" t="s">
        <v>7210</v>
      </c>
      <c r="S1627" s="34" t="s">
        <v>4564</v>
      </c>
      <c r="T1627" s="34">
        <f>+IFERROR(_xlfn.XLOOKUP(Table43[[#This Row],[Column1]],#REF!,#REF!),0)</f>
        <v>0</v>
      </c>
      <c r="U1627" s="50">
        <f>IFERROR(_xlfn.XLOOKUP(Table43[[#This Row],[Column1]],#REF!,#REF!),0)</f>
        <v>0</v>
      </c>
      <c r="V1627" s="39"/>
    </row>
    <row r="1628" spans="1:22" x14ac:dyDescent="0.35">
      <c r="A1628" s="2" t="s">
        <v>4565</v>
      </c>
      <c r="B1628" s="2" t="s">
        <v>4566</v>
      </c>
      <c r="C1628" s="2" t="s">
        <v>9</v>
      </c>
      <c r="D1628" s="2">
        <v>2989.26</v>
      </c>
      <c r="E1628" s="2" t="s">
        <v>10</v>
      </c>
      <c r="F1628" s="2">
        <v>1</v>
      </c>
      <c r="G1628" s="2">
        <v>2</v>
      </c>
      <c r="H1628" s="2">
        <v>1</v>
      </c>
      <c r="I1628" s="22">
        <f>Table43[[#This Row],[Item Cost]]*Table43[[#This Row],[In Stock]]</f>
        <v>2989.26</v>
      </c>
      <c r="J1628" s="3" t="s">
        <v>4941</v>
      </c>
      <c r="K1628" s="14" t="s">
        <v>4664</v>
      </c>
      <c r="L1628" s="14" t="s">
        <v>4729</v>
      </c>
      <c r="M1628" s="14" t="s">
        <v>4837</v>
      </c>
      <c r="N1628" s="3" t="s">
        <v>4848</v>
      </c>
      <c r="O1628" s="32" t="str">
        <f>IF(LEN(COUNTIFS($J$1:J1628,$J1628,$K$1:K1628,$K1628,$L$1:L1628,$L1628,$M$1:M1628,M1628,$N$1:N1628,N1628))=1,"00"&amp;COUNTIFS($J$1:J1628,$J1628,$K$1:K1628,$K1628,$L$1:L1628,$L1628,$M$1:M1628,M1628,$N$1:N1628,N1628),IF(LEN(COUNTIFS($J$1:J1628,$J1628,$K$1:K1628,$K1628,$L$1:L1628,$L1628,$M$1:M1628,M1628,$N$1:N1628,N1628))=2,"0"&amp;COUNTIFS($J$1:J1628,$J1628,$K$1:K1628,$K1628,$L$1:L1628,$L1628,$M$1:M1628,M1628,$N$1:N1628,N1628),COUNTIFS($J$1:J1628,$J1628,$K$1:K1628,$K1628,$L$1:L1628,$L1628,$M$1:M1628,M1628,$N$1:N1628,N1628)))</f>
        <v>012</v>
      </c>
      <c r="P1628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MS-CS-028-26-04012-INV</v>
      </c>
      <c r="Q1628" s="34"/>
      <c r="R1628" s="34" t="s">
        <v>7211</v>
      </c>
      <c r="S1628" s="34" t="s">
        <v>4566</v>
      </c>
      <c r="T1628" s="34">
        <f>+IFERROR(_xlfn.XLOOKUP(Table43[[#This Row],[Column1]],#REF!,#REF!),0)</f>
        <v>0</v>
      </c>
      <c r="U1628" s="50">
        <f>IFERROR(_xlfn.XLOOKUP(Table43[[#This Row],[Column1]],#REF!,#REF!),0)</f>
        <v>0</v>
      </c>
      <c r="V1628" s="39"/>
    </row>
    <row r="1629" spans="1:22" x14ac:dyDescent="0.35">
      <c r="A1629" s="3" t="s">
        <v>4567</v>
      </c>
      <c r="B1629" s="3" t="s">
        <v>4568</v>
      </c>
      <c r="C1629" s="3" t="s">
        <v>9</v>
      </c>
      <c r="D1629" s="3">
        <v>7929.55</v>
      </c>
      <c r="E1629" s="3" t="s">
        <v>10</v>
      </c>
      <c r="F1629" s="2">
        <v>1</v>
      </c>
      <c r="G1629" s="2">
        <v>2</v>
      </c>
      <c r="H1629" s="3">
        <v>1</v>
      </c>
      <c r="I1629" s="21">
        <f>Table43[[#This Row],[Item Cost]]*Table43[[#This Row],[In Stock]]</f>
        <v>7929.55</v>
      </c>
      <c r="J1629" s="3" t="s">
        <v>4941</v>
      </c>
      <c r="K1629" s="14" t="s">
        <v>4664</v>
      </c>
      <c r="L1629" s="14" t="s">
        <v>4729</v>
      </c>
      <c r="M1629" s="14" t="s">
        <v>4832</v>
      </c>
      <c r="N1629" s="3" t="s">
        <v>4848</v>
      </c>
      <c r="O1629" s="32" t="str">
        <f>IF(LEN(COUNTIFS($J$1:J1629,$J1629,$K$1:K1629,$K1629,$L$1:L1629,$L1629,$M$1:M1629,M1629,$N$1:N1629,N1629))=1,"00"&amp;COUNTIFS($J$1:J1629,$J1629,$K$1:K1629,$K1629,$L$1:L1629,$L1629,$M$1:M1629,M1629,$N$1:N1629,N1629),IF(LEN(COUNTIFS($J$1:J1629,$J1629,$K$1:K1629,$K1629,$L$1:L1629,$L1629,$M$1:M1629,M1629,$N$1:N1629,N1629))=2,"0"&amp;COUNTIFS($J$1:J1629,$J1629,$K$1:K1629,$K1629,$L$1:L1629,$L1629,$M$1:M1629,M1629,$N$1:N1629,N1629),COUNTIFS($J$1:J1629,$J1629,$K$1:K1629,$K1629,$L$1:L1629,$L1629,$M$1:M1629,M1629,$N$1:N1629,N1629)))</f>
        <v>001</v>
      </c>
      <c r="P1629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MS-CS-028-07-04001-INV</v>
      </c>
      <c r="Q1629" s="34"/>
      <c r="R1629" s="34" t="s">
        <v>7254</v>
      </c>
      <c r="S1629" s="34" t="s">
        <v>5751</v>
      </c>
      <c r="T1629" s="34">
        <f>+IFERROR(_xlfn.XLOOKUP(Table43[[#This Row],[Column1]],#REF!,#REF!),0)</f>
        <v>0</v>
      </c>
      <c r="U1629" s="50">
        <f>IFERROR(_xlfn.XLOOKUP(Table43[[#This Row],[Column1]],#REF!,#REF!),0)</f>
        <v>0</v>
      </c>
      <c r="V1629" s="39"/>
    </row>
    <row r="1630" spans="1:22" x14ac:dyDescent="0.35">
      <c r="A1630" s="3" t="s">
        <v>4569</v>
      </c>
      <c r="B1630" s="2" t="s">
        <v>4570</v>
      </c>
      <c r="C1630" s="2" t="s">
        <v>9</v>
      </c>
      <c r="D1630" s="2">
        <v>290.13</v>
      </c>
      <c r="E1630" s="2" t="s">
        <v>10</v>
      </c>
      <c r="F1630" s="2">
        <v>1</v>
      </c>
      <c r="G1630" s="2">
        <v>2</v>
      </c>
      <c r="H1630" s="2">
        <v>2</v>
      </c>
      <c r="I1630" s="22">
        <f>Table43[[#This Row],[Item Cost]]*Table43[[#This Row],[In Stock]]</f>
        <v>580.26</v>
      </c>
      <c r="J1630" s="3" t="s">
        <v>4941</v>
      </c>
      <c r="K1630" s="14" t="s">
        <v>4664</v>
      </c>
      <c r="L1630" s="14" t="s">
        <v>4729</v>
      </c>
      <c r="M1630" s="14" t="s">
        <v>4837</v>
      </c>
      <c r="N1630" s="3" t="s">
        <v>4848</v>
      </c>
      <c r="O1630" s="32" t="str">
        <f>IF(LEN(COUNTIFS($J$1:J1630,$J1630,$K$1:K1630,$K1630,$L$1:L1630,$L1630,$M$1:M1630,M1630,$N$1:N1630,N1630))=1,"00"&amp;COUNTIFS($J$1:J1630,$J1630,$K$1:K1630,$K1630,$L$1:L1630,$L1630,$M$1:M1630,M1630,$N$1:N1630,N1630),IF(LEN(COUNTIFS($J$1:J1630,$J1630,$K$1:K1630,$K1630,$L$1:L1630,$L1630,$M$1:M1630,M1630,$N$1:N1630,N1630))=2,"0"&amp;COUNTIFS($J$1:J1630,$J1630,$K$1:K1630,$K1630,$L$1:L1630,$L1630,$M$1:M1630,M1630,$N$1:N1630,N1630),COUNTIFS($J$1:J1630,$J1630,$K$1:K1630,$K1630,$L$1:L1630,$L1630,$M$1:M1630,M1630,$N$1:N1630,N1630)))</f>
        <v>013</v>
      </c>
      <c r="P1630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MS-CS-028-26-04013-INV</v>
      </c>
      <c r="Q1630" s="34"/>
      <c r="R1630" s="34" t="s">
        <v>7212</v>
      </c>
      <c r="S1630" s="34" t="s">
        <v>4570</v>
      </c>
      <c r="T1630" s="34">
        <f>+IFERROR(_xlfn.XLOOKUP(Table43[[#This Row],[Column1]],#REF!,#REF!),0)</f>
        <v>0</v>
      </c>
      <c r="U1630" s="50">
        <f>IFERROR(_xlfn.XLOOKUP(Table43[[#This Row],[Column1]],#REF!,#REF!),0)</f>
        <v>0</v>
      </c>
      <c r="V1630" s="39"/>
    </row>
    <row r="1631" spans="1:22" x14ac:dyDescent="0.35">
      <c r="A1631" s="2" t="s">
        <v>4571</v>
      </c>
      <c r="B1631" s="3" t="s">
        <v>4572</v>
      </c>
      <c r="C1631" s="3" t="s">
        <v>9</v>
      </c>
      <c r="D1631" s="5">
        <v>223.77</v>
      </c>
      <c r="E1631" s="3" t="s">
        <v>10</v>
      </c>
      <c r="F1631" s="2">
        <v>1</v>
      </c>
      <c r="G1631" s="2">
        <v>2</v>
      </c>
      <c r="H1631" s="3">
        <v>2</v>
      </c>
      <c r="I1631" s="21">
        <f>Table43[[#This Row],[Item Cost]]*Table43[[#This Row],[In Stock]]</f>
        <v>447.54</v>
      </c>
      <c r="J1631" s="3" t="s">
        <v>4941</v>
      </c>
      <c r="K1631" s="14" t="s">
        <v>4664</v>
      </c>
      <c r="L1631" s="14" t="s">
        <v>4729</v>
      </c>
      <c r="M1631" s="14" t="s">
        <v>4837</v>
      </c>
      <c r="N1631" s="3" t="s">
        <v>4848</v>
      </c>
      <c r="O1631" s="32" t="str">
        <f>IF(LEN(COUNTIFS($J$1:J1631,$J1631,$K$1:K1631,$K1631,$L$1:L1631,$L1631,$M$1:M1631,M1631,$N$1:N1631,N1631))=1,"00"&amp;COUNTIFS($J$1:J1631,$J1631,$K$1:K1631,$K1631,$L$1:L1631,$L1631,$M$1:M1631,M1631,$N$1:N1631,N1631),IF(LEN(COUNTIFS($J$1:J1631,$J1631,$K$1:K1631,$K1631,$L$1:L1631,$L1631,$M$1:M1631,M1631,$N$1:N1631,N1631))=2,"0"&amp;COUNTIFS($J$1:J1631,$J1631,$K$1:K1631,$K1631,$L$1:L1631,$L1631,$M$1:M1631,M1631,$N$1:N1631,N1631),COUNTIFS($J$1:J1631,$J1631,$K$1:K1631,$K1631,$L$1:L1631,$L1631,$M$1:M1631,M1631,$N$1:N1631,N1631)))</f>
        <v>014</v>
      </c>
      <c r="P1631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MS-CS-028-26-04014-INV</v>
      </c>
      <c r="Q1631" s="34"/>
      <c r="R1631" s="34" t="s">
        <v>7213</v>
      </c>
      <c r="S1631" s="34" t="s">
        <v>4572</v>
      </c>
      <c r="T1631" s="34">
        <f>+IFERROR(_xlfn.XLOOKUP(Table43[[#This Row],[Column1]],#REF!,#REF!),0)</f>
        <v>0</v>
      </c>
      <c r="U1631" s="50">
        <f>IFERROR(_xlfn.XLOOKUP(Table43[[#This Row],[Column1]],#REF!,#REF!),0)</f>
        <v>0</v>
      </c>
      <c r="V1631" s="39"/>
    </row>
    <row r="1632" spans="1:22" x14ac:dyDescent="0.35">
      <c r="A1632" s="3" t="s">
        <v>4573</v>
      </c>
      <c r="B1632" s="2" t="s">
        <v>4574</v>
      </c>
      <c r="C1632" s="2" t="s">
        <v>9</v>
      </c>
      <c r="D1632" s="4">
        <v>744.03499999999997</v>
      </c>
      <c r="E1632" s="2" t="s">
        <v>10</v>
      </c>
      <c r="F1632" s="2">
        <v>1</v>
      </c>
      <c r="G1632" s="2">
        <v>2</v>
      </c>
      <c r="H1632" s="2">
        <v>2</v>
      </c>
      <c r="I1632" s="22">
        <f>Table43[[#This Row],[Item Cost]]*Table43[[#This Row],[In Stock]]</f>
        <v>1488.07</v>
      </c>
      <c r="J1632" s="3" t="s">
        <v>4941</v>
      </c>
      <c r="K1632" s="14" t="s">
        <v>4664</v>
      </c>
      <c r="L1632" s="14" t="s">
        <v>4729</v>
      </c>
      <c r="M1632" s="14" t="s">
        <v>4837</v>
      </c>
      <c r="N1632" s="3" t="s">
        <v>4848</v>
      </c>
      <c r="O1632" s="32" t="str">
        <f>IF(LEN(COUNTIFS($J$1:J1632,$J1632,$K$1:K1632,$K1632,$L$1:L1632,$L1632,$M$1:M1632,M1632,$N$1:N1632,N1632))=1,"00"&amp;COUNTIFS($J$1:J1632,$J1632,$K$1:K1632,$K1632,$L$1:L1632,$L1632,$M$1:M1632,M1632,$N$1:N1632,N1632),IF(LEN(COUNTIFS($J$1:J1632,$J1632,$K$1:K1632,$K1632,$L$1:L1632,$L1632,$M$1:M1632,M1632,$N$1:N1632,N1632))=2,"0"&amp;COUNTIFS($J$1:J1632,$J1632,$K$1:K1632,$K1632,$L$1:L1632,$L1632,$M$1:M1632,M1632,$N$1:N1632,N1632),COUNTIFS($J$1:J1632,$J1632,$K$1:K1632,$K1632,$L$1:L1632,$L1632,$M$1:M1632,M1632,$N$1:N1632,N1632)))</f>
        <v>015</v>
      </c>
      <c r="P1632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MS-CS-028-26-04015-INV</v>
      </c>
      <c r="Q1632" s="34"/>
      <c r="R1632" s="34" t="s">
        <v>7214</v>
      </c>
      <c r="S1632" s="34" t="s">
        <v>4574</v>
      </c>
      <c r="T1632" s="34">
        <f>+IFERROR(_xlfn.XLOOKUP(Table43[[#This Row],[Column1]],#REF!,#REF!),0)</f>
        <v>0</v>
      </c>
      <c r="U1632" s="50">
        <f>IFERROR(_xlfn.XLOOKUP(Table43[[#This Row],[Column1]],#REF!,#REF!),0)</f>
        <v>0</v>
      </c>
      <c r="V1632" s="39"/>
    </row>
    <row r="1633" spans="1:22" x14ac:dyDescent="0.35">
      <c r="A1633" s="3" t="s">
        <v>4575</v>
      </c>
      <c r="B1633" s="6" t="s">
        <v>4576</v>
      </c>
      <c r="C1633" s="3" t="s">
        <v>9</v>
      </c>
      <c r="D1633" s="6">
        <v>630.79999999999995</v>
      </c>
      <c r="E1633" s="3" t="s">
        <v>10</v>
      </c>
      <c r="F1633" s="2">
        <v>1</v>
      </c>
      <c r="G1633" s="2">
        <v>2</v>
      </c>
      <c r="H1633" s="6">
        <v>1</v>
      </c>
      <c r="I1633" s="25">
        <f>Table43[[#This Row],[Item Cost]]*Table43[[#This Row],[In Stock]]</f>
        <v>630.79999999999995</v>
      </c>
      <c r="J1633" s="3" t="s">
        <v>4941</v>
      </c>
      <c r="K1633" s="14" t="s">
        <v>4664</v>
      </c>
      <c r="L1633" s="14" t="s">
        <v>4729</v>
      </c>
      <c r="M1633" s="14" t="s">
        <v>4693</v>
      </c>
      <c r="N1633" s="3" t="s">
        <v>4848</v>
      </c>
      <c r="O1633" s="32" t="str">
        <f>IF(LEN(COUNTIFS($J$1:J1633,$J1633,$K$1:K1633,$K1633,$L$1:L1633,$L1633,$M$1:M1633,M1633,$N$1:N1633,N1633))=1,"00"&amp;COUNTIFS($J$1:J1633,$J1633,$K$1:K1633,$K1633,$L$1:L1633,$L1633,$M$1:M1633,M1633,$N$1:N1633,N1633),IF(LEN(COUNTIFS($J$1:J1633,$J1633,$K$1:K1633,$K1633,$L$1:L1633,$L1633,$M$1:M1633,M1633,$N$1:N1633,N1633))=2,"0"&amp;COUNTIFS($J$1:J1633,$J1633,$K$1:K1633,$K1633,$L$1:L1633,$L1633,$M$1:M1633,M1633,$N$1:N1633,N1633),COUNTIFS($J$1:J1633,$J1633,$K$1:K1633,$K1633,$L$1:L1633,$L1633,$M$1:M1633,M1633,$N$1:N1633,N1633)))</f>
        <v>006</v>
      </c>
      <c r="P1633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MS-CS-028-23-04006-INV</v>
      </c>
      <c r="Q1633" s="34"/>
      <c r="R1633" s="34" t="s">
        <v>7255</v>
      </c>
      <c r="S1633" s="34" t="s">
        <v>5752</v>
      </c>
      <c r="T1633" s="34">
        <f>+IFERROR(_xlfn.XLOOKUP(Table43[[#This Row],[Column1]],#REF!,#REF!),0)</f>
        <v>0</v>
      </c>
      <c r="U1633" s="50">
        <f>IFERROR(_xlfn.XLOOKUP(Table43[[#This Row],[Column1]],#REF!,#REF!),0)</f>
        <v>0</v>
      </c>
      <c r="V1633" s="39"/>
    </row>
    <row r="1634" spans="1:22" x14ac:dyDescent="0.35">
      <c r="A1634" s="2" t="s">
        <v>4577</v>
      </c>
      <c r="B1634" s="2" t="s">
        <v>4578</v>
      </c>
      <c r="C1634" s="2" t="s">
        <v>9</v>
      </c>
      <c r="D1634" s="2">
        <v>1034.355</v>
      </c>
      <c r="E1634" s="2" t="s">
        <v>10</v>
      </c>
      <c r="F1634" s="2">
        <v>1</v>
      </c>
      <c r="G1634" s="2">
        <v>2</v>
      </c>
      <c r="H1634" s="2">
        <v>2</v>
      </c>
      <c r="I1634" s="22">
        <f>Table43[[#This Row],[Item Cost]]*Table43[[#This Row],[In Stock]]</f>
        <v>2068.71</v>
      </c>
      <c r="J1634" s="3" t="s">
        <v>4941</v>
      </c>
      <c r="K1634" s="14" t="s">
        <v>4664</v>
      </c>
      <c r="L1634" s="14" t="s">
        <v>4729</v>
      </c>
      <c r="M1634" s="14" t="s">
        <v>4827</v>
      </c>
      <c r="N1634" s="3" t="s">
        <v>4848</v>
      </c>
      <c r="O1634" s="32" t="str">
        <f>IF(LEN(COUNTIFS($J$1:J1634,$J1634,$K$1:K1634,$K1634,$L$1:L1634,$L1634,$M$1:M1634,M1634,$N$1:N1634,N1634))=1,"00"&amp;COUNTIFS($J$1:J1634,$J1634,$K$1:K1634,$K1634,$L$1:L1634,$L1634,$M$1:M1634,M1634,$N$1:N1634,N1634),IF(LEN(COUNTIFS($J$1:J1634,$J1634,$K$1:K1634,$K1634,$L$1:L1634,$L1634,$M$1:M1634,M1634,$N$1:N1634,N1634))=2,"0"&amp;COUNTIFS($J$1:J1634,$J1634,$K$1:K1634,$K1634,$L$1:L1634,$L1634,$M$1:M1634,M1634,$N$1:N1634,N1634),COUNTIFS($J$1:J1634,$J1634,$K$1:K1634,$K1634,$L$1:L1634,$L1634,$M$1:M1634,M1634,$N$1:N1634,N1634)))</f>
        <v>001</v>
      </c>
      <c r="P1634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MS-CS-028-10-04001-INV</v>
      </c>
      <c r="Q1634" s="34"/>
      <c r="R1634" s="34" t="s">
        <v>7215</v>
      </c>
      <c r="S1634" s="34" t="s">
        <v>4578</v>
      </c>
      <c r="T1634" s="34">
        <f>+IFERROR(_xlfn.XLOOKUP(Table43[[#This Row],[Column1]],#REF!,#REF!),0)</f>
        <v>0</v>
      </c>
      <c r="U1634" s="50">
        <f>IFERROR(_xlfn.XLOOKUP(Table43[[#This Row],[Column1]],#REF!,#REF!),0)</f>
        <v>0</v>
      </c>
      <c r="V1634" s="39"/>
    </row>
    <row r="1635" spans="1:22" x14ac:dyDescent="0.35">
      <c r="A1635" s="3" t="s">
        <v>4579</v>
      </c>
      <c r="B1635" s="6" t="s">
        <v>4580</v>
      </c>
      <c r="C1635" s="3" t="s">
        <v>9</v>
      </c>
      <c r="D1635" s="6">
        <v>13261.06</v>
      </c>
      <c r="E1635" s="3" t="s">
        <v>10</v>
      </c>
      <c r="F1635" s="2">
        <v>1</v>
      </c>
      <c r="G1635" s="2">
        <v>2</v>
      </c>
      <c r="H1635" s="6">
        <v>1</v>
      </c>
      <c r="I1635" s="25">
        <f>Table43[[#This Row],[Item Cost]]*Table43[[#This Row],[In Stock]]</f>
        <v>13261.06</v>
      </c>
      <c r="J1635" s="3" t="s">
        <v>4941</v>
      </c>
      <c r="K1635" s="14" t="s">
        <v>4664</v>
      </c>
      <c r="L1635" s="14" t="s">
        <v>4729</v>
      </c>
      <c r="M1635" s="14" t="s">
        <v>4827</v>
      </c>
      <c r="N1635" s="3" t="s">
        <v>4848</v>
      </c>
      <c r="O1635" s="32" t="str">
        <f>IF(LEN(COUNTIFS($J$1:J1635,$J1635,$K$1:K1635,$K1635,$L$1:L1635,$L1635,$M$1:M1635,M1635,$N$1:N1635,N1635))=1,"00"&amp;COUNTIFS($J$1:J1635,$J1635,$K$1:K1635,$K1635,$L$1:L1635,$L1635,$M$1:M1635,M1635,$N$1:N1635,N1635),IF(LEN(COUNTIFS($J$1:J1635,$J1635,$K$1:K1635,$K1635,$L$1:L1635,$L1635,$M$1:M1635,M1635,$N$1:N1635,N1635))=2,"0"&amp;COUNTIFS($J$1:J1635,$J1635,$K$1:K1635,$K1635,$L$1:L1635,$L1635,$M$1:M1635,M1635,$N$1:N1635,N1635),COUNTIFS($J$1:J1635,$J1635,$K$1:K1635,$K1635,$L$1:L1635,$L1635,$M$1:M1635,M1635,$N$1:N1635,N1635)))</f>
        <v>002</v>
      </c>
      <c r="P1635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MS-CS-028-10-04002-INV</v>
      </c>
      <c r="Q1635" s="34"/>
      <c r="R1635" s="34" t="s">
        <v>7216</v>
      </c>
      <c r="S1635" s="34" t="s">
        <v>4580</v>
      </c>
      <c r="T1635" s="34">
        <f>+IFERROR(_xlfn.XLOOKUP(Table43[[#This Row],[Column1]],#REF!,#REF!),0)</f>
        <v>0</v>
      </c>
      <c r="U1635" s="50">
        <f>IFERROR(_xlfn.XLOOKUP(Table43[[#This Row],[Column1]],#REF!,#REF!),0)</f>
        <v>0</v>
      </c>
      <c r="V1635" s="39"/>
    </row>
    <row r="1636" spans="1:22" x14ac:dyDescent="0.35">
      <c r="A1636" s="3" t="s">
        <v>4581</v>
      </c>
      <c r="B1636" s="2" t="s">
        <v>4582</v>
      </c>
      <c r="C1636" s="2" t="s">
        <v>9</v>
      </c>
      <c r="D1636" s="2">
        <v>540.32500000000005</v>
      </c>
      <c r="E1636" s="2" t="s">
        <v>10</v>
      </c>
      <c r="F1636" s="2">
        <v>1</v>
      </c>
      <c r="G1636" s="2">
        <v>2</v>
      </c>
      <c r="H1636" s="2">
        <v>2</v>
      </c>
      <c r="I1636" s="22">
        <f>Table43[[#This Row],[Item Cost]]*Table43[[#This Row],[In Stock]]</f>
        <v>1080.6500000000001</v>
      </c>
      <c r="J1636" s="3" t="s">
        <v>4941</v>
      </c>
      <c r="K1636" s="14" t="s">
        <v>4664</v>
      </c>
      <c r="L1636" s="14" t="s">
        <v>4729</v>
      </c>
      <c r="M1636" s="14" t="s">
        <v>4827</v>
      </c>
      <c r="N1636" s="3" t="s">
        <v>4848</v>
      </c>
      <c r="O1636" s="32" t="str">
        <f>IF(LEN(COUNTIFS($J$1:J1636,$J1636,$K$1:K1636,$K1636,$L$1:L1636,$L1636,$M$1:M1636,M1636,$N$1:N1636,N1636))=1,"00"&amp;COUNTIFS($J$1:J1636,$J1636,$K$1:K1636,$K1636,$L$1:L1636,$L1636,$M$1:M1636,M1636,$N$1:N1636,N1636),IF(LEN(COUNTIFS($J$1:J1636,$J1636,$K$1:K1636,$K1636,$L$1:L1636,$L1636,$M$1:M1636,M1636,$N$1:N1636,N1636))=2,"0"&amp;COUNTIFS($J$1:J1636,$J1636,$K$1:K1636,$K1636,$L$1:L1636,$L1636,$M$1:M1636,M1636,$N$1:N1636,N1636),COUNTIFS($J$1:J1636,$J1636,$K$1:K1636,$K1636,$L$1:L1636,$L1636,$M$1:M1636,M1636,$N$1:N1636,N1636)))</f>
        <v>003</v>
      </c>
      <c r="P1636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MS-CS-028-10-04003-INV</v>
      </c>
      <c r="Q1636" s="34"/>
      <c r="R1636" s="34" t="s">
        <v>7217</v>
      </c>
      <c r="S1636" s="34" t="s">
        <v>4582</v>
      </c>
      <c r="T1636" s="34">
        <f>+IFERROR(_xlfn.XLOOKUP(Table43[[#This Row],[Column1]],#REF!,#REF!),0)</f>
        <v>0</v>
      </c>
      <c r="U1636" s="50">
        <f>IFERROR(_xlfn.XLOOKUP(Table43[[#This Row],[Column1]],#REF!,#REF!),0)</f>
        <v>0</v>
      </c>
      <c r="V1636" s="39"/>
    </row>
    <row r="1637" spans="1:22" x14ac:dyDescent="0.35">
      <c r="A1637" s="2" t="s">
        <v>4583</v>
      </c>
      <c r="B1637" s="3" t="s">
        <v>4584</v>
      </c>
      <c r="C1637" s="3" t="s">
        <v>9</v>
      </c>
      <c r="D1637" s="5">
        <v>212.965</v>
      </c>
      <c r="E1637" s="3" t="s">
        <v>10</v>
      </c>
      <c r="F1637" s="2">
        <v>1</v>
      </c>
      <c r="G1637" s="2">
        <v>2</v>
      </c>
      <c r="H1637" s="3">
        <v>2</v>
      </c>
      <c r="I1637" s="21">
        <f>Table43[[#This Row],[Item Cost]]*Table43[[#This Row],[In Stock]]</f>
        <v>425.93</v>
      </c>
      <c r="J1637" s="3" t="s">
        <v>4941</v>
      </c>
      <c r="K1637" s="14" t="s">
        <v>4664</v>
      </c>
      <c r="L1637" s="14" t="s">
        <v>4729</v>
      </c>
      <c r="M1637" s="14" t="s">
        <v>4827</v>
      </c>
      <c r="N1637" s="3" t="s">
        <v>4848</v>
      </c>
      <c r="O1637" s="32" t="str">
        <f>IF(LEN(COUNTIFS($J$1:J1637,$J1637,$K$1:K1637,$K1637,$L$1:L1637,$L1637,$M$1:M1637,M1637,$N$1:N1637,N1637))=1,"00"&amp;COUNTIFS($J$1:J1637,$J1637,$K$1:K1637,$K1637,$L$1:L1637,$L1637,$M$1:M1637,M1637,$N$1:N1637,N1637),IF(LEN(COUNTIFS($J$1:J1637,$J1637,$K$1:K1637,$K1637,$L$1:L1637,$L1637,$M$1:M1637,M1637,$N$1:N1637,N1637))=2,"0"&amp;COUNTIFS($J$1:J1637,$J1637,$K$1:K1637,$K1637,$L$1:L1637,$L1637,$M$1:M1637,M1637,$N$1:N1637,N1637),COUNTIFS($J$1:J1637,$J1637,$K$1:K1637,$K1637,$L$1:L1637,$L1637,$M$1:M1637,M1637,$N$1:N1637,N1637)))</f>
        <v>004</v>
      </c>
      <c r="P1637" s="3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MS-CS-028-10-04004-INV</v>
      </c>
      <c r="Q1637" s="34"/>
      <c r="R1637" s="34" t="s">
        <v>7218</v>
      </c>
      <c r="S1637" s="34" t="s">
        <v>4584</v>
      </c>
      <c r="T1637" s="34">
        <f>+IFERROR(_xlfn.XLOOKUP(Table43[[#This Row],[Column1]],#REF!,#REF!),0)</f>
        <v>0</v>
      </c>
      <c r="U1637" s="50">
        <f>IFERROR(_xlfn.XLOOKUP(Table43[[#This Row],[Column1]],#REF!,#REF!),0)</f>
        <v>0</v>
      </c>
      <c r="V1637" s="39"/>
    </row>
    <row r="1638" spans="1:22" x14ac:dyDescent="0.35">
      <c r="A1638" s="3" t="s">
        <v>4585</v>
      </c>
      <c r="B1638" s="26" t="s">
        <v>4586</v>
      </c>
      <c r="C1638" s="2" t="s">
        <v>9</v>
      </c>
      <c r="D1638" s="41">
        <v>645.85</v>
      </c>
      <c r="E1638" s="2" t="s">
        <v>10</v>
      </c>
      <c r="F1638" s="2">
        <v>1</v>
      </c>
      <c r="G1638" s="2">
        <v>2</v>
      </c>
      <c r="H1638" s="26">
        <v>1</v>
      </c>
      <c r="I1638" s="28">
        <f>Table43[[#This Row],[Item Cost]]*Table43[[#This Row],[In Stock]]</f>
        <v>645.85</v>
      </c>
      <c r="J1638" s="3" t="s">
        <v>4941</v>
      </c>
      <c r="K1638" s="14" t="s">
        <v>4664</v>
      </c>
      <c r="L1638" s="14" t="s">
        <v>4729</v>
      </c>
      <c r="M1638" s="14" t="s">
        <v>4827</v>
      </c>
      <c r="N1638" s="3" t="s">
        <v>4848</v>
      </c>
      <c r="O1638" s="32" t="str">
        <f>IF(LEN(COUNTIFS($J$1:J1638,$J1638,$K$1:K1638,$K1638,$L$1:L1638,$L1638,$M$1:M1638,M1638,$N$1:N1638,N1638))=1,"00"&amp;COUNTIFS($J$1:J1638,$J1638,$K$1:K1638,$K1638,$L$1:L1638,$L1638,$M$1:M1638,M1638,$N$1:N1638,N1638),IF(LEN(COUNTIFS($J$1:J1638,$J1638,$K$1:K1638,$K1638,$L$1:L1638,$L1638,$M$1:M1638,M1638,$N$1:N1638,N1638))=2,"0"&amp;COUNTIFS($J$1:J1638,$J1638,$K$1:K1638,$K1638,$L$1:L1638,$L1638,$M$1:M1638,M1638,$N$1:N1638,N1638),COUNTIFS($J$1:J1638,$J1638,$K$1:K1638,$K1638,$L$1:L1638,$L1638,$M$1:M1638,M1638,$N$1:N1638,N1638)))</f>
        <v>005</v>
      </c>
      <c r="P1638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MS-CS-028-10-04005-INV</v>
      </c>
      <c r="Q1638" s="34"/>
      <c r="R1638" s="34" t="s">
        <v>7219</v>
      </c>
      <c r="S1638" s="34" t="s">
        <v>4586</v>
      </c>
      <c r="T1638" s="34">
        <f>+IFERROR(_xlfn.XLOOKUP(Table43[[#This Row],[Column1]],#REF!,#REF!),0)</f>
        <v>0</v>
      </c>
      <c r="U1638" s="50">
        <f>IFERROR(_xlfn.XLOOKUP(Table43[[#This Row],[Column1]],#REF!,#REF!),0)</f>
        <v>0</v>
      </c>
      <c r="V1638" s="39"/>
    </row>
    <row r="1639" spans="1:22" x14ac:dyDescent="0.35">
      <c r="A1639" s="6" t="s">
        <v>4587</v>
      </c>
      <c r="B1639" s="6" t="s">
        <v>4588</v>
      </c>
      <c r="C1639" s="3" t="s">
        <v>9</v>
      </c>
      <c r="D1639" s="6">
        <v>7929.17</v>
      </c>
      <c r="E1639" s="3" t="s">
        <v>10</v>
      </c>
      <c r="F1639" s="2">
        <v>1</v>
      </c>
      <c r="G1639" s="2">
        <v>2</v>
      </c>
      <c r="H1639" s="3">
        <v>1</v>
      </c>
      <c r="I1639" s="21">
        <f>Table43[[#This Row],[Item Cost]]*Table43[[#This Row],[In Stock]]</f>
        <v>7929.17</v>
      </c>
      <c r="J1639" s="12" t="s">
        <v>4941</v>
      </c>
      <c r="K1639" s="13" t="s">
        <v>4664</v>
      </c>
      <c r="L1639" s="13" t="s">
        <v>4729</v>
      </c>
      <c r="M1639" s="13" t="s">
        <v>4827</v>
      </c>
      <c r="N1639" s="12" t="s">
        <v>4848</v>
      </c>
      <c r="O1639" s="17" t="str">
        <f>IF(LEN(COUNTIFS($J$1:J1639,$J1639,$K$1:K1639,$K1639,$L$1:L1639,$L1639,$M$1:M1639,M1639,$N$1:N1639,N1639))=1,"00"&amp;COUNTIFS($J$1:J1639,$J1639,$K$1:K1639,$K1639,$L$1:L1639,$L1639,$M$1:M1639,M1639,$N$1:N1639,N1639),IF(LEN(COUNTIFS($J$1:J1639,$J1639,$K$1:K1639,$K1639,$L$1:L1639,$L1639,$M$1:M1639,M1639,$N$1:N1639,N1639))=2,"0"&amp;COUNTIFS($J$1:J1639,$J1639,$K$1:K1639,$K1639,$L$1:L1639,$L1639,$M$1:M1639,M1639,$N$1:N1639,N1639),COUNTIFS($J$1:J1639,$J1639,$K$1:K1639,$K1639,$L$1:L1639,$L1639,$M$1:M1639,M1639,$N$1:N1639,N1639)))</f>
        <v>006</v>
      </c>
      <c r="P1639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MS-CS-028-10-04006-INV</v>
      </c>
      <c r="Q1639" s="34"/>
      <c r="R1639" s="34" t="s">
        <v>7220</v>
      </c>
      <c r="S1639" s="34" t="s">
        <v>4588</v>
      </c>
      <c r="T1639" s="34">
        <f>+IFERROR(_xlfn.XLOOKUP(Table43[[#This Row],[Column1]],#REF!,#REF!),0)</f>
        <v>0</v>
      </c>
      <c r="U1639" s="50">
        <f>IFERROR(_xlfn.XLOOKUP(Table43[[#This Row],[Column1]],#REF!,#REF!),0)</f>
        <v>0</v>
      </c>
      <c r="V1639" s="39"/>
    </row>
    <row r="1640" spans="1:22" x14ac:dyDescent="0.35">
      <c r="A1640" s="26" t="s">
        <v>4589</v>
      </c>
      <c r="B1640" s="26" t="s">
        <v>4590</v>
      </c>
      <c r="C1640" s="2" t="s">
        <v>9</v>
      </c>
      <c r="D1640" s="2">
        <v>703.14</v>
      </c>
      <c r="E1640" s="2" t="s">
        <v>10</v>
      </c>
      <c r="F1640" s="2">
        <v>1</v>
      </c>
      <c r="G1640" s="2">
        <v>2</v>
      </c>
      <c r="H1640" s="2">
        <v>1</v>
      </c>
      <c r="I1640" s="22">
        <f>Table43[[#This Row],[Item Cost]]*Table43[[#This Row],[In Stock]]</f>
        <v>703.14</v>
      </c>
      <c r="J1640" s="12" t="s">
        <v>4941</v>
      </c>
      <c r="K1640" s="13" t="s">
        <v>4664</v>
      </c>
      <c r="L1640" s="13" t="s">
        <v>4729</v>
      </c>
      <c r="M1640" s="13" t="s">
        <v>4827</v>
      </c>
      <c r="N1640" s="12" t="s">
        <v>4848</v>
      </c>
      <c r="O1640" s="17" t="str">
        <f>IF(LEN(COUNTIFS($J$1:J1640,$J1640,$K$1:K1640,$K1640,$L$1:L1640,$L1640,$M$1:M1640,M1640,$N$1:N1640,N1640))=1,"00"&amp;COUNTIFS($J$1:J1640,$J1640,$K$1:K1640,$K1640,$L$1:L1640,$L1640,$M$1:M1640,M1640,$N$1:N1640,N1640),IF(LEN(COUNTIFS($J$1:J1640,$J1640,$K$1:K1640,$K1640,$L$1:L1640,$L1640,$M$1:M1640,M1640,$N$1:N1640,N1640))=2,"0"&amp;COUNTIFS($J$1:J1640,$J1640,$K$1:K1640,$K1640,$L$1:L1640,$L1640,$M$1:M1640,M1640,$N$1:N1640,N1640),COUNTIFS($J$1:J1640,$J1640,$K$1:K1640,$K1640,$L$1:L1640,$L1640,$M$1:M1640,M1640,$N$1:N1640,N1640)))</f>
        <v>007</v>
      </c>
      <c r="P1640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MS-CS-028-10-04007-INV</v>
      </c>
      <c r="Q1640" s="34"/>
      <c r="R1640" s="34" t="s">
        <v>7221</v>
      </c>
      <c r="S1640" s="34" t="s">
        <v>4590</v>
      </c>
      <c r="T1640" s="34">
        <f>+IFERROR(_xlfn.XLOOKUP(Table43[[#This Row],[Column1]],#REF!,#REF!),0)</f>
        <v>0</v>
      </c>
      <c r="U1640" s="50">
        <f>IFERROR(_xlfn.XLOOKUP(Table43[[#This Row],[Column1]],#REF!,#REF!),0)</f>
        <v>0</v>
      </c>
      <c r="V1640" s="39"/>
    </row>
    <row r="1641" spans="1:22" x14ac:dyDescent="0.35">
      <c r="A1641" s="6" t="s">
        <v>4591</v>
      </c>
      <c r="B1641" s="6" t="s">
        <v>4592</v>
      </c>
      <c r="C1641" s="3" t="s">
        <v>9</v>
      </c>
      <c r="D1641" s="3">
        <v>1482.09</v>
      </c>
      <c r="E1641" s="3" t="s">
        <v>10</v>
      </c>
      <c r="F1641" s="2">
        <v>1</v>
      </c>
      <c r="G1641" s="2">
        <v>2</v>
      </c>
      <c r="H1641" s="3">
        <v>1</v>
      </c>
      <c r="I1641" s="21">
        <f>Table43[[#This Row],[Item Cost]]*Table43[[#This Row],[In Stock]]</f>
        <v>1482.09</v>
      </c>
      <c r="J1641" s="12" t="s">
        <v>4941</v>
      </c>
      <c r="K1641" s="13" t="s">
        <v>4664</v>
      </c>
      <c r="L1641" s="13" t="s">
        <v>4729</v>
      </c>
      <c r="M1641" s="13" t="s">
        <v>4827</v>
      </c>
      <c r="N1641" s="12" t="s">
        <v>4848</v>
      </c>
      <c r="O1641" s="17" t="str">
        <f>IF(LEN(COUNTIFS($J$1:J1641,$J1641,$K$1:K1641,$K1641,$L$1:L1641,$L1641,$M$1:M1641,M1641,$N$1:N1641,N1641))=1,"00"&amp;COUNTIFS($J$1:J1641,$J1641,$K$1:K1641,$K1641,$L$1:L1641,$L1641,$M$1:M1641,M1641,$N$1:N1641,N1641),IF(LEN(COUNTIFS($J$1:J1641,$J1641,$K$1:K1641,$K1641,$L$1:L1641,$L1641,$M$1:M1641,M1641,$N$1:N1641,N1641))=2,"0"&amp;COUNTIFS($J$1:J1641,$J1641,$K$1:K1641,$K1641,$L$1:L1641,$L1641,$M$1:M1641,M1641,$N$1:N1641,N1641),COUNTIFS($J$1:J1641,$J1641,$K$1:K1641,$K1641,$L$1:L1641,$L1641,$M$1:M1641,M1641,$N$1:N1641,N1641)))</f>
        <v>008</v>
      </c>
      <c r="P1641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MS-CS-028-10-04008-INV</v>
      </c>
      <c r="Q1641" s="34"/>
      <c r="R1641" s="34" t="s">
        <v>7222</v>
      </c>
      <c r="S1641" s="34" t="s">
        <v>4592</v>
      </c>
      <c r="T1641" s="34">
        <f>+IFERROR(_xlfn.XLOOKUP(Table43[[#This Row],[Column1]],#REF!,#REF!),0)</f>
        <v>0</v>
      </c>
      <c r="U1641" s="50">
        <f>IFERROR(_xlfn.XLOOKUP(Table43[[#This Row],[Column1]],#REF!,#REF!),0)</f>
        <v>0</v>
      </c>
      <c r="V1641" s="39"/>
    </row>
    <row r="1642" spans="1:22" x14ac:dyDescent="0.35">
      <c r="A1642" s="6" t="s">
        <v>4593</v>
      </c>
      <c r="B1642" s="26" t="s">
        <v>4594</v>
      </c>
      <c r="C1642" s="2" t="s">
        <v>9</v>
      </c>
      <c r="D1642" s="4">
        <v>4343.83</v>
      </c>
      <c r="E1642" s="2" t="s">
        <v>10</v>
      </c>
      <c r="F1642" s="2">
        <v>1</v>
      </c>
      <c r="G1642" s="2">
        <v>2</v>
      </c>
      <c r="H1642" s="2">
        <v>1</v>
      </c>
      <c r="I1642" s="22">
        <f>Table43[[#This Row],[Item Cost]]*Table43[[#This Row],[In Stock]]</f>
        <v>4343.83</v>
      </c>
      <c r="J1642" s="12" t="s">
        <v>4941</v>
      </c>
      <c r="K1642" s="13" t="s">
        <v>4664</v>
      </c>
      <c r="L1642" s="13" t="s">
        <v>4729</v>
      </c>
      <c r="M1642" s="13" t="s">
        <v>4827</v>
      </c>
      <c r="N1642" s="12" t="s">
        <v>4848</v>
      </c>
      <c r="O1642" s="17" t="str">
        <f>IF(LEN(COUNTIFS($J$1:J1642,$J1642,$K$1:K1642,$K1642,$L$1:L1642,$L1642,$M$1:M1642,M1642,$N$1:N1642,N1642))=1,"00"&amp;COUNTIFS($J$1:J1642,$J1642,$K$1:K1642,$K1642,$L$1:L1642,$L1642,$M$1:M1642,M1642,$N$1:N1642,N1642),IF(LEN(COUNTIFS($J$1:J1642,$J1642,$K$1:K1642,$K1642,$L$1:L1642,$L1642,$M$1:M1642,M1642,$N$1:N1642,N1642))=2,"0"&amp;COUNTIFS($J$1:J1642,$J1642,$K$1:K1642,$K1642,$L$1:L1642,$L1642,$M$1:M1642,M1642,$N$1:N1642,N1642),COUNTIFS($J$1:J1642,$J1642,$K$1:K1642,$K1642,$L$1:L1642,$L1642,$M$1:M1642,M1642,$N$1:N1642,N1642)))</f>
        <v>009</v>
      </c>
      <c r="P1642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MS-CS-028-10-04009-INV</v>
      </c>
      <c r="Q1642" s="34"/>
      <c r="R1642" s="34" t="s">
        <v>7223</v>
      </c>
      <c r="S1642" s="34" t="s">
        <v>4594</v>
      </c>
      <c r="T1642" s="34">
        <f>+IFERROR(_xlfn.XLOOKUP(Table43[[#This Row],[Column1]],#REF!,#REF!),0)</f>
        <v>0</v>
      </c>
      <c r="U1642" s="50">
        <f>IFERROR(_xlfn.XLOOKUP(Table43[[#This Row],[Column1]],#REF!,#REF!),0)</f>
        <v>0</v>
      </c>
      <c r="V1642" s="39"/>
    </row>
    <row r="1643" spans="1:22" x14ac:dyDescent="0.35">
      <c r="A1643" s="26" t="s">
        <v>4595</v>
      </c>
      <c r="B1643" s="6" t="s">
        <v>4596</v>
      </c>
      <c r="C1643" s="3" t="s">
        <v>9</v>
      </c>
      <c r="D1643" s="3">
        <v>2325.59</v>
      </c>
      <c r="E1643" s="3" t="s">
        <v>10</v>
      </c>
      <c r="F1643" s="2">
        <v>1</v>
      </c>
      <c r="G1643" s="2">
        <v>2</v>
      </c>
      <c r="H1643" s="3">
        <v>1</v>
      </c>
      <c r="I1643" s="21">
        <f>Table43[[#This Row],[Item Cost]]*Table43[[#This Row],[In Stock]]</f>
        <v>2325.59</v>
      </c>
      <c r="J1643" s="12" t="s">
        <v>4941</v>
      </c>
      <c r="K1643" s="13" t="s">
        <v>4664</v>
      </c>
      <c r="L1643" s="13" t="s">
        <v>4729</v>
      </c>
      <c r="M1643" s="13" t="s">
        <v>4838</v>
      </c>
      <c r="N1643" s="12" t="s">
        <v>4848</v>
      </c>
      <c r="O1643" s="17" t="str">
        <f>IF(LEN(COUNTIFS($J$1:J1643,$J1643,$K$1:K1643,$K1643,$L$1:L1643,$L1643,$M$1:M1643,M1643,$N$1:N1643,N1643))=1,"00"&amp;COUNTIFS($J$1:J1643,$J1643,$K$1:K1643,$K1643,$L$1:L1643,$L1643,$M$1:M1643,M1643,$N$1:N1643,N1643),IF(LEN(COUNTIFS($J$1:J1643,$J1643,$K$1:K1643,$K1643,$L$1:L1643,$L1643,$M$1:M1643,M1643,$N$1:N1643,N1643))=2,"0"&amp;COUNTIFS($J$1:J1643,$J1643,$K$1:K1643,$K1643,$L$1:L1643,$L1643,$M$1:M1643,M1643,$N$1:N1643,N1643),COUNTIFS($J$1:J1643,$J1643,$K$1:K1643,$K1643,$L$1:L1643,$L1643,$M$1:M1643,M1643,$N$1:N1643,N1643)))</f>
        <v>001</v>
      </c>
      <c r="P1643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MS-CS-028-18-04001-INV</v>
      </c>
      <c r="Q1643" s="34"/>
      <c r="R1643" s="34" t="s">
        <v>7224</v>
      </c>
      <c r="S1643" s="34" t="s">
        <v>4596</v>
      </c>
      <c r="T1643" s="34">
        <f>+IFERROR(_xlfn.XLOOKUP(Table43[[#This Row],[Column1]],#REF!,#REF!),0)</f>
        <v>0</v>
      </c>
      <c r="U1643" s="50">
        <f>IFERROR(_xlfn.XLOOKUP(Table43[[#This Row],[Column1]],#REF!,#REF!),0)</f>
        <v>0</v>
      </c>
      <c r="V1643" s="39"/>
    </row>
    <row r="1644" spans="1:22" x14ac:dyDescent="0.35">
      <c r="A1644" s="6" t="s">
        <v>4597</v>
      </c>
      <c r="B1644" s="26" t="s">
        <v>4598</v>
      </c>
      <c r="C1644" s="2" t="s">
        <v>9</v>
      </c>
      <c r="D1644" s="4">
        <v>2924.05</v>
      </c>
      <c r="E1644" s="2" t="s">
        <v>10</v>
      </c>
      <c r="F1644" s="2">
        <v>1</v>
      </c>
      <c r="G1644" s="2">
        <v>2</v>
      </c>
      <c r="H1644" s="2">
        <v>0</v>
      </c>
      <c r="I1644" s="22">
        <f>Table43[[#This Row],[Item Cost]]*Table43[[#This Row],[In Stock]]</f>
        <v>0</v>
      </c>
      <c r="J1644" s="12" t="s">
        <v>4941</v>
      </c>
      <c r="K1644" s="13" t="s">
        <v>4664</v>
      </c>
      <c r="L1644" s="13" t="s">
        <v>4729</v>
      </c>
      <c r="M1644" s="13" t="s">
        <v>4770</v>
      </c>
      <c r="N1644" s="12" t="s">
        <v>4848</v>
      </c>
      <c r="O1644" s="17" t="str">
        <f>IF(LEN(COUNTIFS($J$1:J1644,$J1644,$K$1:K1644,$K1644,$L$1:L1644,$L1644,$M$1:M1644,M1644,$N$1:N1644,N1644))=1,"00"&amp;COUNTIFS($J$1:J1644,$J1644,$K$1:K1644,$K1644,$L$1:L1644,$L1644,$M$1:M1644,M1644,$N$1:N1644,N1644),IF(LEN(COUNTIFS($J$1:J1644,$J1644,$K$1:K1644,$K1644,$L$1:L1644,$L1644,$M$1:M1644,M1644,$N$1:N1644,N1644))=2,"0"&amp;COUNTIFS($J$1:J1644,$J1644,$K$1:K1644,$K1644,$L$1:L1644,$L1644,$M$1:M1644,M1644,$N$1:N1644,N1644),COUNTIFS($J$1:J1644,$J1644,$K$1:K1644,$K1644,$L$1:L1644,$L1644,$M$1:M1644,M1644,$N$1:N1644,N1644)))</f>
        <v>002</v>
      </c>
      <c r="P1644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MS-CS-028-04-04002-INV</v>
      </c>
      <c r="Q1644" s="34"/>
      <c r="R1644" s="34" t="s">
        <v>7225</v>
      </c>
      <c r="S1644" s="34" t="s">
        <v>4598</v>
      </c>
      <c r="T1644" s="34">
        <f>+IFERROR(_xlfn.XLOOKUP(Table43[[#This Row],[Column1]],#REF!,#REF!),0)</f>
        <v>0</v>
      </c>
      <c r="U1644" s="50">
        <f>IFERROR(_xlfn.XLOOKUP(Table43[[#This Row],[Column1]],#REF!,#REF!),0)</f>
        <v>0</v>
      </c>
      <c r="V1644" s="39"/>
    </row>
    <row r="1645" spans="1:22" x14ac:dyDescent="0.35">
      <c r="A1645" s="6" t="s">
        <v>4599</v>
      </c>
      <c r="B1645" s="6" t="s">
        <v>4600</v>
      </c>
      <c r="C1645" s="3" t="s">
        <v>9</v>
      </c>
      <c r="D1645" s="5">
        <v>594.34</v>
      </c>
      <c r="E1645" s="3" t="s">
        <v>10</v>
      </c>
      <c r="F1645" s="2">
        <v>1</v>
      </c>
      <c r="G1645" s="2">
        <v>2</v>
      </c>
      <c r="H1645" s="3">
        <v>1</v>
      </c>
      <c r="I1645" s="21">
        <f>Table43[[#This Row],[Item Cost]]*Table43[[#This Row],[In Stock]]</f>
        <v>594.34</v>
      </c>
      <c r="J1645" s="12" t="s">
        <v>4941</v>
      </c>
      <c r="K1645" s="13" t="s">
        <v>4664</v>
      </c>
      <c r="L1645" s="13" t="s">
        <v>4729</v>
      </c>
      <c r="M1645" s="13" t="s">
        <v>4770</v>
      </c>
      <c r="N1645" s="12" t="s">
        <v>4848</v>
      </c>
      <c r="O1645" s="17" t="str">
        <f>IF(LEN(COUNTIFS($J$1:J1645,$J1645,$K$1:K1645,$K1645,$L$1:L1645,$L1645,$M$1:M1645,M1645,$N$1:N1645,N1645))=1,"00"&amp;COUNTIFS($J$1:J1645,$J1645,$K$1:K1645,$K1645,$L$1:L1645,$L1645,$M$1:M1645,M1645,$N$1:N1645,N1645),IF(LEN(COUNTIFS($J$1:J1645,$J1645,$K$1:K1645,$K1645,$L$1:L1645,$L1645,$M$1:M1645,M1645,$N$1:N1645,N1645))=2,"0"&amp;COUNTIFS($J$1:J1645,$J1645,$K$1:K1645,$K1645,$L$1:L1645,$L1645,$M$1:M1645,M1645,$N$1:N1645,N1645),COUNTIFS($J$1:J1645,$J1645,$K$1:K1645,$K1645,$L$1:L1645,$L1645,$M$1:M1645,M1645,$N$1:N1645,N1645)))</f>
        <v>003</v>
      </c>
      <c r="P1645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MS-CS-028-04-04003-INV</v>
      </c>
      <c r="Q1645" s="34"/>
      <c r="R1645" s="34" t="s">
        <v>7226</v>
      </c>
      <c r="S1645" s="34" t="s">
        <v>4600</v>
      </c>
      <c r="T1645" s="34">
        <f>+IFERROR(_xlfn.XLOOKUP(Table43[[#This Row],[Column1]],#REF!,#REF!),0)</f>
        <v>0</v>
      </c>
      <c r="U1645" s="50">
        <f>IFERROR(_xlfn.XLOOKUP(Table43[[#This Row],[Column1]],#REF!,#REF!),0)</f>
        <v>0</v>
      </c>
      <c r="V1645" s="39"/>
    </row>
    <row r="1646" spans="1:22" x14ac:dyDescent="0.35">
      <c r="A1646" s="26" t="s">
        <v>4601</v>
      </c>
      <c r="B1646" s="26" t="s">
        <v>4602</v>
      </c>
      <c r="C1646" s="2" t="s">
        <v>9</v>
      </c>
      <c r="D1646" s="4">
        <v>260</v>
      </c>
      <c r="E1646" s="2" t="s">
        <v>10</v>
      </c>
      <c r="F1646" s="2">
        <v>1</v>
      </c>
      <c r="G1646" s="2">
        <v>2</v>
      </c>
      <c r="H1646" s="2">
        <v>3</v>
      </c>
      <c r="I1646" s="22">
        <f>Table43[[#This Row],[Item Cost]]*Table43[[#This Row],[In Stock]]</f>
        <v>780</v>
      </c>
      <c r="J1646" s="12" t="s">
        <v>4941</v>
      </c>
      <c r="K1646" s="13" t="s">
        <v>4664</v>
      </c>
      <c r="L1646" s="13" t="s">
        <v>4729</v>
      </c>
      <c r="M1646" s="13" t="s">
        <v>4837</v>
      </c>
      <c r="N1646" s="12" t="s">
        <v>4848</v>
      </c>
      <c r="O1646" s="17" t="str">
        <f>IF(LEN(COUNTIFS($J$1:J1646,$J1646,$K$1:K1646,$K1646,$L$1:L1646,$L1646,$M$1:M1646,M1646,$N$1:N1646,N1646))=1,"00"&amp;COUNTIFS($J$1:J1646,$J1646,$K$1:K1646,$K1646,$L$1:L1646,$L1646,$M$1:M1646,M1646,$N$1:N1646,N1646),IF(LEN(COUNTIFS($J$1:J1646,$J1646,$K$1:K1646,$K1646,$L$1:L1646,$L1646,$M$1:M1646,M1646,$N$1:N1646,N1646))=2,"0"&amp;COUNTIFS($J$1:J1646,$J1646,$K$1:K1646,$K1646,$L$1:L1646,$L1646,$M$1:M1646,M1646,$N$1:N1646,N1646),COUNTIFS($J$1:J1646,$J1646,$K$1:K1646,$K1646,$L$1:L1646,$L1646,$M$1:M1646,M1646,$N$1:N1646,N1646)))</f>
        <v>016</v>
      </c>
      <c r="P1646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MS-CS-028-26-04016-INV</v>
      </c>
      <c r="Q1646" s="34"/>
      <c r="R1646" s="34" t="s">
        <v>7256</v>
      </c>
      <c r="S1646" s="34" t="s">
        <v>5753</v>
      </c>
      <c r="T1646" s="34">
        <f>+IFERROR(_xlfn.XLOOKUP(Table43[[#This Row],[Column1]],#REF!,#REF!),0)</f>
        <v>0</v>
      </c>
      <c r="U1646" s="50">
        <f>IFERROR(_xlfn.XLOOKUP(Table43[[#This Row],[Column1]],#REF!,#REF!),0)</f>
        <v>0</v>
      </c>
      <c r="V1646" s="39"/>
    </row>
    <row r="1647" spans="1:22" x14ac:dyDescent="0.35">
      <c r="A1647" s="6" t="s">
        <v>4603</v>
      </c>
      <c r="B1647" s="6" t="s">
        <v>4604</v>
      </c>
      <c r="C1647" s="3" t="s">
        <v>9</v>
      </c>
      <c r="D1647" s="5">
        <v>240</v>
      </c>
      <c r="E1647" s="3" t="s">
        <v>10</v>
      </c>
      <c r="F1647" s="2">
        <v>1</v>
      </c>
      <c r="G1647" s="2">
        <v>2</v>
      </c>
      <c r="H1647" s="3">
        <v>3</v>
      </c>
      <c r="I1647" s="21">
        <f>Table43[[#This Row],[Item Cost]]*Table43[[#This Row],[In Stock]]</f>
        <v>720</v>
      </c>
      <c r="J1647" s="12" t="s">
        <v>4941</v>
      </c>
      <c r="K1647" s="13" t="s">
        <v>4664</v>
      </c>
      <c r="L1647" s="13" t="s">
        <v>4729</v>
      </c>
      <c r="M1647" s="13" t="s">
        <v>4837</v>
      </c>
      <c r="N1647" s="12" t="s">
        <v>4848</v>
      </c>
      <c r="O1647" s="17" t="str">
        <f>IF(LEN(COUNTIFS($J$1:J1647,$J1647,$K$1:K1647,$K1647,$L$1:L1647,$L1647,$M$1:M1647,M1647,$N$1:N1647,N1647))=1,"00"&amp;COUNTIFS($J$1:J1647,$J1647,$K$1:K1647,$K1647,$L$1:L1647,$L1647,$M$1:M1647,M1647,$N$1:N1647,N1647),IF(LEN(COUNTIFS($J$1:J1647,$J1647,$K$1:K1647,$K1647,$L$1:L1647,$L1647,$M$1:M1647,M1647,$N$1:N1647,N1647))=2,"0"&amp;COUNTIFS($J$1:J1647,$J1647,$K$1:K1647,$K1647,$L$1:L1647,$L1647,$M$1:M1647,M1647,$N$1:N1647,N1647),COUNTIFS($J$1:J1647,$J1647,$K$1:K1647,$K1647,$L$1:L1647,$L1647,$M$1:M1647,M1647,$N$1:N1647,N1647)))</f>
        <v>017</v>
      </c>
      <c r="P1647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MS-CS-028-26-04017-INV</v>
      </c>
      <c r="Q1647" s="34"/>
      <c r="R1647" s="34" t="s">
        <v>7257</v>
      </c>
      <c r="S1647" s="34" t="s">
        <v>5754</v>
      </c>
      <c r="T1647" s="34">
        <f>+IFERROR(_xlfn.XLOOKUP(Table43[[#This Row],[Column1]],#REF!,#REF!),0)</f>
        <v>0</v>
      </c>
      <c r="U1647" s="50">
        <f>IFERROR(_xlfn.XLOOKUP(Table43[[#This Row],[Column1]],#REF!,#REF!),0)</f>
        <v>0</v>
      </c>
      <c r="V1647" s="39"/>
    </row>
    <row r="1648" spans="1:22" x14ac:dyDescent="0.35">
      <c r="A1648" s="6" t="s">
        <v>4605</v>
      </c>
      <c r="B1648" s="6" t="s">
        <v>4608</v>
      </c>
      <c r="C1648" s="3" t="s">
        <v>15</v>
      </c>
      <c r="D1648" s="3">
        <v>120</v>
      </c>
      <c r="E1648" s="3" t="s">
        <v>10</v>
      </c>
      <c r="F1648" s="3">
        <v>0</v>
      </c>
      <c r="G1648" s="3">
        <v>4</v>
      </c>
      <c r="H1648" s="3">
        <v>10</v>
      </c>
      <c r="I1648" s="21">
        <f>Table43[[#This Row],[Item Cost]]*Table43[[#This Row],[In Stock]]</f>
        <v>1200</v>
      </c>
      <c r="J1648" s="12" t="s">
        <v>4941</v>
      </c>
      <c r="K1648" s="13" t="s">
        <v>4666</v>
      </c>
      <c r="L1648" s="13" t="s">
        <v>4729</v>
      </c>
      <c r="M1648" s="13" t="s">
        <v>4693</v>
      </c>
      <c r="N1648" s="12" t="s">
        <v>4848</v>
      </c>
      <c r="O1648" s="17" t="str">
        <f>IF(LEN(COUNTIFS($J$1:J1648,$J1648,$K$1:K1648,$K1648,$L$1:L1648,$L1648,$M$1:M1648,M1648,$N$1:N1648,N1648))=1,"00"&amp;COUNTIFS($J$1:J1648,$J1648,$K$1:K1648,$K1648,$L$1:L1648,$L1648,$M$1:M1648,M1648,$N$1:N1648,N1648),IF(LEN(COUNTIFS($J$1:J1648,$J1648,$K$1:K1648,$K1648,$L$1:L1648,$L1648,$M$1:M1648,M1648,$N$1:N1648,N1648))=2,"0"&amp;COUNTIFS($J$1:J1648,$J1648,$K$1:K1648,$K1648,$L$1:L1648,$L1648,$M$1:M1648,M1648,$N$1:N1648,N1648),COUNTIFS($J$1:J1648,$J1648,$K$1:K1648,$K1648,$L$1:L1648,$L1648,$M$1:M1648,M1648,$N$1:N1648,N1648)))</f>
        <v>001</v>
      </c>
      <c r="P1648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MS-NS-028-23-04001-INV</v>
      </c>
      <c r="Q1648" s="34"/>
      <c r="R1648" s="34" t="s">
        <v>5830</v>
      </c>
      <c r="S1648" s="34" t="s">
        <v>4608</v>
      </c>
      <c r="T1648" s="34">
        <f>+IFERROR(_xlfn.XLOOKUP(Table43[[#This Row],[Column1]],#REF!,#REF!),0)</f>
        <v>0</v>
      </c>
      <c r="U1648" s="50">
        <f>IFERROR(_xlfn.XLOOKUP(Table43[[#This Row],[Column1]],#REF!,#REF!),0)</f>
        <v>0</v>
      </c>
      <c r="V1648" s="39"/>
    </row>
    <row r="1649" spans="1:27" x14ac:dyDescent="0.35">
      <c r="A1649" s="26" t="s">
        <v>4607</v>
      </c>
      <c r="B1649" s="26" t="s">
        <v>4610</v>
      </c>
      <c r="C1649" s="2" t="s">
        <v>15</v>
      </c>
      <c r="D1649" s="2">
        <v>74</v>
      </c>
      <c r="E1649" s="2" t="s">
        <v>10</v>
      </c>
      <c r="F1649" s="3">
        <v>0</v>
      </c>
      <c r="G1649" s="3">
        <v>4</v>
      </c>
      <c r="H1649" s="2">
        <v>5</v>
      </c>
      <c r="I1649" s="22">
        <f>Table43[[#This Row],[Item Cost]]*Table43[[#This Row],[In Stock]]</f>
        <v>370</v>
      </c>
      <c r="J1649" s="12" t="s">
        <v>4941</v>
      </c>
      <c r="K1649" s="13" t="s">
        <v>4666</v>
      </c>
      <c r="L1649" s="13" t="s">
        <v>4729</v>
      </c>
      <c r="M1649" s="13" t="s">
        <v>4828</v>
      </c>
      <c r="N1649" s="12" t="s">
        <v>4848</v>
      </c>
      <c r="O1649" s="17" t="str">
        <f>IF(LEN(COUNTIFS($J$1:J1649,$J1649,$K$1:K1649,$K1649,$L$1:L1649,$L1649,$M$1:M1649,M1649,$N$1:N1649,N1649))=1,"00"&amp;COUNTIFS($J$1:J1649,$J1649,$K$1:K1649,$K1649,$L$1:L1649,$L1649,$M$1:M1649,M1649,$N$1:N1649,N1649),IF(LEN(COUNTIFS($J$1:J1649,$J1649,$K$1:K1649,$K1649,$L$1:L1649,$L1649,$M$1:M1649,M1649,$N$1:N1649,N1649))=2,"0"&amp;COUNTIFS($J$1:J1649,$J1649,$K$1:K1649,$K1649,$L$1:L1649,$L1649,$M$1:M1649,M1649,$N$1:N1649,N1649),COUNTIFS($J$1:J1649,$J1649,$K$1:K1649,$K1649,$L$1:L1649,$L1649,$M$1:M1649,M1649,$N$1:N1649,N1649)))</f>
        <v>001</v>
      </c>
      <c r="P1649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MS-NS-028-13-04001-INV</v>
      </c>
      <c r="Q1649" s="34"/>
      <c r="R1649" s="34" t="s">
        <v>5831</v>
      </c>
      <c r="S1649" s="34" t="s">
        <v>4610</v>
      </c>
      <c r="T1649" s="34">
        <f>+IFERROR(_xlfn.XLOOKUP(Table43[[#This Row],[Column1]],#REF!,#REF!),0)</f>
        <v>0</v>
      </c>
      <c r="U1649" s="50">
        <f>IFERROR(_xlfn.XLOOKUP(Table43[[#This Row],[Column1]],#REF!,#REF!),0)</f>
        <v>0</v>
      </c>
      <c r="V1649" s="39"/>
    </row>
    <row r="1650" spans="1:27" x14ac:dyDescent="0.35">
      <c r="A1650" s="6" t="s">
        <v>4609</v>
      </c>
      <c r="B1650" s="6" t="s">
        <v>4612</v>
      </c>
      <c r="C1650" s="3" t="s">
        <v>15</v>
      </c>
      <c r="D1650" s="3">
        <v>0</v>
      </c>
      <c r="E1650" s="3" t="s">
        <v>10</v>
      </c>
      <c r="F1650" s="3">
        <v>0</v>
      </c>
      <c r="G1650" s="3">
        <v>4</v>
      </c>
      <c r="H1650" s="3">
        <v>0</v>
      </c>
      <c r="I1650" s="21">
        <f>Table43[[#This Row],[Item Cost]]*Table43[[#This Row],[In Stock]]</f>
        <v>0</v>
      </c>
      <c r="J1650" s="12" t="s">
        <v>4941</v>
      </c>
      <c r="K1650" s="13" t="s">
        <v>4666</v>
      </c>
      <c r="L1650" s="13" t="s">
        <v>4729</v>
      </c>
      <c r="M1650" s="13" t="s">
        <v>4828</v>
      </c>
      <c r="N1650" s="12" t="s">
        <v>4848</v>
      </c>
      <c r="O1650" s="17" t="str">
        <f>IF(LEN(COUNTIFS($J$1:J1650,$J1650,$K$1:K1650,$K1650,$L$1:L1650,$L1650,$M$1:M1650,M1650,$N$1:N1650,N1650))=1,"00"&amp;COUNTIFS($J$1:J1650,$J1650,$K$1:K1650,$K1650,$L$1:L1650,$L1650,$M$1:M1650,M1650,$N$1:N1650,N1650),IF(LEN(COUNTIFS($J$1:J1650,$J1650,$K$1:K1650,$K1650,$L$1:L1650,$L1650,$M$1:M1650,M1650,$N$1:N1650,N1650))=2,"0"&amp;COUNTIFS($J$1:J1650,$J1650,$K$1:K1650,$K1650,$L$1:L1650,$L1650,$M$1:M1650,M1650,$N$1:N1650,N1650),COUNTIFS($J$1:J1650,$J1650,$K$1:K1650,$K1650,$L$1:L1650,$L1650,$M$1:M1650,M1650,$N$1:N1650,N1650)))</f>
        <v>002</v>
      </c>
      <c r="P1650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MS-NS-028-13-04002-INV</v>
      </c>
      <c r="Q1650" s="34"/>
      <c r="R1650" s="34" t="s">
        <v>5832</v>
      </c>
      <c r="S1650" s="34" t="s">
        <v>4612</v>
      </c>
      <c r="T1650" s="34">
        <f>+IFERROR(_xlfn.XLOOKUP(Table43[[#This Row],[Column1]],#REF!,#REF!),0)</f>
        <v>0</v>
      </c>
      <c r="U1650" s="50">
        <f>IFERROR(_xlfn.XLOOKUP(Table43[[#This Row],[Column1]],#REF!,#REF!),0)</f>
        <v>0</v>
      </c>
      <c r="V1650" s="39"/>
    </row>
    <row r="1651" spans="1:27" x14ac:dyDescent="0.35">
      <c r="A1651" s="6" t="s">
        <v>4611</v>
      </c>
      <c r="B1651" s="26" t="s">
        <v>4614</v>
      </c>
      <c r="C1651" s="2" t="s">
        <v>15</v>
      </c>
      <c r="D1651" s="26">
        <v>4.8099999999999996</v>
      </c>
      <c r="E1651" s="2" t="s">
        <v>10</v>
      </c>
      <c r="F1651" s="3">
        <v>0</v>
      </c>
      <c r="G1651" s="3">
        <v>4</v>
      </c>
      <c r="H1651" s="2">
        <v>20</v>
      </c>
      <c r="I1651" s="22">
        <f>Table43[[#This Row],[Item Cost]]*Table43[[#This Row],[In Stock]]</f>
        <v>96.199999999999989</v>
      </c>
      <c r="J1651" s="6" t="s">
        <v>4941</v>
      </c>
      <c r="K1651" s="13" t="s">
        <v>4666</v>
      </c>
      <c r="L1651" s="13" t="s">
        <v>4729</v>
      </c>
      <c r="M1651" s="13" t="s">
        <v>4835</v>
      </c>
      <c r="N1651" s="12" t="s">
        <v>4848</v>
      </c>
      <c r="O1651" s="17" t="str">
        <f>IF(LEN(COUNTIFS($J$1:J1651,$J1651,$K$1:K1651,$K1651,$L$1:L1651,$L1651,$M$1:M1651,M1651,$N$1:N1651,N1651))=1,"00"&amp;COUNTIFS($J$1:J1651,$J1651,$K$1:K1651,$K1651,$L$1:L1651,$L1651,$M$1:M1651,M1651,$N$1:N1651,N1651),IF(LEN(COUNTIFS($J$1:J1651,$J1651,$K$1:K1651,$K1651,$L$1:L1651,$L1651,$M$1:M1651,M1651,$N$1:N1651,N1651))=2,"0"&amp;COUNTIFS($J$1:J1651,$J1651,$K$1:K1651,$K1651,$L$1:L1651,$L1651,$M$1:M1651,M1651,$N$1:N1651,N1651),COUNTIFS($J$1:J1651,$J1651,$K$1:K1651,$K1651,$L$1:L1651,$L1651,$M$1:M1651,M1651,$N$1:N1651,N1651)))</f>
        <v>001</v>
      </c>
      <c r="P1651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MS-NS-028-24-04001-INV</v>
      </c>
      <c r="Q1651" s="34"/>
      <c r="R1651" s="34" t="s">
        <v>5833</v>
      </c>
      <c r="S1651" s="34" t="s">
        <v>4614</v>
      </c>
      <c r="T1651" s="34">
        <f>+IFERROR(_xlfn.XLOOKUP(Table43[[#This Row],[Column1]],#REF!,#REF!),0)</f>
        <v>0</v>
      </c>
      <c r="U1651" s="50">
        <f>IFERROR(_xlfn.XLOOKUP(Table43[[#This Row],[Column1]],#REF!,#REF!),0)</f>
        <v>0</v>
      </c>
      <c r="V1651" s="39"/>
    </row>
    <row r="1652" spans="1:27" x14ac:dyDescent="0.35">
      <c r="A1652" s="6" t="s">
        <v>4615</v>
      </c>
      <c r="B1652" s="6" t="s">
        <v>4616</v>
      </c>
      <c r="C1652" s="3" t="s">
        <v>9</v>
      </c>
      <c r="D1652" s="6">
        <v>65</v>
      </c>
      <c r="E1652" s="3" t="s">
        <v>10</v>
      </c>
      <c r="F1652" s="2">
        <v>1</v>
      </c>
      <c r="G1652" s="2">
        <v>2</v>
      </c>
      <c r="H1652" s="3">
        <v>1</v>
      </c>
      <c r="I1652" s="21">
        <f>Table43[[#This Row],[Item Cost]]*Table43[[#This Row],[In Stock]]</f>
        <v>65</v>
      </c>
      <c r="J1652" s="6" t="s">
        <v>4941</v>
      </c>
      <c r="K1652" s="13" t="s">
        <v>4664</v>
      </c>
      <c r="L1652" s="13" t="s">
        <v>4731</v>
      </c>
      <c r="M1652" s="13" t="s">
        <v>4775</v>
      </c>
      <c r="N1652" s="12" t="s">
        <v>4855</v>
      </c>
      <c r="O1652" s="17" t="str">
        <f>IF(LEN(COUNTIFS($J$1:J1652,$J1652,$K$1:K1652,$K1652,$L$1:L1652,$L1652,$M$1:M1652,M1652,$N$1:N1652,N1652))=1,"00"&amp;COUNTIFS($J$1:J1652,$J1652,$K$1:K1652,$K1652,$L$1:L1652,$L1652,$M$1:M1652,M1652,$N$1:N1652,N1652),IF(LEN(COUNTIFS($J$1:J1652,$J1652,$K$1:K1652,$K1652,$L$1:L1652,$L1652,$M$1:M1652,M1652,$N$1:N1652,N1652))=2,"0"&amp;COUNTIFS($J$1:J1652,$J1652,$K$1:K1652,$K1652,$L$1:L1652,$L1652,$M$1:M1652,M1652,$N$1:N1652,N1652),COUNTIFS($J$1:J1652,$J1652,$K$1:K1652,$K1652,$L$1:L1652,$L1652,$M$1:M1652,M1652,$N$1:N1652,N1652)))</f>
        <v>001</v>
      </c>
      <c r="P1652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MS-CS-029-09-12001-INV</v>
      </c>
      <c r="Q1652" s="34"/>
      <c r="R1652" s="34" t="s">
        <v>5834</v>
      </c>
      <c r="S1652" s="34" t="s">
        <v>4616</v>
      </c>
      <c r="T1652" s="34">
        <f>+IFERROR(_xlfn.XLOOKUP(Table43[[#This Row],[Column1]],#REF!,#REF!),0)</f>
        <v>0</v>
      </c>
      <c r="U1652" s="50">
        <f>IFERROR(_xlfn.XLOOKUP(Table43[[#This Row],[Column1]],#REF!,#REF!),0)</f>
        <v>0</v>
      </c>
      <c r="V1652" s="39"/>
      <c r="AA1652" t="s">
        <v>7400</v>
      </c>
    </row>
    <row r="1653" spans="1:27" x14ac:dyDescent="0.35">
      <c r="A1653" s="26" t="s">
        <v>4617</v>
      </c>
      <c r="B1653" s="26" t="s">
        <v>4618</v>
      </c>
      <c r="C1653" s="2" t="s">
        <v>9</v>
      </c>
      <c r="D1653" s="26">
        <v>110</v>
      </c>
      <c r="E1653" s="2" t="s">
        <v>10</v>
      </c>
      <c r="F1653" s="2">
        <v>1</v>
      </c>
      <c r="G1653" s="2">
        <v>2</v>
      </c>
      <c r="H1653" s="2">
        <v>2</v>
      </c>
      <c r="I1653" s="22">
        <f>Table43[[#This Row],[Item Cost]]*Table43[[#This Row],[In Stock]]</f>
        <v>220</v>
      </c>
      <c r="J1653" s="6" t="s">
        <v>4941</v>
      </c>
      <c r="K1653" s="13" t="s">
        <v>4664</v>
      </c>
      <c r="L1653" s="13" t="s">
        <v>4731</v>
      </c>
      <c r="M1653" s="13" t="s">
        <v>4837</v>
      </c>
      <c r="N1653" s="12" t="s">
        <v>4855</v>
      </c>
      <c r="O1653" s="17" t="str">
        <f>IF(LEN(COUNTIFS($J$1:J1653,$J1653,$K$1:K1653,$K1653,$L$1:L1653,$L1653,$M$1:M1653,M1653,$N$1:N1653,N1653))=1,"00"&amp;COUNTIFS($J$1:J1653,$J1653,$K$1:K1653,$K1653,$L$1:L1653,$L1653,$M$1:M1653,M1653,$N$1:N1653,N1653),IF(LEN(COUNTIFS($J$1:J1653,$J1653,$K$1:K1653,$K1653,$L$1:L1653,$L1653,$M$1:M1653,M1653,$N$1:N1653,N1653))=2,"0"&amp;COUNTIFS($J$1:J1653,$J1653,$K$1:K1653,$K1653,$L$1:L1653,$L1653,$M$1:M1653,M1653,$N$1:N1653,N1653),COUNTIFS($J$1:J1653,$J1653,$K$1:K1653,$K1653,$L$1:L1653,$L1653,$M$1:M1653,M1653,$N$1:N1653,N1653)))</f>
        <v>001</v>
      </c>
      <c r="P1653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MS-CS-029-26-12001-INV</v>
      </c>
      <c r="Q1653" s="59" t="s">
        <v>7393</v>
      </c>
      <c r="R1653" s="34" t="s">
        <v>5835</v>
      </c>
      <c r="S1653" s="34" t="s">
        <v>4618</v>
      </c>
      <c r="T1653" s="34">
        <f>+IFERROR(_xlfn.XLOOKUP(Table43[[#This Row],[Column1]],#REF!,#REF!),0)</f>
        <v>0</v>
      </c>
      <c r="U1653" s="50">
        <f>IFERROR(_xlfn.XLOOKUP(Table43[[#This Row],[Column1]],#REF!,#REF!),0)</f>
        <v>0</v>
      </c>
      <c r="V1653" s="39"/>
      <c r="AA1653" t="s">
        <v>7400</v>
      </c>
    </row>
    <row r="1654" spans="1:27" x14ac:dyDescent="0.35">
      <c r="A1654" s="6" t="s">
        <v>4619</v>
      </c>
      <c r="B1654" s="6" t="s">
        <v>4620</v>
      </c>
      <c r="C1654" s="3" t="s">
        <v>15</v>
      </c>
      <c r="D1654" s="6">
        <v>340</v>
      </c>
      <c r="E1654" s="3" t="s">
        <v>10</v>
      </c>
      <c r="F1654" s="3">
        <v>0</v>
      </c>
      <c r="G1654" s="3">
        <v>4</v>
      </c>
      <c r="H1654" s="3">
        <v>0</v>
      </c>
      <c r="I1654" s="21">
        <f>Table43[[#This Row],[Item Cost]]*Table43[[#This Row],[In Stock]]</f>
        <v>0</v>
      </c>
      <c r="J1654" s="6" t="s">
        <v>4941</v>
      </c>
      <c r="K1654" s="13" t="s">
        <v>4666</v>
      </c>
      <c r="L1654" s="13" t="s">
        <v>4731</v>
      </c>
      <c r="M1654" s="13" t="s">
        <v>4770</v>
      </c>
      <c r="N1654" s="12" t="s">
        <v>4855</v>
      </c>
      <c r="O1654" s="17" t="str">
        <f>IF(LEN(COUNTIFS($J$1:J1654,$J1654,$K$1:K1654,$K1654,$L$1:L1654,$L1654,$M$1:M1654,M1654,$N$1:N1654,N1654))=1,"00"&amp;COUNTIFS($J$1:J1654,$J1654,$K$1:K1654,$K1654,$L$1:L1654,$L1654,$M$1:M1654,M1654,$N$1:N1654,N1654),IF(LEN(COUNTIFS($J$1:J1654,$J1654,$K$1:K1654,$K1654,$L$1:L1654,$L1654,$M$1:M1654,M1654,$N$1:N1654,N1654))=2,"0"&amp;COUNTIFS($J$1:J1654,$J1654,$K$1:K1654,$K1654,$L$1:L1654,$L1654,$M$1:M1654,M1654,$N$1:N1654,N1654),COUNTIFS($J$1:J1654,$J1654,$K$1:K1654,$K1654,$L$1:L1654,$L1654,$M$1:M1654,M1654,$N$1:N1654,N1654)))</f>
        <v>001</v>
      </c>
      <c r="P1654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MS-NS-029-04-12001-INV</v>
      </c>
      <c r="Q1654" s="59" t="s">
        <v>7393</v>
      </c>
      <c r="R1654" s="34" t="s">
        <v>5836</v>
      </c>
      <c r="S1654" s="34" t="s">
        <v>4620</v>
      </c>
      <c r="T1654" s="34">
        <f>+IFERROR(_xlfn.XLOOKUP(Table43[[#This Row],[Column1]],#REF!,#REF!),0)</f>
        <v>0</v>
      </c>
      <c r="U1654" s="50">
        <f>IFERROR(_xlfn.XLOOKUP(Table43[[#This Row],[Column1]],#REF!,#REF!),0)</f>
        <v>0</v>
      </c>
      <c r="V1654" s="39"/>
    </row>
    <row r="1655" spans="1:27" x14ac:dyDescent="0.35">
      <c r="A1655" s="26" t="s">
        <v>4621</v>
      </c>
      <c r="B1655" s="26" t="s">
        <v>4622</v>
      </c>
      <c r="C1655" s="2" t="s">
        <v>15</v>
      </c>
      <c r="D1655" s="26">
        <v>120</v>
      </c>
      <c r="E1655" s="2" t="s">
        <v>10</v>
      </c>
      <c r="F1655" s="3">
        <v>0</v>
      </c>
      <c r="G1655" s="3">
        <v>4</v>
      </c>
      <c r="H1655" s="2">
        <v>0</v>
      </c>
      <c r="I1655" s="22">
        <f>Table43[[#This Row],[Item Cost]]*Table43[[#This Row],[In Stock]]</f>
        <v>0</v>
      </c>
      <c r="J1655" s="6" t="s">
        <v>4941</v>
      </c>
      <c r="K1655" s="13" t="s">
        <v>4666</v>
      </c>
      <c r="L1655" s="13" t="s">
        <v>4731</v>
      </c>
      <c r="M1655" s="13" t="s">
        <v>4774</v>
      </c>
      <c r="N1655" s="12" t="s">
        <v>4855</v>
      </c>
      <c r="O1655" s="17" t="str">
        <f>IF(LEN(COUNTIFS($J$1:J1655,$J1655,$K$1:K1655,$K1655,$L$1:L1655,$L1655,$M$1:M1655,M1655,$N$1:N1655,N1655))=1,"00"&amp;COUNTIFS($J$1:J1655,$J1655,$K$1:K1655,$K1655,$L$1:L1655,$L1655,$M$1:M1655,M1655,$N$1:N1655,N1655),IF(LEN(COUNTIFS($J$1:J1655,$J1655,$K$1:K1655,$K1655,$L$1:L1655,$L1655,$M$1:M1655,M1655,$N$1:N1655,N1655))=2,"0"&amp;COUNTIFS($J$1:J1655,$J1655,$K$1:K1655,$K1655,$L$1:L1655,$L1655,$M$1:M1655,M1655,$N$1:N1655,N1655),COUNTIFS($J$1:J1655,$J1655,$K$1:K1655,$K1655,$L$1:L1655,$L1655,$M$1:M1655,M1655,$N$1:N1655,N1655)))</f>
        <v>001</v>
      </c>
      <c r="P1655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MS-NS-029-08-12001-INV</v>
      </c>
      <c r="Q1655" s="34"/>
      <c r="R1655" s="34" t="s">
        <v>5837</v>
      </c>
      <c r="S1655" s="34" t="s">
        <v>4622</v>
      </c>
      <c r="T1655" s="34">
        <f>+IFERROR(_xlfn.XLOOKUP(Table43[[#This Row],[Column1]],#REF!,#REF!),0)</f>
        <v>0</v>
      </c>
      <c r="U1655" s="50">
        <f>IFERROR(_xlfn.XLOOKUP(Table43[[#This Row],[Column1]],#REF!,#REF!),0)</f>
        <v>0</v>
      </c>
      <c r="V1655" s="39"/>
    </row>
    <row r="1656" spans="1:27" x14ac:dyDescent="0.35">
      <c r="A1656" s="6" t="s">
        <v>4623</v>
      </c>
      <c r="B1656" s="26" t="s">
        <v>4626</v>
      </c>
      <c r="C1656" s="2" t="s">
        <v>15</v>
      </c>
      <c r="D1656" s="2">
        <v>230</v>
      </c>
      <c r="E1656" s="3" t="s">
        <v>10</v>
      </c>
      <c r="F1656" s="3">
        <v>0</v>
      </c>
      <c r="G1656" s="3">
        <v>100</v>
      </c>
      <c r="H1656" s="2">
        <v>1</v>
      </c>
      <c r="I1656" s="22">
        <f>Table43[[#This Row],[Item Cost]]*Table43[[#This Row],[In Stock]]</f>
        <v>230</v>
      </c>
      <c r="J1656" s="12" t="s">
        <v>4941</v>
      </c>
      <c r="K1656" s="13" t="s">
        <v>4666</v>
      </c>
      <c r="L1656" s="13" t="s">
        <v>4731</v>
      </c>
      <c r="M1656" s="13" t="s">
        <v>4770</v>
      </c>
      <c r="N1656" s="12" t="s">
        <v>4855</v>
      </c>
      <c r="O1656" s="17" t="str">
        <f>IF(LEN(COUNTIFS($J$1:J1656,$J1656,$K$1:K1656,$K1656,$L$1:L1656,$L1656,$M$1:M1656,M1656,$N$1:N1656,N1656))=1,"00"&amp;COUNTIFS($J$1:J1656,$J1656,$K$1:K1656,$K1656,$L$1:L1656,$L1656,$M$1:M1656,M1656,$N$1:N1656,N1656),IF(LEN(COUNTIFS($J$1:J1656,$J1656,$K$1:K1656,$K1656,$L$1:L1656,$L1656,$M$1:M1656,M1656,$N$1:N1656,N1656))=2,"0"&amp;COUNTIFS($J$1:J1656,$J1656,$K$1:K1656,$K1656,$L$1:L1656,$L1656,$M$1:M1656,M1656,$N$1:N1656,N1656),COUNTIFS($J$1:J1656,$J1656,$K$1:K1656,$K1656,$L$1:L1656,$L1656,$M$1:M1656,M1656,$N$1:N1656,N1656)))</f>
        <v>002</v>
      </c>
      <c r="P1656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MS-NS-029-04-12002-INV</v>
      </c>
      <c r="Q1656" s="59" t="s">
        <v>7393</v>
      </c>
      <c r="R1656" s="34"/>
      <c r="S1656" s="34">
        <v>0</v>
      </c>
      <c r="T1656" s="34">
        <f>+IFERROR(_xlfn.XLOOKUP(Table43[[#This Row],[Column1]],#REF!,#REF!),0)</f>
        <v>0</v>
      </c>
      <c r="U1656" s="50">
        <f>IFERROR(_xlfn.XLOOKUP(Table43[[#This Row],[Column1]],#REF!,#REF!),0)</f>
        <v>0</v>
      </c>
      <c r="V1656" s="39"/>
    </row>
    <row r="1657" spans="1:27" x14ac:dyDescent="0.35">
      <c r="A1657" s="26" t="s">
        <v>4625</v>
      </c>
      <c r="B1657" s="6" t="s">
        <v>4628</v>
      </c>
      <c r="C1657" s="3" t="s">
        <v>15</v>
      </c>
      <c r="D1657" s="3">
        <v>850</v>
      </c>
      <c r="E1657" s="3" t="s">
        <v>10</v>
      </c>
      <c r="F1657" s="3">
        <v>0</v>
      </c>
      <c r="G1657" s="3">
        <v>100</v>
      </c>
      <c r="H1657" s="3">
        <v>1</v>
      </c>
      <c r="I1657" s="21">
        <f>Table43[[#This Row],[Item Cost]]*Table43[[#This Row],[In Stock]]</f>
        <v>850</v>
      </c>
      <c r="J1657" s="12" t="s">
        <v>4941</v>
      </c>
      <c r="K1657" s="13" t="s">
        <v>4666</v>
      </c>
      <c r="L1657" s="13" t="s">
        <v>4731</v>
      </c>
      <c r="M1657" s="13" t="s">
        <v>4838</v>
      </c>
      <c r="N1657" s="12" t="s">
        <v>4855</v>
      </c>
      <c r="O1657" s="17" t="str">
        <f>IF(LEN(COUNTIFS($J$1:J1657,$J1657,$K$1:K1657,$K1657,$L$1:L1657,$L1657,$M$1:M1657,M1657,$N$1:N1657,N1657))=1,"00"&amp;COUNTIFS($J$1:J1657,$J1657,$K$1:K1657,$K1657,$L$1:L1657,$L1657,$M$1:M1657,M1657,$N$1:N1657,N1657),IF(LEN(COUNTIFS($J$1:J1657,$J1657,$K$1:K1657,$K1657,$L$1:L1657,$L1657,$M$1:M1657,M1657,$N$1:N1657,N1657))=2,"0"&amp;COUNTIFS($J$1:J1657,$J1657,$K$1:K1657,$K1657,$L$1:L1657,$L1657,$M$1:M1657,M1657,$N$1:N1657,N1657),COUNTIFS($J$1:J1657,$J1657,$K$1:K1657,$K1657,$L$1:L1657,$L1657,$M$1:M1657,M1657,$N$1:N1657,N1657)))</f>
        <v>001</v>
      </c>
      <c r="P1657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MS-NS-029-18-12001-INV</v>
      </c>
      <c r="Q1657" s="59" t="s">
        <v>7393</v>
      </c>
      <c r="R1657" s="34"/>
      <c r="S1657" s="34">
        <v>0</v>
      </c>
      <c r="T1657" s="34">
        <f>+IFERROR(_xlfn.XLOOKUP(Table43[[#This Row],[Column1]],#REF!,#REF!),0)</f>
        <v>0</v>
      </c>
      <c r="U1657" s="50">
        <f>IFERROR(_xlfn.XLOOKUP(Table43[[#This Row],[Column1]],#REF!,#REF!),0)</f>
        <v>0</v>
      </c>
      <c r="V1657" s="39"/>
    </row>
    <row r="1658" spans="1:27" x14ac:dyDescent="0.35">
      <c r="A1658" s="6" t="s">
        <v>4627</v>
      </c>
      <c r="B1658" s="26" t="s">
        <v>4630</v>
      </c>
      <c r="C1658" s="2" t="s">
        <v>15</v>
      </c>
      <c r="D1658" s="2">
        <v>57</v>
      </c>
      <c r="E1658" s="3" t="s">
        <v>10</v>
      </c>
      <c r="F1658" s="3">
        <v>0</v>
      </c>
      <c r="G1658" s="3">
        <v>100</v>
      </c>
      <c r="H1658" s="2">
        <v>2</v>
      </c>
      <c r="I1658" s="22">
        <f>Table43[[#This Row],[Item Cost]]*Table43[[#This Row],[In Stock]]</f>
        <v>114</v>
      </c>
      <c r="J1658" s="12" t="s">
        <v>4941</v>
      </c>
      <c r="K1658" s="13" t="s">
        <v>4666</v>
      </c>
      <c r="L1658" s="13" t="s">
        <v>4731</v>
      </c>
      <c r="M1658" s="13" t="s">
        <v>4837</v>
      </c>
      <c r="N1658" s="12" t="s">
        <v>4855</v>
      </c>
      <c r="O1658" s="17" t="str">
        <f>IF(LEN(COUNTIFS($J$1:J1658,$J1658,$K$1:K1658,$K1658,$L$1:L1658,$L1658,$M$1:M1658,M1658,$N$1:N1658,N1658))=1,"00"&amp;COUNTIFS($J$1:J1658,$J1658,$K$1:K1658,$K1658,$L$1:L1658,$L1658,$M$1:M1658,M1658,$N$1:N1658,N1658),IF(LEN(COUNTIFS($J$1:J1658,$J1658,$K$1:K1658,$K1658,$L$1:L1658,$L1658,$M$1:M1658,M1658,$N$1:N1658,N1658))=2,"0"&amp;COUNTIFS($J$1:J1658,$J1658,$K$1:K1658,$K1658,$L$1:L1658,$L1658,$M$1:M1658,M1658,$N$1:N1658,N1658),COUNTIFS($J$1:J1658,$J1658,$K$1:K1658,$K1658,$L$1:L1658,$L1658,$M$1:M1658,M1658,$N$1:N1658,N1658)))</f>
        <v>001</v>
      </c>
      <c r="P1658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MS-NS-029-26-12001-INV</v>
      </c>
      <c r="Q1658" s="59" t="s">
        <v>7393</v>
      </c>
      <c r="R1658" s="34"/>
      <c r="S1658" s="34">
        <v>0</v>
      </c>
      <c r="T1658" s="34">
        <f>+IFERROR(_xlfn.XLOOKUP(Table43[[#This Row],[Column1]],#REF!,#REF!),0)</f>
        <v>0</v>
      </c>
      <c r="U1658" s="50">
        <f>IFERROR(_xlfn.XLOOKUP(Table43[[#This Row],[Column1]],#REF!,#REF!),0)</f>
        <v>0</v>
      </c>
      <c r="V1658" s="39"/>
    </row>
    <row r="1659" spans="1:27" x14ac:dyDescent="0.35">
      <c r="A1659" s="26" t="s">
        <v>4629</v>
      </c>
      <c r="B1659" s="6" t="s">
        <v>4632</v>
      </c>
      <c r="C1659" s="3" t="s">
        <v>15</v>
      </c>
      <c r="D1659" s="3">
        <v>75</v>
      </c>
      <c r="E1659" s="3" t="s">
        <v>10</v>
      </c>
      <c r="F1659" s="3">
        <v>0</v>
      </c>
      <c r="G1659" s="3">
        <v>100</v>
      </c>
      <c r="H1659" s="3">
        <v>1</v>
      </c>
      <c r="I1659" s="21">
        <f>Table43[[#This Row],[Item Cost]]*Table43[[#This Row],[In Stock]]</f>
        <v>75</v>
      </c>
      <c r="J1659" s="12" t="s">
        <v>4941</v>
      </c>
      <c r="K1659" s="13" t="s">
        <v>4666</v>
      </c>
      <c r="L1659" s="13" t="s">
        <v>4731</v>
      </c>
      <c r="M1659" s="13" t="s">
        <v>4827</v>
      </c>
      <c r="N1659" s="12" t="s">
        <v>4855</v>
      </c>
      <c r="O1659" s="17" t="str">
        <f>IF(LEN(COUNTIFS($J$1:J1659,$J1659,$K$1:K1659,$K1659,$L$1:L1659,$L1659,$M$1:M1659,M1659,$N$1:N1659,N1659))=1,"00"&amp;COUNTIFS($J$1:J1659,$J1659,$K$1:K1659,$K1659,$L$1:L1659,$L1659,$M$1:M1659,M1659,$N$1:N1659,N1659),IF(LEN(COUNTIFS($J$1:J1659,$J1659,$K$1:K1659,$K1659,$L$1:L1659,$L1659,$M$1:M1659,M1659,$N$1:N1659,N1659))=2,"0"&amp;COUNTIFS($J$1:J1659,$J1659,$K$1:K1659,$K1659,$L$1:L1659,$L1659,$M$1:M1659,M1659,$N$1:N1659,N1659),COUNTIFS($J$1:J1659,$J1659,$K$1:K1659,$K1659,$L$1:L1659,$L1659,$M$1:M1659,M1659,$N$1:N1659,N1659)))</f>
        <v>001</v>
      </c>
      <c r="P1659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MS-NS-029-10-12001-INV</v>
      </c>
      <c r="Q1659" s="59"/>
      <c r="R1659" s="34"/>
      <c r="S1659" s="34">
        <v>0</v>
      </c>
      <c r="T1659" s="34">
        <f>+IFERROR(_xlfn.XLOOKUP(Table43[[#This Row],[Column1]],#REF!,#REF!),0)</f>
        <v>0</v>
      </c>
      <c r="U1659" s="50">
        <f>IFERROR(_xlfn.XLOOKUP(Table43[[#This Row],[Column1]],#REF!,#REF!),0)</f>
        <v>0</v>
      </c>
      <c r="V1659" s="39"/>
    </row>
    <row r="1660" spans="1:27" x14ac:dyDescent="0.35">
      <c r="A1660" s="6" t="s">
        <v>4631</v>
      </c>
      <c r="B1660" s="26" t="s">
        <v>4634</v>
      </c>
      <c r="C1660" s="2" t="s">
        <v>9</v>
      </c>
      <c r="D1660" s="2">
        <v>1250</v>
      </c>
      <c r="E1660" s="2" t="s">
        <v>10</v>
      </c>
      <c r="F1660" s="2">
        <v>1</v>
      </c>
      <c r="G1660" s="2">
        <v>2</v>
      </c>
      <c r="H1660" s="2">
        <v>2</v>
      </c>
      <c r="I1660" s="22">
        <f>Table43[[#This Row],[Item Cost]]*Table43[[#This Row],[In Stock]]</f>
        <v>2500</v>
      </c>
      <c r="J1660" s="12" t="s">
        <v>4941</v>
      </c>
      <c r="K1660" s="13" t="s">
        <v>4664</v>
      </c>
      <c r="L1660" s="13" t="s">
        <v>4731</v>
      </c>
      <c r="M1660" s="13" t="s">
        <v>4772</v>
      </c>
      <c r="N1660" s="12" t="s">
        <v>4855</v>
      </c>
      <c r="O1660" s="17" t="str">
        <f>IF(LEN(COUNTIFS($J$1:J1660,$J1660,$K$1:K1660,$K1660,$L$1:L1660,$L1660,$M$1:M1660,M1660,$N$1:N1660,N1660))=1,"00"&amp;COUNTIFS($J$1:J1660,$J1660,$K$1:K1660,$K1660,$L$1:L1660,$L1660,$M$1:M1660,M1660,$N$1:N1660,N1660),IF(LEN(COUNTIFS($J$1:J1660,$J1660,$K$1:K1660,$K1660,$L$1:L1660,$L1660,$M$1:M1660,M1660,$N$1:N1660,N1660))=2,"0"&amp;COUNTIFS($J$1:J1660,$J1660,$K$1:K1660,$K1660,$L$1:L1660,$L1660,$M$1:M1660,M1660,$N$1:N1660,N1660),COUNTIFS($J$1:J1660,$J1660,$K$1:K1660,$K1660,$L$1:L1660,$L1660,$M$1:M1660,M1660,$N$1:N1660,N1660)))</f>
        <v>001</v>
      </c>
      <c r="P1660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MS-CS-029-06-12001-INV</v>
      </c>
      <c r="Q1660" s="59" t="s">
        <v>7328</v>
      </c>
      <c r="R1660" s="34" t="s">
        <v>5838</v>
      </c>
      <c r="S1660" s="34" t="s">
        <v>4634</v>
      </c>
      <c r="T1660" s="34">
        <f>+IFERROR(_xlfn.XLOOKUP(Table43[[#This Row],[Column1]],#REF!,#REF!),0)</f>
        <v>0</v>
      </c>
      <c r="U1660" s="50">
        <f>IFERROR(_xlfn.XLOOKUP(Table43[[#This Row],[Column1]],#REF!,#REF!),0)</f>
        <v>0</v>
      </c>
      <c r="V1660" s="39"/>
    </row>
    <row r="1661" spans="1:27" x14ac:dyDescent="0.35">
      <c r="A1661" s="26" t="s">
        <v>4633</v>
      </c>
      <c r="B1661" s="6" t="s">
        <v>4636</v>
      </c>
      <c r="C1661" s="3" t="s">
        <v>15</v>
      </c>
      <c r="D1661" s="3">
        <v>35.1</v>
      </c>
      <c r="E1661" s="3" t="s">
        <v>10</v>
      </c>
      <c r="F1661" s="3">
        <v>0</v>
      </c>
      <c r="G1661" s="3">
        <v>4</v>
      </c>
      <c r="H1661" s="3">
        <v>4</v>
      </c>
      <c r="I1661" s="21">
        <f>Table43[[#This Row],[Item Cost]]*Table43[[#This Row],[In Stock]]</f>
        <v>140.4</v>
      </c>
      <c r="J1661" s="12" t="s">
        <v>4941</v>
      </c>
      <c r="K1661" s="13" t="s">
        <v>4666</v>
      </c>
      <c r="L1661" s="13" t="s">
        <v>4731</v>
      </c>
      <c r="M1661" s="13" t="s">
        <v>4771</v>
      </c>
      <c r="N1661" s="12" t="s">
        <v>4855</v>
      </c>
      <c r="O1661" s="17" t="str">
        <f>IF(LEN(COUNTIFS($J$1:J1661,$J1661,$K$1:K1661,$K1661,$L$1:L1661,$L1661,$M$1:M1661,M1661,$N$1:N1661,N1661))=1,"00"&amp;COUNTIFS($J$1:J1661,$J1661,$K$1:K1661,$K1661,$L$1:L1661,$L1661,$M$1:M1661,M1661,$N$1:N1661,N1661),IF(LEN(COUNTIFS($J$1:J1661,$J1661,$K$1:K1661,$K1661,$L$1:L1661,$L1661,$M$1:M1661,M1661,$N$1:N1661,N1661))=2,"0"&amp;COUNTIFS($J$1:J1661,$J1661,$K$1:K1661,$K1661,$L$1:L1661,$L1661,$M$1:M1661,M1661,$N$1:N1661,N1661),COUNTIFS($J$1:J1661,$J1661,$K$1:K1661,$K1661,$L$1:L1661,$L1661,$M$1:M1661,M1661,$N$1:N1661,N1661)))</f>
        <v>001</v>
      </c>
      <c r="P1661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MS-NS-029-05-12001-INV</v>
      </c>
      <c r="Q1661" s="59"/>
      <c r="R1661" s="34" t="s">
        <v>5839</v>
      </c>
      <c r="S1661" s="34" t="s">
        <v>4636</v>
      </c>
      <c r="T1661" s="34">
        <f>+IFERROR(_xlfn.XLOOKUP(Table43[[#This Row],[Column1]],#REF!,#REF!),0)</f>
        <v>0</v>
      </c>
      <c r="U1661" s="50">
        <f>IFERROR(_xlfn.XLOOKUP(Table43[[#This Row],[Column1]],#REF!,#REF!),0)</f>
        <v>0</v>
      </c>
      <c r="V1661" s="39"/>
    </row>
    <row r="1662" spans="1:27" x14ac:dyDescent="0.35">
      <c r="A1662" s="6" t="s">
        <v>4635</v>
      </c>
      <c r="B1662" s="26" t="s">
        <v>4638</v>
      </c>
      <c r="C1662" s="2" t="s">
        <v>9</v>
      </c>
      <c r="D1662" s="26">
        <v>1475</v>
      </c>
      <c r="E1662" s="2" t="s">
        <v>10</v>
      </c>
      <c r="F1662" s="2">
        <v>1</v>
      </c>
      <c r="G1662" s="2">
        <v>2</v>
      </c>
      <c r="H1662" s="2">
        <v>1</v>
      </c>
      <c r="I1662" s="22">
        <f>Table43[[#This Row],[Item Cost]]*Table43[[#This Row],[In Stock]]</f>
        <v>1475</v>
      </c>
      <c r="J1662" s="12" t="s">
        <v>4941</v>
      </c>
      <c r="K1662" s="13" t="s">
        <v>4664</v>
      </c>
      <c r="L1662" s="13" t="s">
        <v>4731</v>
      </c>
      <c r="M1662" s="13" t="s">
        <v>4693</v>
      </c>
      <c r="N1662" s="12" t="s">
        <v>4855</v>
      </c>
      <c r="O1662" s="17" t="str">
        <f>IF(LEN(COUNTIFS($J$1:J1662,$J1662,$K$1:K1662,$K1662,$L$1:L1662,$L1662,$M$1:M1662,M1662,$N$1:N1662,N1662))=1,"00"&amp;COUNTIFS($J$1:J1662,$J1662,$K$1:K1662,$K1662,$L$1:L1662,$L1662,$M$1:M1662,M1662,$N$1:N1662,N1662),IF(LEN(COUNTIFS($J$1:J1662,$J1662,$K$1:K1662,$K1662,$L$1:L1662,$L1662,$M$1:M1662,M1662,$N$1:N1662,N1662))=2,"0"&amp;COUNTIFS($J$1:J1662,$J1662,$K$1:K1662,$K1662,$L$1:L1662,$L1662,$M$1:M1662,M1662,$N$1:N1662,N1662),COUNTIFS($J$1:J1662,$J1662,$K$1:K1662,$K1662,$L$1:L1662,$L1662,$M$1:M1662,M1662,$N$1:N1662,N1662)))</f>
        <v>001</v>
      </c>
      <c r="P1662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MS-CS-029-23-12001-INV</v>
      </c>
      <c r="Q1662" s="59" t="s">
        <v>7337</v>
      </c>
      <c r="R1662" s="34" t="s">
        <v>5840</v>
      </c>
      <c r="S1662" s="34" t="s">
        <v>4638</v>
      </c>
      <c r="T1662" s="34">
        <f>+IFERROR(_xlfn.XLOOKUP(Table43[[#This Row],[Column1]],#REF!,#REF!),0)</f>
        <v>0</v>
      </c>
      <c r="U1662" s="50">
        <f>IFERROR(_xlfn.XLOOKUP(Table43[[#This Row],[Column1]],#REF!,#REF!),0)</f>
        <v>0</v>
      </c>
      <c r="V1662" s="39"/>
    </row>
    <row r="1663" spans="1:27" x14ac:dyDescent="0.35">
      <c r="A1663" s="26" t="s">
        <v>4637</v>
      </c>
      <c r="B1663" s="6" t="s">
        <v>4640</v>
      </c>
      <c r="C1663" s="3" t="s">
        <v>15</v>
      </c>
      <c r="D1663" s="5">
        <v>420</v>
      </c>
      <c r="E1663" s="3" t="s">
        <v>10</v>
      </c>
      <c r="F1663" s="3">
        <v>0</v>
      </c>
      <c r="G1663" s="3">
        <v>4</v>
      </c>
      <c r="H1663" s="3">
        <v>1</v>
      </c>
      <c r="I1663" s="21">
        <f>Table43[[#This Row],[Item Cost]]*Table43[[#This Row],[In Stock]]</f>
        <v>420</v>
      </c>
      <c r="J1663" s="12" t="s">
        <v>4941</v>
      </c>
      <c r="K1663" s="13" t="s">
        <v>4666</v>
      </c>
      <c r="L1663" s="13" t="s">
        <v>4731</v>
      </c>
      <c r="M1663" s="13" t="s">
        <v>4693</v>
      </c>
      <c r="N1663" s="12" t="s">
        <v>4855</v>
      </c>
      <c r="O1663" s="17" t="str">
        <f>IF(LEN(COUNTIFS($J$1:J1663,$J1663,$K$1:K1663,$K1663,$L$1:L1663,$L1663,$M$1:M1663,M1663,$N$1:N1663,N1663))=1,"00"&amp;COUNTIFS($J$1:J1663,$J1663,$K$1:K1663,$K1663,$L$1:L1663,$L1663,$M$1:M1663,M1663,$N$1:N1663,N1663),IF(LEN(COUNTIFS($J$1:J1663,$J1663,$K$1:K1663,$K1663,$L$1:L1663,$L1663,$M$1:M1663,M1663,$N$1:N1663,N1663))=2,"0"&amp;COUNTIFS($J$1:J1663,$J1663,$K$1:K1663,$K1663,$L$1:L1663,$L1663,$M$1:M1663,M1663,$N$1:N1663,N1663),COUNTIFS($J$1:J1663,$J1663,$K$1:K1663,$K1663,$L$1:L1663,$L1663,$M$1:M1663,M1663,$N$1:N1663,N1663)))</f>
        <v>001</v>
      </c>
      <c r="P1663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MS-NS-029-23-12001-INV</v>
      </c>
      <c r="Q1663" s="59" t="s">
        <v>7393</v>
      </c>
      <c r="R1663" s="34" t="s">
        <v>5841</v>
      </c>
      <c r="S1663" s="34" t="s">
        <v>4640</v>
      </c>
      <c r="T1663" s="34">
        <f>+IFERROR(_xlfn.XLOOKUP(Table43[[#This Row],[Column1]],#REF!,#REF!),0)</f>
        <v>0</v>
      </c>
      <c r="U1663" s="50">
        <f>IFERROR(_xlfn.XLOOKUP(Table43[[#This Row],[Column1]],#REF!,#REF!),0)</f>
        <v>0</v>
      </c>
      <c r="V1663" s="39"/>
    </row>
    <row r="1664" spans="1:27" x14ac:dyDescent="0.35">
      <c r="A1664" s="6" t="s">
        <v>4639</v>
      </c>
      <c r="B1664" s="26" t="s">
        <v>4642</v>
      </c>
      <c r="C1664" s="2" t="s">
        <v>15</v>
      </c>
      <c r="D1664" s="2">
        <v>398.75</v>
      </c>
      <c r="E1664" s="3" t="s">
        <v>10</v>
      </c>
      <c r="F1664" s="3">
        <v>0</v>
      </c>
      <c r="G1664" s="3">
        <v>100</v>
      </c>
      <c r="H1664" s="2">
        <v>4</v>
      </c>
      <c r="I1664" s="22">
        <f>Table43[[#This Row],[Item Cost]]*Table43[[#This Row],[In Stock]]</f>
        <v>1595</v>
      </c>
      <c r="J1664" s="12" t="s">
        <v>4941</v>
      </c>
      <c r="K1664" s="13" t="s">
        <v>4666</v>
      </c>
      <c r="L1664" s="13" t="s">
        <v>4731</v>
      </c>
      <c r="M1664" s="13" t="s">
        <v>4693</v>
      </c>
      <c r="N1664" s="12" t="s">
        <v>4855</v>
      </c>
      <c r="O1664" s="17" t="str">
        <f>IF(LEN(COUNTIFS($J$1:J1664,$J1664,$K$1:K1664,$K1664,$L$1:L1664,$L1664,$M$1:M1664,M1664,$N$1:N1664,N1664))=1,"00"&amp;COUNTIFS($J$1:J1664,$J1664,$K$1:K1664,$K1664,$L$1:L1664,$L1664,$M$1:M1664,M1664,$N$1:N1664,N1664),IF(LEN(COUNTIFS($J$1:J1664,$J1664,$K$1:K1664,$K1664,$L$1:L1664,$L1664,$M$1:M1664,M1664,$N$1:N1664,N1664))=2,"0"&amp;COUNTIFS($J$1:J1664,$J1664,$K$1:K1664,$K1664,$L$1:L1664,$L1664,$M$1:M1664,M1664,$N$1:N1664,N1664),COUNTIFS($J$1:J1664,$J1664,$K$1:K1664,$K1664,$L$1:L1664,$L1664,$M$1:M1664,M1664,$N$1:N1664,N1664)))</f>
        <v>002</v>
      </c>
      <c r="P1664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MS-NS-029-23-12002-INV</v>
      </c>
      <c r="Q1664" s="59" t="s">
        <v>7393</v>
      </c>
      <c r="R1664" s="34"/>
      <c r="S1664" s="34">
        <v>0</v>
      </c>
      <c r="T1664" s="34">
        <f>+IFERROR(_xlfn.XLOOKUP(Table43[[#This Row],[Column1]],#REF!,#REF!),0)</f>
        <v>0</v>
      </c>
      <c r="U1664" s="50">
        <f>IFERROR(_xlfn.XLOOKUP(Table43[[#This Row],[Column1]],#REF!,#REF!),0)</f>
        <v>0</v>
      </c>
      <c r="V1664" s="39"/>
    </row>
    <row r="1665" spans="1:22" x14ac:dyDescent="0.35">
      <c r="A1665" s="26" t="s">
        <v>4641</v>
      </c>
      <c r="B1665" s="6" t="s">
        <v>4644</v>
      </c>
      <c r="C1665" s="3" t="s">
        <v>15</v>
      </c>
      <c r="D1665" s="5">
        <v>180</v>
      </c>
      <c r="E1665" s="3" t="s">
        <v>10</v>
      </c>
      <c r="F1665" s="3">
        <v>0</v>
      </c>
      <c r="G1665" s="3">
        <v>100</v>
      </c>
      <c r="H1665" s="3">
        <v>2</v>
      </c>
      <c r="I1665" s="21">
        <f>Table43[[#This Row],[Item Cost]]*Table43[[#This Row],[In Stock]]</f>
        <v>360</v>
      </c>
      <c r="J1665" s="12" t="s">
        <v>4941</v>
      </c>
      <c r="K1665" s="13" t="s">
        <v>4666</v>
      </c>
      <c r="L1665" s="13" t="s">
        <v>4731</v>
      </c>
      <c r="M1665" s="13" t="s">
        <v>4827</v>
      </c>
      <c r="N1665" s="12" t="s">
        <v>4855</v>
      </c>
      <c r="O1665" s="17" t="str">
        <f>IF(LEN(COUNTIFS($J$1:J1665,$J1665,$K$1:K1665,$K1665,$L$1:L1665,$L1665,$M$1:M1665,M1665,$N$1:N1665,N1665))=1,"00"&amp;COUNTIFS($J$1:J1665,$J1665,$K$1:K1665,$K1665,$L$1:L1665,$L1665,$M$1:M1665,M1665,$N$1:N1665,N1665),IF(LEN(COUNTIFS($J$1:J1665,$J1665,$K$1:K1665,$K1665,$L$1:L1665,$L1665,$M$1:M1665,M1665,$N$1:N1665,N1665))=2,"0"&amp;COUNTIFS($J$1:J1665,$J1665,$K$1:K1665,$K1665,$L$1:L1665,$L1665,$M$1:M1665,M1665,$N$1:N1665,N1665),COUNTIFS($J$1:J1665,$J1665,$K$1:K1665,$K1665,$L$1:L1665,$L1665,$M$1:M1665,M1665,$N$1:N1665,N1665)))</f>
        <v>002</v>
      </c>
      <c r="P1665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MS-NS-029-10-12002-INV</v>
      </c>
      <c r="Q1665" s="59"/>
      <c r="R1665" s="34"/>
      <c r="S1665" s="34">
        <v>0</v>
      </c>
      <c r="T1665" s="34">
        <f>+IFERROR(_xlfn.XLOOKUP(Table43[[#This Row],[Column1]],#REF!,#REF!),0)</f>
        <v>0</v>
      </c>
      <c r="U1665" s="50">
        <f>IFERROR(_xlfn.XLOOKUP(Table43[[#This Row],[Column1]],#REF!,#REF!),0)</f>
        <v>0</v>
      </c>
      <c r="V1665" s="39"/>
    </row>
    <row r="1666" spans="1:22" x14ac:dyDescent="0.35">
      <c r="A1666" s="6" t="s">
        <v>4643</v>
      </c>
      <c r="B1666" s="14" t="s">
        <v>4646</v>
      </c>
      <c r="C1666" s="2" t="s">
        <v>15</v>
      </c>
      <c r="D1666" s="26">
        <v>235</v>
      </c>
      <c r="E1666" s="2" t="s">
        <v>10</v>
      </c>
      <c r="F1666" s="3">
        <v>0</v>
      </c>
      <c r="G1666" s="3">
        <v>4</v>
      </c>
      <c r="H1666" s="2">
        <v>0</v>
      </c>
      <c r="I1666" s="22">
        <f>Table43[[#This Row],[Item Cost]]*Table43[[#This Row],[In Stock]]</f>
        <v>0</v>
      </c>
      <c r="J1666" s="6" t="s">
        <v>4941</v>
      </c>
      <c r="K1666" s="13" t="s">
        <v>4666</v>
      </c>
      <c r="L1666" s="13" t="s">
        <v>4731</v>
      </c>
      <c r="M1666" s="13" t="s">
        <v>4770</v>
      </c>
      <c r="N1666" s="12" t="s">
        <v>4855</v>
      </c>
      <c r="O1666" s="17" t="str">
        <f>IF(LEN(COUNTIFS($J$1:J1666,$J1666,$K$1:K1666,$K1666,$L$1:L1666,$L1666,$M$1:M1666,M1666,$N$1:N1666,N1666))=1,"00"&amp;COUNTIFS($J$1:J1666,$J1666,$K$1:K1666,$K1666,$L$1:L1666,$L1666,$M$1:M1666,M1666,$N$1:N1666,N1666),IF(LEN(COUNTIFS($J$1:J1666,$J1666,$K$1:K1666,$K1666,$L$1:L1666,$L1666,$M$1:M1666,M1666,$N$1:N1666,N1666))=2,"0"&amp;COUNTIFS($J$1:J1666,$J1666,$K$1:K1666,$K1666,$L$1:L1666,$L1666,$M$1:M1666,M1666,$N$1:N1666,N1666),COUNTIFS($J$1:J1666,$J1666,$K$1:K1666,$K1666,$L$1:L1666,$L1666,$M$1:M1666,M1666,$N$1:N1666,N1666)))</f>
        <v>003</v>
      </c>
      <c r="P1666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MS-NS-029-04-12003-INV</v>
      </c>
      <c r="Q1666" s="59"/>
      <c r="R1666" s="34" t="s">
        <v>5807</v>
      </c>
      <c r="S1666" s="34" t="s">
        <v>4646</v>
      </c>
      <c r="T1666" s="34">
        <f>+IFERROR(_xlfn.XLOOKUP(Table43[[#This Row],[Column1]],#REF!,#REF!),0)</f>
        <v>0</v>
      </c>
      <c r="U1666" s="50">
        <f>IFERROR(_xlfn.XLOOKUP(Table43[[#This Row],[Column1]],#REF!,#REF!),0)</f>
        <v>0</v>
      </c>
      <c r="V1666" s="39"/>
    </row>
    <row r="1667" spans="1:22" x14ac:dyDescent="0.35">
      <c r="A1667" s="26" t="s">
        <v>4645</v>
      </c>
      <c r="B1667" s="15" t="s">
        <v>4648</v>
      </c>
      <c r="C1667" s="3" t="s">
        <v>9</v>
      </c>
      <c r="D1667" s="6">
        <v>154</v>
      </c>
      <c r="E1667" s="3" t="s">
        <v>10</v>
      </c>
      <c r="F1667" s="2">
        <v>1</v>
      </c>
      <c r="G1667" s="2">
        <v>2</v>
      </c>
      <c r="H1667" s="3">
        <v>5</v>
      </c>
      <c r="I1667" s="21">
        <f>Table43[[#This Row],[Item Cost]]*Table43[[#This Row],[In Stock]]</f>
        <v>770</v>
      </c>
      <c r="J1667" s="6" t="s">
        <v>4941</v>
      </c>
      <c r="K1667" s="13" t="s">
        <v>4664</v>
      </c>
      <c r="L1667" s="13" t="s">
        <v>4731</v>
      </c>
      <c r="M1667" s="13" t="s">
        <v>4693</v>
      </c>
      <c r="N1667" s="12" t="s">
        <v>4855</v>
      </c>
      <c r="O1667" s="17" t="str">
        <f>IF(LEN(COUNTIFS($J$1:J1667,$J1667,$K$1:K1667,$K1667,$L$1:L1667,$L1667,$M$1:M1667,M1667,$N$1:N1667,N1667))=1,"00"&amp;COUNTIFS($J$1:J1667,$J1667,$K$1:K1667,$K1667,$L$1:L1667,$L1667,$M$1:M1667,M1667,$N$1:N1667,N1667),IF(LEN(COUNTIFS($J$1:J1667,$J1667,$K$1:K1667,$K1667,$L$1:L1667,$L1667,$M$1:M1667,M1667,$N$1:N1667,N1667))=2,"0"&amp;COUNTIFS($J$1:J1667,$J1667,$K$1:K1667,$K1667,$L$1:L1667,$L1667,$M$1:M1667,M1667,$N$1:N1667,N1667),COUNTIFS($J$1:J1667,$J1667,$K$1:K1667,$K1667,$L$1:L1667,$L1667,$M$1:M1667,M1667,$N$1:N1667,N1667)))</f>
        <v>002</v>
      </c>
      <c r="P1667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MS-CS-029-23-12002-INV</v>
      </c>
      <c r="Q1667" s="59"/>
      <c r="R1667" s="34" t="s">
        <v>5808</v>
      </c>
      <c r="S1667" s="34" t="s">
        <v>4648</v>
      </c>
      <c r="T1667" s="34">
        <f>+IFERROR(_xlfn.XLOOKUP(Table43[[#This Row],[Column1]],#REF!,#REF!),0)</f>
        <v>0</v>
      </c>
      <c r="U1667" s="50">
        <f>IFERROR(_xlfn.XLOOKUP(Table43[[#This Row],[Column1]],#REF!,#REF!),0)</f>
        <v>0</v>
      </c>
      <c r="V1667" s="39"/>
    </row>
    <row r="1668" spans="1:22" x14ac:dyDescent="0.35">
      <c r="A1668" s="6" t="s">
        <v>4647</v>
      </c>
      <c r="B1668" s="15" t="s">
        <v>4652</v>
      </c>
      <c r="C1668" s="3" t="s">
        <v>15</v>
      </c>
      <c r="D1668" s="6">
        <v>0</v>
      </c>
      <c r="E1668" s="3" t="s">
        <v>10</v>
      </c>
      <c r="F1668" s="3">
        <v>0</v>
      </c>
      <c r="G1668" s="3">
        <v>4</v>
      </c>
      <c r="H1668" s="3">
        <v>0</v>
      </c>
      <c r="I1668" s="21">
        <f>Table43[[#This Row],[Item Cost]]*Table43[[#This Row],[In Stock]]</f>
        <v>0</v>
      </c>
      <c r="J1668" s="12" t="s">
        <v>4941</v>
      </c>
      <c r="K1668" s="13" t="s">
        <v>4666</v>
      </c>
      <c r="L1668" s="13" t="s">
        <v>4731</v>
      </c>
      <c r="M1668" s="13" t="s">
        <v>4770</v>
      </c>
      <c r="N1668" s="12" t="s">
        <v>4855</v>
      </c>
      <c r="O1668" s="32" t="str">
        <f>IF(LEN(COUNTIFS($J$1:J1668,$J1668,$K$1:K1668,$K1668,$L$1:L1668,$L1668,$M$1:M1668,M1668,$N$1:N1668,N1668))=1,"00"&amp;COUNTIFS($J$1:J1668,$J1668,$K$1:K1668,$K1668,$L$1:L1668,$L1668,$M$1:M1668,M1668,$N$1:N1668,N1668),IF(LEN(COUNTIFS($J$1:J1668,$J1668,$K$1:K1668,$K1668,$L$1:L1668,$L1668,$M$1:M1668,M1668,$N$1:N1668,N1668))=2,"0"&amp;COUNTIFS($J$1:J1668,$J1668,$K$1:K1668,$K1668,$L$1:L1668,$L1668,$M$1:M1668,M1668,$N$1:N1668,N1668),COUNTIFS($J$1:J1668,$J1668,$K$1:K1668,$K1668,$L$1:L1668,$L1668,$M$1:M1668,M1668,$N$1:N1668,N1668)))</f>
        <v>004</v>
      </c>
      <c r="P1668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MS-NS-029-04-12004-INV</v>
      </c>
      <c r="Q1668" s="59"/>
      <c r="R1668" s="34" t="s">
        <v>5809</v>
      </c>
      <c r="S1668" s="34" t="s">
        <v>4652</v>
      </c>
      <c r="T1668" s="34">
        <f>+IFERROR(_xlfn.XLOOKUP(Table43[[#This Row],[Column1]],#REF!,#REF!),0)</f>
        <v>0</v>
      </c>
      <c r="U1668" s="50">
        <f>IFERROR(_xlfn.XLOOKUP(Table43[[#This Row],[Column1]],#REF!,#REF!),0)</f>
        <v>0</v>
      </c>
      <c r="V1668" s="39"/>
    </row>
    <row r="1669" spans="1:22" x14ac:dyDescent="0.35">
      <c r="A1669" s="26" t="s">
        <v>4649</v>
      </c>
      <c r="B1669" s="26" t="s">
        <v>4654</v>
      </c>
      <c r="C1669" s="2" t="s">
        <v>15</v>
      </c>
      <c r="D1669" s="2">
        <v>0</v>
      </c>
      <c r="E1669" s="2" t="s">
        <v>10</v>
      </c>
      <c r="F1669" s="3">
        <v>0</v>
      </c>
      <c r="G1669" s="3">
        <v>4</v>
      </c>
      <c r="H1669" s="26">
        <v>0</v>
      </c>
      <c r="I1669" s="22">
        <f>Table43[[#This Row],[Item Cost]]*Table43[[#This Row],[In Stock]]</f>
        <v>0</v>
      </c>
      <c r="J1669" s="12" t="s">
        <v>4941</v>
      </c>
      <c r="K1669" s="14" t="s">
        <v>4666</v>
      </c>
      <c r="L1669" s="13" t="s">
        <v>4731</v>
      </c>
      <c r="M1669" s="13" t="s">
        <v>4770</v>
      </c>
      <c r="N1669" s="12" t="s">
        <v>4855</v>
      </c>
      <c r="O1669" s="32" t="str">
        <f>IF(LEN(COUNTIFS($J$1:J1669,$J1669,$K$1:K1669,$K1669,$L$1:L1669,$L1669,$M$1:M1669,M1669,$N$1:N1669,N1669))=1,"00"&amp;COUNTIFS($J$1:J1669,$J1669,$K$1:K1669,$K1669,$L$1:L1669,$L1669,$M$1:M1669,M1669,$N$1:N1669,N1669),IF(LEN(COUNTIFS($J$1:J1669,$J1669,$K$1:K1669,$K1669,$L$1:L1669,$L1669,$M$1:M1669,M1669,$N$1:N1669,N1669))=2,"0"&amp;COUNTIFS($J$1:J1669,$J1669,$K$1:K1669,$K1669,$L$1:L1669,$L1669,$M$1:M1669,M1669,$N$1:N1669,N1669),COUNTIFS($J$1:J1669,$J1669,$K$1:K1669,$K1669,$L$1:L1669,$L1669,$M$1:M1669,M1669,$N$1:N1669,N1669)))</f>
        <v>005</v>
      </c>
      <c r="P1669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MS-NS-029-04-12005-INV</v>
      </c>
      <c r="Q1669" s="59"/>
      <c r="R1669" s="34" t="s">
        <v>5810</v>
      </c>
      <c r="S1669" s="34" t="s">
        <v>4654</v>
      </c>
      <c r="T1669" s="34">
        <f>+IFERROR(_xlfn.XLOOKUP(Table43[[#This Row],[Column1]],#REF!,#REF!),0)</f>
        <v>0</v>
      </c>
      <c r="U1669" s="50">
        <f>IFERROR(_xlfn.XLOOKUP(Table43[[#This Row],[Column1]],#REF!,#REF!),0)</f>
        <v>0</v>
      </c>
      <c r="V1669" s="39"/>
    </row>
    <row r="1670" spans="1:22" x14ac:dyDescent="0.35">
      <c r="A1670" s="6" t="s">
        <v>4651</v>
      </c>
      <c r="B1670" s="6" t="s">
        <v>4656</v>
      </c>
      <c r="C1670" s="6" t="s">
        <v>15</v>
      </c>
      <c r="D1670" s="6">
        <v>0</v>
      </c>
      <c r="E1670" s="3" t="s">
        <v>10</v>
      </c>
      <c r="F1670" s="6">
        <v>0</v>
      </c>
      <c r="G1670" s="6">
        <v>4</v>
      </c>
      <c r="H1670" s="6">
        <v>0</v>
      </c>
      <c r="I1670" s="25">
        <f>Table43[[#This Row],[Item Cost]]*Table43[[#This Row],[In Stock]]</f>
        <v>0</v>
      </c>
      <c r="J1670" s="6" t="s">
        <v>4941</v>
      </c>
      <c r="K1670" s="13" t="s">
        <v>4666</v>
      </c>
      <c r="L1670" s="13" t="s">
        <v>4731</v>
      </c>
      <c r="M1670" s="13" t="s">
        <v>4770</v>
      </c>
      <c r="N1670" s="12" t="s">
        <v>4855</v>
      </c>
      <c r="O1670" s="32" t="str">
        <f>IF(LEN(COUNTIFS($J$1:J1819,$J1670,$K$1:K1819,$K1670,$L$1:L1819,$L1670,$M$1:M1819,M1670,$N$1:N1819,N1670))=1,"00"&amp;COUNTIFS($J$1:J1819,$J1670,$K$1:K1819,$K1670,$L$1:L1819,$L1670,$M$1:M1819,M1670,$N$1:N1819,N1670),IF(LEN(COUNTIFS($J$1:J1819,$J1670,$K$1:K1819,$K1670,$L$1:L1819,$L1670,$M$1:M1819,M1670,$N$1:N1819,N1670))=2,"0"&amp;COUNTIFS($J$1:J1819,$J1670,$K$1:K1819,$K1670,$L$1:L1819,$L1670,$M$1:M1819,M1670,$N$1:N1819,N1670),COUNTIFS($J$1:J1819,$J1670,$K$1:K1819,$K1670,$L$1:L1819,$L1670,$M$1:M1819,M1670,$N$1:N1819,N1670)))</f>
        <v>006</v>
      </c>
      <c r="P1670" s="6" t="str">
        <f>VLOOKUP(Table43[[#This Row],[Department]],'Mapping code'!A:B,2,0)&amp;"-"&amp;VLOOKUP(Table43[[#This Row],[Category]],'Mapping code'!E:F,2,0)&amp;"-"&amp;VLOOKUP(Table43[[#This Row],[Machine]],'Mapping code'!I:J,2,0)&amp;"-"&amp;VLOOKUP(Table43[[#This Row],[Product Nature]],'Mapping code'!N:O,2,0)&amp;"-"&amp;VLOOKUP(Table43[[#This Row],[Category2]],'Mapping code'!Q:R,2,0)&amp;Table43[[#This Row],[Seq]]&amp;IF(Table43[[#This Row],[New Inventory]]="Yes","-INV","")</f>
        <v>MS-NS-029-04-12006-INV</v>
      </c>
      <c r="Q1670" s="59" t="s">
        <v>7393</v>
      </c>
      <c r="R1670" s="34" t="s">
        <v>5811</v>
      </c>
      <c r="S1670" s="34" t="s">
        <v>4656</v>
      </c>
      <c r="T1670" s="34">
        <f>+IFERROR(_xlfn.XLOOKUP(Table43[[#This Row],[Column1]],#REF!,#REF!),0)</f>
        <v>0</v>
      </c>
      <c r="U1670" s="50">
        <f>IFERROR(_xlfn.XLOOKUP(Table43[[#This Row],[Column1]],#REF!,#REF!),0)</f>
        <v>0</v>
      </c>
      <c r="V1670" s="39"/>
    </row>
  </sheetData>
  <phoneticPr fontId="5" type="noConversion"/>
  <conditionalFormatting sqref="B1:B1665 B1669:B1048576">
    <cfRule type="duplicateValues" dxfId="4" priority="2"/>
  </conditionalFormatting>
  <conditionalFormatting sqref="B1343:B1345">
    <cfRule type="duplicateValues" dxfId="3" priority="5"/>
  </conditionalFormatting>
  <conditionalFormatting sqref="B1346:B1348">
    <cfRule type="duplicateValues" dxfId="2" priority="217"/>
  </conditionalFormatting>
  <conditionalFormatting sqref="P2:P1670">
    <cfRule type="duplicateValues" dxfId="1" priority="428"/>
  </conditionalFormatting>
  <conditionalFormatting sqref="R2:R1670">
    <cfRule type="duplicateValues" dxfId="0" priority="429"/>
  </conditionalFormatting>
  <pageMargins left="0.7" right="0.7" top="0.75" bottom="0.75" header="0.3" footer="0.3"/>
  <pageSetup paperSize="9" scale="26" fitToHeight="0" orientation="landscape" r:id="rId1"/>
  <customProperties>
    <customPr name="EpmWorksheetKeyString_GUID" r:id="rId2"/>
  </customProperties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8BEF2F88-F4E3-4AC1-BCF0-9451DC9B5F18}">
          <x14:formula1>
            <xm:f>'Mapping code'!$Q$2:$Q$25</xm:f>
          </x14:formula1>
          <xm:sqref>N2</xm:sqref>
        </x14:dataValidation>
        <x14:dataValidation type="list" showInputMessage="1" showErrorMessage="1" xr:uid="{C5C83794-6112-47E9-8C7D-F90E8958D101}">
          <x14:formula1>
            <xm:f>'Mapping code'!$E$2:$E$9</xm:f>
          </x14:formula1>
          <xm:sqref>K2</xm:sqref>
        </x14:dataValidation>
        <x14:dataValidation type="list" allowBlank="1" showInputMessage="1" showErrorMessage="1" xr:uid="{4E971A48-6CB7-478A-9A58-CB60E6A15D20}">
          <x14:formula1>
            <xm:f>'Mapping code'!$I$2:$I$42</xm:f>
          </x14:formula1>
          <xm:sqref>L1638 L2</xm:sqref>
        </x14:dataValidation>
        <x14:dataValidation type="list" allowBlank="1" showInputMessage="1" showErrorMessage="1" xr:uid="{7B5D1CFF-5D3B-465D-9E35-277BEEB9A7BE}">
          <x14:formula1>
            <xm:f>'Mapping code'!$N$2:$N$32</xm:f>
          </x14:formula1>
          <xm:sqref>M1435:M1453 M3:M1433 M1639:M1670</xm:sqref>
        </x14:dataValidation>
        <x14:dataValidation type="list" allowBlank="1" showInputMessage="1" showErrorMessage="1" xr:uid="{25B69C43-61CB-438B-8BB3-D40BE0FF1E31}">
          <x14:formula1>
            <xm:f>'Mapping code'!$N$2:$N$36</xm:f>
          </x14:formula1>
          <xm:sqref>M1434 M1454:M1638 M2</xm:sqref>
        </x14:dataValidation>
        <x14:dataValidation type="list" allowBlank="1" showInputMessage="1" showErrorMessage="1" xr:uid="{3E4C25BF-42D1-40DD-87D6-535C3F72C44B}">
          <x14:formula1>
            <xm:f>'Mapping code'!$Q$2:$Q$17</xm:f>
          </x14:formula1>
          <xm:sqref>N3:N1669</xm:sqref>
        </x14:dataValidation>
        <x14:dataValidation type="list" showInputMessage="1" showErrorMessage="1" xr:uid="{4FCD08E9-2D39-45C4-8969-27FEF7A584DE}">
          <x14:formula1>
            <xm:f>'Mapping code'!$A$2:$A$10</xm:f>
          </x14:formula1>
          <xm:sqref>J2:J1670</xm:sqref>
        </x14:dataValidation>
        <x14:dataValidation type="list" allowBlank="1" showInputMessage="1" showErrorMessage="1" xr:uid="{20D44550-5F1C-4922-9EC5-17F483B771E6}">
          <x14:formula1>
            <xm:f>'Mapping code'!$E$2:$E$3</xm:f>
          </x14:formula1>
          <xm:sqref>K3:K1670</xm:sqref>
        </x14:dataValidation>
        <x14:dataValidation type="list" allowBlank="1" showInputMessage="1" showErrorMessage="1" xr:uid="{0CEB964C-3DC4-4C0E-9685-DF3AB0E2CF09}">
          <x14:formula1>
            <xm:f>'Mapping code'!$I$2:$I$36</xm:f>
          </x14:formula1>
          <xm:sqref>L3:L1637 L1639:L1670</xm:sqref>
        </x14:dataValidation>
        <x14:dataValidation type="list" allowBlank="1" showInputMessage="1" showErrorMessage="1" xr:uid="{04C20439-61FC-4038-B432-E53A79493E22}">
          <x14:formula1>
            <xm:f>'Mapping code'!$Q$2:$Q$20</xm:f>
          </x14:formula1>
          <xm:sqref>N1670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012E35-734C-41CD-A346-EE9C7CD5D6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Maintenance</vt:lpstr>
      <vt:lpstr>Mapping code</vt:lpstr>
      <vt:lpstr>Search II codes</vt:lpstr>
      <vt:lpstr>Centralized store 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artur.baluch</dc:creator>
  <cp:lastModifiedBy>Teodor Oancea</cp:lastModifiedBy>
  <cp:lastPrinted>2026-02-26T07:47:29Z</cp:lastPrinted>
  <dcterms:created xsi:type="dcterms:W3CDTF">2025-02-13T08:51:14Z</dcterms:created>
  <dcterms:modified xsi:type="dcterms:W3CDTF">2026-02-26T07:48:21Z</dcterms:modified>
</cp:coreProperties>
</file>